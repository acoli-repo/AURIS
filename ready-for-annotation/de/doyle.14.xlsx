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<sst xmlns="http://schemas.openxmlformats.org/spreadsheetml/2006/main" count="10354" uniqueCount="2823">
  <si>
    <t>ID</t>
  </si>
  <si>
    <t>PRED_ID</t>
  </si>
  <si>
    <t>MARKER_AUTO</t>
  </si>
  <si>
    <t>PREDICATE</t>
  </si>
  <si>
    <t>TEXT</t>
  </si>
  <si>
    <t>SENTENCE</t>
  </si>
  <si>
    <t>MARKER</t>
  </si>
  <si>
    <t>TARGET</t>
  </si>
  <si>
    <t>RELATION</t>
  </si>
  <si>
    <t>COMMENT</t>
  </si>
  <si>
    <t>1</t>
  </si>
  <si>
    <t>2</t>
  </si>
  <si>
    <t>_</t>
  </si>
  <si>
    <t>sein (sein Charakterfehler)</t>
  </si>
  <si>
    <t>Es war immer einer von Sherlock Holmes ' Charakterfehlern – wenn man es denneinen Fehler nennen darf – , dass er eine hohe Abneigung dagegen hatte , seinePläne anderen Personen vollständig zu offenbaren , bevor der Augenblick ihrerUmsetzung gekommen war .</t>
  </si>
  <si>
    <t>file://conllu/de/doyle.14.conllu#s1_0</t>
  </si>
  <si>
    <t>rühren</t>
  </si>
  <si>
    <t>Dies rührte zum zu dem Teil sicherlich von seiner herrischenArt her , denn er liebte es , die Menschen seiner Umgebung zu dominieren und zuüberraschen , zum zu dem anderen lag dies aber in seiner beruflichen Vorsichtbegründet , kein unnötiges Risiko einzugehen .</t>
  </si>
  <si>
    <t>file://conllu/de/doyle.14.conllu#s2_0</t>
  </si>
  <si>
    <t>4</t>
  </si>
  <si>
    <t>3</t>
  </si>
  <si>
    <t>haben</t>
  </si>
  <si>
    <t>Oft genug hatte ich daruntergelitten , doch niemals so sehr wie während dieser langen Fahrt durch dieDunkelheit .</t>
  </si>
  <si>
    <t>file://conllu/de/doyle.14.conllu#s4_0</t>
  </si>
  <si>
    <t>5</t>
  </si>
  <si>
    <t>Was?</t>
  </si>
  <si>
    <t>liegen</t>
  </si>
  <si>
    <t>Die große Prüfung lag vor uns , endlich sollte der letzte Akt überdie Bühne gehen , doch Holmes hatte noch nichts über seine Pläne verlautenlassen , und ich konnte nur raten , was er vorhatte .</t>
  </si>
  <si>
    <t>file://conllu/de/doyle.14.conllu#s5_0</t>
  </si>
  <si>
    <t>6</t>
  </si>
  <si>
    <t>fangen</t>
  </si>
  <si>
    <t>Ich fing vor Aufregung an zuzittern , als der kalte Wind auf unseren Gesichtern und der dunkle , öde Raum zubeiden Seiten der engen Straße mir zeigten , dass wir uns wieder auf dem Moorbefanden .</t>
  </si>
  <si>
    <t>file://conllu/de/doyle.14.conllu#s6_0</t>
  </si>
  <si>
    <t>7</t>
  </si>
  <si>
    <t>Hufschlag</t>
  </si>
  <si>
    <t>Jeder Hufschlag der Pferde und jede Umdrehung der Wagenräder brachtenuns unserem spannenden Abenteuer näher .</t>
  </si>
  <si>
    <t>file://conllu/de/doyle.14.conllu#s7_0</t>
  </si>
  <si>
    <t>8</t>
  </si>
  <si>
    <t>16</t>
  </si>
  <si>
    <t>Durch?</t>
  </si>
  <si>
    <t>sein (sein zwingen)</t>
  </si>
  <si>
    <t>Unsere Unterhaltung wurde durch die Anwesenheit des Fahrers der Mietdroschkebeeinträchtigt , so dass wir gezwungen waren , über nebensächliche Dinge zusprechen , während unsere Nerven vor Erwartung gespannt waren .</t>
  </si>
  <si>
    <t>file://conllu/de/doyle.14.conllu#s8_0</t>
  </si>
  <si>
    <t>9</t>
  </si>
  <si>
    <t>vorbeifuhren</t>
  </si>
  <si>
    <t>Nach dieserunnatürlichen Zurückhaltung war es für mich eine Erleichterung , als wirschließlich an Franklands Haus vorbeifuhren und wussten , dass wir nunmehr ganznahe an Baskerville Hall und dem Ort des Geschehens waren .</t>
  </si>
  <si>
    <t>file://conllu/de/doyle.14.conllu#s9_0</t>
  </si>
  <si>
    <t>10</t>
  </si>
  <si>
    <t>fahren</t>
  </si>
  <si>
    <t>Wir ließen uns nichtvor die Tür fahren , sondern hielten nahe dem Tor zur zu der Auffahrt .</t>
  </si>
  <si>
    <t>file://conllu/de/doyle.14.conllu#s10_0</t>
  </si>
  <si>
    <t>11</t>
  </si>
  <si>
    <t>wurdebezahlen</t>
  </si>
  <si>
    <t>Der Wagen wurdebezahlt und nach Coombe Tracey zurückgeschickt , bevor wir uns zu Fuß inRichtung auf Merripit House aufmachten .</t>
  </si>
  <si>
    <t>file://conllu/de/doyle.14.conllu#s11_0</t>
  </si>
  <si>
    <t>12</t>
  </si>
  <si>
    <t>bewaffnen</t>
  </si>
  <si>
    <t>» Sind Sie bewaffnet , Lestrade ? «</t>
  </si>
  <si>
    <t>file://conllu/de/doyle.14.conllu#s12_0</t>
  </si>
  <si>
    <t>13</t>
  </si>
  <si>
    <t>lächeln</t>
  </si>
  <si>
    <t>Der kleine Polizist lächelte .</t>
  </si>
  <si>
    <t>file://conllu/de/doyle.14.conllu#s13_0</t>
  </si>
  <si>
    <t>14</t>
  </si>
  <si>
    <t>19</t>
  </si>
  <si>
    <t>befinden</t>
  </si>
  <si>
    <t>» Solange ich meine Hosen anhabe , habe ich eine Hüfttasche , und solange ichmeine Hüfttasche habe , befindet sich auch etwas darin . «</t>
  </si>
  <si>
    <t>file://conllu/de/doyle.14.conllu#s14_0</t>
  </si>
  <si>
    <t>15</t>
  </si>
  <si>
    <t>gut</t>
  </si>
  <si>
    <t>» Gut !</t>
  </si>
  <si>
    <t>file://conllu/de/doyle.14.conllu#s15_0</t>
  </si>
  <si>
    <t>sein (sein vorbereiten)</t>
  </si>
  <si>
    <t>Mein Freund und ich sind ebenfalls auf Notfälle vorbereitet . «</t>
  </si>
  <si>
    <t>file://conllu/de/doyle.14.conllu#s16_0</t>
  </si>
  <si>
    <t>17</t>
  </si>
  <si>
    <t>sein (sein verschließen)</t>
  </si>
  <si>
    <t>» Sie sind in dieser Angelegenheit ja reichlich verschlossen , Mr. Holmes .</t>
  </si>
  <si>
    <t>file://conllu/de/doyle.14.conllu#s17_0</t>
  </si>
  <si>
    <t>18</t>
  </si>
  <si>
    <t>spielen</t>
  </si>
  <si>
    <t>Wasfür ein Spiel wird denn gespielt ? «</t>
  </si>
  <si>
    <t>file://conllu/de/doyle.14.conllu#s18_0</t>
  </si>
  <si>
    <t>Geduldsspiel</t>
  </si>
  <si>
    <t>» Ein Geduldsspiel . «</t>
  </si>
  <si>
    <t>file://conllu/de/doyle.14.conllu#s19_0</t>
  </si>
  <si>
    <t>20</t>
  </si>
  <si>
    <t>scheinen</t>
  </si>
  <si>
    <t>» Meine Güte , das scheint wirklich kein sonderlich fröhlicher Ort zu sein « ,sagte Lestrade schaudernd , während er über die düsteren Hänge des Hügels unddie große Dunstwolke blickte , die über dem Grimpener Moor lag .</t>
  </si>
  <si>
    <t>file://conllu/de/doyle.14.conllu#s20_0</t>
  </si>
  <si>
    <t>21</t>
  </si>
  <si>
    <t>«</t>
  </si>
  <si>
    <t>» Ich seheLichter eines Hauses vor uns . «</t>
  </si>
  <si>
    <t>file://conllu/de/doyle.14.conllu#s21_0</t>
  </si>
  <si>
    <t>22</t>
  </si>
  <si>
    <t>sein (sein House)</t>
  </si>
  <si>
    <t>» Das ist Merripit House und das Ziel unserer Reise .</t>
  </si>
  <si>
    <t>file://conllu/de/doyle.14.conllu#s22_0</t>
  </si>
  <si>
    <t>23</t>
  </si>
  <si>
    <t>darumersuchen</t>
  </si>
  <si>
    <t>Ich muss Sie darumersuchen , auf Zehenspitzen zu laufen und nur noch zu flüstern . «</t>
  </si>
  <si>
    <t>file://conllu/de/doyle.14.conllu#s23_0</t>
  </si>
  <si>
    <t>24</t>
  </si>
  <si>
    <t>stoppen</t>
  </si>
  <si>
    <t>Vorsichtig gingen wir den Weg entlang , als wollten wir auf das Haus zugehen,doch Holmes stoppte uns , als wir nur noch etwa 200 Meter entfernt waren .</t>
  </si>
  <si>
    <t>file://conllu/de/doyle.14.conllu#s24_0</t>
  </si>
  <si>
    <t>25</t>
  </si>
  <si>
    <t>sagen</t>
  </si>
  <si>
    <t>» Das dürfte reichen « , sagte er .</t>
  </si>
  <si>
    <t>file://conllu/de/doyle.14.conllu#s25_0</t>
  </si>
  <si>
    <t>26</t>
  </si>
  <si>
    <t>bieten</t>
  </si>
  <si>
    <t>» Diese Felsen hier rechts werden unsvortrefflich Schutz bieten . «</t>
  </si>
  <si>
    <t>file://conllu/de/doyle.14.conllu#s26_0</t>
  </si>
  <si>
    <t>27</t>
  </si>
  <si>
    <t>warten</t>
  </si>
  <si>
    <t>» Wir sollen hier warten ? «</t>
  </si>
  <si>
    <t>file://conllu/de/doyle.14.conllu#s27_0</t>
  </si>
  <si>
    <t>28</t>
  </si>
  <si>
    <t>werden</t>
  </si>
  <si>
    <t>» Ja , das wird unser kleiner Hinterhalt .</t>
  </si>
  <si>
    <t>file://conllu/de/doyle.14.conllu#s28_0</t>
  </si>
  <si>
    <t>29</t>
  </si>
  <si>
    <t>sein (sein schlüpfen)</t>
  </si>
  <si>
    <t>Schlüpfen Sie in diese Höhle , Lestrade.Bist du nicht schon im in dem Haus gewesen , Watson ?</t>
  </si>
  <si>
    <t>file://conllu/de/doyle.14.conllu#s29_0</t>
  </si>
  <si>
    <t>30</t>
  </si>
  <si>
    <t>erläutern</t>
  </si>
  <si>
    <t>Dann kannst du uns die Lage derRäume erläutern .</t>
  </si>
  <si>
    <t>file://conllu/de/doyle.14.conllu#s30_0</t>
  </si>
  <si>
    <t>31</t>
  </si>
  <si>
    <t>gehören</t>
  </si>
  <si>
    <t>Wozu gehören die vergitterten Fenster an diesem Ende ? «</t>
  </si>
  <si>
    <t>file://conllu/de/doyle.14.conllu#s31_0</t>
  </si>
  <si>
    <t>32</t>
  </si>
  <si>
    <t>glauben</t>
  </si>
  <si>
    <t>» Ich glaube , das sind die Küchenfenster . «</t>
  </si>
  <si>
    <t>file://conllu/de/doyle.14.conllu#s32_0</t>
  </si>
  <si>
    <t>33</t>
  </si>
  <si>
    <t>erleuchten</t>
  </si>
  <si>
    <t>» Und das hell erleuchtete dort drüben</t>
  </si>
  <si>
    <t>file://conllu/de/doyle.14.conllu#s33_0</t>
  </si>
  <si>
    <t>34</t>
  </si>
  <si>
    <t>sein (sein bestimmen)</t>
  </si>
  <si>
    <t>» Das ist bestimmt das Esszimmer . «</t>
  </si>
  <si>
    <t>file://conllu/de/doyle.14.conllu#s34_0</t>
  </si>
  <si>
    <t>35</t>
  </si>
  <si>
    <t>sein (sein zurückziehen)</t>
  </si>
  <si>
    <t>» Die Vorhänge sind zurückgezogen .</t>
  </si>
  <si>
    <t>file://conllu/de/doyle.14.conllu#s35_0</t>
  </si>
  <si>
    <t>36</t>
  </si>
  <si>
    <t>kennsen</t>
  </si>
  <si>
    <t>Du kennst dich hier am an dem besten aus .</t>
  </si>
  <si>
    <t>file://conllu/de/doyle.14.conllu#s36_0</t>
  </si>
  <si>
    <t>37</t>
  </si>
  <si>
    <t>merken</t>
  </si>
  <si>
    <t>Schleichdich lautlos nach vorne und sieh nach , was drinnen geschieht , aber sie dürfenum Himmels Willen nicht merken , dass sie beobachtet werden ! «</t>
  </si>
  <si>
    <t>file://conllu/de/doyle.14.conllu#s37_0</t>
  </si>
  <si>
    <t>38</t>
  </si>
  <si>
    <t>entlang</t>
  </si>
  <si>
    <t>Auf Zehenspitzen schlich ich den Pfad entlang und duckte mich hinter derniedrigen Mauer , die den vernachlässigten Obstgarten umgab .</t>
  </si>
  <si>
    <t>file://conllu/de/doyle.14.conllu#s38_0</t>
  </si>
  <si>
    <t>39</t>
  </si>
  <si>
    <t>befindlich</t>
  </si>
  <si>
    <t>Solchermaßen inDeckung befindlich kroch ich zu einer Stelle , von welcher aus ich direkt in dasvorhanglose Fenster hineinsehen konnte .</t>
  </si>
  <si>
    <t>file://conllu/de/doyle.14.conllu#s39_0</t>
  </si>
  <si>
    <t>40</t>
  </si>
  <si>
    <t>Es befanden sich nur zwei Männer im in dem Zimmer , Sir Henry und Stapleton .</t>
  </si>
  <si>
    <t>file://conllu/de/doyle.14.conllu#s40_0</t>
  </si>
  <si>
    <t>41</t>
  </si>
  <si>
    <t>zuwenden</t>
  </si>
  <si>
    <t>Sie saßenjeder an einer Seite des runden Tisches , das Profil mir zugewandt .</t>
  </si>
  <si>
    <t>file://conllu/de/doyle.14.conllu#s41_0</t>
  </si>
  <si>
    <t>42</t>
  </si>
  <si>
    <t>stehen</t>
  </si>
  <si>
    <t>Beiderauchten Zigarren und hatten Kaffee und Wein vor sich stehen .</t>
  </si>
  <si>
    <t>file://conllu/de/doyle.14.conllu#s42_0</t>
  </si>
  <si>
    <t>43</t>
  </si>
  <si>
    <t>lebhafen</t>
  </si>
  <si>
    <t>Stapleton redetesehr lebhaft , aber der Baronet sah bleich und zerstreut aus .</t>
  </si>
  <si>
    <t>file://conllu/de/doyle.14.conllu#s43_0</t>
  </si>
  <si>
    <t>44</t>
  </si>
  <si>
    <t>Möglicherweiselastete</t>
  </si>
  <si>
    <t>Möglicherweiselastete der Gedanke an den einsamen Spaziergang durch das Moor mit seinemschlechten Ruf schwer auf seiner Seele .</t>
  </si>
  <si>
    <t>file://conllu/de/doyle.14.conllu#s44_0</t>
  </si>
  <si>
    <t>45</t>
  </si>
  <si>
    <t>Während ich sie so beobachtete , stand Stapleton auf und verließ das Zimmer ;</t>
  </si>
  <si>
    <t>file://conllu/de/doyle.14.conllu#s45_0</t>
  </si>
  <si>
    <t>46</t>
  </si>
  <si>
    <t>schenken</t>
  </si>
  <si>
    <t>SirHenry schenkte sich Wein nach und lehnte sich in seinen Stuhl zurück , wobei eran seiner Zigarre zog .</t>
  </si>
  <si>
    <t>file://conllu/de/doyle.14.conllu#s46_0</t>
  </si>
  <si>
    <t>47</t>
  </si>
  <si>
    <t>hören</t>
  </si>
  <si>
    <t>Ich hörte eine Tür knarren und das knirschende Geräuschvon Schuhen auf Kies .</t>
  </si>
  <si>
    <t>file://conllu/de/doyle.14.conllu#s47_0</t>
  </si>
  <si>
    <t>48</t>
  </si>
  <si>
    <t>gehen</t>
  </si>
  <si>
    <t>Die Schritte gingen den Pfad auf der anderen Seite derMauer , hinter der ich kauerte , entlang .</t>
  </si>
  <si>
    <t>file://conllu/de/doyle.14.conllu#s48_0</t>
  </si>
  <si>
    <t>49</t>
  </si>
  <si>
    <t>schauen</t>
  </si>
  <si>
    <t>Ich schaute über die Mauer und sah denNaturforscher an der Tür eines Häuschens in einer Ecke des Gartens stehen .</t>
  </si>
  <si>
    <t>file://conllu/de/doyle.14.conllu#s49_0</t>
  </si>
  <si>
    <t>50</t>
  </si>
  <si>
    <t>Nachdem?</t>
  </si>
  <si>
    <t>drehen</t>
  </si>
  <si>
    <t>EinSchlüssel drehte sich im in dem Schloss , und nachdem er hineingegangen war , ertöntevon drinnen ein seltsames Geräusch wie von einer Rauferei .</t>
  </si>
  <si>
    <t>file://conllu/de/doyle.14.conllu#s50_0</t>
  </si>
  <si>
    <t>51</t>
  </si>
  <si>
    <t>hören (hören halten)</t>
  </si>
  <si>
    <t>Er hielt sichhöchstens ein oder zwei Minuten dort auf , dann hörte ich den Schlüssel sicherneut im in dem Schloss drehen .</t>
  </si>
  <si>
    <t>file://conllu/de/doyle.14.conllu#s51_0</t>
  </si>
  <si>
    <t>52</t>
  </si>
  <si>
    <t>laufen</t>
  </si>
  <si>
    <t>Wieder lief Stapleton an mir vorbei , kehrte in dasHaus zurück und setzte sich zu seinem Gast .</t>
  </si>
  <si>
    <t>file://conllu/de/doyle.14.conllu#s52_0</t>
  </si>
  <si>
    <t>53</t>
  </si>
  <si>
    <t>Ich kroch leise dorthin zurück , womeine Gefährten darauf warteten , was ich zu erzählen hatte .</t>
  </si>
  <si>
    <t>file://conllu/de/doyle.14.conllu#s53_0</t>
  </si>
  <si>
    <t>54</t>
  </si>
  <si>
    <t>sagen (sagen fragen)</t>
  </si>
  <si>
    <t>» Du hast gesagt , dass Mrs . Stapleton nicht dort war ? « fragte Holmes , als ichmeinen Bericht beendet hatte .</t>
  </si>
  <si>
    <t>file://conllu/de/doyle.14.conllu#s54_0</t>
  </si>
  <si>
    <t>55</t>
  </si>
  <si>
    <t>sein</t>
  </si>
  <si>
    <t>» So ist es . «</t>
  </si>
  <si>
    <t>file://conllu/de/doyle.14.conllu#s55_0</t>
  </si>
  <si>
    <t>56</t>
  </si>
  <si>
    <t>sein (sein dann)</t>
  </si>
  <si>
    <t>» Wo kann sie dann sein , da doch nirgends sonst Licht brennt außer in der Küche ? «</t>
  </si>
  <si>
    <t>file://conllu/de/doyle.14.conllu#s56_0</t>
  </si>
  <si>
    <t>57</t>
  </si>
  <si>
    <t>» Ich habe keine Ahnung , wo sie sein könnte . «</t>
  </si>
  <si>
    <t>file://conllu/de/doyle.14.conllu#s57_0</t>
  </si>
  <si>
    <t>58</t>
  </si>
  <si>
    <t>erwähnen</t>
  </si>
  <si>
    <t>Wie schon erwähnt hing über dem großen Grimpener Moor ein dichter , weißerNebel .</t>
  </si>
  <si>
    <t>file://conllu/de/doyle.14.conllu#s58_0</t>
  </si>
  <si>
    <t>59</t>
  </si>
  <si>
    <t>treiben</t>
  </si>
  <si>
    <t>Langsam trieb er auf uns zu und baute sich wie eine zwar niedrige , aberdicke und undurchdringliche Wand vor uns auf .</t>
  </si>
  <si>
    <t>file://conllu/de/doyle.14.conllu#s59_0</t>
  </si>
  <si>
    <t>60</t>
  </si>
  <si>
    <t>Der Mond schien auf sie herab undließ sie wie eine große , glänzende Eisfläche aussehen , aus welcher die Spitzender Felstürme in der Ferne wie Klippen herausragten .</t>
  </si>
  <si>
    <t>file://conllu/de/doyle.14.conllu#s60_0</t>
  </si>
  <si>
    <t>61</t>
  </si>
  <si>
    <t>Holmes drehte sich nachihr um und murmelte ungeduldig etwas vor sich hin , ihre langsame Bewegungständig beobachtend .</t>
  </si>
  <si>
    <t>file://conllu/de/doyle.14.conllu#s61_0</t>
  </si>
  <si>
    <t>62</t>
  </si>
  <si>
    <t>kommen</t>
  </si>
  <si>
    <t>» Sie kommt auf uns zu , Watson . «</t>
  </si>
  <si>
    <t>file://conllu/de/doyle.14.conllu#s62_0</t>
  </si>
  <si>
    <t>63</t>
  </si>
  <si>
    <t>sein (sein schlimm)</t>
  </si>
  <si>
    <t>» Ist das schlimm ? «</t>
  </si>
  <si>
    <t>file://conllu/de/doyle.14.conllu#s63_0</t>
  </si>
  <si>
    <t>64</t>
  </si>
  <si>
    <t>einzig</t>
  </si>
  <si>
    <t>» Sogar sehr schlimm – so ziemlich das einzige , das meine Pläne durcheinanderbringen kann .</t>
  </si>
  <si>
    <t>file://conllu/de/doyle.14.conllu#s64_0</t>
  </si>
  <si>
    <t>65</t>
  </si>
  <si>
    <t>bleiben</t>
  </si>
  <si>
    <t>Sir Henry kann jetzt nicht mehr lange bleiben , es ist schon zehnUhr .</t>
  </si>
  <si>
    <t>file://conllu/de/doyle.14.conllu#s65_0</t>
  </si>
  <si>
    <t>66</t>
  </si>
  <si>
    <t>abhängen</t>
  </si>
  <si>
    <t>Unser Erfolg und sogar sein Leben könnten davon abhängen , ob erherauskommt , bevor sich diese Nebelwand über den Weg geschoben hat . «</t>
  </si>
  <si>
    <t>file://conllu/de/doyle.14.conllu#s66_0</t>
  </si>
  <si>
    <t>67</t>
  </si>
  <si>
    <t>sein (sein klar)</t>
  </si>
  <si>
    <t>Über uns war die Nacht klar und schön .</t>
  </si>
  <si>
    <t>file://conllu/de/doyle.14.conllu#s67_0</t>
  </si>
  <si>
    <t>68</t>
  </si>
  <si>
    <t>strahlten</t>
  </si>
  <si>
    <t>Kalt und hell strahlten die Sterne,während der Halbmond die ganze Landschaft in ein sanftes , unstetes Lichttauchte .</t>
  </si>
  <si>
    <t>file://conllu/de/doyle.14.conllu#s68_0</t>
  </si>
  <si>
    <t>69</t>
  </si>
  <si>
    <t>Vor uns lag die dunkle Masse des Hauses , dessen gezacktes Dach undhohen Kamine sich scharf gegen den silbrig schimmernden Himmel abhoben .</t>
  </si>
  <si>
    <t>file://conllu/de/doyle.14.conllu#s69_0</t>
  </si>
  <si>
    <t>70</t>
  </si>
  <si>
    <t>ergießen</t>
  </si>
  <si>
    <t>Aus denunteren Fenstern ergossen sich breite Streifen goldenen Lichts über den Gartenund das Moor .</t>
  </si>
  <si>
    <t>file://conllu/de/doyle.14.conllu#s70_0</t>
  </si>
  <si>
    <t>71</t>
  </si>
  <si>
    <t>ein</t>
  </si>
  <si>
    <t>Plötzlich erlosch einer von ihnen .</t>
  </si>
  <si>
    <t>file://conllu/de/doyle.14.conllu#s71_0</t>
  </si>
  <si>
    <t>72</t>
  </si>
  <si>
    <t>verlassen</t>
  </si>
  <si>
    <t>Die Dienstboten hatten dieKüche verlassen .</t>
  </si>
  <si>
    <t>file://conllu/de/doyle.14.conllu#s72_0</t>
  </si>
  <si>
    <t>73</t>
  </si>
  <si>
    <t>Nun blieb nur noch die Lampe aus dem Esszimmer übrig , wo diebeiden Männer , der mörderische Gastgeber und sein ahnungsloser Gast , immer nochbei ihren Zigarren plauschten .</t>
  </si>
  <si>
    <t>file://conllu/de/doyle.14.conllu#s73_0</t>
  </si>
  <si>
    <t>74</t>
  </si>
  <si>
    <t>schieben</t>
  </si>
  <si>
    <t>Jede Minute schob sich diese weiße , wattige Fläche , die schon eine Hälfte desMoors bedeckte , näher und näher an das Haus heran .</t>
  </si>
  <si>
    <t>file://conllu/de/doyle.14.conllu#s74_0</t>
  </si>
  <si>
    <t>75</t>
  </si>
  <si>
    <t>erkennen</t>
  </si>
  <si>
    <t>Die ersten dünnen Strähnenwehten bereits durch das goldene Rechteck des beleuchteten Fensters , man konntekaum noch die jenseitige Mauer des Gartens erkennen , vor der die Bäume auseinem Wirbel weißen Dunstes herausragten .</t>
  </si>
  <si>
    <t>file://conllu/de/doyle.14.conllu#s75_0</t>
  </si>
  <si>
    <t>76</t>
  </si>
  <si>
    <t>krochen</t>
  </si>
  <si>
    <t>Während wir hinsahen , krochen schonNebelschwaden um beide Ecken des Hauses und fügten sich langsam zu einerdichten Bank zusammen , auf welcher der obere Stock und das Dach wie einseltsames Schiff auf nächtlicher See zu schweben schienen .</t>
  </si>
  <si>
    <t>file://conllu/de/doyle.14.conllu#s76_0</t>
  </si>
  <si>
    <t>77</t>
  </si>
  <si>
    <t>stampfen</t>
  </si>
  <si>
    <t>Holmes schlugleidenschaftlich mit der Hand auf den Felsen vor uns und stampfte ungeduldigmit dem Fuß auf .</t>
  </si>
  <si>
    <t>file://conllu/de/doyle.14.conllu#s77_0</t>
  </si>
  <si>
    <t>78</t>
  </si>
  <si>
    <t>» Wenn er nicht in einer Viertelstunde draußen ist , wird der Pfad vom von dem Nebelbedeckt sein .</t>
  </si>
  <si>
    <t>file://conllu/de/doyle.14.conllu#s78_0</t>
  </si>
  <si>
    <t>79</t>
  </si>
  <si>
    <t>sehen</t>
  </si>
  <si>
    <t>In einer halben Stunde werden wir unsere Hand nicht mehr vorAugen sehen können . «</t>
  </si>
  <si>
    <t>file://conllu/de/doyle.14.conllu#s79_0</t>
  </si>
  <si>
    <t>80</t>
  </si>
  <si>
    <t>zurückziehen</t>
  </si>
  <si>
    <t>» Sollen wir uns etwas zurückziehen auf höher liegendes Land ? «</t>
  </si>
  <si>
    <t>file://conllu/de/doyle.14.conllu#s80_0</t>
  </si>
  <si>
    <t>81</t>
  </si>
  <si>
    <t>» Ja , das wird meiner Ansicht nach ebenso gut sein . «</t>
  </si>
  <si>
    <t>file://conllu/de/doyle.14.conllu#s81_0</t>
  </si>
  <si>
    <t>83</t>
  </si>
  <si>
    <t>» Wir sind zu weit weg « , sagte Holmes .</t>
  </si>
  <si>
    <t>file://conllu/de/doyle.14.conllu#s83_0</t>
  </si>
  <si>
    <t>84</t>
  </si>
  <si>
    <t>eingeholen</t>
  </si>
  <si>
    <t>» Wir dürfen nicht das Risiko eingehen,dass er eingeholt wird , bevor er uns erreicht hat .</t>
  </si>
  <si>
    <t>file://conllu/de/doyle.14.conllu#s84_0</t>
  </si>
  <si>
    <t>85</t>
  </si>
  <si>
    <t>ausharren</t>
  </si>
  <si>
    <t>Unter allen Umständen müssenwir ausharren , wo wir uns befinden . «</t>
  </si>
  <si>
    <t>file://conllu/de/doyle.14.conllu#s85_0</t>
  </si>
  <si>
    <t>86</t>
  </si>
  <si>
    <t>knien</t>
  </si>
  <si>
    <t>Er kniete sich hin und legte sein Ohr aufden Boden .</t>
  </si>
  <si>
    <t>file://conllu/de/doyle.14.conllu#s86_0</t>
  </si>
  <si>
    <t>87</t>
  </si>
  <si>
    <t>Dank</t>
  </si>
  <si>
    <t>» Gott sei Dank , ich höre ihn kommen . «</t>
  </si>
  <si>
    <t>file://conllu/de/doyle.14.conllu#s87_0</t>
  </si>
  <si>
    <t>88</t>
  </si>
  <si>
    <t>durchbrechen</t>
  </si>
  <si>
    <t>Das Geräusch schneller Schritte durchbrach die Stille des Moores .</t>
  </si>
  <si>
    <t>file://conllu/de/doyle.14.conllu#s88_0</t>
  </si>
  <si>
    <t>89</t>
  </si>
  <si>
    <t>starren</t>
  </si>
  <si>
    <t>Zwischen denFelsen kauernd starrten wir angestrengt auf die Nebelwand vor uns mit ihrersilbernen Oberfläche .</t>
  </si>
  <si>
    <t>file://conllu/de/doyle.14.conllu#s89_0</t>
  </si>
  <si>
    <t>90</t>
  </si>
  <si>
    <t>Die Schritte wurden lauter , und durch den Nebel , wiedurch einen Vorhang , tauchte der Mann auf , den wir erwartet hatten .</t>
  </si>
  <si>
    <t>file://conllu/de/doyle.14.conllu#s90_0</t>
  </si>
  <si>
    <t>91</t>
  </si>
  <si>
    <t>Überraschtschauen</t>
  </si>
  <si>
    <t>Überraschtschaute er sich um , als er in die klare , sternenbeschienene Nacht hinaustrat.Dann schritt er rasch den Weg entlang , lief an unserem Versteck vorüber undstieg den langen Hang hinter uns empor , dabei drehte er sich die ganze Zeit umwie jemand , der sich nicht wohl fühlt .</t>
  </si>
  <si>
    <t>file://conllu/de/doyle.14.conllu#s91_0</t>
  </si>
  <si>
    <t>92</t>
  </si>
  <si>
    <t>dieentsichern</t>
  </si>
  <si>
    <t>» Psst ! « rief Holmes , und ich hörte das scharfe Klicken einer Pistole , dieentsichert wurde .</t>
  </si>
  <si>
    <t>file://conllu/de/doyle.14.conllu#s92_0</t>
  </si>
  <si>
    <t>93</t>
  </si>
  <si>
    <t>Vorsicht</t>
  </si>
  <si>
    <t>» Vorsicht !</t>
  </si>
  <si>
    <t>file://conllu/de/doyle.14.conllu#s93_0</t>
  </si>
  <si>
    <t>94</t>
  </si>
  <si>
    <t>Er kommt ! «</t>
  </si>
  <si>
    <t>file://conllu/de/doyle.14.conllu#s94_0</t>
  </si>
  <si>
    <t>95</t>
  </si>
  <si>
    <t>Von irgendwoher aus dem Innersten dieser wallenden Nebelbank kam ein dünnes, kratzendes , regelmäßiges Getrappel .</t>
  </si>
  <si>
    <t>file://conllu/de/doyle.14.conllu#s95_0</t>
  </si>
  <si>
    <t>96</t>
  </si>
  <si>
    <t>hängen</t>
  </si>
  <si>
    <t>Die Wolke hing etwa fünfzig Meter vor uns, und wir starrten sie alle drei an in der unsicheren Erwartung , was für einSchrecken wohl aus ihr hervorbrechen würde .</t>
  </si>
  <si>
    <t>file://conllu/de/doyle.14.conllu#s96_0</t>
  </si>
  <si>
    <t>97</t>
  </si>
  <si>
    <t>Ich lag dicht neben Holmes undschaute ihm einen Moment lang ins in das Gesicht .</t>
  </si>
  <si>
    <t>file://conllu/de/doyle.14.conllu#s97_0</t>
  </si>
  <si>
    <t>98</t>
  </si>
  <si>
    <t>sein (sein bleich)</t>
  </si>
  <si>
    <t>Es war bleich und triumphierend,seine Augen leuchteten im in dem Mondlicht .</t>
  </si>
  <si>
    <t>file://conllu/de/doyle.14.conllu#s98_0</t>
  </si>
  <si>
    <t>99</t>
  </si>
  <si>
    <t>erstarrt</t>
  </si>
  <si>
    <t>Doch plötzlich erstarrte sein Blick undseine Lippen öffneten sich verwundert .</t>
  </si>
  <si>
    <t>file://conllu/de/doyle.14.conllu#s99_0</t>
  </si>
  <si>
    <t>101</t>
  </si>
  <si>
    <t>sein (sein Hund)</t>
  </si>
  <si>
    <t>Es war ein Hund , ein riesiger , pechschwarzer Hund,doch kein Hund , wie ihn sterbliche Augen jemals gesehen haben .</t>
  </si>
  <si>
    <t>file://conllu/de/doyle.14.conllu#s101_0</t>
  </si>
  <si>
    <t>102</t>
  </si>
  <si>
    <t>schießen</t>
  </si>
  <si>
    <t>Feuer schoss ausseinem offenen Rachen , aus den Augen glühte schwelende Glut , Lefzen und Nackenwaren von hellen Flammen umlodert .</t>
  </si>
  <si>
    <t>file://conllu/de/doyle.14.conllu#s102_0</t>
  </si>
  <si>
    <t>103</t>
  </si>
  <si>
    <t>erzeugen</t>
  </si>
  <si>
    <t>Kein wahnsinniger Traum eines irren Hirnskonnte ein wilderes , entsetzlicheres , höllischeres Ungeheuer erzeugen als diesenachtschwarze Schöpfung mit teuflischer Fratze , die uns aus der Nebelwandentgegenstürzte .</t>
  </si>
  <si>
    <t>file://conllu/de/doyle.14.conllu#s103_0</t>
  </si>
  <si>
    <t>104</t>
  </si>
  <si>
    <t>Mit langen Sätzen schoss das enorme schwarze Ungeheuer den Weg entlang , unseremFreund dicht auf den Fersen .</t>
  </si>
  <si>
    <t>file://conllu/de/doyle.14.conllu#s104_0</t>
  </si>
  <si>
    <t>105</t>
  </si>
  <si>
    <t>sein (sein vorüber)</t>
  </si>
  <si>
    <t>Wir waren dermaßen gelähmt durch die Erscheinung,dass er an uns vorüber war , bevor wir uns wieder gefasst hatten .</t>
  </si>
  <si>
    <t>file://conllu/de/doyle.14.conllu#s105_0</t>
  </si>
  <si>
    <t>106</t>
  </si>
  <si>
    <t>feuertenHolmes</t>
  </si>
  <si>
    <t>Dann feuertenHolmes und ich gleichzeitig , und ein schreckliches Heulen der Kreatur bewiesuns , dass wenigstens einer getroffen hatte .</t>
  </si>
  <si>
    <t>file://conllu/de/doyle.14.conllu#s106_0</t>
  </si>
  <si>
    <t>107</t>
  </si>
  <si>
    <t>Doch blieb sie nicht stehen,sondern hetzte weiter .</t>
  </si>
  <si>
    <t>file://conllu/de/doyle.14.conllu#s107_0</t>
  </si>
  <si>
    <t>108</t>
  </si>
  <si>
    <t>sichumdrehen</t>
  </si>
  <si>
    <t>Weiter vorn auf dem Weg sahen wir , wie Sir Henry sichumdrehte , das Gesicht im in dem Mondlicht kreidebleich , seine Hände voller Entsetzenin die Höhe gestreckt , starrte er hilflos auf das entsetzliche Untier , das aufihn zuschoss .</t>
  </si>
  <si>
    <t>file://conllu/de/doyle.14.conllu#s108_0</t>
  </si>
  <si>
    <t>109</t>
  </si>
  <si>
    <t>vertreiben</t>
  </si>
  <si>
    <t>Doch der Schmerzensschrei des Hundes hatte all unsere Ängste vertrieben .</t>
  </si>
  <si>
    <t>file://conllu/de/doyle.14.conllu#s109_0</t>
  </si>
  <si>
    <t>110</t>
  </si>
  <si>
    <t>sein (sein verwundbar)</t>
  </si>
  <si>
    <t>Wenner verwundbar war , so war er sterblich , und wenn wir ihn verwunden konnten , sokonnten wir ihn auch töten .</t>
  </si>
  <si>
    <t>file://conllu/de/doyle.14.conllu#s110_0</t>
  </si>
  <si>
    <t>111</t>
  </si>
  <si>
    <t>Niemals habe ich jemanden so rennen sehen , wieHolmes in jener Nacht gerannt ist .</t>
  </si>
  <si>
    <t>file://conllu/de/doyle.14.conllu#s111_0</t>
  </si>
  <si>
    <t>112</t>
  </si>
  <si>
    <t>Ich bin sicherlich gut zu Fuß , aber erhängte mich ebenso sehr ab , wie ich den kleinen Lestrade abhängte .</t>
  </si>
  <si>
    <t>file://conllu/de/doyle.14.conllu#s112_0</t>
  </si>
  <si>
    <t>113</t>
  </si>
  <si>
    <t>Während wirden Weg entlangstürzten , hörten wir vor uns Schrei auf Schrei von Sir Henry unddas tiefe Knurren des Hundes .</t>
  </si>
  <si>
    <t>file://conllu/de/doyle.14.conllu#s113_0</t>
  </si>
  <si>
    <t>114</t>
  </si>
  <si>
    <t>erreichen</t>
  </si>
  <si>
    <t>Ich erreichte sie gerade , als die Bestie ihrOpfer ansprang , es zu Boden warf und nach seiner Kehle schnappte .</t>
  </si>
  <si>
    <t>file://conllu/de/doyle.14.conllu#s114_0</t>
  </si>
  <si>
    <t>115</t>
  </si>
  <si>
    <t>jagen</t>
  </si>
  <si>
    <t>Doch imnächsten Augenblick hatte Holmes schon fünf Kugeln seines Revolvers in dieFlanke des Untiers gejagt .</t>
  </si>
  <si>
    <t>file://conllu/de/doyle.14.conllu#s115_0</t>
  </si>
  <si>
    <t>116</t>
  </si>
  <si>
    <t>schlagen</t>
  </si>
  <si>
    <t>Mit einem letzten Aufheulen , im in dem Todeskampf bösartigum sich beißend , rollte der Hund auf den Rücken , schlug mit allen Vieren umsich und fiel dann reglos auf die Flanke .</t>
  </si>
  <si>
    <t>file://conllu/de/doyle.14.conllu#s116_0</t>
  </si>
  <si>
    <t>117</t>
  </si>
  <si>
    <t>beugen</t>
  </si>
  <si>
    <t>Keuchend beugte ich mich zu ihmhinunter und drückte die Pistole gegen seinen furchtbaren , glühenden Schädel,doch war es sinnlos abzudrücken .</t>
  </si>
  <si>
    <t>file://conllu/de/doyle.14.conllu#s117_0</t>
  </si>
  <si>
    <t>118</t>
  </si>
  <si>
    <t>sein (sein tot)</t>
  </si>
  <si>
    <t>Der riesige Hund war tot .</t>
  </si>
  <si>
    <t>file://conllu/de/doyle.14.conllu#s118_0</t>
  </si>
  <si>
    <t>119</t>
  </si>
  <si>
    <t>Sir Henry lag bewusstlos an der Stelle , wo er gestürzt war .</t>
  </si>
  <si>
    <t>file://conllu/de/doyle.14.conllu#s119_0</t>
  </si>
  <si>
    <t>120</t>
  </si>
  <si>
    <t>rissen</t>
  </si>
  <si>
    <t>Wir rissen seinenKragen auf , und Holmes entfuhr ein Stoßgebet der Dankbarkeit , als er sah , dasskein Anzeichen einer Verletzung zu erkennen und die Hilfe rechtzeitig gekommenwar .</t>
  </si>
  <si>
    <t>file://conllu/de/doyle.14.conllu#s120_0</t>
  </si>
  <si>
    <t>121</t>
  </si>
  <si>
    <t>vibrieren</t>
  </si>
  <si>
    <t>Schon vibrierten die Augenlider unseres Freundes und er machte einenschwachen Versuch aufzustehen .</t>
  </si>
  <si>
    <t>file://conllu/de/doyle.14.conllu#s121_0</t>
  </si>
  <si>
    <t>122</t>
  </si>
  <si>
    <t>Lestrade schob seine Brandyflasche zwischen dieLippen des Baronets , der uns mit vor Entsetzen geweiteten Augen anstarrte .</t>
  </si>
  <si>
    <t>file://conllu/de/doyle.14.conllu#s122_0</t>
  </si>
  <si>
    <t>123</t>
  </si>
  <si>
    <t>flüsteren</t>
  </si>
  <si>
    <t>» Mein Gott « , flüsterte er , » Was war das ?</t>
  </si>
  <si>
    <t>file://conllu/de/doyle.14.conllu#s123_0</t>
  </si>
  <si>
    <t>124</t>
  </si>
  <si>
    <t>sein (sein der)</t>
  </si>
  <si>
    <t>Was um alles in der Welt war das ? «</t>
  </si>
  <si>
    <t>file://conllu/de/doyle.14.conllu#s124_0</t>
  </si>
  <si>
    <t>125</t>
  </si>
  <si>
    <t>» Was immer es war , jetzt ist es tot « , sagte Holmes .</t>
  </si>
  <si>
    <t>file://conllu/de/doyle.14.conllu#s125_0</t>
  </si>
  <si>
    <t>126</t>
  </si>
  <si>
    <t>bringen</t>
  </si>
  <si>
    <t>» Wir haben dasFamiliengespenst ein für allemal zur zu der Strecke gebracht . «</t>
  </si>
  <si>
    <t>file://conllu/de/doyle.14.conllu#s126_0</t>
  </si>
  <si>
    <t>127</t>
  </si>
  <si>
    <t>sein (sein Geschöpf)</t>
  </si>
  <si>
    <t>Von seiner bloßen Größe und Stärke her war es ein schreckliches Geschöpf , dasvor uns ausgestreckt lag .</t>
  </si>
  <si>
    <t>file://conllu/de/doyle.14.conllu#s127_0</t>
  </si>
  <si>
    <t>128</t>
  </si>
  <si>
    <t>sein (sein Bluthund)</t>
  </si>
  <si>
    <t>Es war kein reinrassiger Bluthund und keinereinrassige Dogge , sondern schien eine Mischung beider zu sein – hager , wildund so groß wie eine kleine Löwin .</t>
  </si>
  <si>
    <t>file://conllu/de/doyle.14.conllu#s128_0</t>
  </si>
  <si>
    <t>129</t>
  </si>
  <si>
    <t>jetzen</t>
  </si>
  <si>
    <t>Selbst jetzt , da es in der Reglosigkeit desTodes vor uns lag , schien eine bläuliche Flamme von seinen Lefzen zu tropfenund die kleinen , tief liegenden , grausamen Augen waren von Feuer umgeben .</t>
  </si>
  <si>
    <t>file://conllu/de/doyle.14.conllu#s129_0</t>
  </si>
  <si>
    <t>130</t>
  </si>
  <si>
    <t>Ichlegen</t>
  </si>
  <si>
    <t>Ichlegte meine Hand auf das glimmende Maul , und als ich sie in die Höhe hob,glühten und leuchteten meine eigenen Finger in der Dunkelheit .</t>
  </si>
  <si>
    <t>file://conllu/de/doyle.14.conllu#s130_0</t>
  </si>
  <si>
    <t>131</t>
  </si>
  <si>
    <t>» Phosphor « , sagte ich .</t>
  </si>
  <si>
    <t>file://conllu/de/doyle.14.conllu#s131_0</t>
  </si>
  <si>
    <t>132</t>
  </si>
  <si>
    <t>» Und schlau zubereitet « , sagte Holmes , der das tote Tier beschnüffelte .</t>
  </si>
  <si>
    <t>file://conllu/de/doyle.14.conllu#s132_0</t>
  </si>
  <si>
    <t>133</t>
  </si>
  <si>
    <t>Geruch</t>
  </si>
  <si>
    <t>» Es hatkeinen Geruch , der sein Witterungsvermögen irritieren könnte .</t>
  </si>
  <si>
    <t>file://conllu/de/doyle.14.conllu#s133_0</t>
  </si>
  <si>
    <t>134</t>
  </si>
  <si>
    <t>entschuldigen</t>
  </si>
  <si>
    <t>Wir müssen unszutiefst bei Ihnen entschuldigen , Sir Henry , dass wir Sie diesem Schreckenausgesetzt haben .</t>
  </si>
  <si>
    <t>file://conllu/de/doyle.14.conllu#s134_0</t>
  </si>
  <si>
    <t>135</t>
  </si>
  <si>
    <t>Auf einen Hund war ich vorbereitet , doch nicht auf ein Untierwie dieses .</t>
  </si>
  <si>
    <t>file://conllu/de/doyle.14.conllu#s135_0</t>
  </si>
  <si>
    <t>136</t>
  </si>
  <si>
    <t>Und wegen des Nebels hatten wir kaum Zeit , ihm entgegenzutreten . «</t>
  </si>
  <si>
    <t>file://conllu/de/doyle.14.conllu#s136_0</t>
  </si>
  <si>
    <t>137</t>
  </si>
  <si>
    <t>retten</t>
  </si>
  <si>
    <t>» Sie haben mein Leben gerettet . «</t>
  </si>
  <si>
    <t>file://conllu/de/doyle.14.conllu#s137_0</t>
  </si>
  <si>
    <t>138</t>
  </si>
  <si>
    <t>» Nachdem wir es erst in Gefahr gebracht haben .</t>
  </si>
  <si>
    <t>file://conllu/de/doyle.14.conllu#s138_0</t>
  </si>
  <si>
    <t>139</t>
  </si>
  <si>
    <t>genugaufzustehen</t>
  </si>
  <si>
    <t>Sind Sie kräftig genugaufzustehen ? «</t>
  </si>
  <si>
    <t>file://conllu/de/doyle.14.conllu#s139_0</t>
  </si>
  <si>
    <t>140</t>
  </si>
  <si>
    <t>geben</t>
  </si>
  <si>
    <t>» Geben Sie mir noch einen Schluck von diesem Brandy , dann werde ich zu allembereit sein .</t>
  </si>
  <si>
    <t>file://conllu/de/doyle.14.conllu#s140_0</t>
  </si>
  <si>
    <t>141</t>
  </si>
  <si>
    <t>aufhelfen</t>
  </si>
  <si>
    <t>So , wenn Sie mir jetzt aufhelfen würden .</t>
  </si>
  <si>
    <t>file://conllu/de/doyle.14.conllu#s141_0</t>
  </si>
  <si>
    <t>142</t>
  </si>
  <si>
    <t>denken</t>
  </si>
  <si>
    <t>Was gedenken Sie nun zuunternehmen ? «</t>
  </si>
  <si>
    <t>file://conllu/de/doyle.14.conllu#s142_0</t>
  </si>
  <si>
    <t>143</t>
  </si>
  <si>
    <t>hierzulassen</t>
  </si>
  <si>
    <t>» Sie hierzulassen .</t>
  </si>
  <si>
    <t>file://conllu/de/doyle.14.conllu#s143_0</t>
  </si>
  <si>
    <t>144</t>
  </si>
  <si>
    <t>Sie sind nicht in der Verfassung für weitere Abenteuer indieser Nacht .</t>
  </si>
  <si>
    <t>file://conllu/de/doyle.14.conllu#s144_0</t>
  </si>
  <si>
    <t>145</t>
  </si>
  <si>
    <t>begleiten</t>
  </si>
  <si>
    <t>Wenn Sie warten wollen , kann einer von uns Sie nach BaskervilleHall begleiten . «</t>
  </si>
  <si>
    <t>file://conllu/de/doyle.14.conllu#s145_0</t>
  </si>
  <si>
    <t>146</t>
  </si>
  <si>
    <t>versuchen</t>
  </si>
  <si>
    <t>Er versuchte sich aufzurichten , doch war er immer noch kreidebleich undzitterte an allen Gliedern .</t>
  </si>
  <si>
    <t>file://conllu/de/doyle.14.conllu#s146_0</t>
  </si>
  <si>
    <t>147</t>
  </si>
  <si>
    <t>helfen</t>
  </si>
  <si>
    <t>Wir halfen ihm zu einem Felsblock , wo er sichzitternd hinsetzte und sein Gesicht in den Händen vergrub .</t>
  </si>
  <si>
    <t>file://conllu/de/doyle.14.conllu#s147_0</t>
  </si>
  <si>
    <t>148</t>
  </si>
  <si>
    <t>» Wir müssen Sie jetzt hierlassen « , sagte Holmes .</t>
  </si>
  <si>
    <t>file://conllu/de/doyle.14.conllu#s148_0</t>
  </si>
  <si>
    <t>149</t>
  </si>
  <si>
    <t>musstun</t>
  </si>
  <si>
    <t>» Der Rest unserer Arbeit mussgetan werden und jeder Augenblick ist kostbar .</t>
  </si>
  <si>
    <t>file://conllu/de/doyle.14.conllu#s149_0</t>
  </si>
  <si>
    <t>150</t>
  </si>
  <si>
    <t>brauchen</t>
  </si>
  <si>
    <t>Wir haben nunmehr unseren Fall, jetzt brauchen wir nur noch den Täter . «</t>
  </si>
  <si>
    <t>file://conllu/de/doyle.14.conllu#s150_0</t>
  </si>
  <si>
    <t>151</t>
  </si>
  <si>
    <t>tausend</t>
  </si>
  <si>
    <t>» Ich wette tausend zu eins , dass wir ihn nicht zu Hause finden werden « , fuhr erfort , als wir rasch unsere Schritte den Weg zurück lenkten .</t>
  </si>
  <si>
    <t>file://conllu/de/doyle.14.conllu#s151_0</t>
  </si>
  <si>
    <t>152</t>
  </si>
  <si>
    <t>verraten</t>
  </si>
  <si>
    <t>» Die Schüssedürften ihm verraten haben , dass sein Spiel aus ist . «</t>
  </si>
  <si>
    <t>file://conllu/de/doyle.14.conllu#s152_0</t>
  </si>
  <si>
    <t>153</t>
  </si>
  <si>
    <t>sein (sein entfernt)</t>
  </si>
  <si>
    <t>» Wir waren ein ganzes Stück entfernt und der Nebel könnte sie gedämpft haben . «</t>
  </si>
  <si>
    <t>file://conllu/de/doyle.14.conllu#s153_0</t>
  </si>
  <si>
    <t>154</t>
  </si>
  <si>
    <t>folgen</t>
  </si>
  <si>
    <t>» Er folgte dem Hund , um ihn zurückrufen zu können , da können Sie sicher sein.Nein , nein , er ist inzwischen fort !</t>
  </si>
  <si>
    <t>file://conllu/de/doyle.14.conllu#s154_0</t>
  </si>
  <si>
    <t>155</t>
  </si>
  <si>
    <t>umsicherzugehen</t>
  </si>
  <si>
    <t>Doch wir werden das Haus durchsuchen , umsicherzugehen . «</t>
  </si>
  <si>
    <t>file://conllu/de/doyle.14.conllu#s155_0</t>
  </si>
  <si>
    <t>156</t>
  </si>
  <si>
    <t>Die Haustür stand offen , also stürzten wir hinein und eilten von Zimmer zuZimmer zur zu der Verwunderung eines schlotternden alten Dieners , der uns im in dem Flurentgegen kam .</t>
  </si>
  <si>
    <t>file://conllu/de/doyle.14.conllu#s156_0</t>
  </si>
  <si>
    <t>157</t>
  </si>
  <si>
    <t>brennen</t>
  </si>
  <si>
    <t>Abgesehen vom von dem Esszimmer brannte nirgends Licht , doch Holmes hattesich eine Lampe geschnappt und ließ keinen Winkel des Hauses unerforscht .</t>
  </si>
  <si>
    <t>file://conllu/de/doyle.14.conllu#s157_0</t>
  </si>
  <si>
    <t>158</t>
  </si>
  <si>
    <t>finden</t>
  </si>
  <si>
    <t>Nichtdas geringste Anzeichen des Mannes , den wir suchten , war zu finden .</t>
  </si>
  <si>
    <t>file://conllu/de/doyle.14.conllu#s158_0</t>
  </si>
  <si>
    <t>160</t>
  </si>
  <si>
    <t>rufen</t>
  </si>
  <si>
    <t>» Da ist jemand drinnen « , rief Lestrade .</t>
  </si>
  <si>
    <t>file://conllu/de/doyle.14.conllu#s160_0</t>
  </si>
  <si>
    <t>161</t>
  </si>
  <si>
    <t>» Ich kann ein Geräusch hören .</t>
  </si>
  <si>
    <t>file://conllu/de/doyle.14.conllu#s161_0</t>
  </si>
  <si>
    <t>162</t>
  </si>
  <si>
    <t>Tür</t>
  </si>
  <si>
    <t>ÖffnenSie die Tür ! «</t>
  </si>
  <si>
    <t>file://conllu/de/doyle.14.conllu#s162_0</t>
  </si>
  <si>
    <t>163</t>
  </si>
  <si>
    <t>Ein unterdrücktes Stöhnen und Röcheln war zu hören .</t>
  </si>
  <si>
    <t>file://conllu/de/doyle.14.conllu#s163_0</t>
  </si>
  <si>
    <t>164</t>
  </si>
  <si>
    <t>treten</t>
  </si>
  <si>
    <t>Holmes trat mit der flachenSeite seines Fußes direkt oberhalb des Schlosses gegen die Tür und sie flogauf .</t>
  </si>
  <si>
    <t>file://conllu/de/doyle.14.conllu#s164_0</t>
  </si>
  <si>
    <t>165</t>
  </si>
  <si>
    <t>stürmen</t>
  </si>
  <si>
    <t>Mit den Pistolen in der Hand stürmten wir in das Zimmer .</t>
  </si>
  <si>
    <t>file://conllu/de/doyle.14.conllu#s165_0</t>
  </si>
  <si>
    <t>166</t>
  </si>
  <si>
    <t>Doch von dem verzweifelten und trotzigen Schurken , den wir zu finden erwartethatten , war keine Spur zu sehen .</t>
  </si>
  <si>
    <t>file://conllu/de/doyle.14.conllu#s166_0</t>
  </si>
  <si>
    <t>167</t>
  </si>
  <si>
    <t>Statt dessen bot sich uns ein so seltsamer undunerwarteter Anblick , dass wir einen Moment starr vor Erstaunen stehen blieben .</t>
  </si>
  <si>
    <t>file://conllu/de/doyle.14.conllu#s167_0</t>
  </si>
  <si>
    <t>168</t>
  </si>
  <si>
    <t>umgestalten</t>
  </si>
  <si>
    <t>Das Zimmer war zu einem kleinen Museum umgestaltet worden und an den Wändenstanden Reihen von Kästen mit Glasdeckeln , in welchen sich die Sammlung vonSchmetterlingen und Faltern befand , die das Hobby dieses komplizierten undgefährlichen Mannes waren .</t>
  </si>
  <si>
    <t>file://conllu/de/doyle.14.conllu#s168_0</t>
  </si>
  <si>
    <t>169</t>
  </si>
  <si>
    <t>In der Mitte des Raums stand ein Pfeiler , der dortnachträglich eingebaut worden war , um die alte , wurmzerfressene Holzdecke zustützen .</t>
  </si>
  <si>
    <t>file://conllu/de/doyle.14.conllu#s169_0</t>
  </si>
  <si>
    <t>170</t>
  </si>
  <si>
    <t>sein (sein anbinden)</t>
  </si>
  <si>
    <t>An diesen Pfeiler war eine Gestalt angebunden , die so sehr inStofftücher eingehüllt war , dass wir zunächst nicht sagen konnten , ob es sichum eine Frau oder einen Mann handelte .</t>
  </si>
  <si>
    <t>file://conllu/de/doyle.14.conllu#s170_0</t>
  </si>
  <si>
    <t>171</t>
  </si>
  <si>
    <t>sein (sein befestigen)</t>
  </si>
  <si>
    <t>Ein Handtuch war um ihren Halsgeschlungen und an der Rückseite des Pfostens befestigt , ein anderes bedecktedie untere Hälfte des Gesichts , über welcher uns zwei dunkle Augen vollerKummer , Scham und mit einem fragendem Ausdruck anstarrten .</t>
  </si>
  <si>
    <t>file://conllu/de/doyle.14.conllu#s171_0</t>
  </si>
  <si>
    <t>173</t>
  </si>
  <si>
    <t>fallen</t>
  </si>
  <si>
    <t>Als ihr schöner Kopf auf ihre Brust fiel , sahich den deutlichen roten Striemen eines Peitschenhiebes auf ihrem Nacken .</t>
  </si>
  <si>
    <t>file://conllu/de/doyle.14.conllu#s173_0</t>
  </si>
  <si>
    <t>174</t>
  </si>
  <si>
    <t>Schuft</t>
  </si>
  <si>
    <t>» Der Schuft ! «</t>
  </si>
  <si>
    <t>file://conllu/de/doyle.14.conllu#s174_0</t>
  </si>
  <si>
    <t>175</t>
  </si>
  <si>
    <t>rief Holmes .</t>
  </si>
  <si>
    <t>file://conllu/de/doyle.14.conllu#s175_0</t>
  </si>
  <si>
    <t>176</t>
  </si>
  <si>
    <t>Brandyflasche</t>
  </si>
  <si>
    <t>» Hier , Lestrade , Ihre Brandyflasche !</t>
  </si>
  <si>
    <t>file://conllu/de/doyle.14.conllu#s176_0</t>
  </si>
  <si>
    <t>177</t>
  </si>
  <si>
    <t>setzen</t>
  </si>
  <si>
    <t>Setzen Sie sieauf den Stuhl .</t>
  </si>
  <si>
    <t>file://conllu/de/doyle.14.conllu#s177_0</t>
  </si>
  <si>
    <t>178</t>
  </si>
  <si>
    <t>sein (sein ohnmächtiggeworden)</t>
  </si>
  <si>
    <t>Sie ist von den Misshandlungen und vor Erschöpfung ohnmächtiggeworden . «</t>
  </si>
  <si>
    <t>file://conllu/de/doyle.14.conllu#s178_0</t>
  </si>
  <si>
    <t>179</t>
  </si>
  <si>
    <t>öffnen</t>
  </si>
  <si>
    <t>Sie öffnete ihr Augen .</t>
  </si>
  <si>
    <t>file://conllu/de/doyle.14.conllu#s179_0</t>
  </si>
  <si>
    <t>180</t>
  </si>
  <si>
    <t>» Ist er in Sicherheit ? «</t>
  </si>
  <si>
    <t>file://conllu/de/doyle.14.conllu#s180_0</t>
  </si>
  <si>
    <t>181</t>
  </si>
  <si>
    <t>fragt</t>
  </si>
  <si>
    <t>fragte sie .</t>
  </si>
  <si>
    <t>file://conllu/de/doyle.14.conllu#s181_0</t>
  </si>
  <si>
    <t>182</t>
  </si>
  <si>
    <t>entkommen</t>
  </si>
  <si>
    <t>» Ist er entkommen ? «</t>
  </si>
  <si>
    <t>file://conllu/de/doyle.14.conllu#s182_0</t>
  </si>
  <si>
    <t>183</t>
  </si>
  <si>
    <t>» Er kann uns nicht entkommen , Madam . «</t>
  </si>
  <si>
    <t>file://conllu/de/doyle.14.conllu#s183_0</t>
  </si>
  <si>
    <t>184</t>
  </si>
  <si>
    <t>Ich meine?</t>
  </si>
  <si>
    <t>nein</t>
  </si>
  <si>
    <t>» Nein , nein , ich meine nicht meinen Ehemann .</t>
  </si>
  <si>
    <t>file://conllu/de/doyle.14.conllu#s184_0</t>
  </si>
  <si>
    <t>185</t>
  </si>
  <si>
    <t>Sir</t>
  </si>
  <si>
    <t>Sir Henry ?</t>
  </si>
  <si>
    <t>file://conllu/de/doyle.14.conllu#s185_0</t>
  </si>
  <si>
    <t>186</t>
  </si>
  <si>
    <t>Ist er in Sicherheit ? «</t>
  </si>
  <si>
    <t>file://conllu/de/doyle.14.conllu#s186_0</t>
  </si>
  <si>
    <t>187</t>
  </si>
  <si>
    <t>»Ja</t>
  </si>
  <si>
    <t>»Ja . «</t>
  </si>
  <si>
    <t>file://conllu/de/doyle.14.conllu#s187_0</t>
  </si>
  <si>
    <t>188</t>
  </si>
  <si>
    <t>Hund</t>
  </si>
  <si>
    <t>» Und der Hund ? «</t>
  </si>
  <si>
    <t>file://conllu/de/doyle.14.conllu#s188_0</t>
  </si>
  <si>
    <t>189</t>
  </si>
  <si>
    <t>» Der Hund ist tot . «</t>
  </si>
  <si>
    <t>file://conllu/de/doyle.14.conllu#s189_0</t>
  </si>
  <si>
    <t>190</t>
  </si>
  <si>
    <t>stoßen</t>
  </si>
  <si>
    <t>Sie stieß einen tiefen Seufzer der Erleichterung aus .</t>
  </si>
  <si>
    <t>file://conllu/de/doyle.14.conllu#s190_0</t>
  </si>
  <si>
    <t>191</t>
  </si>
  <si>
    <t>sein (sein Dank)</t>
  </si>
  <si>
    <t>» Gott sei Dank !</t>
  </si>
  <si>
    <t>file://conllu/de/doyle.14.conllu#s191_0</t>
  </si>
  <si>
    <t>192</t>
  </si>
  <si>
    <t>Gott sei Dank !</t>
  </si>
  <si>
    <t>file://conllu/de/doyle.14.conllu#s192_0</t>
  </si>
  <si>
    <t>193</t>
  </si>
  <si>
    <t>Dieser Schuft !</t>
  </si>
  <si>
    <t>file://conllu/de/doyle.14.conllu#s193_0</t>
  </si>
  <si>
    <t>194</t>
  </si>
  <si>
    <t>Sehen Sie , wie er mich behandelthat ! «</t>
  </si>
  <si>
    <t>file://conllu/de/doyle.14.conllu#s194_0</t>
  </si>
  <si>
    <t>195</t>
  </si>
  <si>
    <t>Sie schob ihre Ärmel hoch und wir sahen mit Entsetzen , dass ihre Armeüber und über mit Striemen bedeckt waren .</t>
  </si>
  <si>
    <t>file://conllu/de/doyle.14.conllu#s195_0</t>
  </si>
  <si>
    <t>196</t>
  </si>
  <si>
    <t>sein (sein nichts)</t>
  </si>
  <si>
    <t>» Aber das war gar nichts !</t>
  </si>
  <si>
    <t>file://conllu/de/doyle.14.conllu#s196_0</t>
  </si>
  <si>
    <t>197</t>
  </si>
  <si>
    <t>sindmein</t>
  </si>
  <si>
    <t>Es sindmein Herz und meine Seele , die er gequält und geschändet hat .</t>
  </si>
  <si>
    <t>file://conllu/de/doyle.14.conllu#s197_0</t>
  </si>
  <si>
    <t>198</t>
  </si>
  <si>
    <t>Solange ichHoffnung hatte , dass er mich liebte , konnte ich alles ertragen , Misshandlungen , Einsamkeit , ein Leben voller Enttäuschung , aber jetzt ist mir klar geworden,dass er mich als Werkzeug benutzt hat . «</t>
  </si>
  <si>
    <t>file://conllu/de/doyle.14.conllu#s198_0</t>
  </si>
  <si>
    <t>199</t>
  </si>
  <si>
    <t>brechen</t>
  </si>
  <si>
    <t>Während sie sprach , brach Sie infürchterliches Schluchzen aus .</t>
  </si>
  <si>
    <t>file://conllu/de/doyle.14.conllu#s199_0</t>
  </si>
  <si>
    <t>200</t>
  </si>
  <si>
    <t>» So schulden Sie ihm nichts « , sagte Holmes .</t>
  </si>
  <si>
    <t>file://conllu/de/doyle.14.conllu#s200_0</t>
  </si>
  <si>
    <t>201</t>
  </si>
  <si>
    <t>dann</t>
  </si>
  <si>
    <t>» Sagen Sie uns dann , wo wir ihnfinden können .</t>
  </si>
  <si>
    <t>file://conllu/de/doyle.14.conllu#s201_0</t>
  </si>
  <si>
    <t>202</t>
  </si>
  <si>
    <t>Dadurch?</t>
  </si>
  <si>
    <t>Haben Sie ihm je bei seinen Untaten geholfen , so helfen Siejetzt uns und büßen Sie dadurch . «</t>
  </si>
  <si>
    <t>file://conllu/de/doyle.14.conllu#s202_0</t>
  </si>
  <si>
    <t>203</t>
  </si>
  <si>
    <t>antworten</t>
  </si>
  <si>
    <t>» Es gibt nur einen Ort , an den er geflüchtet sein kann « , antwortete sie .</t>
  </si>
  <si>
    <t>file://conllu/de/doyle.14.conllu#s203_0</t>
  </si>
  <si>
    <t>204</t>
  </si>
  <si>
    <t>esgibt</t>
  </si>
  <si>
    <t>» Esgibt eine alte Zinnmine auf einer Insel inmitten des Moors .</t>
  </si>
  <si>
    <t>file://conllu/de/doyle.14.conllu#s204_0</t>
  </si>
  <si>
    <t>205</t>
  </si>
  <si>
    <t>versteckt</t>
  </si>
  <si>
    <t>Dort hat er seinenHund versteckt und auch eine Zuflucht vorbereitet .</t>
  </si>
  <si>
    <t>file://conllu/de/doyle.14.conllu#s205_0</t>
  </si>
  <si>
    <t>206</t>
  </si>
  <si>
    <t>sein (sein dorthingeflohen)</t>
  </si>
  <si>
    <t>Bestimmt ist er dorthingeflohen . «</t>
  </si>
  <si>
    <t>file://conllu/de/doyle.14.conllu#s206_0</t>
  </si>
  <si>
    <t>207</t>
  </si>
  <si>
    <t>Die Nebelbank lag wie weiße Wolle vor dem Fenster .</t>
  </si>
  <si>
    <t>file://conllu/de/doyle.14.conllu#s207_0</t>
  </si>
  <si>
    <t>208</t>
  </si>
  <si>
    <t>bescheinen</t>
  </si>
  <si>
    <t>Holmes beschien sie mit derLampe .</t>
  </si>
  <si>
    <t>file://conllu/de/doyle.14.conllu#s208_0</t>
  </si>
  <si>
    <t>209</t>
  </si>
  <si>
    <t>sehen (sehen sagen)</t>
  </si>
  <si>
    <t>» Sehen Sie « , sagte er .</t>
  </si>
  <si>
    <t>file://conllu/de/doyle.14.conllu#s209_0</t>
  </si>
  <si>
    <t>210</t>
  </si>
  <si>
    <t>» Niemand kann in dieser Nacht den richtigen Weg durchdas Grimpener Moor finden . «</t>
  </si>
  <si>
    <t>file://conllu/de/doyle.14.conllu#s210_0</t>
  </si>
  <si>
    <t>211</t>
  </si>
  <si>
    <t>lachen</t>
  </si>
  <si>
    <t>Sie lachte und schlug die Hände zusammen .</t>
  </si>
  <si>
    <t>file://conllu/de/doyle.14.conllu#s211_0</t>
  </si>
  <si>
    <t>212</t>
  </si>
  <si>
    <t>Freude</t>
  </si>
  <si>
    <t>Ihre Augen und Zähne blitzten vorgrimmiger Freude .</t>
  </si>
  <si>
    <t>file://conllu/de/doyle.14.conllu#s212_0</t>
  </si>
  <si>
    <t>213</t>
  </si>
  <si>
    <t>rufen (rufen finden)</t>
  </si>
  <si>
    <t>» Er mag den Weg hinein finden , aber niemals wieder heraus « , rief sie .</t>
  </si>
  <si>
    <t>file://conllu/de/doyle.14.conllu#s213_0</t>
  </si>
  <si>
    <t>214</t>
  </si>
  <si>
    <t>» Wie kanner heute Nacht die Stecken finden , die ihn führen ?</t>
  </si>
  <si>
    <t>file://conllu/de/doyle.14.conllu#s214_0</t>
  </si>
  <si>
    <t>215</t>
  </si>
  <si>
    <t>zusammengepflanzen</t>
  </si>
  <si>
    <t>Wir haben sie zusammengepflanzt , er und ich , um den Weg durch das Moor zu markieren .</t>
  </si>
  <si>
    <t>file://conllu/de/doyle.14.conllu#s215_0</t>
  </si>
  <si>
    <t>216</t>
  </si>
  <si>
    <t>herausgerissen</t>
  </si>
  <si>
    <t>Oh , hätte ichsie nur heute herausgerissen !</t>
  </si>
  <si>
    <t>file://conllu/de/doyle.14.conllu#s216_0</t>
  </si>
  <si>
    <t>217</t>
  </si>
  <si>
    <t>ausliefern</t>
  </si>
  <si>
    <t>Dann wäre er Ihnen wirklich ausgeliefert ! «</t>
  </si>
  <si>
    <t>file://conllu/de/doyle.14.conllu#s217_0</t>
  </si>
  <si>
    <t>218</t>
  </si>
  <si>
    <t>sein (sein offensichtlich)</t>
  </si>
  <si>
    <t>Es war offensichtlich , dass jede Verfolgung sinnlos war , bevor sich der Nebelverzogen hatte .</t>
  </si>
  <si>
    <t>file://conllu/de/doyle.14.conllu#s218_0</t>
  </si>
  <si>
    <t>219</t>
  </si>
  <si>
    <t>lassen</t>
  </si>
  <si>
    <t>So ließen wir Lestrade in Stapletons Haus zurück , währendHolmes und ich mit dem Baronet nach Baskerville Hall zurückkehrten .</t>
  </si>
  <si>
    <t>file://conllu/de/doyle.14.conllu#s219_0</t>
  </si>
  <si>
    <t>220</t>
  </si>
  <si>
    <t>verheimlichen</t>
  </si>
  <si>
    <t>DieWahrheit über die Stapletons konnte ihm nicht länger verheimlicht werden , dochhielt er dem Schlag tapfer stand , als wir ihm über die Frau berichteten , die ergeliebt hatte .</t>
  </si>
  <si>
    <t>file://conllu/de/doyle.14.conllu#s220_0</t>
  </si>
  <si>
    <t>221</t>
  </si>
  <si>
    <t>Doch hatte der Schrecken der nächtlichen Abenteuer seine Nervenangegriffen , und bevor der Morgen graute , lag er mit hohem Fieber darnieder undDr .</t>
  </si>
  <si>
    <t>file://conllu/de/doyle.14.conllu#s221_0</t>
  </si>
  <si>
    <t>222</t>
  </si>
  <si>
    <t>pflegen</t>
  </si>
  <si>
    <t>Mortimer pflegte ihn .</t>
  </si>
  <si>
    <t>file://conllu/de/doyle.14.conllu#s222_0</t>
  </si>
  <si>
    <t>223</t>
  </si>
  <si>
    <t>Weltreiseunternehmen</t>
  </si>
  <si>
    <t>Die beiden mussten erst zusammen eine Weltreiseunternehmen , damit Sir Henry wieder der gesunde und kräftige Mann wurde , der ergewesen war , bevor er der Herr dieses verwünschten Anwesens wurde .</t>
  </si>
  <si>
    <t>file://conllu/de/doyle.14.conllu#s223_0</t>
  </si>
  <si>
    <t>224</t>
  </si>
  <si>
    <t>Und nun will ich rasch zum zu dem Ende dieser ungewöhnlichen Erzählung kommen , inwelcher ich mich bemüht habe , den Leser an all jenen düsteren Ängsten und vagenBefürchtungen teilhaben zu lassen , die unser Leben so lange verdunkelt habenund auf so tragische Weise endeten .</t>
  </si>
  <si>
    <t>file://conllu/de/doyle.14.conllu#s224_0</t>
  </si>
  <si>
    <t>226</t>
  </si>
  <si>
    <t>Es half uns , die Leiden im in dem Lebendieser Frau zu verstehen , als wir den Eifer und die Freude sahen , mit welchersie uns auf die Fährte ihres Mannes brachte .</t>
  </si>
  <si>
    <t>file://conllu/de/doyle.14.conllu#s226_0</t>
  </si>
  <si>
    <t>227</t>
  </si>
  <si>
    <t>Wir ließen sie auf einer sicherenund soliden Halbinsel zurück , die in das sich um sie herum ausbreitende Moorhineinragte .</t>
  </si>
  <si>
    <t>file://conllu/de/doyle.14.conllu#s227_0</t>
  </si>
  <si>
    <t>228</t>
  </si>
  <si>
    <t>zeigen</t>
  </si>
  <si>
    <t>Von dort aus zeigten uns hier und dort angepflanzte Stecken denWeg , der im in dem Zickzack zwischen mit grünem Schaum bedeckten Tümpeln und übelriechenden Morastlöchern , die dem Fremden den Durchgang versperrten , entlangführte .</t>
  </si>
  <si>
    <t>file://conllu/de/doyle.14.conllu#s228_0</t>
  </si>
  <si>
    <t>229</t>
  </si>
  <si>
    <t>sondert</t>
  </si>
  <si>
    <t>Schlanke Gräser und üppige , schleimige Wasserpflanzen sonderten einenmodrigen Geruch und schwere Ausdünstungen ab , während ein falscher Schritt unsmehr als einmal tief in dem dunklen , schmatzenden Moor versinken ließ , dasviele Meter weit um unsere Füße herum vor sich hin waberte .</t>
  </si>
  <si>
    <t>file://conllu/de/doyle.14.conllu#s229_0</t>
  </si>
  <si>
    <t>230</t>
  </si>
  <si>
    <t>Sein zäher Griffpackte unsere Knöchel , während wir liefen , und wenn wir einsanken , schien es,als ob eine heimtückische Hand uns in diese widerwärtigen Tiefen ziehen wollte,so fest und hinterhältig griff der Sumpf nach uns .</t>
  </si>
  <si>
    <t>file://conllu/de/doyle.14.conllu#s230_0</t>
  </si>
  <si>
    <t>231</t>
  </si>
  <si>
    <t>Nur einmal sahen wir eineSpur davon , dass jemand vor uns schon diesen gefährlichen Weg gegangen war.Inmitten eines Büschels Riedgrases , das aus dem Schleim aufragte , lag etwasDunkles .</t>
  </si>
  <si>
    <t>file://conllu/de/doyle.14.conllu#s231_0</t>
  </si>
  <si>
    <t>232</t>
  </si>
  <si>
    <t>versinken</t>
  </si>
  <si>
    <t>Holmes versank bis zur zu der Hüfte im in dem Schlamm , als der den Pfad verließ , umes aufzuheben , und wären wir nicht bei ihm gewesen , um ihn herauszuziehen , erhätte wohl nie mehr seinen Fuß auf festen Grund gesetzt .</t>
  </si>
  <si>
    <t>file://conllu/de/doyle.14.conllu#s232_0</t>
  </si>
  <si>
    <t>233</t>
  </si>
  <si>
    <t>halten</t>
  </si>
  <si>
    <t>Er hielt einen alten,schwarzen Schuh in die Luft .</t>
  </si>
  <si>
    <t>file://conllu/de/doyle.14.conllu#s233_0</t>
  </si>
  <si>
    <t>234</t>
  </si>
  <si>
    <t>drucken</t>
  </si>
  <si>
    <t>» Meyers , Toronto « , war auf die Innenseite desLeders gedruckt .</t>
  </si>
  <si>
    <t>file://conllu/de/doyle.14.conllu#s234_0</t>
  </si>
  <si>
    <t>235</t>
  </si>
  <si>
    <t>» Das war das Schlammbad wert « , sagte er .</t>
  </si>
  <si>
    <t>file://conllu/de/doyle.14.conllu#s235_0</t>
  </si>
  <si>
    <t>236</t>
  </si>
  <si>
    <t>sein (sein Schuh)</t>
  </si>
  <si>
    <t>» Es ist der vermisste Schuh unseresFreundes Sir Henry . «</t>
  </si>
  <si>
    <t>file://conllu/de/doyle.14.conllu#s236_0</t>
  </si>
  <si>
    <t>237</t>
  </si>
  <si>
    <t>weggeworfen</t>
  </si>
  <si>
    <t>» Von Stapleton auf seiner Flucht dort weggeworfen . «</t>
  </si>
  <si>
    <t>file://conllu/de/doyle.14.conllu#s237_0</t>
  </si>
  <si>
    <t>238</t>
  </si>
  <si>
    <t>» So ist es .</t>
  </si>
  <si>
    <t>file://conllu/de/doyle.14.conllu#s238_0</t>
  </si>
  <si>
    <t>239</t>
  </si>
  <si>
    <t>behalten</t>
  </si>
  <si>
    <t>Er behielt ihn in seiner Hand , nachdem er ihn benutzt hatte , um denHund auf die richtige Fährte zu bringen .</t>
  </si>
  <si>
    <t>file://conllu/de/doyle.14.conllu#s239_0</t>
  </si>
  <si>
    <t>240</t>
  </si>
  <si>
    <t>Als er merkte , dass das Spiel aus war, floh er und hielt ihn dabei noch immer in der Hand .</t>
  </si>
  <si>
    <t>file://conllu/de/doyle.14.conllu#s240_0</t>
  </si>
  <si>
    <t>241</t>
  </si>
  <si>
    <t>warf</t>
  </si>
  <si>
    <t>Erst an dieser Stelle warfer ihn fort .</t>
  </si>
  <si>
    <t>file://conllu/de/doyle.14.conllu#s241_0</t>
  </si>
  <si>
    <t>242</t>
  </si>
  <si>
    <t>wissen</t>
  </si>
  <si>
    <t>Wenigstens wissen wir , dass er sicher bis hierhin gekommen ist . «</t>
  </si>
  <si>
    <t>file://conllu/de/doyle.14.conllu#s242_0</t>
  </si>
  <si>
    <t>243</t>
  </si>
  <si>
    <t>erfahren</t>
  </si>
  <si>
    <t>Doch mehr als das sollten wir niemals erfahren , auch wenn wir eine Mengevermuteten .</t>
  </si>
  <si>
    <t>file://conllu/de/doyle.14.conllu#s243_0</t>
  </si>
  <si>
    <t>244</t>
  </si>
  <si>
    <t>suchen</t>
  </si>
  <si>
    <t>Es gab keine Möglichkeiten , Fußabdrücke im in dem Moor zu finden , da derSchlamm sie umgehend wieder füllte , aber als wir schließlich wieder festerenBoden erreichten , suchten wir gründlich nach ihnen , doch haben wir niemals nurdas kleinste Anzeichen gefunden .</t>
  </si>
  <si>
    <t>file://conllu/de/doyle.14.conllu#s244_0</t>
  </si>
  <si>
    <t>245</t>
  </si>
  <si>
    <t>erzählen</t>
  </si>
  <si>
    <t>Wenn der Boden uns die Wahrheit erzählte , hatStapleton diese Zufluchtsinsel , die er durch den Nebel jener letzten Nachtansteuerte , nie erreicht .</t>
  </si>
  <si>
    <t>file://conllu/de/doyle.14.conllu#s245_0</t>
  </si>
  <si>
    <t>246</t>
  </si>
  <si>
    <t>Irgendwo inmitten des großen Grimpener Moores,versunken im in dem fauligen Schleim des Morastes , der ihn nach unten gezogen hatte, liegt dieser eiskalte und grausame Mann für immer begraben .</t>
  </si>
  <si>
    <t>file://conllu/de/doyle.14.conllu#s246_0</t>
  </si>
  <si>
    <t>247</t>
  </si>
  <si>
    <t>Auf der vom von dem Moor umschlossenen Insel , wo er seinen wilden Helfer verborgenhatte , fanden wir einige Spuren von ihm .</t>
  </si>
  <si>
    <t>file://conllu/de/doyle.14.conllu#s247_0</t>
  </si>
  <si>
    <t>248</t>
  </si>
  <si>
    <t>Ein großes Steuerrad und ein halbverschütteter Schacht zeigten uns , wo sich die verlassene Mine befunden hatte.Daneben lagen die verfallenen Reste von Behausungen der Minenarbeiter , diezweifellos von den sie umgebenden fauligen Dünsten vertrieben worden waren .</t>
  </si>
  <si>
    <t>file://conllu/de/doyle.14.conllu#s248_0</t>
  </si>
  <si>
    <t>249</t>
  </si>
  <si>
    <t>Ineiner von ihnen zeigten uns ein Ring mit Kette und eine Anzahl abgenagterKnochen , wo der Hund gehalten worden war .</t>
  </si>
  <si>
    <t>file://conllu/de/doyle.14.conllu#s249_0</t>
  </si>
  <si>
    <t>250</t>
  </si>
  <si>
    <t>Zwischen den Abfällen lag einSkelett , an welchem noch ein Büschel brauner Haare hing .</t>
  </si>
  <si>
    <t>file://conllu/de/doyle.14.conllu#s250_0</t>
  </si>
  <si>
    <t>251</t>
  </si>
  <si>
    <t>» Ein Hund « , sagte Holmes .</t>
  </si>
  <si>
    <t>file://conllu/de/doyle.14.conllu#s251_0</t>
  </si>
  <si>
    <t>252</t>
  </si>
  <si>
    <t>Jupiter</t>
  </si>
  <si>
    <t>» Bei Jupiter , ein kraushaariger Spaniel .</t>
  </si>
  <si>
    <t>file://conllu/de/doyle.14.conllu#s252_0</t>
  </si>
  <si>
    <t>253</t>
  </si>
  <si>
    <t>wiedersehen</t>
  </si>
  <si>
    <t>Der armeMortimer wird seinen Schoßhund niemals wiedersehen .</t>
  </si>
  <si>
    <t>file://conllu/de/doyle.14.conllu#s253_0</t>
  </si>
  <si>
    <t>254</t>
  </si>
  <si>
    <t>Nun , ich glaube nicht , dassdieser Ort noch ein Geheimnis enthält , das wir nicht schon entdeckt haben .</t>
  </si>
  <si>
    <t>file://conllu/de/doyle.14.conllu#s254_0</t>
  </si>
  <si>
    <t>255</t>
  </si>
  <si>
    <t>verbergen</t>
  </si>
  <si>
    <t>Erkonnte zwar seinen Hund verbergen , aber er konnte sein Heulen nicht abstellen,daher dieses Heulen , das auch bei Tageslicht nicht schön anzuhören war .</t>
  </si>
  <si>
    <t>file://conllu/de/doyle.14.conllu#s255_0</t>
  </si>
  <si>
    <t>256</t>
  </si>
  <si>
    <t>unterbringen</t>
  </si>
  <si>
    <t>Für denNotfall konnte er den Hund auch in seinem Gartenhaus unterbringen , aber das warimmer ein Risiko , das er erst an jenem Tag einging , den er als Erfüllung seinerMühen ansah .</t>
  </si>
  <si>
    <t>file://conllu/de/doyle.14.conllu#s256_0</t>
  </si>
  <si>
    <t>257</t>
  </si>
  <si>
    <t>Diese Paste in der Dose ist ganz klar die Leuchtfarbe , mit welcherder Hund bemalt wurde .</t>
  </si>
  <si>
    <t>file://conllu/de/doyle.14.conllu#s257_0</t>
  </si>
  <si>
    <t>258</t>
  </si>
  <si>
    <t>anregen</t>
  </si>
  <si>
    <t>Natürlich wurde das von der alten Familienlegende desHöllenhundes angeregt und durch die Idee , den alten Sir Charles zu Tode zuerschrecken .</t>
  </si>
  <si>
    <t>file://conllu/de/doyle.14.conllu#s258_0</t>
  </si>
  <si>
    <t>259</t>
  </si>
  <si>
    <t>Kein Wunder , dass der arme Sträfling , ebenso wie unser Freund undwir es selbst wohl auch getan hätten , vor Todesangst davonlief und schrie , alser diese Kreatur durch die Dunkelheit über das Moor ihm nachjagen sah .</t>
  </si>
  <si>
    <t>file://conllu/de/doyle.14.conllu#s259_0</t>
  </si>
  <si>
    <t>260</t>
  </si>
  <si>
    <t>Plan</t>
  </si>
  <si>
    <t>Es warein schlauer Plan , denn abgesehen von der Möglichkeit , dein Opfer zu Tode zuerschrecken , welcher Bauer würde es wagen , ein solches Geschöpf , falls er ihmauf dem Moor begegnen würde , näher zu untersuchen ?</t>
  </si>
  <si>
    <t>file://conllu/de/doyle.14.conllu#s260_0</t>
  </si>
  <si>
    <t>261</t>
  </si>
  <si>
    <t>Ich habe es dir in Londongesagt , Watson , und sage es wieder , niemals haben wir einen gefährlicheren Mannverfolgt als jenen , der irgendwo hier unten liegt ... «</t>
  </si>
  <si>
    <t>file://conllu/de/doyle.14.conllu#s261_0</t>
  </si>
  <si>
    <t>262</t>
  </si>
  <si>
    <t>Er zeigte mit seinenlangen Armen auf die unendliche Fläche des grün- gesprenkelten Moores , das sichvor uns bis zu den weit in der Ferne liegenden roten Hängen der Hügelerstreckte .</t>
  </si>
  <si>
    <t>file://conllu/de/doyle.14.conllu#s262_0</t>
  </si>
  <si>
    <t>WORD</t>
  </si>
  <si>
    <t>GR</t>
  </si>
  <si>
    <t>NP_TYPE</t>
  </si>
  <si>
    <t>REF_AUTO</t>
  </si>
  <si>
    <t>COREF</t>
  </si>
  <si>
    <t>REF</t>
  </si>
  <si>
    <t>IS</t>
  </si>
  <si>
    <t>CB</t>
  </si>
  <si>
    <t>GR_ANTE</t>
  </si>
  <si>
    <t>REF_DIST</t>
  </si>
  <si>
    <t>REF_DIST_ANTE</t>
  </si>
  <si>
    <t># text = Es war immer einer von Sherlock Holmes' Charakterfehlern – wenn man es denneinen Fehler nennen darf –, dass er eine hohe Abneigung dagegen hatte, seinePläne anderen Personen vollständig zu offenbaren, bevor der Augenblick ihrerUmsetzung gekommen war.</t>
  </si>
  <si>
    <t>Es</t>
  </si>
  <si>
    <t>SBJ</t>
  </si>
  <si>
    <t>pron.pper</t>
  </si>
  <si>
    <t>?OLD</t>
  </si>
  <si>
    <t>war</t>
  </si>
  <si>
    <t>immer</t>
  </si>
  <si>
    <t>einer</t>
  </si>
  <si>
    <t>von</t>
  </si>
  <si>
    <t>Sherlock</t>
  </si>
  <si>
    <t>other</t>
  </si>
  <si>
    <t>ne</t>
  </si>
  <si>
    <t>Holmes</t>
  </si>
  <si>
    <t>'</t>
  </si>
  <si>
    <t>Charakterfehlern</t>
  </si>
  <si>
    <t>indef-np.a</t>
  </si>
  <si>
    <t>–</t>
  </si>
  <si>
    <t>wenn</t>
  </si>
  <si>
    <t>man</t>
  </si>
  <si>
    <t>SBJ_2</t>
  </si>
  <si>
    <t>pron.pind</t>
  </si>
  <si>
    <t>es</t>
  </si>
  <si>
    <t>OBJ_2</t>
  </si>
  <si>
    <t>denneinen</t>
  </si>
  <si>
    <t>Fehler</t>
  </si>
  <si>
    <t>indef-np</t>
  </si>
  <si>
    <t>nennen</t>
  </si>
  <si>
    <t>darf</t>
  </si>
  <si>
    <t>,</t>
  </si>
  <si>
    <t>dass</t>
  </si>
  <si>
    <t>er</t>
  </si>
  <si>
    <t>SBJ_3</t>
  </si>
  <si>
    <t>eine</t>
  </si>
  <si>
    <t>hohe</t>
  </si>
  <si>
    <t>Abneigung</t>
  </si>
  <si>
    <t>OBJ_3</t>
  </si>
  <si>
    <t>dagegen</t>
  </si>
  <si>
    <t>hatte</t>
  </si>
  <si>
    <t>seinePläne</t>
  </si>
  <si>
    <t>OBJ_4</t>
  </si>
  <si>
    <t>indef-np.bare</t>
  </si>
  <si>
    <t>anderen</t>
  </si>
  <si>
    <t>Personen</t>
  </si>
  <si>
    <t>vollständig</t>
  </si>
  <si>
    <t>zu</t>
  </si>
  <si>
    <t>offenbaren</t>
  </si>
  <si>
    <t>bevor</t>
  </si>
  <si>
    <t>der</t>
  </si>
  <si>
    <t>Augenblick</t>
  </si>
  <si>
    <t>ihrerUmsetzung</t>
  </si>
  <si>
    <t>gekommen</t>
  </si>
  <si>
    <t>.</t>
  </si>
  <si>
    <t># text = Dies rührte zum Teil sicherlich von seiner herrischenArt her, denn er liebte es, die Menschen seiner Umgebung zu dominieren und zuüberraschen, zum anderen lag dies aber in seiner beruflichen Vorsichtbegründet, kein unnötiges Risiko einzugehen.</t>
  </si>
  <si>
    <t>Dies</t>
  </si>
  <si>
    <t>pron.pds</t>
  </si>
  <si>
    <t>rührte</t>
  </si>
  <si>
    <t>other_2</t>
  </si>
  <si>
    <t>dem</t>
  </si>
  <si>
    <t>Teil</t>
  </si>
  <si>
    <t>def-np.the</t>
  </si>
  <si>
    <t>sicherlich</t>
  </si>
  <si>
    <t>seiner</t>
  </si>
  <si>
    <t>herrischenArt</t>
  </si>
  <si>
    <t>her</t>
  </si>
  <si>
    <t>denn</t>
  </si>
  <si>
    <t>liebte</t>
  </si>
  <si>
    <t>die</t>
  </si>
  <si>
    <t>Menschen</t>
  </si>
  <si>
    <t>Umgebung</t>
  </si>
  <si>
    <t>other_4</t>
  </si>
  <si>
    <t>dominieren</t>
  </si>
  <si>
    <t>und</t>
  </si>
  <si>
    <t>zuüberraschen</t>
  </si>
  <si>
    <t>other_3</t>
  </si>
  <si>
    <t>lag</t>
  </si>
  <si>
    <t>dies</t>
  </si>
  <si>
    <t>aber</t>
  </si>
  <si>
    <t>in</t>
  </si>
  <si>
    <t>beruflichen</t>
  </si>
  <si>
    <t>Vorsichtbegründet</t>
  </si>
  <si>
    <t>kein</t>
  </si>
  <si>
    <t>other_5</t>
  </si>
  <si>
    <t>pron</t>
  </si>
  <si>
    <t>unnötiges</t>
  </si>
  <si>
    <t>Risiko</t>
  </si>
  <si>
    <t>indef-np.quant</t>
  </si>
  <si>
    <t>einzugehen</t>
  </si>
  <si>
    <t># text = Im Ergebnis war dies jedoch häufiganstrengend für seine Mitarbeiter und Helfer.</t>
  </si>
  <si>
    <t>In</t>
  </si>
  <si>
    <t>Ergebnis</t>
  </si>
  <si>
    <t>jedoch</t>
  </si>
  <si>
    <t>häufiganstrengend</t>
  </si>
  <si>
    <t>für</t>
  </si>
  <si>
    <t>seine</t>
  </si>
  <si>
    <t>Mitarbeiter</t>
  </si>
  <si>
    <t>Helfer</t>
  </si>
  <si>
    <t># text = Oft genug hatte ich daruntergelitten, doch niemals so sehr wie während dieser langen Fahrt durch dieDunkelheit.</t>
  </si>
  <si>
    <t>Oft</t>
  </si>
  <si>
    <t>genug</t>
  </si>
  <si>
    <t>ich</t>
  </si>
  <si>
    <t>daruntergelitten</t>
  </si>
  <si>
    <t>doch</t>
  </si>
  <si>
    <t>niemals</t>
  </si>
  <si>
    <t>so</t>
  </si>
  <si>
    <t>sehr</t>
  </si>
  <si>
    <t>def-np.poss</t>
  </si>
  <si>
    <t>wie</t>
  </si>
  <si>
    <t>während</t>
  </si>
  <si>
    <t>dieser</t>
  </si>
  <si>
    <t>langen</t>
  </si>
  <si>
    <t>Fahrt</t>
  </si>
  <si>
    <t>def-np.dem</t>
  </si>
  <si>
    <t>durch</t>
  </si>
  <si>
    <t>dieDunkelheit</t>
  </si>
  <si>
    <t># text = Die große Prüfung lag vor uns, endlich sollte der letzte Akt überdie Bühne gehen, doch Holmes hatte noch nichts über seine Pläne verlautenlassen, und ich konnte nur raten, was er vorhatte.</t>
  </si>
  <si>
    <t>Die</t>
  </si>
  <si>
    <t>große</t>
  </si>
  <si>
    <t>Prüfung</t>
  </si>
  <si>
    <t>vor</t>
  </si>
  <si>
    <t>uns</t>
  </si>
  <si>
    <t>endlich</t>
  </si>
  <si>
    <t>sollte</t>
  </si>
  <si>
    <t>letzte</t>
  </si>
  <si>
    <t>Akt</t>
  </si>
  <si>
    <t>überdie</t>
  </si>
  <si>
    <t>Bühne</t>
  </si>
  <si>
    <t>noch</t>
  </si>
  <si>
    <t>nichts</t>
  </si>
  <si>
    <t>über</t>
  </si>
  <si>
    <t>Pläne</t>
  </si>
  <si>
    <t>verlautenlassen</t>
  </si>
  <si>
    <t>konnte</t>
  </si>
  <si>
    <t>nur</t>
  </si>
  <si>
    <t>raten</t>
  </si>
  <si>
    <t>was</t>
  </si>
  <si>
    <t>vorhatte</t>
  </si>
  <si>
    <t># text = Ich fing vor Aufregung an zuzittern, als der kalte Wind auf unseren Gesichtern und der dunkle, öde Raum zubeiden Seiten der engen Straße mir zeigten, dass wir uns wieder auf dem Moorbefanden.</t>
  </si>
  <si>
    <t>Ich</t>
  </si>
  <si>
    <t>fing</t>
  </si>
  <si>
    <t>Aufregung</t>
  </si>
  <si>
    <t>an</t>
  </si>
  <si>
    <t>zuzittern</t>
  </si>
  <si>
    <t>als</t>
  </si>
  <si>
    <t>kalte</t>
  </si>
  <si>
    <t>Wind</t>
  </si>
  <si>
    <t>auf</t>
  </si>
  <si>
    <t>unseren</t>
  </si>
  <si>
    <t>pron.ppos</t>
  </si>
  <si>
    <t>Gesichtern</t>
  </si>
  <si>
    <t>dunkle</t>
  </si>
  <si>
    <t>öde</t>
  </si>
  <si>
    <t>Raum</t>
  </si>
  <si>
    <t>zubeiden</t>
  </si>
  <si>
    <t>Seiten</t>
  </si>
  <si>
    <t>engen</t>
  </si>
  <si>
    <t>Straße</t>
  </si>
  <si>
    <t>mir</t>
  </si>
  <si>
    <t>zeigten</t>
  </si>
  <si>
    <t>wir</t>
  </si>
  <si>
    <t>wieder</t>
  </si>
  <si>
    <t>Moorbefanden</t>
  </si>
  <si>
    <t># text = Jeder Hufschlag der Pferde und jede Umdrehung der Wagenräder brachtenuns unserem spannenden Abenteuer näher.</t>
  </si>
  <si>
    <t>Jeder</t>
  </si>
  <si>
    <t>Pferde</t>
  </si>
  <si>
    <t>jede</t>
  </si>
  <si>
    <t>Umdrehung</t>
  </si>
  <si>
    <t>Wagenräder</t>
  </si>
  <si>
    <t>brachtenuns</t>
  </si>
  <si>
    <t>unserem</t>
  </si>
  <si>
    <t>spannenden</t>
  </si>
  <si>
    <t>Abenteuer</t>
  </si>
  <si>
    <t>näher</t>
  </si>
  <si>
    <t># text = Unsere Unterhaltung wurde durch die Anwesenheit des Fahrers der Mietdroschkebeeinträchtigt, so dass wir gezwungen waren, über nebensächliche Dinge zusprechen, während unsere Nerven vor Erwartung gespannt waren.</t>
  </si>
  <si>
    <t>Unsere</t>
  </si>
  <si>
    <t>Unterhaltung</t>
  </si>
  <si>
    <t>wurde</t>
  </si>
  <si>
    <t>Anwesenheit</t>
  </si>
  <si>
    <t>des</t>
  </si>
  <si>
    <t>Fahrers</t>
  </si>
  <si>
    <t>Mietdroschkebeeinträchtigt</t>
  </si>
  <si>
    <t>gezwungen</t>
  </si>
  <si>
    <t>waren</t>
  </si>
  <si>
    <t>nebensächliche</t>
  </si>
  <si>
    <t>Dinge</t>
  </si>
  <si>
    <t>zusprechen</t>
  </si>
  <si>
    <t>unsere</t>
  </si>
  <si>
    <t>Nerven</t>
  </si>
  <si>
    <t>Erwartung</t>
  </si>
  <si>
    <t>gespannt</t>
  </si>
  <si>
    <t># text = Nach dieserunnatürlichen Zurückhaltung war es für mich eine Erleichterung, als wirschließlich an Franklands Haus vorbeifuhren und wussten, dass wir nunmehr ganznahe an Baskerville Hall und dem Ort des Geschehens waren.</t>
  </si>
  <si>
    <t>Nach</t>
  </si>
  <si>
    <t>dieserunnatürlichen</t>
  </si>
  <si>
    <t>Zurückhaltung</t>
  </si>
  <si>
    <t>mich</t>
  </si>
  <si>
    <t>Erleichterung</t>
  </si>
  <si>
    <t>OBJ</t>
  </si>
  <si>
    <t>wirschließlich</t>
  </si>
  <si>
    <t>Franklands</t>
  </si>
  <si>
    <t>Haus</t>
  </si>
  <si>
    <t>wussten</t>
  </si>
  <si>
    <t>nunmehr</t>
  </si>
  <si>
    <t>ganznahe</t>
  </si>
  <si>
    <t>Baskerville</t>
  </si>
  <si>
    <t>Hall</t>
  </si>
  <si>
    <t>Ort</t>
  </si>
  <si>
    <t>Geschehens</t>
  </si>
  <si>
    <t># text = Wir ließen uns nichtvor die Tür fahren, sondern hielten nahe dem Tor zur Auffahrt.</t>
  </si>
  <si>
    <t>Wir</t>
  </si>
  <si>
    <t>ließen</t>
  </si>
  <si>
    <t>nichtvor</t>
  </si>
  <si>
    <t>pron.padv</t>
  </si>
  <si>
    <t>sondern</t>
  </si>
  <si>
    <t>hielten</t>
  </si>
  <si>
    <t>nahe</t>
  </si>
  <si>
    <t>Tor</t>
  </si>
  <si>
    <t>Auffahrt</t>
  </si>
  <si>
    <t># text = Der Wagen wurdebezahlt und nach Coombe Tracey zurückgeschickt, bevor wir uns zu Fuß inRichtung auf Merripit House aufmachten.</t>
  </si>
  <si>
    <t>Der</t>
  </si>
  <si>
    <t>Wagen</t>
  </si>
  <si>
    <t>wurdebezahlt</t>
  </si>
  <si>
    <t>nach</t>
  </si>
  <si>
    <t>Coombe</t>
  </si>
  <si>
    <t>Tracey</t>
  </si>
  <si>
    <t>zurückgeschickt</t>
  </si>
  <si>
    <t>Fuß</t>
  </si>
  <si>
    <t>inRichtung</t>
  </si>
  <si>
    <t>Merripit</t>
  </si>
  <si>
    <t>House</t>
  </si>
  <si>
    <t>aufmachten</t>
  </si>
  <si>
    <t># text = »Sind Sie bewaffnet, Lestrade?«</t>
  </si>
  <si>
    <t>»</t>
  </si>
  <si>
    <t>Sind</t>
  </si>
  <si>
    <t>Sie</t>
  </si>
  <si>
    <t>bewaffnet</t>
  </si>
  <si>
    <t>Lestrade</t>
  </si>
  <si>
    <t>?</t>
  </si>
  <si>
    <t># text = Der kleine Polizist lächelte.</t>
  </si>
  <si>
    <t>kleine</t>
  </si>
  <si>
    <t>Polizist</t>
  </si>
  <si>
    <t>lächelte</t>
  </si>
  <si>
    <t># text = »Solange ich meine Hosen anhabe, habe ich eine Hüfttasche, und solange ichmeine Hüfttasche habe, befindet sich auch etwas darin.«</t>
  </si>
  <si>
    <t>Solange</t>
  </si>
  <si>
    <t>SBJ_4</t>
  </si>
  <si>
    <t>meine</t>
  </si>
  <si>
    <t>Hosen</t>
  </si>
  <si>
    <t>anhabe</t>
  </si>
  <si>
    <t>habe</t>
  </si>
  <si>
    <t>Hüfttasche</t>
  </si>
  <si>
    <t>solange</t>
  </si>
  <si>
    <t>ichmeine</t>
  </si>
  <si>
    <t>befindet</t>
  </si>
  <si>
    <t>sich</t>
  </si>
  <si>
    <t>auch</t>
  </si>
  <si>
    <t>etwas</t>
  </si>
  <si>
    <t>darin</t>
  </si>
  <si>
    <t># text = »Gut!</t>
  </si>
  <si>
    <t>Gut</t>
  </si>
  <si>
    <t>!</t>
  </si>
  <si>
    <t># text = Mein Freund und ich sind ebenfalls auf Notfälle vorbereitet.«</t>
  </si>
  <si>
    <t>Mein</t>
  </si>
  <si>
    <t>Freund</t>
  </si>
  <si>
    <t>sind</t>
  </si>
  <si>
    <t>ebenfalls</t>
  </si>
  <si>
    <t>Notfälle</t>
  </si>
  <si>
    <t>vorbereitet</t>
  </si>
  <si>
    <t># text = »Sie sind in dieser Angelegenheit ja reichlich verschlossen, Mr. Holmes.</t>
  </si>
  <si>
    <t>Angelegenheit</t>
  </si>
  <si>
    <t>ja</t>
  </si>
  <si>
    <t>reichlich</t>
  </si>
  <si>
    <t>verschlossen</t>
  </si>
  <si>
    <t>Mr.</t>
  </si>
  <si>
    <t># text = Wasfür ein Spiel wird denn gespielt?«</t>
  </si>
  <si>
    <t>Wasfür</t>
  </si>
  <si>
    <t>Spiel</t>
  </si>
  <si>
    <t>wird</t>
  </si>
  <si>
    <t>gespielt</t>
  </si>
  <si>
    <t># text = »Ein Geduldsspiel.«</t>
  </si>
  <si>
    <t>Ein</t>
  </si>
  <si>
    <t># text = »Meine Güte, das scheint wirklich kein sonderlich fröhlicher Ort zu sein«,sagte Lestrade schaudernd, während er über die düsteren Hänge des Hügels unddie große Dunstwolke blickte, die über dem Grimpener Moor lag.</t>
  </si>
  <si>
    <t>Meine</t>
  </si>
  <si>
    <t>Güte</t>
  </si>
  <si>
    <t>das</t>
  </si>
  <si>
    <t>scheint</t>
  </si>
  <si>
    <t>wirklich</t>
  </si>
  <si>
    <t>sonderlich</t>
  </si>
  <si>
    <t>fröhlicher</t>
  </si>
  <si>
    <t>,sagte</t>
  </si>
  <si>
    <t>schaudernd</t>
  </si>
  <si>
    <t>düsteren</t>
  </si>
  <si>
    <t>Hänge</t>
  </si>
  <si>
    <t>Hügels</t>
  </si>
  <si>
    <t>unddie</t>
  </si>
  <si>
    <t>Dunstwolke</t>
  </si>
  <si>
    <t>blickte</t>
  </si>
  <si>
    <t>Grimpener</t>
  </si>
  <si>
    <t>Moor</t>
  </si>
  <si>
    <t># text = »Ich seheLichter eines Hauses vor uns.«</t>
  </si>
  <si>
    <t>seheLichter</t>
  </si>
  <si>
    <t>eines</t>
  </si>
  <si>
    <t>Hauses</t>
  </si>
  <si>
    <t># text = »Das ist Merripit House und das Ziel unserer Reise.</t>
  </si>
  <si>
    <t>Das</t>
  </si>
  <si>
    <t>ist</t>
  </si>
  <si>
    <t>Ziel</t>
  </si>
  <si>
    <t>unserer</t>
  </si>
  <si>
    <t>Reise</t>
  </si>
  <si>
    <t># text = Ich muss Sie darumersuchen, auf Zehenspitzen zu laufen und nur noch zu flüstern.«</t>
  </si>
  <si>
    <t>muss</t>
  </si>
  <si>
    <t>Zehenspitzen</t>
  </si>
  <si>
    <t>flüstern</t>
  </si>
  <si>
    <t># text = Vorsichtig gingen wir den Weg entlang, als wollten wir auf das Haus zugehen,doch Holmes stoppte uns, als wir nur noch etwa 200 Meter entfernt waren.</t>
  </si>
  <si>
    <t>Vorsichtig</t>
  </si>
  <si>
    <t>gingen</t>
  </si>
  <si>
    <t>den</t>
  </si>
  <si>
    <t>Weg</t>
  </si>
  <si>
    <t>wollten</t>
  </si>
  <si>
    <t>zugehen,doch</t>
  </si>
  <si>
    <t>stoppte</t>
  </si>
  <si>
    <t>etwa</t>
  </si>
  <si>
    <t>Meter</t>
  </si>
  <si>
    <t>entfernt</t>
  </si>
  <si>
    <t># text = »Das dürfte reichen«, sagte er.</t>
  </si>
  <si>
    <t>dürfte</t>
  </si>
  <si>
    <t>reichen</t>
  </si>
  <si>
    <t>sagte</t>
  </si>
  <si>
    <t># text = »Diese Felsen hier rechts werden unsvortrefflich Schutz bieten.«</t>
  </si>
  <si>
    <t>Diese</t>
  </si>
  <si>
    <t>Felsen</t>
  </si>
  <si>
    <t>hier</t>
  </si>
  <si>
    <t>rechts</t>
  </si>
  <si>
    <t>unsvortrefflich</t>
  </si>
  <si>
    <t>Schutz</t>
  </si>
  <si>
    <t># text = »Wir sollen hier warten?«</t>
  </si>
  <si>
    <t>sollen</t>
  </si>
  <si>
    <t># text = »Ja, das wird unser kleiner Hinterhalt.</t>
  </si>
  <si>
    <t>Ja</t>
  </si>
  <si>
    <t>unser</t>
  </si>
  <si>
    <t>kleiner</t>
  </si>
  <si>
    <t>Hinterhalt</t>
  </si>
  <si>
    <t># text = Schlüpfen Sie in diese Höhle, Lestrade.Bist du nicht schon im Haus gewesen, Watson?</t>
  </si>
  <si>
    <t>Schlüpfen</t>
  </si>
  <si>
    <t>diese</t>
  </si>
  <si>
    <t>Höhle</t>
  </si>
  <si>
    <t>Lestrade.Bist</t>
  </si>
  <si>
    <t>du</t>
  </si>
  <si>
    <t>nicht</t>
  </si>
  <si>
    <t>schon</t>
  </si>
  <si>
    <t>gewesen</t>
  </si>
  <si>
    <t>Watson</t>
  </si>
  <si>
    <t># text = Dann kannst du uns die Lage derRäume erläutern.</t>
  </si>
  <si>
    <t>Dann</t>
  </si>
  <si>
    <t>kannst</t>
  </si>
  <si>
    <t>Lage</t>
  </si>
  <si>
    <t>derRäume</t>
  </si>
  <si>
    <t># text = Wozu gehören die vergitterten Fenster an diesem Ende?«</t>
  </si>
  <si>
    <t>Wozu</t>
  </si>
  <si>
    <t>vergitterten</t>
  </si>
  <si>
    <t>Fenster</t>
  </si>
  <si>
    <t>diesem</t>
  </si>
  <si>
    <t>Ende</t>
  </si>
  <si>
    <t># text = »Ich glaube, das sind die Küchenfenster.«</t>
  </si>
  <si>
    <t>glaube</t>
  </si>
  <si>
    <t>Küchenfenster</t>
  </si>
  <si>
    <t># text = »Und das hell erleuchtete dort drüben</t>
  </si>
  <si>
    <t>Und</t>
  </si>
  <si>
    <t>hell</t>
  </si>
  <si>
    <t>erleuchtete</t>
  </si>
  <si>
    <t>dort</t>
  </si>
  <si>
    <t>drüben</t>
  </si>
  <si>
    <t># text = »Das ist bestimmt das Esszimmer.«</t>
  </si>
  <si>
    <t>bestimmt</t>
  </si>
  <si>
    <t>Esszimmer</t>
  </si>
  <si>
    <t># text = »Die Vorhänge sind zurückgezogen.</t>
  </si>
  <si>
    <t>Vorhänge</t>
  </si>
  <si>
    <t>zurückgezogen</t>
  </si>
  <si>
    <t># text = Du kennst dich hier am besten aus.</t>
  </si>
  <si>
    <t>Du</t>
  </si>
  <si>
    <t>kennst</t>
  </si>
  <si>
    <t>dich</t>
  </si>
  <si>
    <t>besten</t>
  </si>
  <si>
    <t>aus</t>
  </si>
  <si>
    <t># text = Schleichdich lautlos nach vorne und sieh nach, was drinnen geschieht, aber sie dürfenum Himmels Willen nicht merken, dass sie beobachtet werden!«</t>
  </si>
  <si>
    <t>Schleichdich</t>
  </si>
  <si>
    <t>lautlos</t>
  </si>
  <si>
    <t>vorne</t>
  </si>
  <si>
    <t>sieh</t>
  </si>
  <si>
    <t>drinnen</t>
  </si>
  <si>
    <t>geschieht</t>
  </si>
  <si>
    <t>sie</t>
  </si>
  <si>
    <t>dürfenum</t>
  </si>
  <si>
    <t>Himmels</t>
  </si>
  <si>
    <t>Willen</t>
  </si>
  <si>
    <t>beobachtet</t>
  </si>
  <si>
    <t># text = Auf Zehenspitzen schlich ich den Pfad entlang und duckte mich hinter derniedrigen Mauer, die den vernachlässigten Obstgarten umgab.</t>
  </si>
  <si>
    <t>Auf</t>
  </si>
  <si>
    <t>schlich</t>
  </si>
  <si>
    <t>Pfad</t>
  </si>
  <si>
    <t>duckte</t>
  </si>
  <si>
    <t>hinter</t>
  </si>
  <si>
    <t>derniedrigen</t>
  </si>
  <si>
    <t>Mauer</t>
  </si>
  <si>
    <t>vernachlässigten</t>
  </si>
  <si>
    <t>Obstgarten</t>
  </si>
  <si>
    <t>umgab</t>
  </si>
  <si>
    <t># text = Solchermaßen inDeckung befindlich kroch ich zu einer Stelle, von welcher aus ich direkt in dasvorhanglose Fenster hineinsehen konnte.</t>
  </si>
  <si>
    <t>Solchermaßen</t>
  </si>
  <si>
    <t>inDeckung</t>
  </si>
  <si>
    <t>kroch</t>
  </si>
  <si>
    <t>Stelle</t>
  </si>
  <si>
    <t>welcher</t>
  </si>
  <si>
    <t>direkt</t>
  </si>
  <si>
    <t>dasvorhanglose</t>
  </si>
  <si>
    <t>hineinsehen</t>
  </si>
  <si>
    <t># text = Es befanden sich nur zwei Männer im Zimmer, Sir Henry und Stapleton.</t>
  </si>
  <si>
    <t>befanden</t>
  </si>
  <si>
    <t>zwei</t>
  </si>
  <si>
    <t>Männer</t>
  </si>
  <si>
    <t>Zimmer</t>
  </si>
  <si>
    <t>Henry</t>
  </si>
  <si>
    <t>Stapleton</t>
  </si>
  <si>
    <t># text = Sie saßenjeder an einer Seite des runden Tisches, das Profil mir zugewandt.</t>
  </si>
  <si>
    <t>saßenjeder</t>
  </si>
  <si>
    <t>Seite</t>
  </si>
  <si>
    <t>runden</t>
  </si>
  <si>
    <t>Tisches</t>
  </si>
  <si>
    <t>Profil</t>
  </si>
  <si>
    <t>zugewandt</t>
  </si>
  <si>
    <t># text = Beiderauchten Zigarren und hatten Kaffee und Wein vor sich stehen.</t>
  </si>
  <si>
    <t>Beiderauchten</t>
  </si>
  <si>
    <t>Zigarren</t>
  </si>
  <si>
    <t>hatten</t>
  </si>
  <si>
    <t>Kaffee</t>
  </si>
  <si>
    <t>Wein</t>
  </si>
  <si>
    <t># text = Stapleton redetesehr lebhaft, aber der Baronet sah bleich und zerstreut aus.</t>
  </si>
  <si>
    <t>redetesehr</t>
  </si>
  <si>
    <t>lebhaft</t>
  </si>
  <si>
    <t>Baronet</t>
  </si>
  <si>
    <t>sah</t>
  </si>
  <si>
    <t>bleich</t>
  </si>
  <si>
    <t>zerstreut</t>
  </si>
  <si>
    <t># text = Möglicherweiselastete der Gedanke an den einsamen Spaziergang durch das Moor mit seinemschlechten Ruf schwer auf seiner Seele.</t>
  </si>
  <si>
    <t>Gedanke</t>
  </si>
  <si>
    <t>einsamen</t>
  </si>
  <si>
    <t>Spaziergang</t>
  </si>
  <si>
    <t>mit</t>
  </si>
  <si>
    <t>seinemschlechten</t>
  </si>
  <si>
    <t>Ruf</t>
  </si>
  <si>
    <t>schwer</t>
  </si>
  <si>
    <t>Seele</t>
  </si>
  <si>
    <t># text = Während ich sie so beobachtete, stand Stapleton auf und verließ das Zimmer;</t>
  </si>
  <si>
    <t>Während</t>
  </si>
  <si>
    <t>beobachtete</t>
  </si>
  <si>
    <t>stand</t>
  </si>
  <si>
    <t>verließ</t>
  </si>
  <si>
    <t>;</t>
  </si>
  <si>
    <t># text = SirHenry schenkte sich Wein nach und lehnte sich in seinen Stuhl zurück, wobei eran seiner Zigarre zog.</t>
  </si>
  <si>
    <t>SirHenry</t>
  </si>
  <si>
    <t>schenkte</t>
  </si>
  <si>
    <t>lehnte</t>
  </si>
  <si>
    <t>seinen</t>
  </si>
  <si>
    <t>Stuhl</t>
  </si>
  <si>
    <t>zurück</t>
  </si>
  <si>
    <t>wobei</t>
  </si>
  <si>
    <t>eran</t>
  </si>
  <si>
    <t>Zigarre</t>
  </si>
  <si>
    <t>zog</t>
  </si>
  <si>
    <t># text = Ich hörte eine Tür knarren und das knirschende Geräuschvon Schuhen auf Kies.</t>
  </si>
  <si>
    <t>hörte</t>
  </si>
  <si>
    <t>knarren</t>
  </si>
  <si>
    <t>knirschende</t>
  </si>
  <si>
    <t>Geräuschvon</t>
  </si>
  <si>
    <t>Schuhen</t>
  </si>
  <si>
    <t>Kies</t>
  </si>
  <si>
    <t># text = Die Schritte gingen den Pfad auf der anderen Seite derMauer, hinter der ich kauerte, entlang.</t>
  </si>
  <si>
    <t>Schritte</t>
  </si>
  <si>
    <t>def-np.the.other</t>
  </si>
  <si>
    <t>derMauer</t>
  </si>
  <si>
    <t>kauerte</t>
  </si>
  <si>
    <t># text = Ich schaute über die Mauer und sah denNaturforscher an der Tür eines Häuschens in einer Ecke des Gartens stehen.</t>
  </si>
  <si>
    <t>schaute</t>
  </si>
  <si>
    <t>denNaturforscher</t>
  </si>
  <si>
    <t>Häuschens</t>
  </si>
  <si>
    <t>Ecke</t>
  </si>
  <si>
    <t>Gartens</t>
  </si>
  <si>
    <t>other_6</t>
  </si>
  <si>
    <t># text = EinSchlüssel drehte sich im Schloss, und nachdem er hineingegangen war, ertöntevon drinnen ein seltsames Geräusch wie von einer Rauferei.</t>
  </si>
  <si>
    <t>EinSchlüssel</t>
  </si>
  <si>
    <t>drehte</t>
  </si>
  <si>
    <t>Schloss</t>
  </si>
  <si>
    <t>nachdem</t>
  </si>
  <si>
    <t>hineingegangen</t>
  </si>
  <si>
    <t>ertöntevon</t>
  </si>
  <si>
    <t>pron.pint</t>
  </si>
  <si>
    <t>seltsames</t>
  </si>
  <si>
    <t>Geräusch</t>
  </si>
  <si>
    <t>Rauferei</t>
  </si>
  <si>
    <t># text = Er hielt sichhöchstens ein oder zwei Minuten dort auf, dann hörte ich den Schlüssel sicherneut im Schloss drehen.</t>
  </si>
  <si>
    <t>Er</t>
  </si>
  <si>
    <t>hielt</t>
  </si>
  <si>
    <t>sichhöchstens</t>
  </si>
  <si>
    <t>oder</t>
  </si>
  <si>
    <t>Minuten</t>
  </si>
  <si>
    <t>Schlüssel</t>
  </si>
  <si>
    <t>sicherneut</t>
  </si>
  <si>
    <t># text = Wieder lief Stapleton an mir vorbei, kehrte in dasHaus zurück und setzte sich zu seinem Gast.</t>
  </si>
  <si>
    <t>Wieder</t>
  </si>
  <si>
    <t>lief</t>
  </si>
  <si>
    <t>vorbei</t>
  </si>
  <si>
    <t>kehrte</t>
  </si>
  <si>
    <t>dasHaus</t>
  </si>
  <si>
    <t>setzte</t>
  </si>
  <si>
    <t>seinem</t>
  </si>
  <si>
    <t>Gast</t>
  </si>
  <si>
    <t># text = Ich kroch leise dorthin zurück, womeine Gefährten darauf warteten, was ich zu erzählen hatte.</t>
  </si>
  <si>
    <t>leise</t>
  </si>
  <si>
    <t>dorthin</t>
  </si>
  <si>
    <t>womeine</t>
  </si>
  <si>
    <t>Gefährten</t>
  </si>
  <si>
    <t>darauf</t>
  </si>
  <si>
    <t>warteten</t>
  </si>
  <si>
    <t># text = »Du hast gesagt, dass Mrs. Stapleton nicht dort war?« fragte Holmes, als ichmeinen Bericht beendet hatte.</t>
  </si>
  <si>
    <t>hast</t>
  </si>
  <si>
    <t>gesagt</t>
  </si>
  <si>
    <t>Mrs</t>
  </si>
  <si>
    <t>fragte</t>
  </si>
  <si>
    <t>ichmeinen</t>
  </si>
  <si>
    <t>Bericht</t>
  </si>
  <si>
    <t>beendet</t>
  </si>
  <si>
    <t># text = »So ist es.«</t>
  </si>
  <si>
    <t>So</t>
  </si>
  <si>
    <t># text = »Wo kann sie dann sein, da doch nirgends sonst Licht brennt außer in der Küche?«</t>
  </si>
  <si>
    <t>Wo</t>
  </si>
  <si>
    <t>kann</t>
  </si>
  <si>
    <t>da</t>
  </si>
  <si>
    <t>nirgends</t>
  </si>
  <si>
    <t>sonst</t>
  </si>
  <si>
    <t>Licht</t>
  </si>
  <si>
    <t>brennt</t>
  </si>
  <si>
    <t>außer</t>
  </si>
  <si>
    <t>Küche</t>
  </si>
  <si>
    <t># text = »Ich habe keine Ahnung, wo sie sein könnte.«</t>
  </si>
  <si>
    <t>keine</t>
  </si>
  <si>
    <t>Ahnung</t>
  </si>
  <si>
    <t>wo</t>
  </si>
  <si>
    <t>könnte</t>
  </si>
  <si>
    <t># text = Wie schon erwähnt hing über dem großen Grimpener Moor ein dichter, weißerNebel.</t>
  </si>
  <si>
    <t>Wie</t>
  </si>
  <si>
    <t>erwähnt</t>
  </si>
  <si>
    <t>hing</t>
  </si>
  <si>
    <t>großen</t>
  </si>
  <si>
    <t>dichter</t>
  </si>
  <si>
    <t>weißerNebel</t>
  </si>
  <si>
    <t># text = Langsam trieb er auf uns zu und baute sich wie eine zwar niedrige, aberdicke und undurchdringliche Wand vor uns auf.</t>
  </si>
  <si>
    <t>Langsam</t>
  </si>
  <si>
    <t>trieb</t>
  </si>
  <si>
    <t>baute</t>
  </si>
  <si>
    <t>zwar</t>
  </si>
  <si>
    <t>niedrige</t>
  </si>
  <si>
    <t>aberdicke</t>
  </si>
  <si>
    <t>undurchdringliche</t>
  </si>
  <si>
    <t>Wand</t>
  </si>
  <si>
    <t># text = Der Mond schien auf sie herab undließ sie wie eine große, glänzende Eisfläche aussehen, aus welcher die Spitzender Felstürme in der Ferne wie Klippen herausragten.</t>
  </si>
  <si>
    <t>Mond</t>
  </si>
  <si>
    <t>schien</t>
  </si>
  <si>
    <t>herab</t>
  </si>
  <si>
    <t>undließ</t>
  </si>
  <si>
    <t>glänzende</t>
  </si>
  <si>
    <t>Eisfläche</t>
  </si>
  <si>
    <t>aussehen</t>
  </si>
  <si>
    <t>Spitzender</t>
  </si>
  <si>
    <t>Felstürme</t>
  </si>
  <si>
    <t>Ferne</t>
  </si>
  <si>
    <t>Klippen</t>
  </si>
  <si>
    <t>herausragten</t>
  </si>
  <si>
    <t># text = Holmes drehte sich nachihr um und murmelte ungeduldig etwas vor sich hin, ihre langsame Bewegungständig beobachtend.</t>
  </si>
  <si>
    <t>nachihr</t>
  </si>
  <si>
    <t>um</t>
  </si>
  <si>
    <t>murmelte</t>
  </si>
  <si>
    <t>ungeduldig</t>
  </si>
  <si>
    <t>hin</t>
  </si>
  <si>
    <t>ihre</t>
  </si>
  <si>
    <t>langsame</t>
  </si>
  <si>
    <t>Bewegungständig</t>
  </si>
  <si>
    <t>beobachtend</t>
  </si>
  <si>
    <t># text = »Sie kommt auf uns zu, Watson.«</t>
  </si>
  <si>
    <t>kommt</t>
  </si>
  <si>
    <t># text = »Ist das schlimm?«</t>
  </si>
  <si>
    <t>Ist</t>
  </si>
  <si>
    <t>schlimm</t>
  </si>
  <si>
    <t># text = »Sogar sehr schlimm – so ziemlich das einzige, das meine Pläne durcheinanderbringen kann.</t>
  </si>
  <si>
    <t>Sogar</t>
  </si>
  <si>
    <t>ziemlich</t>
  </si>
  <si>
    <t>einzige</t>
  </si>
  <si>
    <t>durcheinanderbringen</t>
  </si>
  <si>
    <t># text = Sir Henry kann jetzt nicht mehr lange bleiben, es ist schon zehnUhr.</t>
  </si>
  <si>
    <t>jetzt</t>
  </si>
  <si>
    <t>mehr</t>
  </si>
  <si>
    <t>lange</t>
  </si>
  <si>
    <t>zehnUhr</t>
  </si>
  <si>
    <t># text = Unser Erfolg und sogar sein Leben könnten davon abhängen, ob erherauskommt, bevor sich diese Nebelwand über den Weg geschoben hat.«</t>
  </si>
  <si>
    <t>Unser</t>
  </si>
  <si>
    <t>Erfolg</t>
  </si>
  <si>
    <t>sogar</t>
  </si>
  <si>
    <t>Leben</t>
  </si>
  <si>
    <t>könnten</t>
  </si>
  <si>
    <t>davon</t>
  </si>
  <si>
    <t>ob</t>
  </si>
  <si>
    <t>erherauskommt</t>
  </si>
  <si>
    <t>Nebelwand</t>
  </si>
  <si>
    <t>geschoben</t>
  </si>
  <si>
    <t>hat</t>
  </si>
  <si>
    <t># text = Über uns war die Nacht klar und schön.</t>
  </si>
  <si>
    <t>Über</t>
  </si>
  <si>
    <t>Nacht</t>
  </si>
  <si>
    <t>klar</t>
  </si>
  <si>
    <t>schön</t>
  </si>
  <si>
    <t># text = Kalt und hell strahlten die Sterne,während der Halbmond die ganze Landschaft in ein sanftes, unstetes Lichttauchte.</t>
  </si>
  <si>
    <t>Kalt</t>
  </si>
  <si>
    <t>Sterne,während</t>
  </si>
  <si>
    <t>Halbmond</t>
  </si>
  <si>
    <t>ganze</t>
  </si>
  <si>
    <t>Landschaft</t>
  </si>
  <si>
    <t>sanftes</t>
  </si>
  <si>
    <t>unstetes</t>
  </si>
  <si>
    <t>Lichttauchte</t>
  </si>
  <si>
    <t># text = Vor uns lag die dunkle Masse des Hauses, dessen gezacktes Dach undhohen Kamine sich scharf gegen den silbrig schimmernden Himmel abhoben.</t>
  </si>
  <si>
    <t>Vor</t>
  </si>
  <si>
    <t>Masse</t>
  </si>
  <si>
    <t>dessen</t>
  </si>
  <si>
    <t>gezacktes</t>
  </si>
  <si>
    <t>Dach</t>
  </si>
  <si>
    <t>undhohen</t>
  </si>
  <si>
    <t>Kamine</t>
  </si>
  <si>
    <t>scharf</t>
  </si>
  <si>
    <t>gegen</t>
  </si>
  <si>
    <t>silbrig</t>
  </si>
  <si>
    <t>schimmernden</t>
  </si>
  <si>
    <t>Himmel</t>
  </si>
  <si>
    <t>abhoben</t>
  </si>
  <si>
    <t># text = Aus denunteren Fenstern ergossen sich breite Streifen goldenen Lichts über den Gartenund das Moor.</t>
  </si>
  <si>
    <t>Aus</t>
  </si>
  <si>
    <t>denunteren</t>
  </si>
  <si>
    <t>Fenstern</t>
  </si>
  <si>
    <t>ergossen</t>
  </si>
  <si>
    <t>breite</t>
  </si>
  <si>
    <t>Streifen</t>
  </si>
  <si>
    <t>goldenen</t>
  </si>
  <si>
    <t>Lichts</t>
  </si>
  <si>
    <t>Gartenund</t>
  </si>
  <si>
    <t># text = Plötzlich erlosch einer von ihnen.</t>
  </si>
  <si>
    <t>Plötzlich</t>
  </si>
  <si>
    <t>erlosch</t>
  </si>
  <si>
    <t>ihnen</t>
  </si>
  <si>
    <t># text = Die Dienstboten hatten dieKüche verlassen.</t>
  </si>
  <si>
    <t>Dienstboten</t>
  </si>
  <si>
    <t>dieKüche</t>
  </si>
  <si>
    <t># text = Nun blieb nur noch die Lampe aus dem Esszimmer übrig, wo diebeiden Männer, der mörderische Gastgeber und sein ahnungsloser Gast, immer nochbei ihren Zigarren plauschten.</t>
  </si>
  <si>
    <t>Nun</t>
  </si>
  <si>
    <t>blieb</t>
  </si>
  <si>
    <t>Lampe</t>
  </si>
  <si>
    <t>übrig</t>
  </si>
  <si>
    <t>diebeiden</t>
  </si>
  <si>
    <t>mörderische</t>
  </si>
  <si>
    <t>Gastgeber</t>
  </si>
  <si>
    <t>ahnungsloser</t>
  </si>
  <si>
    <t>nochbei</t>
  </si>
  <si>
    <t>ihren</t>
  </si>
  <si>
    <t>plauschten</t>
  </si>
  <si>
    <t># text = Jede Minute schob sich diese weiße, wattige Fläche, die schon eine Hälfte desMoors bedeckte, näher und näher an das Haus heran.</t>
  </si>
  <si>
    <t>Jede</t>
  </si>
  <si>
    <t>Minute</t>
  </si>
  <si>
    <t>schob</t>
  </si>
  <si>
    <t>weiße</t>
  </si>
  <si>
    <t>wattige</t>
  </si>
  <si>
    <t>Fläche</t>
  </si>
  <si>
    <t>Hälfte</t>
  </si>
  <si>
    <t>desMoors</t>
  </si>
  <si>
    <t>bedeckte</t>
  </si>
  <si>
    <t>heran</t>
  </si>
  <si>
    <t># text = Die ersten dünnen Strähnenwehten bereits durch das goldene Rechteck des beleuchteten Fensters, man konntekaum noch die jenseitige Mauer des Gartens erkennen, vor der die Bäume auseinem Wirbel weißen Dunstes herausragten.</t>
  </si>
  <si>
    <t>ersten</t>
  </si>
  <si>
    <t>dünnen</t>
  </si>
  <si>
    <t>Strähnenwehten</t>
  </si>
  <si>
    <t>bereits</t>
  </si>
  <si>
    <t>goldene</t>
  </si>
  <si>
    <t>Rechteck</t>
  </si>
  <si>
    <t>beleuchteten</t>
  </si>
  <si>
    <t>Fensters</t>
  </si>
  <si>
    <t>konntekaum</t>
  </si>
  <si>
    <t>jenseitige</t>
  </si>
  <si>
    <t>Bäume</t>
  </si>
  <si>
    <t>auseinem</t>
  </si>
  <si>
    <t>Wirbel</t>
  </si>
  <si>
    <t>weißen</t>
  </si>
  <si>
    <t>Dunstes</t>
  </si>
  <si>
    <t># text = Während wir hinsahen, krochen schonNebelschwaden um beide Ecken des Hauses und fügten sich langsam zu einerdichten Bank zusammen, auf welcher der obere Stock und das Dach wie einseltsames Schiff auf nächtlicher See zu schweben schienen.</t>
  </si>
  <si>
    <t>hinsahen</t>
  </si>
  <si>
    <t>schonNebelschwaden</t>
  </si>
  <si>
    <t>beide</t>
  </si>
  <si>
    <t>Ecken</t>
  </si>
  <si>
    <t>def-np.quant</t>
  </si>
  <si>
    <t>fügten</t>
  </si>
  <si>
    <t>langsam</t>
  </si>
  <si>
    <t>einerdichten</t>
  </si>
  <si>
    <t>Bank</t>
  </si>
  <si>
    <t>zusammen</t>
  </si>
  <si>
    <t>obere</t>
  </si>
  <si>
    <t>Stock</t>
  </si>
  <si>
    <t>einseltsames</t>
  </si>
  <si>
    <t>Schiff</t>
  </si>
  <si>
    <t>nächtlicher</t>
  </si>
  <si>
    <t>See</t>
  </si>
  <si>
    <t>schweben</t>
  </si>
  <si>
    <t>schienen</t>
  </si>
  <si>
    <t># text = Holmes schlugleidenschaftlich mit der Hand auf den Felsen vor uns und stampfte ungeduldigmit dem Fuß auf.</t>
  </si>
  <si>
    <t>schlugleidenschaftlich</t>
  </si>
  <si>
    <t>Hand</t>
  </si>
  <si>
    <t>stampfte</t>
  </si>
  <si>
    <t>ungeduldigmit</t>
  </si>
  <si>
    <t># text = »Wenn er nicht in einer Viertelstunde draußen ist, wird der Pfad vom Nebelbedeckt sein.</t>
  </si>
  <si>
    <t>Wenn</t>
  </si>
  <si>
    <t>Viertelstunde</t>
  </si>
  <si>
    <t>draußen</t>
  </si>
  <si>
    <t>Nebelbedeckt</t>
  </si>
  <si>
    <t># text = In einer halben Stunde werden wir unsere Hand nicht mehr vorAugen sehen können.«</t>
  </si>
  <si>
    <t>halben</t>
  </si>
  <si>
    <t>Stunde</t>
  </si>
  <si>
    <t>vorAugen</t>
  </si>
  <si>
    <t>können</t>
  </si>
  <si>
    <t># text = »Sollen wir uns etwas zurückziehen auf höher liegendes Land?«</t>
  </si>
  <si>
    <t>Sollen</t>
  </si>
  <si>
    <t>höher</t>
  </si>
  <si>
    <t>liegendes</t>
  </si>
  <si>
    <t>Land</t>
  </si>
  <si>
    <t># text = »Ja, das wird meiner Ansicht nach ebenso gut sein.«</t>
  </si>
  <si>
    <t>meiner</t>
  </si>
  <si>
    <t>Ansicht</t>
  </si>
  <si>
    <t>ebenso</t>
  </si>
  <si>
    <t># text = Im selben Maße, wie die Nebelbank vorankroch, wichen wir vor ihr zurück, biswir ein paar hundert Meter vom Haus entfernt waren, doch noch immer wälzte sichdieses dichte weiße Meer, deren Oberfläche vom Mond silbern beschienen wurde,langsam und unerbittlich vor.</t>
  </si>
  <si>
    <t>selben</t>
  </si>
  <si>
    <t>Maße</t>
  </si>
  <si>
    <t>Nebelbank</t>
  </si>
  <si>
    <t>vorankroch</t>
  </si>
  <si>
    <t>wichen</t>
  </si>
  <si>
    <t>ihr</t>
  </si>
  <si>
    <t>biswir</t>
  </si>
  <si>
    <t>paar</t>
  </si>
  <si>
    <t>hundert</t>
  </si>
  <si>
    <t>wälzte</t>
  </si>
  <si>
    <t>sichdieses</t>
  </si>
  <si>
    <t>dichte</t>
  </si>
  <si>
    <t>Meer</t>
  </si>
  <si>
    <t>deren</t>
  </si>
  <si>
    <t>Oberfläche</t>
  </si>
  <si>
    <t>silbern</t>
  </si>
  <si>
    <t>beschienen</t>
  </si>
  <si>
    <t>wurde,</t>
  </si>
  <si>
    <t>unerbittlich</t>
  </si>
  <si>
    <t># text = »Wir sind zu weit weg«, sagte Holmes.</t>
  </si>
  <si>
    <t>weit</t>
  </si>
  <si>
    <t>weg</t>
  </si>
  <si>
    <t># text = »Wir dürfen nicht das Risiko eingehen,dass er eingeholt wird, bevor er uns erreicht hat.</t>
  </si>
  <si>
    <t>dürfen</t>
  </si>
  <si>
    <t>eingehen,dass</t>
  </si>
  <si>
    <t>eingeholt</t>
  </si>
  <si>
    <t>erreicht</t>
  </si>
  <si>
    <t># text = Unter allen Umständen müssenwir ausharren, wo wir uns befinden.«</t>
  </si>
  <si>
    <t>Unter</t>
  </si>
  <si>
    <t>allen</t>
  </si>
  <si>
    <t>Umständen</t>
  </si>
  <si>
    <t>müssenwir</t>
  </si>
  <si>
    <t># text = Er kniete sich hin und legte sein Ohr aufden Boden.</t>
  </si>
  <si>
    <t>kniete</t>
  </si>
  <si>
    <t>legte</t>
  </si>
  <si>
    <t>Ohr</t>
  </si>
  <si>
    <t>aufden</t>
  </si>
  <si>
    <t>Boden</t>
  </si>
  <si>
    <t># text = »Gott sei Dank, ich höre ihn kommen.«</t>
  </si>
  <si>
    <t>Gott</t>
  </si>
  <si>
    <t>sei</t>
  </si>
  <si>
    <t>höre</t>
  </si>
  <si>
    <t>ihn</t>
  </si>
  <si>
    <t># text = Das Geräusch schneller Schritte durchbrach die Stille des Moores.</t>
  </si>
  <si>
    <t>schneller</t>
  </si>
  <si>
    <t>durchbrach</t>
  </si>
  <si>
    <t>Stille</t>
  </si>
  <si>
    <t>Moores</t>
  </si>
  <si>
    <t># text = Zwischen denFelsen kauernd starrten wir angestrengt auf die Nebelwand vor uns mit ihrersilbernen Oberfläche.</t>
  </si>
  <si>
    <t>Zwischen</t>
  </si>
  <si>
    <t>denFelsen</t>
  </si>
  <si>
    <t>kauernd</t>
  </si>
  <si>
    <t>starrten</t>
  </si>
  <si>
    <t>angestrengt</t>
  </si>
  <si>
    <t>ihrersilbernen</t>
  </si>
  <si>
    <t># text = Die Schritte wurden lauter, und durch den Nebel, wiedurch einen Vorhang, tauchte der Mann auf, den wir erwartet hatten.</t>
  </si>
  <si>
    <t>wurden</t>
  </si>
  <si>
    <t>lauter</t>
  </si>
  <si>
    <t>Nebel</t>
  </si>
  <si>
    <t>wiedurch</t>
  </si>
  <si>
    <t>einen</t>
  </si>
  <si>
    <t>Vorhang</t>
  </si>
  <si>
    <t>tauchte</t>
  </si>
  <si>
    <t>Mann</t>
  </si>
  <si>
    <t>erwartet</t>
  </si>
  <si>
    <t># text = Überraschtschaute er sich um, als er in die klare, sternenbeschienene Nacht hinaustrat.Dann schritt er rasch den Weg entlang, lief an unserem Versteck vorüber undstieg den langen Hang hinter uns empor, dabei drehte er sich die ganze Zeit umwie jemand, der sich nicht wohl fühlt.</t>
  </si>
  <si>
    <t>Überraschtschaute</t>
  </si>
  <si>
    <t>klare</t>
  </si>
  <si>
    <t>sternenbeschienene</t>
  </si>
  <si>
    <t>hinaustrat.Dann</t>
  </si>
  <si>
    <t>schritt</t>
  </si>
  <si>
    <t>rasch</t>
  </si>
  <si>
    <t>Versteck</t>
  </si>
  <si>
    <t>vorüber</t>
  </si>
  <si>
    <t>undstieg</t>
  </si>
  <si>
    <t>Hang</t>
  </si>
  <si>
    <t>empor</t>
  </si>
  <si>
    <t>dabei</t>
  </si>
  <si>
    <t>Zeit</t>
  </si>
  <si>
    <t>umwie</t>
  </si>
  <si>
    <t>jemand</t>
  </si>
  <si>
    <t>wohl</t>
  </si>
  <si>
    <t>fühlt</t>
  </si>
  <si>
    <t># text = »Psst!« rief Holmes, und ich hörte das scharfe Klicken einer Pistole, dieentsichert wurde.</t>
  </si>
  <si>
    <t>Psst</t>
  </si>
  <si>
    <t>rief</t>
  </si>
  <si>
    <t>scharfe</t>
  </si>
  <si>
    <t>Klicken</t>
  </si>
  <si>
    <t>Pistole</t>
  </si>
  <si>
    <t>dieentsichert</t>
  </si>
  <si>
    <t># text = »Vorsicht!</t>
  </si>
  <si>
    <t># text = Er kommt!«</t>
  </si>
  <si>
    <t># text = Von irgendwoher aus dem Innersten dieser wallenden Nebelbank kam ein dünnes,kratzendes, regelmäßiges Getrappel.</t>
  </si>
  <si>
    <t>Von</t>
  </si>
  <si>
    <t>irgendwoher</t>
  </si>
  <si>
    <t>Innersten</t>
  </si>
  <si>
    <t>wallenden</t>
  </si>
  <si>
    <t>kam</t>
  </si>
  <si>
    <t>dünnes,</t>
  </si>
  <si>
    <t>kratzendes</t>
  </si>
  <si>
    <t>regelmäßiges</t>
  </si>
  <si>
    <t>Getrappel</t>
  </si>
  <si>
    <t># text = Die Wolke hing etwa fünfzig Meter vor uns,und wir starrten sie alle drei an in der unsicheren Erwartung, was für einSchrecken wohl aus ihr hervorbrechen würde.</t>
  </si>
  <si>
    <t>Wolke</t>
  </si>
  <si>
    <t>fünfzig</t>
  </si>
  <si>
    <t>uns,</t>
  </si>
  <si>
    <t>alle</t>
  </si>
  <si>
    <t>drei</t>
  </si>
  <si>
    <t>unsicheren</t>
  </si>
  <si>
    <t>einSchrecken</t>
  </si>
  <si>
    <t>hervorbrechen</t>
  </si>
  <si>
    <t>würde</t>
  </si>
  <si>
    <t># text = Ich lag dicht neben Holmes undschaute ihm einen Moment lang ins Gesicht.</t>
  </si>
  <si>
    <t>dicht</t>
  </si>
  <si>
    <t>neben</t>
  </si>
  <si>
    <t>undschaute</t>
  </si>
  <si>
    <t>ihm</t>
  </si>
  <si>
    <t>Moment</t>
  </si>
  <si>
    <t>lang</t>
  </si>
  <si>
    <t>Gesicht</t>
  </si>
  <si>
    <t># text = Es war bleich und triumphierend,seine Augen leuchteten im Mondlicht.</t>
  </si>
  <si>
    <t>triumphierend,seine</t>
  </si>
  <si>
    <t>Augen</t>
  </si>
  <si>
    <t>leuchteten</t>
  </si>
  <si>
    <t>Mondlicht</t>
  </si>
  <si>
    <t># text = Doch plötzlich erstarrte sein Blick undseine Lippen öffneten sich verwundert.</t>
  </si>
  <si>
    <t>Doch</t>
  </si>
  <si>
    <t>plötzlich</t>
  </si>
  <si>
    <t>erstarrte</t>
  </si>
  <si>
    <t>Blick</t>
  </si>
  <si>
    <t>undseine</t>
  </si>
  <si>
    <t>Lippen</t>
  </si>
  <si>
    <t>öffneten</t>
  </si>
  <si>
    <t>verwundert</t>
  </si>
  <si>
    <t># text = Im selben Moment stieß Lestrade einenSchreckensschrei aus und warf sich mit dem Gesicht nach unten auf den Boden.Ich sprang auf, meine Hand griff nach der Pistole, doch mein Geist war wiegelähmt durch das schreckliche Geschöpf, das vor uns aus den Schatten desNebels hervorgesprungen kam.</t>
  </si>
  <si>
    <t>stieß</t>
  </si>
  <si>
    <t>einenSchreckensschrei</t>
  </si>
  <si>
    <t>unten</t>
  </si>
  <si>
    <t>Boden.Ich</t>
  </si>
  <si>
    <t>sprang</t>
  </si>
  <si>
    <t>griff</t>
  </si>
  <si>
    <t>mein</t>
  </si>
  <si>
    <t>Geist</t>
  </si>
  <si>
    <t>wiegelähmt</t>
  </si>
  <si>
    <t>schreckliche</t>
  </si>
  <si>
    <t>Geschöpf</t>
  </si>
  <si>
    <t>Schatten</t>
  </si>
  <si>
    <t>desNebels</t>
  </si>
  <si>
    <t>hervorgesprungen</t>
  </si>
  <si>
    <t># text = Es war ein Hund, ein riesiger, pechschwarzer Hund,doch kein Hund, wie ihn sterbliche Augen jemals gesehen haben.</t>
  </si>
  <si>
    <t>riesiger</t>
  </si>
  <si>
    <t>pechschwarzer</t>
  </si>
  <si>
    <t>Hund,doch</t>
  </si>
  <si>
    <t>sterbliche</t>
  </si>
  <si>
    <t>jemals</t>
  </si>
  <si>
    <t>gesehen</t>
  </si>
  <si>
    <t># text = Feuer schoss ausseinem offenen Rachen, aus den Augen glühte schwelende Glut, Lefzen und Nackenwaren von hellen Flammen umlodert.</t>
  </si>
  <si>
    <t>Feuer</t>
  </si>
  <si>
    <t>schoss</t>
  </si>
  <si>
    <t>ausseinem</t>
  </si>
  <si>
    <t>offenen</t>
  </si>
  <si>
    <t>Rachen</t>
  </si>
  <si>
    <t>glühte</t>
  </si>
  <si>
    <t>schwelende</t>
  </si>
  <si>
    <t>Glut</t>
  </si>
  <si>
    <t>Lefzen</t>
  </si>
  <si>
    <t>Nackenwaren</t>
  </si>
  <si>
    <t>hellen</t>
  </si>
  <si>
    <t>Flammen</t>
  </si>
  <si>
    <t>umlodert</t>
  </si>
  <si>
    <t># text = Kein wahnsinniger Traum eines irren Hirnskonnte ein wilderes, entsetzlicheres, höllischeres Ungeheuer erzeugen als diesenachtschwarze Schöpfung mit teuflischer Fratze, die uns aus der Nebelwandentgegenstürzte.</t>
  </si>
  <si>
    <t>Kein</t>
  </si>
  <si>
    <t>wahnsinniger</t>
  </si>
  <si>
    <t>Traum</t>
  </si>
  <si>
    <t>irren</t>
  </si>
  <si>
    <t>Hirnskonnte</t>
  </si>
  <si>
    <t>wilderes</t>
  </si>
  <si>
    <t>entsetzlicheres</t>
  </si>
  <si>
    <t>höllischeres</t>
  </si>
  <si>
    <t>Ungeheuer</t>
  </si>
  <si>
    <t>diesenachtschwarze</t>
  </si>
  <si>
    <t>Schöpfung</t>
  </si>
  <si>
    <t>teuflischer</t>
  </si>
  <si>
    <t>Fratze</t>
  </si>
  <si>
    <t>Nebelwandentgegenstürzte</t>
  </si>
  <si>
    <t># text = Mit langen Sätzen schoss das enorme schwarze Ungeheuer den Weg entlang, unseremFreund dicht auf den Fersen.</t>
  </si>
  <si>
    <t>Mit</t>
  </si>
  <si>
    <t>Sätzen</t>
  </si>
  <si>
    <t>enorme</t>
  </si>
  <si>
    <t>schwarze</t>
  </si>
  <si>
    <t>unseremFreund</t>
  </si>
  <si>
    <t>Fersen</t>
  </si>
  <si>
    <t># text = Wir waren dermaßen gelähmt durch die Erscheinung,dass er an uns vorüber war, bevor wir uns wieder gefasst hatten.</t>
  </si>
  <si>
    <t>dermaßen</t>
  </si>
  <si>
    <t>gelähmt</t>
  </si>
  <si>
    <t>Erscheinung,dass</t>
  </si>
  <si>
    <t>gefasst</t>
  </si>
  <si>
    <t># text = Dann feuertenHolmes und ich gleichzeitig, und ein schreckliches Heulen der Kreatur bewiesuns, dass wenigstens einer getroffen hatte.</t>
  </si>
  <si>
    <t>gleichzeitig</t>
  </si>
  <si>
    <t>schreckliches</t>
  </si>
  <si>
    <t>Heulen</t>
  </si>
  <si>
    <t>Kreatur</t>
  </si>
  <si>
    <t>bewiesuns</t>
  </si>
  <si>
    <t>wenigstens</t>
  </si>
  <si>
    <t>SBJ_5</t>
  </si>
  <si>
    <t>getroffen</t>
  </si>
  <si>
    <t># text = Doch blieb sie nicht stehen,sondern hetzte weiter.</t>
  </si>
  <si>
    <t>stehen,sondern</t>
  </si>
  <si>
    <t>hetzte</t>
  </si>
  <si>
    <t>weiter</t>
  </si>
  <si>
    <t># text = Weiter vorn auf dem Weg sahen wir, wie Sir Henry sichumdrehte, das Gesicht im Mondlicht kreidebleich, seine Hände voller Entsetzenin die Höhe gestreckt, starrte er hilflos auf das entsetzliche Untier, das aufihn zuschoss.</t>
  </si>
  <si>
    <t>Weiter</t>
  </si>
  <si>
    <t>vorn</t>
  </si>
  <si>
    <t>sahen</t>
  </si>
  <si>
    <t>sichumdrehte</t>
  </si>
  <si>
    <t>kreidebleich</t>
  </si>
  <si>
    <t>Hände</t>
  </si>
  <si>
    <t>voller</t>
  </si>
  <si>
    <t>Entsetzenin</t>
  </si>
  <si>
    <t>Höhe</t>
  </si>
  <si>
    <t>gestreckt</t>
  </si>
  <si>
    <t>starrte</t>
  </si>
  <si>
    <t>hilflos</t>
  </si>
  <si>
    <t>entsetzliche</t>
  </si>
  <si>
    <t>Untier</t>
  </si>
  <si>
    <t>aufihn</t>
  </si>
  <si>
    <t>zuschoss</t>
  </si>
  <si>
    <t># text = Doch der Schmerzensschrei des Hundes hatte all unsere Ängste vertrieben.</t>
  </si>
  <si>
    <t>Schmerzensschrei</t>
  </si>
  <si>
    <t>Hundes</t>
  </si>
  <si>
    <t>all</t>
  </si>
  <si>
    <t>Ängste</t>
  </si>
  <si>
    <t>vertrieben</t>
  </si>
  <si>
    <t># text = Wenner verwundbar war, so war er sterblich, und wenn wir ihn verwunden konnten, sokonnten wir ihn auch töten.</t>
  </si>
  <si>
    <t>Wenner</t>
  </si>
  <si>
    <t>verwundbar</t>
  </si>
  <si>
    <t>sterblich</t>
  </si>
  <si>
    <t>verwunden</t>
  </si>
  <si>
    <t>konnten</t>
  </si>
  <si>
    <t>sokonnten</t>
  </si>
  <si>
    <t>töten</t>
  </si>
  <si>
    <t># text = Niemals habe ich jemanden so rennen sehen, wieHolmes in jener Nacht gerannt ist.</t>
  </si>
  <si>
    <t>Niemals</t>
  </si>
  <si>
    <t>jemanden</t>
  </si>
  <si>
    <t>rennen</t>
  </si>
  <si>
    <t>wieHolmes</t>
  </si>
  <si>
    <t>jener</t>
  </si>
  <si>
    <t>gerannt</t>
  </si>
  <si>
    <t># text = Ich bin sicherlich gut zu Fuß, aber erhängte mich ebenso sehr ab, wie ich den kleinen Lestrade abhängte.</t>
  </si>
  <si>
    <t>bin</t>
  </si>
  <si>
    <t>erhängte</t>
  </si>
  <si>
    <t>ab</t>
  </si>
  <si>
    <t>kleinen</t>
  </si>
  <si>
    <t>abhängte</t>
  </si>
  <si>
    <t># text = Während wirden Weg entlangstürzten, hörten wir vor uns Schrei auf Schrei von Sir Henry unddas tiefe Knurren des Hundes.</t>
  </si>
  <si>
    <t>wirden</t>
  </si>
  <si>
    <t>entlangstürzten</t>
  </si>
  <si>
    <t>hörten</t>
  </si>
  <si>
    <t>Schrei</t>
  </si>
  <si>
    <t>unddas</t>
  </si>
  <si>
    <t>tiefe</t>
  </si>
  <si>
    <t>Knurren</t>
  </si>
  <si>
    <t># text = Ich erreichte sie gerade, als die Bestie ihrOpfer ansprang, es zu Boden warf und nach seiner Kehle schnappte.</t>
  </si>
  <si>
    <t>erreichte</t>
  </si>
  <si>
    <t>gerade</t>
  </si>
  <si>
    <t>Bestie</t>
  </si>
  <si>
    <t>ihrOpfer</t>
  </si>
  <si>
    <t>ansprang</t>
  </si>
  <si>
    <t>Kehle</t>
  </si>
  <si>
    <t>schnappte</t>
  </si>
  <si>
    <t># text = Doch imnächsten Augenblick hatte Holmes schon fünf Kugeln seines Revolvers in dieFlanke des Untiers gejagt.</t>
  </si>
  <si>
    <t>imnächsten</t>
  </si>
  <si>
    <t>fünf</t>
  </si>
  <si>
    <t>Kugeln</t>
  </si>
  <si>
    <t>seines</t>
  </si>
  <si>
    <t>Revolvers</t>
  </si>
  <si>
    <t>dieFlanke</t>
  </si>
  <si>
    <t>Untiers</t>
  </si>
  <si>
    <t>gejagt</t>
  </si>
  <si>
    <t># text = Mit einem letzten Aufheulen, im Todeskampf bösartigum sich beißend, rollte der Hund auf den Rücken, schlug mit allen Vieren umsich und fiel dann reglos auf die Flanke.</t>
  </si>
  <si>
    <t>einem</t>
  </si>
  <si>
    <t>letzten</t>
  </si>
  <si>
    <t>Aufheulen</t>
  </si>
  <si>
    <t>Todeskampf</t>
  </si>
  <si>
    <t>bösartigum</t>
  </si>
  <si>
    <t>beißend</t>
  </si>
  <si>
    <t>rollte</t>
  </si>
  <si>
    <t>Rücken</t>
  </si>
  <si>
    <t>schlug</t>
  </si>
  <si>
    <t>Vieren</t>
  </si>
  <si>
    <t>umsich</t>
  </si>
  <si>
    <t>fiel</t>
  </si>
  <si>
    <t>reglos</t>
  </si>
  <si>
    <t>Flanke</t>
  </si>
  <si>
    <t># text = Keuchend beugte ich mich zu ihmhinunter und drückte die Pistole gegen seinen furchtbaren, glühenden Schädel,doch war es sinnlos abzudrücken.</t>
  </si>
  <si>
    <t>Keuchend</t>
  </si>
  <si>
    <t>beugte</t>
  </si>
  <si>
    <t>ihmhinunter</t>
  </si>
  <si>
    <t>drückte</t>
  </si>
  <si>
    <t>furchtbaren</t>
  </si>
  <si>
    <t>glühenden</t>
  </si>
  <si>
    <t>Schädel,doch</t>
  </si>
  <si>
    <t>sinnlos</t>
  </si>
  <si>
    <t>abzudrücken</t>
  </si>
  <si>
    <t># text = Der riesige Hund war tot.</t>
  </si>
  <si>
    <t>riesige</t>
  </si>
  <si>
    <t>tot</t>
  </si>
  <si>
    <t># text = Sir Henry lag bewusstlos an der Stelle, wo er gestürzt war.</t>
  </si>
  <si>
    <t>bewusstlos</t>
  </si>
  <si>
    <t>gestürzt</t>
  </si>
  <si>
    <t># text = Wir rissen seinenKragen auf, und Holmes entfuhr ein Stoßgebet der Dankbarkeit, als er sah, dasskein Anzeichen einer Verletzung zu erkennen und die Hilfe rechtzeitig gekommenwar.</t>
  </si>
  <si>
    <t>seinenKragen</t>
  </si>
  <si>
    <t>entfuhr</t>
  </si>
  <si>
    <t>Stoßgebet</t>
  </si>
  <si>
    <t>Dankbarkeit</t>
  </si>
  <si>
    <t>dasskein</t>
  </si>
  <si>
    <t>Anzeichen</t>
  </si>
  <si>
    <t>Verletzung</t>
  </si>
  <si>
    <t>Hilfe</t>
  </si>
  <si>
    <t>rechtzeitig</t>
  </si>
  <si>
    <t>gekommenwar</t>
  </si>
  <si>
    <t># text = Schon vibrierten die Augenlider unseres Freundes und er machte einenschwachen Versuch aufzustehen.</t>
  </si>
  <si>
    <t>Schon</t>
  </si>
  <si>
    <t>vibrierten</t>
  </si>
  <si>
    <t>Augenlider</t>
  </si>
  <si>
    <t>unseres</t>
  </si>
  <si>
    <t>Freundes</t>
  </si>
  <si>
    <t>machte</t>
  </si>
  <si>
    <t>einenschwachen</t>
  </si>
  <si>
    <t>Versuch</t>
  </si>
  <si>
    <t>aufzustehen</t>
  </si>
  <si>
    <t># text = Lestrade schob seine Brandyflasche zwischen dieLippen des Baronets, der uns mit vor Entsetzen geweiteten Augen anstarrte.</t>
  </si>
  <si>
    <t>zwischen</t>
  </si>
  <si>
    <t>dieLippen</t>
  </si>
  <si>
    <t>Baronets</t>
  </si>
  <si>
    <t>OBJ_5</t>
  </si>
  <si>
    <t>Entsetzen</t>
  </si>
  <si>
    <t>geweiteten</t>
  </si>
  <si>
    <t>anstarrte</t>
  </si>
  <si>
    <t># text = »Mein Gott«, flüsterte er, »Was war das?</t>
  </si>
  <si>
    <t>flüsterte</t>
  </si>
  <si>
    <t>Was</t>
  </si>
  <si>
    <t># text = Was um alles in der Welt war das?«</t>
  </si>
  <si>
    <t>alles</t>
  </si>
  <si>
    <t>Welt</t>
  </si>
  <si>
    <t># text = »Was immer es war, jetzt ist es tot«, sagte Holmes.</t>
  </si>
  <si>
    <t># text = »Wir haben dasFamiliengespenst ein für allemal zur Strecke gebracht.«</t>
  </si>
  <si>
    <t>dasFamiliengespenst</t>
  </si>
  <si>
    <t>allemal</t>
  </si>
  <si>
    <t>Strecke</t>
  </si>
  <si>
    <t>gebracht</t>
  </si>
  <si>
    <t># text = Von seiner bloßen Größe und Stärke her war es ein schreckliches Geschöpf, dasvor uns ausgestreckt lag.</t>
  </si>
  <si>
    <t>bloßen</t>
  </si>
  <si>
    <t>Größe</t>
  </si>
  <si>
    <t>Stärke</t>
  </si>
  <si>
    <t>dasvor</t>
  </si>
  <si>
    <t>ausgestreckt</t>
  </si>
  <si>
    <t># text = Es war kein reinrassiger Bluthund und keinereinrassige Dogge, sondern schien eine Mischung beider zu sein – hager, wildund so groß wie eine kleine Löwin.</t>
  </si>
  <si>
    <t>reinrassiger</t>
  </si>
  <si>
    <t>Bluthund</t>
  </si>
  <si>
    <t>keinereinrassige</t>
  </si>
  <si>
    <t>Dogge</t>
  </si>
  <si>
    <t>Mischung</t>
  </si>
  <si>
    <t>beider</t>
  </si>
  <si>
    <t>hager</t>
  </si>
  <si>
    <t>wildund</t>
  </si>
  <si>
    <t>groß</t>
  </si>
  <si>
    <t>Löwin</t>
  </si>
  <si>
    <t># text = Selbst jetzt, da es in der Reglosigkeit desTodes vor uns lag, schien eine bläuliche Flamme von seinen Lefzen zu tropfenund die kleinen, tief liegenden, grausamen Augen waren von Feuer umgeben.</t>
  </si>
  <si>
    <t>Selbst</t>
  </si>
  <si>
    <t>Reglosigkeit</t>
  </si>
  <si>
    <t>desTodes</t>
  </si>
  <si>
    <t>bläuliche</t>
  </si>
  <si>
    <t>Flamme</t>
  </si>
  <si>
    <t>tropfenund</t>
  </si>
  <si>
    <t>tief</t>
  </si>
  <si>
    <t>liegenden</t>
  </si>
  <si>
    <t>grausamen</t>
  </si>
  <si>
    <t>umgeben</t>
  </si>
  <si>
    <t># text = Ichlegte meine Hand auf das glimmende Maul, und als ich sie in die Höhe hob,glühten und leuchteten meine eigenen Finger in der Dunkelheit.</t>
  </si>
  <si>
    <t>Ichlegte</t>
  </si>
  <si>
    <t>glimmende</t>
  </si>
  <si>
    <t>Maul</t>
  </si>
  <si>
    <t>hob,glühten</t>
  </si>
  <si>
    <t>eigenen</t>
  </si>
  <si>
    <t>Finger</t>
  </si>
  <si>
    <t>Dunkelheit</t>
  </si>
  <si>
    <t># text = »Phosphor«, sagte ich.</t>
  </si>
  <si>
    <t>Phosphor</t>
  </si>
  <si>
    <t># text = »Und schlau zubereitet«, sagte Holmes, der das tote Tier beschnüffelte.</t>
  </si>
  <si>
    <t>schlau</t>
  </si>
  <si>
    <t>zubereitet</t>
  </si>
  <si>
    <t>tote</t>
  </si>
  <si>
    <t>Tier</t>
  </si>
  <si>
    <t>beschnüffelte</t>
  </si>
  <si>
    <t># text = »Es hatkeinen Geruch, der sein Witterungsvermögen irritieren könnte.</t>
  </si>
  <si>
    <t>hatkeinen</t>
  </si>
  <si>
    <t>Witterungsvermögen</t>
  </si>
  <si>
    <t>irritieren</t>
  </si>
  <si>
    <t># text = Wir müssen unszutiefst bei Ihnen entschuldigen, Sir Henry, dass wir Sie diesem Schreckenausgesetzt haben.</t>
  </si>
  <si>
    <t>müssen</t>
  </si>
  <si>
    <t>unszutiefst</t>
  </si>
  <si>
    <t>bei</t>
  </si>
  <si>
    <t>Ihnen</t>
  </si>
  <si>
    <t>Schreckenausgesetzt</t>
  </si>
  <si>
    <t># text = Auf einen Hund war ich vorbereitet, doch nicht auf ein Untierwie dieses.</t>
  </si>
  <si>
    <t>Untierwie</t>
  </si>
  <si>
    <t>dieses</t>
  </si>
  <si>
    <t># text = Und wegen des Nebels hatten wir kaum Zeit, ihm entgegenzutreten.«</t>
  </si>
  <si>
    <t>wegen</t>
  </si>
  <si>
    <t>Nebels</t>
  </si>
  <si>
    <t>kaum</t>
  </si>
  <si>
    <t>entgegenzutreten</t>
  </si>
  <si>
    <t># text = »Sie haben mein Leben gerettet.«</t>
  </si>
  <si>
    <t>gerettet</t>
  </si>
  <si>
    <t># text = »Nachdem wir es erst in Gefahr gebracht haben.</t>
  </si>
  <si>
    <t>Nachdem</t>
  </si>
  <si>
    <t>erst</t>
  </si>
  <si>
    <t>Gefahr</t>
  </si>
  <si>
    <t># text = Sind Sie kräftig genugaufzustehen?«</t>
  </si>
  <si>
    <t>kräftig</t>
  </si>
  <si>
    <t># text = »Geben Sie mir noch einen Schluck von diesem Brandy, dann werde ich zu allembereit sein.</t>
  </si>
  <si>
    <t>Geben</t>
  </si>
  <si>
    <t>Schluck</t>
  </si>
  <si>
    <t>Brandy</t>
  </si>
  <si>
    <t>werde</t>
  </si>
  <si>
    <t>allembereit</t>
  </si>
  <si>
    <t># text = So, wenn Sie mir jetzt aufhelfen würden.</t>
  </si>
  <si>
    <t>würden</t>
  </si>
  <si>
    <t># text = Was gedenken Sie nun zuunternehmen?«</t>
  </si>
  <si>
    <t>gedenken</t>
  </si>
  <si>
    <t>nun</t>
  </si>
  <si>
    <t>zuunternehmen</t>
  </si>
  <si>
    <t># text = »Sie hierzulassen.</t>
  </si>
  <si>
    <t># text = Sie sind nicht in der Verfassung für weitere Abenteuer indieser Nacht.</t>
  </si>
  <si>
    <t>Verfassung</t>
  </si>
  <si>
    <t>weitere</t>
  </si>
  <si>
    <t>indieser</t>
  </si>
  <si>
    <t># text = Wenn Sie warten wollen, kann einer von uns Sie nach BaskervilleHall begleiten.«</t>
  </si>
  <si>
    <t>wollen</t>
  </si>
  <si>
    <t>BaskervilleHall</t>
  </si>
  <si>
    <t># text = Er versuchte sich aufzurichten, doch war er immer noch kreidebleich undzitterte an allen Gliedern.</t>
  </si>
  <si>
    <t>versuchte</t>
  </si>
  <si>
    <t>aufzurichten</t>
  </si>
  <si>
    <t>undzitterte</t>
  </si>
  <si>
    <t>Gliedern</t>
  </si>
  <si>
    <t># text = Wir halfen ihm zu einem Felsblock, wo er sichzitternd hinsetzte und sein Gesicht in den Händen vergrub.</t>
  </si>
  <si>
    <t>halfen</t>
  </si>
  <si>
    <t>Felsblock</t>
  </si>
  <si>
    <t>sichzitternd</t>
  </si>
  <si>
    <t>hinsetzte</t>
  </si>
  <si>
    <t>Händen</t>
  </si>
  <si>
    <t>vergrub</t>
  </si>
  <si>
    <t># text = »Wir müssen Sie jetzt hierlassen«, sagte Holmes.</t>
  </si>
  <si>
    <t>hierlassen</t>
  </si>
  <si>
    <t># text = »Der Rest unserer Arbeit mussgetan werden und jeder Augenblick ist kostbar.</t>
  </si>
  <si>
    <t>Rest</t>
  </si>
  <si>
    <t>Arbeit</t>
  </si>
  <si>
    <t>mussgetan</t>
  </si>
  <si>
    <t>jeder</t>
  </si>
  <si>
    <t>kostbar</t>
  </si>
  <si>
    <t># text = Wir haben nunmehr unseren Fall,jetzt brauchen wir nur noch den Täter.«</t>
  </si>
  <si>
    <t>Fall,</t>
  </si>
  <si>
    <t>Täter</t>
  </si>
  <si>
    <t># text = »Ich wette tausend zu eins, dass wir ihn nicht zu Hause finden werden«, fuhr erfort, als wir rasch unsere Schritte den Weg zurück lenkten.</t>
  </si>
  <si>
    <t>wette</t>
  </si>
  <si>
    <t>eins</t>
  </si>
  <si>
    <t>Hause</t>
  </si>
  <si>
    <t>fuhr</t>
  </si>
  <si>
    <t>erfort</t>
  </si>
  <si>
    <t>lenkten</t>
  </si>
  <si>
    <t># text = »Die Schüssedürften ihm verraten haben, dass sein Spiel aus ist.«</t>
  </si>
  <si>
    <t>Schüssedürften</t>
  </si>
  <si>
    <t># text = »Wir waren ein ganzes Stück entfernt und der Nebel könnte sie gedämpft haben.«</t>
  </si>
  <si>
    <t>ganzes</t>
  </si>
  <si>
    <t>Stück</t>
  </si>
  <si>
    <t>gedämpft</t>
  </si>
  <si>
    <t># text = »Er folgte dem Hund, um ihn zurückrufen zu können, da können Sie sicher sein.Nein, nein, er ist inzwischen fort!</t>
  </si>
  <si>
    <t>folgte</t>
  </si>
  <si>
    <t>zurückrufen</t>
  </si>
  <si>
    <t>sicher</t>
  </si>
  <si>
    <t>sein.Nein</t>
  </si>
  <si>
    <t>inzwischen</t>
  </si>
  <si>
    <t>fort</t>
  </si>
  <si>
    <t># text = Doch wir werden das Haus durchsuchen, umsicherzugehen.«</t>
  </si>
  <si>
    <t>durchsuchen</t>
  </si>
  <si>
    <t># text = Die Haustür stand offen, also stürzten wir hinein und eilten von Zimmer zuZimmer zur Verwunderung eines schlotternden alten Dieners, der uns im Flurentgegen kam.</t>
  </si>
  <si>
    <t>Haustür</t>
  </si>
  <si>
    <t>offen</t>
  </si>
  <si>
    <t>also</t>
  </si>
  <si>
    <t>stürzten</t>
  </si>
  <si>
    <t>hinein</t>
  </si>
  <si>
    <t>eilten</t>
  </si>
  <si>
    <t>zuZimmer</t>
  </si>
  <si>
    <t>Verwunderung</t>
  </si>
  <si>
    <t>schlotternden</t>
  </si>
  <si>
    <t>alten</t>
  </si>
  <si>
    <t>Dieners</t>
  </si>
  <si>
    <t>SBJ_6</t>
  </si>
  <si>
    <t>OBJ_6</t>
  </si>
  <si>
    <t>Flurentgegen</t>
  </si>
  <si>
    <t># text = Abgesehen vom Esszimmer brannte nirgends Licht, doch Holmes hattesich eine Lampe geschnappt und ließ keinen Winkel des Hauses unerforscht.</t>
  </si>
  <si>
    <t>Abgesehen</t>
  </si>
  <si>
    <t>brannte</t>
  </si>
  <si>
    <t>hattesich</t>
  </si>
  <si>
    <t>geschnappt</t>
  </si>
  <si>
    <t>ließ</t>
  </si>
  <si>
    <t>keinen</t>
  </si>
  <si>
    <t>Winkel</t>
  </si>
  <si>
    <t>unerforscht</t>
  </si>
  <si>
    <t># text = Nichtdas geringste Anzeichen des Mannes, den wir suchten, war zu finden.</t>
  </si>
  <si>
    <t>Nichtdas</t>
  </si>
  <si>
    <t>geringste</t>
  </si>
  <si>
    <t>Mannes</t>
  </si>
  <si>
    <t>suchten</t>
  </si>
  <si>
    <t># text = Im oberenStock war jedoch eines der Schlafzimmer abgeschlossen.</t>
  </si>
  <si>
    <t>oberenStock</t>
  </si>
  <si>
    <t>Schlafzimmer</t>
  </si>
  <si>
    <t>abgeschlossen</t>
  </si>
  <si>
    <t># text = »Da ist jemand drinnen«, rief Lestrade.</t>
  </si>
  <si>
    <t>Da</t>
  </si>
  <si>
    <t># text = »Ich kann ein Geräusch hören.</t>
  </si>
  <si>
    <t># text = ÖffnenSie die Tür!«</t>
  </si>
  <si>
    <t>ÖffnenSie</t>
  </si>
  <si>
    <t># text = Ein unterdrücktes Stöhnen und Röcheln war zu hören.</t>
  </si>
  <si>
    <t>unterdrücktes</t>
  </si>
  <si>
    <t>Stöhnen</t>
  </si>
  <si>
    <t>Röcheln</t>
  </si>
  <si>
    <t># text = Holmes trat mit der flachenSeite seines Fußes direkt oberhalb des Schlosses gegen die Tür und sie flogauf.</t>
  </si>
  <si>
    <t>trat</t>
  </si>
  <si>
    <t>flachenSeite</t>
  </si>
  <si>
    <t>Fußes</t>
  </si>
  <si>
    <t>oberhalb</t>
  </si>
  <si>
    <t>Schlosses</t>
  </si>
  <si>
    <t>flogauf</t>
  </si>
  <si>
    <t># text = Mit den Pistolen in der Hand stürmten wir in das Zimmer.</t>
  </si>
  <si>
    <t>Pistolen</t>
  </si>
  <si>
    <t>stürmten</t>
  </si>
  <si>
    <t># text = Doch von dem verzweifelten und trotzigen Schurken, den wir zu finden erwartethatten, war keine Spur zu sehen.</t>
  </si>
  <si>
    <t>verzweifelten</t>
  </si>
  <si>
    <t>trotzigen</t>
  </si>
  <si>
    <t>Schurken</t>
  </si>
  <si>
    <t>erwartethatten</t>
  </si>
  <si>
    <t>Spur</t>
  </si>
  <si>
    <t># text = Statt dessen bot sich uns ein so seltsamer undunerwarteter Anblick, dass wir einen Moment starr vor Erstaunen stehen blieben.</t>
  </si>
  <si>
    <t>Statt</t>
  </si>
  <si>
    <t>bot</t>
  </si>
  <si>
    <t>seltsamer</t>
  </si>
  <si>
    <t>undunerwarteter</t>
  </si>
  <si>
    <t>Anblick</t>
  </si>
  <si>
    <t>starr</t>
  </si>
  <si>
    <t>Erstaunen</t>
  </si>
  <si>
    <t>blieben</t>
  </si>
  <si>
    <t># text = Das Zimmer war zu einem kleinen Museum umgestaltet worden und an den Wändenstanden Reihen von Kästen mit Glasdeckeln, in welchen sich die Sammlung vonSchmetterlingen und Faltern befand, die das Hobby dieses komplizierten undgefährlichen Mannes waren.</t>
  </si>
  <si>
    <t>Museum</t>
  </si>
  <si>
    <t>umgestaltet</t>
  </si>
  <si>
    <t>worden</t>
  </si>
  <si>
    <t>Wändenstanden</t>
  </si>
  <si>
    <t>Reihen</t>
  </si>
  <si>
    <t>Kästen</t>
  </si>
  <si>
    <t>Glasdeckeln</t>
  </si>
  <si>
    <t>welchen</t>
  </si>
  <si>
    <t>Sammlung</t>
  </si>
  <si>
    <t>vonSchmetterlingen</t>
  </si>
  <si>
    <t>Faltern</t>
  </si>
  <si>
    <t>other_7</t>
  </si>
  <si>
    <t>befand</t>
  </si>
  <si>
    <t>Hobby</t>
  </si>
  <si>
    <t>komplizierten</t>
  </si>
  <si>
    <t>undgefährlichen</t>
  </si>
  <si>
    <t># text = In der Mitte des Raums stand ein Pfeiler, der dortnachträglich eingebaut worden war, um die alte, wurmzerfressene Holzdecke zustützen.</t>
  </si>
  <si>
    <t>Mitte</t>
  </si>
  <si>
    <t>Raums</t>
  </si>
  <si>
    <t>Pfeiler</t>
  </si>
  <si>
    <t>dortnachträglich</t>
  </si>
  <si>
    <t>eingebaut</t>
  </si>
  <si>
    <t>alte</t>
  </si>
  <si>
    <t>wurmzerfressene</t>
  </si>
  <si>
    <t>Holzdecke</t>
  </si>
  <si>
    <t>zustützen</t>
  </si>
  <si>
    <t># text = An diesen Pfeiler war eine Gestalt angebunden, die so sehr inStofftücher eingehüllt war, dass wir zunächst nicht sagen konnten, ob es sichum eine Frau oder einen Mann handelte.</t>
  </si>
  <si>
    <t>An</t>
  </si>
  <si>
    <t>diesen</t>
  </si>
  <si>
    <t>Gestalt</t>
  </si>
  <si>
    <t>angebunden</t>
  </si>
  <si>
    <t>inStofftücher</t>
  </si>
  <si>
    <t>eingehüllt</t>
  </si>
  <si>
    <t>zunächst</t>
  </si>
  <si>
    <t>sichum</t>
  </si>
  <si>
    <t>Frau</t>
  </si>
  <si>
    <t>handelte</t>
  </si>
  <si>
    <t># text = Ein Handtuch war um ihren Halsgeschlungen und an der Rückseite des Pfostens befestigt, ein anderes bedecktedie untere Hälfte des Gesichts, über welcher uns zwei dunkle Augen vollerKummer, Scham und mit einem fragendem Ausdruck anstarrten.</t>
  </si>
  <si>
    <t>Handtuch</t>
  </si>
  <si>
    <t>Halsgeschlungen</t>
  </si>
  <si>
    <t>Rückseite</t>
  </si>
  <si>
    <t>Pfostens</t>
  </si>
  <si>
    <t>befestigt</t>
  </si>
  <si>
    <t>anderes</t>
  </si>
  <si>
    <t>bedecktedie</t>
  </si>
  <si>
    <t>untere</t>
  </si>
  <si>
    <t>Gesichts</t>
  </si>
  <si>
    <t>vollerKummer</t>
  </si>
  <si>
    <t>Scham</t>
  </si>
  <si>
    <t>fragendem</t>
  </si>
  <si>
    <t>Ausdruck</t>
  </si>
  <si>
    <t>anstarrten</t>
  </si>
  <si>
    <t># text = Im Handumdrehenhatten wir den Knebel entfernt sowie die Fesseln gelöst, und Mrs. Stapletonsank vor uns auf den Fußboden.</t>
  </si>
  <si>
    <t>Handumdrehenhatten</t>
  </si>
  <si>
    <t>Knebel</t>
  </si>
  <si>
    <t>sowie</t>
  </si>
  <si>
    <t>Fesseln</t>
  </si>
  <si>
    <t>gelöst</t>
  </si>
  <si>
    <t>Stapletonsank</t>
  </si>
  <si>
    <t>Fußboden</t>
  </si>
  <si>
    <t># text = Als ihr schöner Kopf auf ihre Brust fiel, sahich den deutlichen roten Striemen eines Peitschenhiebes auf ihrem Nacken.</t>
  </si>
  <si>
    <t>Als</t>
  </si>
  <si>
    <t>schöner</t>
  </si>
  <si>
    <t>Kopf</t>
  </si>
  <si>
    <t>Brust</t>
  </si>
  <si>
    <t>sahich</t>
  </si>
  <si>
    <t>deutlichen</t>
  </si>
  <si>
    <t>roten</t>
  </si>
  <si>
    <t>Striemen</t>
  </si>
  <si>
    <t>Peitschenhiebes</t>
  </si>
  <si>
    <t>ihrem</t>
  </si>
  <si>
    <t>Nacken</t>
  </si>
  <si>
    <t># text = »Der Schuft!«</t>
  </si>
  <si>
    <t># text = rief Holmes.</t>
  </si>
  <si>
    <t># text = »Hier, Lestrade, Ihre Brandyflasche!</t>
  </si>
  <si>
    <t>Hier</t>
  </si>
  <si>
    <t>Ihre</t>
  </si>
  <si>
    <t># text = Setzen Sie sieauf den Stuhl.</t>
  </si>
  <si>
    <t>Setzen</t>
  </si>
  <si>
    <t>sieauf</t>
  </si>
  <si>
    <t># text = Sie ist von den Misshandlungen und vor Erschöpfung ohnmächtiggeworden.«</t>
  </si>
  <si>
    <t>Misshandlungen</t>
  </si>
  <si>
    <t>Erschöpfung</t>
  </si>
  <si>
    <t>ohnmächtiggeworden</t>
  </si>
  <si>
    <t># text = Sie öffnete ihr Augen.</t>
  </si>
  <si>
    <t>öffnete</t>
  </si>
  <si>
    <t># text = »Ist er in Sicherheit?«</t>
  </si>
  <si>
    <t>Sicherheit</t>
  </si>
  <si>
    <t># text = fragte sie.</t>
  </si>
  <si>
    <t># text = »Ist er entkommen?«</t>
  </si>
  <si>
    <t># text = »Er kann uns nicht entkommen, Madam.«</t>
  </si>
  <si>
    <t>Madam</t>
  </si>
  <si>
    <t># text = »Nein, nein, ich meine nicht meinen Ehemann.</t>
  </si>
  <si>
    <t>Nein</t>
  </si>
  <si>
    <t>meinen</t>
  </si>
  <si>
    <t>Ehemann</t>
  </si>
  <si>
    <t># text = Sir Henry?</t>
  </si>
  <si>
    <t># text = Ist er in Sicherheit?«</t>
  </si>
  <si>
    <t># text = »Ja.«</t>
  </si>
  <si>
    <t># text = »Und der Hund?«</t>
  </si>
  <si>
    <t># text = »Der Hund ist tot.«</t>
  </si>
  <si>
    <t># text = Sie stieß einen tiefen Seufzer der Erleichterung aus.</t>
  </si>
  <si>
    <t>tiefen</t>
  </si>
  <si>
    <t>Seufzer</t>
  </si>
  <si>
    <t># text = »Gott sei Dank!</t>
  </si>
  <si>
    <t># text = Gott sei Dank!</t>
  </si>
  <si>
    <t># text = Dieser Schuft!</t>
  </si>
  <si>
    <t>Dieser</t>
  </si>
  <si>
    <t># text = Sehen Sie, wie er mich behandelthat!«</t>
  </si>
  <si>
    <t>Sehen</t>
  </si>
  <si>
    <t>behandelthat</t>
  </si>
  <si>
    <t># text = Sie schob ihre Ärmel hoch und wir sahen mit Entsetzen, dass ihre Armeüber und über mit Striemen bedeckt waren.</t>
  </si>
  <si>
    <t>Ärmel</t>
  </si>
  <si>
    <t>hoch</t>
  </si>
  <si>
    <t>Armeüber</t>
  </si>
  <si>
    <t>bedeckt</t>
  </si>
  <si>
    <t># text = »Aber das war gar nichts!</t>
  </si>
  <si>
    <t>Aber</t>
  </si>
  <si>
    <t>gar</t>
  </si>
  <si>
    <t># text = Es sindmein Herz und meine Seele, die er gequält und geschändet hat.</t>
  </si>
  <si>
    <t>Herz</t>
  </si>
  <si>
    <t>gequält</t>
  </si>
  <si>
    <t>geschändet</t>
  </si>
  <si>
    <t># text = Solange ichHoffnung hatte, dass er mich liebte, konnte ich alles ertragen, Misshandlungen,Einsamkeit, ein Leben voller Enttäuschung, aber jetzt ist mir klar geworden,dass er mich als Werkzeug benutzt hat.«</t>
  </si>
  <si>
    <t>ichHoffnung</t>
  </si>
  <si>
    <t>ertragen</t>
  </si>
  <si>
    <t>Einsamkeit</t>
  </si>
  <si>
    <t>Enttäuschung</t>
  </si>
  <si>
    <t>geworden,dass</t>
  </si>
  <si>
    <t>Werkzeug</t>
  </si>
  <si>
    <t>benutzt</t>
  </si>
  <si>
    <t># text = Während sie sprach, brach Sie infürchterliches Schluchzen aus.</t>
  </si>
  <si>
    <t>sprach</t>
  </si>
  <si>
    <t>brach</t>
  </si>
  <si>
    <t>infürchterliches</t>
  </si>
  <si>
    <t>Schluchzen</t>
  </si>
  <si>
    <t># text = »So schulden Sie ihm nichts«, sagte Holmes.</t>
  </si>
  <si>
    <t>schulden</t>
  </si>
  <si>
    <t># text = »Sagen Sie uns dann, wo wir ihnfinden können.</t>
  </si>
  <si>
    <t>Sagen</t>
  </si>
  <si>
    <t>ihnfinden</t>
  </si>
  <si>
    <t># text = Haben Sie ihm je bei seinen Untaten geholfen, so helfen Siejetzt uns und büßen Sie dadurch.«</t>
  </si>
  <si>
    <t>Haben</t>
  </si>
  <si>
    <t>je</t>
  </si>
  <si>
    <t>Untaten</t>
  </si>
  <si>
    <t>geholfen</t>
  </si>
  <si>
    <t>Siejetzt</t>
  </si>
  <si>
    <t>büßen</t>
  </si>
  <si>
    <t>dadurch</t>
  </si>
  <si>
    <t># text = »Es gibt nur einen Ort, an den er geflüchtet sein kann«, antwortete sie.</t>
  </si>
  <si>
    <t>gibt</t>
  </si>
  <si>
    <t>geflüchtet</t>
  </si>
  <si>
    <t>antwortete</t>
  </si>
  <si>
    <t># text = »Esgibt eine alte Zinnmine auf einer Insel inmitten des Moors.</t>
  </si>
  <si>
    <t>Esgibt</t>
  </si>
  <si>
    <t>Zinnmine</t>
  </si>
  <si>
    <t>Insel</t>
  </si>
  <si>
    <t>inmitten</t>
  </si>
  <si>
    <t>Moors</t>
  </si>
  <si>
    <t># text = Dort hat er seinenHund versteckt und auch eine Zuflucht vorbereitet.</t>
  </si>
  <si>
    <t>Dort</t>
  </si>
  <si>
    <t>seinenHund</t>
  </si>
  <si>
    <t>Zuflucht</t>
  </si>
  <si>
    <t># text = Bestimmt ist er dorthingeflohen.«</t>
  </si>
  <si>
    <t>Bestimmt</t>
  </si>
  <si>
    <t>dorthingeflohen</t>
  </si>
  <si>
    <t># text = Die Nebelbank lag wie weiße Wolle vor dem Fenster.</t>
  </si>
  <si>
    <t>Wolle</t>
  </si>
  <si>
    <t># text = Holmes beschien sie mit derLampe.</t>
  </si>
  <si>
    <t>beschien</t>
  </si>
  <si>
    <t>derLampe</t>
  </si>
  <si>
    <t># text = »Sehen Sie«, sagte er.</t>
  </si>
  <si>
    <t># text = »Niemand kann in dieser Nacht den richtigen Weg durchdas Grimpener Moor finden.«</t>
  </si>
  <si>
    <t>Niemand</t>
  </si>
  <si>
    <t>richtigen</t>
  </si>
  <si>
    <t>durchdas</t>
  </si>
  <si>
    <t># text = Sie lachte und schlug die Hände zusammen.</t>
  </si>
  <si>
    <t>lachte</t>
  </si>
  <si>
    <t># text = Ihre Augen und Zähne blitzten vorgrimmiger Freude.</t>
  </si>
  <si>
    <t>Zähne</t>
  </si>
  <si>
    <t>blitzten</t>
  </si>
  <si>
    <t>vorgrimmiger</t>
  </si>
  <si>
    <t># text = »Er mag den Weg hinein finden, aber niemals wieder heraus«, rief sie.</t>
  </si>
  <si>
    <t>mag</t>
  </si>
  <si>
    <t>heraus</t>
  </si>
  <si>
    <t># text = »Wie kanner heute Nacht die Stecken finden, die ihn führen?</t>
  </si>
  <si>
    <t>kanner</t>
  </si>
  <si>
    <t>heute</t>
  </si>
  <si>
    <t>Stecken</t>
  </si>
  <si>
    <t>führen</t>
  </si>
  <si>
    <t># text = Wir haben sie zusammengepflanzt, er und ich, um den Weg durch das Moor zu markieren.</t>
  </si>
  <si>
    <t>zusammengepflanzt</t>
  </si>
  <si>
    <t>markieren</t>
  </si>
  <si>
    <t># text = Oh, hätte ichsie nur heute herausgerissen!</t>
  </si>
  <si>
    <t>Oh</t>
  </si>
  <si>
    <t>hätte</t>
  </si>
  <si>
    <t>ichsie</t>
  </si>
  <si>
    <t># text = Dann wäre er Ihnen wirklich ausgeliefert!«</t>
  </si>
  <si>
    <t>wäre</t>
  </si>
  <si>
    <t>ausgeliefert</t>
  </si>
  <si>
    <t># text = Es war offensichtlich, dass jede Verfolgung sinnlos war, bevor sich der Nebelverzogen hatte.</t>
  </si>
  <si>
    <t>offensichtlich</t>
  </si>
  <si>
    <t>Verfolgung</t>
  </si>
  <si>
    <t>Nebelverzogen</t>
  </si>
  <si>
    <t># text = So ließen wir Lestrade in Stapletons Haus zurück, währendHolmes und ich mit dem Baronet nach Baskerville Hall zurückkehrten.</t>
  </si>
  <si>
    <t>Stapletons</t>
  </si>
  <si>
    <t>währendHolmes</t>
  </si>
  <si>
    <t>zurückkehrten</t>
  </si>
  <si>
    <t># text = DieWahrheit über die Stapletons konnte ihm nicht länger verheimlicht werden, dochhielt er dem Schlag tapfer stand, als wir ihm über die Frau berichteten, die ergeliebt hatte.</t>
  </si>
  <si>
    <t>DieWahrheit</t>
  </si>
  <si>
    <t>länger</t>
  </si>
  <si>
    <t>verheimlicht</t>
  </si>
  <si>
    <t>dochhielt</t>
  </si>
  <si>
    <t>Schlag</t>
  </si>
  <si>
    <t>tapfer</t>
  </si>
  <si>
    <t>berichteten</t>
  </si>
  <si>
    <t>ergeliebt</t>
  </si>
  <si>
    <t># text = Doch hatte der Schrecken der nächtlichen Abenteuer seine Nervenangegriffen, und bevor der Morgen graute, lag er mit hohem Fieber darnieder undDr.</t>
  </si>
  <si>
    <t>Schrecken</t>
  </si>
  <si>
    <t>nächtlichen</t>
  </si>
  <si>
    <t>Nervenangegriffen</t>
  </si>
  <si>
    <t>Morgen</t>
  </si>
  <si>
    <t>graute</t>
  </si>
  <si>
    <t>hohem</t>
  </si>
  <si>
    <t>Fieber</t>
  </si>
  <si>
    <t>darnieder</t>
  </si>
  <si>
    <t>undDr</t>
  </si>
  <si>
    <t># text = Mortimer pflegte ihn.</t>
  </si>
  <si>
    <t>Mortimer</t>
  </si>
  <si>
    <t>pflegte</t>
  </si>
  <si>
    <t># text = Die beiden mussten erst zusammen eine Weltreiseunternehmen, damit Sir Henry wieder der gesunde und kräftige Mann wurde, der ergewesen war, bevor er der Herr dieses verwünschten Anwesens wurde.</t>
  </si>
  <si>
    <t>beiden</t>
  </si>
  <si>
    <t>mussten</t>
  </si>
  <si>
    <t>damit</t>
  </si>
  <si>
    <t>gesunde</t>
  </si>
  <si>
    <t>kräftige</t>
  </si>
  <si>
    <t>ergewesen</t>
  </si>
  <si>
    <t>Herr</t>
  </si>
  <si>
    <t>verwünschten</t>
  </si>
  <si>
    <t>Anwesens</t>
  </si>
  <si>
    <t># text = Und nun will ich rasch zum Ende dieser ungewöhnlichen Erzählung kommen, inwelcher ich mich bemüht habe, den Leser an all jenen düsteren Ängsten und vagenBefürchtungen teilhaben zu lassen, die unser Leben so lange verdunkelt habenund auf so tragische Weise endeten.</t>
  </si>
  <si>
    <t>will</t>
  </si>
  <si>
    <t>ungewöhnlichen</t>
  </si>
  <si>
    <t>Erzählung</t>
  </si>
  <si>
    <t>inwelcher</t>
  </si>
  <si>
    <t>bemüht</t>
  </si>
  <si>
    <t>Leser</t>
  </si>
  <si>
    <t>jenen</t>
  </si>
  <si>
    <t>Ängsten</t>
  </si>
  <si>
    <t>vagenBefürchtungen</t>
  </si>
  <si>
    <t>teilhaben</t>
  </si>
  <si>
    <t>verdunkelt</t>
  </si>
  <si>
    <t>habenund</t>
  </si>
  <si>
    <t>tragische</t>
  </si>
  <si>
    <t>Weise</t>
  </si>
  <si>
    <t>endeten</t>
  </si>
  <si>
    <t># text = Am Morgen nach dem Tod des Hundes hattesich der Nebel gelichtet, und Mrs. Stapleton führte uns zu der Stelle, wo sieeinen Weg durch das Moor markiert hatten.</t>
  </si>
  <si>
    <t>Tod</t>
  </si>
  <si>
    <t>gelichtet</t>
  </si>
  <si>
    <t>führte</t>
  </si>
  <si>
    <t>sieeinen</t>
  </si>
  <si>
    <t>markiert</t>
  </si>
  <si>
    <t># text = Es half uns, die Leiden im Lebendieser Frau zu verstehen, als wir den Eifer und die Freude sahen, mit welchersie uns auf die Fährte ihres Mannes brachte.</t>
  </si>
  <si>
    <t>half</t>
  </si>
  <si>
    <t>Leiden</t>
  </si>
  <si>
    <t>Lebendieser</t>
  </si>
  <si>
    <t>verstehen</t>
  </si>
  <si>
    <t>Eifer</t>
  </si>
  <si>
    <t>welchersie</t>
  </si>
  <si>
    <t>Fährte</t>
  </si>
  <si>
    <t>ihres</t>
  </si>
  <si>
    <t>brachte</t>
  </si>
  <si>
    <t># text = Wir ließen sie auf einer sicherenund soliden Halbinsel zurück, die in das sich um sie herum ausbreitende Moorhineinragte.</t>
  </si>
  <si>
    <t>sicherenund</t>
  </si>
  <si>
    <t>soliden</t>
  </si>
  <si>
    <t>Halbinsel</t>
  </si>
  <si>
    <t>herum</t>
  </si>
  <si>
    <t>ausbreitende</t>
  </si>
  <si>
    <t>Moorhineinragte</t>
  </si>
  <si>
    <t># text = Von dort aus zeigten uns hier und dort angepflanzte Stecken denWeg, der im Zickzack zwischen mit grünem Schaum bedeckten Tümpeln und übelriechenden Morastlöchern, die dem Fremden den Durchgang versperrten, entlangführte.</t>
  </si>
  <si>
    <t>angepflanzte</t>
  </si>
  <si>
    <t>denWeg</t>
  </si>
  <si>
    <t>Zickzack</t>
  </si>
  <si>
    <t>grünem</t>
  </si>
  <si>
    <t>Schaum</t>
  </si>
  <si>
    <t>bedeckten</t>
  </si>
  <si>
    <t>Tümpeln</t>
  </si>
  <si>
    <t>übelriechenden</t>
  </si>
  <si>
    <t>Morastlöchern</t>
  </si>
  <si>
    <t>Fremden</t>
  </si>
  <si>
    <t>Durchgang</t>
  </si>
  <si>
    <t>versperrten</t>
  </si>
  <si>
    <t>entlangführte</t>
  </si>
  <si>
    <t># text = Schlanke Gräser und üppige, schleimige Wasserpflanzen sonderten einenmodrigen Geruch und schwere Ausdünstungen ab, während ein falscher Schritt unsmehr als einmal tief in dem dunklen, schmatzenden Moor versinken ließ, dasviele Meter weit um unsere Füße herum vor sich hin waberte.</t>
  </si>
  <si>
    <t>Schlanke</t>
  </si>
  <si>
    <t>Gräser</t>
  </si>
  <si>
    <t>üppige</t>
  </si>
  <si>
    <t>schleimige</t>
  </si>
  <si>
    <t>Wasserpflanzen</t>
  </si>
  <si>
    <t>sonderten</t>
  </si>
  <si>
    <t>einenmodrigen</t>
  </si>
  <si>
    <t>schwere</t>
  </si>
  <si>
    <t>Ausdünstungen</t>
  </si>
  <si>
    <t>falscher</t>
  </si>
  <si>
    <t>Schritt</t>
  </si>
  <si>
    <t>unsmehr</t>
  </si>
  <si>
    <t>einmal</t>
  </si>
  <si>
    <t>dunklen</t>
  </si>
  <si>
    <t>schmatzenden</t>
  </si>
  <si>
    <t>dasviele</t>
  </si>
  <si>
    <t>Füße</t>
  </si>
  <si>
    <t>waberte</t>
  </si>
  <si>
    <t># text = Sein zäher Griffpackte unsere Knöchel, während wir liefen, und wenn wir einsanken, schien es,als ob eine heimtückische Hand uns in diese widerwärtigen Tiefen ziehen wollte,so fest und hinterhältig griff der Sumpf nach uns.</t>
  </si>
  <si>
    <t>Sein</t>
  </si>
  <si>
    <t>zäher</t>
  </si>
  <si>
    <t>Griffpackte</t>
  </si>
  <si>
    <t>Knöchel</t>
  </si>
  <si>
    <t>liefen</t>
  </si>
  <si>
    <t>einsanken</t>
  </si>
  <si>
    <t>es,als</t>
  </si>
  <si>
    <t>heimtückische</t>
  </si>
  <si>
    <t>widerwärtigen</t>
  </si>
  <si>
    <t>Tiefen</t>
  </si>
  <si>
    <t>ziehen</t>
  </si>
  <si>
    <t>wollte,so</t>
  </si>
  <si>
    <t>fest</t>
  </si>
  <si>
    <t>hinterhältig</t>
  </si>
  <si>
    <t>Sumpf</t>
  </si>
  <si>
    <t># text = Nur einmal sahen wir eineSpur davon, dass jemand vor uns schon diesen gefährlichen Weg gegangen war.Inmitten eines Büschels Riedgrases, das aus dem Schleim aufragte, lag etwasDunkles.</t>
  </si>
  <si>
    <t>Nur</t>
  </si>
  <si>
    <t>eineSpur</t>
  </si>
  <si>
    <t>gefährlichen</t>
  </si>
  <si>
    <t>gegangen</t>
  </si>
  <si>
    <t>war.Inmitten</t>
  </si>
  <si>
    <t>Büschels</t>
  </si>
  <si>
    <t>Riedgrases</t>
  </si>
  <si>
    <t>Schleim</t>
  </si>
  <si>
    <t>aufragte</t>
  </si>
  <si>
    <t>etwasDunkles</t>
  </si>
  <si>
    <t># text = Holmes versank bis zur Hüfte im Schlamm, als der den Pfad verließ, umes aufzuheben, und wären wir nicht bei ihm gewesen, um ihn herauszuziehen, erhätte wohl nie mehr seinen Fuß auf festen Grund gesetzt.</t>
  </si>
  <si>
    <t>versank</t>
  </si>
  <si>
    <t>bis</t>
  </si>
  <si>
    <t>Hüfte</t>
  </si>
  <si>
    <t>Schlamm</t>
  </si>
  <si>
    <t>umes</t>
  </si>
  <si>
    <t>aufzuheben</t>
  </si>
  <si>
    <t>wären</t>
  </si>
  <si>
    <t>herauszuziehen</t>
  </si>
  <si>
    <t>erhätte</t>
  </si>
  <si>
    <t>nie</t>
  </si>
  <si>
    <t>festen</t>
  </si>
  <si>
    <t>Grund</t>
  </si>
  <si>
    <t>gesetzt</t>
  </si>
  <si>
    <t># text = Er hielt einen alten,schwarzen Schuh in die Luft.</t>
  </si>
  <si>
    <t>alten,schwarzen</t>
  </si>
  <si>
    <t>Schuh</t>
  </si>
  <si>
    <t>Luft</t>
  </si>
  <si>
    <t># text = »Meyers, Toronto«, war auf die Innenseite desLeders gedruckt.</t>
  </si>
  <si>
    <t>Meyers</t>
  </si>
  <si>
    <t>Toronto</t>
  </si>
  <si>
    <t>Innenseite</t>
  </si>
  <si>
    <t>desLeders</t>
  </si>
  <si>
    <t>gedruckt</t>
  </si>
  <si>
    <t># text = »Das war das Schlammbad wert«, sagte er.</t>
  </si>
  <si>
    <t>Schlammbad</t>
  </si>
  <si>
    <t>wert</t>
  </si>
  <si>
    <t># text = »Es ist der vermisste Schuh unseresFreundes Sir Henry.«</t>
  </si>
  <si>
    <t>vermisste</t>
  </si>
  <si>
    <t>unseresFreundes</t>
  </si>
  <si>
    <t># text = »Von Stapleton auf seiner Flucht dort weggeworfen.«</t>
  </si>
  <si>
    <t>Flucht</t>
  </si>
  <si>
    <t># text = »So ist es.</t>
  </si>
  <si>
    <t># text = Er behielt ihn in seiner Hand, nachdem er ihn benutzt hatte, um denHund auf die richtige Fährte zu bringen.</t>
  </si>
  <si>
    <t>behielt</t>
  </si>
  <si>
    <t>denHund</t>
  </si>
  <si>
    <t>richtige</t>
  </si>
  <si>
    <t># text = Als er merkte, dass das Spiel aus war,floh er und hielt ihn dabei noch immer in der Hand.</t>
  </si>
  <si>
    <t>merkte</t>
  </si>
  <si>
    <t>war,</t>
  </si>
  <si>
    <t>floh</t>
  </si>
  <si>
    <t># text = Erst an dieser Stelle warfer ihn fort.</t>
  </si>
  <si>
    <t>Erst</t>
  </si>
  <si>
    <t>warfer</t>
  </si>
  <si>
    <t># text = Wenigstens wissen wir, dass er sicher bis hierhin gekommen ist.«</t>
  </si>
  <si>
    <t>Wenigstens</t>
  </si>
  <si>
    <t>hierhin</t>
  </si>
  <si>
    <t># text = Doch mehr als das sollten wir niemals erfahren, auch wenn wir eine Mengevermuteten.</t>
  </si>
  <si>
    <t>sollten</t>
  </si>
  <si>
    <t>Mengevermuteten</t>
  </si>
  <si>
    <t># text = Es gab keine Möglichkeiten, Fußabdrücke im Moor zu finden, da derSchlamm sie umgehend wieder füllte, aber als wir schließlich wieder festerenBoden erreichten, suchten wir gründlich nach ihnen, doch haben wir niemals nurdas kleinste Anzeichen gefunden.</t>
  </si>
  <si>
    <t>gab</t>
  </si>
  <si>
    <t>Möglichkeiten</t>
  </si>
  <si>
    <t>Fußabdrücke</t>
  </si>
  <si>
    <t>derSchlamm</t>
  </si>
  <si>
    <t>umgehend</t>
  </si>
  <si>
    <t>füllte</t>
  </si>
  <si>
    <t>schließlich</t>
  </si>
  <si>
    <t>festerenBoden</t>
  </si>
  <si>
    <t>erreichten</t>
  </si>
  <si>
    <t>gründlich</t>
  </si>
  <si>
    <t>nurdas</t>
  </si>
  <si>
    <t>kleinste</t>
  </si>
  <si>
    <t>gefunden</t>
  </si>
  <si>
    <t># text = Wenn der Boden uns die Wahrheit erzählte, hatStapleton diese Zufluchtsinsel, die er durch den Nebel jener letzten Nachtansteuerte, nie erreicht.</t>
  </si>
  <si>
    <t>Wahrheit</t>
  </si>
  <si>
    <t>erzählte</t>
  </si>
  <si>
    <t>hatStapleton</t>
  </si>
  <si>
    <t>Zufluchtsinsel</t>
  </si>
  <si>
    <t>Nachtansteuerte</t>
  </si>
  <si>
    <t># text = Irgendwo inmitten des großen Grimpener Moores,versunken im fauligen Schleim des Morastes, der ihn nach unten gezogen hatte,liegt dieser eiskalte und grausame Mann für immer begraben.</t>
  </si>
  <si>
    <t>Irgendwo</t>
  </si>
  <si>
    <t>Moores,versunken</t>
  </si>
  <si>
    <t>fauligen</t>
  </si>
  <si>
    <t>Morastes</t>
  </si>
  <si>
    <t>gezogen</t>
  </si>
  <si>
    <t>hatte,</t>
  </si>
  <si>
    <t>liegt</t>
  </si>
  <si>
    <t>eiskalte</t>
  </si>
  <si>
    <t>grausame</t>
  </si>
  <si>
    <t>begraben</t>
  </si>
  <si>
    <t># text = Auf der vom Moor umschlossenen Insel, wo er seinen wilden Helfer verborgenhatte, fanden wir einige Spuren von ihm.</t>
  </si>
  <si>
    <t>umschlossenen</t>
  </si>
  <si>
    <t>wilden</t>
  </si>
  <si>
    <t>verborgenhatte</t>
  </si>
  <si>
    <t>fanden</t>
  </si>
  <si>
    <t>einige</t>
  </si>
  <si>
    <t>Spuren</t>
  </si>
  <si>
    <t># text = Ein großes Steuerrad und ein halbverschütteter Schacht zeigten uns, wo sich die verlassene Mine befunden hatte.Daneben lagen die verfallenen Reste von Behausungen der Minenarbeiter, diezweifellos von den sie umgebenden fauligen Dünsten vertrieben worden waren.</t>
  </si>
  <si>
    <t>großes</t>
  </si>
  <si>
    <t>Steuerrad</t>
  </si>
  <si>
    <t>halbverschütteter</t>
  </si>
  <si>
    <t>Schacht</t>
  </si>
  <si>
    <t>verlassene</t>
  </si>
  <si>
    <t>Mine</t>
  </si>
  <si>
    <t>befunden</t>
  </si>
  <si>
    <t>hatte.Daneben</t>
  </si>
  <si>
    <t>lagen</t>
  </si>
  <si>
    <t>verfallenen</t>
  </si>
  <si>
    <t>Reste</t>
  </si>
  <si>
    <t>Behausungen</t>
  </si>
  <si>
    <t>Minenarbeiter</t>
  </si>
  <si>
    <t>diezweifellos</t>
  </si>
  <si>
    <t>umgebenden</t>
  </si>
  <si>
    <t>Dünsten</t>
  </si>
  <si>
    <t># text = Ineiner von ihnen zeigten uns ein Ring mit Kette und eine Anzahl abgenagterKnochen, wo der Hund gehalten worden war.</t>
  </si>
  <si>
    <t>Ineiner</t>
  </si>
  <si>
    <t>Ring</t>
  </si>
  <si>
    <t>Kette</t>
  </si>
  <si>
    <t>Anzahl</t>
  </si>
  <si>
    <t>abgenagterKnochen</t>
  </si>
  <si>
    <t>gehalten</t>
  </si>
  <si>
    <t># text = Zwischen den Abfällen lag einSkelett, an welchem noch ein Büschel brauner Haare hing.</t>
  </si>
  <si>
    <t>Abfällen</t>
  </si>
  <si>
    <t>einSkelett</t>
  </si>
  <si>
    <t>welchem</t>
  </si>
  <si>
    <t>Büschel</t>
  </si>
  <si>
    <t>brauner</t>
  </si>
  <si>
    <t>Haare</t>
  </si>
  <si>
    <t># text = »Ein Hund«, sagte Holmes.</t>
  </si>
  <si>
    <t># text = »Bei Jupiter, ein kraushaariger Spaniel.</t>
  </si>
  <si>
    <t>Bei</t>
  </si>
  <si>
    <t>kraushaariger</t>
  </si>
  <si>
    <t>Spaniel</t>
  </si>
  <si>
    <t># text = Der armeMortimer wird seinen Schoßhund niemals wiedersehen.</t>
  </si>
  <si>
    <t>armeMortimer</t>
  </si>
  <si>
    <t>Schoßhund</t>
  </si>
  <si>
    <t># text = Nun, ich glaube nicht, dassdieser Ort noch ein Geheimnis enthält, das wir nicht schon entdeckt haben.</t>
  </si>
  <si>
    <t>dassdieser</t>
  </si>
  <si>
    <t>Geheimnis</t>
  </si>
  <si>
    <t>enthält</t>
  </si>
  <si>
    <t>entdeckt</t>
  </si>
  <si>
    <t># text = Erkonnte zwar seinen Hund verbergen, aber er konnte sein Heulen nicht abstellen,daher dieses Heulen, das auch bei Tageslicht nicht schön anzuhören war.</t>
  </si>
  <si>
    <t>Erkonnte</t>
  </si>
  <si>
    <t>abstellen,daher</t>
  </si>
  <si>
    <t>Tageslicht</t>
  </si>
  <si>
    <t>anzuhören</t>
  </si>
  <si>
    <t># text = Für denNotfall konnte er den Hund auch in seinem Gartenhaus unterbringen, aber das warimmer ein Risiko, das er erst an jenem Tag einging, den er als Erfüllung seinerMühen ansah.</t>
  </si>
  <si>
    <t>Für</t>
  </si>
  <si>
    <t>denNotfall</t>
  </si>
  <si>
    <t>Gartenhaus</t>
  </si>
  <si>
    <t>warimmer</t>
  </si>
  <si>
    <t>jenem</t>
  </si>
  <si>
    <t>Tag</t>
  </si>
  <si>
    <t>einging</t>
  </si>
  <si>
    <t>Erfüllung</t>
  </si>
  <si>
    <t>seinerMühen</t>
  </si>
  <si>
    <t>ansah</t>
  </si>
  <si>
    <t># text = Diese Paste in der Dose ist ganz klar die Leuchtfarbe, mit welcherder Hund bemalt wurde.</t>
  </si>
  <si>
    <t>Paste</t>
  </si>
  <si>
    <t>Dose</t>
  </si>
  <si>
    <t>ganz</t>
  </si>
  <si>
    <t>Leuchtfarbe</t>
  </si>
  <si>
    <t>welcherder</t>
  </si>
  <si>
    <t>bemalt</t>
  </si>
  <si>
    <t># text = Natürlich wurde das von der alten Familienlegende desHöllenhundes angeregt und durch die Idee, den alten Sir Charles zu Tode zuerschrecken.</t>
  </si>
  <si>
    <t>Natürlich</t>
  </si>
  <si>
    <t>Familienlegende</t>
  </si>
  <si>
    <t>desHöllenhundes</t>
  </si>
  <si>
    <t>angeregt</t>
  </si>
  <si>
    <t>Idee</t>
  </si>
  <si>
    <t>Charles</t>
  </si>
  <si>
    <t>Tode</t>
  </si>
  <si>
    <t>zuerschrecken</t>
  </si>
  <si>
    <t># text = Kein Wunder, dass der arme Sträfling, ebenso wie unser Freund undwir es selbst wohl auch getan hätten, vor Todesangst davonlief und schrie, alser diese Kreatur durch die Dunkelheit über das Moor ihm nachjagen sah.</t>
  </si>
  <si>
    <t>Wunder</t>
  </si>
  <si>
    <t>arme</t>
  </si>
  <si>
    <t>Sträfling</t>
  </si>
  <si>
    <t>undwir</t>
  </si>
  <si>
    <t>selbst</t>
  </si>
  <si>
    <t>getan</t>
  </si>
  <si>
    <t>hätten</t>
  </si>
  <si>
    <t>Todesangst</t>
  </si>
  <si>
    <t>davonlief</t>
  </si>
  <si>
    <t>schrie</t>
  </si>
  <si>
    <t>alser</t>
  </si>
  <si>
    <t>nachjagen</t>
  </si>
  <si>
    <t># text = Es warein schlauer Plan, denn abgesehen von der Möglichkeit, dein Opfer zu Tode zuerschrecken, welcher Bauer würde es wagen, ein solches Geschöpf, falls er ihmauf dem Moor begegnen würde, näher zu untersuchen?</t>
  </si>
  <si>
    <t>warein</t>
  </si>
  <si>
    <t>schlauer</t>
  </si>
  <si>
    <t>abgesehen</t>
  </si>
  <si>
    <t>Möglichkeit</t>
  </si>
  <si>
    <t>dein</t>
  </si>
  <si>
    <t>Opfer</t>
  </si>
  <si>
    <t>Bauer</t>
  </si>
  <si>
    <t>wagen</t>
  </si>
  <si>
    <t>solches</t>
  </si>
  <si>
    <t>falls</t>
  </si>
  <si>
    <t>SBJ_7</t>
  </si>
  <si>
    <t>ihmauf</t>
  </si>
  <si>
    <t>begegnen</t>
  </si>
  <si>
    <t>untersuchen</t>
  </si>
  <si>
    <t># text = Ich habe es dir in Londongesagt, Watson, und sage es wieder, niemals haben wir einen gefährlicheren Mannverfolgt als jenen, der irgendwo hier unten liegt...«</t>
  </si>
  <si>
    <t>dir</t>
  </si>
  <si>
    <t>Londongesagt</t>
  </si>
  <si>
    <t>sage</t>
  </si>
  <si>
    <t>gefährlicheren</t>
  </si>
  <si>
    <t>Mannverfolgt</t>
  </si>
  <si>
    <t>irgendwo</t>
  </si>
  <si>
    <t>...</t>
  </si>
  <si>
    <t># text = Er zeigte mit seinenlangen Armen auf die unendliche Fläche des grün-gesprenkelten Moores, das sichvor uns bis zu den weit in der Ferne liegenden roten Hängen der Hügelerstreckte.</t>
  </si>
  <si>
    <t>zeigte</t>
  </si>
  <si>
    <t>seinenlangen</t>
  </si>
  <si>
    <t>Armen</t>
  </si>
  <si>
    <t>unendliche</t>
  </si>
  <si>
    <t>grün-</t>
  </si>
  <si>
    <t>gesprenkelten</t>
  </si>
  <si>
    <t>sichvor</t>
  </si>
  <si>
    <t>Hängen</t>
  </si>
  <si>
    <t>Hügelerstreckte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</si>
</sst>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5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11</v>
      </c>
      <c r="C3" s="6" t="s">
        <v>12</v>
      </c>
      <c r="D3" s="7" t="s">
        <v>16</v>
      </c>
      <c r="E3" s="8" t="s">
        <v>17</v>
      </c>
      <c r="F3" s="6" t="s">
        <v>18</v>
      </c>
      <c r="G3" s="9">
        <f>IF(A3=1,"_",IF(C3="_","???",C3))</f>
        <v/>
      </c>
      <c r="H3" s="10" t="s">
        <v>12</v>
      </c>
      <c r="I3" s="11" t="s">
        <v>12</v>
      </c>
      <c r="J3" s="12"/>
    </row>
    <row r="4" spans="1:10" ht="60" customHeight="1">
      <c r="A4" s="6" t="s">
        <v>19</v>
      </c>
      <c r="B4" s="6" t="s">
        <v>20</v>
      </c>
      <c r="C4" s="6" t="s">
        <v>12</v>
      </c>
      <c r="D4" s="7" t="s">
        <v>21</v>
      </c>
      <c r="E4" s="8" t="s">
        <v>22</v>
      </c>
      <c r="F4" s="6" t="s">
        <v>23</v>
      </c>
      <c r="G4" s="9">
        <f>IF(A4=1,"_",IF(C4="_","???",C4))</f>
        <v/>
      </c>
      <c r="H4" s="10" t="s">
        <v>12</v>
      </c>
      <c r="I4" s="11" t="s">
        <v>12</v>
      </c>
      <c r="J4" s="12"/>
    </row>
    <row r="5" spans="1:10" ht="60" customHeight="1">
      <c r="A5" s="6" t="s">
        <v>24</v>
      </c>
      <c r="B5" s="6" t="s">
        <v>19</v>
      </c>
      <c r="C5" s="6" t="s">
        <v>25</v>
      </c>
      <c r="D5" s="7" t="s">
        <v>26</v>
      </c>
      <c r="E5" s="8" t="s">
        <v>27</v>
      </c>
      <c r="F5" s="6" t="s">
        <v>28</v>
      </c>
      <c r="G5" s="9">
        <f>IF(A5=1,"_",IF(C5="_","???",C5))</f>
        <v/>
      </c>
      <c r="H5" s="10" t="s">
        <v>12</v>
      </c>
      <c r="I5" s="11" t="s">
        <v>12</v>
      </c>
      <c r="J5" s="12"/>
    </row>
    <row r="6" spans="1:10" ht="60" customHeight="1">
      <c r="A6" s="6" t="s">
        <v>29</v>
      </c>
      <c r="B6" s="6" t="s">
        <v>11</v>
      </c>
      <c r="C6" s="6" t="s">
        <v>12</v>
      </c>
      <c r="D6" s="7" t="s">
        <v>30</v>
      </c>
      <c r="E6" s="8" t="s">
        <v>31</v>
      </c>
      <c r="F6" s="6" t="s">
        <v>32</v>
      </c>
      <c r="G6" s="9">
        <f>IF(A6=1,"_",IF(C6="_","???",C6))</f>
        <v/>
      </c>
      <c r="H6" s="10" t="s">
        <v>12</v>
      </c>
      <c r="I6" s="11" t="s">
        <v>12</v>
      </c>
      <c r="J6" s="12"/>
    </row>
    <row r="7" spans="1:10" ht="60" customHeight="1">
      <c r="A7" s="6" t="s">
        <v>33</v>
      </c>
      <c r="B7" s="6" t="s">
        <v>11</v>
      </c>
      <c r="C7" s="6" t="s">
        <v>12</v>
      </c>
      <c r="D7" s="7" t="s">
        <v>34</v>
      </c>
      <c r="E7" s="8" t="s">
        <v>35</v>
      </c>
      <c r="F7" s="6" t="s">
        <v>36</v>
      </c>
      <c r="G7" s="9">
        <f>IF(A7=1,"_",IF(C7="_","???",C7))</f>
        <v/>
      </c>
      <c r="H7" s="10" t="s">
        <v>12</v>
      </c>
      <c r="I7" s="11" t="s">
        <v>12</v>
      </c>
      <c r="J7" s="12"/>
    </row>
    <row r="8" spans="1:10" ht="60" customHeight="1">
      <c r="A8" s="6" t="s">
        <v>37</v>
      </c>
      <c r="B8" s="6" t="s">
        <v>38</v>
      </c>
      <c r="C8" s="6" t="s">
        <v>39</v>
      </c>
      <c r="D8" s="7" t="s">
        <v>40</v>
      </c>
      <c r="E8" s="8" t="s">
        <v>41</v>
      </c>
      <c r="F8" s="6" t="s">
        <v>42</v>
      </c>
      <c r="G8" s="9">
        <f>IF(A8=1,"_",IF(C8="_","???",C8))</f>
        <v/>
      </c>
      <c r="H8" s="10" t="s">
        <v>12</v>
      </c>
      <c r="I8" s="11" t="s">
        <v>12</v>
      </c>
      <c r="J8" s="12"/>
    </row>
    <row r="9" spans="1:10" ht="60" customHeight="1">
      <c r="A9" s="6" t="s">
        <v>43</v>
      </c>
      <c r="B9" s="6" t="s">
        <v>38</v>
      </c>
      <c r="C9" s="6" t="s">
        <v>12</v>
      </c>
      <c r="D9" s="7" t="s">
        <v>44</v>
      </c>
      <c r="E9" s="8" t="s">
        <v>45</v>
      </c>
      <c r="F9" s="6" t="s">
        <v>46</v>
      </c>
      <c r="G9" s="9">
        <f>IF(A9=1,"_",IF(C9="_","???",C9))</f>
        <v/>
      </c>
      <c r="H9" s="10" t="s">
        <v>12</v>
      </c>
      <c r="I9" s="11" t="s">
        <v>12</v>
      </c>
      <c r="J9" s="12"/>
    </row>
    <row r="10" spans="1:10" ht="60" customHeight="1">
      <c r="A10" s="6" t="s">
        <v>47</v>
      </c>
      <c r="B10" s="6" t="s">
        <v>33</v>
      </c>
      <c r="C10" s="6" t="s">
        <v>12</v>
      </c>
      <c r="D10" s="7" t="s">
        <v>48</v>
      </c>
      <c r="E10" s="8" t="s">
        <v>49</v>
      </c>
      <c r="F10" s="6" t="s">
        <v>50</v>
      </c>
      <c r="G10" s="9">
        <f>IF(A10=1,"_",IF(C10="_","???",C10))</f>
        <v/>
      </c>
      <c r="H10" s="10" t="s">
        <v>12</v>
      </c>
      <c r="I10" s="11" t="s">
        <v>12</v>
      </c>
      <c r="J10" s="12"/>
    </row>
    <row r="11" spans="1:10" ht="60" customHeight="1">
      <c r="A11" s="6" t="s">
        <v>51</v>
      </c>
      <c r="B11" s="6" t="s">
        <v>20</v>
      </c>
      <c r="C11" s="6" t="s">
        <v>12</v>
      </c>
      <c r="D11" s="7" t="s">
        <v>52</v>
      </c>
      <c r="E11" s="8" t="s">
        <v>53</v>
      </c>
      <c r="F11" s="6" t="s">
        <v>54</v>
      </c>
      <c r="G11" s="9">
        <f>IF(A11=1,"_",IF(C11="_","???",C11))</f>
        <v/>
      </c>
      <c r="H11" s="10" t="s">
        <v>12</v>
      </c>
      <c r="I11" s="11" t="s">
        <v>12</v>
      </c>
      <c r="J11" s="12"/>
    </row>
    <row r="12" spans="1:10" ht="60" customHeight="1">
      <c r="A12" s="6" t="s">
        <v>55</v>
      </c>
      <c r="B12" s="6" t="s">
        <v>19</v>
      </c>
      <c r="C12" s="6" t="s">
        <v>12</v>
      </c>
      <c r="D12" s="7" t="s">
        <v>56</v>
      </c>
      <c r="E12" s="8" t="s">
        <v>57</v>
      </c>
      <c r="F12" s="6" t="s">
        <v>58</v>
      </c>
      <c r="G12" s="9">
        <f>IF(A12=1,"_",IF(C12="_","???",C12))</f>
        <v/>
      </c>
      <c r="H12" s="10" t="s">
        <v>12</v>
      </c>
      <c r="I12" s="11" t="s">
        <v>12</v>
      </c>
      <c r="J12" s="12"/>
    </row>
    <row r="13" spans="1:10" ht="60" customHeight="1">
      <c r="A13" s="6" t="s">
        <v>59</v>
      </c>
      <c r="B13" s="6" t="s">
        <v>19</v>
      </c>
      <c r="C13" s="6" t="s">
        <v>12</v>
      </c>
      <c r="D13" s="7" t="s">
        <v>60</v>
      </c>
      <c r="E13" s="8" t="s">
        <v>61</v>
      </c>
      <c r="F13" s="6" t="s">
        <v>62</v>
      </c>
      <c r="G13" s="9">
        <f>IF(A13=1,"_",IF(C13="_","???",C13))</f>
        <v/>
      </c>
      <c r="H13" s="10" t="s">
        <v>12</v>
      </c>
      <c r="I13" s="11" t="s">
        <v>12</v>
      </c>
      <c r="J13" s="12"/>
    </row>
    <row r="14" spans="1:10" ht="60" customHeight="1">
      <c r="A14" s="6" t="s">
        <v>63</v>
      </c>
      <c r="B14" s="6" t="s">
        <v>64</v>
      </c>
      <c r="C14" s="6" t="s">
        <v>12</v>
      </c>
      <c r="D14" s="7" t="s">
        <v>65</v>
      </c>
      <c r="E14" s="8" t="s">
        <v>66</v>
      </c>
      <c r="F14" s="6" t="s">
        <v>67</v>
      </c>
      <c r="G14" s="9">
        <f>IF(A14=1,"_",IF(C14="_","???",C14))</f>
        <v/>
      </c>
      <c r="H14" s="10" t="s">
        <v>12</v>
      </c>
      <c r="I14" s="11" t="s">
        <v>12</v>
      </c>
      <c r="J14" s="12"/>
    </row>
    <row r="15" spans="1:10" ht="60" customHeight="1">
      <c r="A15" s="6" t="s">
        <v>68</v>
      </c>
      <c r="B15" s="6" t="s">
        <v>11</v>
      </c>
      <c r="C15" s="6" t="s">
        <v>12</v>
      </c>
      <c r="D15" s="7" t="s">
        <v>69</v>
      </c>
      <c r="E15" s="8" t="s">
        <v>70</v>
      </c>
      <c r="F15" s="6" t="s">
        <v>71</v>
      </c>
      <c r="G15" s="9">
        <f>IF(A15=1,"_",IF(C15="_","???",C15))</f>
        <v/>
      </c>
      <c r="H15" s="10" t="s">
        <v>12</v>
      </c>
      <c r="I15" s="11" t="s">
        <v>12</v>
      </c>
      <c r="J15" s="12"/>
    </row>
    <row r="16" spans="1:10" ht="60" customHeight="1">
      <c r="A16" s="6" t="s">
        <v>38</v>
      </c>
      <c r="B16" s="6" t="s">
        <v>24</v>
      </c>
      <c r="C16" s="6" t="s">
        <v>12</v>
      </c>
      <c r="D16" s="7" t="s">
        <v>72</v>
      </c>
      <c r="E16" s="8" t="s">
        <v>73</v>
      </c>
      <c r="F16" s="6" t="s">
        <v>74</v>
      </c>
      <c r="G16" s="9">
        <f>IF(A16=1,"_",IF(C16="_","???",C16))</f>
        <v/>
      </c>
      <c r="H16" s="10" t="s">
        <v>12</v>
      </c>
      <c r="I16" s="11" t="s">
        <v>12</v>
      </c>
      <c r="J16" s="12"/>
    </row>
    <row r="17" spans="1:10" ht="60" customHeight="1">
      <c r="A17" s="6" t="s">
        <v>75</v>
      </c>
      <c r="B17" s="6" t="s">
        <v>20</v>
      </c>
      <c r="C17" s="6" t="s">
        <v>12</v>
      </c>
      <c r="D17" s="7" t="s">
        <v>76</v>
      </c>
      <c r="E17" s="8" t="s">
        <v>77</v>
      </c>
      <c r="F17" s="6" t="s">
        <v>78</v>
      </c>
      <c r="G17" s="9">
        <f>IF(A17=1,"_",IF(C17="_","???",C17))</f>
        <v/>
      </c>
      <c r="H17" s="10" t="s">
        <v>12</v>
      </c>
      <c r="I17" s="11" t="s">
        <v>12</v>
      </c>
      <c r="J17" s="12"/>
    </row>
    <row r="18" spans="1:10" ht="60" customHeight="1">
      <c r="A18" s="6" t="s">
        <v>79</v>
      </c>
      <c r="B18" s="6" t="s">
        <v>29</v>
      </c>
      <c r="C18" s="6" t="s">
        <v>12</v>
      </c>
      <c r="D18" s="7" t="s">
        <v>80</v>
      </c>
      <c r="E18" s="8" t="s">
        <v>81</v>
      </c>
      <c r="F18" s="6" t="s">
        <v>82</v>
      </c>
      <c r="G18" s="9">
        <f>IF(A18=1,"_",IF(C18="_","???",C18))</f>
        <v/>
      </c>
      <c r="H18" s="10" t="s">
        <v>12</v>
      </c>
      <c r="I18" s="11" t="s">
        <v>12</v>
      </c>
      <c r="J18" s="12"/>
    </row>
    <row r="19" spans="1:10" ht="60" customHeight="1">
      <c r="A19" s="6" t="s">
        <v>64</v>
      </c>
      <c r="B19" s="6" t="s">
        <v>20</v>
      </c>
      <c r="C19" s="6" t="s">
        <v>12</v>
      </c>
      <c r="D19" s="7" t="s">
        <v>83</v>
      </c>
      <c r="E19" s="8" t="s">
        <v>84</v>
      </c>
      <c r="F19" s="6" t="s">
        <v>85</v>
      </c>
      <c r="G19" s="9">
        <f>IF(A19=1,"_",IF(C19="_","???",C19))</f>
        <v/>
      </c>
      <c r="H19" s="10" t="s">
        <v>12</v>
      </c>
      <c r="I19" s="11" t="s">
        <v>12</v>
      </c>
      <c r="J19" s="12"/>
    </row>
    <row r="20" spans="1:10" ht="60" customHeight="1">
      <c r="A20" s="6" t="s">
        <v>86</v>
      </c>
      <c r="B20" s="6" t="s">
        <v>29</v>
      </c>
      <c r="C20" s="6" t="s">
        <v>12</v>
      </c>
      <c r="D20" s="7" t="s">
        <v>87</v>
      </c>
      <c r="E20" s="8" t="s">
        <v>88</v>
      </c>
      <c r="F20" s="6" t="s">
        <v>89</v>
      </c>
      <c r="G20" s="9">
        <f>IF(A20=1,"_",IF(C20="_","???",C20))</f>
        <v/>
      </c>
      <c r="H20" s="10" t="s">
        <v>12</v>
      </c>
      <c r="I20" s="11" t="s">
        <v>12</v>
      </c>
      <c r="J20" s="12"/>
    </row>
    <row r="21" spans="1:10" ht="60" customHeight="1">
      <c r="A21" s="6" t="s">
        <v>90</v>
      </c>
      <c r="B21" s="6" t="s">
        <v>43</v>
      </c>
      <c r="C21" s="6" t="s">
        <v>12</v>
      </c>
      <c r="D21" s="7" t="s">
        <v>91</v>
      </c>
      <c r="E21" s="8" t="s">
        <v>92</v>
      </c>
      <c r="F21" s="6" t="s">
        <v>93</v>
      </c>
      <c r="G21" s="9">
        <f>IF(A21=1,"_",IF(C21="_","???",C21))</f>
        <v/>
      </c>
      <c r="H21" s="10" t="s">
        <v>12</v>
      </c>
      <c r="I21" s="11" t="s">
        <v>12</v>
      </c>
      <c r="J21" s="12"/>
    </row>
    <row r="22" spans="1:10" ht="60" customHeight="1">
      <c r="A22" s="6" t="s">
        <v>94</v>
      </c>
      <c r="B22" s="6" t="s">
        <v>20</v>
      </c>
      <c r="C22" s="6" t="s">
        <v>12</v>
      </c>
      <c r="D22" s="7" t="s">
        <v>95</v>
      </c>
      <c r="E22" s="8" t="s">
        <v>96</v>
      </c>
      <c r="F22" s="6" t="s">
        <v>97</v>
      </c>
      <c r="G22" s="9">
        <f>IF(A22=1,"_",IF(C22="_","???",C22))</f>
        <v/>
      </c>
      <c r="H22" s="10" t="s">
        <v>12</v>
      </c>
      <c r="I22" s="11" t="s">
        <v>12</v>
      </c>
      <c r="J22" s="12"/>
    </row>
    <row r="23" spans="1:10" ht="60" customHeight="1">
      <c r="A23" s="6" t="s">
        <v>98</v>
      </c>
      <c r="B23" s="6" t="s">
        <v>19</v>
      </c>
      <c r="C23" s="6" t="s">
        <v>12</v>
      </c>
      <c r="D23" s="7" t="s">
        <v>99</v>
      </c>
      <c r="E23" s="8" t="s">
        <v>100</v>
      </c>
      <c r="F23" s="6" t="s">
        <v>101</v>
      </c>
      <c r="G23" s="9">
        <f>IF(A23=1,"_",IF(C23="_","???",C23))</f>
        <v/>
      </c>
      <c r="H23" s="10" t="s">
        <v>12</v>
      </c>
      <c r="I23" s="11" t="s">
        <v>12</v>
      </c>
      <c r="J23" s="12"/>
    </row>
    <row r="24" spans="1:10" ht="60" customHeight="1">
      <c r="A24" s="6" t="s">
        <v>102</v>
      </c>
      <c r="B24" s="6" t="s">
        <v>38</v>
      </c>
      <c r="C24" s="6" t="s">
        <v>12</v>
      </c>
      <c r="D24" s="7" t="s">
        <v>103</v>
      </c>
      <c r="E24" s="8" t="s">
        <v>104</v>
      </c>
      <c r="F24" s="6" t="s">
        <v>105</v>
      </c>
      <c r="G24" s="9">
        <f>IF(A24=1,"_",IF(C24="_","???",C24))</f>
        <v/>
      </c>
      <c r="H24" s="10" t="s">
        <v>12</v>
      </c>
      <c r="I24" s="11" t="s">
        <v>12</v>
      </c>
      <c r="J24" s="12"/>
    </row>
    <row r="25" spans="1:10" ht="60" customHeight="1">
      <c r="A25" s="6" t="s">
        <v>106</v>
      </c>
      <c r="B25" s="6" t="s">
        <v>33</v>
      </c>
      <c r="C25" s="6" t="s">
        <v>12</v>
      </c>
      <c r="D25" s="7" t="s">
        <v>107</v>
      </c>
      <c r="E25" s="8" t="s">
        <v>108</v>
      </c>
      <c r="F25" s="6" t="s">
        <v>109</v>
      </c>
      <c r="G25" s="9">
        <f>IF(A25=1,"_",IF(C25="_","???",C25))</f>
        <v/>
      </c>
      <c r="H25" s="10" t="s">
        <v>12</v>
      </c>
      <c r="I25" s="11" t="s">
        <v>12</v>
      </c>
      <c r="J25" s="12"/>
    </row>
    <row r="26" spans="1:10" ht="60" customHeight="1">
      <c r="A26" s="6" t="s">
        <v>110</v>
      </c>
      <c r="B26" s="6" t="s">
        <v>43</v>
      </c>
      <c r="C26" s="6" t="s">
        <v>12</v>
      </c>
      <c r="D26" s="7" t="s">
        <v>111</v>
      </c>
      <c r="E26" s="8" t="s">
        <v>112</v>
      </c>
      <c r="F26" s="6" t="s">
        <v>113</v>
      </c>
      <c r="G26" s="9">
        <f>IF(A26=1,"_",IF(C26="_","???",C26))</f>
        <v/>
      </c>
      <c r="H26" s="10" t="s">
        <v>12</v>
      </c>
      <c r="I26" s="11" t="s">
        <v>12</v>
      </c>
      <c r="J26" s="12"/>
    </row>
    <row r="27" spans="1:10" ht="60" customHeight="1">
      <c r="A27" s="6" t="s">
        <v>114</v>
      </c>
      <c r="B27" s="6" t="s">
        <v>24</v>
      </c>
      <c r="C27" s="6" t="s">
        <v>12</v>
      </c>
      <c r="D27" s="7" t="s">
        <v>115</v>
      </c>
      <c r="E27" s="8" t="s">
        <v>116</v>
      </c>
      <c r="F27" s="6" t="s">
        <v>117</v>
      </c>
      <c r="G27" s="9">
        <f>IF(A27=1,"_",IF(C27="_","???",C27))</f>
        <v/>
      </c>
      <c r="H27" s="10" t="s">
        <v>12</v>
      </c>
      <c r="I27" s="11" t="s">
        <v>12</v>
      </c>
      <c r="J27" s="12"/>
    </row>
    <row r="28" spans="1:10" ht="60" customHeight="1">
      <c r="A28" s="6" t="s">
        <v>118</v>
      </c>
      <c r="B28" s="6" t="s">
        <v>24</v>
      </c>
      <c r="C28" s="6" t="s">
        <v>12</v>
      </c>
      <c r="D28" s="7" t="s">
        <v>119</v>
      </c>
      <c r="E28" s="8" t="s">
        <v>120</v>
      </c>
      <c r="F28" s="6" t="s">
        <v>121</v>
      </c>
      <c r="G28" s="9">
        <f>IF(A28=1,"_",IF(C28="_","???",C28))</f>
        <v/>
      </c>
      <c r="H28" s="10" t="s">
        <v>12</v>
      </c>
      <c r="I28" s="11" t="s">
        <v>12</v>
      </c>
      <c r="J28" s="12"/>
    </row>
    <row r="29" spans="1:10" ht="60" customHeight="1">
      <c r="A29" s="6" t="s">
        <v>122</v>
      </c>
      <c r="B29" s="6" t="s">
        <v>63</v>
      </c>
      <c r="C29" s="6" t="s">
        <v>12</v>
      </c>
      <c r="D29" s="7" t="s">
        <v>123</v>
      </c>
      <c r="E29" s="8" t="s">
        <v>124</v>
      </c>
      <c r="F29" s="6" t="s">
        <v>125</v>
      </c>
      <c r="G29" s="9">
        <f>IF(A29=1,"_",IF(C29="_","???",C29))</f>
        <v/>
      </c>
      <c r="H29" s="10" t="s">
        <v>12</v>
      </c>
      <c r="I29" s="11" t="s">
        <v>12</v>
      </c>
      <c r="J29" s="12"/>
    </row>
    <row r="30" spans="1:10" ht="60" customHeight="1">
      <c r="A30" s="6" t="s">
        <v>126</v>
      </c>
      <c r="B30" s="6" t="s">
        <v>37</v>
      </c>
      <c r="C30" s="6" t="s">
        <v>12</v>
      </c>
      <c r="D30" s="7" t="s">
        <v>127</v>
      </c>
      <c r="E30" s="8" t="s">
        <v>128</v>
      </c>
      <c r="F30" s="6" t="s">
        <v>129</v>
      </c>
      <c r="G30" s="9">
        <f>IF(A30=1,"_",IF(C30="_","???",C30))</f>
        <v/>
      </c>
      <c r="H30" s="10" t="s">
        <v>12</v>
      </c>
      <c r="I30" s="11" t="s">
        <v>12</v>
      </c>
      <c r="J30" s="12"/>
    </row>
    <row r="31" spans="1:10" ht="60" customHeight="1">
      <c r="A31" s="6" t="s">
        <v>130</v>
      </c>
      <c r="B31" s="6" t="s">
        <v>11</v>
      </c>
      <c r="C31" s="6" t="s">
        <v>12</v>
      </c>
      <c r="D31" s="7" t="s">
        <v>131</v>
      </c>
      <c r="E31" s="8" t="s">
        <v>132</v>
      </c>
      <c r="F31" s="6" t="s">
        <v>133</v>
      </c>
      <c r="G31" s="9">
        <f>IF(A31=1,"_",IF(C31="_","???",C31))</f>
        <v/>
      </c>
      <c r="H31" s="10" t="s">
        <v>12</v>
      </c>
      <c r="I31" s="11" t="s">
        <v>12</v>
      </c>
      <c r="J31" s="12"/>
    </row>
    <row r="32" spans="1:10" ht="60" customHeight="1">
      <c r="A32" s="6" t="s">
        <v>134</v>
      </c>
      <c r="B32" s="6" t="s">
        <v>20</v>
      </c>
      <c r="C32" s="6" t="s">
        <v>12</v>
      </c>
      <c r="D32" s="7" t="s">
        <v>135</v>
      </c>
      <c r="E32" s="8" t="s">
        <v>136</v>
      </c>
      <c r="F32" s="6" t="s">
        <v>137</v>
      </c>
      <c r="G32" s="9">
        <f>IF(A32=1,"_",IF(C32="_","???",C32))</f>
        <v/>
      </c>
      <c r="H32" s="10" t="s">
        <v>12</v>
      </c>
      <c r="I32" s="11" t="s">
        <v>12</v>
      </c>
      <c r="J32" s="12"/>
    </row>
    <row r="33" spans="1:10" ht="60" customHeight="1">
      <c r="A33" s="6" t="s">
        <v>138</v>
      </c>
      <c r="B33" s="6" t="s">
        <v>24</v>
      </c>
      <c r="C33" s="6" t="s">
        <v>12</v>
      </c>
      <c r="D33" s="7" t="s">
        <v>139</v>
      </c>
      <c r="E33" s="8" t="s">
        <v>140</v>
      </c>
      <c r="F33" s="6" t="s">
        <v>141</v>
      </c>
      <c r="G33" s="9">
        <f>IF(A33=1,"_",IF(C33="_","???",C33))</f>
        <v/>
      </c>
      <c r="H33" s="10" t="s">
        <v>12</v>
      </c>
      <c r="I33" s="11" t="s">
        <v>12</v>
      </c>
      <c r="J33" s="12"/>
    </row>
    <row r="34" spans="1:10" ht="60" customHeight="1">
      <c r="A34" s="6" t="s">
        <v>142</v>
      </c>
      <c r="B34" s="6" t="s">
        <v>20</v>
      </c>
      <c r="C34" s="6" t="s">
        <v>12</v>
      </c>
      <c r="D34" s="7" t="s">
        <v>143</v>
      </c>
      <c r="E34" s="8" t="s">
        <v>144</v>
      </c>
      <c r="F34" s="6" t="s">
        <v>145</v>
      </c>
      <c r="G34" s="9">
        <f>IF(A34=1,"_",IF(C34="_","???",C34))</f>
        <v/>
      </c>
      <c r="H34" s="10" t="s">
        <v>12</v>
      </c>
      <c r="I34" s="11" t="s">
        <v>12</v>
      </c>
      <c r="J34" s="12"/>
    </row>
    <row r="35" spans="1:10" ht="60" customHeight="1">
      <c r="A35" s="6" t="s">
        <v>146</v>
      </c>
      <c r="B35" s="6" t="s">
        <v>19</v>
      </c>
      <c r="C35" s="6" t="s">
        <v>12</v>
      </c>
      <c r="D35" s="7" t="s">
        <v>147</v>
      </c>
      <c r="E35" s="8" t="s">
        <v>148</v>
      </c>
      <c r="F35" s="6" t="s">
        <v>149</v>
      </c>
      <c r="G35" s="9">
        <f>IF(A35=1,"_",IF(C35="_","???",C35))</f>
        <v/>
      </c>
      <c r="H35" s="10" t="s">
        <v>12</v>
      </c>
      <c r="I35" s="11" t="s">
        <v>12</v>
      </c>
      <c r="J35" s="12"/>
    </row>
    <row r="36" spans="1:10" ht="60" customHeight="1">
      <c r="A36" s="6" t="s">
        <v>150</v>
      </c>
      <c r="B36" s="6" t="s">
        <v>11</v>
      </c>
      <c r="C36" s="6" t="s">
        <v>12</v>
      </c>
      <c r="D36" s="7" t="s">
        <v>151</v>
      </c>
      <c r="E36" s="8" t="s">
        <v>152</v>
      </c>
      <c r="F36" s="6" t="s">
        <v>153</v>
      </c>
      <c r="G36" s="9">
        <f>IF(A36=1,"_",IF(C36="_","???",C36))</f>
        <v/>
      </c>
      <c r="H36" s="10" t="s">
        <v>12</v>
      </c>
      <c r="I36" s="11" t="s">
        <v>12</v>
      </c>
      <c r="J36" s="12"/>
    </row>
    <row r="37" spans="1:10" ht="60" customHeight="1">
      <c r="A37" s="6" t="s">
        <v>154</v>
      </c>
      <c r="B37" s="6" t="s">
        <v>64</v>
      </c>
      <c r="C37" s="6" t="s">
        <v>12</v>
      </c>
      <c r="D37" s="7" t="s">
        <v>155</v>
      </c>
      <c r="E37" s="8" t="s">
        <v>156</v>
      </c>
      <c r="F37" s="6" t="s">
        <v>157</v>
      </c>
      <c r="G37" s="9">
        <f>IF(A37=1,"_",IF(C37="_","???",C37))</f>
        <v/>
      </c>
      <c r="H37" s="10" t="s">
        <v>12</v>
      </c>
      <c r="I37" s="11" t="s">
        <v>12</v>
      </c>
      <c r="J37" s="12"/>
    </row>
    <row r="38" spans="1:10" ht="60" customHeight="1">
      <c r="A38" s="6" t="s">
        <v>158</v>
      </c>
      <c r="B38" s="6" t="s">
        <v>33</v>
      </c>
      <c r="C38" s="6" t="s">
        <v>12</v>
      </c>
      <c r="D38" s="7" t="s">
        <v>159</v>
      </c>
      <c r="E38" s="8" t="s">
        <v>160</v>
      </c>
      <c r="F38" s="6" t="s">
        <v>161</v>
      </c>
      <c r="G38" s="9">
        <f>IF(A38=1,"_",IF(C38="_","???",C38))</f>
        <v/>
      </c>
      <c r="H38" s="10" t="s">
        <v>12</v>
      </c>
      <c r="I38" s="11" t="s">
        <v>12</v>
      </c>
      <c r="J38" s="12"/>
    </row>
    <row r="39" spans="1:10" ht="60" customHeight="1">
      <c r="A39" s="6" t="s">
        <v>162</v>
      </c>
      <c r="B39" s="6" t="s">
        <v>20</v>
      </c>
      <c r="C39" s="6" t="s">
        <v>12</v>
      </c>
      <c r="D39" s="7" t="s">
        <v>163</v>
      </c>
      <c r="E39" s="8" t="s">
        <v>164</v>
      </c>
      <c r="F39" s="6" t="s">
        <v>165</v>
      </c>
      <c r="G39" s="9">
        <f>IF(A39=1,"_",IF(C39="_","???",C39))</f>
        <v/>
      </c>
      <c r="H39" s="10" t="s">
        <v>12</v>
      </c>
      <c r="I39" s="11" t="s">
        <v>12</v>
      </c>
      <c r="J39" s="12"/>
    </row>
    <row r="40" spans="1:10" ht="60" customHeight="1">
      <c r="A40" s="6" t="s">
        <v>166</v>
      </c>
      <c r="B40" s="6" t="s">
        <v>11</v>
      </c>
      <c r="C40" s="6" t="s">
        <v>12</v>
      </c>
      <c r="D40" s="7" t="s">
        <v>65</v>
      </c>
      <c r="E40" s="8" t="s">
        <v>167</v>
      </c>
      <c r="F40" s="6" t="s">
        <v>168</v>
      </c>
      <c r="G40" s="9">
        <f>IF(A40=1,"_",IF(C40="_","???",C40))</f>
        <v/>
      </c>
      <c r="H40" s="10" t="s">
        <v>12</v>
      </c>
      <c r="I40" s="11" t="s">
        <v>12</v>
      </c>
      <c r="J40" s="12"/>
    </row>
    <row r="41" spans="1:10" ht="60" customHeight="1">
      <c r="A41" s="6" t="s">
        <v>169</v>
      </c>
      <c r="B41" s="6" t="s">
        <v>59</v>
      </c>
      <c r="C41" s="6" t="s">
        <v>12</v>
      </c>
      <c r="D41" s="7" t="s">
        <v>170</v>
      </c>
      <c r="E41" s="8" t="s">
        <v>171</v>
      </c>
      <c r="F41" s="6" t="s">
        <v>172</v>
      </c>
      <c r="G41" s="9">
        <f>IF(A41=1,"_",IF(C41="_","???",C41))</f>
        <v/>
      </c>
      <c r="H41" s="10" t="s">
        <v>12</v>
      </c>
      <c r="I41" s="11" t="s">
        <v>12</v>
      </c>
      <c r="J41" s="12"/>
    </row>
    <row r="42" spans="1:10" ht="60" customHeight="1">
      <c r="A42" s="6" t="s">
        <v>173</v>
      </c>
      <c r="B42" s="6" t="s">
        <v>47</v>
      </c>
      <c r="C42" s="6" t="s">
        <v>12</v>
      </c>
      <c r="D42" s="7" t="s">
        <v>174</v>
      </c>
      <c r="E42" s="8" t="s">
        <v>175</v>
      </c>
      <c r="F42" s="6" t="s">
        <v>176</v>
      </c>
      <c r="G42" s="9">
        <f>IF(A42=1,"_",IF(C42="_","???",C42))</f>
        <v/>
      </c>
      <c r="H42" s="10" t="s">
        <v>12</v>
      </c>
      <c r="I42" s="11" t="s">
        <v>12</v>
      </c>
      <c r="J42" s="12"/>
    </row>
    <row r="43" spans="1:10" ht="60" customHeight="1">
      <c r="A43" s="6" t="s">
        <v>177</v>
      </c>
      <c r="B43" s="6" t="s">
        <v>20</v>
      </c>
      <c r="C43" s="6" t="s">
        <v>12</v>
      </c>
      <c r="D43" s="7" t="s">
        <v>178</v>
      </c>
      <c r="E43" s="8" t="s">
        <v>179</v>
      </c>
      <c r="F43" s="6" t="s">
        <v>180</v>
      </c>
      <c r="G43" s="9">
        <f>IF(A43=1,"_",IF(C43="_","???",C43))</f>
        <v/>
      </c>
      <c r="H43" s="10" t="s">
        <v>12</v>
      </c>
      <c r="I43" s="11" t="s">
        <v>12</v>
      </c>
      <c r="J43" s="12"/>
    </row>
    <row r="44" spans="1:10" ht="60" customHeight="1">
      <c r="A44" s="6" t="s">
        <v>181</v>
      </c>
      <c r="B44" s="6" t="s">
        <v>10</v>
      </c>
      <c r="C44" s="6" t="s">
        <v>39</v>
      </c>
      <c r="D44" s="7" t="s">
        <v>182</v>
      </c>
      <c r="E44" s="8" t="s">
        <v>183</v>
      </c>
      <c r="F44" s="6" t="s">
        <v>184</v>
      </c>
      <c r="G44" s="9">
        <f>IF(A44=1,"_",IF(C44="_","???",C44))</f>
        <v/>
      </c>
      <c r="H44" s="10" t="s">
        <v>12</v>
      </c>
      <c r="I44" s="11" t="s">
        <v>12</v>
      </c>
      <c r="J44" s="12"/>
    </row>
    <row r="45" spans="1:10" ht="60" customHeight="1">
      <c r="A45" s="6" t="s">
        <v>185</v>
      </c>
      <c r="B45" s="6" t="s">
        <v>33</v>
      </c>
      <c r="C45" s="6" t="s">
        <v>12</v>
      </c>
      <c r="D45" s="7" t="s">
        <v>174</v>
      </c>
      <c r="E45" s="8" t="s">
        <v>186</v>
      </c>
      <c r="F45" s="6" t="s">
        <v>187</v>
      </c>
      <c r="G45" s="9">
        <f>IF(A45=1,"_",IF(C45="_","???",C45))</f>
        <v/>
      </c>
      <c r="H45" s="10" t="s">
        <v>12</v>
      </c>
      <c r="I45" s="11" t="s">
        <v>12</v>
      </c>
      <c r="J45" s="12"/>
    </row>
    <row r="46" spans="1:10" ht="60" customHeight="1">
      <c r="A46" s="6" t="s">
        <v>188</v>
      </c>
      <c r="B46" s="6" t="s">
        <v>11</v>
      </c>
      <c r="C46" s="6" t="s">
        <v>12</v>
      </c>
      <c r="D46" s="7" t="s">
        <v>189</v>
      </c>
      <c r="E46" s="8" t="s">
        <v>190</v>
      </c>
      <c r="F46" s="6" t="s">
        <v>191</v>
      </c>
      <c r="G46" s="9">
        <f>IF(A46=1,"_",IF(C46="_","???",C46))</f>
        <v/>
      </c>
      <c r="H46" s="10" t="s">
        <v>12</v>
      </c>
      <c r="I46" s="11" t="s">
        <v>12</v>
      </c>
      <c r="J46" s="12"/>
    </row>
    <row r="47" spans="1:10" ht="60" customHeight="1">
      <c r="A47" s="6" t="s">
        <v>192</v>
      </c>
      <c r="B47" s="6" t="s">
        <v>11</v>
      </c>
      <c r="C47" s="6" t="s">
        <v>12</v>
      </c>
      <c r="D47" s="7" t="s">
        <v>193</v>
      </c>
      <c r="E47" s="8" t="s">
        <v>194</v>
      </c>
      <c r="F47" s="6" t="s">
        <v>195</v>
      </c>
      <c r="G47" s="9">
        <f>IF(A47=1,"_",IF(C47="_","???",C47))</f>
        <v/>
      </c>
      <c r="H47" s="10" t="s">
        <v>12</v>
      </c>
      <c r="I47" s="11" t="s">
        <v>12</v>
      </c>
      <c r="J47" s="12"/>
    </row>
    <row r="48" spans="1:10" ht="60" customHeight="1">
      <c r="A48" s="6" t="s">
        <v>196</v>
      </c>
      <c r="B48" s="6" t="s">
        <v>20</v>
      </c>
      <c r="C48" s="6" t="s">
        <v>12</v>
      </c>
      <c r="D48" s="7" t="s">
        <v>197</v>
      </c>
      <c r="E48" s="8" t="s">
        <v>198</v>
      </c>
      <c r="F48" s="6" t="s">
        <v>199</v>
      </c>
      <c r="G48" s="9">
        <f>IF(A48=1,"_",IF(C48="_","???",C48))</f>
        <v/>
      </c>
      <c r="H48" s="10" t="s">
        <v>12</v>
      </c>
      <c r="I48" s="11" t="s">
        <v>12</v>
      </c>
      <c r="J48" s="12"/>
    </row>
    <row r="49" spans="1:10" ht="60" customHeight="1">
      <c r="A49" s="6" t="s">
        <v>200</v>
      </c>
      <c r="B49" s="6" t="s">
        <v>11</v>
      </c>
      <c r="C49" s="6" t="s">
        <v>12</v>
      </c>
      <c r="D49" s="7" t="s">
        <v>201</v>
      </c>
      <c r="E49" s="8" t="s">
        <v>202</v>
      </c>
      <c r="F49" s="6" t="s">
        <v>203</v>
      </c>
      <c r="G49" s="9">
        <f>IF(A49=1,"_",IF(C49="_","???",C49))</f>
        <v/>
      </c>
      <c r="H49" s="10" t="s">
        <v>12</v>
      </c>
      <c r="I49" s="11" t="s">
        <v>12</v>
      </c>
      <c r="J49" s="12"/>
    </row>
    <row r="50" spans="1:10" ht="60" customHeight="1">
      <c r="A50" s="6" t="s">
        <v>204</v>
      </c>
      <c r="B50" s="6" t="s">
        <v>11</v>
      </c>
      <c r="C50" s="6" t="s">
        <v>205</v>
      </c>
      <c r="D50" s="7" t="s">
        <v>206</v>
      </c>
      <c r="E50" s="8" t="s">
        <v>207</v>
      </c>
      <c r="F50" s="6" t="s">
        <v>208</v>
      </c>
      <c r="G50" s="9">
        <f>IF(A50=1,"_",IF(C50="_","???",C50))</f>
        <v/>
      </c>
      <c r="H50" s="10" t="s">
        <v>12</v>
      </c>
      <c r="I50" s="11" t="s">
        <v>12</v>
      </c>
      <c r="J50" s="12"/>
    </row>
    <row r="51" spans="1:10" ht="60" customHeight="1">
      <c r="A51" s="6" t="s">
        <v>209</v>
      </c>
      <c r="B51" s="6" t="s">
        <v>55</v>
      </c>
      <c r="C51" s="6" t="s">
        <v>12</v>
      </c>
      <c r="D51" s="7" t="s">
        <v>210</v>
      </c>
      <c r="E51" s="8" t="s">
        <v>211</v>
      </c>
      <c r="F51" s="6" t="s">
        <v>212</v>
      </c>
      <c r="G51" s="9">
        <f>IF(A51=1,"_",IF(C51="_","???",C51))</f>
        <v/>
      </c>
      <c r="H51" s="10" t="s">
        <v>12</v>
      </c>
      <c r="I51" s="11" t="s">
        <v>12</v>
      </c>
      <c r="J51" s="12"/>
    </row>
    <row r="52" spans="1:10" ht="60" customHeight="1">
      <c r="A52" s="6" t="s">
        <v>213</v>
      </c>
      <c r="B52" s="6" t="s">
        <v>11</v>
      </c>
      <c r="C52" s="6" t="s">
        <v>12</v>
      </c>
      <c r="D52" s="7" t="s">
        <v>214</v>
      </c>
      <c r="E52" s="8" t="s">
        <v>215</v>
      </c>
      <c r="F52" s="6" t="s">
        <v>216</v>
      </c>
      <c r="G52" s="9">
        <f>IF(A52=1,"_",IF(C52="_","???",C52))</f>
        <v/>
      </c>
      <c r="H52" s="10" t="s">
        <v>12</v>
      </c>
      <c r="I52" s="11" t="s">
        <v>12</v>
      </c>
      <c r="J52" s="12"/>
    </row>
    <row r="53" spans="1:10" ht="60" customHeight="1">
      <c r="A53" s="6" t="s">
        <v>217</v>
      </c>
      <c r="B53" s="6" t="s">
        <v>47</v>
      </c>
      <c r="C53" s="6" t="s">
        <v>12</v>
      </c>
      <c r="D53" s="7" t="s">
        <v>115</v>
      </c>
      <c r="E53" s="8" t="s">
        <v>218</v>
      </c>
      <c r="F53" s="6" t="s">
        <v>219</v>
      </c>
      <c r="G53" s="9">
        <f>IF(A53=1,"_",IF(C53="_","???",C53))</f>
        <v/>
      </c>
      <c r="H53" s="10" t="s">
        <v>12</v>
      </c>
      <c r="I53" s="11" t="s">
        <v>12</v>
      </c>
      <c r="J53" s="12"/>
    </row>
    <row r="54" spans="1:10" ht="60" customHeight="1">
      <c r="A54" s="6" t="s">
        <v>220</v>
      </c>
      <c r="B54" s="6" t="s">
        <v>19</v>
      </c>
      <c r="C54" s="6" t="s">
        <v>12</v>
      </c>
      <c r="D54" s="7" t="s">
        <v>221</v>
      </c>
      <c r="E54" s="8" t="s">
        <v>222</v>
      </c>
      <c r="F54" s="6" t="s">
        <v>223</v>
      </c>
      <c r="G54" s="9">
        <f>IF(A54=1,"_",IF(C54="_","???",C54))</f>
        <v/>
      </c>
      <c r="H54" s="10" t="s">
        <v>12</v>
      </c>
      <c r="I54" s="11" t="s">
        <v>12</v>
      </c>
      <c r="J54" s="12"/>
    </row>
    <row r="55" spans="1:10" ht="60" customHeight="1">
      <c r="A55" s="6" t="s">
        <v>224</v>
      </c>
      <c r="B55" s="6" t="s">
        <v>20</v>
      </c>
      <c r="C55" s="6" t="s">
        <v>12</v>
      </c>
      <c r="D55" s="7" t="s">
        <v>225</v>
      </c>
      <c r="E55" s="8" t="s">
        <v>226</v>
      </c>
      <c r="F55" s="6" t="s">
        <v>227</v>
      </c>
      <c r="G55" s="9">
        <f>IF(A55=1,"_",IF(C55="_","???",C55))</f>
        <v/>
      </c>
      <c r="H55" s="10" t="s">
        <v>12</v>
      </c>
      <c r="I55" s="11" t="s">
        <v>12</v>
      </c>
      <c r="J55" s="12"/>
    </row>
    <row r="56" spans="1:10" ht="60" customHeight="1">
      <c r="A56" s="6" t="s">
        <v>228</v>
      </c>
      <c r="B56" s="6" t="s">
        <v>29</v>
      </c>
      <c r="C56" s="6" t="s">
        <v>12</v>
      </c>
      <c r="D56" s="7" t="s">
        <v>229</v>
      </c>
      <c r="E56" s="8" t="s">
        <v>230</v>
      </c>
      <c r="F56" s="6" t="s">
        <v>231</v>
      </c>
      <c r="G56" s="9">
        <f>IF(A56=1,"_",IF(C56="_","???",C56))</f>
        <v/>
      </c>
      <c r="H56" s="10" t="s">
        <v>12</v>
      </c>
      <c r="I56" s="11" t="s">
        <v>12</v>
      </c>
      <c r="J56" s="12"/>
    </row>
    <row r="57" spans="1:10" ht="60" customHeight="1">
      <c r="A57" s="6" t="s">
        <v>232</v>
      </c>
      <c r="B57" s="6" t="s">
        <v>20</v>
      </c>
      <c r="C57" s="6" t="s">
        <v>12</v>
      </c>
      <c r="D57" s="7" t="s">
        <v>21</v>
      </c>
      <c r="E57" s="8" t="s">
        <v>233</v>
      </c>
      <c r="F57" s="6" t="s">
        <v>234</v>
      </c>
      <c r="G57" s="9">
        <f>IF(A57=1,"_",IF(C57="_","???",C57))</f>
        <v/>
      </c>
      <c r="H57" s="10" t="s">
        <v>12</v>
      </c>
      <c r="I57" s="11" t="s">
        <v>12</v>
      </c>
      <c r="J57" s="12"/>
    </row>
    <row r="58" spans="1:10" ht="60" customHeight="1">
      <c r="A58" s="6" t="s">
        <v>235</v>
      </c>
      <c r="B58" s="6" t="s">
        <v>20</v>
      </c>
      <c r="C58" s="6" t="s">
        <v>12</v>
      </c>
      <c r="D58" s="7" t="s">
        <v>236</v>
      </c>
      <c r="E58" s="8" t="s">
        <v>237</v>
      </c>
      <c r="F58" s="6" t="s">
        <v>238</v>
      </c>
      <c r="G58" s="9">
        <f>IF(A58=1,"_",IF(C58="_","???",C58))</f>
        <v/>
      </c>
      <c r="H58" s="10" t="s">
        <v>12</v>
      </c>
      <c r="I58" s="11" t="s">
        <v>12</v>
      </c>
      <c r="J58" s="12"/>
    </row>
    <row r="59" spans="1:10" ht="60" customHeight="1">
      <c r="A59" s="6" t="s">
        <v>239</v>
      </c>
      <c r="B59" s="6" t="s">
        <v>11</v>
      </c>
      <c r="C59" s="6" t="s">
        <v>12</v>
      </c>
      <c r="D59" s="7" t="s">
        <v>240</v>
      </c>
      <c r="E59" s="8" t="s">
        <v>241</v>
      </c>
      <c r="F59" s="6" t="s">
        <v>242</v>
      </c>
      <c r="G59" s="9">
        <f>IF(A59=1,"_",IF(C59="_","???",C59))</f>
        <v/>
      </c>
      <c r="H59" s="10" t="s">
        <v>12</v>
      </c>
      <c r="I59" s="11" t="s">
        <v>12</v>
      </c>
      <c r="J59" s="12"/>
    </row>
    <row r="60" spans="1:10" ht="60" customHeight="1">
      <c r="A60" s="6" t="s">
        <v>243</v>
      </c>
      <c r="B60" s="6" t="s">
        <v>20</v>
      </c>
      <c r="C60" s="6" t="s">
        <v>12</v>
      </c>
      <c r="D60" s="7" t="s">
        <v>87</v>
      </c>
      <c r="E60" s="8" t="s">
        <v>244</v>
      </c>
      <c r="F60" s="6" t="s">
        <v>245</v>
      </c>
      <c r="G60" s="9">
        <f>IF(A60=1,"_",IF(C60="_","???",C60))</f>
        <v/>
      </c>
      <c r="H60" s="10" t="s">
        <v>12</v>
      </c>
      <c r="I60" s="11" t="s">
        <v>12</v>
      </c>
      <c r="J60" s="12"/>
    </row>
    <row r="61" spans="1:10" ht="60" customHeight="1">
      <c r="A61" s="6" t="s">
        <v>246</v>
      </c>
      <c r="B61" s="6" t="s">
        <v>11</v>
      </c>
      <c r="C61" s="6" t="s">
        <v>12</v>
      </c>
      <c r="D61" s="7" t="s">
        <v>206</v>
      </c>
      <c r="E61" s="8" t="s">
        <v>247</v>
      </c>
      <c r="F61" s="6" t="s">
        <v>248</v>
      </c>
      <c r="G61" s="9">
        <f>IF(A61=1,"_",IF(C61="_","???",C61))</f>
        <v/>
      </c>
      <c r="H61" s="10" t="s">
        <v>12</v>
      </c>
      <c r="I61" s="11" t="s">
        <v>12</v>
      </c>
      <c r="J61" s="12"/>
    </row>
    <row r="62" spans="1:10" ht="60" customHeight="1">
      <c r="A62" s="6" t="s">
        <v>249</v>
      </c>
      <c r="B62" s="6" t="s">
        <v>20</v>
      </c>
      <c r="C62" s="6" t="s">
        <v>12</v>
      </c>
      <c r="D62" s="7" t="s">
        <v>250</v>
      </c>
      <c r="E62" s="8" t="s">
        <v>251</v>
      </c>
      <c r="F62" s="6" t="s">
        <v>252</v>
      </c>
      <c r="G62" s="9">
        <f>IF(A62=1,"_",IF(C62="_","???",C62))</f>
        <v/>
      </c>
      <c r="H62" s="10" t="s">
        <v>12</v>
      </c>
      <c r="I62" s="11" t="s">
        <v>12</v>
      </c>
      <c r="J62" s="12"/>
    </row>
    <row r="63" spans="1:10" ht="60" customHeight="1">
      <c r="A63" s="6" t="s">
        <v>253</v>
      </c>
      <c r="B63" s="6" t="s">
        <v>11</v>
      </c>
      <c r="C63" s="6" t="s">
        <v>12</v>
      </c>
      <c r="D63" s="7" t="s">
        <v>254</v>
      </c>
      <c r="E63" s="8" t="s">
        <v>255</v>
      </c>
      <c r="F63" s="6" t="s">
        <v>256</v>
      </c>
      <c r="G63" s="9">
        <f>IF(A63=1,"_",IF(C63="_","???",C63))</f>
        <v/>
      </c>
      <c r="H63" s="10" t="s">
        <v>12</v>
      </c>
      <c r="I63" s="11" t="s">
        <v>12</v>
      </c>
      <c r="J63" s="12"/>
    </row>
    <row r="64" spans="1:10" ht="60" customHeight="1">
      <c r="A64" s="6" t="s">
        <v>257</v>
      </c>
      <c r="B64" s="6" t="s">
        <v>43</v>
      </c>
      <c r="C64" s="6" t="s">
        <v>12</v>
      </c>
      <c r="D64" s="7" t="s">
        <v>258</v>
      </c>
      <c r="E64" s="8" t="s">
        <v>259</v>
      </c>
      <c r="F64" s="6" t="s">
        <v>260</v>
      </c>
      <c r="G64" s="9">
        <f>IF(A64=1,"_",IF(C64="_","???",C64))</f>
        <v/>
      </c>
      <c r="H64" s="10" t="s">
        <v>12</v>
      </c>
      <c r="I64" s="11" t="s">
        <v>12</v>
      </c>
      <c r="J64" s="12"/>
    </row>
    <row r="65" spans="1:10" ht="60" customHeight="1">
      <c r="A65" s="6" t="s">
        <v>261</v>
      </c>
      <c r="B65" s="6" t="s">
        <v>37</v>
      </c>
      <c r="C65" s="6" t="s">
        <v>12</v>
      </c>
      <c r="D65" s="7" t="s">
        <v>262</v>
      </c>
      <c r="E65" s="8" t="s">
        <v>263</v>
      </c>
      <c r="F65" s="6" t="s">
        <v>264</v>
      </c>
      <c r="G65" s="9">
        <f>IF(A65=1,"_",IF(C65="_","???",C65))</f>
        <v/>
      </c>
      <c r="H65" s="10" t="s">
        <v>12</v>
      </c>
      <c r="I65" s="11" t="s">
        <v>12</v>
      </c>
      <c r="J65" s="12"/>
    </row>
    <row r="66" spans="1:10" ht="60" customHeight="1">
      <c r="A66" s="6" t="s">
        <v>265</v>
      </c>
      <c r="B66" s="6" t="s">
        <v>43</v>
      </c>
      <c r="C66" s="6" t="s">
        <v>12</v>
      </c>
      <c r="D66" s="7" t="s">
        <v>266</v>
      </c>
      <c r="E66" s="8" t="s">
        <v>267</v>
      </c>
      <c r="F66" s="6" t="s">
        <v>268</v>
      </c>
      <c r="G66" s="9">
        <f>IF(A66=1,"_",IF(C66="_","???",C66))</f>
        <v/>
      </c>
      <c r="H66" s="10" t="s">
        <v>12</v>
      </c>
      <c r="I66" s="11" t="s">
        <v>12</v>
      </c>
      <c r="J66" s="12"/>
    </row>
    <row r="67" spans="1:10" ht="60" customHeight="1">
      <c r="A67" s="6" t="s">
        <v>269</v>
      </c>
      <c r="B67" s="6" t="s">
        <v>20</v>
      </c>
      <c r="C67" s="6" t="s">
        <v>12</v>
      </c>
      <c r="D67" s="7" t="s">
        <v>270</v>
      </c>
      <c r="E67" s="8" t="s">
        <v>271</v>
      </c>
      <c r="F67" s="6" t="s">
        <v>272</v>
      </c>
      <c r="G67" s="9">
        <f>IF(A67=1,"_",IF(C67="_","???",C67))</f>
        <v/>
      </c>
      <c r="H67" s="10" t="s">
        <v>12</v>
      </c>
      <c r="I67" s="11" t="s">
        <v>12</v>
      </c>
      <c r="J67" s="12"/>
    </row>
    <row r="68" spans="1:10" ht="60" customHeight="1">
      <c r="A68" s="6" t="s">
        <v>273</v>
      </c>
      <c r="B68" s="6" t="s">
        <v>19</v>
      </c>
      <c r="C68" s="6" t="s">
        <v>12</v>
      </c>
      <c r="D68" s="7" t="s">
        <v>274</v>
      </c>
      <c r="E68" s="8" t="s">
        <v>275</v>
      </c>
      <c r="F68" s="6" t="s">
        <v>276</v>
      </c>
      <c r="G68" s="9">
        <f>IF(A68=1,"_",IF(C68="_","???",C68))</f>
        <v/>
      </c>
      <c r="H68" s="10" t="s">
        <v>12</v>
      </c>
      <c r="I68" s="11" t="s">
        <v>12</v>
      </c>
      <c r="J68" s="12"/>
    </row>
    <row r="69" spans="1:10" ht="60" customHeight="1">
      <c r="A69" s="6" t="s">
        <v>277</v>
      </c>
      <c r="B69" s="6" t="s">
        <v>20</v>
      </c>
      <c r="C69" s="6" t="s">
        <v>12</v>
      </c>
      <c r="D69" s="7" t="s">
        <v>26</v>
      </c>
      <c r="E69" s="8" t="s">
        <v>278</v>
      </c>
      <c r="F69" s="6" t="s">
        <v>279</v>
      </c>
      <c r="G69" s="9">
        <f>IF(A69=1,"_",IF(C69="_","???",C69))</f>
        <v/>
      </c>
      <c r="H69" s="10" t="s">
        <v>12</v>
      </c>
      <c r="I69" s="11" t="s">
        <v>12</v>
      </c>
      <c r="J69" s="12"/>
    </row>
    <row r="70" spans="1:10" ht="60" customHeight="1">
      <c r="A70" s="6" t="s">
        <v>280</v>
      </c>
      <c r="B70" s="6" t="s">
        <v>19</v>
      </c>
      <c r="C70" s="6" t="s">
        <v>12</v>
      </c>
      <c r="D70" s="7" t="s">
        <v>281</v>
      </c>
      <c r="E70" s="8" t="s">
        <v>282</v>
      </c>
      <c r="F70" s="6" t="s">
        <v>283</v>
      </c>
      <c r="G70" s="9">
        <f>IF(A70=1,"_",IF(C70="_","???",C70))</f>
        <v/>
      </c>
      <c r="H70" s="10" t="s">
        <v>12</v>
      </c>
      <c r="I70" s="11" t="s">
        <v>12</v>
      </c>
      <c r="J70" s="12"/>
    </row>
    <row r="71" spans="1:10" ht="60" customHeight="1">
      <c r="A71" s="6" t="s">
        <v>284</v>
      </c>
      <c r="B71" s="6" t="s">
        <v>20</v>
      </c>
      <c r="C71" s="6" t="s">
        <v>12</v>
      </c>
      <c r="D71" s="7" t="s">
        <v>285</v>
      </c>
      <c r="E71" s="8" t="s">
        <v>286</v>
      </c>
      <c r="F71" s="6" t="s">
        <v>287</v>
      </c>
      <c r="G71" s="9">
        <f>IF(A71=1,"_",IF(C71="_","???",C71))</f>
        <v/>
      </c>
      <c r="H71" s="10" t="s">
        <v>12</v>
      </c>
      <c r="I71" s="11" t="s">
        <v>12</v>
      </c>
      <c r="J71" s="12"/>
    </row>
    <row r="72" spans="1:10" ht="60" customHeight="1">
      <c r="A72" s="6" t="s">
        <v>288</v>
      </c>
      <c r="B72" s="6" t="s">
        <v>24</v>
      </c>
      <c r="C72" s="6" t="s">
        <v>12</v>
      </c>
      <c r="D72" s="7" t="s">
        <v>289</v>
      </c>
      <c r="E72" s="8" t="s">
        <v>290</v>
      </c>
      <c r="F72" s="6" t="s">
        <v>291</v>
      </c>
      <c r="G72" s="9">
        <f>IF(A72=1,"_",IF(C72="_","???",C72))</f>
        <v/>
      </c>
      <c r="H72" s="10" t="s">
        <v>12</v>
      </c>
      <c r="I72" s="11" t="s">
        <v>12</v>
      </c>
      <c r="J72" s="12"/>
    </row>
    <row r="73" spans="1:10" ht="60" customHeight="1">
      <c r="A73" s="6" t="s">
        <v>292</v>
      </c>
      <c r="B73" s="6" t="s">
        <v>11</v>
      </c>
      <c r="C73" s="6" t="s">
        <v>12</v>
      </c>
      <c r="D73" s="7" t="s">
        <v>262</v>
      </c>
      <c r="E73" s="8" t="s">
        <v>293</v>
      </c>
      <c r="F73" s="6" t="s">
        <v>294</v>
      </c>
      <c r="G73" s="9">
        <f>IF(A73=1,"_",IF(C73="_","???",C73))</f>
        <v/>
      </c>
      <c r="H73" s="10" t="s">
        <v>12</v>
      </c>
      <c r="I73" s="11" t="s">
        <v>12</v>
      </c>
      <c r="J73" s="12"/>
    </row>
    <row r="74" spans="1:10" ht="60" customHeight="1">
      <c r="A74" s="6" t="s">
        <v>295</v>
      </c>
      <c r="B74" s="6" t="s">
        <v>20</v>
      </c>
      <c r="C74" s="6" t="s">
        <v>12</v>
      </c>
      <c r="D74" s="7" t="s">
        <v>296</v>
      </c>
      <c r="E74" s="8" t="s">
        <v>297</v>
      </c>
      <c r="F74" s="6" t="s">
        <v>298</v>
      </c>
      <c r="G74" s="9">
        <f>IF(A74=1,"_",IF(C74="_","???",C74))</f>
        <v/>
      </c>
      <c r="H74" s="10" t="s">
        <v>12</v>
      </c>
      <c r="I74" s="11" t="s">
        <v>12</v>
      </c>
      <c r="J74" s="12"/>
    </row>
    <row r="75" spans="1:10" ht="60" customHeight="1">
      <c r="A75" s="6" t="s">
        <v>299</v>
      </c>
      <c r="B75" s="6" t="s">
        <v>94</v>
      </c>
      <c r="C75" s="6" t="s">
        <v>12</v>
      </c>
      <c r="D75" s="7" t="s">
        <v>300</v>
      </c>
      <c r="E75" s="8" t="s">
        <v>301</v>
      </c>
      <c r="F75" s="6" t="s">
        <v>302</v>
      </c>
      <c r="G75" s="9">
        <f>IF(A75=1,"_",IF(C75="_","???",C75))</f>
        <v/>
      </c>
      <c r="H75" s="10" t="s">
        <v>12</v>
      </c>
      <c r="I75" s="11" t="s">
        <v>12</v>
      </c>
      <c r="J75" s="12"/>
    </row>
    <row r="76" spans="1:10" ht="60" customHeight="1">
      <c r="A76" s="6" t="s">
        <v>303</v>
      </c>
      <c r="B76" s="6" t="s">
        <v>24</v>
      </c>
      <c r="C76" s="6" t="s">
        <v>12</v>
      </c>
      <c r="D76" s="7" t="s">
        <v>304</v>
      </c>
      <c r="E76" s="8" t="s">
        <v>305</v>
      </c>
      <c r="F76" s="6" t="s">
        <v>306</v>
      </c>
      <c r="G76" s="9">
        <f>IF(A76=1,"_",IF(C76="_","???",C76))</f>
        <v/>
      </c>
      <c r="H76" s="10" t="s">
        <v>12</v>
      </c>
      <c r="I76" s="11" t="s">
        <v>12</v>
      </c>
      <c r="J76" s="12"/>
    </row>
    <row r="77" spans="1:10" ht="60" customHeight="1">
      <c r="A77" s="6" t="s">
        <v>307</v>
      </c>
      <c r="B77" s="6" t="s">
        <v>55</v>
      </c>
      <c r="C77" s="6" t="s">
        <v>12</v>
      </c>
      <c r="D77" s="7" t="s">
        <v>308</v>
      </c>
      <c r="E77" s="8" t="s">
        <v>309</v>
      </c>
      <c r="F77" s="6" t="s">
        <v>310</v>
      </c>
      <c r="G77" s="9">
        <f>IF(A77=1,"_",IF(C77="_","???",C77))</f>
        <v/>
      </c>
      <c r="H77" s="10" t="s">
        <v>12</v>
      </c>
      <c r="I77" s="11" t="s">
        <v>12</v>
      </c>
      <c r="J77" s="12"/>
    </row>
    <row r="78" spans="1:10" ht="60" customHeight="1">
      <c r="A78" s="6" t="s">
        <v>311</v>
      </c>
      <c r="B78" s="6" t="s">
        <v>75</v>
      </c>
      <c r="C78" s="6" t="s">
        <v>12</v>
      </c>
      <c r="D78" s="7" t="s">
        <v>225</v>
      </c>
      <c r="E78" s="8" t="s">
        <v>312</v>
      </c>
      <c r="F78" s="6" t="s">
        <v>313</v>
      </c>
      <c r="G78" s="9">
        <f>IF(A78=1,"_",IF(C78="_","???",C78))</f>
        <v/>
      </c>
      <c r="H78" s="10" t="s">
        <v>12</v>
      </c>
      <c r="I78" s="11" t="s">
        <v>12</v>
      </c>
      <c r="J78" s="12"/>
    </row>
    <row r="79" spans="1:10" ht="60" customHeight="1">
      <c r="A79" s="6" t="s">
        <v>314</v>
      </c>
      <c r="B79" s="6" t="s">
        <v>55</v>
      </c>
      <c r="C79" s="6" t="s">
        <v>12</v>
      </c>
      <c r="D79" s="7" t="s">
        <v>315</v>
      </c>
      <c r="E79" s="8" t="s">
        <v>316</v>
      </c>
      <c r="F79" s="6" t="s">
        <v>317</v>
      </c>
      <c r="G79" s="9">
        <f>IF(A79=1,"_",IF(C79="_","???",C79))</f>
        <v/>
      </c>
      <c r="H79" s="10" t="s">
        <v>12</v>
      </c>
      <c r="I79" s="11" t="s">
        <v>12</v>
      </c>
      <c r="J79" s="12"/>
    </row>
    <row r="80" spans="1:10" ht="60" customHeight="1">
      <c r="A80" s="6" t="s">
        <v>318</v>
      </c>
      <c r="B80" s="6" t="s">
        <v>29</v>
      </c>
      <c r="C80" s="6" t="s">
        <v>12</v>
      </c>
      <c r="D80" s="7" t="s">
        <v>319</v>
      </c>
      <c r="E80" s="8" t="s">
        <v>320</v>
      </c>
      <c r="F80" s="6" t="s">
        <v>321</v>
      </c>
      <c r="G80" s="9">
        <f>IF(A80=1,"_",IF(C80="_","???",C80))</f>
        <v/>
      </c>
      <c r="H80" s="10" t="s">
        <v>12</v>
      </c>
      <c r="I80" s="11" t="s">
        <v>12</v>
      </c>
      <c r="J80" s="12"/>
    </row>
    <row r="81" spans="1:10" ht="60" customHeight="1">
      <c r="A81" s="6" t="s">
        <v>322</v>
      </c>
      <c r="B81" s="6" t="s">
        <v>24</v>
      </c>
      <c r="C81" s="6" t="s">
        <v>12</v>
      </c>
      <c r="D81" s="7" t="s">
        <v>119</v>
      </c>
      <c r="E81" s="8" t="s">
        <v>323</v>
      </c>
      <c r="F81" s="6" t="s">
        <v>324</v>
      </c>
      <c r="G81" s="9">
        <f>IF(A81=1,"_",IF(C81="_","???",C81))</f>
        <v/>
      </c>
      <c r="H81" s="10" t="s">
        <v>12</v>
      </c>
      <c r="I81" s="11" t="s">
        <v>12</v>
      </c>
      <c r="J81" s="12"/>
    </row>
    <row r="82" spans="1:10" ht="60" customHeight="1">
      <c r="A82" s="6" t="s">
        <v>325</v>
      </c>
      <c r="B82" s="6" t="s">
        <v>43</v>
      </c>
      <c r="C82" s="6" t="s">
        <v>12</v>
      </c>
      <c r="D82" s="7" t="s">
        <v>107</v>
      </c>
      <c r="E82" s="8" t="s">
        <v>326</v>
      </c>
      <c r="F82" s="6" t="s">
        <v>327</v>
      </c>
      <c r="G82" s="9">
        <f>IF(A82=1,"_",IF(C82="_","???",C82))</f>
        <v/>
      </c>
      <c r="H82" s="10" t="s">
        <v>12</v>
      </c>
      <c r="I82" s="11" t="s">
        <v>12</v>
      </c>
      <c r="J82" s="12"/>
    </row>
    <row r="83" spans="1:10" ht="60" customHeight="1">
      <c r="A83" s="6" t="s">
        <v>328</v>
      </c>
      <c r="B83" s="6" t="s">
        <v>43</v>
      </c>
      <c r="C83" s="6" t="s">
        <v>12</v>
      </c>
      <c r="D83" s="7" t="s">
        <v>329</v>
      </c>
      <c r="E83" s="8" t="s">
        <v>330</v>
      </c>
      <c r="F83" s="6" t="s">
        <v>331</v>
      </c>
      <c r="G83" s="9">
        <f>IF(A83=1,"_",IF(C83="_","???",C83))</f>
        <v/>
      </c>
      <c r="H83" s="10" t="s">
        <v>12</v>
      </c>
      <c r="I83" s="11" t="s">
        <v>12</v>
      </c>
      <c r="J83" s="12"/>
    </row>
    <row r="84" spans="1:10" ht="60" customHeight="1">
      <c r="A84" s="6" t="s">
        <v>332</v>
      </c>
      <c r="B84" s="6" t="s">
        <v>24</v>
      </c>
      <c r="C84" s="6" t="s">
        <v>12</v>
      </c>
      <c r="D84" s="7" t="s">
        <v>333</v>
      </c>
      <c r="E84" s="8" t="s">
        <v>334</v>
      </c>
      <c r="F84" s="6" t="s">
        <v>335</v>
      </c>
      <c r="G84" s="9">
        <f>IF(A84=1,"_",IF(C84="_","???",C84))</f>
        <v/>
      </c>
      <c r="H84" s="10" t="s">
        <v>12</v>
      </c>
      <c r="I84" s="11" t="s">
        <v>12</v>
      </c>
      <c r="J84" s="12"/>
    </row>
    <row r="85" spans="1:10" ht="60" customHeight="1">
      <c r="A85" s="6" t="s">
        <v>336</v>
      </c>
      <c r="B85" s="6" t="s">
        <v>11</v>
      </c>
      <c r="C85" s="6" t="s">
        <v>12</v>
      </c>
      <c r="D85" s="7" t="s">
        <v>337</v>
      </c>
      <c r="E85" s="8" t="s">
        <v>338</v>
      </c>
      <c r="F85" s="6" t="s">
        <v>339</v>
      </c>
      <c r="G85" s="9">
        <f>IF(A85=1,"_",IF(C85="_","???",C85))</f>
        <v/>
      </c>
      <c r="H85" s="10" t="s">
        <v>12</v>
      </c>
      <c r="I85" s="11" t="s">
        <v>12</v>
      </c>
      <c r="J85" s="12"/>
    </row>
    <row r="86" spans="1:10" ht="60" customHeight="1">
      <c r="A86" s="6" t="s">
        <v>340</v>
      </c>
      <c r="B86" s="6" t="s">
        <v>19</v>
      </c>
      <c r="C86" s="6" t="s">
        <v>12</v>
      </c>
      <c r="D86" s="7" t="s">
        <v>341</v>
      </c>
      <c r="E86" s="8" t="s">
        <v>342</v>
      </c>
      <c r="F86" s="6" t="s">
        <v>343</v>
      </c>
      <c r="G86" s="9">
        <f>IF(A86=1,"_",IF(C86="_","???",C86))</f>
        <v/>
      </c>
      <c r="H86" s="10" t="s">
        <v>12</v>
      </c>
      <c r="I86" s="11" t="s">
        <v>12</v>
      </c>
      <c r="J86" s="12"/>
    </row>
    <row r="87" spans="1:10" ht="60" customHeight="1">
      <c r="A87" s="6" t="s">
        <v>344</v>
      </c>
      <c r="B87" s="6" t="s">
        <v>24</v>
      </c>
      <c r="C87" s="6" t="s">
        <v>12</v>
      </c>
      <c r="D87" s="7" t="s">
        <v>345</v>
      </c>
      <c r="E87" s="8" t="s">
        <v>346</v>
      </c>
      <c r="F87" s="6" t="s">
        <v>347</v>
      </c>
      <c r="G87" s="9">
        <f>IF(A87=1,"_",IF(C87="_","???",C87))</f>
        <v/>
      </c>
      <c r="H87" s="10" t="s">
        <v>12</v>
      </c>
      <c r="I87" s="11" t="s">
        <v>12</v>
      </c>
      <c r="J87" s="12"/>
    </row>
    <row r="88" spans="1:10" ht="60" customHeight="1">
      <c r="A88" s="6" t="s">
        <v>348</v>
      </c>
      <c r="B88" s="6" t="s">
        <v>19</v>
      </c>
      <c r="C88" s="6" t="s">
        <v>12</v>
      </c>
      <c r="D88" s="7" t="s">
        <v>349</v>
      </c>
      <c r="E88" s="8" t="s">
        <v>350</v>
      </c>
      <c r="F88" s="6" t="s">
        <v>351</v>
      </c>
      <c r="G88" s="9">
        <f>IF(A88=1,"_",IF(C88="_","???",C88))</f>
        <v/>
      </c>
      <c r="H88" s="10" t="s">
        <v>12</v>
      </c>
      <c r="I88" s="11" t="s">
        <v>12</v>
      </c>
      <c r="J88" s="12"/>
    </row>
    <row r="89" spans="1:10" ht="60" customHeight="1">
      <c r="A89" s="6" t="s">
        <v>352</v>
      </c>
      <c r="B89" s="6" t="s">
        <v>20</v>
      </c>
      <c r="C89" s="6" t="s">
        <v>12</v>
      </c>
      <c r="D89" s="7" t="s">
        <v>119</v>
      </c>
      <c r="E89" s="8" t="s">
        <v>353</v>
      </c>
      <c r="F89" s="6" t="s">
        <v>354</v>
      </c>
      <c r="G89" s="9">
        <f>IF(A89=1,"_",IF(C89="_","???",C89))</f>
        <v/>
      </c>
      <c r="H89" s="10" t="s">
        <v>12</v>
      </c>
      <c r="I89" s="11" t="s">
        <v>12</v>
      </c>
      <c r="J89" s="12"/>
    </row>
    <row r="90" spans="1:10" ht="60" customHeight="1">
      <c r="A90" s="6" t="s">
        <v>355</v>
      </c>
      <c r="B90" s="6" t="s">
        <v>10</v>
      </c>
      <c r="C90" s="6" t="s">
        <v>12</v>
      </c>
      <c r="D90" s="7" t="s">
        <v>356</v>
      </c>
      <c r="E90" s="8" t="s">
        <v>357</v>
      </c>
      <c r="F90" s="6" t="s">
        <v>358</v>
      </c>
      <c r="G90" s="9">
        <f>IF(A90=1,"_",IF(C90="_","???",C90))</f>
        <v/>
      </c>
      <c r="H90" s="10" t="s">
        <v>12</v>
      </c>
      <c r="I90" s="11" t="s">
        <v>12</v>
      </c>
      <c r="J90" s="12"/>
    </row>
    <row r="91" spans="1:10" ht="60" customHeight="1">
      <c r="A91" s="6" t="s">
        <v>359</v>
      </c>
      <c r="B91" s="6" t="s">
        <v>75</v>
      </c>
      <c r="C91" s="6" t="s">
        <v>12</v>
      </c>
      <c r="D91" s="7" t="s">
        <v>360</v>
      </c>
      <c r="E91" s="8" t="s">
        <v>361</v>
      </c>
      <c r="F91" s="6" t="s">
        <v>362</v>
      </c>
      <c r="G91" s="9">
        <f>IF(A91=1,"_",IF(C91="_","???",C91))</f>
        <v/>
      </c>
      <c r="H91" s="10" t="s">
        <v>12</v>
      </c>
      <c r="I91" s="11" t="s">
        <v>12</v>
      </c>
      <c r="J91" s="12"/>
    </row>
    <row r="92" spans="1:10" ht="60" customHeight="1">
      <c r="A92" s="6" t="s">
        <v>363</v>
      </c>
      <c r="B92" s="6" t="s">
        <v>11</v>
      </c>
      <c r="C92" s="6" t="s">
        <v>12</v>
      </c>
      <c r="D92" s="7" t="s">
        <v>364</v>
      </c>
      <c r="E92" s="8" t="s">
        <v>365</v>
      </c>
      <c r="F92" s="6" t="s">
        <v>366</v>
      </c>
      <c r="G92" s="9">
        <f>IF(A92=1,"_",IF(C92="_","???",C92))</f>
        <v/>
      </c>
      <c r="H92" s="10" t="s">
        <v>12</v>
      </c>
      <c r="I92" s="11" t="s">
        <v>12</v>
      </c>
      <c r="J92" s="12"/>
    </row>
    <row r="93" spans="1:10" ht="60" customHeight="1">
      <c r="A93" s="6" t="s">
        <v>367</v>
      </c>
      <c r="B93" s="6" t="s">
        <v>11</v>
      </c>
      <c r="C93" s="6" t="s">
        <v>12</v>
      </c>
      <c r="D93" s="7" t="s">
        <v>250</v>
      </c>
      <c r="E93" s="8" t="s">
        <v>368</v>
      </c>
      <c r="F93" s="6" t="s">
        <v>369</v>
      </c>
      <c r="G93" s="9">
        <f>IF(A93=1,"_",IF(C93="_","???",C93))</f>
        <v/>
      </c>
      <c r="H93" s="10" t="s">
        <v>12</v>
      </c>
      <c r="I93" s="11" t="s">
        <v>12</v>
      </c>
      <c r="J93" s="12"/>
    </row>
    <row r="94" spans="1:10" ht="60" customHeight="1">
      <c r="A94" s="6" t="s">
        <v>370</v>
      </c>
      <c r="B94" s="6" t="s">
        <v>43</v>
      </c>
      <c r="C94" s="6" t="s">
        <v>12</v>
      </c>
      <c r="D94" s="7" t="s">
        <v>250</v>
      </c>
      <c r="E94" s="8" t="s">
        <v>371</v>
      </c>
      <c r="F94" s="6" t="s">
        <v>372</v>
      </c>
      <c r="G94" s="9">
        <f>IF(A94=1,"_",IF(C94="_","???",C94))</f>
        <v/>
      </c>
      <c r="H94" s="10" t="s">
        <v>12</v>
      </c>
      <c r="I94" s="11" t="s">
        <v>12</v>
      </c>
      <c r="J94" s="12"/>
    </row>
    <row r="95" spans="1:10" ht="60" customHeight="1">
      <c r="A95" s="6" t="s">
        <v>373</v>
      </c>
      <c r="B95" s="6" t="s">
        <v>20</v>
      </c>
      <c r="C95" s="6" t="s">
        <v>12</v>
      </c>
      <c r="D95" s="7" t="s">
        <v>374</v>
      </c>
      <c r="E95" s="8" t="s">
        <v>375</v>
      </c>
      <c r="F95" s="6" t="s">
        <v>376</v>
      </c>
      <c r="G95" s="9">
        <f>IF(A95=1,"_",IF(C95="_","???",C95))</f>
        <v/>
      </c>
      <c r="H95" s="10" t="s">
        <v>12</v>
      </c>
      <c r="I95" s="11" t="s">
        <v>12</v>
      </c>
      <c r="J95" s="12"/>
    </row>
    <row r="96" spans="1:10" ht="60" customHeight="1">
      <c r="A96" s="6" t="s">
        <v>377</v>
      </c>
      <c r="B96" s="6" t="s">
        <v>11</v>
      </c>
      <c r="C96" s="6" t="s">
        <v>12</v>
      </c>
      <c r="D96" s="7" t="s">
        <v>26</v>
      </c>
      <c r="E96" s="8" t="s">
        <v>378</v>
      </c>
      <c r="F96" s="6" t="s">
        <v>379</v>
      </c>
      <c r="G96" s="9">
        <f>IF(A96=1,"_",IF(C96="_","???",C96))</f>
        <v/>
      </c>
      <c r="H96" s="10" t="s">
        <v>12</v>
      </c>
      <c r="I96" s="11" t="s">
        <v>12</v>
      </c>
      <c r="J96" s="12"/>
    </row>
    <row r="97" spans="1:10" ht="60" customHeight="1">
      <c r="A97" s="6" t="s">
        <v>380</v>
      </c>
      <c r="B97" s="6" t="s">
        <v>11</v>
      </c>
      <c r="C97" s="6" t="s">
        <v>12</v>
      </c>
      <c r="D97" s="7" t="s">
        <v>381</v>
      </c>
      <c r="E97" s="8" t="s">
        <v>382</v>
      </c>
      <c r="F97" s="6" t="s">
        <v>383</v>
      </c>
      <c r="G97" s="9">
        <f>IF(A97=1,"_",IF(C97="_","???",C97))</f>
        <v/>
      </c>
      <c r="H97" s="10" t="s">
        <v>12</v>
      </c>
      <c r="I97" s="11" t="s">
        <v>12</v>
      </c>
      <c r="J97" s="12"/>
    </row>
    <row r="98" spans="1:10" ht="60" customHeight="1">
      <c r="A98" s="6" t="s">
        <v>384</v>
      </c>
      <c r="B98" s="6" t="s">
        <v>20</v>
      </c>
      <c r="C98" s="6" t="s">
        <v>12</v>
      </c>
      <c r="D98" s="7" t="s">
        <v>385</v>
      </c>
      <c r="E98" s="8" t="s">
        <v>386</v>
      </c>
      <c r="F98" s="6" t="s">
        <v>387</v>
      </c>
      <c r="G98" s="9">
        <f>IF(A98=1,"_",IF(C98="_","???",C98))</f>
        <v/>
      </c>
      <c r="H98" s="10" t="s">
        <v>12</v>
      </c>
      <c r="I98" s="11" t="s">
        <v>12</v>
      </c>
      <c r="J98" s="12"/>
    </row>
    <row r="99" spans="1:10" ht="60" customHeight="1">
      <c r="A99" s="6" t="s">
        <v>388</v>
      </c>
      <c r="B99" s="6" t="s">
        <v>11</v>
      </c>
      <c r="C99" s="6" t="s">
        <v>12</v>
      </c>
      <c r="D99" s="7" t="s">
        <v>389</v>
      </c>
      <c r="E99" s="8" t="s">
        <v>390</v>
      </c>
      <c r="F99" s="6" t="s">
        <v>391</v>
      </c>
      <c r="G99" s="9">
        <f>IF(A99=1,"_",IF(C99="_","???",C99))</f>
        <v/>
      </c>
      <c r="H99" s="10" t="s">
        <v>12</v>
      </c>
      <c r="I99" s="11" t="s">
        <v>12</v>
      </c>
      <c r="J99" s="12"/>
    </row>
    <row r="100" spans="1:10" ht="60" customHeight="1">
      <c r="A100" s="6" t="s">
        <v>392</v>
      </c>
      <c r="B100" s="6" t="s">
        <v>11</v>
      </c>
      <c r="C100" s="6" t="s">
        <v>12</v>
      </c>
      <c r="D100" s="7" t="s">
        <v>393</v>
      </c>
      <c r="E100" s="8" t="s">
        <v>394</v>
      </c>
      <c r="F100" s="6" t="s">
        <v>395</v>
      </c>
      <c r="G100" s="9">
        <f>IF(A100=1,"_",IF(C100="_","???",C100))</f>
        <v/>
      </c>
      <c r="H100" s="10" t="s">
        <v>12</v>
      </c>
      <c r="I100" s="11" t="s">
        <v>12</v>
      </c>
      <c r="J100" s="12"/>
    </row>
    <row r="101" spans="1:10" ht="60" customHeight="1">
      <c r="A101" s="6" t="s">
        <v>396</v>
      </c>
      <c r="B101" s="6" t="s">
        <v>63</v>
      </c>
      <c r="C101" s="6" t="s">
        <v>12</v>
      </c>
      <c r="D101" s="7" t="s">
        <v>397</v>
      </c>
      <c r="E101" s="8" t="s">
        <v>398</v>
      </c>
      <c r="F101" s="6" t="s">
        <v>399</v>
      </c>
      <c r="G101" s="9">
        <f>IF(A101=1,"_",IF(C101="_","???",C101))</f>
        <v/>
      </c>
      <c r="H101" s="10" t="s">
        <v>12</v>
      </c>
      <c r="I101" s="11" t="s">
        <v>12</v>
      </c>
      <c r="J101" s="12"/>
    </row>
    <row r="102" spans="1:10" ht="60" customHeight="1">
      <c r="A102" s="6" t="s">
        <v>400</v>
      </c>
      <c r="B102" s="6" t="s">
        <v>19</v>
      </c>
      <c r="C102" s="6" t="s">
        <v>12</v>
      </c>
      <c r="D102" s="7" t="s">
        <v>393</v>
      </c>
      <c r="E102" s="8" t="s">
        <v>401</v>
      </c>
      <c r="F102" s="6" t="s">
        <v>402</v>
      </c>
      <c r="G102" s="9">
        <f>IF(A102=1,"_",IF(C102="_","???",C102))</f>
        <v/>
      </c>
      <c r="H102" s="10" t="s">
        <v>12</v>
      </c>
      <c r="I102" s="11" t="s">
        <v>12</v>
      </c>
      <c r="J102" s="12"/>
    </row>
    <row r="103" spans="1:10" ht="60" customHeight="1">
      <c r="A103" s="6" t="s">
        <v>403</v>
      </c>
      <c r="B103" s="6" t="s">
        <v>55</v>
      </c>
      <c r="C103" s="6" t="s">
        <v>39</v>
      </c>
      <c r="D103" s="7" t="s">
        <v>404</v>
      </c>
      <c r="E103" s="8" t="s">
        <v>405</v>
      </c>
      <c r="F103" s="6" t="s">
        <v>406</v>
      </c>
      <c r="G103" s="9">
        <f>IF(A103=1,"_",IF(C103="_","???",C103))</f>
        <v/>
      </c>
      <c r="H103" s="10" t="s">
        <v>12</v>
      </c>
      <c r="I103" s="11" t="s">
        <v>12</v>
      </c>
      <c r="J103" s="12"/>
    </row>
    <row r="104" spans="1:10" ht="60" customHeight="1">
      <c r="A104" s="6" t="s">
        <v>407</v>
      </c>
      <c r="B104" s="6" t="s">
        <v>11</v>
      </c>
      <c r="C104" s="6" t="s">
        <v>12</v>
      </c>
      <c r="D104" s="7" t="s">
        <v>408</v>
      </c>
      <c r="E104" s="8" t="s">
        <v>409</v>
      </c>
      <c r="F104" s="6" t="s">
        <v>410</v>
      </c>
      <c r="G104" s="9">
        <f>IF(A104=1,"_",IF(C104="_","???",C104))</f>
        <v/>
      </c>
      <c r="H104" s="10" t="s">
        <v>12</v>
      </c>
      <c r="I104" s="11" t="s">
        <v>12</v>
      </c>
      <c r="J104" s="12"/>
    </row>
    <row r="105" spans="1:10" ht="60" customHeight="1">
      <c r="A105" s="6" t="s">
        <v>411</v>
      </c>
      <c r="B105" s="6" t="s">
        <v>11</v>
      </c>
      <c r="C105" s="6" t="s">
        <v>12</v>
      </c>
      <c r="D105" s="7" t="s">
        <v>262</v>
      </c>
      <c r="E105" s="8" t="s">
        <v>412</v>
      </c>
      <c r="F105" s="6" t="s">
        <v>413</v>
      </c>
      <c r="G105" s="9">
        <f>IF(A105=1,"_",IF(C105="_","???",C105))</f>
        <v/>
      </c>
      <c r="H105" s="10" t="s">
        <v>12</v>
      </c>
      <c r="I105" s="11" t="s">
        <v>12</v>
      </c>
      <c r="J105" s="12"/>
    </row>
    <row r="106" spans="1:10" ht="60" customHeight="1">
      <c r="A106" s="6" t="s">
        <v>414</v>
      </c>
      <c r="B106" s="6" t="s">
        <v>55</v>
      </c>
      <c r="C106" s="6" t="s">
        <v>12</v>
      </c>
      <c r="D106" s="7" t="s">
        <v>415</v>
      </c>
      <c r="E106" s="8" t="s">
        <v>416</v>
      </c>
      <c r="F106" s="6" t="s">
        <v>417</v>
      </c>
      <c r="G106" s="9">
        <f>IF(A106=1,"_",IF(C106="_","???",C106))</f>
        <v/>
      </c>
      <c r="H106" s="10" t="s">
        <v>12</v>
      </c>
      <c r="I106" s="11" t="s">
        <v>12</v>
      </c>
      <c r="J106" s="12"/>
    </row>
    <row r="107" spans="1:10" ht="60" customHeight="1">
      <c r="A107" s="6" t="s">
        <v>418</v>
      </c>
      <c r="B107" s="6" t="s">
        <v>47</v>
      </c>
      <c r="C107" s="6" t="s">
        <v>12</v>
      </c>
      <c r="D107" s="7" t="s">
        <v>419</v>
      </c>
      <c r="E107" s="8" t="s">
        <v>420</v>
      </c>
      <c r="F107" s="6" t="s">
        <v>421</v>
      </c>
      <c r="G107" s="9">
        <f>IF(A107=1,"_",IF(C107="_","???",C107))</f>
        <v/>
      </c>
      <c r="H107" s="10" t="s">
        <v>12</v>
      </c>
      <c r="I107" s="11" t="s">
        <v>12</v>
      </c>
      <c r="J107" s="12"/>
    </row>
    <row r="108" spans="1:10" ht="60" customHeight="1">
      <c r="A108" s="6" t="s">
        <v>422</v>
      </c>
      <c r="B108" s="6" t="s">
        <v>20</v>
      </c>
      <c r="C108" s="6" t="s">
        <v>12</v>
      </c>
      <c r="D108" s="7" t="s">
        <v>423</v>
      </c>
      <c r="E108" s="8" t="s">
        <v>424</v>
      </c>
      <c r="F108" s="6" t="s">
        <v>425</v>
      </c>
      <c r="G108" s="9">
        <f>IF(A108=1,"_",IF(C108="_","???",C108))</f>
        <v/>
      </c>
      <c r="H108" s="10" t="s">
        <v>12</v>
      </c>
      <c r="I108" s="11" t="s">
        <v>12</v>
      </c>
      <c r="J108" s="12"/>
    </row>
    <row r="109" spans="1:10" ht="60" customHeight="1">
      <c r="A109" s="6" t="s">
        <v>426</v>
      </c>
      <c r="B109" s="6" t="s">
        <v>33</v>
      </c>
      <c r="C109" s="6" t="s">
        <v>12</v>
      </c>
      <c r="D109" s="7" t="s">
        <v>315</v>
      </c>
      <c r="E109" s="8" t="s">
        <v>427</v>
      </c>
      <c r="F109" s="6" t="s">
        <v>428</v>
      </c>
      <c r="G109" s="9">
        <f>IF(A109=1,"_",IF(C109="_","???",C109))</f>
        <v/>
      </c>
      <c r="H109" s="10" t="s">
        <v>12</v>
      </c>
      <c r="I109" s="11" t="s">
        <v>12</v>
      </c>
      <c r="J109" s="12"/>
    </row>
    <row r="110" spans="1:10" ht="60" customHeight="1">
      <c r="A110" s="6" t="s">
        <v>429</v>
      </c>
      <c r="B110" s="6" t="s">
        <v>11</v>
      </c>
      <c r="C110" s="6" t="s">
        <v>12</v>
      </c>
      <c r="D110" s="7" t="s">
        <v>225</v>
      </c>
      <c r="E110" s="8" t="s">
        <v>430</v>
      </c>
      <c r="F110" s="6" t="s">
        <v>431</v>
      </c>
      <c r="G110" s="9">
        <f>IF(A110=1,"_",IF(C110="_","???",C110))</f>
        <v/>
      </c>
      <c r="H110" s="10" t="s">
        <v>12</v>
      </c>
      <c r="I110" s="11" t="s">
        <v>12</v>
      </c>
      <c r="J110" s="12"/>
    </row>
    <row r="111" spans="1:10" ht="60" customHeight="1">
      <c r="A111" s="6" t="s">
        <v>432</v>
      </c>
      <c r="B111" s="6" t="s">
        <v>29</v>
      </c>
      <c r="C111" s="6" t="s">
        <v>12</v>
      </c>
      <c r="D111" s="7" t="s">
        <v>193</v>
      </c>
      <c r="E111" s="8" t="s">
        <v>433</v>
      </c>
      <c r="F111" s="6" t="s">
        <v>434</v>
      </c>
      <c r="G111" s="9">
        <f>IF(A111=1,"_",IF(C111="_","???",C111))</f>
        <v/>
      </c>
      <c r="H111" s="10" t="s">
        <v>12</v>
      </c>
      <c r="I111" s="11" t="s">
        <v>12</v>
      </c>
      <c r="J111" s="12"/>
    </row>
    <row r="112" spans="1:10" ht="60" customHeight="1">
      <c r="A112" s="6" t="s">
        <v>435</v>
      </c>
      <c r="B112" s="6" t="s">
        <v>11</v>
      </c>
      <c r="C112" s="6" t="s">
        <v>12</v>
      </c>
      <c r="D112" s="7" t="s">
        <v>436</v>
      </c>
      <c r="E112" s="8" t="s">
        <v>437</v>
      </c>
      <c r="F112" s="6" t="s">
        <v>438</v>
      </c>
      <c r="G112" s="9">
        <f>IF(A112=1,"_",IF(C112="_","???",C112))</f>
        <v/>
      </c>
      <c r="H112" s="10" t="s">
        <v>12</v>
      </c>
      <c r="I112" s="11" t="s">
        <v>12</v>
      </c>
      <c r="J112" s="12"/>
    </row>
    <row r="113" spans="1:10" ht="60" customHeight="1">
      <c r="A113" s="6" t="s">
        <v>439</v>
      </c>
      <c r="B113" s="6" t="s">
        <v>68</v>
      </c>
      <c r="C113" s="6" t="s">
        <v>12</v>
      </c>
      <c r="D113" s="7" t="s">
        <v>440</v>
      </c>
      <c r="E113" s="8" t="s">
        <v>441</v>
      </c>
      <c r="F113" s="6" t="s">
        <v>442</v>
      </c>
      <c r="G113" s="9">
        <f>IF(A113=1,"_",IF(C113="_","???",C113))</f>
        <v/>
      </c>
      <c r="H113" s="10" t="s">
        <v>12</v>
      </c>
      <c r="I113" s="11" t="s">
        <v>12</v>
      </c>
      <c r="J113" s="12"/>
    </row>
    <row r="114" spans="1:10" ht="60" customHeight="1">
      <c r="A114" s="6" t="s">
        <v>443</v>
      </c>
      <c r="B114" s="6" t="s">
        <v>86</v>
      </c>
      <c r="C114" s="6" t="s">
        <v>12</v>
      </c>
      <c r="D114" s="7" t="s">
        <v>444</v>
      </c>
      <c r="E114" s="8" t="s">
        <v>445</v>
      </c>
      <c r="F114" s="6" t="s">
        <v>446</v>
      </c>
      <c r="G114" s="9">
        <f>IF(A114=1,"_",IF(C114="_","???",C114))</f>
        <v/>
      </c>
      <c r="H114" s="10" t="s">
        <v>12</v>
      </c>
      <c r="I114" s="11" t="s">
        <v>12</v>
      </c>
      <c r="J114" s="12"/>
    </row>
    <row r="115" spans="1:10" ht="60" customHeight="1">
      <c r="A115" s="6" t="s">
        <v>447</v>
      </c>
      <c r="B115" s="6" t="s">
        <v>11</v>
      </c>
      <c r="C115" s="6" t="s">
        <v>12</v>
      </c>
      <c r="D115" s="7" t="s">
        <v>448</v>
      </c>
      <c r="E115" s="8" t="s">
        <v>449</v>
      </c>
      <c r="F115" s="6" t="s">
        <v>450</v>
      </c>
      <c r="G115" s="9">
        <f>IF(A115=1,"_",IF(C115="_","???",C115))</f>
        <v/>
      </c>
      <c r="H115" s="10" t="s">
        <v>12</v>
      </c>
      <c r="I115" s="11" t="s">
        <v>12</v>
      </c>
      <c r="J115" s="12"/>
    </row>
    <row r="116" spans="1:10" ht="60" customHeight="1">
      <c r="A116" s="6" t="s">
        <v>451</v>
      </c>
      <c r="B116" s="6" t="s">
        <v>19</v>
      </c>
      <c r="C116" s="6" t="s">
        <v>12</v>
      </c>
      <c r="D116" s="7" t="s">
        <v>452</v>
      </c>
      <c r="E116" s="8" t="s">
        <v>453</v>
      </c>
      <c r="F116" s="6" t="s">
        <v>454</v>
      </c>
      <c r="G116" s="9">
        <f>IF(A116=1,"_",IF(C116="_","???",C116))</f>
        <v/>
      </c>
      <c r="H116" s="10" t="s">
        <v>12</v>
      </c>
      <c r="I116" s="11" t="s">
        <v>12</v>
      </c>
      <c r="J116" s="12"/>
    </row>
    <row r="117" spans="1:10" ht="60" customHeight="1">
      <c r="A117" s="6" t="s">
        <v>455</v>
      </c>
      <c r="B117" s="6" t="s">
        <v>20</v>
      </c>
      <c r="C117" s="6" t="s">
        <v>12</v>
      </c>
      <c r="D117" s="7" t="s">
        <v>26</v>
      </c>
      <c r="E117" s="8" t="s">
        <v>456</v>
      </c>
      <c r="F117" s="6" t="s">
        <v>457</v>
      </c>
      <c r="G117" s="9">
        <f>IF(A117=1,"_",IF(C117="_","???",C117))</f>
        <v/>
      </c>
      <c r="H117" s="10" t="s">
        <v>12</v>
      </c>
      <c r="I117" s="11" t="s">
        <v>12</v>
      </c>
      <c r="J117" s="12"/>
    </row>
    <row r="118" spans="1:10" ht="60" customHeight="1">
      <c r="A118" s="6" t="s">
        <v>458</v>
      </c>
      <c r="B118" s="6" t="s">
        <v>11</v>
      </c>
      <c r="C118" s="6" t="s">
        <v>12</v>
      </c>
      <c r="D118" s="7" t="s">
        <v>459</v>
      </c>
      <c r="E118" s="8" t="s">
        <v>460</v>
      </c>
      <c r="F118" s="6" t="s">
        <v>461</v>
      </c>
      <c r="G118" s="9">
        <f>IF(A118=1,"_",IF(C118="_","???",C118))</f>
        <v/>
      </c>
      <c r="H118" s="10" t="s">
        <v>12</v>
      </c>
      <c r="I118" s="11" t="s">
        <v>12</v>
      </c>
      <c r="J118" s="12"/>
    </row>
    <row r="119" spans="1:10" ht="60" customHeight="1">
      <c r="A119" s="6" t="s">
        <v>462</v>
      </c>
      <c r="B119" s="6" t="s">
        <v>11</v>
      </c>
      <c r="C119" s="6" t="s">
        <v>12</v>
      </c>
      <c r="D119" s="7" t="s">
        <v>463</v>
      </c>
      <c r="E119" s="8" t="s">
        <v>464</v>
      </c>
      <c r="F119" s="6" t="s">
        <v>465</v>
      </c>
      <c r="G119" s="9">
        <f>IF(A119=1,"_",IF(C119="_","???",C119))</f>
        <v/>
      </c>
      <c r="H119" s="10" t="s">
        <v>12</v>
      </c>
      <c r="I119" s="11" t="s">
        <v>12</v>
      </c>
      <c r="J119" s="12"/>
    </row>
    <row r="120" spans="1:10" ht="60" customHeight="1">
      <c r="A120" s="6" t="s">
        <v>466</v>
      </c>
      <c r="B120" s="6" t="s">
        <v>11</v>
      </c>
      <c r="C120" s="6" t="s">
        <v>12</v>
      </c>
      <c r="D120" s="7" t="s">
        <v>296</v>
      </c>
      <c r="E120" s="8" t="s">
        <v>467</v>
      </c>
      <c r="F120" s="6" t="s">
        <v>468</v>
      </c>
      <c r="G120" s="9">
        <f>IF(A120=1,"_",IF(C120="_","???",C120))</f>
        <v/>
      </c>
      <c r="H120" s="10" t="s">
        <v>12</v>
      </c>
      <c r="I120" s="11" t="s">
        <v>12</v>
      </c>
      <c r="J120" s="12"/>
    </row>
    <row r="121" spans="1:10" ht="60" customHeight="1">
      <c r="A121" s="6" t="s">
        <v>469</v>
      </c>
      <c r="B121" s="6" t="s">
        <v>29</v>
      </c>
      <c r="C121" s="6" t="s">
        <v>25</v>
      </c>
      <c r="D121" s="7" t="s">
        <v>470</v>
      </c>
      <c r="E121" s="8" t="s">
        <v>471</v>
      </c>
      <c r="F121" s="6" t="s">
        <v>472</v>
      </c>
      <c r="G121" s="9">
        <f>IF(A121=1,"_",IF(C121="_","???",C121))</f>
        <v/>
      </c>
      <c r="H121" s="10" t="s">
        <v>12</v>
      </c>
      <c r="I121" s="11" t="s">
        <v>12</v>
      </c>
      <c r="J121" s="12"/>
    </row>
    <row r="122" spans="1:10" ht="60" customHeight="1">
      <c r="A122" s="6" t="s">
        <v>473</v>
      </c>
      <c r="B122" s="6" t="s">
        <v>33</v>
      </c>
      <c r="C122" s="6" t="s">
        <v>25</v>
      </c>
      <c r="D122" s="7" t="s">
        <v>474</v>
      </c>
      <c r="E122" s="8" t="s">
        <v>475</v>
      </c>
      <c r="F122" s="6" t="s">
        <v>476</v>
      </c>
      <c r="G122" s="9">
        <f>IF(A122=1,"_",IF(C122="_","???",C122))</f>
        <v/>
      </c>
      <c r="H122" s="10" t="s">
        <v>12</v>
      </c>
      <c r="I122" s="11" t="s">
        <v>12</v>
      </c>
      <c r="J122" s="12"/>
    </row>
    <row r="123" spans="1:10" ht="60" customHeight="1">
      <c r="A123" s="6" t="s">
        <v>477</v>
      </c>
      <c r="B123" s="6" t="s">
        <v>59</v>
      </c>
      <c r="C123" s="6" t="s">
        <v>12</v>
      </c>
      <c r="D123" s="7" t="s">
        <v>107</v>
      </c>
      <c r="E123" s="8" t="s">
        <v>478</v>
      </c>
      <c r="F123" s="6" t="s">
        <v>479</v>
      </c>
      <c r="G123" s="9">
        <f>IF(A123=1,"_",IF(C123="_","???",C123))</f>
        <v/>
      </c>
      <c r="H123" s="10" t="s">
        <v>12</v>
      </c>
      <c r="I123" s="11" t="s">
        <v>12</v>
      </c>
      <c r="J123" s="12"/>
    </row>
    <row r="124" spans="1:10" ht="60" customHeight="1">
      <c r="A124" s="6" t="s">
        <v>480</v>
      </c>
      <c r="B124" s="6" t="s">
        <v>51</v>
      </c>
      <c r="C124" s="6" t="s">
        <v>12</v>
      </c>
      <c r="D124" s="7" t="s">
        <v>481</v>
      </c>
      <c r="E124" s="8" t="s">
        <v>482</v>
      </c>
      <c r="F124" s="6" t="s">
        <v>483</v>
      </c>
      <c r="G124" s="9">
        <f>IF(A124=1,"_",IF(C124="_","???",C124))</f>
        <v/>
      </c>
      <c r="H124" s="10" t="s">
        <v>12</v>
      </c>
      <c r="I124" s="11" t="s">
        <v>12</v>
      </c>
      <c r="J124" s="12"/>
    </row>
    <row r="125" spans="1:10" ht="60" customHeight="1">
      <c r="A125" s="6" t="s">
        <v>484</v>
      </c>
      <c r="B125" s="6" t="s">
        <v>37</v>
      </c>
      <c r="C125" s="6" t="s">
        <v>12</v>
      </c>
      <c r="D125" s="7" t="s">
        <v>485</v>
      </c>
      <c r="E125" s="8" t="s">
        <v>486</v>
      </c>
      <c r="F125" s="6" t="s">
        <v>487</v>
      </c>
      <c r="G125" s="9">
        <f>IF(A125=1,"_",IF(C125="_","???",C125))</f>
        <v/>
      </c>
      <c r="H125" s="10" t="s">
        <v>12</v>
      </c>
      <c r="I125" s="11" t="s">
        <v>12</v>
      </c>
      <c r="J125" s="12"/>
    </row>
    <row r="126" spans="1:10" ht="60" customHeight="1">
      <c r="A126" s="6" t="s">
        <v>488</v>
      </c>
      <c r="B126" s="6" t="s">
        <v>11</v>
      </c>
      <c r="C126" s="6" t="s">
        <v>12</v>
      </c>
      <c r="D126" s="7" t="s">
        <v>489</v>
      </c>
      <c r="E126" s="8" t="s">
        <v>490</v>
      </c>
      <c r="F126" s="6" t="s">
        <v>491</v>
      </c>
      <c r="G126" s="9">
        <f>IF(A126=1,"_",IF(C126="_","???",C126))</f>
        <v/>
      </c>
      <c r="H126" s="10" t="s">
        <v>12</v>
      </c>
      <c r="I126" s="11" t="s">
        <v>12</v>
      </c>
      <c r="J126" s="12"/>
    </row>
    <row r="127" spans="1:10" ht="60" customHeight="1">
      <c r="A127" s="6" t="s">
        <v>492</v>
      </c>
      <c r="B127" s="6" t="s">
        <v>11</v>
      </c>
      <c r="C127" s="6" t="s">
        <v>12</v>
      </c>
      <c r="D127" s="7" t="s">
        <v>493</v>
      </c>
      <c r="E127" s="8" t="s">
        <v>494</v>
      </c>
      <c r="F127" s="6" t="s">
        <v>495</v>
      </c>
      <c r="G127" s="9">
        <f>IF(A127=1,"_",IF(C127="_","???",C127))</f>
        <v/>
      </c>
      <c r="H127" s="10" t="s">
        <v>12</v>
      </c>
      <c r="I127" s="11" t="s">
        <v>12</v>
      </c>
      <c r="J127" s="12"/>
    </row>
    <row r="128" spans="1:10" ht="60" customHeight="1">
      <c r="A128" s="6" t="s">
        <v>496</v>
      </c>
      <c r="B128" s="6" t="s">
        <v>10</v>
      </c>
      <c r="C128" s="6" t="s">
        <v>12</v>
      </c>
      <c r="D128" s="7" t="s">
        <v>497</v>
      </c>
      <c r="E128" s="8" t="s">
        <v>498</v>
      </c>
      <c r="F128" s="6" t="s">
        <v>499</v>
      </c>
      <c r="G128" s="9">
        <f>IF(A128=1,"_",IF(C128="_","???",C128))</f>
        <v/>
      </c>
      <c r="H128" s="10" t="s">
        <v>12</v>
      </c>
      <c r="I128" s="11" t="s">
        <v>12</v>
      </c>
      <c r="J128" s="12"/>
    </row>
    <row r="129" spans="1:10" ht="60" customHeight="1">
      <c r="A129" s="6" t="s">
        <v>500</v>
      </c>
      <c r="B129" s="6" t="s">
        <v>24</v>
      </c>
      <c r="C129" s="6" t="s">
        <v>12</v>
      </c>
      <c r="D129" s="7" t="s">
        <v>107</v>
      </c>
      <c r="E129" s="8" t="s">
        <v>501</v>
      </c>
      <c r="F129" s="6" t="s">
        <v>502</v>
      </c>
      <c r="G129" s="9">
        <f>IF(A129=1,"_",IF(C129="_","???",C129))</f>
        <v/>
      </c>
      <c r="H129" s="10" t="s">
        <v>12</v>
      </c>
      <c r="I129" s="11" t="s">
        <v>12</v>
      </c>
      <c r="J129" s="12"/>
    </row>
    <row r="130" spans="1:10" ht="60" customHeight="1">
      <c r="A130" s="6" t="s">
        <v>503</v>
      </c>
      <c r="B130" s="6" t="s">
        <v>33</v>
      </c>
      <c r="C130" s="6" t="s">
        <v>12</v>
      </c>
      <c r="D130" s="7" t="s">
        <v>107</v>
      </c>
      <c r="E130" s="8" t="s">
        <v>504</v>
      </c>
      <c r="F130" s="6" t="s">
        <v>505</v>
      </c>
      <c r="G130" s="9">
        <f>IF(A130=1,"_",IF(C130="_","???",C130))</f>
        <v/>
      </c>
      <c r="H130" s="10" t="s">
        <v>12</v>
      </c>
      <c r="I130" s="11" t="s">
        <v>12</v>
      </c>
      <c r="J130" s="12"/>
    </row>
    <row r="131" spans="1:10" ht="60" customHeight="1">
      <c r="A131" s="6" t="s">
        <v>506</v>
      </c>
      <c r="B131" s="6" t="s">
        <v>19</v>
      </c>
      <c r="C131" s="6" t="s">
        <v>12</v>
      </c>
      <c r="D131" s="7" t="s">
        <v>507</v>
      </c>
      <c r="E131" s="8" t="s">
        <v>508</v>
      </c>
      <c r="F131" s="6" t="s">
        <v>509</v>
      </c>
      <c r="G131" s="9">
        <f>IF(A131=1,"_",IF(C131="_","???",C131))</f>
        <v/>
      </c>
      <c r="H131" s="10" t="s">
        <v>12</v>
      </c>
      <c r="I131" s="11" t="s">
        <v>12</v>
      </c>
      <c r="J131" s="12"/>
    </row>
    <row r="132" spans="1:10" ht="60" customHeight="1">
      <c r="A132" s="6" t="s">
        <v>510</v>
      </c>
      <c r="B132" s="6" t="s">
        <v>29</v>
      </c>
      <c r="C132" s="6" t="s">
        <v>12</v>
      </c>
      <c r="D132" s="7" t="s">
        <v>511</v>
      </c>
      <c r="E132" s="8" t="s">
        <v>512</v>
      </c>
      <c r="F132" s="6" t="s">
        <v>513</v>
      </c>
      <c r="G132" s="9">
        <f>IF(A132=1,"_",IF(C132="_","???",C132))</f>
        <v/>
      </c>
      <c r="H132" s="10" t="s">
        <v>12</v>
      </c>
      <c r="I132" s="11" t="s">
        <v>12</v>
      </c>
      <c r="J132" s="12"/>
    </row>
    <row r="133" spans="1:10" ht="60" customHeight="1">
      <c r="A133" s="6" t="s">
        <v>514</v>
      </c>
      <c r="B133" s="6" t="s">
        <v>19</v>
      </c>
      <c r="C133" s="6" t="s">
        <v>12</v>
      </c>
      <c r="D133" s="7" t="s">
        <v>72</v>
      </c>
      <c r="E133" s="8" t="s">
        <v>515</v>
      </c>
      <c r="F133" s="6" t="s">
        <v>516</v>
      </c>
      <c r="G133" s="9">
        <f>IF(A133=1,"_",IF(C133="_","???",C133))</f>
        <v/>
      </c>
      <c r="H133" s="10" t="s">
        <v>12</v>
      </c>
      <c r="I133" s="11" t="s">
        <v>12</v>
      </c>
      <c r="J133" s="12"/>
    </row>
    <row r="134" spans="1:10" ht="60" customHeight="1">
      <c r="A134" s="6" t="s">
        <v>517</v>
      </c>
      <c r="B134" s="6" t="s">
        <v>24</v>
      </c>
      <c r="C134" s="6" t="s">
        <v>12</v>
      </c>
      <c r="D134" s="7" t="s">
        <v>21</v>
      </c>
      <c r="E134" s="8" t="s">
        <v>518</v>
      </c>
      <c r="F134" s="6" t="s">
        <v>519</v>
      </c>
      <c r="G134" s="9">
        <f>IF(A134=1,"_",IF(C134="_","???",C134))</f>
        <v/>
      </c>
      <c r="H134" s="10" t="s">
        <v>12</v>
      </c>
      <c r="I134" s="11" t="s">
        <v>12</v>
      </c>
      <c r="J134" s="12"/>
    </row>
    <row r="135" spans="1:10" ht="60" customHeight="1">
      <c r="A135" s="6" t="s">
        <v>520</v>
      </c>
      <c r="B135" s="6" t="s">
        <v>29</v>
      </c>
      <c r="C135" s="6" t="s">
        <v>12</v>
      </c>
      <c r="D135" s="7" t="s">
        <v>521</v>
      </c>
      <c r="E135" s="8" t="s">
        <v>522</v>
      </c>
      <c r="F135" s="6" t="s">
        <v>523</v>
      </c>
      <c r="G135" s="9">
        <f>IF(A135=1,"_",IF(C135="_","???",C135))</f>
        <v/>
      </c>
      <c r="H135" s="10" t="s">
        <v>12</v>
      </c>
      <c r="I135" s="11" t="s">
        <v>12</v>
      </c>
      <c r="J135" s="12"/>
    </row>
    <row r="136" spans="1:10" ht="60" customHeight="1">
      <c r="A136" s="6" t="s">
        <v>524</v>
      </c>
      <c r="B136" s="6" t="s">
        <v>37</v>
      </c>
      <c r="C136" s="6" t="s">
        <v>205</v>
      </c>
      <c r="D136" s="7" t="s">
        <v>481</v>
      </c>
      <c r="E136" s="8" t="s">
        <v>525</v>
      </c>
      <c r="F136" s="6" t="s">
        <v>526</v>
      </c>
      <c r="G136" s="9">
        <f>IF(A136=1,"_",IF(C136="_","???",C136))</f>
        <v/>
      </c>
      <c r="H136" s="10" t="s">
        <v>12</v>
      </c>
      <c r="I136" s="11" t="s">
        <v>12</v>
      </c>
      <c r="J136" s="12"/>
    </row>
    <row r="137" spans="1:10" ht="60" customHeight="1">
      <c r="A137" s="6" t="s">
        <v>527</v>
      </c>
      <c r="B137" s="6" t="s">
        <v>19</v>
      </c>
      <c r="C137" s="6" t="s">
        <v>12</v>
      </c>
      <c r="D137" s="7" t="s">
        <v>528</v>
      </c>
      <c r="E137" s="8" t="s">
        <v>529</v>
      </c>
      <c r="F137" s="6" t="s">
        <v>530</v>
      </c>
      <c r="G137" s="9">
        <f>IF(A137=1,"_",IF(C137="_","???",C137))</f>
        <v/>
      </c>
      <c r="H137" s="10" t="s">
        <v>12</v>
      </c>
      <c r="I137" s="11" t="s">
        <v>12</v>
      </c>
      <c r="J137" s="12"/>
    </row>
    <row r="138" spans="1:10" ht="60" customHeight="1">
      <c r="A138" s="6" t="s">
        <v>531</v>
      </c>
      <c r="B138" s="6" t="s">
        <v>11</v>
      </c>
      <c r="C138" s="6" t="s">
        <v>12</v>
      </c>
      <c r="D138" s="7" t="s">
        <v>532</v>
      </c>
      <c r="E138" s="8" t="s">
        <v>533</v>
      </c>
      <c r="F138" s="6" t="s">
        <v>534</v>
      </c>
      <c r="G138" s="9">
        <f>IF(A138=1,"_",IF(C138="_","???",C138))</f>
        <v/>
      </c>
      <c r="H138" s="10" t="s">
        <v>12</v>
      </c>
      <c r="I138" s="11" t="s">
        <v>12</v>
      </c>
      <c r="J138" s="12"/>
    </row>
    <row r="139" spans="1:10" ht="60" customHeight="1">
      <c r="A139" s="6" t="s">
        <v>535</v>
      </c>
      <c r="B139" s="6" t="s">
        <v>33</v>
      </c>
      <c r="C139" s="6" t="s">
        <v>12</v>
      </c>
      <c r="D139" s="7" t="s">
        <v>536</v>
      </c>
      <c r="E139" s="8" t="s">
        <v>537</v>
      </c>
      <c r="F139" s="6" t="s">
        <v>538</v>
      </c>
      <c r="G139" s="9">
        <f>IF(A139=1,"_",IF(C139="_","???",C139))</f>
        <v/>
      </c>
      <c r="H139" s="10" t="s">
        <v>12</v>
      </c>
      <c r="I139" s="11" t="s">
        <v>12</v>
      </c>
      <c r="J139" s="12"/>
    </row>
    <row r="140" spans="1:10" ht="60" customHeight="1">
      <c r="A140" s="6" t="s">
        <v>539</v>
      </c>
      <c r="B140" s="6" t="s">
        <v>11</v>
      </c>
      <c r="C140" s="6" t="s">
        <v>25</v>
      </c>
      <c r="D140" s="7" t="s">
        <v>540</v>
      </c>
      <c r="E140" s="8" t="s">
        <v>541</v>
      </c>
      <c r="F140" s="6" t="s">
        <v>542</v>
      </c>
      <c r="G140" s="9">
        <f>IF(A140=1,"_",IF(C140="_","???",C140))</f>
        <v/>
      </c>
      <c r="H140" s="10" t="s">
        <v>12</v>
      </c>
      <c r="I140" s="11" t="s">
        <v>12</v>
      </c>
      <c r="J140" s="12"/>
    </row>
    <row r="141" spans="1:10" ht="60" customHeight="1">
      <c r="A141" s="6" t="s">
        <v>543</v>
      </c>
      <c r="B141" s="6" t="s">
        <v>20</v>
      </c>
      <c r="C141" s="6" t="s">
        <v>12</v>
      </c>
      <c r="D141" s="7" t="s">
        <v>544</v>
      </c>
      <c r="E141" s="8" t="s">
        <v>545</v>
      </c>
      <c r="F141" s="6" t="s">
        <v>546</v>
      </c>
      <c r="G141" s="9">
        <f>IF(A141=1,"_",IF(C141="_","???",C141))</f>
        <v/>
      </c>
      <c r="H141" s="10" t="s">
        <v>12</v>
      </c>
      <c r="I141" s="11" t="s">
        <v>12</v>
      </c>
      <c r="J141" s="12"/>
    </row>
    <row r="142" spans="1:10" ht="60" customHeight="1">
      <c r="A142" s="6" t="s">
        <v>547</v>
      </c>
      <c r="B142" s="6" t="s">
        <v>11</v>
      </c>
      <c r="C142" s="6" t="s">
        <v>12</v>
      </c>
      <c r="D142" s="7" t="s">
        <v>225</v>
      </c>
      <c r="E142" s="8" t="s">
        <v>548</v>
      </c>
      <c r="F142" s="6" t="s">
        <v>549</v>
      </c>
      <c r="G142" s="9">
        <f>IF(A142=1,"_",IF(C142="_","???",C142))</f>
        <v/>
      </c>
      <c r="H142" s="10" t="s">
        <v>12</v>
      </c>
      <c r="I142" s="11" t="s">
        <v>12</v>
      </c>
      <c r="J142" s="12"/>
    </row>
    <row r="143" spans="1:10" ht="60" customHeight="1">
      <c r="A143" s="6" t="s">
        <v>550</v>
      </c>
      <c r="B143" s="6" t="s">
        <v>59</v>
      </c>
      <c r="C143" s="6" t="s">
        <v>12</v>
      </c>
      <c r="D143" s="7" t="s">
        <v>551</v>
      </c>
      <c r="E143" s="8" t="s">
        <v>552</v>
      </c>
      <c r="F143" s="6" t="s">
        <v>553</v>
      </c>
      <c r="G143" s="9">
        <f>IF(A143=1,"_",IF(C143="_","???",C143))</f>
        <v/>
      </c>
      <c r="H143" s="10" t="s">
        <v>12</v>
      </c>
      <c r="I143" s="11" t="s">
        <v>12</v>
      </c>
      <c r="J143" s="12"/>
    </row>
    <row r="144" spans="1:10" ht="60" customHeight="1">
      <c r="A144" s="6" t="s">
        <v>554</v>
      </c>
      <c r="B144" s="6" t="s">
        <v>11</v>
      </c>
      <c r="C144" s="6" t="s">
        <v>12</v>
      </c>
      <c r="D144" s="7" t="s">
        <v>555</v>
      </c>
      <c r="E144" s="8" t="s">
        <v>556</v>
      </c>
      <c r="F144" s="6" t="s">
        <v>557</v>
      </c>
      <c r="G144" s="9">
        <f>IF(A144=1,"_",IF(C144="_","???",C144))</f>
        <v/>
      </c>
      <c r="H144" s="10" t="s">
        <v>12</v>
      </c>
      <c r="I144" s="11" t="s">
        <v>12</v>
      </c>
      <c r="J144" s="12"/>
    </row>
    <row r="145" spans="1:10" ht="60" customHeight="1">
      <c r="A145" s="6" t="s">
        <v>558</v>
      </c>
      <c r="B145" s="6" t="s">
        <v>11</v>
      </c>
      <c r="C145" s="6" t="s">
        <v>12</v>
      </c>
      <c r="D145" s="7" t="s">
        <v>559</v>
      </c>
      <c r="E145" s="8" t="s">
        <v>560</v>
      </c>
      <c r="F145" s="6" t="s">
        <v>561</v>
      </c>
      <c r="G145" s="9">
        <f>IF(A145=1,"_",IF(C145="_","???",C145))</f>
        <v/>
      </c>
      <c r="H145" s="10" t="s">
        <v>12</v>
      </c>
      <c r="I145" s="11" t="s">
        <v>12</v>
      </c>
      <c r="J145" s="12"/>
    </row>
    <row r="146" spans="1:10" ht="60" customHeight="1">
      <c r="A146" s="6" t="s">
        <v>562</v>
      </c>
      <c r="B146" s="6" t="s">
        <v>43</v>
      </c>
      <c r="C146" s="6" t="s">
        <v>12</v>
      </c>
      <c r="D146" s="7" t="s">
        <v>107</v>
      </c>
      <c r="E146" s="8" t="s">
        <v>563</v>
      </c>
      <c r="F146" s="6" t="s">
        <v>564</v>
      </c>
      <c r="G146" s="9">
        <f>IF(A146=1,"_",IF(C146="_","???",C146))</f>
        <v/>
      </c>
      <c r="H146" s="10" t="s">
        <v>12</v>
      </c>
      <c r="I146" s="11" t="s">
        <v>12</v>
      </c>
      <c r="J146" s="12"/>
    </row>
    <row r="147" spans="1:10" ht="60" customHeight="1">
      <c r="A147" s="6" t="s">
        <v>565</v>
      </c>
      <c r="B147" s="6" t="s">
        <v>29</v>
      </c>
      <c r="C147" s="6" t="s">
        <v>12</v>
      </c>
      <c r="D147" s="7" t="s">
        <v>566</v>
      </c>
      <c r="E147" s="8" t="s">
        <v>567</v>
      </c>
      <c r="F147" s="6" t="s">
        <v>568</v>
      </c>
      <c r="G147" s="9">
        <f>IF(A147=1,"_",IF(C147="_","???",C147))</f>
        <v/>
      </c>
      <c r="H147" s="10" t="s">
        <v>12</v>
      </c>
      <c r="I147" s="11" t="s">
        <v>12</v>
      </c>
      <c r="J147" s="12"/>
    </row>
    <row r="148" spans="1:10" ht="60" customHeight="1">
      <c r="A148" s="6" t="s">
        <v>569</v>
      </c>
      <c r="B148" s="6" t="s">
        <v>33</v>
      </c>
      <c r="C148" s="6" t="s">
        <v>12</v>
      </c>
      <c r="D148" s="7" t="s">
        <v>570</v>
      </c>
      <c r="E148" s="8" t="s">
        <v>571</v>
      </c>
      <c r="F148" s="6" t="s">
        <v>572</v>
      </c>
      <c r="G148" s="9">
        <f>IF(A148=1,"_",IF(C148="_","???",C148))</f>
        <v/>
      </c>
      <c r="H148" s="10" t="s">
        <v>12</v>
      </c>
      <c r="I148" s="11" t="s">
        <v>12</v>
      </c>
      <c r="J148" s="12"/>
    </row>
    <row r="149" spans="1:10" ht="60" customHeight="1">
      <c r="A149" s="6" t="s">
        <v>573</v>
      </c>
      <c r="B149" s="6" t="s">
        <v>19</v>
      </c>
      <c r="C149" s="6" t="s">
        <v>12</v>
      </c>
      <c r="D149" s="7" t="s">
        <v>574</v>
      </c>
      <c r="E149" s="8" t="s">
        <v>575</v>
      </c>
      <c r="F149" s="6" t="s">
        <v>576</v>
      </c>
      <c r="G149" s="9">
        <f>IF(A149=1,"_",IF(C149="_","???",C149))</f>
        <v/>
      </c>
      <c r="H149" s="10" t="s">
        <v>12</v>
      </c>
      <c r="I149" s="11" t="s">
        <v>12</v>
      </c>
      <c r="J149" s="12"/>
    </row>
    <row r="150" spans="1:10" ht="60" customHeight="1">
      <c r="A150" s="6" t="s">
        <v>577</v>
      </c>
      <c r="B150" s="6" t="s">
        <v>24</v>
      </c>
      <c r="C150" s="6" t="s">
        <v>12</v>
      </c>
      <c r="D150" s="7" t="s">
        <v>578</v>
      </c>
      <c r="E150" s="8" t="s">
        <v>579</v>
      </c>
      <c r="F150" s="6" t="s">
        <v>580</v>
      </c>
      <c r="G150" s="9">
        <f>IF(A150=1,"_",IF(C150="_","???",C150))</f>
        <v/>
      </c>
      <c r="H150" s="10" t="s">
        <v>12</v>
      </c>
      <c r="I150" s="11" t="s">
        <v>12</v>
      </c>
      <c r="J150" s="12"/>
    </row>
    <row r="151" spans="1:10" ht="60" customHeight="1">
      <c r="A151" s="6" t="s">
        <v>581</v>
      </c>
      <c r="B151" s="6" t="s">
        <v>20</v>
      </c>
      <c r="C151" s="6" t="s">
        <v>12</v>
      </c>
      <c r="D151" s="7" t="s">
        <v>582</v>
      </c>
      <c r="E151" s="8" t="s">
        <v>583</v>
      </c>
      <c r="F151" s="6" t="s">
        <v>584</v>
      </c>
      <c r="G151" s="9">
        <f>IF(A151=1,"_",IF(C151="_","???",C151))</f>
        <v/>
      </c>
      <c r="H151" s="10" t="s">
        <v>12</v>
      </c>
      <c r="I151" s="11" t="s">
        <v>12</v>
      </c>
      <c r="J151" s="12"/>
    </row>
    <row r="152" spans="1:10" ht="60" customHeight="1">
      <c r="A152" s="6" t="s">
        <v>585</v>
      </c>
      <c r="B152" s="6" t="s">
        <v>20</v>
      </c>
      <c r="C152" s="6" t="s">
        <v>12</v>
      </c>
      <c r="D152" s="7" t="s">
        <v>586</v>
      </c>
      <c r="E152" s="8" t="s">
        <v>587</v>
      </c>
      <c r="F152" s="6" t="s">
        <v>588</v>
      </c>
      <c r="G152" s="9">
        <f>IF(A152=1,"_",IF(C152="_","???",C152))</f>
        <v/>
      </c>
      <c r="H152" s="10" t="s">
        <v>12</v>
      </c>
      <c r="I152" s="11" t="s">
        <v>12</v>
      </c>
      <c r="J152" s="12"/>
    </row>
    <row r="153" spans="1:10" ht="60" customHeight="1">
      <c r="A153" s="6" t="s">
        <v>589</v>
      </c>
      <c r="B153" s="6" t="s">
        <v>37</v>
      </c>
      <c r="C153" s="6" t="s">
        <v>12</v>
      </c>
      <c r="D153" s="7" t="s">
        <v>590</v>
      </c>
      <c r="E153" s="8" t="s">
        <v>591</v>
      </c>
      <c r="F153" s="6" t="s">
        <v>592</v>
      </c>
      <c r="G153" s="9">
        <f>IF(A153=1,"_",IF(C153="_","???",C153))</f>
        <v/>
      </c>
      <c r="H153" s="10" t="s">
        <v>12</v>
      </c>
      <c r="I153" s="11" t="s">
        <v>12</v>
      </c>
      <c r="J153" s="12"/>
    </row>
    <row r="154" spans="1:10" ht="60" customHeight="1">
      <c r="A154" s="6" t="s">
        <v>593</v>
      </c>
      <c r="B154" s="6" t="s">
        <v>20</v>
      </c>
      <c r="C154" s="6" t="s">
        <v>12</v>
      </c>
      <c r="D154" s="7" t="s">
        <v>174</v>
      </c>
      <c r="E154" s="8" t="s">
        <v>594</v>
      </c>
      <c r="F154" s="6" t="s">
        <v>595</v>
      </c>
      <c r="G154" s="9">
        <f>IF(A154=1,"_",IF(C154="_","???",C154))</f>
        <v/>
      </c>
      <c r="H154" s="10" t="s">
        <v>12</v>
      </c>
      <c r="I154" s="11" t="s">
        <v>12</v>
      </c>
      <c r="J154" s="12"/>
    </row>
    <row r="155" spans="1:10" ht="60" customHeight="1">
      <c r="A155" s="6" t="s">
        <v>596</v>
      </c>
      <c r="B155" s="6" t="s">
        <v>24</v>
      </c>
      <c r="C155" s="6" t="s">
        <v>12</v>
      </c>
      <c r="D155" s="7" t="s">
        <v>597</v>
      </c>
      <c r="E155" s="8" t="s">
        <v>598</v>
      </c>
      <c r="F155" s="6" t="s">
        <v>599</v>
      </c>
      <c r="G155" s="9">
        <f>IF(A155=1,"_",IF(C155="_","???",C155))</f>
        <v/>
      </c>
      <c r="H155" s="10" t="s">
        <v>12</v>
      </c>
      <c r="I155" s="11" t="s">
        <v>12</v>
      </c>
      <c r="J155" s="12"/>
    </row>
    <row r="156" spans="1:10" ht="60" customHeight="1">
      <c r="A156" s="6" t="s">
        <v>600</v>
      </c>
      <c r="B156" s="6" t="s">
        <v>59</v>
      </c>
      <c r="C156" s="6" t="s">
        <v>12</v>
      </c>
      <c r="D156" s="7" t="s">
        <v>601</v>
      </c>
      <c r="E156" s="8" t="s">
        <v>602</v>
      </c>
      <c r="F156" s="6" t="s">
        <v>603</v>
      </c>
      <c r="G156" s="9">
        <f>IF(A156=1,"_",IF(C156="_","???",C156))</f>
        <v/>
      </c>
      <c r="H156" s="10" t="s">
        <v>12</v>
      </c>
      <c r="I156" s="11" t="s">
        <v>12</v>
      </c>
      <c r="J156" s="12"/>
    </row>
    <row r="157" spans="1:10" ht="60" customHeight="1">
      <c r="A157" s="6" t="s">
        <v>604</v>
      </c>
      <c r="B157" s="6" t="s">
        <v>37</v>
      </c>
      <c r="C157" s="6" t="s">
        <v>12</v>
      </c>
      <c r="D157" s="7" t="s">
        <v>605</v>
      </c>
      <c r="E157" s="8" t="s">
        <v>606</v>
      </c>
      <c r="F157" s="6" t="s">
        <v>607</v>
      </c>
      <c r="G157" s="9">
        <f>IF(A157=1,"_",IF(C157="_","???",C157))</f>
        <v/>
      </c>
      <c r="H157" s="10" t="s">
        <v>12</v>
      </c>
      <c r="I157" s="11" t="s">
        <v>12</v>
      </c>
      <c r="J157" s="12"/>
    </row>
    <row r="158" spans="1:10" ht="60" customHeight="1">
      <c r="A158" s="6" t="s">
        <v>608</v>
      </c>
      <c r="B158" s="6" t="s">
        <v>29</v>
      </c>
      <c r="C158" s="6" t="s">
        <v>12</v>
      </c>
      <c r="D158" s="7" t="s">
        <v>193</v>
      </c>
      <c r="E158" s="8" t="s">
        <v>609</v>
      </c>
      <c r="F158" s="6" t="s">
        <v>610</v>
      </c>
      <c r="G158" s="9">
        <f>IF(A158=1,"_",IF(C158="_","???",C158))</f>
        <v/>
      </c>
      <c r="H158" s="10" t="s">
        <v>12</v>
      </c>
      <c r="I158" s="11" t="s">
        <v>12</v>
      </c>
      <c r="J158" s="12"/>
    </row>
    <row r="159" spans="1:10" ht="60" customHeight="1">
      <c r="A159" s="6" t="s">
        <v>611</v>
      </c>
      <c r="B159" s="6" t="s">
        <v>20</v>
      </c>
      <c r="C159" s="6" t="s">
        <v>12</v>
      </c>
      <c r="D159" s="7" t="s">
        <v>612</v>
      </c>
      <c r="E159" s="8" t="s">
        <v>613</v>
      </c>
      <c r="F159" s="6" t="s">
        <v>614</v>
      </c>
      <c r="G159" s="9">
        <f>IF(A159=1,"_",IF(C159="_","???",C159))</f>
        <v/>
      </c>
      <c r="H159" s="10" t="s">
        <v>12</v>
      </c>
      <c r="I159" s="11" t="s">
        <v>12</v>
      </c>
      <c r="J159" s="12"/>
    </row>
    <row r="160" spans="1:10" ht="60" customHeight="1">
      <c r="A160" s="6" t="s">
        <v>615</v>
      </c>
      <c r="B160" s="6" t="s">
        <v>37</v>
      </c>
      <c r="C160" s="6" t="s">
        <v>12</v>
      </c>
      <c r="D160" s="7" t="s">
        <v>193</v>
      </c>
      <c r="E160" s="8" t="s">
        <v>616</v>
      </c>
      <c r="F160" s="6" t="s">
        <v>617</v>
      </c>
      <c r="G160" s="9">
        <f>IF(A160=1,"_",IF(C160="_","???",C160))</f>
        <v/>
      </c>
      <c r="H160" s="10" t="s">
        <v>12</v>
      </c>
      <c r="I160" s="11" t="s">
        <v>12</v>
      </c>
      <c r="J160" s="12"/>
    </row>
    <row r="161" spans="1:10" ht="60" customHeight="1">
      <c r="A161" s="6" t="s">
        <v>618</v>
      </c>
      <c r="B161" s="6" t="s">
        <v>11</v>
      </c>
      <c r="C161" s="6" t="s">
        <v>12</v>
      </c>
      <c r="D161" s="7" t="s">
        <v>619</v>
      </c>
      <c r="E161" s="8" t="s">
        <v>620</v>
      </c>
      <c r="F161" s="6" t="s">
        <v>621</v>
      </c>
      <c r="G161" s="9">
        <f>IF(A161=1,"_",IF(C161="_","???",C161))</f>
        <v/>
      </c>
      <c r="H161" s="10" t="s">
        <v>12</v>
      </c>
      <c r="I161" s="11" t="s">
        <v>12</v>
      </c>
      <c r="J161" s="12"/>
    </row>
    <row r="162" spans="1:10" ht="60" customHeight="1">
      <c r="A162" s="6" t="s">
        <v>622</v>
      </c>
      <c r="B162" s="6" t="s">
        <v>33</v>
      </c>
      <c r="C162" s="6" t="s">
        <v>12</v>
      </c>
      <c r="D162" s="7" t="s">
        <v>623</v>
      </c>
      <c r="E162" s="8" t="s">
        <v>624</v>
      </c>
      <c r="F162" s="6" t="s">
        <v>625</v>
      </c>
      <c r="G162" s="9">
        <f>IF(A162=1,"_",IF(C162="_","???",C162))</f>
        <v/>
      </c>
      <c r="H162" s="10" t="s">
        <v>12</v>
      </c>
      <c r="I162" s="11" t="s">
        <v>12</v>
      </c>
      <c r="J162" s="12"/>
    </row>
    <row r="163" spans="1:10" ht="60" customHeight="1">
      <c r="A163" s="6" t="s">
        <v>626</v>
      </c>
      <c r="B163" s="6" t="s">
        <v>64</v>
      </c>
      <c r="C163" s="6" t="s">
        <v>12</v>
      </c>
      <c r="D163" s="7" t="s">
        <v>315</v>
      </c>
      <c r="E163" s="8" t="s">
        <v>627</v>
      </c>
      <c r="F163" s="6" t="s">
        <v>628</v>
      </c>
      <c r="G163" s="9">
        <f>IF(A163=1,"_",IF(C163="_","???",C163))</f>
        <v/>
      </c>
      <c r="H163" s="10" t="s">
        <v>12</v>
      </c>
      <c r="I163" s="11" t="s">
        <v>12</v>
      </c>
      <c r="J163" s="12"/>
    </row>
    <row r="164" spans="1:10" ht="60" customHeight="1">
      <c r="A164" s="6" t="s">
        <v>629</v>
      </c>
      <c r="B164" s="6" t="s">
        <v>20</v>
      </c>
      <c r="C164" s="6" t="s">
        <v>12</v>
      </c>
      <c r="D164" s="7" t="s">
        <v>111</v>
      </c>
      <c r="E164" s="8" t="s">
        <v>630</v>
      </c>
      <c r="F164" s="6" t="s">
        <v>631</v>
      </c>
      <c r="G164" s="9">
        <f>IF(A164=1,"_",IF(C164="_","???",C164))</f>
        <v/>
      </c>
      <c r="H164" s="10" t="s">
        <v>12</v>
      </c>
      <c r="I164" s="11" t="s">
        <v>12</v>
      </c>
      <c r="J164" s="12"/>
    </row>
    <row r="165" spans="1:10" ht="60" customHeight="1">
      <c r="A165" s="6" t="s">
        <v>632</v>
      </c>
      <c r="B165" s="6" t="s">
        <v>37</v>
      </c>
      <c r="C165" s="6" t="s">
        <v>12</v>
      </c>
      <c r="D165" s="7" t="s">
        <v>633</v>
      </c>
      <c r="E165" s="8" t="s">
        <v>634</v>
      </c>
      <c r="F165" s="6" t="s">
        <v>635</v>
      </c>
      <c r="G165" s="9">
        <f>IF(A165=1,"_",IF(C165="_","???",C165))</f>
        <v/>
      </c>
      <c r="H165" s="10" t="s">
        <v>12</v>
      </c>
      <c r="I165" s="11" t="s">
        <v>12</v>
      </c>
      <c r="J165" s="12"/>
    </row>
    <row r="166" spans="1:10" ht="60" customHeight="1">
      <c r="A166" s="6" t="s">
        <v>636</v>
      </c>
      <c r="B166" s="6" t="s">
        <v>29</v>
      </c>
      <c r="C166" s="6" t="s">
        <v>12</v>
      </c>
      <c r="D166" s="7" t="s">
        <v>174</v>
      </c>
      <c r="E166" s="8" t="s">
        <v>637</v>
      </c>
      <c r="F166" s="6" t="s">
        <v>638</v>
      </c>
      <c r="G166" s="9">
        <f>IF(A166=1,"_",IF(C166="_","???",C166))</f>
        <v/>
      </c>
      <c r="H166" s="10" t="s">
        <v>12</v>
      </c>
      <c r="I166" s="11" t="s">
        <v>12</v>
      </c>
      <c r="J166" s="12"/>
    </row>
    <row r="167" spans="1:10" ht="60" customHeight="1">
      <c r="A167" s="6" t="s">
        <v>639</v>
      </c>
      <c r="B167" s="6" t="s">
        <v>19</v>
      </c>
      <c r="C167" s="6" t="s">
        <v>12</v>
      </c>
      <c r="D167" s="7" t="s">
        <v>640</v>
      </c>
      <c r="E167" s="8" t="s">
        <v>641</v>
      </c>
      <c r="F167" s="6" t="s">
        <v>642</v>
      </c>
      <c r="G167" s="9">
        <f>IF(A167=1,"_",IF(C167="_","???",C167))</f>
        <v/>
      </c>
      <c r="H167" s="10" t="s">
        <v>12</v>
      </c>
      <c r="I167" s="11" t="s">
        <v>12</v>
      </c>
      <c r="J167" s="12"/>
    </row>
    <row r="168" spans="1:10" ht="60" customHeight="1">
      <c r="A168" s="6" t="s">
        <v>643</v>
      </c>
      <c r="B168" s="6" t="s">
        <v>20</v>
      </c>
      <c r="C168" s="6" t="s">
        <v>12</v>
      </c>
      <c r="D168" s="7" t="s">
        <v>644</v>
      </c>
      <c r="E168" s="8" t="s">
        <v>645</v>
      </c>
      <c r="F168" s="6" t="s">
        <v>646</v>
      </c>
      <c r="G168" s="9">
        <f>IF(A168=1,"_",IF(C168="_","???",C168))</f>
        <v/>
      </c>
      <c r="H168" s="10" t="s">
        <v>12</v>
      </c>
      <c r="I168" s="11" t="s">
        <v>12</v>
      </c>
      <c r="J168" s="12"/>
    </row>
    <row r="169" spans="1:10" ht="60" customHeight="1">
      <c r="A169" s="6" t="s">
        <v>647</v>
      </c>
      <c r="B169" s="6" t="s">
        <v>37</v>
      </c>
      <c r="C169" s="6" t="s">
        <v>12</v>
      </c>
      <c r="D169" s="7" t="s">
        <v>648</v>
      </c>
      <c r="E169" s="8" t="s">
        <v>649</v>
      </c>
      <c r="F169" s="6" t="s">
        <v>650</v>
      </c>
      <c r="G169" s="9">
        <f>IF(A169=1,"_",IF(C169="_","???",C169))</f>
        <v/>
      </c>
      <c r="H169" s="10" t="s">
        <v>12</v>
      </c>
      <c r="I169" s="11" t="s">
        <v>12</v>
      </c>
      <c r="J169" s="12"/>
    </row>
    <row r="170" spans="1:10" ht="60" customHeight="1">
      <c r="A170" s="6" t="s">
        <v>651</v>
      </c>
      <c r="B170" s="6" t="s">
        <v>20</v>
      </c>
      <c r="C170" s="6" t="s">
        <v>12</v>
      </c>
      <c r="D170" s="7" t="s">
        <v>652</v>
      </c>
      <c r="E170" s="8" t="s">
        <v>653</v>
      </c>
      <c r="F170" s="6" t="s">
        <v>654</v>
      </c>
      <c r="G170" s="9">
        <f>IF(A170=1,"_",IF(C170="_","???",C170))</f>
        <v/>
      </c>
      <c r="H170" s="10" t="s">
        <v>12</v>
      </c>
      <c r="I170" s="11" t="s">
        <v>12</v>
      </c>
      <c r="J170" s="12"/>
    </row>
    <row r="171" spans="1:10" ht="60" customHeight="1">
      <c r="A171" s="6" t="s">
        <v>655</v>
      </c>
      <c r="B171" s="6" t="s">
        <v>10</v>
      </c>
      <c r="C171" s="6" t="s">
        <v>12</v>
      </c>
      <c r="D171" s="7" t="s">
        <v>605</v>
      </c>
      <c r="E171" s="8" t="s">
        <v>656</v>
      </c>
      <c r="F171" s="6" t="s">
        <v>657</v>
      </c>
      <c r="G171" s="9">
        <f>IF(A171=1,"_",IF(C171="_","???",C171))</f>
        <v/>
      </c>
      <c r="H171" s="10" t="s">
        <v>12</v>
      </c>
      <c r="I171" s="11" t="s">
        <v>12</v>
      </c>
      <c r="J171" s="12"/>
    </row>
    <row r="172" spans="1:10" ht="60" customHeight="1">
      <c r="A172" s="6" t="s">
        <v>658</v>
      </c>
      <c r="B172" s="6" t="s">
        <v>33</v>
      </c>
      <c r="C172" s="6" t="s">
        <v>12</v>
      </c>
      <c r="D172" s="7" t="s">
        <v>659</v>
      </c>
      <c r="E172" s="8" t="s">
        <v>660</v>
      </c>
      <c r="F172" s="6" t="s">
        <v>661</v>
      </c>
      <c r="G172" s="9">
        <f>IF(A172=1,"_",IF(C172="_","???",C172))</f>
        <v/>
      </c>
      <c r="H172" s="10" t="s">
        <v>12</v>
      </c>
      <c r="I172" s="11" t="s">
        <v>12</v>
      </c>
      <c r="J172" s="12"/>
    </row>
    <row r="173" spans="1:10" ht="60" customHeight="1">
      <c r="A173" s="6" t="s">
        <v>662</v>
      </c>
      <c r="B173" s="6" t="s">
        <v>10</v>
      </c>
      <c r="C173" s="6" t="s">
        <v>12</v>
      </c>
      <c r="D173" s="7" t="s">
        <v>663</v>
      </c>
      <c r="E173" s="8" t="s">
        <v>664</v>
      </c>
      <c r="F173" s="6" t="s">
        <v>665</v>
      </c>
      <c r="G173" s="9">
        <f>IF(A173=1,"_",IF(C173="_","???",C173))</f>
        <v/>
      </c>
      <c r="H173" s="10" t="s">
        <v>12</v>
      </c>
      <c r="I173" s="11" t="s">
        <v>12</v>
      </c>
      <c r="J173" s="12"/>
    </row>
    <row r="174" spans="1:10" ht="60" customHeight="1">
      <c r="A174" s="6" t="s">
        <v>666</v>
      </c>
      <c r="B174" s="6" t="s">
        <v>11</v>
      </c>
      <c r="C174" s="6" t="s">
        <v>12</v>
      </c>
      <c r="D174" s="7" t="s">
        <v>667</v>
      </c>
      <c r="E174" s="8" t="s">
        <v>668</v>
      </c>
      <c r="F174" s="6" t="s">
        <v>669</v>
      </c>
      <c r="G174" s="9">
        <f>IF(A174=1,"_",IF(C174="_","???",C174))</f>
        <v/>
      </c>
      <c r="H174" s="10" t="s">
        <v>12</v>
      </c>
      <c r="I174" s="11" t="s">
        <v>12</v>
      </c>
      <c r="J174" s="12"/>
    </row>
    <row r="175" spans="1:10" ht="60" customHeight="1">
      <c r="A175" s="6" t="s">
        <v>670</v>
      </c>
      <c r="B175" s="6" t="s">
        <v>11</v>
      </c>
      <c r="C175" s="6" t="s">
        <v>12</v>
      </c>
      <c r="D175" s="7" t="s">
        <v>671</v>
      </c>
      <c r="E175" s="8" t="s">
        <v>672</v>
      </c>
      <c r="F175" s="6" t="s">
        <v>673</v>
      </c>
      <c r="G175" s="9">
        <f>IF(A175=1,"_",IF(C175="_","???",C175))</f>
        <v/>
      </c>
      <c r="H175" s="10" t="s">
        <v>12</v>
      </c>
      <c r="I175" s="11" t="s">
        <v>12</v>
      </c>
      <c r="J175" s="12"/>
    </row>
    <row r="176" spans="1:10" ht="60" customHeight="1">
      <c r="A176" s="6" t="s">
        <v>674</v>
      </c>
      <c r="B176" s="6" t="s">
        <v>11</v>
      </c>
      <c r="C176" s="6" t="s">
        <v>12</v>
      </c>
      <c r="D176" s="7" t="s">
        <v>225</v>
      </c>
      <c r="E176" s="8" t="s">
        <v>675</v>
      </c>
      <c r="F176" s="6" t="s">
        <v>676</v>
      </c>
      <c r="G176" s="9">
        <f>IF(A176=1,"_",IF(C176="_","???",C176))</f>
        <v/>
      </c>
      <c r="H176" s="10" t="s">
        <v>12</v>
      </c>
      <c r="I176" s="11" t="s">
        <v>12</v>
      </c>
      <c r="J176" s="12"/>
    </row>
    <row r="177" spans="1:10" ht="60" customHeight="1">
      <c r="A177" s="6" t="s">
        <v>677</v>
      </c>
      <c r="B177" s="6" t="s">
        <v>10</v>
      </c>
      <c r="C177" s="6" t="s">
        <v>12</v>
      </c>
      <c r="D177" s="7" t="s">
        <v>678</v>
      </c>
      <c r="E177" s="8" t="s">
        <v>679</v>
      </c>
      <c r="F177" s="6" t="s">
        <v>680</v>
      </c>
      <c r="G177" s="9">
        <f>IF(A177=1,"_",IF(C177="_","???",C177))</f>
        <v/>
      </c>
      <c r="H177" s="10" t="s">
        <v>12</v>
      </c>
      <c r="I177" s="11" t="s">
        <v>12</v>
      </c>
      <c r="J177" s="12"/>
    </row>
    <row r="178" spans="1:10" ht="60" customHeight="1">
      <c r="A178" s="6" t="s">
        <v>681</v>
      </c>
      <c r="B178" s="6" t="s">
        <v>19</v>
      </c>
      <c r="C178" s="6" t="s">
        <v>12</v>
      </c>
      <c r="D178" s="7" t="s">
        <v>682</v>
      </c>
      <c r="E178" s="8" t="s">
        <v>683</v>
      </c>
      <c r="F178" s="6" t="s">
        <v>684</v>
      </c>
      <c r="G178" s="9">
        <f>IF(A178=1,"_",IF(C178="_","???",C178))</f>
        <v/>
      </c>
      <c r="H178" s="10" t="s">
        <v>12</v>
      </c>
      <c r="I178" s="11" t="s">
        <v>12</v>
      </c>
      <c r="J178" s="12"/>
    </row>
    <row r="179" spans="1:10" ht="60" customHeight="1">
      <c r="A179" s="6" t="s">
        <v>685</v>
      </c>
      <c r="B179" s="6" t="s">
        <v>29</v>
      </c>
      <c r="C179" s="6" t="s">
        <v>12</v>
      </c>
      <c r="D179" s="7" t="s">
        <v>682</v>
      </c>
      <c r="E179" s="8" t="s">
        <v>686</v>
      </c>
      <c r="F179" s="6" t="s">
        <v>687</v>
      </c>
      <c r="G179" s="9">
        <f>IF(A179=1,"_",IF(C179="_","???",C179))</f>
        <v/>
      </c>
      <c r="H179" s="10" t="s">
        <v>12</v>
      </c>
      <c r="I179" s="11" t="s">
        <v>12</v>
      </c>
      <c r="J179" s="12"/>
    </row>
    <row r="180" spans="1:10" ht="60" customHeight="1">
      <c r="A180" s="6" t="s">
        <v>688</v>
      </c>
      <c r="B180" s="6" t="s">
        <v>11</v>
      </c>
      <c r="C180" s="6" t="s">
        <v>689</v>
      </c>
      <c r="D180" s="7" t="s">
        <v>690</v>
      </c>
      <c r="E180" s="8" t="s">
        <v>691</v>
      </c>
      <c r="F180" s="6" t="s">
        <v>692</v>
      </c>
      <c r="G180" s="9">
        <f>IF(A180=1,"_",IF(C180="_","???",C180))</f>
        <v/>
      </c>
      <c r="H180" s="10" t="s">
        <v>12</v>
      </c>
      <c r="I180" s="11" t="s">
        <v>12</v>
      </c>
      <c r="J180" s="12"/>
    </row>
    <row r="181" spans="1:10" ht="60" customHeight="1">
      <c r="A181" s="6" t="s">
        <v>693</v>
      </c>
      <c r="B181" s="6" t="s">
        <v>10</v>
      </c>
      <c r="C181" s="6" t="s">
        <v>12</v>
      </c>
      <c r="D181" s="7" t="s">
        <v>694</v>
      </c>
      <c r="E181" s="8" t="s">
        <v>695</v>
      </c>
      <c r="F181" s="6" t="s">
        <v>696</v>
      </c>
      <c r="G181" s="9">
        <f>IF(A181=1,"_",IF(C181="_","???",C181))</f>
        <v/>
      </c>
      <c r="H181" s="10" t="s">
        <v>12</v>
      </c>
      <c r="I181" s="11" t="s">
        <v>12</v>
      </c>
      <c r="J181" s="12"/>
    </row>
    <row r="182" spans="1:10" ht="60" customHeight="1">
      <c r="A182" s="6" t="s">
        <v>697</v>
      </c>
      <c r="B182" s="6" t="s">
        <v>10</v>
      </c>
      <c r="C182" s="6" t="s">
        <v>12</v>
      </c>
      <c r="D182" s="7" t="s">
        <v>225</v>
      </c>
      <c r="E182" s="8" t="s">
        <v>698</v>
      </c>
      <c r="F182" s="6" t="s">
        <v>699</v>
      </c>
      <c r="G182" s="9">
        <f>IF(A182=1,"_",IF(C182="_","???",C182))</f>
        <v/>
      </c>
      <c r="H182" s="10" t="s">
        <v>12</v>
      </c>
      <c r="I182" s="11" t="s">
        <v>12</v>
      </c>
      <c r="J182" s="12"/>
    </row>
    <row r="183" spans="1:10" ht="60" customHeight="1">
      <c r="A183" s="6" t="s">
        <v>700</v>
      </c>
      <c r="B183" s="6" t="s">
        <v>10</v>
      </c>
      <c r="C183" s="6" t="s">
        <v>12</v>
      </c>
      <c r="D183" s="7" t="s">
        <v>701</v>
      </c>
      <c r="E183" s="8" t="s">
        <v>702</v>
      </c>
      <c r="F183" s="6" t="s">
        <v>703</v>
      </c>
      <c r="G183" s="9">
        <f>IF(A183=1,"_",IF(C183="_","???",C183))</f>
        <v/>
      </c>
      <c r="H183" s="10" t="s">
        <v>12</v>
      </c>
      <c r="I183" s="11" t="s">
        <v>12</v>
      </c>
      <c r="J183" s="12"/>
    </row>
    <row r="184" spans="1:10" ht="60" customHeight="1">
      <c r="A184" s="6" t="s">
        <v>704</v>
      </c>
      <c r="B184" s="6" t="s">
        <v>19</v>
      </c>
      <c r="C184" s="6" t="s">
        <v>12</v>
      </c>
      <c r="D184" s="7" t="s">
        <v>705</v>
      </c>
      <c r="E184" s="8" t="s">
        <v>706</v>
      </c>
      <c r="F184" s="6" t="s">
        <v>707</v>
      </c>
      <c r="G184" s="9">
        <f>IF(A184=1,"_",IF(C184="_","???",C184))</f>
        <v/>
      </c>
      <c r="H184" s="10" t="s">
        <v>12</v>
      </c>
      <c r="I184" s="11" t="s">
        <v>12</v>
      </c>
      <c r="J184" s="12"/>
    </row>
    <row r="185" spans="1:10" ht="60" customHeight="1">
      <c r="A185" s="6" t="s">
        <v>708</v>
      </c>
      <c r="B185" s="6" t="s">
        <v>19</v>
      </c>
      <c r="C185" s="6" t="s">
        <v>12</v>
      </c>
      <c r="D185" s="7" t="s">
        <v>452</v>
      </c>
      <c r="E185" s="8" t="s">
        <v>709</v>
      </c>
      <c r="F185" s="6" t="s">
        <v>710</v>
      </c>
      <c r="G185" s="9">
        <f>IF(A185=1,"_",IF(C185="_","???",C185))</f>
        <v/>
      </c>
      <c r="H185" s="10" t="s">
        <v>12</v>
      </c>
      <c r="I185" s="11" t="s">
        <v>12</v>
      </c>
      <c r="J185" s="12"/>
    </row>
    <row r="186" spans="1:10" ht="60" customHeight="1">
      <c r="A186" s="6" t="s">
        <v>711</v>
      </c>
      <c r="B186" s="6" t="s">
        <v>11</v>
      </c>
      <c r="C186" s="6" t="s">
        <v>12</v>
      </c>
      <c r="D186" s="7" t="s">
        <v>712</v>
      </c>
      <c r="E186" s="8" t="s">
        <v>713</v>
      </c>
      <c r="F186" s="6" t="s">
        <v>714</v>
      </c>
      <c r="G186" s="9">
        <f>IF(A186=1,"_",IF(C186="_","???",C186))</f>
        <v/>
      </c>
      <c r="H186" s="10" t="s">
        <v>12</v>
      </c>
      <c r="I186" s="11" t="s">
        <v>12</v>
      </c>
      <c r="J186" s="12"/>
    </row>
    <row r="187" spans="1:10" ht="60" customHeight="1">
      <c r="A187" s="6" t="s">
        <v>715</v>
      </c>
      <c r="B187" s="6" t="s">
        <v>20</v>
      </c>
      <c r="C187" s="6" t="s">
        <v>12</v>
      </c>
      <c r="D187" s="7" t="s">
        <v>716</v>
      </c>
      <c r="E187" s="8" t="s">
        <v>717</v>
      </c>
      <c r="F187" s="6" t="s">
        <v>718</v>
      </c>
      <c r="G187" s="9">
        <f>IF(A187=1,"_",IF(C187="_","???",C187))</f>
        <v/>
      </c>
      <c r="H187" s="10" t="s">
        <v>12</v>
      </c>
      <c r="I187" s="11" t="s">
        <v>12</v>
      </c>
      <c r="J187" s="12"/>
    </row>
    <row r="188" spans="1:10" ht="60" customHeight="1">
      <c r="A188" s="6" t="s">
        <v>719</v>
      </c>
      <c r="B188" s="6" t="s">
        <v>11</v>
      </c>
      <c r="C188" s="6" t="s">
        <v>12</v>
      </c>
      <c r="D188" s="7" t="s">
        <v>716</v>
      </c>
      <c r="E188" s="8" t="s">
        <v>720</v>
      </c>
      <c r="F188" s="6" t="s">
        <v>721</v>
      </c>
      <c r="G188" s="9">
        <f>IF(A188=1,"_",IF(C188="_","???",C188))</f>
        <v/>
      </c>
      <c r="H188" s="10" t="s">
        <v>12</v>
      </c>
      <c r="I188" s="11" t="s">
        <v>12</v>
      </c>
      <c r="J188" s="12"/>
    </row>
    <row r="189" spans="1:10" ht="60" customHeight="1">
      <c r="A189" s="6" t="s">
        <v>722</v>
      </c>
      <c r="B189" s="6" t="s">
        <v>11</v>
      </c>
      <c r="C189" s="6" t="s">
        <v>12</v>
      </c>
      <c r="D189" s="7" t="s">
        <v>652</v>
      </c>
      <c r="E189" s="8" t="s">
        <v>723</v>
      </c>
      <c r="F189" s="6" t="s">
        <v>724</v>
      </c>
      <c r="G189" s="9">
        <f>IF(A189=1,"_",IF(C189="_","???",C189))</f>
        <v/>
      </c>
      <c r="H189" s="10" t="s">
        <v>12</v>
      </c>
      <c r="I189" s="11" t="s">
        <v>12</v>
      </c>
      <c r="J189" s="12"/>
    </row>
    <row r="190" spans="1:10" ht="60" customHeight="1">
      <c r="A190" s="6" t="s">
        <v>725</v>
      </c>
      <c r="B190" s="6" t="s">
        <v>10</v>
      </c>
      <c r="C190" s="6" t="s">
        <v>12</v>
      </c>
      <c r="D190" s="7" t="s">
        <v>315</v>
      </c>
      <c r="E190" s="8" t="s">
        <v>726</v>
      </c>
      <c r="F190" s="6" t="s">
        <v>727</v>
      </c>
      <c r="G190" s="9">
        <f>IF(A190=1,"_",IF(C190="_","???",C190))</f>
        <v/>
      </c>
      <c r="H190" s="10" t="s">
        <v>12</v>
      </c>
      <c r="I190" s="11" t="s">
        <v>12</v>
      </c>
      <c r="J190" s="12"/>
    </row>
    <row r="191" spans="1:10" ht="60" customHeight="1">
      <c r="A191" s="6" t="s">
        <v>728</v>
      </c>
      <c r="B191" s="6" t="s">
        <v>11</v>
      </c>
      <c r="C191" s="6" t="s">
        <v>12</v>
      </c>
      <c r="D191" s="7" t="s">
        <v>296</v>
      </c>
      <c r="E191" s="8" t="s">
        <v>729</v>
      </c>
      <c r="F191" s="6" t="s">
        <v>730</v>
      </c>
      <c r="G191" s="9">
        <f>IF(A191=1,"_",IF(C191="_","???",C191))</f>
        <v/>
      </c>
      <c r="H191" s="10" t="s">
        <v>12</v>
      </c>
      <c r="I191" s="11" t="s">
        <v>12</v>
      </c>
      <c r="J191" s="12"/>
    </row>
    <row r="192" spans="1:10" ht="60" customHeight="1">
      <c r="A192" s="6" t="s">
        <v>731</v>
      </c>
      <c r="B192" s="6" t="s">
        <v>19</v>
      </c>
      <c r="C192" s="6" t="s">
        <v>12</v>
      </c>
      <c r="D192" s="7" t="s">
        <v>732</v>
      </c>
      <c r="E192" s="8" t="s">
        <v>733</v>
      </c>
      <c r="F192" s="6" t="s">
        <v>734</v>
      </c>
      <c r="G192" s="9">
        <f>IF(A192=1,"_",IF(C192="_","???",C192))</f>
        <v/>
      </c>
      <c r="H192" s="10" t="s">
        <v>12</v>
      </c>
      <c r="I192" s="11" t="s">
        <v>12</v>
      </c>
      <c r="J192" s="12"/>
    </row>
    <row r="193" spans="1:10" ht="60" customHeight="1">
      <c r="A193" s="6" t="s">
        <v>735</v>
      </c>
      <c r="B193" s="6" t="s">
        <v>11</v>
      </c>
      <c r="C193" s="6" t="s">
        <v>12</v>
      </c>
      <c r="D193" s="7" t="s">
        <v>736</v>
      </c>
      <c r="E193" s="8" t="s">
        <v>737</v>
      </c>
      <c r="F193" s="6" t="s">
        <v>738</v>
      </c>
      <c r="G193" s="9">
        <f>IF(A193=1,"_",IF(C193="_","???",C193))</f>
        <v/>
      </c>
      <c r="H193" s="10" t="s">
        <v>12</v>
      </c>
      <c r="I193" s="11" t="s">
        <v>12</v>
      </c>
      <c r="J193" s="12"/>
    </row>
    <row r="194" spans="1:10" ht="60" customHeight="1">
      <c r="A194" s="6" t="s">
        <v>739</v>
      </c>
      <c r="B194" s="6" t="s">
        <v>20</v>
      </c>
      <c r="C194" s="6" t="s">
        <v>12</v>
      </c>
      <c r="D194" s="7" t="s">
        <v>21</v>
      </c>
      <c r="E194" s="8" t="s">
        <v>740</v>
      </c>
      <c r="F194" s="6" t="s">
        <v>741</v>
      </c>
      <c r="G194" s="9">
        <f>IF(A194=1,"_",IF(C194="_","???",C194))</f>
        <v/>
      </c>
      <c r="H194" s="10" t="s">
        <v>12</v>
      </c>
      <c r="I194" s="11" t="s">
        <v>12</v>
      </c>
      <c r="J194" s="12"/>
    </row>
    <row r="195" spans="1:10" ht="60" customHeight="1">
      <c r="A195" s="6" t="s">
        <v>742</v>
      </c>
      <c r="B195" s="6" t="s">
        <v>24</v>
      </c>
      <c r="C195" s="6" t="s">
        <v>12</v>
      </c>
      <c r="D195" s="7" t="s">
        <v>743</v>
      </c>
      <c r="E195" s="8" t="s">
        <v>744</v>
      </c>
      <c r="F195" s="6" t="s">
        <v>745</v>
      </c>
      <c r="G195" s="9">
        <f>IF(A195=1,"_",IF(C195="_","???",C195))</f>
        <v/>
      </c>
      <c r="H195" s="10" t="s">
        <v>12</v>
      </c>
      <c r="I195" s="11" t="s">
        <v>12</v>
      </c>
      <c r="J195" s="12"/>
    </row>
    <row r="196" spans="1:10" ht="60" customHeight="1">
      <c r="A196" s="6" t="s">
        <v>746</v>
      </c>
      <c r="B196" s="6" t="s">
        <v>43</v>
      </c>
      <c r="C196" s="6" t="s">
        <v>12</v>
      </c>
      <c r="D196" s="7" t="s">
        <v>107</v>
      </c>
      <c r="E196" s="8" t="s">
        <v>747</v>
      </c>
      <c r="F196" s="6" t="s">
        <v>748</v>
      </c>
      <c r="G196" s="9">
        <f>IF(A196=1,"_",IF(C196="_","???",C196))</f>
        <v/>
      </c>
      <c r="H196" s="10" t="s">
        <v>12</v>
      </c>
      <c r="I196" s="11" t="s">
        <v>12</v>
      </c>
      <c r="J196" s="12"/>
    </row>
    <row r="197" spans="1:10" ht="60" customHeight="1">
      <c r="A197" s="6" t="s">
        <v>749</v>
      </c>
      <c r="B197" s="6" t="s">
        <v>24</v>
      </c>
      <c r="C197" s="6" t="s">
        <v>12</v>
      </c>
      <c r="D197" s="7" t="s">
        <v>750</v>
      </c>
      <c r="E197" s="8" t="s">
        <v>751</v>
      </c>
      <c r="F197" s="6" t="s">
        <v>752</v>
      </c>
      <c r="G197" s="9">
        <f>IF(A197=1,"_",IF(C197="_","???",C197))</f>
        <v/>
      </c>
      <c r="H197" s="10" t="s">
        <v>12</v>
      </c>
      <c r="I197" s="11" t="s">
        <v>12</v>
      </c>
      <c r="J197" s="12"/>
    </row>
    <row r="198" spans="1:10" ht="60" customHeight="1">
      <c r="A198" s="6" t="s">
        <v>753</v>
      </c>
      <c r="B198" s="6" t="s">
        <v>37</v>
      </c>
      <c r="C198" s="6" t="s">
        <v>754</v>
      </c>
      <c r="D198" s="7" t="s">
        <v>559</v>
      </c>
      <c r="E198" s="8" t="s">
        <v>755</v>
      </c>
      <c r="F198" s="6" t="s">
        <v>756</v>
      </c>
      <c r="G198" s="9">
        <f>IF(A198=1,"_",IF(C198="_","???",C198))</f>
        <v/>
      </c>
      <c r="H198" s="10" t="s">
        <v>12</v>
      </c>
      <c r="I198" s="11" t="s">
        <v>12</v>
      </c>
      <c r="J198" s="12"/>
    </row>
    <row r="199" spans="1:10" ht="60" customHeight="1">
      <c r="A199" s="6" t="s">
        <v>757</v>
      </c>
      <c r="B199" s="6" t="s">
        <v>38</v>
      </c>
      <c r="C199" s="6" t="s">
        <v>12</v>
      </c>
      <c r="D199" s="7" t="s">
        <v>758</v>
      </c>
      <c r="E199" s="8" t="s">
        <v>759</v>
      </c>
      <c r="F199" s="6" t="s">
        <v>760</v>
      </c>
      <c r="G199" s="9">
        <f>IF(A199=1,"_",IF(C199="_","???",C199))</f>
        <v/>
      </c>
      <c r="H199" s="10" t="s">
        <v>12</v>
      </c>
      <c r="I199" s="11" t="s">
        <v>12</v>
      </c>
      <c r="J199" s="12"/>
    </row>
    <row r="200" spans="1:10" ht="60" customHeight="1">
      <c r="A200" s="6" t="s">
        <v>761</v>
      </c>
      <c r="B200" s="6" t="s">
        <v>11</v>
      </c>
      <c r="C200" s="6" t="s">
        <v>12</v>
      </c>
      <c r="D200" s="7" t="s">
        <v>762</v>
      </c>
      <c r="E200" s="8" t="s">
        <v>763</v>
      </c>
      <c r="F200" s="6" t="s">
        <v>764</v>
      </c>
      <c r="G200" s="9">
        <f>IF(A200=1,"_",IF(C200="_","???",C200))</f>
        <v/>
      </c>
      <c r="H200" s="10" t="s">
        <v>12</v>
      </c>
      <c r="I200" s="11" t="s">
        <v>12</v>
      </c>
      <c r="J200" s="12"/>
    </row>
    <row r="201" spans="1:10" ht="60" customHeight="1">
      <c r="A201" s="6" t="s">
        <v>765</v>
      </c>
      <c r="B201" s="6" t="s">
        <v>24</v>
      </c>
      <c r="C201" s="6" t="s">
        <v>12</v>
      </c>
      <c r="D201" s="7" t="s">
        <v>766</v>
      </c>
      <c r="E201" s="8" t="s">
        <v>767</v>
      </c>
      <c r="F201" s="6" t="s">
        <v>768</v>
      </c>
      <c r="G201" s="9">
        <f>IF(A201=1,"_",IF(C201="_","???",C201))</f>
        <v/>
      </c>
      <c r="H201" s="10" t="s">
        <v>12</v>
      </c>
      <c r="I201" s="11" t="s">
        <v>12</v>
      </c>
      <c r="J201" s="12"/>
    </row>
    <row r="202" spans="1:10" ht="60" customHeight="1">
      <c r="A202" s="6" t="s">
        <v>769</v>
      </c>
      <c r="B202" s="6" t="s">
        <v>11</v>
      </c>
      <c r="C202" s="6" t="s">
        <v>12</v>
      </c>
      <c r="D202" s="7" t="s">
        <v>770</v>
      </c>
      <c r="E202" s="8" t="s">
        <v>771</v>
      </c>
      <c r="F202" s="6" t="s">
        <v>772</v>
      </c>
      <c r="G202" s="9">
        <f>IF(A202=1,"_",IF(C202="_","???",C202))</f>
        <v/>
      </c>
      <c r="H202" s="10" t="s">
        <v>12</v>
      </c>
      <c r="I202" s="11" t="s">
        <v>12</v>
      </c>
      <c r="J202" s="12"/>
    </row>
    <row r="203" spans="1:10" ht="60" customHeight="1">
      <c r="A203" s="6" t="s">
        <v>773</v>
      </c>
      <c r="B203" s="6" t="s">
        <v>20</v>
      </c>
      <c r="C203" s="6" t="s">
        <v>12</v>
      </c>
      <c r="D203" s="7" t="s">
        <v>26</v>
      </c>
      <c r="E203" s="8" t="s">
        <v>774</v>
      </c>
      <c r="F203" s="6" t="s">
        <v>775</v>
      </c>
      <c r="G203" s="9">
        <f>IF(A203=1,"_",IF(C203="_","???",C203))</f>
        <v/>
      </c>
      <c r="H203" s="10" t="s">
        <v>12</v>
      </c>
      <c r="I203" s="11" t="s">
        <v>12</v>
      </c>
      <c r="J203" s="12"/>
    </row>
    <row r="204" spans="1:10" ht="60" customHeight="1">
      <c r="A204" s="6" t="s">
        <v>776</v>
      </c>
      <c r="B204" s="6" t="s">
        <v>11</v>
      </c>
      <c r="C204" s="6" t="s">
        <v>12</v>
      </c>
      <c r="D204" s="7" t="s">
        <v>777</v>
      </c>
      <c r="E204" s="8" t="s">
        <v>778</v>
      </c>
      <c r="F204" s="6" t="s">
        <v>779</v>
      </c>
      <c r="G204" s="9">
        <f>IF(A204=1,"_",IF(C204="_","???",C204))</f>
        <v/>
      </c>
      <c r="H204" s="10" t="s">
        <v>12</v>
      </c>
      <c r="I204" s="11" t="s">
        <v>12</v>
      </c>
      <c r="J204" s="12"/>
    </row>
    <row r="205" spans="1:10" ht="60" customHeight="1">
      <c r="A205" s="6" t="s">
        <v>780</v>
      </c>
      <c r="B205" s="6" t="s">
        <v>11</v>
      </c>
      <c r="C205" s="6" t="s">
        <v>12</v>
      </c>
      <c r="D205" s="7" t="s">
        <v>781</v>
      </c>
      <c r="E205" s="8" t="s">
        <v>782</v>
      </c>
      <c r="F205" s="6" t="s">
        <v>783</v>
      </c>
      <c r="G205" s="9">
        <f>IF(A205=1,"_",IF(C205="_","???",C205))</f>
        <v/>
      </c>
      <c r="H205" s="10" t="s">
        <v>12</v>
      </c>
      <c r="I205" s="11" t="s">
        <v>12</v>
      </c>
      <c r="J205" s="12"/>
    </row>
    <row r="206" spans="1:10" ht="60" customHeight="1">
      <c r="A206" s="6" t="s">
        <v>784</v>
      </c>
      <c r="B206" s="6" t="s">
        <v>59</v>
      </c>
      <c r="C206" s="6" t="s">
        <v>12</v>
      </c>
      <c r="D206" s="7" t="s">
        <v>601</v>
      </c>
      <c r="E206" s="8" t="s">
        <v>785</v>
      </c>
      <c r="F206" s="6" t="s">
        <v>786</v>
      </c>
      <c r="G206" s="9">
        <f>IF(A206=1,"_",IF(C206="_","???",C206))</f>
        <v/>
      </c>
      <c r="H206" s="10" t="s">
        <v>12</v>
      </c>
      <c r="I206" s="11" t="s">
        <v>12</v>
      </c>
      <c r="J206" s="12"/>
    </row>
    <row r="207" spans="1:10" ht="60" customHeight="1">
      <c r="A207" s="6" t="s">
        <v>787</v>
      </c>
      <c r="B207" s="6" t="s">
        <v>11</v>
      </c>
      <c r="C207" s="6" t="s">
        <v>12</v>
      </c>
      <c r="D207" s="7" t="s">
        <v>788</v>
      </c>
      <c r="E207" s="8" t="s">
        <v>789</v>
      </c>
      <c r="F207" s="6" t="s">
        <v>790</v>
      </c>
      <c r="G207" s="9">
        <f>IF(A207=1,"_",IF(C207="_","???",C207))</f>
        <v/>
      </c>
      <c r="H207" s="10" t="s">
        <v>12</v>
      </c>
      <c r="I207" s="11" t="s">
        <v>12</v>
      </c>
      <c r="J207" s="12"/>
    </row>
    <row r="208" spans="1:10" ht="60" customHeight="1">
      <c r="A208" s="6" t="s">
        <v>791</v>
      </c>
      <c r="B208" s="6" t="s">
        <v>33</v>
      </c>
      <c r="C208" s="6" t="s">
        <v>12</v>
      </c>
      <c r="D208" s="7" t="s">
        <v>792</v>
      </c>
      <c r="E208" s="8" t="s">
        <v>793</v>
      </c>
      <c r="F208" s="6" t="s">
        <v>794</v>
      </c>
      <c r="G208" s="9">
        <f>IF(A208=1,"_",IF(C208="_","???",C208))</f>
        <v/>
      </c>
      <c r="H208" s="10" t="s">
        <v>12</v>
      </c>
      <c r="I208" s="11" t="s">
        <v>12</v>
      </c>
      <c r="J208" s="12"/>
    </row>
    <row r="209" spans="1:10" ht="60" customHeight="1">
      <c r="A209" s="6" t="s">
        <v>795</v>
      </c>
      <c r="B209" s="6" t="s">
        <v>68</v>
      </c>
      <c r="C209" s="6" t="s">
        <v>12</v>
      </c>
      <c r="D209" s="7" t="s">
        <v>796</v>
      </c>
      <c r="E209" s="8" t="s">
        <v>797</v>
      </c>
      <c r="F209" s="6" t="s">
        <v>798</v>
      </c>
      <c r="G209" s="9">
        <f>IF(A209=1,"_",IF(C209="_","???",C209))</f>
        <v/>
      </c>
      <c r="H209" s="10" t="s">
        <v>12</v>
      </c>
      <c r="I209" s="11" t="s">
        <v>12</v>
      </c>
      <c r="J209" s="12"/>
    </row>
    <row r="210" spans="1:10" ht="60" customHeight="1">
      <c r="A210" s="6" t="s">
        <v>799</v>
      </c>
      <c r="B210" s="6" t="s">
        <v>37</v>
      </c>
      <c r="C210" s="6" t="s">
        <v>12</v>
      </c>
      <c r="D210" s="7" t="s">
        <v>601</v>
      </c>
      <c r="E210" s="8" t="s">
        <v>800</v>
      </c>
      <c r="F210" s="6" t="s">
        <v>801</v>
      </c>
      <c r="G210" s="9">
        <f>IF(A210=1,"_",IF(C210="_","???",C210))</f>
        <v/>
      </c>
      <c r="H210" s="10" t="s">
        <v>12</v>
      </c>
      <c r="I210" s="11" t="s">
        <v>12</v>
      </c>
      <c r="J210" s="12"/>
    </row>
    <row r="211" spans="1:10" ht="60" customHeight="1">
      <c r="A211" s="6" t="s">
        <v>802</v>
      </c>
      <c r="B211" s="6" t="s">
        <v>19</v>
      </c>
      <c r="C211" s="6" t="s">
        <v>12</v>
      </c>
      <c r="D211" s="7" t="s">
        <v>803</v>
      </c>
      <c r="E211" s="8" t="s">
        <v>804</v>
      </c>
      <c r="F211" s="6" t="s">
        <v>805</v>
      </c>
      <c r="G211" s="9">
        <f>IF(A211=1,"_",IF(C211="_","???",C211))</f>
        <v/>
      </c>
      <c r="H211" s="10" t="s">
        <v>12</v>
      </c>
      <c r="I211" s="11" t="s">
        <v>12</v>
      </c>
      <c r="J211" s="12"/>
    </row>
    <row r="212" spans="1:10" ht="60" customHeight="1">
      <c r="A212" s="6" t="s">
        <v>806</v>
      </c>
      <c r="B212" s="6" t="s">
        <v>33</v>
      </c>
      <c r="C212" s="6" t="s">
        <v>12</v>
      </c>
      <c r="D212" s="7" t="s">
        <v>807</v>
      </c>
      <c r="E212" s="8" t="s">
        <v>808</v>
      </c>
      <c r="F212" s="6" t="s">
        <v>809</v>
      </c>
      <c r="G212" s="9">
        <f>IF(A212=1,"_",IF(C212="_","???",C212))</f>
        <v/>
      </c>
      <c r="H212" s="10" t="s">
        <v>12</v>
      </c>
      <c r="I212" s="11" t="s">
        <v>12</v>
      </c>
      <c r="J212" s="12"/>
    </row>
    <row r="213" spans="1:10" ht="60" customHeight="1">
      <c r="A213" s="6" t="s">
        <v>810</v>
      </c>
      <c r="B213" s="6" t="s">
        <v>29</v>
      </c>
      <c r="C213" s="6" t="s">
        <v>12</v>
      </c>
      <c r="D213" s="7" t="s">
        <v>811</v>
      </c>
      <c r="E213" s="8" t="s">
        <v>812</v>
      </c>
      <c r="F213" s="6" t="s">
        <v>813</v>
      </c>
      <c r="G213" s="9">
        <f>IF(A213=1,"_",IF(C213="_","???",C213))</f>
        <v/>
      </c>
      <c r="H213" s="10" t="s">
        <v>12</v>
      </c>
      <c r="I213" s="11" t="s">
        <v>12</v>
      </c>
      <c r="J213" s="12"/>
    </row>
    <row r="214" spans="1:10" ht="60" customHeight="1">
      <c r="A214" s="6" t="s">
        <v>814</v>
      </c>
      <c r="B214" s="6" t="s">
        <v>11</v>
      </c>
      <c r="C214" s="6" t="s">
        <v>12</v>
      </c>
      <c r="D214" s="7" t="s">
        <v>815</v>
      </c>
      <c r="E214" s="8" t="s">
        <v>816</v>
      </c>
      <c r="F214" s="6" t="s">
        <v>817</v>
      </c>
      <c r="G214" s="9">
        <f>IF(A214=1,"_",IF(C214="_","???",C214))</f>
        <v/>
      </c>
      <c r="H214" s="10" t="s">
        <v>12</v>
      </c>
      <c r="I214" s="11" t="s">
        <v>12</v>
      </c>
      <c r="J214" s="12"/>
    </row>
    <row r="215" spans="1:10" ht="60" customHeight="1">
      <c r="A215" s="6" t="s">
        <v>818</v>
      </c>
      <c r="B215" s="6" t="s">
        <v>11</v>
      </c>
      <c r="C215" s="6" t="s">
        <v>12</v>
      </c>
      <c r="D215" s="7" t="s">
        <v>819</v>
      </c>
      <c r="E215" s="8" t="s">
        <v>820</v>
      </c>
      <c r="F215" s="6" t="s">
        <v>821</v>
      </c>
      <c r="G215" s="9">
        <f>IF(A215=1,"_",IF(C215="_","???",C215))</f>
        <v/>
      </c>
      <c r="H215" s="10" t="s">
        <v>12</v>
      </c>
      <c r="I215" s="11" t="s">
        <v>12</v>
      </c>
      <c r="J215" s="12"/>
    </row>
    <row r="216" spans="1:10" ht="60" customHeight="1">
      <c r="A216" s="6" t="s">
        <v>822</v>
      </c>
      <c r="B216" s="6" t="s">
        <v>43</v>
      </c>
      <c r="C216" s="6" t="s">
        <v>12</v>
      </c>
      <c r="D216" s="7" t="s">
        <v>823</v>
      </c>
      <c r="E216" s="8" t="s">
        <v>824</v>
      </c>
      <c r="F216" s="6" t="s">
        <v>825</v>
      </c>
      <c r="G216" s="9">
        <f>IF(A216=1,"_",IF(C216="_","???",C216))</f>
        <v/>
      </c>
      <c r="H216" s="10" t="s">
        <v>12</v>
      </c>
      <c r="I216" s="11" t="s">
        <v>12</v>
      </c>
      <c r="J216" s="12"/>
    </row>
    <row r="217" spans="1:10" ht="60" customHeight="1">
      <c r="A217" s="6" t="s">
        <v>826</v>
      </c>
      <c r="B217" s="6" t="s">
        <v>11</v>
      </c>
      <c r="C217" s="6" t="s">
        <v>12</v>
      </c>
      <c r="D217" s="7" t="s">
        <v>21</v>
      </c>
      <c r="E217" s="8" t="s">
        <v>827</v>
      </c>
      <c r="F217" s="6" t="s">
        <v>828</v>
      </c>
      <c r="G217" s="9">
        <f>IF(A217=1,"_",IF(C217="_","???",C217))</f>
        <v/>
      </c>
      <c r="H217" s="10" t="s">
        <v>12</v>
      </c>
      <c r="I217" s="11" t="s">
        <v>12</v>
      </c>
      <c r="J217" s="12"/>
    </row>
    <row r="218" spans="1:10" ht="60" customHeight="1">
      <c r="A218" s="6" t="s">
        <v>829</v>
      </c>
      <c r="B218" s="6" t="s">
        <v>11</v>
      </c>
      <c r="C218" s="6" t="s">
        <v>12</v>
      </c>
      <c r="D218" s="7" t="s">
        <v>830</v>
      </c>
      <c r="E218" s="8" t="s">
        <v>831</v>
      </c>
      <c r="F218" s="6" t="s">
        <v>832</v>
      </c>
      <c r="G218" s="9">
        <f>IF(A218=1,"_",IF(C218="_","???",C218))</f>
        <v/>
      </c>
      <c r="H218" s="10" t="s">
        <v>12</v>
      </c>
      <c r="I218" s="11" t="s">
        <v>12</v>
      </c>
      <c r="J218" s="12"/>
    </row>
    <row r="219" spans="1:10" ht="60" customHeight="1">
      <c r="A219" s="6" t="s">
        <v>833</v>
      </c>
      <c r="B219" s="6" t="s">
        <v>33</v>
      </c>
      <c r="C219" s="6" t="s">
        <v>12</v>
      </c>
      <c r="D219" s="7" t="s">
        <v>834</v>
      </c>
      <c r="E219" s="8" t="s">
        <v>835</v>
      </c>
      <c r="F219" s="6" t="s">
        <v>836</v>
      </c>
      <c r="G219" s="9">
        <f>IF(A219=1,"_",IF(C219="_","???",C219))</f>
        <v/>
      </c>
      <c r="H219" s="10" t="s">
        <v>12</v>
      </c>
      <c r="I219" s="11" t="s">
        <v>12</v>
      </c>
      <c r="J219" s="12"/>
    </row>
    <row r="220" spans="1:10" ht="60" customHeight="1">
      <c r="A220" s="6" t="s">
        <v>837</v>
      </c>
      <c r="B220" s="6" t="s">
        <v>55</v>
      </c>
      <c r="C220" s="6" t="s">
        <v>12</v>
      </c>
      <c r="D220" s="7" t="s">
        <v>250</v>
      </c>
      <c r="E220" s="8" t="s">
        <v>838</v>
      </c>
      <c r="F220" s="6" t="s">
        <v>839</v>
      </c>
      <c r="G220" s="9">
        <f>IF(A220=1,"_",IF(C220="_","???",C220))</f>
        <v/>
      </c>
      <c r="H220" s="10" t="s">
        <v>12</v>
      </c>
      <c r="I220" s="11" t="s">
        <v>12</v>
      </c>
      <c r="J220" s="12"/>
    </row>
    <row r="221" spans="1:10" ht="60" customHeight="1">
      <c r="A221" s="6" t="s">
        <v>840</v>
      </c>
      <c r="B221" s="6" t="s">
        <v>11</v>
      </c>
      <c r="C221" s="6" t="s">
        <v>12</v>
      </c>
      <c r="D221" s="7" t="s">
        <v>559</v>
      </c>
      <c r="E221" s="8" t="s">
        <v>841</v>
      </c>
      <c r="F221" s="6" t="s">
        <v>842</v>
      </c>
      <c r="G221" s="9">
        <f>IF(A221=1,"_",IF(C221="_","???",C221))</f>
        <v/>
      </c>
      <c r="H221" s="10" t="s">
        <v>12</v>
      </c>
      <c r="I221" s="11" t="s">
        <v>12</v>
      </c>
      <c r="J221" s="12"/>
    </row>
    <row r="222" spans="1:10" ht="60" customHeight="1">
      <c r="A222" s="6" t="s">
        <v>843</v>
      </c>
      <c r="B222" s="6" t="s">
        <v>11</v>
      </c>
      <c r="C222" s="6" t="s">
        <v>12</v>
      </c>
      <c r="D222" s="7" t="s">
        <v>819</v>
      </c>
      <c r="E222" s="8" t="s">
        <v>844</v>
      </c>
      <c r="F222" s="6" t="s">
        <v>845</v>
      </c>
      <c r="G222" s="9">
        <f>IF(A222=1,"_",IF(C222="_","???",C222))</f>
        <v/>
      </c>
      <c r="H222" s="10" t="s">
        <v>12</v>
      </c>
      <c r="I222" s="11" t="s">
        <v>12</v>
      </c>
      <c r="J222" s="12"/>
    </row>
    <row r="223" spans="1:10" ht="60" customHeight="1">
      <c r="A223" s="6" t="s">
        <v>846</v>
      </c>
      <c r="B223" s="6" t="s">
        <v>19</v>
      </c>
      <c r="C223" s="6" t="s">
        <v>12</v>
      </c>
      <c r="D223" s="7" t="s">
        <v>847</v>
      </c>
      <c r="E223" s="8" t="s">
        <v>848</v>
      </c>
      <c r="F223" s="6" t="s">
        <v>849</v>
      </c>
      <c r="G223" s="9">
        <f>IF(A223=1,"_",IF(C223="_","???",C223))</f>
        <v/>
      </c>
      <c r="H223" s="10" t="s">
        <v>12</v>
      </c>
      <c r="I223" s="11" t="s">
        <v>12</v>
      </c>
      <c r="J223" s="12"/>
    </row>
    <row r="224" spans="1:10" ht="60" customHeight="1">
      <c r="A224" s="6" t="s">
        <v>850</v>
      </c>
      <c r="B224" s="6" t="s">
        <v>37</v>
      </c>
      <c r="C224" s="6" t="s">
        <v>12</v>
      </c>
      <c r="D224" s="7" t="s">
        <v>851</v>
      </c>
      <c r="E224" s="8" t="s">
        <v>852</v>
      </c>
      <c r="F224" s="6" t="s">
        <v>853</v>
      </c>
      <c r="G224" s="9">
        <f>IF(A224=1,"_",IF(C224="_","???",C224))</f>
        <v/>
      </c>
      <c r="H224" s="10" t="s">
        <v>12</v>
      </c>
      <c r="I224" s="11" t="s">
        <v>12</v>
      </c>
      <c r="J224" s="12"/>
    </row>
    <row r="225" spans="1:10" ht="60" customHeight="1">
      <c r="A225" s="6" t="s">
        <v>854</v>
      </c>
      <c r="B225" s="6" t="s">
        <v>38</v>
      </c>
      <c r="C225" s="6" t="s">
        <v>12</v>
      </c>
      <c r="D225" s="7" t="s">
        <v>87</v>
      </c>
      <c r="E225" s="8" t="s">
        <v>855</v>
      </c>
      <c r="F225" s="6" t="s">
        <v>856</v>
      </c>
      <c r="G225" s="9">
        <f>IF(A225=1,"_",IF(C225="_","???",C225))</f>
        <v/>
      </c>
      <c r="H225" s="10" t="s">
        <v>12</v>
      </c>
      <c r="I225" s="11" t="s">
        <v>12</v>
      </c>
      <c r="J225" s="12"/>
    </row>
    <row r="226" spans="1:10" ht="60" customHeight="1">
      <c r="A226" s="6" t="s">
        <v>857</v>
      </c>
      <c r="B226" s="6" t="s">
        <v>20</v>
      </c>
      <c r="C226" s="6" t="s">
        <v>12</v>
      </c>
      <c r="D226" s="7" t="s">
        <v>315</v>
      </c>
      <c r="E226" s="8" t="s">
        <v>858</v>
      </c>
      <c r="F226" s="6" t="s">
        <v>859</v>
      </c>
      <c r="G226" s="9">
        <f>IF(A226=1,"_",IF(C226="_","???",C226))</f>
        <v/>
      </c>
      <c r="H226" s="10" t="s">
        <v>12</v>
      </c>
      <c r="I226" s="11" t="s">
        <v>12</v>
      </c>
      <c r="J226" s="12"/>
    </row>
    <row r="227" spans="1:10" ht="60" customHeight="1">
      <c r="A227" s="6" t="s">
        <v>860</v>
      </c>
      <c r="B227" s="6" t="s">
        <v>11</v>
      </c>
      <c r="C227" s="6" t="s">
        <v>12</v>
      </c>
      <c r="D227" s="7" t="s">
        <v>861</v>
      </c>
      <c r="E227" s="8" t="s">
        <v>862</v>
      </c>
      <c r="F227" s="6" t="s">
        <v>863</v>
      </c>
      <c r="G227" s="9">
        <f>IF(A227=1,"_",IF(C227="_","???",C227))</f>
        <v/>
      </c>
      <c r="H227" s="10" t="s">
        <v>12</v>
      </c>
      <c r="I227" s="11" t="s">
        <v>12</v>
      </c>
      <c r="J227" s="12"/>
    </row>
    <row r="228" spans="1:10" ht="60" customHeight="1">
      <c r="A228" s="6" t="s">
        <v>864</v>
      </c>
      <c r="B228" s="6" t="s">
        <v>11</v>
      </c>
      <c r="C228" s="6" t="s">
        <v>12</v>
      </c>
      <c r="D228" s="7" t="s">
        <v>865</v>
      </c>
      <c r="E228" s="8" t="s">
        <v>866</v>
      </c>
      <c r="F228" s="6" t="s">
        <v>867</v>
      </c>
      <c r="G228" s="9">
        <f>IF(A228=1,"_",IF(C228="_","???",C228))</f>
        <v/>
      </c>
      <c r="H228" s="10" t="s">
        <v>12</v>
      </c>
      <c r="I228" s="11" t="s">
        <v>12</v>
      </c>
      <c r="J228" s="12"/>
    </row>
    <row r="229" spans="1:10" ht="60" customHeight="1">
      <c r="A229" s="6" t="s">
        <v>868</v>
      </c>
      <c r="B229" s="6" t="s">
        <v>55</v>
      </c>
      <c r="C229" s="6" t="s">
        <v>12</v>
      </c>
      <c r="D229" s="7" t="s">
        <v>869</v>
      </c>
      <c r="E229" s="8" t="s">
        <v>870</v>
      </c>
      <c r="F229" s="6" t="s">
        <v>871</v>
      </c>
      <c r="G229" s="9">
        <f>IF(A229=1,"_",IF(C229="_","???",C229))</f>
        <v/>
      </c>
      <c r="H229" s="10" t="s">
        <v>12</v>
      </c>
      <c r="I229" s="11" t="s">
        <v>12</v>
      </c>
      <c r="J229" s="12"/>
    </row>
    <row r="230" spans="1:10" ht="60" customHeight="1">
      <c r="A230" s="6" t="s">
        <v>872</v>
      </c>
      <c r="B230" s="6" t="s">
        <v>43</v>
      </c>
      <c r="C230" s="6" t="s">
        <v>12</v>
      </c>
      <c r="D230" s="7" t="s">
        <v>107</v>
      </c>
      <c r="E230" s="8" t="s">
        <v>873</v>
      </c>
      <c r="F230" s="6" t="s">
        <v>874</v>
      </c>
      <c r="G230" s="9">
        <f>IF(A230=1,"_",IF(C230="_","???",C230))</f>
        <v/>
      </c>
      <c r="H230" s="10" t="s">
        <v>12</v>
      </c>
      <c r="I230" s="11" t="s">
        <v>12</v>
      </c>
      <c r="J230" s="12"/>
    </row>
    <row r="231" spans="1:10" ht="60" customHeight="1">
      <c r="A231" s="6" t="s">
        <v>875</v>
      </c>
      <c r="B231" s="6" t="s">
        <v>20</v>
      </c>
      <c r="C231" s="6" t="s">
        <v>12</v>
      </c>
      <c r="D231" s="7" t="s">
        <v>876</v>
      </c>
      <c r="E231" s="8" t="s">
        <v>877</v>
      </c>
      <c r="F231" s="6" t="s">
        <v>878</v>
      </c>
      <c r="G231" s="9">
        <f>IF(A231=1,"_",IF(C231="_","???",C231))</f>
        <v/>
      </c>
      <c r="H231" s="10" t="s">
        <v>12</v>
      </c>
      <c r="I231" s="11" t="s">
        <v>12</v>
      </c>
      <c r="J231" s="12"/>
    </row>
    <row r="232" spans="1:10" ht="60" customHeight="1">
      <c r="A232" s="6" t="s">
        <v>879</v>
      </c>
      <c r="B232" s="6" t="s">
        <v>37</v>
      </c>
      <c r="C232" s="6" t="s">
        <v>12</v>
      </c>
      <c r="D232" s="7" t="s">
        <v>880</v>
      </c>
      <c r="E232" s="8" t="s">
        <v>881</v>
      </c>
      <c r="F232" s="6" t="s">
        <v>882</v>
      </c>
      <c r="G232" s="9">
        <f>IF(A232=1,"_",IF(C232="_","???",C232))</f>
        <v/>
      </c>
      <c r="H232" s="10" t="s">
        <v>12</v>
      </c>
      <c r="I232" s="11" t="s">
        <v>12</v>
      </c>
      <c r="J232" s="12"/>
    </row>
    <row r="233" spans="1:10" ht="60" customHeight="1">
      <c r="A233" s="6" t="s">
        <v>883</v>
      </c>
      <c r="B233" s="6" t="s">
        <v>20</v>
      </c>
      <c r="C233" s="6" t="s">
        <v>12</v>
      </c>
      <c r="D233" s="7" t="s">
        <v>225</v>
      </c>
      <c r="E233" s="8" t="s">
        <v>884</v>
      </c>
      <c r="F233" s="6" t="s">
        <v>885</v>
      </c>
      <c r="G233" s="9">
        <f>IF(A233=1,"_",IF(C233="_","???",C233))</f>
        <v/>
      </c>
      <c r="H233" s="10" t="s">
        <v>12</v>
      </c>
      <c r="I233" s="11" t="s">
        <v>12</v>
      </c>
      <c r="J233" s="12"/>
    </row>
    <row r="234" spans="1:10" ht="60" customHeight="1">
      <c r="A234" s="6" t="s">
        <v>886</v>
      </c>
      <c r="B234" s="6" t="s">
        <v>11</v>
      </c>
      <c r="C234" s="6" t="s">
        <v>205</v>
      </c>
      <c r="D234" s="7" t="s">
        <v>887</v>
      </c>
      <c r="E234" s="8" t="s">
        <v>888</v>
      </c>
      <c r="F234" s="6" t="s">
        <v>889</v>
      </c>
      <c r="G234" s="9">
        <f>IF(A234=1,"_",IF(C234="_","???",C234))</f>
        <v/>
      </c>
      <c r="H234" s="10" t="s">
        <v>12</v>
      </c>
      <c r="I234" s="11" t="s">
        <v>12</v>
      </c>
      <c r="J234" s="12"/>
    </row>
    <row r="235" spans="1:10" ht="60" customHeight="1">
      <c r="A235" s="6" t="s">
        <v>890</v>
      </c>
      <c r="B235" s="6" t="s">
        <v>20</v>
      </c>
      <c r="C235" s="6" t="s">
        <v>12</v>
      </c>
      <c r="D235" s="7" t="s">
        <v>155</v>
      </c>
      <c r="E235" s="8" t="s">
        <v>891</v>
      </c>
      <c r="F235" s="6" t="s">
        <v>892</v>
      </c>
      <c r="G235" s="9">
        <f>IF(A235=1,"_",IF(C235="_","???",C235))</f>
        <v/>
      </c>
      <c r="H235" s="10" t="s">
        <v>12</v>
      </c>
      <c r="I235" s="11" t="s">
        <v>12</v>
      </c>
      <c r="J235" s="12"/>
    </row>
    <row r="236" spans="1:10" ht="60" customHeight="1">
      <c r="A236" s="6" t="s">
        <v>893</v>
      </c>
      <c r="B236" s="6" t="s">
        <v>24</v>
      </c>
      <c r="C236" s="6" t="s">
        <v>12</v>
      </c>
      <c r="D236" s="7" t="s">
        <v>894</v>
      </c>
      <c r="E236" s="8" t="s">
        <v>895</v>
      </c>
      <c r="F236" s="6" t="s">
        <v>896</v>
      </c>
      <c r="G236" s="9">
        <f>IF(A236=1,"_",IF(C236="_","???",C236))</f>
        <v/>
      </c>
      <c r="H236" s="10" t="s">
        <v>12</v>
      </c>
      <c r="I236" s="11" t="s">
        <v>12</v>
      </c>
      <c r="J236" s="12"/>
    </row>
    <row r="237" spans="1:10" ht="60" customHeight="1">
      <c r="A237" s="6" t="s">
        <v>897</v>
      </c>
      <c r="B237" s="6" t="s">
        <v>11</v>
      </c>
      <c r="C237" s="6" t="s">
        <v>12</v>
      </c>
      <c r="D237" s="7" t="s">
        <v>898</v>
      </c>
      <c r="E237" s="8" t="s">
        <v>899</v>
      </c>
      <c r="F237" s="6" t="s">
        <v>900</v>
      </c>
      <c r="G237" s="9">
        <f>IF(A237=1,"_",IF(C237="_","???",C237))</f>
        <v/>
      </c>
      <c r="H237" s="10" t="s">
        <v>12</v>
      </c>
      <c r="I237" s="11" t="s">
        <v>12</v>
      </c>
      <c r="J237" s="12"/>
    </row>
    <row r="238" spans="1:10" ht="60" customHeight="1">
      <c r="A238" s="6" t="s">
        <v>901</v>
      </c>
      <c r="B238" s="6" t="s">
        <v>37</v>
      </c>
      <c r="C238" s="6" t="s">
        <v>12</v>
      </c>
      <c r="D238" s="7" t="s">
        <v>902</v>
      </c>
      <c r="E238" s="8" t="s">
        <v>903</v>
      </c>
      <c r="F238" s="6" t="s">
        <v>904</v>
      </c>
      <c r="G238" s="9">
        <f>IF(A238=1,"_",IF(C238="_","???",C238))</f>
        <v/>
      </c>
      <c r="H238" s="10" t="s">
        <v>12</v>
      </c>
      <c r="I238" s="11" t="s">
        <v>12</v>
      </c>
      <c r="J238" s="12"/>
    </row>
    <row r="239" spans="1:10" ht="60" customHeight="1">
      <c r="A239" s="6" t="s">
        <v>905</v>
      </c>
      <c r="B239" s="6" t="s">
        <v>118</v>
      </c>
      <c r="C239" s="6" t="s">
        <v>12</v>
      </c>
      <c r="D239" s="7" t="s">
        <v>906</v>
      </c>
      <c r="E239" s="8" t="s">
        <v>907</v>
      </c>
      <c r="F239" s="6" t="s">
        <v>908</v>
      </c>
      <c r="G239" s="9">
        <f>IF(A239=1,"_",IF(C239="_","???",C239))</f>
        <v/>
      </c>
      <c r="H239" s="10" t="s">
        <v>12</v>
      </c>
      <c r="I239" s="11" t="s">
        <v>12</v>
      </c>
      <c r="J239" s="12"/>
    </row>
    <row r="240" spans="1:10" ht="60" customHeight="1">
      <c r="A240" s="6" t="s">
        <v>909</v>
      </c>
      <c r="B240" s="6" t="s">
        <v>33</v>
      </c>
      <c r="C240" s="6" t="s">
        <v>12</v>
      </c>
      <c r="D240" s="7" t="s">
        <v>910</v>
      </c>
      <c r="E240" s="8" t="s">
        <v>911</v>
      </c>
      <c r="F240" s="6" t="s">
        <v>912</v>
      </c>
      <c r="G240" s="9">
        <f>IF(A240=1,"_",IF(C240="_","???",C240))</f>
        <v/>
      </c>
      <c r="H240" s="10" t="s">
        <v>12</v>
      </c>
      <c r="I240" s="11" t="s">
        <v>12</v>
      </c>
      <c r="J240" s="12"/>
    </row>
    <row r="241" spans="1:10" ht="60" customHeight="1">
      <c r="A241" s="6" t="s">
        <v>913</v>
      </c>
      <c r="B241" s="6" t="s">
        <v>86</v>
      </c>
      <c r="C241" s="6" t="s">
        <v>12</v>
      </c>
      <c r="D241" s="7" t="s">
        <v>26</v>
      </c>
      <c r="E241" s="8" t="s">
        <v>914</v>
      </c>
      <c r="F241" s="6" t="s">
        <v>915</v>
      </c>
      <c r="G241" s="9">
        <f>IF(A241=1,"_",IF(C241="_","???",C241))</f>
        <v/>
      </c>
      <c r="H241" s="10" t="s">
        <v>12</v>
      </c>
      <c r="I241" s="11" t="s">
        <v>12</v>
      </c>
      <c r="J241" s="12"/>
    </row>
    <row r="242" spans="1:10" ht="60" customHeight="1">
      <c r="A242" s="6" t="s">
        <v>916</v>
      </c>
      <c r="B242" s="6" t="s">
        <v>38</v>
      </c>
      <c r="C242" s="6" t="s">
        <v>12</v>
      </c>
      <c r="D242" s="7" t="s">
        <v>601</v>
      </c>
      <c r="E242" s="8" t="s">
        <v>917</v>
      </c>
      <c r="F242" s="6" t="s">
        <v>918</v>
      </c>
      <c r="G242" s="9">
        <f>IF(A242=1,"_",IF(C242="_","???",C242))</f>
        <v/>
      </c>
      <c r="H242" s="10" t="s">
        <v>12</v>
      </c>
      <c r="I242" s="11" t="s">
        <v>12</v>
      </c>
      <c r="J242" s="12"/>
    </row>
    <row r="243" spans="1:10" ht="60" customHeight="1">
      <c r="A243" s="6" t="s">
        <v>919</v>
      </c>
      <c r="B243" s="6" t="s">
        <v>37</v>
      </c>
      <c r="C243" s="6" t="s">
        <v>12</v>
      </c>
      <c r="D243" s="7" t="s">
        <v>847</v>
      </c>
      <c r="E243" s="8" t="s">
        <v>920</v>
      </c>
      <c r="F243" s="6" t="s">
        <v>921</v>
      </c>
      <c r="G243" s="9">
        <f>IF(A243=1,"_",IF(C243="_","???",C243))</f>
        <v/>
      </c>
      <c r="H243" s="10" t="s">
        <v>12</v>
      </c>
      <c r="I243" s="11" t="s">
        <v>12</v>
      </c>
      <c r="J243" s="12"/>
    </row>
    <row r="244" spans="1:10" ht="60" customHeight="1">
      <c r="A244" s="6" t="s">
        <v>922</v>
      </c>
      <c r="B244" s="6" t="s">
        <v>19</v>
      </c>
      <c r="C244" s="6" t="s">
        <v>12</v>
      </c>
      <c r="D244" s="7" t="s">
        <v>847</v>
      </c>
      <c r="E244" s="8" t="s">
        <v>923</v>
      </c>
      <c r="F244" s="6" t="s">
        <v>924</v>
      </c>
      <c r="G244" s="9">
        <f>IF(A244=1,"_",IF(C244="_","???",C244))</f>
        <v/>
      </c>
      <c r="H244" s="10" t="s">
        <v>12</v>
      </c>
      <c r="I244" s="11" t="s">
        <v>12</v>
      </c>
      <c r="J244" s="12"/>
    </row>
    <row r="245" spans="1:10" ht="60" customHeight="1">
      <c r="A245" s="6" t="s">
        <v>925</v>
      </c>
      <c r="B245" s="6" t="s">
        <v>19</v>
      </c>
      <c r="C245" s="6" t="s">
        <v>12</v>
      </c>
      <c r="D245" s="7" t="s">
        <v>26</v>
      </c>
      <c r="E245" s="8" t="s">
        <v>926</v>
      </c>
      <c r="F245" s="6" t="s">
        <v>927</v>
      </c>
      <c r="G245" s="9">
        <f>IF(A245=1,"_",IF(C245="_","???",C245))</f>
        <v/>
      </c>
      <c r="H245" s="10" t="s">
        <v>12</v>
      </c>
      <c r="I245" s="11" t="s">
        <v>12</v>
      </c>
      <c r="J245" s="12"/>
    </row>
    <row r="246" spans="1:10" ht="60" customHeight="1">
      <c r="A246" s="6" t="s">
        <v>928</v>
      </c>
      <c r="B246" s="6" t="s">
        <v>29</v>
      </c>
      <c r="C246" s="6" t="s">
        <v>12</v>
      </c>
      <c r="D246" s="7" t="s">
        <v>107</v>
      </c>
      <c r="E246" s="8" t="s">
        <v>929</v>
      </c>
      <c r="F246" s="6" t="s">
        <v>930</v>
      </c>
      <c r="G246" s="9">
        <f>IF(A246=1,"_",IF(C246="_","???",C246))</f>
        <v/>
      </c>
      <c r="H246" s="10" t="s">
        <v>12</v>
      </c>
      <c r="I246" s="11" t="s">
        <v>12</v>
      </c>
      <c r="J246" s="12"/>
    </row>
    <row r="247" spans="1:10" ht="60" customHeight="1">
      <c r="A247" s="6" t="s">
        <v>931</v>
      </c>
      <c r="B247" s="6" t="s">
        <v>20</v>
      </c>
      <c r="C247" s="6" t="s">
        <v>12</v>
      </c>
      <c r="D247" s="7" t="s">
        <v>932</v>
      </c>
      <c r="E247" s="8" t="s">
        <v>933</v>
      </c>
      <c r="F247" s="6" t="s">
        <v>934</v>
      </c>
      <c r="G247" s="9">
        <f>IF(A247=1,"_",IF(C247="_","???",C247))</f>
        <v/>
      </c>
      <c r="H247" s="10" t="s">
        <v>12</v>
      </c>
      <c r="I247" s="11" t="s">
        <v>12</v>
      </c>
      <c r="J247" s="12"/>
    </row>
    <row r="248" spans="1:10" ht="60" customHeight="1">
      <c r="A248" s="6" t="s">
        <v>935</v>
      </c>
      <c r="B248" s="6" t="s">
        <v>33</v>
      </c>
      <c r="C248" s="6" t="s">
        <v>12</v>
      </c>
      <c r="D248" s="7" t="s">
        <v>936</v>
      </c>
      <c r="E248" s="8" t="s">
        <v>937</v>
      </c>
      <c r="F248" s="6" t="s">
        <v>938</v>
      </c>
      <c r="G248" s="9">
        <f>IF(A248=1,"_",IF(C248="_","???",C248))</f>
        <v/>
      </c>
      <c r="H248" s="10" t="s">
        <v>12</v>
      </c>
      <c r="I248" s="11" t="s">
        <v>12</v>
      </c>
      <c r="J248" s="12"/>
    </row>
    <row r="249" spans="1:10" ht="60" customHeight="1">
      <c r="A249" s="6" t="s">
        <v>939</v>
      </c>
      <c r="B249" s="6" t="s">
        <v>19</v>
      </c>
      <c r="C249" s="6" t="s">
        <v>12</v>
      </c>
      <c r="D249" s="7" t="s">
        <v>135</v>
      </c>
      <c r="E249" s="8" t="s">
        <v>940</v>
      </c>
      <c r="F249" s="6" t="s">
        <v>941</v>
      </c>
      <c r="G249" s="9">
        <f>IF(A249=1,"_",IF(C249="_","???",C249))</f>
        <v/>
      </c>
      <c r="H249" s="10" t="s">
        <v>12</v>
      </c>
      <c r="I249" s="11" t="s">
        <v>12</v>
      </c>
      <c r="J249" s="12"/>
    </row>
    <row r="250" spans="1:10" ht="60" customHeight="1">
      <c r="A250" s="6" t="s">
        <v>942</v>
      </c>
      <c r="B250" s="6" t="s">
        <v>24</v>
      </c>
      <c r="C250" s="6" t="s">
        <v>12</v>
      </c>
      <c r="D250" s="7" t="s">
        <v>943</v>
      </c>
      <c r="E250" s="8" t="s">
        <v>944</v>
      </c>
      <c r="F250" s="6" t="s">
        <v>945</v>
      </c>
      <c r="G250" s="9">
        <f>IF(A250=1,"_",IF(C250="_","???",C250))</f>
        <v/>
      </c>
      <c r="H250" s="10" t="s">
        <v>12</v>
      </c>
      <c r="I250" s="11" t="s">
        <v>12</v>
      </c>
      <c r="J250" s="12"/>
    </row>
    <row r="251" spans="1:10" ht="60" customHeight="1">
      <c r="A251" s="6" t="s">
        <v>946</v>
      </c>
      <c r="B251" s="6" t="s">
        <v>51</v>
      </c>
      <c r="C251" s="6" t="s">
        <v>12</v>
      </c>
      <c r="D251" s="7" t="s">
        <v>947</v>
      </c>
      <c r="E251" s="8" t="s">
        <v>948</v>
      </c>
      <c r="F251" s="6" t="s">
        <v>949</v>
      </c>
      <c r="G251" s="9">
        <f>IF(A251=1,"_",IF(C251="_","???",C251))</f>
        <v/>
      </c>
      <c r="H251" s="10" t="s">
        <v>12</v>
      </c>
      <c r="I251" s="11" t="s">
        <v>12</v>
      </c>
      <c r="J251" s="12"/>
    </row>
    <row r="252" spans="1:10" ht="60" customHeight="1">
      <c r="A252" s="6" t="s">
        <v>950</v>
      </c>
      <c r="B252" s="6" t="s">
        <v>29</v>
      </c>
      <c r="C252" s="6" t="s">
        <v>12</v>
      </c>
      <c r="D252" s="7" t="s">
        <v>270</v>
      </c>
      <c r="E252" s="8" t="s">
        <v>951</v>
      </c>
      <c r="F252" s="6" t="s">
        <v>952</v>
      </c>
      <c r="G252" s="9">
        <f>IF(A252=1,"_",IF(C252="_","???",C252))</f>
        <v/>
      </c>
      <c r="H252" s="10" t="s">
        <v>12</v>
      </c>
      <c r="I252" s="11" t="s">
        <v>12</v>
      </c>
      <c r="J252" s="12"/>
    </row>
    <row r="253" spans="1:10" ht="60" customHeight="1">
      <c r="A253" s="6" t="s">
        <v>953</v>
      </c>
      <c r="B253" s="6" t="s">
        <v>43</v>
      </c>
      <c r="C253" s="6" t="s">
        <v>12</v>
      </c>
      <c r="D253" s="7" t="s">
        <v>954</v>
      </c>
      <c r="E253" s="8" t="s">
        <v>955</v>
      </c>
      <c r="F253" s="6" t="s">
        <v>956</v>
      </c>
      <c r="G253" s="9">
        <f>IF(A253=1,"_",IF(C253="_","???",C253))</f>
        <v/>
      </c>
      <c r="H253" s="10" t="s">
        <v>12</v>
      </c>
      <c r="I253" s="11" t="s">
        <v>12</v>
      </c>
      <c r="J253" s="12"/>
    </row>
    <row r="254" spans="1:10" ht="60" customHeight="1">
      <c r="A254" s="6" t="s">
        <v>957</v>
      </c>
      <c r="B254" s="6" t="s">
        <v>158</v>
      </c>
      <c r="C254" s="6" t="s">
        <v>12</v>
      </c>
      <c r="D254" s="7" t="s">
        <v>315</v>
      </c>
      <c r="E254" s="8" t="s">
        <v>958</v>
      </c>
      <c r="F254" s="6" t="s">
        <v>959</v>
      </c>
      <c r="G254" s="9">
        <f>IF(A254=1,"_",IF(C254="_","???",C254))</f>
        <v/>
      </c>
      <c r="H254" s="10" t="s">
        <v>12</v>
      </c>
      <c r="I254" s="11" t="s">
        <v>12</v>
      </c>
      <c r="J254" s="12"/>
    </row>
    <row r="255" spans="1:10" ht="60" customHeight="1">
      <c r="A255" s="6" t="s">
        <v>960</v>
      </c>
      <c r="B255" s="6" t="s">
        <v>19</v>
      </c>
      <c r="C255" s="6" t="s">
        <v>12</v>
      </c>
      <c r="D255" s="7" t="s">
        <v>961</v>
      </c>
      <c r="E255" s="8" t="s">
        <v>962</v>
      </c>
      <c r="F255" s="6" t="s">
        <v>963</v>
      </c>
      <c r="G255" s="9">
        <f>IF(A255=1,"_",IF(C255="_","???",C255))</f>
        <v/>
      </c>
      <c r="H255" s="10" t="s">
        <v>12</v>
      </c>
      <c r="I255" s="11" t="s">
        <v>12</v>
      </c>
      <c r="J255" s="12"/>
    </row>
    <row r="256" spans="1:10" ht="60" customHeight="1">
      <c r="A256" s="6" t="s">
        <v>964</v>
      </c>
      <c r="B256" s="6" t="s">
        <v>51</v>
      </c>
      <c r="C256" s="6" t="s">
        <v>12</v>
      </c>
      <c r="D256" s="7" t="s">
        <v>107</v>
      </c>
      <c r="E256" s="8" t="s">
        <v>965</v>
      </c>
      <c r="F256" s="6" t="s">
        <v>966</v>
      </c>
      <c r="G256" s="9">
        <f>IF(A256=1,"_",IF(C256="_","???",C256))</f>
        <v/>
      </c>
      <c r="H256" s="10" t="s">
        <v>12</v>
      </c>
      <c r="I256" s="11" t="s">
        <v>12</v>
      </c>
      <c r="J256" s="12"/>
    </row>
    <row r="257" spans="1:10" ht="60" customHeight="1">
      <c r="A257" s="6" t="s">
        <v>967</v>
      </c>
      <c r="B257" s="6" t="s">
        <v>11</v>
      </c>
      <c r="C257" s="6" t="s">
        <v>12</v>
      </c>
      <c r="D257" s="7" t="s">
        <v>847</v>
      </c>
      <c r="E257" s="8" t="s">
        <v>968</v>
      </c>
      <c r="F257" s="6" t="s">
        <v>969</v>
      </c>
      <c r="G257" s="9">
        <f>IF(A257=1,"_",IF(C257="_","???",C257))</f>
        <v/>
      </c>
      <c r="H257" s="10" t="s">
        <v>12</v>
      </c>
      <c r="I257" s="11" t="s">
        <v>12</v>
      </c>
      <c r="J25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022"/>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970</v>
      </c>
      <c r="B1" s="13" t="s">
        <v>971</v>
      </c>
      <c r="C1" s="13" t="s">
        <v>972</v>
      </c>
      <c r="D1" s="13" t="s">
        <v>973</v>
      </c>
      <c r="E1" s="14" t="s">
        <v>974</v>
      </c>
      <c r="F1" s="15" t="s">
        <v>975</v>
      </c>
      <c r="G1" s="16" t="s">
        <v>976</v>
      </c>
      <c r="H1" s="17" t="s">
        <v>977</v>
      </c>
      <c r="I1" s="18" t="s">
        <v>978</v>
      </c>
      <c r="J1" s="18" t="s">
        <v>979</v>
      </c>
      <c r="K1" s="18" t="s">
        <v>980</v>
      </c>
      <c r="L1" s="19" t="s">
        <v>9</v>
      </c>
    </row>
    <row r="2" spans="1:12">
      <c r="A2" s="20" t="s">
        <v>981</v>
      </c>
    </row>
    <row r="3" spans="1:12">
      <c r="A3" s="20" t="s">
        <v>982</v>
      </c>
      <c r="B3" s="21" t="s">
        <v>983</v>
      </c>
      <c r="C3" s="21" t="s">
        <v>984</v>
      </c>
      <c r="D3" s="21" t="s">
        <v>985</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986</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987</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988</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989</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990</v>
      </c>
      <c r="B8" s="21" t="s">
        <v>991</v>
      </c>
      <c r="C8" s="21" t="s">
        <v>992</v>
      </c>
      <c r="D8" s="21" t="s">
        <v>985</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993</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994</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995</v>
      </c>
      <c r="B11" s="21" t="s">
        <v>991</v>
      </c>
      <c r="C11" s="21" t="s">
        <v>996</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997</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998</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999</v>
      </c>
      <c r="B14" s="21" t="s">
        <v>1000</v>
      </c>
      <c r="C14" s="21" t="s">
        <v>1001</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1002</v>
      </c>
      <c r="B15" s="21" t="s">
        <v>1003</v>
      </c>
      <c r="C15" s="21" t="s">
        <v>984</v>
      </c>
      <c r="D15" s="21" t="s">
        <v>985</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1004</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1005</v>
      </c>
      <c r="B17" s="21" t="s">
        <v>1003</v>
      </c>
      <c r="C17" s="21" t="s">
        <v>1006</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1007</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1008</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997</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1009</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1010</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1011</v>
      </c>
      <c r="B23" s="21" t="s">
        <v>1012</v>
      </c>
      <c r="C23" s="21" t="s">
        <v>984</v>
      </c>
      <c r="D23" s="21" t="s">
        <v>985</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1013</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1014</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1015</v>
      </c>
      <c r="B26" s="21" t="s">
        <v>1016</v>
      </c>
      <c r="C26" s="21" t="s">
        <v>996</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1017</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1018</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1009</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1019</v>
      </c>
      <c r="B30" s="21" t="s">
        <v>1020</v>
      </c>
      <c r="C30" s="21" t="s">
        <v>1021</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1022</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1023</v>
      </c>
      <c r="B32" s="21" t="s">
        <v>1020</v>
      </c>
      <c r="C32" s="21" t="s">
        <v>1021</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1024</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1025</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1026</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1009</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1027</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1028</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1029</v>
      </c>
      <c r="B39" s="21" t="s">
        <v>1012</v>
      </c>
      <c r="C39" s="21" t="s">
        <v>992</v>
      </c>
      <c r="D39" s="21" t="s">
        <v>985</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1030</v>
      </c>
      <c r="B40" s="21" t="s">
        <v>1012</v>
      </c>
      <c r="C40" s="21" t="s">
        <v>992</v>
      </c>
      <c r="D40" s="21" t="s">
        <v>985</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1031</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986</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1032</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row>
    <row r="45" spans="1:12">
      <c r="A45" s="20" t="s">
        <v>1033</v>
      </c>
    </row>
    <row r="46" spans="1:12">
      <c r="A46" s="20" t="s">
        <v>1034</v>
      </c>
      <c r="B46" s="21" t="s">
        <v>983</v>
      </c>
      <c r="C46" s="21" t="s">
        <v>1035</v>
      </c>
      <c r="D46" s="21" t="s">
        <v>985</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1036</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1025</v>
      </c>
      <c r="B48" s="21" t="s">
        <v>1037</v>
      </c>
      <c r="C48" s="21" t="s">
        <v>1001</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1038</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1039</v>
      </c>
      <c r="B50" s="21" t="s">
        <v>991</v>
      </c>
      <c r="C50" s="21" t="s">
        <v>1040</v>
      </c>
      <c r="D50" s="21" t="s">
        <v>985</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1041</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989</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1042</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1043</v>
      </c>
      <c r="B54" s="21" t="s">
        <v>991</v>
      </c>
      <c r="C54" s="21" t="s">
        <v>1006</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1044</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1009</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1045</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1011</v>
      </c>
      <c r="B58" s="21" t="s">
        <v>1000</v>
      </c>
      <c r="C58" s="21" t="s">
        <v>984</v>
      </c>
      <c r="D58" s="21" t="s">
        <v>985</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1046</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1002</v>
      </c>
      <c r="B60" s="21" t="s">
        <v>1003</v>
      </c>
      <c r="C60" s="21" t="s">
        <v>984</v>
      </c>
      <c r="D60" s="21" t="s">
        <v>985</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1009</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1047</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1048</v>
      </c>
      <c r="B63" s="21" t="s">
        <v>1016</v>
      </c>
      <c r="C63" s="21" t="s">
        <v>1040</v>
      </c>
      <c r="D63" s="21" t="s">
        <v>985</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1042</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1049</v>
      </c>
      <c r="B65" s="21" t="s">
        <v>1050</v>
      </c>
      <c r="C65" s="21" t="s">
        <v>1006</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1025</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1051</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1052</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1053</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1009</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1025</v>
      </c>
      <c r="B71" s="21" t="s">
        <v>1054</v>
      </c>
      <c r="C71" s="21" t="s">
        <v>1001</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1038</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1022</v>
      </c>
      <c r="B73" s="21" t="s">
        <v>1037</v>
      </c>
      <c r="C73" s="21" t="s">
        <v>1001</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1055</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1056</v>
      </c>
      <c r="B75" s="21" t="s">
        <v>1000</v>
      </c>
      <c r="C75" s="21" t="s">
        <v>1035</v>
      </c>
      <c r="D75" s="21" t="s">
        <v>985</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1057</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1058</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1042</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1059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1060</v>
      </c>
      <c r="B80" s="21" t="s">
        <v>1037</v>
      </c>
      <c r="C80" s="21" t="s">
        <v>1006</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1009</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1061</v>
      </c>
      <c r="B82" s="21" t="s">
        <v>1062</v>
      </c>
      <c r="C82" s="21" t="s">
        <v>1063</v>
      </c>
      <c r="D82" s="21" t="s">
        <v>985</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1064</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1065</v>
      </c>
      <c r="B84" s="21" t="s">
        <v>1020</v>
      </c>
      <c r="C84" s="21" t="s">
        <v>1066</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1067</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1032</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row>
    <row r="88" spans="1:12">
      <c r="A88" s="20" t="s">
        <v>1068</v>
      </c>
    </row>
    <row r="89" spans="1:12">
      <c r="A89" s="20" t="s">
        <v>1069</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1038</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1070</v>
      </c>
      <c r="B91" s="21" t="s">
        <v>991</v>
      </c>
      <c r="C91" s="21" t="s">
        <v>1040</v>
      </c>
      <c r="D91" s="21" t="s">
        <v>985</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986</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1056</v>
      </c>
      <c r="B93" s="21" t="s">
        <v>983</v>
      </c>
      <c r="C93" s="21" t="s">
        <v>1035</v>
      </c>
      <c r="D93" s="21" t="s">
        <v>985</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1071</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1072</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1073</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1074</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1075</v>
      </c>
      <c r="B98" s="21" t="s">
        <v>991</v>
      </c>
      <c r="C98" s="21" t="s">
        <v>1006</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1052</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1076</v>
      </c>
      <c r="B100" s="21" t="s">
        <v>1037</v>
      </c>
      <c r="C100" s="21" t="s">
        <v>1021</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1032</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row>
    <row r="103" spans="1:12">
      <c r="A103" s="20" t="s">
        <v>1077</v>
      </c>
    </row>
    <row r="104" spans="1:12">
      <c r="A104" s="20" t="s">
        <v>1078</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1079</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1018</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1080</v>
      </c>
      <c r="B107" s="21" t="s">
        <v>983</v>
      </c>
      <c r="C107" s="21" t="s">
        <v>984</v>
      </c>
      <c r="D107" s="21" t="s">
        <v>985</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1081</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1009</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1082</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1083</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1084</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1085</v>
      </c>
      <c r="B113" s="21" t="s">
        <v>991</v>
      </c>
      <c r="C113" s="21" t="s">
        <v>1086</v>
      </c>
      <c r="D113" s="21" t="s">
        <v>985</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1087</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1088</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1089</v>
      </c>
      <c r="B116" s="21" t="s">
        <v>1054</v>
      </c>
      <c r="C116" s="21" t="s">
        <v>1035</v>
      </c>
      <c r="D116" s="21" t="s">
        <v>985</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1090</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1091</v>
      </c>
      <c r="B118" s="21" t="s">
        <v>1037</v>
      </c>
      <c r="C118" s="21" t="s">
        <v>1092</v>
      </c>
      <c r="D118" s="21" t="s">
        <v>985</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1093</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1094</v>
      </c>
      <c r="B120" s="21" t="s">
        <v>1054</v>
      </c>
      <c r="C120" s="21" t="s">
        <v>1021</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1032</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row>
    <row r="123" spans="1:12">
      <c r="A123" s="20" t="s">
        <v>1095</v>
      </c>
    </row>
    <row r="124" spans="1:12">
      <c r="A124" s="20" t="s">
        <v>1096</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1097</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1098</v>
      </c>
      <c r="B126" s="21" t="s">
        <v>983</v>
      </c>
      <c r="C126" s="21" t="s">
        <v>1040</v>
      </c>
      <c r="D126" s="21" t="s">
        <v>985</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1055</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1099</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1100</v>
      </c>
      <c r="B129" s="21" t="s">
        <v>991</v>
      </c>
      <c r="C129" s="21" t="s">
        <v>1063</v>
      </c>
      <c r="D129" s="21" t="s">
        <v>985</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1009</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1101</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1102</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1028</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1103</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1104</v>
      </c>
      <c r="B135" s="21" t="s">
        <v>1000</v>
      </c>
      <c r="C135" s="21" t="s">
        <v>1040</v>
      </c>
      <c r="D135" s="21" t="s">
        <v>985</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1105</v>
      </c>
      <c r="B136" s="21" t="s">
        <v>1000</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1106</v>
      </c>
      <c r="B137" s="21" t="s">
        <v>1003</v>
      </c>
      <c r="C137" s="21" t="s">
        <v>1021</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197</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1009</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1082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993</v>
      </c>
      <c r="B141" s="21" t="s">
        <v>1012</v>
      </c>
      <c r="C141" s="21" t="s">
        <v>992</v>
      </c>
      <c r="D141" s="21" t="s">
        <v>985</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1018</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1107</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1108</v>
      </c>
      <c r="B144" s="21" t="s">
        <v>1016</v>
      </c>
      <c r="C144" s="21" t="s">
        <v>1063</v>
      </c>
      <c r="D144" s="21" t="s">
        <v>985</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1109</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1074</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1110</v>
      </c>
      <c r="B147" s="21" t="s">
        <v>1054</v>
      </c>
      <c r="C147" s="21" t="s">
        <v>1006</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1111</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1009</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1052</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1080</v>
      </c>
      <c r="B151" s="21" t="s">
        <v>1000</v>
      </c>
      <c r="C151" s="21" t="s">
        <v>984</v>
      </c>
      <c r="D151" s="21" t="s">
        <v>985</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1112</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1113</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1114</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1009</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1115</v>
      </c>
      <c r="B156" s="21" t="s">
        <v>1003</v>
      </c>
      <c r="C156" s="21" t="s">
        <v>1063</v>
      </c>
      <c r="D156" s="21" t="s">
        <v>985</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1011</v>
      </c>
      <c r="B157" s="21" t="s">
        <v>1000</v>
      </c>
      <c r="C157" s="21" t="s">
        <v>984</v>
      </c>
      <c r="D157" s="21" t="s">
        <v>985</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1116</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1032</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row>
    <row r="161" spans="1:12">
      <c r="A161" s="20" t="s">
        <v>1117</v>
      </c>
    </row>
    <row r="162" spans="1:12">
      <c r="A162" s="20" t="s">
        <v>1118</v>
      </c>
      <c r="B162" s="21" t="s">
        <v>983</v>
      </c>
      <c r="C162" s="21" t="s">
        <v>984</v>
      </c>
      <c r="D162" s="21" t="s">
        <v>985</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1119</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1099</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1120</v>
      </c>
      <c r="B165" s="21" t="s">
        <v>991</v>
      </c>
      <c r="C165" s="21" t="s">
        <v>1021</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1121</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1122</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1009</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1123</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1028</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1124</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1125</v>
      </c>
      <c r="B172" s="21" t="s">
        <v>1000</v>
      </c>
      <c r="C172" s="21" t="s">
        <v>1040</v>
      </c>
      <c r="D172" s="21" t="s">
        <v>985</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1126</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1127</v>
      </c>
      <c r="B174" s="21" t="s">
        <v>1054</v>
      </c>
      <c r="C174" s="21" t="s">
        <v>1128</v>
      </c>
      <c r="D174" s="21" t="s">
        <v>985</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1129</v>
      </c>
      <c r="B175" s="21" t="s">
        <v>1037</v>
      </c>
      <c r="C175" s="21" t="s">
        <v>1021</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1052</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1028</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1130</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1009</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1131</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1132</v>
      </c>
      <c r="B181" s="21" t="s">
        <v>1000</v>
      </c>
      <c r="C181" s="21" t="s">
        <v>1040</v>
      </c>
      <c r="D181" s="21" t="s">
        <v>985</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1133</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1134</v>
      </c>
      <c r="B183" s="21" t="s">
        <v>1003</v>
      </c>
      <c r="C183" s="21" t="s">
        <v>1021</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1028</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1135</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1136</v>
      </c>
      <c r="B186" s="21" t="s">
        <v>1000</v>
      </c>
      <c r="C186" s="21" t="s">
        <v>1040</v>
      </c>
      <c r="D186" s="21" t="s">
        <v>985</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1137</v>
      </c>
      <c r="B187" s="21" t="s">
        <v>1003</v>
      </c>
      <c r="C187" s="21" t="s">
        <v>984</v>
      </c>
      <c r="D187" s="21" t="s">
        <v>985</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1138</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1009</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1010</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1139</v>
      </c>
      <c r="B191" s="21" t="s">
        <v>1012</v>
      </c>
      <c r="C191" s="21" t="s">
        <v>1063</v>
      </c>
      <c r="D191" s="21" t="s">
        <v>985</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1100</v>
      </c>
      <c r="B192" s="21" t="s">
        <v>1016</v>
      </c>
      <c r="C192" s="21" t="s">
        <v>1063</v>
      </c>
      <c r="D192" s="21" t="s">
        <v>985</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1140</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1126</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1038</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1141</v>
      </c>
      <c r="B196" s="21" t="s">
        <v>1037</v>
      </c>
      <c r="C196" s="21" t="s">
        <v>1040</v>
      </c>
      <c r="D196" s="21" t="s">
        <v>985</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1032</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row>
    <row r="199" spans="1:12">
      <c r="A199" s="20" t="s">
        <v>1142</v>
      </c>
    </row>
    <row r="200" spans="1:12">
      <c r="A200" s="20" t="s">
        <v>1143</v>
      </c>
      <c r="B200" s="21" t="s">
        <v>991</v>
      </c>
      <c r="C200" s="21" t="s">
        <v>1001</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34</v>
      </c>
      <c r="B201" s="21" t="s">
        <v>991</v>
      </c>
      <c r="C201" s="21" t="s">
        <v>1021</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1028</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1144</v>
      </c>
      <c r="B203" s="21" t="s">
        <v>1037</v>
      </c>
      <c r="C203" s="21" t="s">
        <v>1040</v>
      </c>
      <c r="D203" s="21" t="s">
        <v>985</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1052</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1145</v>
      </c>
      <c r="B205" s="21" t="s">
        <v>1037</v>
      </c>
      <c r="C205" s="21" t="s">
        <v>1001</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1146</v>
      </c>
      <c r="B206" s="21" t="s">
        <v>991</v>
      </c>
      <c r="C206" s="21" t="s">
        <v>1021</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1028</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1147</v>
      </c>
      <c r="B208" s="21" t="s">
        <v>1037</v>
      </c>
      <c r="C208" s="21" t="s">
        <v>1040</v>
      </c>
      <c r="D208" s="21" t="s">
        <v>985</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1148</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1149</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1150</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1151</v>
      </c>
      <c r="B212" s="21" t="s">
        <v>991</v>
      </c>
      <c r="C212" s="21" t="s">
        <v>1006</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1152</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1032</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row>
    <row r="216" spans="1:12">
      <c r="A216" s="20" t="s">
        <v>1153</v>
      </c>
    </row>
    <row r="217" spans="1:12">
      <c r="A217" s="20" t="s">
        <v>1154</v>
      </c>
      <c r="B217" s="21" t="s">
        <v>1037</v>
      </c>
      <c r="C217" s="21" t="s">
        <v>1128</v>
      </c>
      <c r="D217" s="21" t="s">
        <v>985</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1155</v>
      </c>
      <c r="B218" s="21" t="s">
        <v>983</v>
      </c>
      <c r="C218" s="21" t="s">
        <v>1021</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1156</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1093</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1047</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1157</v>
      </c>
      <c r="B222" s="21" t="s">
        <v>991</v>
      </c>
      <c r="C222" s="21" t="s">
        <v>1040</v>
      </c>
      <c r="D222" s="21" t="s">
        <v>985</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1158</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1159</v>
      </c>
      <c r="B224" s="21" t="s">
        <v>1037</v>
      </c>
      <c r="C224" s="21" t="s">
        <v>1040</v>
      </c>
      <c r="D224" s="21" t="s">
        <v>985</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1028</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1160</v>
      </c>
      <c r="B226" s="21" t="s">
        <v>1054</v>
      </c>
      <c r="C226" s="21" t="s">
        <v>1040</v>
      </c>
      <c r="D226" s="21" t="s">
        <v>985</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1009</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1084</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1010</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1139</v>
      </c>
      <c r="B230" s="21" t="s">
        <v>983</v>
      </c>
      <c r="C230" s="21" t="s">
        <v>1063</v>
      </c>
      <c r="D230" s="21" t="s">
        <v>985</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1161</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1162</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1009</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1109</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1163</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1164</v>
      </c>
      <c r="B236" s="21" t="s">
        <v>1037</v>
      </c>
      <c r="C236" s="21" t="s">
        <v>1021</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1165</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1009</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1088</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1166</v>
      </c>
      <c r="B240" s="21" t="s">
        <v>1054</v>
      </c>
      <c r="C240" s="21" t="s">
        <v>1128</v>
      </c>
      <c r="D240" s="21" t="s">
        <v>985</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1167</v>
      </c>
      <c r="B241" s="21" t="s">
        <v>1000</v>
      </c>
      <c r="C241" s="21" t="s">
        <v>1021</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1099</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1168</v>
      </c>
      <c r="B243" s="21" t="s">
        <v>1037</v>
      </c>
      <c r="C243" s="21" t="s">
        <v>1021</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1169</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1162</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1032</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row>
    <row r="248" spans="1:12">
      <c r="A248" s="20" t="s">
        <v>1170</v>
      </c>
    </row>
    <row r="249" spans="1:12">
      <c r="A249" s="20" t="s">
        <v>1171</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1172</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1173</v>
      </c>
      <c r="B251" s="21" t="s">
        <v>991</v>
      </c>
      <c r="C251" s="21" t="s">
        <v>1021</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986</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1002</v>
      </c>
      <c r="B253" s="21" t="s">
        <v>983</v>
      </c>
      <c r="C253" s="21" t="s">
        <v>984</v>
      </c>
      <c r="D253" s="21" t="s">
        <v>985</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1073</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1174</v>
      </c>
      <c r="B255" s="21" t="s">
        <v>991</v>
      </c>
      <c r="C255" s="21" t="s">
        <v>984</v>
      </c>
      <c r="D255" s="21" t="s">
        <v>985</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1013</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1175</v>
      </c>
      <c r="B257" s="21" t="s">
        <v>1176</v>
      </c>
      <c r="C257" s="21" t="s">
        <v>996</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1009</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1123</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1177</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1121</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1178</v>
      </c>
      <c r="B262" s="21" t="s">
        <v>1037</v>
      </c>
      <c r="C262" s="21" t="s">
        <v>992</v>
      </c>
      <c r="D262" s="21" t="s">
        <v>985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1179</v>
      </c>
      <c r="B263" s="21" t="s">
        <v>991</v>
      </c>
      <c r="C263" s="21" t="s">
        <v>992</v>
      </c>
      <c r="D263" s="21" t="s">
        <v>985</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44</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1052</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1180</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1009</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1010</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1139</v>
      </c>
      <c r="B269" s="21" t="s">
        <v>1012</v>
      </c>
      <c r="C269" s="21" t="s">
        <v>1063</v>
      </c>
      <c r="D269" s="21" t="s">
        <v>985</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1181</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1182</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1121</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1183</v>
      </c>
      <c r="B273" s="21" t="s">
        <v>1054</v>
      </c>
      <c r="C273" s="21" t="s">
        <v>992</v>
      </c>
      <c r="D273" s="21" t="s">
        <v>985</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1184</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1052</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1038</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1185</v>
      </c>
      <c r="B277" s="21" t="s">
        <v>1050</v>
      </c>
      <c r="C277" s="21" t="s">
        <v>1040</v>
      </c>
      <c r="D277" s="21" t="s">
        <v>985</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1158</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1186</v>
      </c>
      <c r="B279" s="21" t="s">
        <v>1062</v>
      </c>
      <c r="C279" s="21" t="s">
        <v>1040</v>
      </c>
      <c r="D279" s="21" t="s">
        <v>985</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1162</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1032</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row>
    <row r="283" spans="1:12">
      <c r="A283" s="20" t="s">
        <v>1187</v>
      </c>
    </row>
    <row r="284" spans="1:12">
      <c r="A284" s="20" t="s">
        <v>1188</v>
      </c>
      <c r="B284" s="21" t="s">
        <v>1000</v>
      </c>
      <c r="C284" s="21" t="s">
        <v>1063</v>
      </c>
      <c r="D284" s="21" t="s">
        <v>985</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1189</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1100</v>
      </c>
      <c r="B286" s="21" t="s">
        <v>1003</v>
      </c>
      <c r="C286" s="21" t="s">
        <v>1063</v>
      </c>
      <c r="D286" s="21" t="s">
        <v>985</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1190</v>
      </c>
      <c r="B287" s="21" t="s">
        <v>1037</v>
      </c>
      <c r="C287" s="21" t="s">
        <v>1191</v>
      </c>
      <c r="D287" s="21" t="s">
        <v>985</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1047</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612</v>
      </c>
      <c r="B289" s="21" t="s">
        <v>991</v>
      </c>
      <c r="C289" s="21" t="s">
        <v>1040</v>
      </c>
      <c r="D289" s="21" t="s">
        <v>985</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48</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1009</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1192</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1193</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1194</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1038</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1195</v>
      </c>
      <c r="B296" s="21" t="s">
        <v>1037</v>
      </c>
      <c r="C296" s="21" t="s">
        <v>1040</v>
      </c>
      <c r="D296" s="21" t="s">
        <v>985</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1025</v>
      </c>
      <c r="B297" s="21" t="s">
        <v>1054</v>
      </c>
      <c r="C297" s="21" t="s">
        <v>1001</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1028</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1196</v>
      </c>
      <c r="B299" s="21" t="s">
        <v>1037</v>
      </c>
      <c r="C299" s="21" t="s">
        <v>1040</v>
      </c>
      <c r="D299" s="21" t="s">
        <v>985</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1032</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row>
    <row r="302" spans="1:12">
      <c r="A302" s="20" t="s">
        <v>1197</v>
      </c>
    </row>
    <row r="303" spans="1:12">
      <c r="A303" s="20" t="s">
        <v>1198</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1199</v>
      </c>
      <c r="B304" s="21" t="s">
        <v>983</v>
      </c>
      <c r="C304" s="21" t="s">
        <v>1040</v>
      </c>
      <c r="D304" s="21" t="s">
        <v>985</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1200</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1052</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1201</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1202</v>
      </c>
      <c r="B308" s="21" t="s">
        <v>1037</v>
      </c>
      <c r="C308" s="21" t="s">
        <v>992</v>
      </c>
      <c r="D308" s="21" t="s">
        <v>985</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1203</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1204</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1009</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1027</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1139</v>
      </c>
      <c r="B313" s="21" t="s">
        <v>1000</v>
      </c>
      <c r="C313" s="21" t="s">
        <v>1063</v>
      </c>
      <c r="D313" s="21" t="s">
        <v>985</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1100</v>
      </c>
      <c r="B314" s="21" t="s">
        <v>1003</v>
      </c>
      <c r="C314" s="21" t="s">
        <v>1063</v>
      </c>
      <c r="D314" s="21" t="s">
        <v>985</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1025</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1205</v>
      </c>
      <c r="B316" s="21" t="s">
        <v>1037</v>
      </c>
      <c r="C316" s="21" t="s">
        <v>1021</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1206</v>
      </c>
      <c r="B317" s="21" t="s">
        <v>1003</v>
      </c>
      <c r="C317" s="21" t="s">
        <v>1021</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1126</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1207</v>
      </c>
      <c r="B319" s="21" t="s">
        <v>1054</v>
      </c>
      <c r="C319" s="21" t="s">
        <v>992</v>
      </c>
      <c r="D319" s="21" t="s">
        <v>985</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1208</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1209</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1032</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row>
    <row r="324" spans="1:12">
      <c r="A324" s="20" t="s">
        <v>1210</v>
      </c>
    </row>
    <row r="325" spans="1:12">
      <c r="A325" s="20" t="s">
        <v>1211</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1212</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1213</v>
      </c>
      <c r="B327" s="21" t="s">
        <v>983</v>
      </c>
      <c r="C327" s="21" t="s">
        <v>984</v>
      </c>
      <c r="D327" s="21" t="s">
        <v>985</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1214</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1009</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1215</v>
      </c>
      <c r="B330" s="21" t="s">
        <v>991</v>
      </c>
      <c r="C330" s="21" t="s">
        <v>992</v>
      </c>
      <c r="D330" s="21" t="s">
        <v>985</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1216</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91</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row>
    <row r="334" spans="1:12">
      <c r="A334" s="20" t="s">
        <v>1217</v>
      </c>
    </row>
    <row r="335" spans="1:12">
      <c r="A335" s="20" t="s">
        <v>1198</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1218</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1219</v>
      </c>
      <c r="B337" s="21" t="s">
        <v>983</v>
      </c>
      <c r="C337" s="21" t="s">
        <v>1040</v>
      </c>
      <c r="D337" s="21" t="s">
        <v>985</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1220</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1032</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row>
    <row r="341" spans="1:12">
      <c r="A341" s="20" t="s">
        <v>1221</v>
      </c>
    </row>
    <row r="342" spans="1:12">
      <c r="A342" s="20" t="s">
        <v>1211</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1222</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1080</v>
      </c>
      <c r="B344" s="21" t="s">
        <v>1223</v>
      </c>
      <c r="C344" s="21" t="s">
        <v>984</v>
      </c>
      <c r="D344" s="21" t="s">
        <v>985</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1224</v>
      </c>
      <c r="B345" s="21" t="s">
        <v>1062</v>
      </c>
      <c r="C345" s="21" t="s">
        <v>1128</v>
      </c>
      <c r="D345" s="21" t="s">
        <v>985</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1225</v>
      </c>
      <c r="B346" s="21" t="s">
        <v>1020</v>
      </c>
      <c r="C346" s="21" t="s">
        <v>1021</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1226</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1009</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1227</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1080</v>
      </c>
      <c r="B350" s="21" t="s">
        <v>1012</v>
      </c>
      <c r="C350" s="21" t="s">
        <v>984</v>
      </c>
      <c r="D350" s="21" t="s">
        <v>985</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1013</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1228</v>
      </c>
      <c r="B352" s="21" t="s">
        <v>1003</v>
      </c>
      <c r="C352" s="21" t="s">
        <v>996</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1009</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1052</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1229</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1230</v>
      </c>
      <c r="B356" s="21" t="s">
        <v>1037</v>
      </c>
      <c r="C356" s="21" t="s">
        <v>1063</v>
      </c>
      <c r="D356" s="21" t="s">
        <v>985</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1228</v>
      </c>
      <c r="B357" s="21" t="s">
        <v>1000</v>
      </c>
      <c r="C357" s="21" t="s">
        <v>1021</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1227</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1009</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1231</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1232</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1233</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1234</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1235</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1032</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91</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row>
    <row r="368" spans="1:12">
      <c r="A368" s="20" t="s">
        <v>1236</v>
      </c>
    </row>
    <row r="369" spans="1:12">
      <c r="A369" s="20" t="s">
        <v>1211</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1237</v>
      </c>
      <c r="B370" s="21" t="s">
        <v>991</v>
      </c>
      <c r="C370" s="21" t="s">
        <v>1021</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1238</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row>
    <row r="373" spans="1:12">
      <c r="A373" s="20" t="s">
        <v>1239</v>
      </c>
    </row>
    <row r="374" spans="1:12">
      <c r="A374" s="20" t="s">
        <v>1240</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1241</v>
      </c>
      <c r="B375" s="21" t="s">
        <v>983</v>
      </c>
      <c r="C375" s="21" t="s">
        <v>1006</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1052</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1080</v>
      </c>
      <c r="B377" s="21" t="s">
        <v>1037</v>
      </c>
      <c r="C377" s="21" t="s">
        <v>984</v>
      </c>
      <c r="D377" s="21" t="s">
        <v>985</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1242</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1243</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1126</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1244</v>
      </c>
      <c r="B381" s="21" t="s">
        <v>991</v>
      </c>
      <c r="C381" s="21" t="s">
        <v>1021</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1245</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1032</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91</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row>
    <row r="386" spans="1:12">
      <c r="A386" s="20" t="s">
        <v>1246</v>
      </c>
    </row>
    <row r="387" spans="1:12">
      <c r="A387" s="20" t="s">
        <v>1211</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1213</v>
      </c>
      <c r="B388" s="21" t="s">
        <v>983</v>
      </c>
      <c r="C388" s="21" t="s">
        <v>984</v>
      </c>
      <c r="D388" s="21" t="s">
        <v>985</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1242</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1058</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1089</v>
      </c>
      <c r="B391" s="21" t="s">
        <v>1037</v>
      </c>
      <c r="C391" s="21" t="s">
        <v>1035</v>
      </c>
      <c r="D391" s="21" t="s">
        <v>985</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1247</v>
      </c>
      <c r="B392" s="21" t="s">
        <v>991</v>
      </c>
      <c r="C392" s="21" t="s">
        <v>1092</v>
      </c>
      <c r="D392" s="21" t="s">
        <v>985</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1248</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1249</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1250</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1009</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1251</v>
      </c>
      <c r="B397" s="21" t="s">
        <v>991</v>
      </c>
      <c r="C397" s="21" t="s">
        <v>992</v>
      </c>
      <c r="D397" s="21" t="s">
        <v>985</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993</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1032</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row>
    <row r="401" spans="1:12">
      <c r="A401" s="20" t="s">
        <v>1252</v>
      </c>
    </row>
    <row r="402" spans="1:12">
      <c r="A402" s="20" t="s">
        <v>1253</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285</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1254</v>
      </c>
      <c r="B404" s="21" t="s">
        <v>991</v>
      </c>
      <c r="C404" s="21" t="s">
        <v>996</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1255</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1045</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1256</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1216</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91</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row>
    <row r="411" spans="1:12">
      <c r="A411" s="20" t="s">
        <v>1257</v>
      </c>
    </row>
    <row r="412" spans="1:12">
      <c r="A412" s="20" t="s">
        <v>1211</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1258</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83</v>
      </c>
      <c r="B414" s="21" t="s">
        <v>991</v>
      </c>
      <c r="C414" s="21" t="s">
        <v>996</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1032</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91</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row>
    <row r="418" spans="1:12">
      <c r="A418" s="20" t="s">
        <v>1259</v>
      </c>
    </row>
    <row r="419" spans="1:12">
      <c r="A419" s="20" t="s">
        <v>1211</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1260</v>
      </c>
      <c r="B420" s="21" t="s">
        <v>1037</v>
      </c>
      <c r="C420" s="21" t="s">
        <v>1128</v>
      </c>
      <c r="D420" s="21" t="s">
        <v>985</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1261</v>
      </c>
      <c r="B421" s="21" t="s">
        <v>983</v>
      </c>
      <c r="C421" s="21" t="s">
        <v>1021</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1009</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1262</v>
      </c>
      <c r="B423" s="21" t="s">
        <v>983</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1263</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1264</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1061</v>
      </c>
      <c r="B426" s="21" t="s">
        <v>1037</v>
      </c>
      <c r="C426" s="21" t="s">
        <v>1063</v>
      </c>
      <c r="D426" s="21" t="s">
        <v>985</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1265</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1266</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1185</v>
      </c>
      <c r="B429" s="21" t="s">
        <v>983</v>
      </c>
      <c r="C429" s="21" t="s">
        <v>1066</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1025</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225</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91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1267</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1215</v>
      </c>
      <c r="B434" s="21" t="s">
        <v>1000</v>
      </c>
      <c r="C434" s="21" t="s">
        <v>992</v>
      </c>
      <c r="D434" s="21" t="s">
        <v>985</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1268</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1009</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1088</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1011</v>
      </c>
      <c r="B438" s="21" t="s">
        <v>1012</v>
      </c>
      <c r="C438" s="21" t="s">
        <v>984</v>
      </c>
      <c r="D438" s="21" t="s">
        <v>985</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1109</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1047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1269</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1270</v>
      </c>
      <c r="B442" s="21" t="s">
        <v>1054</v>
      </c>
      <c r="C442" s="21" t="s">
        <v>1040</v>
      </c>
      <c r="D442" s="21" t="s">
        <v>985</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1158</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1271</v>
      </c>
      <c r="B444" s="21" t="s">
        <v>1050</v>
      </c>
      <c r="C444" s="21" t="s">
        <v>1040</v>
      </c>
      <c r="D444" s="21" t="s">
        <v>985</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1272</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1097</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1273</v>
      </c>
      <c r="B447" s="21" t="s">
        <v>1016</v>
      </c>
      <c r="C447" s="21" t="s">
        <v>1006</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1274</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1009</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1047</v>
      </c>
      <c r="B450" s="21" t="s">
        <v>1000</v>
      </c>
      <c r="C450" s="21" t="s">
        <v>1063</v>
      </c>
      <c r="D450" s="21" t="s">
        <v>985</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1109</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1038</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1275</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1276</v>
      </c>
      <c r="B454" s="21" t="s">
        <v>1037</v>
      </c>
      <c r="C454" s="21" t="s">
        <v>992</v>
      </c>
      <c r="D454" s="21" t="s">
        <v>985</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1055</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1032</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row>
    <row r="458" spans="1:12">
      <c r="A458" s="20" t="s">
        <v>1277</v>
      </c>
    </row>
    <row r="459" spans="1:12">
      <c r="A459" s="20" t="s">
        <v>1211</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1118</v>
      </c>
      <c r="B460" s="21" t="s">
        <v>1012</v>
      </c>
      <c r="C460" s="21" t="s">
        <v>984</v>
      </c>
      <c r="D460" s="21" t="s">
        <v>985</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1278</v>
      </c>
      <c r="B461" s="21" t="s">
        <v>1016</v>
      </c>
      <c r="C461" s="21" t="s">
        <v>1021</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1279</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1280</v>
      </c>
      <c r="B463" s="21" t="s">
        <v>1050</v>
      </c>
      <c r="C463" s="21" t="s">
        <v>996</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1099</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1100</v>
      </c>
      <c r="B465" s="21" t="s">
        <v>1037</v>
      </c>
      <c r="C465" s="21" t="s">
        <v>1063</v>
      </c>
      <c r="D465" s="21" t="s">
        <v>985</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1032</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91</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row>
    <row r="469" spans="1:12">
      <c r="A469" s="20" t="s">
        <v>1281</v>
      </c>
    </row>
    <row r="470" spans="1:12">
      <c r="A470" s="20" t="s">
        <v>1211</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1282</v>
      </c>
      <c r="B471" s="21" t="s">
        <v>1037</v>
      </c>
      <c r="C471" s="21" t="s">
        <v>1035</v>
      </c>
      <c r="D471" s="21" t="s">
        <v>985</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1283</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1207</v>
      </c>
      <c r="B473" s="21" t="s">
        <v>991</v>
      </c>
      <c r="C473" s="21" t="s">
        <v>992</v>
      </c>
      <c r="D473" s="21" t="s">
        <v>985</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1208</v>
      </c>
      <c r="B474" s="21" t="s">
        <v>991</v>
      </c>
      <c r="C474" s="21" t="s">
        <v>992</v>
      </c>
      <c r="D474" s="21" t="s">
        <v>985</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1052</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1262</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1284</v>
      </c>
      <c r="B477" s="21" t="s">
        <v>991</v>
      </c>
      <c r="C477" s="21" t="s">
        <v>1040</v>
      </c>
      <c r="D477" s="21" t="s">
        <v>985</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1285</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1286</v>
      </c>
      <c r="B479" s="21" t="s">
        <v>1037</v>
      </c>
      <c r="C479" s="21" t="s">
        <v>1021</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1032</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row>
    <row r="482" spans="1:12">
      <c r="A482" s="20" t="s">
        <v>1287</v>
      </c>
    </row>
    <row r="483" spans="1:12">
      <c r="A483" s="20" t="s">
        <v>1118</v>
      </c>
      <c r="B483" s="21" t="s">
        <v>983</v>
      </c>
      <c r="C483" s="21" t="s">
        <v>984</v>
      </c>
      <c r="D483" s="21" t="s">
        <v>985</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1288</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1213</v>
      </c>
      <c r="B485" s="21" t="s">
        <v>983</v>
      </c>
      <c r="C485" s="21" t="s">
        <v>984</v>
      </c>
      <c r="D485" s="21" t="s">
        <v>985</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99</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1009</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1126</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1289</v>
      </c>
      <c r="B489" s="21" t="s">
        <v>1037</v>
      </c>
      <c r="C489" s="21" t="s">
        <v>1021</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1025</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214</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1052</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1113</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1107</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1025</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1290</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1032</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91</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row>
    <row r="500" spans="1:12">
      <c r="A500" s="20" t="s">
        <v>1291</v>
      </c>
    </row>
    <row r="501" spans="1:12">
      <c r="A501" s="20" t="s">
        <v>1292</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1293</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1139</v>
      </c>
      <c r="B503" s="21" t="s">
        <v>1000</v>
      </c>
      <c r="C503" s="21" t="s">
        <v>1063</v>
      </c>
      <c r="D503" s="21" t="s">
        <v>985</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1294</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1295</v>
      </c>
      <c r="B505" s="21" t="s">
        <v>1003</v>
      </c>
      <c r="C505" s="21" t="s">
        <v>1040</v>
      </c>
      <c r="D505" s="21" t="s">
        <v>985</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159</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1009</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1123</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1296</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1139</v>
      </c>
      <c r="B510" s="21" t="s">
        <v>1000</v>
      </c>
      <c r="C510" s="21" t="s">
        <v>1063</v>
      </c>
      <c r="D510" s="21" t="s">
        <v>985</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1126</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1262</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1179</v>
      </c>
      <c r="B513" s="21" t="s">
        <v>1037</v>
      </c>
      <c r="C513" s="21" t="s">
        <v>1040</v>
      </c>
      <c r="D513" s="21" t="s">
        <v>985</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1297</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993</v>
      </c>
      <c r="B515" s="21" t="s">
        <v>983</v>
      </c>
      <c r="C515" s="21" t="s">
        <v>992</v>
      </c>
      <c r="D515" s="21" t="s">
        <v>985</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1298</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1100</v>
      </c>
      <c r="B517" s="21" t="s">
        <v>1176</v>
      </c>
      <c r="C517" s="21" t="s">
        <v>1063</v>
      </c>
      <c r="D517" s="21" t="s">
        <v>985</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1009</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1123</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1139</v>
      </c>
      <c r="B520" s="21" t="s">
        <v>1000</v>
      </c>
      <c r="C520" s="21" t="s">
        <v>1063</v>
      </c>
      <c r="D520" s="21" t="s">
        <v>985</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1113</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1107</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1299</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746</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1300</v>
      </c>
      <c r="B525" s="21" t="s">
        <v>1037</v>
      </c>
      <c r="C525" s="21" t="s">
        <v>1066</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1301</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1162</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1032</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row>
    <row r="530" spans="1:12">
      <c r="A530" s="20" t="s">
        <v>1302</v>
      </c>
    </row>
    <row r="531" spans="1:12">
      <c r="A531" s="20" t="s">
        <v>1211</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1282</v>
      </c>
      <c r="B532" s="21" t="s">
        <v>1054</v>
      </c>
      <c r="C532" s="21" t="s">
        <v>1063</v>
      </c>
      <c r="D532" s="21" t="s">
        <v>985</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1303</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1304</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91</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1009</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1305</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1011</v>
      </c>
      <c r="B538" s="21" t="s">
        <v>983</v>
      </c>
      <c r="C538" s="21" t="s">
        <v>984</v>
      </c>
      <c r="D538" s="21" t="s">
        <v>985</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1032</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row>
    <row r="541" spans="1:12">
      <c r="A541" s="20" t="s">
        <v>1306</v>
      </c>
    </row>
    <row r="542" spans="1:12">
      <c r="A542" s="20" t="s">
        <v>1211</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1307</v>
      </c>
      <c r="B543" s="21" t="s">
        <v>1037</v>
      </c>
      <c r="C543" s="21" t="s">
        <v>1035</v>
      </c>
      <c r="D543" s="21" t="s">
        <v>985</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1308</v>
      </c>
      <c r="B544" s="21" t="s">
        <v>1176</v>
      </c>
      <c r="C544" s="21" t="s">
        <v>1092</v>
      </c>
      <c r="D544" s="21" t="s">
        <v>985</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1309</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1310</v>
      </c>
      <c r="B546" s="21" t="s">
        <v>983</v>
      </c>
      <c r="C546" s="21" t="s">
        <v>1063</v>
      </c>
      <c r="D546" s="21" t="s">
        <v>985</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119</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1311</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1312</v>
      </c>
      <c r="B549" s="21" t="s">
        <v>1176</v>
      </c>
      <c r="C549" s="21" t="s">
        <v>1021</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111</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1032</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91</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row>
    <row r="554" spans="1:12">
      <c r="A554" s="20" t="s">
        <v>1313</v>
      </c>
    </row>
    <row r="555" spans="1:12">
      <c r="A555" s="20" t="s">
        <v>1211</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1188</v>
      </c>
      <c r="B556" s="21" t="s">
        <v>983</v>
      </c>
      <c r="C556" s="21" t="s">
        <v>1063</v>
      </c>
      <c r="D556" s="21" t="s">
        <v>985</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1314</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1309</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115</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1216</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91</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row>
    <row r="563" spans="1:12">
      <c r="A563" s="20" t="s">
        <v>1315</v>
      </c>
    </row>
    <row r="564" spans="1:12">
      <c r="A564" s="20" t="s">
        <v>1211</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1316</v>
      </c>
      <c r="B565" s="21" t="s">
        <v>1037</v>
      </c>
      <c r="C565" s="21" t="s">
        <v>992</v>
      </c>
      <c r="D565" s="21" t="s">
        <v>985</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1009</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1262</v>
      </c>
      <c r="B567" s="21" t="s">
        <v>983</v>
      </c>
      <c r="C567" s="21" t="s">
        <v>1035</v>
      </c>
      <c r="D567" s="21" t="s">
        <v>985</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1255</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1317</v>
      </c>
      <c r="B569" s="21" t="s">
        <v>1037</v>
      </c>
      <c r="C569" s="21" t="s">
        <v>1128</v>
      </c>
      <c r="D569" s="21" t="s">
        <v>985</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1318</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1319</v>
      </c>
      <c r="B571" s="21" t="s">
        <v>991</v>
      </c>
      <c r="C571" s="21" t="s">
        <v>1021</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1032</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row>
    <row r="574" spans="1:12">
      <c r="A574" s="20" t="s">
        <v>1320</v>
      </c>
    </row>
    <row r="575" spans="1:12">
      <c r="A575" s="20" t="s">
        <v>1321</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1213</v>
      </c>
      <c r="B576" s="21" t="s">
        <v>983</v>
      </c>
      <c r="C576" s="21" t="s">
        <v>984</v>
      </c>
      <c r="D576" s="21" t="s">
        <v>985</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1058</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1322</v>
      </c>
      <c r="B578" s="21" t="s">
        <v>1037</v>
      </c>
      <c r="C578" s="21" t="s">
        <v>1035</v>
      </c>
      <c r="D578" s="21" t="s">
        <v>985</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1323</v>
      </c>
      <c r="B579" s="21" t="s">
        <v>991</v>
      </c>
      <c r="C579" s="21" t="s">
        <v>1092</v>
      </c>
      <c r="D579" s="21" t="s">
        <v>985</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1009</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1324</v>
      </c>
      <c r="B581" s="21" t="s">
        <v>1037</v>
      </c>
      <c r="C581" s="21" t="s">
        <v>992</v>
      </c>
      <c r="D581" s="21" t="s">
        <v>985</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1325</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1326</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1327</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1058</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1038</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1179</v>
      </c>
      <c r="B587" s="21" t="s">
        <v>1037</v>
      </c>
      <c r="C587" s="21" t="s">
        <v>1040</v>
      </c>
      <c r="D587" s="21" t="s">
        <v>985</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1328</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1009</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1329</v>
      </c>
      <c r="B590" s="21" t="s">
        <v>991</v>
      </c>
      <c r="C590" s="21" t="s">
        <v>992</v>
      </c>
      <c r="D590" s="21" t="s">
        <v>985</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1216</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row>
    <row r="593" spans="1:12">
      <c r="A593" s="20" t="s">
        <v>1330</v>
      </c>
    </row>
    <row r="594" spans="1:12">
      <c r="A594" s="20" t="s">
        <v>1331</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1332</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1325</v>
      </c>
      <c r="B596" s="21" t="s">
        <v>983</v>
      </c>
      <c r="C596" s="21" t="s">
        <v>984</v>
      </c>
      <c r="D596" s="21" t="s">
        <v>985</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1100</v>
      </c>
      <c r="B597" s="21" t="s">
        <v>1176</v>
      </c>
      <c r="C597" s="21" t="s">
        <v>1063</v>
      </c>
      <c r="D597" s="21" t="s">
        <v>985</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1047</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1333</v>
      </c>
      <c r="B599" s="21" t="s">
        <v>1176</v>
      </c>
      <c r="C599" s="21" t="s">
        <v>1040</v>
      </c>
      <c r="D599" s="21" t="s">
        <v>985</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1334</v>
      </c>
      <c r="B600" s="21" t="s">
        <v>1037</v>
      </c>
      <c r="C600" s="21" t="s">
        <v>992</v>
      </c>
      <c r="D600" s="21" t="s">
        <v>985</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127</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1032</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row>
    <row r="604" spans="1:12">
      <c r="A604" s="20" t="s">
        <v>1335</v>
      </c>
    </row>
    <row r="605" spans="1:12">
      <c r="A605" s="20" t="s">
        <v>1336</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131</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1047</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1337</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1338</v>
      </c>
      <c r="B609" s="21" t="s">
        <v>983</v>
      </c>
      <c r="C609" s="21" t="s">
        <v>1040</v>
      </c>
      <c r="D609" s="21" t="s">
        <v>985</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1121</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1339</v>
      </c>
      <c r="B611" s="21" t="s">
        <v>1054</v>
      </c>
      <c r="C611" s="21" t="s">
        <v>1035</v>
      </c>
      <c r="D611" s="21" t="s">
        <v>985</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1340</v>
      </c>
      <c r="B612" s="21" t="s">
        <v>1037</v>
      </c>
      <c r="C612" s="21" t="s">
        <v>1092</v>
      </c>
      <c r="D612" s="21" t="s">
        <v>985</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1216</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91</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row>
    <row r="616" spans="1:12">
      <c r="A616" s="20" t="s">
        <v>1341</v>
      </c>
    </row>
    <row r="617" spans="1:12">
      <c r="A617" s="20" t="s">
        <v>1211</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1118</v>
      </c>
      <c r="B618" s="21" t="s">
        <v>983</v>
      </c>
      <c r="C618" s="21" t="s">
        <v>984</v>
      </c>
      <c r="D618" s="21" t="s">
        <v>985</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1342</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1009</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1262</v>
      </c>
      <c r="B621" s="21" t="s">
        <v>1000</v>
      </c>
      <c r="C621" s="21" t="s">
        <v>1035</v>
      </c>
      <c r="D621" s="21" t="s">
        <v>985</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1242</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1047</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1343</v>
      </c>
      <c r="B624" s="21" t="s">
        <v>991</v>
      </c>
      <c r="C624" s="21" t="s">
        <v>1040</v>
      </c>
      <c r="D624" s="21" t="s">
        <v>985</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1032</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91</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row>
    <row r="628" spans="1:12">
      <c r="A628" s="20" t="s">
        <v>1344</v>
      </c>
    </row>
    <row r="629" spans="1:12">
      <c r="A629" s="20" t="s">
        <v>1211</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1345</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1262</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1346</v>
      </c>
      <c r="B632" s="21" t="s">
        <v>1176</v>
      </c>
      <c r="C632" s="21" t="s">
        <v>1040</v>
      </c>
      <c r="D632" s="21" t="s">
        <v>985</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1347</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1348</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1349</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row>
    <row r="637" spans="1:12">
      <c r="A637" s="20" t="s">
        <v>1350</v>
      </c>
    </row>
    <row r="638" spans="1:12">
      <c r="A638" s="20" t="s">
        <v>1211</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1282</v>
      </c>
      <c r="B639" s="21" t="s">
        <v>1037</v>
      </c>
      <c r="C639" s="21" t="s">
        <v>1035</v>
      </c>
      <c r="D639" s="21" t="s">
        <v>985</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1283</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1351</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1262</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1352</v>
      </c>
      <c r="B643" s="21" t="s">
        <v>983</v>
      </c>
      <c r="C643" s="21" t="s">
        <v>1040</v>
      </c>
      <c r="D643" s="21" t="s">
        <v>985</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1032</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91</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row>
    <row r="647" spans="1:12">
      <c r="A647" s="20" t="s">
        <v>1353</v>
      </c>
    </row>
    <row r="648" spans="1:12">
      <c r="A648" s="20" t="s">
        <v>1211</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1096</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1354</v>
      </c>
      <c r="B650" s="21" t="s">
        <v>983</v>
      </c>
      <c r="C650" s="21" t="s">
        <v>1040</v>
      </c>
      <c r="D650" s="21" t="s">
        <v>985</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1242</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1355</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1032</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row>
    <row r="655" spans="1:12">
      <c r="A655" s="20" t="s">
        <v>1356</v>
      </c>
    </row>
    <row r="656" spans="1:12">
      <c r="A656" s="20" t="s">
        <v>1357</v>
      </c>
      <c r="B656" s="21" t="s">
        <v>983</v>
      </c>
      <c r="C656" s="21" t="s">
        <v>984</v>
      </c>
      <c r="D656" s="21" t="s">
        <v>985</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1358</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1359</v>
      </c>
      <c r="B658" s="21" t="s">
        <v>1176</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1309</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1121</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1038</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1360</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1361</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1032</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row>
    <row r="666" spans="1:12">
      <c r="A666" s="20" t="s">
        <v>1362</v>
      </c>
    </row>
    <row r="667" spans="1:12">
      <c r="A667" s="20" t="s">
        <v>1363</v>
      </c>
      <c r="B667" s="21" t="s">
        <v>1176</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1364</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1201</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1365</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1052</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1366</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1201</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1009</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1115</v>
      </c>
      <c r="B675" s="21" t="s">
        <v>1012</v>
      </c>
      <c r="C675" s="21" t="s">
        <v>1063</v>
      </c>
      <c r="D675" s="21" t="s">
        <v>985</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1367</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1368</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1009</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1057</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1369</v>
      </c>
      <c r="B680" s="21" t="s">
        <v>983</v>
      </c>
      <c r="C680" s="21" t="s">
        <v>1063</v>
      </c>
      <c r="D680" s="21" t="s">
        <v>985</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1370</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1371</v>
      </c>
      <c r="B682" s="21" t="s">
        <v>1176</v>
      </c>
      <c r="C682" s="21" t="s">
        <v>1021</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1372</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1326</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155</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1009</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1010</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1369</v>
      </c>
      <c r="B688" s="21" t="s">
        <v>1000</v>
      </c>
      <c r="C688" s="21" t="s">
        <v>1063</v>
      </c>
      <c r="D688" s="21" t="s">
        <v>985</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1373</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119</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1238</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91</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row>
    <row r="694" spans="1:12">
      <c r="A694" s="20" t="s">
        <v>1374</v>
      </c>
    </row>
    <row r="695" spans="1:12">
      <c r="A695" s="20" t="s">
        <v>1375</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1289</v>
      </c>
      <c r="B696" s="21" t="s">
        <v>991</v>
      </c>
      <c r="C696" s="21" t="s">
        <v>1021</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1376</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1080</v>
      </c>
      <c r="B698" s="21" t="s">
        <v>1000</v>
      </c>
      <c r="C698" s="21" t="s">
        <v>984</v>
      </c>
      <c r="D698" s="21" t="s">
        <v>985</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1294</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1377</v>
      </c>
      <c r="B700" s="21" t="s">
        <v>983</v>
      </c>
      <c r="C700" s="21" t="s">
        <v>1040</v>
      </c>
      <c r="D700" s="21" t="s">
        <v>985</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159</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1052</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1378</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1174</v>
      </c>
      <c r="B704" s="21" t="s">
        <v>1003</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1379</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1380</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1381</v>
      </c>
      <c r="B707" s="21" t="s">
        <v>1037</v>
      </c>
      <c r="C707" s="21" t="s">
        <v>1021</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1009</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1047</v>
      </c>
      <c r="B709" s="21" t="s">
        <v>1223</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1294</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1382</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1383</v>
      </c>
      <c r="B712" s="21" t="s">
        <v>1020</v>
      </c>
      <c r="C712" s="21" t="s">
        <v>1040</v>
      </c>
      <c r="D712" s="21" t="s">
        <v>985</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1384</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1032</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row>
    <row r="716" spans="1:12">
      <c r="A716" s="20" t="s">
        <v>1385</v>
      </c>
    </row>
    <row r="717" spans="1:12">
      <c r="A717" s="20" t="s">
        <v>1386</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1387</v>
      </c>
      <c r="B718" s="21" t="s">
        <v>983</v>
      </c>
      <c r="C718" s="21" t="s">
        <v>1021</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163</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1388</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1080</v>
      </c>
      <c r="B721" s="21" t="s">
        <v>983</v>
      </c>
      <c r="C721" s="21" t="s">
        <v>984</v>
      </c>
      <c r="D721" s="21" t="s">
        <v>985</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1025</v>
      </c>
      <c r="B722" s="21" t="s">
        <v>1037</v>
      </c>
      <c r="C722" s="21" t="s">
        <v>1001</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988</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1389</v>
      </c>
      <c r="B724" s="21" t="s">
        <v>991</v>
      </c>
      <c r="C724" s="21" t="s">
        <v>996</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1009</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989</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1390</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1361</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1080</v>
      </c>
      <c r="B729" s="21" t="s">
        <v>1000</v>
      </c>
      <c r="C729" s="21" t="s">
        <v>984</v>
      </c>
      <c r="D729" s="21" t="s">
        <v>985</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1391</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1058</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1392</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1338</v>
      </c>
      <c r="B733" s="21" t="s">
        <v>1037</v>
      </c>
      <c r="C733" s="21" t="s">
        <v>1021</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1393</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1112</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1032</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row>
    <row r="738" spans="1:12">
      <c r="A738" s="20" t="s">
        <v>1394</v>
      </c>
    </row>
    <row r="739" spans="1:12">
      <c r="A739" s="20" t="s">
        <v>982</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1395</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1232</v>
      </c>
      <c r="B741" s="21" t="s">
        <v>1176</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1113</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1396</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1397</v>
      </c>
      <c r="B744" s="21" t="s">
        <v>983</v>
      </c>
      <c r="C744" s="21" t="s">
        <v>1066</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1058</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1038</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1398</v>
      </c>
      <c r="B747" s="21" t="s">
        <v>991</v>
      </c>
      <c r="C747" s="21" t="s">
        <v>1040</v>
      </c>
      <c r="D747" s="21" t="s">
        <v>985</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1009</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694</v>
      </c>
      <c r="B749" s="21" t="s">
        <v>991</v>
      </c>
      <c r="C749" s="21" t="s">
        <v>992</v>
      </c>
      <c r="D749" s="21" t="s">
        <v>985</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1399</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1052</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1400</v>
      </c>
      <c r="B752" s="21" t="s">
        <v>991</v>
      </c>
      <c r="C752" s="21" t="s">
        <v>992</v>
      </c>
      <c r="D752" s="21" t="s">
        <v>985</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1032</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row>
    <row r="755" spans="1:12">
      <c r="A755" s="20" t="s">
        <v>1401</v>
      </c>
    </row>
    <row r="756" spans="1:12">
      <c r="A756" s="20" t="s">
        <v>1213</v>
      </c>
      <c r="B756" s="21" t="s">
        <v>983</v>
      </c>
      <c r="C756" s="21" t="s">
        <v>984</v>
      </c>
      <c r="D756" s="21" t="s">
        <v>985</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1402</v>
      </c>
      <c r="B757" s="21" t="s">
        <v>1176</v>
      </c>
      <c r="C757" s="21" t="s">
        <v>1063</v>
      </c>
      <c r="D757" s="21" t="s">
        <v>985</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1121</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988</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1403</v>
      </c>
      <c r="B760" s="21" t="s">
        <v>991</v>
      </c>
      <c r="C760" s="21" t="s">
        <v>996</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1158</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1404</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1405</v>
      </c>
      <c r="B763" s="21" t="s">
        <v>1037</v>
      </c>
      <c r="C763" s="21" t="s">
        <v>1040</v>
      </c>
      <c r="D763" s="21" t="s">
        <v>985</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1009</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1262</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1406</v>
      </c>
      <c r="B766" s="21" t="s">
        <v>983</v>
      </c>
      <c r="C766" s="21" t="s">
        <v>1040</v>
      </c>
      <c r="D766" s="21" t="s">
        <v>985</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1137</v>
      </c>
      <c r="B767" s="21" t="s">
        <v>1176</v>
      </c>
      <c r="C767" s="21" t="s">
        <v>984</v>
      </c>
      <c r="D767" s="21" t="s">
        <v>985</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1407</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1032</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row>
    <row r="771" spans="1:12">
      <c r="A771" s="20" t="s">
        <v>1408</v>
      </c>
    </row>
    <row r="772" spans="1:12">
      <c r="A772" s="20" t="s">
        <v>1409</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1410</v>
      </c>
      <c r="B773" s="21" t="s">
        <v>983</v>
      </c>
      <c r="C773" s="21" t="s">
        <v>1021</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1052</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1411</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1412</v>
      </c>
      <c r="B776" s="21" t="s">
        <v>983</v>
      </c>
      <c r="C776" s="21" t="s">
        <v>1021</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1052</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1413</v>
      </c>
      <c r="B778" s="21" t="s">
        <v>1037</v>
      </c>
      <c r="C778" s="21" t="s">
        <v>1021</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1099</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1232</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174</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1032</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row>
    <row r="784" spans="1:12">
      <c r="A784" s="20" t="s">
        <v>1414</v>
      </c>
    </row>
    <row r="785" spans="1:12">
      <c r="A785" s="20" t="s">
        <v>1400</v>
      </c>
      <c r="B785" s="21" t="s">
        <v>983</v>
      </c>
      <c r="C785" s="21" t="s">
        <v>1021</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1415</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1416</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1009</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1057</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1028</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1417</v>
      </c>
      <c r="B791" s="21" t="s">
        <v>1000</v>
      </c>
      <c r="C791" s="21" t="s">
        <v>1040</v>
      </c>
      <c r="D791" s="21" t="s">
        <v>985</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1418</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1419</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1052</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1420</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1361</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1032</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row>
    <row r="799" spans="1:12">
      <c r="A799" s="20" t="s">
        <v>1421</v>
      </c>
    </row>
    <row r="800" spans="1:12">
      <c r="A800" s="20" t="s">
        <v>182</v>
      </c>
      <c r="B800" s="21" t="s">
        <v>991</v>
      </c>
      <c r="C800" s="21" t="s">
        <v>1021</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1028</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1422</v>
      </c>
      <c r="B802" s="21" t="s">
        <v>983</v>
      </c>
      <c r="C802" s="21" t="s">
        <v>1040</v>
      </c>
      <c r="D802" s="21" t="s">
        <v>985</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1121</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1294</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1423</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1424</v>
      </c>
      <c r="B806" s="21" t="s">
        <v>991</v>
      </c>
      <c r="C806" s="21" t="s">
        <v>1040</v>
      </c>
      <c r="D806" s="21" t="s">
        <v>985</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1093</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1262</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1276</v>
      </c>
      <c r="B809" s="21" t="s">
        <v>991</v>
      </c>
      <c r="C809" s="21" t="s">
        <v>1040</v>
      </c>
      <c r="D809" s="21" t="s">
        <v>985</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1425</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1426</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1427</v>
      </c>
      <c r="B812" s="21" t="s">
        <v>1037</v>
      </c>
      <c r="C812" s="21" t="s">
        <v>1021</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1428</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1126</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1042</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1429</v>
      </c>
      <c r="B816" s="21" t="s">
        <v>991</v>
      </c>
      <c r="C816" s="21" t="s">
        <v>1006</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1032</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row>
    <row r="819" spans="1:12">
      <c r="A819" s="20" t="s">
        <v>1430</v>
      </c>
    </row>
    <row r="820" spans="1:12">
      <c r="A820" s="20" t="s">
        <v>1431</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1080</v>
      </c>
      <c r="B821" s="21" t="s">
        <v>1000</v>
      </c>
      <c r="C821" s="21" t="s">
        <v>984</v>
      </c>
      <c r="D821" s="21" t="s">
        <v>985</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1369</v>
      </c>
      <c r="B822" s="21" t="s">
        <v>1003</v>
      </c>
      <c r="C822" s="21" t="s">
        <v>1063</v>
      </c>
      <c r="D822" s="21" t="s">
        <v>985</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1084</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1432</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1009</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1433</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1400</v>
      </c>
      <c r="B827" s="21" t="s">
        <v>983</v>
      </c>
      <c r="C827" s="21" t="s">
        <v>1021</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1126</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1052</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1434</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1262</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1398</v>
      </c>
      <c r="B832" s="21" t="s">
        <v>1003</v>
      </c>
      <c r="C832" s="21" t="s">
        <v>1040</v>
      </c>
      <c r="D832" s="21" t="s">
        <v>985</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1435</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row>
    <row r="835" spans="1:12">
      <c r="A835" s="20" t="s">
        <v>1436</v>
      </c>
    </row>
    <row r="836" spans="1:12">
      <c r="A836" s="20" t="s">
        <v>1437</v>
      </c>
      <c r="B836" s="21" t="s">
        <v>983</v>
      </c>
      <c r="C836" s="21" t="s">
        <v>992</v>
      </c>
      <c r="D836" s="21" t="s">
        <v>985</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1438</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1232</v>
      </c>
      <c r="B838" s="21" t="s">
        <v>1176</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1413</v>
      </c>
      <c r="B839" s="21" t="s">
        <v>1176</v>
      </c>
      <c r="C839" s="21" t="s">
        <v>1021</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1201</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1052</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1439</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1232</v>
      </c>
      <c r="B843" s="21" t="s">
        <v>1003</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1058</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1440</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1441</v>
      </c>
      <c r="B846" s="21" t="s">
        <v>1037</v>
      </c>
      <c r="C846" s="21" t="s">
        <v>1006</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1442</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1009</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1443</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1444</v>
      </c>
      <c r="B850" s="21" t="s">
        <v>1050</v>
      </c>
      <c r="C850" s="21" t="s">
        <v>1191</v>
      </c>
      <c r="D850" s="21" t="s">
        <v>985</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1042</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1445</v>
      </c>
      <c r="B852" s="21" t="s">
        <v>1054</v>
      </c>
      <c r="C852" s="21" t="s">
        <v>1006</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1446</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1032</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row>
    <row r="856" spans="1:12">
      <c r="A856" s="20" t="s">
        <v>1447</v>
      </c>
    </row>
    <row r="857" spans="1:12">
      <c r="A857" s="20" t="s">
        <v>1118</v>
      </c>
      <c r="B857" s="21" t="s">
        <v>983</v>
      </c>
      <c r="C857" s="21" t="s">
        <v>984</v>
      </c>
      <c r="D857" s="21" t="s">
        <v>985</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1448</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1013</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612</v>
      </c>
      <c r="B860" s="21" t="s">
        <v>1003</v>
      </c>
      <c r="C860" s="21" t="s">
        <v>996</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1449</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1052</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1262</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1450</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1451</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1452</v>
      </c>
      <c r="B866" s="21" t="s">
        <v>991</v>
      </c>
      <c r="C866" s="21" t="s">
        <v>1040</v>
      </c>
      <c r="D866" s="21" t="s">
        <v>985</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1126</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1453</v>
      </c>
      <c r="B868" s="21" t="s">
        <v>1037</v>
      </c>
      <c r="C868" s="21" t="s">
        <v>1021</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1032</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row>
    <row r="871" spans="1:12">
      <c r="A871" s="20" t="s">
        <v>1454</v>
      </c>
    </row>
    <row r="872" spans="1:12">
      <c r="A872" s="20" t="s">
        <v>1096</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1455</v>
      </c>
      <c r="B873" s="21" t="s">
        <v>983</v>
      </c>
      <c r="C873" s="21" t="s">
        <v>1040</v>
      </c>
      <c r="D873" s="21" t="s">
        <v>985</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1293</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1294</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1377</v>
      </c>
      <c r="B876" s="21" t="s">
        <v>1176</v>
      </c>
      <c r="C876" s="21" t="s">
        <v>1040</v>
      </c>
      <c r="D876" s="21" t="s">
        <v>985</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1126</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1028</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1022</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1403</v>
      </c>
      <c r="B880" s="21" t="s">
        <v>991</v>
      </c>
      <c r="C880" s="21" t="s">
        <v>1456</v>
      </c>
      <c r="D880" s="21" t="s">
        <v>985</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1457</v>
      </c>
      <c r="B881" s="21" t="s">
        <v>1037</v>
      </c>
      <c r="C881" s="21" t="s">
        <v>992</v>
      </c>
      <c r="D881" s="21" t="s">
        <v>985</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1009</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1379</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1028</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1080</v>
      </c>
      <c r="B885" s="21" t="s">
        <v>1012</v>
      </c>
      <c r="C885" s="21" t="s">
        <v>984</v>
      </c>
      <c r="D885" s="21" t="s">
        <v>985</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1458</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1009</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159</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1032</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row>
    <row r="891" spans="1:12">
      <c r="A891" s="20" t="s">
        <v>1459</v>
      </c>
    </row>
    <row r="892" spans="1:12">
      <c r="A892" s="20" t="s">
        <v>1118</v>
      </c>
      <c r="B892" s="21" t="s">
        <v>983</v>
      </c>
      <c r="C892" s="21" t="s">
        <v>984</v>
      </c>
      <c r="D892" s="21" t="s">
        <v>985</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1460</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1109</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1047</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1381</v>
      </c>
      <c r="B896" s="21" t="s">
        <v>991</v>
      </c>
      <c r="C896" s="21" t="s">
        <v>1040</v>
      </c>
      <c r="D896" s="21" t="s">
        <v>985</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1052</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1418</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1461</v>
      </c>
      <c r="B899" s="21" t="s">
        <v>1012</v>
      </c>
      <c r="C899" s="21" t="s">
        <v>1063</v>
      </c>
      <c r="D899" s="21" t="s">
        <v>985</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1121</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1028</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612</v>
      </c>
      <c r="B902" s="21" t="s">
        <v>1054</v>
      </c>
      <c r="C902" s="21" t="s">
        <v>1040</v>
      </c>
      <c r="D902" s="21" t="s">
        <v>985</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1279</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1462</v>
      </c>
      <c r="B904" s="21" t="s">
        <v>1050</v>
      </c>
      <c r="C904" s="21" t="s">
        <v>996</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1058</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988</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1463</v>
      </c>
      <c r="B907" s="21" t="s">
        <v>1062</v>
      </c>
      <c r="C907" s="21" t="s">
        <v>996</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1158</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1464</v>
      </c>
      <c r="B909" s="21" t="s">
        <v>1465</v>
      </c>
      <c r="C909" s="21" t="s">
        <v>1040</v>
      </c>
      <c r="D909" s="21" t="s">
        <v>985</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174</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1032</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row>
    <row r="913" spans="1:12">
      <c r="A913" s="20" t="s">
        <v>1466</v>
      </c>
    </row>
    <row r="914" spans="1:12">
      <c r="A914" s="20" t="s">
        <v>1467</v>
      </c>
      <c r="B914" s="21" t="s">
        <v>983</v>
      </c>
      <c r="C914" s="21" t="s">
        <v>1063</v>
      </c>
      <c r="D914" s="21" t="s">
        <v>985</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1468</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1232</v>
      </c>
      <c r="B916" s="21" t="s">
        <v>1176</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1058</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1038</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1469</v>
      </c>
      <c r="B919" s="21" t="s">
        <v>991</v>
      </c>
      <c r="C919" s="21" t="s">
        <v>1040</v>
      </c>
      <c r="D919" s="21" t="s">
        <v>985</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1009</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1052</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1470</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1011</v>
      </c>
      <c r="B923" s="21" t="s">
        <v>1000</v>
      </c>
      <c r="C923" s="21" t="s">
        <v>984</v>
      </c>
      <c r="D923" s="21" t="s">
        <v>985</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1471</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986</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1009</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1472</v>
      </c>
      <c r="B927" s="21" t="s">
        <v>1037</v>
      </c>
      <c r="C927" s="21" t="s">
        <v>1473</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1367</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285</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1474</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1475</v>
      </c>
      <c r="B931" s="21" t="s">
        <v>991</v>
      </c>
      <c r="C931" s="21" t="s">
        <v>996</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1087</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989</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988</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1476</v>
      </c>
      <c r="B935" s="21" t="s">
        <v>1037</v>
      </c>
      <c r="C935" s="21" t="s">
        <v>996</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1032</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row>
    <row r="938" spans="1:12">
      <c r="A938" s="20" t="s">
        <v>1477</v>
      </c>
    </row>
    <row r="939" spans="1:12">
      <c r="A939" s="20" t="s">
        <v>1478</v>
      </c>
      <c r="B939" s="21" t="s">
        <v>983</v>
      </c>
      <c r="C939" s="21" t="s">
        <v>984</v>
      </c>
      <c r="D939" s="21" t="s">
        <v>985</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1479</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1480</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285</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1481</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1396</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1482</v>
      </c>
      <c r="B945" s="21" t="s">
        <v>1176</v>
      </c>
      <c r="C945" s="21" t="s">
        <v>1066</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1348</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1126</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1009</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750</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1448</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1080</v>
      </c>
      <c r="B951" s="21" t="s">
        <v>1000</v>
      </c>
      <c r="C951" s="21" t="s">
        <v>984</v>
      </c>
      <c r="D951" s="21" t="s">
        <v>985</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1294</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1483</v>
      </c>
      <c r="B953" s="21" t="s">
        <v>1016</v>
      </c>
      <c r="C953" s="21" t="s">
        <v>1040</v>
      </c>
      <c r="D953" s="21" t="s">
        <v>985</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1484</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1058</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1038</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1469</v>
      </c>
      <c r="B957" s="21" t="s">
        <v>1054</v>
      </c>
      <c r="C957" s="21" t="s">
        <v>1040</v>
      </c>
      <c r="D957" s="21" t="s">
        <v>985</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206</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1032</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row>
    <row r="961" spans="1:12">
      <c r="A961" s="20" t="s">
        <v>1485</v>
      </c>
    </row>
    <row r="962" spans="1:12">
      <c r="A962" s="20" t="s">
        <v>1486</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1487</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1400</v>
      </c>
      <c r="B964" s="21" t="s">
        <v>983</v>
      </c>
      <c r="C964" s="21" t="s">
        <v>1021</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1121</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1137</v>
      </c>
      <c r="B966" s="21" t="s">
        <v>1037</v>
      </c>
      <c r="C966" s="21" t="s">
        <v>984</v>
      </c>
      <c r="D966" s="21" t="s">
        <v>985</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1488</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1009</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1489</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1058</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1490</v>
      </c>
      <c r="B971" s="21" t="s">
        <v>1037</v>
      </c>
      <c r="C971" s="21" t="s">
        <v>992</v>
      </c>
      <c r="D971" s="21" t="s">
        <v>985</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1442</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1052</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1491</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1232</v>
      </c>
      <c r="B975" s="21" t="s">
        <v>1016</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1025</v>
      </c>
      <c r="B976" s="21" t="s">
        <v>1050</v>
      </c>
      <c r="C976" s="21" t="s">
        <v>1001</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1492</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1493</v>
      </c>
      <c r="B978" s="21" t="s">
        <v>1054</v>
      </c>
      <c r="C978" s="21" t="s">
        <v>1006</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1032</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row>
    <row r="981" spans="1:12">
      <c r="A981" s="20" t="s">
        <v>1494</v>
      </c>
    </row>
    <row r="982" spans="1:12">
      <c r="A982" s="20" t="s">
        <v>1118</v>
      </c>
      <c r="B982" s="21" t="s">
        <v>983</v>
      </c>
      <c r="C982" s="21" t="s">
        <v>984</v>
      </c>
      <c r="D982" s="21" t="s">
        <v>985</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1388</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1495</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1496</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1442</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1009</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1497</v>
      </c>
      <c r="B988" s="21" t="s">
        <v>983</v>
      </c>
      <c r="C988" s="21" t="s">
        <v>1063</v>
      </c>
      <c r="D988" s="21" t="s">
        <v>985</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1498</v>
      </c>
      <c r="B989" s="21" t="s">
        <v>1176</v>
      </c>
      <c r="C989" s="21" t="s">
        <v>1021</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1499</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1500</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1009</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1115</v>
      </c>
      <c r="B993" s="21" t="s">
        <v>1016</v>
      </c>
      <c r="C993" s="21" t="s">
        <v>1063</v>
      </c>
      <c r="D993" s="21" t="s">
        <v>985</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1080</v>
      </c>
      <c r="B994" s="21" t="s">
        <v>1012</v>
      </c>
      <c r="C994" s="21" t="s">
        <v>984</v>
      </c>
      <c r="D994" s="21" t="s">
        <v>985</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1025</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910</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1018</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1032</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row>
    <row r="1000" spans="1:12">
      <c r="A1000" s="20" t="s">
        <v>1501</v>
      </c>
    </row>
    <row r="1001" spans="1:12">
      <c r="A1001" s="20" t="s">
        <v>1211</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1357</v>
      </c>
      <c r="B1002" s="21" t="s">
        <v>1000</v>
      </c>
      <c r="C1002" s="21" t="s">
        <v>984</v>
      </c>
      <c r="D1002" s="21" t="s">
        <v>985</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1502</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1503</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1009</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1010</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1504</v>
      </c>
      <c r="B1007" s="21" t="s">
        <v>1012</v>
      </c>
      <c r="C1007" s="21" t="s">
        <v>992</v>
      </c>
      <c r="D1007" s="21" t="s">
        <v>985</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1032</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1400</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1326</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1348</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986</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1216</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91</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1505</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993</v>
      </c>
      <c r="B1016" s="21" t="s">
        <v>983</v>
      </c>
      <c r="C1016" s="21" t="s">
        <v>1021</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1009</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1123</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1506</v>
      </c>
      <c r="B1019" s="21" t="s">
        <v>1000</v>
      </c>
      <c r="C1019" s="21" t="s">
        <v>1063</v>
      </c>
      <c r="D1019" s="21" t="s">
        <v>985</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1507</v>
      </c>
      <c r="B1020" s="21" t="s">
        <v>1003</v>
      </c>
      <c r="C1020" s="21" t="s">
        <v>1021</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1508</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1018</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1032</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row>
    <row r="1025" spans="1:12">
      <c r="A1025" s="20" t="s">
        <v>1509</v>
      </c>
    </row>
    <row r="1026" spans="1:12">
      <c r="A1026" s="20" t="s">
        <v>1211</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1510</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1283</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1002</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1032</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91</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row>
    <row r="1033" spans="1:12">
      <c r="A1033" s="20" t="s">
        <v>1511</v>
      </c>
    </row>
    <row r="1034" spans="1:12">
      <c r="A1034" s="20" t="s">
        <v>1211</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1512</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1513</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1369</v>
      </c>
      <c r="B1037" s="21" t="s">
        <v>983</v>
      </c>
      <c r="C1037" s="21" t="s">
        <v>1063</v>
      </c>
      <c r="D1037" s="21" t="s">
        <v>985</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750</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225</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1009</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1514</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1082</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1515</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1516</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1517</v>
      </c>
      <c r="B1045" s="21" t="s">
        <v>1000</v>
      </c>
      <c r="C1045" s="21" t="s">
        <v>1021</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1518</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1519</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1058</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1028</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1520</v>
      </c>
      <c r="B1050" s="21" t="s">
        <v>1037</v>
      </c>
      <c r="C1050" s="21" t="s">
        <v>1040</v>
      </c>
      <c r="D1050" s="21" t="s">
        <v>985</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1216</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91</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row>
    <row r="1054" spans="1:12">
      <c r="A1054" s="20" t="s">
        <v>1521</v>
      </c>
    </row>
    <row r="1055" spans="1:12">
      <c r="A1055" s="20" t="s">
        <v>1211</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1118</v>
      </c>
      <c r="B1056" s="21" t="s">
        <v>983</v>
      </c>
      <c r="C1056" s="21" t="s">
        <v>984</v>
      </c>
      <c r="D1056" s="21" t="s">
        <v>985</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1227</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1522</v>
      </c>
      <c r="B1058" s="21" t="s">
        <v>1037</v>
      </c>
      <c r="C1058" s="21" t="s">
        <v>1063</v>
      </c>
      <c r="D1058" s="21" t="s">
        <v>985</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1523</v>
      </c>
      <c r="B1059" s="21" t="s">
        <v>1176</v>
      </c>
      <c r="C1059" s="21" t="s">
        <v>1066</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1009</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1524</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1369</v>
      </c>
      <c r="B1062" s="21" t="s">
        <v>1000</v>
      </c>
      <c r="C1062" s="21" t="s">
        <v>1063</v>
      </c>
      <c r="D1062" s="21" t="s">
        <v>985</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225</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1525</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1032</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91</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row>
    <row r="1068" spans="1:12">
      <c r="A1068" s="20" t="s">
        <v>1526</v>
      </c>
    </row>
    <row r="1069" spans="1:12">
      <c r="A1069" s="20" t="s">
        <v>1527</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1327</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1528</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1529</v>
      </c>
      <c r="B1072" s="21" t="s">
        <v>1000</v>
      </c>
      <c r="C1072" s="21" t="s">
        <v>1021</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1109</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1038</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1530</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1275</v>
      </c>
      <c r="B1076" s="21" t="s">
        <v>1054</v>
      </c>
      <c r="C1076" s="21" t="s">
        <v>992</v>
      </c>
      <c r="D1076" s="21" t="s">
        <v>985</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1276</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285</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1531</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1009</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1532</v>
      </c>
      <c r="B1081" s="21" t="s">
        <v>991</v>
      </c>
      <c r="C1081" s="21" t="s">
        <v>996</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1032</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row>
    <row r="1084" spans="1:12">
      <c r="A1084" s="20" t="s">
        <v>1533</v>
      </c>
    </row>
    <row r="1085" spans="1:12">
      <c r="A1085" s="20" t="s">
        <v>1534</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1535</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1011</v>
      </c>
      <c r="B1087" s="21" t="s">
        <v>983</v>
      </c>
      <c r="C1087" s="21" t="s">
        <v>984</v>
      </c>
      <c r="D1087" s="21" t="s">
        <v>985</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1126</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1100</v>
      </c>
      <c r="B1089" s="21" t="s">
        <v>991</v>
      </c>
      <c r="C1089" s="21" t="s">
        <v>1063</v>
      </c>
      <c r="D1089" s="21" t="s">
        <v>985</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1025</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1052</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1536</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1232</v>
      </c>
      <c r="B1093" s="21" t="s">
        <v>1003</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1087</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1013</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1537</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1538</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1009</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1539</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1052</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1540</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1541</v>
      </c>
      <c r="B1102" s="21" t="s">
        <v>1037</v>
      </c>
      <c r="C1102" s="21" t="s">
        <v>996</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1099</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1100</v>
      </c>
      <c r="B1104" s="21" t="s">
        <v>1037</v>
      </c>
      <c r="C1104" s="21" t="s">
        <v>1063</v>
      </c>
      <c r="D1104" s="21" t="s">
        <v>985</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1126</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1032</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row>
    <row r="1108" spans="1:12">
      <c r="A1108" s="20" t="s">
        <v>1542</v>
      </c>
    </row>
    <row r="1109" spans="1:12">
      <c r="A1109" s="20" t="s">
        <v>1198</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1543</v>
      </c>
      <c r="B1110" s="21" t="s">
        <v>983</v>
      </c>
      <c r="C1110" s="21" t="s">
        <v>1040</v>
      </c>
      <c r="D1110" s="21" t="s">
        <v>985</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1544</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1126</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1369</v>
      </c>
      <c r="B1113" s="21" t="s">
        <v>991</v>
      </c>
      <c r="C1113" s="21" t="s">
        <v>1063</v>
      </c>
      <c r="D1113" s="21" t="s">
        <v>985</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1545</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1546</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1369</v>
      </c>
      <c r="B1116" s="21" t="s">
        <v>1000</v>
      </c>
      <c r="C1116" s="21" t="s">
        <v>1063</v>
      </c>
      <c r="D1116" s="21" t="s">
        <v>985</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1087</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1013</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1097</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1009</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1547</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1548</v>
      </c>
      <c r="B1122" s="21" t="s">
        <v>1037</v>
      </c>
      <c r="C1122" s="21" t="s">
        <v>996</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1549</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1009</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1361</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1390</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1047</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1550</v>
      </c>
      <c r="B1128" s="21" t="s">
        <v>1223</v>
      </c>
      <c r="C1128" s="21" t="s">
        <v>1040</v>
      </c>
      <c r="D1128" s="21" t="s">
        <v>985</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1551</v>
      </c>
      <c r="B1129" s="21" t="s">
        <v>1062</v>
      </c>
      <c r="C1129" s="21" t="s">
        <v>992</v>
      </c>
      <c r="D1129" s="21" t="s">
        <v>985</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1058</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1028</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1552</v>
      </c>
      <c r="B1132" s="21" t="s">
        <v>1050</v>
      </c>
      <c r="C1132" s="21" t="s">
        <v>1040</v>
      </c>
      <c r="D1132" s="21" t="s">
        <v>985</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1087</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1553</v>
      </c>
      <c r="B1134" s="21" t="s">
        <v>1062</v>
      </c>
      <c r="C1134" s="21" t="s">
        <v>1021</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1554</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1032</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row>
    <row r="1138" spans="1:12">
      <c r="A1138" s="20" t="s">
        <v>1555</v>
      </c>
    </row>
    <row r="1139" spans="1:12">
      <c r="A1139" s="20" t="s">
        <v>993</v>
      </c>
      <c r="B1139" s="21" t="s">
        <v>983</v>
      </c>
      <c r="C1139" s="21" t="s">
        <v>992</v>
      </c>
      <c r="D1139" s="21" t="s">
        <v>985</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1468</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1232</v>
      </c>
      <c r="B1141" s="21" t="s">
        <v>1176</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1556</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1557</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1052</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1558</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1559</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1234</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1099</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1232</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1560</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1009</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1561</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1562</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1563</v>
      </c>
      <c r="B1154" s="21" t="s">
        <v>1003</v>
      </c>
      <c r="C1154" s="21" t="s">
        <v>1006</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1564</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1032</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row>
    <row r="1158" spans="1:12">
      <c r="A1158" s="20" t="s">
        <v>1565</v>
      </c>
    </row>
    <row r="1159" spans="1:12">
      <c r="A1159" s="20" t="s">
        <v>1211</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1213</v>
      </c>
      <c r="B1160" s="21" t="s">
        <v>983</v>
      </c>
      <c r="C1160" s="21" t="s">
        <v>984</v>
      </c>
      <c r="D1160" s="21" t="s">
        <v>985</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1566</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1126</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1100</v>
      </c>
      <c r="B1163" s="21" t="s">
        <v>991</v>
      </c>
      <c r="C1163" s="21" t="s">
        <v>1063</v>
      </c>
      <c r="D1163" s="21" t="s">
        <v>985</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1025</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1009</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1329</v>
      </c>
      <c r="B1166" s="21" t="s">
        <v>991</v>
      </c>
      <c r="C1166" s="21" t="s">
        <v>992</v>
      </c>
      <c r="D1166" s="21" t="s">
        <v>985</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1032</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91</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row>
    <row r="1170" spans="1:12">
      <c r="A1170" s="20" t="s">
        <v>1567</v>
      </c>
    </row>
    <row r="1171" spans="1:12">
      <c r="A1171" s="20" t="s">
        <v>1211</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1568</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1262</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1569</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1216</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91</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row>
    <row r="1178" spans="1:12">
      <c r="A1178" s="20" t="s">
        <v>1570</v>
      </c>
    </row>
    <row r="1179" spans="1:12">
      <c r="A1179" s="20" t="s">
        <v>1211</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1571</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1085</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1569</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997</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1084</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1572</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1262</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1573</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1009</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1262</v>
      </c>
      <c r="B1189" s="21" t="s">
        <v>1000</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1224</v>
      </c>
      <c r="B1190" s="21" t="s">
        <v>1054</v>
      </c>
      <c r="C1190" s="21" t="s">
        <v>1128</v>
      </c>
      <c r="D1190" s="21" t="s">
        <v>985</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1110</v>
      </c>
      <c r="B1191" s="21" t="s">
        <v>1003</v>
      </c>
      <c r="C1191" s="21" t="s">
        <v>1021</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1574</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1513</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1032</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row>
    <row r="1196" spans="1:12">
      <c r="A1196" s="20" t="s">
        <v>1575</v>
      </c>
    </row>
    <row r="1197" spans="1:12">
      <c r="A1197" s="20" t="s">
        <v>694</v>
      </c>
      <c r="B1197" s="21" t="s">
        <v>983</v>
      </c>
      <c r="C1197" s="21" t="s">
        <v>992</v>
      </c>
      <c r="D1197" s="21" t="s">
        <v>985</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1399</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1513</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1576</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1326</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1577</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1578</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262</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1009</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1002</v>
      </c>
      <c r="B1206" s="21" t="s">
        <v>1000</v>
      </c>
      <c r="C1206" s="21" t="s">
        <v>984</v>
      </c>
      <c r="D1206" s="21" t="s">
        <v>985</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1283</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1327</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1579</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1032</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row>
    <row r="1212" spans="1:12">
      <c r="A1212" s="20" t="s">
        <v>1580</v>
      </c>
    </row>
    <row r="1213" spans="1:12">
      <c r="A1213" s="20" t="s">
        <v>1581</v>
      </c>
      <c r="B1213" s="21" t="s">
        <v>1037</v>
      </c>
      <c r="C1213" s="21" t="s">
        <v>1128</v>
      </c>
      <c r="D1213" s="21" t="s">
        <v>985</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1582</v>
      </c>
      <c r="B1214" s="21" t="s">
        <v>983</v>
      </c>
      <c r="C1214" s="21" t="s">
        <v>1021</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1052</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1583</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225</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1584</v>
      </c>
      <c r="B1218" s="21" t="s">
        <v>1037</v>
      </c>
      <c r="C1218" s="21" t="s">
        <v>1006</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1585</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1586</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266</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1009</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1587</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1588</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1009</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1027</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1232</v>
      </c>
      <c r="B1227" s="21" t="s">
        <v>1003</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1322</v>
      </c>
      <c r="B1228" s="21" t="s">
        <v>1054</v>
      </c>
      <c r="C1228" s="21" t="s">
        <v>1035</v>
      </c>
      <c r="D1228" s="21" t="s">
        <v>985</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1589</v>
      </c>
      <c r="B1229" s="21" t="s">
        <v>1000</v>
      </c>
      <c r="C1229" s="21" t="s">
        <v>1092</v>
      </c>
      <c r="D1229" s="21" t="s">
        <v>985</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1109</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1294</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1295</v>
      </c>
      <c r="B1232" s="21" t="s">
        <v>1037</v>
      </c>
      <c r="C1232" s="21" t="s">
        <v>1040</v>
      </c>
      <c r="D1232" s="21" t="s">
        <v>985</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1590</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1591</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1032</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91</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row>
    <row r="1238" spans="1:12">
      <c r="A1238" s="20" t="s">
        <v>1592</v>
      </c>
    </row>
    <row r="1239" spans="1:12">
      <c r="A1239" s="20" t="s">
        <v>1593</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1100</v>
      </c>
      <c r="B1240" s="21" t="s">
        <v>991</v>
      </c>
      <c r="C1240" s="21" t="s">
        <v>1063</v>
      </c>
      <c r="D1240" s="21" t="s">
        <v>985</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986</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1047</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1594</v>
      </c>
      <c r="B1243" s="21" t="s">
        <v>983</v>
      </c>
      <c r="C1243" s="21" t="s">
        <v>1040</v>
      </c>
      <c r="D1243" s="21" t="s">
        <v>985</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1595</v>
      </c>
      <c r="B1244" s="21" t="s">
        <v>991</v>
      </c>
      <c r="C1244" s="21" t="s">
        <v>1086</v>
      </c>
      <c r="D1244" s="21" t="s">
        <v>985</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1052</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1596</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1032</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row>
    <row r="1249" spans="1:12">
      <c r="A1249" s="20" t="s">
        <v>1597</v>
      </c>
    </row>
    <row r="1250" spans="1:12">
      <c r="A1250" s="20" t="s">
        <v>1598</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1052</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1346</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274</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1047</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1599</v>
      </c>
      <c r="B1255" s="21" t="s">
        <v>983</v>
      </c>
      <c r="C1255" s="21" t="s">
        <v>1040</v>
      </c>
      <c r="D1255" s="21" t="s">
        <v>985</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1028</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1600</v>
      </c>
      <c r="B1257" s="21" t="s">
        <v>1037</v>
      </c>
      <c r="C1257" s="21" t="s">
        <v>1040</v>
      </c>
      <c r="D1257" s="21" t="s">
        <v>985</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1047</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1601</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1602</v>
      </c>
      <c r="B1260" s="21" t="s">
        <v>1176</v>
      </c>
      <c r="C1260" s="21" t="s">
        <v>1040</v>
      </c>
      <c r="D1260" s="21" t="s">
        <v>985</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1058</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285</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1603</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1009</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1604</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1605</v>
      </c>
      <c r="B1266" s="21" t="s">
        <v>1037</v>
      </c>
      <c r="C1266" s="21" t="s">
        <v>996</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1032</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row>
    <row r="1269" spans="1:12">
      <c r="A1269" s="20" t="s">
        <v>1606</v>
      </c>
    </row>
    <row r="1270" spans="1:12">
      <c r="A1270" s="20" t="s">
        <v>1607</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1100</v>
      </c>
      <c r="B1271" s="21" t="s">
        <v>991</v>
      </c>
      <c r="C1271" s="21" t="s">
        <v>1063</v>
      </c>
      <c r="D1271" s="21" t="s">
        <v>985</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1055</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1047</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1130</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1608</v>
      </c>
      <c r="B1275" s="21" t="s">
        <v>983</v>
      </c>
      <c r="C1275" s="21" t="s">
        <v>1040</v>
      </c>
      <c r="D1275" s="21" t="s">
        <v>985</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1158</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1280</v>
      </c>
      <c r="B1277" s="21" t="s">
        <v>1037</v>
      </c>
      <c r="C1277" s="21" t="s">
        <v>1040</v>
      </c>
      <c r="D1277" s="21" t="s">
        <v>985</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1009</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1609</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1610</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1611</v>
      </c>
      <c r="B1281" s="21" t="s">
        <v>1012</v>
      </c>
      <c r="C1281" s="21" t="s">
        <v>1040</v>
      </c>
      <c r="D1281" s="21" t="s">
        <v>985</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1612</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1613</v>
      </c>
      <c r="B1283" s="21" t="s">
        <v>1012</v>
      </c>
      <c r="C1283" s="21" t="s">
        <v>1021</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1232</v>
      </c>
      <c r="B1284" s="21" t="s">
        <v>1016</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1614</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1615</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1294</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1616</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1617</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1618</v>
      </c>
      <c r="B1290" s="21" t="s">
        <v>1050</v>
      </c>
      <c r="C1290" s="21" t="s">
        <v>1040</v>
      </c>
      <c r="D1290" s="21" t="s">
        <v>985</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1619</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1032</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row>
    <row r="1294" spans="1:12">
      <c r="A1294" s="20" t="s">
        <v>1620</v>
      </c>
    </row>
    <row r="1295" spans="1:12">
      <c r="A1295" s="20" t="s">
        <v>1621</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1622</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1623</v>
      </c>
      <c r="B1297" s="21" t="s">
        <v>991</v>
      </c>
      <c r="C1297" s="21" t="s">
        <v>1021</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1624</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1232</v>
      </c>
      <c r="B1299" s="21" t="s">
        <v>1176</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1625</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1626</v>
      </c>
      <c r="B1301" s="21" t="s">
        <v>983</v>
      </c>
      <c r="C1301" s="21" t="s">
        <v>1021</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1627</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1628</v>
      </c>
      <c r="B1303" s="21" t="s">
        <v>1037</v>
      </c>
      <c r="C1303" s="21" t="s">
        <v>1021</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1109</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1294</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1629</v>
      </c>
      <c r="B1306" s="21" t="s">
        <v>991</v>
      </c>
      <c r="C1306" s="21" t="s">
        <v>1040</v>
      </c>
      <c r="D1306" s="21" t="s">
        <v>985</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1262</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1276</v>
      </c>
      <c r="B1308" s="21" t="s">
        <v>983</v>
      </c>
      <c r="C1308" s="21" t="s">
        <v>1040</v>
      </c>
      <c r="D1308" s="21" t="s">
        <v>985</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1032</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row>
    <row r="1311" spans="1:12">
      <c r="A1311" s="20" t="s">
        <v>1630</v>
      </c>
    </row>
    <row r="1312" spans="1:12">
      <c r="A1312" s="20" t="s">
        <v>1631</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1632</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988</v>
      </c>
      <c r="B1314" s="21" t="s">
        <v>991</v>
      </c>
      <c r="C1314" s="21" t="s">
        <v>1001</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989</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1633</v>
      </c>
      <c r="B1316" s="21" t="s">
        <v>991</v>
      </c>
      <c r="C1316" s="21" t="s">
        <v>984</v>
      </c>
      <c r="D1316" s="21" t="s">
        <v>985</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1032</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row>
    <row r="1319" spans="1:12">
      <c r="A1319" s="20" t="s">
        <v>1634</v>
      </c>
    </row>
    <row r="1320" spans="1:12">
      <c r="A1320" s="20" t="s">
        <v>1096</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1635</v>
      </c>
      <c r="B1321" s="21" t="s">
        <v>983</v>
      </c>
      <c r="C1321" s="21" t="s">
        <v>1040</v>
      </c>
      <c r="D1321" s="21" t="s">
        <v>985</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1411</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1636</v>
      </c>
      <c r="B1323" s="21" t="s">
        <v>983</v>
      </c>
      <c r="C1323" s="21" t="s">
        <v>1063</v>
      </c>
      <c r="D1323" s="21" t="s">
        <v>985</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289</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1032</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row>
    <row r="1327" spans="1:12">
      <c r="A1327" s="20" t="s">
        <v>1637</v>
      </c>
    </row>
    <row r="1328" spans="1:12">
      <c r="A1328" s="20" t="s">
        <v>1638</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1639</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1113</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1107</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1047</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1640</v>
      </c>
      <c r="B1333" s="21" t="s">
        <v>1003</v>
      </c>
      <c r="C1333" s="21" t="s">
        <v>1040</v>
      </c>
      <c r="D1333" s="21" t="s">
        <v>985</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1361</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1038</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1352</v>
      </c>
      <c r="B1336" s="21" t="s">
        <v>1054</v>
      </c>
      <c r="C1336" s="21" t="s">
        <v>1040</v>
      </c>
      <c r="D1336" s="21" t="s">
        <v>985</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1641</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1009</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1524</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1642</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1397</v>
      </c>
      <c r="B1341" s="21" t="s">
        <v>1012</v>
      </c>
      <c r="C1341" s="21" t="s">
        <v>1021</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1009</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1028</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1643</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1644</v>
      </c>
      <c r="B1345" s="21" t="s">
        <v>1050</v>
      </c>
      <c r="C1345" s="21" t="s">
        <v>1040</v>
      </c>
      <c r="D1345" s="21" t="s">
        <v>985</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1052</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225</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1645</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1493</v>
      </c>
      <c r="B1349" s="21" t="s">
        <v>1050</v>
      </c>
      <c r="C1349" s="21" t="s">
        <v>1006</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1009</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987</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1646</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1647</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1410</v>
      </c>
      <c r="B1354" s="21" t="s">
        <v>1016</v>
      </c>
      <c r="C1354" s="21" t="s">
        <v>1006</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1648</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1032</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row>
    <row r="1358" spans="1:12">
      <c r="A1358" s="20" t="s">
        <v>1649</v>
      </c>
    </row>
    <row r="1359" spans="1:12">
      <c r="A1359" s="20" t="s">
        <v>1650</v>
      </c>
      <c r="B1359" s="21" t="s">
        <v>1037</v>
      </c>
      <c r="C1359" s="21" t="s">
        <v>1001</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1651</v>
      </c>
      <c r="B1360" s="21" t="s">
        <v>983</v>
      </c>
      <c r="C1360" s="21" t="s">
        <v>1021</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1652</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1232</v>
      </c>
      <c r="B1362" s="21" t="s">
        <v>1176</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1322</v>
      </c>
      <c r="B1363" s="21" t="s">
        <v>1037</v>
      </c>
      <c r="C1363" s="21" t="s">
        <v>1035</v>
      </c>
      <c r="D1363" s="21" t="s">
        <v>985</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1653</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1009</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1654</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1655</v>
      </c>
      <c r="B1367" s="21" t="s">
        <v>983</v>
      </c>
      <c r="C1367" s="21" t="s">
        <v>1092</v>
      </c>
      <c r="D1367" s="21" t="s">
        <v>985</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1009</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1047</v>
      </c>
      <c r="B1369" s="21" t="s">
        <v>1012</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1327</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1013</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1656</v>
      </c>
      <c r="B1372" s="21" t="s">
        <v>1016</v>
      </c>
      <c r="C1372" s="21" t="s">
        <v>1086</v>
      </c>
      <c r="D1372" s="21" t="s">
        <v>985</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1657</v>
      </c>
      <c r="B1373" s="21" t="s">
        <v>1050</v>
      </c>
      <c r="C1373" s="21" t="s">
        <v>992</v>
      </c>
      <c r="D1373" s="21" t="s">
        <v>985</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1658</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1009</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1152</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1052</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1152</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1121</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1262</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1179</v>
      </c>
      <c r="B1381" s="21" t="s">
        <v>991</v>
      </c>
      <c r="C1381" s="21" t="s">
        <v>1040</v>
      </c>
      <c r="D1381" s="21" t="s">
        <v>985</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1659</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1032</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row>
    <row r="1385" spans="1:12">
      <c r="A1385" s="20" t="s">
        <v>1660</v>
      </c>
    </row>
    <row r="1386" spans="1:12">
      <c r="A1386" s="20" t="s">
        <v>1096</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1661</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1662</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1663</v>
      </c>
      <c r="B1389" s="21" t="s">
        <v>1176</v>
      </c>
      <c r="C1389" s="21" t="s">
        <v>1040</v>
      </c>
      <c r="D1389" s="21" t="s">
        <v>985</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1664</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1093</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1262</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1665</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1666</v>
      </c>
      <c r="B1394" s="21" t="s">
        <v>1037</v>
      </c>
      <c r="C1394" s="21" t="s">
        <v>1040</v>
      </c>
      <c r="D1394" s="21" t="s">
        <v>985</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1158</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1667</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1668</v>
      </c>
      <c r="B1397" s="21" t="s">
        <v>1054</v>
      </c>
      <c r="C1397" s="21" t="s">
        <v>1040</v>
      </c>
      <c r="D1397" s="21" t="s">
        <v>985</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1009</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999</v>
      </c>
      <c r="B1399" s="21" t="s">
        <v>983</v>
      </c>
      <c r="C1399" s="21" t="s">
        <v>1001</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1669</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1107</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1047</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1670</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1381</v>
      </c>
      <c r="B1404" s="21" t="s">
        <v>1176</v>
      </c>
      <c r="C1404" s="21" t="s">
        <v>1040</v>
      </c>
      <c r="D1404" s="21" t="s">
        <v>985</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1158</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1464</v>
      </c>
      <c r="B1406" s="21" t="s">
        <v>1037</v>
      </c>
      <c r="C1406" s="21" t="s">
        <v>1040</v>
      </c>
      <c r="D1406" s="21" t="s">
        <v>985</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300</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1009</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1099</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1028</v>
      </c>
      <c r="B1410" s="21" t="s">
        <v>1037</v>
      </c>
      <c r="C1410" s="21" t="s">
        <v>1035</v>
      </c>
      <c r="D1410" s="21" t="s">
        <v>985</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1047</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1671</v>
      </c>
      <c r="B1412" s="21" t="s">
        <v>1000</v>
      </c>
      <c r="C1412" s="21" t="s">
        <v>1040</v>
      </c>
      <c r="D1412" s="21" t="s">
        <v>985</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1672</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1673</v>
      </c>
      <c r="B1414" s="21" t="s">
        <v>1003</v>
      </c>
      <c r="C1414" s="21" t="s">
        <v>1006</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1674</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1675</v>
      </c>
      <c r="B1416" s="21" t="s">
        <v>1054</v>
      </c>
      <c r="C1416" s="21" t="s">
        <v>1021</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1554</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1032</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row>
    <row r="1420" spans="1:12">
      <c r="A1420" s="20" t="s">
        <v>1676</v>
      </c>
    </row>
    <row r="1421" spans="1:12">
      <c r="A1421" s="20" t="s">
        <v>1431</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1139</v>
      </c>
      <c r="B1422" s="21" t="s">
        <v>1000</v>
      </c>
      <c r="C1422" s="21" t="s">
        <v>1063</v>
      </c>
      <c r="D1422" s="21" t="s">
        <v>985</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1677</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1009</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304</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1678</v>
      </c>
      <c r="B1426" s="21" t="s">
        <v>983</v>
      </c>
      <c r="C1426" s="21" t="s">
        <v>992</v>
      </c>
      <c r="D1426" s="21" t="s">
        <v>985</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1557</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1679</v>
      </c>
      <c r="B1428" s="21" t="s">
        <v>1054</v>
      </c>
      <c r="C1428" s="21" t="s">
        <v>1001</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1680</v>
      </c>
      <c r="B1429" s="21" t="s">
        <v>1003</v>
      </c>
      <c r="C1429" s="21" t="s">
        <v>1681</v>
      </c>
      <c r="D1429" s="21" t="s">
        <v>985</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1158</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1280</v>
      </c>
      <c r="B1431" s="21" t="s">
        <v>1054</v>
      </c>
      <c r="C1431" s="21" t="s">
        <v>1040</v>
      </c>
      <c r="D1431" s="21" t="s">
        <v>985</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1052</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1682</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1232</v>
      </c>
      <c r="B1434" s="21" t="s">
        <v>1003</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1683</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1025</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1684</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1685</v>
      </c>
      <c r="B1438" s="21" t="s">
        <v>1000</v>
      </c>
      <c r="C1438" s="21" t="s">
        <v>992</v>
      </c>
      <c r="D1438" s="21" t="s">
        <v>985</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1686</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1009</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1126</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1390</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1028</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1687</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1688</v>
      </c>
      <c r="B1445" s="21" t="s">
        <v>1012</v>
      </c>
      <c r="C1445" s="21" t="s">
        <v>1040</v>
      </c>
      <c r="D1445" s="21" t="s">
        <v>985</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1052</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1262</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1611</v>
      </c>
      <c r="B1448" s="21" t="s">
        <v>1016</v>
      </c>
      <c r="C1448" s="21" t="s">
        <v>1040</v>
      </c>
      <c r="D1448" s="21" t="s">
        <v>985</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1087</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1689</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1690</v>
      </c>
      <c r="B1451" s="21" t="s">
        <v>1054</v>
      </c>
      <c r="C1451" s="21" t="s">
        <v>1021</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1126</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1691</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1692</v>
      </c>
      <c r="B1454" s="21" t="s">
        <v>1050</v>
      </c>
      <c r="C1454" s="21" t="s">
        <v>1021</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1025</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1693</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1694</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1032</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row>
    <row r="1460" spans="1:12">
      <c r="A1460" s="20" t="s">
        <v>1695</v>
      </c>
    </row>
    <row r="1461" spans="1:12">
      <c r="A1461" s="20" t="s">
        <v>993</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1696</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1425</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1028</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1697</v>
      </c>
      <c r="B1465" s="21" t="s">
        <v>991</v>
      </c>
      <c r="C1465" s="21" t="s">
        <v>1040</v>
      </c>
      <c r="D1465" s="21" t="s">
        <v>985</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1126</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1294</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1308</v>
      </c>
      <c r="B1468" s="21" t="s">
        <v>991</v>
      </c>
      <c r="C1468" s="21" t="s">
        <v>1086</v>
      </c>
      <c r="D1468" s="21" t="s">
        <v>985</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1099</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1100</v>
      </c>
      <c r="B1470" s="21" t="s">
        <v>1037</v>
      </c>
      <c r="C1470" s="21" t="s">
        <v>1063</v>
      </c>
      <c r="D1470" s="21" t="s">
        <v>985</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1052</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1698</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1699</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1038</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1205</v>
      </c>
      <c r="B1475" s="21" t="s">
        <v>991</v>
      </c>
      <c r="C1475" s="21" t="s">
        <v>1040</v>
      </c>
      <c r="D1475" s="21" t="s">
        <v>985</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1126</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1032</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row>
    <row r="1479" spans="1:12">
      <c r="A1479" s="20" t="s">
        <v>1700</v>
      </c>
    </row>
    <row r="1480" spans="1:12">
      <c r="A1480" s="20" t="s">
        <v>1211</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1701</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1011</v>
      </c>
      <c r="B1482" s="21" t="s">
        <v>1000</v>
      </c>
      <c r="C1482" s="21" t="s">
        <v>984</v>
      </c>
      <c r="D1482" s="21" t="s">
        <v>985</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1326</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1058</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988</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1702</v>
      </c>
      <c r="B1486" s="21" t="s">
        <v>1037</v>
      </c>
      <c r="C1486" s="21" t="s">
        <v>996</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1703</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1283</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1009</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1255</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1028</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1377</v>
      </c>
      <c r="B1492" s="21" t="s">
        <v>983</v>
      </c>
      <c r="C1492" s="21" t="s">
        <v>1040</v>
      </c>
      <c r="D1492" s="21" t="s">
        <v>985</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989</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1038</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1704</v>
      </c>
      <c r="B1495" s="21" t="s">
        <v>1037</v>
      </c>
      <c r="C1495" s="21" t="s">
        <v>1040</v>
      </c>
      <c r="D1495" s="21" t="s">
        <v>985</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225</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1032</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row>
    <row r="1499" spans="1:12">
      <c r="A1499" s="20" t="s">
        <v>1705</v>
      </c>
    </row>
    <row r="1500" spans="1:12">
      <c r="A1500" s="20" t="s">
        <v>1069</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988</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1706</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1707</v>
      </c>
      <c r="B1503" s="21" t="s">
        <v>991</v>
      </c>
      <c r="C1503" s="21" t="s">
        <v>996</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119</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1139</v>
      </c>
      <c r="B1505" s="21" t="s">
        <v>983</v>
      </c>
      <c r="C1505" s="21" t="s">
        <v>1063</v>
      </c>
      <c r="D1505" s="21" t="s">
        <v>985</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1166</v>
      </c>
      <c r="B1506" s="21" t="s">
        <v>1037</v>
      </c>
      <c r="C1506" s="21" t="s">
        <v>1128</v>
      </c>
      <c r="D1506" s="21" t="s">
        <v>985</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1697</v>
      </c>
      <c r="B1507" s="21" t="s">
        <v>1176</v>
      </c>
      <c r="C1507" s="21" t="s">
        <v>1021</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1326</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1577</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1708</v>
      </c>
      <c r="B1510" s="21" t="s">
        <v>983</v>
      </c>
      <c r="C1510" s="21" t="s">
        <v>1021</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315</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1709</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1032</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91</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row>
    <row r="1516" spans="1:12">
      <c r="A1516" s="20" t="s">
        <v>1710</v>
      </c>
    </row>
    <row r="1517" spans="1:12">
      <c r="A1517" s="20" t="s">
        <v>1211</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1711</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1139</v>
      </c>
      <c r="B1519" s="21" t="s">
        <v>983</v>
      </c>
      <c r="C1519" s="21" t="s">
        <v>1063</v>
      </c>
      <c r="D1519" s="21" t="s">
        <v>985</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1100</v>
      </c>
      <c r="B1520" s="21" t="s">
        <v>1176</v>
      </c>
      <c r="C1520" s="21" t="s">
        <v>1063</v>
      </c>
      <c r="D1520" s="21" t="s">
        <v>985</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1234</v>
      </c>
      <c r="B1521" s="21" t="s">
        <v>983</v>
      </c>
      <c r="C1521" s="21" t="s">
        <v>1063</v>
      </c>
      <c r="D1521" s="21" t="s">
        <v>985</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319</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1126</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1712</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1713</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1714</v>
      </c>
      <c r="B1526" s="21" t="s">
        <v>991</v>
      </c>
      <c r="C1526" s="21" t="s">
        <v>1021</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1216</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91</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row>
    <row r="1530" spans="1:12">
      <c r="A1530" s="20" t="s">
        <v>1715</v>
      </c>
    </row>
    <row r="1531" spans="1:12">
      <c r="A1531" s="20" t="s">
        <v>1211</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1316</v>
      </c>
      <c r="B1532" s="21" t="s">
        <v>1037</v>
      </c>
      <c r="C1532" s="21" t="s">
        <v>992</v>
      </c>
      <c r="D1532" s="21" t="s">
        <v>985</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1009</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1262</v>
      </c>
      <c r="B1534" s="21" t="s">
        <v>983</v>
      </c>
      <c r="C1534" s="21" t="s">
        <v>1035</v>
      </c>
      <c r="D1534" s="21" t="s">
        <v>985</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1255</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1716</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1717</v>
      </c>
      <c r="B1537" s="21" t="s">
        <v>1037</v>
      </c>
      <c r="C1537" s="21" t="s">
        <v>1006</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1201</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1718</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69</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225</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1032</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91</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row>
    <row r="1545" spans="1:12">
      <c r="A1545" s="20" t="s">
        <v>1719</v>
      </c>
    </row>
    <row r="1546" spans="1:12">
      <c r="A1546" s="20" t="s">
        <v>1069</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1038</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1720</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1721</v>
      </c>
      <c r="B1549" s="21" t="s">
        <v>991</v>
      </c>
      <c r="C1549" s="21" t="s">
        <v>1040</v>
      </c>
      <c r="D1549" s="21" t="s">
        <v>985</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1009</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1087</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1047</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1722</v>
      </c>
      <c r="B1553" s="21" t="s">
        <v>1016</v>
      </c>
      <c r="C1553" s="21" t="s">
        <v>1040</v>
      </c>
      <c r="D1553" s="21" t="s">
        <v>985</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1723</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1009</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1724</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1139</v>
      </c>
      <c r="B1557" s="21" t="s">
        <v>1012</v>
      </c>
      <c r="C1557" s="21" t="s">
        <v>1063</v>
      </c>
      <c r="D1557" s="21" t="s">
        <v>985</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1099</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1725</v>
      </c>
      <c r="B1559" s="21" t="s">
        <v>1054</v>
      </c>
      <c r="C1559" s="21" t="s">
        <v>984</v>
      </c>
      <c r="D1559" s="21" t="s">
        <v>985</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1442</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1009</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1726</v>
      </c>
      <c r="B1562" s="21" t="s">
        <v>1223</v>
      </c>
      <c r="C1562" s="21" t="s">
        <v>984</v>
      </c>
      <c r="D1562" s="21" t="s">
        <v>985</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285</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1727</v>
      </c>
      <c r="B1564" s="21" t="s">
        <v>1062</v>
      </c>
      <c r="C1564" s="21" t="s">
        <v>1001</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1728</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1300</v>
      </c>
      <c r="B1566" s="21" t="s">
        <v>1050</v>
      </c>
      <c r="C1566" s="21" t="s">
        <v>996</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989</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1038</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1179</v>
      </c>
      <c r="B1569" s="21" t="s">
        <v>1050</v>
      </c>
      <c r="C1569" s="21" t="s">
        <v>1040</v>
      </c>
      <c r="D1569" s="21" t="s">
        <v>985</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1301</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1162</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1009</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1082</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1107</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987</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1729</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1730</v>
      </c>
      <c r="B1577" s="21" t="s">
        <v>1050</v>
      </c>
      <c r="C1577" s="21" t="s">
        <v>1035</v>
      </c>
      <c r="D1577" s="21" t="s">
        <v>985</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1731</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1653</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1732</v>
      </c>
      <c r="B1580" s="21" t="s">
        <v>1016</v>
      </c>
      <c r="C1580" s="21" t="s">
        <v>1092</v>
      </c>
      <c r="D1580" s="21" t="s">
        <v>985</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1009</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1733</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1734</v>
      </c>
      <c r="B1583" s="21" t="s">
        <v>1012</v>
      </c>
      <c r="C1583" s="21" t="s">
        <v>1086</v>
      </c>
      <c r="D1583" s="21" t="s">
        <v>985</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989</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1038</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1543</v>
      </c>
      <c r="B1586" s="21" t="s">
        <v>1050</v>
      </c>
      <c r="C1586" s="21" t="s">
        <v>1040</v>
      </c>
      <c r="D1586" s="21" t="s">
        <v>985</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1735</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1736</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1737</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1683</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1052</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1738</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1099</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1032</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row>
    <row r="1596" spans="1:12">
      <c r="A1596" s="20" t="s">
        <v>1739</v>
      </c>
    </row>
    <row r="1597" spans="1:12">
      <c r="A1597" s="20" t="s">
        <v>1211</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1188</v>
      </c>
      <c r="B1598" s="21" t="s">
        <v>1012</v>
      </c>
      <c r="C1598" s="21" t="s">
        <v>1063</v>
      </c>
      <c r="D1598" s="21" t="s">
        <v>985</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1242</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1025</v>
      </c>
      <c r="B1600" s="21" t="s">
        <v>1037</v>
      </c>
      <c r="C1600" s="21" t="s">
        <v>1001</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1740</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1741</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91</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1009</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1305</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993</v>
      </c>
      <c r="B1606" s="21" t="s">
        <v>983</v>
      </c>
      <c r="C1606" s="21" t="s">
        <v>992</v>
      </c>
      <c r="D1606" s="21" t="s">
        <v>985</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1032</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row>
    <row r="1609" spans="1:12">
      <c r="A1609" s="20" t="s">
        <v>1742</v>
      </c>
    </row>
    <row r="1610" spans="1:12">
      <c r="A1610" s="20" t="s">
        <v>1211</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1188</v>
      </c>
      <c r="B1611" s="21" t="s">
        <v>983</v>
      </c>
      <c r="C1611" s="21" t="s">
        <v>1063</v>
      </c>
      <c r="D1611" s="21" t="s">
        <v>985</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1743</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1326</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1262</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1065</v>
      </c>
      <c r="B1615" s="21" t="s">
        <v>1176</v>
      </c>
      <c r="C1615" s="21" t="s">
        <v>1040</v>
      </c>
      <c r="D1615" s="21" t="s">
        <v>985</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1744</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1011</v>
      </c>
      <c r="B1617" s="21" t="s">
        <v>983</v>
      </c>
      <c r="C1617" s="21" t="s">
        <v>984</v>
      </c>
      <c r="D1617" s="21" t="s">
        <v>985</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1745</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1255</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1009</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1027</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1011</v>
      </c>
      <c r="B1622" s="21" t="s">
        <v>1000</v>
      </c>
      <c r="C1622" s="21" t="s">
        <v>984</v>
      </c>
      <c r="D1622" s="21" t="s">
        <v>985</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1100</v>
      </c>
      <c r="B1623" s="21" t="s">
        <v>1003</v>
      </c>
      <c r="C1623" s="21" t="s">
        <v>1063</v>
      </c>
      <c r="D1623" s="21" t="s">
        <v>985</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1746</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1591</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1032</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row>
    <row r="1628" spans="1:12">
      <c r="A1628" s="20" t="s">
        <v>1747</v>
      </c>
    </row>
    <row r="1629" spans="1:12">
      <c r="A1629" s="20" t="s">
        <v>1748</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1749</v>
      </c>
      <c r="B1630" s="21" t="s">
        <v>1037</v>
      </c>
      <c r="C1630" s="21" t="s">
        <v>1001</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1750</v>
      </c>
      <c r="B1631" s="21" t="s">
        <v>991</v>
      </c>
      <c r="C1631" s="21" t="s">
        <v>1066</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1751</v>
      </c>
      <c r="B1632" s="21" t="s">
        <v>1176</v>
      </c>
      <c r="C1632" s="21" t="s">
        <v>984</v>
      </c>
      <c r="D1632" s="21" t="s">
        <v>985</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333</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1009</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1524</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1139</v>
      </c>
      <c r="B1636" s="21" t="s">
        <v>1000</v>
      </c>
      <c r="C1636" s="21" t="s">
        <v>1063</v>
      </c>
      <c r="D1636" s="21" t="s">
        <v>985</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1100</v>
      </c>
      <c r="B1637" s="21" t="s">
        <v>1003</v>
      </c>
      <c r="C1637" s="21" t="s">
        <v>1063</v>
      </c>
      <c r="D1637" s="21" t="s">
        <v>985</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65</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1032</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91</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row>
    <row r="1642" spans="1:12">
      <c r="A1642" s="20" t="s">
        <v>1752</v>
      </c>
    </row>
    <row r="1643" spans="1:12">
      <c r="A1643" s="20" t="s">
        <v>1478</v>
      </c>
      <c r="B1643" s="21" t="s">
        <v>983</v>
      </c>
      <c r="C1643" s="21" t="s">
        <v>984</v>
      </c>
      <c r="D1643" s="21" t="s">
        <v>985</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1753</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1232</v>
      </c>
      <c r="B1645" s="21" t="s">
        <v>1176</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1560</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1052</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1754</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225</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1755</v>
      </c>
      <c r="B1650" s="21" t="s">
        <v>1003</v>
      </c>
      <c r="C1650" s="21" t="s">
        <v>1006</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1756</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1757</v>
      </c>
      <c r="B1652" s="21" t="s">
        <v>1054</v>
      </c>
      <c r="C1652" s="21" t="s">
        <v>1021</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1032</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row>
    <row r="1655" spans="1:12">
      <c r="A1655" s="20" t="s">
        <v>1758</v>
      </c>
    </row>
    <row r="1656" spans="1:12">
      <c r="A1656" s="20" t="s">
        <v>1211</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1759</v>
      </c>
      <c r="B1657" s="21" t="s">
        <v>983</v>
      </c>
      <c r="C1657" s="21" t="s">
        <v>1021</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1760</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341</v>
      </c>
      <c r="B1659" s="21" t="s">
        <v>991</v>
      </c>
      <c r="C1659" s="21" t="s">
        <v>992</v>
      </c>
      <c r="D1659" s="21" t="s">
        <v>985</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1009</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1080</v>
      </c>
      <c r="B1661" s="21" t="s">
        <v>1000</v>
      </c>
      <c r="C1661" s="21" t="s">
        <v>984</v>
      </c>
      <c r="D1661" s="21" t="s">
        <v>985</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1761</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1762</v>
      </c>
      <c r="B1663" s="21" t="s">
        <v>1012</v>
      </c>
      <c r="C1663" s="21" t="s">
        <v>984</v>
      </c>
      <c r="D1663" s="21" t="s">
        <v>985</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250</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1032</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91</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row>
    <row r="1668" spans="1:12">
      <c r="A1668" s="20" t="s">
        <v>1763</v>
      </c>
    </row>
    <row r="1669" spans="1:12">
      <c r="A1669" s="20" t="s">
        <v>1282</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1475</v>
      </c>
      <c r="B1670" s="21" t="s">
        <v>983</v>
      </c>
      <c r="C1670" s="21" t="s">
        <v>1040</v>
      </c>
      <c r="D1670" s="21" t="s">
        <v>985</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1764</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1455</v>
      </c>
      <c r="B1672" s="21" t="s">
        <v>1037</v>
      </c>
      <c r="C1672" s="21" t="s">
        <v>1021</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1765</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1047</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1766</v>
      </c>
      <c r="B1675" s="21" t="s">
        <v>1176</v>
      </c>
      <c r="C1675" s="21" t="s">
        <v>1040</v>
      </c>
      <c r="D1675" s="21" t="s">
        <v>985</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1158</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1767</v>
      </c>
      <c r="B1677" s="21" t="s">
        <v>1037</v>
      </c>
      <c r="C1677" s="21" t="s">
        <v>1040</v>
      </c>
      <c r="D1677" s="21" t="s">
        <v>985</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1032</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row>
    <row r="1680" spans="1:12">
      <c r="A1680" s="20" t="s">
        <v>1768</v>
      </c>
    </row>
    <row r="1681" spans="1:12">
      <c r="A1681" s="20" t="s">
        <v>1769</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1770</v>
      </c>
      <c r="B1682" s="21" t="s">
        <v>991</v>
      </c>
      <c r="C1682" s="21" t="s">
        <v>992</v>
      </c>
      <c r="D1682" s="21" t="s">
        <v>985</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1771</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1772</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1139</v>
      </c>
      <c r="B1685" s="21" t="s">
        <v>983</v>
      </c>
      <c r="C1685" s="21" t="s">
        <v>1063</v>
      </c>
      <c r="D1685" s="21" t="s">
        <v>985</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1773</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1126</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1047</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1589</v>
      </c>
      <c r="B1689" s="21" t="s">
        <v>991</v>
      </c>
      <c r="C1689" s="21" t="s">
        <v>1040</v>
      </c>
      <c r="D1689" s="21" t="s">
        <v>985</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1099</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1100</v>
      </c>
      <c r="B1691" s="21" t="s">
        <v>1054</v>
      </c>
      <c r="C1691" s="21" t="s">
        <v>1063</v>
      </c>
      <c r="D1691" s="21" t="s">
        <v>985</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1425</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1774</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1734</v>
      </c>
      <c r="B1694" s="21" t="s">
        <v>1037</v>
      </c>
      <c r="C1694" s="21" t="s">
        <v>1021</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1032</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row>
    <row r="1697" spans="1:12">
      <c r="A1697" s="20" t="s">
        <v>1775</v>
      </c>
    </row>
    <row r="1698" spans="1:12">
      <c r="A1698" s="20" t="s">
        <v>1096</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1455</v>
      </c>
      <c r="B1699" s="21" t="s">
        <v>983</v>
      </c>
      <c r="C1699" s="21" t="s">
        <v>1040</v>
      </c>
      <c r="D1699" s="21" t="s">
        <v>985</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1776</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1777</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1009</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1052</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1093</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1294</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1778</v>
      </c>
      <c r="B1706" s="21" t="s">
        <v>1054</v>
      </c>
      <c r="C1706" s="21" t="s">
        <v>1040</v>
      </c>
      <c r="D1706" s="21" t="s">
        <v>985</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1009</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1779</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1780</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1781</v>
      </c>
      <c r="B1710" s="21" t="s">
        <v>1050</v>
      </c>
      <c r="C1710" s="21" t="s">
        <v>996</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1009</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1782</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1028</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1783</v>
      </c>
      <c r="B1714" s="21" t="s">
        <v>1012</v>
      </c>
      <c r="C1714" s="21" t="s">
        <v>1040</v>
      </c>
      <c r="D1714" s="21" t="s">
        <v>985</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1126</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1009</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1294</v>
      </c>
      <c r="B1717" s="21" t="s">
        <v>1016</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1139</v>
      </c>
      <c r="B1718" s="21" t="s">
        <v>1012</v>
      </c>
      <c r="C1718" s="21" t="s">
        <v>1063</v>
      </c>
      <c r="D1718" s="21" t="s">
        <v>985</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1784</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1411</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1032</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row>
    <row r="1723" spans="1:12">
      <c r="A1723" s="20" t="s">
        <v>1785</v>
      </c>
    </row>
    <row r="1724" spans="1:12">
      <c r="A1724" s="20" t="s">
        <v>1786</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1011</v>
      </c>
      <c r="B1725" s="21" t="s">
        <v>983</v>
      </c>
      <c r="C1725" s="21" t="s">
        <v>984</v>
      </c>
      <c r="D1725" s="21" t="s">
        <v>985</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1232</v>
      </c>
      <c r="B1726" s="21" t="s">
        <v>1176</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1557</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1009</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1123</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1011</v>
      </c>
      <c r="B1730" s="21" t="s">
        <v>1012</v>
      </c>
      <c r="C1730" s="21" t="s">
        <v>984</v>
      </c>
      <c r="D1730" s="21" t="s">
        <v>985</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1058</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1047</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1787</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1009</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1788</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1594</v>
      </c>
      <c r="B1736" s="21" t="s">
        <v>1054</v>
      </c>
      <c r="C1736" s="21" t="s">
        <v>1040</v>
      </c>
      <c r="D1736" s="21" t="s">
        <v>985</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1789</v>
      </c>
      <c r="B1737" s="21" t="s">
        <v>1050</v>
      </c>
      <c r="C1737" s="21" t="s">
        <v>992</v>
      </c>
      <c r="D1737" s="21" t="s">
        <v>985</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1790</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1011</v>
      </c>
      <c r="B1739" s="21" t="s">
        <v>1012</v>
      </c>
      <c r="C1739" s="21" t="s">
        <v>984</v>
      </c>
      <c r="D1739" s="21" t="s">
        <v>985</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1791</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1294</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1295</v>
      </c>
      <c r="B1742" s="21" t="s">
        <v>1003</v>
      </c>
      <c r="C1742" s="21" t="s">
        <v>1040</v>
      </c>
      <c r="D1742" s="21" t="s">
        <v>985</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159</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1009</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1487</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1121</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1149</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1792</v>
      </c>
      <c r="B1748" s="21" t="s">
        <v>1037</v>
      </c>
      <c r="C1748" s="21" t="s">
        <v>1006</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1793</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1794</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1294</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1090</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1795</v>
      </c>
      <c r="B1753" s="21" t="s">
        <v>1016</v>
      </c>
      <c r="C1753" s="21" t="s">
        <v>1040</v>
      </c>
      <c r="D1753" s="21" t="s">
        <v>985</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1379</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1100</v>
      </c>
      <c r="B1755" s="21" t="s">
        <v>1050</v>
      </c>
      <c r="C1755" s="21" t="s">
        <v>1063</v>
      </c>
      <c r="D1755" s="21" t="s">
        <v>985</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1796</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1009</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1797</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1468</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1011</v>
      </c>
      <c r="B1760" s="21" t="s">
        <v>1223</v>
      </c>
      <c r="C1760" s="21" t="s">
        <v>984</v>
      </c>
      <c r="D1760" s="21" t="s">
        <v>985</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1232</v>
      </c>
      <c r="B1761" s="21" t="s">
        <v>1020</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1047</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1601</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1798</v>
      </c>
      <c r="B1764" s="21" t="s">
        <v>1020</v>
      </c>
      <c r="C1764" s="21" t="s">
        <v>1040</v>
      </c>
      <c r="D1764" s="21" t="s">
        <v>985</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1799</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1800</v>
      </c>
      <c r="B1766" s="21" t="s">
        <v>1050</v>
      </c>
      <c r="C1766" s="21" t="s">
        <v>1001</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1009</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1028</v>
      </c>
      <c r="B1768" s="21" t="s">
        <v>1000</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1232</v>
      </c>
      <c r="B1769" s="21" t="s">
        <v>1003</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1326</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1801</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1802</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1032</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row>
    <row r="1775" spans="1:12">
      <c r="A1775" s="20" t="s">
        <v>1803</v>
      </c>
    </row>
    <row r="1776" spans="1:12">
      <c r="A1776" s="20" t="s">
        <v>1211</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1804</v>
      </c>
      <c r="B1777" s="21" t="s">
        <v>1000</v>
      </c>
      <c r="C1777" s="21" t="s">
        <v>1021</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1238</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91</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1805</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993</v>
      </c>
      <c r="B1781" s="21" t="s">
        <v>1003</v>
      </c>
      <c r="C1781" s="21" t="s">
        <v>992</v>
      </c>
      <c r="D1781" s="21" t="s">
        <v>985</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1009</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1052</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1080</v>
      </c>
      <c r="B1784" s="21" t="s">
        <v>1012</v>
      </c>
      <c r="C1784" s="21" t="s">
        <v>984</v>
      </c>
      <c r="D1784" s="21" t="s">
        <v>985</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1448</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1262</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1806</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1807</v>
      </c>
      <c r="B1788" s="21" t="s">
        <v>1016</v>
      </c>
      <c r="C1788" s="21" t="s">
        <v>1040</v>
      </c>
      <c r="D1788" s="21" t="s">
        <v>985</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988</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1808</v>
      </c>
      <c r="B1790" s="21" t="s">
        <v>1050</v>
      </c>
      <c r="C1790" s="21" t="s">
        <v>996</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1009</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1809</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1156</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1032</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row>
    <row r="1796" spans="1:12">
      <c r="A1796" s="20" t="s">
        <v>1810</v>
      </c>
    </row>
    <row r="1797" spans="1:12">
      <c r="A1797" s="20" t="s">
        <v>1211</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364</v>
      </c>
      <c r="B1798" s="21" t="s">
        <v>991</v>
      </c>
      <c r="C1798" s="21" t="s">
        <v>1021</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1238</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row>
    <row r="1801" spans="1:12">
      <c r="A1801" s="20" t="s">
        <v>1811</v>
      </c>
    </row>
    <row r="1802" spans="1:12">
      <c r="A1802" s="20" t="s">
        <v>1478</v>
      </c>
      <c r="B1802" s="21" t="s">
        <v>983</v>
      </c>
      <c r="C1802" s="21" t="s">
        <v>984</v>
      </c>
      <c r="D1802" s="21" t="s">
        <v>985</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1566</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1238</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91</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row>
    <row r="1807" spans="1:12">
      <c r="A1807" s="20" t="s">
        <v>1812</v>
      </c>
    </row>
    <row r="1808" spans="1:12">
      <c r="A1808" s="20" t="s">
        <v>1813</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1814</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1361</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1038</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1815</v>
      </c>
      <c r="B1812" s="21" t="s">
        <v>991</v>
      </c>
      <c r="C1812" s="21" t="s">
        <v>1040</v>
      </c>
      <c r="D1812" s="21" t="s">
        <v>985</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1089</v>
      </c>
      <c r="B1813" s="21" t="s">
        <v>1054</v>
      </c>
      <c r="C1813" s="21" t="s">
        <v>1035</v>
      </c>
      <c r="D1813" s="21" t="s">
        <v>985</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1816</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1722</v>
      </c>
      <c r="B1815" s="21" t="s">
        <v>1037</v>
      </c>
      <c r="C1815" s="21" t="s">
        <v>1092</v>
      </c>
      <c r="D1815" s="21" t="s">
        <v>985</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1817</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285</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1818</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1819</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1009</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1820</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1821</v>
      </c>
      <c r="B1822" s="21" t="s">
        <v>983</v>
      </c>
      <c r="C1822" s="21" t="s">
        <v>996</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1032</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row>
    <row r="1825" spans="1:12">
      <c r="A1825" s="20" t="s">
        <v>1822</v>
      </c>
    </row>
    <row r="1826" spans="1:12">
      <c r="A1826" s="20" t="s">
        <v>1096</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1823</v>
      </c>
      <c r="B1827" s="21" t="s">
        <v>983</v>
      </c>
      <c r="C1827" s="21" t="s">
        <v>1040</v>
      </c>
      <c r="D1827" s="21" t="s">
        <v>985</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1529</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1299</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1824</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1300</v>
      </c>
      <c r="B1831" s="21" t="s">
        <v>1054</v>
      </c>
      <c r="C1831" s="21" t="s">
        <v>1066</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1099</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1825</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1052</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1139</v>
      </c>
      <c r="B1835" s="21" t="s">
        <v>1000</v>
      </c>
      <c r="C1835" s="21" t="s">
        <v>1063</v>
      </c>
      <c r="D1835" s="21" t="s">
        <v>985</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1772</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1369</v>
      </c>
      <c r="B1837" s="21" t="s">
        <v>1176</v>
      </c>
      <c r="C1837" s="21" t="s">
        <v>1063</v>
      </c>
      <c r="D1837" s="21" t="s">
        <v>985</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1826</v>
      </c>
      <c r="B1838" s="21" t="s">
        <v>1037</v>
      </c>
      <c r="C1838" s="21" t="s">
        <v>1001</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1827</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1121</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1058</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1028</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1828</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1168</v>
      </c>
      <c r="B1844" s="21" t="s">
        <v>1037</v>
      </c>
      <c r="C1844" s="21" t="s">
        <v>1040</v>
      </c>
      <c r="D1844" s="21" t="s">
        <v>985</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1009</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1115</v>
      </c>
      <c r="B1846" s="21" t="s">
        <v>1012</v>
      </c>
      <c r="C1846" s="21" t="s">
        <v>1063</v>
      </c>
      <c r="D1846" s="21" t="s">
        <v>985</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1073</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1829</v>
      </c>
      <c r="B1848" s="21" t="s">
        <v>1054</v>
      </c>
      <c r="C1848" s="21" t="s">
        <v>1021</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1801</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1361</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1725</v>
      </c>
      <c r="B1851" s="21" t="s">
        <v>1054</v>
      </c>
      <c r="C1851" s="21" t="s">
        <v>984</v>
      </c>
      <c r="D1851" s="21" t="s">
        <v>985</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1830</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1831</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1032</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row>
    <row r="1856" spans="1:12">
      <c r="A1856" s="20" t="s">
        <v>1832</v>
      </c>
    </row>
    <row r="1857" spans="1:12">
      <c r="A1857" s="20" t="s">
        <v>1118</v>
      </c>
      <c r="B1857" s="21" t="s">
        <v>983</v>
      </c>
      <c r="C1857" s="21" t="s">
        <v>984</v>
      </c>
      <c r="D1857" s="21" t="s">
        <v>985</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1055</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1833</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1834</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993</v>
      </c>
      <c r="B1861" s="21" t="s">
        <v>991</v>
      </c>
      <c r="C1861" s="21" t="s">
        <v>992</v>
      </c>
      <c r="D1861" s="21" t="s">
        <v>985</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1835</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1836</v>
      </c>
      <c r="B1863" s="21" t="s">
        <v>1003</v>
      </c>
      <c r="C1863" s="21" t="s">
        <v>984</v>
      </c>
      <c r="D1863" s="21" t="s">
        <v>985</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1780</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1837</v>
      </c>
      <c r="B1865" s="21" t="s">
        <v>1054</v>
      </c>
      <c r="C1865" s="21" t="s">
        <v>996</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1838</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1058</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1262</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1839</v>
      </c>
      <c r="B1869" s="21" t="s">
        <v>1037</v>
      </c>
      <c r="C1869" s="21" t="s">
        <v>1040</v>
      </c>
      <c r="D1869" s="21" t="s">
        <v>985</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1032</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row>
    <row r="1872" spans="1:12">
      <c r="A1872" s="20" t="s">
        <v>1840</v>
      </c>
    </row>
    <row r="1873" spans="1:12">
      <c r="A1873" s="20" t="s">
        <v>982</v>
      </c>
      <c r="B1873" s="21" t="s">
        <v>983</v>
      </c>
      <c r="C1873" s="21" t="s">
        <v>984</v>
      </c>
      <c r="D1873" s="21" t="s">
        <v>985</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986</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1419</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1052</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1841</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1842</v>
      </c>
      <c r="B1878" s="21" t="s">
        <v>983</v>
      </c>
      <c r="C1878" s="21" t="s">
        <v>1021</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1843</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1058</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1038</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1844</v>
      </c>
      <c r="B1882" s="21" t="s">
        <v>1037</v>
      </c>
      <c r="C1882" s="21" t="s">
        <v>1040</v>
      </c>
      <c r="D1882" s="21" t="s">
        <v>985</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1032</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row>
    <row r="1885" spans="1:12">
      <c r="A1885" s="20" t="s">
        <v>1845</v>
      </c>
    </row>
    <row r="1886" spans="1:12">
      <c r="A1886" s="20" t="s">
        <v>1846</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1847</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1848</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225</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1849</v>
      </c>
      <c r="B1890" s="21" t="s">
        <v>983</v>
      </c>
      <c r="C1890" s="21" t="s">
        <v>1006</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1850</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1851</v>
      </c>
      <c r="B1892" s="21" t="s">
        <v>1003</v>
      </c>
      <c r="C1892" s="21" t="s">
        <v>1021</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1852</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1232</v>
      </c>
      <c r="B1894" s="21" t="s">
        <v>1003</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1853</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1032</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row>
    <row r="1898" spans="1:12">
      <c r="A1898" s="20" t="s">
        <v>1854</v>
      </c>
    </row>
    <row r="1899" spans="1:12">
      <c r="A1899" s="20" t="s">
        <v>1069</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1038</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1720</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1837</v>
      </c>
      <c r="B1902" s="21" t="s">
        <v>991</v>
      </c>
      <c r="C1902" s="21" t="s">
        <v>1040</v>
      </c>
      <c r="D1902" s="21" t="s">
        <v>985</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1855</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1215</v>
      </c>
      <c r="B1904" s="21" t="s">
        <v>983</v>
      </c>
      <c r="C1904" s="21" t="s">
        <v>992</v>
      </c>
      <c r="D1904" s="21" t="s">
        <v>985</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1856</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1361</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1052</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894</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1232</v>
      </c>
      <c r="B1909" s="21" t="s">
        <v>1003</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1425</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1038</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1839</v>
      </c>
      <c r="B1912" s="21" t="s">
        <v>1037</v>
      </c>
      <c r="C1912" s="21" t="s">
        <v>1040</v>
      </c>
      <c r="D1912" s="21" t="s">
        <v>985</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1201</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1857</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1126</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1294</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1858</v>
      </c>
      <c r="B1917" s="21" t="s">
        <v>1054</v>
      </c>
      <c r="C1917" s="21" t="s">
        <v>1040</v>
      </c>
      <c r="D1917" s="21" t="s">
        <v>985</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1859</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1126</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1009</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1224</v>
      </c>
      <c r="B1921" s="21" t="s">
        <v>1054</v>
      </c>
      <c r="C1921" s="21" t="s">
        <v>1128</v>
      </c>
      <c r="D1921" s="21" t="s">
        <v>985</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1697</v>
      </c>
      <c r="B1922" s="21" t="s">
        <v>1003</v>
      </c>
      <c r="C1922" s="21" t="s">
        <v>1021</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1860</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1201</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1028</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1808</v>
      </c>
      <c r="B1926" s="21" t="s">
        <v>1037</v>
      </c>
      <c r="C1926" s="21" t="s">
        <v>1040</v>
      </c>
      <c r="D1926" s="21" t="s">
        <v>985</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1009</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1082</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1861</v>
      </c>
      <c r="B1929" s="21" t="s">
        <v>1050</v>
      </c>
      <c r="C1929" s="21" t="s">
        <v>1128</v>
      </c>
      <c r="D1929" s="21" t="s">
        <v>985</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1862</v>
      </c>
      <c r="B1930" s="21" t="s">
        <v>1012</v>
      </c>
      <c r="C1930" s="21" t="s">
        <v>992</v>
      </c>
      <c r="D1930" s="21" t="s">
        <v>985</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986</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1863</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1093</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1262</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1864</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1865</v>
      </c>
      <c r="B1936" s="21" t="s">
        <v>1037</v>
      </c>
      <c r="C1936" s="21" t="s">
        <v>1040</v>
      </c>
      <c r="D1936" s="21" t="s">
        <v>985</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1009</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1262</v>
      </c>
      <c r="B1938" s="21" t="s">
        <v>1223</v>
      </c>
      <c r="C1938" s="21" t="s">
        <v>1063</v>
      </c>
      <c r="D1938" s="21" t="s">
        <v>985</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1099</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1100</v>
      </c>
      <c r="B1940" s="21" t="s">
        <v>1050</v>
      </c>
      <c r="C1940" s="21" t="s">
        <v>1063</v>
      </c>
      <c r="D1940" s="21" t="s">
        <v>985</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1361</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1294</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1866</v>
      </c>
      <c r="B1943" s="21" t="s">
        <v>1050</v>
      </c>
      <c r="C1943" s="21" t="s">
        <v>1040</v>
      </c>
      <c r="D1943" s="21" t="s">
        <v>985</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1867</v>
      </c>
      <c r="B1944" s="21" t="s">
        <v>1062</v>
      </c>
      <c r="C1944" s="21" t="s">
        <v>992</v>
      </c>
      <c r="D1944" s="21" t="s">
        <v>985</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1868</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1817</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1032</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row>
    <row r="1949" spans="1:12">
      <c r="A1949" s="20" t="s">
        <v>1869</v>
      </c>
    </row>
    <row r="1950" spans="1:12">
      <c r="A1950" s="20" t="s">
        <v>982</v>
      </c>
      <c r="B1950" s="21" t="s">
        <v>983</v>
      </c>
      <c r="C1950" s="21" t="s">
        <v>984</v>
      </c>
      <c r="D1950" s="21" t="s">
        <v>985</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986</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285</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705</v>
      </c>
      <c r="B1953" s="21" t="s">
        <v>991</v>
      </c>
      <c r="C1953" s="21" t="s">
        <v>996</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1009</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285</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1870</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1009</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1871</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1872</v>
      </c>
      <c r="B1959" s="21" t="s">
        <v>1012</v>
      </c>
      <c r="C1959" s="21" t="s">
        <v>996</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1061</v>
      </c>
      <c r="B1960" s="21" t="s">
        <v>1054</v>
      </c>
      <c r="C1960" s="21" t="s">
        <v>1063</v>
      </c>
      <c r="D1960" s="21" t="s">
        <v>985</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705</v>
      </c>
      <c r="B1961" s="21" t="s">
        <v>1003</v>
      </c>
      <c r="C1961" s="21" t="s">
        <v>1066</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1009</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1087</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1762</v>
      </c>
      <c r="B1964" s="21" t="s">
        <v>1003</v>
      </c>
      <c r="C1964" s="21" t="s">
        <v>984</v>
      </c>
      <c r="D1964" s="21" t="s">
        <v>985</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1873</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1842</v>
      </c>
      <c r="B1966" s="21" t="s">
        <v>1000</v>
      </c>
      <c r="C1966" s="21" t="s">
        <v>1021</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1874</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1875</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21</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1032</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row>
    <row r="1972" spans="1:12">
      <c r="A1972" s="20" t="s">
        <v>1876</v>
      </c>
    </row>
    <row r="1973" spans="1:12">
      <c r="A1973" s="20" t="s">
        <v>1877</v>
      </c>
      <c r="B1973" s="21" t="s">
        <v>983</v>
      </c>
      <c r="C1973" s="21" t="s">
        <v>992</v>
      </c>
      <c r="D1973" s="21" t="s">
        <v>985</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1878</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1879</v>
      </c>
      <c r="B1975" s="21" t="s">
        <v>1037</v>
      </c>
      <c r="C1975" s="21" t="s">
        <v>1001</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1880</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1881</v>
      </c>
      <c r="B1977" s="21" t="s">
        <v>1176</v>
      </c>
      <c r="C1977" s="21" t="s">
        <v>1006</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1009</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1361</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1294</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1842</v>
      </c>
      <c r="B1981" s="21" t="s">
        <v>1054</v>
      </c>
      <c r="C1981" s="21" t="s">
        <v>1040</v>
      </c>
      <c r="D1981" s="21" t="s">
        <v>985</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1882</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1883</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1884</v>
      </c>
      <c r="B1984" s="21" t="s">
        <v>1176</v>
      </c>
      <c r="C1984" s="21" t="s">
        <v>1021</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1009</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1885</v>
      </c>
      <c r="B1986" s="21" t="s">
        <v>1037</v>
      </c>
      <c r="C1986" s="21" t="s">
        <v>1021</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1052</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1886</v>
      </c>
      <c r="B1988" s="21" t="s">
        <v>1037</v>
      </c>
      <c r="C1988" s="21" t="s">
        <v>1021</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989</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1887</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1888</v>
      </c>
      <c r="B1991" s="21" t="s">
        <v>1054</v>
      </c>
      <c r="C1991" s="21" t="s">
        <v>1021</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1889</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1032</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row>
    <row r="1995" spans="1:12">
      <c r="A1995" s="20" t="s">
        <v>1890</v>
      </c>
    </row>
    <row r="1996" spans="1:12">
      <c r="A1996" s="20" t="s">
        <v>1891</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1892</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1893</v>
      </c>
      <c r="B1998" s="21" t="s">
        <v>983</v>
      </c>
      <c r="C1998" s="21" t="s">
        <v>1021</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1279</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1894</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1895</v>
      </c>
      <c r="B2001" s="21" t="s">
        <v>1037</v>
      </c>
      <c r="C2001" s="21" t="s">
        <v>996</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285</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1896</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1009</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1897</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1009</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1898</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1899</v>
      </c>
      <c r="B2008" s="21" t="s">
        <v>1176</v>
      </c>
      <c r="C2008" s="21" t="s">
        <v>996</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397</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1123</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1900</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1901</v>
      </c>
      <c r="B2012" s="21" t="s">
        <v>991</v>
      </c>
      <c r="C2012" s="21" t="s">
        <v>1021</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1425</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1902</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1903</v>
      </c>
      <c r="B2015" s="21" t="s">
        <v>1054</v>
      </c>
      <c r="C2015" s="21" t="s">
        <v>1021</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1009</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1047</v>
      </c>
      <c r="B2017" s="21" t="s">
        <v>1012</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1100</v>
      </c>
      <c r="B2018" s="21" t="s">
        <v>1016</v>
      </c>
      <c r="C2018" s="21" t="s">
        <v>1063</v>
      </c>
      <c r="D2018" s="21" t="s">
        <v>985</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1361</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1028</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1904</v>
      </c>
      <c r="B2021" s="21" t="s">
        <v>1037</v>
      </c>
      <c r="C2021" s="21" t="s">
        <v>1040</v>
      </c>
      <c r="D2021" s="21" t="s">
        <v>985</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1032</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row>
    <row r="2024" spans="1:12">
      <c r="A2024" s="20" t="s">
        <v>1905</v>
      </c>
    </row>
    <row r="2025" spans="1:12">
      <c r="A2025" s="20" t="s">
        <v>1906</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1090</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1907</v>
      </c>
      <c r="B2027" s="21" t="s">
        <v>991</v>
      </c>
      <c r="C2027" s="21" t="s">
        <v>1021</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1878</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1262</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1908</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1909</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1899</v>
      </c>
      <c r="B2032" s="21" t="s">
        <v>983</v>
      </c>
      <c r="C2032" s="21" t="s">
        <v>1040</v>
      </c>
      <c r="D2032" s="21" t="s">
        <v>985</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1294</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1295</v>
      </c>
      <c r="B2034" s="21" t="s">
        <v>1176</v>
      </c>
      <c r="C2034" s="21" t="s">
        <v>1040</v>
      </c>
      <c r="D2034" s="21" t="s">
        <v>985</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159</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1009</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1910</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1833</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1126</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1294</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1911</v>
      </c>
      <c r="B2041" s="21" t="s">
        <v>1037</v>
      </c>
      <c r="C2041" s="21" t="s">
        <v>1040</v>
      </c>
      <c r="D2041" s="21" t="s">
        <v>985</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1032</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row>
    <row r="2044" spans="1:12">
      <c r="A2044" s="20" t="s">
        <v>1912</v>
      </c>
    </row>
    <row r="2045" spans="1:12">
      <c r="A2045" s="20" t="s">
        <v>1188</v>
      </c>
      <c r="B2045" s="21" t="s">
        <v>983</v>
      </c>
      <c r="C2045" s="21" t="s">
        <v>1063</v>
      </c>
      <c r="D2045" s="21" t="s">
        <v>985</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1162</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1913</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1914</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1093</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1047</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1915</v>
      </c>
      <c r="B2051" s="21" t="s">
        <v>991</v>
      </c>
      <c r="C2051" s="21" t="s">
        <v>1040</v>
      </c>
      <c r="D2051" s="21" t="s">
        <v>985</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1011</v>
      </c>
      <c r="B2052" s="21" t="s">
        <v>983</v>
      </c>
      <c r="C2052" s="21" t="s">
        <v>984</v>
      </c>
      <c r="D2052" s="21" t="s">
        <v>985</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1121</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1100</v>
      </c>
      <c r="B2054" s="21" t="s">
        <v>991</v>
      </c>
      <c r="C2054" s="21" t="s">
        <v>1063</v>
      </c>
      <c r="D2054" s="21" t="s">
        <v>985</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1793</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986</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1009</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1027</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1139</v>
      </c>
      <c r="B2059" s="21" t="s">
        <v>1000</v>
      </c>
      <c r="C2059" s="21" t="s">
        <v>1063</v>
      </c>
      <c r="D2059" s="21" t="s">
        <v>985</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1100</v>
      </c>
      <c r="B2060" s="21" t="s">
        <v>1003</v>
      </c>
      <c r="C2060" s="21" t="s">
        <v>1063</v>
      </c>
      <c r="D2060" s="21" t="s">
        <v>985</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1140</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1916</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1411</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1032</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row>
    <row r="2066" spans="1:12">
      <c r="A2066" s="20" t="s">
        <v>1917</v>
      </c>
    </row>
    <row r="2067" spans="1:12">
      <c r="A2067" s="20" t="s">
        <v>1331</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408</v>
      </c>
      <c r="B2068" s="21" t="s">
        <v>991</v>
      </c>
      <c r="C2068" s="21" t="s">
        <v>992</v>
      </c>
      <c r="D2068" s="21" t="s">
        <v>985</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1052</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1080</v>
      </c>
      <c r="B2070" s="21" t="s">
        <v>1000</v>
      </c>
      <c r="C2070" s="21" t="s">
        <v>984</v>
      </c>
      <c r="D2070" s="21" t="s">
        <v>985</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1918</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1009</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1052</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285</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1919</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1920</v>
      </c>
      <c r="B2076" s="21" t="s">
        <v>1037</v>
      </c>
      <c r="C2076" s="21" t="s">
        <v>996</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1028</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1921</v>
      </c>
      <c r="B2078" s="21" t="s">
        <v>1050</v>
      </c>
      <c r="C2078" s="21" t="s">
        <v>1040</v>
      </c>
      <c r="D2078" s="21" t="s">
        <v>985</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1922</v>
      </c>
      <c r="B2079" s="21" t="s">
        <v>1054</v>
      </c>
      <c r="C2079" s="21" t="s">
        <v>984</v>
      </c>
      <c r="D2079" s="21" t="s">
        <v>985</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1009</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1010</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1923</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988</v>
      </c>
      <c r="B2083" s="21" t="s">
        <v>1924</v>
      </c>
      <c r="C2083" s="21" t="s">
        <v>1001</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1925</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1018</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1032</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row>
    <row r="2088" spans="1:12">
      <c r="A2088" s="20" t="s">
        <v>1926</v>
      </c>
    </row>
    <row r="2089" spans="1:12">
      <c r="A2089" s="20" t="s">
        <v>1846</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1639</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1369</v>
      </c>
      <c r="B2091" s="21" t="s">
        <v>983</v>
      </c>
      <c r="C2091" s="21" t="s">
        <v>1063</v>
      </c>
      <c r="D2091" s="21" t="s">
        <v>985</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1326</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1927</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1928</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1929</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1032</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row>
    <row r="2098" spans="1:12">
      <c r="A2098" s="20" t="s">
        <v>1930</v>
      </c>
    </row>
    <row r="2099" spans="1:12">
      <c r="A2099" s="20" t="s">
        <v>1931</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1932</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1126</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1038</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1295</v>
      </c>
      <c r="B2103" s="21" t="s">
        <v>1037</v>
      </c>
      <c r="C2103" s="21" t="s">
        <v>1040</v>
      </c>
      <c r="D2103" s="21" t="s">
        <v>985</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1933</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1139</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1009</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1087</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694</v>
      </c>
      <c r="B2108" s="21" t="s">
        <v>991</v>
      </c>
      <c r="C2108" s="21" t="s">
        <v>992</v>
      </c>
      <c r="D2108" s="21" t="s">
        <v>985</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1399</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1934</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1009</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1262</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1839</v>
      </c>
      <c r="B2113" s="21" t="s">
        <v>1000</v>
      </c>
      <c r="C2113" s="21" t="s">
        <v>1040</v>
      </c>
      <c r="D2113" s="21" t="s">
        <v>985</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1058</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1038</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1844</v>
      </c>
      <c r="B2116" s="21" t="s">
        <v>1037</v>
      </c>
      <c r="C2116" s="21" t="s">
        <v>1040</v>
      </c>
      <c r="D2116" s="21" t="s">
        <v>985</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1935</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1009</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1074</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1936</v>
      </c>
      <c r="B2120" s="21" t="s">
        <v>1000</v>
      </c>
      <c r="C2120" s="21" t="s">
        <v>1006</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1937</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1938</v>
      </c>
      <c r="B2122" s="21" t="s">
        <v>1037</v>
      </c>
      <c r="C2122" s="21" t="s">
        <v>1021</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1047</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1939</v>
      </c>
      <c r="B2124" s="21" t="s">
        <v>1003</v>
      </c>
      <c r="C2124" s="21" t="s">
        <v>1040</v>
      </c>
      <c r="D2124" s="21" t="s">
        <v>985</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1940</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1009</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1941</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1011</v>
      </c>
      <c r="B2128" s="21" t="s">
        <v>1000</v>
      </c>
      <c r="C2128" s="21" t="s">
        <v>984</v>
      </c>
      <c r="D2128" s="21" t="s">
        <v>985</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1942</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1126</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1262</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1943</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1944</v>
      </c>
      <c r="B2133" s="21" t="s">
        <v>1037</v>
      </c>
      <c r="C2133" s="21" t="s">
        <v>1040</v>
      </c>
      <c r="D2133" s="21" t="s">
        <v>985</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1009</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1262</v>
      </c>
      <c r="B2135" s="21" t="s">
        <v>1223</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1945</v>
      </c>
      <c r="B2136" s="21" t="s">
        <v>1020</v>
      </c>
      <c r="C2136" s="21" t="s">
        <v>984</v>
      </c>
      <c r="D2136" s="21" t="s">
        <v>985</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1946</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1032</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row>
    <row r="2140" spans="1:12">
      <c r="A2140" s="20" t="s">
        <v>1947</v>
      </c>
    </row>
    <row r="2141" spans="1:12">
      <c r="A2141" s="20" t="s">
        <v>1846</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1028</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1948</v>
      </c>
      <c r="B2143" s="21" t="s">
        <v>983</v>
      </c>
      <c r="C2143" s="21" t="s">
        <v>1040</v>
      </c>
      <c r="D2143" s="21" t="s">
        <v>985</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1158</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1949</v>
      </c>
      <c r="B2145" s="21" t="s">
        <v>1037</v>
      </c>
      <c r="C2145" s="21" t="s">
        <v>1040</v>
      </c>
      <c r="D2145" s="21" t="s">
        <v>985</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1018</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1950</v>
      </c>
      <c r="B2147" s="21" t="s">
        <v>1037</v>
      </c>
      <c r="C2147" s="21" t="s">
        <v>1001</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1166</v>
      </c>
      <c r="B2148" s="21" t="s">
        <v>1037</v>
      </c>
      <c r="C2148" s="21" t="s">
        <v>1128</v>
      </c>
      <c r="D2148" s="21" t="s">
        <v>985</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1951</v>
      </c>
      <c r="B2149" s="21" t="s">
        <v>1176</v>
      </c>
      <c r="C2149" s="21" t="s">
        <v>1066</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1952</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1032</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row>
    <row r="2153" spans="1:12">
      <c r="A2153" s="20" t="s">
        <v>1953</v>
      </c>
    </row>
    <row r="2154" spans="1:12">
      <c r="A2154" s="20" t="s">
        <v>1954</v>
      </c>
      <c r="B2154" s="21" t="s">
        <v>983</v>
      </c>
      <c r="C2154" s="21" t="s">
        <v>1063</v>
      </c>
      <c r="D2154" s="21" t="s">
        <v>985</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1955</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986</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1009</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1084</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986</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1011</v>
      </c>
      <c r="B2160" s="21" t="s">
        <v>1000</v>
      </c>
      <c r="C2160" s="21" t="s">
        <v>984</v>
      </c>
      <c r="D2160" s="21" t="s">
        <v>985</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1956</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1009</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1052</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998</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1139</v>
      </c>
      <c r="B2165" s="21" t="s">
        <v>1000</v>
      </c>
      <c r="C2165" s="21" t="s">
        <v>1063</v>
      </c>
      <c r="D2165" s="21" t="s">
        <v>985</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1762</v>
      </c>
      <c r="B2166" s="21" t="s">
        <v>1003</v>
      </c>
      <c r="C2166" s="21" t="s">
        <v>984</v>
      </c>
      <c r="D2166" s="21" t="s">
        <v>985</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1957</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1958</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1009</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1959</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1139</v>
      </c>
      <c r="B2171" s="21" t="s">
        <v>1000</v>
      </c>
      <c r="C2171" s="21" t="s">
        <v>1063</v>
      </c>
      <c r="D2171" s="21" t="s">
        <v>985</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1762</v>
      </c>
      <c r="B2172" s="21" t="s">
        <v>1003</v>
      </c>
      <c r="C2172" s="21" t="s">
        <v>984</v>
      </c>
      <c r="D2172" s="21" t="s">
        <v>985</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1233</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1960</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1032</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row>
    <row r="2177" spans="1:12">
      <c r="A2177" s="20" t="s">
        <v>1961</v>
      </c>
    </row>
    <row r="2178" spans="1:12">
      <c r="A2178" s="20" t="s">
        <v>1962</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1227</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1080</v>
      </c>
      <c r="B2180" s="21" t="s">
        <v>983</v>
      </c>
      <c r="C2180" s="21" t="s">
        <v>984</v>
      </c>
      <c r="D2180" s="21" t="s">
        <v>985</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1963</v>
      </c>
      <c r="B2181" s="21" t="s">
        <v>1037</v>
      </c>
      <c r="C2181" s="21" t="s">
        <v>1001</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1084</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1964</v>
      </c>
      <c r="B2183" s="21" t="s">
        <v>1176</v>
      </c>
      <c r="C2183" s="21" t="s">
        <v>1021</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315</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1009</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1965</v>
      </c>
      <c r="B2186" s="21" t="s">
        <v>1000</v>
      </c>
      <c r="C2186" s="21" t="s">
        <v>1021</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1058</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1966</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1594</v>
      </c>
      <c r="B2189" s="21" t="s">
        <v>1037</v>
      </c>
      <c r="C2189" s="21" t="s">
        <v>1092</v>
      </c>
      <c r="D2189" s="21" t="s">
        <v>985</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1967</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1283</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1032</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row>
    <row r="2194" spans="1:12">
      <c r="A2194" s="20" t="s">
        <v>1968</v>
      </c>
    </row>
    <row r="2195" spans="1:12">
      <c r="A2195" s="20" t="s">
        <v>1118</v>
      </c>
      <c r="B2195" s="21" t="s">
        <v>983</v>
      </c>
      <c r="C2195" s="21" t="s">
        <v>984</v>
      </c>
      <c r="D2195" s="21" t="s">
        <v>985</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1969</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1041</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69</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1025</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1205</v>
      </c>
      <c r="B2200" s="21" t="s">
        <v>991</v>
      </c>
      <c r="C2200" s="21" t="s">
        <v>1021</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1009</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1057</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1970</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1174</v>
      </c>
      <c r="B2204" s="21" t="s">
        <v>1003</v>
      </c>
      <c r="C2204" s="21" t="s">
        <v>984</v>
      </c>
      <c r="D2204" s="21" t="s">
        <v>985</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1718</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1085</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1971</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1009</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1087</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1080</v>
      </c>
      <c r="B2210" s="21" t="s">
        <v>1000</v>
      </c>
      <c r="C2210" s="21" t="s">
        <v>984</v>
      </c>
      <c r="D2210" s="21" t="s">
        <v>985</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1294</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1972</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1215</v>
      </c>
      <c r="B2213" s="21" t="s">
        <v>1003</v>
      </c>
      <c r="C2213" s="21" t="s">
        <v>1040</v>
      </c>
      <c r="D2213" s="21" t="s">
        <v>985</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1973</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1032</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row>
    <row r="2217" spans="1:12">
      <c r="A2217" s="20" t="s">
        <v>1974</v>
      </c>
    </row>
    <row r="2218" spans="1:12">
      <c r="A2218" s="20" t="s">
        <v>1431</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1975</v>
      </c>
      <c r="B2219" s="21" t="s">
        <v>1000</v>
      </c>
      <c r="C2219" s="21" t="s">
        <v>992</v>
      </c>
      <c r="D2219" s="21" t="s">
        <v>985</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1295</v>
      </c>
      <c r="B2220" s="21" t="s">
        <v>1003</v>
      </c>
      <c r="C2220" s="21" t="s">
        <v>992</v>
      </c>
      <c r="D2220" s="21" t="s">
        <v>985</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1976</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1009</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1977</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1139</v>
      </c>
      <c r="B2224" s="21" t="s">
        <v>983</v>
      </c>
      <c r="C2224" s="21" t="s">
        <v>1063</v>
      </c>
      <c r="D2224" s="21" t="s">
        <v>985</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1099</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1100</v>
      </c>
      <c r="B2226" s="21" t="s">
        <v>1037</v>
      </c>
      <c r="C2226" s="21" t="s">
        <v>1063</v>
      </c>
      <c r="D2226" s="21" t="s">
        <v>985</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1978</v>
      </c>
      <c r="B2227" s="21" t="s">
        <v>991</v>
      </c>
      <c r="C2227" s="21" t="s">
        <v>1021</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1126</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1978</v>
      </c>
      <c r="B2229" s="21" t="s">
        <v>991</v>
      </c>
      <c r="C2229" s="21" t="s">
        <v>1021</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989</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694</v>
      </c>
      <c r="B2231" s="21" t="s">
        <v>1037</v>
      </c>
      <c r="C2231" s="21" t="s">
        <v>992</v>
      </c>
      <c r="D2231" s="21" t="s">
        <v>985</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1399</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1979</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1980</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1981</v>
      </c>
      <c r="B2235" s="21" t="s">
        <v>1176</v>
      </c>
      <c r="C2235" s="21" t="s">
        <v>1092</v>
      </c>
      <c r="D2235" s="21" t="s">
        <v>985</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1158</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1949</v>
      </c>
      <c r="B2237" s="21" t="s">
        <v>1037</v>
      </c>
      <c r="C2237" s="21" t="s">
        <v>1040</v>
      </c>
      <c r="D2237" s="21" t="s">
        <v>985</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1032</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row>
    <row r="2240" spans="1:12">
      <c r="A2240" s="20" t="s">
        <v>1982</v>
      </c>
    </row>
    <row r="2241" spans="1:12">
      <c r="A2241" s="20" t="s">
        <v>1118</v>
      </c>
      <c r="B2241" s="21" t="s">
        <v>983</v>
      </c>
      <c r="C2241" s="21" t="s">
        <v>984</v>
      </c>
      <c r="D2241" s="21" t="s">
        <v>985</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1983</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1369</v>
      </c>
      <c r="B2243" s="21" t="s">
        <v>1176</v>
      </c>
      <c r="C2243" s="21" t="s">
        <v>1063</v>
      </c>
      <c r="D2243" s="21" t="s">
        <v>985</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1984</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1009</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1123</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1047</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1985</v>
      </c>
      <c r="B2248" s="21" t="s">
        <v>1012</v>
      </c>
      <c r="C2248" s="21" t="s">
        <v>1040</v>
      </c>
      <c r="D2248" s="21" t="s">
        <v>985</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1986</v>
      </c>
      <c r="B2249" s="21" t="s">
        <v>1050</v>
      </c>
      <c r="C2249" s="21" t="s">
        <v>992</v>
      </c>
      <c r="D2249" s="21" t="s">
        <v>985</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1987</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1009</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1002</v>
      </c>
      <c r="B2252" s="21" t="s">
        <v>983</v>
      </c>
      <c r="C2252" s="21" t="s">
        <v>984</v>
      </c>
      <c r="D2252" s="21" t="s">
        <v>985</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1025</v>
      </c>
      <c r="B2253" s="21" t="s">
        <v>1037</v>
      </c>
      <c r="C2253" s="21" t="s">
        <v>1001</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1757</v>
      </c>
      <c r="B2254" s="21" t="s">
        <v>991</v>
      </c>
      <c r="C2254" s="21" t="s">
        <v>1021</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894</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1052</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1201</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1042</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1988</v>
      </c>
      <c r="B2259" s="21" t="s">
        <v>1054</v>
      </c>
      <c r="C2259" s="21" t="s">
        <v>1006</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1989</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1032</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row>
    <row r="2263" spans="1:12">
      <c r="A2263" s="20" t="s">
        <v>1990</v>
      </c>
    </row>
    <row r="2264" spans="1:12">
      <c r="A2264" s="20" t="s">
        <v>1846</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1991</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1029</v>
      </c>
      <c r="B2266" s="21" t="s">
        <v>983</v>
      </c>
      <c r="C2266" s="21" t="s">
        <v>1021</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1018</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993</v>
      </c>
      <c r="B2268" s="21" t="s">
        <v>1000</v>
      </c>
      <c r="C2268" s="21" t="s">
        <v>992</v>
      </c>
      <c r="D2268" s="21" t="s">
        <v>985</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1327</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1992</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1993</v>
      </c>
      <c r="B2271" s="21" t="s">
        <v>1176</v>
      </c>
      <c r="C2271" s="21" t="s">
        <v>1066</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1994</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1995</v>
      </c>
      <c r="B2273" s="21" t="s">
        <v>1037</v>
      </c>
      <c r="C2273" s="21" t="s">
        <v>1006</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1058</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1996</v>
      </c>
      <c r="B2275" s="21" t="s">
        <v>991</v>
      </c>
      <c r="C2275" s="21" t="s">
        <v>1021</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1158</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1997</v>
      </c>
      <c r="B2277" s="21" t="s">
        <v>1037</v>
      </c>
      <c r="C2277" s="21" t="s">
        <v>1040</v>
      </c>
      <c r="D2277" s="21" t="s">
        <v>985</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1998</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1032</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row>
    <row r="2281" spans="1:12">
      <c r="A2281" s="20" t="s">
        <v>1999</v>
      </c>
    </row>
    <row r="2282" spans="1:12">
      <c r="A2282" s="20" t="s">
        <v>1906</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2000</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2001</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2002</v>
      </c>
      <c r="B2285" s="21" t="s">
        <v>991</v>
      </c>
      <c r="C2285" s="21" t="s">
        <v>996</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1009</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1058</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1038</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2003</v>
      </c>
      <c r="B2289" s="21" t="s">
        <v>1054</v>
      </c>
      <c r="C2289" s="21" t="s">
        <v>1040</v>
      </c>
      <c r="D2289" s="21" t="s">
        <v>985</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2004</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1232</v>
      </c>
      <c r="B2291" s="21" t="s">
        <v>1016</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2005</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1009</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2006</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1028</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705</v>
      </c>
      <c r="B2296" s="21" t="s">
        <v>983</v>
      </c>
      <c r="C2296" s="21" t="s">
        <v>1040</v>
      </c>
      <c r="D2296" s="21" t="s">
        <v>985</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1126</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1294</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2007</v>
      </c>
      <c r="B2299" s="21" t="s">
        <v>991</v>
      </c>
      <c r="C2299" s="21" t="s">
        <v>1040</v>
      </c>
      <c r="D2299" s="21" t="s">
        <v>985</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1009</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2008</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1425</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1749</v>
      </c>
      <c r="B2303" s="21" t="s">
        <v>1037</v>
      </c>
      <c r="C2303" s="21" t="s">
        <v>1001</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2009</v>
      </c>
      <c r="B2304" s="21" t="s">
        <v>991</v>
      </c>
      <c r="C2304" s="21" t="s">
        <v>1066</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2010</v>
      </c>
      <c r="B2305" s="21" t="s">
        <v>1176</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1052</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2011</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750</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2012</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1126</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1047</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2013</v>
      </c>
      <c r="B2312" s="21" t="s">
        <v>1037</v>
      </c>
      <c r="C2312" s="21" t="s">
        <v>1040</v>
      </c>
      <c r="D2312" s="21" t="s">
        <v>985</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1032</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row>
    <row r="2315" spans="1:12">
      <c r="A2315" s="20" t="s">
        <v>2014</v>
      </c>
    </row>
    <row r="2316" spans="1:12">
      <c r="A2316" s="20" t="s">
        <v>2015</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2016</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1080</v>
      </c>
      <c r="B2318" s="21" t="s">
        <v>983</v>
      </c>
      <c r="C2318" s="21" t="s">
        <v>984</v>
      </c>
      <c r="D2318" s="21" t="s">
        <v>985</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1174</v>
      </c>
      <c r="B2319" s="21" t="s">
        <v>1176</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1025</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2017</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1052</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2018</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1047</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1808</v>
      </c>
      <c r="B2325" s="21" t="s">
        <v>1016</v>
      </c>
      <c r="C2325" s="21" t="s">
        <v>1040</v>
      </c>
      <c r="D2325" s="21" t="s">
        <v>985</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1615</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1440</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2019</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1009</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2020</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2021</v>
      </c>
      <c r="B2331" s="21" t="s">
        <v>1054</v>
      </c>
      <c r="C2331" s="21" t="s">
        <v>1006</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986</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1002</v>
      </c>
      <c r="B2333" s="21" t="s">
        <v>1000</v>
      </c>
      <c r="C2333" s="21" t="s">
        <v>984</v>
      </c>
      <c r="D2333" s="21" t="s">
        <v>985</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2022</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2023</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1032</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row>
    <row r="2338" spans="1:12">
      <c r="A2338" s="20" t="s">
        <v>2024</v>
      </c>
    </row>
    <row r="2339" spans="1:12">
      <c r="A2339" s="20" t="s">
        <v>1198</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2025</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705</v>
      </c>
      <c r="B2341" s="21" t="s">
        <v>983</v>
      </c>
      <c r="C2341" s="21" t="s">
        <v>1040</v>
      </c>
      <c r="D2341" s="21" t="s">
        <v>985</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986</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2026</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1032</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row>
    <row r="2346" spans="1:12">
      <c r="A2346" s="20" t="s">
        <v>2027</v>
      </c>
    </row>
    <row r="2347" spans="1:12">
      <c r="A2347" s="20" t="s">
        <v>694</v>
      </c>
      <c r="B2347" s="21" t="s">
        <v>983</v>
      </c>
      <c r="C2347" s="21" t="s">
        <v>992</v>
      </c>
      <c r="D2347" s="21" t="s">
        <v>985</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1399</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1055</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2028</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1121</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1028</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1389</v>
      </c>
      <c r="B2353" s="21" t="s">
        <v>991</v>
      </c>
      <c r="C2353" s="21" t="s">
        <v>1040</v>
      </c>
      <c r="D2353" s="21" t="s">
        <v>985</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1009</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1524</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1011</v>
      </c>
      <c r="B2356" s="21" t="s">
        <v>1000</v>
      </c>
      <c r="C2356" s="21" t="s">
        <v>984</v>
      </c>
      <c r="D2356" s="21" t="s">
        <v>985</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2029</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986</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1032</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row>
    <row r="2361" spans="1:12">
      <c r="A2361" s="20" t="s">
        <v>2030</v>
      </c>
    </row>
    <row r="2362" spans="1:12">
      <c r="A2362" s="20" t="s">
        <v>1188</v>
      </c>
      <c r="B2362" s="21" t="s">
        <v>983</v>
      </c>
      <c r="C2362" s="21" t="s">
        <v>1063</v>
      </c>
      <c r="D2362" s="21" t="s">
        <v>985</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459</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2031</v>
      </c>
      <c r="B2364" s="21" t="s">
        <v>1176</v>
      </c>
      <c r="C2364" s="21" t="s">
        <v>1021</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1126</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1009</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1052</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993</v>
      </c>
      <c r="B2368" s="21" t="s">
        <v>1000</v>
      </c>
      <c r="C2368" s="21" t="s">
        <v>992</v>
      </c>
      <c r="D2368" s="21" t="s">
        <v>985</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2032</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285</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2033</v>
      </c>
      <c r="B2371" s="21" t="s">
        <v>1003</v>
      </c>
      <c r="C2371" s="21" t="s">
        <v>996</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1028</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2034</v>
      </c>
      <c r="B2373" s="21" t="s">
        <v>1054</v>
      </c>
      <c r="C2373" s="21" t="s">
        <v>1040</v>
      </c>
      <c r="D2373" s="21" t="s">
        <v>985</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1009</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1123</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1011</v>
      </c>
      <c r="B2376" s="21" t="s">
        <v>1000</v>
      </c>
      <c r="C2376" s="21" t="s">
        <v>984</v>
      </c>
      <c r="D2376" s="21" t="s">
        <v>985</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1418</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1009</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2035</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2036</v>
      </c>
      <c r="B2380" s="21" t="s">
        <v>1016</v>
      </c>
      <c r="C2380" s="21" t="s">
        <v>1006</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988</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2037</v>
      </c>
      <c r="B2382" s="21" t="s">
        <v>1050</v>
      </c>
      <c r="C2382" s="21" t="s">
        <v>996</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1025</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300</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1052</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1047</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2038</v>
      </c>
      <c r="B2387" s="21" t="s">
        <v>1020</v>
      </c>
      <c r="C2387" s="21" t="s">
        <v>1040</v>
      </c>
      <c r="D2387" s="21" t="s">
        <v>985</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2039</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2040</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1032</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row>
    <row r="2392" spans="1:12">
      <c r="A2392" s="20" t="s">
        <v>2041</v>
      </c>
    </row>
    <row r="2393" spans="1:12">
      <c r="A2393" s="20" t="s">
        <v>2042</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2043</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1047</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2044</v>
      </c>
      <c r="B2396" s="21" t="s">
        <v>983</v>
      </c>
      <c r="C2396" s="21" t="s">
        <v>1001</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2045</v>
      </c>
      <c r="B2397" s="21" t="s">
        <v>1037</v>
      </c>
      <c r="C2397" s="21" t="s">
        <v>1128</v>
      </c>
      <c r="D2397" s="21" t="s">
        <v>985</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2046</v>
      </c>
      <c r="B2398" s="21" t="s">
        <v>1176</v>
      </c>
      <c r="C2398" s="21" t="s">
        <v>1021</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1052</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1011</v>
      </c>
      <c r="B2400" s="21" t="s">
        <v>1000</v>
      </c>
      <c r="C2400" s="21" t="s">
        <v>984</v>
      </c>
      <c r="D2400" s="21" t="s">
        <v>985</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2047</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2048</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2049</v>
      </c>
      <c r="B2403" s="21" t="s">
        <v>1020</v>
      </c>
      <c r="C2403" s="21" t="s">
        <v>1021</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2050</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1032</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row>
    <row r="2407" spans="1:12">
      <c r="A2407" s="20" t="s">
        <v>2051</v>
      </c>
    </row>
    <row r="2408" spans="1:12">
      <c r="A2408" s="20" t="s">
        <v>1215</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1652</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1074</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659</v>
      </c>
      <c r="B2411" s="21" t="s">
        <v>1176</v>
      </c>
      <c r="C2411" s="21" t="s">
        <v>1006</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2052</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2053</v>
      </c>
      <c r="B2413" s="21" t="s">
        <v>1037</v>
      </c>
      <c r="C2413" s="21" t="s">
        <v>1021</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1158</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2054</v>
      </c>
      <c r="B2415" s="21" t="s">
        <v>1054</v>
      </c>
      <c r="C2415" s="21" t="s">
        <v>1040</v>
      </c>
      <c r="D2415" s="21" t="s">
        <v>985</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1009</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1028</v>
      </c>
      <c r="B2417" s="21" t="s">
        <v>1924</v>
      </c>
      <c r="C2417" s="21" t="s">
        <v>1063</v>
      </c>
      <c r="D2417" s="21" t="s">
        <v>985</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1100</v>
      </c>
      <c r="B2418" s="21" t="s">
        <v>2055</v>
      </c>
      <c r="C2418" s="21" t="s">
        <v>1063</v>
      </c>
      <c r="D2418" s="21" t="s">
        <v>985</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1425</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1099</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2056</v>
      </c>
      <c r="B2421" s="21" t="s">
        <v>1062</v>
      </c>
      <c r="C2421" s="21" t="s">
        <v>1021</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2057</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1842</v>
      </c>
      <c r="B2423" s="21" t="s">
        <v>1465</v>
      </c>
      <c r="C2423" s="21" t="s">
        <v>1021</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2058</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1032</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row>
    <row r="2427" spans="1:12">
      <c r="A2427" s="20" t="s">
        <v>2059</v>
      </c>
    </row>
    <row r="2428" spans="1:12">
      <c r="A2428" s="20" t="s">
        <v>1211</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1240</v>
      </c>
      <c r="B2429" s="21" t="s">
        <v>1037</v>
      </c>
      <c r="C2429" s="21" t="s">
        <v>992</v>
      </c>
      <c r="D2429" s="21" t="s">
        <v>985</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1759</v>
      </c>
      <c r="B2430" s="21" t="s">
        <v>983</v>
      </c>
      <c r="C2430" s="21" t="s">
        <v>992</v>
      </c>
      <c r="D2430" s="21" t="s">
        <v>985</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91</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1009</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2060</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1011</v>
      </c>
      <c r="B2434" s="21" t="s">
        <v>983</v>
      </c>
      <c r="C2434" s="21" t="s">
        <v>984</v>
      </c>
      <c r="D2434" s="21" t="s">
        <v>985</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1009</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1211</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2061</v>
      </c>
      <c r="B2437" s="21" t="s">
        <v>1000</v>
      </c>
      <c r="C2437" s="21" t="s">
        <v>1063</v>
      </c>
      <c r="D2437" s="21" t="s">
        <v>985</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986</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1262</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1216</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row>
    <row r="2442" spans="1:12">
      <c r="A2442" s="20" t="s">
        <v>2062</v>
      </c>
    </row>
    <row r="2443" spans="1:12">
      <c r="A2443" s="20" t="s">
        <v>2061</v>
      </c>
      <c r="B2443" s="21" t="s">
        <v>983</v>
      </c>
      <c r="C2443" s="21" t="s">
        <v>1063</v>
      </c>
      <c r="D2443" s="21" t="s">
        <v>985</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1557</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2063</v>
      </c>
      <c r="B2445" s="21" t="s">
        <v>1000</v>
      </c>
      <c r="C2445" s="21" t="s">
        <v>1001</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1058</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1028</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2064</v>
      </c>
      <c r="B2448" s="21" t="s">
        <v>1037</v>
      </c>
      <c r="C2448" s="21" t="s">
        <v>1040</v>
      </c>
      <c r="D2448" s="21" t="s">
        <v>985</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986</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1262</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1216</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91</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row>
    <row r="2454" spans="1:12">
      <c r="A2454" s="20" t="s">
        <v>2065</v>
      </c>
    </row>
    <row r="2455" spans="1:12">
      <c r="A2455" s="20" t="s">
        <v>1211</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2061</v>
      </c>
      <c r="B2456" s="21" t="s">
        <v>1924</v>
      </c>
      <c r="C2456" s="21" t="s">
        <v>1063</v>
      </c>
      <c r="D2456" s="21" t="s">
        <v>985</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987</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1002</v>
      </c>
      <c r="B2458" s="21" t="s">
        <v>1924</v>
      </c>
      <c r="C2458" s="21" t="s">
        <v>984</v>
      </c>
      <c r="D2458" s="21" t="s">
        <v>985</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986</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1009</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1576</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1283</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1002</v>
      </c>
      <c r="B2463" s="21" t="s">
        <v>1223</v>
      </c>
      <c r="C2463" s="21" t="s">
        <v>984</v>
      </c>
      <c r="D2463" s="21" t="s">
        <v>985</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2026</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91</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1009</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1305</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993</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1032</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row>
    <row r="2471" spans="1:12">
      <c r="A2471" s="20" t="s">
        <v>2066</v>
      </c>
    </row>
    <row r="2472" spans="1:12">
      <c r="A2472" s="20" t="s">
        <v>1211</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1188</v>
      </c>
      <c r="B2473" s="21" t="s">
        <v>1000</v>
      </c>
      <c r="C2473" s="21" t="s">
        <v>1063</v>
      </c>
      <c r="D2473" s="21" t="s">
        <v>985</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21</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2067</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285</v>
      </c>
      <c r="B2476" s="21" t="s">
        <v>1176</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1073</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2068</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1025</v>
      </c>
      <c r="B2479" s="21" t="s">
        <v>1037</v>
      </c>
      <c r="C2479" s="21" t="s">
        <v>1001</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1028</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2069</v>
      </c>
      <c r="B2481" s="21" t="s">
        <v>991</v>
      </c>
      <c r="C2481" s="21" t="s">
        <v>1040</v>
      </c>
      <c r="D2481" s="21" t="s">
        <v>985</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2070</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1032</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91</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row>
    <row r="2486" spans="1:12">
      <c r="A2486" s="20" t="s">
        <v>2071</v>
      </c>
    </row>
    <row r="2487" spans="1:12">
      <c r="A2487" s="20" t="s">
        <v>1813</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1042</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2072</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2073</v>
      </c>
      <c r="B2490" s="21" t="s">
        <v>991</v>
      </c>
      <c r="C2490" s="21" t="s">
        <v>1006</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1052</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2074</v>
      </c>
      <c r="B2492" s="21" t="s">
        <v>1037</v>
      </c>
      <c r="C2492" s="21" t="s">
        <v>1021</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1044</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986</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1002</v>
      </c>
      <c r="B2495" s="21" t="s">
        <v>983</v>
      </c>
      <c r="C2495" s="21" t="s">
        <v>984</v>
      </c>
      <c r="D2495" s="21" t="s">
        <v>985</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285</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1919</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1865</v>
      </c>
      <c r="B2498" s="21" t="s">
        <v>991</v>
      </c>
      <c r="C2498" s="21" t="s">
        <v>996</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1009</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2075</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1100</v>
      </c>
      <c r="B2501" s="21" t="s">
        <v>1003</v>
      </c>
      <c r="C2501" s="21" t="s">
        <v>1063</v>
      </c>
      <c r="D2501" s="21" t="s">
        <v>985</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2076</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1055</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1032</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row>
    <row r="2506" spans="1:12">
      <c r="A2506" s="20" t="s">
        <v>2077</v>
      </c>
    </row>
    <row r="2507" spans="1:12">
      <c r="A2507" s="20" t="s">
        <v>982</v>
      </c>
      <c r="B2507" s="21" t="s">
        <v>983</v>
      </c>
      <c r="C2507" s="21" t="s">
        <v>984</v>
      </c>
      <c r="D2507" s="21" t="s">
        <v>985</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986</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1061</v>
      </c>
      <c r="B2509" s="21" t="s">
        <v>991</v>
      </c>
      <c r="C2509" s="21" t="s">
        <v>1063</v>
      </c>
      <c r="D2509" s="21" t="s">
        <v>985</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2078</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2079</v>
      </c>
      <c r="B2511" s="21" t="s">
        <v>991</v>
      </c>
      <c r="C2511" s="21" t="s">
        <v>1066</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1052</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2080</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2081</v>
      </c>
      <c r="B2514" s="21" t="s">
        <v>991</v>
      </c>
      <c r="C2514" s="21" t="s">
        <v>1021</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1009</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1192</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1544</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1013</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2082</v>
      </c>
      <c r="B2519" s="21" t="s">
        <v>1012</v>
      </c>
      <c r="C2519" s="21" t="s">
        <v>996</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2083</v>
      </c>
      <c r="B2520" s="21" t="s">
        <v>1054</v>
      </c>
      <c r="C2520" s="21" t="s">
        <v>1001</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1025</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225</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997</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2084</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1009</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2085</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1084</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2086</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1087</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1013</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1218</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2087</v>
      </c>
      <c r="B2532" s="21" t="s">
        <v>1050</v>
      </c>
      <c r="C2532" s="21" t="s">
        <v>996</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1032</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row>
    <row r="2535" spans="1:12">
      <c r="A2535" s="20" t="s">
        <v>2088</v>
      </c>
    </row>
    <row r="2536" spans="1:12">
      <c r="A2536" s="20" t="s">
        <v>2089</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1576</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1009</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1514</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1002</v>
      </c>
      <c r="B2540" s="21" t="s">
        <v>1000</v>
      </c>
      <c r="C2540" s="21" t="s">
        <v>984</v>
      </c>
      <c r="D2540" s="21" t="s">
        <v>985</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1058</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1028</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2090</v>
      </c>
      <c r="B2543" s="21" t="s">
        <v>1037</v>
      </c>
      <c r="C2543" s="21" t="s">
        <v>1086</v>
      </c>
      <c r="D2543" s="21" t="s">
        <v>985</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2091</v>
      </c>
      <c r="B2544" s="21" t="s">
        <v>1054</v>
      </c>
      <c r="C2544" s="21" t="s">
        <v>992</v>
      </c>
      <c r="D2544" s="21" t="s">
        <v>985</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1099</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1100</v>
      </c>
      <c r="B2546" s="21" t="s">
        <v>1037</v>
      </c>
      <c r="C2546" s="21" t="s">
        <v>1063</v>
      </c>
      <c r="D2546" s="21" t="s">
        <v>985</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1055</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1009</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1544</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1013</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2092</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2093</v>
      </c>
      <c r="B2552" s="21" t="s">
        <v>1020</v>
      </c>
      <c r="C2552" s="21" t="s">
        <v>996</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989</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1440</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1885</v>
      </c>
      <c r="B2555" s="21" t="s">
        <v>1050</v>
      </c>
      <c r="C2555" s="21" t="s">
        <v>1006</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1025</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2094</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1047</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1972</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1009</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2095</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2096</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1009</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2097</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1842</v>
      </c>
      <c r="B2565" s="21" t="s">
        <v>1037</v>
      </c>
      <c r="C2565" s="21" t="s">
        <v>1040</v>
      </c>
      <c r="D2565" s="21" t="s">
        <v>985</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1162</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989</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1877</v>
      </c>
      <c r="B2568" s="21" t="s">
        <v>1054</v>
      </c>
      <c r="C2568" s="21" t="s">
        <v>1021</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2098</v>
      </c>
      <c r="B2569" s="21" t="s">
        <v>1000</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1032</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row>
    <row r="2572" spans="1:12">
      <c r="A2572" s="20" t="s">
        <v>2099</v>
      </c>
    </row>
    <row r="2573" spans="1:12">
      <c r="A2573" s="20" t="s">
        <v>2100</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1224</v>
      </c>
      <c r="B2574" s="21" t="s">
        <v>1037</v>
      </c>
      <c r="C2574" s="21" t="s">
        <v>1128</v>
      </c>
      <c r="D2574" s="21" t="s">
        <v>985</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1697</v>
      </c>
      <c r="B2575" s="21" t="s">
        <v>1176</v>
      </c>
      <c r="C2575" s="21" t="s">
        <v>1021</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1126</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1262</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2101</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2102</v>
      </c>
      <c r="B2579" s="21" t="s">
        <v>991</v>
      </c>
      <c r="C2579" s="21" t="s">
        <v>1040</v>
      </c>
      <c r="D2579" s="21" t="s">
        <v>985</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1009</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1052</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1123</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1080</v>
      </c>
      <c r="B2583" s="21" t="s">
        <v>1000</v>
      </c>
      <c r="C2583" s="21" t="s">
        <v>984</v>
      </c>
      <c r="D2583" s="21" t="s">
        <v>985</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1369</v>
      </c>
      <c r="B2584" s="21" t="s">
        <v>1003</v>
      </c>
      <c r="C2584" s="21" t="s">
        <v>1063</v>
      </c>
      <c r="D2584" s="21" t="s">
        <v>985</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1058</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1047</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1939</v>
      </c>
      <c r="B2587" s="21" t="s">
        <v>1037</v>
      </c>
      <c r="C2587" s="21" t="s">
        <v>1040</v>
      </c>
      <c r="D2587" s="21" t="s">
        <v>985</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2103</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1052</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1843</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1224</v>
      </c>
      <c r="B2591" s="21" t="s">
        <v>1054</v>
      </c>
      <c r="C2591" s="21" t="s">
        <v>1128</v>
      </c>
      <c r="D2591" s="21" t="s">
        <v>985</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2104</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2105</v>
      </c>
      <c r="B2593" s="21" t="s">
        <v>1003</v>
      </c>
      <c r="C2593" s="21" t="s">
        <v>1021</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1058</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1028</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2106</v>
      </c>
      <c r="B2596" s="21" t="s">
        <v>1037</v>
      </c>
      <c r="C2596" s="21" t="s">
        <v>1040</v>
      </c>
      <c r="D2596" s="21" t="s">
        <v>985</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1032</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row>
    <row r="2599" spans="1:12">
      <c r="A2599" s="20" t="s">
        <v>2107</v>
      </c>
    </row>
    <row r="2600" spans="1:12">
      <c r="A2600" s="20" t="s">
        <v>1211</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2108</v>
      </c>
      <c r="B2601" s="21" t="s">
        <v>983</v>
      </c>
      <c r="C2601" s="21" t="s">
        <v>1021</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91</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1009</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1305</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1080</v>
      </c>
      <c r="B2605" s="21" t="s">
        <v>983</v>
      </c>
      <c r="C2605" s="21" t="s">
        <v>984</v>
      </c>
      <c r="D2605" s="21" t="s">
        <v>985</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1032</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row>
    <row r="2608" spans="1:12">
      <c r="A2608" s="20" t="s">
        <v>2109</v>
      </c>
    </row>
    <row r="2609" spans="1:12">
      <c r="A2609" s="20" t="s">
        <v>1211</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1345</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2110</v>
      </c>
      <c r="B2611" s="21" t="s">
        <v>1000</v>
      </c>
      <c r="C2611" s="21" t="s">
        <v>1063</v>
      </c>
      <c r="D2611" s="21" t="s">
        <v>985</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2111</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91</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1009</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1305</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993</v>
      </c>
      <c r="B2616" s="21" t="s">
        <v>983</v>
      </c>
      <c r="C2616" s="21" t="s">
        <v>992</v>
      </c>
      <c r="D2616" s="21" t="s">
        <v>985</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1009</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1028</v>
      </c>
      <c r="B2618" s="21" t="s">
        <v>1012</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1262</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2112</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2113</v>
      </c>
      <c r="B2621" s="21" t="s">
        <v>1016</v>
      </c>
      <c r="C2621" s="21" t="s">
        <v>1040</v>
      </c>
      <c r="D2621" s="21" t="s">
        <v>985</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2114</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1032</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row>
    <row r="2625" spans="1:12">
      <c r="A2625" s="20" t="s">
        <v>2115</v>
      </c>
    </row>
    <row r="2626" spans="1:12">
      <c r="A2626" s="20" t="s">
        <v>1211</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982</v>
      </c>
      <c r="B2627" s="21" t="s">
        <v>983</v>
      </c>
      <c r="C2627" s="21" t="s">
        <v>984</v>
      </c>
      <c r="D2627" s="21" t="s">
        <v>985</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2116</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507</v>
      </c>
      <c r="B2629" s="21" t="s">
        <v>991</v>
      </c>
      <c r="C2629" s="21" t="s">
        <v>1006</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1009</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1028</v>
      </c>
      <c r="B2631" s="21" t="s">
        <v>1000</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225</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2117</v>
      </c>
      <c r="B2633" s="21" t="s">
        <v>1003</v>
      </c>
      <c r="C2633" s="21" t="s">
        <v>1006</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2118</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1525</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1032</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row>
    <row r="2638" spans="1:12">
      <c r="A2638" s="20" t="s">
        <v>2119</v>
      </c>
    </row>
    <row r="2639" spans="1:12">
      <c r="A2639" s="20" t="s">
        <v>1188</v>
      </c>
      <c r="B2639" s="21" t="s">
        <v>983</v>
      </c>
      <c r="C2639" s="21" t="s">
        <v>1063</v>
      </c>
      <c r="D2639" s="21" t="s">
        <v>985</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2120</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2121</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2122</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2123</v>
      </c>
      <c r="B2643" s="21" t="s">
        <v>991</v>
      </c>
      <c r="C2643" s="21" t="s">
        <v>984</v>
      </c>
      <c r="D2643" s="21" t="s">
        <v>985</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511</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1009</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694</v>
      </c>
      <c r="B2646" s="21" t="s">
        <v>991</v>
      </c>
      <c r="C2646" s="21" t="s">
        <v>992</v>
      </c>
      <c r="D2646" s="21" t="s">
        <v>985</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1399</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1009</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1010</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1139</v>
      </c>
      <c r="B2650" s="21" t="s">
        <v>1012</v>
      </c>
      <c r="C2650" s="21" t="s">
        <v>1063</v>
      </c>
      <c r="D2650" s="21" t="s">
        <v>985</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1213</v>
      </c>
      <c r="B2651" s="21" t="s">
        <v>1012</v>
      </c>
      <c r="C2651" s="21" t="s">
        <v>984</v>
      </c>
      <c r="D2651" s="21" t="s">
        <v>985</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1339</v>
      </c>
      <c r="B2652" s="21" t="s">
        <v>1050</v>
      </c>
      <c r="C2652" s="21" t="s">
        <v>1035</v>
      </c>
      <c r="D2652" s="21" t="s">
        <v>985</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2124</v>
      </c>
      <c r="B2653" s="21" t="s">
        <v>1016</v>
      </c>
      <c r="C2653" s="21" t="s">
        <v>1092</v>
      </c>
      <c r="D2653" s="21" t="s">
        <v>985</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21</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1032</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row>
    <row r="2657" spans="1:12">
      <c r="A2657" s="20" t="s">
        <v>2125</v>
      </c>
    </row>
    <row r="2658" spans="1:12">
      <c r="A2658" s="20" t="s">
        <v>1375</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1780</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705</v>
      </c>
      <c r="B2660" s="21" t="s">
        <v>991</v>
      </c>
      <c r="C2660" s="21" t="s">
        <v>996</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986</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1080</v>
      </c>
      <c r="B2662" s="21" t="s">
        <v>983</v>
      </c>
      <c r="C2662" s="21" t="s">
        <v>984</v>
      </c>
      <c r="D2662" s="21" t="s">
        <v>985</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1245</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1009</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1082</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1326</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1126</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285</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2126</v>
      </c>
      <c r="B2669" s="21" t="s">
        <v>991</v>
      </c>
      <c r="C2669" s="21" t="s">
        <v>996</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2127</v>
      </c>
      <c r="B2670" s="21" t="s">
        <v>1054</v>
      </c>
      <c r="C2670" s="21" t="s">
        <v>1035</v>
      </c>
      <c r="D2670" s="21" t="s">
        <v>985</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1032</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row>
    <row r="2673" spans="1:12">
      <c r="A2673" s="20" t="s">
        <v>2128</v>
      </c>
    </row>
    <row r="2674" spans="1:12">
      <c r="A2674" s="20" t="s">
        <v>1345</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2129</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1158</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2130</v>
      </c>
      <c r="B2677" s="21" t="s">
        <v>991</v>
      </c>
      <c r="C2677" s="21" t="s">
        <v>1040</v>
      </c>
      <c r="D2677" s="21" t="s">
        <v>985</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1411</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1139</v>
      </c>
      <c r="B2679" s="21" t="s">
        <v>983</v>
      </c>
      <c r="C2679" s="21" t="s">
        <v>1063</v>
      </c>
      <c r="D2679" s="21" t="s">
        <v>985</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2131</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1798</v>
      </c>
      <c r="B2681" s="21" t="s">
        <v>1176</v>
      </c>
      <c r="C2681" s="21" t="s">
        <v>1021</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1009</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1836</v>
      </c>
      <c r="B2683" s="21" t="s">
        <v>1003</v>
      </c>
      <c r="C2683" s="21" t="s">
        <v>984</v>
      </c>
      <c r="D2683" s="21" t="s">
        <v>985</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2132</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1032</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91</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row>
    <row r="2688" spans="1:12">
      <c r="A2688" s="20" t="s">
        <v>2133</v>
      </c>
    </row>
    <row r="2689" spans="1:12">
      <c r="A2689" s="20" t="s">
        <v>1211</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1213</v>
      </c>
      <c r="B2690" s="21" t="s">
        <v>983</v>
      </c>
      <c r="C2690" s="21" t="s">
        <v>984</v>
      </c>
      <c r="D2690" s="21" t="s">
        <v>985</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21</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1861</v>
      </c>
      <c r="B2692" s="21" t="s">
        <v>1037</v>
      </c>
      <c r="C2692" s="21" t="s">
        <v>1128</v>
      </c>
      <c r="D2692" s="21" t="s">
        <v>985</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1584</v>
      </c>
      <c r="B2693" s="21" t="s">
        <v>1176</v>
      </c>
      <c r="C2693" s="21" t="s">
        <v>1021</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2134</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1032</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91</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row>
    <row r="2698" spans="1:12">
      <c r="A2698" s="20" t="s">
        <v>2135</v>
      </c>
    </row>
    <row r="2699" spans="1:12">
      <c r="A2699" s="20" t="s">
        <v>1211</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2136</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1139</v>
      </c>
      <c r="B2701" s="21" t="s">
        <v>983</v>
      </c>
      <c r="C2701" s="21" t="s">
        <v>1063</v>
      </c>
      <c r="D2701" s="21" t="s">
        <v>985</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1002</v>
      </c>
      <c r="B2702" s="21" t="s">
        <v>1176</v>
      </c>
      <c r="C2702" s="21" t="s">
        <v>984</v>
      </c>
      <c r="D2702" s="21" t="s">
        <v>985</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2137</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1058</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2138</v>
      </c>
      <c r="B2705" s="21" t="s">
        <v>991</v>
      </c>
      <c r="C2705" s="21" t="s">
        <v>1021</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2070</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21</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1032</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row>
    <row r="2710" spans="1:12">
      <c r="A2710" s="20" t="s">
        <v>2139</v>
      </c>
    </row>
    <row r="2711" spans="1:12">
      <c r="A2711" s="20" t="s">
        <v>1212</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1213</v>
      </c>
      <c r="B2712" s="21" t="s">
        <v>983</v>
      </c>
      <c r="C2712" s="21" t="s">
        <v>984</v>
      </c>
      <c r="D2712" s="21" t="s">
        <v>985</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2140</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528</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1216</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91</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row>
    <row r="2718" spans="1:12">
      <c r="A2718" s="20" t="s">
        <v>2141</v>
      </c>
    </row>
    <row r="2719" spans="1:12">
      <c r="A2719" s="20" t="s">
        <v>1211</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2142</v>
      </c>
      <c r="B2720" s="21" t="s">
        <v>991</v>
      </c>
      <c r="C2720" s="21" t="s">
        <v>1021</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1213</v>
      </c>
      <c r="B2721" s="21" t="s">
        <v>983</v>
      </c>
      <c r="C2721" s="21" t="s">
        <v>984</v>
      </c>
      <c r="D2721" s="21" t="s">
        <v>985</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1137</v>
      </c>
      <c r="B2722" s="21" t="s">
        <v>1176</v>
      </c>
      <c r="C2722" s="21" t="s">
        <v>984</v>
      </c>
      <c r="D2722" s="21" t="s">
        <v>985</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1107</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1780</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2143</v>
      </c>
      <c r="B2725" s="21" t="s">
        <v>1176</v>
      </c>
      <c r="C2725" s="21" t="s">
        <v>996</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989</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1339</v>
      </c>
      <c r="B2727" s="21" t="s">
        <v>1054</v>
      </c>
      <c r="C2727" s="21" t="s">
        <v>1035</v>
      </c>
      <c r="D2727" s="21" t="s">
        <v>985</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2144</v>
      </c>
      <c r="B2728" s="21" t="s">
        <v>1037</v>
      </c>
      <c r="C2728" s="21" t="s">
        <v>1092</v>
      </c>
      <c r="D2728" s="21" t="s">
        <v>985</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1009</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750</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2145</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1080</v>
      </c>
      <c r="B2732" s="21" t="s">
        <v>1000</v>
      </c>
      <c r="C2732" s="21" t="s">
        <v>984</v>
      </c>
      <c r="D2732" s="21" t="s">
        <v>985</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1025</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2146</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225</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1032</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row>
    <row r="2738" spans="1:12">
      <c r="A2738" s="20" t="s">
        <v>2147</v>
      </c>
    </row>
    <row r="2739" spans="1:12">
      <c r="A2739" s="20" t="s">
        <v>1510</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1009</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998</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1213</v>
      </c>
      <c r="B2742" s="21" t="s">
        <v>983</v>
      </c>
      <c r="C2742" s="21" t="s">
        <v>984</v>
      </c>
      <c r="D2742" s="21" t="s">
        <v>985</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1137</v>
      </c>
      <c r="B2743" s="21" t="s">
        <v>1176</v>
      </c>
      <c r="C2743" s="21" t="s">
        <v>984</v>
      </c>
      <c r="D2743" s="21" t="s">
        <v>985</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1576</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536</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2148</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1032</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row>
    <row r="2749" spans="1:12">
      <c r="A2749" s="20" t="s">
        <v>2149</v>
      </c>
    </row>
    <row r="2750" spans="1:12">
      <c r="A2750" s="20" t="s">
        <v>2061</v>
      </c>
      <c r="B2750" s="21" t="s">
        <v>1176</v>
      </c>
      <c r="C2750" s="21" t="s">
        <v>1063</v>
      </c>
      <c r="D2750" s="21" t="s">
        <v>985</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2150</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1213</v>
      </c>
      <c r="B2752" s="21" t="s">
        <v>983</v>
      </c>
      <c r="C2752" s="21" t="s">
        <v>984</v>
      </c>
      <c r="D2752" s="21" t="s">
        <v>985</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2151</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2152</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1216</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91</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row>
    <row r="2758" spans="1:12">
      <c r="A2758" s="20" t="s">
        <v>2153</v>
      </c>
    </row>
    <row r="2759" spans="1:12">
      <c r="A2759" s="20" t="s">
        <v>1211</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1213</v>
      </c>
      <c r="B2760" s="21" t="s">
        <v>983</v>
      </c>
      <c r="C2760" s="21" t="s">
        <v>984</v>
      </c>
      <c r="D2760" s="21" t="s">
        <v>985</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544</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1032</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row>
    <row r="2764" spans="1:12">
      <c r="A2764" s="20" t="s">
        <v>2154</v>
      </c>
    </row>
    <row r="2765" spans="1:12">
      <c r="A2765" s="20" t="s">
        <v>1213</v>
      </c>
      <c r="B2765" s="21" t="s">
        <v>983</v>
      </c>
      <c r="C2765" s="21" t="s">
        <v>984</v>
      </c>
      <c r="D2765" s="21" t="s">
        <v>985</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1242</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1326</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1058</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1028</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2155</v>
      </c>
      <c r="B2770" s="21" t="s">
        <v>991</v>
      </c>
      <c r="C2770" s="21" t="s">
        <v>1040</v>
      </c>
      <c r="D2770" s="21" t="s">
        <v>985</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1073</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2156</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1151</v>
      </c>
      <c r="B2773" s="21" t="s">
        <v>1037</v>
      </c>
      <c r="C2773" s="21" t="s">
        <v>1086</v>
      </c>
      <c r="D2773" s="21" t="s">
        <v>985</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2157</v>
      </c>
      <c r="B2774" s="21" t="s">
        <v>1050</v>
      </c>
      <c r="C2774" s="21" t="s">
        <v>1035</v>
      </c>
      <c r="D2774" s="21" t="s">
        <v>985</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1594</v>
      </c>
      <c r="B2775" s="21" t="s">
        <v>1054</v>
      </c>
      <c r="C2775" s="21" t="s">
        <v>1092</v>
      </c>
      <c r="D2775" s="21" t="s">
        <v>985</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1032</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row>
    <row r="2778" spans="1:12">
      <c r="A2778" s="20" t="s">
        <v>2158</v>
      </c>
    </row>
    <row r="2779" spans="1:12">
      <c r="A2779" s="20" t="s">
        <v>1701</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1213</v>
      </c>
      <c r="B2780" s="21" t="s">
        <v>1000</v>
      </c>
      <c r="C2780" s="21" t="s">
        <v>984</v>
      </c>
      <c r="D2780" s="21" t="s">
        <v>985</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115</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2159</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1009</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1513</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988</v>
      </c>
      <c r="B2785" s="21" t="s">
        <v>983</v>
      </c>
      <c r="C2785" s="21" t="s">
        <v>1063</v>
      </c>
      <c r="D2785" s="21" t="s">
        <v>985</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989</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1100</v>
      </c>
      <c r="B2787" s="21" t="s">
        <v>1037</v>
      </c>
      <c r="C2787" s="21" t="s">
        <v>1063</v>
      </c>
      <c r="D2787" s="21" t="s">
        <v>985</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1213</v>
      </c>
      <c r="B2788" s="21" t="s">
        <v>1176</v>
      </c>
      <c r="C2788" s="21" t="s">
        <v>984</v>
      </c>
      <c r="D2788" s="21" t="s">
        <v>985</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1201</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2160</v>
      </c>
      <c r="B2790" s="21" t="s">
        <v>991</v>
      </c>
      <c r="C2790" s="21" t="s">
        <v>992</v>
      </c>
      <c r="D2790" s="21" t="s">
        <v>985</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551</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1032</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91</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row>
    <row r="2795" spans="1:12">
      <c r="A2795" s="20" t="s">
        <v>2161</v>
      </c>
    </row>
    <row r="2796" spans="1:12">
      <c r="A2796" s="20" t="s">
        <v>1478</v>
      </c>
      <c r="B2796" s="21" t="s">
        <v>983</v>
      </c>
      <c r="C2796" s="21" t="s">
        <v>984</v>
      </c>
      <c r="D2796" s="21" t="s">
        <v>985</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2162</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1232</v>
      </c>
      <c r="B2798" s="21" t="s">
        <v>1003</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2163</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1009</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1082</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986</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1011</v>
      </c>
      <c r="B2803" s="21" t="s">
        <v>1000</v>
      </c>
      <c r="C2803" s="21" t="s">
        <v>984</v>
      </c>
      <c r="D2803" s="21" t="s">
        <v>985</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987</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1107</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1935</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2164</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1121</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1749</v>
      </c>
      <c r="B2809" s="21" t="s">
        <v>1054</v>
      </c>
      <c r="C2809" s="21" t="s">
        <v>1001</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2165</v>
      </c>
      <c r="B2810" s="21" t="s">
        <v>1037</v>
      </c>
      <c r="C2810" s="21" t="s">
        <v>1066</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1032</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row>
    <row r="2813" spans="1:12">
      <c r="A2813" s="20" t="s">
        <v>2166</v>
      </c>
    </row>
    <row r="2814" spans="1:12">
      <c r="A2814" s="20" t="s">
        <v>1188</v>
      </c>
      <c r="B2814" s="21" t="s">
        <v>983</v>
      </c>
      <c r="C2814" s="21" t="s">
        <v>1063</v>
      </c>
      <c r="D2814" s="21" t="s">
        <v>985</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2167</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1836</v>
      </c>
      <c r="B2816" s="21" t="s">
        <v>1176</v>
      </c>
      <c r="C2816" s="21" t="s">
        <v>984</v>
      </c>
      <c r="D2816" s="21" t="s">
        <v>985</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1025</v>
      </c>
      <c r="B2817" s="21" t="s">
        <v>1037</v>
      </c>
      <c r="C2817" s="21" t="s">
        <v>1001</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2000</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2168</v>
      </c>
      <c r="B2819" s="21" t="s">
        <v>991</v>
      </c>
      <c r="C2819" s="21" t="s">
        <v>996</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1009</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1524</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1011</v>
      </c>
      <c r="B2822" s="21" t="s">
        <v>1012</v>
      </c>
      <c r="C2822" s="21" t="s">
        <v>984</v>
      </c>
      <c r="D2822" s="21" t="s">
        <v>985</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2169</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2170</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1052</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225</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1839</v>
      </c>
      <c r="B2827" s="21" t="s">
        <v>1020</v>
      </c>
      <c r="C2827" s="21" t="s">
        <v>1006</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1058</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1294</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2171</v>
      </c>
      <c r="B2830" s="21" t="s">
        <v>1050</v>
      </c>
      <c r="C2830" s="21" t="s">
        <v>1040</v>
      </c>
      <c r="D2830" s="21" t="s">
        <v>985</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2172</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1032</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row>
    <row r="2834" spans="1:12">
      <c r="A2834" s="20" t="s">
        <v>2173</v>
      </c>
    </row>
    <row r="2835" spans="1:12">
      <c r="A2835" s="20" t="s">
        <v>1211</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1188</v>
      </c>
      <c r="B2836" s="21" t="s">
        <v>1000</v>
      </c>
      <c r="C2836" s="21" t="s">
        <v>1063</v>
      </c>
      <c r="D2836" s="21" t="s">
        <v>985</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2120</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1213</v>
      </c>
      <c r="B2838" s="21" t="s">
        <v>1000</v>
      </c>
      <c r="C2838" s="21" t="s">
        <v>984</v>
      </c>
      <c r="D2838" s="21" t="s">
        <v>985</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1576</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2174</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91</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1009</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1305</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993</v>
      </c>
      <c r="B2844" s="21" t="s">
        <v>983</v>
      </c>
      <c r="C2844" s="21" t="s">
        <v>992</v>
      </c>
      <c r="D2844" s="21" t="s">
        <v>985</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1032</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row>
    <row r="2847" spans="1:12">
      <c r="A2847" s="20" t="s">
        <v>2175</v>
      </c>
    </row>
    <row r="2848" spans="1:12">
      <c r="A2848" s="20" t="s">
        <v>1211</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1198</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2176</v>
      </c>
      <c r="B2850" s="21" t="s">
        <v>983</v>
      </c>
      <c r="C2850" s="21" t="s">
        <v>992</v>
      </c>
      <c r="D2850" s="21" t="s">
        <v>985</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1285</v>
      </c>
      <c r="B2851" s="21" t="s">
        <v>1037</v>
      </c>
      <c r="C2851" s="21" t="s">
        <v>1128</v>
      </c>
      <c r="D2851" s="21" t="s">
        <v>985</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2177</v>
      </c>
      <c r="B2852" s="21" t="s">
        <v>991</v>
      </c>
      <c r="C2852" s="21" t="s">
        <v>1021</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2178</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119</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1052</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2179</v>
      </c>
      <c r="B2856" s="21" t="s">
        <v>1054</v>
      </c>
      <c r="C2856" s="21" t="s">
        <v>1001</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1029</v>
      </c>
      <c r="B2857" s="21" t="s">
        <v>1000</v>
      </c>
      <c r="C2857" s="21" t="s">
        <v>1021</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1283</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2180</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1032</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row>
    <row r="2862" spans="1:12">
      <c r="A2862" s="20" t="s">
        <v>2181</v>
      </c>
    </row>
    <row r="2863" spans="1:12">
      <c r="A2863" s="20" t="s">
        <v>1188</v>
      </c>
      <c r="B2863" s="21" t="s">
        <v>1000</v>
      </c>
      <c r="C2863" s="21" t="s">
        <v>1063</v>
      </c>
      <c r="D2863" s="21" t="s">
        <v>985</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21</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1181</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1127</v>
      </c>
      <c r="B2866" s="21" t="s">
        <v>1037</v>
      </c>
      <c r="C2866" s="21" t="s">
        <v>1128</v>
      </c>
      <c r="D2866" s="21" t="s">
        <v>985</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2182</v>
      </c>
      <c r="B2867" s="21" t="s">
        <v>1176</v>
      </c>
      <c r="C2867" s="21" t="s">
        <v>1021</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1576</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570</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1139</v>
      </c>
      <c r="B2870" s="21" t="s">
        <v>983</v>
      </c>
      <c r="C2870" s="21" t="s">
        <v>1063</v>
      </c>
      <c r="D2870" s="21" t="s">
        <v>985</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1113</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1107</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1294</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2183</v>
      </c>
      <c r="B2874" s="21" t="s">
        <v>1176</v>
      </c>
      <c r="C2874" s="21" t="s">
        <v>1040</v>
      </c>
      <c r="D2874" s="21" t="s">
        <v>985</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1032</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91</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row>
    <row r="2878" spans="1:12">
      <c r="A2878" s="20" t="s">
        <v>2184</v>
      </c>
    </row>
    <row r="2879" spans="1:12">
      <c r="A2879" s="20" t="s">
        <v>1211</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1118</v>
      </c>
      <c r="B2880" s="21" t="s">
        <v>983</v>
      </c>
      <c r="C2880" s="21" t="s">
        <v>984</v>
      </c>
      <c r="D2880" s="21" t="s">
        <v>985</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2185</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574</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1025</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2186</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1009</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1010</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1139</v>
      </c>
      <c r="B2887" s="21" t="s">
        <v>1000</v>
      </c>
      <c r="C2887" s="21" t="s">
        <v>1063</v>
      </c>
      <c r="D2887" s="21" t="s">
        <v>985</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1762</v>
      </c>
      <c r="B2888" s="21" t="s">
        <v>1003</v>
      </c>
      <c r="C2888" s="21" t="s">
        <v>984</v>
      </c>
      <c r="D2888" s="21" t="s">
        <v>985</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1326</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1025</v>
      </c>
      <c r="B2890" s="21" t="s">
        <v>1054</v>
      </c>
      <c r="C2890" s="21" t="s">
        <v>1001</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2187</v>
      </c>
      <c r="B2891" s="21" t="s">
        <v>1037</v>
      </c>
      <c r="C2891" s="21" t="s">
        <v>1021</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601</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119</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91</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1009</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2188</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2189</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1009</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1123</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1139</v>
      </c>
      <c r="B2900" s="21" t="s">
        <v>1000</v>
      </c>
      <c r="C2900" s="21" t="s">
        <v>1063</v>
      </c>
      <c r="D2900" s="21" t="s">
        <v>985</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1791</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1166</v>
      </c>
      <c r="B2902" s="21" t="s">
        <v>1054</v>
      </c>
      <c r="C2902" s="21" t="s">
        <v>1128</v>
      </c>
      <c r="D2902" s="21" t="s">
        <v>985</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1455</v>
      </c>
      <c r="B2903" s="21" t="s">
        <v>1003</v>
      </c>
      <c r="C2903" s="21" t="s">
        <v>1021</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1294</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1295</v>
      </c>
      <c r="B2905" s="21" t="s">
        <v>1003</v>
      </c>
      <c r="C2905" s="21" t="s">
        <v>1040</v>
      </c>
      <c r="D2905" s="21" t="s">
        <v>985</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1442</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2190</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1032</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row>
    <row r="2910" spans="1:12">
      <c r="A2910" s="20" t="s">
        <v>2191</v>
      </c>
    </row>
    <row r="2911" spans="1:12">
      <c r="A2911" s="20" t="s">
        <v>1211</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1096</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2192</v>
      </c>
      <c r="B2913" s="21" t="s">
        <v>983</v>
      </c>
      <c r="C2913" s="21" t="s">
        <v>1040</v>
      </c>
      <c r="D2913" s="21" t="s">
        <v>985</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1836</v>
      </c>
      <c r="B2914" s="21" t="s">
        <v>1176</v>
      </c>
      <c r="C2914" s="21" t="s">
        <v>984</v>
      </c>
      <c r="D2914" s="21" t="s">
        <v>985</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578</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21</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1009</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1010</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225</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1254</v>
      </c>
      <c r="B2920" s="21" t="s">
        <v>991</v>
      </c>
      <c r="C2920" s="21" t="s">
        <v>1006</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1361</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1283</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1032</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91</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row>
    <row r="2926" spans="1:12">
      <c r="A2926" s="20" t="s">
        <v>2193</v>
      </c>
    </row>
    <row r="2927" spans="1:12">
      <c r="A2927" s="20" t="s">
        <v>1211</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1188</v>
      </c>
      <c r="B2928" s="21" t="s">
        <v>983</v>
      </c>
      <c r="C2928" s="21" t="s">
        <v>1063</v>
      </c>
      <c r="D2928" s="21" t="s">
        <v>985</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1162</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285</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2194</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2195</v>
      </c>
      <c r="B2932" s="21" t="s">
        <v>983</v>
      </c>
      <c r="C2932" s="21" t="s">
        <v>996</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1301</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1052</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1028</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1778</v>
      </c>
      <c r="B2936" s="21" t="s">
        <v>1000</v>
      </c>
      <c r="C2936" s="21" t="s">
        <v>1040</v>
      </c>
      <c r="D2936" s="21" t="s">
        <v>985</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1525</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1369</v>
      </c>
      <c r="B2938" s="21" t="s">
        <v>1000</v>
      </c>
      <c r="C2938" s="21" t="s">
        <v>1063</v>
      </c>
      <c r="D2938" s="21" t="s">
        <v>985</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2196</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21</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1032</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91</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row>
    <row r="2944" spans="1:12">
      <c r="A2944" s="20" t="s">
        <v>2197</v>
      </c>
    </row>
    <row r="2945" spans="1:12">
      <c r="A2945" s="20" t="s">
        <v>1211</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1478</v>
      </c>
      <c r="B2946" s="21" t="s">
        <v>983</v>
      </c>
      <c r="C2946" s="21" t="s">
        <v>984</v>
      </c>
      <c r="D2946" s="21" t="s">
        <v>985</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2198</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1038</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705</v>
      </c>
      <c r="B2949" s="21" t="s">
        <v>1176</v>
      </c>
      <c r="C2949" s="21" t="s">
        <v>1040</v>
      </c>
      <c r="D2949" s="21" t="s">
        <v>985</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1009</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1557</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1762</v>
      </c>
      <c r="B2952" s="21" t="s">
        <v>1003</v>
      </c>
      <c r="C2952" s="21" t="s">
        <v>984</v>
      </c>
      <c r="D2952" s="21" t="s">
        <v>985</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2199</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1025</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1709</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1009</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1514</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1709</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1213</v>
      </c>
      <c r="B2959" s="21" t="s">
        <v>1000</v>
      </c>
      <c r="C2959" s="21" t="s">
        <v>984</v>
      </c>
      <c r="D2959" s="21" t="s">
        <v>985</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2200</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2201</v>
      </c>
      <c r="B2961" s="21" t="s">
        <v>991</v>
      </c>
      <c r="C2961" s="21" t="s">
        <v>1021</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1009</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690</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1009</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1011</v>
      </c>
      <c r="B2965" s="21" t="s">
        <v>1000</v>
      </c>
      <c r="C2965" s="21" t="s">
        <v>984</v>
      </c>
      <c r="D2965" s="21" t="s">
        <v>985</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1283</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2202</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2203</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1238</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row>
    <row r="2971" spans="1:12">
      <c r="A2971" s="20" t="s">
        <v>2204</v>
      </c>
    </row>
    <row r="2972" spans="1:12">
      <c r="A2972" s="20" t="s">
        <v>1846</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1139</v>
      </c>
      <c r="B2973" s="21" t="s">
        <v>983</v>
      </c>
      <c r="C2973" s="21" t="s">
        <v>1063</v>
      </c>
      <c r="D2973" s="21" t="s">
        <v>985</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119</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1262</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1179</v>
      </c>
      <c r="B2976" s="21" t="s">
        <v>983</v>
      </c>
      <c r="C2976" s="21" t="s">
        <v>1040</v>
      </c>
      <c r="D2976" s="21" t="s">
        <v>985</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2205</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1009</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590</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1032</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91</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row>
    <row r="2983" spans="1:12">
      <c r="A2983" s="20" t="s">
        <v>2206</v>
      </c>
    </row>
    <row r="2984" spans="1:12">
      <c r="A2984" s="20" t="s">
        <v>1096</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2207</v>
      </c>
      <c r="B2985" s="21" t="s">
        <v>983</v>
      </c>
      <c r="C2985" s="21" t="s">
        <v>1040</v>
      </c>
      <c r="D2985" s="21" t="s">
        <v>985</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1433</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2208</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1009</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2209</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2210</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1139</v>
      </c>
      <c r="B2991" s="21" t="s">
        <v>1000</v>
      </c>
      <c r="C2991" s="21" t="s">
        <v>1063</v>
      </c>
      <c r="D2991" s="21" t="s">
        <v>985</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2211</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1052</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2212</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989</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1398</v>
      </c>
      <c r="B2996" s="21" t="s">
        <v>1037</v>
      </c>
      <c r="C2996" s="21" t="s">
        <v>1021</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2213</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1025</v>
      </c>
      <c r="B2998" s="21" t="s">
        <v>1050</v>
      </c>
      <c r="C2998" s="21" t="s">
        <v>1001</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1028</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2214</v>
      </c>
      <c r="B3000" s="21" t="s">
        <v>1054</v>
      </c>
      <c r="C3000" s="21" t="s">
        <v>1040</v>
      </c>
      <c r="D3000" s="21" t="s">
        <v>985</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1279</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2215</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2216</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2217</v>
      </c>
      <c r="B3004" s="21" t="s">
        <v>1050</v>
      </c>
      <c r="C3004" s="21" t="s">
        <v>996</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1009</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1028</v>
      </c>
      <c r="B3006" s="21" t="s">
        <v>2218</v>
      </c>
      <c r="C3006" s="21" t="s">
        <v>1063</v>
      </c>
      <c r="D3006" s="21" t="s">
        <v>985</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1100</v>
      </c>
      <c r="B3007" s="21" t="s">
        <v>2219</v>
      </c>
      <c r="C3007" s="21" t="s">
        <v>1063</v>
      </c>
      <c r="D3007" s="21" t="s">
        <v>985</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1058</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1038</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2220</v>
      </c>
      <c r="B3010" s="21" t="s">
        <v>1465</v>
      </c>
      <c r="C3010" s="21" t="s">
        <v>1040</v>
      </c>
      <c r="D3010" s="21" t="s">
        <v>985</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1817</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1032</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row>
    <row r="3014" spans="1:12">
      <c r="A3014" s="20" t="s">
        <v>2221</v>
      </c>
    </row>
    <row r="3015" spans="1:12">
      <c r="A3015" s="20" t="s">
        <v>2222</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989</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1038</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1352</v>
      </c>
      <c r="B3018" s="21" t="s">
        <v>1037</v>
      </c>
      <c r="C3018" s="21" t="s">
        <v>1040</v>
      </c>
      <c r="D3018" s="21" t="s">
        <v>985</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2223</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1515</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1517</v>
      </c>
      <c r="B3021" s="21" t="s">
        <v>1176</v>
      </c>
      <c r="C3021" s="21" t="s">
        <v>1021</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1009</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1082</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993</v>
      </c>
      <c r="B3024" s="21" t="s">
        <v>1012</v>
      </c>
      <c r="C3024" s="21" t="s">
        <v>1021</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2224</v>
      </c>
      <c r="B3025" s="21" t="s">
        <v>1016</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1013</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1640</v>
      </c>
      <c r="B3027" s="21" t="s">
        <v>1016</v>
      </c>
      <c r="C3027" s="21" t="s">
        <v>996</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2225</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1052</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2226</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2227</v>
      </c>
      <c r="B3031" s="21" t="s">
        <v>1054</v>
      </c>
      <c r="C3031" s="21" t="s">
        <v>1063</v>
      </c>
      <c r="D3031" s="21" t="s">
        <v>985</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2228</v>
      </c>
      <c r="B3032" s="21" t="s">
        <v>1003</v>
      </c>
      <c r="C3032" s="21" t="s">
        <v>1066</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1158</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1280</v>
      </c>
      <c r="B3034" s="21" t="s">
        <v>1054</v>
      </c>
      <c r="C3034" s="21" t="s">
        <v>1040</v>
      </c>
      <c r="D3034" s="21" t="s">
        <v>985</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2229</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1032</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row>
    <row r="3038" spans="1:12">
      <c r="A3038" s="20" t="s">
        <v>2230</v>
      </c>
    </row>
    <row r="3039" spans="1:12">
      <c r="A3039" s="20" t="s">
        <v>2231</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2232</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2036</v>
      </c>
      <c r="B3041" s="21" t="s">
        <v>983</v>
      </c>
      <c r="C3041" s="21" t="s">
        <v>1092</v>
      </c>
      <c r="D3041" s="21" t="s">
        <v>985</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1158</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2233</v>
      </c>
      <c r="B3043" s="21" t="s">
        <v>1037</v>
      </c>
      <c r="C3043" s="21" t="s">
        <v>1040</v>
      </c>
      <c r="D3043" s="21" t="s">
        <v>985</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1009</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1294</v>
      </c>
      <c r="B3045" s="21" t="s">
        <v>1020</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1139</v>
      </c>
      <c r="B3046" s="21" t="s">
        <v>1223</v>
      </c>
      <c r="C3046" s="21" t="s">
        <v>1063</v>
      </c>
      <c r="D3046" s="21" t="s">
        <v>985</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2234</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1009</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986</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1025</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601</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1032</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row>
    <row r="3054" spans="1:12">
      <c r="A3054" s="20" t="s">
        <v>2235</v>
      </c>
    </row>
    <row r="3055" spans="1:12">
      <c r="A3055" s="20" t="s">
        <v>1069</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1038</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2236</v>
      </c>
      <c r="B3057" s="21" t="s">
        <v>1037</v>
      </c>
      <c r="C3057" s="21" t="s">
        <v>992</v>
      </c>
      <c r="D3057" s="21" t="s">
        <v>985</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986</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1071</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1279</v>
      </c>
      <c r="B3060" s="21" t="s">
        <v>983</v>
      </c>
      <c r="C3060" s="21" t="s">
        <v>1001</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1028</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2237</v>
      </c>
      <c r="B3062" s="21" t="s">
        <v>1176</v>
      </c>
      <c r="C3062" s="21" t="s">
        <v>1040</v>
      </c>
      <c r="D3062" s="21" t="s">
        <v>985</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2238</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1032</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row>
    <row r="3066" spans="1:12">
      <c r="A3066" s="20" t="s">
        <v>2239</v>
      </c>
    </row>
    <row r="3067" spans="1:12">
      <c r="A3067" s="20" t="s">
        <v>1211</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2240</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1283</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1800</v>
      </c>
      <c r="B3070" s="21" t="s">
        <v>1000</v>
      </c>
      <c r="C3070" s="21" t="s">
        <v>1001</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1367</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91</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1009</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1805</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1215</v>
      </c>
      <c r="B3075" s="21" t="s">
        <v>983</v>
      </c>
      <c r="C3075" s="21" t="s">
        <v>992</v>
      </c>
      <c r="D3075" s="21" t="s">
        <v>985</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1032</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row>
    <row r="3078" spans="1:12">
      <c r="A3078" s="20" t="s">
        <v>2241</v>
      </c>
    </row>
    <row r="3079" spans="1:12">
      <c r="A3079" s="20" t="s">
        <v>1211</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1118</v>
      </c>
      <c r="B3080" s="21" t="s">
        <v>983</v>
      </c>
      <c r="C3080" s="21" t="s">
        <v>984</v>
      </c>
      <c r="D3080" s="21" t="s">
        <v>985</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1513</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285</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1475</v>
      </c>
      <c r="B3083" s="21" t="s">
        <v>983</v>
      </c>
      <c r="C3083" s="21" t="s">
        <v>996</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193</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1032</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row>
    <row r="3087" spans="1:12">
      <c r="A3087" s="20" t="s">
        <v>2242</v>
      </c>
    </row>
    <row r="3088" spans="1:12">
      <c r="A3088" s="20" t="s">
        <v>2243</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1047</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612</v>
      </c>
      <c r="B3090" s="21" t="s">
        <v>991</v>
      </c>
      <c r="C3090" s="21" t="s">
        <v>1040</v>
      </c>
      <c r="D3090" s="21" t="s">
        <v>985</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1238</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91</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row>
    <row r="3094" spans="1:12">
      <c r="A3094" s="20" t="s">
        <v>2244</v>
      </c>
    </row>
    <row r="3095" spans="1:12">
      <c r="A3095" s="20" t="s">
        <v>1258</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2245</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2246</v>
      </c>
      <c r="B3097" s="21" t="s">
        <v>983</v>
      </c>
      <c r="C3097" s="21" t="s">
        <v>996</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1052</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2247</v>
      </c>
      <c r="B3099" s="21" t="s">
        <v>1037</v>
      </c>
      <c r="C3099" s="21" t="s">
        <v>1021</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986</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1025</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193</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1032</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row>
    <row r="3105" spans="1:12">
      <c r="A3105" s="20" t="s">
        <v>2248</v>
      </c>
    </row>
    <row r="3106" spans="1:12">
      <c r="A3106" s="20" t="s">
        <v>993</v>
      </c>
      <c r="B3106" s="21" t="s">
        <v>983</v>
      </c>
      <c r="C3106" s="21" t="s">
        <v>992</v>
      </c>
      <c r="D3106" s="21" t="s">
        <v>985</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2249</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1425</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1028</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2250</v>
      </c>
      <c r="B3110" s="21" t="s">
        <v>991</v>
      </c>
      <c r="C3110" s="21" t="s">
        <v>1040</v>
      </c>
      <c r="D3110" s="21" t="s">
        <v>985</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1994</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2251</v>
      </c>
      <c r="B3112" s="21" t="s">
        <v>1037</v>
      </c>
      <c r="C3112" s="21" t="s">
        <v>1006</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1391</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2252</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1158</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2253</v>
      </c>
      <c r="B3116" s="21" t="s">
        <v>991</v>
      </c>
      <c r="C3116" s="21" t="s">
        <v>1040</v>
      </c>
      <c r="D3116" s="21" t="s">
        <v>985</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1615</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1047</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612</v>
      </c>
      <c r="B3119" s="21" t="s">
        <v>991</v>
      </c>
      <c r="C3119" s="21" t="s">
        <v>1040</v>
      </c>
      <c r="D3119" s="21" t="s">
        <v>985</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1052</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1369</v>
      </c>
      <c r="B3121" s="21" t="s">
        <v>1012</v>
      </c>
      <c r="C3121" s="21" t="s">
        <v>1063</v>
      </c>
      <c r="D3121" s="21" t="s">
        <v>985</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2254</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1032</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row>
    <row r="3125" spans="1:12">
      <c r="A3125" s="20" t="s">
        <v>2255</v>
      </c>
    </row>
    <row r="3126" spans="1:12">
      <c r="A3126" s="20" t="s">
        <v>1906</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1294</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2256</v>
      </c>
      <c r="B3128" s="21" t="s">
        <v>991</v>
      </c>
      <c r="C3128" s="21" t="s">
        <v>1040</v>
      </c>
      <c r="D3128" s="21" t="s">
        <v>985</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1058</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1028</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1697</v>
      </c>
      <c r="B3131" s="21" t="s">
        <v>1037</v>
      </c>
      <c r="C3131" s="21" t="s">
        <v>1040</v>
      </c>
      <c r="D3131" s="21" t="s">
        <v>985</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2257</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1139</v>
      </c>
      <c r="B3133" s="21" t="s">
        <v>983</v>
      </c>
      <c r="C3133" s="21" t="s">
        <v>1063</v>
      </c>
      <c r="D3133" s="21" t="s">
        <v>985</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1058</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1262</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1398</v>
      </c>
      <c r="B3136" s="21" t="s">
        <v>991</v>
      </c>
      <c r="C3136" s="21" t="s">
        <v>1040</v>
      </c>
      <c r="D3136" s="21" t="s">
        <v>985</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1032</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row>
    <row r="3139" spans="1:12">
      <c r="A3139" s="20" t="s">
        <v>2258</v>
      </c>
    </row>
    <row r="3140" spans="1:12">
      <c r="A3140" s="20" t="s">
        <v>1846</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989</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1038</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2259</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1052</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2260</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2261</v>
      </c>
      <c r="B3146" s="21" t="s">
        <v>991</v>
      </c>
      <c r="C3146" s="21" t="s">
        <v>1040</v>
      </c>
      <c r="D3146" s="21" t="s">
        <v>985</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1009</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1294</v>
      </c>
      <c r="B3148" s="21" t="s">
        <v>1016</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1139</v>
      </c>
      <c r="B3149" s="21" t="s">
        <v>1223</v>
      </c>
      <c r="C3149" s="21" t="s">
        <v>1063</v>
      </c>
      <c r="D3149" s="21" t="s">
        <v>985</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1025</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601</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2262</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1009</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986</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1522</v>
      </c>
      <c r="B3155" s="21" t="s">
        <v>1037</v>
      </c>
      <c r="C3155" s="21" t="s">
        <v>1063</v>
      </c>
      <c r="D3155" s="21" t="s">
        <v>985</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2263</v>
      </c>
      <c r="B3156" s="21" t="s">
        <v>1176</v>
      </c>
      <c r="C3156" s="21" t="s">
        <v>1066</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1025</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315</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1032</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row>
    <row r="3161" spans="1:12">
      <c r="A3161" s="20" t="s">
        <v>2264</v>
      </c>
    </row>
    <row r="3162" spans="1:12">
      <c r="A3162" s="20" t="s">
        <v>2265</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1609</v>
      </c>
      <c r="B3163" s="21" t="s">
        <v>991</v>
      </c>
      <c r="C3163" s="21" t="s">
        <v>1035</v>
      </c>
      <c r="D3163" s="21" t="s">
        <v>985</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2266</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1232</v>
      </c>
      <c r="B3165" s="21" t="s">
        <v>1176</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1100</v>
      </c>
      <c r="B3166" s="21" t="s">
        <v>1176</v>
      </c>
      <c r="C3166" s="21" t="s">
        <v>1063</v>
      </c>
      <c r="D3166" s="21" t="s">
        <v>985</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285</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1084</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2267</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2268</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2269</v>
      </c>
      <c r="B3171" s="21" t="s">
        <v>983</v>
      </c>
      <c r="C3171" s="21" t="s">
        <v>996</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1009</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1010</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1139</v>
      </c>
      <c r="B3174" s="21" t="s">
        <v>1000</v>
      </c>
      <c r="C3174" s="21" t="s">
        <v>1063</v>
      </c>
      <c r="D3174" s="21" t="s">
        <v>985</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1780</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1837</v>
      </c>
      <c r="B3176" s="21" t="s">
        <v>1003</v>
      </c>
      <c r="C3176" s="21" t="s">
        <v>996</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2270</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1099</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2271</v>
      </c>
      <c r="B3179" s="21" t="s">
        <v>1037</v>
      </c>
      <c r="C3179" s="21" t="s">
        <v>1021</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174</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2272</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1032</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row>
    <row r="3184" spans="1:12">
      <c r="A3184" s="20" t="s">
        <v>2273</v>
      </c>
    </row>
    <row r="3185" spans="1:12">
      <c r="A3185" s="20" t="s">
        <v>1282</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1398</v>
      </c>
      <c r="B3186" s="21" t="s">
        <v>983</v>
      </c>
      <c r="C3186" s="21" t="s">
        <v>1040</v>
      </c>
      <c r="D3186" s="21" t="s">
        <v>985</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986</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1025</v>
      </c>
      <c r="B3188" s="21" t="s">
        <v>1037</v>
      </c>
      <c r="C3188" s="21" t="s">
        <v>1001</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2000</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1972</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2274</v>
      </c>
      <c r="B3191" s="21" t="s">
        <v>991</v>
      </c>
      <c r="C3191" s="21" t="s">
        <v>996</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2275</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2276</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1052</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1121</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1294</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2277</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2278</v>
      </c>
      <c r="B3198" s="21" t="s">
        <v>991</v>
      </c>
      <c r="C3198" s="21" t="s">
        <v>1040</v>
      </c>
      <c r="D3198" s="21" t="s">
        <v>985</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989</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2279</v>
      </c>
      <c r="B3200" s="21" t="s">
        <v>1037</v>
      </c>
      <c r="C3200" s="21" t="s">
        <v>1021</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1425</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2280</v>
      </c>
      <c r="B3202" s="21" t="s">
        <v>1054</v>
      </c>
      <c r="C3202" s="21" t="s">
        <v>1021</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1009</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1058</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2281</v>
      </c>
      <c r="B3205" s="21" t="s">
        <v>1062</v>
      </c>
      <c r="C3205" s="21" t="s">
        <v>1473</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1232</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1047</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2282</v>
      </c>
      <c r="B3208" s="21" t="s">
        <v>1924</v>
      </c>
      <c r="C3208" s="21" t="s">
        <v>1040</v>
      </c>
      <c r="D3208" s="21" t="s">
        <v>985</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2283</v>
      </c>
      <c r="B3209" s="21" t="s">
        <v>1465</v>
      </c>
      <c r="C3209" s="21" t="s">
        <v>992</v>
      </c>
      <c r="D3209" s="21" t="s">
        <v>985</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1052</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2284</v>
      </c>
      <c r="B3211" s="21" t="s">
        <v>2285</v>
      </c>
      <c r="C3211" s="21" t="s">
        <v>1021</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2286</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1009</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1047</v>
      </c>
      <c r="B3214" s="21" t="s">
        <v>1223</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1262</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2287</v>
      </c>
      <c r="B3216" s="21" t="s">
        <v>1223</v>
      </c>
      <c r="C3216" s="21" t="s">
        <v>1040</v>
      </c>
      <c r="D3216" s="21" t="s">
        <v>985</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2127</v>
      </c>
      <c r="B3217" s="21" t="s">
        <v>1050</v>
      </c>
      <c r="C3217" s="21" t="s">
        <v>1035</v>
      </c>
      <c r="D3217" s="21" t="s">
        <v>985</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2288</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2289</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2233</v>
      </c>
      <c r="B3220" s="21" t="s">
        <v>1054</v>
      </c>
      <c r="C3220" s="21" t="s">
        <v>1092</v>
      </c>
      <c r="D3220" s="21" t="s">
        <v>985</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1162</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1032</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row>
    <row r="3224" spans="1:12">
      <c r="A3224" s="20" t="s">
        <v>2290</v>
      </c>
    </row>
    <row r="3225" spans="1:12">
      <c r="A3225" s="20" t="s">
        <v>1069</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1028</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2291</v>
      </c>
      <c r="B3227" s="21" t="s">
        <v>991</v>
      </c>
      <c r="C3227" s="21" t="s">
        <v>1040</v>
      </c>
      <c r="D3227" s="21" t="s">
        <v>985</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1158</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2292</v>
      </c>
      <c r="B3229" s="21" t="s">
        <v>1037</v>
      </c>
      <c r="C3229" s="21" t="s">
        <v>1040</v>
      </c>
      <c r="D3229" s="21" t="s">
        <v>985</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1433</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285</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2293</v>
      </c>
      <c r="B3232" s="21" t="s">
        <v>983</v>
      </c>
      <c r="C3232" s="21" t="s">
        <v>996</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1009</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1028</v>
      </c>
      <c r="B3234" s="21" t="s">
        <v>1012</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2294</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2295</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2276</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986</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1009</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1557</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1047</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2296</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1009</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2297</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2298</v>
      </c>
      <c r="B3245" s="21" t="s">
        <v>1020</v>
      </c>
      <c r="C3245" s="21" t="s">
        <v>1040</v>
      </c>
      <c r="D3245" s="21" t="s">
        <v>985</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2299</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1032</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row>
    <row r="3249" spans="1:12">
      <c r="A3249" s="20" t="s">
        <v>2300</v>
      </c>
    </row>
    <row r="3250" spans="1:12">
      <c r="A3250" s="20" t="s">
        <v>2301</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2302</v>
      </c>
      <c r="B3251" s="21" t="s">
        <v>1037</v>
      </c>
      <c r="C3251" s="21" t="s">
        <v>1035</v>
      </c>
      <c r="D3251" s="21" t="s">
        <v>985</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2293</v>
      </c>
      <c r="B3252" s="21" t="s">
        <v>991</v>
      </c>
      <c r="C3252" s="21" t="s">
        <v>1092</v>
      </c>
      <c r="D3252" s="21" t="s">
        <v>985</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986</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1013</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2303</v>
      </c>
      <c r="B3255" s="21" t="s">
        <v>983</v>
      </c>
      <c r="C3255" s="21" t="s">
        <v>996</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2304</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1009</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1047</v>
      </c>
      <c r="B3258" s="21" t="s">
        <v>1000</v>
      </c>
      <c r="C3258" s="21" t="s">
        <v>1063</v>
      </c>
      <c r="D3258" s="21" t="s">
        <v>985</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1084</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1085</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2305</v>
      </c>
      <c r="B3261" s="21" t="s">
        <v>1000</v>
      </c>
      <c r="C3261" s="21" t="s">
        <v>1021</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2306</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986</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1009</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1010</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1139</v>
      </c>
      <c r="B3266" s="21" t="s">
        <v>1000</v>
      </c>
      <c r="C3266" s="21" t="s">
        <v>1063</v>
      </c>
      <c r="D3266" s="21" t="s">
        <v>985</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2307</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1326</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107</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1958</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1009</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1587</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1002</v>
      </c>
      <c r="B3273" s="21" t="s">
        <v>1012</v>
      </c>
      <c r="C3273" s="21" t="s">
        <v>984</v>
      </c>
      <c r="D3273" s="21" t="s">
        <v>985</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2308</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1013</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2309</v>
      </c>
      <c r="B3276" s="21" t="s">
        <v>1054</v>
      </c>
      <c r="C3276" s="21" t="s">
        <v>996</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1481</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1780</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1783</v>
      </c>
      <c r="B3279" s="21" t="s">
        <v>1050</v>
      </c>
      <c r="C3279" s="21" t="s">
        <v>996</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2310</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1032</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row>
    <row r="3283" spans="1:12">
      <c r="A3283" s="20" t="s">
        <v>2311</v>
      </c>
    </row>
    <row r="3284" spans="1:12">
      <c r="A3284" s="20" t="s">
        <v>1258</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2312</v>
      </c>
      <c r="B3285" s="21" t="s">
        <v>983</v>
      </c>
      <c r="C3285" s="21" t="s">
        <v>996</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986</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1557</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1647</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2313</v>
      </c>
      <c r="B3289" s="21" t="s">
        <v>991</v>
      </c>
      <c r="C3289" s="21" t="s">
        <v>1006</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1052</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1121</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1028</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2314</v>
      </c>
      <c r="B3293" s="21" t="s">
        <v>1037</v>
      </c>
      <c r="C3293" s="21" t="s">
        <v>1040</v>
      </c>
      <c r="D3293" s="21" t="s">
        <v>985</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1158</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2315</v>
      </c>
      <c r="B3295" s="21" t="s">
        <v>1054</v>
      </c>
      <c r="C3295" s="21" t="s">
        <v>1040</v>
      </c>
      <c r="D3295" s="21" t="s">
        <v>985</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2316</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1009</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285</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2317</v>
      </c>
      <c r="B3299" s="21" t="s">
        <v>1037</v>
      </c>
      <c r="C3299" s="21" t="s">
        <v>1001</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2318</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2319</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1656</v>
      </c>
      <c r="B3302" s="21" t="s">
        <v>991</v>
      </c>
      <c r="C3302" s="21" t="s">
        <v>996</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1158</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2320</v>
      </c>
      <c r="B3304" s="21" t="s">
        <v>1037</v>
      </c>
      <c r="C3304" s="21" t="s">
        <v>1040</v>
      </c>
      <c r="D3304" s="21" t="s">
        <v>985</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1009</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1109</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1390</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1100</v>
      </c>
      <c r="B3308" s="21" t="s">
        <v>1020</v>
      </c>
      <c r="C3308" s="21" t="s">
        <v>1063</v>
      </c>
      <c r="D3308" s="21" t="s">
        <v>985</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1396</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1130</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1842</v>
      </c>
      <c r="B3311" s="21" t="s">
        <v>1054</v>
      </c>
      <c r="C3311" s="21" t="s">
        <v>1066</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2321</v>
      </c>
      <c r="B3312" s="21" t="s">
        <v>1050</v>
      </c>
      <c r="C3312" s="21" t="s">
        <v>992</v>
      </c>
      <c r="D3312" s="21" t="s">
        <v>985</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1009</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2322</v>
      </c>
      <c r="B3314" s="21" t="s">
        <v>1062</v>
      </c>
      <c r="C3314" s="21" t="s">
        <v>992</v>
      </c>
      <c r="D3314" s="21" t="s">
        <v>985</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1052</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1425</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2000</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2323</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2324</v>
      </c>
      <c r="B3319" s="21" t="s">
        <v>1465</v>
      </c>
      <c r="C3319" s="21" t="s">
        <v>996</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2325</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1032</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row>
    <row r="3323" spans="1:12">
      <c r="A3323" s="20" t="s">
        <v>2326</v>
      </c>
    </row>
    <row r="3324" spans="1:12">
      <c r="A3324" s="20" t="s">
        <v>1069</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1038</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2327</v>
      </c>
      <c r="B3326" s="21" t="s">
        <v>991</v>
      </c>
      <c r="C3326" s="21" t="s">
        <v>1040</v>
      </c>
      <c r="D3326" s="21" t="s">
        <v>985</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1139</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1294</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2328</v>
      </c>
      <c r="B3329" s="21" t="s">
        <v>1176</v>
      </c>
      <c r="C3329" s="21" t="s">
        <v>1040</v>
      </c>
      <c r="D3329" s="21" t="s">
        <v>985</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1301</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2329</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1047</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2330</v>
      </c>
      <c r="B3333" s="21" t="s">
        <v>1003</v>
      </c>
      <c r="C3333" s="21" t="s">
        <v>1040</v>
      </c>
      <c r="D3333" s="21" t="s">
        <v>985</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2331</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1009</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1052</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1504</v>
      </c>
      <c r="B3337" s="21" t="s">
        <v>991</v>
      </c>
      <c r="C3337" s="21" t="s">
        <v>992</v>
      </c>
      <c r="D3337" s="21" t="s">
        <v>985</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1032</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2332</v>
      </c>
      <c r="B3339" s="21" t="s">
        <v>1176</v>
      </c>
      <c r="C3339" s="21" t="s">
        <v>992</v>
      </c>
      <c r="D3339" s="21" t="s">
        <v>985</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1099</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1100</v>
      </c>
      <c r="B3341" s="21" t="s">
        <v>991</v>
      </c>
      <c r="C3341" s="21" t="s">
        <v>1063</v>
      </c>
      <c r="D3341" s="21" t="s">
        <v>985</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1126</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1294</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2333</v>
      </c>
      <c r="B3344" s="21" t="s">
        <v>991</v>
      </c>
      <c r="C3344" s="21" t="s">
        <v>1040</v>
      </c>
      <c r="D3344" s="21" t="s">
        <v>985</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1032</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row>
    <row r="3347" spans="1:12">
      <c r="A3347" s="20" t="s">
        <v>2334</v>
      </c>
    </row>
    <row r="3348" spans="1:12">
      <c r="A3348" s="20" t="s">
        <v>2335</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1725</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2336</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2337</v>
      </c>
      <c r="B3351" s="21" t="s">
        <v>983</v>
      </c>
      <c r="C3351" s="21" t="s">
        <v>1006</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1126</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1561</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2338</v>
      </c>
      <c r="B3354" s="21" t="s">
        <v>991</v>
      </c>
      <c r="C3354" s="21" t="s">
        <v>1006</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2011</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1009</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2339</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1294</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2340</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2341</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2342</v>
      </c>
      <c r="B3361" s="21" t="s">
        <v>991</v>
      </c>
      <c r="C3361" s="21" t="s">
        <v>1040</v>
      </c>
      <c r="D3361" s="21" t="s">
        <v>985</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1279</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2343</v>
      </c>
      <c r="B3363" s="21" t="s">
        <v>1037</v>
      </c>
      <c r="C3363" s="21" t="s">
        <v>996</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1126</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2344</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2345</v>
      </c>
      <c r="B3366" s="21" t="s">
        <v>1037</v>
      </c>
      <c r="C3366" s="21" t="s">
        <v>1006</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1032</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row>
    <row r="3369" spans="1:12">
      <c r="A3369" s="20" t="s">
        <v>2346</v>
      </c>
    </row>
    <row r="3370" spans="1:12">
      <c r="A3370" s="20" t="s">
        <v>1211</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1198</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652</v>
      </c>
      <c r="B3372" s="21" t="s">
        <v>991</v>
      </c>
      <c r="C3372" s="21" t="s">
        <v>1040</v>
      </c>
      <c r="D3372" s="21" t="s">
        <v>985</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1238</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91</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row>
    <row r="3376" spans="1:12">
      <c r="A3376" s="20" t="s">
        <v>2347</v>
      </c>
    </row>
    <row r="3377" spans="1:12">
      <c r="A3377" s="20" t="s">
        <v>1805</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993</v>
      </c>
      <c r="B3378" s="21" t="s">
        <v>983</v>
      </c>
      <c r="C3378" s="21" t="s">
        <v>1021</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1032</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row>
    <row r="3381" spans="1:12">
      <c r="A3381" s="20" t="s">
        <v>2348</v>
      </c>
    </row>
    <row r="3382" spans="1:12">
      <c r="A3382" s="20" t="s">
        <v>1211</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2349</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1009</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1215</v>
      </c>
      <c r="B3385" s="21" t="s">
        <v>1037</v>
      </c>
      <c r="C3385" s="21" t="s">
        <v>1021</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1009</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2350</v>
      </c>
      <c r="B3387" s="21" t="s">
        <v>1037</v>
      </c>
      <c r="C3387" s="21" t="s">
        <v>1063</v>
      </c>
      <c r="D3387" s="21" t="s">
        <v>985</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659</v>
      </c>
      <c r="B3388" s="21" t="s">
        <v>991</v>
      </c>
      <c r="C3388" s="21" t="s">
        <v>1021</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1238</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row>
    <row r="3391" spans="1:12">
      <c r="A3391" s="20" t="s">
        <v>2351</v>
      </c>
    </row>
    <row r="3392" spans="1:12">
      <c r="A3392" s="20" t="s">
        <v>2352</v>
      </c>
      <c r="B3392" s="21" t="s">
        <v>991</v>
      </c>
      <c r="C3392" s="21" t="s">
        <v>1021</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1213</v>
      </c>
      <c r="B3393" s="21" t="s">
        <v>983</v>
      </c>
      <c r="C3393" s="21" t="s">
        <v>984</v>
      </c>
      <c r="D3393" s="21" t="s">
        <v>985</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2353</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1294</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1441</v>
      </c>
      <c r="B3396" s="21" t="s">
        <v>991</v>
      </c>
      <c r="C3396" s="21" t="s">
        <v>1040</v>
      </c>
      <c r="D3396" s="21" t="s">
        <v>985</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1032</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row>
    <row r="3399" spans="1:12">
      <c r="A3399" s="20" t="s">
        <v>2354</v>
      </c>
    </row>
    <row r="3400" spans="1:12">
      <c r="A3400" s="20" t="s">
        <v>1213</v>
      </c>
      <c r="B3400" s="21" t="s">
        <v>983</v>
      </c>
      <c r="C3400" s="21" t="s">
        <v>984</v>
      </c>
      <c r="D3400" s="21" t="s">
        <v>985</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1283</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989</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1294</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2355</v>
      </c>
      <c r="B3404" s="21" t="s">
        <v>991</v>
      </c>
      <c r="C3404" s="21" t="s">
        <v>1040</v>
      </c>
      <c r="D3404" s="21" t="s">
        <v>985</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1052</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1099</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2356</v>
      </c>
      <c r="B3407" s="21" t="s">
        <v>1037</v>
      </c>
      <c r="C3407" s="21" t="s">
        <v>1021</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2357</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1032</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91</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row>
    <row r="3412" spans="1:12">
      <c r="A3412" s="20" t="s">
        <v>2358</v>
      </c>
    </row>
    <row r="3413" spans="1:12">
      <c r="A3413" s="20" t="s">
        <v>1213</v>
      </c>
      <c r="B3413" s="21" t="s">
        <v>983</v>
      </c>
      <c r="C3413" s="21" t="s">
        <v>984</v>
      </c>
      <c r="D3413" s="21" t="s">
        <v>985</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2359</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1725</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1842</v>
      </c>
      <c r="B3416" s="21" t="s">
        <v>1176</v>
      </c>
      <c r="C3416" s="21" t="s">
        <v>1006</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1032</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row>
    <row r="3419" spans="1:12">
      <c r="A3419" s="20" t="s">
        <v>2360</v>
      </c>
    </row>
    <row r="3420" spans="1:12">
      <c r="A3420" s="20" t="s">
        <v>1211</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1568</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1011</v>
      </c>
      <c r="B3422" s="21" t="s">
        <v>983</v>
      </c>
      <c r="C3422" s="21" t="s">
        <v>984</v>
      </c>
      <c r="D3422" s="21" t="s">
        <v>985</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1058</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2361</v>
      </c>
      <c r="B3424" s="21" t="s">
        <v>991</v>
      </c>
      <c r="C3424" s="21" t="s">
        <v>1021</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1216</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91</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row>
    <row r="3428" spans="1:12">
      <c r="A3428" s="20" t="s">
        <v>2362</v>
      </c>
    </row>
    <row r="3429" spans="1:12">
      <c r="A3429" s="20" t="s">
        <v>1505</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1369</v>
      </c>
      <c r="B3430" s="21" t="s">
        <v>983</v>
      </c>
      <c r="C3430" s="21" t="s">
        <v>1063</v>
      </c>
      <c r="D3430" s="21" t="s">
        <v>985</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1032</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row>
    <row r="3433" spans="1:12">
      <c r="A3433" s="20" t="s">
        <v>2363</v>
      </c>
    </row>
    <row r="3434" spans="1:12">
      <c r="A3434" s="20" t="s">
        <v>1211</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1568</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1011</v>
      </c>
      <c r="B3436" s="21" t="s">
        <v>983</v>
      </c>
      <c r="C3436" s="21" t="s">
        <v>984</v>
      </c>
      <c r="D3436" s="21" t="s">
        <v>985</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682</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1216</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91</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row>
    <row r="3441" spans="1:12">
      <c r="A3441" s="20" t="s">
        <v>2364</v>
      </c>
    </row>
    <row r="3442" spans="1:12">
      <c r="A3442" s="20" t="s">
        <v>1211</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1478</v>
      </c>
      <c r="B3443" s="21" t="s">
        <v>983</v>
      </c>
      <c r="C3443" s="21" t="s">
        <v>984</v>
      </c>
      <c r="D3443" s="21" t="s">
        <v>985</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1513</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1100</v>
      </c>
      <c r="B3445" s="21" t="s">
        <v>1176</v>
      </c>
      <c r="C3445" s="21" t="s">
        <v>1063</v>
      </c>
      <c r="D3445" s="21" t="s">
        <v>985</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1326</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682</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1009</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2365</v>
      </c>
      <c r="B3449" s="21" t="s">
        <v>991</v>
      </c>
      <c r="C3449" s="21" t="s">
        <v>992</v>
      </c>
      <c r="D3449" s="21" t="s">
        <v>985</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1032</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91</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row>
    <row r="3453" spans="1:12">
      <c r="A3453" s="20" t="s">
        <v>2366</v>
      </c>
    </row>
    <row r="3454" spans="1:12">
      <c r="A3454" s="20" t="s">
        <v>1211</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2367</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1009</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690</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1009</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1080</v>
      </c>
      <c r="B3459" s="21" t="s">
        <v>1000</v>
      </c>
      <c r="C3459" s="21" t="s">
        <v>984</v>
      </c>
      <c r="D3459" s="21" t="s">
        <v>985</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1224</v>
      </c>
      <c r="B3460" s="21" t="s">
        <v>1037</v>
      </c>
      <c r="C3460" s="21" t="s">
        <v>1128</v>
      </c>
      <c r="D3460" s="21" t="s">
        <v>985</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1326</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2368</v>
      </c>
      <c r="B3462" s="21" t="s">
        <v>1037</v>
      </c>
      <c r="C3462" s="21" t="s">
        <v>1128</v>
      </c>
      <c r="D3462" s="21" t="s">
        <v>985</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2369</v>
      </c>
      <c r="B3463" s="21" t="s">
        <v>991</v>
      </c>
      <c r="C3463" s="21" t="s">
        <v>1021</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1032</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row>
    <row r="3466" spans="1:12">
      <c r="A3466" s="20" t="s">
        <v>2370</v>
      </c>
    </row>
    <row r="3467" spans="1:12">
      <c r="A3467" s="20" t="s">
        <v>694</v>
      </c>
      <c r="B3467" s="21" t="s">
        <v>991</v>
      </c>
      <c r="C3467" s="21" t="s">
        <v>992</v>
      </c>
      <c r="D3467" s="21" t="s">
        <v>985</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1399</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1216</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row>
    <row r="3471" spans="1:12">
      <c r="A3471" s="20" t="s">
        <v>2371</v>
      </c>
    </row>
    <row r="3472" spans="1:12">
      <c r="A3472" s="20" t="s">
        <v>1568</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1011</v>
      </c>
      <c r="B3473" s="21" t="s">
        <v>983</v>
      </c>
      <c r="C3473" s="21" t="s">
        <v>984</v>
      </c>
      <c r="D3473" s="21" t="s">
        <v>985</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1058</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2361</v>
      </c>
      <c r="B3475" s="21" t="s">
        <v>991</v>
      </c>
      <c r="C3475" s="21" t="s">
        <v>1021</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1216</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91</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row>
    <row r="3479" spans="1:12">
      <c r="A3479" s="20" t="s">
        <v>2372</v>
      </c>
    </row>
    <row r="3480" spans="1:12">
      <c r="A3480" s="20" t="s">
        <v>701</v>
      </c>
      <c r="B3480" s="21" t="s">
        <v>991</v>
      </c>
      <c r="C3480" s="21" t="s">
        <v>992</v>
      </c>
      <c r="D3480" s="21" t="s">
        <v>985</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1032</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91</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row>
    <row r="3484" spans="1:12">
      <c r="A3484" s="20" t="s">
        <v>2373</v>
      </c>
    </row>
    <row r="3485" spans="1:12">
      <c r="A3485" s="20" t="s">
        <v>1211</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1345</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1028</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705</v>
      </c>
      <c r="B3488" s="21" t="s">
        <v>991</v>
      </c>
      <c r="C3488" s="21" t="s">
        <v>1040</v>
      </c>
      <c r="D3488" s="21" t="s">
        <v>985</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1216</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91</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row>
    <row r="3492" spans="1:12">
      <c r="A3492" s="20" t="s">
        <v>2374</v>
      </c>
    </row>
    <row r="3493" spans="1:12">
      <c r="A3493" s="20" t="s">
        <v>1211</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1198</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705</v>
      </c>
      <c r="B3495" s="21" t="s">
        <v>983</v>
      </c>
      <c r="C3495" s="21" t="s">
        <v>1040</v>
      </c>
      <c r="D3495" s="21" t="s">
        <v>985</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1283</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2026</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1032</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91</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row>
    <row r="3501" spans="1:12">
      <c r="A3501" s="20" t="s">
        <v>2375</v>
      </c>
    </row>
    <row r="3502" spans="1:12">
      <c r="A3502" s="20" t="s">
        <v>1213</v>
      </c>
      <c r="B3502" s="21" t="s">
        <v>983</v>
      </c>
      <c r="C3502" s="21" t="s">
        <v>984</v>
      </c>
      <c r="D3502" s="21" t="s">
        <v>985</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1855</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1780</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2376</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2377</v>
      </c>
      <c r="B3506" s="21" t="s">
        <v>1176</v>
      </c>
      <c r="C3506" s="21" t="s">
        <v>996</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1028</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1175</v>
      </c>
      <c r="B3508" s="21" t="s">
        <v>1037</v>
      </c>
      <c r="C3508" s="21" t="s">
        <v>1040</v>
      </c>
      <c r="D3508" s="21" t="s">
        <v>985</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1361</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1032</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row>
    <row r="3512" spans="1:12">
      <c r="A3512" s="20" t="s">
        <v>2378</v>
      </c>
    </row>
    <row r="3513" spans="1:12">
      <c r="A3513" s="20" t="s">
        <v>1211</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1759</v>
      </c>
      <c r="B3514" s="21" t="s">
        <v>1012</v>
      </c>
      <c r="C3514" s="21" t="s">
        <v>1021</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1760</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341</v>
      </c>
      <c r="B3516" s="21" t="s">
        <v>991</v>
      </c>
      <c r="C3516" s="21" t="s">
        <v>992</v>
      </c>
      <c r="D3516" s="21" t="s">
        <v>985</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1238</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row>
    <row r="3519" spans="1:12">
      <c r="A3519" s="20" t="s">
        <v>2379</v>
      </c>
    </row>
    <row r="3520" spans="1:12">
      <c r="A3520" s="20" t="s">
        <v>1759</v>
      </c>
      <c r="B3520" s="21" t="s">
        <v>983</v>
      </c>
      <c r="C3520" s="21" t="s">
        <v>1021</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1760</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341</v>
      </c>
      <c r="B3522" s="21" t="s">
        <v>991</v>
      </c>
      <c r="C3522" s="21" t="s">
        <v>992</v>
      </c>
      <c r="D3522" s="21" t="s">
        <v>985</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1238</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row>
    <row r="3525" spans="1:12">
      <c r="A3525" s="20" t="s">
        <v>2380</v>
      </c>
    </row>
    <row r="3526" spans="1:12">
      <c r="A3526" s="20" t="s">
        <v>2381</v>
      </c>
      <c r="B3526" s="21" t="s">
        <v>991</v>
      </c>
      <c r="C3526" s="21" t="s">
        <v>1035</v>
      </c>
      <c r="D3526" s="21" t="s">
        <v>985</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652</v>
      </c>
      <c r="B3527" s="21" t="s">
        <v>991</v>
      </c>
      <c r="C3527" s="21" t="s">
        <v>1092</v>
      </c>
      <c r="D3527" s="21" t="s">
        <v>985</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1238</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row>
    <row r="3530" spans="1:12">
      <c r="A3530" s="20" t="s">
        <v>2382</v>
      </c>
    </row>
    <row r="3531" spans="1:12">
      <c r="A3531" s="20" t="s">
        <v>2383</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1213</v>
      </c>
      <c r="B3532" s="21" t="s">
        <v>983</v>
      </c>
      <c r="C3532" s="21" t="s">
        <v>984</v>
      </c>
      <c r="D3532" s="21" t="s">
        <v>985</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1009</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1087</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1011</v>
      </c>
      <c r="B3535" s="21" t="s">
        <v>1000</v>
      </c>
      <c r="C3535" s="21" t="s">
        <v>984</v>
      </c>
      <c r="D3535" s="21" t="s">
        <v>985</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1174</v>
      </c>
      <c r="B3536" s="21" t="s">
        <v>1003</v>
      </c>
      <c r="C3536" s="21" t="s">
        <v>984</v>
      </c>
      <c r="D3536" s="21" t="s">
        <v>985</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2384</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1238</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91</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row>
    <row r="3541" spans="1:12">
      <c r="A3541" s="20" t="s">
        <v>2385</v>
      </c>
    </row>
    <row r="3542" spans="1:12">
      <c r="A3542" s="20" t="s">
        <v>1213</v>
      </c>
      <c r="B3542" s="21" t="s">
        <v>983</v>
      </c>
      <c r="C3542" s="21" t="s">
        <v>984</v>
      </c>
      <c r="D3542" s="21" t="s">
        <v>985</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1652</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1561</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2386</v>
      </c>
      <c r="B3545" s="21" t="s">
        <v>1012</v>
      </c>
      <c r="C3545" s="21" t="s">
        <v>1006</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2387</v>
      </c>
      <c r="B3546" s="21" t="s">
        <v>1003</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1052</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1139</v>
      </c>
      <c r="B3548" s="21" t="s">
        <v>1000</v>
      </c>
      <c r="C3548" s="21" t="s">
        <v>1063</v>
      </c>
      <c r="D3548" s="21" t="s">
        <v>985</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1933</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1425</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2056</v>
      </c>
      <c r="B3551" s="21" t="s">
        <v>1037</v>
      </c>
      <c r="C3551" s="21" t="s">
        <v>1021</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1009</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1010</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1561</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2388</v>
      </c>
      <c r="B3555" s="21" t="s">
        <v>1000</v>
      </c>
      <c r="C3555" s="21" t="s">
        <v>1006</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1052</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1109</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1425</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2342</v>
      </c>
      <c r="B3559" s="21" t="s">
        <v>1037</v>
      </c>
      <c r="C3559" s="21" t="s">
        <v>1021</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2389</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1162</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1032</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row>
    <row r="3564" spans="1:12">
      <c r="A3564" s="20" t="s">
        <v>2390</v>
      </c>
    </row>
    <row r="3565" spans="1:12">
      <c r="A3565" s="20" t="s">
        <v>1211</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2391</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1262</v>
      </c>
      <c r="B3567" s="21" t="s">
        <v>983</v>
      </c>
      <c r="C3567" s="21" t="s">
        <v>1035</v>
      </c>
      <c r="D3567" s="21" t="s">
        <v>985</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986</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2392</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1108</v>
      </c>
      <c r="B3570" s="21" t="s">
        <v>991</v>
      </c>
      <c r="C3570" s="21" t="s">
        <v>1063</v>
      </c>
      <c r="D3570" s="21" t="s">
        <v>985</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1238</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row>
    <row r="3573" spans="1:12">
      <c r="A3573" s="20" t="s">
        <v>2393</v>
      </c>
    </row>
    <row r="3574" spans="1:12">
      <c r="A3574" s="20" t="s">
        <v>982</v>
      </c>
      <c r="B3574" s="21" t="s">
        <v>983</v>
      </c>
      <c r="C3574" s="21" t="s">
        <v>984</v>
      </c>
      <c r="D3574" s="21" t="s">
        <v>985</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736</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2394</v>
      </c>
      <c r="B3576" s="21" t="s">
        <v>1176</v>
      </c>
      <c r="C3576" s="21" t="s">
        <v>1021</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1052</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1224</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1429</v>
      </c>
      <c r="B3579" s="21" t="s">
        <v>1037</v>
      </c>
      <c r="C3579" s="21" t="s">
        <v>1006</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1009</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1047</v>
      </c>
      <c r="B3581" s="21" t="s">
        <v>1016</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1011</v>
      </c>
      <c r="B3582" s="21" t="s">
        <v>1012</v>
      </c>
      <c r="C3582" s="21" t="s">
        <v>984</v>
      </c>
      <c r="D3582" s="21" t="s">
        <v>985</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2395</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1052</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2396</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1591</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1032</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row>
    <row r="3589" spans="1:12">
      <c r="A3589" s="20" t="s">
        <v>2397</v>
      </c>
    </row>
    <row r="3590" spans="1:12">
      <c r="A3590" s="20" t="s">
        <v>1222</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2398</v>
      </c>
      <c r="B3591" s="21" t="s">
        <v>1176</v>
      </c>
      <c r="C3591" s="21" t="s">
        <v>1021</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1018</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1009</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1010</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1011</v>
      </c>
      <c r="B3595" s="21" t="s">
        <v>1000</v>
      </c>
      <c r="C3595" s="21" t="s">
        <v>984</v>
      </c>
      <c r="D3595" s="21" t="s">
        <v>985</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1174</v>
      </c>
      <c r="B3596" s="21" t="s">
        <v>1003</v>
      </c>
      <c r="C3596" s="21" t="s">
        <v>984</v>
      </c>
      <c r="D3596" s="21" t="s">
        <v>985</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1046</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1009</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1112</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1080</v>
      </c>
      <c r="B3600" s="21" t="s">
        <v>1012</v>
      </c>
      <c r="C3600" s="21" t="s">
        <v>984</v>
      </c>
      <c r="D3600" s="21" t="s">
        <v>985</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2063</v>
      </c>
      <c r="B3601" s="21" t="s">
        <v>1016</v>
      </c>
      <c r="C3601" s="21" t="s">
        <v>1001</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2399</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1009</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2355</v>
      </c>
      <c r="B3604" s="21" t="s">
        <v>1016</v>
      </c>
      <c r="C3604" s="21" t="s">
        <v>1021</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1009</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2400</v>
      </c>
      <c r="B3606" s="21" t="s">
        <v>1050</v>
      </c>
      <c r="C3606" s="21" t="s">
        <v>1021</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1009</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285</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1584</v>
      </c>
      <c r="B3609" s="21" t="s">
        <v>1050</v>
      </c>
      <c r="C3609" s="21" t="s">
        <v>996</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1937</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2401</v>
      </c>
      <c r="B3611" s="21" t="s">
        <v>1062</v>
      </c>
      <c r="C3611" s="21" t="s">
        <v>1021</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1009</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1057</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1576</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1283</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1137</v>
      </c>
      <c r="B3616" s="21" t="s">
        <v>2055</v>
      </c>
      <c r="C3616" s="21" t="s">
        <v>984</v>
      </c>
      <c r="D3616" s="21" t="s">
        <v>985</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1595</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2402</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1011</v>
      </c>
      <c r="B3619" s="21" t="s">
        <v>2218</v>
      </c>
      <c r="C3619" s="21" t="s">
        <v>984</v>
      </c>
      <c r="D3619" s="21" t="s">
        <v>985</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1174</v>
      </c>
      <c r="B3620" s="21" t="s">
        <v>2219</v>
      </c>
      <c r="C3620" s="21" t="s">
        <v>984</v>
      </c>
      <c r="D3620" s="21" t="s">
        <v>985</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1123</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2403</v>
      </c>
      <c r="B3622" s="21" t="s">
        <v>1465</v>
      </c>
      <c r="C3622" s="21" t="s">
        <v>1021</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2404</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1591</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1032</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91</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row>
    <row r="3628" spans="1:12">
      <c r="A3628" s="20" t="s">
        <v>2405</v>
      </c>
    </row>
    <row r="3629" spans="1:12">
      <c r="A3629" s="20" t="s">
        <v>1431</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1369</v>
      </c>
      <c r="B3630" s="21" t="s">
        <v>1000</v>
      </c>
      <c r="C3630" s="21" t="s">
        <v>1063</v>
      </c>
      <c r="D3630" s="21" t="s">
        <v>985</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2406</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1009</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2407</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1213</v>
      </c>
      <c r="B3634" s="21" t="s">
        <v>983</v>
      </c>
      <c r="C3634" s="21" t="s">
        <v>984</v>
      </c>
      <c r="D3634" s="21" t="s">
        <v>985</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2408</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2409</v>
      </c>
      <c r="B3636" s="21" t="s">
        <v>1176</v>
      </c>
      <c r="C3636" s="21" t="s">
        <v>1021</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1361</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1032</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row>
    <row r="3640" spans="1:12">
      <c r="A3640" s="20" t="s">
        <v>2410</v>
      </c>
    </row>
    <row r="3641" spans="1:12">
      <c r="A3641" s="20" t="s">
        <v>1211</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1510</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2411</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1213</v>
      </c>
      <c r="B3644" s="21" t="s">
        <v>1000</v>
      </c>
      <c r="C3644" s="21" t="s">
        <v>984</v>
      </c>
      <c r="D3644" s="21" t="s">
        <v>985</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1836</v>
      </c>
      <c r="B3645" s="21" t="s">
        <v>1003</v>
      </c>
      <c r="C3645" s="21" t="s">
        <v>984</v>
      </c>
      <c r="D3645" s="21" t="s">
        <v>985</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1108</v>
      </c>
      <c r="B3646" s="21" t="s">
        <v>1003</v>
      </c>
      <c r="C3646" s="21" t="s">
        <v>1063</v>
      </c>
      <c r="D3646" s="21" t="s">
        <v>985</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91</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1009</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1305</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993</v>
      </c>
      <c r="B3650" s="21" t="s">
        <v>983</v>
      </c>
      <c r="C3650" s="21" t="s">
        <v>992</v>
      </c>
      <c r="D3650" s="21" t="s">
        <v>985</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1032</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row>
    <row r="3653" spans="1:12">
      <c r="A3653" s="20" t="s">
        <v>2412</v>
      </c>
    </row>
    <row r="3654" spans="1:12">
      <c r="A3654" s="20" t="s">
        <v>1211</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2413</v>
      </c>
      <c r="B3655" s="21" t="s">
        <v>983</v>
      </c>
      <c r="C3655" s="21" t="s">
        <v>992</v>
      </c>
      <c r="D3655" s="21" t="s">
        <v>985</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1213</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1100</v>
      </c>
      <c r="B3657" s="21" t="s">
        <v>1176</v>
      </c>
      <c r="C3657" s="21" t="s">
        <v>1063</v>
      </c>
      <c r="D3657" s="21" t="s">
        <v>985</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750</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1009</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1524</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1139</v>
      </c>
      <c r="B3661" s="21" t="s">
        <v>1000</v>
      </c>
      <c r="C3661" s="21" t="s">
        <v>1063</v>
      </c>
      <c r="D3661" s="21" t="s">
        <v>985</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2414</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1709</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1032</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row>
    <row r="3666" spans="1:12">
      <c r="A3666" s="20" t="s">
        <v>2415</v>
      </c>
    </row>
    <row r="3667" spans="1:12">
      <c r="A3667" s="20" t="s">
        <v>2416</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1213</v>
      </c>
      <c r="B3668" s="21" t="s">
        <v>983</v>
      </c>
      <c r="C3668" s="21" t="s">
        <v>984</v>
      </c>
      <c r="D3668" s="21" t="s">
        <v>985</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1836</v>
      </c>
      <c r="B3669" s="21" t="s">
        <v>1176</v>
      </c>
      <c r="C3669" s="21" t="s">
        <v>984</v>
      </c>
      <c r="D3669" s="21" t="s">
        <v>985</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2417</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2122</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1440</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2418</v>
      </c>
      <c r="B3673" s="21" t="s">
        <v>991</v>
      </c>
      <c r="C3673" s="21" t="s">
        <v>1006</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2419</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1009</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1084</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559</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2420</v>
      </c>
      <c r="B3678" s="21" t="s">
        <v>1000</v>
      </c>
      <c r="C3678" s="21" t="s">
        <v>1021</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1100</v>
      </c>
      <c r="B3679" s="21" t="s">
        <v>1176</v>
      </c>
      <c r="C3679" s="21" t="s">
        <v>1063</v>
      </c>
      <c r="D3679" s="21" t="s">
        <v>985</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1052</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2421</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1213</v>
      </c>
      <c r="B3682" s="21" t="s">
        <v>1000</v>
      </c>
      <c r="C3682" s="21" t="s">
        <v>984</v>
      </c>
      <c r="D3682" s="21" t="s">
        <v>985</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2422</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1032</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91</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row>
    <row r="3687" spans="1:12">
      <c r="A3687" s="20" t="s">
        <v>2423</v>
      </c>
    </row>
    <row r="3688" spans="1:12">
      <c r="A3688" s="20" t="s">
        <v>1211</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982</v>
      </c>
      <c r="B3689" s="21" t="s">
        <v>1012</v>
      </c>
      <c r="C3689" s="21" t="s">
        <v>984</v>
      </c>
      <c r="D3689" s="21" t="s">
        <v>985</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2424</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1113</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1780</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1185</v>
      </c>
      <c r="B3693" s="21" t="s">
        <v>1003</v>
      </c>
      <c r="C3693" s="21" t="s">
        <v>996</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1009</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1121</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1294</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1011</v>
      </c>
      <c r="B3697" s="21" t="s">
        <v>1223</v>
      </c>
      <c r="C3697" s="21" t="s">
        <v>984</v>
      </c>
      <c r="D3697" s="21" t="s">
        <v>985</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2425</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225</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1513</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91</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1009</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2426</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1369</v>
      </c>
      <c r="B3704" s="21" t="s">
        <v>983</v>
      </c>
      <c r="C3704" s="21" t="s">
        <v>1063</v>
      </c>
      <c r="D3704" s="21" t="s">
        <v>985</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1032</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row>
    <row r="3707" spans="1:12">
      <c r="A3707" s="20" t="s">
        <v>2427</v>
      </c>
    </row>
    <row r="3708" spans="1:12">
      <c r="A3708" s="20" t="s">
        <v>1211</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2428</v>
      </c>
      <c r="B3709" s="21" t="s">
        <v>991</v>
      </c>
      <c r="C3709" s="21" t="s">
        <v>1021</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1013</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2296</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2429</v>
      </c>
      <c r="B3712" s="21" t="s">
        <v>1176</v>
      </c>
      <c r="C3712" s="21" t="s">
        <v>996</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1126</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988</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2430</v>
      </c>
      <c r="B3715" s="21" t="s">
        <v>1037</v>
      </c>
      <c r="C3715" s="21" t="s">
        <v>996</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2431</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1158</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2432</v>
      </c>
      <c r="B3718" s="21" t="s">
        <v>1054</v>
      </c>
      <c r="C3718" s="21" t="s">
        <v>1040</v>
      </c>
      <c r="D3718" s="21" t="s">
        <v>985</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1032</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row>
    <row r="3721" spans="1:12">
      <c r="A3721" s="20" t="s">
        <v>2433</v>
      </c>
    </row>
    <row r="3722" spans="1:12">
      <c r="A3722" s="20" t="s">
        <v>2434</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1591</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1011</v>
      </c>
      <c r="B3724" s="21" t="s">
        <v>983</v>
      </c>
      <c r="C3724" s="21" t="s">
        <v>984</v>
      </c>
      <c r="D3724" s="21" t="s">
        <v>985</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2435</v>
      </c>
      <c r="B3725" s="21" t="s">
        <v>1176</v>
      </c>
      <c r="C3725" s="21" t="s">
        <v>1021</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766</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1052</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1233</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1013</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2436</v>
      </c>
      <c r="B3730" s="21" t="s">
        <v>1003</v>
      </c>
      <c r="C3730" s="21" t="s">
        <v>996</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1245</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1032</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row>
    <row r="3734" spans="1:12">
      <c r="A3734" s="20" t="s">
        <v>2437</v>
      </c>
    </row>
    <row r="3735" spans="1:12">
      <c r="A3735" s="20" t="s">
        <v>2438</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1283</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1011</v>
      </c>
      <c r="B3737" s="21" t="s">
        <v>983</v>
      </c>
      <c r="C3737" s="21" t="s">
        <v>984</v>
      </c>
      <c r="D3737" s="21" t="s">
        <v>985</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2439</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1032</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91</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row>
    <row r="3742" spans="1:12">
      <c r="A3742" s="20" t="s">
        <v>2440</v>
      </c>
    </row>
    <row r="3743" spans="1:12">
      <c r="A3743" s="20" t="s">
        <v>1096</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1722</v>
      </c>
      <c r="B3744" s="21" t="s">
        <v>983</v>
      </c>
      <c r="C3744" s="21" t="s">
        <v>1040</v>
      </c>
      <c r="D3744" s="21" t="s">
        <v>985</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1055</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1087</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1653</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2441</v>
      </c>
      <c r="B3748" s="21" t="s">
        <v>991</v>
      </c>
      <c r="C3748" s="21" t="s">
        <v>1021</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1099</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1038</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1338</v>
      </c>
      <c r="B3751" s="21" t="s">
        <v>991</v>
      </c>
      <c r="C3751" s="21" t="s">
        <v>1040</v>
      </c>
      <c r="D3751" s="21" t="s">
        <v>985</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1032</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row>
    <row r="3754" spans="1:12">
      <c r="A3754" s="20" t="s">
        <v>2442</v>
      </c>
    </row>
    <row r="3755" spans="1:12">
      <c r="A3755" s="20" t="s">
        <v>993</v>
      </c>
      <c r="B3755" s="21" t="s">
        <v>983</v>
      </c>
      <c r="C3755" s="21" t="s">
        <v>992</v>
      </c>
      <c r="D3755" s="21" t="s">
        <v>985</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2443</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1369</v>
      </c>
      <c r="B3757" s="21" t="s">
        <v>1176</v>
      </c>
      <c r="C3757" s="21" t="s">
        <v>1063</v>
      </c>
      <c r="D3757" s="21" t="s">
        <v>985</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1425</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2444</v>
      </c>
      <c r="B3759" s="21" t="s">
        <v>991</v>
      </c>
      <c r="C3759" s="21" t="s">
        <v>1021</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1032</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row>
    <row r="3762" spans="1:12">
      <c r="A3762" s="20" t="s">
        <v>2445</v>
      </c>
    </row>
    <row r="3763" spans="1:12">
      <c r="A3763" s="20" t="s">
        <v>1211</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2383</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1213</v>
      </c>
      <c r="B3765" s="21" t="s">
        <v>1000</v>
      </c>
      <c r="C3765" s="21" t="s">
        <v>984</v>
      </c>
      <c r="D3765" s="21" t="s">
        <v>985</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91</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1009</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1305</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1011</v>
      </c>
      <c r="B3769" s="21" t="s">
        <v>983</v>
      </c>
      <c r="C3769" s="21" t="s">
        <v>984</v>
      </c>
      <c r="D3769" s="21" t="s">
        <v>985</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1032</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row>
    <row r="3772" spans="1:12">
      <c r="A3772" s="20" t="s">
        <v>2446</v>
      </c>
    </row>
    <row r="3773" spans="1:12">
      <c r="A3773" s="20" t="s">
        <v>1211</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2447</v>
      </c>
      <c r="B3774" s="21" t="s">
        <v>983</v>
      </c>
      <c r="C3774" s="21" t="s">
        <v>1001</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1513</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1058</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1089</v>
      </c>
      <c r="B3777" s="21" t="s">
        <v>1037</v>
      </c>
      <c r="C3777" s="21" t="s">
        <v>1035</v>
      </c>
      <c r="D3777" s="21" t="s">
        <v>985</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1594</v>
      </c>
      <c r="B3778" s="21" t="s">
        <v>991</v>
      </c>
      <c r="C3778" s="21" t="s">
        <v>1092</v>
      </c>
      <c r="D3778" s="21" t="s">
        <v>985</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1294</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2448</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1295</v>
      </c>
      <c r="B3781" s="21" t="s">
        <v>1176</v>
      </c>
      <c r="C3781" s="21" t="s">
        <v>1040</v>
      </c>
      <c r="D3781" s="21" t="s">
        <v>985</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2449</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1275</v>
      </c>
      <c r="B3783" s="21" t="s">
        <v>1037</v>
      </c>
      <c r="C3783" s="21" t="s">
        <v>992</v>
      </c>
      <c r="D3783" s="21" t="s">
        <v>985</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1276</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601</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1032</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91</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row>
    <row r="3789" spans="1:12">
      <c r="A3789" s="20" t="s">
        <v>2450</v>
      </c>
    </row>
    <row r="3790" spans="1:12">
      <c r="A3790" s="20" t="s">
        <v>1213</v>
      </c>
      <c r="B3790" s="21" t="s">
        <v>983</v>
      </c>
      <c r="C3790" s="21" t="s">
        <v>984</v>
      </c>
      <c r="D3790" s="21" t="s">
        <v>985</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2451</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1052</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2008</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1047</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1936</v>
      </c>
      <c r="B3795" s="21" t="s">
        <v>1003</v>
      </c>
      <c r="C3795" s="21" t="s">
        <v>1040</v>
      </c>
      <c r="D3795" s="21" t="s">
        <v>985</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1686</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1032</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row>
    <row r="3799" spans="1:12">
      <c r="A3799" s="20" t="s">
        <v>2452</v>
      </c>
    </row>
    <row r="3800" spans="1:12">
      <c r="A3800" s="20" t="s">
        <v>2350</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1842</v>
      </c>
      <c r="B3801" s="21" t="s">
        <v>983</v>
      </c>
      <c r="C3801" s="21" t="s">
        <v>1006</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1052</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2453</v>
      </c>
      <c r="B3803" s="21" t="s">
        <v>1037</v>
      </c>
      <c r="C3803" s="21" t="s">
        <v>1021</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2454</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2455</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792</v>
      </c>
      <c r="B3806" s="21" t="s">
        <v>991</v>
      </c>
      <c r="C3806" s="21" t="s">
        <v>1021</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1032</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row>
    <row r="3809" spans="1:12">
      <c r="A3809" s="20" t="s">
        <v>2456</v>
      </c>
    </row>
    <row r="3810" spans="1:12">
      <c r="A3810" s="20" t="s">
        <v>1211</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1478</v>
      </c>
      <c r="B3811" s="21" t="s">
        <v>983</v>
      </c>
      <c r="C3811" s="21" t="s">
        <v>984</v>
      </c>
      <c r="D3811" s="21" t="s">
        <v>985</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2457</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1294</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1295</v>
      </c>
      <c r="B3814" s="21" t="s">
        <v>1176</v>
      </c>
      <c r="C3814" s="21" t="s">
        <v>1040</v>
      </c>
      <c r="D3814" s="21" t="s">
        <v>985</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2211</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601</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1009</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1057</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1083</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1140</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2458</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91</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1009</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1805</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1369</v>
      </c>
      <c r="B3825" s="21" t="s">
        <v>1000</v>
      </c>
      <c r="C3825" s="21" t="s">
        <v>1063</v>
      </c>
      <c r="D3825" s="21" t="s">
        <v>985</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1032</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row>
    <row r="3828" spans="1:12">
      <c r="A3828" s="20" t="s">
        <v>2459</v>
      </c>
    </row>
    <row r="3829" spans="1:12">
      <c r="A3829" s="20" t="s">
        <v>1211</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1527</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2460</v>
      </c>
      <c r="B3831" s="21" t="s">
        <v>1037</v>
      </c>
      <c r="C3831" s="21" t="s">
        <v>1063</v>
      </c>
      <c r="D3831" s="21" t="s">
        <v>985</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2461</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1594</v>
      </c>
      <c r="B3833" s="21" t="s">
        <v>991</v>
      </c>
      <c r="C3833" s="21" t="s">
        <v>1021</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1047</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2462</v>
      </c>
      <c r="B3835" s="21" t="s">
        <v>1176</v>
      </c>
      <c r="C3835" s="21" t="s">
        <v>1040</v>
      </c>
      <c r="D3835" s="21" t="s">
        <v>985</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601</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1009</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1047</v>
      </c>
      <c r="B3838" s="21" t="s">
        <v>1000</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1762</v>
      </c>
      <c r="B3839" s="21" t="s">
        <v>1003</v>
      </c>
      <c r="C3839" s="21" t="s">
        <v>984</v>
      </c>
      <c r="D3839" s="21" t="s">
        <v>985</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2463</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1216</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row>
    <row r="3843" spans="1:12">
      <c r="A3843" s="20" t="s">
        <v>2464</v>
      </c>
    </row>
    <row r="3844" spans="1:12">
      <c r="A3844" s="20" t="s">
        <v>1188</v>
      </c>
      <c r="B3844" s="21" t="s">
        <v>983</v>
      </c>
      <c r="C3844" s="21" t="s">
        <v>1063</v>
      </c>
      <c r="D3844" s="21" t="s">
        <v>985</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21</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1369</v>
      </c>
      <c r="B3846" s="21" t="s">
        <v>983</v>
      </c>
      <c r="C3846" s="21" t="s">
        <v>1063</v>
      </c>
      <c r="D3846" s="21" t="s">
        <v>985</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2465</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1009</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1011</v>
      </c>
      <c r="B3849" s="21" t="s">
        <v>991</v>
      </c>
      <c r="C3849" s="21" t="s">
        <v>984</v>
      </c>
      <c r="D3849" s="21" t="s">
        <v>985</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1052</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1080</v>
      </c>
      <c r="B3851" s="21" t="s">
        <v>1037</v>
      </c>
      <c r="C3851" s="21" t="s">
        <v>984</v>
      </c>
      <c r="D3851" s="21" t="s">
        <v>985</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1009</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1557</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1294</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1295</v>
      </c>
      <c r="B3855" s="21" t="s">
        <v>1016</v>
      </c>
      <c r="C3855" s="21" t="s">
        <v>1040</v>
      </c>
      <c r="D3855" s="21" t="s">
        <v>985</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1093</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1262</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1276</v>
      </c>
      <c r="B3858" s="21" t="s">
        <v>1054</v>
      </c>
      <c r="C3858" s="21" t="s">
        <v>1040</v>
      </c>
      <c r="D3858" s="21" t="s">
        <v>985</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1025</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2466</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1032</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row>
    <row r="3863" spans="1:12">
      <c r="A3863" s="20" t="s">
        <v>2467</v>
      </c>
    </row>
    <row r="3864" spans="1:12">
      <c r="A3864" s="20" t="s">
        <v>2468</v>
      </c>
      <c r="B3864" s="21" t="s">
        <v>983</v>
      </c>
      <c r="C3864" s="21" t="s">
        <v>992</v>
      </c>
      <c r="D3864" s="21" t="s">
        <v>985</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1009</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2469</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2470</v>
      </c>
      <c r="B3867" s="21" t="s">
        <v>983</v>
      </c>
      <c r="C3867" s="21" t="s">
        <v>984</v>
      </c>
      <c r="D3867" s="21" t="s">
        <v>985</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1113</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2461</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807</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1238</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row>
    <row r="3873" spans="1:12">
      <c r="A3873" s="20" t="s">
        <v>2471</v>
      </c>
    </row>
    <row r="3874" spans="1:12">
      <c r="A3874" s="20" t="s">
        <v>1331</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2472</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1011</v>
      </c>
      <c r="B3876" s="21" t="s">
        <v>983</v>
      </c>
      <c r="C3876" s="21" t="s">
        <v>984</v>
      </c>
      <c r="D3876" s="21" t="s">
        <v>985</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2123</v>
      </c>
      <c r="B3877" s="21" t="s">
        <v>1176</v>
      </c>
      <c r="C3877" s="21" t="s">
        <v>984</v>
      </c>
      <c r="D3877" s="21" t="s">
        <v>985</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1264</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2473</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1238</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91</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row>
    <row r="3883" spans="1:12">
      <c r="A3883" s="20" t="s">
        <v>2474</v>
      </c>
    </row>
    <row r="3884" spans="1:12">
      <c r="A3884" s="20" t="s">
        <v>982</v>
      </c>
      <c r="B3884" s="21" t="s">
        <v>983</v>
      </c>
      <c r="C3884" s="21" t="s">
        <v>984</v>
      </c>
      <c r="D3884" s="21" t="s">
        <v>985</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986</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2475</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1009</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1010</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1145</v>
      </c>
      <c r="B3889" s="21" t="s">
        <v>1054</v>
      </c>
      <c r="C3889" s="21" t="s">
        <v>1001</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2476</v>
      </c>
      <c r="B3890" s="21" t="s">
        <v>1000</v>
      </c>
      <c r="C3890" s="21" t="s">
        <v>1021</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2022</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986</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1009</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1027</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1232</v>
      </c>
      <c r="B3895" s="21" t="s">
        <v>1016</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1028</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2477</v>
      </c>
      <c r="B3897" s="21" t="s">
        <v>1012</v>
      </c>
      <c r="C3897" s="21" t="s">
        <v>1040</v>
      </c>
      <c r="D3897" s="21" t="s">
        <v>985</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1018</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1032</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row>
    <row r="3901" spans="1:12">
      <c r="A3901" s="20" t="s">
        <v>2478</v>
      </c>
    </row>
    <row r="3902" spans="1:12">
      <c r="A3902" s="20" t="s">
        <v>1510</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1189</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1139</v>
      </c>
      <c r="B3904" s="21" t="s">
        <v>983</v>
      </c>
      <c r="C3904" s="21" t="s">
        <v>1063</v>
      </c>
      <c r="D3904" s="21" t="s">
        <v>985</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1215</v>
      </c>
      <c r="B3905" s="21" t="s">
        <v>1176</v>
      </c>
      <c r="C3905" s="21" t="s">
        <v>1086</v>
      </c>
      <c r="D3905" s="21" t="s">
        <v>985</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1058</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2479</v>
      </c>
      <c r="B3907" s="21" t="s">
        <v>1054</v>
      </c>
      <c r="C3907" s="21" t="s">
        <v>992</v>
      </c>
      <c r="D3907" s="21" t="s">
        <v>985</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1179</v>
      </c>
      <c r="B3908" s="21" t="s">
        <v>1037</v>
      </c>
      <c r="C3908" s="21" t="s">
        <v>992</v>
      </c>
      <c r="D3908" s="21" t="s">
        <v>985</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1442</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1009</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2480</v>
      </c>
      <c r="B3911" s="21" t="s">
        <v>991</v>
      </c>
      <c r="C3911" s="21" t="s">
        <v>992</v>
      </c>
      <c r="D3911" s="21" t="s">
        <v>985</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1052</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1080</v>
      </c>
      <c r="B3913" s="21" t="s">
        <v>1000</v>
      </c>
      <c r="C3913" s="21" t="s">
        <v>984</v>
      </c>
      <c r="D3913" s="21" t="s">
        <v>985</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1425</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1038</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1417</v>
      </c>
      <c r="B3916" s="21" t="s">
        <v>1037</v>
      </c>
      <c r="C3916" s="21" t="s">
        <v>1040</v>
      </c>
      <c r="D3916" s="21" t="s">
        <v>985</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1201</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1183</v>
      </c>
      <c r="B3918" s="21" t="s">
        <v>1054</v>
      </c>
      <c r="C3918" s="21" t="s">
        <v>992</v>
      </c>
      <c r="D3918" s="21" t="s">
        <v>985</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1184</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2481</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1032</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row>
    <row r="3923" spans="1:12">
      <c r="A3923" s="20" t="s">
        <v>2482</v>
      </c>
    </row>
    <row r="3924" spans="1:12">
      <c r="A3924" s="20" t="s">
        <v>2483</v>
      </c>
      <c r="B3924" s="21" t="s">
        <v>983</v>
      </c>
      <c r="C3924" s="21" t="s">
        <v>1021</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1109</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1047</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2479</v>
      </c>
      <c r="B3927" s="21" t="s">
        <v>1037</v>
      </c>
      <c r="C3927" s="21" t="s">
        <v>1040</v>
      </c>
      <c r="D3927" s="21" t="s">
        <v>985</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1112</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1836</v>
      </c>
      <c r="B3929" s="21" t="s">
        <v>1176</v>
      </c>
      <c r="C3929" s="21" t="s">
        <v>984</v>
      </c>
      <c r="D3929" s="21" t="s">
        <v>985</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1326</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2484</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2485</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119</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1009</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2486</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1011</v>
      </c>
      <c r="B3936" s="21" t="s">
        <v>1012</v>
      </c>
      <c r="C3936" s="21" t="s">
        <v>984</v>
      </c>
      <c r="D3936" s="21" t="s">
        <v>985</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1038</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2487</v>
      </c>
      <c r="B3938" s="21" t="s">
        <v>1016</v>
      </c>
      <c r="C3938" s="21" t="s">
        <v>1040</v>
      </c>
      <c r="D3938" s="21" t="s">
        <v>985</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2488</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1433</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1009</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1123</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1139</v>
      </c>
      <c r="B3943" s="21" t="s">
        <v>1000</v>
      </c>
      <c r="C3943" s="21" t="s">
        <v>1063</v>
      </c>
      <c r="D3943" s="21" t="s">
        <v>985</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1836</v>
      </c>
      <c r="B3944" s="21" t="s">
        <v>1003</v>
      </c>
      <c r="C3944" s="21" t="s">
        <v>984</v>
      </c>
      <c r="D3944" s="21" t="s">
        <v>985</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1109</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1047</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2309</v>
      </c>
      <c r="B3947" s="21" t="s">
        <v>1037</v>
      </c>
      <c r="C3947" s="21" t="s">
        <v>1040</v>
      </c>
      <c r="D3947" s="21" t="s">
        <v>985</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2489</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1009</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1047</v>
      </c>
      <c r="B3950" s="21" t="s">
        <v>1012</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2490</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1018</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1032</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row>
    <row r="3955" spans="1:12">
      <c r="A3955" s="20" t="s">
        <v>2491</v>
      </c>
    </row>
    <row r="3956" spans="1:12">
      <c r="A3956" s="20" t="s">
        <v>1846</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1018</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1028</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2492</v>
      </c>
      <c r="B3959" s="21" t="s">
        <v>1176</v>
      </c>
      <c r="C3959" s="21" t="s">
        <v>1040</v>
      </c>
      <c r="D3959" s="21" t="s">
        <v>985</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1028</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2493</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1151</v>
      </c>
      <c r="B3962" s="21" t="s">
        <v>1037</v>
      </c>
      <c r="C3962" s="21" t="s">
        <v>1040</v>
      </c>
      <c r="D3962" s="21" t="s">
        <v>985</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1074</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2494</v>
      </c>
      <c r="B3964" s="21" t="s">
        <v>1176</v>
      </c>
      <c r="C3964" s="21" t="s">
        <v>1006</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1009</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1052</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1027</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1028</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2495</v>
      </c>
      <c r="B3969" s="21" t="s">
        <v>1000</v>
      </c>
      <c r="C3969" s="21" t="s">
        <v>1040</v>
      </c>
      <c r="D3969" s="21" t="s">
        <v>985</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2496</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1009</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1055</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1011</v>
      </c>
      <c r="B3973" s="21" t="s">
        <v>1000</v>
      </c>
      <c r="C3973" s="21" t="s">
        <v>984</v>
      </c>
      <c r="D3973" s="21" t="s">
        <v>985</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1425</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2497</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2498</v>
      </c>
      <c r="B3976" s="21" t="s">
        <v>1037</v>
      </c>
      <c r="C3976" s="21" t="s">
        <v>1021</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2499</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2500</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1032</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row>
    <row r="3981" spans="1:12">
      <c r="A3981" s="20" t="s">
        <v>2501</v>
      </c>
    </row>
    <row r="3982" spans="1:12">
      <c r="A3982" s="20" t="s">
        <v>2502</v>
      </c>
      <c r="B3982" s="21" t="s">
        <v>983</v>
      </c>
      <c r="C3982" s="21" t="s">
        <v>992</v>
      </c>
      <c r="D3982" s="21" t="s">
        <v>985</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2503</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1762</v>
      </c>
      <c r="B3984" s="21" t="s">
        <v>1176</v>
      </c>
      <c r="C3984" s="21" t="s">
        <v>984</v>
      </c>
      <c r="D3984" s="21" t="s">
        <v>985</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1032</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row>
    <row r="3987" spans="1:12">
      <c r="A3987" s="20" t="s">
        <v>2504</v>
      </c>
    </row>
    <row r="3988" spans="1:12">
      <c r="A3988" s="20" t="s">
        <v>1096</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2505</v>
      </c>
      <c r="B3989" s="21" t="s">
        <v>983</v>
      </c>
      <c r="C3989" s="21" t="s">
        <v>1001</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2506</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2137</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1686</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1013</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834</v>
      </c>
      <c r="B3994" s="21" t="s">
        <v>991</v>
      </c>
      <c r="C3994" s="21" t="s">
        <v>1681</v>
      </c>
      <c r="D3994" s="21" t="s">
        <v>985</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1009</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2507</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694</v>
      </c>
      <c r="B3997" s="21" t="s">
        <v>1000</v>
      </c>
      <c r="C3997" s="21" t="s">
        <v>992</v>
      </c>
      <c r="D3997" s="21" t="s">
        <v>985</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1399</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1140</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1028</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2508</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1052</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2509</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1783</v>
      </c>
      <c r="B4004" s="21" t="s">
        <v>1000</v>
      </c>
      <c r="C4004" s="21" t="s">
        <v>1040</v>
      </c>
      <c r="D4004" s="21" t="s">
        <v>985</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1156</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1009</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1028</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2510</v>
      </c>
      <c r="B4008" s="21" t="s">
        <v>1037</v>
      </c>
      <c r="C4008" s="21" t="s">
        <v>1040</v>
      </c>
      <c r="D4008" s="21" t="s">
        <v>985</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986</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1009</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1027</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1011</v>
      </c>
      <c r="B4012" s="21" t="s">
        <v>1223</v>
      </c>
      <c r="C4012" s="21" t="s">
        <v>984</v>
      </c>
      <c r="D4012" s="21" t="s">
        <v>985</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1028</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2511</v>
      </c>
      <c r="B4014" s="21" t="s">
        <v>1054</v>
      </c>
      <c r="C4014" s="21" t="s">
        <v>1086</v>
      </c>
      <c r="D4014" s="21" t="s">
        <v>985</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2127</v>
      </c>
      <c r="B4015" s="21" t="s">
        <v>1062</v>
      </c>
      <c r="C4015" s="21" t="s">
        <v>1035</v>
      </c>
      <c r="D4015" s="21" t="s">
        <v>985</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2512</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2513</v>
      </c>
      <c r="B4017" s="21" t="s">
        <v>1050</v>
      </c>
      <c r="C4017" s="21" t="s">
        <v>1092</v>
      </c>
      <c r="D4017" s="21" t="s">
        <v>985</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1156</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1032</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row>
    <row r="4021" spans="1:12">
      <c r="A4021" s="20" t="s">
        <v>2514</v>
      </c>
    </row>
    <row r="4022" spans="1:12">
      <c r="A4022" s="20" t="s">
        <v>1345</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2151</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2515</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1080</v>
      </c>
      <c r="B4025" s="21" t="s">
        <v>983</v>
      </c>
      <c r="C4025" s="21" t="s">
        <v>984</v>
      </c>
      <c r="D4025" s="21" t="s">
        <v>985</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1791</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1025</v>
      </c>
      <c r="B4027" s="21" t="s">
        <v>1037</v>
      </c>
      <c r="C4027" s="21" t="s">
        <v>1001</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1038</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1340</v>
      </c>
      <c r="B4029" s="21" t="s">
        <v>991</v>
      </c>
      <c r="C4029" s="21" t="s">
        <v>1040</v>
      </c>
      <c r="D4029" s="21" t="s">
        <v>985</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1089</v>
      </c>
      <c r="B4030" s="21" t="s">
        <v>1054</v>
      </c>
      <c r="C4030" s="21" t="s">
        <v>1035</v>
      </c>
      <c r="D4030" s="21" t="s">
        <v>985</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2516</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2517</v>
      </c>
      <c r="B4032" s="21" t="s">
        <v>1037</v>
      </c>
      <c r="C4032" s="21" t="s">
        <v>1092</v>
      </c>
      <c r="D4032" s="21" t="s">
        <v>985</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250</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1009</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2518</v>
      </c>
      <c r="B4035" s="21" t="s">
        <v>1037</v>
      </c>
      <c r="C4035" s="21" t="s">
        <v>1063</v>
      </c>
      <c r="D4035" s="21" t="s">
        <v>985</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1080</v>
      </c>
      <c r="B4036" s="21" t="s">
        <v>1000</v>
      </c>
      <c r="C4036" s="21" t="s">
        <v>984</v>
      </c>
      <c r="D4036" s="21" t="s">
        <v>985</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1174</v>
      </c>
      <c r="B4037" s="21" t="s">
        <v>1003</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2519</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1227</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1009</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1294</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2520</v>
      </c>
      <c r="B4042" s="21" t="s">
        <v>1016</v>
      </c>
      <c r="C4042" s="21" t="s">
        <v>1040</v>
      </c>
      <c r="D4042" s="21" t="s">
        <v>985</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1121</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1950</v>
      </c>
      <c r="B4044" s="21" t="s">
        <v>1062</v>
      </c>
      <c r="C4044" s="21" t="s">
        <v>1001</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2521</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1269</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2522</v>
      </c>
      <c r="B4047" s="21" t="s">
        <v>1050</v>
      </c>
      <c r="C4047" s="21" t="s">
        <v>1092</v>
      </c>
      <c r="D4047" s="21" t="s">
        <v>985</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1052</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2523</v>
      </c>
      <c r="B4049" s="21" t="s">
        <v>1062</v>
      </c>
      <c r="C4049" s="21" t="s">
        <v>1021</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2524</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1025</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819</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1009</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1047</v>
      </c>
      <c r="B4054" s="21" t="s">
        <v>1000</v>
      </c>
      <c r="C4054" s="21" t="s">
        <v>1063</v>
      </c>
      <c r="D4054" s="21" t="s">
        <v>985</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1317</v>
      </c>
      <c r="B4055" s="21" t="s">
        <v>1054</v>
      </c>
      <c r="C4055" s="21" t="s">
        <v>1128</v>
      </c>
      <c r="D4055" s="21" t="s">
        <v>985</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1584</v>
      </c>
      <c r="B4056" s="21" t="s">
        <v>1003</v>
      </c>
      <c r="C4056" s="21" t="s">
        <v>1021</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1084</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1578</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2525</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2526</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1126</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1084</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2527</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2528</v>
      </c>
      <c r="B4064" s="21" t="s">
        <v>1054</v>
      </c>
      <c r="C4064" s="21" t="s">
        <v>1021</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2529</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1032</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row>
    <row r="4068" spans="1:12">
      <c r="A4068" s="20" t="s">
        <v>2530</v>
      </c>
    </row>
    <row r="4069" spans="1:12">
      <c r="A4069" s="20" t="s">
        <v>2301</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1038</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2495</v>
      </c>
      <c r="B4071" s="21" t="s">
        <v>1037</v>
      </c>
      <c r="C4071" s="21" t="s">
        <v>1040</v>
      </c>
      <c r="D4071" s="21" t="s">
        <v>985</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1201</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1038</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2531</v>
      </c>
      <c r="B4074" s="21" t="s">
        <v>1037</v>
      </c>
      <c r="C4074" s="21" t="s">
        <v>1040</v>
      </c>
      <c r="D4074" s="21" t="s">
        <v>985</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1158</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1949</v>
      </c>
      <c r="B4076" s="21" t="s">
        <v>1054</v>
      </c>
      <c r="C4076" s="21" t="s">
        <v>1040</v>
      </c>
      <c r="D4076" s="21" t="s">
        <v>985</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2224</v>
      </c>
      <c r="B4077" s="21" t="s">
        <v>1003</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1028</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1778</v>
      </c>
      <c r="B4079" s="21" t="s">
        <v>1000</v>
      </c>
      <c r="C4079" s="21" t="s">
        <v>1040</v>
      </c>
      <c r="D4079" s="21" t="s">
        <v>985</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2532</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1009</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1052</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1504</v>
      </c>
      <c r="B4083" s="21" t="s">
        <v>1037</v>
      </c>
      <c r="C4083" s="21" t="s">
        <v>992</v>
      </c>
      <c r="D4083" s="21" t="s">
        <v>985</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1032</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1400</v>
      </c>
      <c r="B4085" s="21" t="s">
        <v>983</v>
      </c>
      <c r="C4085" s="21" t="s">
        <v>992</v>
      </c>
      <c r="D4085" s="21" t="s">
        <v>985</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2533</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1100</v>
      </c>
      <c r="B4087" s="21" t="s">
        <v>1176</v>
      </c>
      <c r="C4087" s="21" t="s">
        <v>1063</v>
      </c>
      <c r="D4087" s="21" t="s">
        <v>985</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1025</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1028</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1389</v>
      </c>
      <c r="B4090" s="21" t="s">
        <v>991</v>
      </c>
      <c r="C4090" s="21" t="s">
        <v>1040</v>
      </c>
      <c r="D4090" s="21" t="s">
        <v>985</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1009</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1524</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2534</v>
      </c>
      <c r="B4093" s="21" t="s">
        <v>1012</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1295</v>
      </c>
      <c r="B4094" s="21" t="s">
        <v>1016</v>
      </c>
      <c r="C4094" s="21" t="s">
        <v>1021</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1093</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1262</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1276</v>
      </c>
      <c r="B4097" s="21" t="s">
        <v>1054</v>
      </c>
      <c r="C4097" s="21" t="s">
        <v>1040</v>
      </c>
      <c r="D4097" s="21" t="s">
        <v>985</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2535</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1411</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1032</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row>
    <row r="4102" spans="1:12">
      <c r="A4102" s="20" t="s">
        <v>2536</v>
      </c>
    </row>
    <row r="4103" spans="1:12">
      <c r="A4103" s="20" t="s">
        <v>982</v>
      </c>
      <c r="B4103" s="21" t="s">
        <v>983</v>
      </c>
      <c r="C4103" s="21" t="s">
        <v>984</v>
      </c>
      <c r="D4103" s="21" t="s">
        <v>985</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2537</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1100</v>
      </c>
      <c r="B4105" s="21" t="s">
        <v>1176</v>
      </c>
      <c r="C4105" s="21" t="s">
        <v>1063</v>
      </c>
      <c r="D4105" s="21" t="s">
        <v>985</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1009</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1047</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2538</v>
      </c>
      <c r="B4108" s="21" t="s">
        <v>1003</v>
      </c>
      <c r="C4108" s="21" t="s">
        <v>1040</v>
      </c>
      <c r="D4108" s="21" t="s">
        <v>985</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1058</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1038</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2539</v>
      </c>
      <c r="B4111" s="21" t="s">
        <v>1037</v>
      </c>
      <c r="C4111" s="21" t="s">
        <v>1040</v>
      </c>
      <c r="D4111" s="21" t="s">
        <v>985</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2309</v>
      </c>
      <c r="B4112" s="21" t="s">
        <v>1054</v>
      </c>
      <c r="C4112" s="21" t="s">
        <v>1021</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1025</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2540</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1009</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1123</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1139</v>
      </c>
      <c r="B4117" s="21" t="s">
        <v>1000</v>
      </c>
      <c r="C4117" s="21" t="s">
        <v>1063</v>
      </c>
      <c r="D4117" s="21" t="s">
        <v>985</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1294</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2541</v>
      </c>
      <c r="B4119" s="21" t="s">
        <v>1003</v>
      </c>
      <c r="C4119" s="21" t="s">
        <v>1040</v>
      </c>
      <c r="D4119" s="21" t="s">
        <v>985</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1052</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1047</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792</v>
      </c>
      <c r="B4122" s="21" t="s">
        <v>1054</v>
      </c>
      <c r="C4122" s="21" t="s">
        <v>1040</v>
      </c>
      <c r="D4122" s="21" t="s">
        <v>985</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1933</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1009</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1425</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2542</v>
      </c>
      <c r="B4126" s="21" t="s">
        <v>1054</v>
      </c>
      <c r="C4126" s="21" t="s">
        <v>984</v>
      </c>
      <c r="D4126" s="21" t="s">
        <v>985</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1100</v>
      </c>
      <c r="B4127" s="21" t="s">
        <v>1016</v>
      </c>
      <c r="C4127" s="21" t="s">
        <v>1063</v>
      </c>
      <c r="D4127" s="21" t="s">
        <v>985</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1126</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1047</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2543</v>
      </c>
      <c r="B4130" s="21" t="s">
        <v>1054</v>
      </c>
      <c r="C4130" s="21" t="s">
        <v>1040</v>
      </c>
      <c r="D4130" s="21" t="s">
        <v>985</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2544</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2233</v>
      </c>
      <c r="B4132" s="21" t="s">
        <v>1050</v>
      </c>
      <c r="C4132" s="21" t="s">
        <v>1006</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2545</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1032</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row>
    <row r="4136" spans="1:12">
      <c r="A4136" s="20" t="s">
        <v>2546</v>
      </c>
    </row>
    <row r="4137" spans="1:12">
      <c r="A4137" s="20" t="s">
        <v>1188</v>
      </c>
      <c r="B4137" s="21" t="s">
        <v>983</v>
      </c>
      <c r="C4137" s="21" t="s">
        <v>1063</v>
      </c>
      <c r="D4137" s="21" t="s">
        <v>985</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1189</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1369</v>
      </c>
      <c r="B4139" s="21" t="s">
        <v>1176</v>
      </c>
      <c r="C4139" s="21" t="s">
        <v>1063</v>
      </c>
      <c r="D4139" s="21" t="s">
        <v>985</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1126</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988</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2547</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2548</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2549</v>
      </c>
      <c r="B4144" s="21" t="s">
        <v>991</v>
      </c>
      <c r="C4144" s="21" t="s">
        <v>996</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1442</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1009</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1047</v>
      </c>
      <c r="B4147" s="21" t="s">
        <v>1000</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1058</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1262</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1232</v>
      </c>
      <c r="B4150" s="21" t="s">
        <v>1003</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1557</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1369</v>
      </c>
      <c r="B4152" s="21" t="s">
        <v>1000</v>
      </c>
      <c r="C4152" s="21" t="s">
        <v>1063</v>
      </c>
      <c r="D4152" s="21" t="s">
        <v>985</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2550</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2551</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2552</v>
      </c>
      <c r="B4155" s="21" t="s">
        <v>991</v>
      </c>
      <c r="C4155" s="21" t="s">
        <v>1040</v>
      </c>
      <c r="D4155" s="21" t="s">
        <v>985</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1032</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row>
    <row r="4158" spans="1:12">
      <c r="A4158" s="20" t="s">
        <v>2553</v>
      </c>
    </row>
    <row r="4159" spans="1:12">
      <c r="A4159" s="20" t="s">
        <v>1813</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1348</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1361</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1138</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1100</v>
      </c>
      <c r="B4163" s="21" t="s">
        <v>1176</v>
      </c>
      <c r="C4163" s="21" t="s">
        <v>1063</v>
      </c>
      <c r="D4163" s="21" t="s">
        <v>985</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1309</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1052</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1348</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2554</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2462</v>
      </c>
      <c r="B4168" s="21" t="s">
        <v>1037</v>
      </c>
      <c r="C4168" s="21" t="s">
        <v>1021</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2555</v>
      </c>
      <c r="B4169" s="21" t="s">
        <v>983</v>
      </c>
      <c r="C4169" s="21" t="s">
        <v>992</v>
      </c>
      <c r="D4169" s="21" t="s">
        <v>985</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1009</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1028</v>
      </c>
      <c r="B4171" s="21" t="s">
        <v>1000</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1058</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1038</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2556</v>
      </c>
      <c r="B4174" s="21" t="s">
        <v>1037</v>
      </c>
      <c r="C4174" s="21" t="s">
        <v>1040</v>
      </c>
      <c r="D4174" s="21" t="s">
        <v>985</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2052</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1425</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2557</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2558</v>
      </c>
      <c r="B4178" s="21" t="s">
        <v>1050</v>
      </c>
      <c r="C4178" s="21" t="s">
        <v>1021</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2559</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2560</v>
      </c>
      <c r="B4180" s="21" t="s">
        <v>1037</v>
      </c>
      <c r="C4180" s="21" t="s">
        <v>1021</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1052</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2561</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2562</v>
      </c>
      <c r="B4183" s="21" t="s">
        <v>1054</v>
      </c>
      <c r="C4183" s="21" t="s">
        <v>1021</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1009</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1047</v>
      </c>
      <c r="B4185" s="21" t="s">
        <v>1223</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1038</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2563</v>
      </c>
      <c r="B4187" s="21" t="s">
        <v>1020</v>
      </c>
      <c r="C4187" s="21" t="s">
        <v>1040</v>
      </c>
      <c r="D4187" s="21" t="s">
        <v>985</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1294</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2564</v>
      </c>
      <c r="B4189" s="21" t="s">
        <v>1020</v>
      </c>
      <c r="C4189" s="21" t="s">
        <v>1040</v>
      </c>
      <c r="D4189" s="21" t="s">
        <v>985</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2565</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1009</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2566</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1032</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row>
    <row r="4195" spans="1:12">
      <c r="A4195" s="20" t="s">
        <v>2567</v>
      </c>
    </row>
    <row r="4196" spans="1:12">
      <c r="A4196" s="20" t="s">
        <v>2568</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2569</v>
      </c>
      <c r="B4197" s="21" t="s">
        <v>983</v>
      </c>
      <c r="C4197" s="21" t="s">
        <v>1021</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1052</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2570</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1009</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2571</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2572</v>
      </c>
      <c r="B4202" s="21" t="s">
        <v>1037</v>
      </c>
      <c r="C4202" s="21" t="s">
        <v>1021</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2573</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2574</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507</v>
      </c>
      <c r="B4205" s="21" t="s">
        <v>1176</v>
      </c>
      <c r="C4205" s="21" t="s">
        <v>1021</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1052</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2575</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2576</v>
      </c>
      <c r="B4208" s="21" t="s">
        <v>1037</v>
      </c>
      <c r="C4208" s="21" t="s">
        <v>1021</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1971</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1009</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1088</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285</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t="s">
        <v>2577</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2578</v>
      </c>
      <c r="B4214" s="21" t="s">
        <v>1000</v>
      </c>
      <c r="C4214" s="21" t="s">
        <v>996</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2579</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1123</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2580</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2095</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1058</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1038</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2581</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1009</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2582</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1276</v>
      </c>
      <c r="B4224" s="21" t="s">
        <v>1054</v>
      </c>
      <c r="C4224" s="21" t="s">
        <v>1040</v>
      </c>
      <c r="D4224" s="21" t="s">
        <v>985</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861</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2226</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1009</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2583</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1300</v>
      </c>
      <c r="B4229" s="21" t="s">
        <v>991</v>
      </c>
      <c r="C4229" s="21" t="s">
        <v>1006</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1740</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1557</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1166</v>
      </c>
      <c r="B4232" s="21" t="s">
        <v>1054</v>
      </c>
      <c r="C4232" s="21" t="s">
        <v>1128</v>
      </c>
      <c r="D4232" s="21" t="s">
        <v>985</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2584</v>
      </c>
      <c r="B4233" s="21" t="s">
        <v>1037</v>
      </c>
      <c r="C4233" s="21" t="s">
        <v>1021</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2550</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1099</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1232</v>
      </c>
      <c r="B4236" s="21" t="s">
        <v>1003</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1560</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2585</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1032</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row>
    <row r="4241" spans="1:12">
      <c r="A4241" s="20" t="s">
        <v>2586</v>
      </c>
    </row>
    <row r="4242" spans="1:12">
      <c r="A4242" s="20" t="s">
        <v>2587</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2588</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2589</v>
      </c>
      <c r="B4244" s="21" t="s">
        <v>983</v>
      </c>
      <c r="C4244" s="21" t="s">
        <v>1006</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1166</v>
      </c>
      <c r="B4245" s="21" t="s">
        <v>1054</v>
      </c>
      <c r="C4245" s="21" t="s">
        <v>1128</v>
      </c>
      <c r="D4245" s="21" t="s">
        <v>985</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2590</v>
      </c>
      <c r="B4246" s="21" t="s">
        <v>1037</v>
      </c>
      <c r="C4246" s="21" t="s">
        <v>992</v>
      </c>
      <c r="D4246" s="21" t="s">
        <v>985</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1009</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1088</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1139</v>
      </c>
      <c r="B4249" s="21" t="s">
        <v>1012</v>
      </c>
      <c r="C4249" s="21" t="s">
        <v>1063</v>
      </c>
      <c r="D4249" s="21" t="s">
        <v>985</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2591</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1009</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1052</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998</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1139</v>
      </c>
      <c r="B4254" s="21" t="s">
        <v>1223</v>
      </c>
      <c r="C4254" s="21" t="s">
        <v>1063</v>
      </c>
      <c r="D4254" s="21" t="s">
        <v>985</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2592</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1009</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1544</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2593</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1587</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1013</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2594</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1697</v>
      </c>
      <c r="B4262" s="21" t="s">
        <v>1176</v>
      </c>
      <c r="C4262" s="21" t="s">
        <v>996</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1100</v>
      </c>
      <c r="B4263" s="21" t="s">
        <v>1176</v>
      </c>
      <c r="C4263" s="21" t="s">
        <v>1063</v>
      </c>
      <c r="D4263" s="21" t="s">
        <v>985</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1058</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1322</v>
      </c>
      <c r="B4265" s="21" t="s">
        <v>1037</v>
      </c>
      <c r="C4265" s="21" t="s">
        <v>1035</v>
      </c>
      <c r="D4265" s="21" t="s">
        <v>985</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2595</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2596</v>
      </c>
      <c r="B4267" s="21" t="s">
        <v>991</v>
      </c>
      <c r="C4267" s="21" t="s">
        <v>1092</v>
      </c>
      <c r="D4267" s="21" t="s">
        <v>985</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2597</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2598</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2599</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1052</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2600</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1860</v>
      </c>
      <c r="B4273" s="21" t="s">
        <v>1037</v>
      </c>
      <c r="C4273" s="21" t="s">
        <v>1021</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1028</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2601</v>
      </c>
      <c r="B4275" s="21" t="s">
        <v>1012</v>
      </c>
      <c r="C4275" s="21" t="s">
        <v>1040</v>
      </c>
      <c r="D4275" s="21" t="s">
        <v>985</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1201</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1100</v>
      </c>
      <c r="B4277" s="21" t="s">
        <v>1050</v>
      </c>
      <c r="C4277" s="21" t="s">
        <v>1063</v>
      </c>
      <c r="D4277" s="21" t="s">
        <v>985</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1032</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row>
    <row r="4280" spans="1:12">
      <c r="A4280" s="20" t="s">
        <v>2602</v>
      </c>
    </row>
    <row r="4281" spans="1:12">
      <c r="A4281" s="20" t="s">
        <v>2603</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2580</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1933</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1139</v>
      </c>
      <c r="B4284" s="21" t="s">
        <v>983</v>
      </c>
      <c r="C4284" s="21" t="s">
        <v>1063</v>
      </c>
      <c r="D4284" s="21" t="s">
        <v>985</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2604</v>
      </c>
      <c r="B4285" s="21" t="s">
        <v>1176</v>
      </c>
      <c r="C4285" s="21" t="s">
        <v>1021</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1586</v>
      </c>
      <c r="B4286" s="21" t="s">
        <v>991</v>
      </c>
      <c r="C4286" s="21" t="s">
        <v>1191</v>
      </c>
      <c r="D4286" s="21" t="s">
        <v>985</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1009</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1010</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1800</v>
      </c>
      <c r="B4289" s="21" t="s">
        <v>1012</v>
      </c>
      <c r="C4289" s="21" t="s">
        <v>1001</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1099</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1100</v>
      </c>
      <c r="B4291" s="21" t="s">
        <v>1054</v>
      </c>
      <c r="C4291" s="21" t="s">
        <v>1063</v>
      </c>
      <c r="D4291" s="21" t="s">
        <v>985</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1327</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2302</v>
      </c>
      <c r="B4293" s="21" t="s">
        <v>1050</v>
      </c>
      <c r="C4293" s="21" t="s">
        <v>1035</v>
      </c>
      <c r="D4293" s="21" t="s">
        <v>985</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2605</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1295</v>
      </c>
      <c r="B4295" s="21" t="s">
        <v>1016</v>
      </c>
      <c r="C4295" s="21" t="s">
        <v>1092</v>
      </c>
      <c r="D4295" s="21" t="s">
        <v>985</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2606</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2607</v>
      </c>
      <c r="B4297" s="21" t="s">
        <v>1016</v>
      </c>
      <c r="C4297" s="21" t="s">
        <v>992</v>
      </c>
      <c r="D4297" s="21" t="s">
        <v>985</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1279</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2608</v>
      </c>
      <c r="B4299" s="21" t="s">
        <v>1050</v>
      </c>
      <c r="C4299" s="21" t="s">
        <v>996</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2609</v>
      </c>
      <c r="B4300" s="21" t="s">
        <v>1062</v>
      </c>
      <c r="C4300" s="21" t="s">
        <v>992</v>
      </c>
      <c r="D4300" s="21" t="s">
        <v>985</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1009</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1262</v>
      </c>
      <c r="B4302" s="21" t="s">
        <v>2218</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1361</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1038</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2610</v>
      </c>
      <c r="B4305" s="21" t="s">
        <v>1465</v>
      </c>
      <c r="C4305" s="21" t="s">
        <v>1040</v>
      </c>
      <c r="D4305" s="21" t="s">
        <v>985</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2611</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1009</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1055</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2612</v>
      </c>
      <c r="B4309" s="21" t="s">
        <v>1000</v>
      </c>
      <c r="C4309" s="21" t="s">
        <v>1063</v>
      </c>
      <c r="D4309" s="21" t="s">
        <v>985</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1032</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row>
    <row r="4312" spans="1:12">
      <c r="A4312" s="20" t="s">
        <v>2613</v>
      </c>
    </row>
    <row r="4313" spans="1:12">
      <c r="A4313" s="20" t="s">
        <v>993</v>
      </c>
      <c r="B4313" s="21" t="s">
        <v>983</v>
      </c>
      <c r="C4313" s="21" t="s">
        <v>992</v>
      </c>
      <c r="D4313" s="21" t="s">
        <v>985</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2614</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2615</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1025</v>
      </c>
      <c r="B4316" s="21" t="s">
        <v>1037</v>
      </c>
      <c r="C4316" s="21" t="s">
        <v>1001</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1028</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2616</v>
      </c>
      <c r="B4318" s="21" t="s">
        <v>991</v>
      </c>
      <c r="C4318" s="21" t="s">
        <v>1040</v>
      </c>
      <c r="D4318" s="21" t="s">
        <v>985</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1058</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1038</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2617</v>
      </c>
      <c r="B4321" s="21" t="s">
        <v>991</v>
      </c>
      <c r="C4321" s="21" t="s">
        <v>1040</v>
      </c>
      <c r="D4321" s="21" t="s">
        <v>985</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1009</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1123</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1028</v>
      </c>
      <c r="B4324" s="21" t="s">
        <v>1037</v>
      </c>
      <c r="C4324" s="21" t="s">
        <v>1035</v>
      </c>
      <c r="D4324" s="21" t="s">
        <v>985</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1294</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1377</v>
      </c>
      <c r="B4326" s="21" t="s">
        <v>1003</v>
      </c>
      <c r="C4326" s="21" t="s">
        <v>1040</v>
      </c>
      <c r="D4326" s="21" t="s">
        <v>985</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1434</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1009</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2618</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2619</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1009</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1052</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2620</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1139</v>
      </c>
      <c r="B4334" s="21" t="s">
        <v>1000</v>
      </c>
      <c r="C4334" s="21" t="s">
        <v>1063</v>
      </c>
      <c r="D4334" s="21" t="s">
        <v>985</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1326</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2122</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1836</v>
      </c>
      <c r="B4337" s="21" t="s">
        <v>1037</v>
      </c>
      <c r="C4337" s="21" t="s">
        <v>984</v>
      </c>
      <c r="D4337" s="21" t="s">
        <v>985</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1328</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1009</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1557</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1762</v>
      </c>
      <c r="B4341" s="21" t="s">
        <v>1016</v>
      </c>
      <c r="C4341" s="21" t="s">
        <v>984</v>
      </c>
      <c r="D4341" s="21" t="s">
        <v>985</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2621</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1009</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2622</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1801</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2623</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1577</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1440</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1205</v>
      </c>
      <c r="B4349" s="21" t="s">
        <v>1003</v>
      </c>
      <c r="C4349" s="21" t="s">
        <v>1006</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1126</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2624</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2625</v>
      </c>
      <c r="B4352" s="21" t="s">
        <v>1037</v>
      </c>
      <c r="C4352" s="21" t="s">
        <v>1021</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2626</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1032</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row>
    <row r="4356" spans="1:12">
      <c r="A4356" s="20" t="s">
        <v>2627</v>
      </c>
    </row>
    <row r="4357" spans="1:12">
      <c r="A4357" s="20" t="s">
        <v>1478</v>
      </c>
      <c r="B4357" s="21" t="s">
        <v>983</v>
      </c>
      <c r="C4357" s="21" t="s">
        <v>984</v>
      </c>
      <c r="D4357" s="21" t="s">
        <v>985</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1479</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1780</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2628</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2629</v>
      </c>
      <c r="B4361" s="21" t="s">
        <v>1176</v>
      </c>
      <c r="C4361" s="21" t="s">
        <v>996</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1058</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1047</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2630</v>
      </c>
      <c r="B4364" s="21" t="s">
        <v>1037</v>
      </c>
      <c r="C4364" s="21" t="s">
        <v>1040</v>
      </c>
      <c r="D4364" s="21" t="s">
        <v>985</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1032</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row>
    <row r="4367" spans="1:12">
      <c r="A4367" s="20" t="s">
        <v>2631</v>
      </c>
    </row>
    <row r="4368" spans="1:12">
      <c r="A4368" s="20" t="s">
        <v>1211</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2632</v>
      </c>
      <c r="B4369" s="21" t="s">
        <v>983</v>
      </c>
      <c r="C4369" s="21" t="s">
        <v>1063</v>
      </c>
      <c r="D4369" s="21" t="s">
        <v>985</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1009</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2633</v>
      </c>
      <c r="B4371" s="21" t="s">
        <v>1037</v>
      </c>
      <c r="C4371" s="21" t="s">
        <v>1021</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91</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1009</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986</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1126</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1047</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2634</v>
      </c>
      <c r="B4377" s="21" t="s">
        <v>991</v>
      </c>
      <c r="C4377" s="21" t="s">
        <v>1040</v>
      </c>
      <c r="D4377" s="21" t="s">
        <v>985</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2635</v>
      </c>
      <c r="B4378" s="21" t="s">
        <v>1037</v>
      </c>
      <c r="C4378" s="21" t="s">
        <v>992</v>
      </c>
      <c r="D4378" s="21" t="s">
        <v>985</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2636</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1032</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row>
    <row r="4382" spans="1:12">
      <c r="A4382" s="20" t="s">
        <v>2637</v>
      </c>
    </row>
    <row r="4383" spans="1:12">
      <c r="A4383" s="20" t="s">
        <v>1211</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1282</v>
      </c>
      <c r="B4384" s="21" t="s">
        <v>1000</v>
      </c>
      <c r="C4384" s="21" t="s">
        <v>1035</v>
      </c>
      <c r="D4384" s="21" t="s">
        <v>985</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986</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1262</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2638</v>
      </c>
      <c r="B4387" s="21" t="s">
        <v>1000</v>
      </c>
      <c r="C4387" s="21" t="s">
        <v>1040</v>
      </c>
      <c r="D4387" s="21" t="s">
        <v>985</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2639</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91</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1009</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1305</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1011</v>
      </c>
      <c r="B4392" s="21" t="s">
        <v>983</v>
      </c>
      <c r="C4392" s="21" t="s">
        <v>984</v>
      </c>
      <c r="D4392" s="21" t="s">
        <v>985</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1032</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row>
    <row r="4395" spans="1:12">
      <c r="A4395" s="20" t="s">
        <v>2640</v>
      </c>
    </row>
    <row r="4396" spans="1:12">
      <c r="A4396" s="20" t="s">
        <v>1211</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982</v>
      </c>
      <c r="B4397" s="21" t="s">
        <v>983</v>
      </c>
      <c r="C4397" s="21" t="s">
        <v>984</v>
      </c>
      <c r="D4397" s="21" t="s">
        <v>985</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1283</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1028</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2641</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2629</v>
      </c>
      <c r="B4401" s="21" t="s">
        <v>991</v>
      </c>
      <c r="C4401" s="21" t="s">
        <v>1040</v>
      </c>
      <c r="D4401" s="21" t="s">
        <v>985</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2642</v>
      </c>
      <c r="B4402" s="21" t="s">
        <v>991</v>
      </c>
      <c r="C4402" s="21" t="s">
        <v>992</v>
      </c>
      <c r="D4402" s="21" t="s">
        <v>985</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694</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1399</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1032</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91</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row>
    <row r="4408" spans="1:12">
      <c r="A4408" s="20" t="s">
        <v>2643</v>
      </c>
    </row>
    <row r="4409" spans="1:12">
      <c r="A4409" s="20" t="s">
        <v>1211</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1813</v>
      </c>
      <c r="B4410" s="21" t="s">
        <v>991</v>
      </c>
      <c r="C4410" s="21" t="s">
        <v>992</v>
      </c>
      <c r="D4410" s="21" t="s">
        <v>985</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1400</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1126</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1042</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2644</v>
      </c>
      <c r="B4414" s="21" t="s">
        <v>991</v>
      </c>
      <c r="C4414" s="21" t="s">
        <v>1006</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1348</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880</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1032</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91</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row>
    <row r="4420" spans="1:12">
      <c r="A4420" s="20" t="s">
        <v>2645</v>
      </c>
    </row>
    <row r="4421" spans="1:12">
      <c r="A4421" s="20" t="s">
        <v>1211</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1510</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1283</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1002</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1032</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row>
    <row r="4427" spans="1:12">
      <c r="A4427" s="20" t="s">
        <v>2646</v>
      </c>
    </row>
    <row r="4428" spans="1:12">
      <c r="A4428" s="20" t="s">
        <v>1478</v>
      </c>
      <c r="B4428" s="21" t="s">
        <v>983</v>
      </c>
      <c r="C4428" s="21" t="s">
        <v>984</v>
      </c>
      <c r="D4428" s="21" t="s">
        <v>985</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2647</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1762</v>
      </c>
      <c r="B4430" s="21" t="s">
        <v>1176</v>
      </c>
      <c r="C4430" s="21" t="s">
        <v>984</v>
      </c>
      <c r="D4430" s="21" t="s">
        <v>985</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1058</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1042</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1697</v>
      </c>
      <c r="B4433" s="21" t="s">
        <v>991</v>
      </c>
      <c r="C4433" s="21" t="s">
        <v>1006</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1009</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1470</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1011</v>
      </c>
      <c r="B4436" s="21" t="s">
        <v>1000</v>
      </c>
      <c r="C4436" s="21" t="s">
        <v>984</v>
      </c>
      <c r="D4436" s="21" t="s">
        <v>985</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1762</v>
      </c>
      <c r="B4437" s="21" t="s">
        <v>1003</v>
      </c>
      <c r="C4437" s="21" t="s">
        <v>984</v>
      </c>
      <c r="D4437" s="21" t="s">
        <v>985</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2404</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1018</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1009</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1557</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2648</v>
      </c>
      <c r="B4442" s="21" t="s">
        <v>1016</v>
      </c>
      <c r="C4442" s="21" t="s">
        <v>1021</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1126</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1047</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2649</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2543</v>
      </c>
      <c r="B4446" s="21" t="s">
        <v>1054</v>
      </c>
      <c r="C4446" s="21" t="s">
        <v>1040</v>
      </c>
      <c r="D4446" s="21" t="s">
        <v>985</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1025</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481</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1032</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row>
    <row r="4451" spans="1:12">
      <c r="A4451" s="20" t="s">
        <v>2650</v>
      </c>
    </row>
    <row r="4452" spans="1:12">
      <c r="A4452" s="20" t="s">
        <v>2335</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1011</v>
      </c>
      <c r="B4453" s="21" t="s">
        <v>983</v>
      </c>
      <c r="C4453" s="21" t="s">
        <v>984</v>
      </c>
      <c r="D4453" s="21" t="s">
        <v>985</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2651</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1009</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1010</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1262</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1254</v>
      </c>
      <c r="B4458" s="21" t="s">
        <v>1000</v>
      </c>
      <c r="C4458" s="21" t="s">
        <v>1040</v>
      </c>
      <c r="D4458" s="21" t="s">
        <v>985</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1361</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2652</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2653</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1011</v>
      </c>
      <c r="B4462" s="21" t="s">
        <v>1000</v>
      </c>
      <c r="C4462" s="21" t="s">
        <v>984</v>
      </c>
      <c r="D4462" s="21" t="s">
        <v>985</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1052</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1479</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1762</v>
      </c>
      <c r="B4465" s="21" t="s">
        <v>1016</v>
      </c>
      <c r="C4465" s="21" t="s">
        <v>984</v>
      </c>
      <c r="D4465" s="21" t="s">
        <v>985</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1797</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1107</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987</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1058</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1028</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1697</v>
      </c>
      <c r="B4471" s="21" t="s">
        <v>1054</v>
      </c>
      <c r="C4471" s="21" t="s">
        <v>1040</v>
      </c>
      <c r="D4471" s="21" t="s">
        <v>985</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1032</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row>
    <row r="4474" spans="1:12">
      <c r="A4474" s="20" t="s">
        <v>2654</v>
      </c>
    </row>
    <row r="4475" spans="1:12">
      <c r="A4475" s="20" t="s">
        <v>2655</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1121</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1089</v>
      </c>
      <c r="B4477" s="21" t="s">
        <v>1037</v>
      </c>
      <c r="C4477" s="21" t="s">
        <v>1035</v>
      </c>
      <c r="D4477" s="21" t="s">
        <v>985</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1389</v>
      </c>
      <c r="B4478" s="21" t="s">
        <v>991</v>
      </c>
      <c r="C4478" s="21" t="s">
        <v>1092</v>
      </c>
      <c r="D4478" s="21" t="s">
        <v>985</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2656</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1762</v>
      </c>
      <c r="B4480" s="21" t="s">
        <v>1176</v>
      </c>
      <c r="C4480" s="21" t="s">
        <v>984</v>
      </c>
      <c r="D4480" s="21" t="s">
        <v>985</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2203</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1032</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row>
    <row r="4484" spans="1:12">
      <c r="A4484" s="20" t="s">
        <v>2657</v>
      </c>
    </row>
    <row r="4485" spans="1:12">
      <c r="A4485" s="20" t="s">
        <v>2658</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898</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1139</v>
      </c>
      <c r="B4487" s="21" t="s">
        <v>983</v>
      </c>
      <c r="C4487" s="21" t="s">
        <v>1063</v>
      </c>
      <c r="D4487" s="21" t="s">
        <v>985</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1009</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1010</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1011</v>
      </c>
      <c r="B4490" s="21" t="s">
        <v>1000</v>
      </c>
      <c r="C4490" s="21" t="s">
        <v>984</v>
      </c>
      <c r="D4490" s="21" t="s">
        <v>985</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2200</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2615</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2659</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1031</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1283</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1032</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91</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row>
    <row r="4499" spans="1:12">
      <c r="A4499" s="20" t="s">
        <v>2660</v>
      </c>
    </row>
    <row r="4500" spans="1:12">
      <c r="A4500" s="20" t="s">
        <v>1846</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1577</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1123</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1262</v>
      </c>
      <c r="B4503" s="21" t="s">
        <v>991</v>
      </c>
      <c r="C4503" s="21" t="s">
        <v>1035</v>
      </c>
      <c r="D4503" s="21" t="s">
        <v>985</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2661</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1139</v>
      </c>
      <c r="B4505" s="21" t="s">
        <v>983</v>
      </c>
      <c r="C4505" s="21" t="s">
        <v>1063</v>
      </c>
      <c r="D4505" s="21" t="s">
        <v>985</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1083</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902</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1009</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1233</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998</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1139</v>
      </c>
      <c r="B4511" s="21" t="s">
        <v>1000</v>
      </c>
      <c r="C4511" s="21" t="s">
        <v>1063</v>
      </c>
      <c r="D4511" s="21" t="s">
        <v>985</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1013</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2662</v>
      </c>
      <c r="B4513" s="21" t="s">
        <v>991</v>
      </c>
      <c r="C4513" s="21" t="s">
        <v>996</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1032</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row>
    <row r="4516" spans="1:12">
      <c r="A4516" s="20" t="s">
        <v>2663</v>
      </c>
    </row>
    <row r="4517" spans="1:12">
      <c r="A4517" s="20" t="s">
        <v>982</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2664</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1522</v>
      </c>
      <c r="B4519" s="21" t="s">
        <v>1054</v>
      </c>
      <c r="C4519" s="21" t="s">
        <v>1063</v>
      </c>
      <c r="D4519" s="21" t="s">
        <v>985</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2665</v>
      </c>
      <c r="B4520" s="21" t="s">
        <v>1000</v>
      </c>
      <c r="C4520" s="21" t="s">
        <v>1066</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1009</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2666</v>
      </c>
      <c r="B4522" s="21" t="s">
        <v>1016</v>
      </c>
      <c r="C4522" s="21" t="s">
        <v>1021</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1058</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1038</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1276</v>
      </c>
      <c r="B4525" s="21" t="s">
        <v>1054</v>
      </c>
      <c r="C4525" s="21" t="s">
        <v>1040</v>
      </c>
      <c r="D4525" s="21" t="s">
        <v>985</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1025</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601</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1009</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1514</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2667</v>
      </c>
      <c r="B4530" s="21" t="s">
        <v>1012</v>
      </c>
      <c r="C4530" s="21" t="s">
        <v>992</v>
      </c>
      <c r="D4530" s="21" t="s">
        <v>985</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1369</v>
      </c>
      <c r="B4531" s="21" t="s">
        <v>1012</v>
      </c>
      <c r="C4531" s="21" t="s">
        <v>1063</v>
      </c>
      <c r="D4531" s="21" t="s">
        <v>985</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2668</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1140</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2669</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1009</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1057</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1123</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1139</v>
      </c>
      <c r="B4538" s="21" t="s">
        <v>1223</v>
      </c>
      <c r="C4538" s="21" t="s">
        <v>1063</v>
      </c>
      <c r="D4538" s="21" t="s">
        <v>985</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2670</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1140</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2671</v>
      </c>
      <c r="B4541" s="21" t="s">
        <v>1020</v>
      </c>
      <c r="C4541" s="21" t="s">
        <v>1021</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2672</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1009</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2234</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1139</v>
      </c>
      <c r="B4545" s="21" t="s">
        <v>983</v>
      </c>
      <c r="C4545" s="21" t="s">
        <v>1063</v>
      </c>
      <c r="D4545" s="21" t="s">
        <v>985</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2673</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1201</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1633</v>
      </c>
      <c r="B4548" s="21" t="s">
        <v>991</v>
      </c>
      <c r="C4548" s="21" t="s">
        <v>984</v>
      </c>
      <c r="D4548" s="21" t="s">
        <v>985</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1009</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1082</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21</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1139</v>
      </c>
      <c r="B4552" s="21" t="s">
        <v>1000</v>
      </c>
      <c r="C4552" s="21" t="s">
        <v>1063</v>
      </c>
      <c r="D4552" s="21" t="s">
        <v>985</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1083</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2674</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t="s">
        <v>2675</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2036</v>
      </c>
      <c r="B4556" s="21" t="s">
        <v>1003</v>
      </c>
      <c r="C4556" s="21" t="s">
        <v>1092</v>
      </c>
      <c r="D4556" s="21" t="s">
        <v>985</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2676</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1032</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row>
    <row r="4560" spans="1:12">
      <c r="A4560" s="20" t="s">
        <v>2677</v>
      </c>
    </row>
    <row r="4561" spans="1:12">
      <c r="A4561" s="20" t="s">
        <v>1701</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1028</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1757</v>
      </c>
      <c r="B4563" s="21" t="s">
        <v>983</v>
      </c>
      <c r="C4563" s="21" t="s">
        <v>1040</v>
      </c>
      <c r="D4563" s="21" t="s">
        <v>985</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1100</v>
      </c>
      <c r="B4564" s="21" t="s">
        <v>1176</v>
      </c>
      <c r="C4564" s="21" t="s">
        <v>1063</v>
      </c>
      <c r="D4564" s="21" t="s">
        <v>985</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1047</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2678</v>
      </c>
      <c r="B4566" s="21" t="s">
        <v>1176</v>
      </c>
      <c r="C4566" s="21" t="s">
        <v>1040</v>
      </c>
      <c r="D4566" s="21" t="s">
        <v>985</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2679</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1009</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2680</v>
      </c>
      <c r="B4569" s="21" t="s">
        <v>991</v>
      </c>
      <c r="C4569" s="21" t="s">
        <v>992</v>
      </c>
      <c r="D4569" s="21" t="s">
        <v>985</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1322</v>
      </c>
      <c r="B4570" s="21" t="s">
        <v>1054</v>
      </c>
      <c r="C4570" s="21" t="s">
        <v>1035</v>
      </c>
      <c r="D4570" s="21" t="s">
        <v>985</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2681</v>
      </c>
      <c r="B4571" s="21" t="s">
        <v>1003</v>
      </c>
      <c r="C4571" s="21" t="s">
        <v>1092</v>
      </c>
      <c r="D4571" s="21" t="s">
        <v>985</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1009</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1047</v>
      </c>
      <c r="B4573" s="21" t="s">
        <v>1020</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1011</v>
      </c>
      <c r="B4574" s="21" t="s">
        <v>1223</v>
      </c>
      <c r="C4574" s="21" t="s">
        <v>984</v>
      </c>
      <c r="D4574" s="21" t="s">
        <v>985</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1093</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1294</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1778</v>
      </c>
      <c r="B4577" s="21" t="s">
        <v>1050</v>
      </c>
      <c r="C4577" s="21" t="s">
        <v>1040</v>
      </c>
      <c r="D4577" s="21" t="s">
        <v>985</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1966</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2001</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2682</v>
      </c>
      <c r="B4580" s="21" t="s">
        <v>1020</v>
      </c>
      <c r="C4580" s="21" t="s">
        <v>1092</v>
      </c>
      <c r="D4580" s="21" t="s">
        <v>985</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1009</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2623</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1746</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1032</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row>
    <row r="4586" spans="1:12">
      <c r="A4586" s="20" t="s">
        <v>2683</v>
      </c>
    </row>
    <row r="4587" spans="1:12">
      <c r="A4587" s="20" t="s">
        <v>2684</v>
      </c>
      <c r="B4587" s="21" t="s">
        <v>983</v>
      </c>
      <c r="C4587" s="21" t="s">
        <v>992</v>
      </c>
      <c r="D4587" s="21" t="s">
        <v>985</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2431</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1158</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1530</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1275</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2685</v>
      </c>
      <c r="B4592" s="21" t="s">
        <v>991</v>
      </c>
      <c r="C4592" s="21" t="s">
        <v>992</v>
      </c>
      <c r="D4592" s="21" t="s">
        <v>985</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1058</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1038</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2686</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2610</v>
      </c>
      <c r="B4596" s="21" t="s">
        <v>991</v>
      </c>
      <c r="C4596" s="21" t="s">
        <v>1040</v>
      </c>
      <c r="D4596" s="21" t="s">
        <v>985</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1158</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2687</v>
      </c>
      <c r="B4598" s="21" t="s">
        <v>1037</v>
      </c>
      <c r="C4598" s="21" t="s">
        <v>1040</v>
      </c>
      <c r="D4598" s="21" t="s">
        <v>985</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1009</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1028</v>
      </c>
      <c r="B4600" s="21" t="s">
        <v>1000</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1762</v>
      </c>
      <c r="B4601" s="21" t="s">
        <v>1003</v>
      </c>
      <c r="C4601" s="21" t="s">
        <v>984</v>
      </c>
      <c r="D4601" s="21" t="s">
        <v>985</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1201</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1857</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2688</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2689</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2690</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1089</v>
      </c>
      <c r="B4607" s="21" t="s">
        <v>1054</v>
      </c>
      <c r="C4607" s="21" t="s">
        <v>1035</v>
      </c>
      <c r="D4607" s="21" t="s">
        <v>985</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2691</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1052</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2692</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1783</v>
      </c>
      <c r="B4611" s="21" t="s">
        <v>1000</v>
      </c>
      <c r="C4611" s="21" t="s">
        <v>1092</v>
      </c>
      <c r="D4611" s="21" t="s">
        <v>985</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1073</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987</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2693</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t="s">
        <v>1032</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row>
    <row r="4617" spans="1:12">
      <c r="A4617" s="20" t="s">
        <v>2694</v>
      </c>
    </row>
    <row r="4618" spans="1:12">
      <c r="A4618" s="20" t="s">
        <v>1375</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1028</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989</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1038</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1276</v>
      </c>
      <c r="B4622" s="21" t="s">
        <v>1054</v>
      </c>
      <c r="C4622" s="21" t="s">
        <v>1040</v>
      </c>
      <c r="D4622" s="21" t="s">
        <v>985</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2695</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2430</v>
      </c>
      <c r="B4624" s="21" t="s">
        <v>991</v>
      </c>
      <c r="C4624" s="21" t="s">
        <v>1040</v>
      </c>
      <c r="D4624" s="21" t="s">
        <v>985</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1009</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1524</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1011</v>
      </c>
      <c r="B4627" s="21" t="s">
        <v>1012</v>
      </c>
      <c r="C4627" s="21" t="s">
        <v>984</v>
      </c>
      <c r="D4627" s="21" t="s">
        <v>985</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1440</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2696</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1076</v>
      </c>
      <c r="B4630" s="21" t="s">
        <v>1016</v>
      </c>
      <c r="C4630" s="21" t="s">
        <v>1006</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2697</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1009</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2698</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1139</v>
      </c>
      <c r="B4634" s="21" t="s">
        <v>983</v>
      </c>
      <c r="C4634" s="21" t="s">
        <v>1063</v>
      </c>
      <c r="D4634" s="21" t="s">
        <v>985</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2699</v>
      </c>
      <c r="B4635" s="21" t="s">
        <v>1037</v>
      </c>
      <c r="C4635" s="21" t="s">
        <v>1001</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2700</v>
      </c>
      <c r="B4636" s="21" t="s">
        <v>1176</v>
      </c>
      <c r="C4636" s="21" t="s">
        <v>1066</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989</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1836</v>
      </c>
      <c r="B4638" s="21" t="s">
        <v>1037</v>
      </c>
      <c r="C4638" s="21" t="s">
        <v>984</v>
      </c>
      <c r="D4638" s="21" t="s">
        <v>985</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1032</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row>
    <row r="4641" spans="1:12">
      <c r="A4641" s="20" t="s">
        <v>2701</v>
      </c>
    </row>
    <row r="4642" spans="1:12">
      <c r="A4642" s="20" t="s">
        <v>1258</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2702</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2703</v>
      </c>
      <c r="B4644" s="21" t="s">
        <v>983</v>
      </c>
      <c r="C4644" s="21" t="s">
        <v>996</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1052</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285</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2704</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2705</v>
      </c>
      <c r="B4648" s="21" t="s">
        <v>1037</v>
      </c>
      <c r="C4648" s="21" t="s">
        <v>996</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1138</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1100</v>
      </c>
      <c r="B4650" s="21" t="s">
        <v>1176</v>
      </c>
      <c r="C4650" s="21" t="s">
        <v>1063</v>
      </c>
      <c r="D4650" s="21" t="s">
        <v>985</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1009</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1524</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1232</v>
      </c>
      <c r="B4653" s="21" t="s">
        <v>1016</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1047</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2706</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2707</v>
      </c>
      <c r="B4656" s="21" t="s">
        <v>1012</v>
      </c>
      <c r="C4656" s="21" t="s">
        <v>1040</v>
      </c>
      <c r="D4656" s="21" t="s">
        <v>985</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2708</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2709</v>
      </c>
      <c r="B4658" s="21" t="s">
        <v>1000</v>
      </c>
      <c r="C4658" s="21" t="s">
        <v>992</v>
      </c>
      <c r="D4658" s="21" t="s">
        <v>985</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2710</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1047</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2711</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2712</v>
      </c>
      <c r="B4662" s="21" t="s">
        <v>1000</v>
      </c>
      <c r="C4662" s="21" t="s">
        <v>1040</v>
      </c>
      <c r="D4662" s="21" t="s">
        <v>985</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989</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2713</v>
      </c>
      <c r="B4664" s="21" t="s">
        <v>1054</v>
      </c>
      <c r="C4664" s="21" t="s">
        <v>1021</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1028</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2714</v>
      </c>
      <c r="B4666" s="21" t="s">
        <v>1050</v>
      </c>
      <c r="C4666" s="21" t="s">
        <v>1040</v>
      </c>
      <c r="D4666" s="21" t="s">
        <v>985</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1009</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2715</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989</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1294</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1369</v>
      </c>
      <c r="B4671" s="21" t="s">
        <v>1050</v>
      </c>
      <c r="C4671" s="21" t="s">
        <v>1063</v>
      </c>
      <c r="D4671" s="21" t="s">
        <v>985</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2716</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2686</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2717</v>
      </c>
      <c r="B4674" s="21" t="s">
        <v>1223</v>
      </c>
      <c r="C4674" s="21" t="s">
        <v>1021</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1952</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2276</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t="s">
        <v>1162</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1032</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row>
    <row r="4680" spans="1:12">
      <c r="A4680" s="20" t="s">
        <v>2718</v>
      </c>
    </row>
    <row r="4681" spans="1:12">
      <c r="A4681" s="20" t="s">
        <v>2719</v>
      </c>
      <c r="B4681" s="21" t="s">
        <v>983</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989</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1633</v>
      </c>
      <c r="B4683" s="21" t="s">
        <v>1037</v>
      </c>
      <c r="C4683" s="21" t="s">
        <v>984</v>
      </c>
      <c r="D4683" s="21" t="s">
        <v>985</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1138</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1100</v>
      </c>
      <c r="B4685" s="21" t="s">
        <v>1176</v>
      </c>
      <c r="C4685" s="21" t="s">
        <v>1063</v>
      </c>
      <c r="D4685" s="21" t="s">
        <v>985</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285</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2720</v>
      </c>
      <c r="B4687" s="21" t="s">
        <v>983</v>
      </c>
      <c r="C4687" s="21" t="s">
        <v>996</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1425</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2721</v>
      </c>
      <c r="B4689" s="21" t="s">
        <v>1037</v>
      </c>
      <c r="C4689" s="21" t="s">
        <v>1021</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1052</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1013</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2722</v>
      </c>
      <c r="B4692" s="21" t="s">
        <v>1037</v>
      </c>
      <c r="C4692" s="21" t="s">
        <v>996</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2723</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1009</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1524</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1028</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705</v>
      </c>
      <c r="B4697" s="21" t="s">
        <v>1924</v>
      </c>
      <c r="C4697" s="21" t="s">
        <v>1040</v>
      </c>
      <c r="D4697" s="21" t="s">
        <v>985</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2724</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2276</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986</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1032</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row>
    <row r="4703" spans="1:12">
      <c r="A4703" s="20" t="s">
        <v>2725</v>
      </c>
    </row>
    <row r="4704" spans="1:12">
      <c r="A4704" s="20" t="s">
        <v>1769</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1294</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2726</v>
      </c>
      <c r="B4706" s="21" t="s">
        <v>991</v>
      </c>
      <c r="C4706" s="21" t="s">
        <v>1040</v>
      </c>
      <c r="D4706" s="21" t="s">
        <v>985</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1055</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2727</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1009</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1121</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2728</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1107</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285</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2729</v>
      </c>
      <c r="B4714" s="21" t="s">
        <v>1012</v>
      </c>
      <c r="C4714" s="21" t="s">
        <v>996</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2730</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2731</v>
      </c>
      <c r="B4716" s="21" t="s">
        <v>1016</v>
      </c>
      <c r="C4716" s="21" t="s">
        <v>1021</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1529</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1032</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row>
    <row r="4720" spans="1:12">
      <c r="A4720" s="20" t="s">
        <v>2732</v>
      </c>
    </row>
    <row r="4721" spans="1:12">
      <c r="A4721" s="20" t="s">
        <v>1211</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t="s">
        <v>1258</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705</v>
      </c>
      <c r="B4723" s="21" t="s">
        <v>983</v>
      </c>
      <c r="C4723" s="21" t="s">
        <v>996</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91</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1009</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1305</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993</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1032</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row>
    <row r="4730" spans="1:12">
      <c r="A4730" s="20" t="s">
        <v>2733</v>
      </c>
    </row>
    <row r="4731" spans="1:12">
      <c r="A4731" s="20" t="s">
        <v>1211</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2734</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932</v>
      </c>
      <c r="B4733" s="21" t="s">
        <v>991</v>
      </c>
      <c r="C4733" s="21" t="s">
        <v>1021</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1009</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t="s">
        <v>285</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2735</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2736</v>
      </c>
      <c r="B4737" s="21" t="s">
        <v>991</v>
      </c>
      <c r="C4737" s="21" t="s">
        <v>996</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1032</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row>
    <row r="4740" spans="1:12">
      <c r="A4740" s="20" t="s">
        <v>2737</v>
      </c>
    </row>
    <row r="4741" spans="1:12">
      <c r="A4741" s="20" t="s">
        <v>1198</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2738</v>
      </c>
      <c r="B4742" s="21" t="s">
        <v>983</v>
      </c>
      <c r="C4742" s="21" t="s">
        <v>992</v>
      </c>
      <c r="D4742" s="21" t="s">
        <v>985</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1255</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1440</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t="s">
        <v>2739</v>
      </c>
      <c r="B4745" s="21" t="s">
        <v>1176</v>
      </c>
      <c r="C4745" s="21" t="s">
        <v>1006</v>
      </c>
      <c r="E4745" s="22">
        <f>IF(D4745="?OLD","!!!","")</f>
        <v/>
      </c>
      <c r="F4745" s="23" t="str">
        <f>IF(OR(E4745="",E4745="!!!"),"",IF(NOT(ISNA(VLOOKUP(E4745,E$1:E4744,1,FALSE()))),"OLD",IF(AND(E4745&lt;&gt;"",E4745&lt;&gt;"!!!"),"NEW","")))</f>
        <v> </v>
      </c>
      <c r="G4745" s="24" t="str">
        <f>IF(OR(E4745="",E4745="!!!"),"",IF(OR(J4745=0,AND(J4745=1,K4745=1),AND(J4745=1,I4745="SBJ"),AND(J4745=1,I4745=0)),"?IN_FOCUS",IF(J4745&lt;=2,"?ACTIVATED",IF(J4745&lt;&gt;"","?FAMILIAR",IF(F4745="NEW",IF(ISNA(VLOOKUP(E4745,#REF!,1,FALSE())),"?TYPE_IDENTIFIABLE","?REFERENTIAL"),"_")))))</f>
        <v> </v>
      </c>
      <c r="H4745" s="25" t="str">
        <f>IF(J4745&lt;&gt;1,"",IF(I4745="SBJ","CB","?"))</f>
        <v> </v>
      </c>
      <c r="I4745" s="26" t="str">
        <f>IF(OR(E4745="",E4745="!!!",F4745="NEW"),"",INDEX(B4744:B$2,-1+SUMPRODUCT(MAX(ROW(E4744:E$2)*(E4745=E4744:E$2)))))</f>
        <v> </v>
      </c>
      <c r="J4745" s="26" t="str">
        <f>IF(OR(E4745="",E4745="!!!",F4745="NEW"),"",COUNTBLANK(OFFSET(A$1,,,SUMPRODUCT(MAX(ROW(E$2:E4745)*(E4745=E$2:E4745)))))-COUNTBLANK(OFFSET(A$1,,,SUMPRODUCT(MAX(ROW(E$1:E4744)*(E2=E$1:E4744))))))</f>
        <v> </v>
      </c>
      <c r="K4745" s="26" t="str">
        <f>IF(OR(E4745="",E4745="!!!",F4745="NEW"),"",INDEX(J$1:J4744,SUMPRODUCT(MAX(ROW(E$1:E4744)*(E4745=E$1:E4744)))))</f>
        <v> </v>
      </c>
      <c r="L4745" s="27"/>
    </row>
    <row r="4746" spans="1:12">
      <c r="A4746" s="20" t="s">
        <v>1083</v>
      </c>
      <c r="E4746" s="22">
        <f>IF(D4746="?OLD","!!!","")</f>
        <v/>
      </c>
      <c r="F4746" s="23" t="str">
        <f>IF(OR(E4746="",E4746="!!!"),"",IF(NOT(ISNA(VLOOKUP(E4746,E$1:E4745,1,FALSE()))),"OLD",IF(AND(E4746&lt;&gt;"",E4746&lt;&gt;"!!!"),"NEW","")))</f>
        <v> </v>
      </c>
      <c r="G4746" s="24" t="str">
        <f>IF(OR(E4746="",E4746="!!!"),"",IF(OR(J4746=0,AND(J4746=1,K4746=1),AND(J4746=1,I4746="SBJ"),AND(J4746=1,I4746=0)),"?IN_FOCUS",IF(J4746&lt;=2,"?ACTIVATED",IF(J4746&lt;&gt;"","?FAMILIAR",IF(F4746="NEW",IF(ISNA(VLOOKUP(E4746,#REF!,1,FALSE())),"?TYPE_IDENTIFIABLE","?REFERENTIAL"),"_")))))</f>
        <v> </v>
      </c>
      <c r="H4746" s="25" t="str">
        <f>IF(J4746&lt;&gt;1,"",IF(I4746="SBJ","CB","?"))</f>
        <v> </v>
      </c>
      <c r="I4746" s="26" t="str">
        <f>IF(OR(E4746="",E4746="!!!",F4746="NEW"),"",INDEX(B4745:B$2,-1+SUMPRODUCT(MAX(ROW(E4745:E$2)*(E4746=E4745:E$2)))))</f>
        <v> </v>
      </c>
      <c r="J4746" s="26" t="str">
        <f>IF(OR(E4746="",E4746="!!!",F4746="NEW"),"",COUNTBLANK(OFFSET(A$1,,,SUMPRODUCT(MAX(ROW(E$2:E4746)*(E4746=E$2:E4746)))))-COUNTBLANK(OFFSET(A$1,,,SUMPRODUCT(MAX(ROW(E$1:E4745)*(E2=E$1:E4745))))))</f>
        <v> </v>
      </c>
      <c r="K4746" s="26" t="str">
        <f>IF(OR(E4746="",E4746="!!!",F4746="NEW"),"",INDEX(J$1:J4745,SUMPRODUCT(MAX(ROW(E$1:E4745)*(E4746=E$1:E4745)))))</f>
        <v> </v>
      </c>
      <c r="L4746" s="27"/>
    </row>
    <row r="4747" spans="1:12">
      <c r="A4747" s="20" t="s">
        <v>936</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1032</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row>
    <row r="4750" spans="1:12">
      <c r="A4750" s="20" t="s">
        <v>2740</v>
      </c>
    </row>
    <row r="4751" spans="1:12">
      <c r="A4751" s="20" t="s">
        <v>1638</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1009</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1080</v>
      </c>
      <c r="B4753" s="21" t="s">
        <v>983</v>
      </c>
      <c r="C4753" s="21" t="s">
        <v>984</v>
      </c>
      <c r="D4753" s="21" t="s">
        <v>985</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1342</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1326</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1009</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2741</v>
      </c>
      <c r="B4757" s="21" t="s">
        <v>1054</v>
      </c>
      <c r="C4757" s="21" t="s">
        <v>1035</v>
      </c>
      <c r="D4757" s="21" t="s">
        <v>985</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1185</v>
      </c>
      <c r="B4758" s="21" t="s">
        <v>1000</v>
      </c>
      <c r="C4758" s="21" t="s">
        <v>1092</v>
      </c>
      <c r="D4758" s="21" t="s">
        <v>985</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1107</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t="s">
        <v>285</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2742</v>
      </c>
      <c r="B4761" s="21" t="s">
        <v>1003</v>
      </c>
      <c r="C4761" s="21" t="s">
        <v>996</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2743</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1009</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1262</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1139</v>
      </c>
      <c r="B4765" s="21" t="s">
        <v>1000</v>
      </c>
      <c r="C4765" s="21" t="s">
        <v>1063</v>
      </c>
      <c r="D4765" s="21" t="s">
        <v>985</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1326</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t="s">
        <v>1327</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2744</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21</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1032</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row>
    <row r="4772" spans="1:12">
      <c r="A4772" s="20" t="s">
        <v>2745</v>
      </c>
    </row>
    <row r="4773" spans="1:12">
      <c r="A4773" s="20" t="s">
        <v>2746</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1537</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1440</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705</v>
      </c>
      <c r="B4776" s="21" t="s">
        <v>1176</v>
      </c>
      <c r="C4776" s="21" t="s">
        <v>1006</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943</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1009</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1057</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1011</v>
      </c>
      <c r="B4780" s="21" t="s">
        <v>1000</v>
      </c>
      <c r="C4780" s="21" t="s">
        <v>984</v>
      </c>
      <c r="D4780" s="21" t="s">
        <v>985</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1112</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225</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1920</v>
      </c>
      <c r="B4783" s="21" t="s">
        <v>1000</v>
      </c>
      <c r="C4783" s="21" t="s">
        <v>1006</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1326</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2747</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2127</v>
      </c>
      <c r="B4786" s="21" t="s">
        <v>1054</v>
      </c>
      <c r="C4786" s="21" t="s">
        <v>1035</v>
      </c>
      <c r="D4786" s="21" t="s">
        <v>985</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1920</v>
      </c>
      <c r="B4787" s="21" t="s">
        <v>1003</v>
      </c>
      <c r="C4787" s="21" t="s">
        <v>1092</v>
      </c>
      <c r="D4787" s="21" t="s">
        <v>985</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1009</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1262</v>
      </c>
      <c r="B4789" s="21" t="s">
        <v>1223</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1233</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2122</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2748</v>
      </c>
      <c r="B4792" s="21" t="s">
        <v>1050</v>
      </c>
      <c r="C4792" s="21" t="s">
        <v>1021</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1326</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1596</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2749</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986</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1032</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row>
    <row r="4799" spans="1:12">
      <c r="A4799" s="20" t="s">
        <v>2750</v>
      </c>
    </row>
    <row r="4800" spans="1:12">
      <c r="A4800" s="20" t="s">
        <v>2751</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2752</v>
      </c>
      <c r="B4801" s="21" t="s">
        <v>991</v>
      </c>
      <c r="C4801" s="21" t="s">
        <v>992</v>
      </c>
      <c r="D4801" s="21" t="s">
        <v>985</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1112</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1011</v>
      </c>
      <c r="B4803" s="21" t="s">
        <v>983</v>
      </c>
      <c r="C4803" s="21" t="s">
        <v>984</v>
      </c>
      <c r="D4803" s="21" t="s">
        <v>985</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1294</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705</v>
      </c>
      <c r="B4805" s="21" t="s">
        <v>1176</v>
      </c>
      <c r="C4805" s="21" t="s">
        <v>1040</v>
      </c>
      <c r="D4805" s="21" t="s">
        <v>985</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1233</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1058</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1492</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2753</v>
      </c>
      <c r="B4809" s="21" t="s">
        <v>991</v>
      </c>
      <c r="C4809" s="21" t="s">
        <v>1006</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947</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1009</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1057</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1262</v>
      </c>
      <c r="B4813" s="21" t="s">
        <v>1000</v>
      </c>
      <c r="C4813" s="21" t="s">
        <v>1063</v>
      </c>
      <c r="D4813" s="21" t="s">
        <v>985</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2754</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285</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1065</v>
      </c>
      <c r="B4816" s="21" t="s">
        <v>1003</v>
      </c>
      <c r="C4816" s="21" t="s">
        <v>996</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t="s">
        <v>1009</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1262</v>
      </c>
      <c r="B4818" s="21" t="s">
        <v>1020</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1011</v>
      </c>
      <c r="B4819" s="21" t="s">
        <v>1223</v>
      </c>
      <c r="C4819" s="21" t="s">
        <v>984</v>
      </c>
      <c r="D4819" s="21" t="s">
        <v>985</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2137</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1121</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2755</v>
      </c>
      <c r="B4822" s="21" t="s">
        <v>1062</v>
      </c>
      <c r="C4822" s="21" t="s">
        <v>1035</v>
      </c>
      <c r="D4822" s="21" t="s">
        <v>985</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2756</v>
      </c>
      <c r="B4823" s="21" t="s">
        <v>1050</v>
      </c>
      <c r="C4823" s="21" t="s">
        <v>1092</v>
      </c>
      <c r="D4823" s="21" t="s">
        <v>985</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2757</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1009</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1294</v>
      </c>
      <c r="B4826" s="21" t="s">
        <v>2055</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1011</v>
      </c>
      <c r="B4827" s="21" t="s">
        <v>1924</v>
      </c>
      <c r="C4827" s="21" t="s">
        <v>984</v>
      </c>
      <c r="D4827" s="21" t="s">
        <v>985</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1123</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t="s">
        <v>2758</v>
      </c>
      <c r="B4829" s="21" t="s">
        <v>1062</v>
      </c>
      <c r="C4829" s="21" t="s">
        <v>1021</v>
      </c>
      <c r="E4829" s="22">
        <f>IF(D4829="?OLD","!!!","")</f>
        <v/>
      </c>
      <c r="F4829" s="23" t="str">
        <f>IF(OR(E4829="",E4829="!!!"),"",IF(NOT(ISNA(VLOOKUP(E4829,E$1:E4828,1,FALSE()))),"OLD",IF(AND(E4829&lt;&gt;"",E4829&lt;&gt;"!!!"),"NEW","")))</f>
        <v> </v>
      </c>
      <c r="G4829" s="24" t="str">
        <f>IF(OR(E4829="",E4829="!!!"),"",IF(OR(J4829=0,AND(J4829=1,K4829=1),AND(J4829=1,I4829="SBJ"),AND(J4829=1,I4829=0)),"?IN_FOCUS",IF(J4829&lt;=2,"?ACTIVATED",IF(J4829&lt;&gt;"","?FAMILIAR",IF(F4829="NEW",IF(ISNA(VLOOKUP(E4829,#REF!,1,FALSE())),"?TYPE_IDENTIFIABLE","?REFERENTIAL"),"_")))))</f>
        <v> </v>
      </c>
      <c r="H4829" s="25" t="str">
        <f>IF(J4829&lt;&gt;1,"",IF(I4829="SBJ","CB","?"))</f>
        <v> </v>
      </c>
      <c r="I4829" s="26" t="str">
        <f>IF(OR(E4829="",E4829="!!!",F4829="NEW"),"",INDEX(B4828:B$2,-1+SUMPRODUCT(MAX(ROW(E4828:E$2)*(E4829=E4828:E$2)))))</f>
        <v> </v>
      </c>
      <c r="J4829" s="26" t="str">
        <f>IF(OR(E4829="",E4829="!!!",F4829="NEW"),"",COUNTBLANK(OFFSET(A$1,,,SUMPRODUCT(MAX(ROW(E$2:E4829)*(E4829=E$2:E4829)))))-COUNTBLANK(OFFSET(A$1,,,SUMPRODUCT(MAX(ROW(E$1:E4828)*(E2=E$1:E4828))))))</f>
        <v> </v>
      </c>
      <c r="K4829" s="26" t="str">
        <f>IF(OR(E4829="",E4829="!!!",F4829="NEW"),"",INDEX(J$1:J4828,SUMPRODUCT(MAX(ROW(E$1:E4828)*(E4829=E$1:E4828)))))</f>
        <v> </v>
      </c>
      <c r="L4829" s="27"/>
    </row>
    <row r="4830" spans="1:12">
      <c r="A4830" s="20" t="s">
        <v>2759</v>
      </c>
      <c r="B4830" s="21" t="s">
        <v>1924</v>
      </c>
      <c r="C4830" s="21" t="s">
        <v>992</v>
      </c>
      <c r="D4830" s="21" t="s">
        <v>985</v>
      </c>
      <c r="E4830" s="22">
        <f>IF(D4830="?OLD","!!!","")</f>
        <v/>
      </c>
      <c r="F4830" s="23" t="str">
        <f>IF(OR(E4830="",E4830="!!!"),"",IF(NOT(ISNA(VLOOKUP(E4830,E$1:E4829,1,FALSE()))),"OLD",IF(AND(E4830&lt;&gt;"",E4830&lt;&gt;"!!!"),"NEW","")))</f>
        <v> </v>
      </c>
      <c r="G4830" s="24" t="str">
        <f>IF(OR(E4830="",E4830="!!!"),"",IF(OR(J4830=0,AND(J4830=1,K4830=1),AND(J4830=1,I4830="SBJ"),AND(J4830=1,I4830=0)),"?IN_FOCUS",IF(J4830&lt;=2,"?ACTIVATED",IF(J4830&lt;&gt;"","?FAMILIAR",IF(F4830="NEW",IF(ISNA(VLOOKUP(E4830,#REF!,1,FALSE())),"?TYPE_IDENTIFIABLE","?REFERENTIAL"),"_")))))</f>
        <v> </v>
      </c>
      <c r="H4830" s="25" t="str">
        <f>IF(J4830&lt;&gt;1,"",IF(I4830="SBJ","CB","?"))</f>
        <v> </v>
      </c>
      <c r="I4830" s="26" t="str">
        <f>IF(OR(E4830="",E4830="!!!",F4830="NEW"),"",INDEX(B4829:B$2,-1+SUMPRODUCT(MAX(ROW(E4829:E$2)*(E4830=E4829:E$2)))))</f>
        <v> </v>
      </c>
      <c r="J4830" s="26" t="str">
        <f>IF(OR(E4830="",E4830="!!!",F4830="NEW"),"",COUNTBLANK(OFFSET(A$1,,,SUMPRODUCT(MAX(ROW(E$2:E4830)*(E4830=E$2:E4830)))))-COUNTBLANK(OFFSET(A$1,,,SUMPRODUCT(MAX(ROW(E$1:E4829)*(E2=E$1:E4829))))))</f>
        <v> </v>
      </c>
      <c r="K4830" s="26" t="str">
        <f>IF(OR(E4830="",E4830="!!!",F4830="NEW"),"",INDEX(J$1:J4829,SUMPRODUCT(MAX(ROW(E$1:E4829)*(E4830=E$1:E4829)))))</f>
        <v> </v>
      </c>
      <c r="L4830" s="27"/>
    </row>
    <row r="4831" spans="1:12">
      <c r="A4831" s="20" t="s">
        <v>2760</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1032</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row>
    <row r="4834" spans="1:12">
      <c r="A4834" s="20" t="s">
        <v>2761</v>
      </c>
    </row>
    <row r="4835" spans="1:12">
      <c r="A4835" s="20" t="s">
        <v>1307</v>
      </c>
      <c r="B4835" s="21" t="s">
        <v>1037</v>
      </c>
      <c r="C4835" s="21" t="s">
        <v>1035</v>
      </c>
      <c r="D4835" s="21" t="s">
        <v>985</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2762</v>
      </c>
      <c r="B4836" s="21" t="s">
        <v>983</v>
      </c>
      <c r="C4836" s="21" t="s">
        <v>1092</v>
      </c>
      <c r="D4836" s="21" t="s">
        <v>985</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1058</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1028</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2763</v>
      </c>
      <c r="B4839" s="21" t="s">
        <v>1037</v>
      </c>
      <c r="C4839" s="21" t="s">
        <v>1040</v>
      </c>
      <c r="D4839" s="21" t="s">
        <v>985</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1283</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t="s">
        <v>2764</v>
      </c>
      <c r="E4841" s="22">
        <f>IF(D4841="?OLD","!!!","")</f>
        <v/>
      </c>
      <c r="F4841" s="23" t="str">
        <f>IF(OR(E4841="",E4841="!!!"),"",IF(NOT(ISNA(VLOOKUP(E4841,E$1:E4840,1,FALSE()))),"OLD",IF(AND(E4841&lt;&gt;"",E4841&lt;&gt;"!!!"),"NEW","")))</f>
        <v> </v>
      </c>
      <c r="G4841" s="24" t="str">
        <f>IF(OR(E4841="",E4841="!!!"),"",IF(OR(J4841=0,AND(J4841=1,K4841=1),AND(J4841=1,I4841="SBJ"),AND(J4841=1,I4841=0)),"?IN_FOCUS",IF(J4841&lt;=2,"?ACTIVATED",IF(J4841&lt;&gt;"","?FAMILIAR",IF(F4841="NEW",IF(ISNA(VLOOKUP(E4841,#REF!,1,FALSE())),"?TYPE_IDENTIFIABLE","?REFERENTIAL"),"_")))))</f>
        <v> </v>
      </c>
      <c r="H4841" s="25" t="str">
        <f>IF(J4841&lt;&gt;1,"",IF(I4841="SBJ","CB","?"))</f>
        <v> </v>
      </c>
      <c r="I4841" s="26" t="str">
        <f>IF(OR(E4841="",E4841="!!!",F4841="NEW"),"",INDEX(B4840:B$2,-1+SUMPRODUCT(MAX(ROW(E4840:E$2)*(E4841=E4840:E$2)))))</f>
        <v> </v>
      </c>
      <c r="J4841" s="26" t="str">
        <f>IF(OR(E4841="",E4841="!!!",F4841="NEW"),"",COUNTBLANK(OFFSET(A$1,,,SUMPRODUCT(MAX(ROW(E$2:E4841)*(E4841=E$2:E4841)))))-COUNTBLANK(OFFSET(A$1,,,SUMPRODUCT(MAX(ROW(E$1:E4840)*(E2=E$1:E4840))))))</f>
        <v> </v>
      </c>
      <c r="K4841" s="26" t="str">
        <f>IF(OR(E4841="",E4841="!!!",F4841="NEW"),"",INDEX(J$1:J4840,SUMPRODUCT(MAX(ROW(E$1:E4840)*(E4841=E$1:E4840)))))</f>
        <v> </v>
      </c>
      <c r="L4841" s="27"/>
    </row>
    <row r="4842" spans="1:12">
      <c r="A4842" s="20" t="s">
        <v>1595</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1047</v>
      </c>
      <c r="E4843" s="22">
        <f>IF(D4843="?OLD","!!!","")</f>
        <v/>
      </c>
      <c r="F4843" s="23" t="str">
        <f>IF(OR(E4843="",E4843="!!!"),"",IF(NOT(ISNA(VLOOKUP(E4843,E$1:E4842,1,FALSE()))),"OLD",IF(AND(E4843&lt;&gt;"",E4843&lt;&gt;"!!!"),"NEW","")))</f>
        <v> </v>
      </c>
      <c r="G4843" s="24" t="str">
        <f>IF(OR(E4843="",E4843="!!!"),"",IF(OR(J4843=0,AND(J4843=1,K4843=1),AND(J4843=1,I4843="SBJ"),AND(J4843=1,I4843=0)),"?IN_FOCUS",IF(J4843&lt;=2,"?ACTIVATED",IF(J4843&lt;&gt;"","?FAMILIAR",IF(F4843="NEW",IF(ISNA(VLOOKUP(E4843,#REF!,1,FALSE())),"?TYPE_IDENTIFIABLE","?REFERENTIAL"),"_")))))</f>
        <v> </v>
      </c>
      <c r="H4843" s="25" t="str">
        <f>IF(J4843&lt;&gt;1,"",IF(I4843="SBJ","CB","?"))</f>
        <v> </v>
      </c>
      <c r="I4843" s="26" t="str">
        <f>IF(OR(E4843="",E4843="!!!",F4843="NEW"),"",INDEX(B4842:B$2,-1+SUMPRODUCT(MAX(ROW(E4842:E$2)*(E4843=E4842:E$2)))))</f>
        <v> </v>
      </c>
      <c r="J4843" s="26" t="str">
        <f>IF(OR(E4843="",E4843="!!!",F4843="NEW"),"",COUNTBLANK(OFFSET(A$1,,,SUMPRODUCT(MAX(ROW(E$2:E4843)*(E4843=E$2:E4843)))))-COUNTBLANK(OFFSET(A$1,,,SUMPRODUCT(MAX(ROW(E$1:E4842)*(E2=E$1:E4842))))))</f>
        <v> </v>
      </c>
      <c r="K4843" s="26" t="str">
        <f>IF(OR(E4843="",E4843="!!!",F4843="NEW"),"",INDEX(J$1:J4842,SUMPRODUCT(MAX(ROW(E$1:E4842)*(E4843=E$1:E4842)))))</f>
        <v> </v>
      </c>
      <c r="L4843" s="27"/>
    </row>
    <row r="4844" spans="1:12">
      <c r="A4844" s="20" t="s">
        <v>2765</v>
      </c>
      <c r="B4844" s="21" t="s">
        <v>983</v>
      </c>
      <c r="C4844" s="21" t="s">
        <v>1040</v>
      </c>
      <c r="D4844" s="21" t="s">
        <v>985</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1009</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1425</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2766</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705</v>
      </c>
      <c r="B4848" s="21" t="s">
        <v>1054</v>
      </c>
      <c r="C4848" s="21" t="s">
        <v>1021</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t="s">
        <v>2767</v>
      </c>
      <c r="E4849" s="22">
        <f>IF(D4849="?OLD","!!!","")</f>
        <v/>
      </c>
      <c r="F4849" s="23" t="str">
        <f>IF(OR(E4849="",E4849="!!!"),"",IF(NOT(ISNA(VLOOKUP(E4849,E$1:E4848,1,FALSE()))),"OLD",IF(AND(E4849&lt;&gt;"",E4849&lt;&gt;"!!!"),"NEW","")))</f>
        <v> </v>
      </c>
      <c r="G4849" s="24" t="str">
        <f>IF(OR(E4849="",E4849="!!!"),"",IF(OR(J4849=0,AND(J4849=1,K4849=1),AND(J4849=1,I4849="SBJ"),AND(J4849=1,I4849=0)),"?IN_FOCUS",IF(J4849&lt;=2,"?ACTIVATED",IF(J4849&lt;&gt;"","?FAMILIAR",IF(F4849="NEW",IF(ISNA(VLOOKUP(E4849,#REF!,1,FALSE())),"?TYPE_IDENTIFIABLE","?REFERENTIAL"),"_")))))</f>
        <v> </v>
      </c>
      <c r="H4849" s="25" t="str">
        <f>IF(J4849&lt;&gt;1,"",IF(I4849="SBJ","CB","?"))</f>
        <v> </v>
      </c>
      <c r="I4849" s="26" t="str">
        <f>IF(OR(E4849="",E4849="!!!",F4849="NEW"),"",INDEX(B4848:B$2,-1+SUMPRODUCT(MAX(ROW(E4848:E$2)*(E4849=E4848:E$2)))))</f>
        <v> </v>
      </c>
      <c r="J4849" s="26" t="str">
        <f>IF(OR(E4849="",E4849="!!!",F4849="NEW"),"",COUNTBLANK(OFFSET(A$1,,,SUMPRODUCT(MAX(ROW(E$2:E4849)*(E4849=E$2:E4849)))))-COUNTBLANK(OFFSET(A$1,,,SUMPRODUCT(MAX(ROW(E$1:E4848)*(E2=E$1:E4848))))))</f>
        <v> </v>
      </c>
      <c r="K4849" s="26" t="str">
        <f>IF(OR(E4849="",E4849="!!!",F4849="NEW"),"",INDEX(J$1:J4848,SUMPRODUCT(MAX(ROW(E$1:E4848)*(E4849=E$1:E4848)))))</f>
        <v> </v>
      </c>
      <c r="L4849" s="27"/>
    </row>
    <row r="4850" spans="1:12">
      <c r="A4850" s="20" t="s">
        <v>1156</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t="s">
        <v>1032</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row>
    <row r="4853" spans="1:12">
      <c r="A4853" s="20" t="s">
        <v>2768</v>
      </c>
    </row>
    <row r="4854" spans="1:12">
      <c r="A4854" s="20" t="s">
        <v>2769</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1156</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1262</v>
      </c>
      <c r="B4856" s="21" t="s">
        <v>983</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t="s">
        <v>989</v>
      </c>
      <c r="E4857" s="22">
        <f>IF(D4857="?OLD","!!!","")</f>
        <v/>
      </c>
      <c r="F4857" s="23" t="str">
        <f>IF(OR(E4857="",E4857="!!!"),"",IF(NOT(ISNA(VLOOKUP(E4857,E$1:E4856,1,FALSE()))),"OLD",IF(AND(E4857&lt;&gt;"",E4857&lt;&gt;"!!!"),"NEW","")))</f>
        <v> </v>
      </c>
      <c r="G4857" s="24" t="str">
        <f>IF(OR(E4857="",E4857="!!!"),"",IF(OR(J4857=0,AND(J4857=1,K4857=1),AND(J4857=1,I4857="SBJ"),AND(J4857=1,I4857=0)),"?IN_FOCUS",IF(J4857&lt;=2,"?ACTIVATED",IF(J4857&lt;&gt;"","?FAMILIAR",IF(F4857="NEW",IF(ISNA(VLOOKUP(E4857,#REF!,1,FALSE())),"?TYPE_IDENTIFIABLE","?REFERENTIAL"),"_")))))</f>
        <v> </v>
      </c>
      <c r="H4857" s="25" t="str">
        <f>IF(J4857&lt;&gt;1,"",IF(I4857="SBJ","CB","?"))</f>
        <v> </v>
      </c>
      <c r="I4857" s="26" t="str">
        <f>IF(OR(E4857="",E4857="!!!",F4857="NEW"),"",INDEX(B4856:B$2,-1+SUMPRODUCT(MAX(ROW(E4856:E$2)*(E4857=E4856:E$2)))))</f>
        <v> </v>
      </c>
      <c r="J4857" s="26" t="str">
        <f>IF(OR(E4857="",E4857="!!!",F4857="NEW"),"",COUNTBLANK(OFFSET(A$1,,,SUMPRODUCT(MAX(ROW(E$2:E4857)*(E4857=E$2:E4857)))))-COUNTBLANK(OFFSET(A$1,,,SUMPRODUCT(MAX(ROW(E$1:E4856)*(E2=E$1:E4856))))))</f>
        <v> </v>
      </c>
      <c r="K4857" s="26" t="str">
        <f>IF(OR(E4857="",E4857="!!!",F4857="NEW"),"",INDEX(J$1:J4856,SUMPRODUCT(MAX(ROW(E$1:E4856)*(E4857=E$1:E4856)))))</f>
        <v> </v>
      </c>
      <c r="L4857" s="27"/>
    </row>
    <row r="4858" spans="1:12">
      <c r="A4858" s="20" t="s">
        <v>1028</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2216</v>
      </c>
      <c r="E4859" s="22">
        <f>IF(D4859="?OLD","!!!","")</f>
        <v/>
      </c>
      <c r="F4859" s="23" t="str">
        <f>IF(OR(E4859="",E4859="!!!"),"",IF(NOT(ISNA(VLOOKUP(E4859,E$1:E4858,1,FALSE()))),"OLD",IF(AND(E4859&lt;&gt;"",E4859&lt;&gt;"!!!"),"NEW","")))</f>
        <v> </v>
      </c>
      <c r="G4859" s="24" t="str">
        <f>IF(OR(E4859="",E4859="!!!"),"",IF(OR(J4859=0,AND(J4859=1,K4859=1),AND(J4859=1,I4859="SBJ"),AND(J4859=1,I4859=0)),"?IN_FOCUS",IF(J4859&lt;=2,"?ACTIVATED",IF(J4859&lt;&gt;"","?FAMILIAR",IF(F4859="NEW",IF(ISNA(VLOOKUP(E4859,#REF!,1,FALSE())),"?TYPE_IDENTIFIABLE","?REFERENTIAL"),"_")))))</f>
        <v> </v>
      </c>
      <c r="H4859" s="25" t="str">
        <f>IF(J4859&lt;&gt;1,"",IF(I4859="SBJ","CB","?"))</f>
        <v> </v>
      </c>
      <c r="I4859" s="26" t="str">
        <f>IF(OR(E4859="",E4859="!!!",F4859="NEW"),"",INDEX(B4858:B$2,-1+SUMPRODUCT(MAX(ROW(E4858:E$2)*(E4859=E4858:E$2)))))</f>
        <v> </v>
      </c>
      <c r="J4859" s="26" t="str">
        <f>IF(OR(E4859="",E4859="!!!",F4859="NEW"),"",COUNTBLANK(OFFSET(A$1,,,SUMPRODUCT(MAX(ROW(E$2:E4859)*(E4859=E$2:E4859)))))-COUNTBLANK(OFFSET(A$1,,,SUMPRODUCT(MAX(ROW(E$1:E4858)*(E2=E$1:E4858))))))</f>
        <v> </v>
      </c>
      <c r="K4859" s="26" t="str">
        <f>IF(OR(E4859="",E4859="!!!",F4859="NEW"),"",INDEX(J$1:J4858,SUMPRODUCT(MAX(ROW(E$1:E4858)*(E4859=E$1:E4858)))))</f>
        <v> </v>
      </c>
      <c r="L4859" s="27"/>
    </row>
    <row r="4860" spans="1:12">
      <c r="A4860" s="20" t="s">
        <v>2770</v>
      </c>
      <c r="B4860" s="21" t="s">
        <v>991</v>
      </c>
      <c r="C4860" s="21" t="s">
        <v>1040</v>
      </c>
      <c r="D4860" s="21" t="s">
        <v>985</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2771</v>
      </c>
      <c r="B4861" s="21" t="s">
        <v>1037</v>
      </c>
      <c r="C4861" s="21" t="s">
        <v>992</v>
      </c>
      <c r="D4861" s="21" t="s">
        <v>985</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2772</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1052</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1093</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1047</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2773</v>
      </c>
      <c r="B4866" s="21" t="s">
        <v>1037</v>
      </c>
      <c r="C4866" s="21" t="s">
        <v>1040</v>
      </c>
      <c r="D4866" s="21" t="s">
        <v>985</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1009</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1294</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2216</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694</v>
      </c>
      <c r="B4870" s="21" t="s">
        <v>1054</v>
      </c>
      <c r="C4870" s="21" t="s">
        <v>992</v>
      </c>
      <c r="D4870" s="21" t="s">
        <v>985</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2774</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t="s">
        <v>1025</v>
      </c>
      <c r="E4872" s="22">
        <f>IF(D4872="?OLD","!!!","")</f>
        <v/>
      </c>
      <c r="F4872" s="23" t="str">
        <f>IF(OR(E4872="",E4872="!!!"),"",IF(NOT(ISNA(VLOOKUP(E4872,E$1:E4871,1,FALSE()))),"OLD",IF(AND(E4872&lt;&gt;"",E4872&lt;&gt;"!!!"),"NEW","")))</f>
        <v> </v>
      </c>
      <c r="G4872" s="24" t="str">
        <f>IF(OR(E4872="",E4872="!!!"),"",IF(OR(J4872=0,AND(J4872=1,K4872=1),AND(J4872=1,I4872="SBJ"),AND(J4872=1,I4872=0)),"?IN_FOCUS",IF(J4872&lt;=2,"?ACTIVATED",IF(J4872&lt;&gt;"","?FAMILIAR",IF(F4872="NEW",IF(ISNA(VLOOKUP(E4872,#REF!,1,FALSE())),"?TYPE_IDENTIFIABLE","?REFERENTIAL"),"_")))))</f>
        <v> </v>
      </c>
      <c r="H4872" s="25" t="str">
        <f>IF(J4872&lt;&gt;1,"",IF(I4872="SBJ","CB","?"))</f>
        <v> </v>
      </c>
      <c r="I4872" s="26" t="str">
        <f>IF(OR(E4872="",E4872="!!!",F4872="NEW"),"",INDEX(B4871:B$2,-1+SUMPRODUCT(MAX(ROW(E4871:E$2)*(E4872=E4871:E$2)))))</f>
        <v> </v>
      </c>
      <c r="J4872" s="26" t="str">
        <f>IF(OR(E4872="",E4872="!!!",F4872="NEW"),"",COUNTBLANK(OFFSET(A$1,,,SUMPRODUCT(MAX(ROW(E$2:E4872)*(E4872=E$2:E4872)))))-COUNTBLANK(OFFSET(A$1,,,SUMPRODUCT(MAX(ROW(E$1:E4871)*(E2=E$1:E4871))))))</f>
        <v> </v>
      </c>
      <c r="K4872" s="26" t="str">
        <f>IF(OR(E4872="",E4872="!!!",F4872="NEW"),"",INDEX(J$1:J4871,SUMPRODUCT(MAX(ROW(E$1:E4871)*(E4872=E$1:E4871)))))</f>
        <v> </v>
      </c>
      <c r="L4872" s="27"/>
    </row>
    <row r="4873" spans="1:12">
      <c r="A4873" s="20" t="s">
        <v>2775</v>
      </c>
      <c r="B4873" s="21" t="s">
        <v>1037</v>
      </c>
      <c r="C4873" s="21" t="s">
        <v>1021</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2776</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1032</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row>
    <row r="4877" spans="1:12">
      <c r="A4877" s="20" t="s">
        <v>2777</v>
      </c>
    </row>
    <row r="4878" spans="1:12">
      <c r="A4878" s="20" t="s">
        <v>1891</v>
      </c>
      <c r="B4878" s="21" t="s">
        <v>1054</v>
      </c>
      <c r="C4878" s="21" t="s">
        <v>1063</v>
      </c>
      <c r="D4878" s="21" t="s">
        <v>985</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2778</v>
      </c>
      <c r="B4879" s="21" t="s">
        <v>1000</v>
      </c>
      <c r="C4879" s="21" t="s">
        <v>1066</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1009</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t="s">
        <v>1010</v>
      </c>
      <c r="E4881" s="22">
        <f>IF(D4881="?OLD","!!!","")</f>
        <v/>
      </c>
      <c r="F4881" s="23" t="str">
        <f>IF(OR(E4881="",E4881="!!!"),"",IF(NOT(ISNA(VLOOKUP(E4881,E$1:E4880,1,FALSE()))),"OLD",IF(AND(E4881&lt;&gt;"",E4881&lt;&gt;"!!!"),"NEW","")))</f>
        <v> </v>
      </c>
      <c r="G4881" s="24" t="str">
        <f>IF(OR(E4881="",E4881="!!!"),"",IF(OR(J4881=0,AND(J4881=1,K4881=1),AND(J4881=1,I4881="SBJ"),AND(J4881=1,I4881=0)),"?IN_FOCUS",IF(J4881&lt;=2,"?ACTIVATED",IF(J4881&lt;&gt;"","?FAMILIAR",IF(F4881="NEW",IF(ISNA(VLOOKUP(E4881,#REF!,1,FALSE())),"?TYPE_IDENTIFIABLE","?REFERENTIAL"),"_")))))</f>
        <v> </v>
      </c>
      <c r="H4881" s="25" t="str">
        <f>IF(J4881&lt;&gt;1,"",IF(I4881="SBJ","CB","?"))</f>
        <v> </v>
      </c>
      <c r="I4881" s="26" t="str">
        <f>IF(OR(E4881="",E4881="!!!",F4881="NEW"),"",INDEX(B4880:B$2,-1+SUMPRODUCT(MAX(ROW(E4880:E$2)*(E4881=E4880:E$2)))))</f>
        <v> </v>
      </c>
      <c r="J4881" s="26" t="str">
        <f>IF(OR(E4881="",E4881="!!!",F4881="NEW"),"",COUNTBLANK(OFFSET(A$1,,,SUMPRODUCT(MAX(ROW(E$2:E4881)*(E4881=E$2:E4881)))))-COUNTBLANK(OFFSET(A$1,,,SUMPRODUCT(MAX(ROW(E$1:E4880)*(E2=E$1:E4880))))))</f>
        <v> </v>
      </c>
      <c r="K4881" s="26" t="str">
        <f>IF(OR(E4881="",E4881="!!!",F4881="NEW"),"",INDEX(J$1:J4880,SUMPRODUCT(MAX(ROW(E$1:E4880)*(E4881=E$1:E4880)))))</f>
        <v> </v>
      </c>
      <c r="L4881" s="27"/>
    </row>
    <row r="4882" spans="1:12">
      <c r="A4882" s="20" t="s">
        <v>1028</v>
      </c>
      <c r="E4882" s="22">
        <f>IF(D4882="?OLD","!!!","")</f>
        <v/>
      </c>
      <c r="F4882" s="23" t="str">
        <f>IF(OR(E4882="",E4882="!!!"),"",IF(NOT(ISNA(VLOOKUP(E4882,E$1:E4881,1,FALSE()))),"OLD",IF(AND(E4882&lt;&gt;"",E4882&lt;&gt;"!!!"),"NEW","")))</f>
        <v> </v>
      </c>
      <c r="G4882" s="24" t="str">
        <f>IF(OR(E4882="",E4882="!!!"),"",IF(OR(J4882=0,AND(J4882=1,K4882=1),AND(J4882=1,I4882="SBJ"),AND(J4882=1,I4882=0)),"?IN_FOCUS",IF(J4882&lt;=2,"?ACTIVATED",IF(J4882&lt;&gt;"","?FAMILIAR",IF(F4882="NEW",IF(ISNA(VLOOKUP(E4882,#REF!,1,FALSE())),"?TYPE_IDENTIFIABLE","?REFERENTIAL"),"_")))))</f>
        <v> </v>
      </c>
      <c r="H4882" s="25" t="str">
        <f>IF(J4882&lt;&gt;1,"",IF(I4882="SBJ","CB","?"))</f>
        <v> </v>
      </c>
      <c r="I4882" s="26" t="str">
        <f>IF(OR(E4882="",E4882="!!!",F4882="NEW"),"",INDEX(B4881:B$2,-1+SUMPRODUCT(MAX(ROW(E4881:E$2)*(E4882=E4881:E$2)))))</f>
        <v> </v>
      </c>
      <c r="J4882" s="26" t="str">
        <f>IF(OR(E4882="",E4882="!!!",F4882="NEW"),"",COUNTBLANK(OFFSET(A$1,,,SUMPRODUCT(MAX(ROW(E$2:E4882)*(E4882=E$2:E4882)))))-COUNTBLANK(OFFSET(A$1,,,SUMPRODUCT(MAX(ROW(E$1:E4881)*(E2=E$1:E4881))))))</f>
        <v> </v>
      </c>
      <c r="K4882" s="26" t="str">
        <f>IF(OR(E4882="",E4882="!!!",F4882="NEW"),"",INDEX(J$1:J4881,SUMPRODUCT(MAX(ROW(E$1:E4881)*(E4882=E$1:E4881)))))</f>
        <v> </v>
      </c>
      <c r="L4882" s="27"/>
    </row>
    <row r="4883" spans="1:12">
      <c r="A4883" s="20" t="s">
        <v>2779</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2780</v>
      </c>
      <c r="B4884" s="21" t="s">
        <v>1223</v>
      </c>
      <c r="C4884" s="21" t="s">
        <v>1040</v>
      </c>
      <c r="D4884" s="21" t="s">
        <v>985</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1009</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1718</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t="s">
        <v>1087</v>
      </c>
      <c r="E4887" s="22">
        <f>IF(D4887="?OLD","!!!","")</f>
        <v/>
      </c>
      <c r="F4887" s="23" t="str">
        <f>IF(OR(E4887="",E4887="!!!"),"",IF(NOT(ISNA(VLOOKUP(E4887,E$1:E4886,1,FALSE()))),"OLD",IF(AND(E4887&lt;&gt;"",E4887&lt;&gt;"!!!"),"NEW","")))</f>
        <v> </v>
      </c>
      <c r="G4887" s="24" t="str">
        <f>IF(OR(E4887="",E4887="!!!"),"",IF(OR(J4887=0,AND(J4887=1,K4887=1),AND(J4887=1,I4887="SBJ"),AND(J4887=1,I4887=0)),"?IN_FOCUS",IF(J4887&lt;=2,"?ACTIVATED",IF(J4887&lt;&gt;"","?FAMILIAR",IF(F4887="NEW",IF(ISNA(VLOOKUP(E4887,#REF!,1,FALSE())),"?TYPE_IDENTIFIABLE","?REFERENTIAL"),"_")))))</f>
        <v> </v>
      </c>
      <c r="H4887" s="25" t="str">
        <f>IF(J4887&lt;&gt;1,"",IF(I4887="SBJ","CB","?"))</f>
        <v> </v>
      </c>
      <c r="I4887" s="26" t="str">
        <f>IF(OR(E4887="",E4887="!!!",F4887="NEW"),"",INDEX(B4886:B$2,-1+SUMPRODUCT(MAX(ROW(E4886:E$2)*(E4887=E4886:E$2)))))</f>
        <v> </v>
      </c>
      <c r="J4887" s="26" t="str">
        <f>IF(OR(E4887="",E4887="!!!",F4887="NEW"),"",COUNTBLANK(OFFSET(A$1,,,SUMPRODUCT(MAX(ROW(E$2:E4887)*(E4887=E$2:E4887)))))-COUNTBLANK(OFFSET(A$1,,,SUMPRODUCT(MAX(ROW(E$1:E4886)*(E2=E$1:E4886))))))</f>
        <v> </v>
      </c>
      <c r="K4887" s="26" t="str">
        <f>IF(OR(E4887="",E4887="!!!",F4887="NEW"),"",INDEX(J$1:J4886,SUMPRODUCT(MAX(ROW(E$1:E4886)*(E4887=E$1:E4886)))))</f>
        <v> </v>
      </c>
      <c r="L4887" s="27"/>
    </row>
    <row r="4888" spans="1:12">
      <c r="A4888" s="20" t="s">
        <v>1317</v>
      </c>
      <c r="B4888" s="21" t="s">
        <v>1062</v>
      </c>
      <c r="C4888" s="21" t="s">
        <v>1128</v>
      </c>
      <c r="D4888" s="21" t="s">
        <v>985</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1241</v>
      </c>
      <c r="B4889" s="21" t="s">
        <v>1050</v>
      </c>
      <c r="C4889" s="21" t="s">
        <v>1021</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t="s">
        <v>2781</v>
      </c>
      <c r="B4890" s="21" t="s">
        <v>1020</v>
      </c>
      <c r="C4890" s="21" t="s">
        <v>984</v>
      </c>
      <c r="D4890" s="21" t="s">
        <v>985</v>
      </c>
      <c r="E4890" s="22">
        <f>IF(D4890="?OLD","!!!","")</f>
        <v/>
      </c>
      <c r="F4890" s="23" t="str">
        <f>IF(OR(E4890="",E4890="!!!"),"",IF(NOT(ISNA(VLOOKUP(E4890,E$1:E4889,1,FALSE()))),"OLD",IF(AND(E4890&lt;&gt;"",E4890&lt;&gt;"!!!"),"NEW","")))</f>
        <v> </v>
      </c>
      <c r="G4890" s="24" t="str">
        <f>IF(OR(E4890="",E4890="!!!"),"",IF(OR(J4890=0,AND(J4890=1,K4890=1),AND(J4890=1,I4890="SBJ"),AND(J4890=1,I4890=0)),"?IN_FOCUS",IF(J4890&lt;=2,"?ACTIVATED",IF(J4890&lt;&gt;"","?FAMILIAR",IF(F4890="NEW",IF(ISNA(VLOOKUP(E4890,#REF!,1,FALSE())),"?TYPE_IDENTIFIABLE","?REFERENTIAL"),"_")))))</f>
        <v> </v>
      </c>
      <c r="H4890" s="25" t="str">
        <f>IF(J4890&lt;&gt;1,"",IF(I4890="SBJ","CB","?"))</f>
        <v> </v>
      </c>
      <c r="I4890" s="26" t="str">
        <f>IF(OR(E4890="",E4890="!!!",F4890="NEW"),"",INDEX(B4889:B$2,-1+SUMPRODUCT(MAX(ROW(E4889:E$2)*(E4890=E4889:E$2)))))</f>
        <v> </v>
      </c>
      <c r="J4890" s="26" t="str">
        <f>IF(OR(E4890="",E4890="!!!",F4890="NEW"),"",COUNTBLANK(OFFSET(A$1,,,SUMPRODUCT(MAX(ROW(E$2:E4890)*(E4890=E$2:E4890)))))-COUNTBLANK(OFFSET(A$1,,,SUMPRODUCT(MAX(ROW(E$1:E4889)*(E2=E$1:E4889))))))</f>
        <v> </v>
      </c>
      <c r="K4890" s="26" t="str">
        <f>IF(OR(E4890="",E4890="!!!",F4890="NEW"),"",INDEX(J$1:J4889,SUMPRODUCT(MAX(ROW(E$1:E4889)*(E4890=E$1:E4889)))))</f>
        <v> </v>
      </c>
      <c r="L4890" s="27"/>
    </row>
    <row r="4891" spans="1:12">
      <c r="A4891" s="20" t="s">
        <v>1002</v>
      </c>
      <c r="B4891" s="21" t="s">
        <v>1223</v>
      </c>
      <c r="C4891" s="21" t="s">
        <v>984</v>
      </c>
      <c r="D4891" s="21" t="s">
        <v>985</v>
      </c>
      <c r="E4891" s="22">
        <f>IF(D4891="?OLD","!!!","")</f>
        <v/>
      </c>
      <c r="F4891" s="23" t="str">
        <f>IF(OR(E4891="",E4891="!!!"),"",IF(NOT(ISNA(VLOOKUP(E4891,E$1:E4890,1,FALSE()))),"OLD",IF(AND(E4891&lt;&gt;"",E4891&lt;&gt;"!!!"),"NEW","")))</f>
        <v> </v>
      </c>
      <c r="G4891" s="24" t="str">
        <f>IF(OR(E4891="",E4891="!!!"),"",IF(OR(J4891=0,AND(J4891=1,K4891=1),AND(J4891=1,I4891="SBJ"),AND(J4891=1,I4891=0)),"?IN_FOCUS",IF(J4891&lt;=2,"?ACTIVATED",IF(J4891&lt;&gt;"","?FAMILIAR",IF(F4891="NEW",IF(ISNA(VLOOKUP(E4891,#REF!,1,FALSE())),"?TYPE_IDENTIFIABLE","?REFERENTIAL"),"_")))))</f>
        <v> </v>
      </c>
      <c r="H4891" s="25" t="str">
        <f>IF(J4891&lt;&gt;1,"",IF(I4891="SBJ","CB","?"))</f>
        <v> </v>
      </c>
      <c r="I4891" s="26" t="str">
        <f>IF(OR(E4891="",E4891="!!!",F4891="NEW"),"",INDEX(B4890:B$2,-1+SUMPRODUCT(MAX(ROW(E4890:E$2)*(E4891=E4890:E$2)))))</f>
        <v> </v>
      </c>
      <c r="J4891" s="26" t="str">
        <f>IF(OR(E4891="",E4891="!!!",F4891="NEW"),"",COUNTBLANK(OFFSET(A$1,,,SUMPRODUCT(MAX(ROW(E$2:E4891)*(E4891=E$2:E4891)))))-COUNTBLANK(OFFSET(A$1,,,SUMPRODUCT(MAX(ROW(E$1:E4890)*(E2=E$1:E4890))))))</f>
        <v> </v>
      </c>
      <c r="K4891" s="26" t="str">
        <f>IF(OR(E4891="",E4891="!!!",F4891="NEW"),"",INDEX(J$1:J4890,SUMPRODUCT(MAX(ROW(E$1:E4890)*(E4891=E$1:E4890)))))</f>
        <v> </v>
      </c>
      <c r="L4891" s="27"/>
    </row>
    <row r="4892" spans="1:12">
      <c r="A4892" s="20" t="s">
        <v>2782</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1801</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t="s">
        <v>1233</v>
      </c>
      <c r="E4894" s="22">
        <f>IF(D4894="?OLD","!!!","")</f>
        <v/>
      </c>
      <c r="F4894" s="23" t="str">
        <f>IF(OR(E4894="",E4894="!!!"),"",IF(NOT(ISNA(VLOOKUP(E4894,E$1:E4893,1,FALSE()))),"OLD",IF(AND(E4894&lt;&gt;"",E4894&lt;&gt;"!!!"),"NEW","")))</f>
        <v> </v>
      </c>
      <c r="G4894" s="24" t="str">
        <f>IF(OR(E4894="",E4894="!!!"),"",IF(OR(J4894=0,AND(J4894=1,K4894=1),AND(J4894=1,I4894="SBJ"),AND(J4894=1,I4894=0)),"?IN_FOCUS",IF(J4894&lt;=2,"?ACTIVATED",IF(J4894&lt;&gt;"","?FAMILIAR",IF(F4894="NEW",IF(ISNA(VLOOKUP(E4894,#REF!,1,FALSE())),"?TYPE_IDENTIFIABLE","?REFERENTIAL"),"_")))))</f>
        <v> </v>
      </c>
      <c r="H4894" s="25" t="str">
        <f>IF(J4894&lt;&gt;1,"",IF(I4894="SBJ","CB","?"))</f>
        <v> </v>
      </c>
      <c r="I4894" s="26" t="str">
        <f>IF(OR(E4894="",E4894="!!!",F4894="NEW"),"",INDEX(B4893:B$2,-1+SUMPRODUCT(MAX(ROW(E4893:E$2)*(E4894=E4893:E$2)))))</f>
        <v> </v>
      </c>
      <c r="J4894" s="26" t="str">
        <f>IF(OR(E4894="",E4894="!!!",F4894="NEW"),"",COUNTBLANK(OFFSET(A$1,,,SUMPRODUCT(MAX(ROW(E$2:E4894)*(E4894=E$2:E4894)))))-COUNTBLANK(OFFSET(A$1,,,SUMPRODUCT(MAX(ROW(E$1:E4893)*(E2=E$1:E4893))))))</f>
        <v> </v>
      </c>
      <c r="K4894" s="26" t="str">
        <f>IF(OR(E4894="",E4894="!!!",F4894="NEW"),"",INDEX(J$1:J4893,SUMPRODUCT(MAX(ROW(E$1:E4893)*(E4894=E$1:E4893)))))</f>
        <v> </v>
      </c>
      <c r="L4894" s="27"/>
    </row>
    <row r="4895" spans="1:12">
      <c r="A4895" s="20" t="s">
        <v>2783</v>
      </c>
      <c r="E4895" s="22">
        <f>IF(D4895="?OLD","!!!","")</f>
        <v/>
      </c>
      <c r="F4895" s="23" t="str">
        <f>IF(OR(E4895="",E4895="!!!"),"",IF(NOT(ISNA(VLOOKUP(E4895,E$1:E4894,1,FALSE()))),"OLD",IF(AND(E4895&lt;&gt;"",E4895&lt;&gt;"!!!"),"NEW","")))</f>
        <v> </v>
      </c>
      <c r="G4895" s="24" t="str">
        <f>IF(OR(E4895="",E4895="!!!"),"",IF(OR(J4895=0,AND(J4895=1,K4895=1),AND(J4895=1,I4895="SBJ"),AND(J4895=1,I4895=0)),"?IN_FOCUS",IF(J4895&lt;=2,"?ACTIVATED",IF(J4895&lt;&gt;"","?FAMILIAR",IF(F4895="NEW",IF(ISNA(VLOOKUP(E4895,#REF!,1,FALSE())),"?TYPE_IDENTIFIABLE","?REFERENTIAL"),"_")))))</f>
        <v> </v>
      </c>
      <c r="H4895" s="25" t="str">
        <f>IF(J4895&lt;&gt;1,"",IF(I4895="SBJ","CB","?"))</f>
        <v> </v>
      </c>
      <c r="I4895" s="26" t="str">
        <f>IF(OR(E4895="",E4895="!!!",F4895="NEW"),"",INDEX(B4894:B$2,-1+SUMPRODUCT(MAX(ROW(E4894:E$2)*(E4895=E4894:E$2)))))</f>
        <v> </v>
      </c>
      <c r="J4895" s="26" t="str">
        <f>IF(OR(E4895="",E4895="!!!",F4895="NEW"),"",COUNTBLANK(OFFSET(A$1,,,SUMPRODUCT(MAX(ROW(E$2:E4895)*(E4895=E$2:E4895)))))-COUNTBLANK(OFFSET(A$1,,,SUMPRODUCT(MAX(ROW(E$1:E4894)*(E2=E$1:E4894))))))</f>
        <v> </v>
      </c>
      <c r="K4895" s="26" t="str">
        <f>IF(OR(E4895="",E4895="!!!",F4895="NEW"),"",INDEX(J$1:J4894,SUMPRODUCT(MAX(ROW(E$1:E4894)*(E4895=E$1:E4894)))))</f>
        <v> </v>
      </c>
      <c r="L4895" s="27"/>
    </row>
    <row r="4896" spans="1:12">
      <c r="A4896" s="20" t="s">
        <v>2784</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1009</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1099</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2785</v>
      </c>
      <c r="B4899" s="21" t="s">
        <v>1062</v>
      </c>
      <c r="C4899" s="21" t="s">
        <v>1021</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2786</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1052</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2787</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t="s">
        <v>1009</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2788</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1322</v>
      </c>
      <c r="B4905" s="21" t="s">
        <v>1050</v>
      </c>
      <c r="C4905" s="21" t="s">
        <v>1035</v>
      </c>
      <c r="D4905" s="21" t="s">
        <v>985</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1921</v>
      </c>
      <c r="B4906" s="21" t="s">
        <v>1054</v>
      </c>
      <c r="C4906" s="21" t="s">
        <v>1092</v>
      </c>
      <c r="D4906" s="21" t="s">
        <v>985</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1093</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t="s">
        <v>1047</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2106</v>
      </c>
      <c r="B4909" s="21" t="s">
        <v>1050</v>
      </c>
      <c r="C4909" s="21" t="s">
        <v>1040</v>
      </c>
      <c r="D4909" s="21" t="s">
        <v>985</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1109</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1262</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t="s">
        <v>1276</v>
      </c>
      <c r="B4912" s="21" t="s">
        <v>1062</v>
      </c>
      <c r="C4912" s="21" t="s">
        <v>1040</v>
      </c>
      <c r="D4912" s="21" t="s">
        <v>985</v>
      </c>
      <c r="E4912" s="22">
        <f>IF(D4912="?OLD","!!!","")</f>
        <v/>
      </c>
      <c r="F4912" s="23" t="str">
        <f>IF(OR(E4912="",E4912="!!!"),"",IF(NOT(ISNA(VLOOKUP(E4912,E$1:E4911,1,FALSE()))),"OLD",IF(AND(E4912&lt;&gt;"",E4912&lt;&gt;"!!!"),"NEW","")))</f>
        <v> </v>
      </c>
      <c r="G4912" s="24" t="str">
        <f>IF(OR(E4912="",E4912="!!!"),"",IF(OR(J4912=0,AND(J4912=1,K4912=1),AND(J4912=1,I4912="SBJ"),AND(J4912=1,I4912=0)),"?IN_FOCUS",IF(J4912&lt;=2,"?ACTIVATED",IF(J4912&lt;&gt;"","?FAMILIAR",IF(F4912="NEW",IF(ISNA(VLOOKUP(E4912,#REF!,1,FALSE())),"?TYPE_IDENTIFIABLE","?REFERENTIAL"),"_")))))</f>
        <v> </v>
      </c>
      <c r="H4912" s="25" t="str">
        <f>IF(J4912&lt;&gt;1,"",IF(I4912="SBJ","CB","?"))</f>
        <v> </v>
      </c>
      <c r="I4912" s="26" t="str">
        <f>IF(OR(E4912="",E4912="!!!",F4912="NEW"),"",INDEX(B4911:B$2,-1+SUMPRODUCT(MAX(ROW(E4911:E$2)*(E4912=E4911:E$2)))))</f>
        <v> </v>
      </c>
      <c r="J4912" s="26" t="str">
        <f>IF(OR(E4912="",E4912="!!!",F4912="NEW"),"",COUNTBLANK(OFFSET(A$1,,,SUMPRODUCT(MAX(ROW(E$2:E4912)*(E4912=E$2:E4912)))))-COUNTBLANK(OFFSET(A$1,,,SUMPRODUCT(MAX(ROW(E$1:E4911)*(E2=E$1:E4911))))))</f>
        <v> </v>
      </c>
      <c r="K4912" s="26" t="str">
        <f>IF(OR(E4912="",E4912="!!!",F4912="NEW"),"",INDEX(J$1:J4911,SUMPRODUCT(MAX(ROW(E$1:E4911)*(E4912=E$1:E4911)))))</f>
        <v> </v>
      </c>
      <c r="L4912" s="27"/>
    </row>
    <row r="4913" spans="1:12">
      <c r="A4913" s="20" t="s">
        <v>1836</v>
      </c>
      <c r="B4913" s="21" t="s">
        <v>1465</v>
      </c>
      <c r="C4913" s="21" t="s">
        <v>984</v>
      </c>
      <c r="D4913" s="21" t="s">
        <v>985</v>
      </c>
      <c r="E4913" s="22">
        <f>IF(D4913="?OLD","!!!","")</f>
        <v/>
      </c>
      <c r="F4913" s="23" t="str">
        <f>IF(OR(E4913="",E4913="!!!"),"",IF(NOT(ISNA(VLOOKUP(E4913,E$1:E4912,1,FALSE()))),"OLD",IF(AND(E4913&lt;&gt;"",E4913&lt;&gt;"!!!"),"NEW","")))</f>
        <v> </v>
      </c>
      <c r="G4913" s="24" t="str">
        <f>IF(OR(E4913="",E4913="!!!"),"",IF(OR(J4913=0,AND(J4913=1,K4913=1),AND(J4913=1,I4913="SBJ"),AND(J4913=1,I4913=0)),"?IN_FOCUS",IF(J4913&lt;=2,"?ACTIVATED",IF(J4913&lt;&gt;"","?FAMILIAR",IF(F4913="NEW",IF(ISNA(VLOOKUP(E4913,#REF!,1,FALSE())),"?TYPE_IDENTIFIABLE","?REFERENTIAL"),"_")))))</f>
        <v> </v>
      </c>
      <c r="H4913" s="25" t="str">
        <f>IF(J4913&lt;&gt;1,"",IF(I4913="SBJ","CB","?"))</f>
        <v> </v>
      </c>
      <c r="I4913" s="26" t="str">
        <f>IF(OR(E4913="",E4913="!!!",F4913="NEW"),"",INDEX(B4912:B$2,-1+SUMPRODUCT(MAX(ROW(E4912:E$2)*(E4913=E4912:E$2)))))</f>
        <v> </v>
      </c>
      <c r="J4913" s="26" t="str">
        <f>IF(OR(E4913="",E4913="!!!",F4913="NEW"),"",COUNTBLANK(OFFSET(A$1,,,SUMPRODUCT(MAX(ROW(E$2:E4913)*(E4913=E$2:E4913)))))-COUNTBLANK(OFFSET(A$1,,,SUMPRODUCT(MAX(ROW(E$1:E4912)*(E2=E$1:E4912))))))</f>
        <v> </v>
      </c>
      <c r="K4913" s="26" t="str">
        <f>IF(OR(E4913="",E4913="!!!",F4913="NEW"),"",INDEX(J$1:J4912,SUMPRODUCT(MAX(ROW(E$1:E4912)*(E4913=E$1:E4912)))))</f>
        <v> </v>
      </c>
      <c r="L4913" s="27"/>
    </row>
    <row r="4914" spans="1:12">
      <c r="A4914" s="20" t="s">
        <v>2789</v>
      </c>
      <c r="E4914" s="22">
        <f>IF(D4914="?OLD","!!!","")</f>
        <v/>
      </c>
      <c r="F4914" s="23" t="str">
        <f>IF(OR(E4914="",E4914="!!!"),"",IF(NOT(ISNA(VLOOKUP(E4914,E$1:E4913,1,FALSE()))),"OLD",IF(AND(E4914&lt;&gt;"",E4914&lt;&gt;"!!!"),"NEW","")))</f>
        <v> </v>
      </c>
      <c r="G4914" s="24" t="str">
        <f>IF(OR(E4914="",E4914="!!!"),"",IF(OR(J4914=0,AND(J4914=1,K4914=1),AND(J4914=1,I4914="SBJ"),AND(J4914=1,I4914=0)),"?IN_FOCUS",IF(J4914&lt;=2,"?ACTIVATED",IF(J4914&lt;&gt;"","?FAMILIAR",IF(F4914="NEW",IF(ISNA(VLOOKUP(E4914,#REF!,1,FALSE())),"?TYPE_IDENTIFIABLE","?REFERENTIAL"),"_")))))</f>
        <v> </v>
      </c>
      <c r="H4914" s="25" t="str">
        <f>IF(J4914&lt;&gt;1,"",IF(I4914="SBJ","CB","?"))</f>
        <v> </v>
      </c>
      <c r="I4914" s="26" t="str">
        <f>IF(OR(E4914="",E4914="!!!",F4914="NEW"),"",INDEX(B4913:B$2,-1+SUMPRODUCT(MAX(ROW(E4913:E$2)*(E4914=E4913:E$2)))))</f>
        <v> </v>
      </c>
      <c r="J4914" s="26" t="str">
        <f>IF(OR(E4914="",E4914="!!!",F4914="NEW"),"",COUNTBLANK(OFFSET(A$1,,,SUMPRODUCT(MAX(ROW(E$2:E4914)*(E4914=E$2:E4914)))))-COUNTBLANK(OFFSET(A$1,,,SUMPRODUCT(MAX(ROW(E$1:E4913)*(E2=E$1:E4913))))))</f>
        <v> </v>
      </c>
      <c r="K4914" s="26" t="str">
        <f>IF(OR(E4914="",E4914="!!!",F4914="NEW"),"",INDEX(J$1:J4913,SUMPRODUCT(MAX(ROW(E$1:E4913)*(E4914=E$1:E4913)))))</f>
        <v> </v>
      </c>
      <c r="L4914" s="27"/>
    </row>
    <row r="4915" spans="1:12">
      <c r="A4915" s="20" t="s">
        <v>1418</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1032</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row>
    <row r="4918" spans="1:12">
      <c r="A4918" s="20" t="s">
        <v>2790</v>
      </c>
    </row>
    <row r="4919" spans="1:12">
      <c r="A4919" s="20" t="s">
        <v>982</v>
      </c>
      <c r="B4919" s="21" t="s">
        <v>983</v>
      </c>
      <c r="C4919" s="21" t="s">
        <v>984</v>
      </c>
      <c r="D4919" s="21" t="s">
        <v>985</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t="s">
        <v>2791</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2792</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t="s">
        <v>961</v>
      </c>
      <c r="B4922" s="21" t="s">
        <v>991</v>
      </c>
      <c r="C4922" s="21" t="s">
        <v>1006</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1009</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1045</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t="s">
        <v>2793</v>
      </c>
      <c r="E4925" s="22">
        <f>IF(D4925="?OLD","!!!","")</f>
        <v/>
      </c>
      <c r="F4925" s="23" t="str">
        <f>IF(OR(E4925="",E4925="!!!"),"",IF(NOT(ISNA(VLOOKUP(E4925,E$1:E4924,1,FALSE()))),"OLD",IF(AND(E4925&lt;&gt;"",E4925&lt;&gt;"!!!"),"NEW","")))</f>
        <v> </v>
      </c>
      <c r="G4925" s="24" t="str">
        <f>IF(OR(E4925="",E4925="!!!"),"",IF(OR(J4925=0,AND(J4925=1,K4925=1),AND(J4925=1,I4925="SBJ"),AND(J4925=1,I4925=0)),"?IN_FOCUS",IF(J4925&lt;=2,"?ACTIVATED",IF(J4925&lt;&gt;"","?FAMILIAR",IF(F4925="NEW",IF(ISNA(VLOOKUP(E4925,#REF!,1,FALSE())),"?TYPE_IDENTIFIABLE","?REFERENTIAL"),"_")))))</f>
        <v> </v>
      </c>
      <c r="H4925" s="25" t="str">
        <f>IF(J4925&lt;&gt;1,"",IF(I4925="SBJ","CB","?"))</f>
        <v> </v>
      </c>
      <c r="I4925" s="26" t="str">
        <f>IF(OR(E4925="",E4925="!!!",F4925="NEW"),"",INDEX(B4924:B$2,-1+SUMPRODUCT(MAX(ROW(E4924:E$2)*(E4925=E4924:E$2)))))</f>
        <v> </v>
      </c>
      <c r="J4925" s="26" t="str">
        <f>IF(OR(E4925="",E4925="!!!",F4925="NEW"),"",COUNTBLANK(OFFSET(A$1,,,SUMPRODUCT(MAX(ROW(E$2:E4925)*(E4925=E$2:E4925)))))-COUNTBLANK(OFFSET(A$1,,,SUMPRODUCT(MAX(ROW(E$1:E4924)*(E2=E$1:E4924))))))</f>
        <v> </v>
      </c>
      <c r="K4925" s="26" t="str">
        <f>IF(OR(E4925="",E4925="!!!",F4925="NEW"),"",INDEX(J$1:J4924,SUMPRODUCT(MAX(ROW(E$1:E4924)*(E4925=E$1:E4924)))))</f>
        <v> </v>
      </c>
      <c r="L4925" s="27"/>
    </row>
    <row r="4926" spans="1:12">
      <c r="A4926" s="20" t="s">
        <v>989</v>
      </c>
      <c r="E4926" s="22">
        <f>IF(D4926="?OLD","!!!","")</f>
        <v/>
      </c>
      <c r="F4926" s="23" t="str">
        <f>IF(OR(E4926="",E4926="!!!"),"",IF(NOT(ISNA(VLOOKUP(E4926,E$1:E4925,1,FALSE()))),"OLD",IF(AND(E4926&lt;&gt;"",E4926&lt;&gt;"!!!"),"NEW","")))</f>
        <v> </v>
      </c>
      <c r="G4926" s="24" t="str">
        <f>IF(OR(E4926="",E4926="!!!"),"",IF(OR(J4926=0,AND(J4926=1,K4926=1),AND(J4926=1,I4926="SBJ"),AND(J4926=1,I4926=0)),"?IN_FOCUS",IF(J4926&lt;=2,"?ACTIVATED",IF(J4926&lt;&gt;"","?FAMILIAR",IF(F4926="NEW",IF(ISNA(VLOOKUP(E4926,#REF!,1,FALSE())),"?TYPE_IDENTIFIABLE","?REFERENTIAL"),"_")))))</f>
        <v> </v>
      </c>
      <c r="H4926" s="25" t="str">
        <f>IF(J4926&lt;&gt;1,"",IF(I4926="SBJ","CB","?"))</f>
        <v> </v>
      </c>
      <c r="I4926" s="26" t="str">
        <f>IF(OR(E4926="",E4926="!!!",F4926="NEW"),"",INDEX(B4925:B$2,-1+SUMPRODUCT(MAX(ROW(E4925:E$2)*(E4926=E4925:E$2)))))</f>
        <v> </v>
      </c>
      <c r="J4926" s="26" t="str">
        <f>IF(OR(E4926="",E4926="!!!",F4926="NEW"),"",COUNTBLANK(OFFSET(A$1,,,SUMPRODUCT(MAX(ROW(E$2:E4926)*(E4926=E$2:E4926)))))-COUNTBLANK(OFFSET(A$1,,,SUMPRODUCT(MAX(ROW(E$1:E4925)*(E2=E$1:E4925))))))</f>
        <v> </v>
      </c>
      <c r="K4926" s="26" t="str">
        <f>IF(OR(E4926="",E4926="!!!",F4926="NEW"),"",INDEX(J$1:J4925,SUMPRODUCT(MAX(ROW(E$1:E4925)*(E4926=E$1:E4925)))))</f>
        <v> </v>
      </c>
      <c r="L4926" s="27"/>
    </row>
    <row r="4927" spans="1:12">
      <c r="A4927" s="20" t="s">
        <v>1028</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2794</v>
      </c>
      <c r="B4928" s="21" t="s">
        <v>1037</v>
      </c>
      <c r="C4928" s="21" t="s">
        <v>1040</v>
      </c>
      <c r="D4928" s="21" t="s">
        <v>985</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1009</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2795</v>
      </c>
      <c r="B4930" s="21" t="s">
        <v>1223</v>
      </c>
      <c r="C4930" s="21" t="s">
        <v>1001</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2796</v>
      </c>
      <c r="B4931" s="21" t="s">
        <v>1020</v>
      </c>
      <c r="C4931" s="21" t="s">
        <v>1021</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1025</v>
      </c>
      <c r="B4932" s="21" t="s">
        <v>1062</v>
      </c>
      <c r="C4932" s="21" t="s">
        <v>1001</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2775</v>
      </c>
      <c r="B4933" s="21" t="s">
        <v>1050</v>
      </c>
      <c r="C4933" s="21" t="s">
        <v>1021</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2776</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1009</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1390</v>
      </c>
      <c r="B4936" s="21" t="s">
        <v>1223</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2797</v>
      </c>
      <c r="B4937" s="21" t="s">
        <v>1020</v>
      </c>
      <c r="C4937" s="21" t="s">
        <v>1021</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1831</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1002</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2798</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t="s">
        <v>1009</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285</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2799</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t="s">
        <v>1865</v>
      </c>
      <c r="B4944" s="21" t="s">
        <v>2055</v>
      </c>
      <c r="C4944" s="21" t="s">
        <v>1035</v>
      </c>
      <c r="E4944" s="22">
        <f>IF(D4944="?OLD","!!!","")</f>
        <v/>
      </c>
      <c r="F4944" s="23" t="str">
        <f>IF(OR(E4944="",E4944="!!!"),"",IF(NOT(ISNA(VLOOKUP(E4944,E$1:E4943,1,FALSE()))),"OLD",IF(AND(E4944&lt;&gt;"",E4944&lt;&gt;"!!!"),"NEW","")))</f>
        <v> </v>
      </c>
      <c r="G4944" s="24" t="str">
        <f>IF(OR(E4944="",E4944="!!!"),"",IF(OR(J4944=0,AND(J4944=1,K4944=1),AND(J4944=1,I4944="SBJ"),AND(J4944=1,I4944=0)),"?IN_FOCUS",IF(J4944&lt;=2,"?ACTIVATED",IF(J4944&lt;&gt;"","?FAMILIAR",IF(F4944="NEW",IF(ISNA(VLOOKUP(E4944,#REF!,1,FALSE())),"?TYPE_IDENTIFIABLE","?REFERENTIAL"),"_")))))</f>
        <v> </v>
      </c>
      <c r="H4944" s="25" t="str">
        <f>IF(J4944&lt;&gt;1,"",IF(I4944="SBJ","CB","?"))</f>
        <v> </v>
      </c>
      <c r="I4944" s="26" t="str">
        <f>IF(OR(E4944="",E4944="!!!",F4944="NEW"),"",INDEX(B4943:B$2,-1+SUMPRODUCT(MAX(ROW(E4943:E$2)*(E4944=E4943:E$2)))))</f>
        <v> </v>
      </c>
      <c r="J4944" s="26" t="str">
        <f>IF(OR(E4944="",E4944="!!!",F4944="NEW"),"",COUNTBLANK(OFFSET(A$1,,,SUMPRODUCT(MAX(ROW(E$2:E4944)*(E4944=E$2:E4944)))))-COUNTBLANK(OFFSET(A$1,,,SUMPRODUCT(MAX(ROW(E$1:E4943)*(E2=E$1:E4943))))))</f>
        <v> </v>
      </c>
      <c r="K4944" s="26" t="str">
        <f>IF(OR(E4944="",E4944="!!!",F4944="NEW"),"",INDEX(J$1:J4943,SUMPRODUCT(MAX(ROW(E$1:E4943)*(E4944=E$1:E4943)))))</f>
        <v> </v>
      </c>
      <c r="L4944" s="27"/>
    </row>
    <row r="4945" spans="1:12">
      <c r="A4945" s="20" t="s">
        <v>1009</v>
      </c>
      <c r="E4945" s="22">
        <f>IF(D4945="?OLD","!!!","")</f>
        <v/>
      </c>
      <c r="F4945" s="23" t="str">
        <f>IF(OR(E4945="",E4945="!!!"),"",IF(NOT(ISNA(VLOOKUP(E4945,E$1:E4944,1,FALSE()))),"OLD",IF(AND(E4945&lt;&gt;"",E4945&lt;&gt;"!!!"),"NEW","")))</f>
        <v> </v>
      </c>
      <c r="G4945" s="24" t="str">
        <f>IF(OR(E4945="",E4945="!!!"),"",IF(OR(J4945=0,AND(J4945=1,K4945=1),AND(J4945=1,I4945="SBJ"),AND(J4945=1,I4945=0)),"?IN_FOCUS",IF(J4945&lt;=2,"?ACTIVATED",IF(J4945&lt;&gt;"","?FAMILIAR",IF(F4945="NEW",IF(ISNA(VLOOKUP(E4945,#REF!,1,FALSE())),"?TYPE_IDENTIFIABLE","?REFERENTIAL"),"_")))))</f>
        <v> </v>
      </c>
      <c r="H4945" s="25" t="str">
        <f>IF(J4945&lt;&gt;1,"",IF(I4945="SBJ","CB","?"))</f>
        <v> </v>
      </c>
      <c r="I4945" s="26" t="str">
        <f>IF(OR(E4945="",E4945="!!!",F4945="NEW"),"",INDEX(B4944:B$2,-1+SUMPRODUCT(MAX(ROW(E4944:E$2)*(E4945=E4944:E$2)))))</f>
        <v> </v>
      </c>
      <c r="J4945" s="26" t="str">
        <f>IF(OR(E4945="",E4945="!!!",F4945="NEW"),"",COUNTBLANK(OFFSET(A$1,,,SUMPRODUCT(MAX(ROW(E$2:E4945)*(E4945=E$2:E4945)))))-COUNTBLANK(OFFSET(A$1,,,SUMPRODUCT(MAX(ROW(E$1:E4944)*(E2=E$1:E4944))))))</f>
        <v> </v>
      </c>
      <c r="K4945" s="26" t="str">
        <f>IF(OR(E4945="",E4945="!!!",F4945="NEW"),"",INDEX(J$1:J4944,SUMPRODUCT(MAX(ROW(E$1:E4944)*(E4945=E$1:E4944)))))</f>
        <v> </v>
      </c>
      <c r="L4945" s="27"/>
    </row>
    <row r="4946" spans="1:12">
      <c r="A4946" s="20" t="s">
        <v>2800</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1011</v>
      </c>
      <c r="B4947" s="21" t="s">
        <v>2801</v>
      </c>
      <c r="C4947" s="21" t="s">
        <v>984</v>
      </c>
      <c r="D4947" s="21" t="s">
        <v>985</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2802</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1038</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1276</v>
      </c>
      <c r="B4950" s="21" t="s">
        <v>2285</v>
      </c>
      <c r="C4950" s="21" t="s">
        <v>1040</v>
      </c>
      <c r="D4950" s="21" t="s">
        <v>985</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2803</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1831</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1009</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t="s">
        <v>1152</v>
      </c>
      <c r="E4954" s="22">
        <f>IF(D4954="?OLD","!!!","")</f>
        <v/>
      </c>
      <c r="F4954" s="23" t="str">
        <f>IF(OR(E4954="",E4954="!!!"),"",IF(NOT(ISNA(VLOOKUP(E4954,E$1:E4953,1,FALSE()))),"OLD",IF(AND(E4954&lt;&gt;"",E4954&lt;&gt;"!!!"),"NEW","")))</f>
        <v> </v>
      </c>
      <c r="G4954" s="24" t="str">
        <f>IF(OR(E4954="",E4954="!!!"),"",IF(OR(J4954=0,AND(J4954=1,K4954=1),AND(J4954=1,I4954="SBJ"),AND(J4954=1,I4954=0)),"?IN_FOCUS",IF(J4954&lt;=2,"?ACTIVATED",IF(J4954&lt;&gt;"","?FAMILIAR",IF(F4954="NEW",IF(ISNA(VLOOKUP(E4954,#REF!,1,FALSE())),"?TYPE_IDENTIFIABLE","?REFERENTIAL"),"_")))))</f>
        <v> </v>
      </c>
      <c r="H4954" s="25" t="str">
        <f>IF(J4954&lt;&gt;1,"",IF(I4954="SBJ","CB","?"))</f>
        <v> </v>
      </c>
      <c r="I4954" s="26" t="str">
        <f>IF(OR(E4954="",E4954="!!!",F4954="NEW"),"",INDEX(B4953:B$2,-1+SUMPRODUCT(MAX(ROW(E4953:E$2)*(E4954=E4953:E$2)))))</f>
        <v> </v>
      </c>
      <c r="J4954" s="26" t="str">
        <f>IF(OR(E4954="",E4954="!!!",F4954="NEW"),"",COUNTBLANK(OFFSET(A$1,,,SUMPRODUCT(MAX(ROW(E$2:E4954)*(E4954=E$2:E4954)))))-COUNTBLANK(OFFSET(A$1,,,SUMPRODUCT(MAX(ROW(E$1:E4953)*(E2=E$1:E4953))))))</f>
        <v> </v>
      </c>
      <c r="K4954" s="26" t="str">
        <f>IF(OR(E4954="",E4954="!!!",F4954="NEW"),"",INDEX(J$1:J4953,SUMPRODUCT(MAX(ROW(E$1:E4953)*(E4954=E$1:E4953)))))</f>
        <v> </v>
      </c>
      <c r="L4954" s="27"/>
    </row>
    <row r="4955" spans="1:12">
      <c r="A4955" s="20" t="s">
        <v>1025</v>
      </c>
      <c r="E4955" s="22">
        <f>IF(D4955="?OLD","!!!","")</f>
        <v/>
      </c>
      <c r="F4955" s="23" t="str">
        <f>IF(OR(E4955="",E4955="!!!"),"",IF(NOT(ISNA(VLOOKUP(E4955,E$1:E4954,1,FALSE()))),"OLD",IF(AND(E4955&lt;&gt;"",E4955&lt;&gt;"!!!"),"NEW","")))</f>
        <v> </v>
      </c>
      <c r="G4955" s="24" t="str">
        <f>IF(OR(E4955="",E4955="!!!"),"",IF(OR(J4955=0,AND(J4955=1,K4955=1),AND(J4955=1,I4955="SBJ"),AND(J4955=1,I4955=0)),"?IN_FOCUS",IF(J4955&lt;=2,"?ACTIVATED",IF(J4955&lt;&gt;"","?FAMILIAR",IF(F4955="NEW",IF(ISNA(VLOOKUP(E4955,#REF!,1,FALSE())),"?TYPE_IDENTIFIABLE","?REFERENTIAL"),"_")))))</f>
        <v> </v>
      </c>
      <c r="H4955" s="25" t="str">
        <f>IF(J4955&lt;&gt;1,"",IF(I4955="SBJ","CB","?"))</f>
        <v> </v>
      </c>
      <c r="I4955" s="26" t="str">
        <f>IF(OR(E4955="",E4955="!!!",F4955="NEW"),"",INDEX(B4954:B$2,-1+SUMPRODUCT(MAX(ROW(E4954:E$2)*(E4955=E4954:E$2)))))</f>
        <v> </v>
      </c>
      <c r="J4955" s="26" t="str">
        <f>IF(OR(E4955="",E4955="!!!",F4955="NEW"),"",COUNTBLANK(OFFSET(A$1,,,SUMPRODUCT(MAX(ROW(E$2:E4955)*(E4955=E$2:E4955)))))-COUNTBLANK(OFFSET(A$1,,,SUMPRODUCT(MAX(ROW(E$1:E4954)*(E2=E$1:E4954))))))</f>
        <v> </v>
      </c>
      <c r="K4955" s="26" t="str">
        <f>IF(OR(E4955="",E4955="!!!",F4955="NEW"),"",INDEX(J$1:J4954,SUMPRODUCT(MAX(ROW(E$1:E4954)*(E4955=E$1:E4954)))))</f>
        <v> </v>
      </c>
      <c r="L4955" s="27"/>
    </row>
    <row r="4956" spans="1:12">
      <c r="A4956" s="20" t="s">
        <v>2804</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1216</v>
      </c>
      <c r="E4957" s="22">
        <f>IF(D4957="?OLD","!!!","")</f>
        <v/>
      </c>
      <c r="F4957" s="23" t="str">
        <f>IF(OR(E4957="",E4957="!!!"),"",IF(NOT(ISNA(VLOOKUP(E4957,E$1:E4956,1,FALSE()))),"OLD",IF(AND(E4957&lt;&gt;"",E4957&lt;&gt;"!!!"),"NEW","")))</f>
        <v> </v>
      </c>
      <c r="G4957" s="24" t="str">
        <f>IF(OR(E4957="",E4957="!!!"),"",IF(OR(J4957=0,AND(J4957=1,K4957=1),AND(J4957=1,I4957="SBJ"),AND(J4957=1,I4957=0)),"?IN_FOCUS",IF(J4957&lt;=2,"?ACTIVATED",IF(J4957&lt;&gt;"","?FAMILIAR",IF(F4957="NEW",IF(ISNA(VLOOKUP(E4957,#REF!,1,FALSE())),"?TYPE_IDENTIFIABLE","?REFERENTIAL"),"_")))))</f>
        <v> </v>
      </c>
      <c r="H4957" s="25" t="str">
        <f>IF(J4957&lt;&gt;1,"",IF(I4957="SBJ","CB","?"))</f>
        <v> </v>
      </c>
      <c r="I4957" s="26" t="str">
        <f>IF(OR(E4957="",E4957="!!!",F4957="NEW"),"",INDEX(B4956:B$2,-1+SUMPRODUCT(MAX(ROW(E4956:E$2)*(E4957=E4956:E$2)))))</f>
        <v> </v>
      </c>
      <c r="J4957" s="26" t="str">
        <f>IF(OR(E4957="",E4957="!!!",F4957="NEW"),"",COUNTBLANK(OFFSET(A$1,,,SUMPRODUCT(MAX(ROW(E$2:E4957)*(E4957=E$2:E4957)))))-COUNTBLANK(OFFSET(A$1,,,SUMPRODUCT(MAX(ROW(E$1:E4956)*(E2=E$1:E4956))))))</f>
        <v> </v>
      </c>
      <c r="K4957" s="26" t="str">
        <f>IF(OR(E4957="",E4957="!!!",F4957="NEW"),"",INDEX(J$1:J4956,SUMPRODUCT(MAX(ROW(E$1:E4956)*(E4957=E$1:E4956)))))</f>
        <v> </v>
      </c>
      <c r="L4957" s="27"/>
    </row>
    <row r="4958" spans="1:12">
      <c r="A4958" s="20"/>
    </row>
    <row r="4959" spans="1:12">
      <c r="A4959" s="20" t="s">
        <v>2805</v>
      </c>
    </row>
    <row r="4960" spans="1:12">
      <c r="A4960" s="20" t="s">
        <v>1118</v>
      </c>
      <c r="B4960" s="21" t="s">
        <v>983</v>
      </c>
      <c r="C4960" s="21" t="s">
        <v>984</v>
      </c>
      <c r="D4960" s="21" t="s">
        <v>985</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t="s">
        <v>1227</v>
      </c>
      <c r="E4961" s="22">
        <f>IF(D4961="?OLD","!!!","")</f>
        <v/>
      </c>
      <c r="F4961" s="23" t="str">
        <f>IF(OR(E4961="",E4961="!!!"),"",IF(NOT(ISNA(VLOOKUP(E4961,E$1:E4960,1,FALSE()))),"OLD",IF(AND(E4961&lt;&gt;"",E4961&lt;&gt;"!!!"),"NEW","")))</f>
        <v> </v>
      </c>
      <c r="G4961" s="24" t="str">
        <f>IF(OR(E4961="",E4961="!!!"),"",IF(OR(J4961=0,AND(J4961=1,K4961=1),AND(J4961=1,I4961="SBJ"),AND(J4961=1,I4961=0)),"?IN_FOCUS",IF(J4961&lt;=2,"?ACTIVATED",IF(J4961&lt;&gt;"","?FAMILIAR",IF(F4961="NEW",IF(ISNA(VLOOKUP(E4961,#REF!,1,FALSE())),"?TYPE_IDENTIFIABLE","?REFERENTIAL"),"_")))))</f>
        <v> </v>
      </c>
      <c r="H4961" s="25" t="str">
        <f>IF(J4961&lt;&gt;1,"",IF(I4961="SBJ","CB","?"))</f>
        <v> </v>
      </c>
      <c r="I4961" s="26" t="str">
        <f>IF(OR(E4961="",E4961="!!!",F4961="NEW"),"",INDEX(B4960:B$2,-1+SUMPRODUCT(MAX(ROW(E4960:E$2)*(E4961=E4960:E$2)))))</f>
        <v> </v>
      </c>
      <c r="J4961" s="26" t="str">
        <f>IF(OR(E4961="",E4961="!!!",F4961="NEW"),"",COUNTBLANK(OFFSET(A$1,,,SUMPRODUCT(MAX(ROW(E$2:E4961)*(E4961=E$2:E4961)))))-COUNTBLANK(OFFSET(A$1,,,SUMPRODUCT(MAX(ROW(E$1:E4960)*(E2=E$1:E4960))))))</f>
        <v> </v>
      </c>
      <c r="K4961" s="26" t="str">
        <f>IF(OR(E4961="",E4961="!!!",F4961="NEW"),"",INDEX(J$1:J4960,SUMPRODUCT(MAX(ROW(E$1:E4960)*(E4961=E$1:E4960)))))</f>
        <v> </v>
      </c>
      <c r="L4961" s="27"/>
    </row>
    <row r="4962" spans="1:12">
      <c r="A4962" s="20" t="s">
        <v>1002</v>
      </c>
      <c r="B4962" s="21" t="s">
        <v>1176</v>
      </c>
      <c r="C4962" s="21" t="s">
        <v>984</v>
      </c>
      <c r="D4962" s="21" t="s">
        <v>985</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2806</v>
      </c>
      <c r="B4963" s="21" t="s">
        <v>1176</v>
      </c>
      <c r="C4963" s="21" t="s">
        <v>984</v>
      </c>
      <c r="D4963" s="21" t="s">
        <v>985</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1058</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2807</v>
      </c>
      <c r="B4965" s="21" t="s">
        <v>991</v>
      </c>
      <c r="C4965" s="21" t="s">
        <v>992</v>
      </c>
      <c r="D4965" s="21" t="s">
        <v>985</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1009</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1329</v>
      </c>
      <c r="B4967" s="21" t="s">
        <v>1037</v>
      </c>
      <c r="C4967" s="21" t="s">
        <v>992</v>
      </c>
      <c r="D4967" s="21" t="s">
        <v>985</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1009</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1052</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t="s">
        <v>2808</v>
      </c>
      <c r="E4970" s="22">
        <f>IF(D4970="?OLD","!!!","")</f>
        <v/>
      </c>
      <c r="F4970" s="23" t="str">
        <f>IF(OR(E4970="",E4970="!!!"),"",IF(NOT(ISNA(VLOOKUP(E4970,E$1:E4969,1,FALSE()))),"OLD",IF(AND(E4970&lt;&gt;"",E4970&lt;&gt;"!!!"),"NEW","")))</f>
        <v> </v>
      </c>
      <c r="G4970" s="24" t="str">
        <f>IF(OR(E4970="",E4970="!!!"),"",IF(OR(J4970=0,AND(J4970=1,K4970=1),AND(J4970=1,I4970="SBJ"),AND(J4970=1,I4970=0)),"?IN_FOCUS",IF(J4970&lt;=2,"?ACTIVATED",IF(J4970&lt;&gt;"","?FAMILIAR",IF(F4970="NEW",IF(ISNA(VLOOKUP(E4970,#REF!,1,FALSE())),"?TYPE_IDENTIFIABLE","?REFERENTIAL"),"_")))))</f>
        <v> </v>
      </c>
      <c r="H4970" s="25" t="str">
        <f>IF(J4970&lt;&gt;1,"",IF(I4970="SBJ","CB","?"))</f>
        <v> </v>
      </c>
      <c r="I4970" s="26" t="str">
        <f>IF(OR(E4970="",E4970="!!!",F4970="NEW"),"",INDEX(B4969:B$2,-1+SUMPRODUCT(MAX(ROW(E4969:E$2)*(E4970=E4969:E$2)))))</f>
        <v> </v>
      </c>
      <c r="J4970" s="26" t="str">
        <f>IF(OR(E4970="",E4970="!!!",F4970="NEW"),"",COUNTBLANK(OFFSET(A$1,,,SUMPRODUCT(MAX(ROW(E$2:E4970)*(E4970=E$2:E4970)))))-COUNTBLANK(OFFSET(A$1,,,SUMPRODUCT(MAX(ROW(E$1:E4969)*(E2=E$1:E4969))))))</f>
        <v> </v>
      </c>
      <c r="K4970" s="26" t="str">
        <f>IF(OR(E4970="",E4970="!!!",F4970="NEW"),"",INDEX(J$1:J4969,SUMPRODUCT(MAX(ROW(E$1:E4969)*(E4970=E$1:E4969)))))</f>
        <v> </v>
      </c>
      <c r="L4970" s="27"/>
    </row>
    <row r="4971" spans="1:12">
      <c r="A4971" s="20" t="s">
        <v>1002</v>
      </c>
      <c r="B4971" s="21" t="s">
        <v>1176</v>
      </c>
      <c r="C4971" s="21" t="s">
        <v>984</v>
      </c>
      <c r="D4971" s="21" t="s">
        <v>985</v>
      </c>
      <c r="E4971" s="22">
        <f>IF(D4971="?OLD","!!!","")</f>
        <v/>
      </c>
      <c r="F4971" s="23" t="str">
        <f>IF(OR(E4971="",E4971="!!!"),"",IF(NOT(ISNA(VLOOKUP(E4971,E$1:E4970,1,FALSE()))),"OLD",IF(AND(E4971&lt;&gt;"",E4971&lt;&gt;"!!!"),"NEW","")))</f>
        <v> </v>
      </c>
      <c r="G4971" s="24" t="str">
        <f>IF(OR(E4971="",E4971="!!!"),"",IF(OR(J4971=0,AND(J4971=1,K4971=1),AND(J4971=1,I4971="SBJ"),AND(J4971=1,I4971=0)),"?IN_FOCUS",IF(J4971&lt;=2,"?ACTIVATED",IF(J4971&lt;&gt;"","?FAMILIAR",IF(F4971="NEW",IF(ISNA(VLOOKUP(E4971,#REF!,1,FALSE())),"?TYPE_IDENTIFIABLE","?REFERENTIAL"),"_")))))</f>
        <v> </v>
      </c>
      <c r="H4971" s="25" t="str">
        <f>IF(J4971&lt;&gt;1,"",IF(I4971="SBJ","CB","?"))</f>
        <v> </v>
      </c>
      <c r="I4971" s="26" t="str">
        <f>IF(OR(E4971="",E4971="!!!",F4971="NEW"),"",INDEX(B4970:B$2,-1+SUMPRODUCT(MAX(ROW(E4970:E$2)*(E4971=E4970:E$2)))))</f>
        <v> </v>
      </c>
      <c r="J4971" s="26" t="str">
        <f>IF(OR(E4971="",E4971="!!!",F4971="NEW"),"",COUNTBLANK(OFFSET(A$1,,,SUMPRODUCT(MAX(ROW(E$2:E4971)*(E4971=E$2:E4971)))))-COUNTBLANK(OFFSET(A$1,,,SUMPRODUCT(MAX(ROW(E$1:E4970)*(E2=E$1:E4970))))))</f>
        <v> </v>
      </c>
      <c r="K4971" s="26" t="str">
        <f>IF(OR(E4971="",E4971="!!!",F4971="NEW"),"",INDEX(J$1:J4970,SUMPRODUCT(MAX(ROW(E$1:E4970)*(E4971=E$1:E4970)))))</f>
        <v> </v>
      </c>
      <c r="L4971" s="27"/>
    </row>
    <row r="4972" spans="1:12">
      <c r="A4972" s="20" t="s">
        <v>1140</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1009</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1083</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21</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1139</v>
      </c>
      <c r="B4976" s="21" t="s">
        <v>1000</v>
      </c>
      <c r="C4976" s="21" t="s">
        <v>1063</v>
      </c>
      <c r="D4976" s="21" t="s">
        <v>985</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1780</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2809</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2810</v>
      </c>
      <c r="B4979" s="21" t="s">
        <v>1016</v>
      </c>
      <c r="C4979" s="21" t="s">
        <v>996</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1123</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2521</v>
      </c>
      <c r="B4981" s="21" t="s">
        <v>1037</v>
      </c>
      <c r="C4981" s="21" t="s">
        <v>1035</v>
      </c>
      <c r="D4981" s="21" t="s">
        <v>985</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1009</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1028</v>
      </c>
      <c r="B4983" s="21" t="s">
        <v>1000</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2811</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1309</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t="s">
        <v>1857</v>
      </c>
      <c r="E4986" s="22">
        <f>IF(D4986="?OLD","!!!","")</f>
        <v/>
      </c>
      <c r="F4986" s="23" t="str">
        <f>IF(OR(E4986="",E4986="!!!"),"",IF(NOT(ISNA(VLOOKUP(E4986,E$1:E4985,1,FALSE()))),"OLD",IF(AND(E4986&lt;&gt;"",E4986&lt;&gt;"!!!"),"NEW","")))</f>
        <v> </v>
      </c>
      <c r="G4986" s="24" t="str">
        <f>IF(OR(E4986="",E4986="!!!"),"",IF(OR(J4986=0,AND(J4986=1,K4986=1),AND(J4986=1,I4986="SBJ"),AND(J4986=1,I4986=0)),"?IN_FOCUS",IF(J4986&lt;=2,"?ACTIVATED",IF(J4986&lt;&gt;"","?FAMILIAR",IF(F4986="NEW",IF(ISNA(VLOOKUP(E4986,#REF!,1,FALSE())),"?TYPE_IDENTIFIABLE","?REFERENTIAL"),"_")))))</f>
        <v> </v>
      </c>
      <c r="H4986" s="25" t="str">
        <f>IF(J4986&lt;&gt;1,"",IF(I4986="SBJ","CB","?"))</f>
        <v> </v>
      </c>
      <c r="I4986" s="26" t="str">
        <f>IF(OR(E4986="",E4986="!!!",F4986="NEW"),"",INDEX(B4985:B$2,-1+SUMPRODUCT(MAX(ROW(E4985:E$2)*(E4986=E4985:E$2)))))</f>
        <v> </v>
      </c>
      <c r="J4986" s="26" t="str">
        <f>IF(OR(E4986="",E4986="!!!",F4986="NEW"),"",COUNTBLANK(OFFSET(A$1,,,SUMPRODUCT(MAX(ROW(E$2:E4986)*(E4986=E$2:E4986)))))-COUNTBLANK(OFFSET(A$1,,,SUMPRODUCT(MAX(ROW(E$1:E4985)*(E2=E$1:E4985))))))</f>
        <v> </v>
      </c>
      <c r="K4986" s="26" t="str">
        <f>IF(OR(E4986="",E4986="!!!",F4986="NEW"),"",INDEX(J$1:J4985,SUMPRODUCT(MAX(ROW(E$1:E4985)*(E4986=E$1:E4985)))))</f>
        <v> </v>
      </c>
      <c r="L4986" s="27"/>
    </row>
    <row r="4987" spans="1:12">
      <c r="A4987" s="20" t="s">
        <v>2690</v>
      </c>
      <c r="E4987" s="22">
        <f>IF(D4987="?OLD","!!!","")</f>
        <v/>
      </c>
      <c r="F4987" s="23" t="str">
        <f>IF(OR(E4987="",E4987="!!!"),"",IF(NOT(ISNA(VLOOKUP(E4987,E$1:E4986,1,FALSE()))),"OLD",IF(AND(E4987&lt;&gt;"",E4987&lt;&gt;"!!!"),"NEW","")))</f>
        <v> </v>
      </c>
      <c r="G4987" s="24" t="str">
        <f>IF(OR(E4987="",E4987="!!!"),"",IF(OR(J4987=0,AND(J4987=1,K4987=1),AND(J4987=1,I4987="SBJ"),AND(J4987=1,I4987=0)),"?IN_FOCUS",IF(J4987&lt;=2,"?ACTIVATED",IF(J4987&lt;&gt;"","?FAMILIAR",IF(F4987="NEW",IF(ISNA(VLOOKUP(E4987,#REF!,1,FALSE())),"?TYPE_IDENTIFIABLE","?REFERENTIAL"),"_")))))</f>
        <v> </v>
      </c>
      <c r="H4987" s="25" t="str">
        <f>IF(J4987&lt;&gt;1,"",IF(I4987="SBJ","CB","?"))</f>
        <v> </v>
      </c>
      <c r="I4987" s="26" t="str">
        <f>IF(OR(E4987="",E4987="!!!",F4987="NEW"),"",INDEX(B4986:B$2,-1+SUMPRODUCT(MAX(ROW(E4986:E$2)*(E4987=E4986:E$2)))))</f>
        <v> </v>
      </c>
      <c r="J4987" s="26" t="str">
        <f>IF(OR(E4987="",E4987="!!!",F4987="NEW"),"",COUNTBLANK(OFFSET(A$1,,,SUMPRODUCT(MAX(ROW(E$2:E4987)*(E4987=E$2:E4987)))))-COUNTBLANK(OFFSET(A$1,,,SUMPRODUCT(MAX(ROW(E$1:E4986)*(E2=E$1:E4986))))))</f>
        <v> </v>
      </c>
      <c r="K4987" s="26" t="str">
        <f>IF(OR(E4987="",E4987="!!!",F4987="NEW"),"",INDEX(J$1:J4986,SUMPRODUCT(MAX(ROW(E$1:E4986)*(E4987=E$1:E4986)))))</f>
        <v> </v>
      </c>
      <c r="L4987" s="27"/>
    </row>
    <row r="4988" spans="1:12">
      <c r="A4988" s="20" t="s">
        <v>2812</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91</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row>
    <row r="4991" spans="1:12">
      <c r="A4991" s="20" t="s">
        <v>2813</v>
      </c>
    </row>
    <row r="4992" spans="1:12">
      <c r="A4992" s="20" t="s">
        <v>1478</v>
      </c>
      <c r="B4992" s="21" t="s">
        <v>983</v>
      </c>
      <c r="C4992" s="21" t="s">
        <v>984</v>
      </c>
      <c r="D4992" s="21" t="s">
        <v>985</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t="s">
        <v>2814</v>
      </c>
      <c r="E4993" s="22">
        <f>IF(D4993="?OLD","!!!","")</f>
        <v/>
      </c>
      <c r="F4993" s="23" t="str">
        <f>IF(OR(E4993="",E4993="!!!"),"",IF(NOT(ISNA(VLOOKUP(E4993,E$1:E4992,1,FALSE()))),"OLD",IF(AND(E4993&lt;&gt;"",E4993&lt;&gt;"!!!"),"NEW","")))</f>
        <v> </v>
      </c>
      <c r="G4993" s="24" t="str">
        <f>IF(OR(E4993="",E4993="!!!"),"",IF(OR(J4993=0,AND(J4993=1,K4993=1),AND(J4993=1,I4993="SBJ"),AND(J4993=1,I4993=0)),"?IN_FOCUS",IF(J4993&lt;=2,"?ACTIVATED",IF(J4993&lt;&gt;"","?FAMILIAR",IF(F4993="NEW",IF(ISNA(VLOOKUP(E4993,#REF!,1,FALSE())),"?TYPE_IDENTIFIABLE","?REFERENTIAL"),"_")))))</f>
        <v> </v>
      </c>
      <c r="H4993" s="25" t="str">
        <f>IF(J4993&lt;&gt;1,"",IF(I4993="SBJ","CB","?"))</f>
        <v> </v>
      </c>
      <c r="I4993" s="26" t="str">
        <f>IF(OR(E4993="",E4993="!!!",F4993="NEW"),"",INDEX(B4992:B$2,-1+SUMPRODUCT(MAX(ROW(E4992:E$2)*(E4993=E4992:E$2)))))</f>
        <v> </v>
      </c>
      <c r="J4993" s="26" t="str">
        <f>IF(OR(E4993="",E4993="!!!",F4993="NEW"),"",COUNTBLANK(OFFSET(A$1,,,SUMPRODUCT(MAX(ROW(E$2:E4993)*(E4993=E$2:E4993)))))-COUNTBLANK(OFFSET(A$1,,,SUMPRODUCT(MAX(ROW(E$1:E4992)*(E2=E$1:E4992))))))</f>
        <v> </v>
      </c>
      <c r="K4993" s="26" t="str">
        <f>IF(OR(E4993="",E4993="!!!",F4993="NEW"),"",INDEX(J$1:J4992,SUMPRODUCT(MAX(ROW(E$1:E4992)*(E4993=E$1:E4992)))))</f>
        <v> </v>
      </c>
      <c r="L4993" s="27"/>
    </row>
    <row r="4994" spans="1:12">
      <c r="A4994" s="20" t="s">
        <v>1425</v>
      </c>
      <c r="E4994" s="22">
        <f>IF(D4994="?OLD","!!!","")</f>
        <v/>
      </c>
      <c r="F4994" s="23" t="str">
        <f>IF(OR(E4994="",E4994="!!!"),"",IF(NOT(ISNA(VLOOKUP(E4994,E$1:E4993,1,FALSE()))),"OLD",IF(AND(E4994&lt;&gt;"",E4994&lt;&gt;"!!!"),"NEW","")))</f>
        <v> </v>
      </c>
      <c r="G4994" s="24" t="str">
        <f>IF(OR(E4994="",E4994="!!!"),"",IF(OR(J4994=0,AND(J4994=1,K4994=1),AND(J4994=1,I4994="SBJ"),AND(J4994=1,I4994=0)),"?IN_FOCUS",IF(J4994&lt;=2,"?ACTIVATED",IF(J4994&lt;&gt;"","?FAMILIAR",IF(F4994="NEW",IF(ISNA(VLOOKUP(E4994,#REF!,1,FALSE())),"?TYPE_IDENTIFIABLE","?REFERENTIAL"),"_")))))</f>
        <v> </v>
      </c>
      <c r="H4994" s="25" t="str">
        <f>IF(J4994&lt;&gt;1,"",IF(I4994="SBJ","CB","?"))</f>
        <v> </v>
      </c>
      <c r="I4994" s="26" t="str">
        <f>IF(OR(E4994="",E4994="!!!",F4994="NEW"),"",INDEX(B4993:B$2,-1+SUMPRODUCT(MAX(ROW(E4993:E$2)*(E4994=E4993:E$2)))))</f>
        <v> </v>
      </c>
      <c r="J4994" s="26" t="str">
        <f>IF(OR(E4994="",E4994="!!!",F4994="NEW"),"",COUNTBLANK(OFFSET(A$1,,,SUMPRODUCT(MAX(ROW(E$2:E4994)*(E4994=E$2:E4994)))))-COUNTBLANK(OFFSET(A$1,,,SUMPRODUCT(MAX(ROW(E$1:E4993)*(E2=E$1:E4993))))))</f>
        <v> </v>
      </c>
      <c r="K4994" s="26" t="str">
        <f>IF(OR(E4994="",E4994="!!!",F4994="NEW"),"",INDEX(J$1:J4993,SUMPRODUCT(MAX(ROW(E$1:E4993)*(E4994=E$1:E4993)))))</f>
        <v> </v>
      </c>
      <c r="L4994" s="27"/>
    </row>
    <row r="4995" spans="1:12">
      <c r="A4995" s="20" t="s">
        <v>2815</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2816</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t="s">
        <v>1126</v>
      </c>
      <c r="E4997" s="22">
        <f>IF(D4997="?OLD","!!!","")</f>
        <v/>
      </c>
      <c r="F4997" s="23" t="str">
        <f>IF(OR(E4997="",E4997="!!!"),"",IF(NOT(ISNA(VLOOKUP(E4997,E$1:E4996,1,FALSE()))),"OLD",IF(AND(E4997&lt;&gt;"",E4997&lt;&gt;"!!!"),"NEW","")))</f>
        <v> </v>
      </c>
      <c r="G4997" s="24" t="str">
        <f>IF(OR(E4997="",E4997="!!!"),"",IF(OR(J4997=0,AND(J4997=1,K4997=1),AND(J4997=1,I4997="SBJ"),AND(J4997=1,I4997=0)),"?IN_FOCUS",IF(J4997&lt;=2,"?ACTIVATED",IF(J4997&lt;&gt;"","?FAMILIAR",IF(F4997="NEW",IF(ISNA(VLOOKUP(E4997,#REF!,1,FALSE())),"?TYPE_IDENTIFIABLE","?REFERENTIAL"),"_")))))</f>
        <v> </v>
      </c>
      <c r="H4997" s="25" t="str">
        <f>IF(J4997&lt;&gt;1,"",IF(I4997="SBJ","CB","?"))</f>
        <v> </v>
      </c>
      <c r="I4997" s="26" t="str">
        <f>IF(OR(E4997="",E4997="!!!",F4997="NEW"),"",INDEX(B4996:B$2,-1+SUMPRODUCT(MAX(ROW(E4996:E$2)*(E4997=E4996:E$2)))))</f>
        <v> </v>
      </c>
      <c r="J4997" s="26" t="str">
        <f>IF(OR(E4997="",E4997="!!!",F4997="NEW"),"",COUNTBLANK(OFFSET(A$1,,,SUMPRODUCT(MAX(ROW(E$2:E4997)*(E4997=E$2:E4997)))))-COUNTBLANK(OFFSET(A$1,,,SUMPRODUCT(MAX(ROW(E$1:E4996)*(E2=E$1:E4996))))))</f>
        <v> </v>
      </c>
      <c r="K4997" s="26" t="str">
        <f>IF(OR(E4997="",E4997="!!!",F4997="NEW"),"",INDEX(J$1:J4996,SUMPRODUCT(MAX(ROW(E$1:E4996)*(E4997=E$1:E4996)))))</f>
        <v> </v>
      </c>
      <c r="L4997" s="27"/>
    </row>
    <row r="4998" spans="1:12">
      <c r="A4998" s="20" t="s">
        <v>1047</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t="s">
        <v>2817</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t="s">
        <v>1655</v>
      </c>
      <c r="B5000" s="21" t="s">
        <v>1054</v>
      </c>
      <c r="C5000" s="21" t="s">
        <v>1040</v>
      </c>
      <c r="D5000" s="21" t="s">
        <v>985</v>
      </c>
      <c r="E5000" s="22">
        <f>IF(D5000="?OLD","!!!","")</f>
        <v/>
      </c>
      <c r="F5000" s="23" t="str">
        <f>IF(OR(E5000="",E5000="!!!"),"",IF(NOT(ISNA(VLOOKUP(E5000,E$1:E4999,1,FALSE()))),"OLD",IF(AND(E5000&lt;&gt;"",E5000&lt;&gt;"!!!"),"NEW","")))</f>
        <v> </v>
      </c>
      <c r="G5000" s="24" t="str">
        <f>IF(OR(E5000="",E5000="!!!"),"",IF(OR(J5000=0,AND(J5000=1,K5000=1),AND(J5000=1,I5000="SBJ"),AND(J5000=1,I5000=0)),"?IN_FOCUS",IF(J5000&lt;=2,"?ACTIVATED",IF(J5000&lt;&gt;"","?FAMILIAR",IF(F5000="NEW",IF(ISNA(VLOOKUP(E5000,#REF!,1,FALSE())),"?TYPE_IDENTIFIABLE","?REFERENTIAL"),"_")))))</f>
        <v> </v>
      </c>
      <c r="H5000" s="25" t="str">
        <f>IF(J5000&lt;&gt;1,"",IF(I5000="SBJ","CB","?"))</f>
        <v> </v>
      </c>
      <c r="I5000" s="26" t="str">
        <f>IF(OR(E5000="",E5000="!!!",F5000="NEW"),"",INDEX(B4999:B$2,-1+SUMPRODUCT(MAX(ROW(E4999:E$2)*(E5000=E4999:E$2)))))</f>
        <v> </v>
      </c>
      <c r="J5000" s="26" t="str">
        <f>IF(OR(E5000="",E5000="!!!",F5000="NEW"),"",COUNTBLANK(OFFSET(A$1,,,SUMPRODUCT(MAX(ROW(E$2:E5000)*(E5000=E$2:E5000)))))-COUNTBLANK(OFFSET(A$1,,,SUMPRODUCT(MAX(ROW(E$1:E4999)*(E2=E$1:E4999))))))</f>
        <v> </v>
      </c>
      <c r="K5000" s="26" t="str">
        <f>IF(OR(E5000="",E5000="!!!",F5000="NEW"),"",INDEX(J$1:J4999,SUMPRODUCT(MAX(ROW(E$1:E4999)*(E5000=E$1:E4999)))))</f>
        <v> </v>
      </c>
      <c r="L5000" s="27"/>
    </row>
    <row r="5001" spans="1:12">
      <c r="A5001" s="20" t="s">
        <v>1158</v>
      </c>
      <c r="E5001" s="22">
        <f>IF(D5001="?OLD","!!!","")</f>
        <v/>
      </c>
      <c r="F5001" s="23" t="str">
        <f>IF(OR(E5001="",E5001="!!!"),"",IF(NOT(ISNA(VLOOKUP(E5001,E$1:E5000,1,FALSE()))),"OLD",IF(AND(E5001&lt;&gt;"",E5001&lt;&gt;"!!!"),"NEW","")))</f>
        <v> </v>
      </c>
      <c r="G5001" s="24" t="str">
        <f>IF(OR(E5001="",E5001="!!!"),"",IF(OR(J5001=0,AND(J5001=1,K5001=1),AND(J5001=1,I5001="SBJ"),AND(J5001=1,I5001=0)),"?IN_FOCUS",IF(J5001&lt;=2,"?ACTIVATED",IF(J5001&lt;&gt;"","?FAMILIAR",IF(F5001="NEW",IF(ISNA(VLOOKUP(E5001,#REF!,1,FALSE())),"?TYPE_IDENTIFIABLE","?REFERENTIAL"),"_")))))</f>
        <v> </v>
      </c>
      <c r="H5001" s="25" t="str">
        <f>IF(J5001&lt;&gt;1,"",IF(I5001="SBJ","CB","?"))</f>
        <v> </v>
      </c>
      <c r="I5001" s="26" t="str">
        <f>IF(OR(E5001="",E5001="!!!",F5001="NEW"),"",INDEX(B5000:B$2,-1+SUMPRODUCT(MAX(ROW(E5000:E$2)*(E5001=E5000:E$2)))))</f>
        <v> </v>
      </c>
      <c r="J5001" s="26" t="str">
        <f>IF(OR(E5001="",E5001="!!!",F5001="NEW"),"",COUNTBLANK(OFFSET(A$1,,,SUMPRODUCT(MAX(ROW(E$2:E5001)*(E5001=E$2:E5001)))))-COUNTBLANK(OFFSET(A$1,,,SUMPRODUCT(MAX(ROW(E$1:E5000)*(E2=E$1:E5000))))))</f>
        <v> </v>
      </c>
      <c r="K5001" s="26" t="str">
        <f>IF(OR(E5001="",E5001="!!!",F5001="NEW"),"",INDEX(J$1:J5000,SUMPRODUCT(MAX(ROW(E$1:E5000)*(E5001=E$1:E5000)))))</f>
        <v> </v>
      </c>
      <c r="L5001" s="27"/>
    </row>
    <row r="5002" spans="1:12">
      <c r="A5002" s="20" t="s">
        <v>2818</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2819</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t="s">
        <v>1767</v>
      </c>
      <c r="B5004" s="21" t="s">
        <v>1050</v>
      </c>
      <c r="C5004" s="21" t="s">
        <v>1040</v>
      </c>
      <c r="D5004" s="21" t="s">
        <v>985</v>
      </c>
      <c r="E5004" s="22">
        <f>IF(D5004="?OLD","!!!","")</f>
        <v/>
      </c>
      <c r="F5004" s="23" t="str">
        <f>IF(OR(E5004="",E5004="!!!"),"",IF(NOT(ISNA(VLOOKUP(E5004,E$1:E5003,1,FALSE()))),"OLD",IF(AND(E5004&lt;&gt;"",E5004&lt;&gt;"!!!"),"NEW","")))</f>
        <v> </v>
      </c>
      <c r="G5004" s="24" t="str">
        <f>IF(OR(E5004="",E5004="!!!"),"",IF(OR(J5004=0,AND(J5004=1,K5004=1),AND(J5004=1,I5004="SBJ"),AND(J5004=1,I5004=0)),"?IN_FOCUS",IF(J5004&lt;=2,"?ACTIVATED",IF(J5004&lt;&gt;"","?FAMILIAR",IF(F5004="NEW",IF(ISNA(VLOOKUP(E5004,#REF!,1,FALSE())),"?TYPE_IDENTIFIABLE","?REFERENTIAL"),"_")))))</f>
        <v> </v>
      </c>
      <c r="H5004" s="25" t="str">
        <f>IF(J5004&lt;&gt;1,"",IF(I5004="SBJ","CB","?"))</f>
        <v> </v>
      </c>
      <c r="I5004" s="26" t="str">
        <f>IF(OR(E5004="",E5004="!!!",F5004="NEW"),"",INDEX(B5003:B$2,-1+SUMPRODUCT(MAX(ROW(E5003:E$2)*(E5004=E5003:E$2)))))</f>
        <v> </v>
      </c>
      <c r="J5004" s="26" t="str">
        <f>IF(OR(E5004="",E5004="!!!",F5004="NEW"),"",COUNTBLANK(OFFSET(A$1,,,SUMPRODUCT(MAX(ROW(E$2:E5004)*(E5004=E$2:E5004)))))-COUNTBLANK(OFFSET(A$1,,,SUMPRODUCT(MAX(ROW(E$1:E5003)*(E2=E$1:E5003))))))</f>
        <v> </v>
      </c>
      <c r="K5004" s="26" t="str">
        <f>IF(OR(E5004="",E5004="!!!",F5004="NEW"),"",INDEX(J$1:J5003,SUMPRODUCT(MAX(ROW(E$1:E5003)*(E5004=E$1:E5003)))))</f>
        <v> </v>
      </c>
      <c r="L5004" s="27"/>
    </row>
    <row r="5005" spans="1:12">
      <c r="A5005" s="20" t="s">
        <v>1009</v>
      </c>
      <c r="E5005" s="22">
        <f>IF(D5005="?OLD","!!!","")</f>
        <v/>
      </c>
      <c r="F5005" s="23" t="str">
        <f>IF(OR(E5005="",E5005="!!!"),"",IF(NOT(ISNA(VLOOKUP(E5005,E$1:E5004,1,FALSE()))),"OLD",IF(AND(E5005&lt;&gt;"",E5005&lt;&gt;"!!!"),"NEW","")))</f>
        <v> </v>
      </c>
      <c r="G5005" s="24" t="str">
        <f>IF(OR(E5005="",E5005="!!!"),"",IF(OR(J5005=0,AND(J5005=1,K5005=1),AND(J5005=1,I5005="SBJ"),AND(J5005=1,I5005=0)),"?IN_FOCUS",IF(J5005&lt;=2,"?ACTIVATED",IF(J5005&lt;&gt;"","?FAMILIAR",IF(F5005="NEW",IF(ISNA(VLOOKUP(E5005,#REF!,1,FALSE())),"?TYPE_IDENTIFIABLE","?REFERENTIAL"),"_")))))</f>
        <v> </v>
      </c>
      <c r="H5005" s="25" t="str">
        <f>IF(J5005&lt;&gt;1,"",IF(I5005="SBJ","CB","?"))</f>
        <v> </v>
      </c>
      <c r="I5005" s="26" t="str">
        <f>IF(OR(E5005="",E5005="!!!",F5005="NEW"),"",INDEX(B5004:B$2,-1+SUMPRODUCT(MAX(ROW(E5004:E$2)*(E5005=E5004:E$2)))))</f>
        <v> </v>
      </c>
      <c r="J5005" s="26" t="str">
        <f>IF(OR(E5005="",E5005="!!!",F5005="NEW"),"",COUNTBLANK(OFFSET(A$1,,,SUMPRODUCT(MAX(ROW(E$2:E5005)*(E5005=E$2:E5005)))))-COUNTBLANK(OFFSET(A$1,,,SUMPRODUCT(MAX(ROW(E$1:E5004)*(E2=E$1:E5004))))))</f>
        <v> </v>
      </c>
      <c r="K5005" s="26" t="str">
        <f>IF(OR(E5005="",E5005="!!!",F5005="NEW"),"",INDEX(J$1:J5004,SUMPRODUCT(MAX(ROW(E$1:E5004)*(E5005=E$1:E5004)))))</f>
        <v> </v>
      </c>
      <c r="L5005" s="27"/>
    </row>
    <row r="5006" spans="1:12">
      <c r="A5006" s="20" t="s">
        <v>1262</v>
      </c>
      <c r="B5006" s="21" t="s">
        <v>1000</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2820</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1100</v>
      </c>
      <c r="B5008" s="21" t="s">
        <v>1003</v>
      </c>
      <c r="C5008" s="21" t="s">
        <v>1063</v>
      </c>
      <c r="D5008" s="21" t="s">
        <v>985</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2615</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t="s">
        <v>1025</v>
      </c>
      <c r="B5010" s="21" t="s">
        <v>1037</v>
      </c>
      <c r="C5010" s="21" t="s">
        <v>1001</v>
      </c>
      <c r="E5010" s="22">
        <f>IF(D5010="?OLD","!!!","")</f>
        <v/>
      </c>
      <c r="F5010" s="23" t="str">
        <f>IF(OR(E5010="",E5010="!!!"),"",IF(NOT(ISNA(VLOOKUP(E5010,E$1:E5009,1,FALSE()))),"OLD",IF(AND(E5010&lt;&gt;"",E5010&lt;&gt;"!!!"),"NEW","")))</f>
        <v> </v>
      </c>
      <c r="G5010" s="24" t="str">
        <f>IF(OR(E5010="",E5010="!!!"),"",IF(OR(J5010=0,AND(J5010=1,K5010=1),AND(J5010=1,I5010="SBJ"),AND(J5010=1,I5010=0)),"?IN_FOCUS",IF(J5010&lt;=2,"?ACTIVATED",IF(J5010&lt;&gt;"","?FAMILIAR",IF(F5010="NEW",IF(ISNA(VLOOKUP(E5010,#REF!,1,FALSE())),"?TYPE_IDENTIFIABLE","?REFERENTIAL"),"_")))))</f>
        <v> </v>
      </c>
      <c r="H5010" s="25" t="str">
        <f>IF(J5010&lt;&gt;1,"",IF(I5010="SBJ","CB","?"))</f>
        <v> </v>
      </c>
      <c r="I5010" s="26" t="str">
        <f>IF(OR(E5010="",E5010="!!!",F5010="NEW"),"",INDEX(B5009:B$2,-1+SUMPRODUCT(MAX(ROW(E5009:E$2)*(E5010=E5009:E$2)))))</f>
        <v> </v>
      </c>
      <c r="J5010" s="26" t="str">
        <f>IF(OR(E5010="",E5010="!!!",F5010="NEW"),"",COUNTBLANK(OFFSET(A$1,,,SUMPRODUCT(MAX(ROW(E$2:E5010)*(E5010=E$2:E5010)))))-COUNTBLANK(OFFSET(A$1,,,SUMPRODUCT(MAX(ROW(E$1:E5009)*(E2=E$1:E5009))))))</f>
        <v> </v>
      </c>
      <c r="K5010" s="26" t="str">
        <f>IF(OR(E5010="",E5010="!!!",F5010="NEW"),"",INDEX(J$1:J5009,SUMPRODUCT(MAX(ROW(E$1:E5009)*(E5010=E$1:E5009)))))</f>
        <v> </v>
      </c>
      <c r="L5010" s="27"/>
    </row>
    <row r="5011" spans="1:12">
      <c r="A5011" s="20" t="s">
        <v>1294</v>
      </c>
      <c r="E5011" s="22">
        <f>IF(D5011="?OLD","!!!","")</f>
        <v/>
      </c>
      <c r="F5011" s="23" t="str">
        <f>IF(OR(E5011="",E5011="!!!"),"",IF(NOT(ISNA(VLOOKUP(E5011,E$1:E5010,1,FALSE()))),"OLD",IF(AND(E5011&lt;&gt;"",E5011&lt;&gt;"!!!"),"NEW","")))</f>
        <v> </v>
      </c>
      <c r="G5011" s="24" t="str">
        <f>IF(OR(E5011="",E5011="!!!"),"",IF(OR(J5011=0,AND(J5011=1,K5011=1),AND(J5011=1,I5011="SBJ"),AND(J5011=1,I5011=0)),"?IN_FOCUS",IF(J5011&lt;=2,"?ACTIVATED",IF(J5011&lt;&gt;"","?FAMILIAR",IF(F5011="NEW",IF(ISNA(VLOOKUP(E5011,#REF!,1,FALSE())),"?TYPE_IDENTIFIABLE","?REFERENTIAL"),"_")))))</f>
        <v> </v>
      </c>
      <c r="H5011" s="25" t="str">
        <f>IF(J5011&lt;&gt;1,"",IF(I5011="SBJ","CB","?"))</f>
        <v> </v>
      </c>
      <c r="I5011" s="26" t="str">
        <f>IF(OR(E5011="",E5011="!!!",F5011="NEW"),"",INDEX(B5010:B$2,-1+SUMPRODUCT(MAX(ROW(E5010:E$2)*(E5011=E5010:E$2)))))</f>
        <v> </v>
      </c>
      <c r="J5011" s="26" t="str">
        <f>IF(OR(E5011="",E5011="!!!",F5011="NEW"),"",COUNTBLANK(OFFSET(A$1,,,SUMPRODUCT(MAX(ROW(E$2:E5011)*(E5011=E$2:E5011)))))-COUNTBLANK(OFFSET(A$1,,,SUMPRODUCT(MAX(ROW(E$1:E5010)*(E2=E$1:E5010))))))</f>
        <v> </v>
      </c>
      <c r="K5011" s="26" t="str">
        <f>IF(OR(E5011="",E5011="!!!",F5011="NEW"),"",INDEX(J$1:J5010,SUMPRODUCT(MAX(ROW(E$1:E5010)*(E5011=E$1:E5010)))))</f>
        <v> </v>
      </c>
      <c r="L5011" s="27"/>
    </row>
    <row r="5012" spans="1:12">
      <c r="A5012" s="20" t="s">
        <v>1740</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1058</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1028</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t="s">
        <v>1552</v>
      </c>
      <c r="B5015" s="21" t="s">
        <v>1054</v>
      </c>
      <c r="C5015" s="21" t="s">
        <v>1040</v>
      </c>
      <c r="D5015" s="21" t="s">
        <v>985</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2096</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2341</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t="s">
        <v>2821</v>
      </c>
      <c r="B5018" s="21" t="s">
        <v>991</v>
      </c>
      <c r="C5018" s="21" t="s">
        <v>1040</v>
      </c>
      <c r="D5018" s="21" t="s">
        <v>985</v>
      </c>
      <c r="E5018" s="22">
        <f>IF(D5018="?OLD","!!!","")</f>
        <v/>
      </c>
      <c r="F5018" s="23" t="str">
        <f>IF(OR(E5018="",E5018="!!!"),"",IF(NOT(ISNA(VLOOKUP(E5018,E$1:E5017,1,FALSE()))),"OLD",IF(AND(E5018&lt;&gt;"",E5018&lt;&gt;"!!!"),"NEW","")))</f>
        <v> </v>
      </c>
      <c r="G5018" s="24" t="str">
        <f>IF(OR(E5018="",E5018="!!!"),"",IF(OR(J5018=0,AND(J5018=1,K5018=1),AND(J5018=1,I5018="SBJ"),AND(J5018=1,I5018=0)),"?IN_FOCUS",IF(J5018&lt;=2,"?ACTIVATED",IF(J5018&lt;&gt;"","?FAMILIAR",IF(F5018="NEW",IF(ISNA(VLOOKUP(E5018,#REF!,1,FALSE())),"?TYPE_IDENTIFIABLE","?REFERENTIAL"),"_")))))</f>
        <v> </v>
      </c>
      <c r="H5018" s="25" t="str">
        <f>IF(J5018&lt;&gt;1,"",IF(I5018="SBJ","CB","?"))</f>
        <v> </v>
      </c>
      <c r="I5018" s="26" t="str">
        <f>IF(OR(E5018="",E5018="!!!",F5018="NEW"),"",INDEX(B5017:B$2,-1+SUMPRODUCT(MAX(ROW(E5017:E$2)*(E5018=E5017:E$2)))))</f>
        <v> </v>
      </c>
      <c r="J5018" s="26" t="str">
        <f>IF(OR(E5018="",E5018="!!!",F5018="NEW"),"",COUNTBLANK(OFFSET(A$1,,,SUMPRODUCT(MAX(ROW(E$2:E5018)*(E5018=E$2:E5018)))))-COUNTBLANK(OFFSET(A$1,,,SUMPRODUCT(MAX(ROW(E$1:E5017)*(E2=E$1:E5017))))))</f>
        <v> </v>
      </c>
      <c r="K5018" s="26" t="str">
        <f>IF(OR(E5018="",E5018="!!!",F5018="NEW"),"",INDEX(J$1:J5017,SUMPRODUCT(MAX(ROW(E$1:E5017)*(E5018=E$1:E5017)))))</f>
        <v> </v>
      </c>
      <c r="L5018" s="27"/>
    </row>
    <row r="5019" spans="1:12">
      <c r="A5019" s="20" t="s">
        <v>1028</v>
      </c>
      <c r="E5019" s="22">
        <f>IF(D5019="?OLD","!!!","")</f>
        <v/>
      </c>
      <c r="F5019" s="23" t="str">
        <f>IF(OR(E5019="",E5019="!!!"),"",IF(NOT(ISNA(VLOOKUP(E5019,E$1:E5018,1,FALSE()))),"OLD",IF(AND(E5019&lt;&gt;"",E5019&lt;&gt;"!!!"),"NEW","")))</f>
        <v> </v>
      </c>
      <c r="G5019" s="24" t="str">
        <f>IF(OR(E5019="",E5019="!!!"),"",IF(OR(J5019=0,AND(J5019=1,K5019=1),AND(J5019=1,I5019="SBJ"),AND(J5019=1,I5019=0)),"?IN_FOCUS",IF(J5019&lt;=2,"?ACTIVATED",IF(J5019&lt;&gt;"","?FAMILIAR",IF(F5019="NEW",IF(ISNA(VLOOKUP(E5019,#REF!,1,FALSE())),"?TYPE_IDENTIFIABLE","?REFERENTIAL"),"_")))))</f>
        <v> </v>
      </c>
      <c r="H5019" s="25" t="str">
        <f>IF(J5019&lt;&gt;1,"",IF(I5019="SBJ","CB","?"))</f>
        <v> </v>
      </c>
      <c r="I5019" s="26" t="str">
        <f>IF(OR(E5019="",E5019="!!!",F5019="NEW"),"",INDEX(B5018:B$2,-1+SUMPRODUCT(MAX(ROW(E5018:E$2)*(E5019=E5018:E$2)))))</f>
        <v> </v>
      </c>
      <c r="J5019" s="26" t="str">
        <f>IF(OR(E5019="",E5019="!!!",F5019="NEW"),"",COUNTBLANK(OFFSET(A$1,,,SUMPRODUCT(MAX(ROW(E$2:E5019)*(E5019=E$2:E5019)))))-COUNTBLANK(OFFSET(A$1,,,SUMPRODUCT(MAX(ROW(E$1:E5018)*(E2=E$1:E5018))))))</f>
        <v> </v>
      </c>
      <c r="K5019" s="26" t="str">
        <f>IF(OR(E5019="",E5019="!!!",F5019="NEW"),"",INDEX(J$1:J5018,SUMPRODUCT(MAX(ROW(E$1:E5018)*(E5019=E$1:E5018)))))</f>
        <v> </v>
      </c>
      <c r="L5019" s="27"/>
    </row>
    <row r="5020" spans="1:12">
      <c r="A5020" s="20" t="s">
        <v>2822</v>
      </c>
      <c r="B5020" s="21" t="s">
        <v>1037</v>
      </c>
      <c r="C5020" s="21" t="s">
        <v>1040</v>
      </c>
      <c r="D5020" s="21" t="s">
        <v>985</v>
      </c>
      <c r="E5020" s="22">
        <f>IF(D5020="?OLD","!!!","")</f>
        <v/>
      </c>
      <c r="F5020" s="23" t="str">
        <f>IF(OR(E5020="",E5020="!!!"),"",IF(NOT(ISNA(VLOOKUP(E5020,E$1:E5019,1,FALSE()))),"OLD",IF(AND(E5020&lt;&gt;"",E5020&lt;&gt;"!!!"),"NEW","")))</f>
        <v> </v>
      </c>
      <c r="G5020" s="24" t="str">
        <f>IF(OR(E5020="",E5020="!!!"),"",IF(OR(J5020=0,AND(J5020=1,K5020=1),AND(J5020=1,I5020="SBJ"),AND(J5020=1,I5020=0)),"?IN_FOCUS",IF(J5020&lt;=2,"?ACTIVATED",IF(J5020&lt;&gt;"","?FAMILIAR",IF(F5020="NEW",IF(ISNA(VLOOKUP(E5020,#REF!,1,FALSE())),"?TYPE_IDENTIFIABLE","?REFERENTIAL"),"_")))))</f>
        <v> </v>
      </c>
      <c r="H5020" s="25" t="str">
        <f>IF(J5020&lt;&gt;1,"",IF(I5020="SBJ","CB","?"))</f>
        <v> </v>
      </c>
      <c r="I5020" s="26" t="str">
        <f>IF(OR(E5020="",E5020="!!!",F5020="NEW"),"",INDEX(B5019:B$2,-1+SUMPRODUCT(MAX(ROW(E5019:E$2)*(E5020=E5019:E$2)))))</f>
        <v> </v>
      </c>
      <c r="J5020" s="26" t="str">
        <f>IF(OR(E5020="",E5020="!!!",F5020="NEW"),"",COUNTBLANK(OFFSET(A$1,,,SUMPRODUCT(MAX(ROW(E$2:E5020)*(E5020=E$2:E5020)))))-COUNTBLANK(OFFSET(A$1,,,SUMPRODUCT(MAX(ROW(E$1:E5019)*(E2=E$1:E5019))))))</f>
        <v> </v>
      </c>
      <c r="K5020" s="26" t="str">
        <f>IF(OR(E5020="",E5020="!!!",F5020="NEW"),"",INDEX(J$1:J5019,SUMPRODUCT(MAX(ROW(E$1:E5019)*(E5020=E$1:E5019)))))</f>
        <v> </v>
      </c>
      <c r="L5020" s="27"/>
    </row>
    <row r="5021" spans="1:12">
      <c r="A5021" s="20" t="s">
        <v>1032</v>
      </c>
      <c r="E5021" s="22">
        <f>IF(D5021="?OLD","!!!","")</f>
        <v/>
      </c>
      <c r="F5021" s="23" t="str">
        <f>IF(OR(E5021="",E5021="!!!"),"",IF(NOT(ISNA(VLOOKUP(E5021,E$1:E5020,1,FALSE()))),"OLD",IF(AND(E5021&lt;&gt;"",E5021&lt;&gt;"!!!"),"NEW","")))</f>
        <v> </v>
      </c>
      <c r="G5021" s="24" t="str">
        <f>IF(OR(E5021="",E5021="!!!"),"",IF(OR(J5021=0,AND(J5021=1,K5021=1),AND(J5021=1,I5021="SBJ"),AND(J5021=1,I5021=0)),"?IN_FOCUS",IF(J5021&lt;=2,"?ACTIVATED",IF(J5021&lt;&gt;"","?FAMILIAR",IF(F5021="NEW",IF(ISNA(VLOOKUP(E5021,#REF!,1,FALSE())),"?TYPE_IDENTIFIABLE","?REFERENTIAL"),"_")))))</f>
        <v> </v>
      </c>
      <c r="H5021" s="25" t="str">
        <f>IF(J5021&lt;&gt;1,"",IF(I5021="SBJ","CB","?"))</f>
        <v> </v>
      </c>
      <c r="I5021" s="26" t="str">
        <f>IF(OR(E5021="",E5021="!!!",F5021="NEW"),"",INDEX(B5020:B$2,-1+SUMPRODUCT(MAX(ROW(E5020:E$2)*(E5021=E5020:E$2)))))</f>
        <v> </v>
      </c>
      <c r="J5021" s="26" t="str">
        <f>IF(OR(E5021="",E5021="!!!",F5021="NEW"),"",COUNTBLANK(OFFSET(A$1,,,SUMPRODUCT(MAX(ROW(E$2:E5021)*(E5021=E$2:E5021)))))-COUNTBLANK(OFFSET(A$1,,,SUMPRODUCT(MAX(ROW(E$1:E5020)*(E2=E$1:E5020))))))</f>
        <v> </v>
      </c>
      <c r="K5021" s="26" t="str">
        <f>IF(OR(E5021="",E5021="!!!",F5021="NEW"),"",INDEX(J$1:J5020,SUMPRODUCT(MAX(ROW(E$1:E5020)*(E5021=E$1:E5020)))))</f>
        <v> </v>
      </c>
      <c r="L5021" s="27"/>
    </row>
    <row r="5022" spans="1:12">
      <c r="A5022"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2024-12-05T17:54:49Z</dcterms:created>
  <dcterms:modified xsi:type="dcterms:W3CDTF">2024-12-05T17:54:49Z</dcterms:modified>
</cp:coreProperties>
</file>