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<sst xmlns="http://schemas.openxmlformats.org/spreadsheetml/2006/main" count="2696" uniqueCount="777">
  <si>
    <t>ID</t>
  </si>
  <si>
    <t>PRED_ID</t>
  </si>
  <si>
    <t>MARKER_AUTO</t>
  </si>
  <si>
    <t>PREDICATE</t>
  </si>
  <si>
    <t>TEXT</t>
  </si>
  <si>
    <t>SENTENCE</t>
  </si>
  <si>
    <t>MARKER</t>
  </si>
  <si>
    <t>TARGET</t>
  </si>
  <si>
    <t>RELATION</t>
  </si>
  <si>
    <t>COMMENT</t>
  </si>
  <si>
    <t>1</t>
  </si>
  <si>
    <t>9</t>
  </si>
  <si>
    <t>_</t>
  </si>
  <si>
    <t>sein</t>
  </si>
  <si>
    <t>Falls ich Ihnen heute eine Sache näherbringen möchte ist es , dass die Gesamtheit der Daten , die wir konsumieren , größer ist als die Summe ihrer Einzelteile und anstatt dabei an Informationsüberladung zu denken möchte ich , dass Sie darüber nachdenken wie wir Information so nutzen können , dass sich Muster ergeben und wir so Trends erkennen , die ansonsten nicht sichtbar geworden wären .</t>
  </si>
  <si>
    <t>file://conllu/de/teddy-901.conllu#s1_0</t>
  </si>
  <si>
    <t>2</t>
  </si>
  <si>
    <t>7</t>
  </si>
  <si>
    <t>Was?</t>
  </si>
  <si>
    <t>sein (sein anordnen)</t>
  </si>
  <si>
    <t>So , was wir hier sehen ist ein typisches Sterbediagramm nach Alter angeordnet .</t>
  </si>
  <si>
    <t>file://conllu/de/teddy-901.conllu#s2_0</t>
  </si>
  <si>
    <t>3</t>
  </si>
  <si>
    <t>sein (sein Experiment)</t>
  </si>
  <si>
    <t>Das Programm , das ich hier benutze , ist ein kleines Experiment .</t>
  </si>
  <si>
    <t>file://conllu/de/teddy-901.conllu#s3_0</t>
  </si>
  <si>
    <t>4</t>
  </si>
  <si>
    <t>22</t>
  </si>
  <si>
    <t>sagen</t>
  </si>
  <si>
    <t>Es heißt Pivot und was ich mit Pivot machen kann ist , dass ich nach einer bestimmten Todesursache filtern kann , sagen wir Unfälle .</t>
  </si>
  <si>
    <t>file://conllu/de/teddy-901.conllu#s4_0</t>
  </si>
  <si>
    <t>5</t>
  </si>
  <si>
    <t>sehen</t>
  </si>
  <si>
    <t>Und sofort sehe ich ein anderes Muster , das sich ergibt .</t>
  </si>
  <si>
    <t>file://conllu/de/teddy-901.conllu#s5_0</t>
  </si>
  <si>
    <t>6</t>
  </si>
  <si>
    <t>14</t>
  </si>
  <si>
    <t>sein (sein sein)</t>
  </si>
  <si>
    <t>Und zwar , weil im in dem Mittelbereich hier die Menschen am an dem aktivsten sind und sie hier drüben am an dem gebrechlichsten sind .</t>
  </si>
  <si>
    <t>file://conllu/de/teddy-901.conllu#s6_0</t>
  </si>
  <si>
    <t>rausgehen</t>
  </si>
  <si>
    <t>Wir können einen Schritt weiter rausgehen und ordnen die Daten dann neu und sehen , dass Kreislauferkrankungen und Krebs die üblichen Verdächtigen sind , jedoch nicht für jeden .</t>
  </si>
  <si>
    <t>file://conllu/de/teddy-901.conllu#s7_0</t>
  </si>
  <si>
    <t>8</t>
  </si>
  <si>
    <t>16</t>
  </si>
  <si>
    <t>sehen (sehen sagen)</t>
  </si>
  <si>
    <t>Wenn wir nun weitergehen und nach Alter sortieren , sagen wir 40 Jahre oder jünger sehen wir , dass Unfälle sogar die Hauptursache ist über die sich die Menschen Sorgen machen sollten .</t>
  </si>
  <si>
    <t>file://conllu/de/teddy-901.conllu#s8_0</t>
  </si>
  <si>
    <t>Und wer weiterforscht sieht , dass ist dies besonders bei Männern zutrifft .</t>
  </si>
  <si>
    <t>file://conllu/de/teddy-901.conllu#s9_0</t>
  </si>
  <si>
    <t>10</t>
  </si>
  <si>
    <t>erinnern (erinnern erkennen)</t>
  </si>
  <si>
    <t>Sie erkennen also , dass das Ansehen von Informationen und Daten in dieser Weise sehr an Schwimmen in einer lebendigen Informationsgrafik erinnert .</t>
  </si>
  <si>
    <t>file://conllu/de/teddy-901.conllu#s10_0</t>
  </si>
  <si>
    <t>11</t>
  </si>
  <si>
    <t>Warum?</t>
  </si>
  <si>
    <t>warum</t>
  </si>
  <si>
    <t>Und wenn wir dies für Rohdaten machen können warum nicht auch für Inhalte selbst ?</t>
  </si>
  <si>
    <t>file://conllu/de/teddy-901.conllu#s11_0</t>
  </si>
  <si>
    <t>12</t>
  </si>
  <si>
    <t>haben</t>
  </si>
  <si>
    <t>Was wir nun hier haben sind die Titelbilder jeder einzelnen &amp;quot; Sports Illustrated &amp;quot; , die jemals gedruckt wurden .</t>
  </si>
  <si>
    <t>file://conllu/de/teddy-901.conllu#s12_0</t>
  </si>
  <si>
    <t>13</t>
  </si>
  <si>
    <t>sein (sein alle)</t>
  </si>
  <si>
    <t>Es ist alles hier .</t>
  </si>
  <si>
    <t>file://conllu/de/teddy-901.conllu#s13_0</t>
  </si>
  <si>
    <t>sein (sein online)</t>
  </si>
  <si>
    <t>Es ist alles online .</t>
  </si>
  <si>
    <t>file://conllu/de/teddy-901.conllu#s14_0</t>
  </si>
  <si>
    <t>15</t>
  </si>
  <si>
    <t>testen</t>
  </si>
  <si>
    <t>Sie können es gerne nach meinem Vortrag in Ihren Zimmern testen .</t>
  </si>
  <si>
    <t>file://conllu/de/teddy-901.conllu#s15_0</t>
  </si>
  <si>
    <t>eintauchen</t>
  </si>
  <si>
    <t>Mit Pivot können sie eintauchen in ein Jahrzehnt .</t>
  </si>
  <si>
    <t>file://conllu/de/teddy-901.conllu#s16_0</t>
  </si>
  <si>
    <t>17</t>
  </si>
  <si>
    <t>Sie können eintauchen in ein bestimmtes Jahr .</t>
  </si>
  <si>
    <t>file://conllu/de/teddy-901.conllu#s17_0</t>
  </si>
  <si>
    <t>18</t>
  </si>
  <si>
    <t>springen</t>
  </si>
  <si>
    <t>Sie können direkt zu einer bestimmten Ausgabe springen .</t>
  </si>
  <si>
    <t>file://conllu/de/teddy-901.conllu#s18_0</t>
  </si>
  <si>
    <t>19</t>
  </si>
  <si>
    <t>Athlet</t>
  </si>
  <si>
    <t>Wenn ich nun hier schaue , sehe ich die Athleten , die in dieser Ausgabe erscheinen und die Sportarten .</t>
  </si>
  <si>
    <t>file://conllu/de/teddy-901.conllu#s19_0</t>
  </si>
  <si>
    <t>20</t>
  </si>
  <si>
    <t>sein (sein Lance)</t>
  </si>
  <si>
    <t>Ich bin ein Lance Armstrong Fan , also klicke ich hierhin wodurch sich mir alle Ausgaben zeigen in denen Lance Armstrong erwähnt wird .</t>
  </si>
  <si>
    <t>file://conllu/de/teddy-901.conllu#s20_0</t>
  </si>
  <si>
    <t>21</t>
  </si>
  <si>
    <t>denken</t>
  </si>
  <si>
    <t>( Applaus ) Jetzt , wenn ich nur einen gröberen Überblick bekommen möchte , könnte ich denken &amp;quot; Ok , was wenn ich mir alles mit dem Thema Fahrradfahren ansehe ? &amp;quot;</t>
  </si>
  <si>
    <t>file://conllu/de/teddy-901.conllu#s21_0</t>
  </si>
  <si>
    <t>gehen</t>
  </si>
  <si>
    <t>Also gehe ich einen Schritt zurück und erweitere die Sichtweise .</t>
  </si>
  <si>
    <t>file://conllu/de/teddy-901.conllu#s22_0</t>
  </si>
  <si>
    <t>23</t>
  </si>
  <si>
    <t>Nun sehe ich Greg Lemond .</t>
  </si>
  <si>
    <t>file://conllu/de/teddy-901.conllu#s23_0</t>
  </si>
  <si>
    <t>24</t>
  </si>
  <si>
    <t>27</t>
  </si>
  <si>
    <t>suchen</t>
  </si>
  <si>
    <t>Und so bekommt man eine Idee davon , dass wenn man auf diese Art Informationen durchsucht , gezielter , breiter , reinzoomen , rauszoomen , dann sucht man nicht oder surft nicht einfach nur .</t>
  </si>
  <si>
    <t>file://conllu/de/teddy-901.conllu#s24_0</t>
  </si>
  <si>
    <t>25</t>
  </si>
  <si>
    <t>machen</t>
  </si>
  <si>
    <t>Man macht etwas , das eigentlich ein wenig anders ist .</t>
  </si>
  <si>
    <t>file://conllu/de/teddy-901.conllu#s25_0</t>
  </si>
  <si>
    <t>26</t>
  </si>
  <si>
    <t>sein (sein dazwischen)</t>
  </si>
  <si>
    <t>Es ist etwas dazwischen und wir denken es ändert die Art und Weise wie Informationen genutzt werden können .</t>
  </si>
  <si>
    <t>file://conllu/de/teddy-901.conllu#s26_0</t>
  </si>
  <si>
    <t>ausführen</t>
  </si>
  <si>
    <t>Ich möchte diese Idee nun ein bisschen weiter ausführen mit etwa was ein bisschen verrückt ist .</t>
  </si>
  <si>
    <t>file://conllu/de/teddy-901.conllu#s27_0</t>
  </si>
  <si>
    <t>28</t>
  </si>
  <si>
    <t>nehmen</t>
  </si>
  <si>
    <t>Was wir hier gemacht haben ist , wir haben jede einzelne Wikipediaseite genommen und sie auf eine kleine Zusammenfassung reduziert .</t>
  </si>
  <si>
    <t>file://conllu/de/teddy-901.conllu#s28_0</t>
  </si>
  <si>
    <t>29</t>
  </si>
  <si>
    <t>enthalten</t>
  </si>
  <si>
    <t>Die Zusammenfassung enthält eine kurze Übersicht und ein Symbol für den Bereich aus dem sie kommt .</t>
  </si>
  <si>
    <t>file://conllu/de/teddy-901.conllu#s29_0</t>
  </si>
  <si>
    <t>30</t>
  </si>
  <si>
    <t>zeigen</t>
  </si>
  <si>
    <t>Ich zeige nur mal die Top 500 der populärsten Wikipediaseiten .</t>
  </si>
  <si>
    <t>file://conllu/de/teddy-901.conllu#s30_0</t>
  </si>
  <si>
    <t>31</t>
  </si>
  <si>
    <t>tun</t>
  </si>
  <si>
    <t>Aber sogar in dieser eingeschränkten Ansicht können wir eine Menge Dinge tun .</t>
  </si>
  <si>
    <t>file://conllu/de/teddy-901.conllu#s31_0</t>
  </si>
  <si>
    <t>32</t>
  </si>
  <si>
    <t>bekommen</t>
  </si>
  <si>
    <t>Sofort bekommen wir einen Eindruck über die Themen , die auf Wikipedia am an dem populärsten sind .</t>
  </si>
  <si>
    <t>file://conllu/de/teddy-901.conllu#s32_0</t>
  </si>
  <si>
    <t>33</t>
  </si>
  <si>
    <t>wählen</t>
  </si>
  <si>
    <t>Ich werde nun das Thema ' Regierung ' wählen .</t>
  </si>
  <si>
    <t>file://conllu/de/teddy-901.conllu#s33_0</t>
  </si>
  <si>
    <t>34</t>
  </si>
  <si>
    <t>Nachdem?</t>
  </si>
  <si>
    <t>sein (sein Mensch)</t>
  </si>
  <si>
    <t>Nun , nachdem ich ' Regierung ' gewählt habe erkenne ich , dass die Wikipediakategorien , die sich am an dem meisten damit decken Time Magazines &amp;quot; Menschen des Jahres &amp;quot; sind .</t>
  </si>
  <si>
    <t>file://conllu/de/teddy-901.conllu#s34_0</t>
  </si>
  <si>
    <t>35</t>
  </si>
  <si>
    <t>sein (sein wichtig)</t>
  </si>
  <si>
    <t>Dies ist wirklich wichtig , da dies eine Erkenntnis ist , die nicht in einer einzelnen Wikipediaseite steckt .</t>
  </si>
  <si>
    <t>file://conllu/de/teddy-901.conllu#s35_0</t>
  </si>
  <si>
    <t>36</t>
  </si>
  <si>
    <t>erkennen</t>
  </si>
  <si>
    <t>Das ist nur zu erkennen wenn man einen Schritt zurückgeht und das Ganze betrachtet .</t>
  </si>
  <si>
    <t>file://conllu/de/teddy-901.conllu#s36_0</t>
  </si>
  <si>
    <t>37</t>
  </si>
  <si>
    <t>Schauend auf eine bestimmte dieser Zusammenfassungen kann ich dann in das Thema Time Magazines &amp;quot; Menschen des Jahres &amp;quot; hinein gehen , und alle zusammen sehen .</t>
  </si>
  <si>
    <t>file://conllu/de/teddy-901.conllu#s37_0</t>
  </si>
  <si>
    <t>38</t>
  </si>
  <si>
    <t>Wenn ich nun all diese Personen betrachte erkenne ich , dass die Mehrheit davon Regierungsbeamte sind .</t>
  </si>
  <si>
    <t>file://conllu/de/teddy-901.conllu#s38_0</t>
  </si>
  <si>
    <t>39</t>
  </si>
  <si>
    <t>kommen</t>
  </si>
  <si>
    <t>Manche kommen aus der Wissenschaft .</t>
  </si>
  <si>
    <t>file://conllu/de/teddy-901.conllu#s39_0</t>
  </si>
  <si>
    <t>40</t>
  </si>
  <si>
    <t>Manche , noch weniger , kommen aus der Wirtschaft .</t>
  </si>
  <si>
    <t>file://conllu/de/teddy-901.conllu#s40_0</t>
  </si>
  <si>
    <t>41</t>
  </si>
  <si>
    <t>sein (sein Chef)</t>
  </si>
  <si>
    <t>Hier ist mein Chef .</t>
  </si>
  <si>
    <t>file://conllu/de/teddy-901.conllu#s41_0</t>
  </si>
  <si>
    <t>42</t>
  </si>
  <si>
    <t>Und einer kommt aus dem Musikbereich .</t>
  </si>
  <si>
    <t>file://conllu/de/teddy-901.conllu#s42_0</t>
  </si>
  <si>
    <t>43</t>
  </si>
  <si>
    <t>sein (sein Ted)</t>
  </si>
  <si>
    <t>Und interessanterweise ist Bono auch ein TED Prize Gewinner .</t>
  </si>
  <si>
    <t>file://conllu/de/teddy-901.conllu#s43_0</t>
  </si>
  <si>
    <t>44</t>
  </si>
  <si>
    <t>So können wir nun springen und einen Blick auf alle TED Prize Gewinner werfen .</t>
  </si>
  <si>
    <t>file://conllu/de/teddy-901.conllu#s44_0</t>
  </si>
  <si>
    <t>45</t>
  </si>
  <si>
    <t>Man sieht , wir surfen im in dem Netz das erste Mal als ob es auch wirklich ein Netz ist , nicht nur von Seite zu Seite , sondern viel abstrakter .</t>
  </si>
  <si>
    <t>file://conllu/de/teddy-901.conllu#s45_0</t>
  </si>
  <si>
    <t>46</t>
  </si>
  <si>
    <t>Und so möchte ich Ihnen was anderes zeigen was eine kleine Überraschung sein könnte .</t>
  </si>
  <si>
    <t>file://conllu/de/teddy-901.conllu#s46_0</t>
  </si>
  <si>
    <t>47</t>
  </si>
  <si>
    <t>Ich zeige Ihnen hier einfach nur die New York Times Website .</t>
  </si>
  <si>
    <t>file://conllu/de/teddy-901.conllu#s47_0</t>
  </si>
  <si>
    <t>48</t>
  </si>
  <si>
    <t>Pivot</t>
  </si>
  <si>
    <t>Pivot , diese Anwendung Ich möchte es nicht einen Browser nennen ;</t>
  </si>
  <si>
    <t>file://conllu/de/teddy-901.conllu#s48_0</t>
  </si>
  <si>
    <t>49</t>
  </si>
  <si>
    <t>sein (sein Browser)</t>
  </si>
  <si>
    <t>es ist wirklich kein Browser , aber man kann Webseiten damit ansehen und wir bringen diese Zoom Technologie zu jeder einzelnen Webseite wie dieser .</t>
  </si>
  <si>
    <t>file://conllu/de/teddy-901.conllu#s49_0</t>
  </si>
  <si>
    <t>50</t>
  </si>
  <si>
    <t>zurückgehen</t>
  </si>
  <si>
    <t>Ich kann also einen Schritt zurückgehen , und direkt zu einer spezifischen Sektion springen .</t>
  </si>
  <si>
    <t>file://conllu/de/teddy-901.conllu#s50_0</t>
  </si>
  <si>
    <t>51</t>
  </si>
  <si>
    <t>Das ist deshalb wichtig , weil man nur durch das Anschauen von Webseiten in dieser Art und Weise , den ganzen Internet Verlauf auf die gleiche Art und Weise betrachten kann .</t>
  </si>
  <si>
    <t>file://conllu/de/teddy-901.conllu#s51_0</t>
  </si>
  <si>
    <t>52</t>
  </si>
  <si>
    <t>hineinzoomen</t>
  </si>
  <si>
    <t>Ich kann also in meinen Verlauf hineinzoomen in einem bestimmten Zeitrahmen .</t>
  </si>
  <si>
    <t>file://conllu/de/teddy-901.conllu#s52_0</t>
  </si>
  <si>
    <t>53</t>
  </si>
  <si>
    <t>sein (sein Stand)</t>
  </si>
  <si>
    <t>Hier ist der Stand der gesamten Demonstration , die ich bis hierhin gehalten habe .</t>
  </si>
  <si>
    <t>file://conllu/de/teddy-901.conllu#s53_0</t>
  </si>
  <si>
    <t>54</t>
  </si>
  <si>
    <t>ansehen</t>
  </si>
  <si>
    <t>Und ich kann sozusagen alles , was ich heute bisher angesehen habe , wieder zurückholen .</t>
  </si>
  <si>
    <t>file://conllu/de/teddy-901.conllu#s54_0</t>
  </si>
  <si>
    <t>55</t>
  </si>
  <si>
    <t>anordnen</t>
  </si>
  <si>
    <t>Und , wenn ich wieder einen Schritt rausgehe und auf alles schaue , kann ich meinen Verlauf neu anordnen vielleicht nach meiner Such Vergangenheit .</t>
  </si>
  <si>
    <t>file://conllu/de/teddy-901.conllu#s55_0</t>
  </si>
  <si>
    <t>56</t>
  </si>
  <si>
    <t>Hier , habe ich nach ' nepotistisch ' gesucht , hier nach Bing , oder hier nach Live Labs Pivot .</t>
  </si>
  <si>
    <t>file://conllu/de/teddy-901.conllu#s56_0</t>
  </si>
  <si>
    <t>57</t>
  </si>
  <si>
    <t>hineingehen</t>
  </si>
  <si>
    <t>Und von hier kann ich in die Seite hineingehen und sie wieder aufrufen .</t>
  </si>
  <si>
    <t>file://conllu/de/teddy-901.conllu#s57_0</t>
  </si>
  <si>
    <t>58</t>
  </si>
  <si>
    <t>sein (sein Metapher)</t>
  </si>
  <si>
    <t>Es ist eine Metapher , die immer wieder verwendet wird , und jedes Mal macht es das Gesamtbild größer als die Summe der Datenteile .</t>
  </si>
  <si>
    <t>file://conllu/de/teddy-901.conllu#s58_0</t>
  </si>
  <si>
    <t>60</t>
  </si>
  <si>
    <t>reden</t>
  </si>
  <si>
    <t>Wir reden von dem Fluch des Informationsüberflusses .</t>
  </si>
  <si>
    <t>file://conllu/de/teddy-901.conllu#s60_0</t>
  </si>
  <si>
    <t>61</t>
  </si>
  <si>
    <t>Wir reden vom von dem &amp;quot; Ertrinken in Informationen &amp;quot; .</t>
  </si>
  <si>
    <t>file://conllu/de/teddy-901.conllu#s61_0</t>
  </si>
  <si>
    <t>62</t>
  </si>
  <si>
    <t>Was , wenn wir diese Situation umdrehen könnten und das Internet auf den Kopf stellen , so dass wir anstatt immer von einem zum zu dem anderen zu gehen , beginnen von vielen Dingen zu vielen Dingen gehen zu können , und dadurch Muster erkennen , welche ansonsten verborgen geblieben wären ?</t>
  </si>
  <si>
    <t>file://conllu/de/teddy-901.conllu#s62_0</t>
  </si>
  <si>
    <t>63</t>
  </si>
  <si>
    <t>werden</t>
  </si>
  <si>
    <t>Falls wir dies tun können , dann wird diese bisherige Datenfalle , vielleicht eine neue Quelle sinnvoller Informationen .</t>
  </si>
  <si>
    <t>file://conllu/de/teddy-901.conllu#s63_0</t>
  </si>
  <si>
    <t>64</t>
  </si>
  <si>
    <t>Und , anstatt sich einfach nur in Informationen zu bewegen , können wir Wissen daraus bekommen .</t>
  </si>
  <si>
    <t>file://conllu/de/teddy-901.conllu#s64_0</t>
  </si>
  <si>
    <t>65</t>
  </si>
  <si>
    <t>ziehen</t>
  </si>
  <si>
    <t>Und wenn wir Wissen erfahren , dann können wir vielleicht sogar Weisheiten daraus ziehen .</t>
  </si>
  <si>
    <t>file://conllu/de/teddy-901.conllu#s65_0</t>
  </si>
  <si>
    <t>66</t>
  </si>
  <si>
    <t>hören</t>
  </si>
  <si>
    <t>Damit höre ich auf , vielen Dank .</t>
  </si>
  <si>
    <t>file://conllu/de/teddy-901.conllu#s66_0</t>
  </si>
  <si>
    <t>WORD</t>
  </si>
  <si>
    <t>GR</t>
  </si>
  <si>
    <t>NP_TYPE</t>
  </si>
  <si>
    <t>REF_AUTO</t>
  </si>
  <si>
    <t>COREF</t>
  </si>
  <si>
    <t>REF</t>
  </si>
  <si>
    <t>IS</t>
  </si>
  <si>
    <t>CB</t>
  </si>
  <si>
    <t>GR_ANTE</t>
  </si>
  <si>
    <t>REF_DIST</t>
  </si>
  <si>
    <t>REF_DIST_ANTE</t>
  </si>
  <si>
    <t># text = Falls ich Ihnen heute eine Sache näherbringen möchte ist es, dass die Gesamtheit der Daten, die wir konsumieren, größer ist als die Summe ihrer Einzelteile und anstatt dabei an Informationsüberladung zu denken möchte ich, dass Sie darüber nachdenken wie wir Information so nutzen können, dass sich Muster ergeben und wir so Trends erkennen, die ansonsten nicht sichtbar geworden wären.</t>
  </si>
  <si>
    <t>Falls</t>
  </si>
  <si>
    <t>ich</t>
  </si>
  <si>
    <t>SBJ_2</t>
  </si>
  <si>
    <t>pron.pper</t>
  </si>
  <si>
    <t>?OLD</t>
  </si>
  <si>
    <t>Ihnen</t>
  </si>
  <si>
    <t>OBJ_2</t>
  </si>
  <si>
    <t>heute</t>
  </si>
  <si>
    <t>eine</t>
  </si>
  <si>
    <t>Sache</t>
  </si>
  <si>
    <t>indef-np.a</t>
  </si>
  <si>
    <t>näherbringen</t>
  </si>
  <si>
    <t>möchte</t>
  </si>
  <si>
    <t>ist</t>
  </si>
  <si>
    <t>es</t>
  </si>
  <si>
    <t>,</t>
  </si>
  <si>
    <t>dass</t>
  </si>
  <si>
    <t>die</t>
  </si>
  <si>
    <t>Gesamtheit</t>
  </si>
  <si>
    <t>def-np.the</t>
  </si>
  <si>
    <t>der</t>
  </si>
  <si>
    <t>Daten</t>
  </si>
  <si>
    <t>other_2</t>
  </si>
  <si>
    <t>OBJ_3</t>
  </si>
  <si>
    <t>wir</t>
  </si>
  <si>
    <t>SBJ_3</t>
  </si>
  <si>
    <t>pron</t>
  </si>
  <si>
    <t>konsumieren</t>
  </si>
  <si>
    <t>größer</t>
  </si>
  <si>
    <t>als</t>
  </si>
  <si>
    <t>Summe</t>
  </si>
  <si>
    <t>ihrer</t>
  </si>
  <si>
    <t>Einzelteile</t>
  </si>
  <si>
    <t>other_3</t>
  </si>
  <si>
    <t>indef-np</t>
  </si>
  <si>
    <t>und</t>
  </si>
  <si>
    <t>anstatt</t>
  </si>
  <si>
    <t>dabei</t>
  </si>
  <si>
    <t>an</t>
  </si>
  <si>
    <t>Informationsüberladung</t>
  </si>
  <si>
    <t>other_4</t>
  </si>
  <si>
    <t>indef-np.bare</t>
  </si>
  <si>
    <t>zu</t>
  </si>
  <si>
    <t>SBJ_4</t>
  </si>
  <si>
    <t>Sie</t>
  </si>
  <si>
    <t>darüber</t>
  </si>
  <si>
    <t>nachdenken</t>
  </si>
  <si>
    <t>wie</t>
  </si>
  <si>
    <t>SBJ_5</t>
  </si>
  <si>
    <t>Information</t>
  </si>
  <si>
    <t>OBJ_5</t>
  </si>
  <si>
    <t>so</t>
  </si>
  <si>
    <t>nutzen</t>
  </si>
  <si>
    <t>können</t>
  </si>
  <si>
    <t>sich</t>
  </si>
  <si>
    <t>OBJ_6</t>
  </si>
  <si>
    <t>Muster</t>
  </si>
  <si>
    <t>SBJ_6</t>
  </si>
  <si>
    <t>ergeben</t>
  </si>
  <si>
    <t>SBJ_7</t>
  </si>
  <si>
    <t>Trends</t>
  </si>
  <si>
    <t>ne</t>
  </si>
  <si>
    <t>SBJ_8</t>
  </si>
  <si>
    <t>ansonsten</t>
  </si>
  <si>
    <t>nicht</t>
  </si>
  <si>
    <t>sichtbar</t>
  </si>
  <si>
    <t>geworden</t>
  </si>
  <si>
    <t>wären</t>
  </si>
  <si>
    <t>.</t>
  </si>
  <si>
    <t># text = So, was wir hier sehen ist ein typisches Sterbediagramm nach Alter angeordnet.</t>
  </si>
  <si>
    <t>So</t>
  </si>
  <si>
    <t>was</t>
  </si>
  <si>
    <t>hier</t>
  </si>
  <si>
    <t>ein</t>
  </si>
  <si>
    <t>typisches</t>
  </si>
  <si>
    <t>Sterbediagramm</t>
  </si>
  <si>
    <t>SBJ</t>
  </si>
  <si>
    <t>nach</t>
  </si>
  <si>
    <t>Alter</t>
  </si>
  <si>
    <t>other</t>
  </si>
  <si>
    <t>angeordnet</t>
  </si>
  <si>
    <t># text = Das Programm, das ich hier benutze, ist ein kleines Experiment.</t>
  </si>
  <si>
    <t>Das</t>
  </si>
  <si>
    <t>Programm</t>
  </si>
  <si>
    <t>das</t>
  </si>
  <si>
    <t>benutze</t>
  </si>
  <si>
    <t>kleines</t>
  </si>
  <si>
    <t>Experiment</t>
  </si>
  <si>
    <t># text = Es heißt Pivot und was ich mit Pivot machen kann ist, dass ich nach einer bestimmten Todesursache filtern kann, sagen wir Unfälle.</t>
  </si>
  <si>
    <t>Es</t>
  </si>
  <si>
    <t>heißt</t>
  </si>
  <si>
    <t>mit</t>
  </si>
  <si>
    <t>kann</t>
  </si>
  <si>
    <t>einer</t>
  </si>
  <si>
    <t>bestimmten</t>
  </si>
  <si>
    <t>Todesursache</t>
  </si>
  <si>
    <t>filtern</t>
  </si>
  <si>
    <t>Unfälle</t>
  </si>
  <si>
    <t>OBJ</t>
  </si>
  <si>
    <t># text = Und sofort sehe ich ein anderes Muster, das sich ergibt.</t>
  </si>
  <si>
    <t>Und</t>
  </si>
  <si>
    <t>sofort</t>
  </si>
  <si>
    <t>sehe</t>
  </si>
  <si>
    <t>anderes</t>
  </si>
  <si>
    <t>ergibt</t>
  </si>
  <si>
    <t># text = Und zwar, weil im Mittelbereich hier die Menschen am aktivsten sind und sie hier drüben am gebrechlichsten sind.</t>
  </si>
  <si>
    <t>zwar</t>
  </si>
  <si>
    <t>weil</t>
  </si>
  <si>
    <t>in</t>
  </si>
  <si>
    <t>dem</t>
  </si>
  <si>
    <t>Mittelbereich</t>
  </si>
  <si>
    <t>Menschen</t>
  </si>
  <si>
    <t>aktivsten</t>
  </si>
  <si>
    <t>sind</t>
  </si>
  <si>
    <t>sie</t>
  </si>
  <si>
    <t>drüben</t>
  </si>
  <si>
    <t>gebrechlichsten</t>
  </si>
  <si>
    <t># text = Wir können einen Schritt weiter rausgehen und ordnen die Daten dann neu und sehen, dass Kreislauferkrankungen und Krebs die üblichen Verdächtigen sind, jedoch nicht für jeden.</t>
  </si>
  <si>
    <t>Wir</t>
  </si>
  <si>
    <t>einen</t>
  </si>
  <si>
    <t>Schritt</t>
  </si>
  <si>
    <t>weiter</t>
  </si>
  <si>
    <t>ordnen</t>
  </si>
  <si>
    <t>dann</t>
  </si>
  <si>
    <t>neu</t>
  </si>
  <si>
    <t>Kreislauferkrankungen</t>
  </si>
  <si>
    <t>Krebs</t>
  </si>
  <si>
    <t>üblichen</t>
  </si>
  <si>
    <t>Verdächtigen</t>
  </si>
  <si>
    <t>jedoch</t>
  </si>
  <si>
    <t>für</t>
  </si>
  <si>
    <t>jeden</t>
  </si>
  <si>
    <t>pron.pind</t>
  </si>
  <si>
    <t># text = Wenn wir nun weitergehen und nach Alter sortieren, sagen wir 40 Jahre oder jünger sehen wir, dass Unfälle sogar die Hauptursache ist über die sich die Menschen Sorgen machen sollten.</t>
  </si>
  <si>
    <t>Wenn</t>
  </si>
  <si>
    <t>nun</t>
  </si>
  <si>
    <t>weitergehen</t>
  </si>
  <si>
    <t>sortieren</t>
  </si>
  <si>
    <t>Jahre</t>
  </si>
  <si>
    <t>indef-np.quant</t>
  </si>
  <si>
    <t>oder</t>
  </si>
  <si>
    <t>jünger</t>
  </si>
  <si>
    <t>sogar</t>
  </si>
  <si>
    <t>Hauptursache</t>
  </si>
  <si>
    <t>über</t>
  </si>
  <si>
    <t>Sorgen</t>
  </si>
  <si>
    <t>sollten</t>
  </si>
  <si>
    <t># text = Und wer weiterforscht sieht, dass ist dies besonders bei Männern zutrifft.</t>
  </si>
  <si>
    <t>wer</t>
  </si>
  <si>
    <t>pron.pint</t>
  </si>
  <si>
    <t>weiterforscht</t>
  </si>
  <si>
    <t>sieht</t>
  </si>
  <si>
    <t>dies</t>
  </si>
  <si>
    <t>pron.pds</t>
  </si>
  <si>
    <t>besonders</t>
  </si>
  <si>
    <t>bei</t>
  </si>
  <si>
    <t>Männern</t>
  </si>
  <si>
    <t>zutrifft</t>
  </si>
  <si>
    <t># text = Sie erkennen also, dass das Ansehen von Informationen und Daten in dieser Weise sehr an Schwimmen in einer lebendigen Informationsgrafik erinnert.</t>
  </si>
  <si>
    <t>also</t>
  </si>
  <si>
    <t>Ansehen</t>
  </si>
  <si>
    <t>von</t>
  </si>
  <si>
    <t>Informationen</t>
  </si>
  <si>
    <t>dieser</t>
  </si>
  <si>
    <t>Weise</t>
  </si>
  <si>
    <t>def-np.dem</t>
  </si>
  <si>
    <t>sehr</t>
  </si>
  <si>
    <t>Schwimmen</t>
  </si>
  <si>
    <t>lebendigen</t>
  </si>
  <si>
    <t>Informationsgrafik</t>
  </si>
  <si>
    <t>erinnert</t>
  </si>
  <si>
    <t># text = Und wenn wir dies für Rohdaten machen können warum nicht auch für Inhalte selbst?</t>
  </si>
  <si>
    <t>wenn</t>
  </si>
  <si>
    <t>Rohdaten</t>
  </si>
  <si>
    <t>auch</t>
  </si>
  <si>
    <t>Inhalte</t>
  </si>
  <si>
    <t>selbst</t>
  </si>
  <si>
    <t>?</t>
  </si>
  <si>
    <t>--</t>
  </si>
  <si>
    <t># text = Was wir nun hier haben sind die Titelbilder jeder einzelnen "Sports Illustrated", die jemals gedruckt wurden.</t>
  </si>
  <si>
    <t>Was</t>
  </si>
  <si>
    <t>Titelbilder</t>
  </si>
  <si>
    <t>def-np.poss</t>
  </si>
  <si>
    <t>jeder</t>
  </si>
  <si>
    <t>einzelnen</t>
  </si>
  <si>
    <t>&amp;quot;</t>
  </si>
  <si>
    <t>Sports</t>
  </si>
  <si>
    <t>Illustrated</t>
  </si>
  <si>
    <t>jemals</t>
  </si>
  <si>
    <t>gedruckt</t>
  </si>
  <si>
    <t>wurden</t>
  </si>
  <si>
    <t># text = Es ist alles hier.</t>
  </si>
  <si>
    <t>alles</t>
  </si>
  <si>
    <t># text = Es ist alles online.</t>
  </si>
  <si>
    <t>online</t>
  </si>
  <si>
    <t># text = Sie können es gerne nach meinem Vortrag in Ihren Zimmern testen.</t>
  </si>
  <si>
    <t>gerne</t>
  </si>
  <si>
    <t>meinem</t>
  </si>
  <si>
    <t>pron.ppos</t>
  </si>
  <si>
    <t>Vortrag</t>
  </si>
  <si>
    <t>Ihren</t>
  </si>
  <si>
    <t>Zimmern</t>
  </si>
  <si>
    <t># text = Mit Pivot können sie eintauchen in ein Jahrzehnt.</t>
  </si>
  <si>
    <t>Mit</t>
  </si>
  <si>
    <t>Jahrzehnt</t>
  </si>
  <si>
    <t># text = Sie können eintauchen in ein bestimmtes Jahr.</t>
  </si>
  <si>
    <t>bestimmtes</t>
  </si>
  <si>
    <t>Jahr</t>
  </si>
  <si>
    <t># text = Sie können direkt zu einer bestimmten Ausgabe springen.</t>
  </si>
  <si>
    <t>direkt</t>
  </si>
  <si>
    <t>Ausgabe</t>
  </si>
  <si>
    <t># text = Wenn ich nun hier schaue, sehe ich die Athleten, die in dieser Ausgabe erscheinen und die Sportarten.</t>
  </si>
  <si>
    <t>schaue</t>
  </si>
  <si>
    <t>Athleten</t>
  </si>
  <si>
    <t>erscheinen</t>
  </si>
  <si>
    <t>Sportarten</t>
  </si>
  <si>
    <t># text = Ich bin ein Lance Armstrong Fan, also klicke ich hierhin wodurch sich mir alle Ausgaben zeigen in denen Lance Armstrong erwähnt wird.</t>
  </si>
  <si>
    <t>Ich</t>
  </si>
  <si>
    <t>bin</t>
  </si>
  <si>
    <t>Lance</t>
  </si>
  <si>
    <t>Armstrong</t>
  </si>
  <si>
    <t>Fan</t>
  </si>
  <si>
    <t>klicke</t>
  </si>
  <si>
    <t>hierhin</t>
  </si>
  <si>
    <t>wodurch</t>
  </si>
  <si>
    <t>mir</t>
  </si>
  <si>
    <t>alle</t>
  </si>
  <si>
    <t>Ausgaben</t>
  </si>
  <si>
    <t>denen</t>
  </si>
  <si>
    <t>erwähnt</t>
  </si>
  <si>
    <t>wird</t>
  </si>
  <si>
    <t># text = (Applaus) Jetzt, wenn ich nur einen gröberen Überblick bekommen möchte, könnte ich denken \"Ok, was wenn ich mir alles mit dem Thema Fahrradfahren ansehe?\"</t>
  </si>
  <si>
    <t>(</t>
  </si>
  <si>
    <t>Applaus</t>
  </si>
  <si>
    <t>)</t>
  </si>
  <si>
    <t>Jetzt</t>
  </si>
  <si>
    <t>nur</t>
  </si>
  <si>
    <t>gröberen</t>
  </si>
  <si>
    <t>Überblick</t>
  </si>
  <si>
    <t>könnte</t>
  </si>
  <si>
    <t>Ok</t>
  </si>
  <si>
    <t>Thema</t>
  </si>
  <si>
    <t>Fahrradfahren</t>
  </si>
  <si>
    <t>ansehe</t>
  </si>
  <si>
    <t># text = Also gehe ich einen Schritt zurück und erweitere die Sichtweise.</t>
  </si>
  <si>
    <t>Also</t>
  </si>
  <si>
    <t>gehe</t>
  </si>
  <si>
    <t>zurück</t>
  </si>
  <si>
    <t>erweitere</t>
  </si>
  <si>
    <t>Sichtweise</t>
  </si>
  <si>
    <t># text = Nun sehe ich Greg Lemond.</t>
  </si>
  <si>
    <t>Nun</t>
  </si>
  <si>
    <t>Greg</t>
  </si>
  <si>
    <t>Lemond</t>
  </si>
  <si>
    <t># text = Und so bekommt man eine Idee davon, dass wenn man auf diese Art Informationen durchsucht, gezielter, breiter, reinzoomen, rauszoomen, dann sucht man nicht oder surft nicht einfach nur.</t>
  </si>
  <si>
    <t>bekommt</t>
  </si>
  <si>
    <t>man</t>
  </si>
  <si>
    <t>Idee</t>
  </si>
  <si>
    <t>davon</t>
  </si>
  <si>
    <t>auf</t>
  </si>
  <si>
    <t>diese</t>
  </si>
  <si>
    <t>Art</t>
  </si>
  <si>
    <t>durchsucht</t>
  </si>
  <si>
    <t>gezielter</t>
  </si>
  <si>
    <t>breiter</t>
  </si>
  <si>
    <t>reinzoomen</t>
  </si>
  <si>
    <t>rauszoomen</t>
  </si>
  <si>
    <t>sucht</t>
  </si>
  <si>
    <t>surft</t>
  </si>
  <si>
    <t>einfach</t>
  </si>
  <si>
    <t># text = Man macht etwas, das eigentlich ein wenig anders ist.</t>
  </si>
  <si>
    <t>Man</t>
  </si>
  <si>
    <t>macht</t>
  </si>
  <si>
    <t>etwas</t>
  </si>
  <si>
    <t>eigentlich</t>
  </si>
  <si>
    <t>wenig</t>
  </si>
  <si>
    <t>anders</t>
  </si>
  <si>
    <t># text = Es ist etwas dazwischen und wir denken es ändert die Art und Weise wie Informationen genutzt werden können.</t>
  </si>
  <si>
    <t>dazwischen</t>
  </si>
  <si>
    <t>pron.padv</t>
  </si>
  <si>
    <t>ändert</t>
  </si>
  <si>
    <t>genutzt</t>
  </si>
  <si>
    <t># text = Ich möchte diese Idee nun ein bisschen weiter ausführen mit etwa was ein bisschen verrückt ist.</t>
  </si>
  <si>
    <t>bisschen</t>
  </si>
  <si>
    <t>etwa</t>
  </si>
  <si>
    <t>verrückt</t>
  </si>
  <si>
    <t># text = Was wir hier gemacht haben ist, wir haben jede einzelne Wikipediaseite genommen und sie auf eine kleine Zusammenfassung reduziert.</t>
  </si>
  <si>
    <t>gemacht</t>
  </si>
  <si>
    <t>jede</t>
  </si>
  <si>
    <t>einzelne</t>
  </si>
  <si>
    <t>Wikipediaseite</t>
  </si>
  <si>
    <t>genommen</t>
  </si>
  <si>
    <t>kleine</t>
  </si>
  <si>
    <t>Zusammenfassung</t>
  </si>
  <si>
    <t>reduziert</t>
  </si>
  <si>
    <t># text = Die Zusammenfassung enthält eine kurze Übersicht und ein Symbol für den Bereich aus dem sie kommt.</t>
  </si>
  <si>
    <t>Die</t>
  </si>
  <si>
    <t>enthält</t>
  </si>
  <si>
    <t>kurze</t>
  </si>
  <si>
    <t>Übersicht</t>
  </si>
  <si>
    <t>Symbol</t>
  </si>
  <si>
    <t>den</t>
  </si>
  <si>
    <t>Bereich</t>
  </si>
  <si>
    <t>aus</t>
  </si>
  <si>
    <t>kommt</t>
  </si>
  <si>
    <t># text = Ich zeige nur mal die Top 500 der populärsten Wikipediaseiten.</t>
  </si>
  <si>
    <t>zeige</t>
  </si>
  <si>
    <t>mal</t>
  </si>
  <si>
    <t>Top</t>
  </si>
  <si>
    <t>def-np.quant</t>
  </si>
  <si>
    <t>500</t>
  </si>
  <si>
    <t>populärsten</t>
  </si>
  <si>
    <t>Wikipediaseiten</t>
  </si>
  <si>
    <t># text = Aber sogar in dieser eingeschränkten Ansicht können wir eine Menge Dinge tun.</t>
  </si>
  <si>
    <t>Aber</t>
  </si>
  <si>
    <t>eingeschränkten</t>
  </si>
  <si>
    <t>Ansicht</t>
  </si>
  <si>
    <t>Menge</t>
  </si>
  <si>
    <t>Dinge</t>
  </si>
  <si>
    <t># text = Sofort bekommen wir einen Eindruck über die Themen, die auf Wikipedia am populärsten sind.</t>
  </si>
  <si>
    <t>Sofort</t>
  </si>
  <si>
    <t>Eindruck</t>
  </si>
  <si>
    <t>Themen</t>
  </si>
  <si>
    <t>Wikipedia</t>
  </si>
  <si>
    <t># text = Ich werde nun das Thema 'Regierung' wählen.</t>
  </si>
  <si>
    <t>werde</t>
  </si>
  <si>
    <t>'</t>
  </si>
  <si>
    <t>Regierung</t>
  </si>
  <si>
    <t># text = Nun, nachdem ich 'Regierung' gewählt habe erkenne ich, dass die Wikipediakategorien, die sich am meisten damit decken Time Magazines "Menschen des Jahres" sind.</t>
  </si>
  <si>
    <t>nachdem</t>
  </si>
  <si>
    <t>gewählt</t>
  </si>
  <si>
    <t>habe</t>
  </si>
  <si>
    <t>erkenne</t>
  </si>
  <si>
    <t>Wikipediakategorien</t>
  </si>
  <si>
    <t>meisten</t>
  </si>
  <si>
    <t>damit</t>
  </si>
  <si>
    <t>decken</t>
  </si>
  <si>
    <t>Time</t>
  </si>
  <si>
    <t>Magazines</t>
  </si>
  <si>
    <t>des</t>
  </si>
  <si>
    <t>Jahres</t>
  </si>
  <si>
    <t># text = Dies ist wirklich wichtig, da dies eine Erkenntnis ist, die nicht in einer einzelnen Wikipediaseite steckt.</t>
  </si>
  <si>
    <t>Dies</t>
  </si>
  <si>
    <t>wirklich</t>
  </si>
  <si>
    <t>wichtig</t>
  </si>
  <si>
    <t>da</t>
  </si>
  <si>
    <t>Erkenntnis</t>
  </si>
  <si>
    <t>steckt</t>
  </si>
  <si>
    <t># text = Das ist nur zu erkennen wenn man einen Schritt zurückgeht und das Ganze betrachtet.</t>
  </si>
  <si>
    <t>zurückgeht</t>
  </si>
  <si>
    <t>Ganze</t>
  </si>
  <si>
    <t>betrachtet</t>
  </si>
  <si>
    <t># text = Schauend auf eine bestimmte dieser Zusammenfassungen kann ich dann in das Thema Time Magazines \"Menschen des Jahres\" hinein gehen, und alle zusammen sehen.</t>
  </si>
  <si>
    <t>Schauend</t>
  </si>
  <si>
    <t>bestimmte</t>
  </si>
  <si>
    <t>Zusammenfassungen</t>
  </si>
  <si>
    <t>hinein</t>
  </si>
  <si>
    <t>zusammen</t>
  </si>
  <si>
    <t># text = Wenn ich nun all diese Personen betrachte erkenne ich, dass die Mehrheit davon Regierungsbeamte sind.</t>
  </si>
  <si>
    <t>all</t>
  </si>
  <si>
    <t>Personen</t>
  </si>
  <si>
    <t>betrachte</t>
  </si>
  <si>
    <t>Mehrheit</t>
  </si>
  <si>
    <t>Regierungsbeamte</t>
  </si>
  <si>
    <t># text = Manche kommen aus der Wissenschaft.</t>
  </si>
  <si>
    <t>Manche</t>
  </si>
  <si>
    <t>Wissenschaft</t>
  </si>
  <si>
    <t># text = Manche, noch weniger, kommen aus der Wirtschaft.</t>
  </si>
  <si>
    <t>noch</t>
  </si>
  <si>
    <t>weniger</t>
  </si>
  <si>
    <t>Wirtschaft</t>
  </si>
  <si>
    <t># text = Hier ist mein Chef.</t>
  </si>
  <si>
    <t>Hier</t>
  </si>
  <si>
    <t>mein</t>
  </si>
  <si>
    <t>Chef</t>
  </si>
  <si>
    <t># text = Und einer kommt aus dem Musikbereich.</t>
  </si>
  <si>
    <t>Musikbereich</t>
  </si>
  <si>
    <t># text = Und interessanterweise ist Bono auch ein TED Prize Gewinner.</t>
  </si>
  <si>
    <t>interessanterweise</t>
  </si>
  <si>
    <t>Bono</t>
  </si>
  <si>
    <t>TED</t>
  </si>
  <si>
    <t>Prize</t>
  </si>
  <si>
    <t>Gewinner</t>
  </si>
  <si>
    <t># text = So können wir nun springen und einen Blick auf alle TED Prize Gewinner werfen.</t>
  </si>
  <si>
    <t>Blick</t>
  </si>
  <si>
    <t>werfen</t>
  </si>
  <si>
    <t># text = Man sieht, wir surfen im Netz das erste Mal als ob es auch wirklich ein Netz ist, nicht nur von Seite zu Seite, sondern viel abstrakter.</t>
  </si>
  <si>
    <t>surfen</t>
  </si>
  <si>
    <t>Netz</t>
  </si>
  <si>
    <t>erste</t>
  </si>
  <si>
    <t>Mal</t>
  </si>
  <si>
    <t>ob</t>
  </si>
  <si>
    <t>Seite</t>
  </si>
  <si>
    <t>sondern</t>
  </si>
  <si>
    <t>viel</t>
  </si>
  <si>
    <t>abstrakter</t>
  </si>
  <si>
    <t># text = Und so möchte ich Ihnen was anderes zeigen was eine kleine Überraschung sein könnte.</t>
  </si>
  <si>
    <t>Überraschung</t>
  </si>
  <si>
    <t># text = Ich zeige Ihnen hier einfach nur die New York Times Website.</t>
  </si>
  <si>
    <t>New</t>
  </si>
  <si>
    <t>York</t>
  </si>
  <si>
    <t>Times</t>
  </si>
  <si>
    <t>Website</t>
  </si>
  <si>
    <t># text = Pivot, diese Anwendung -- Ich möchte es nicht einen Browser nennen;</t>
  </si>
  <si>
    <t>Anwendung</t>
  </si>
  <si>
    <t>Browser</t>
  </si>
  <si>
    <t>nennen</t>
  </si>
  <si>
    <t>;</t>
  </si>
  <si>
    <t># text = es ist wirklich kein Browser, aber man kann Webseiten damit ansehen -- und wir bringen diese Zoom-Technologie zu jeder einzelnen Webseite wie dieser.</t>
  </si>
  <si>
    <t>kein</t>
  </si>
  <si>
    <t>aber</t>
  </si>
  <si>
    <t>Webseiten</t>
  </si>
  <si>
    <t>bringen</t>
  </si>
  <si>
    <t>Zoom</t>
  </si>
  <si>
    <t>Technologie</t>
  </si>
  <si>
    <t>Webseite</t>
  </si>
  <si>
    <t># text = Ich kann also einen Schritt zurückgehen, und direkt zu einer spezifischen Sektion springen.</t>
  </si>
  <si>
    <t>spezifischen</t>
  </si>
  <si>
    <t>Sektion</t>
  </si>
  <si>
    <t># text = Das ist deshalb wichtig, weil man nur durch das Anschauen von Webseiten in dieser Art und Weise, den ganzen Internet-Verlauf auf die gleiche Art und Weise betrachten kann.</t>
  </si>
  <si>
    <t>deshalb</t>
  </si>
  <si>
    <t>durch</t>
  </si>
  <si>
    <t>Anschauen</t>
  </si>
  <si>
    <t>other_5</t>
  </si>
  <si>
    <t>ganzen</t>
  </si>
  <si>
    <t>Internet</t>
  </si>
  <si>
    <t>Verlauf</t>
  </si>
  <si>
    <t>gleiche</t>
  </si>
  <si>
    <t>betrachten</t>
  </si>
  <si>
    <t># text = Ich kann also in meinen Verlauf hineinzoomen in einem bestimmten Zeitrahmen.</t>
  </si>
  <si>
    <t>meinen</t>
  </si>
  <si>
    <t>einem</t>
  </si>
  <si>
    <t>Zeitrahmen</t>
  </si>
  <si>
    <t># text = Hier ist der Stand der gesamten Demonstration, die ich bis hierhin gehalten habe.</t>
  </si>
  <si>
    <t>Stand</t>
  </si>
  <si>
    <t>gesamten</t>
  </si>
  <si>
    <t>Demonstration</t>
  </si>
  <si>
    <t>bis</t>
  </si>
  <si>
    <t>gehalten</t>
  </si>
  <si>
    <t># text = Und ich kann sozusagen alles, was ich heute bisher angesehen habe, wieder zurückholen.</t>
  </si>
  <si>
    <t>sozusagen</t>
  </si>
  <si>
    <t>bisher</t>
  </si>
  <si>
    <t>angesehen</t>
  </si>
  <si>
    <t>wieder</t>
  </si>
  <si>
    <t>zurückholen</t>
  </si>
  <si>
    <t># text = Und, wenn ich wieder einen Schritt rausgehe und auf alles schaue, kann ich meinen Verlauf neu anordnen vielleicht nach meiner Such-Vergangenheit.</t>
  </si>
  <si>
    <t>rausgehe</t>
  </si>
  <si>
    <t>vielleicht</t>
  </si>
  <si>
    <t>meiner</t>
  </si>
  <si>
    <t>Such</t>
  </si>
  <si>
    <t>Vergangenheit</t>
  </si>
  <si>
    <t># text = Hier, habe ich nach 'nepotistisch' gesucht, hier nach Bing, oder hier nach Live Labs Pivot.</t>
  </si>
  <si>
    <t>nepotistisch</t>
  </si>
  <si>
    <t>gesucht</t>
  </si>
  <si>
    <t>Bing</t>
  </si>
  <si>
    <t>Live</t>
  </si>
  <si>
    <t>Labs</t>
  </si>
  <si>
    <t># text = Und von hier kann ich in die Seite hineingehen und sie wieder aufrufen.</t>
  </si>
  <si>
    <t>aufrufen</t>
  </si>
  <si>
    <t># text = Es ist eine Metapher, die immer wieder verwendet wird, und jedes Mal macht es das Gesamtbild größer als die Summe der Datenteile.</t>
  </si>
  <si>
    <t>Metapher</t>
  </si>
  <si>
    <t>immer</t>
  </si>
  <si>
    <t>verwendet</t>
  </si>
  <si>
    <t>jedes</t>
  </si>
  <si>
    <t>Gesamtbild</t>
  </si>
  <si>
    <t>Datenteile</t>
  </si>
  <si>
    <t># text = Im Moment, in dieser Welt, denken wir, dass Daten ein Fluch sind.</t>
  </si>
  <si>
    <t>In</t>
  </si>
  <si>
    <t>Moment</t>
  </si>
  <si>
    <t>Welt</t>
  </si>
  <si>
    <t>Fluch</t>
  </si>
  <si>
    <t># text = Wir reden von dem Fluch des Informationsüberflusses.</t>
  </si>
  <si>
    <t>Informationsüberflusses</t>
  </si>
  <si>
    <t># text = Wir reden vom \"Ertrinken in Informationen\".</t>
  </si>
  <si>
    <t>Ertrinken</t>
  </si>
  <si>
    <t># text = Was, wenn wir diese Situation umdrehen könnten und das Internet auf den Kopf stellen, so dass wir anstatt immer von einem zum anderen zu gehen, beginnen von vielen Dingen zu vielen Dingen gehen zu können, und dadurch Muster erkennen, welche ansonsten verborgen geblieben wären?</t>
  </si>
  <si>
    <t>Situation</t>
  </si>
  <si>
    <t>umdrehen</t>
  </si>
  <si>
    <t>könnten</t>
  </si>
  <si>
    <t>Kopf</t>
  </si>
  <si>
    <t>stellen</t>
  </si>
  <si>
    <t>anderen</t>
  </si>
  <si>
    <t>beginnen</t>
  </si>
  <si>
    <t>vielen</t>
  </si>
  <si>
    <t>Dingen</t>
  </si>
  <si>
    <t>dadurch</t>
  </si>
  <si>
    <t>OBJ_4</t>
  </si>
  <si>
    <t>welche</t>
  </si>
  <si>
    <t>verborgen</t>
  </si>
  <si>
    <t>geblieben</t>
  </si>
  <si>
    <t># text = Falls wir dies tun können, dann wird diese bisherige Datenfalle, vielleicht eine neue Quelle sinnvoller Informationen.</t>
  </si>
  <si>
    <t>bisherige</t>
  </si>
  <si>
    <t>Datenfalle</t>
  </si>
  <si>
    <t>neue</t>
  </si>
  <si>
    <t>Quelle</t>
  </si>
  <si>
    <t>sinnvoller</t>
  </si>
  <si>
    <t># text = Und, anstatt sich einfach nur in Informationen zu bewegen, können wir Wissen daraus bekommen.</t>
  </si>
  <si>
    <t>bewegen</t>
  </si>
  <si>
    <t>Wissen</t>
  </si>
  <si>
    <t>daraus</t>
  </si>
  <si>
    <t># text = Und wenn wir Wissen erfahren, dann können wir vielleicht sogar Weisheiten daraus ziehen.</t>
  </si>
  <si>
    <t>erfahren</t>
  </si>
  <si>
    <t>Weisheiten</t>
  </si>
  <si>
    <t># text = Damit höre ich auf, vielen Dank.</t>
  </si>
  <si>
    <t>Damit</t>
  </si>
  <si>
    <t>höre</t>
  </si>
  <si>
    <t>Dank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</si>
</sst>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66"/>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18</v>
      </c>
      <c r="D3" s="7" t="s">
        <v>19</v>
      </c>
      <c r="E3" s="8" t="s">
        <v>20</v>
      </c>
      <c r="F3" s="6" t="s">
        <v>21</v>
      </c>
      <c r="G3" s="9">
        <f>IF(A3=1,"_",IF(C3="_","???",C3))</f>
        <v/>
      </c>
      <c r="H3" s="10" t="s">
        <v>12</v>
      </c>
      <c r="I3" s="11" t="s">
        <v>12</v>
      </c>
      <c r="J3" s="12"/>
    </row>
    <row r="4" spans="1:10" ht="60" customHeight="1">
      <c r="A4" s="6" t="s">
        <v>22</v>
      </c>
      <c r="B4" s="6" t="s">
        <v>11</v>
      </c>
      <c r="C4" s="6" t="s">
        <v>12</v>
      </c>
      <c r="D4" s="7" t="s">
        <v>23</v>
      </c>
      <c r="E4" s="8" t="s">
        <v>24</v>
      </c>
      <c r="F4" s="6" t="s">
        <v>25</v>
      </c>
      <c r="G4" s="9">
        <f>IF(A4=1,"_",IF(C4="_","???",C4))</f>
        <v/>
      </c>
      <c r="H4" s="10" t="s">
        <v>12</v>
      </c>
      <c r="I4" s="11" t="s">
        <v>12</v>
      </c>
      <c r="J4" s="12"/>
    </row>
    <row r="5" spans="1:10" ht="60" customHeight="1">
      <c r="A5" s="6" t="s">
        <v>26</v>
      </c>
      <c r="B5" s="6" t="s">
        <v>27</v>
      </c>
      <c r="C5" s="6" t="s">
        <v>12</v>
      </c>
      <c r="D5" s="7" t="s">
        <v>28</v>
      </c>
      <c r="E5" s="8" t="s">
        <v>29</v>
      </c>
      <c r="F5" s="6" t="s">
        <v>30</v>
      </c>
      <c r="G5" s="9">
        <f>IF(A5=1,"_",IF(C5="_","???",C5))</f>
        <v/>
      </c>
      <c r="H5" s="10" t="s">
        <v>12</v>
      </c>
      <c r="I5" s="11" t="s">
        <v>12</v>
      </c>
      <c r="J5" s="12"/>
    </row>
    <row r="6" spans="1:10" ht="60" customHeight="1">
      <c r="A6" s="6" t="s">
        <v>31</v>
      </c>
      <c r="B6" s="6" t="s">
        <v>22</v>
      </c>
      <c r="C6" s="6" t="s">
        <v>12</v>
      </c>
      <c r="D6" s="7" t="s">
        <v>32</v>
      </c>
      <c r="E6" s="8" t="s">
        <v>33</v>
      </c>
      <c r="F6" s="6" t="s">
        <v>34</v>
      </c>
      <c r="G6" s="9">
        <f>IF(A6=1,"_",IF(C6="_","???",C6))</f>
        <v/>
      </c>
      <c r="H6" s="10" t="s">
        <v>12</v>
      </c>
      <c r="I6" s="11" t="s">
        <v>12</v>
      </c>
      <c r="J6" s="12"/>
    </row>
    <row r="7" spans="1:10" ht="60" customHeight="1">
      <c r="A7" s="6" t="s">
        <v>35</v>
      </c>
      <c r="B7" s="6" t="s">
        <v>36</v>
      </c>
      <c r="C7" s="6" t="s">
        <v>12</v>
      </c>
      <c r="D7" s="7" t="s">
        <v>37</v>
      </c>
      <c r="E7" s="8" t="s">
        <v>38</v>
      </c>
      <c r="F7" s="6" t="s">
        <v>39</v>
      </c>
      <c r="G7" s="9">
        <f>IF(A7=1,"_",IF(C7="_","???",C7))</f>
        <v/>
      </c>
      <c r="H7" s="10" t="s">
        <v>12</v>
      </c>
      <c r="I7" s="11" t="s">
        <v>12</v>
      </c>
      <c r="J7" s="12"/>
    </row>
    <row r="8" spans="1:10" ht="60" customHeight="1">
      <c r="A8" s="6" t="s">
        <v>17</v>
      </c>
      <c r="B8" s="6" t="s">
        <v>35</v>
      </c>
      <c r="C8" s="6" t="s">
        <v>12</v>
      </c>
      <c r="D8" s="7" t="s">
        <v>40</v>
      </c>
      <c r="E8" s="8" t="s">
        <v>41</v>
      </c>
      <c r="F8" s="6" t="s">
        <v>42</v>
      </c>
      <c r="G8" s="9">
        <f>IF(A8=1,"_",IF(C8="_","???",C8))</f>
        <v/>
      </c>
      <c r="H8" s="10" t="s">
        <v>12</v>
      </c>
      <c r="I8" s="11" t="s">
        <v>12</v>
      </c>
      <c r="J8" s="12"/>
    </row>
    <row r="9" spans="1:10" ht="60" customHeight="1">
      <c r="A9" s="6" t="s">
        <v>43</v>
      </c>
      <c r="B9" s="6" t="s">
        <v>44</v>
      </c>
      <c r="C9" s="6" t="s">
        <v>12</v>
      </c>
      <c r="D9" s="7" t="s">
        <v>45</v>
      </c>
      <c r="E9" s="8" t="s">
        <v>46</v>
      </c>
      <c r="F9" s="6" t="s">
        <v>47</v>
      </c>
      <c r="G9" s="9">
        <f>IF(A9=1,"_",IF(C9="_","???",C9))</f>
        <v/>
      </c>
      <c r="H9" s="10" t="s">
        <v>12</v>
      </c>
      <c r="I9" s="11" t="s">
        <v>12</v>
      </c>
      <c r="J9" s="12"/>
    </row>
    <row r="10" spans="1:10" ht="60" customHeight="1">
      <c r="A10" s="6" t="s">
        <v>11</v>
      </c>
      <c r="B10" s="6" t="s">
        <v>26</v>
      </c>
      <c r="C10" s="6" t="s">
        <v>12</v>
      </c>
      <c r="D10" s="7" t="s">
        <v>32</v>
      </c>
      <c r="E10" s="8" t="s">
        <v>48</v>
      </c>
      <c r="F10" s="6" t="s">
        <v>49</v>
      </c>
      <c r="G10" s="9">
        <f>IF(A10=1,"_",IF(C10="_","???",C10))</f>
        <v/>
      </c>
      <c r="H10" s="10" t="s">
        <v>12</v>
      </c>
      <c r="I10" s="11" t="s">
        <v>12</v>
      </c>
      <c r="J10" s="12"/>
    </row>
    <row r="11" spans="1:10" ht="60" customHeight="1">
      <c r="A11" s="6" t="s">
        <v>50</v>
      </c>
      <c r="B11" s="6" t="s">
        <v>27</v>
      </c>
      <c r="C11" s="6" t="s">
        <v>12</v>
      </c>
      <c r="D11" s="7" t="s">
        <v>51</v>
      </c>
      <c r="E11" s="8" t="s">
        <v>52</v>
      </c>
      <c r="F11" s="6" t="s">
        <v>53</v>
      </c>
      <c r="G11" s="9">
        <f>IF(A11=1,"_",IF(C11="_","???",C11))</f>
        <v/>
      </c>
      <c r="H11" s="10" t="s">
        <v>12</v>
      </c>
      <c r="I11" s="11" t="s">
        <v>12</v>
      </c>
      <c r="J11" s="12"/>
    </row>
    <row r="12" spans="1:10" ht="60" customHeight="1">
      <c r="A12" s="6" t="s">
        <v>54</v>
      </c>
      <c r="B12" s="6" t="s">
        <v>11</v>
      </c>
      <c r="C12" s="6" t="s">
        <v>55</v>
      </c>
      <c r="D12" s="7" t="s">
        <v>56</v>
      </c>
      <c r="E12" s="8" t="s">
        <v>57</v>
      </c>
      <c r="F12" s="6" t="s">
        <v>58</v>
      </c>
      <c r="G12" s="9">
        <f>IF(A12=1,"_",IF(C12="_","???",C12))</f>
        <v/>
      </c>
      <c r="H12" s="10" t="s">
        <v>12</v>
      </c>
      <c r="I12" s="11" t="s">
        <v>12</v>
      </c>
      <c r="J12" s="12"/>
    </row>
    <row r="13" spans="1:10" ht="60" customHeight="1">
      <c r="A13" s="6" t="s">
        <v>59</v>
      </c>
      <c r="B13" s="6" t="s">
        <v>31</v>
      </c>
      <c r="C13" s="6" t="s">
        <v>18</v>
      </c>
      <c r="D13" s="7" t="s">
        <v>60</v>
      </c>
      <c r="E13" s="8" t="s">
        <v>61</v>
      </c>
      <c r="F13" s="6" t="s">
        <v>62</v>
      </c>
      <c r="G13" s="9">
        <f>IF(A13=1,"_",IF(C13="_","???",C13))</f>
        <v/>
      </c>
      <c r="H13" s="10" t="s">
        <v>12</v>
      </c>
      <c r="I13" s="11" t="s">
        <v>12</v>
      </c>
      <c r="J13" s="12"/>
    </row>
    <row r="14" spans="1:10" ht="60" customHeight="1">
      <c r="A14" s="6" t="s">
        <v>63</v>
      </c>
      <c r="B14" s="6" t="s">
        <v>16</v>
      </c>
      <c r="C14" s="6" t="s">
        <v>12</v>
      </c>
      <c r="D14" s="7" t="s">
        <v>64</v>
      </c>
      <c r="E14" s="8" t="s">
        <v>65</v>
      </c>
      <c r="F14" s="6" t="s">
        <v>66</v>
      </c>
      <c r="G14" s="9">
        <f>IF(A14=1,"_",IF(C14="_","???",C14))</f>
        <v/>
      </c>
      <c r="H14" s="10" t="s">
        <v>12</v>
      </c>
      <c r="I14" s="11" t="s">
        <v>12</v>
      </c>
      <c r="J14" s="12"/>
    </row>
    <row r="15" spans="1:10" ht="60" customHeight="1">
      <c r="A15" s="6" t="s">
        <v>36</v>
      </c>
      <c r="B15" s="6" t="s">
        <v>16</v>
      </c>
      <c r="C15" s="6" t="s">
        <v>12</v>
      </c>
      <c r="D15" s="7" t="s">
        <v>67</v>
      </c>
      <c r="E15" s="8" t="s">
        <v>68</v>
      </c>
      <c r="F15" s="6" t="s">
        <v>69</v>
      </c>
      <c r="G15" s="9">
        <f>IF(A15=1,"_",IF(C15="_","???",C15))</f>
        <v/>
      </c>
      <c r="H15" s="10" t="s">
        <v>12</v>
      </c>
      <c r="I15" s="11" t="s">
        <v>12</v>
      </c>
      <c r="J15" s="12"/>
    </row>
    <row r="16" spans="1:10" ht="60" customHeight="1">
      <c r="A16" s="6" t="s">
        <v>70</v>
      </c>
      <c r="B16" s="6" t="s">
        <v>54</v>
      </c>
      <c r="C16" s="6" t="s">
        <v>12</v>
      </c>
      <c r="D16" s="7" t="s">
        <v>71</v>
      </c>
      <c r="E16" s="8" t="s">
        <v>72</v>
      </c>
      <c r="F16" s="6" t="s">
        <v>73</v>
      </c>
      <c r="G16" s="9">
        <f>IF(A16=1,"_",IF(C16="_","???",C16))</f>
        <v/>
      </c>
      <c r="H16" s="10" t="s">
        <v>12</v>
      </c>
      <c r="I16" s="11" t="s">
        <v>12</v>
      </c>
      <c r="J16" s="12"/>
    </row>
    <row r="17" spans="1:10" ht="60" customHeight="1">
      <c r="A17" s="6" t="s">
        <v>44</v>
      </c>
      <c r="B17" s="6" t="s">
        <v>31</v>
      </c>
      <c r="C17" s="6" t="s">
        <v>12</v>
      </c>
      <c r="D17" s="7" t="s">
        <v>74</v>
      </c>
      <c r="E17" s="8" t="s">
        <v>75</v>
      </c>
      <c r="F17" s="6" t="s">
        <v>76</v>
      </c>
      <c r="G17" s="9">
        <f>IF(A17=1,"_",IF(C17="_","???",C17))</f>
        <v/>
      </c>
      <c r="H17" s="10" t="s">
        <v>12</v>
      </c>
      <c r="I17" s="11" t="s">
        <v>12</v>
      </c>
      <c r="J17" s="12"/>
    </row>
    <row r="18" spans="1:10" ht="60" customHeight="1">
      <c r="A18" s="6" t="s">
        <v>77</v>
      </c>
      <c r="B18" s="6" t="s">
        <v>22</v>
      </c>
      <c r="C18" s="6" t="s">
        <v>12</v>
      </c>
      <c r="D18" s="7" t="s">
        <v>74</v>
      </c>
      <c r="E18" s="8" t="s">
        <v>78</v>
      </c>
      <c r="F18" s="6" t="s">
        <v>79</v>
      </c>
      <c r="G18" s="9">
        <f>IF(A18=1,"_",IF(C18="_","???",C18))</f>
        <v/>
      </c>
      <c r="H18" s="10" t="s">
        <v>12</v>
      </c>
      <c r="I18" s="11" t="s">
        <v>12</v>
      </c>
      <c r="J18" s="12"/>
    </row>
    <row r="19" spans="1:10" ht="60" customHeight="1">
      <c r="A19" s="6" t="s">
        <v>80</v>
      </c>
      <c r="B19" s="6" t="s">
        <v>43</v>
      </c>
      <c r="C19" s="6" t="s">
        <v>12</v>
      </c>
      <c r="D19" s="7" t="s">
        <v>81</v>
      </c>
      <c r="E19" s="8" t="s">
        <v>82</v>
      </c>
      <c r="F19" s="6" t="s">
        <v>83</v>
      </c>
      <c r="G19" s="9">
        <f>IF(A19=1,"_",IF(C19="_","???",C19))</f>
        <v/>
      </c>
      <c r="H19" s="10" t="s">
        <v>12</v>
      </c>
      <c r="I19" s="11" t="s">
        <v>12</v>
      </c>
      <c r="J19" s="12"/>
    </row>
    <row r="20" spans="1:10" ht="60" customHeight="1">
      <c r="A20" s="6" t="s">
        <v>84</v>
      </c>
      <c r="B20" s="6" t="s">
        <v>50</v>
      </c>
      <c r="C20" s="6" t="s">
        <v>12</v>
      </c>
      <c r="D20" s="7" t="s">
        <v>85</v>
      </c>
      <c r="E20" s="8" t="s">
        <v>86</v>
      </c>
      <c r="F20" s="6" t="s">
        <v>87</v>
      </c>
      <c r="G20" s="9">
        <f>IF(A20=1,"_",IF(C20="_","???",C20))</f>
        <v/>
      </c>
      <c r="H20" s="10" t="s">
        <v>12</v>
      </c>
      <c r="I20" s="11" t="s">
        <v>12</v>
      </c>
      <c r="J20" s="12"/>
    </row>
    <row r="21" spans="1:10" ht="60" customHeight="1">
      <c r="A21" s="6" t="s">
        <v>88</v>
      </c>
      <c r="B21" s="6" t="s">
        <v>16</v>
      </c>
      <c r="C21" s="6" t="s">
        <v>12</v>
      </c>
      <c r="D21" s="7" t="s">
        <v>89</v>
      </c>
      <c r="E21" s="8" t="s">
        <v>90</v>
      </c>
      <c r="F21" s="6" t="s">
        <v>91</v>
      </c>
      <c r="G21" s="9">
        <f>IF(A21=1,"_",IF(C21="_","???",C21))</f>
        <v/>
      </c>
      <c r="H21" s="10" t="s">
        <v>12</v>
      </c>
      <c r="I21" s="11" t="s">
        <v>12</v>
      </c>
      <c r="J21" s="12"/>
    </row>
    <row r="22" spans="1:10" ht="60" customHeight="1">
      <c r="A22" s="6" t="s">
        <v>92</v>
      </c>
      <c r="B22" s="6" t="s">
        <v>77</v>
      </c>
      <c r="C22" s="6" t="s">
        <v>12</v>
      </c>
      <c r="D22" s="7" t="s">
        <v>93</v>
      </c>
      <c r="E22" s="8" t="s">
        <v>94</v>
      </c>
      <c r="F22" s="6" t="s">
        <v>95</v>
      </c>
      <c r="G22" s="9">
        <f>IF(A22=1,"_",IF(C22="_","???",C22))</f>
        <v/>
      </c>
      <c r="H22" s="10" t="s">
        <v>12</v>
      </c>
      <c r="I22" s="11" t="s">
        <v>12</v>
      </c>
      <c r="J22" s="12"/>
    </row>
    <row r="23" spans="1:10" ht="60" customHeight="1">
      <c r="A23" s="6" t="s">
        <v>27</v>
      </c>
      <c r="B23" s="6" t="s">
        <v>16</v>
      </c>
      <c r="C23" s="6" t="s">
        <v>12</v>
      </c>
      <c r="D23" s="7" t="s">
        <v>96</v>
      </c>
      <c r="E23" s="8" t="s">
        <v>97</v>
      </c>
      <c r="F23" s="6" t="s">
        <v>98</v>
      </c>
      <c r="G23" s="9">
        <f>IF(A23=1,"_",IF(C23="_","???",C23))</f>
        <v/>
      </c>
      <c r="H23" s="10" t="s">
        <v>12</v>
      </c>
      <c r="I23" s="11" t="s">
        <v>12</v>
      </c>
      <c r="J23" s="12"/>
    </row>
    <row r="24" spans="1:10" ht="60" customHeight="1">
      <c r="A24" s="6" t="s">
        <v>99</v>
      </c>
      <c r="B24" s="6" t="s">
        <v>16</v>
      </c>
      <c r="C24" s="6" t="s">
        <v>12</v>
      </c>
      <c r="D24" s="7" t="s">
        <v>32</v>
      </c>
      <c r="E24" s="8" t="s">
        <v>100</v>
      </c>
      <c r="F24" s="6" t="s">
        <v>101</v>
      </c>
      <c r="G24" s="9">
        <f>IF(A24=1,"_",IF(C24="_","???",C24))</f>
        <v/>
      </c>
      <c r="H24" s="10" t="s">
        <v>12</v>
      </c>
      <c r="I24" s="11" t="s">
        <v>12</v>
      </c>
      <c r="J24" s="12"/>
    </row>
    <row r="25" spans="1:10" ht="60" customHeight="1">
      <c r="A25" s="6" t="s">
        <v>102</v>
      </c>
      <c r="B25" s="6" t="s">
        <v>103</v>
      </c>
      <c r="C25" s="6" t="s">
        <v>12</v>
      </c>
      <c r="D25" s="7" t="s">
        <v>104</v>
      </c>
      <c r="E25" s="8" t="s">
        <v>105</v>
      </c>
      <c r="F25" s="6" t="s">
        <v>106</v>
      </c>
      <c r="G25" s="9">
        <f>IF(A25=1,"_",IF(C25="_","???",C25))</f>
        <v/>
      </c>
      <c r="H25" s="10" t="s">
        <v>12</v>
      </c>
      <c r="I25" s="11" t="s">
        <v>12</v>
      </c>
      <c r="J25" s="12"/>
    </row>
    <row r="26" spans="1:10" ht="60" customHeight="1">
      <c r="A26" s="6" t="s">
        <v>107</v>
      </c>
      <c r="B26" s="6" t="s">
        <v>16</v>
      </c>
      <c r="C26" s="6" t="s">
        <v>12</v>
      </c>
      <c r="D26" s="7" t="s">
        <v>108</v>
      </c>
      <c r="E26" s="8" t="s">
        <v>109</v>
      </c>
      <c r="F26" s="6" t="s">
        <v>110</v>
      </c>
      <c r="G26" s="9">
        <f>IF(A26=1,"_",IF(C26="_","???",C26))</f>
        <v/>
      </c>
      <c r="H26" s="10" t="s">
        <v>12</v>
      </c>
      <c r="I26" s="11" t="s">
        <v>12</v>
      </c>
      <c r="J26" s="12"/>
    </row>
    <row r="27" spans="1:10" ht="60" customHeight="1">
      <c r="A27" s="6" t="s">
        <v>111</v>
      </c>
      <c r="B27" s="6" t="s">
        <v>16</v>
      </c>
      <c r="C27" s="6" t="s">
        <v>12</v>
      </c>
      <c r="D27" s="7" t="s">
        <v>112</v>
      </c>
      <c r="E27" s="8" t="s">
        <v>113</v>
      </c>
      <c r="F27" s="6" t="s">
        <v>114</v>
      </c>
      <c r="G27" s="9">
        <f>IF(A27=1,"_",IF(C27="_","???",C27))</f>
        <v/>
      </c>
      <c r="H27" s="10" t="s">
        <v>12</v>
      </c>
      <c r="I27" s="11" t="s">
        <v>12</v>
      </c>
      <c r="J27" s="12"/>
    </row>
    <row r="28" spans="1:10" ht="60" customHeight="1">
      <c r="A28" s="6" t="s">
        <v>103</v>
      </c>
      <c r="B28" s="6" t="s">
        <v>11</v>
      </c>
      <c r="C28" s="6" t="s">
        <v>18</v>
      </c>
      <c r="D28" s="7" t="s">
        <v>115</v>
      </c>
      <c r="E28" s="8" t="s">
        <v>116</v>
      </c>
      <c r="F28" s="6" t="s">
        <v>117</v>
      </c>
      <c r="G28" s="9">
        <f>IF(A28=1,"_",IF(C28="_","???",C28))</f>
        <v/>
      </c>
      <c r="H28" s="10" t="s">
        <v>12</v>
      </c>
      <c r="I28" s="11" t="s">
        <v>12</v>
      </c>
      <c r="J28" s="12"/>
    </row>
    <row r="29" spans="1:10" ht="60" customHeight="1">
      <c r="A29" s="6" t="s">
        <v>118</v>
      </c>
      <c r="B29" s="6" t="s">
        <v>63</v>
      </c>
      <c r="C29" s="6" t="s">
        <v>18</v>
      </c>
      <c r="D29" s="7" t="s">
        <v>119</v>
      </c>
      <c r="E29" s="8" t="s">
        <v>120</v>
      </c>
      <c r="F29" s="6" t="s">
        <v>121</v>
      </c>
      <c r="G29" s="9">
        <f>IF(A29=1,"_",IF(C29="_","???",C29))</f>
        <v/>
      </c>
      <c r="H29" s="10" t="s">
        <v>12</v>
      </c>
      <c r="I29" s="11" t="s">
        <v>12</v>
      </c>
      <c r="J29" s="12"/>
    </row>
    <row r="30" spans="1:10" ht="60" customHeight="1">
      <c r="A30" s="6" t="s">
        <v>122</v>
      </c>
      <c r="B30" s="6" t="s">
        <v>22</v>
      </c>
      <c r="C30" s="6" t="s">
        <v>12</v>
      </c>
      <c r="D30" s="7" t="s">
        <v>123</v>
      </c>
      <c r="E30" s="8" t="s">
        <v>124</v>
      </c>
      <c r="F30" s="6" t="s">
        <v>125</v>
      </c>
      <c r="G30" s="9">
        <f>IF(A30=1,"_",IF(C30="_","???",C30))</f>
        <v/>
      </c>
      <c r="H30" s="10" t="s">
        <v>12</v>
      </c>
      <c r="I30" s="11" t="s">
        <v>12</v>
      </c>
      <c r="J30" s="12"/>
    </row>
    <row r="31" spans="1:10" ht="60" customHeight="1">
      <c r="A31" s="6" t="s">
        <v>126</v>
      </c>
      <c r="B31" s="6" t="s">
        <v>16</v>
      </c>
      <c r="C31" s="6" t="s">
        <v>12</v>
      </c>
      <c r="D31" s="7" t="s">
        <v>127</v>
      </c>
      <c r="E31" s="8" t="s">
        <v>128</v>
      </c>
      <c r="F31" s="6" t="s">
        <v>129</v>
      </c>
      <c r="G31" s="9">
        <f>IF(A31=1,"_",IF(C31="_","???",C31))</f>
        <v/>
      </c>
      <c r="H31" s="10" t="s">
        <v>12</v>
      </c>
      <c r="I31" s="11" t="s">
        <v>12</v>
      </c>
      <c r="J31" s="12"/>
    </row>
    <row r="32" spans="1:10" ht="60" customHeight="1">
      <c r="A32" s="6" t="s">
        <v>130</v>
      </c>
      <c r="B32" s="6" t="s">
        <v>59</v>
      </c>
      <c r="C32" s="6" t="s">
        <v>12</v>
      </c>
      <c r="D32" s="7" t="s">
        <v>131</v>
      </c>
      <c r="E32" s="8" t="s">
        <v>132</v>
      </c>
      <c r="F32" s="6" t="s">
        <v>133</v>
      </c>
      <c r="G32" s="9">
        <f>IF(A32=1,"_",IF(C32="_","???",C32))</f>
        <v/>
      </c>
      <c r="H32" s="10" t="s">
        <v>12</v>
      </c>
      <c r="I32" s="11" t="s">
        <v>12</v>
      </c>
      <c r="J32" s="12"/>
    </row>
    <row r="33" spans="1:10" ht="60" customHeight="1">
      <c r="A33" s="6" t="s">
        <v>134</v>
      </c>
      <c r="B33" s="6" t="s">
        <v>16</v>
      </c>
      <c r="C33" s="6" t="s">
        <v>12</v>
      </c>
      <c r="D33" s="7" t="s">
        <v>135</v>
      </c>
      <c r="E33" s="8" t="s">
        <v>136</v>
      </c>
      <c r="F33" s="6" t="s">
        <v>137</v>
      </c>
      <c r="G33" s="9">
        <f>IF(A33=1,"_",IF(C33="_","???",C33))</f>
        <v/>
      </c>
      <c r="H33" s="10" t="s">
        <v>12</v>
      </c>
      <c r="I33" s="11" t="s">
        <v>12</v>
      </c>
      <c r="J33" s="12"/>
    </row>
    <row r="34" spans="1:10" ht="60" customHeight="1">
      <c r="A34" s="6" t="s">
        <v>138</v>
      </c>
      <c r="B34" s="6" t="s">
        <v>11</v>
      </c>
      <c r="C34" s="6" t="s">
        <v>12</v>
      </c>
      <c r="D34" s="7" t="s">
        <v>139</v>
      </c>
      <c r="E34" s="8" t="s">
        <v>140</v>
      </c>
      <c r="F34" s="6" t="s">
        <v>141</v>
      </c>
      <c r="G34" s="9">
        <f>IF(A34=1,"_",IF(C34="_","???",C34))</f>
        <v/>
      </c>
      <c r="H34" s="10" t="s">
        <v>12</v>
      </c>
      <c r="I34" s="11" t="s">
        <v>12</v>
      </c>
      <c r="J34" s="12"/>
    </row>
    <row r="35" spans="1:10" ht="60" customHeight="1">
      <c r="A35" s="6" t="s">
        <v>142</v>
      </c>
      <c r="B35" s="6" t="s">
        <v>130</v>
      </c>
      <c r="C35" s="6" t="s">
        <v>143</v>
      </c>
      <c r="D35" s="7" t="s">
        <v>144</v>
      </c>
      <c r="E35" s="8" t="s">
        <v>145</v>
      </c>
      <c r="F35" s="6" t="s">
        <v>146</v>
      </c>
      <c r="G35" s="9">
        <f>IF(A35=1,"_",IF(C35="_","???",C35))</f>
        <v/>
      </c>
      <c r="H35" s="10" t="s">
        <v>12</v>
      </c>
      <c r="I35" s="11" t="s">
        <v>12</v>
      </c>
      <c r="J35" s="12"/>
    </row>
    <row r="36" spans="1:10" ht="60" customHeight="1">
      <c r="A36" s="6" t="s">
        <v>147</v>
      </c>
      <c r="B36" s="6" t="s">
        <v>16</v>
      </c>
      <c r="C36" s="6" t="s">
        <v>12</v>
      </c>
      <c r="D36" s="7" t="s">
        <v>148</v>
      </c>
      <c r="E36" s="8" t="s">
        <v>149</v>
      </c>
      <c r="F36" s="6" t="s">
        <v>150</v>
      </c>
      <c r="G36" s="9">
        <f>IF(A36=1,"_",IF(C36="_","???",C36))</f>
        <v/>
      </c>
      <c r="H36" s="10" t="s">
        <v>12</v>
      </c>
      <c r="I36" s="11" t="s">
        <v>12</v>
      </c>
      <c r="J36" s="12"/>
    </row>
    <row r="37" spans="1:10" ht="60" customHeight="1">
      <c r="A37" s="6" t="s">
        <v>151</v>
      </c>
      <c r="B37" s="6" t="s">
        <v>31</v>
      </c>
      <c r="C37" s="6" t="s">
        <v>12</v>
      </c>
      <c r="D37" s="7" t="s">
        <v>152</v>
      </c>
      <c r="E37" s="8" t="s">
        <v>153</v>
      </c>
      <c r="F37" s="6" t="s">
        <v>154</v>
      </c>
      <c r="G37" s="9">
        <f>IF(A37=1,"_",IF(C37="_","???",C37))</f>
        <v/>
      </c>
      <c r="H37" s="10" t="s">
        <v>12</v>
      </c>
      <c r="I37" s="11" t="s">
        <v>12</v>
      </c>
      <c r="J37" s="12"/>
    </row>
    <row r="38" spans="1:10" ht="60" customHeight="1">
      <c r="A38" s="6" t="s">
        <v>155</v>
      </c>
      <c r="B38" s="6" t="s">
        <v>92</v>
      </c>
      <c r="C38" s="6" t="s">
        <v>12</v>
      </c>
      <c r="D38" s="7" t="s">
        <v>96</v>
      </c>
      <c r="E38" s="8" t="s">
        <v>156</v>
      </c>
      <c r="F38" s="6" t="s">
        <v>157</v>
      </c>
      <c r="G38" s="9">
        <f>IF(A38=1,"_",IF(C38="_","???",C38))</f>
        <v/>
      </c>
      <c r="H38" s="10" t="s">
        <v>12</v>
      </c>
      <c r="I38" s="11" t="s">
        <v>12</v>
      </c>
      <c r="J38" s="12"/>
    </row>
    <row r="39" spans="1:10" ht="60" customHeight="1">
      <c r="A39" s="6" t="s">
        <v>158</v>
      </c>
      <c r="B39" s="6" t="s">
        <v>43</v>
      </c>
      <c r="C39" s="6" t="s">
        <v>12</v>
      </c>
      <c r="D39" s="7" t="s">
        <v>152</v>
      </c>
      <c r="E39" s="8" t="s">
        <v>159</v>
      </c>
      <c r="F39" s="6" t="s">
        <v>160</v>
      </c>
      <c r="G39" s="9">
        <f>IF(A39=1,"_",IF(C39="_","???",C39))</f>
        <v/>
      </c>
      <c r="H39" s="10" t="s">
        <v>12</v>
      </c>
      <c r="I39" s="11" t="s">
        <v>12</v>
      </c>
      <c r="J39" s="12"/>
    </row>
    <row r="40" spans="1:10" ht="60" customHeight="1">
      <c r="A40" s="6" t="s">
        <v>161</v>
      </c>
      <c r="B40" s="6" t="s">
        <v>16</v>
      </c>
      <c r="C40" s="6" t="s">
        <v>12</v>
      </c>
      <c r="D40" s="7" t="s">
        <v>162</v>
      </c>
      <c r="E40" s="8" t="s">
        <v>163</v>
      </c>
      <c r="F40" s="6" t="s">
        <v>164</v>
      </c>
      <c r="G40" s="9">
        <f>IF(A40=1,"_",IF(C40="_","???",C40))</f>
        <v/>
      </c>
      <c r="H40" s="10" t="s">
        <v>12</v>
      </c>
      <c r="I40" s="11" t="s">
        <v>12</v>
      </c>
      <c r="J40" s="12"/>
    </row>
    <row r="41" spans="1:10" ht="60" customHeight="1">
      <c r="A41" s="6" t="s">
        <v>165</v>
      </c>
      <c r="B41" s="6" t="s">
        <v>35</v>
      </c>
      <c r="C41" s="6" t="s">
        <v>12</v>
      </c>
      <c r="D41" s="7" t="s">
        <v>162</v>
      </c>
      <c r="E41" s="8" t="s">
        <v>166</v>
      </c>
      <c r="F41" s="6" t="s">
        <v>167</v>
      </c>
      <c r="G41" s="9">
        <f>IF(A41=1,"_",IF(C41="_","???",C41))</f>
        <v/>
      </c>
      <c r="H41" s="10" t="s">
        <v>12</v>
      </c>
      <c r="I41" s="11" t="s">
        <v>12</v>
      </c>
      <c r="J41" s="12"/>
    </row>
    <row r="42" spans="1:10" ht="60" customHeight="1">
      <c r="A42" s="6" t="s">
        <v>168</v>
      </c>
      <c r="B42" s="6" t="s">
        <v>16</v>
      </c>
      <c r="C42" s="6" t="s">
        <v>12</v>
      </c>
      <c r="D42" s="7" t="s">
        <v>169</v>
      </c>
      <c r="E42" s="8" t="s">
        <v>170</v>
      </c>
      <c r="F42" s="6" t="s">
        <v>171</v>
      </c>
      <c r="G42" s="9">
        <f>IF(A42=1,"_",IF(C42="_","???",C42))</f>
        <v/>
      </c>
      <c r="H42" s="10" t="s">
        <v>12</v>
      </c>
      <c r="I42" s="11" t="s">
        <v>12</v>
      </c>
      <c r="J42" s="12"/>
    </row>
    <row r="43" spans="1:10" ht="60" customHeight="1">
      <c r="A43" s="6" t="s">
        <v>172</v>
      </c>
      <c r="B43" s="6" t="s">
        <v>22</v>
      </c>
      <c r="C43" s="6" t="s">
        <v>12</v>
      </c>
      <c r="D43" s="7" t="s">
        <v>162</v>
      </c>
      <c r="E43" s="8" t="s">
        <v>173</v>
      </c>
      <c r="F43" s="6" t="s">
        <v>174</v>
      </c>
      <c r="G43" s="9">
        <f>IF(A43=1,"_",IF(C43="_","???",C43))</f>
        <v/>
      </c>
      <c r="H43" s="10" t="s">
        <v>12</v>
      </c>
      <c r="I43" s="11" t="s">
        <v>12</v>
      </c>
      <c r="J43" s="12"/>
    </row>
    <row r="44" spans="1:10" ht="60" customHeight="1">
      <c r="A44" s="6" t="s">
        <v>175</v>
      </c>
      <c r="B44" s="6" t="s">
        <v>22</v>
      </c>
      <c r="C44" s="6" t="s">
        <v>12</v>
      </c>
      <c r="D44" s="7" t="s">
        <v>176</v>
      </c>
      <c r="E44" s="8" t="s">
        <v>177</v>
      </c>
      <c r="F44" s="6" t="s">
        <v>178</v>
      </c>
      <c r="G44" s="9">
        <f>IF(A44=1,"_",IF(C44="_","???",C44))</f>
        <v/>
      </c>
      <c r="H44" s="10" t="s">
        <v>12</v>
      </c>
      <c r="I44" s="11" t="s">
        <v>12</v>
      </c>
      <c r="J44" s="12"/>
    </row>
    <row r="45" spans="1:10" ht="60" customHeight="1">
      <c r="A45" s="6" t="s">
        <v>179</v>
      </c>
      <c r="B45" s="6" t="s">
        <v>31</v>
      </c>
      <c r="C45" s="6" t="s">
        <v>12</v>
      </c>
      <c r="D45" s="7" t="s">
        <v>81</v>
      </c>
      <c r="E45" s="8" t="s">
        <v>180</v>
      </c>
      <c r="F45" s="6" t="s">
        <v>181</v>
      </c>
      <c r="G45" s="9">
        <f>IF(A45=1,"_",IF(C45="_","???",C45))</f>
        <v/>
      </c>
      <c r="H45" s="10" t="s">
        <v>12</v>
      </c>
      <c r="I45" s="11" t="s">
        <v>12</v>
      </c>
      <c r="J45" s="12"/>
    </row>
    <row r="46" spans="1:10" ht="60" customHeight="1">
      <c r="A46" s="6" t="s">
        <v>182</v>
      </c>
      <c r="B46" s="6" t="s">
        <v>16</v>
      </c>
      <c r="C46" s="6" t="s">
        <v>12</v>
      </c>
      <c r="D46" s="7" t="s">
        <v>32</v>
      </c>
      <c r="E46" s="8" t="s">
        <v>183</v>
      </c>
      <c r="F46" s="6" t="s">
        <v>184</v>
      </c>
      <c r="G46" s="9">
        <f>IF(A46=1,"_",IF(C46="_","???",C46))</f>
        <v/>
      </c>
      <c r="H46" s="10" t="s">
        <v>12</v>
      </c>
      <c r="I46" s="11" t="s">
        <v>12</v>
      </c>
      <c r="J46" s="12"/>
    </row>
    <row r="47" spans="1:10" ht="60" customHeight="1">
      <c r="A47" s="6" t="s">
        <v>185</v>
      </c>
      <c r="B47" s="6" t="s">
        <v>43</v>
      </c>
      <c r="C47" s="6" t="s">
        <v>18</v>
      </c>
      <c r="D47" s="7" t="s">
        <v>127</v>
      </c>
      <c r="E47" s="8" t="s">
        <v>186</v>
      </c>
      <c r="F47" s="6" t="s">
        <v>187</v>
      </c>
      <c r="G47" s="9">
        <f>IF(A47=1,"_",IF(C47="_","???",C47))</f>
        <v/>
      </c>
      <c r="H47" s="10" t="s">
        <v>12</v>
      </c>
      <c r="I47" s="11" t="s">
        <v>12</v>
      </c>
      <c r="J47" s="12"/>
    </row>
    <row r="48" spans="1:10" ht="60" customHeight="1">
      <c r="A48" s="6" t="s">
        <v>188</v>
      </c>
      <c r="B48" s="6" t="s">
        <v>16</v>
      </c>
      <c r="C48" s="6" t="s">
        <v>12</v>
      </c>
      <c r="D48" s="7" t="s">
        <v>127</v>
      </c>
      <c r="E48" s="8" t="s">
        <v>189</v>
      </c>
      <c r="F48" s="6" t="s">
        <v>190</v>
      </c>
      <c r="G48" s="9">
        <f>IF(A48=1,"_",IF(C48="_","???",C48))</f>
        <v/>
      </c>
      <c r="H48" s="10" t="s">
        <v>12</v>
      </c>
      <c r="I48" s="11" t="s">
        <v>12</v>
      </c>
      <c r="J48" s="12"/>
    </row>
    <row r="49" spans="1:10" ht="60" customHeight="1">
      <c r="A49" s="6" t="s">
        <v>191</v>
      </c>
      <c r="B49" s="6" t="s">
        <v>10</v>
      </c>
      <c r="C49" s="6" t="s">
        <v>12</v>
      </c>
      <c r="D49" s="7" t="s">
        <v>192</v>
      </c>
      <c r="E49" s="8" t="s">
        <v>193</v>
      </c>
      <c r="F49" s="6" t="s">
        <v>194</v>
      </c>
      <c r="G49" s="9">
        <f>IF(A49=1,"_",IF(C49="_","???",C49))</f>
        <v/>
      </c>
      <c r="H49" s="10" t="s">
        <v>12</v>
      </c>
      <c r="I49" s="11" t="s">
        <v>12</v>
      </c>
      <c r="J49" s="12"/>
    </row>
    <row r="50" spans="1:10" ht="60" customHeight="1">
      <c r="A50" s="6" t="s">
        <v>195</v>
      </c>
      <c r="B50" s="6" t="s">
        <v>16</v>
      </c>
      <c r="C50" s="6" t="s">
        <v>12</v>
      </c>
      <c r="D50" s="7" t="s">
        <v>196</v>
      </c>
      <c r="E50" s="8" t="s">
        <v>197</v>
      </c>
      <c r="F50" s="6" t="s">
        <v>198</v>
      </c>
      <c r="G50" s="9">
        <f>IF(A50=1,"_",IF(C50="_","???",C50))</f>
        <v/>
      </c>
      <c r="H50" s="10" t="s">
        <v>12</v>
      </c>
      <c r="I50" s="11" t="s">
        <v>12</v>
      </c>
      <c r="J50" s="12"/>
    </row>
    <row r="51" spans="1:10" ht="60" customHeight="1">
      <c r="A51" s="6" t="s">
        <v>199</v>
      </c>
      <c r="B51" s="6" t="s">
        <v>35</v>
      </c>
      <c r="C51" s="6" t="s">
        <v>12</v>
      </c>
      <c r="D51" s="7" t="s">
        <v>200</v>
      </c>
      <c r="E51" s="8" t="s">
        <v>201</v>
      </c>
      <c r="F51" s="6" t="s">
        <v>202</v>
      </c>
      <c r="G51" s="9">
        <f>IF(A51=1,"_",IF(C51="_","???",C51))</f>
        <v/>
      </c>
      <c r="H51" s="10" t="s">
        <v>12</v>
      </c>
      <c r="I51" s="11" t="s">
        <v>12</v>
      </c>
      <c r="J51" s="12"/>
    </row>
    <row r="52" spans="1:10" ht="60" customHeight="1">
      <c r="A52" s="6" t="s">
        <v>203</v>
      </c>
      <c r="B52" s="6" t="s">
        <v>16</v>
      </c>
      <c r="C52" s="6" t="s">
        <v>12</v>
      </c>
      <c r="D52" s="7" t="s">
        <v>148</v>
      </c>
      <c r="E52" s="8" t="s">
        <v>204</v>
      </c>
      <c r="F52" s="6" t="s">
        <v>205</v>
      </c>
      <c r="G52" s="9">
        <f>IF(A52=1,"_",IF(C52="_","???",C52))</f>
        <v/>
      </c>
      <c r="H52" s="10" t="s">
        <v>12</v>
      </c>
      <c r="I52" s="11" t="s">
        <v>12</v>
      </c>
      <c r="J52" s="12"/>
    </row>
    <row r="53" spans="1:10" ht="60" customHeight="1">
      <c r="A53" s="6" t="s">
        <v>206</v>
      </c>
      <c r="B53" s="6" t="s">
        <v>17</v>
      </c>
      <c r="C53" s="6" t="s">
        <v>12</v>
      </c>
      <c r="D53" s="7" t="s">
        <v>207</v>
      </c>
      <c r="E53" s="8" t="s">
        <v>208</v>
      </c>
      <c r="F53" s="6" t="s">
        <v>209</v>
      </c>
      <c r="G53" s="9">
        <f>IF(A53=1,"_",IF(C53="_","???",C53))</f>
        <v/>
      </c>
      <c r="H53" s="10" t="s">
        <v>12</v>
      </c>
      <c r="I53" s="11" t="s">
        <v>12</v>
      </c>
      <c r="J53" s="12"/>
    </row>
    <row r="54" spans="1:10" ht="60" customHeight="1">
      <c r="A54" s="6" t="s">
        <v>210</v>
      </c>
      <c r="B54" s="6" t="s">
        <v>16</v>
      </c>
      <c r="C54" s="6" t="s">
        <v>12</v>
      </c>
      <c r="D54" s="7" t="s">
        <v>211</v>
      </c>
      <c r="E54" s="8" t="s">
        <v>212</v>
      </c>
      <c r="F54" s="6" t="s">
        <v>213</v>
      </c>
      <c r="G54" s="9">
        <f>IF(A54=1,"_",IF(C54="_","???",C54))</f>
        <v/>
      </c>
      <c r="H54" s="10" t="s">
        <v>12</v>
      </c>
      <c r="I54" s="11" t="s">
        <v>12</v>
      </c>
      <c r="J54" s="12"/>
    </row>
    <row r="55" spans="1:10" ht="60" customHeight="1">
      <c r="A55" s="6" t="s">
        <v>214</v>
      </c>
      <c r="B55" s="6" t="s">
        <v>54</v>
      </c>
      <c r="C55" s="6" t="s">
        <v>18</v>
      </c>
      <c r="D55" s="7" t="s">
        <v>215</v>
      </c>
      <c r="E55" s="8" t="s">
        <v>216</v>
      </c>
      <c r="F55" s="6" t="s">
        <v>217</v>
      </c>
      <c r="G55" s="9">
        <f>IF(A55=1,"_",IF(C55="_","???",C55))</f>
        <v/>
      </c>
      <c r="H55" s="10" t="s">
        <v>12</v>
      </c>
      <c r="I55" s="11" t="s">
        <v>12</v>
      </c>
      <c r="J55" s="12"/>
    </row>
    <row r="56" spans="1:10" ht="60" customHeight="1">
      <c r="A56" s="6" t="s">
        <v>218</v>
      </c>
      <c r="B56" s="6" t="s">
        <v>84</v>
      </c>
      <c r="C56" s="6" t="s">
        <v>12</v>
      </c>
      <c r="D56" s="7" t="s">
        <v>219</v>
      </c>
      <c r="E56" s="8" t="s">
        <v>220</v>
      </c>
      <c r="F56" s="6" t="s">
        <v>221</v>
      </c>
      <c r="G56" s="9">
        <f>IF(A56=1,"_",IF(C56="_","???",C56))</f>
        <v/>
      </c>
      <c r="H56" s="10" t="s">
        <v>12</v>
      </c>
      <c r="I56" s="11" t="s">
        <v>12</v>
      </c>
      <c r="J56" s="12"/>
    </row>
    <row r="57" spans="1:10" ht="60" customHeight="1">
      <c r="A57" s="6" t="s">
        <v>222</v>
      </c>
      <c r="B57" s="6" t="s">
        <v>11</v>
      </c>
      <c r="C57" s="6" t="s">
        <v>12</v>
      </c>
      <c r="D57" s="7" t="s">
        <v>104</v>
      </c>
      <c r="E57" s="8" t="s">
        <v>223</v>
      </c>
      <c r="F57" s="6" t="s">
        <v>224</v>
      </c>
      <c r="G57" s="9">
        <f>IF(A57=1,"_",IF(C57="_","???",C57))</f>
        <v/>
      </c>
      <c r="H57" s="10" t="s">
        <v>12</v>
      </c>
      <c r="I57" s="11" t="s">
        <v>12</v>
      </c>
      <c r="J57" s="12"/>
    </row>
    <row r="58" spans="1:10" ht="60" customHeight="1">
      <c r="A58" s="6" t="s">
        <v>225</v>
      </c>
      <c r="B58" s="6" t="s">
        <v>11</v>
      </c>
      <c r="C58" s="6" t="s">
        <v>12</v>
      </c>
      <c r="D58" s="7" t="s">
        <v>226</v>
      </c>
      <c r="E58" s="8" t="s">
        <v>227</v>
      </c>
      <c r="F58" s="6" t="s">
        <v>228</v>
      </c>
      <c r="G58" s="9">
        <f>IF(A58=1,"_",IF(C58="_","???",C58))</f>
        <v/>
      </c>
      <c r="H58" s="10" t="s">
        <v>12</v>
      </c>
      <c r="I58" s="11" t="s">
        <v>12</v>
      </c>
      <c r="J58" s="12"/>
    </row>
    <row r="59" spans="1:10" ht="60" customHeight="1">
      <c r="A59" s="6" t="s">
        <v>229</v>
      </c>
      <c r="B59" s="6" t="s">
        <v>16</v>
      </c>
      <c r="C59" s="6" t="s">
        <v>12</v>
      </c>
      <c r="D59" s="7" t="s">
        <v>230</v>
      </c>
      <c r="E59" s="8" t="s">
        <v>231</v>
      </c>
      <c r="F59" s="6" t="s">
        <v>232</v>
      </c>
      <c r="G59" s="9">
        <f>IF(A59=1,"_",IF(C59="_","???",C59))</f>
        <v/>
      </c>
      <c r="H59" s="10" t="s">
        <v>12</v>
      </c>
      <c r="I59" s="11" t="s">
        <v>12</v>
      </c>
      <c r="J59" s="12"/>
    </row>
    <row r="60" spans="1:10" ht="60" customHeight="1">
      <c r="A60" s="6" t="s">
        <v>233</v>
      </c>
      <c r="B60" s="6" t="s">
        <v>16</v>
      </c>
      <c r="C60" s="6" t="s">
        <v>12</v>
      </c>
      <c r="D60" s="7" t="s">
        <v>234</v>
      </c>
      <c r="E60" s="8" t="s">
        <v>235</v>
      </c>
      <c r="F60" s="6" t="s">
        <v>236</v>
      </c>
      <c r="G60" s="9">
        <f>IF(A60=1,"_",IF(C60="_","???",C60))</f>
        <v/>
      </c>
      <c r="H60" s="10" t="s">
        <v>12</v>
      </c>
      <c r="I60" s="11" t="s">
        <v>12</v>
      </c>
      <c r="J60" s="12"/>
    </row>
    <row r="61" spans="1:10" ht="60" customHeight="1">
      <c r="A61" s="6" t="s">
        <v>237</v>
      </c>
      <c r="B61" s="6" t="s">
        <v>16</v>
      </c>
      <c r="C61" s="6" t="s">
        <v>12</v>
      </c>
      <c r="D61" s="7" t="s">
        <v>234</v>
      </c>
      <c r="E61" s="8" t="s">
        <v>238</v>
      </c>
      <c r="F61" s="6" t="s">
        <v>239</v>
      </c>
      <c r="G61" s="9">
        <f>IF(A61=1,"_",IF(C61="_","???",C61))</f>
        <v/>
      </c>
      <c r="H61" s="10" t="s">
        <v>12</v>
      </c>
      <c r="I61" s="11" t="s">
        <v>12</v>
      </c>
      <c r="J61" s="12"/>
    </row>
    <row r="62" spans="1:10" ht="60" customHeight="1">
      <c r="A62" s="6" t="s">
        <v>240</v>
      </c>
      <c r="B62" s="6" t="s">
        <v>118</v>
      </c>
      <c r="C62" s="6" t="s">
        <v>18</v>
      </c>
      <c r="D62" s="7" t="s">
        <v>96</v>
      </c>
      <c r="E62" s="8" t="s">
        <v>241</v>
      </c>
      <c r="F62" s="6" t="s">
        <v>242</v>
      </c>
      <c r="G62" s="9">
        <f>IF(A62=1,"_",IF(C62="_","???",C62))</f>
        <v/>
      </c>
      <c r="H62" s="10" t="s">
        <v>12</v>
      </c>
      <c r="I62" s="11" t="s">
        <v>12</v>
      </c>
      <c r="J62" s="12"/>
    </row>
    <row r="63" spans="1:10" ht="60" customHeight="1">
      <c r="A63" s="6" t="s">
        <v>243</v>
      </c>
      <c r="B63" s="6" t="s">
        <v>43</v>
      </c>
      <c r="C63" s="6" t="s">
        <v>12</v>
      </c>
      <c r="D63" s="7" t="s">
        <v>244</v>
      </c>
      <c r="E63" s="8" t="s">
        <v>245</v>
      </c>
      <c r="F63" s="6" t="s">
        <v>246</v>
      </c>
      <c r="G63" s="9">
        <f>IF(A63=1,"_",IF(C63="_","???",C63))</f>
        <v/>
      </c>
      <c r="H63" s="10" t="s">
        <v>12</v>
      </c>
      <c r="I63" s="11" t="s">
        <v>12</v>
      </c>
      <c r="J63" s="12"/>
    </row>
    <row r="64" spans="1:10" ht="60" customHeight="1">
      <c r="A64" s="6" t="s">
        <v>247</v>
      </c>
      <c r="B64" s="6" t="s">
        <v>44</v>
      </c>
      <c r="C64" s="6" t="s">
        <v>12</v>
      </c>
      <c r="D64" s="7" t="s">
        <v>135</v>
      </c>
      <c r="E64" s="8" t="s">
        <v>248</v>
      </c>
      <c r="F64" s="6" t="s">
        <v>249</v>
      </c>
      <c r="G64" s="9">
        <f>IF(A64=1,"_",IF(C64="_","???",C64))</f>
        <v/>
      </c>
      <c r="H64" s="10" t="s">
        <v>12</v>
      </c>
      <c r="I64" s="11" t="s">
        <v>12</v>
      </c>
      <c r="J64" s="12"/>
    </row>
    <row r="65" spans="1:10" ht="60" customHeight="1">
      <c r="A65" s="6" t="s">
        <v>250</v>
      </c>
      <c r="B65" s="6" t="s">
        <v>36</v>
      </c>
      <c r="C65" s="6" t="s">
        <v>12</v>
      </c>
      <c r="D65" s="7" t="s">
        <v>251</v>
      </c>
      <c r="E65" s="8" t="s">
        <v>252</v>
      </c>
      <c r="F65" s="6" t="s">
        <v>253</v>
      </c>
      <c r="G65" s="9">
        <f>IF(A65=1,"_",IF(C65="_","???",C65))</f>
        <v/>
      </c>
      <c r="H65" s="10" t="s">
        <v>12</v>
      </c>
      <c r="I65" s="11" t="s">
        <v>12</v>
      </c>
      <c r="J65" s="12"/>
    </row>
    <row r="66" spans="1:10" ht="60" customHeight="1">
      <c r="A66" s="6" t="s">
        <v>254</v>
      </c>
      <c r="B66" s="6" t="s">
        <v>16</v>
      </c>
      <c r="C66" s="6" t="s">
        <v>12</v>
      </c>
      <c r="D66" s="7" t="s">
        <v>255</v>
      </c>
      <c r="E66" s="8" t="s">
        <v>256</v>
      </c>
      <c r="F66" s="6" t="s">
        <v>257</v>
      </c>
      <c r="G66" s="9">
        <f>IF(A66=1,"_",IF(C66="_","???",C66))</f>
        <v/>
      </c>
      <c r="H66" s="10" t="s">
        <v>12</v>
      </c>
      <c r="I66" s="11" t="s">
        <v>12</v>
      </c>
      <c r="J66"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1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258</v>
      </c>
      <c r="B1" s="13" t="s">
        <v>259</v>
      </c>
      <c r="C1" s="13" t="s">
        <v>260</v>
      </c>
      <c r="D1" s="13" t="s">
        <v>261</v>
      </c>
      <c r="E1" s="14" t="s">
        <v>262</v>
      </c>
      <c r="F1" s="15" t="s">
        <v>263</v>
      </c>
      <c r="G1" s="16" t="s">
        <v>264</v>
      </c>
      <c r="H1" s="17" t="s">
        <v>265</v>
      </c>
      <c r="I1" s="18" t="s">
        <v>266</v>
      </c>
      <c r="J1" s="18" t="s">
        <v>267</v>
      </c>
      <c r="K1" s="18" t="s">
        <v>268</v>
      </c>
      <c r="L1" s="19" t="s">
        <v>9</v>
      </c>
    </row>
    <row r="2" spans="1:12">
      <c r="A2" s="20" t="s">
        <v>269</v>
      </c>
    </row>
    <row r="3" spans="1:12">
      <c r="A3" s="20" t="s">
        <v>270</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271</v>
      </c>
      <c r="B4" s="27" t="s">
        <v>272</v>
      </c>
      <c r="C4" s="27" t="s">
        <v>273</v>
      </c>
      <c r="D4" s="27" t="s">
        <v>274</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275</v>
      </c>
      <c r="B5" s="27" t="s">
        <v>276</v>
      </c>
      <c r="C5" s="27" t="s">
        <v>273</v>
      </c>
      <c r="D5" s="27" t="s">
        <v>274</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277</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278</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279</v>
      </c>
      <c r="B8" s="27" t="s">
        <v>276</v>
      </c>
      <c r="C8" s="27" t="s">
        <v>280</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281</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282</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283</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284</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285</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286</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287</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288</v>
      </c>
      <c r="B16" s="27" t="s">
        <v>272</v>
      </c>
      <c r="C16" s="27" t="s">
        <v>289</v>
      </c>
      <c r="D16" s="27" t="s">
        <v>274</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290</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291</v>
      </c>
      <c r="B18" s="27" t="s">
        <v>292</v>
      </c>
      <c r="C18" s="27" t="s">
        <v>289</v>
      </c>
      <c r="D18" s="27" t="s">
        <v>274</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285</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287</v>
      </c>
      <c r="B20" s="27" t="s">
        <v>293</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294</v>
      </c>
      <c r="B21" s="27" t="s">
        <v>295</v>
      </c>
      <c r="C21" s="27" t="s">
        <v>296</v>
      </c>
      <c r="D21" s="27" t="s">
        <v>274</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297</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285</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298</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283</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299</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287</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300</v>
      </c>
      <c r="B28" s="27" t="s">
        <v>292</v>
      </c>
      <c r="C28" s="27" t="s">
        <v>289</v>
      </c>
      <c r="D28" s="27" t="s">
        <v>274</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301</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302</v>
      </c>
      <c r="B30" s="27" t="s">
        <v>303</v>
      </c>
      <c r="C30" s="27" t="s">
        <v>304</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305</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306</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307</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308</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309</v>
      </c>
      <c r="B35" s="27" t="s">
        <v>310</v>
      </c>
      <c r="C35" s="27" t="s">
        <v>311</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312</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93</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282</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271</v>
      </c>
      <c r="B39" s="27" t="s">
        <v>313</v>
      </c>
      <c r="C39" s="27" t="s">
        <v>273</v>
      </c>
      <c r="D39" s="27" t="s">
        <v>274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285</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286</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314</v>
      </c>
      <c r="B42" s="27" t="s">
        <v>313</v>
      </c>
      <c r="C42" s="27" t="s">
        <v>273</v>
      </c>
      <c r="D42" s="27" t="s">
        <v>274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315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316</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317</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294</v>
      </c>
      <c r="B46" s="27" t="s">
        <v>318</v>
      </c>
      <c r="C46" s="27" t="s">
        <v>296</v>
      </c>
      <c r="D46" s="27" t="s">
        <v>274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319</v>
      </c>
      <c r="B47" s="27" t="s">
        <v>320</v>
      </c>
      <c r="C47" s="27" t="s">
        <v>311</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321</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322</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323</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285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286</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324</v>
      </c>
      <c r="B53" s="27" t="s">
        <v>325</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326</v>
      </c>
      <c r="B54" s="27" t="s">
        <v>327</v>
      </c>
      <c r="C54" s="27" t="s">
        <v>311</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328</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305</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294</v>
      </c>
      <c r="B57" s="27" t="s">
        <v>329</v>
      </c>
      <c r="C57" s="27" t="s">
        <v>296</v>
      </c>
      <c r="D57" s="27" t="s">
        <v>274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321</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330</v>
      </c>
      <c r="B59" s="27" t="s">
        <v>329</v>
      </c>
      <c r="C59" s="27" t="s">
        <v>331</v>
      </c>
      <c r="D59" s="27" t="s">
        <v>274</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152</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285</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287</v>
      </c>
      <c r="B62" s="27" t="s">
        <v>332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333</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334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335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336</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337</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338</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row>
    <row r="70" spans="1:12">
      <c r="A70" s="20" t="s">
        <v>339</v>
      </c>
    </row>
    <row r="71" spans="1:12">
      <c r="A71" s="20" t="s">
        <v>340</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285</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341</v>
      </c>
      <c r="B73" s="27" t="s">
        <v>276</v>
      </c>
      <c r="C73" s="27" t="s">
        <v>296</v>
      </c>
      <c r="D73" s="27" t="s">
        <v>274</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294</v>
      </c>
      <c r="B74" s="27" t="s">
        <v>272</v>
      </c>
      <c r="C74" s="27" t="s">
        <v>296</v>
      </c>
      <c r="D74" s="27" t="s">
        <v>274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342</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32</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283</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343</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344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345</v>
      </c>
      <c r="B80" s="27" t="s">
        <v>346</v>
      </c>
      <c r="C80" s="27" t="s">
        <v>280</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347</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348</v>
      </c>
      <c r="B82" s="27" t="s">
        <v>349</v>
      </c>
      <c r="C82" s="27" t="s">
        <v>311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350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338</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row>
    <row r="86" spans="1:12">
      <c r="A86" s="20" t="s">
        <v>351</v>
      </c>
    </row>
    <row r="87" spans="1:12">
      <c r="A87" s="20" t="s">
        <v>352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353</v>
      </c>
      <c r="B88" s="27" t="s">
        <v>346</v>
      </c>
      <c r="C88" s="27" t="s">
        <v>289</v>
      </c>
      <c r="D88" s="27" t="s">
        <v>274</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285</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354</v>
      </c>
      <c r="B90" s="27" t="s">
        <v>293</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271</v>
      </c>
      <c r="B91" s="27" t="s">
        <v>295</v>
      </c>
      <c r="C91" s="27" t="s">
        <v>273</v>
      </c>
      <c r="D91" s="27" t="s">
        <v>274</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342</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355</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285</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283</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343</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356</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357</v>
      </c>
      <c r="B98" s="27" t="s">
        <v>349</v>
      </c>
      <c r="C98" s="27" t="s">
        <v>280</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338</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row>
    <row r="101" spans="1:12">
      <c r="A101" s="20" t="s">
        <v>358</v>
      </c>
    </row>
    <row r="102" spans="1:12">
      <c r="A102" s="20" t="s">
        <v>359</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360</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192</v>
      </c>
      <c r="B104" s="27" t="s">
        <v>272</v>
      </c>
      <c r="C104" s="27" t="s">
        <v>311</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305</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341</v>
      </c>
      <c r="B106" s="27" t="s">
        <v>293</v>
      </c>
      <c r="C106" s="27" t="s">
        <v>296</v>
      </c>
      <c r="D106" s="27" t="s">
        <v>274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271</v>
      </c>
      <c r="B107" s="27" t="s">
        <v>295</v>
      </c>
      <c r="C107" s="27" t="s">
        <v>273</v>
      </c>
      <c r="D107" s="27" t="s">
        <v>274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361</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192</v>
      </c>
      <c r="B109" s="27" t="s">
        <v>303</v>
      </c>
      <c r="C109" s="27" t="s">
        <v>311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108</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362</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283</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285</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286</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271</v>
      </c>
      <c r="B115" s="27" t="s">
        <v>295</v>
      </c>
      <c r="C115" s="27" t="s">
        <v>273</v>
      </c>
      <c r="D115" s="27" t="s">
        <v>274</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347</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363</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364</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365</v>
      </c>
      <c r="B119" s="27" t="s">
        <v>303</v>
      </c>
      <c r="C119" s="27" t="s">
        <v>280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366</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362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285</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28</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294</v>
      </c>
      <c r="B124" s="27" t="s">
        <v>346</v>
      </c>
      <c r="C124" s="27" t="s">
        <v>296</v>
      </c>
      <c r="D124" s="27" t="s">
        <v>274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367</v>
      </c>
      <c r="B125" s="27" t="s">
        <v>368</v>
      </c>
      <c r="C125" s="27" t="s">
        <v>311</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338</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row>
    <row r="128" spans="1:12">
      <c r="A128" s="20" t="s">
        <v>369</v>
      </c>
    </row>
    <row r="129" spans="1:12">
      <c r="A129" s="20" t="s">
        <v>370</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371</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372</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271</v>
      </c>
      <c r="B132" s="27" t="s">
        <v>346</v>
      </c>
      <c r="C132" s="27" t="s">
        <v>273</v>
      </c>
      <c r="D132" s="27" t="s">
        <v>274</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t="s">
        <v>343</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373</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326</v>
      </c>
      <c r="B135" s="27" t="s">
        <v>368</v>
      </c>
      <c r="C135" s="27" t="s">
        <v>280</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285</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354</v>
      </c>
      <c r="B137" s="27" t="s">
        <v>295</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324</v>
      </c>
      <c r="B138" s="27" t="s">
        <v>293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374</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338</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row>
    <row r="142" spans="1:12">
      <c r="A142" s="20" t="s">
        <v>375</v>
      </c>
    </row>
    <row r="143" spans="1:12">
      <c r="A143" s="20" t="s">
        <v>370</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376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285</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377</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378</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379</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380</v>
      </c>
      <c r="B149" s="27" t="s">
        <v>292</v>
      </c>
      <c r="C149" s="27" t="s">
        <v>289</v>
      </c>
      <c r="D149" s="27" t="s">
        <v>274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342</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287</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381</v>
      </c>
      <c r="B152" s="27" t="s">
        <v>272</v>
      </c>
      <c r="C152" s="27" t="s">
        <v>289</v>
      </c>
      <c r="D152" s="27" t="s">
        <v>274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308</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379</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382</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t="s">
        <v>383</v>
      </c>
      <c r="E156" s="21">
        <f>IF(D156="?OLD","!!!","")</f>
        <v/>
      </c>
      <c r="F156" s="22" t="str">
        <f>IF(OR(E156="",E156="!!!"),"",IF(NOT(ISNA(VLOOKUP(E156,E$1:E155,1,FALSE()))),"OLD",IF(AND(E156&lt;&gt;"",E156&lt;&gt;"!!!"),"NEW","")))</f>
        <v> </v>
      </c>
      <c r="G156" s="23" t="str">
        <f>IF(OR(E156="",E156="!!!"),"",IF(OR(J156=0,AND(J156=1,K156=1),AND(J156=1,I156="SBJ"),AND(J156=1,I156=0)),"?IN_FOCUS",IF(J156&lt;=2,"?ACTIVATED",IF(J156&lt;&gt;"","?FAMILIAR",IF(F156="NEW",IF(ISNA(VLOOKUP(E156,#REF!,1,FALSE())),"?TYPE_IDENTIFIABLE","?REFERENTIAL"),"_")))))</f>
        <v> </v>
      </c>
      <c r="H156" s="24" t="str">
        <f>IF(J156&lt;&gt;1,"",IF(I156="SBJ","CB","?"))</f>
        <v> </v>
      </c>
      <c r="I156" s="25" t="str">
        <f>IF(OR(E156="",E156="!!!",F156="NEW"),"",INDEX(B155:B$2,-1+SUMPRODUCT(MAX(ROW(E155:E$2)*(E156=E155:E$2)))))</f>
        <v> </v>
      </c>
      <c r="J156" s="25" t="str">
        <f>IF(OR(E156="",E156="!!!",F156="NEW"),"",COUNTBLANK(OFFSET(A$1,,,SUMPRODUCT(MAX(ROW(E$2:E156)*(E156=E$2:E156)))))-COUNTBLANK(OFFSET(A$1,,,SUMPRODUCT(MAX(ROW(E$1:E155)*(E2=E$1:E155))))))</f>
        <v> </v>
      </c>
      <c r="K156" s="25" t="str">
        <f>IF(OR(E156="",E156="!!!",F156="NEW"),"",INDEX(J$1:J155,SUMPRODUCT(MAX(ROW(E$1:E155)*(E156=E$1:E155)))))</f>
        <v> </v>
      </c>
      <c r="L156" s="26"/>
    </row>
    <row r="157" spans="1:12">
      <c r="A157" s="20" t="s">
        <v>305</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384</v>
      </c>
      <c r="B158" s="27" t="s">
        <v>346</v>
      </c>
      <c r="C158" s="27" t="s">
        <v>296</v>
      </c>
      <c r="D158" s="27" t="s">
        <v>274</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342</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385</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308</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379</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386</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383</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338</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row>
    <row r="167" spans="1:12">
      <c r="A167" s="20" t="s">
        <v>387</v>
      </c>
    </row>
    <row r="168" spans="1:12">
      <c r="A168" s="20" t="s">
        <v>388</v>
      </c>
      <c r="B168" s="27" t="s">
        <v>346</v>
      </c>
      <c r="C168" s="27" t="s">
        <v>296</v>
      </c>
      <c r="D168" s="27" t="s">
        <v>274</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323</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389</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390</v>
      </c>
      <c r="B171" s="27" t="s">
        <v>368</v>
      </c>
      <c r="C171" s="27" t="s">
        <v>280</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391</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40</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305</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392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287</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291</v>
      </c>
      <c r="B177" s="27" t="s">
        <v>272</v>
      </c>
      <c r="C177" s="27" t="s">
        <v>289</v>
      </c>
      <c r="D177" s="27" t="s">
        <v>274</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393</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394</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305</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32</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285</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286</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395</v>
      </c>
      <c r="B184" s="27" t="s">
        <v>272</v>
      </c>
      <c r="C184" s="27" t="s">
        <v>311</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305</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396</v>
      </c>
      <c r="B186" s="27" t="s">
        <v>303</v>
      </c>
      <c r="C186" s="27" t="s">
        <v>311</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287</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397</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398</v>
      </c>
      <c r="B189" s="27" t="s">
        <v>349</v>
      </c>
      <c r="C189" s="27" t="s">
        <v>289</v>
      </c>
      <c r="D189" s="27" t="s">
        <v>274</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383</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285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399</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334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400</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401</v>
      </c>
      <c r="B195" s="27" t="s">
        <v>292</v>
      </c>
      <c r="C195" s="27" t="s">
        <v>402</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338</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row>
    <row r="198" spans="1:12">
      <c r="A198" s="20" t="s">
        <v>403</v>
      </c>
    </row>
    <row r="199" spans="1:12">
      <c r="A199" s="20" t="s">
        <v>404</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294</v>
      </c>
      <c r="B200" s="27" t="s">
        <v>272</v>
      </c>
      <c r="C200" s="27" t="s">
        <v>296</v>
      </c>
      <c r="D200" s="27" t="s">
        <v>274</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405</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406</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347</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348</v>
      </c>
      <c r="B205" s="27" t="s">
        <v>303</v>
      </c>
      <c r="C205" s="27" t="s">
        <v>311</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407</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285</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28</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294</v>
      </c>
      <c r="B209" s="27" t="s">
        <v>346</v>
      </c>
      <c r="C209" s="27" t="s">
        <v>296</v>
      </c>
      <c r="D209" s="27" t="s">
        <v>274</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165</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408</v>
      </c>
      <c r="B211" s="27" t="s">
        <v>292</v>
      </c>
      <c r="C211" s="27" t="s">
        <v>409</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410</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411</v>
      </c>
      <c r="B213" s="27" t="s">
        <v>303</v>
      </c>
      <c r="C213" s="27" t="s">
        <v>311</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32</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294</v>
      </c>
      <c r="B215" s="27" t="s">
        <v>272</v>
      </c>
      <c r="C215" s="27" t="s">
        <v>296</v>
      </c>
      <c r="D215" s="27" t="s">
        <v>274</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285</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286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367</v>
      </c>
      <c r="B218" s="27" t="s">
        <v>313</v>
      </c>
      <c r="C218" s="27" t="s">
        <v>311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412</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287</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413</v>
      </c>
      <c r="B221" s="27" t="s">
        <v>295</v>
      </c>
      <c r="C221" s="27" t="s">
        <v>289</v>
      </c>
      <c r="D221" s="27" t="s">
        <v>274</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283</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414</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287</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324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287</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381</v>
      </c>
      <c r="B227" s="27" t="s">
        <v>295</v>
      </c>
      <c r="C227" s="27" t="s">
        <v>289</v>
      </c>
      <c r="D227" s="27" t="s">
        <v>274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415</v>
      </c>
      <c r="B228" s="27" t="s">
        <v>293</v>
      </c>
      <c r="C228" s="27" t="s">
        <v>311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108</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416</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338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row>
    <row r="233" spans="1:12">
      <c r="A233" s="20" t="s">
        <v>417</v>
      </c>
    </row>
    <row r="234" spans="1:12">
      <c r="A234" s="20" t="s">
        <v>370</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418</v>
      </c>
      <c r="B235" s="27" t="s">
        <v>346</v>
      </c>
      <c r="C235" s="27" t="s">
        <v>419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420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421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285</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286</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283</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422</v>
      </c>
      <c r="B241" s="27" t="s">
        <v>272</v>
      </c>
      <c r="C241" s="27" t="s">
        <v>423</v>
      </c>
      <c r="D241" s="27" t="s">
        <v>274</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424</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425</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426</v>
      </c>
      <c r="B244" s="27" t="s">
        <v>292</v>
      </c>
      <c r="C244" s="27" t="s">
        <v>311</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427</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338</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row>
    <row r="248" spans="1:12">
      <c r="A248" s="20" t="s">
        <v>428</v>
      </c>
    </row>
    <row r="249" spans="1:12">
      <c r="A249" s="20" t="s">
        <v>314</v>
      </c>
      <c r="B249" s="27" t="s">
        <v>346</v>
      </c>
      <c r="C249" s="27" t="s">
        <v>273</v>
      </c>
      <c r="D249" s="27" t="s">
        <v>274</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152</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429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285</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286</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354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430</v>
      </c>
      <c r="B255" s="27" t="s">
        <v>272</v>
      </c>
      <c r="C255" s="27" t="s">
        <v>289</v>
      </c>
      <c r="D255" s="27" t="s">
        <v>274</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431</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432</v>
      </c>
      <c r="B257" s="27" t="s">
        <v>292</v>
      </c>
      <c r="C257" s="27" t="s">
        <v>311</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305</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291</v>
      </c>
      <c r="B259" s="27" t="s">
        <v>303</v>
      </c>
      <c r="C259" s="27" t="s">
        <v>311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378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433</v>
      </c>
      <c r="B261" s="27" t="s">
        <v>310</v>
      </c>
      <c r="C261" s="27" t="s">
        <v>423</v>
      </c>
      <c r="D261" s="27" t="s">
        <v>274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434</v>
      </c>
      <c r="B262" s="27" t="s">
        <v>303</v>
      </c>
      <c r="C262" s="27" t="s">
        <v>435</v>
      </c>
      <c r="D262" s="27" t="s">
        <v>274</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436</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308</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437</v>
      </c>
      <c r="B265" s="27" t="s">
        <v>292</v>
      </c>
      <c r="C265" s="27" t="s">
        <v>311</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378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363</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438</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439</v>
      </c>
      <c r="B269" s="27" t="s">
        <v>303</v>
      </c>
      <c r="C269" s="27" t="s">
        <v>280</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440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338</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441</v>
      </c>
    </row>
    <row r="274" spans="1:12">
      <c r="A274" s="20" t="s">
        <v>370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442</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294</v>
      </c>
      <c r="B276" s="27" t="s">
        <v>272</v>
      </c>
      <c r="C276" s="27" t="s">
        <v>296</v>
      </c>
      <c r="D276" s="27" t="s">
        <v>274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422</v>
      </c>
      <c r="B277" s="27" t="s">
        <v>276</v>
      </c>
      <c r="C277" s="27" t="s">
        <v>423</v>
      </c>
      <c r="D277" s="27" t="s">
        <v>274</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400</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443</v>
      </c>
      <c r="B279" s="27" t="s">
        <v>292</v>
      </c>
      <c r="C279" s="27" t="s">
        <v>311</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108</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323</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56</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334</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444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400</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445</v>
      </c>
      <c r="B286" s="27" t="s">
        <v>349</v>
      </c>
      <c r="C286" s="27" t="s">
        <v>311</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446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447</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row>
    <row r="290" spans="1:12">
      <c r="A290" s="20" t="s">
        <v>448</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449</v>
      </c>
    </row>
    <row r="292" spans="1:12">
      <c r="A292" s="20" t="s">
        <v>450</v>
      </c>
      <c r="B292" s="27" t="s">
        <v>368</v>
      </c>
      <c r="C292" s="27" t="s">
        <v>296</v>
      </c>
      <c r="D292" s="27" t="s">
        <v>274</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294</v>
      </c>
      <c r="B293" s="27" t="s">
        <v>346</v>
      </c>
      <c r="C293" s="27" t="s">
        <v>296</v>
      </c>
      <c r="D293" s="27" t="s">
        <v>274</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405</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342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60</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383</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287</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451</v>
      </c>
      <c r="B299" s="27" t="s">
        <v>346</v>
      </c>
      <c r="C299" s="27" t="s">
        <v>452</v>
      </c>
      <c r="D299" s="27" t="s">
        <v>274</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453</v>
      </c>
      <c r="B300" s="27" t="s">
        <v>303</v>
      </c>
      <c r="C300" s="27" t="s">
        <v>402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454</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455</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456</v>
      </c>
      <c r="B303" s="27" t="s">
        <v>292</v>
      </c>
      <c r="C303" s="27" t="s">
        <v>331</v>
      </c>
      <c r="D303" s="27" t="s">
        <v>274</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457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455</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285</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287</v>
      </c>
      <c r="B307" s="27" t="s">
        <v>272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458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459</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460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338</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row>
    <row r="313" spans="1:12">
      <c r="A313" s="20" t="s">
        <v>461</v>
      </c>
    </row>
    <row r="314" spans="1:12">
      <c r="A314" s="20" t="s">
        <v>359</v>
      </c>
      <c r="B314" s="27" t="s">
        <v>346</v>
      </c>
      <c r="C314" s="27" t="s">
        <v>273</v>
      </c>
      <c r="D314" s="27" t="s">
        <v>274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283</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462</v>
      </c>
      <c r="B316" s="27" t="s">
        <v>349</v>
      </c>
      <c r="C316" s="27" t="s">
        <v>402</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342</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338</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row>
    <row r="320" spans="1:12">
      <c r="A320" s="20" t="s">
        <v>463</v>
      </c>
    </row>
    <row r="321" spans="1:12">
      <c r="A321" s="20" t="s">
        <v>359</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283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462</v>
      </c>
      <c r="B323" s="27" t="s">
        <v>346</v>
      </c>
      <c r="C323" s="27" t="s">
        <v>402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464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338</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465</v>
      </c>
    </row>
    <row r="328" spans="1:12">
      <c r="A328" s="20" t="s">
        <v>314</v>
      </c>
      <c r="B328" s="27" t="s">
        <v>346</v>
      </c>
      <c r="C328" s="27" t="s">
        <v>273</v>
      </c>
      <c r="D328" s="27" t="s">
        <v>274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323</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284</v>
      </c>
      <c r="B330" s="27" t="s">
        <v>346</v>
      </c>
      <c r="C330" s="27" t="s">
        <v>273</v>
      </c>
      <c r="D330" s="27" t="s">
        <v>274</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466</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347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467</v>
      </c>
      <c r="B333" s="27" t="s">
        <v>292</v>
      </c>
      <c r="C333" s="27" t="s">
        <v>468</v>
      </c>
      <c r="D333" s="27" t="s">
        <v>274</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469</v>
      </c>
      <c r="B334" s="27" t="s">
        <v>349</v>
      </c>
      <c r="C334" s="27" t="s">
        <v>311</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378</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470</v>
      </c>
      <c r="B336" s="27" t="s">
        <v>292</v>
      </c>
      <c r="C336" s="27" t="s">
        <v>468</v>
      </c>
      <c r="D336" s="27" t="s">
        <v>274</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471</v>
      </c>
      <c r="B337" s="27" t="s">
        <v>349</v>
      </c>
      <c r="C337" s="27" t="s">
        <v>311</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71</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338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row>
    <row r="341" spans="1:12">
      <c r="A341" s="20" t="s">
        <v>472</v>
      </c>
    </row>
    <row r="342" spans="1:12">
      <c r="A342" s="20" t="s">
        <v>473</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192</v>
      </c>
      <c r="B343" s="27" t="s">
        <v>349</v>
      </c>
      <c r="C343" s="27" t="s">
        <v>311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323</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384</v>
      </c>
      <c r="B345" s="27" t="s">
        <v>346</v>
      </c>
      <c r="C345" s="27" t="s">
        <v>296</v>
      </c>
      <c r="D345" s="27" t="s">
        <v>274</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74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378</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343</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474</v>
      </c>
      <c r="B349" s="27" t="s">
        <v>349</v>
      </c>
      <c r="C349" s="27" t="s">
        <v>280</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338</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row>
    <row r="352" spans="1:12">
      <c r="A352" s="20" t="s">
        <v>475</v>
      </c>
    </row>
    <row r="353" spans="1:12">
      <c r="A353" s="20" t="s">
        <v>314</v>
      </c>
      <c r="B353" s="27" t="s">
        <v>346</v>
      </c>
      <c r="C353" s="27" t="s">
        <v>273</v>
      </c>
      <c r="D353" s="27" t="s">
        <v>274</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323</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74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378</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343</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476</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477</v>
      </c>
      <c r="B359" s="27" t="s">
        <v>349</v>
      </c>
      <c r="C359" s="27" t="s">
        <v>280</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338</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478</v>
      </c>
    </row>
    <row r="363" spans="1:12">
      <c r="A363" s="20" t="s">
        <v>314</v>
      </c>
      <c r="B363" s="27" t="s">
        <v>346</v>
      </c>
      <c r="C363" s="27" t="s">
        <v>273</v>
      </c>
      <c r="D363" s="27" t="s">
        <v>274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323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479</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312</v>
      </c>
      <c r="B366" s="27" t="s">
        <v>292</v>
      </c>
      <c r="C366" s="27" t="s">
        <v>402</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363</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364</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480</v>
      </c>
      <c r="B369" s="27" t="s">
        <v>349</v>
      </c>
      <c r="C369" s="27" t="s">
        <v>280</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81</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338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row>
    <row r="373" spans="1:12">
      <c r="A373" s="20" t="s">
        <v>481</v>
      </c>
    </row>
    <row r="374" spans="1:12">
      <c r="A374" s="20" t="s">
        <v>404</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271</v>
      </c>
      <c r="B375" s="27" t="s">
        <v>272</v>
      </c>
      <c r="C375" s="27" t="s">
        <v>273</v>
      </c>
      <c r="D375" s="27" t="s">
        <v>274</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405</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342</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482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285</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372</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271</v>
      </c>
      <c r="B381" s="27" t="s">
        <v>346</v>
      </c>
      <c r="C381" s="27" t="s">
        <v>273</v>
      </c>
      <c r="D381" s="27" t="s">
        <v>274</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287</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483</v>
      </c>
      <c r="B383" s="27" t="s">
        <v>349</v>
      </c>
      <c r="C383" s="27" t="s">
        <v>289</v>
      </c>
      <c r="D383" s="27" t="s">
        <v>274</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285</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287</v>
      </c>
      <c r="B385" s="27" t="s">
        <v>272</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378</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433</v>
      </c>
      <c r="B387" s="27" t="s">
        <v>303</v>
      </c>
      <c r="C387" s="27" t="s">
        <v>423</v>
      </c>
      <c r="D387" s="27" t="s">
        <v>274</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480</v>
      </c>
      <c r="B388" s="27" t="s">
        <v>292</v>
      </c>
      <c r="C388" s="27" t="s">
        <v>435</v>
      </c>
      <c r="D388" s="27" t="s">
        <v>274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484</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305</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287</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485</v>
      </c>
      <c r="B392" s="27" t="s">
        <v>292</v>
      </c>
      <c r="C392" s="27" t="s">
        <v>289</v>
      </c>
      <c r="D392" s="27" t="s">
        <v>274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338</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row>
    <row r="395" spans="1:12">
      <c r="A395" s="20" t="s">
        <v>486</v>
      </c>
    </row>
    <row r="396" spans="1:12">
      <c r="A396" s="20" t="s">
        <v>487</v>
      </c>
      <c r="B396" s="27" t="s">
        <v>346</v>
      </c>
      <c r="C396" s="27" t="s">
        <v>273</v>
      </c>
      <c r="D396" s="27" t="s">
        <v>274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488</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343</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489</v>
      </c>
      <c r="B399" s="27" t="s">
        <v>349</v>
      </c>
      <c r="C399" s="27" t="s">
        <v>280</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490</v>
      </c>
      <c r="B400" s="27" t="s">
        <v>349</v>
      </c>
      <c r="C400" s="27" t="s">
        <v>331</v>
      </c>
      <c r="D400" s="27" t="s">
        <v>274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491</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285</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429</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492</v>
      </c>
      <c r="B404" s="27" t="s">
        <v>272</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271</v>
      </c>
      <c r="B405" s="27" t="s">
        <v>295</v>
      </c>
      <c r="C405" s="27" t="s">
        <v>273</v>
      </c>
      <c r="D405" s="27" t="s">
        <v>274</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493</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494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324</v>
      </c>
      <c r="B408" s="27" t="s">
        <v>276</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495</v>
      </c>
      <c r="B409" s="27" t="s">
        <v>276</v>
      </c>
      <c r="C409" s="27" t="s">
        <v>273</v>
      </c>
      <c r="D409" s="27" t="s">
        <v>274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496</v>
      </c>
      <c r="B410" s="27" t="s">
        <v>303</v>
      </c>
      <c r="C410" s="27" t="s">
        <v>402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497</v>
      </c>
      <c r="B411" s="27" t="s">
        <v>272</v>
      </c>
      <c r="C411" s="27" t="s">
        <v>409</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127</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378</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498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489</v>
      </c>
      <c r="B415" s="27" t="s">
        <v>295</v>
      </c>
      <c r="C415" s="27" t="s">
        <v>331</v>
      </c>
      <c r="D415" s="27" t="s">
        <v>274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490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499</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500</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338</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row>
    <row r="421" spans="1:12">
      <c r="A421" s="20" t="s">
        <v>448</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501</v>
      </c>
    </row>
    <row r="423" spans="1:12">
      <c r="A423" s="20" t="s">
        <v>502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503</v>
      </c>
      <c r="B424" s="27" t="s">
        <v>292</v>
      </c>
      <c r="C424" s="27" t="s">
        <v>331</v>
      </c>
      <c r="D424" s="27" t="s">
        <v>274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504</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505</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285</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442</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271</v>
      </c>
      <c r="B429" s="27" t="s">
        <v>295</v>
      </c>
      <c r="C429" s="27" t="s">
        <v>273</v>
      </c>
      <c r="D429" s="27" t="s">
        <v>274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506</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389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507</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508</v>
      </c>
      <c r="B433" s="27" t="s">
        <v>293</v>
      </c>
      <c r="C433" s="27" t="s">
        <v>280</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135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282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285</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509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271</v>
      </c>
      <c r="B438" s="27" t="s">
        <v>346</v>
      </c>
      <c r="C438" s="27" t="s">
        <v>273</v>
      </c>
      <c r="D438" s="27" t="s">
        <v>274</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93</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455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510</v>
      </c>
      <c r="B441" s="27" t="s">
        <v>368</v>
      </c>
      <c r="C441" s="27" t="s">
        <v>331</v>
      </c>
      <c r="D441" s="27" t="s">
        <v>274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285</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341</v>
      </c>
      <c r="B443" s="27" t="s">
        <v>293</v>
      </c>
      <c r="C443" s="27" t="s">
        <v>296</v>
      </c>
      <c r="D443" s="27" t="s">
        <v>274</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442</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271</v>
      </c>
      <c r="B445" s="27" t="s">
        <v>295</v>
      </c>
      <c r="C445" s="27" t="s">
        <v>273</v>
      </c>
      <c r="D445" s="27" t="s">
        <v>274</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495</v>
      </c>
      <c r="B446" s="27" t="s">
        <v>293</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462</v>
      </c>
      <c r="B447" s="27" t="s">
        <v>293</v>
      </c>
      <c r="C447" s="27" t="s">
        <v>402</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361</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379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511</v>
      </c>
      <c r="B450" s="27" t="s">
        <v>303</v>
      </c>
      <c r="C450" s="27" t="s">
        <v>289</v>
      </c>
      <c r="D450" s="27" t="s">
        <v>274</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512</v>
      </c>
      <c r="B451" s="27" t="s">
        <v>310</v>
      </c>
      <c r="C451" s="27" t="s">
        <v>311</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513</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447</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455</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row>
    <row r="456" spans="1:12">
      <c r="A456" s="20" t="s">
        <v>514</v>
      </c>
    </row>
    <row r="457" spans="1:12">
      <c r="A457" s="20" t="s">
        <v>515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516</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271</v>
      </c>
      <c r="B459" s="27" t="s">
        <v>346</v>
      </c>
      <c r="C459" s="27" t="s">
        <v>273</v>
      </c>
      <c r="D459" s="27" t="s">
        <v>274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389</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390</v>
      </c>
      <c r="B461" s="27" t="s">
        <v>368</v>
      </c>
      <c r="C461" s="27" t="s">
        <v>280</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517</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305</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518</v>
      </c>
      <c r="B464" s="27" t="s">
        <v>349</v>
      </c>
      <c r="C464" s="27" t="s">
        <v>296</v>
      </c>
      <c r="D464" s="27" t="s">
        <v>274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287</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519</v>
      </c>
      <c r="B466" s="27" t="s">
        <v>276</v>
      </c>
      <c r="C466" s="27" t="s">
        <v>289</v>
      </c>
      <c r="D466" s="27" t="s">
        <v>274</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338</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row>
    <row r="469" spans="1:12">
      <c r="A469" s="20" t="s">
        <v>520</v>
      </c>
    </row>
    <row r="470" spans="1:12">
      <c r="A470" s="20" t="s">
        <v>521</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372</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271</v>
      </c>
      <c r="B472" s="27" t="s">
        <v>346</v>
      </c>
      <c r="C472" s="27" t="s">
        <v>273</v>
      </c>
      <c r="D472" s="27" t="s">
        <v>274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522</v>
      </c>
      <c r="B473" s="27" t="s">
        <v>368</v>
      </c>
      <c r="C473" s="27" t="s">
        <v>331</v>
      </c>
      <c r="D473" s="27" t="s">
        <v>274</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523</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338</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row>
    <row r="477" spans="1:12">
      <c r="A477" s="20" t="s">
        <v>524</v>
      </c>
    </row>
    <row r="478" spans="1:12">
      <c r="A478" s="20" t="s">
        <v>370</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321</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525</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526</v>
      </c>
      <c r="B481" s="27" t="s">
        <v>272</v>
      </c>
      <c r="C481" s="27" t="s">
        <v>402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278</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527</v>
      </c>
      <c r="B483" s="27" t="s">
        <v>276</v>
      </c>
      <c r="C483" s="27" t="s">
        <v>280</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528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285</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286</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442</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526</v>
      </c>
      <c r="B488" s="27" t="s">
        <v>295</v>
      </c>
      <c r="C488" s="27" t="s">
        <v>402</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529</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530</v>
      </c>
      <c r="B490" s="27" t="s">
        <v>310</v>
      </c>
      <c r="C490" s="27" t="s">
        <v>423</v>
      </c>
      <c r="D490" s="27" t="s">
        <v>274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531</v>
      </c>
      <c r="B491" s="27" t="s">
        <v>303</v>
      </c>
      <c r="C491" s="27" t="s">
        <v>435</v>
      </c>
      <c r="D491" s="27" t="s">
        <v>274</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432</v>
      </c>
      <c r="B492" s="27" t="s">
        <v>293</v>
      </c>
      <c r="C492" s="27" t="s">
        <v>311</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532</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285</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533</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285</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534</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285</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535</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285</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536</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285</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393</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537</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526</v>
      </c>
      <c r="B505" s="27" t="s">
        <v>346</v>
      </c>
      <c r="C505" s="27" t="s">
        <v>402</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334</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410</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538</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334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539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506</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338</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row>
    <row r="514" spans="1:12">
      <c r="A514" s="20" t="s">
        <v>540</v>
      </c>
    </row>
    <row r="515" spans="1:12">
      <c r="A515" s="20" t="s">
        <v>541</v>
      </c>
      <c r="B515" s="27" t="s">
        <v>346</v>
      </c>
      <c r="C515" s="27" t="s">
        <v>402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542</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543</v>
      </c>
      <c r="B517" s="27" t="s">
        <v>368</v>
      </c>
      <c r="C517" s="27" t="s">
        <v>402</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285</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354</v>
      </c>
      <c r="B519" s="27" t="s">
        <v>295</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544</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343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545</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546</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283</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338</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row>
    <row r="527" spans="1:12">
      <c r="A527" s="20" t="s">
        <v>547</v>
      </c>
    </row>
    <row r="528" spans="1:12">
      <c r="A528" s="20" t="s">
        <v>359</v>
      </c>
      <c r="B528" s="27" t="s">
        <v>346</v>
      </c>
      <c r="C528" s="27" t="s">
        <v>273</v>
      </c>
      <c r="D528" s="27" t="s">
        <v>274</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283</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543</v>
      </c>
      <c r="B530" s="27" t="s">
        <v>346</v>
      </c>
      <c r="C530" s="27" t="s">
        <v>402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548</v>
      </c>
      <c r="B531" s="27" t="s">
        <v>349</v>
      </c>
      <c r="C531" s="27" t="s">
        <v>549</v>
      </c>
      <c r="D531" s="27" t="s">
        <v>274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305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294</v>
      </c>
      <c r="B533" s="27" t="s">
        <v>272</v>
      </c>
      <c r="C533" s="27" t="s">
        <v>296</v>
      </c>
      <c r="D533" s="27" t="s">
        <v>274</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93</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284</v>
      </c>
      <c r="B535" s="27" t="s">
        <v>272</v>
      </c>
      <c r="C535" s="27" t="s">
        <v>273</v>
      </c>
      <c r="D535" s="27" t="s">
        <v>274</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550</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287</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531</v>
      </c>
      <c r="B538" s="27" t="s">
        <v>276</v>
      </c>
      <c r="C538" s="27" t="s">
        <v>289</v>
      </c>
      <c r="D538" s="27" t="s">
        <v>274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305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434</v>
      </c>
      <c r="B540" s="27" t="s">
        <v>295</v>
      </c>
      <c r="C540" s="27" t="s">
        <v>311</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317</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432</v>
      </c>
      <c r="B542" s="27" t="s">
        <v>303</v>
      </c>
      <c r="C542" s="27" t="s">
        <v>311</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551</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244</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323</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338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row>
    <row r="548" spans="1:12">
      <c r="A548" s="20" t="s">
        <v>552</v>
      </c>
    </row>
    <row r="549" spans="1:12">
      <c r="A549" s="20" t="s">
        <v>487</v>
      </c>
      <c r="B549" s="27" t="s">
        <v>346</v>
      </c>
      <c r="C549" s="27" t="s">
        <v>273</v>
      </c>
      <c r="D549" s="27" t="s">
        <v>274</v>
      </c>
      <c r="E549" s="21">
        <f>IF(D549="?OLD","!!!","")</f>
        <v/>
      </c>
      <c r="F549" s="22" t="str">
        <f>IF(OR(E549="",E549="!!!"),"",IF(NOT(ISNA(VLOOKUP(E549,E$1:E548,1,FALSE()))),"OLD",IF(AND(E549&lt;&gt;"",E549&lt;&gt;"!!!"),"NEW","")))</f>
        <v> </v>
      </c>
      <c r="G549" s="23" t="str">
        <f>IF(OR(E549="",E549="!!!"),"",IF(OR(J549=0,AND(J549=1,K549=1),AND(J549=1,I549="SBJ"),AND(J549=1,I549=0)),"?IN_FOCUS",IF(J549&lt;=2,"?ACTIVATED",IF(J549&lt;&gt;"","?FAMILIAR",IF(F549="NEW",IF(ISNA(VLOOKUP(E549,#REF!,1,FALSE())),"?TYPE_IDENTIFIABLE","?REFERENTIAL"),"_")))))</f>
        <v> </v>
      </c>
      <c r="H549" s="24" t="str">
        <f>IF(J549&lt;&gt;1,"",IF(I549="SBJ","CB","?"))</f>
        <v> </v>
      </c>
      <c r="I549" s="25" t="str">
        <f>IF(OR(E549="",E549="!!!",F549="NEW"),"",INDEX(B548:B$2,-1+SUMPRODUCT(MAX(ROW(E548:E$2)*(E549=E548:E$2)))))</f>
        <v> </v>
      </c>
      <c r="J549" s="25" t="str">
        <f>IF(OR(E549="",E549="!!!",F549="NEW"),"",COUNTBLANK(OFFSET(A$1,,,SUMPRODUCT(MAX(ROW(E$2:E549)*(E549=E$2:E549)))))-COUNTBLANK(OFFSET(A$1,,,SUMPRODUCT(MAX(ROW(E$1:E548)*(E2=E$1:E548))))))</f>
        <v> </v>
      </c>
      <c r="K549" s="25" t="str">
        <f>IF(OR(E549="",E549="!!!",F549="NEW"),"",INDEX(J$1:J548,SUMPRODUCT(MAX(ROW(E$1:E548)*(E549=E$1:E548)))))</f>
        <v> </v>
      </c>
      <c r="L549" s="26"/>
    </row>
    <row r="550" spans="1:12">
      <c r="A550" s="20" t="s">
        <v>282</v>
      </c>
      <c r="E550" s="21">
        <f>IF(D550="?OLD","!!!","")</f>
        <v/>
      </c>
      <c r="F550" s="22" t="str">
        <f>IF(OR(E550="",E550="!!!"),"",IF(NOT(ISNA(VLOOKUP(E550,E$1:E549,1,FALSE()))),"OLD",IF(AND(E550&lt;&gt;"",E550&lt;&gt;"!!!"),"NEW","")))</f>
        <v> </v>
      </c>
      <c r="G550" s="23" t="str">
        <f>IF(OR(E550="",E550="!!!"),"",IF(OR(J550=0,AND(J550=1,K550=1),AND(J550=1,I550="SBJ"),AND(J550=1,I550=0)),"?IN_FOCUS",IF(J550&lt;=2,"?ACTIVATED",IF(J550&lt;&gt;"","?FAMILIAR",IF(F550="NEW",IF(ISNA(VLOOKUP(E550,#REF!,1,FALSE())),"?TYPE_IDENTIFIABLE","?REFERENTIAL"),"_")))))</f>
        <v> </v>
      </c>
      <c r="H550" s="24" t="str">
        <f>IF(J550&lt;&gt;1,"",IF(I550="SBJ","CB","?"))</f>
        <v> </v>
      </c>
      <c r="I550" s="25" t="str">
        <f>IF(OR(E550="",E550="!!!",F550="NEW"),"",INDEX(B549:B$2,-1+SUMPRODUCT(MAX(ROW(E549:E$2)*(E550=E549:E$2)))))</f>
        <v> </v>
      </c>
      <c r="J550" s="25" t="str">
        <f>IF(OR(E550="",E550="!!!",F550="NEW"),"",COUNTBLANK(OFFSET(A$1,,,SUMPRODUCT(MAX(ROW(E$2:E550)*(E550=E$2:E550)))))-COUNTBLANK(OFFSET(A$1,,,SUMPRODUCT(MAX(ROW(E$1:E549)*(E2=E$1:E549))))))</f>
        <v> </v>
      </c>
      <c r="K550" s="25" t="str">
        <f>IF(OR(E550="",E550="!!!",F550="NEW"),"",INDEX(J$1:J549,SUMPRODUCT(MAX(ROW(E$1:E549)*(E550=E$1:E549)))))</f>
        <v> </v>
      </c>
      <c r="L550" s="26"/>
    </row>
    <row r="551" spans="1:12">
      <c r="A551" s="20" t="s">
        <v>530</v>
      </c>
      <c r="B551" s="27" t="s">
        <v>292</v>
      </c>
      <c r="C551" s="27" t="s">
        <v>423</v>
      </c>
      <c r="D551" s="27" t="s">
        <v>274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527</v>
      </c>
      <c r="B552" s="27" t="s">
        <v>368</v>
      </c>
      <c r="C552" s="27" t="s">
        <v>435</v>
      </c>
      <c r="D552" s="27" t="s">
        <v>274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405</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343</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553</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391</v>
      </c>
      <c r="B556" s="27" t="s">
        <v>368</v>
      </c>
      <c r="C556" s="27" t="s">
        <v>280</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115</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361</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554</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341</v>
      </c>
      <c r="B560" s="27" t="s">
        <v>272</v>
      </c>
      <c r="C560" s="27" t="s">
        <v>296</v>
      </c>
      <c r="D560" s="27" t="s">
        <v>274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343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553</v>
      </c>
      <c r="B562" s="27" t="s">
        <v>272</v>
      </c>
      <c r="C562" s="27" t="s">
        <v>402</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555</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283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338</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row>
    <row r="567" spans="1:12">
      <c r="A567" s="20" t="s">
        <v>556</v>
      </c>
    </row>
    <row r="568" spans="1:12">
      <c r="A568" s="20" t="s">
        <v>450</v>
      </c>
      <c r="B568" s="27" t="s">
        <v>276</v>
      </c>
      <c r="C568" s="27" t="s">
        <v>296</v>
      </c>
      <c r="D568" s="27" t="s">
        <v>274</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294</v>
      </c>
      <c r="B569" s="27" t="s">
        <v>272</v>
      </c>
      <c r="C569" s="27" t="s">
        <v>296</v>
      </c>
      <c r="D569" s="27" t="s">
        <v>274</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342</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557</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60</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283</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285</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294</v>
      </c>
      <c r="B575" s="27" t="s">
        <v>346</v>
      </c>
      <c r="C575" s="27" t="s">
        <v>296</v>
      </c>
      <c r="D575" s="27" t="s">
        <v>274</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60</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558</v>
      </c>
      <c r="B577" s="27" t="s">
        <v>292</v>
      </c>
      <c r="C577" s="27" t="s">
        <v>402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559</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560</v>
      </c>
      <c r="B579" s="27" t="s">
        <v>368</v>
      </c>
      <c r="C579" s="27" t="s">
        <v>311</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561</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305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384</v>
      </c>
      <c r="B582" s="27" t="s">
        <v>272</v>
      </c>
      <c r="C582" s="27" t="s">
        <v>296</v>
      </c>
      <c r="D582" s="27" t="s">
        <v>274</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529</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t="s">
        <v>278</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562</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563</v>
      </c>
      <c r="B586" s="27" t="s">
        <v>292</v>
      </c>
      <c r="C586" s="27" t="s">
        <v>280</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564</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338</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row>
    <row r="590" spans="1:12">
      <c r="A590" s="20" t="s">
        <v>565</v>
      </c>
    </row>
    <row r="591" spans="1:12">
      <c r="A591" s="20" t="s">
        <v>566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563</v>
      </c>
      <c r="B592" s="27" t="s">
        <v>346</v>
      </c>
      <c r="C592" s="27" t="s">
        <v>289</v>
      </c>
      <c r="D592" s="27" t="s">
        <v>274</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567</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278</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568</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569</v>
      </c>
      <c r="B596" s="27" t="s">
        <v>368</v>
      </c>
      <c r="C596" s="27" t="s">
        <v>280</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305</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343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570</v>
      </c>
      <c r="B599" s="27" t="s">
        <v>292</v>
      </c>
      <c r="C599" s="27" t="s">
        <v>280</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400</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571</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572</v>
      </c>
      <c r="B602" s="27" t="s">
        <v>303</v>
      </c>
      <c r="C602" s="27" t="s">
        <v>289</v>
      </c>
      <c r="D602" s="27" t="s">
        <v>274</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573</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379</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384</v>
      </c>
      <c r="B605" s="27" t="s">
        <v>310</v>
      </c>
      <c r="C605" s="27" t="s">
        <v>296</v>
      </c>
      <c r="D605" s="27" t="s">
        <v>274</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574</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338</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row>
    <row r="609" spans="1:12">
      <c r="A609" s="20" t="s">
        <v>575</v>
      </c>
    </row>
    <row r="610" spans="1:12">
      <c r="A610" s="20" t="s">
        <v>487</v>
      </c>
      <c r="B610" s="27" t="s">
        <v>346</v>
      </c>
      <c r="C610" s="27" t="s">
        <v>273</v>
      </c>
      <c r="D610" s="27" t="s">
        <v>274</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576</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506</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577</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287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578</v>
      </c>
      <c r="B615" s="27" t="s">
        <v>368</v>
      </c>
      <c r="C615" s="27" t="s">
        <v>579</v>
      </c>
      <c r="D615" s="27" t="s">
        <v>274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580</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290</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581</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582</v>
      </c>
      <c r="B619" s="27" t="s">
        <v>292</v>
      </c>
      <c r="C619" s="27" t="s">
        <v>289</v>
      </c>
      <c r="D619" s="27" t="s">
        <v>274</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338</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row>
    <row r="622" spans="1:12">
      <c r="A622" s="20" t="s">
        <v>583</v>
      </c>
    </row>
    <row r="623" spans="1:12">
      <c r="A623" s="20" t="s">
        <v>584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412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378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433</v>
      </c>
      <c r="B626" s="27" t="s">
        <v>292</v>
      </c>
      <c r="C626" s="27" t="s">
        <v>423</v>
      </c>
      <c r="D626" s="27" t="s">
        <v>274</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585</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586</v>
      </c>
      <c r="B628" s="27" t="s">
        <v>349</v>
      </c>
      <c r="C628" s="27" t="s">
        <v>435</v>
      </c>
      <c r="D628" s="27" t="s">
        <v>274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323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294</v>
      </c>
      <c r="B630" s="27" t="s">
        <v>346</v>
      </c>
      <c r="C630" s="27" t="s">
        <v>296</v>
      </c>
      <c r="D630" s="27" t="s">
        <v>274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278</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587</v>
      </c>
      <c r="B632" s="27" t="s">
        <v>368</v>
      </c>
      <c r="C632" s="27" t="s">
        <v>280</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588</v>
      </c>
      <c r="B633" s="27" t="s">
        <v>368</v>
      </c>
      <c r="C633" s="27" t="s">
        <v>311</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131</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338</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row>
    <row r="637" spans="1:12">
      <c r="A637" s="20" t="s">
        <v>589</v>
      </c>
    </row>
    <row r="638" spans="1:12">
      <c r="A638" s="20" t="s">
        <v>590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135</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294</v>
      </c>
      <c r="B640" s="27" t="s">
        <v>346</v>
      </c>
      <c r="C640" s="27" t="s">
        <v>296</v>
      </c>
      <c r="D640" s="27" t="s">
        <v>274</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389</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591</v>
      </c>
      <c r="B642" s="27" t="s">
        <v>368</v>
      </c>
      <c r="C642" s="27" t="s">
        <v>280</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414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287</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592</v>
      </c>
      <c r="B645" s="27" t="s">
        <v>292</v>
      </c>
      <c r="C645" s="27" t="s">
        <v>289</v>
      </c>
      <c r="D645" s="27" t="s">
        <v>274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285</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287</v>
      </c>
      <c r="B647" s="27" t="s">
        <v>313</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529</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593</v>
      </c>
      <c r="B649" s="27" t="s">
        <v>310</v>
      </c>
      <c r="C649" s="27" t="s">
        <v>331</v>
      </c>
      <c r="D649" s="27" t="s">
        <v>274</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t="s">
        <v>308</v>
      </c>
      <c r="E650" s="21">
        <f>IF(D650="?OLD","!!!","")</f>
        <v/>
      </c>
      <c r="F650" s="22" t="str">
        <f>IF(OR(E650="",E650="!!!"),"",IF(NOT(ISNA(VLOOKUP(E650,E$1:E649,1,FALSE()))),"OLD",IF(AND(E650&lt;&gt;"",E650&lt;&gt;"!!!"),"NEW","")))</f>
        <v> </v>
      </c>
      <c r="G650" s="23" t="str">
        <f>IF(OR(E650="",E650="!!!"),"",IF(OR(J650=0,AND(J650=1,K650=1),AND(J650=1,I650="SBJ"),AND(J650=1,I650=0)),"?IN_FOCUS",IF(J650&lt;=2,"?ACTIVATED",IF(J650&lt;&gt;"","?FAMILIAR",IF(F650="NEW",IF(ISNA(VLOOKUP(E650,#REF!,1,FALSE())),"?TYPE_IDENTIFIABLE","?REFERENTIAL"),"_")))))</f>
        <v> </v>
      </c>
      <c r="H650" s="24" t="str">
        <f>IF(J650&lt;&gt;1,"",IF(I650="SBJ","CB","?"))</f>
        <v> </v>
      </c>
      <c r="I650" s="25" t="str">
        <f>IF(OR(E650="",E650="!!!",F650="NEW"),"",INDEX(B649:B$2,-1+SUMPRODUCT(MAX(ROW(E649:E$2)*(E650=E649:E$2)))))</f>
        <v> </v>
      </c>
      <c r="J650" s="25" t="str">
        <f>IF(OR(E650="",E650="!!!",F650="NEW"),"",COUNTBLANK(OFFSET(A$1,,,SUMPRODUCT(MAX(ROW(E$2:E650)*(E650=E$2:E650)))))-COUNTBLANK(OFFSET(A$1,,,SUMPRODUCT(MAX(ROW(E$1:E649)*(E2=E$1:E649))))))</f>
        <v> </v>
      </c>
      <c r="K650" s="25" t="str">
        <f>IF(OR(E650="",E650="!!!",F650="NEW"),"",INDEX(J$1:J649,SUMPRODUCT(MAX(ROW(E$1:E649)*(E650=E$1:E649)))))</f>
        <v> </v>
      </c>
      <c r="L650" s="26"/>
    </row>
    <row r="651" spans="1:12">
      <c r="A651" s="20" t="s">
        <v>379</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581</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383</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338</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row>
    <row r="656" spans="1:12">
      <c r="A656" s="20" t="s">
        <v>594</v>
      </c>
    </row>
    <row r="657" spans="1:12">
      <c r="A657" s="20" t="s">
        <v>487</v>
      </c>
      <c r="B657" s="27" t="s">
        <v>346</v>
      </c>
      <c r="C657" s="27" t="s">
        <v>273</v>
      </c>
      <c r="D657" s="27" t="s">
        <v>274</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595</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405</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354</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511</v>
      </c>
      <c r="B661" s="27" t="s">
        <v>368</v>
      </c>
      <c r="C661" s="27" t="s">
        <v>289</v>
      </c>
      <c r="D661" s="27" t="s">
        <v>274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596</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597</v>
      </c>
      <c r="B663" s="27" t="s">
        <v>292</v>
      </c>
      <c r="C663" s="27" t="s">
        <v>311</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596</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139</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338</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row>
    <row r="668" spans="1:12">
      <c r="A668" s="20" t="s">
        <v>448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598</v>
      </c>
    </row>
    <row r="670" spans="1:12">
      <c r="A670" s="20" t="s">
        <v>521</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285</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599</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271</v>
      </c>
      <c r="B673" s="27" t="s">
        <v>272</v>
      </c>
      <c r="C673" s="27" t="s">
        <v>273</v>
      </c>
      <c r="D673" s="27" t="s">
        <v>274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596</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597</v>
      </c>
      <c r="B675" s="27" t="s">
        <v>292</v>
      </c>
      <c r="C675" s="27" t="s">
        <v>311</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596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600</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601</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602</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271</v>
      </c>
      <c r="B680" s="27" t="s">
        <v>346</v>
      </c>
      <c r="C680" s="27" t="s">
        <v>273</v>
      </c>
      <c r="D680" s="27" t="s">
        <v>274</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285</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286</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287</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603</v>
      </c>
      <c r="B684" s="27" t="s">
        <v>346</v>
      </c>
      <c r="C684" s="27" t="s">
        <v>289</v>
      </c>
      <c r="D684" s="27" t="s">
        <v>274</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285</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287</v>
      </c>
      <c r="B686" s="27" t="s">
        <v>295</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324</v>
      </c>
      <c r="B687" s="27" t="s">
        <v>293</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308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379</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604</v>
      </c>
      <c r="B690" s="27" t="s">
        <v>303</v>
      </c>
      <c r="C690" s="27" t="s">
        <v>296</v>
      </c>
      <c r="D690" s="27" t="s">
        <v>274</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605</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606</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607</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608</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455</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381</v>
      </c>
      <c r="B696" s="27" t="s">
        <v>349</v>
      </c>
      <c r="C696" s="27" t="s">
        <v>311</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609</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610</v>
      </c>
      <c r="B698" s="27" t="s">
        <v>349</v>
      </c>
      <c r="C698" s="27" t="s">
        <v>289</v>
      </c>
      <c r="D698" s="27" t="s">
        <v>274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455</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383</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338</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row>
    <row r="703" spans="1:12">
      <c r="A703" s="20" t="s">
        <v>611</v>
      </c>
    </row>
    <row r="704" spans="1:12">
      <c r="A704" s="20" t="s">
        <v>612</v>
      </c>
      <c r="B704" s="27" t="s">
        <v>346</v>
      </c>
      <c r="C704" s="27" t="s">
        <v>423</v>
      </c>
      <c r="D704" s="27" t="s">
        <v>274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283</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613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614</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285</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615</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422</v>
      </c>
      <c r="B710" s="27" t="s">
        <v>272</v>
      </c>
      <c r="C710" s="27" t="s">
        <v>423</v>
      </c>
      <c r="D710" s="27" t="s">
        <v>274</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278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616</v>
      </c>
      <c r="B712" s="27" t="s">
        <v>272</v>
      </c>
      <c r="C712" s="27" t="s">
        <v>280</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283</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285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287</v>
      </c>
      <c r="B715" s="27" t="s">
        <v>272</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334</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378</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363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454</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560</v>
      </c>
      <c r="B720" s="27" t="s">
        <v>292</v>
      </c>
      <c r="C720" s="27" t="s">
        <v>280</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617</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338</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618</v>
      </c>
    </row>
    <row r="725" spans="1:12">
      <c r="A725" s="20" t="s">
        <v>352</v>
      </c>
      <c r="B725" s="27" t="s">
        <v>346</v>
      </c>
      <c r="C725" s="27" t="s">
        <v>423</v>
      </c>
      <c r="D725" s="27" t="s">
        <v>274</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283</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506</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312</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152</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442</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526</v>
      </c>
      <c r="B731" s="27" t="s">
        <v>272</v>
      </c>
      <c r="C731" s="27" t="s">
        <v>402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389</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390</v>
      </c>
      <c r="B733" s="27" t="s">
        <v>276</v>
      </c>
      <c r="C733" s="27" t="s">
        <v>280</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619</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305</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354</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620</v>
      </c>
      <c r="B737" s="27" t="s">
        <v>293</v>
      </c>
      <c r="C737" s="27" t="s">
        <v>289</v>
      </c>
      <c r="D737" s="27" t="s">
        <v>274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621</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338</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row>
    <row r="741" spans="1:12">
      <c r="A741" s="20" t="s">
        <v>448</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622</v>
      </c>
    </row>
    <row r="743" spans="1:12">
      <c r="A743" s="20" t="s">
        <v>623</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529</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278</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624</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433</v>
      </c>
      <c r="B747" s="27" t="s">
        <v>303</v>
      </c>
      <c r="C747" s="27" t="s">
        <v>423</v>
      </c>
      <c r="D747" s="27" t="s">
        <v>274</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625</v>
      </c>
      <c r="B748" s="27" t="s">
        <v>292</v>
      </c>
      <c r="C748" s="27" t="s">
        <v>435</v>
      </c>
      <c r="D748" s="27" t="s">
        <v>274</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362</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271</v>
      </c>
      <c r="B750" s="27" t="s">
        <v>346</v>
      </c>
      <c r="C750" s="27" t="s">
        <v>273</v>
      </c>
      <c r="D750" s="27" t="s">
        <v>274</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393</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378</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354</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511</v>
      </c>
      <c r="B754" s="27" t="s">
        <v>349</v>
      </c>
      <c r="C754" s="27" t="s">
        <v>289</v>
      </c>
      <c r="D754" s="27" t="s">
        <v>274</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607</v>
      </c>
      <c r="B755" s="27" t="s">
        <v>292</v>
      </c>
      <c r="C755" s="27" t="s">
        <v>331</v>
      </c>
      <c r="D755" s="27" t="s">
        <v>274</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608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455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381</v>
      </c>
      <c r="B758" s="27" t="s">
        <v>292</v>
      </c>
      <c r="C758" s="27" t="s">
        <v>311</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609</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610</v>
      </c>
      <c r="B760" s="27" t="s">
        <v>303</v>
      </c>
      <c r="C760" s="27" t="s">
        <v>289</v>
      </c>
      <c r="D760" s="27" t="s">
        <v>274</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455</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626</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96</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285</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305</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496</v>
      </c>
      <c r="B766" s="27" t="s">
        <v>292</v>
      </c>
      <c r="C766" s="27" t="s">
        <v>402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627</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32</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338</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row>
    <row r="771" spans="1:12">
      <c r="A771" s="20" t="s">
        <v>628</v>
      </c>
    </row>
    <row r="772" spans="1:12">
      <c r="A772" s="20" t="s">
        <v>404</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271</v>
      </c>
      <c r="B773" s="27" t="s">
        <v>272</v>
      </c>
      <c r="C773" s="27" t="s">
        <v>273</v>
      </c>
      <c r="D773" s="27" t="s">
        <v>274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405</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629</v>
      </c>
      <c r="B775" s="27" t="s">
        <v>303</v>
      </c>
      <c r="C775" s="27" t="s">
        <v>402</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t="s">
        <v>530</v>
      </c>
      <c r="B776" s="27" t="s">
        <v>303</v>
      </c>
      <c r="C776" s="27" t="s">
        <v>423</v>
      </c>
      <c r="D776" s="27" t="s">
        <v>274</v>
      </c>
      <c r="E776" s="21">
        <f>IF(D776="?OLD","!!!","")</f>
        <v/>
      </c>
      <c r="F776" s="22" t="str">
        <f>IF(OR(E776="",E776="!!!"),"",IF(NOT(ISNA(VLOOKUP(E776,E$1:E775,1,FALSE()))),"OLD",IF(AND(E776&lt;&gt;"",E776&lt;&gt;"!!!"),"NEW","")))</f>
        <v> </v>
      </c>
      <c r="G776" s="23" t="str">
        <f>IF(OR(E776="",E776="!!!"),"",IF(OR(J776=0,AND(J776=1,K776=1),AND(J776=1,I776="SBJ"),AND(J776=1,I776=0)),"?IN_FOCUS",IF(J776&lt;=2,"?ACTIVATED",IF(J776&lt;&gt;"","?FAMILIAR",IF(F776="NEW",IF(ISNA(VLOOKUP(E776,#REF!,1,FALSE())),"?TYPE_IDENTIFIABLE","?REFERENTIAL"),"_")))))</f>
        <v> </v>
      </c>
      <c r="H776" s="24" t="str">
        <f>IF(J776&lt;&gt;1,"",IF(I776="SBJ","CB","?"))</f>
        <v> </v>
      </c>
      <c r="I776" s="25" t="str">
        <f>IF(OR(E776="",E776="!!!",F776="NEW"),"",INDEX(B775:B$2,-1+SUMPRODUCT(MAX(ROW(E775:E$2)*(E776=E775:E$2)))))</f>
        <v> </v>
      </c>
      <c r="J776" s="25" t="str">
        <f>IF(OR(E776="",E776="!!!",F776="NEW"),"",COUNTBLANK(OFFSET(A$1,,,SUMPRODUCT(MAX(ROW(E$2:E776)*(E776=E$2:E776)))))-COUNTBLANK(OFFSET(A$1,,,SUMPRODUCT(MAX(ROW(E$1:E775)*(E2=E$1:E775))))))</f>
        <v> </v>
      </c>
      <c r="K776" s="25" t="str">
        <f>IF(OR(E776="",E776="!!!",F776="NEW"),"",INDEX(J$1:J775,SUMPRODUCT(MAX(ROW(E$1:E775)*(E776=E$1:E775)))))</f>
        <v> </v>
      </c>
      <c r="L776" s="26"/>
    </row>
    <row r="777" spans="1:12">
      <c r="A777" s="20" t="s">
        <v>630</v>
      </c>
      <c r="B777" s="27" t="s">
        <v>276</v>
      </c>
      <c r="C777" s="27" t="s">
        <v>435</v>
      </c>
      <c r="D777" s="27" t="s">
        <v>274</v>
      </c>
      <c r="E777" s="21">
        <f>IF(D777="?OLD","!!!","")</f>
        <v/>
      </c>
      <c r="F777" s="22" t="str">
        <f>IF(OR(E777="",E777="!!!"),"",IF(NOT(ISNA(VLOOKUP(E777,E$1:E776,1,FALSE()))),"OLD",IF(AND(E777&lt;&gt;"",E777&lt;&gt;"!!!"),"NEW","")))</f>
        <v> </v>
      </c>
      <c r="G777" s="23" t="str">
        <f>IF(OR(E777="",E777="!!!"),"",IF(OR(J777=0,AND(J777=1,K777=1),AND(J777=1,I777="SBJ"),AND(J777=1,I777=0)),"?IN_FOCUS",IF(J777&lt;=2,"?ACTIVATED",IF(J777&lt;&gt;"","?FAMILIAR",IF(F777="NEW",IF(ISNA(VLOOKUP(E777,#REF!,1,FALSE())),"?TYPE_IDENTIFIABLE","?REFERENTIAL"),"_")))))</f>
        <v> </v>
      </c>
      <c r="H777" s="24" t="str">
        <f>IF(J777&lt;&gt;1,"",IF(I777="SBJ","CB","?"))</f>
        <v> </v>
      </c>
      <c r="I777" s="25" t="str">
        <f>IF(OR(E777="",E777="!!!",F777="NEW"),"",INDEX(B776:B$2,-1+SUMPRODUCT(MAX(ROW(E776:E$2)*(E777=E776:E$2)))))</f>
        <v> </v>
      </c>
      <c r="J777" s="25" t="str">
        <f>IF(OR(E777="",E777="!!!",F777="NEW"),"",COUNTBLANK(OFFSET(A$1,,,SUMPRODUCT(MAX(ROW(E$2:E777)*(E777=E$2:E777)))))-COUNTBLANK(OFFSET(A$1,,,SUMPRODUCT(MAX(ROW(E$1:E776)*(E2=E$1:E776))))))</f>
        <v> </v>
      </c>
      <c r="K777" s="25" t="str">
        <f>IF(OR(E777="",E777="!!!",F777="NEW"),"",INDEX(J$1:J776,SUMPRODUCT(MAX(ROW(E$1:E776)*(E777=E$1:E776)))))</f>
        <v> </v>
      </c>
      <c r="L777" s="26"/>
    </row>
    <row r="778" spans="1:12">
      <c r="A778" s="20" t="s">
        <v>631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602</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271</v>
      </c>
      <c r="B780" s="27" t="s">
        <v>346</v>
      </c>
      <c r="C780" s="27" t="s">
        <v>273</v>
      </c>
      <c r="D780" s="27" t="s">
        <v>274</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285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286</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287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632</v>
      </c>
      <c r="B784" s="27" t="s">
        <v>272</v>
      </c>
      <c r="C784" s="27" t="s">
        <v>289</v>
      </c>
      <c r="D784" s="27" t="s">
        <v>274</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528</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633</v>
      </c>
      <c r="B786" s="27" t="s">
        <v>349</v>
      </c>
      <c r="C786" s="27" t="s">
        <v>311</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383</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338</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row>
    <row r="790" spans="1:12">
      <c r="A790" s="20" t="s">
        <v>634</v>
      </c>
    </row>
    <row r="791" spans="1:12">
      <c r="A791" s="20" t="s">
        <v>635</v>
      </c>
      <c r="B791" s="27" t="s">
        <v>346</v>
      </c>
      <c r="C791" s="27" t="s">
        <v>402</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162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573</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290</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636</v>
      </c>
      <c r="B795" s="27" t="s">
        <v>349</v>
      </c>
      <c r="C795" s="27" t="s">
        <v>289</v>
      </c>
      <c r="D795" s="27" t="s">
        <v>274</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338</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row>
    <row r="798" spans="1:12">
      <c r="A798" s="20" t="s">
        <v>637</v>
      </c>
    </row>
    <row r="799" spans="1:12">
      <c r="A799" s="20" t="s">
        <v>635</v>
      </c>
      <c r="B799" s="27" t="s">
        <v>346</v>
      </c>
      <c r="C799" s="27" t="s">
        <v>402</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285</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638</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639</v>
      </c>
      <c r="B802" s="27" t="s">
        <v>292</v>
      </c>
      <c r="C802" s="27" t="s">
        <v>296</v>
      </c>
      <c r="D802" s="27" t="s">
        <v>274</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285</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162</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573</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290</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640</v>
      </c>
      <c r="B807" s="27" t="s">
        <v>349</v>
      </c>
      <c r="C807" s="27" t="s">
        <v>289</v>
      </c>
      <c r="D807" s="27" t="s">
        <v>274</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338</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row>
    <row r="810" spans="1:12">
      <c r="A810" s="20" t="s">
        <v>641</v>
      </c>
    </row>
    <row r="811" spans="1:12">
      <c r="A811" s="20" t="s">
        <v>642</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283</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643</v>
      </c>
      <c r="B813" s="27" t="s">
        <v>349</v>
      </c>
      <c r="C813" s="27" t="s">
        <v>468</v>
      </c>
      <c r="D813" s="27" t="s">
        <v>274</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644</v>
      </c>
      <c r="B814" s="27" t="s">
        <v>349</v>
      </c>
      <c r="C814" s="27" t="s">
        <v>311</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338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row>
    <row r="817" spans="1:12">
      <c r="A817" s="20" t="s">
        <v>645</v>
      </c>
    </row>
    <row r="818" spans="1:12">
      <c r="A818" s="20" t="s">
        <v>370</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363</v>
      </c>
      <c r="B819" s="27" t="s">
        <v>346</v>
      </c>
      <c r="C819" s="27" t="s">
        <v>402</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574</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t="s">
        <v>573</v>
      </c>
      <c r="E821" s="21">
        <f>IF(D821="?OLD","!!!","")</f>
        <v/>
      </c>
      <c r="F821" s="22" t="str">
        <f>IF(OR(E821="",E821="!!!"),"",IF(NOT(ISNA(VLOOKUP(E821,E$1:E820,1,FALSE()))),"OLD",IF(AND(E821&lt;&gt;"",E821&lt;&gt;"!!!"),"NEW","")))</f>
        <v> </v>
      </c>
      <c r="G821" s="23" t="str">
        <f>IF(OR(E821="",E821="!!!"),"",IF(OR(J821=0,AND(J821=1,K821=1),AND(J821=1,I821="SBJ"),AND(J821=1,I821=0)),"?IN_FOCUS",IF(J821&lt;=2,"?ACTIVATED",IF(J821&lt;&gt;"","?FAMILIAR",IF(F821="NEW",IF(ISNA(VLOOKUP(E821,#REF!,1,FALSE())),"?TYPE_IDENTIFIABLE","?REFERENTIAL"),"_")))))</f>
        <v> </v>
      </c>
      <c r="H821" s="24" t="str">
        <f>IF(J821&lt;&gt;1,"",IF(I821="SBJ","CB","?"))</f>
        <v> </v>
      </c>
      <c r="I821" s="25" t="str">
        <f>IF(OR(E821="",E821="!!!",F821="NEW"),"",INDEX(B820:B$2,-1+SUMPRODUCT(MAX(ROW(E820:E$2)*(E821=E820:E$2)))))</f>
        <v> </v>
      </c>
      <c r="J821" s="25" t="str">
        <f>IF(OR(E821="",E821="!!!",F821="NEW"),"",COUNTBLANK(OFFSET(A$1,,,SUMPRODUCT(MAX(ROW(E$2:E821)*(E821=E$2:E821)))))-COUNTBLANK(OFFSET(A$1,,,SUMPRODUCT(MAX(ROW(E$1:E820)*(E2=E$1:E820))))))</f>
        <v> </v>
      </c>
      <c r="K821" s="25" t="str">
        <f>IF(OR(E821="",E821="!!!",F821="NEW"),"",INDEX(J$1:J820,SUMPRODUCT(MAX(ROW(E$1:E820)*(E821=E$1:E820)))))</f>
        <v> </v>
      </c>
      <c r="L821" s="26"/>
    </row>
    <row r="822" spans="1:12">
      <c r="A822" s="20" t="s">
        <v>379</v>
      </c>
      <c r="E822" s="21">
        <f>IF(D822="?OLD","!!!","")</f>
        <v/>
      </c>
      <c r="F822" s="22" t="str">
        <f>IF(OR(E822="",E822="!!!"),"",IF(NOT(ISNA(VLOOKUP(E822,E$1:E821,1,FALSE()))),"OLD",IF(AND(E822&lt;&gt;"",E822&lt;&gt;"!!!"),"NEW","")))</f>
        <v> </v>
      </c>
      <c r="G822" s="23" t="str">
        <f>IF(OR(E822="",E822="!!!"),"",IF(OR(J822=0,AND(J822=1,K822=1),AND(J822=1,I822="SBJ"),AND(J822=1,I822=0)),"?IN_FOCUS",IF(J822&lt;=2,"?ACTIVATED",IF(J822&lt;&gt;"","?FAMILIAR",IF(F822="NEW",IF(ISNA(VLOOKUP(E822,#REF!,1,FALSE())),"?TYPE_IDENTIFIABLE","?REFERENTIAL"),"_")))))</f>
        <v> </v>
      </c>
      <c r="H822" s="24" t="str">
        <f>IF(J822&lt;&gt;1,"",IF(I822="SBJ","CB","?"))</f>
        <v> </v>
      </c>
      <c r="I822" s="25" t="str">
        <f>IF(OR(E822="",E822="!!!",F822="NEW"),"",INDEX(B821:B$2,-1+SUMPRODUCT(MAX(ROW(E821:E$2)*(E822=E821:E$2)))))</f>
        <v> </v>
      </c>
      <c r="J822" s="25" t="str">
        <f>IF(OR(E822="",E822="!!!",F822="NEW"),"",COUNTBLANK(OFFSET(A$1,,,SUMPRODUCT(MAX(ROW(E$2:E822)*(E822=E$2:E822)))))-COUNTBLANK(OFFSET(A$1,,,SUMPRODUCT(MAX(ROW(E$1:E821)*(E2=E$1:E821))))))</f>
        <v> </v>
      </c>
      <c r="K822" s="25" t="str">
        <f>IF(OR(E822="",E822="!!!",F822="NEW"),"",INDEX(J$1:J821,SUMPRODUCT(MAX(ROW(E$1:E821)*(E822=E$1:E821)))))</f>
        <v> </v>
      </c>
      <c r="L822" s="26"/>
    </row>
    <row r="823" spans="1:12">
      <c r="A823" s="20" t="s">
        <v>646</v>
      </c>
      <c r="B823" s="27" t="s">
        <v>349</v>
      </c>
      <c r="C823" s="27" t="s">
        <v>289</v>
      </c>
      <c r="D823" s="27" t="s">
        <v>274</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338</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row>
    <row r="826" spans="1:12">
      <c r="A826" s="20" t="s">
        <v>647</v>
      </c>
    </row>
    <row r="827" spans="1:12">
      <c r="A827" s="20" t="s">
        <v>370</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648</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283</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649</v>
      </c>
      <c r="B830" s="27" t="s">
        <v>346</v>
      </c>
      <c r="C830" s="27" t="s">
        <v>331</v>
      </c>
      <c r="D830" s="27" t="s">
        <v>274</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444</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343</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650</v>
      </c>
      <c r="B833" s="27" t="s">
        <v>349</v>
      </c>
      <c r="C833" s="27" t="s">
        <v>280</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651</v>
      </c>
      <c r="B834" s="27" t="s">
        <v>349</v>
      </c>
      <c r="C834" s="27" t="s">
        <v>331</v>
      </c>
      <c r="D834" s="27" t="s">
        <v>274</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652</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338</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653</v>
      </c>
    </row>
    <row r="839" spans="1:12">
      <c r="A839" s="20" t="s">
        <v>340</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323</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294</v>
      </c>
      <c r="B841" s="27" t="s">
        <v>346</v>
      </c>
      <c r="C841" s="27" t="s">
        <v>296</v>
      </c>
      <c r="D841" s="27" t="s">
        <v>274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405</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81</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305</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389</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654</v>
      </c>
      <c r="B846" s="27" t="s">
        <v>276</v>
      </c>
      <c r="C846" s="27" t="s">
        <v>280</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529</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496</v>
      </c>
      <c r="B848" s="27" t="s">
        <v>310</v>
      </c>
      <c r="C848" s="27" t="s">
        <v>402</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650</v>
      </c>
      <c r="B849" s="27" t="s">
        <v>303</v>
      </c>
      <c r="C849" s="27" t="s">
        <v>331</v>
      </c>
      <c r="D849" s="27" t="s">
        <v>274</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651</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652</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655</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338</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row>
    <row r="855" spans="1:12">
      <c r="A855" s="20" t="s">
        <v>656</v>
      </c>
    </row>
    <row r="856" spans="1:12">
      <c r="A856" s="20" t="s">
        <v>541</v>
      </c>
      <c r="B856" s="27" t="s">
        <v>346</v>
      </c>
      <c r="C856" s="27" t="s">
        <v>402</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421</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285</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294</v>
      </c>
      <c r="B859" s="27" t="s">
        <v>272</v>
      </c>
      <c r="C859" s="27" t="s">
        <v>296</v>
      </c>
      <c r="D859" s="27" t="s">
        <v>274</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t="s">
        <v>657</v>
      </c>
      <c r="E860" s="21">
        <f>IF(D860="?OLD","!!!","")</f>
        <v/>
      </c>
      <c r="F860" s="22" t="str">
        <f>IF(OR(E860="",E860="!!!"),"",IF(NOT(ISNA(VLOOKUP(E860,E$1:E859,1,FALSE()))),"OLD",IF(AND(E860&lt;&gt;"",E860&lt;&gt;"!!!"),"NEW","")))</f>
        <v> </v>
      </c>
      <c r="G860" s="23" t="str">
        <f>IF(OR(E860="",E860="!!!"),"",IF(OR(J860=0,AND(J860=1,K860=1),AND(J860=1,I860="SBJ"),AND(J860=1,I860=0)),"?IN_FOCUS",IF(J860&lt;=2,"?ACTIVATED",IF(J860&lt;&gt;"","?FAMILIAR",IF(F860="NEW",IF(ISNA(VLOOKUP(E860,#REF!,1,FALSE())),"?TYPE_IDENTIFIABLE","?REFERENTIAL"),"_")))))</f>
        <v> </v>
      </c>
      <c r="H860" s="24" t="str">
        <f>IF(J860&lt;&gt;1,"",IF(I860="SBJ","CB","?"))</f>
        <v> </v>
      </c>
      <c r="I860" s="25" t="str">
        <f>IF(OR(E860="",E860="!!!",F860="NEW"),"",INDEX(B859:B$2,-1+SUMPRODUCT(MAX(ROW(E859:E$2)*(E860=E859:E$2)))))</f>
        <v> </v>
      </c>
      <c r="J860" s="25" t="str">
        <f>IF(OR(E860="",E860="!!!",F860="NEW"),"",COUNTBLANK(OFFSET(A$1,,,SUMPRODUCT(MAX(ROW(E$2:E860)*(E860=E$2:E860)))))-COUNTBLANK(OFFSET(A$1,,,SUMPRODUCT(MAX(ROW(E$1:E859)*(E2=E$1:E859))))))</f>
        <v> </v>
      </c>
      <c r="K860" s="25" t="str">
        <f>IF(OR(E860="",E860="!!!",F860="NEW"),"",INDEX(J$1:J859,SUMPRODUCT(MAX(ROW(E$1:E859)*(E860=E$1:E859)))))</f>
        <v> </v>
      </c>
      <c r="L860" s="26"/>
    </row>
    <row r="861" spans="1:12">
      <c r="A861" s="20" t="s">
        <v>378</v>
      </c>
      <c r="E861" s="21">
        <f>IF(D861="?OLD","!!!","")</f>
        <v/>
      </c>
      <c r="F861" s="22" t="str">
        <f>IF(OR(E861="",E861="!!!"),"",IF(NOT(ISNA(VLOOKUP(E861,E$1:E860,1,FALSE()))),"OLD",IF(AND(E861&lt;&gt;"",E861&lt;&gt;"!!!"),"NEW","")))</f>
        <v> </v>
      </c>
      <c r="G861" s="23" t="str">
        <f>IF(OR(E861="",E861="!!!"),"",IF(OR(J861=0,AND(J861=1,K861=1),AND(J861=1,I861="SBJ"),AND(J861=1,I861=0)),"?IN_FOCUS",IF(J861&lt;=2,"?ACTIVATED",IF(J861&lt;&gt;"","?FAMILIAR",IF(F861="NEW",IF(ISNA(VLOOKUP(E861,#REF!,1,FALSE())),"?TYPE_IDENTIFIABLE","?REFERENTIAL"),"_")))))</f>
        <v> </v>
      </c>
      <c r="H861" s="24" t="str">
        <f>IF(J861&lt;&gt;1,"",IF(I861="SBJ","CB","?"))</f>
        <v> </v>
      </c>
      <c r="I861" s="25" t="str">
        <f>IF(OR(E861="",E861="!!!",F861="NEW"),"",INDEX(B860:B$2,-1+SUMPRODUCT(MAX(ROW(E860:E$2)*(E861=E860:E$2)))))</f>
        <v> </v>
      </c>
      <c r="J861" s="25" t="str">
        <f>IF(OR(E861="",E861="!!!",F861="NEW"),"",COUNTBLANK(OFFSET(A$1,,,SUMPRODUCT(MAX(ROW(E$2:E861)*(E861=E$2:E861)))))-COUNTBLANK(OFFSET(A$1,,,SUMPRODUCT(MAX(ROW(E$1:E860)*(E2=E$1:E860))))))</f>
        <v> </v>
      </c>
      <c r="K861" s="25" t="str">
        <f>IF(OR(E861="",E861="!!!",F861="NEW"),"",INDEX(J$1:J860,SUMPRODUCT(MAX(ROW(E$1:E860)*(E861=E$1:E860)))))</f>
        <v> </v>
      </c>
      <c r="L861" s="26"/>
    </row>
    <row r="862" spans="1:12">
      <c r="A862" s="20" t="s">
        <v>379</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658</v>
      </c>
      <c r="B863" s="27" t="s">
        <v>292</v>
      </c>
      <c r="C863" s="27" t="s">
        <v>289</v>
      </c>
      <c r="D863" s="27" t="s">
        <v>274</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354</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659</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660</v>
      </c>
      <c r="B866" s="27" t="s">
        <v>276</v>
      </c>
      <c r="C866" s="27" t="s">
        <v>289</v>
      </c>
      <c r="D866" s="27" t="s">
        <v>274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299</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661</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284</v>
      </c>
      <c r="B869" s="27" t="s">
        <v>295</v>
      </c>
      <c r="C869" s="27" t="s">
        <v>273</v>
      </c>
      <c r="D869" s="27" t="s">
        <v>274</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444</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613</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343</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658</v>
      </c>
      <c r="B873" s="27" t="s">
        <v>292</v>
      </c>
      <c r="C873" s="27" t="s">
        <v>280</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283</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285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334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506</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431</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662</v>
      </c>
      <c r="B879" s="27" t="s">
        <v>349</v>
      </c>
      <c r="C879" s="27" t="s">
        <v>311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312</v>
      </c>
      <c r="B880" s="27" t="s">
        <v>303</v>
      </c>
      <c r="C880" s="27" t="s">
        <v>402</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662</v>
      </c>
      <c r="B881" s="27" t="s">
        <v>292</v>
      </c>
      <c r="C881" s="27" t="s">
        <v>311</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285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663</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664</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665</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338</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row>
    <row r="888" spans="1:12">
      <c r="A888" s="20" t="s">
        <v>666</v>
      </c>
    </row>
    <row r="889" spans="1:12">
      <c r="A889" s="20" t="s">
        <v>370</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321</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282</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271</v>
      </c>
      <c r="B892" s="27" t="s">
        <v>346</v>
      </c>
      <c r="C892" s="27" t="s">
        <v>273</v>
      </c>
      <c r="D892" s="27" t="s">
        <v>274</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275</v>
      </c>
      <c r="B893" s="27" t="s">
        <v>368</v>
      </c>
      <c r="C893" s="27" t="s">
        <v>273</v>
      </c>
      <c r="D893" s="27" t="s">
        <v>274</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341</v>
      </c>
      <c r="B894" s="27" t="s">
        <v>368</v>
      </c>
      <c r="C894" s="27" t="s">
        <v>296</v>
      </c>
      <c r="D894" s="27" t="s">
        <v>274</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373</v>
      </c>
      <c r="B895" s="27" t="s">
        <v>346</v>
      </c>
      <c r="C895" s="27" t="s">
        <v>402</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127</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341</v>
      </c>
      <c r="B897" s="27" t="s">
        <v>272</v>
      </c>
      <c r="C897" s="27" t="s">
        <v>296</v>
      </c>
      <c r="D897" s="27" t="s">
        <v>274</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278</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t="s">
        <v>562</v>
      </c>
      <c r="E899" s="21">
        <f>IF(D899="?OLD","!!!","")</f>
        <v/>
      </c>
      <c r="F899" s="22" t="str">
        <f>IF(OR(E899="",E899="!!!"),"",IF(NOT(ISNA(VLOOKUP(E899,E$1:E898,1,FALSE()))),"OLD",IF(AND(E899&lt;&gt;"",E899&lt;&gt;"!!!"),"NEW","")))</f>
        <v> </v>
      </c>
      <c r="G899" s="23" t="str">
        <f>IF(OR(E899="",E899="!!!"),"",IF(OR(J899=0,AND(J899=1,K899=1),AND(J899=1,I899="SBJ"),AND(J899=1,I899=0)),"?IN_FOCUS",IF(J899&lt;=2,"?ACTIVATED",IF(J899&lt;&gt;"","?FAMILIAR",IF(F899="NEW",IF(ISNA(VLOOKUP(E899,#REF!,1,FALSE())),"?TYPE_IDENTIFIABLE","?REFERENTIAL"),"_")))))</f>
        <v> </v>
      </c>
      <c r="H899" s="24" t="str">
        <f>IF(J899&lt;&gt;1,"",IF(I899="SBJ","CB","?"))</f>
        <v> </v>
      </c>
      <c r="I899" s="25" t="str">
        <f>IF(OR(E899="",E899="!!!",F899="NEW"),"",INDEX(B898:B$2,-1+SUMPRODUCT(MAX(ROW(E898:E$2)*(E899=E898:E$2)))))</f>
        <v> </v>
      </c>
      <c r="J899" s="25" t="str">
        <f>IF(OR(E899="",E899="!!!",F899="NEW"),"",COUNTBLANK(OFFSET(A$1,,,SUMPRODUCT(MAX(ROW(E$2:E899)*(E899=E$2:E899)))))-COUNTBLANK(OFFSET(A$1,,,SUMPRODUCT(MAX(ROW(E$1:E898)*(E2=E$1:E898))))))</f>
        <v> </v>
      </c>
      <c r="K899" s="25" t="str">
        <f>IF(OR(E899="",E899="!!!",F899="NEW"),"",INDEX(J$1:J898,SUMPRODUCT(MAX(ROW(E$1:E898)*(E899=E$1:E898)))))</f>
        <v> </v>
      </c>
      <c r="L899" s="26"/>
    </row>
    <row r="900" spans="1:12">
      <c r="A900" s="20" t="s">
        <v>667</v>
      </c>
      <c r="B900" s="27" t="s">
        <v>368</v>
      </c>
      <c r="C900" s="27" t="s">
        <v>280</v>
      </c>
      <c r="E900" s="21">
        <f>IF(D900="?OLD","!!!","")</f>
        <v/>
      </c>
      <c r="F900" s="22" t="str">
        <f>IF(OR(E900="",E900="!!!"),"",IF(NOT(ISNA(VLOOKUP(E900,E$1:E899,1,FALSE()))),"OLD",IF(AND(E900&lt;&gt;"",E900&lt;&gt;"!!!"),"NEW","")))</f>
        <v> </v>
      </c>
      <c r="G900" s="23" t="str">
        <f>IF(OR(E900="",E900="!!!"),"",IF(OR(J900=0,AND(J900=1,K900=1),AND(J900=1,I900="SBJ"),AND(J900=1,I900=0)),"?IN_FOCUS",IF(J900&lt;=2,"?ACTIVATED",IF(J900&lt;&gt;"","?FAMILIAR",IF(F900="NEW",IF(ISNA(VLOOKUP(E900,#REF!,1,FALSE())),"?TYPE_IDENTIFIABLE","?REFERENTIAL"),"_")))))</f>
        <v> </v>
      </c>
      <c r="H900" s="24" t="str">
        <f>IF(J900&lt;&gt;1,"",IF(I900="SBJ","CB","?"))</f>
        <v> </v>
      </c>
      <c r="I900" s="25" t="str">
        <f>IF(OR(E900="",E900="!!!",F900="NEW"),"",INDEX(B899:B$2,-1+SUMPRODUCT(MAX(ROW(E899:E$2)*(E900=E899:E$2)))))</f>
        <v> </v>
      </c>
      <c r="J900" s="25" t="str">
        <f>IF(OR(E900="",E900="!!!",F900="NEW"),"",COUNTBLANK(OFFSET(A$1,,,SUMPRODUCT(MAX(ROW(E$2:E900)*(E900=E$2:E900)))))-COUNTBLANK(OFFSET(A$1,,,SUMPRODUCT(MAX(ROW(E$1:E899)*(E2=E$1:E899))))))</f>
        <v> </v>
      </c>
      <c r="K900" s="25" t="str">
        <f>IF(OR(E900="",E900="!!!",F900="NEW"),"",INDEX(J$1:J899,SUMPRODUCT(MAX(ROW(E$1:E899)*(E900=E$1:E899)))))</f>
        <v> </v>
      </c>
      <c r="L900" s="26"/>
    </row>
    <row r="901" spans="1:12">
      <c r="A901" s="20" t="s">
        <v>13</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509</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338</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row>
    <row r="905" spans="1:12">
      <c r="A905" s="20" t="s">
        <v>668</v>
      </c>
    </row>
    <row r="906" spans="1:12">
      <c r="A906" s="20" t="s">
        <v>487</v>
      </c>
      <c r="B906" s="27" t="s">
        <v>346</v>
      </c>
      <c r="C906" s="27" t="s">
        <v>273</v>
      </c>
      <c r="D906" s="27" t="s">
        <v>274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576</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275</v>
      </c>
      <c r="B908" s="27" t="s">
        <v>368</v>
      </c>
      <c r="C908" s="27" t="s">
        <v>273</v>
      </c>
      <c r="D908" s="27" t="s">
        <v>274</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342</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539</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506</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287</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t="s">
        <v>669</v>
      </c>
      <c r="E913" s="21">
        <f>IF(D913="?OLD","!!!","")</f>
        <v/>
      </c>
      <c r="F913" s="22" t="str">
        <f>IF(OR(E913="",E913="!!!"),"",IF(NOT(ISNA(VLOOKUP(E913,E$1:E912,1,FALSE()))),"OLD",IF(AND(E913&lt;&gt;"",E913&lt;&gt;"!!!"),"NEW","")))</f>
        <v> </v>
      </c>
      <c r="G913" s="23" t="str">
        <f>IF(OR(E913="",E913="!!!"),"",IF(OR(J913=0,AND(J913=1,K913=1),AND(J913=1,I913="SBJ"),AND(J913=1,I913=0)),"?IN_FOCUS",IF(J913&lt;=2,"?ACTIVATED",IF(J913&lt;&gt;"","?FAMILIAR",IF(F913="NEW",IF(ISNA(VLOOKUP(E913,#REF!,1,FALSE())),"?TYPE_IDENTIFIABLE","?REFERENTIAL"),"_")))))</f>
        <v> </v>
      </c>
      <c r="H913" s="24" t="str">
        <f>IF(J913&lt;&gt;1,"",IF(I913="SBJ","CB","?"))</f>
        <v> </v>
      </c>
      <c r="I913" s="25" t="str">
        <f>IF(OR(E913="",E913="!!!",F913="NEW"),"",INDEX(B912:B$2,-1+SUMPRODUCT(MAX(ROW(E912:E$2)*(E913=E912:E$2)))))</f>
        <v> </v>
      </c>
      <c r="J913" s="25" t="str">
        <f>IF(OR(E913="",E913="!!!",F913="NEW"),"",COUNTBLANK(OFFSET(A$1,,,SUMPRODUCT(MAX(ROW(E$2:E913)*(E913=E$2:E913)))))-COUNTBLANK(OFFSET(A$1,,,SUMPRODUCT(MAX(ROW(E$1:E912)*(E2=E$1:E912))))))</f>
        <v> </v>
      </c>
      <c r="K913" s="25" t="str">
        <f>IF(OR(E913="",E913="!!!",F913="NEW"),"",INDEX(J$1:J912,SUMPRODUCT(MAX(ROW(E$1:E912)*(E913=E$1:E912)))))</f>
        <v> </v>
      </c>
      <c r="L913" s="26"/>
    </row>
    <row r="914" spans="1:12">
      <c r="A914" s="20" t="s">
        <v>670</v>
      </c>
      <c r="E914" s="21">
        <f>IF(D914="?OLD","!!!","")</f>
        <v/>
      </c>
      <c r="F914" s="22" t="str">
        <f>IF(OR(E914="",E914="!!!"),"",IF(NOT(ISNA(VLOOKUP(E914,E$1:E913,1,FALSE()))),"OLD",IF(AND(E914&lt;&gt;"",E914&lt;&gt;"!!!"),"NEW","")))</f>
        <v> </v>
      </c>
      <c r="G914" s="23" t="str">
        <f>IF(OR(E914="",E914="!!!"),"",IF(OR(J914=0,AND(J914=1,K914=1),AND(J914=1,I914="SBJ"),AND(J914=1,I914=0)),"?IN_FOCUS",IF(J914&lt;=2,"?ACTIVATED",IF(J914&lt;&gt;"","?FAMILIAR",IF(F914="NEW",IF(ISNA(VLOOKUP(E914,#REF!,1,FALSE())),"?TYPE_IDENTIFIABLE","?REFERENTIAL"),"_")))))</f>
        <v> </v>
      </c>
      <c r="H914" s="24" t="str">
        <f>IF(J914&lt;&gt;1,"",IF(I914="SBJ","CB","?"))</f>
        <v> </v>
      </c>
      <c r="I914" s="25" t="str">
        <f>IF(OR(E914="",E914="!!!",F914="NEW"),"",INDEX(B913:B$2,-1+SUMPRODUCT(MAX(ROW(E913:E$2)*(E914=E913:E$2)))))</f>
        <v> </v>
      </c>
      <c r="J914" s="25" t="str">
        <f>IF(OR(E914="",E914="!!!",F914="NEW"),"",COUNTBLANK(OFFSET(A$1,,,SUMPRODUCT(MAX(ROW(E$2:E914)*(E914=E$2:E914)))))-COUNTBLANK(OFFSET(A$1,,,SUMPRODUCT(MAX(ROW(E$1:E913)*(E2=E$1:E913))))))</f>
        <v> </v>
      </c>
      <c r="K914" s="25" t="str">
        <f>IF(OR(E914="",E914="!!!",F914="NEW"),"",INDEX(J$1:J913,SUMPRODUCT(MAX(ROW(E$1:E913)*(E914=E$1:E913)))))</f>
        <v> </v>
      </c>
      <c r="L914" s="26"/>
    </row>
    <row r="915" spans="1:12">
      <c r="A915" s="20" t="s">
        <v>671</v>
      </c>
      <c r="B915" s="27" t="s">
        <v>349</v>
      </c>
      <c r="C915" s="27" t="s">
        <v>331</v>
      </c>
      <c r="D915" s="27" t="s">
        <v>274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672</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338</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row>
    <row r="919" spans="1:12">
      <c r="A919" s="20" t="s">
        <v>673</v>
      </c>
    </row>
    <row r="920" spans="1:12">
      <c r="A920" s="20" t="s">
        <v>192</v>
      </c>
      <c r="B920" s="27" t="s">
        <v>349</v>
      </c>
      <c r="C920" s="27" t="s">
        <v>311</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285</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530</v>
      </c>
      <c r="B922" s="27" t="s">
        <v>292</v>
      </c>
      <c r="C922" s="27" t="s">
        <v>423</v>
      </c>
      <c r="D922" s="27" t="s">
        <v>274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674</v>
      </c>
      <c r="B923" s="27" t="s">
        <v>349</v>
      </c>
      <c r="C923" s="27" t="s">
        <v>435</v>
      </c>
      <c r="D923" s="27" t="s">
        <v>274</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12</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487</v>
      </c>
      <c r="B925" s="27" t="s">
        <v>272</v>
      </c>
      <c r="C925" s="27" t="s">
        <v>273</v>
      </c>
      <c r="D925" s="27" t="s">
        <v>274</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282</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284</v>
      </c>
      <c r="B927" s="27" t="s">
        <v>272</v>
      </c>
      <c r="C927" s="27" t="s">
        <v>273</v>
      </c>
      <c r="D927" s="27" t="s">
        <v>274</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334</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389</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675</v>
      </c>
      <c r="B930" s="27" t="s">
        <v>276</v>
      </c>
      <c r="C930" s="27" t="s">
        <v>280</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676</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677</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row>
    <row r="934" spans="1:12">
      <c r="A934" s="20" t="s">
        <v>678</v>
      </c>
    </row>
    <row r="935" spans="1:12">
      <c r="A935" s="20" t="s">
        <v>284</v>
      </c>
      <c r="B935" s="27" t="s">
        <v>346</v>
      </c>
      <c r="C935" s="27" t="s">
        <v>273</v>
      </c>
      <c r="D935" s="27" t="s">
        <v>274</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283</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613</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679</v>
      </c>
      <c r="B938" s="27" t="s">
        <v>349</v>
      </c>
      <c r="C938" s="27" t="s">
        <v>296</v>
      </c>
      <c r="D938" s="27" t="s">
        <v>274</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675</v>
      </c>
      <c r="B939" s="27" t="s">
        <v>349</v>
      </c>
      <c r="C939" s="27" t="s">
        <v>409</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285</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680</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526</v>
      </c>
      <c r="B942" s="27" t="s">
        <v>272</v>
      </c>
      <c r="C942" s="27" t="s">
        <v>402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362</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681</v>
      </c>
      <c r="B944" s="27" t="s">
        <v>276</v>
      </c>
      <c r="C944" s="27" t="s">
        <v>311</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605</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215</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12</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305</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294</v>
      </c>
      <c r="B949" s="27" t="s">
        <v>295</v>
      </c>
      <c r="C949" s="27" t="s">
        <v>296</v>
      </c>
      <c r="D949" s="27" t="s">
        <v>274</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682</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530</v>
      </c>
      <c r="B951" s="27" t="s">
        <v>310</v>
      </c>
      <c r="C951" s="27" t="s">
        <v>423</v>
      </c>
      <c r="D951" s="27" t="s">
        <v>274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683</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12</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684</v>
      </c>
      <c r="B954" s="27" t="s">
        <v>293</v>
      </c>
      <c r="C954" s="27" t="s">
        <v>435</v>
      </c>
      <c r="D954" s="27" t="s">
        <v>274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312</v>
      </c>
      <c r="B955" s="27" t="s">
        <v>310</v>
      </c>
      <c r="C955" s="27" t="s">
        <v>402</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453</v>
      </c>
      <c r="B956" s="27" t="s">
        <v>310</v>
      </c>
      <c r="C956" s="27" t="s">
        <v>402</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454</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685</v>
      </c>
      <c r="B958" s="27" t="s">
        <v>303</v>
      </c>
      <c r="C958" s="27" t="s">
        <v>452</v>
      </c>
      <c r="D958" s="27" t="s">
        <v>274</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317</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433</v>
      </c>
      <c r="B960" s="27" t="s">
        <v>310</v>
      </c>
      <c r="C960" s="27" t="s">
        <v>423</v>
      </c>
      <c r="D960" s="27" t="s">
        <v>274</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338</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row>
    <row r="963" spans="1:12">
      <c r="A963" s="20" t="s">
        <v>686</v>
      </c>
    </row>
    <row r="964" spans="1:12">
      <c r="A964" s="20" t="s">
        <v>487</v>
      </c>
      <c r="B964" s="27" t="s">
        <v>346</v>
      </c>
      <c r="C964" s="27" t="s">
        <v>273</v>
      </c>
      <c r="D964" s="27" t="s">
        <v>274</v>
      </c>
      <c r="E964" s="21">
        <f>IF(D964="?OLD","!!!","")</f>
        <v/>
      </c>
      <c r="F964" s="22" t="str">
        <f>IF(OR(E964="",E964="!!!"),"",IF(NOT(ISNA(VLOOKUP(E964,E$1:E963,1,FALSE()))),"OLD",IF(AND(E964&lt;&gt;"",E964&lt;&gt;"!!!"),"NEW","")))</f>
        <v> </v>
      </c>
      <c r="G964" s="23" t="str">
        <f>IF(OR(E964="",E964="!!!"),"",IF(OR(J964=0,AND(J964=1,K964=1),AND(J964=1,I964="SBJ"),AND(J964=1,I964=0)),"?IN_FOCUS",IF(J964&lt;=2,"?ACTIVATED",IF(J964&lt;&gt;"","?FAMILIAR",IF(F964="NEW",IF(ISNA(VLOOKUP(E964,#REF!,1,FALSE())),"?TYPE_IDENTIFIABLE","?REFERENTIAL"),"_")))))</f>
        <v> </v>
      </c>
      <c r="H964" s="24" t="str">
        <f>IF(J964&lt;&gt;1,"",IF(I964="SBJ","CB","?"))</f>
        <v> </v>
      </c>
      <c r="I964" s="25" t="str">
        <f>IF(OR(E964="",E964="!!!",F964="NEW"),"",INDEX(B963:B$2,-1+SUMPRODUCT(MAX(ROW(E963:E$2)*(E964=E963:E$2)))))</f>
        <v> </v>
      </c>
      <c r="J964" s="25" t="str">
        <f>IF(OR(E964="",E964="!!!",F964="NEW"),"",COUNTBLANK(OFFSET(A$1,,,SUMPRODUCT(MAX(ROW(E$2:E964)*(E964=E$2:E964)))))-COUNTBLANK(OFFSET(A$1,,,SUMPRODUCT(MAX(ROW(E$1:E963)*(E2=E$1:E963))))))</f>
        <v> </v>
      </c>
      <c r="K964" s="25" t="str">
        <f>IF(OR(E964="",E964="!!!",F964="NEW"),"",INDEX(J$1:J963,SUMPRODUCT(MAX(ROW(E$1:E963)*(E964=E$1:E963)))))</f>
        <v> </v>
      </c>
      <c r="L964" s="26"/>
    </row>
    <row r="965" spans="1:12">
      <c r="A965" s="20" t="s">
        <v>362</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429</v>
      </c>
      <c r="E966" s="21">
        <f>IF(D966="?OLD","!!!","")</f>
        <v/>
      </c>
      <c r="F966" s="22" t="str">
        <f>IF(OR(E966="",E966="!!!"),"",IF(NOT(ISNA(VLOOKUP(E966,E$1:E965,1,FALSE()))),"OLD",IF(AND(E966&lt;&gt;"",E966&lt;&gt;"!!!"),"NEW","")))</f>
        <v> </v>
      </c>
      <c r="G966" s="23" t="str">
        <f>IF(OR(E966="",E966="!!!"),"",IF(OR(J966=0,AND(J966=1,K966=1),AND(J966=1,I966="SBJ"),AND(J966=1,I966=0)),"?IN_FOCUS",IF(J966&lt;=2,"?ACTIVATED",IF(J966&lt;&gt;"","?FAMILIAR",IF(F966="NEW",IF(ISNA(VLOOKUP(E966,#REF!,1,FALSE())),"?TYPE_IDENTIFIABLE","?REFERENTIAL"),"_")))))</f>
        <v> </v>
      </c>
      <c r="H966" s="24" t="str">
        <f>IF(J966&lt;&gt;1,"",IF(I966="SBJ","CB","?"))</f>
        <v> </v>
      </c>
      <c r="I966" s="25" t="str">
        <f>IF(OR(E966="",E966="!!!",F966="NEW"),"",INDEX(B965:B$2,-1+SUMPRODUCT(MAX(ROW(E965:E$2)*(E966=E965:E$2)))))</f>
        <v> </v>
      </c>
      <c r="J966" s="25" t="str">
        <f>IF(OR(E966="",E966="!!!",F966="NEW"),"",COUNTBLANK(OFFSET(A$1,,,SUMPRODUCT(MAX(ROW(E$2:E966)*(E966=E$2:E966)))))-COUNTBLANK(OFFSET(A$1,,,SUMPRODUCT(MAX(ROW(E$1:E965)*(E2=E$1:E965))))))</f>
        <v> </v>
      </c>
      <c r="K966" s="25" t="str">
        <f>IF(OR(E966="",E966="!!!",F966="NEW"),"",INDEX(J$1:J965,SUMPRODUCT(MAX(ROW(E$1:E965)*(E966=E$1:E965)))))</f>
        <v> </v>
      </c>
      <c r="L966" s="26"/>
    </row>
    <row r="967" spans="1:12">
      <c r="A967" s="20" t="s">
        <v>389</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390</v>
      </c>
      <c r="B968" s="27" t="s">
        <v>368</v>
      </c>
      <c r="C968" s="27" t="s">
        <v>280</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200</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285</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305</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479</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312</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363</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687</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t="s">
        <v>688</v>
      </c>
      <c r="B976" s="27" t="s">
        <v>292</v>
      </c>
      <c r="C976" s="27" t="s">
        <v>280</v>
      </c>
      <c r="E976" s="21">
        <f>IF(D976="?OLD","!!!","")</f>
        <v/>
      </c>
      <c r="F976" s="22" t="str">
        <f>IF(OR(E976="",E976="!!!"),"",IF(NOT(ISNA(VLOOKUP(E976,E$1:E975,1,FALSE()))),"OLD",IF(AND(E976&lt;&gt;"",E976&lt;&gt;"!!!"),"NEW","")))</f>
        <v> </v>
      </c>
      <c r="G976" s="23" t="str">
        <f>IF(OR(E976="",E976="!!!"),"",IF(OR(J976=0,AND(J976=1,K976=1),AND(J976=1,I976="SBJ"),AND(J976=1,I976=0)),"?IN_FOCUS",IF(J976&lt;=2,"?ACTIVATED",IF(J976&lt;&gt;"","?FAMILIAR",IF(F976="NEW",IF(ISNA(VLOOKUP(E976,#REF!,1,FALSE())),"?TYPE_IDENTIFIABLE","?REFERENTIAL"),"_")))))</f>
        <v> </v>
      </c>
      <c r="H976" s="24" t="str">
        <f>IF(J976&lt;&gt;1,"",IF(I976="SBJ","CB","?"))</f>
        <v> </v>
      </c>
      <c r="I976" s="25" t="str">
        <f>IF(OR(E976="",E976="!!!",F976="NEW"),"",INDEX(B975:B$2,-1+SUMPRODUCT(MAX(ROW(E975:E$2)*(E976=E975:E$2)))))</f>
        <v> </v>
      </c>
      <c r="J976" s="25" t="str">
        <f>IF(OR(E976="",E976="!!!",F976="NEW"),"",COUNTBLANK(OFFSET(A$1,,,SUMPRODUCT(MAX(ROW(E$2:E976)*(E976=E$2:E976)))))-COUNTBLANK(OFFSET(A$1,,,SUMPRODUCT(MAX(ROW(E$1:E975)*(E2=E$1:E975))))))</f>
        <v> </v>
      </c>
      <c r="K976" s="25" t="str">
        <f>IF(OR(E976="",E976="!!!",F976="NEW"),"",INDEX(J$1:J975,SUMPRODUCT(MAX(ROW(E$1:E975)*(E976=E$1:E975)))))</f>
        <v> </v>
      </c>
      <c r="L976" s="26"/>
    </row>
    <row r="977" spans="1:12">
      <c r="A977" s="20" t="s">
        <v>81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338</v>
      </c>
      <c r="E978" s="21">
        <f>IF(D978="?OLD","!!!","")</f>
        <v/>
      </c>
      <c r="F978" s="22" t="str">
        <f>IF(OR(E978="",E978="!!!"),"",IF(NOT(ISNA(VLOOKUP(E978,E$1:E977,1,FALSE()))),"OLD",IF(AND(E978&lt;&gt;"",E978&lt;&gt;"!!!"),"NEW","")))</f>
        <v> </v>
      </c>
      <c r="G978" s="23" t="str">
        <f>IF(OR(E978="",E978="!!!"),"",IF(OR(J978=0,AND(J978=1,K978=1),AND(J978=1,I978="SBJ"),AND(J978=1,I978=0)),"?IN_FOCUS",IF(J978&lt;=2,"?ACTIVATED",IF(J978&lt;&gt;"","?FAMILIAR",IF(F978="NEW",IF(ISNA(VLOOKUP(E978,#REF!,1,FALSE())),"?TYPE_IDENTIFIABLE","?REFERENTIAL"),"_")))))</f>
        <v> </v>
      </c>
      <c r="H978" s="24" t="str">
        <f>IF(J978&lt;&gt;1,"",IF(I978="SBJ","CB","?"))</f>
        <v> </v>
      </c>
      <c r="I978" s="25" t="str">
        <f>IF(OR(E978="",E978="!!!",F978="NEW"),"",INDEX(B977:B$2,-1+SUMPRODUCT(MAX(ROW(E977:E$2)*(E978=E977:E$2)))))</f>
        <v> </v>
      </c>
      <c r="J978" s="25" t="str">
        <f>IF(OR(E978="",E978="!!!",F978="NEW"),"",COUNTBLANK(OFFSET(A$1,,,SUMPRODUCT(MAX(ROW(E$2:E978)*(E978=E$2:E978)))))-COUNTBLANK(OFFSET(A$1,,,SUMPRODUCT(MAX(ROW(E$1:E977)*(E2=E$1:E977))))))</f>
        <v> </v>
      </c>
      <c r="K978" s="25" t="str">
        <f>IF(OR(E978="",E978="!!!",F978="NEW"),"",INDEX(J$1:J977,SUMPRODUCT(MAX(ROW(E$1:E977)*(E978=E$1:E977)))))</f>
        <v> </v>
      </c>
      <c r="L978" s="26"/>
    </row>
    <row r="979" spans="1:12">
      <c r="A979" s="20"/>
    </row>
    <row r="980" spans="1:12">
      <c r="A980" s="20" t="s">
        <v>689</v>
      </c>
    </row>
    <row r="981" spans="1:12">
      <c r="A981" s="20" t="s">
        <v>352</v>
      </c>
      <c r="B981" s="27" t="s">
        <v>346</v>
      </c>
      <c r="C981" s="27" t="s">
        <v>423</v>
      </c>
      <c r="D981" s="27" t="s">
        <v>274</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283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690</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614</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285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377</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526</v>
      </c>
      <c r="B987" s="27" t="s">
        <v>272</v>
      </c>
      <c r="C987" s="27" t="s">
        <v>402</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506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691</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354</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692</v>
      </c>
      <c r="B991" s="27" t="s">
        <v>292</v>
      </c>
      <c r="C991" s="27" t="s">
        <v>289</v>
      </c>
      <c r="D991" s="27" t="s">
        <v>274</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431</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681</v>
      </c>
      <c r="B993" s="27" t="s">
        <v>303</v>
      </c>
      <c r="C993" s="27" t="s">
        <v>311</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378</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433</v>
      </c>
      <c r="B995" s="27" t="s">
        <v>693</v>
      </c>
      <c r="C995" s="27" t="s">
        <v>423</v>
      </c>
      <c r="D995" s="27" t="s">
        <v>274</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t="s">
        <v>531</v>
      </c>
      <c r="B996" s="27" t="s">
        <v>310</v>
      </c>
      <c r="C996" s="27" t="s">
        <v>435</v>
      </c>
      <c r="D996" s="27" t="s">
        <v>274</v>
      </c>
      <c r="E996" s="21">
        <f>IF(D996="?OLD","!!!","")</f>
        <v/>
      </c>
      <c r="F996" s="22" t="str">
        <f>IF(OR(E996="",E996="!!!"),"",IF(NOT(ISNA(VLOOKUP(E996,E$1:E995,1,FALSE()))),"OLD",IF(AND(E996&lt;&gt;"",E996&lt;&gt;"!!!"),"NEW","")))</f>
        <v> </v>
      </c>
      <c r="G996" s="23" t="str">
        <f>IF(OR(E996="",E996="!!!"),"",IF(OR(J996=0,AND(J996=1,K996=1),AND(J996=1,I996="SBJ"),AND(J996=1,I996=0)),"?IN_FOCUS",IF(J996&lt;=2,"?ACTIVATED",IF(J996&lt;&gt;"","?FAMILIAR",IF(F996="NEW",IF(ISNA(VLOOKUP(E996,#REF!,1,FALSE())),"?TYPE_IDENTIFIABLE","?REFERENTIAL"),"_")))))</f>
        <v> </v>
      </c>
      <c r="H996" s="24" t="str">
        <f>IF(J996&lt;&gt;1,"",IF(I996="SBJ","CB","?"))</f>
        <v> </v>
      </c>
      <c r="I996" s="25" t="str">
        <f>IF(OR(E996="",E996="!!!",F996="NEW"),"",INDEX(B995:B$2,-1+SUMPRODUCT(MAX(ROW(E995:E$2)*(E996=E995:E$2)))))</f>
        <v> </v>
      </c>
      <c r="J996" s="25" t="str">
        <f>IF(OR(E996="",E996="!!!",F996="NEW"),"",COUNTBLANK(OFFSET(A$1,,,SUMPRODUCT(MAX(ROW(E$2:E996)*(E996=E$2:E996)))))-COUNTBLANK(OFFSET(A$1,,,SUMPRODUCT(MAX(ROW(E$1:E995)*(E2=E$1:E995))))))</f>
        <v> </v>
      </c>
      <c r="K996" s="25" t="str">
        <f>IF(OR(E996="",E996="!!!",F996="NEW"),"",INDEX(J$1:J995,SUMPRODUCT(MAX(ROW(E$1:E995)*(E996=E$1:E995)))))</f>
        <v> </v>
      </c>
      <c r="L996" s="26"/>
    </row>
    <row r="997" spans="1:12">
      <c r="A997" s="20" t="s">
        <v>305</v>
      </c>
      <c r="E997" s="21">
        <f>IF(D997="?OLD","!!!","")</f>
        <v/>
      </c>
      <c r="F997" s="22" t="str">
        <f>IF(OR(E997="",E997="!!!"),"",IF(NOT(ISNA(VLOOKUP(E997,E$1:E996,1,FALSE()))),"OLD",IF(AND(E997&lt;&gt;"",E997&lt;&gt;"!!!"),"NEW","")))</f>
        <v> </v>
      </c>
      <c r="G997" s="23" t="str">
        <f>IF(OR(E997="",E997="!!!"),"",IF(OR(J997=0,AND(J997=1,K997=1),AND(J997=1,I997="SBJ"),AND(J997=1,I997=0)),"?IN_FOCUS",IF(J997&lt;=2,"?ACTIVATED",IF(J997&lt;&gt;"","?FAMILIAR",IF(F997="NEW",IF(ISNA(VLOOKUP(E997,#REF!,1,FALSE())),"?TYPE_IDENTIFIABLE","?REFERENTIAL"),"_")))))</f>
        <v> </v>
      </c>
      <c r="H997" s="24" t="str">
        <f>IF(J997&lt;&gt;1,"",IF(I997="SBJ","CB","?"))</f>
        <v> </v>
      </c>
      <c r="I997" s="25" t="str">
        <f>IF(OR(E997="",E997="!!!",F997="NEW"),"",INDEX(B996:B$2,-1+SUMPRODUCT(MAX(ROW(E996:E$2)*(E997=E996:E$2)))))</f>
        <v> </v>
      </c>
      <c r="J997" s="25" t="str">
        <f>IF(OR(E997="",E997="!!!",F997="NEW"),"",COUNTBLANK(OFFSET(A$1,,,SUMPRODUCT(MAX(ROW(E$2:E997)*(E997=E$2:E997)))))-COUNTBLANK(OFFSET(A$1,,,SUMPRODUCT(MAX(ROW(E$1:E996)*(E2=E$1:E996))))))</f>
        <v> </v>
      </c>
      <c r="K997" s="25" t="str">
        <f>IF(OR(E997="",E997="!!!",F997="NEW"),"",INDEX(J$1:J996,SUMPRODUCT(MAX(ROW(E$1:E996)*(E997=E$1:E996)))))</f>
        <v> </v>
      </c>
      <c r="L997" s="26"/>
    </row>
    <row r="998" spans="1:12">
      <c r="A998" s="20" t="s">
        <v>434</v>
      </c>
      <c r="B998" s="27" t="s">
        <v>693</v>
      </c>
      <c r="C998" s="27" t="s">
        <v>311</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285</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571</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694</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695</v>
      </c>
      <c r="B1002" s="27" t="s">
        <v>303</v>
      </c>
      <c r="C1002" s="27" t="s">
        <v>331</v>
      </c>
      <c r="D1002" s="27" t="s">
        <v>274</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12</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696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529</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287</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697</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531</v>
      </c>
      <c r="B1008" s="27" t="s">
        <v>292</v>
      </c>
      <c r="C1008" s="27" t="s">
        <v>289</v>
      </c>
      <c r="D1008" s="27" t="s">
        <v>274</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305</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434</v>
      </c>
      <c r="B1010" s="27" t="s">
        <v>303</v>
      </c>
      <c r="C1010" s="27" t="s">
        <v>311</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698</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362</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338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row>
    <row r="1015" spans="1:12">
      <c r="A1015" s="20" t="s">
        <v>699</v>
      </c>
    </row>
    <row r="1016" spans="1:12">
      <c r="A1016" s="20" t="s">
        <v>487</v>
      </c>
      <c r="B1016" s="27" t="s">
        <v>346</v>
      </c>
      <c r="C1016" s="27" t="s">
        <v>273</v>
      </c>
      <c r="D1016" s="27" t="s">
        <v>274</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362</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429</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378</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700</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696</v>
      </c>
      <c r="B1021" s="27" t="s">
        <v>349</v>
      </c>
      <c r="C1021" s="27" t="s">
        <v>304</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207</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378</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701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364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702</v>
      </c>
      <c r="B1026" s="27" t="s">
        <v>349</v>
      </c>
      <c r="C1026" s="27" t="s">
        <v>280</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338</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row>
    <row r="1029" spans="1:12">
      <c r="A1029" s="20" t="s">
        <v>703</v>
      </c>
    </row>
    <row r="1030" spans="1:12">
      <c r="A1030" s="20" t="s">
        <v>642</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283</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290</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t="s">
        <v>704</v>
      </c>
      <c r="B1033" s="27" t="s">
        <v>349</v>
      </c>
      <c r="C1033" s="27" t="s">
        <v>289</v>
      </c>
      <c r="D1033" s="27" t="s">
        <v>274</v>
      </c>
      <c r="E1033" s="21">
        <f>IF(D1033="?OLD","!!!","")</f>
        <v/>
      </c>
      <c r="F1033" s="22" t="str">
        <f>IF(OR(E1033="",E1033="!!!"),"",IF(NOT(ISNA(VLOOKUP(E1033,E$1:E1032,1,FALSE()))),"OLD",IF(AND(E1033&lt;&gt;"",E1033&lt;&gt;"!!!"),"NEW","")))</f>
        <v> </v>
      </c>
      <c r="G1033" s="23" t="str">
        <f>IF(OR(E1033="",E1033="!!!"),"",IF(OR(J1033=0,AND(J1033=1,K1033=1),AND(J1033=1,I1033="SBJ"),AND(J1033=1,I1033=0)),"?IN_FOCUS",IF(J1033&lt;=2,"?ACTIVATED",IF(J1033&lt;&gt;"","?FAMILIAR",IF(F1033="NEW",IF(ISNA(VLOOKUP(E1033,#REF!,1,FALSE())),"?TYPE_IDENTIFIABLE","?REFERENTIAL"),"_")))))</f>
        <v> </v>
      </c>
      <c r="H1033" s="24" t="str">
        <f>IF(J1033&lt;&gt;1,"",IF(I1033="SBJ","CB","?"))</f>
        <v> </v>
      </c>
      <c r="I1033" s="25" t="str">
        <f>IF(OR(E1033="",E1033="!!!",F1033="NEW"),"",INDEX(B1032:B$2,-1+SUMPRODUCT(MAX(ROW(E1032:E$2)*(E1033=E1032:E$2)))))</f>
        <v> </v>
      </c>
      <c r="J1033" s="25" t="str">
        <f>IF(OR(E1033="",E1033="!!!",F1033="NEW"),"",COUNTBLANK(OFFSET(A$1,,,SUMPRODUCT(MAX(ROW(E$2:E1033)*(E1033=E$2:E1033)))))-COUNTBLANK(OFFSET(A$1,,,SUMPRODUCT(MAX(ROW(E$1:E1032)*(E2=E$1:E1032))))))</f>
        <v> </v>
      </c>
      <c r="K1033" s="25" t="str">
        <f>IF(OR(E1033="",E1033="!!!",F1033="NEW"),"",INDEX(J$1:J1032,SUMPRODUCT(MAX(ROW(E$1:E1032)*(E1033=E$1:E1032)))))</f>
        <v> </v>
      </c>
      <c r="L1033" s="26"/>
    </row>
    <row r="1034" spans="1:12">
      <c r="A1034" s="20" t="s">
        <v>290</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705</v>
      </c>
      <c r="E1035" s="21">
        <f>IF(D1035="?OLD","!!!","")</f>
        <v/>
      </c>
      <c r="F1035" s="22" t="str">
        <f>IF(OR(E1035="",E1035="!!!"),"",IF(NOT(ISNA(VLOOKUP(E1035,E$1:E1034,1,FALSE()))),"OLD",IF(AND(E1035&lt;&gt;"",E1035&lt;&gt;"!!!"),"NEW","")))</f>
        <v> </v>
      </c>
      <c r="G1035" s="23" t="str">
        <f>IF(OR(E1035="",E1035="!!!"),"",IF(OR(J1035=0,AND(J1035=1,K1035=1),AND(J1035=1,I1035="SBJ"),AND(J1035=1,I1035=0)),"?IN_FOCUS",IF(J1035&lt;=2,"?ACTIVATED",IF(J1035&lt;&gt;"","?FAMILIAR",IF(F1035="NEW",IF(ISNA(VLOOKUP(E1035,#REF!,1,FALSE())),"?TYPE_IDENTIFIABLE","?REFERENTIAL"),"_")))))</f>
        <v> </v>
      </c>
      <c r="H1035" s="24" t="str">
        <f>IF(J1035&lt;&gt;1,"",IF(I1035="SBJ","CB","?"))</f>
        <v> </v>
      </c>
      <c r="I1035" s="25" t="str">
        <f>IF(OR(E1035="",E1035="!!!",F1035="NEW"),"",INDEX(B1034:B$2,-1+SUMPRODUCT(MAX(ROW(E1034:E$2)*(E1035=E1034:E$2)))))</f>
        <v> </v>
      </c>
      <c r="J1035" s="25" t="str">
        <f>IF(OR(E1035="",E1035="!!!",F1035="NEW"),"",COUNTBLANK(OFFSET(A$1,,,SUMPRODUCT(MAX(ROW(E$2:E1035)*(E1035=E$2:E1035)))))-COUNTBLANK(OFFSET(A$1,,,SUMPRODUCT(MAX(ROW(E$1:E1034)*(E2=E$1:E1034))))))</f>
        <v> </v>
      </c>
      <c r="K1035" s="25" t="str">
        <f>IF(OR(E1035="",E1035="!!!",F1035="NEW"),"",INDEX(J$1:J1034,SUMPRODUCT(MAX(ROW(E$1:E1034)*(E1035=E$1:E1034)))))</f>
        <v> </v>
      </c>
      <c r="L1035" s="26"/>
    </row>
    <row r="1036" spans="1:12">
      <c r="A1036" s="20" t="s">
        <v>706</v>
      </c>
      <c r="B1036" s="27" t="s">
        <v>349</v>
      </c>
      <c r="C1036" s="27" t="s">
        <v>289</v>
      </c>
      <c r="D1036" s="27" t="s">
        <v>274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285</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287</v>
      </c>
      <c r="B1038" s="27" t="s">
        <v>276</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271</v>
      </c>
      <c r="B1039" s="27" t="s">
        <v>272</v>
      </c>
      <c r="C1039" s="27" t="s">
        <v>273</v>
      </c>
      <c r="D1039" s="27" t="s">
        <v>274</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707</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493</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708</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601</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338</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row>
    <row r="1046" spans="1:12">
      <c r="A1046" s="20" t="s">
        <v>709</v>
      </c>
    </row>
    <row r="1047" spans="1:12">
      <c r="A1047" s="20" t="s">
        <v>370</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271</v>
      </c>
      <c r="B1048" s="27" t="s">
        <v>346</v>
      </c>
      <c r="C1048" s="27" t="s">
        <v>273</v>
      </c>
      <c r="D1048" s="27" t="s">
        <v>274</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362</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710</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462</v>
      </c>
      <c r="B1051" s="27" t="s">
        <v>346</v>
      </c>
      <c r="C1051" s="27" t="s">
        <v>402</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285</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341</v>
      </c>
      <c r="B1053" s="27" t="s">
        <v>368</v>
      </c>
      <c r="C1053" s="27" t="s">
        <v>296</v>
      </c>
      <c r="D1053" s="27" t="s">
        <v>274</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271</v>
      </c>
      <c r="B1054" s="27" t="s">
        <v>346</v>
      </c>
      <c r="C1054" s="27" t="s">
        <v>273</v>
      </c>
      <c r="D1054" s="27" t="s">
        <v>274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277</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711</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712</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601</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285</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713</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714</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338</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row>
    <row r="1064" spans="1:12">
      <c r="A1064" s="20" t="s">
        <v>715</v>
      </c>
    </row>
    <row r="1065" spans="1:12">
      <c r="A1065" s="20" t="s">
        <v>370</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285</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442</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271</v>
      </c>
      <c r="B1068" s="27" t="s">
        <v>295</v>
      </c>
      <c r="C1068" s="27" t="s">
        <v>273</v>
      </c>
      <c r="D1068" s="27" t="s">
        <v>274</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713</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389</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390</v>
      </c>
      <c r="B1071" s="27" t="s">
        <v>293</v>
      </c>
      <c r="C1071" s="27" t="s">
        <v>280</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716</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305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529</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462</v>
      </c>
      <c r="B1075" s="27" t="s">
        <v>310</v>
      </c>
      <c r="C1075" s="27" t="s">
        <v>402</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482</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285</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362</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271</v>
      </c>
      <c r="B1079" s="27" t="s">
        <v>346</v>
      </c>
      <c r="C1079" s="27" t="s">
        <v>273</v>
      </c>
      <c r="D1079" s="27" t="s">
        <v>274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700</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696</v>
      </c>
      <c r="B1081" s="27" t="s">
        <v>368</v>
      </c>
      <c r="C1081" s="27" t="s">
        <v>304</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394</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219</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t="s">
        <v>717</v>
      </c>
      <c r="E1084" s="21">
        <f>IF(D1084="?OLD","!!!","")</f>
        <v/>
      </c>
      <c r="F1084" s="22" t="str">
        <f>IF(OR(E1084="",E1084="!!!"),"",IF(NOT(ISNA(VLOOKUP(E1084,E$1:E1083,1,FALSE()))),"OLD",IF(AND(E1084&lt;&gt;"",E1084&lt;&gt;"!!!"),"NEW","")))</f>
        <v> </v>
      </c>
      <c r="G1084" s="23" t="str">
        <f>IF(OR(E1084="",E1084="!!!"),"",IF(OR(J1084=0,AND(J1084=1,K1084=1),AND(J1084=1,I1084="SBJ"),AND(J1084=1,I1084=0)),"?IN_FOCUS",IF(J1084&lt;=2,"?ACTIVATED",IF(J1084&lt;&gt;"","?FAMILIAR",IF(F1084="NEW",IF(ISNA(VLOOKUP(E1084,#REF!,1,FALSE())),"?TYPE_IDENTIFIABLE","?REFERENTIAL"),"_")))))</f>
        <v> </v>
      </c>
      <c r="H1084" s="24" t="str">
        <f>IF(J1084&lt;&gt;1,"",IF(I1084="SBJ","CB","?"))</f>
        <v> </v>
      </c>
      <c r="I1084" s="25" t="str">
        <f>IF(OR(E1084="",E1084="!!!",F1084="NEW"),"",INDEX(B1083:B$2,-1+SUMPRODUCT(MAX(ROW(E1083:E$2)*(E1084=E1083:E$2)))))</f>
        <v> </v>
      </c>
      <c r="J1084" s="25" t="str">
        <f>IF(OR(E1084="",E1084="!!!",F1084="NEW"),"",COUNTBLANK(OFFSET(A$1,,,SUMPRODUCT(MAX(ROW(E$2:E1084)*(E1084=E$2:E1084)))))-COUNTBLANK(OFFSET(A$1,,,SUMPRODUCT(MAX(ROW(E$1:E1083)*(E2=E$1:E1083))))))</f>
        <v> </v>
      </c>
      <c r="K1084" s="25" t="str">
        <f>IF(OR(E1084="",E1084="!!!",F1084="NEW"),"",INDEX(J$1:J1083,SUMPRODUCT(MAX(ROW(E$1:E1083)*(E1084=E$1:E1083)))))</f>
        <v> </v>
      </c>
      <c r="L1084" s="26"/>
    </row>
    <row r="1085" spans="1:12">
      <c r="A1085" s="20" t="s">
        <v>347</v>
      </c>
      <c r="E1085" s="21">
        <f>IF(D1085="?OLD","!!!","")</f>
        <v/>
      </c>
      <c r="F1085" s="22" t="str">
        <f>IF(OR(E1085="",E1085="!!!"),"",IF(NOT(ISNA(VLOOKUP(E1085,E$1:E1084,1,FALSE()))),"OLD",IF(AND(E1085&lt;&gt;"",E1085&lt;&gt;"!!!"),"NEW","")))</f>
        <v> </v>
      </c>
      <c r="G1085" s="23" t="str">
        <f>IF(OR(E1085="",E1085="!!!"),"",IF(OR(J1085=0,AND(J1085=1,K1085=1),AND(J1085=1,I1085="SBJ"),AND(J1085=1,I1085=0)),"?IN_FOCUS",IF(J1085&lt;=2,"?ACTIVATED",IF(J1085&lt;&gt;"","?FAMILIAR",IF(F1085="NEW",IF(ISNA(VLOOKUP(E1085,#REF!,1,FALSE())),"?TYPE_IDENTIFIABLE","?REFERENTIAL"),"_")))))</f>
        <v> </v>
      </c>
      <c r="H1085" s="24" t="str">
        <f>IF(J1085&lt;&gt;1,"",IF(I1085="SBJ","CB","?"))</f>
        <v> </v>
      </c>
      <c r="I1085" s="25" t="str">
        <f>IF(OR(E1085="",E1085="!!!",F1085="NEW"),"",INDEX(B1084:B$2,-1+SUMPRODUCT(MAX(ROW(E1084:E$2)*(E1085=E1084:E$2)))))</f>
        <v> </v>
      </c>
      <c r="J1085" s="25" t="str">
        <f>IF(OR(E1085="",E1085="!!!",F1085="NEW"),"",COUNTBLANK(OFFSET(A$1,,,SUMPRODUCT(MAX(ROW(E$2:E1085)*(E1085=E$2:E1085)))))-COUNTBLANK(OFFSET(A$1,,,SUMPRODUCT(MAX(ROW(E$1:E1084)*(E2=E$1:E1084))))))</f>
        <v> </v>
      </c>
      <c r="K1085" s="25" t="str">
        <f>IF(OR(E1085="",E1085="!!!",F1085="NEW"),"",INDEX(J$1:J1084,SUMPRODUCT(MAX(ROW(E$1:E1084)*(E1085=E$1:E1084)))))</f>
        <v> </v>
      </c>
      <c r="L1085" s="26"/>
    </row>
    <row r="1086" spans="1:12">
      <c r="A1086" s="20" t="s">
        <v>718</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719</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12</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720</v>
      </c>
      <c r="B1089" s="27" t="s">
        <v>349</v>
      </c>
      <c r="C1089" s="27" t="s">
        <v>304</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338</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row>
    <row r="1092" spans="1:12">
      <c r="A1092" s="20" t="s">
        <v>721</v>
      </c>
    </row>
    <row r="1093" spans="1:12">
      <c r="A1093" s="20" t="s">
        <v>642</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285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601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271</v>
      </c>
      <c r="B1096" s="27" t="s">
        <v>346</v>
      </c>
      <c r="C1096" s="27" t="s">
        <v>273</v>
      </c>
      <c r="D1096" s="27" t="s">
        <v>274</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347</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596</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722</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596</v>
      </c>
      <c r="B1100" s="27" t="s">
        <v>349</v>
      </c>
      <c r="C1100" s="27" t="s">
        <v>311</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723</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t="s">
        <v>285</v>
      </c>
      <c r="E1102" s="21">
        <f>IF(D1102="?OLD","!!!","")</f>
        <v/>
      </c>
      <c r="F1102" s="22" t="str">
        <f>IF(OR(E1102="",E1102="!!!"),"",IF(NOT(ISNA(VLOOKUP(E1102,E$1:E1101,1,FALSE()))),"OLD",IF(AND(E1102&lt;&gt;"",E1102&lt;&gt;"!!!"),"NEW","")))</f>
        <v> </v>
      </c>
      <c r="G1102" s="23" t="str">
        <f>IF(OR(E1102="",E1102="!!!"),"",IF(OR(J1102=0,AND(J1102=1,K1102=1),AND(J1102=1,I1102="SBJ"),AND(J1102=1,I1102=0)),"?IN_FOCUS",IF(J1102&lt;=2,"?ACTIVATED",IF(J1102&lt;&gt;"","?FAMILIAR",IF(F1102="NEW",IF(ISNA(VLOOKUP(E1102,#REF!,1,FALSE())),"?TYPE_IDENTIFIABLE","?REFERENTIAL"),"_")))))</f>
        <v> </v>
      </c>
      <c r="H1102" s="24" t="str">
        <f>IF(J1102&lt;&gt;1,"",IF(I1102="SBJ","CB","?"))</f>
        <v> </v>
      </c>
      <c r="I1102" s="25" t="str">
        <f>IF(OR(E1102="",E1102="!!!",F1102="NEW"),"",INDEX(B1101:B$2,-1+SUMPRODUCT(MAX(ROW(E1101:E$2)*(E1102=E1101:E$2)))))</f>
        <v> </v>
      </c>
      <c r="J1102" s="25" t="str">
        <f>IF(OR(E1102="",E1102="!!!",F1102="NEW"),"",COUNTBLANK(OFFSET(A$1,,,SUMPRODUCT(MAX(ROW(E$2:E1102)*(E1102=E$2:E1102)))))-COUNTBLANK(OFFSET(A$1,,,SUMPRODUCT(MAX(ROW(E$1:E1101)*(E2=E$1:E1101))))))</f>
        <v> </v>
      </c>
      <c r="K1102" s="25" t="str">
        <f>IF(OR(E1102="",E1102="!!!",F1102="NEW"),"",INDEX(J$1:J1101,SUMPRODUCT(MAX(ROW(E$1:E1101)*(E1102=E$1:E1101)))))</f>
        <v> </v>
      </c>
      <c r="L1102" s="26"/>
    </row>
    <row r="1103" spans="1:12">
      <c r="A1103" s="20" t="s">
        <v>342</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347</v>
      </c>
      <c r="E1104" s="21">
        <f>IF(D1104="?OLD","!!!","")</f>
        <v/>
      </c>
      <c r="F1104" s="22" t="str">
        <f>IF(OR(E1104="",E1104="!!!"),"",IF(NOT(ISNA(VLOOKUP(E1104,E$1:E1103,1,FALSE()))),"OLD",IF(AND(E1104&lt;&gt;"",E1104&lt;&gt;"!!!"),"NEW","")))</f>
        <v> </v>
      </c>
      <c r="G1104" s="23" t="str">
        <f>IF(OR(E1104="",E1104="!!!"),"",IF(OR(J1104=0,AND(J1104=1,K1104=1),AND(J1104=1,I1104="SBJ"),AND(J1104=1,I1104=0)),"?IN_FOCUS",IF(J1104&lt;=2,"?ACTIVATED",IF(J1104&lt;&gt;"","?FAMILIAR",IF(F1104="NEW",IF(ISNA(VLOOKUP(E1104,#REF!,1,FALSE())),"?TYPE_IDENTIFIABLE","?REFERENTIAL"),"_")))))</f>
        <v> </v>
      </c>
      <c r="H1104" s="24" t="str">
        <f>IF(J1104&lt;&gt;1,"",IF(I1104="SBJ","CB","?"))</f>
        <v> </v>
      </c>
      <c r="I1104" s="25" t="str">
        <f>IF(OR(E1104="",E1104="!!!",F1104="NEW"),"",INDEX(B1103:B$2,-1+SUMPRODUCT(MAX(ROW(E1103:E$2)*(E1104=E1103:E$2)))))</f>
        <v> </v>
      </c>
      <c r="J1104" s="25" t="str">
        <f>IF(OR(E1104="",E1104="!!!",F1104="NEW"),"",COUNTBLANK(OFFSET(A$1,,,SUMPRODUCT(MAX(ROW(E$2:E1104)*(E1104=E$2:E1104)))))-COUNTBLANK(OFFSET(A$1,,,SUMPRODUCT(MAX(ROW(E$1:E1103)*(E2=E$1:E1103))))))</f>
        <v> </v>
      </c>
      <c r="K1104" s="25" t="str">
        <f>IF(OR(E1104="",E1104="!!!",F1104="NEW"),"",INDEX(J$1:J1103,SUMPRODUCT(MAX(ROW(E$1:E1103)*(E1104=E$1:E1103)))))</f>
        <v> </v>
      </c>
      <c r="L1104" s="26"/>
    </row>
    <row r="1105" spans="1:12">
      <c r="A1105" s="20" t="s">
        <v>724</v>
      </c>
      <c r="B1105" s="27" t="s">
        <v>349</v>
      </c>
      <c r="C1105" s="27" t="s">
        <v>331</v>
      </c>
      <c r="D1105" s="27" t="s">
        <v>274</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285</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410</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342</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347</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725</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726</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192</v>
      </c>
      <c r="B1112" s="27" t="s">
        <v>292</v>
      </c>
      <c r="C1112" s="27" t="s">
        <v>331</v>
      </c>
      <c r="D1112" s="27" t="s">
        <v>274</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338</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row>
    <row r="1115" spans="1:12">
      <c r="A1115" s="20" t="s">
        <v>727</v>
      </c>
    </row>
    <row r="1116" spans="1:12">
      <c r="A1116" s="20" t="s">
        <v>370</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431</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342</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362</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271</v>
      </c>
      <c r="B1120" s="27" t="s">
        <v>346</v>
      </c>
      <c r="C1120" s="27" t="s">
        <v>273</v>
      </c>
      <c r="D1120" s="27" t="s">
        <v>274</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378</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287</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662</v>
      </c>
      <c r="B1123" s="27" t="s">
        <v>349</v>
      </c>
      <c r="C1123" s="27" t="s">
        <v>289</v>
      </c>
      <c r="D1123" s="27" t="s">
        <v>274</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226</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305</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384</v>
      </c>
      <c r="B1126" s="27" t="s">
        <v>272</v>
      </c>
      <c r="C1126" s="27" t="s">
        <v>296</v>
      </c>
      <c r="D1126" s="27" t="s">
        <v>274</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713</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728</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338</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row>
    <row r="1131" spans="1:12">
      <c r="A1131" s="20" t="s">
        <v>729</v>
      </c>
    </row>
    <row r="1132" spans="1:12">
      <c r="A1132" s="20" t="s">
        <v>359</v>
      </c>
      <c r="B1132" s="27" t="s">
        <v>346</v>
      </c>
      <c r="C1132" s="27" t="s">
        <v>273</v>
      </c>
      <c r="D1132" s="27" t="s">
        <v>274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283</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278</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730</v>
      </c>
      <c r="B1135" s="27" t="s">
        <v>349</v>
      </c>
      <c r="C1135" s="27" t="s">
        <v>280</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285</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287</v>
      </c>
      <c r="B1137" s="27" t="s">
        <v>272</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731</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713</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732</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500</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285</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305</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733</v>
      </c>
      <c r="B1144" s="27" t="s">
        <v>310</v>
      </c>
      <c r="C1144" s="27" t="s">
        <v>402</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660</v>
      </c>
      <c r="B1145" s="27" t="s">
        <v>303</v>
      </c>
      <c r="C1145" s="27" t="s">
        <v>311</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542</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284</v>
      </c>
      <c r="B1147" s="27" t="s">
        <v>295</v>
      </c>
      <c r="C1147" s="27" t="s">
        <v>273</v>
      </c>
      <c r="D1147" s="27" t="s">
        <v>274</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354</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734</v>
      </c>
      <c r="B1149" s="27" t="s">
        <v>295</v>
      </c>
      <c r="C1149" s="27" t="s">
        <v>289</v>
      </c>
      <c r="D1149" s="27" t="s">
        <v>274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298</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299</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287</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t="s">
        <v>300</v>
      </c>
      <c r="B1153" s="27" t="s">
        <v>303</v>
      </c>
      <c r="C1153" s="27" t="s">
        <v>289</v>
      </c>
      <c r="D1153" s="27" t="s">
        <v>274</v>
      </c>
      <c r="E1153" s="21">
        <f>IF(D1153="?OLD","!!!","")</f>
        <v/>
      </c>
      <c r="F1153" s="22" t="str">
        <f>IF(OR(E1153="",E1153="!!!"),"",IF(NOT(ISNA(VLOOKUP(E1153,E$1:E1152,1,FALSE()))),"OLD",IF(AND(E1153&lt;&gt;"",E1153&lt;&gt;"!!!"),"NEW","")))</f>
        <v> </v>
      </c>
      <c r="G1153" s="23" t="str">
        <f>IF(OR(E1153="",E1153="!!!"),"",IF(OR(J1153=0,AND(J1153=1,K1153=1),AND(J1153=1,I1153="SBJ"),AND(J1153=1,I1153=0)),"?IN_FOCUS",IF(J1153&lt;=2,"?ACTIVATED",IF(J1153&lt;&gt;"","?FAMILIAR",IF(F1153="NEW",IF(ISNA(VLOOKUP(E1153,#REF!,1,FALSE())),"?TYPE_IDENTIFIABLE","?REFERENTIAL"),"_")))))</f>
        <v> </v>
      </c>
      <c r="H1153" s="24" t="str">
        <f>IF(J1153&lt;&gt;1,"",IF(I1153="SBJ","CB","?"))</f>
        <v> </v>
      </c>
      <c r="I1153" s="25" t="str">
        <f>IF(OR(E1153="",E1153="!!!",F1153="NEW"),"",INDEX(B1152:B$2,-1+SUMPRODUCT(MAX(ROW(E1152:E$2)*(E1153=E1152:E$2)))))</f>
        <v> </v>
      </c>
      <c r="J1153" s="25" t="str">
        <f>IF(OR(E1153="",E1153="!!!",F1153="NEW"),"",COUNTBLANK(OFFSET(A$1,,,SUMPRODUCT(MAX(ROW(E$2:E1153)*(E1153=E$2:E1153)))))-COUNTBLANK(OFFSET(A$1,,,SUMPRODUCT(MAX(ROW(E$1:E1152)*(E2=E$1:E1152))))))</f>
        <v> </v>
      </c>
      <c r="K1153" s="25" t="str">
        <f>IF(OR(E1153="",E1153="!!!",F1153="NEW"),"",INDEX(J$1:J1152,SUMPRODUCT(MAX(ROW(E$1:E1152)*(E1153=E$1:E1152)))))</f>
        <v> </v>
      </c>
      <c r="L1153" s="26"/>
    </row>
    <row r="1154" spans="1:12">
      <c r="A1154" s="20" t="s">
        <v>290</v>
      </c>
      <c r="E1154" s="21">
        <f>IF(D1154="?OLD","!!!","")</f>
        <v/>
      </c>
      <c r="F1154" s="22" t="str">
        <f>IF(OR(E1154="",E1154="!!!"),"",IF(NOT(ISNA(VLOOKUP(E1154,E$1:E1153,1,FALSE()))),"OLD",IF(AND(E1154&lt;&gt;"",E1154&lt;&gt;"!!!"),"NEW","")))</f>
        <v> </v>
      </c>
      <c r="G1154" s="23" t="str">
        <f>IF(OR(E1154="",E1154="!!!"),"",IF(OR(J1154=0,AND(J1154=1,K1154=1),AND(J1154=1,I1154="SBJ"),AND(J1154=1,I1154=0)),"?IN_FOCUS",IF(J1154&lt;=2,"?ACTIVATED",IF(J1154&lt;&gt;"","?FAMILIAR",IF(F1154="NEW",IF(ISNA(VLOOKUP(E1154,#REF!,1,FALSE())),"?TYPE_IDENTIFIABLE","?REFERENTIAL"),"_")))))</f>
        <v> </v>
      </c>
      <c r="H1154" s="24" t="str">
        <f>IF(J1154&lt;&gt;1,"",IF(I1154="SBJ","CB","?"))</f>
        <v> </v>
      </c>
      <c r="I1154" s="25" t="str">
        <f>IF(OR(E1154="",E1154="!!!",F1154="NEW"),"",INDEX(B1153:B$2,-1+SUMPRODUCT(MAX(ROW(E1153:E$2)*(E1154=E1153:E$2)))))</f>
        <v> </v>
      </c>
      <c r="J1154" s="25" t="str">
        <f>IF(OR(E1154="",E1154="!!!",F1154="NEW"),"",COUNTBLANK(OFFSET(A$1,,,SUMPRODUCT(MAX(ROW(E$2:E1154)*(E1154=E$2:E1154)))))-COUNTBLANK(OFFSET(A$1,,,SUMPRODUCT(MAX(ROW(E$1:E1153)*(E2=E$1:E1153))))))</f>
        <v> </v>
      </c>
      <c r="K1154" s="25" t="str">
        <f>IF(OR(E1154="",E1154="!!!",F1154="NEW"),"",INDEX(J$1:J1153,SUMPRODUCT(MAX(ROW(E$1:E1153)*(E1154=E$1:E1153)))))</f>
        <v> </v>
      </c>
      <c r="L1154" s="26"/>
    </row>
    <row r="1155" spans="1:12">
      <c r="A1155" s="20" t="s">
        <v>735</v>
      </c>
      <c r="B1155" s="27" t="s">
        <v>310</v>
      </c>
      <c r="C1155" s="27" t="s">
        <v>289</v>
      </c>
      <c r="D1155" s="27" t="s">
        <v>274</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338</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row>
    <row r="1158" spans="1:12">
      <c r="A1158" s="20" t="s">
        <v>736</v>
      </c>
    </row>
    <row r="1159" spans="1:12">
      <c r="A1159" s="20" t="s">
        <v>737</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379</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738</v>
      </c>
      <c r="B1161" s="27" t="s">
        <v>349</v>
      </c>
      <c r="C1161" s="27" t="s">
        <v>289</v>
      </c>
      <c r="D1161" s="27" t="s">
        <v>274</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285</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378</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433</v>
      </c>
      <c r="B1164" s="27" t="s">
        <v>303</v>
      </c>
      <c r="C1164" s="27" t="s">
        <v>423</v>
      </c>
      <c r="D1164" s="27" t="s">
        <v>274</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t="s">
        <v>739</v>
      </c>
      <c r="B1165" s="27" t="s">
        <v>292</v>
      </c>
      <c r="C1165" s="27" t="s">
        <v>435</v>
      </c>
      <c r="D1165" s="27" t="s">
        <v>274</v>
      </c>
      <c r="E1165" s="21">
        <f>IF(D1165="?OLD","!!!","")</f>
        <v/>
      </c>
      <c r="F1165" s="22" t="str">
        <f>IF(OR(E1165="",E1165="!!!"),"",IF(NOT(ISNA(VLOOKUP(E1165,E$1:E1164,1,FALSE()))),"OLD",IF(AND(E1165&lt;&gt;"",E1165&lt;&gt;"!!!"),"NEW","")))</f>
        <v> </v>
      </c>
      <c r="G1165" s="23" t="str">
        <f>IF(OR(E1165="",E1165="!!!"),"",IF(OR(J1165=0,AND(J1165=1,K1165=1),AND(J1165=1,I1165="SBJ"),AND(J1165=1,I1165=0)),"?IN_FOCUS",IF(J1165&lt;=2,"?ACTIVATED",IF(J1165&lt;&gt;"","?FAMILIAR",IF(F1165="NEW",IF(ISNA(VLOOKUP(E1165,#REF!,1,FALSE())),"?TYPE_IDENTIFIABLE","?REFERENTIAL"),"_")))))</f>
        <v> </v>
      </c>
      <c r="H1165" s="24" t="str">
        <f>IF(J1165&lt;&gt;1,"",IF(I1165="SBJ","CB","?"))</f>
        <v> </v>
      </c>
      <c r="I1165" s="25" t="str">
        <f>IF(OR(E1165="",E1165="!!!",F1165="NEW"),"",INDEX(B1164:B$2,-1+SUMPRODUCT(MAX(ROW(E1164:E$2)*(E1165=E1164:E$2)))))</f>
        <v> </v>
      </c>
      <c r="J1165" s="25" t="str">
        <f>IF(OR(E1165="",E1165="!!!",F1165="NEW"),"",COUNTBLANK(OFFSET(A$1,,,SUMPRODUCT(MAX(ROW(E$2:E1165)*(E1165=E$2:E1165)))))-COUNTBLANK(OFFSET(A$1,,,SUMPRODUCT(MAX(ROW(E$1:E1164)*(E2=E$1:E1164))))))</f>
        <v> </v>
      </c>
      <c r="K1165" s="25" t="str">
        <f>IF(OR(E1165="",E1165="!!!",F1165="NEW"),"",INDEX(J$1:J1164,SUMPRODUCT(MAX(ROW(E$1:E1164)*(E1165=E$1:E1164)))))</f>
        <v> </v>
      </c>
      <c r="L1165" s="26"/>
    </row>
    <row r="1166" spans="1:12">
      <c r="A1166" s="20" t="s">
        <v>285</v>
      </c>
      <c r="E1166" s="21">
        <f>IF(D1166="?OLD","!!!","")</f>
        <v/>
      </c>
      <c r="F1166" s="22" t="str">
        <f>IF(OR(E1166="",E1166="!!!"),"",IF(NOT(ISNA(VLOOKUP(E1166,E$1:E1165,1,FALSE()))),"OLD",IF(AND(E1166&lt;&gt;"",E1166&lt;&gt;"!!!"),"NEW","")))</f>
        <v> </v>
      </c>
      <c r="G1166" s="23" t="str">
        <f>IF(OR(E1166="",E1166="!!!"),"",IF(OR(J1166=0,AND(J1166=1,K1166=1),AND(J1166=1,I1166="SBJ"),AND(J1166=1,I1166=0)),"?IN_FOCUS",IF(J1166&lt;=2,"?ACTIVATED",IF(J1166&lt;&gt;"","?FAMILIAR",IF(F1166="NEW",IF(ISNA(VLOOKUP(E1166,#REF!,1,FALSE())),"?TYPE_IDENTIFIABLE","?REFERENTIAL"),"_")))))</f>
        <v> </v>
      </c>
      <c r="H1166" s="24" t="str">
        <f>IF(J1166&lt;&gt;1,"",IF(I1166="SBJ","CB","?"))</f>
        <v> </v>
      </c>
      <c r="I1166" s="25" t="str">
        <f>IF(OR(E1166="",E1166="!!!",F1166="NEW"),"",INDEX(B1165:B$2,-1+SUMPRODUCT(MAX(ROW(E1165:E$2)*(E1166=E1165:E$2)))))</f>
        <v> </v>
      </c>
      <c r="J1166" s="25" t="str">
        <f>IF(OR(E1166="",E1166="!!!",F1166="NEW"),"",COUNTBLANK(OFFSET(A$1,,,SUMPRODUCT(MAX(ROW(E$2:E1166)*(E1166=E$2:E1166)))))-COUNTBLANK(OFFSET(A$1,,,SUMPRODUCT(MAX(ROW(E$1:E1165)*(E2=E$1:E1165))))))</f>
        <v> </v>
      </c>
      <c r="K1166" s="25" t="str">
        <f>IF(OR(E1166="",E1166="!!!",F1166="NEW"),"",INDEX(J$1:J1165,SUMPRODUCT(MAX(ROW(E$1:E1165)*(E1166=E$1:E1165)))))</f>
        <v> </v>
      </c>
      <c r="L1166" s="26"/>
    </row>
    <row r="1167" spans="1:12">
      <c r="A1167" s="20" t="s">
        <v>93</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294</v>
      </c>
      <c r="B1168" s="27" t="s">
        <v>346</v>
      </c>
      <c r="C1168" s="27" t="s">
        <v>296</v>
      </c>
      <c r="D1168" s="27" t="s">
        <v>274</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285</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286</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291</v>
      </c>
      <c r="B1171" s="27" t="s">
        <v>272</v>
      </c>
      <c r="C1171" s="27" t="s">
        <v>311</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343</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740</v>
      </c>
      <c r="B1173" s="27" t="s">
        <v>349</v>
      </c>
      <c r="C1173" s="27" t="s">
        <v>280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383</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338</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row>
    <row r="1177" spans="1:12">
      <c r="A1177" s="20" t="s">
        <v>741</v>
      </c>
    </row>
    <row r="1178" spans="1:12">
      <c r="A1178" s="20" t="s">
        <v>388</v>
      </c>
      <c r="B1178" s="27" t="s">
        <v>346</v>
      </c>
      <c r="C1178" s="27" t="s">
        <v>296</v>
      </c>
      <c r="D1178" s="27" t="s">
        <v>274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234</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431</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379</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740</v>
      </c>
      <c r="B1182" s="27" t="s">
        <v>349</v>
      </c>
      <c r="C1182" s="27" t="s">
        <v>289</v>
      </c>
      <c r="D1182" s="27" t="s">
        <v>274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609</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742</v>
      </c>
      <c r="B1184" s="27" t="s">
        <v>292</v>
      </c>
      <c r="C1184" s="27" t="s">
        <v>289</v>
      </c>
      <c r="D1184" s="27" t="s">
        <v>274</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338</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row>
    <row r="1187" spans="1:12">
      <c r="A1187" s="20" t="s">
        <v>448</v>
      </c>
      <c r="E1187" s="21">
        <f>IF(D1187="?OLD","!!!","")</f>
        <v/>
      </c>
      <c r="F1187" s="22" t="str">
        <f>IF(OR(E1187="",E1187="!!!"),"",IF(NOT(ISNA(VLOOKUP(E1187,E$1:E1186,1,FALSE()))),"OLD",IF(AND(E1187&lt;&gt;"",E1187&lt;&gt;"!!!"),"NEW","")))</f>
        <v> </v>
      </c>
      <c r="G1187" s="23" t="str">
        <f>IF(OR(E1187="",E1187="!!!"),"",IF(OR(J1187=0,AND(J1187=1,K1187=1),AND(J1187=1,I1187="SBJ"),AND(J1187=1,I1187=0)),"?IN_FOCUS",IF(J1187&lt;=2,"?ACTIVATED",IF(J1187&lt;&gt;"","?FAMILIAR",IF(F1187="NEW",IF(ISNA(VLOOKUP(E1187,#REF!,1,FALSE())),"?TYPE_IDENTIFIABLE","?REFERENTIAL"),"_")))))</f>
        <v> </v>
      </c>
      <c r="H1187" s="24" t="str">
        <f>IF(J1187&lt;&gt;1,"",IF(I1187="SBJ","CB","?"))</f>
        <v> </v>
      </c>
      <c r="I1187" s="25" t="str">
        <f>IF(OR(E1187="",E1187="!!!",F1187="NEW"),"",INDEX(B1186:B$2,-1+SUMPRODUCT(MAX(ROW(E1186:E$2)*(E1187=E1186:E$2)))))</f>
        <v> </v>
      </c>
      <c r="J1187" s="25" t="str">
        <f>IF(OR(E1187="",E1187="!!!",F1187="NEW"),"",COUNTBLANK(OFFSET(A$1,,,SUMPRODUCT(MAX(ROW(E$2:E1187)*(E1187=E$2:E1187)))))-COUNTBLANK(OFFSET(A$1,,,SUMPRODUCT(MAX(ROW(E$1:E1186)*(E2=E$1:E1186))))))</f>
        <v> </v>
      </c>
      <c r="K1187" s="25" t="str">
        <f>IF(OR(E1187="",E1187="!!!",F1187="NEW"),"",INDEX(J$1:J1186,SUMPRODUCT(MAX(ROW(E$1:E1186)*(E1187=E$1:E1186)))))</f>
        <v> </v>
      </c>
      <c r="L1187" s="26"/>
    </row>
    <row r="1188" spans="1:12">
      <c r="A1188" s="20" t="s">
        <v>743</v>
      </c>
    </row>
    <row r="1189" spans="1:12">
      <c r="A1189" s="20" t="s">
        <v>388</v>
      </c>
      <c r="B1189" s="27" t="s">
        <v>346</v>
      </c>
      <c r="C1189" s="27" t="s">
        <v>296</v>
      </c>
      <c r="D1189" s="27" t="s">
        <v>274</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234</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431</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379</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455</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744</v>
      </c>
      <c r="B1194" s="27" t="s">
        <v>349</v>
      </c>
      <c r="C1194" s="27" t="s">
        <v>289</v>
      </c>
      <c r="D1194" s="27" t="s">
        <v>274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378</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432</v>
      </c>
      <c r="B1196" s="27" t="s">
        <v>349</v>
      </c>
      <c r="C1196" s="27" t="s">
        <v>311</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455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338</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row>
    <row r="1200" spans="1:12">
      <c r="A1200" s="20" t="s">
        <v>745</v>
      </c>
    </row>
    <row r="1201" spans="1:12">
      <c r="A1201" s="20" t="s">
        <v>450</v>
      </c>
      <c r="B1201" s="27" t="s">
        <v>346</v>
      </c>
      <c r="C1201" s="27" t="s">
        <v>296</v>
      </c>
      <c r="D1201" s="27" t="s">
        <v>274</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285</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442</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294</v>
      </c>
      <c r="B1204" s="27" t="s">
        <v>295</v>
      </c>
      <c r="C1204" s="27" t="s">
        <v>296</v>
      </c>
      <c r="D1204" s="27" t="s">
        <v>274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530</v>
      </c>
      <c r="B1205" s="27" t="s">
        <v>310</v>
      </c>
      <c r="C1205" s="27" t="s">
        <v>423</v>
      </c>
      <c r="D1205" s="27" t="s">
        <v>274</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t="s">
        <v>746</v>
      </c>
      <c r="B1206" s="27" t="s">
        <v>293</v>
      </c>
      <c r="C1206" s="27" t="s">
        <v>435</v>
      </c>
      <c r="D1206" s="27" t="s">
        <v>274</v>
      </c>
      <c r="E1206" s="21">
        <f>IF(D1206="?OLD","!!!","")</f>
        <v/>
      </c>
      <c r="F1206" s="22" t="str">
        <f>IF(OR(E1206="",E1206="!!!"),"",IF(NOT(ISNA(VLOOKUP(E1206,E$1:E1205,1,FALSE()))),"OLD",IF(AND(E1206&lt;&gt;"",E1206&lt;&gt;"!!!"),"NEW","")))</f>
        <v> </v>
      </c>
      <c r="G1206" s="23" t="str">
        <f>IF(OR(E1206="",E1206="!!!"),"",IF(OR(J1206=0,AND(J1206=1,K1206=1),AND(J1206=1,I1206="SBJ"),AND(J1206=1,I1206=0)),"?IN_FOCUS",IF(J1206&lt;=2,"?ACTIVATED",IF(J1206&lt;&gt;"","?FAMILIAR",IF(F1206="NEW",IF(ISNA(VLOOKUP(E1206,#REF!,1,FALSE())),"?TYPE_IDENTIFIABLE","?REFERENTIAL"),"_")))))</f>
        <v> </v>
      </c>
      <c r="H1206" s="24" t="str">
        <f>IF(J1206&lt;&gt;1,"",IF(I1206="SBJ","CB","?"))</f>
        <v> </v>
      </c>
      <c r="I1206" s="25" t="str">
        <f>IF(OR(E1206="",E1206="!!!",F1206="NEW"),"",INDEX(B1205:B$2,-1+SUMPRODUCT(MAX(ROW(E1205:E$2)*(E1206=E1205:E$2)))))</f>
        <v> </v>
      </c>
      <c r="J1206" s="25" t="str">
        <f>IF(OR(E1206="",E1206="!!!",F1206="NEW"),"",COUNTBLANK(OFFSET(A$1,,,SUMPRODUCT(MAX(ROW(E$2:E1206)*(E1206=E$2:E1206)))))-COUNTBLANK(OFFSET(A$1,,,SUMPRODUCT(MAX(ROW(E$1:E1205)*(E2=E$1:E1205))))))</f>
        <v> </v>
      </c>
      <c r="K1206" s="25" t="str">
        <f>IF(OR(E1206="",E1206="!!!",F1206="NEW"),"",INDEX(J$1:J1205,SUMPRODUCT(MAX(ROW(E$1:E1205)*(E1206=E$1:E1205)))))</f>
        <v> </v>
      </c>
      <c r="L1206" s="26"/>
    </row>
    <row r="1207" spans="1:12">
      <c r="A1207" s="20" t="s">
        <v>747</v>
      </c>
      <c r="E1207" s="21">
        <f>IF(D1207="?OLD","!!!","")</f>
        <v/>
      </c>
      <c r="F1207" s="22" t="str">
        <f>IF(OR(E1207="",E1207="!!!"),"",IF(NOT(ISNA(VLOOKUP(E1207,E$1:E1206,1,FALSE()))),"OLD",IF(AND(E1207&lt;&gt;"",E1207&lt;&gt;"!!!"),"NEW","")))</f>
        <v> </v>
      </c>
      <c r="G1207" s="23" t="str">
        <f>IF(OR(E1207="",E1207="!!!"),"",IF(OR(J1207=0,AND(J1207=1,K1207=1),AND(J1207=1,I1207="SBJ"),AND(J1207=1,I1207=0)),"?IN_FOCUS",IF(J1207&lt;=2,"?ACTIVATED",IF(J1207&lt;&gt;"","?FAMILIAR",IF(F1207="NEW",IF(ISNA(VLOOKUP(E1207,#REF!,1,FALSE())),"?TYPE_IDENTIFIABLE","?REFERENTIAL"),"_")))))</f>
        <v> </v>
      </c>
      <c r="H1207" s="24" t="str">
        <f>IF(J1207&lt;&gt;1,"",IF(I1207="SBJ","CB","?"))</f>
        <v> </v>
      </c>
      <c r="I1207" s="25" t="str">
        <f>IF(OR(E1207="",E1207="!!!",F1207="NEW"),"",INDEX(B1206:B$2,-1+SUMPRODUCT(MAX(ROW(E1206:E$2)*(E1207=E1206:E$2)))))</f>
        <v> </v>
      </c>
      <c r="J1207" s="25" t="str">
        <f>IF(OR(E1207="",E1207="!!!",F1207="NEW"),"",COUNTBLANK(OFFSET(A$1,,,SUMPRODUCT(MAX(ROW(E$2:E1207)*(E1207=E$2:E1207)))))-COUNTBLANK(OFFSET(A$1,,,SUMPRODUCT(MAX(ROW(E$1:E1206)*(E2=E$1:E1206))))))</f>
        <v> </v>
      </c>
      <c r="K1207" s="25" t="str">
        <f>IF(OR(E1207="",E1207="!!!",F1207="NEW"),"",INDEX(J$1:J1206,SUMPRODUCT(MAX(ROW(E$1:E1206)*(E1207=E$1:E1206)))))</f>
        <v> </v>
      </c>
      <c r="L1207" s="26"/>
    </row>
    <row r="1208" spans="1:12">
      <c r="A1208" s="20" t="s">
        <v>748</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305</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354</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695</v>
      </c>
      <c r="B1211" s="27" t="s">
        <v>313</v>
      </c>
      <c r="C1211" s="27" t="s">
        <v>289</v>
      </c>
      <c r="D1211" s="27" t="s">
        <v>274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529</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571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749</v>
      </c>
      <c r="B1214" s="27" t="s">
        <v>310</v>
      </c>
      <c r="C1214" s="27" t="s">
        <v>289</v>
      </c>
      <c r="D1214" s="27" t="s">
        <v>274</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750</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285</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321</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286</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t="s">
        <v>294</v>
      </c>
      <c r="B1219" s="27" t="s">
        <v>346</v>
      </c>
      <c r="C1219" s="27" t="s">
        <v>296</v>
      </c>
      <c r="D1219" s="27" t="s">
        <v>274</v>
      </c>
      <c r="E1219" s="21">
        <f>IF(D1219="?OLD","!!!","")</f>
        <v/>
      </c>
      <c r="F1219" s="22" t="str">
        <f>IF(OR(E1219="",E1219="!!!"),"",IF(NOT(ISNA(VLOOKUP(E1219,E$1:E1218,1,FALSE()))),"OLD",IF(AND(E1219&lt;&gt;"",E1219&lt;&gt;"!!!"),"NEW","")))</f>
        <v> </v>
      </c>
      <c r="G1219" s="23" t="str">
        <f>IF(OR(E1219="",E1219="!!!"),"",IF(OR(J1219=0,AND(J1219=1,K1219=1),AND(J1219=1,I1219="SBJ"),AND(J1219=1,I1219=0)),"?IN_FOCUS",IF(J1219&lt;=2,"?ACTIVATED",IF(J1219&lt;&gt;"","?FAMILIAR",IF(F1219="NEW",IF(ISNA(VLOOKUP(E1219,#REF!,1,FALSE())),"?TYPE_IDENTIFIABLE","?REFERENTIAL"),"_")))))</f>
        <v> </v>
      </c>
      <c r="H1219" s="24" t="str">
        <f>IF(J1219&lt;&gt;1,"",IF(I1219="SBJ","CB","?"))</f>
        <v> </v>
      </c>
      <c r="I1219" s="25" t="str">
        <f>IF(OR(E1219="",E1219="!!!",F1219="NEW"),"",INDEX(B1218:B$2,-1+SUMPRODUCT(MAX(ROW(E1218:E$2)*(E1219=E1218:E$2)))))</f>
        <v> </v>
      </c>
      <c r="J1219" s="25" t="str">
        <f>IF(OR(E1219="",E1219="!!!",F1219="NEW"),"",COUNTBLANK(OFFSET(A$1,,,SUMPRODUCT(MAX(ROW(E$2:E1219)*(E1219=E$2:E1219)))))-COUNTBLANK(OFFSET(A$1,,,SUMPRODUCT(MAX(ROW(E$1:E1218)*(E2=E$1:E1218))))))</f>
        <v> </v>
      </c>
      <c r="K1219" s="25" t="str">
        <f>IF(OR(E1219="",E1219="!!!",F1219="NEW"),"",INDEX(J$1:J1218,SUMPRODUCT(MAX(ROW(E$1:E1218)*(E1219=E$1:E1218)))))</f>
        <v> </v>
      </c>
      <c r="L1219" s="26"/>
    </row>
    <row r="1220" spans="1:12">
      <c r="A1220" s="20" t="s">
        <v>306</v>
      </c>
      <c r="E1220" s="21">
        <f>IF(D1220="?OLD","!!!","")</f>
        <v/>
      </c>
      <c r="F1220" s="22" t="str">
        <f>IF(OR(E1220="",E1220="!!!"),"",IF(NOT(ISNA(VLOOKUP(E1220,E$1:E1219,1,FALSE()))),"OLD",IF(AND(E1220&lt;&gt;"",E1220&lt;&gt;"!!!"),"NEW","")))</f>
        <v> </v>
      </c>
      <c r="G1220" s="23" t="str">
        <f>IF(OR(E1220="",E1220="!!!"),"",IF(OR(J1220=0,AND(J1220=1,K1220=1),AND(J1220=1,I1220="SBJ"),AND(J1220=1,I1220=0)),"?IN_FOCUS",IF(J1220&lt;=2,"?ACTIVATED",IF(J1220&lt;&gt;"","?FAMILIAR",IF(F1220="NEW",IF(ISNA(VLOOKUP(E1220,#REF!,1,FALSE())),"?TYPE_IDENTIFIABLE","?REFERENTIAL"),"_")))))</f>
        <v> </v>
      </c>
      <c r="H1220" s="24" t="str">
        <f>IF(J1220&lt;&gt;1,"",IF(I1220="SBJ","CB","?"))</f>
        <v> </v>
      </c>
      <c r="I1220" s="25" t="str">
        <f>IF(OR(E1220="",E1220="!!!",F1220="NEW"),"",INDEX(B1219:B$2,-1+SUMPRODUCT(MAX(ROW(E1219:E$2)*(E1220=E1219:E$2)))))</f>
        <v> </v>
      </c>
      <c r="J1220" s="25" t="str">
        <f>IF(OR(E1220="",E1220="!!!",F1220="NEW"),"",COUNTBLANK(OFFSET(A$1,,,SUMPRODUCT(MAX(ROW(E$2:E1220)*(E1220=E$2:E1220)))))-COUNTBLANK(OFFSET(A$1,,,SUMPRODUCT(MAX(ROW(E$1:E1219)*(E2=E$1:E1219))))))</f>
        <v> </v>
      </c>
      <c r="K1220" s="25" t="str">
        <f>IF(OR(E1220="",E1220="!!!",F1220="NEW"),"",INDEX(J$1:J1219,SUMPRODUCT(MAX(ROW(E$1:E1219)*(E1220=E$1:E1219)))))</f>
        <v> </v>
      </c>
      <c r="L1220" s="26"/>
    </row>
    <row r="1221" spans="1:12">
      <c r="A1221" s="20" t="s">
        <v>731</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431</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701</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312</v>
      </c>
      <c r="B1224" s="27" t="s">
        <v>292</v>
      </c>
      <c r="C1224" s="27" t="s">
        <v>402</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379</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751</v>
      </c>
      <c r="B1226" s="27" t="s">
        <v>349</v>
      </c>
      <c r="C1226" s="27" t="s">
        <v>402</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312</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96</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285</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752</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431</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753</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754</v>
      </c>
      <c r="B1233" s="27" t="s">
        <v>292</v>
      </c>
      <c r="C1233" s="27" t="s">
        <v>409</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312</v>
      </c>
      <c r="B1234" s="27" t="s">
        <v>303</v>
      </c>
      <c r="C1234" s="27" t="s">
        <v>402</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753</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754</v>
      </c>
      <c r="B1236" s="27" t="s">
        <v>292</v>
      </c>
      <c r="C1236" s="27" t="s">
        <v>409</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96</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312</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323</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285</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305</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755</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326</v>
      </c>
      <c r="B1243" s="27" t="s">
        <v>756</v>
      </c>
      <c r="C1243" s="27" t="s">
        <v>311</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152</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285</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757</v>
      </c>
      <c r="B1246" s="27" t="s">
        <v>318</v>
      </c>
      <c r="C1246" s="27" t="s">
        <v>296</v>
      </c>
      <c r="D1246" s="27" t="s">
        <v>274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333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758</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759</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337</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447</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row>
    <row r="1253" spans="1:12">
      <c r="A1253" s="20" t="s">
        <v>760</v>
      </c>
    </row>
    <row r="1254" spans="1:12">
      <c r="A1254" s="20" t="s">
        <v>270</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294</v>
      </c>
      <c r="B1255" s="27" t="s">
        <v>295</v>
      </c>
      <c r="C1255" s="27" t="s">
        <v>296</v>
      </c>
      <c r="D1255" s="27" t="s">
        <v>274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422</v>
      </c>
      <c r="B1256" s="27" t="s">
        <v>293</v>
      </c>
      <c r="C1256" s="27" t="s">
        <v>423</v>
      </c>
      <c r="D1256" s="27" t="s">
        <v>274</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131</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323</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285</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393</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500</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530</v>
      </c>
      <c r="B1262" s="27" t="s">
        <v>292</v>
      </c>
      <c r="C1262" s="27" t="s">
        <v>423</v>
      </c>
      <c r="D1262" s="27" t="s">
        <v>274</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t="s">
        <v>761</v>
      </c>
      <c r="E1263" s="21">
        <f>IF(D1263="?OLD","!!!","")</f>
        <v/>
      </c>
      <c r="F1263" s="22" t="str">
        <f>IF(OR(E1263="",E1263="!!!"),"",IF(NOT(ISNA(VLOOKUP(E1263,E$1:E1262,1,FALSE()))),"OLD",IF(AND(E1263&lt;&gt;"",E1263&lt;&gt;"!!!"),"NEW","")))</f>
        <v> </v>
      </c>
      <c r="G1263" s="23" t="str">
        <f>IF(OR(E1263="",E1263="!!!"),"",IF(OR(J1263=0,AND(J1263=1,K1263=1),AND(J1263=1,I1263="SBJ"),AND(J1263=1,I1263=0)),"?IN_FOCUS",IF(J1263&lt;=2,"?ACTIVATED",IF(J1263&lt;&gt;"","?FAMILIAR",IF(F1263="NEW",IF(ISNA(VLOOKUP(E1263,#REF!,1,FALSE())),"?TYPE_IDENTIFIABLE","?REFERENTIAL"),"_")))))</f>
        <v> </v>
      </c>
      <c r="H1263" s="24" t="str">
        <f>IF(J1263&lt;&gt;1,"",IF(I1263="SBJ","CB","?"))</f>
        <v> </v>
      </c>
      <c r="I1263" s="25" t="str">
        <f>IF(OR(E1263="",E1263="!!!",F1263="NEW"),"",INDEX(B1262:B$2,-1+SUMPRODUCT(MAX(ROW(E1262:E$2)*(E1263=E1262:E$2)))))</f>
        <v> </v>
      </c>
      <c r="J1263" s="25" t="str">
        <f>IF(OR(E1263="",E1263="!!!",F1263="NEW"),"",COUNTBLANK(OFFSET(A$1,,,SUMPRODUCT(MAX(ROW(E$2:E1263)*(E1263=E$2:E1263)))))-COUNTBLANK(OFFSET(A$1,,,SUMPRODUCT(MAX(ROW(E$1:E1262)*(E2=E$1:E1262))))))</f>
        <v> </v>
      </c>
      <c r="K1263" s="25" t="str">
        <f>IF(OR(E1263="",E1263="!!!",F1263="NEW"),"",INDEX(J$1:J1262,SUMPRODUCT(MAX(ROW(E$1:E1262)*(E1263=E$1:E1262)))))</f>
        <v> </v>
      </c>
      <c r="L1263" s="26"/>
    </row>
    <row r="1264" spans="1:12">
      <c r="A1264" s="20" t="s">
        <v>762</v>
      </c>
      <c r="B1264" s="27" t="s">
        <v>346</v>
      </c>
      <c r="C1264" s="27" t="s">
        <v>435</v>
      </c>
      <c r="D1264" s="27" t="s">
        <v>274</v>
      </c>
      <c r="E1264" s="21">
        <f>IF(D1264="?OLD","!!!","")</f>
        <v/>
      </c>
      <c r="F1264" s="22" t="str">
        <f>IF(OR(E1264="",E1264="!!!"),"",IF(NOT(ISNA(VLOOKUP(E1264,E$1:E1263,1,FALSE()))),"OLD",IF(AND(E1264&lt;&gt;"",E1264&lt;&gt;"!!!"),"NEW","")))</f>
        <v> </v>
      </c>
      <c r="G1264" s="23" t="str">
        <f>IF(OR(E1264="",E1264="!!!"),"",IF(OR(J1264=0,AND(J1264=1,K1264=1),AND(J1264=1,I1264="SBJ"),AND(J1264=1,I1264=0)),"?IN_FOCUS",IF(J1264&lt;=2,"?ACTIVATED",IF(J1264&lt;&gt;"","?FAMILIAR",IF(F1264="NEW",IF(ISNA(VLOOKUP(E1264,#REF!,1,FALSE())),"?TYPE_IDENTIFIABLE","?REFERENTIAL"),"_")))))</f>
        <v> </v>
      </c>
      <c r="H1264" s="24" t="str">
        <f>IF(J1264&lt;&gt;1,"",IF(I1264="SBJ","CB","?"))</f>
        <v> </v>
      </c>
      <c r="I1264" s="25" t="str">
        <f>IF(OR(E1264="",E1264="!!!",F1264="NEW"),"",INDEX(B1263:B$2,-1+SUMPRODUCT(MAX(ROW(E1263:E$2)*(E1264=E1263:E$2)))))</f>
        <v> </v>
      </c>
      <c r="J1264" s="25" t="str">
        <f>IF(OR(E1264="",E1264="!!!",F1264="NEW"),"",COUNTBLANK(OFFSET(A$1,,,SUMPRODUCT(MAX(ROW(E$2:E1264)*(E1264=E$2:E1264)))))-COUNTBLANK(OFFSET(A$1,,,SUMPRODUCT(MAX(ROW(E$1:E1263)*(E2=E$1:E1263))))))</f>
        <v> </v>
      </c>
      <c r="K1264" s="25" t="str">
        <f>IF(OR(E1264="",E1264="!!!",F1264="NEW"),"",INDEX(J$1:J1263,SUMPRODUCT(MAX(ROW(E$1:E1263)*(E1264=E$1:E1263)))))</f>
        <v> </v>
      </c>
      <c r="L1264" s="26"/>
    </row>
    <row r="1265" spans="1:12">
      <c r="A1265" s="20" t="s">
        <v>285</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717</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278</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763</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764</v>
      </c>
      <c r="B1269" s="27" t="s">
        <v>272</v>
      </c>
      <c r="C1269" s="27" t="s">
        <v>280</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765</v>
      </c>
      <c r="B1270" s="27" t="s">
        <v>349</v>
      </c>
      <c r="C1270" s="27" t="s">
        <v>296</v>
      </c>
      <c r="D1270" s="27" t="s">
        <v>274</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432</v>
      </c>
      <c r="B1271" s="27" t="s">
        <v>276</v>
      </c>
      <c r="C1271" s="27" t="s">
        <v>311</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338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row>
    <row r="1274" spans="1:12">
      <c r="A1274" s="20" t="s">
        <v>766</v>
      </c>
    </row>
    <row r="1275" spans="1:12">
      <c r="A1275" s="20" t="s">
        <v>370</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t="s">
        <v>285</v>
      </c>
      <c r="E1276" s="21">
        <f>IF(D1276="?OLD","!!!","")</f>
        <v/>
      </c>
      <c r="F1276" s="22" t="str">
        <f>IF(OR(E1276="",E1276="!!!"),"",IF(NOT(ISNA(VLOOKUP(E1276,E$1:E1275,1,FALSE()))),"OLD",IF(AND(E1276&lt;&gt;"",E1276&lt;&gt;"!!!"),"NEW","")))</f>
        <v> </v>
      </c>
      <c r="G1276" s="23" t="str">
        <f>IF(OR(E1276="",E1276="!!!"),"",IF(OR(J1276=0,AND(J1276=1,K1276=1),AND(J1276=1,I1276="SBJ"),AND(J1276=1,I1276=0)),"?IN_FOCUS",IF(J1276&lt;=2,"?ACTIVATED",IF(J1276&lt;&gt;"","?FAMILIAR",IF(F1276="NEW",IF(ISNA(VLOOKUP(E1276,#REF!,1,FALSE())),"?TYPE_IDENTIFIABLE","?REFERENTIAL"),"_")))))</f>
        <v> </v>
      </c>
      <c r="H1276" s="24" t="str">
        <f>IF(J1276&lt;&gt;1,"",IF(I1276="SBJ","CB","?"))</f>
        <v> </v>
      </c>
      <c r="I1276" s="25" t="str">
        <f>IF(OR(E1276="",E1276="!!!",F1276="NEW"),"",INDEX(B1275:B$2,-1+SUMPRODUCT(MAX(ROW(E1275:E$2)*(E1276=E1275:E$2)))))</f>
        <v> </v>
      </c>
      <c r="J1276" s="25" t="str">
        <f>IF(OR(E1276="",E1276="!!!",F1276="NEW"),"",COUNTBLANK(OFFSET(A$1,,,SUMPRODUCT(MAX(ROW(E$2:E1276)*(E1276=E$2:E1276)))))-COUNTBLANK(OFFSET(A$1,,,SUMPRODUCT(MAX(ROW(E$1:E1275)*(E2=E$1:E1275))))))</f>
        <v> </v>
      </c>
      <c r="K1276" s="25" t="str">
        <f>IF(OR(E1276="",E1276="!!!",F1276="NEW"),"",INDEX(J$1:J1275,SUMPRODUCT(MAX(ROW(E$1:E1275)*(E1276=E$1:E1275)))))</f>
        <v> </v>
      </c>
      <c r="L1276" s="26"/>
    </row>
    <row r="1277" spans="1:12">
      <c r="A1277" s="20" t="s">
        <v>306</v>
      </c>
      <c r="E1277" s="21">
        <f>IF(D1277="?OLD","!!!","")</f>
        <v/>
      </c>
      <c r="F1277" s="22" t="str">
        <f>IF(OR(E1277="",E1277="!!!"),"",IF(NOT(ISNA(VLOOKUP(E1277,E$1:E1276,1,FALSE()))),"OLD",IF(AND(E1277&lt;&gt;"",E1277&lt;&gt;"!!!"),"NEW","")))</f>
        <v> </v>
      </c>
      <c r="G1277" s="23" t="str">
        <f>IF(OR(E1277="",E1277="!!!"),"",IF(OR(J1277=0,AND(J1277=1,K1277=1),AND(J1277=1,I1277="SBJ"),AND(J1277=1,I1277=0)),"?IN_FOCUS",IF(J1277&lt;=2,"?ACTIVATED",IF(J1277&lt;&gt;"","?FAMILIAR",IF(F1277="NEW",IF(ISNA(VLOOKUP(E1277,#REF!,1,FALSE())),"?TYPE_IDENTIFIABLE","?REFERENTIAL"),"_")))))</f>
        <v> </v>
      </c>
      <c r="H1277" s="24" t="str">
        <f>IF(J1277&lt;&gt;1,"",IF(I1277="SBJ","CB","?"))</f>
        <v> </v>
      </c>
      <c r="I1277" s="25" t="str">
        <f>IF(OR(E1277="",E1277="!!!",F1277="NEW"),"",INDEX(B1276:B$2,-1+SUMPRODUCT(MAX(ROW(E1276:E$2)*(E1277=E1276:E$2)))))</f>
        <v> </v>
      </c>
      <c r="J1277" s="25" t="str">
        <f>IF(OR(E1277="",E1277="!!!",F1277="NEW"),"",COUNTBLANK(OFFSET(A$1,,,SUMPRODUCT(MAX(ROW(E$2:E1277)*(E1277=E$2:E1277)))))-COUNTBLANK(OFFSET(A$1,,,SUMPRODUCT(MAX(ROW(E$1:E1276)*(E2=E$1:E1276))))))</f>
        <v> </v>
      </c>
      <c r="K1277" s="25" t="str">
        <f>IF(OR(E1277="",E1277="!!!",F1277="NEW"),"",INDEX(J$1:J1276,SUMPRODUCT(MAX(ROW(E$1:E1276)*(E1277=E$1:E1276)))))</f>
        <v> </v>
      </c>
      <c r="L1277" s="26"/>
    </row>
    <row r="1278" spans="1:12">
      <c r="A1278" s="20" t="s">
        <v>324</v>
      </c>
      <c r="B1278" s="27" t="s">
        <v>276</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539</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506</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378</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432</v>
      </c>
      <c r="B1282" s="27" t="s">
        <v>292</v>
      </c>
      <c r="C1282" s="27" t="s">
        <v>311</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312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767</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285</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323</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294</v>
      </c>
      <c r="B1287" s="27" t="s">
        <v>346</v>
      </c>
      <c r="C1287" s="27" t="s">
        <v>296</v>
      </c>
      <c r="D1287" s="27" t="s">
        <v>274</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768</v>
      </c>
      <c r="B1288" s="27" t="s">
        <v>368</v>
      </c>
      <c r="C1288" s="27" t="s">
        <v>311</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769</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135</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338</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row>
    <row r="1293" spans="1:12">
      <c r="A1293" s="20" t="s">
        <v>770</v>
      </c>
    </row>
    <row r="1294" spans="1:12">
      <c r="A1294" s="20" t="s">
        <v>370</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442</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294</v>
      </c>
      <c r="B1296" s="27" t="s">
        <v>272</v>
      </c>
      <c r="C1296" s="27" t="s">
        <v>296</v>
      </c>
      <c r="D1296" s="27" t="s">
        <v>274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768</v>
      </c>
      <c r="B1297" s="27" t="s">
        <v>276</v>
      </c>
      <c r="C1297" s="27" t="s">
        <v>311</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771</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285</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393</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323</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294</v>
      </c>
      <c r="B1302" s="27" t="s">
        <v>346</v>
      </c>
      <c r="C1302" s="27" t="s">
        <v>296</v>
      </c>
      <c r="D1302" s="27" t="s">
        <v>274</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717</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412</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772</v>
      </c>
      <c r="B1305" s="27" t="s">
        <v>368</v>
      </c>
      <c r="C1305" s="27" t="s">
        <v>331</v>
      </c>
      <c r="D1305" s="27" t="s">
        <v>274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769</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251</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338</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row>
    <row r="1310" spans="1:12">
      <c r="A1310" s="20" t="s">
        <v>773</v>
      </c>
    </row>
    <row r="1311" spans="1:12">
      <c r="A1311" s="20" t="s">
        <v>774</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t="s">
        <v>775</v>
      </c>
      <c r="E1312" s="21">
        <f>IF(D1312="?OLD","!!!","")</f>
        <v/>
      </c>
      <c r="F1312" s="22" t="str">
        <f>IF(OR(E1312="",E1312="!!!"),"",IF(NOT(ISNA(VLOOKUP(E1312,E$1:E1311,1,FALSE()))),"OLD",IF(AND(E1312&lt;&gt;"",E1312&lt;&gt;"!!!"),"NEW","")))</f>
        <v> </v>
      </c>
      <c r="G1312" s="23" t="str">
        <f>IF(OR(E1312="",E1312="!!!"),"",IF(OR(J1312=0,AND(J1312=1,K1312=1),AND(J1312=1,I1312="SBJ"),AND(J1312=1,I1312=0)),"?IN_FOCUS",IF(J1312&lt;=2,"?ACTIVATED",IF(J1312&lt;&gt;"","?FAMILIAR",IF(F1312="NEW",IF(ISNA(VLOOKUP(E1312,#REF!,1,FALSE())),"?TYPE_IDENTIFIABLE","?REFERENTIAL"),"_")))))</f>
        <v> </v>
      </c>
      <c r="H1312" s="24" t="str">
        <f>IF(J1312&lt;&gt;1,"",IF(I1312="SBJ","CB","?"))</f>
        <v> </v>
      </c>
      <c r="I1312" s="25" t="str">
        <f>IF(OR(E1312="",E1312="!!!",F1312="NEW"),"",INDEX(B1311:B$2,-1+SUMPRODUCT(MAX(ROW(E1311:E$2)*(E1312=E1311:E$2)))))</f>
        <v> </v>
      </c>
      <c r="J1312" s="25" t="str">
        <f>IF(OR(E1312="",E1312="!!!",F1312="NEW"),"",COUNTBLANK(OFFSET(A$1,,,SUMPRODUCT(MAX(ROW(E$2:E1312)*(E1312=E$2:E1312)))))-COUNTBLANK(OFFSET(A$1,,,SUMPRODUCT(MAX(ROW(E$1:E1311)*(E2=E$1:E1311))))))</f>
        <v> </v>
      </c>
      <c r="K1312" s="25" t="str">
        <f>IF(OR(E1312="",E1312="!!!",F1312="NEW"),"",INDEX(J$1:J1311,SUMPRODUCT(MAX(ROW(E$1:E1311)*(E1312=E$1:E1311)))))</f>
        <v> </v>
      </c>
      <c r="L1312" s="26"/>
    </row>
    <row r="1313" spans="1:12">
      <c r="A1313" s="20" t="s">
        <v>271</v>
      </c>
      <c r="B1313" s="27" t="s">
        <v>346</v>
      </c>
      <c r="C1313" s="27" t="s">
        <v>273</v>
      </c>
      <c r="D1313" s="27" t="s">
        <v>274</v>
      </c>
      <c r="E1313" s="21">
        <f>IF(D1313="?OLD","!!!","")</f>
        <v/>
      </c>
      <c r="F1313" s="22" t="str">
        <f>IF(OR(E1313="",E1313="!!!"),"",IF(NOT(ISNA(VLOOKUP(E1313,E$1:E1312,1,FALSE()))),"OLD",IF(AND(E1313&lt;&gt;"",E1313&lt;&gt;"!!!"),"NEW","")))</f>
        <v> </v>
      </c>
      <c r="G1313" s="23" t="str">
        <f>IF(OR(E1313="",E1313="!!!"),"",IF(OR(J1313=0,AND(J1313=1,K1313=1),AND(J1313=1,I1313="SBJ"),AND(J1313=1,I1313=0)),"?IN_FOCUS",IF(J1313&lt;=2,"?ACTIVATED",IF(J1313&lt;&gt;"","?FAMILIAR",IF(F1313="NEW",IF(ISNA(VLOOKUP(E1313,#REF!,1,FALSE())),"?TYPE_IDENTIFIABLE","?REFERENTIAL"),"_")))))</f>
        <v> </v>
      </c>
      <c r="H1313" s="24" t="str">
        <f>IF(J1313&lt;&gt;1,"",IF(I1313="SBJ","CB","?"))</f>
        <v> </v>
      </c>
      <c r="I1313" s="25" t="str">
        <f>IF(OR(E1313="",E1313="!!!",F1313="NEW"),"",INDEX(B1312:B$2,-1+SUMPRODUCT(MAX(ROW(E1312:E$2)*(E1313=E1312:E$2)))))</f>
        <v> </v>
      </c>
      <c r="J1313" s="25" t="str">
        <f>IF(OR(E1313="",E1313="!!!",F1313="NEW"),"",COUNTBLANK(OFFSET(A$1,,,SUMPRODUCT(MAX(ROW(E$2:E1313)*(E1313=E$2:E1313)))))-COUNTBLANK(OFFSET(A$1,,,SUMPRODUCT(MAX(ROW(E$1:E1312)*(E2=E$1:E1312))))))</f>
        <v> </v>
      </c>
      <c r="K1313" s="25" t="str">
        <f>IF(OR(E1313="",E1313="!!!",F1313="NEW"),"",INDEX(J$1:J1312,SUMPRODUCT(MAX(ROW(E$1:E1312)*(E1313=E$1:E1312)))))</f>
        <v> </v>
      </c>
      <c r="L1313" s="26"/>
    </row>
    <row r="1314" spans="1:12">
      <c r="A1314" s="20" t="s">
        <v>529</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285</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753</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776</v>
      </c>
      <c r="B1317" s="27" t="s">
        <v>349</v>
      </c>
      <c r="C1317" s="27" t="s">
        <v>409</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338</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2025-07-10T18:04:13Z</dcterms:created>
  <dcterms:modified xsi:type="dcterms:W3CDTF">2025-07-10T18:04:13Z</dcterms:modified>
</cp:coreProperties>
</file>