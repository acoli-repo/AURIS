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<sst xmlns="http://schemas.openxmlformats.org/spreadsheetml/2006/main" count="12118" uniqueCount="2583">
  <si>
    <t>ID</t>
  </si>
  <si>
    <t>PRED_ID</t>
  </si>
  <si>
    <t>MARKER_AUTO</t>
  </si>
  <si>
    <t>PREDICATE</t>
  </si>
  <si>
    <t>TEXT</t>
  </si>
  <si>
    <t>SENTENCE</t>
  </si>
  <si>
    <t>MARKER</t>
  </si>
  <si>
    <t>TARGET</t>
  </si>
  <si>
    <t>RELATION</t>
  </si>
  <si>
    <t>COMMENT</t>
  </si>
  <si>
    <t>1</t>
  </si>
  <si>
    <t>3</t>
  </si>
  <si>
    <t>_</t>
  </si>
  <si>
    <t>fühlen</t>
  </si>
  <si>
    <t>&amp;quot; Ich fühlt ' Begräbnis im in dem Gehirn und Trauergäste her und hin die trampelten und trampelten in meinem Kopfe schwer , bis ich fühlte , dass ich wieder zu Sinnen kam .</t>
  </si>
  <si>
    <t>file://conllu/de/teddy-1323.conllu#s1_0</t>
  </si>
  <si>
    <t>2</t>
  </si>
  <si>
    <t>7</t>
  </si>
  <si>
    <t>ertönen</t>
  </si>
  <si>
    <t>Und sobald sie alle saßen , ertönt eine Andacht , trommelgleich , sie hörte nicht auf zu schlagen , schlagen , und schlug das Hirn mir weich .</t>
  </si>
  <si>
    <t>file://conllu/de/teddy-1323.conllu#s2_0</t>
  </si>
  <si>
    <t>hören</t>
  </si>
  <si>
    <t>Ich hörte sie heben eine Kiste und über meine Seele knarzen wieder mit den gleichen Bleistiefeln , dann begann der Raum zu klingen , als wäre der Himmel eine Glocke und die Existenz ein Ohr , und ich und die Stille eine sonderbare Rasse , ruiniert , einsam , hier .</t>
  </si>
  <si>
    <t>file://conllu/de/teddy-1323.conllu#s3_0</t>
  </si>
  <si>
    <t>4</t>
  </si>
  <si>
    <t>brechen</t>
  </si>
  <si>
    <t>Genau dann bricht eine Planke in der Vernunft und ich fiel immer tiefer und treffe bei jedem Fall auf eine andere Welt und hörte damit auf , zu wissen . &amp;quot;</t>
  </si>
  <si>
    <t>file://conllu/de/teddy-1323.conllu#s4_0</t>
  </si>
  <si>
    <t>5</t>
  </si>
  <si>
    <t>kennen</t>
  </si>
  <si>
    <t>Wir kennen Depressionen durch Metaphern .</t>
  </si>
  <si>
    <t>file://conllu/de/teddy-1323.conllu#s5_0</t>
  </si>
  <si>
    <t>6</t>
  </si>
  <si>
    <t>Durch?</t>
  </si>
  <si>
    <t>vermitteln</t>
  </si>
  <si>
    <t>Emily Dickinson konnte es durch Sprache vermitteln , Goya mittels eines Bildes .</t>
  </si>
  <si>
    <t>file://conllu/de/teddy-1323.conllu#s6_0</t>
  </si>
  <si>
    <t>sein</t>
  </si>
  <si>
    <t>Die Intention von Kunst ist zur zu der Hälfte , solche ikonischen Zustände zu beschreiben .</t>
  </si>
  <si>
    <t>file://conllu/de/teddy-1323.conllu#s7_0</t>
  </si>
  <si>
    <t>8</t>
  </si>
  <si>
    <t>halten</t>
  </si>
  <si>
    <t>Ich selbst hielt mich immer für taff , für einen der Menschen , der überleben würde , wenn er in ein Konzentrationslager geschickt würde .</t>
  </si>
  <si>
    <t>file://conllu/de/teddy-1323.conllu#s8_0</t>
  </si>
  <si>
    <t>9</t>
  </si>
  <si>
    <t>erleiden</t>
  </si>
  <si>
    <t>1991 erlitt ich zahlreiche Verluste .</t>
  </si>
  <si>
    <t>file://conllu/de/teddy-1323.conllu#s9_0</t>
  </si>
  <si>
    <t>10</t>
  </si>
  <si>
    <t>sterben</t>
  </si>
  <si>
    <t>Meine Mutter starb , meine Beziehung endete , ich zog , nach einigen Jahren im in dem Ausland , in die USA zurück , und ich überstand all diese Erfahrungen unversehrt .</t>
  </si>
  <si>
    <t>file://conllu/de/teddy-1323.conllu#s10_0</t>
  </si>
  <si>
    <t>11</t>
  </si>
  <si>
    <t>verlieren</t>
  </si>
  <si>
    <t>Aber 1994 , drei Jahre später , verlor ich das Interesse an fast allen Dingen .</t>
  </si>
  <si>
    <t>file://conllu/de/teddy-1323.conllu#s11_0</t>
  </si>
  <si>
    <t>12</t>
  </si>
  <si>
    <t>Warum?</t>
  </si>
  <si>
    <t>machen</t>
  </si>
  <si>
    <t>Ich wollte nichts mehr von den Dingen machen , die ich zuvor tun wollte , und ich wusste nicht warum .</t>
  </si>
  <si>
    <t>file://conllu/de/teddy-1323.conllu#s12_0</t>
  </si>
  <si>
    <t>13</t>
  </si>
  <si>
    <t>sein (sein Glück)</t>
  </si>
  <si>
    <t>Das Gegenteil von Depressionen ist nicht Glück , sondern Vitalität , und gerade die Vitalität schien in diesem Moment aus mir heraus zu sickern .</t>
  </si>
  <si>
    <t>file://conllu/de/teddy-1323.conllu#s13_0</t>
  </si>
  <si>
    <t>14</t>
  </si>
  <si>
    <t>scheinen</t>
  </si>
  <si>
    <t>Alles , was zu tun war , schien zu viel Arbeit .</t>
  </si>
  <si>
    <t>file://conllu/de/teddy-1323.conllu#s14_0</t>
  </si>
  <si>
    <t>15</t>
  </si>
  <si>
    <t>Wenn ich nach Hause kam und das rote Licht meines Anrufbeantworters blinken sah , war ich nicht begeistert von meinen Freunden zu hören , sondern dachte : &amp;quot; Das sind viele Leute , die ich zurückrufen muss . &amp;quot;</t>
  </si>
  <si>
    <t>file://conllu/de/teddy-1323.conllu#s15_0</t>
  </si>
  <si>
    <t>16</t>
  </si>
  <si>
    <t>denken (denken entscheiden)</t>
  </si>
  <si>
    <t>Oder ich entschied zu Mittag zu essen , und dann dachte ich , dass ich dafür das Essen rausholen und es auf einen Teller tun muss , es schneiden und kauen und schlucken muss , und das fühlte sich für mich wie ein Kreuzweg an .</t>
  </si>
  <si>
    <t>file://conllu/de/teddy-1323.conllu#s16_0</t>
  </si>
  <si>
    <t>17</t>
  </si>
  <si>
    <t>übersehen</t>
  </si>
  <si>
    <t>Wenn über Depressionen diskutiert wird , wird oft übersehen , dass man weiß , dass es lächerlich ist .</t>
  </si>
  <si>
    <t>file://conllu/de/teddy-1323.conllu#s17_0</t>
  </si>
  <si>
    <t>18</t>
  </si>
  <si>
    <t>wissen</t>
  </si>
  <si>
    <t>Man weiß , dass es lächerlich ist , während man es erlebt .</t>
  </si>
  <si>
    <t>file://conllu/de/teddy-1323.conllu#s18_0</t>
  </si>
  <si>
    <t>19</t>
  </si>
  <si>
    <t>Man weiß , dass die meisten Menschen es schaffen , ihre Nachrichten abzuhören , Mittag zu essen , sich selbst dazu zu bringen , zu duschen und aus dem Haus zu gehen , und das es keine große Sache ist , aber dennoch ist man in ihren Fängen und unfähig , einen Weg drum herum zu finden .</t>
  </si>
  <si>
    <t>file://conllu/de/teddy-1323.conllu#s19_0</t>
  </si>
  <si>
    <t>20</t>
  </si>
  <si>
    <t>beginnen</t>
  </si>
  <si>
    <t>Ich begann immer weniger zu tun , immer weniger zu denken und weniger zu fühlen .</t>
  </si>
  <si>
    <t>file://conllu/de/teddy-1323.conllu#s20_0</t>
  </si>
  <si>
    <t>21</t>
  </si>
  <si>
    <t>sein (sein Art)</t>
  </si>
  <si>
    <t>Es war eine Art Nichtigkeit .</t>
  </si>
  <si>
    <t>file://conllu/de/teddy-1323.conllu#s21_0</t>
  </si>
  <si>
    <t>22</t>
  </si>
  <si>
    <t>setzen</t>
  </si>
  <si>
    <t>Und dann setzte die Angst ein .</t>
  </si>
  <si>
    <t>file://conllu/de/teddy-1323.conllu#s22_0</t>
  </si>
  <si>
    <t>23</t>
  </si>
  <si>
    <t>sagen</t>
  </si>
  <si>
    <t>Wenn man mir gesagt hätte , dass ich in den nächsten Monaten depressiv sein würde , hätte ich gesagt : &amp;quot; Solange es im in dem November vorbei ist , schaffe ich das . &amp;quot;</t>
  </si>
  <si>
    <t>file://conllu/de/teddy-1323.conllu#s23_0</t>
  </si>
  <si>
    <t>24</t>
  </si>
  <si>
    <t>haben</t>
  </si>
  <si>
    <t>Aber wenn man mir gesagt hätte : &amp;quot; Sie haben den nächsten Monat akute Angstzustände &amp;quot; , würde ich eher mein Handgelenk aufschlitzen , als das durchzustehen .</t>
  </si>
  <si>
    <t>file://conllu/de/teddy-1323.conllu#s24_0</t>
  </si>
  <si>
    <t>25</t>
  </si>
  <si>
    <t>Ich hatte ständig dieses Gefühl , das man hat , wenn man läuft und rutscht oder stolpert und der Boden auf einen zukommt , aber anstatt dass es eine halbe Sekunde anhält , wie normalerweise , hielt es sechs Monate an .</t>
  </si>
  <si>
    <t>file://conllu/de/teddy-1323.conllu#s25_0</t>
  </si>
  <si>
    <t>26</t>
  </si>
  <si>
    <t>sein (sein Gefühl)</t>
  </si>
  <si>
    <t>Es ist ein Gefühl der ständigen Angst , ohne dass man überhaupt weiß , wovor man Angst hat .</t>
  </si>
  <si>
    <t>file://conllu/de/teddy-1323.conllu#s26_0</t>
  </si>
  <si>
    <t>27</t>
  </si>
  <si>
    <t>sein (sein beginnen)</t>
  </si>
  <si>
    <t>Und an diesem Punkt begann ich zu denken , dass es einfach zu schmerzhaft ist , am an dem Leben zu sein , und dass der einzige Grund , sich nicht umzubringen , darin bestand , anderen Menschen nicht weh zu tun .</t>
  </si>
  <si>
    <t>file://conllu/de/teddy-1323.conllu#s27_0</t>
  </si>
  <si>
    <t>28</t>
  </si>
  <si>
    <t>wachen</t>
  </si>
  <si>
    <t>Eines Tages wachte ich schließlich auf und dachte , ich hätte vielleicht einen Schlaganfall , weil ich komplett gelähmt im in dem Bett lag , das Telefon ansah und dachte : &amp;quot; Etwas stimmt nicht und ich sollte Hilfe holen . &amp;quot;</t>
  </si>
  <si>
    <t>file://conllu/de/teddy-1323.conllu#s28_0</t>
  </si>
  <si>
    <t>29</t>
  </si>
  <si>
    <t>ausstrecken</t>
  </si>
  <si>
    <t>Ich konnte meinen Arm nicht ausstrecken und das Telefon abheben und wählen .</t>
  </si>
  <si>
    <t>file://conllu/de/teddy-1323.conllu#s29_0</t>
  </si>
  <si>
    <t>30</t>
  </si>
  <si>
    <t>Nachdem?</t>
  </si>
  <si>
    <t>klingeln</t>
  </si>
  <si>
    <t>Nachdem ich volle 4 Stunden dagelegen und es angestarrt hatte , klingelte endlich das Telefon , und irgendwie schaffte ich es dranzugehen .</t>
  </si>
  <si>
    <t>file://conllu/de/teddy-1323.conllu#s30_0</t>
  </si>
  <si>
    <t>31</t>
  </si>
  <si>
    <t>sein (sein Vater)</t>
  </si>
  <si>
    <t>Es war mein Vater und ich sagte : &amp;quot; Ich habe ernsthafte Probleme .</t>
  </si>
  <si>
    <t>file://conllu/de/teddy-1323.conllu#s31_0</t>
  </si>
  <si>
    <t>32</t>
  </si>
  <si>
    <t>tun</t>
  </si>
  <si>
    <t>Wir müssen etwas tun . &amp;quot;</t>
  </si>
  <si>
    <t>file://conllu/de/teddy-1323.conllu#s32_0</t>
  </si>
  <si>
    <t>34</t>
  </si>
  <si>
    <t>Und ich begann auch mir diese furchtbare Frage zu stellen : Wenn ich nicht die starke Person bin , die ein Konzentrationslager überstanden hätte , wer bin ich dann ?</t>
  </si>
  <si>
    <t>file://conllu/de/teddy-1323.conllu#s34_0</t>
  </si>
  <si>
    <t>35</t>
  </si>
  <si>
    <t>Und wenn ich Medikamente nehmen muss , machen die Medikamente mich mehr zu mir selbst oder machen sie mich zu jemand anderem ?</t>
  </si>
  <si>
    <t>file://conllu/de/teddy-1323.conllu#s35_0</t>
  </si>
  <si>
    <t>36</t>
  </si>
  <si>
    <t>Was?</t>
  </si>
  <si>
    <t>Und was halte ich davon , wenn sie mich zu einem anderen machen ?</t>
  </si>
  <si>
    <t>file://conllu/de/teddy-1323.conllu#s36_0</t>
  </si>
  <si>
    <t>37</t>
  </si>
  <si>
    <t>geben</t>
  </si>
  <si>
    <t>Es gab zwei Vorteile für mich , als ich den Kampf aufnahm .</t>
  </si>
  <si>
    <t>file://conllu/de/teddy-1323.conllu#s37_0</t>
  </si>
  <si>
    <t>38</t>
  </si>
  <si>
    <t>Erstens wusste ich , objektiv gesprochen , dass ich ein schönes Leben hatte und wenn ich nur gesund würde , wäre dort etwas am an dem anderen Ende , das lebenswert war .</t>
  </si>
  <si>
    <t>file://conllu/de/teddy-1323.conllu#s38_0</t>
  </si>
  <si>
    <t>39</t>
  </si>
  <si>
    <t>Darüber hinaus hatte ich Zugang zu guter Behandlung .</t>
  </si>
  <si>
    <t>file://conllu/de/teddy-1323.conllu#s39_0</t>
  </si>
  <si>
    <t>40</t>
  </si>
  <si>
    <t>kämpfen</t>
  </si>
  <si>
    <t>Aber trotzdem kämpfte ich mich raus und wurde rückfällig , kämpfte mich raus und schließlich verstand ich , dass ich auf ewig in medizinischer und therapeutischer Behandlung bleiben müsste .</t>
  </si>
  <si>
    <t>file://conllu/de/teddy-1323.conllu#s40_0</t>
  </si>
  <si>
    <t>41</t>
  </si>
  <si>
    <t>überlegt</t>
  </si>
  <si>
    <t>Ich überlegte : &amp;quot; Ist es ein chemisches oder ein psychologisches Problem ?</t>
  </si>
  <si>
    <t>file://conllu/de/teddy-1323.conllu#s41_0</t>
  </si>
  <si>
    <t>42</t>
  </si>
  <si>
    <t>heilen</t>
  </si>
  <si>
    <t>Und muss es auf chemische oder auf philosophische Weise geheilt werden ? &amp;quot;</t>
  </si>
  <si>
    <t>file://conllu/de/teddy-1323.conllu#s42_0</t>
  </si>
  <si>
    <t>43</t>
  </si>
  <si>
    <t>Frage</t>
  </si>
  <si>
    <t>Ich konnte die Frage , welches davon es war , nicht beantworten .</t>
  </si>
  <si>
    <t>file://conllu/de/teddy-1323.conllu#s43_0</t>
  </si>
  <si>
    <t>44</t>
  </si>
  <si>
    <t>verstehen</t>
  </si>
  <si>
    <t>Und dann verstand ich schließlich , dass wir in keinem Bereich fortgeschritten genug sind , um die Dinge ganz zu erklären .</t>
  </si>
  <si>
    <t>file://conllu/de/teddy-1323.conllu#s44_0</t>
  </si>
  <si>
    <t>45</t>
  </si>
  <si>
    <t>Die chemische und psychologische Behandlung haben beide eine Funktion , und ich verstand auch , dass Depressionen etwas sind , das so tief in uns verwurzelt ist , dass man sie nicht von unserem Charakter und unserer Persönlichkeit trennen kann .</t>
  </si>
  <si>
    <t>file://conllu/de/teddy-1323.conllu#s45_0</t>
  </si>
  <si>
    <t>46</t>
  </si>
  <si>
    <t>derzeitigen</t>
  </si>
  <si>
    <t>Unsere derzeitigen Behandlungsmethoden für Depressionen sind fürchterlich .</t>
  </si>
  <si>
    <t>file://conllu/de/teddy-1323.conllu#s46_0</t>
  </si>
  <si>
    <t>47</t>
  </si>
  <si>
    <t>sein (sein effektiv)</t>
  </si>
  <si>
    <t>Sie sind nicht besonders effektiv .</t>
  </si>
  <si>
    <t>file://conllu/de/teddy-1323.conllu#s47_0</t>
  </si>
  <si>
    <t>48</t>
  </si>
  <si>
    <t>sein (sein teuer)</t>
  </si>
  <si>
    <t>Sie sind extrem teuer .</t>
  </si>
  <si>
    <t>file://conllu/de/teddy-1323.conllu#s48_0</t>
  </si>
  <si>
    <t>49</t>
  </si>
  <si>
    <t>Sie haben unzählige Nebenwirkungen .</t>
  </si>
  <si>
    <t>file://conllu/de/teddy-1323.conllu#s49_0</t>
  </si>
  <si>
    <t>50</t>
  </si>
  <si>
    <t>sein (sein Desaster)</t>
  </si>
  <si>
    <t>Sie sind ein Desaster .</t>
  </si>
  <si>
    <t>file://conllu/de/teddy-1323.conllu#s50_0</t>
  </si>
  <si>
    <t>51</t>
  </si>
  <si>
    <t>sein (sein dankbar)</t>
  </si>
  <si>
    <t>Aber ich bin so dankbar , dass ich zur zu der heutigen Zeit lebe und nicht vor 50 Jahren , als beinahe gar nichts getan werden konnte .</t>
  </si>
  <si>
    <t>file://conllu/de/teddy-1323.conllu#s51_0</t>
  </si>
  <si>
    <t>52</t>
  </si>
  <si>
    <t>hoffen</t>
  </si>
  <si>
    <t>Ich hoffe , dass in 50 Jahren die Menschen von meinen Therapien hören und entsetzt sein werden , dass irgendjemand so eine primitive Wissenschaft erduldete .</t>
  </si>
  <si>
    <t>file://conllu/de/teddy-1323.conllu#s52_0</t>
  </si>
  <si>
    <t>53</t>
  </si>
  <si>
    <t>sein (sein Manko)</t>
  </si>
  <si>
    <t>Depressionen sind das Manko der Liebe .</t>
  </si>
  <si>
    <t>file://conllu/de/teddy-1323.conllu#s53_0</t>
  </si>
  <si>
    <t>54</t>
  </si>
  <si>
    <t>sein (sein verheiratet)</t>
  </si>
  <si>
    <t>Wäre man mit jemandem verheiratet und würde denken : &amp;quot; Wenn meine Frau stirbt , finde ich eine andere &amp;quot; , wäre es nicht die Liebe , wie wir sie kennen .</t>
  </si>
  <si>
    <t>file://conllu/de/teddy-1323.conllu#s54_0</t>
  </si>
  <si>
    <t>55</t>
  </si>
  <si>
    <t>Es gibt keine Liebe , ohne das Vorgefühl von Verlust , und dieses Schreckgespenst der Verzweiflung kann der Antrieb für Vertrautheit sein .</t>
  </si>
  <si>
    <t>file://conllu/de/teddy-1323.conllu#s55_0</t>
  </si>
  <si>
    <t>56</t>
  </si>
  <si>
    <t>Es gibt drei Dinge , die Menschen gerne verwechseln : Depressionen , Trauer und Traurigkeit .</t>
  </si>
  <si>
    <t>file://conllu/de/teddy-1323.conllu#s56_0</t>
  </si>
  <si>
    <t>57</t>
  </si>
  <si>
    <t>sein (sein reaktiv)</t>
  </si>
  <si>
    <t>Trauer ist ausdrücklich reaktiv .</t>
  </si>
  <si>
    <t>file://conllu/de/teddy-1323.conllu#s57_0</t>
  </si>
  <si>
    <t>58</t>
  </si>
  <si>
    <t>33</t>
  </si>
  <si>
    <t>sein (sein Trauer)</t>
  </si>
  <si>
    <t>Wenn Sie einen Verlust erleiden und sich unglaublich unglücklich fühlen , und dann , 6 Monate später , sind Sie immer noch zutiefst traurig , aber Sie funktionieren ein bisschen besser , ist es wahrscheinlich Trauer , und es wird sich wahrscheinlich letztendlich in gewissem Maße von alleine lösen .</t>
  </si>
  <si>
    <t>file://conllu/de/teddy-1323.conllu#s58_0</t>
  </si>
  <si>
    <t>59</t>
  </si>
  <si>
    <t>sein (sein Depression)</t>
  </si>
  <si>
    <t>Wenn Sie einen katastrophalen Verlust erleiden und sich schrecklich fühlen , und nach 6 Monaten kaum funktionieren können , dann sind es vielleicht Depressionen , die von den katastrophalen Umständen ausgelöst wurden .</t>
  </si>
  <si>
    <t>file://conllu/de/teddy-1323.conllu#s59_0</t>
  </si>
  <si>
    <t>60</t>
  </si>
  <si>
    <t>erzählen</t>
  </si>
  <si>
    <t>Der Verlauf erzählt uns eine Menge .</t>
  </si>
  <si>
    <t>file://conllu/de/teddy-1323.conllu#s60_0</t>
  </si>
  <si>
    <t>61</t>
  </si>
  <si>
    <t>denken</t>
  </si>
  <si>
    <t>Die Menschen denken , Depressionen wären einfach Traurigkeit .</t>
  </si>
  <si>
    <t>file://conllu/de/teddy-1323.conllu#s61_0</t>
  </si>
  <si>
    <t>62</t>
  </si>
  <si>
    <t>sein (sein Traurigkeit)</t>
  </si>
  <si>
    <t>Es ist viel zu viel Traurigkeit , viel zu viel Trauer aus einem viel zu nichtigen Grund .</t>
  </si>
  <si>
    <t>file://conllu/de/teddy-1323.conllu#s62_0</t>
  </si>
  <si>
    <t>63</t>
  </si>
  <si>
    <t>Ich machte mich daran , Depressionen zu verstehen und Menschen zu interviewen , die das erlebt hatten .</t>
  </si>
  <si>
    <t>file://conllu/de/teddy-1323.conllu#s63_0</t>
  </si>
  <si>
    <t>64</t>
  </si>
  <si>
    <t>entdecken</t>
  </si>
  <si>
    <t>Ich entdeckte , dass es Menschen gibt , die , oberflächlich betrachtet , relativ leichte Depressionen haben , die aber davon dennoch völlig ausgeschaltet sind .</t>
  </si>
  <si>
    <t>file://conllu/de/teddy-1323.conllu#s64_0</t>
  </si>
  <si>
    <t>65</t>
  </si>
  <si>
    <t>Und es gibt andere Menschen , die , so wie es klingt , furchtbar schwere Depressionen haben , und dennoch zwischen ihren depressiven Episoden ein schönes Leben hatten .</t>
  </si>
  <si>
    <t>file://conllu/de/teddy-1323.conllu#s65_0</t>
  </si>
  <si>
    <t>66</t>
  </si>
  <si>
    <t>versuchen</t>
  </si>
  <si>
    <t>Ich versuchte also herauszufinden , warum manche Menschen widerstandsfähiger sind als andere .</t>
  </si>
  <si>
    <t>file://conllu/de/teddy-1323.conllu#s66_0</t>
  </si>
  <si>
    <t>67</t>
  </si>
  <si>
    <t>sein (sein Mechanismus)</t>
  </si>
  <si>
    <t>Was sind die Mechanismen , die es Menschen ermöglichen , zu überleben ?</t>
  </si>
  <si>
    <t>file://conllu/de/teddy-1323.conllu#s67_0</t>
  </si>
  <si>
    <t>68</t>
  </si>
  <si>
    <t>gehen</t>
  </si>
  <si>
    <t>Ich ging also los und interviewte einen an Depressionen erkrankten Menschen nach dem anderen .</t>
  </si>
  <si>
    <t>file://conllu/de/teddy-1323.conllu#s68_0</t>
  </si>
  <si>
    <t>69</t>
  </si>
  <si>
    <t>erinnern (erinnern hören beschreiben)</t>
  </si>
  <si>
    <t>Einer der ersten Menschen , die ich interviewte , beschrieb Depressionen als eine andere Art Tod , und es war gut , dass ich das so früh hörte , denn es erinnerte mich daran , dass diese Art Tod zum zu dem wirklichen Tod führen kann , und daran , dass es eine ernst zunehmende Sache ist .</t>
  </si>
  <si>
    <t>file://conllu/de/teddy-1323.conllu#s69_0</t>
  </si>
  <si>
    <t>70</t>
  </si>
  <si>
    <t>sein (sein Behinderung)</t>
  </si>
  <si>
    <t>Es ist die am an dem weitesten verbreitete Behinderung und täglich sterben Menschen daran .</t>
  </si>
  <si>
    <t>file://conllu/de/teddy-1323.conllu#s70_0</t>
  </si>
  <si>
    <t>71</t>
  </si>
  <si>
    <t>sein (sein Freundin)</t>
  </si>
  <si>
    <t>Einer der Menschen , mit dem ich sprach als ich das zu verstehen versuchte , war eine geliebte Freundin , die ich schon seit vielen Jahren kannte , und die eine psychotische Episode in ihrem ersten Jahr am an dem College gehabt hatte , und dann in eine entsetzliche Depression verfallen war .</t>
  </si>
  <si>
    <t>file://conllu/de/teddy-1323.conllu#s71_0</t>
  </si>
  <si>
    <t>72</t>
  </si>
  <si>
    <t>Sie hatte eine bipolare Störung oder manische Depression , wie es damals hieß .</t>
  </si>
  <si>
    <t>file://conllu/de/teddy-1323.conllu#s72_0</t>
  </si>
  <si>
    <t>73</t>
  </si>
  <si>
    <t>Über viele Jahre hinweg ging es ihr mit Lithium sehr gut und schließlich wurde das Lithium abgesetzt , um zu sehen , wie sie ohne klar käme .</t>
  </si>
  <si>
    <t>file://conllu/de/teddy-1323.conllu#s73_0</t>
  </si>
  <si>
    <t>74</t>
  </si>
  <si>
    <t>Sie hatte eine weitere Psychose , und verfiel dann in die schwerste Depression , die ich jemals sah .</t>
  </si>
  <si>
    <t>file://conllu/de/teddy-1323.conllu#s74_0</t>
  </si>
  <si>
    <t>75</t>
  </si>
  <si>
    <t>sitzen</t>
  </si>
  <si>
    <t>Sie saß Tag für Tag mehr oder weniger katatonisch und im in dem Grunde bewegungslos in der Wohnung ihrer Eltern .</t>
  </si>
  <si>
    <t>file://conllu/de/teddy-1323.conllu#s75_0</t>
  </si>
  <si>
    <t>76</t>
  </si>
  <si>
    <t>singen (singen sagen)</t>
  </si>
  <si>
    <t>Als ich sie Jahre später über diese Erfahrung befragte sie ist die Dichterin und Psychotherapeutin Maggie Robbins sagte sie : &amp;quot; Ich sang immer wieder ' Where Have All The Flowers Gone ' , um meinen Geist zu beschäftigen .</t>
  </si>
  <si>
    <t>file://conllu/de/teddy-1323.conllu#s76_0</t>
  </si>
  <si>
    <t>77</t>
  </si>
  <si>
    <t>verstehen (verstehen sagen singen)</t>
  </si>
  <si>
    <t>Ich sang , um die Dinge auszulöschen , die mein Verstand mir sagte , Dinge wie ' Du bist nichts .</t>
  </si>
  <si>
    <t>file://conllu/de/teddy-1323.conllu#s77_0</t>
  </si>
  <si>
    <t>78</t>
  </si>
  <si>
    <t>sein (sein niemand)</t>
  </si>
  <si>
    <t>Du bist ein Niemand .</t>
  </si>
  <si>
    <t>file://conllu/de/teddy-1323.conllu#s78_0</t>
  </si>
  <si>
    <t>79</t>
  </si>
  <si>
    <t>verdiensen</t>
  </si>
  <si>
    <t>Du verdienst es nicht mal zu leben . '</t>
  </si>
  <si>
    <t>file://conllu/de/teddy-1323.conllu#s79_0</t>
  </si>
  <si>
    <t>80</t>
  </si>
  <si>
    <t>fangen</t>
  </si>
  <si>
    <t>Und da fing ich wirklich an , daran zu denken , mich umzubringen . &amp;quot;</t>
  </si>
  <si>
    <t>file://conllu/de/teddy-1323.conllu#s80_0</t>
  </si>
  <si>
    <t>81</t>
  </si>
  <si>
    <t>merken</t>
  </si>
  <si>
    <t>Während der Depressionen merkt man nicht , dass man einen grauen Schleier angelegt hat und die Welt durch diesen Schleier von schlechter Laune sieht .</t>
  </si>
  <si>
    <t>file://conllu/de/teddy-1323.conllu#s81_0</t>
  </si>
  <si>
    <t>82</t>
  </si>
  <si>
    <t>sehen (sehen denken)</t>
  </si>
  <si>
    <t>Man denkt , dass der Schleier entfernt wurde , der Schleier des Glücks , und dass man jetzt erst richtig sieht .</t>
  </si>
  <si>
    <t>file://conllu/de/teddy-1323.conllu#s82_0</t>
  </si>
  <si>
    <t>83</t>
  </si>
  <si>
    <t>helfen</t>
  </si>
  <si>
    <t>Es ist einfacher Schizophrenen zu helfen , die etwas Fremdes in sich selbst wahrnehmen , das ausgetrieben werden muss .</t>
  </si>
  <si>
    <t>file://conllu/de/teddy-1323.conllu#s83_0</t>
  </si>
  <si>
    <t>84</t>
  </si>
  <si>
    <t>sein (sein schwierig)</t>
  </si>
  <si>
    <t>Aber mit Depressiven ist es schwierig , denn wir denken , dass wir die Wahrheit sehen .</t>
  </si>
  <si>
    <t>file://conllu/de/teddy-1323.conllu#s84_0</t>
  </si>
  <si>
    <t>85</t>
  </si>
  <si>
    <t>lügen</t>
  </si>
  <si>
    <t>Aber die Wahrheit lügt .</t>
  </si>
  <si>
    <t>file://conllu/de/teddy-1323.conllu#s85_0</t>
  </si>
  <si>
    <t>86</t>
  </si>
  <si>
    <t>besitzen</t>
  </si>
  <si>
    <t>Ich war von diesem Satz besessen : &amp;quot; Aber die Wahrheit lügt . &amp;quot;</t>
  </si>
  <si>
    <t>file://conllu/de/teddy-1323.conllu#s86_0</t>
  </si>
  <si>
    <t>87</t>
  </si>
  <si>
    <t>stellen</t>
  </si>
  <si>
    <t>Aber ich stellte fest , als ich mit depressiven Menschen sprach , dass sie viele wahnhafte Wahrnehmungen haben .</t>
  </si>
  <si>
    <t>file://conllu/de/teddy-1323.conllu#s87_0</t>
  </si>
  <si>
    <t>88</t>
  </si>
  <si>
    <t>Menschen sagen etwa : &amp;quot; Niemand liebt mich . &amp;quot;</t>
  </si>
  <si>
    <t>file://conllu/de/teddy-1323.conllu#s88_0</t>
  </si>
  <si>
    <t>89</t>
  </si>
  <si>
    <t>Und man sagt : &amp;quot; Ich liebe dich , deine Frau liebt dich , deine Mutter liebt dich . &amp;quot;</t>
  </si>
  <si>
    <t>file://conllu/de/teddy-1323.conllu#s89_0</t>
  </si>
  <si>
    <t>90</t>
  </si>
  <si>
    <t>beantworten</t>
  </si>
  <si>
    <t>Man kann das ziemlich schnell beantworten , zumindest bei den meisten Menschen .</t>
  </si>
  <si>
    <t>file://conllu/de/teddy-1323.conllu#s90_0</t>
  </si>
  <si>
    <t>91</t>
  </si>
  <si>
    <t>Aber depressive Menschen werden auch sagen : &amp;quot; Egal , was wir machen , am an dem Ende werden wir alle sterben . &amp;quot;</t>
  </si>
  <si>
    <t>file://conllu/de/teddy-1323.conllu#s91_0</t>
  </si>
  <si>
    <t>92</t>
  </si>
  <si>
    <t>Oder sie werden sagen : &amp;quot; Es kann keine wahre Gemeinschaft zwischen zwei Menschen geben .</t>
  </si>
  <si>
    <t>file://conllu/de/teddy-1323.conllu#s92_0</t>
  </si>
  <si>
    <t>93</t>
  </si>
  <si>
    <t>sein (sein gefangen)</t>
  </si>
  <si>
    <t>Jeder von uns ist in seinem eigenen Körper gefangen . &amp;quot;</t>
  </si>
  <si>
    <t>file://conllu/de/teddy-1323.conllu#s93_0</t>
  </si>
  <si>
    <t>94</t>
  </si>
  <si>
    <t>Worauf man sagen muss : &amp;quot; Das ist wahr , aber ich denke wir sollten uns jetzt darauf konzentrieren , was es zum zu dem Frühstück geben soll . &amp;quot;</t>
  </si>
  <si>
    <t>file://conllu/de/teddy-1323.conllu#s94_0</t>
  </si>
  <si>
    <t>95</t>
  </si>
  <si>
    <t>bringen</t>
  </si>
  <si>
    <t>( Gelächter ) Die meiste Zeit bringen sie nicht die Krankheit , sondern Einsicht zum zu dem Ausdruck .</t>
  </si>
  <si>
    <t>file://conllu/de/teddy-1323.conllu#s95_0</t>
  </si>
  <si>
    <t>96</t>
  </si>
  <si>
    <t>Und man beginnt zu denken : Das wirklich Außergewöhnliche ist , dass die meisten von uns diese existenziellen Fragen kennen und sie uns nicht besonders beschäftigen .</t>
  </si>
  <si>
    <t>file://conllu/de/teddy-1323.conllu#s96_0</t>
  </si>
  <si>
    <t>97</t>
  </si>
  <si>
    <t>Es gab eine Studie , die ich besonders mochte , in der eine Gruppe depressiver und eine Gruppe nicht-depressiver Menschen gebeten wurden , eine Stunde lang ein Videospiel zu spielen , und am an dem Ende dieser Stunde wurden sie gefragt , wie viele kleine Monster sie meinten getötet zu haben .</t>
  </si>
  <si>
    <t>file://conllu/de/teddy-1323.conllu#s97_0</t>
  </si>
  <si>
    <t>98</t>
  </si>
  <si>
    <t>sein (sein meist)</t>
  </si>
  <si>
    <t>Die depressive Gruppe war meist , mit Abweichungen von ungefähr 10 Prozent , korrekt und die nicht-depressiven Menschen schätzten zwischen 15 und 20 Mal mehr kleine Monster ( Gelächter ) als sie tatsächlich getötet hatten .</t>
  </si>
  <si>
    <t>file://conllu/de/teddy-1323.conllu#s98_0</t>
  </si>
  <si>
    <t>99</t>
  </si>
  <si>
    <t>schreiben (schreiben beschließen sagen)</t>
  </si>
  <si>
    <t>Als ich beschloss , über meine Depressionen zu schreiben , sagten viele Menschen , dass es sehr schwierig sein müsse , sich öffentlich dazu zu bekennen , es die Leute wissen zu lassen .</t>
  </si>
  <si>
    <t>file://conllu/de/teddy-1323.conllu#s99_0</t>
  </si>
  <si>
    <t>100</t>
  </si>
  <si>
    <t>Sie sagten : &amp;quot; Reden die Leute anders mit Ihnen ? &amp;quot;</t>
  </si>
  <si>
    <t>file://conllu/de/teddy-1323.conllu#s100_0</t>
  </si>
  <si>
    <t>101</t>
  </si>
  <si>
    <t>Und ich sagte : &amp;quot; Ja , Menschen reden anders mit mir .</t>
  </si>
  <si>
    <t>file://conllu/de/teddy-1323.conllu#s101_0</t>
  </si>
  <si>
    <t>102</t>
  </si>
  <si>
    <t>reden</t>
  </si>
  <si>
    <t>Sie reden insofern anders mit mir , dass sie anfangen , mir von ihrer Erfahrung zu erzählen oder der Erfahrung ihrer Schwester , oder der Erfahrung eines Freundes .</t>
  </si>
  <si>
    <t>file://conllu/de/teddy-1323.conllu#s102_0</t>
  </si>
  <si>
    <t>103</t>
  </si>
  <si>
    <t>sein (sein anders)</t>
  </si>
  <si>
    <t>Die Dinge sind anders , denn jetzt weiß ich , dass Depressionen ein Familiengeheimnis sind , das jeder hat .</t>
  </si>
  <si>
    <t>file://conllu/de/teddy-1323.conllu#s103_0</t>
  </si>
  <si>
    <t>104</t>
  </si>
  <si>
    <t>Vor ein paar Jahren ging ich zu einer Konferenz und am an dem Freitag dieser 3-tägigen Konferenz nahm eine der Teilnehmerinnen mich zur zu der Seite und sie sagte zu mir : &amp;quot; Ich leide an Depressionen und ich schäme mich ein bisschen dafür , aber ich nehme diese Medikamente und ich möchte Sie fragen , was Sie darüber denken ? &amp;quot;</t>
  </si>
  <si>
    <t>file://conllu/de/teddy-1323.conllu#s104_0</t>
  </si>
  <si>
    <t>105</t>
  </si>
  <si>
    <t>bemühen</t>
  </si>
  <si>
    <t>Und ich bemühte mich , so weit ich konnte , ihr einen Rat zu geben .</t>
  </si>
  <si>
    <t>file://conllu/de/teddy-1323.conllu#s105_0</t>
  </si>
  <si>
    <t>106</t>
  </si>
  <si>
    <t>verstehen (verstehen sagen)</t>
  </si>
  <si>
    <t>Und dann sagte sie : &amp;quot; Wissen Sie , mein Mann würde das nie verstehen .</t>
  </si>
  <si>
    <t>file://conllu/de/teddy-1323.conllu#s106_0</t>
  </si>
  <si>
    <t>107</t>
  </si>
  <si>
    <t>sein (sein Typ)</t>
  </si>
  <si>
    <t>Er ist wirklich ein Typ , für den das keinen Sinn ergeben würde .</t>
  </si>
  <si>
    <t>file://conllu/de/teddy-1323.conllu#s107_0</t>
  </si>
  <si>
    <t>108</t>
  </si>
  <si>
    <t>bleiben</t>
  </si>
  <si>
    <t>Also , das sollte unter uns bleiben . &amp;quot;</t>
  </si>
  <si>
    <t>file://conllu/de/teddy-1323.conllu#s108_0</t>
  </si>
  <si>
    <t>109</t>
  </si>
  <si>
    <t>Und ich sagte : &amp;quot; Ja , das ist in Ordnung . &amp;quot;</t>
  </si>
  <si>
    <t>file://conllu/de/teddy-1323.conllu#s109_0</t>
  </si>
  <si>
    <t>111</t>
  </si>
  <si>
    <t>Aber ich habe mit Depressionen zu kämpfen und ich nehme einige Medikamente , und frage ich mich , was Sie denken . &amp;quot;</t>
  </si>
  <si>
    <t>file://conllu/de/teddy-1323.conllu#s111_0</t>
  </si>
  <si>
    <t>112</t>
  </si>
  <si>
    <t>verstecken</t>
  </si>
  <si>
    <t>Sie versteckten die gleichen Medikamente an zwei verschiedenen Orten im in dem selben Schlafzimmer .</t>
  </si>
  <si>
    <t>file://conllu/de/teddy-1323.conllu#s112_0</t>
  </si>
  <si>
    <t>113</t>
  </si>
  <si>
    <t>denken (denken sagen)</t>
  </si>
  <si>
    <t>Ich sagte , dass ich denke , dass die Kommunikation in der Ehe einige ihrer Probleme auslösen könnte .</t>
  </si>
  <si>
    <t>file://conllu/de/teddy-1323.conllu#s113_0</t>
  </si>
  <si>
    <t>114</t>
  </si>
  <si>
    <t>sein (sein bewußt)</t>
  </si>
  <si>
    <t>Aber mir wurde auch schlagartig bewusst , wie belastend so eine wechselseitige Heimlichkeit ist .</t>
  </si>
  <si>
    <t>file://conllu/de/teddy-1323.conllu#s114_0</t>
  </si>
  <si>
    <t>115</t>
  </si>
  <si>
    <t>sein (sein ermüdend)</t>
  </si>
  <si>
    <t>Depressionen sind so ermüdend .</t>
  </si>
  <si>
    <t>file://conllu/de/teddy-1323.conllu#s115_0</t>
  </si>
  <si>
    <t>116</t>
  </si>
  <si>
    <t>verbrauchen</t>
  </si>
  <si>
    <t>Sie verbrauchen so viel Zeit und Energie , und darüber zu schweigen verschlimmert die Depressionen noch .</t>
  </si>
  <si>
    <t>file://conllu/de/teddy-1323.conllu#s116_0</t>
  </si>
  <si>
    <t>117</t>
  </si>
  <si>
    <t>Und dann dachte ich über all die Arten nach , wie Menschen sich selbst verbessern .</t>
  </si>
  <si>
    <t>file://conllu/de/teddy-1323.conllu#s117_0</t>
  </si>
  <si>
    <t>118</t>
  </si>
  <si>
    <t>Ich begann als konservativer Mediziner .</t>
  </si>
  <si>
    <t>file://conllu/de/teddy-1323.conllu#s118_0</t>
  </si>
  <si>
    <t>119</t>
  </si>
  <si>
    <t>Ich dachte , dass es ein paar Therapie Arten gab , die funktionierten , und es war klar , welche das waren es gab Medikamente , es gab bestimmte Psychotherapien , es gab möglicherweise die Elektroschockbehandlung und dass alles andere Nonsens wäre .</t>
  </si>
  <si>
    <t>file://conllu/de/teddy-1323.conllu#s119_0</t>
  </si>
  <si>
    <t>120</t>
  </si>
  <si>
    <t>Aber dann entdeckte ich etwas .</t>
  </si>
  <si>
    <t>file://conllu/de/teddy-1323.conllu#s120_0</t>
  </si>
  <si>
    <t>121</t>
  </si>
  <si>
    <t>Wenn man einen Hirntumor hat und man sagt , dass es einem besser geht , wenn man jeden Morgen 20 Minuten auf dem Kopf steht , wird man sich besser fühlen , aber man hat immer noch einen Hirntumor , und man wird wahrscheinlich immer noch daran sterben .</t>
  </si>
  <si>
    <t>file://conllu/de/teddy-1323.conllu#s121_0</t>
  </si>
  <si>
    <t>122</t>
  </si>
  <si>
    <t>Aber wenn man Depressionen hat und zwanzig Minuten Kopfstand am an dem Tag dazu führen , dass man sich besser fühlt , dann funktioniert es , denn bei Depressionen sind die Gefühle erkrankt und wenn man sich besser fühlt , dann ist man praktisch nicht mehr depressiv .</t>
  </si>
  <si>
    <t>file://conllu/de/teddy-1323.conllu#s122_0</t>
  </si>
  <si>
    <t>123</t>
  </si>
  <si>
    <t>werden</t>
  </si>
  <si>
    <t>So wurde ich toleranter gegenüber der weiten Welt alternativer Behandlungen .</t>
  </si>
  <si>
    <t>file://conllu/de/teddy-1323.conllu#s123_0</t>
  </si>
  <si>
    <t>124</t>
  </si>
  <si>
    <t>erhalten</t>
  </si>
  <si>
    <t>Und ich erhalte Briefe , hunderte von Briefen , von Menschen , die mir schreiben , was ihnen geholfen hat .</t>
  </si>
  <si>
    <t>file://conllu/de/teddy-1323.conllu#s124_0</t>
  </si>
  <si>
    <t>125</t>
  </si>
  <si>
    <t>fragen</t>
  </si>
  <si>
    <t>Jemand fragte mich heute hinter der Bühne nach Meditation .</t>
  </si>
  <si>
    <t>file://conllu/de/teddy-1323.conllu#s125_0</t>
  </si>
  <si>
    <t>126</t>
  </si>
  <si>
    <t>sagen (sagen schreiben)</t>
  </si>
  <si>
    <t>Mein Favorit unter den erhaltenen Briefen war einer , der von einer Frau kam , die schrieb und sagte , sie hätte es mit einer Therapie versucht , sie hätte Medikamente versucht , sie hatte so ziemlich alles ausprobiert .</t>
  </si>
  <si>
    <t>file://conllu/de/teddy-1323.conllu#s126_0</t>
  </si>
  <si>
    <t>127</t>
  </si>
  <si>
    <t>erzählen (erzählen finden)</t>
  </si>
  <si>
    <t>Sie hatte eine Lösung gefunden und hoffte , ich würde es der Welt erzählen , nämlich kleine Dinge aus Garn zu machen .</t>
  </si>
  <si>
    <t>file://conllu/de/teddy-1323.conllu#s127_0</t>
  </si>
  <si>
    <t>128</t>
  </si>
  <si>
    <t>schicken</t>
  </si>
  <si>
    <t>Sie schickte mir ein paar davon .</t>
  </si>
  <si>
    <t>file://conllu/de/teddy-1323.conllu#s128_0</t>
  </si>
  <si>
    <t>129</t>
  </si>
  <si>
    <t>tragen</t>
  </si>
  <si>
    <t>Und ich trage sie gerade nicht .</t>
  </si>
  <si>
    <t>file://conllu/de/teddy-1323.conllu#s129_0</t>
  </si>
  <si>
    <t>130</t>
  </si>
  <si>
    <t>schlagen</t>
  </si>
  <si>
    <t>Ich schlug ihr vor , dass sie auch Zwangsstörungen im in dem DSM nachschlagen sollte .</t>
  </si>
  <si>
    <t>file://conllu/de/teddy-1323.conllu#s130_0</t>
  </si>
  <si>
    <t>131</t>
  </si>
  <si>
    <t>schauen</t>
  </si>
  <si>
    <t>Dennoch schaute ich mir alternative Behandlungen an , und sah andere Behandlungen in neuem Licht .</t>
  </si>
  <si>
    <t>file://conllu/de/teddy-1323.conllu#s131_0</t>
  </si>
  <si>
    <t>132</t>
  </si>
  <si>
    <t>unterziehen</t>
  </si>
  <si>
    <t>Ich unterzog mich einem Stammes Exorzismus im in dem Senegal , der ziemlich viel Schafsbockblut erforderte .</t>
  </si>
  <si>
    <t>file://conllu/de/teddy-1323.conllu#s132_0</t>
  </si>
  <si>
    <t>133</t>
  </si>
  <si>
    <t>Ich werde jetzt nicht ins in das Detail gehen , aber ein paar Jahre darauf war ich in Ruanda und arbeitete dort an einem anderen Projekt , und ich beschrieb meine Erfahrung jemandem und er sagte : &amp;quot; Weißt du , das ist Westafrika , und wir sind in Ostafrika , und unsere Rituale sind irgendwie sehr verschieden , aber wir haben einige Rituale , die mit dem von dir beschriebenen , etwas gemeinsam haben . &amp;quot;</t>
  </si>
  <si>
    <t>file://conllu/de/teddy-1323.conllu#s133_0</t>
  </si>
  <si>
    <t>134</t>
  </si>
  <si>
    <t>Und ich sagte : &amp;quot; Oh . &amp;quot;</t>
  </si>
  <si>
    <t>file://conllu/de/teddy-1323.conllu#s134_0</t>
  </si>
  <si>
    <t>135</t>
  </si>
  <si>
    <t>Und er sagte : &amp;quot; Ja , aber wir hatten viel Ärger mit Psychotherapeuten aus dem Westen , besonders mit denjenigen , die direkt nach dem Genozid kamen . &amp;quot;</t>
  </si>
  <si>
    <t>file://conllu/de/teddy-1323.conllu#s135_0</t>
  </si>
  <si>
    <t>136</t>
  </si>
  <si>
    <t>Ich fragte : &amp;quot; Welche Probleme gab es ? &amp;quot;</t>
  </si>
  <si>
    <t>file://conllu/de/teddy-1323.conllu#s136_0</t>
  </si>
  <si>
    <t>137</t>
  </si>
  <si>
    <t>erklären</t>
  </si>
  <si>
    <t>Er erklärte : &amp;quot; Nun ja , sie taten etwas sehr Bizarres .</t>
  </si>
  <si>
    <t>file://conllu/de/teddy-1323.conllu#s137_0</t>
  </si>
  <si>
    <t>138</t>
  </si>
  <si>
    <t>sprechen</t>
  </si>
  <si>
    <t>Sie sprachen nicht im in dem Sonnenschein mit den Leuten , wo man beginnt , sich besser zu fühlen .</t>
  </si>
  <si>
    <t>file://conllu/de/teddy-1323.conllu#s138_0</t>
  </si>
  <si>
    <t>139</t>
  </si>
  <si>
    <t>beziehen</t>
  </si>
  <si>
    <t>Sie bezogen weder Trommeln noch Musik ein , um das Blut in Wallung zu bringen .</t>
  </si>
  <si>
    <t>file://conllu/de/teddy-1323.conllu#s139_0</t>
  </si>
  <si>
    <t>140</t>
  </si>
  <si>
    <t>involvieren</t>
  </si>
  <si>
    <t>Sie involvierten nicht die gesamte Gemeinschaft .</t>
  </si>
  <si>
    <t>file://conllu/de/teddy-1323.conllu#s140_0</t>
  </si>
  <si>
    <t>141</t>
  </si>
  <si>
    <t>externalisieren</t>
  </si>
  <si>
    <t>Sie externalisieren die Depressionen nicht als einen eindringenden Geist .</t>
  </si>
  <si>
    <t>file://conllu/de/teddy-1323.conllu#s141_0</t>
  </si>
  <si>
    <t>142</t>
  </si>
  <si>
    <t>führen</t>
  </si>
  <si>
    <t>Stattdessen führten sie die Menschen einzeln in schäbige , kleine Räume und ließen sie eine Stunde lang über schlimme Dinge reden , die ihnen passiert waren . &amp;quot;</t>
  </si>
  <si>
    <t>file://conllu/de/teddy-1323.conllu#s142_0</t>
  </si>
  <si>
    <t>143</t>
  </si>
  <si>
    <t>( Gelächter ) ( Applaus ) Er sagte : &amp;quot; Wir mussten sie bitten , das Land zu verlassen . &amp;quot;</t>
  </si>
  <si>
    <t>file://conllu/de/teddy-1323.conllu#s143_0</t>
  </si>
  <si>
    <t>144</t>
  </si>
  <si>
    <t>lassen</t>
  </si>
  <si>
    <t>Um Ihnen das andere Ende der alternativen Behandlungen zu veranschaulichen , lassen Sie mich Ihnen von Frank Russakoff erzählen .</t>
  </si>
  <si>
    <t>file://conllu/de/teddy-1323.conllu#s144_0</t>
  </si>
  <si>
    <t>145</t>
  </si>
  <si>
    <t>Frank Russakoff hatte die schlimmsten Depressionen , die ich wohl je bei einem Mann gesehen habe .</t>
  </si>
  <si>
    <t>file://conllu/de/teddy-1323.conllu#s145_0</t>
  </si>
  <si>
    <t>146</t>
  </si>
  <si>
    <t>sein (sein depressiv)</t>
  </si>
  <si>
    <t>Er war ständig depressiv .</t>
  </si>
  <si>
    <t>file://conllu/de/teddy-1323.conllu#s146_0</t>
  </si>
  <si>
    <t>147</t>
  </si>
  <si>
    <t>Als ich ihn traf war er an einem Punkt , wo er jeden Monat eine Elektroschock Behandlung bekam .</t>
  </si>
  <si>
    <t>file://conllu/de/teddy-1323.conllu#s147_0</t>
  </si>
  <si>
    <t>148</t>
  </si>
  <si>
    <t>Dann fühlte er sich eine Woche lang etwas desorientiert und dann eine Woche lang okay .</t>
  </si>
  <si>
    <t>file://conllu/de/teddy-1323.conllu#s148_0</t>
  </si>
  <si>
    <t>149</t>
  </si>
  <si>
    <t>Dann ging es eine Woche lang abwärts .</t>
  </si>
  <si>
    <t>file://conllu/de/teddy-1323.conllu#s149_0</t>
  </si>
  <si>
    <t>150</t>
  </si>
  <si>
    <t>bekommen</t>
  </si>
  <si>
    <t>Und dann bekam er eine weitere Elektroschock Behandlung .</t>
  </si>
  <si>
    <t>file://conllu/de/teddy-1323.conllu#s150_0</t>
  </si>
  <si>
    <t>151</t>
  </si>
  <si>
    <t>Als ich ihn traf , sagte er zu mir : &amp;quot; Es ist unerträglich , meine Wochen so zu durchleben .</t>
  </si>
  <si>
    <t>file://conllu/de/teddy-1323.conllu#s151_0</t>
  </si>
  <si>
    <t>152</t>
  </si>
  <si>
    <t>Ich kann so nicht weiter machen , und ich habe entschieden , dass ich es beende , wenn es mir nicht besser geht .</t>
  </si>
  <si>
    <t>file://conllu/de/teddy-1323.conllu#s152_0</t>
  </si>
  <si>
    <t>153</t>
  </si>
  <si>
    <t>Aber , &amp;quot; sagte er mir , &amp;quot; ich habe von einem Plan bei Mass General gehört , ein Verfahren namens Zingulotomie , eine Hirnchirurgie , und ich probiere das aus . &amp;quot;</t>
  </si>
  <si>
    <t>file://conllu/de/teddy-1323.conllu#s153_0</t>
  </si>
  <si>
    <t>154</t>
  </si>
  <si>
    <t>wundern (wundern erinnern)</t>
  </si>
  <si>
    <t>Und ich erinnere mich , mich an diesem Punkt gewundert zu haben , dass jemand , der wirklich so viele schlechte Erfahrungen gehabt hatte mit so vielen verschiedenen Behandlungen , sich genug Optimismus bewahrt hatte , um noch eine Behandlung mitzumachen .</t>
  </si>
  <si>
    <t>file://conllu/de/teddy-1323.conllu#s154_0</t>
  </si>
  <si>
    <t>155</t>
  </si>
  <si>
    <t>durchführen</t>
  </si>
  <si>
    <t>Die Zingulotomie wurde durchgeführt und es war ein Erfolg auf der ganzen Linie .</t>
  </si>
  <si>
    <t>file://conllu/de/teddy-1323.conllu#s155_0</t>
  </si>
  <si>
    <t>156</t>
  </si>
  <si>
    <t>sein (sein werden)</t>
  </si>
  <si>
    <t>Wir sind Freunde geworden .</t>
  </si>
  <si>
    <t>file://conllu/de/teddy-1323.conllu#s156_0</t>
  </si>
  <si>
    <t>157</t>
  </si>
  <si>
    <t>Er hat eine wunderbare Frau und zwei hübsche Kinder .</t>
  </si>
  <si>
    <t>file://conllu/de/teddy-1323.conllu#s157_0</t>
  </si>
  <si>
    <t>158</t>
  </si>
  <si>
    <t>Er schrieb mir an Weihnachten nach der Operation einen Brief und sagte : &amp;quot; Mein Vater schickte mir dieses Jahr zwei Geschenke .</t>
  </si>
  <si>
    <t>file://conllu/de/teddy-1323.conllu#s158_0</t>
  </si>
  <si>
    <t>159</t>
  </si>
  <si>
    <t>brauch</t>
  </si>
  <si>
    <t>Erstens einen motorisierten CD Ständer von ' The Sharper Image ' , den ich nicht wirklich brauche , aber ich weiß , dass er ihn mir geschenkt hat , um die Tatsache zu feiern , dass ich eigenständig lebte und eine Arbeit habe , die ich anscheinend liebe .</t>
  </si>
  <si>
    <t>file://conllu/de/teddy-1323.conllu#s159_0</t>
  </si>
  <si>
    <t>160</t>
  </si>
  <si>
    <t>sein (sein Foto)</t>
  </si>
  <si>
    <t>Und das andere Geschenk war ein Foto von meiner Großmutter , die Selbstmord beging .</t>
  </si>
  <si>
    <t>file://conllu/de/teddy-1323.conllu#s160_0</t>
  </si>
  <si>
    <t>161</t>
  </si>
  <si>
    <t>Als ich es auspackte , begann ich zu weinen , und meine Mutter kam rüber und sagte : ' Weinst du wegen Verwandten , die du nie kanntest ? '</t>
  </si>
  <si>
    <t>file://conllu/de/teddy-1323.conllu#s161_0</t>
  </si>
  <si>
    <t>162</t>
  </si>
  <si>
    <t>Und ich sagte : ' Sie hatte die gleiche Krankheit wie ich . '</t>
  </si>
  <si>
    <t>file://conllu/de/teddy-1323.conllu#s162_0</t>
  </si>
  <si>
    <t>163</t>
  </si>
  <si>
    <t>schreib</t>
  </si>
  <si>
    <t>Während ich dir das schreibe , weine ich nicht .</t>
  </si>
  <si>
    <t>file://conllu/de/teddy-1323.conllu#s163_0</t>
  </si>
  <si>
    <t>164</t>
  </si>
  <si>
    <t>sein (sein traurig)</t>
  </si>
  <si>
    <t>Ich bin nicht besonders traurig , sondern eher überwältigt .</t>
  </si>
  <si>
    <t>file://conllu/de/teddy-1323.conllu#s164_0</t>
  </si>
  <si>
    <t>165</t>
  </si>
  <si>
    <t>wahrscheinlich</t>
  </si>
  <si>
    <t>Wahrscheinlich , weil ich mich hätte umbringen können , aber meine Eltern halfen mir weiterzumachen , genauso wie die Ärzte , und ich ließ mich operieren .</t>
  </si>
  <si>
    <t>file://conllu/de/teddy-1323.conllu#s165_0</t>
  </si>
  <si>
    <t>166</t>
  </si>
  <si>
    <t>Ich bin am an dem Leben und dankbar .</t>
  </si>
  <si>
    <t>file://conllu/de/teddy-1323.conllu#s166_0</t>
  </si>
  <si>
    <t>167</t>
  </si>
  <si>
    <t>leben</t>
  </si>
  <si>
    <t>Wir leben zur zu der richtigen Zeit , auch wenn es sich nicht immer so anfühlt . &amp;quot;</t>
  </si>
  <si>
    <t>file://conllu/de/teddy-1323.conllu#s167_0</t>
  </si>
  <si>
    <t>168</t>
  </si>
  <si>
    <t>beeindrucken</t>
  </si>
  <si>
    <t>Mich beeindruckte die Tatsache , dass Depressionen gemeinhin als modernes , westliches Phänomen der Mittelklasse wahrgenommen wird .</t>
  </si>
  <si>
    <t>file://conllu/de/teddy-1323.conllu#s168_0</t>
  </si>
  <si>
    <t>169</t>
  </si>
  <si>
    <t>Ich schaute mir an , wie sie in vielfältigen Kontexten funktionierte , und eine Sache , die mich am an dem meisten interessierte , waren Depressionen unter den Mittellosen .</t>
  </si>
  <si>
    <t>file://conllu/de/teddy-1323.conllu#s169_0</t>
  </si>
  <si>
    <t>170</t>
  </si>
  <si>
    <t>Daher machte ich mich auf , um zu betrachten , was für arme Menschen mit Depressionen getan wurde .</t>
  </si>
  <si>
    <t>file://conllu/de/teddy-1323.conllu#s170_0</t>
  </si>
  <si>
    <t>171</t>
  </si>
  <si>
    <t>finden</t>
  </si>
  <si>
    <t>Und ich fand heraus , dass arme Menschen bei Depressionen meistens nicht behandelt werden .</t>
  </si>
  <si>
    <t>file://conllu/de/teddy-1323.conllu#s171_0</t>
  </si>
  <si>
    <t>172</t>
  </si>
  <si>
    <t>sein (sein Resultat)</t>
  </si>
  <si>
    <t>Depressionen sind das Resultat einer genetischen Anfälligkeit , die vermutlich gleichmäßig in der Bevölkerung verteilt ist , und von Auslösern , die wahrscheinlich bei verarmten Menschen viel extremer sind .</t>
  </si>
  <si>
    <t>file://conllu/de/teddy-1323.conllu#s172_0</t>
  </si>
  <si>
    <t>173</t>
  </si>
  <si>
    <t>zeigen</t>
  </si>
  <si>
    <t>Dennoch zeigt sich , dass man , wenn man ein wirklich schönes Leben hat , sich aber die ganze Zeit schlecht fühlt , denkt : &amp;quot; Warum fühle ich mich so ?</t>
  </si>
  <si>
    <t>file://conllu/de/teddy-1323.conllu#s173_0</t>
  </si>
  <si>
    <t>174</t>
  </si>
  <si>
    <t>Ich muss Depressionen haben . &amp;quot;</t>
  </si>
  <si>
    <t>file://conllu/de/teddy-1323.conllu#s174_0</t>
  </si>
  <si>
    <t>175</t>
  </si>
  <si>
    <t>suchen</t>
  </si>
  <si>
    <t>Und man sucht eine Behandlung dafür .</t>
  </si>
  <si>
    <t>file://conllu/de/teddy-1323.conllu#s175_0</t>
  </si>
  <si>
    <t>176</t>
  </si>
  <si>
    <t>stehen</t>
  </si>
  <si>
    <t>Aber wenn man ein total furchtbares Leben hat und sich andauernd schlecht fühlt , steht dieses Gefühl im in dem Einklang mit dem eigenen Leben , und man kommt nicht darauf , zu denken : &amp;quot; Vielleicht ist das behandelbar . &amp;quot;</t>
  </si>
  <si>
    <t>file://conllu/de/teddy-1323.conllu#s176_0</t>
  </si>
  <si>
    <t>177</t>
  </si>
  <si>
    <t>Mensch</t>
  </si>
  <si>
    <t>Daher haben wir in diesem Land eine Depressions Epidemie unter verarmten Menschen , die nicht aufgegriffen und behandelt wird und die nicht angesprochen wird , und das ist eine Tragödie großen Ausmaßes .</t>
  </si>
  <si>
    <t>file://conllu/de/teddy-1323.conllu#s177_0</t>
  </si>
  <si>
    <t>178</t>
  </si>
  <si>
    <t>Ich fand also ein Wissenschaftlerin , die ein Forschungsprojekt in den Slums außerhalb von Washington D.C. durchführte , wo sie Frauen aufnahm , die wegen anderer Gesundheitsprobleme gekommen waren und Depressionen bei ihnen diagnostizierte , und dann ein Versuchsprotokoll bereitstellte .</t>
  </si>
  <si>
    <t>file://conllu/de/teddy-1323.conllu#s178_0</t>
  </si>
  <si>
    <t>179</t>
  </si>
  <si>
    <t>kommen</t>
  </si>
  <si>
    <t>Eine von ihnen , Lolly , kam herein , und sie sagte folgendes , als sie hereinkam .</t>
  </si>
  <si>
    <t>file://conllu/de/teddy-1323.conllu#s179_0</t>
  </si>
  <si>
    <t>180</t>
  </si>
  <si>
    <t>Frau</t>
  </si>
  <si>
    <t>Übrigens eine Frau , die sieben Kinder hat .</t>
  </si>
  <si>
    <t>file://conllu/de/teddy-1323.conllu#s180_0</t>
  </si>
  <si>
    <t>181</t>
  </si>
  <si>
    <t>Sie sagte : &amp;quot; Ich hatte einen Job , aber ich musste ihn aufgeben , weil ich nicht aus dem Haus gehen konnte .</t>
  </si>
  <si>
    <t>file://conllu/de/teddy-1323.conllu#s181_0</t>
  </si>
  <si>
    <t>182</t>
  </si>
  <si>
    <t>Ich habe meinen Kindern nichts zu sagen .</t>
  </si>
  <si>
    <t>file://conllu/de/teddy-1323.conllu#s182_0</t>
  </si>
  <si>
    <t>183</t>
  </si>
  <si>
    <t>erwarten</t>
  </si>
  <si>
    <t>Morgens kann ich es nicht erwarten , dass sie verschwinden , und dann lege ich mich ins in das Bett und ziehe die Decke über meinen Kopf , und wenn sie um 3 Uhr nach Haus kommen , kommt das so schnell . &amp;quot;</t>
  </si>
  <si>
    <t>file://conllu/de/teddy-1323.conllu#s183_0</t>
  </si>
  <si>
    <t>184</t>
  </si>
  <si>
    <t>Sie sagte : &amp;quot; Ich habe viel Tylenol genommen , alles was mich mehr schlafen lässt .</t>
  </si>
  <si>
    <t>file://conllu/de/teddy-1323.conllu#s184_0</t>
  </si>
  <si>
    <t>185</t>
  </si>
  <si>
    <t>Mein Mann sagte mir ständig , dass ich dumm und hässlich bin .</t>
  </si>
  <si>
    <t>file://conllu/de/teddy-1323.conllu#s185_0</t>
  </si>
  <si>
    <t>186</t>
  </si>
  <si>
    <t>wünschen</t>
  </si>
  <si>
    <t>Ich wünschte , ich könnte den Schmerz stoppen . &amp;quot;</t>
  </si>
  <si>
    <t>file://conllu/de/teddy-1323.conllu#s186_0</t>
  </si>
  <si>
    <t>187</t>
  </si>
  <si>
    <t>aufnehmen</t>
  </si>
  <si>
    <t>Sie wurde in diese experimentelle Versuchsreihe aufgenommen und als ich sie sechs Monate später interviewte , hatte sie einen Job in der Kinderbetreuung für die US Marine aufgenommen , hatte ihren Mann , der sie immer beleidigt hatte , verlassen , und sie sagte zu mir : &amp;quot; Meine Kinder sind jetzt so viel glücklicher . &amp;quot;</t>
  </si>
  <si>
    <t>file://conllu/de/teddy-1323.conllu#s187_0</t>
  </si>
  <si>
    <t>188</t>
  </si>
  <si>
    <t>Sie sagte : &amp;quot; Es gibt einen Raum in meiner neuen Wohnung für die Jungs und einen Raum für die Mädchen , aber abends sind sie alle auf meinem Bett und wir machen die Hausaufgaben zusammen .</t>
  </si>
  <si>
    <t>file://conllu/de/teddy-1323.conllu#s188_0</t>
  </si>
  <si>
    <t>189</t>
  </si>
  <si>
    <t>Einer von ihnen will Priester und einer will Feuerwehrmann werden , und eines der Mädchen sagt , dass sie Anwältin werden wird .</t>
  </si>
  <si>
    <t>file://conllu/de/teddy-1323.conllu#s189_0</t>
  </si>
  <si>
    <t>190</t>
  </si>
  <si>
    <t>weinen</t>
  </si>
  <si>
    <t>Sie weinen nicht mehr , so wie früher und sie streiten sich nicht mehr wie zuvor .</t>
  </si>
  <si>
    <t>file://conllu/de/teddy-1323.conllu#s190_0</t>
  </si>
  <si>
    <t>191</t>
  </si>
  <si>
    <t>sein (sein Kind)</t>
  </si>
  <si>
    <t>Alles , was ich jetzt brauche , sind meine Kinder .</t>
  </si>
  <si>
    <t>file://conllu/de/teddy-1323.conllu#s191_0</t>
  </si>
  <si>
    <t>192</t>
  </si>
  <si>
    <t>verändern</t>
  </si>
  <si>
    <t>Dinge verändern sich , die Art , wie ich mich anziehe , wie ich mich fühle und wie ich handle .</t>
  </si>
  <si>
    <t>file://conllu/de/teddy-1323.conllu#s192_0</t>
  </si>
  <si>
    <t>193</t>
  </si>
  <si>
    <t>rausgehen</t>
  </si>
  <si>
    <t>Ich kann jetzt rausgehen , ohne mich zu fürchten , und ich glaube nicht , dass diese schlechten Gefühle zurückkommen werden , und wenn Dr. Miranda nicht gewesen wäre , wäre ich immer noch zu Hause mit der Decke über meinem Kopf , wenn ich überhaupt noch am an dem Leben wäre .</t>
  </si>
  <si>
    <t>file://conllu/de/teddy-1323.conllu#s193_0</t>
  </si>
  <si>
    <t>194</t>
  </si>
  <si>
    <t>bitten</t>
  </si>
  <si>
    <t>Ich bat Gott , mir einen Engel zu schicken und er erhörte meine Gebete . &amp;quot;</t>
  </si>
  <si>
    <t>file://conllu/de/teddy-1323.conllu#s194_0</t>
  </si>
  <si>
    <t>195</t>
  </si>
  <si>
    <t>bewegen</t>
  </si>
  <si>
    <t>Mich haben diese Erfahrungen wirklich bewegt , und ich entschied , dass ich darüber schreiben wollte , nicht nur in einem Buch , an dem ich arbeitete , sondern auch in einem Artikel , und so bekam ich vom von dem New York Times Magazine einen Auftrag , über Depressionen unter Mittellosen zu schreiben .</t>
  </si>
  <si>
    <t>file://conllu/de/teddy-1323.conllu#s195_0</t>
  </si>
  <si>
    <t>196</t>
  </si>
  <si>
    <t>reichen</t>
  </si>
  <si>
    <t>Ich reichte meine Geschichte ein und meine Redakteurin rief mich an &amp;quot; Das können wir wirklich nicht veröffentlichen . &amp;quot;</t>
  </si>
  <si>
    <t>file://conllu/de/teddy-1323.conllu#s196_0</t>
  </si>
  <si>
    <t>197</t>
  </si>
  <si>
    <t>Ich fragte : &amp;quot; Warum nicht ? &amp;quot;</t>
  </si>
  <si>
    <t>file://conllu/de/teddy-1323.conllu#s197_0</t>
  </si>
  <si>
    <t>198</t>
  </si>
  <si>
    <t>Und sie sagte : &amp;quot; Es ist einfach zu weit hergeholt .</t>
  </si>
  <si>
    <t>file://conllu/de/teddy-1323.conllu#s198_0</t>
  </si>
  <si>
    <t>199</t>
  </si>
  <si>
    <t>Diese Menschen stehen auf der untersten Gesellschaftsstufe und dann erhalten sie ein paar Monate Behandlung , und sind dann praktisch in der Lage Morgan Stanley zu leiten ?</t>
  </si>
  <si>
    <t>file://conllu/de/teddy-1323.conllu#s199_0</t>
  </si>
  <si>
    <t>200</t>
  </si>
  <si>
    <t>sein (sein unglaubwürdig)</t>
  </si>
  <si>
    <t>Das ist einfach zu unglaubwürdig . &amp;quot;</t>
  </si>
  <si>
    <t>file://conllu/de/teddy-1323.conllu#s200_0</t>
  </si>
  <si>
    <t>201</t>
  </si>
  <si>
    <t>Sie sagte : &amp;quot; Ich habe von so etwas noch nie gehört . &amp;quot;</t>
  </si>
  <si>
    <t>file://conllu/de/teddy-1323.conllu#s201_0</t>
  </si>
  <si>
    <t>202</t>
  </si>
  <si>
    <t>erwideren</t>
  </si>
  <si>
    <t>Ich erwiderte : &amp;quot; Die Tatsache , dass Sie noch nie davon gehört haben , ist ein Hinweis darauf , dass es Nachrichten sind . &amp;quot;</t>
  </si>
  <si>
    <t>file://conllu/de/teddy-1323.conllu#s202_0</t>
  </si>
  <si>
    <t>203</t>
  </si>
  <si>
    <t>sein (sein Nachrichtenmagazin)</t>
  </si>
  <si>
    <t>&amp;quot; Und Sie sind ein Nachrichtenmagazin . &amp;quot;</t>
  </si>
  <si>
    <t>file://conllu/de/teddy-1323.conllu#s203_0</t>
  </si>
  <si>
    <t>204</t>
  </si>
  <si>
    <t>stimmen</t>
  </si>
  <si>
    <t>Nach einem gewissen Maß an Verhandlungen , stimmten sie zu .</t>
  </si>
  <si>
    <t>file://conllu/de/teddy-1323.conllu#s204_0</t>
  </si>
  <si>
    <t>205</t>
  </si>
  <si>
    <t>Aber ich denke , dass vieles von dem , was sie sagten , auf merkwürdige Weise mit der Abneigung verbunden war , die Menschen immer noch haben , gegenüber der Idee von Behandlung , der Vorstellung , dass es ein ausbeuterischer Akt wäre , wenn wir losziehen würden und Menschen in notleidenden Gemeinden behandeln würden , denn wir würden sie ändern .</t>
  </si>
  <si>
    <t>file://conllu/de/teddy-1323.conllu#s205_0</t>
  </si>
  <si>
    <t>206</t>
  </si>
  <si>
    <t>Es gibt dieses falsche moralische Gebot , das es überall zu geben scheint , dass die Behandlung von Depressionen , die medizinische Behandlung und so weiter , ein Trick seien , und dass es nicht natürlich ist .</t>
  </si>
  <si>
    <t>file://conllu/de/teddy-1323.conllu#s206_0</t>
  </si>
  <si>
    <t>207</t>
  </si>
  <si>
    <t>Ich denke , dass das äußerst fehlgeleitet ist .</t>
  </si>
  <si>
    <t>file://conllu/de/teddy-1323.conllu#s207_0</t>
  </si>
  <si>
    <t>208</t>
  </si>
  <si>
    <t>sein (sein natürlich)</t>
  </si>
  <si>
    <t>Es wäre natürlich , dass den Menschen die Zähne ausfallen , aber es gibt niemanden , der sich gegen Zahnpasta ausspricht , zumindest nicht in meinen Kreisen .</t>
  </si>
  <si>
    <t>file://conllu/de/teddy-1323.conllu#s208_0</t>
  </si>
  <si>
    <t>209</t>
  </si>
  <si>
    <t>Und dann sagen Menschen : &amp;quot; Sind Depressionen nicht ein Teil dessen , was Menschen erleben sollen ?</t>
  </si>
  <si>
    <t>file://conllu/de/teddy-1323.conllu#s209_0</t>
  </si>
  <si>
    <t>210</t>
  </si>
  <si>
    <t>entwickeln</t>
  </si>
  <si>
    <t>Haben wir uns nicht dazu entwickelt , Depressionen zu haben ?</t>
  </si>
  <si>
    <t>file://conllu/de/teddy-1323.conllu#s210_0</t>
  </si>
  <si>
    <t>211</t>
  </si>
  <si>
    <t>sein (sein Persönlichkeit)</t>
  </si>
  <si>
    <t>Ist das nicht Teil unserer Persönlichkeit ? &amp;quot;</t>
  </si>
  <si>
    <t>file://conllu/de/teddy-1323.conllu#s211_0</t>
  </si>
  <si>
    <t>212</t>
  </si>
  <si>
    <t>Dazu würde ich sagen , Stimmung ist anpassungsfähig .</t>
  </si>
  <si>
    <t>file://conllu/de/teddy-1323.conllu#s212_0</t>
  </si>
  <si>
    <t>213</t>
  </si>
  <si>
    <t>sein (sein wertvoll)</t>
  </si>
  <si>
    <t>In der Lage zu sein , Traurigkeit und Furcht , Freunde und Vergnügen und all die anderen Stimmungen , die wir haben , zu fühlen , ist unglaublich wertvoll .</t>
  </si>
  <si>
    <t>file://conllu/de/teddy-1323.conllu#s213_0</t>
  </si>
  <si>
    <t>214</t>
  </si>
  <si>
    <t>sein (sein etwas)</t>
  </si>
  <si>
    <t>Und schwere Depressionen sind etwas , das auftritt , wenn dieses System zerbricht .</t>
  </si>
  <si>
    <t>file://conllu/de/teddy-1323.conllu#s214_0</t>
  </si>
  <si>
    <t>215</t>
  </si>
  <si>
    <t>sein (sein anpassen)</t>
  </si>
  <si>
    <t>Es ist schlecht angepasst .</t>
  </si>
  <si>
    <t>file://conllu/de/teddy-1323.conllu#s215_0</t>
  </si>
  <si>
    <t>216</t>
  </si>
  <si>
    <t>Menschen kommen zu mir und sagen : &amp;quot; Ich denke , wenn ich nur ein Jahr durchhalte , komme ich da irgendwie durch . &amp;quot;</t>
  </si>
  <si>
    <t>file://conllu/de/teddy-1323.conllu#s216_0</t>
  </si>
  <si>
    <t>217</t>
  </si>
  <si>
    <t>Und ich sage ihnen immer : &amp;quot; Sie können da durchkommen , aber Sie werden nie mehr 37 sein .</t>
  </si>
  <si>
    <t>file://conllu/de/teddy-1323.conllu#s217_0</t>
  </si>
  <si>
    <t>218</t>
  </si>
  <si>
    <t>sein (sein kurz)</t>
  </si>
  <si>
    <t>Das Leben ist kurz und das ist ein ganzes Jahr , das Sie aufgeben wollen .</t>
  </si>
  <si>
    <t>file://conllu/de/teddy-1323.conllu#s218_0</t>
  </si>
  <si>
    <t>219</t>
  </si>
  <si>
    <t>Überdenken</t>
  </si>
  <si>
    <t>Überdenken Sie das . &amp;quot;</t>
  </si>
  <si>
    <t>file://conllu/de/teddy-1323.conllu#s219_0</t>
  </si>
  <si>
    <t>220</t>
  </si>
  <si>
    <t>sein (sein Armut)</t>
  </si>
  <si>
    <t>Es ist eine sonderbare Armut der englischen Sprache , und auch vieler anderer Sprachen , dass wir dasselbe Wort , Depressionen , nutzen , um zu beschreiben , wie Kinder sich fühlen , wenn es an ihrem Geburtstag regnet , und um zu beschreiben , wie sich jemand fühlt , eine Minute , bevor er Selbstmord begeht .</t>
  </si>
  <si>
    <t>file://conllu/de/teddy-1323.conllu#s220_0</t>
  </si>
  <si>
    <t>221</t>
  </si>
  <si>
    <t>Ich wurde gefragt : &amp;quot; Ist es mit normaler Traurigkeit vergleichbar ? &amp;quot;</t>
  </si>
  <si>
    <t>file://conllu/de/teddy-1323.conllu#s221_0</t>
  </si>
  <si>
    <t>222</t>
  </si>
  <si>
    <t>Ich erklärte , dass es gewissermaßen mit normaler Traurigkeit vergleichbar ist .</t>
  </si>
  <si>
    <t>file://conllu/de/teddy-1323.conllu#s222_0</t>
  </si>
  <si>
    <t>223</t>
  </si>
  <si>
    <t>Es gibt ein bestimmtes Maß an Verbindung , aber es ist die gleiche Art von Verbindung zwischen einem Eisenzaun außerhalb des Hauses , der ein paar Rostflecken hat , die man abschleifen und überstreichen muss , und dem , was passiert , wenn man das Haus 100 Jahre verlässt und es durchrostet , bis es nur noch ein Haufen von orangefarbenem Staub ist .</t>
  </si>
  <si>
    <t>file://conllu/de/teddy-1323.conllu#s223_0</t>
  </si>
  <si>
    <t>224</t>
  </si>
  <si>
    <t>sein (sein Staubfleck)</t>
  </si>
  <si>
    <t>Es ist dieser orangefarbene Staubfleck , dieses orangefarbene Staubproblem , das wir angehen wollen .</t>
  </si>
  <si>
    <t>file://conllu/de/teddy-1323.conllu#s224_0</t>
  </si>
  <si>
    <t>225</t>
  </si>
  <si>
    <t>Die Menschen sagen jetzt also : &amp;quot; Du nimmst jetzt diese Happy Pills .</t>
  </si>
  <si>
    <t>file://conllu/de/teddy-1323.conllu#s225_0</t>
  </si>
  <si>
    <t>226</t>
  </si>
  <si>
    <t>glücklich</t>
  </si>
  <si>
    <t>Fühlst du dich glücklich ? &amp;quot;</t>
  </si>
  <si>
    <t>file://conllu/de/teddy-1323.conllu#s226_0</t>
  </si>
  <si>
    <t>227</t>
  </si>
  <si>
    <t>tuen</t>
  </si>
  <si>
    <t>Das tue ich nicht .</t>
  </si>
  <si>
    <t>file://conllu/de/teddy-1323.conllu#s227_0</t>
  </si>
  <si>
    <t>228</t>
  </si>
  <si>
    <t>Aber ich bin nicht traurig , dass ich zu Mittag essen muss , und ich bin nicht traurig über meinen Anrufbeantworter , und ich bin nicht traurig , wenn ich duschen muss .</t>
  </si>
  <si>
    <t>file://conllu/de/teddy-1323.conllu#s228_0</t>
  </si>
  <si>
    <t>229</t>
  </si>
  <si>
    <t>fühlen (fühlen fühlen)</t>
  </si>
  <si>
    <t>Ich fühle tatsächlich mehr , weil ich Traurigkeit ohne Nichtigkeit fühlen kann .</t>
  </si>
  <si>
    <t>file://conllu/de/teddy-1323.conllu#s229_0</t>
  </si>
  <si>
    <t>230</t>
  </si>
  <si>
    <t>Ich bin traurig über berufliche Enttäuschungen , über beschädigte Beziehungen , über Klimaerwärmung .</t>
  </si>
  <si>
    <t>file://conllu/de/teddy-1323.conllu#s230_0</t>
  </si>
  <si>
    <t>231</t>
  </si>
  <si>
    <t>Über diese Dinge bin ich jetzt traurig .</t>
  </si>
  <si>
    <t>file://conllu/de/teddy-1323.conllu#s231_0</t>
  </si>
  <si>
    <t>232</t>
  </si>
  <si>
    <t>Ich frage mich was ist das Fazit ?</t>
  </si>
  <si>
    <t>file://conllu/de/teddy-1323.conllu#s232_0</t>
  </si>
  <si>
    <t>233</t>
  </si>
  <si>
    <t>durchgestand</t>
  </si>
  <si>
    <t>Wie haben das die Menschen , die ein besseres Leben haben , sogar mit schwereren Depressionen durchgestanden ?</t>
  </si>
  <si>
    <t>file://conllu/de/teddy-1323.conllu#s233_0</t>
  </si>
  <si>
    <t>234</t>
  </si>
  <si>
    <t>Was ist der Mechanismus von Resilienz ?</t>
  </si>
  <si>
    <t>file://conllu/de/teddy-1323.conllu#s234_0</t>
  </si>
  <si>
    <t>235</t>
  </si>
  <si>
    <t>sagen (sagen finden)</t>
  </si>
  <si>
    <t>Mit der Zeit fand ich heraus , dass die Menschen , die ihre Erfahrungen leugnen , die sagen : &amp;quot; Ich war vor langer Zeit depressiv und ich will nie mehr darüber sprechen und ich werde nicht mehr daran denken , ich werde einfach mit meinem Leben weitermachen . &amp;quot; , ironischerweise die Menschen sind , die nahezu von dem , was sie haben , unterjocht werden .</t>
  </si>
  <si>
    <t>file://conllu/de/teddy-1323.conllu#s235_0</t>
  </si>
  <si>
    <t>236</t>
  </si>
  <si>
    <t>verstärken</t>
  </si>
  <si>
    <t>Depressionen auszusperren , verstärken sie nur .</t>
  </si>
  <si>
    <t>file://conllu/de/teddy-1323.conllu#s236_0</t>
  </si>
  <si>
    <t>237</t>
  </si>
  <si>
    <t>wachsen</t>
  </si>
  <si>
    <t>Wenn man sich vor ihnen versteckt , wachsen sie .</t>
  </si>
  <si>
    <t>file://conllu/de/teddy-1323.conllu#s237_0</t>
  </si>
  <si>
    <t>238</t>
  </si>
  <si>
    <t>sein (sein diejenigen)</t>
  </si>
  <si>
    <t>Und die Menschen , denen es besser geht , sind diejenigen , die die Tatsache tolerieren , dass sie dieses Problem haben .</t>
  </si>
  <si>
    <t>file://conllu/de/teddy-1323.conllu#s238_0</t>
  </si>
  <si>
    <t>239</t>
  </si>
  <si>
    <t>Diejenigen , die ihre Depressionen tolerieren können , sind diejenigen , die Resilienz erlangen .</t>
  </si>
  <si>
    <t>file://conllu/de/teddy-1323.conllu#s239_0</t>
  </si>
  <si>
    <t>240</t>
  </si>
  <si>
    <t>Daher sagte Frank Russakoff zu mir : &amp;quot; Wenn ich es nochmal durchleben müsste , würde ich es wahrscheinlich nicht so machen , aber auf sonderbare Weise bin ich dankbar , dass ich das erlebt habe .</t>
  </si>
  <si>
    <t>file://conllu/de/teddy-1323.conllu#s240_0</t>
  </si>
  <si>
    <t>241</t>
  </si>
  <si>
    <t>sein (sein froh)</t>
  </si>
  <si>
    <t>Ich bin froh , 40 Mal in der Klinik gewesen zu sein .</t>
  </si>
  <si>
    <t>file://conllu/de/teddy-1323.conllu#s241_0</t>
  </si>
  <si>
    <t>242</t>
  </si>
  <si>
    <t>lehren</t>
  </si>
  <si>
    <t>Es lehrte mich so viel über Liebe , und meine Beziehung zu meinen Eltern und meinen Ärzten war so wichtig für mich , und sie wird es immer sein . &amp;quot;</t>
  </si>
  <si>
    <t>file://conllu/de/teddy-1323.conllu#s242_0</t>
  </si>
  <si>
    <t>243</t>
  </si>
  <si>
    <t>Und Maggie Robbins sagte : &amp;quot; Ich half ehrenamtlich in einer AIDS Klinik , und ich redete und redete und redete , und die Menschen , mit denen ich zu tun hatte , waren nicht sehr empfänglich , und ich dachte : ' Das ist nicht sehr freundlich oder hilfreich von ihnen . '</t>
  </si>
  <si>
    <t>file://conllu/de/teddy-1323.conllu#s243_0</t>
  </si>
  <si>
    <t>244</t>
  </si>
  <si>
    <t>erkennen</t>
  </si>
  <si>
    <t>Und dann erkannte ich , dass sie nicht mehr machen würden als diese paar Minuten Small Talk .</t>
  </si>
  <si>
    <t>file://conllu/de/teddy-1323.conllu#s244_0</t>
  </si>
  <si>
    <t>245</t>
  </si>
  <si>
    <t>sein (sein Gelegenheit)</t>
  </si>
  <si>
    <t>Es wäre einfach eine Gelegenheit , wo ich kein AIDS hatte und nicht sterben würde , aber die Tatsache tolerieren konnte , dass sie es hatten und das sie sterben würden .</t>
  </si>
  <si>
    <t>file://conllu/de/teddy-1323.conllu#s245_0</t>
  </si>
  <si>
    <t>246</t>
  </si>
  <si>
    <t>sein (sein Kapital)</t>
  </si>
  <si>
    <t>Unsere Bedürfnisse sind unser größtes Kapital .</t>
  </si>
  <si>
    <t>file://conllu/de/teddy-1323.conllu#s246_0</t>
  </si>
  <si>
    <t>247</t>
  </si>
  <si>
    <t>Es zeigt sich , dass ich gelernt habe , alles zu geben , was ich brauche . &amp;quot;</t>
  </si>
  <si>
    <t>file://conllu/de/teddy-1323.conllu#s247_0</t>
  </si>
  <si>
    <t>248</t>
  </si>
  <si>
    <t>verhindern</t>
  </si>
  <si>
    <t>Die eigenen Depressionen zu schätzen , verhindert keinen Rückfall , aber es kann die Aussicht auf einen Rückfall und sogar den Rückfall selbst leicht erträglicher machen .</t>
  </si>
  <si>
    <t>file://conllu/de/teddy-1323.conllu#s248_0</t>
  </si>
  <si>
    <t>249</t>
  </si>
  <si>
    <t>Es geht nicht so sehr darum , einen tieferen Sinn zu finden und zu entscheiden , dass Ihre Depressionen eine wichtige Rolle spielen .</t>
  </si>
  <si>
    <t>file://conllu/de/teddy-1323.conllu#s249_0</t>
  </si>
  <si>
    <t>250</t>
  </si>
  <si>
    <t>Es geht darum , diese Bedeutung zu suchen , wenn sie erneut kommen , und zu denken : &amp;quot; Das wird die Hölle , aber dadurch werde ich etwas lernen . &amp;quot;</t>
  </si>
  <si>
    <t>file://conllu/de/teddy-1323.conllu#s250_0</t>
  </si>
  <si>
    <t>251</t>
  </si>
  <si>
    <t>lernen</t>
  </si>
  <si>
    <t>Ich habe während meiner eigenen Depressionen gelernt , wir stark eine Emotion sein kann , wie sie wahrhaftiger sein kann als Fakten , und ich merkte , dass diese Erfahrung mir erlaubte , positive Emotionen intensiver zu erleben .</t>
  </si>
  <si>
    <t>file://conllu/de/teddy-1323.conllu#s251_0</t>
  </si>
  <si>
    <t>252</t>
  </si>
  <si>
    <t>Das Gegenteil von Depressionen ist nicht Glück , sondern Vitalität , und heute ist mein Leben vital , sogar an den Tagen , an denen ich traurig bin .</t>
  </si>
  <si>
    <t>file://conllu/de/teddy-1323.conllu#s252_0</t>
  </si>
  <si>
    <t>253</t>
  </si>
  <si>
    <t>bemerken (bemerken fühlen)</t>
  </si>
  <si>
    <t>Ich fühlte dieses Begräbnis in meinem Gehirn und saß neben dem Koloss am an dem Rande der Welt , und ich bemerkte etwas in mir selbst , das ich eine Seele nennen müsste , was ich bis zu dem Tag vor 20 Jahren nie formuliert hatte , als die Hölle mir einen Überraschungsbesuch abstattete .</t>
  </si>
  <si>
    <t>file://conllu/de/teddy-1323.conllu#s253_0</t>
  </si>
  <si>
    <t>254</t>
  </si>
  <si>
    <t>Obwohl ich es hasste , depressiv zu sein und es hassen würde , wieder depressiv zu werden , habe ich einen Weg gefunden , meine Depressionen zu lieben .</t>
  </si>
  <si>
    <t>file://conllu/de/teddy-1323.conllu#s254_0</t>
  </si>
  <si>
    <t>255</t>
  </si>
  <si>
    <t>lieben</t>
  </si>
  <si>
    <t>Ich liebe sie , weil sie mich gezwungen hat , Freude zu finden und mich an sie zu klammern .</t>
  </si>
  <si>
    <t>file://conllu/de/teddy-1323.conllu#s255_0</t>
  </si>
  <si>
    <t>256</t>
  </si>
  <si>
    <t>klammern</t>
  </si>
  <si>
    <t>denn ich entscheide täglich , manchmal spielerisch , und manchmal entgegen der Vernunft des Augenblicks , mich an die Gründe zu leben zu klammern .</t>
  </si>
  <si>
    <t>file://conllu/de/teddy-1323.conllu#s256_0</t>
  </si>
  <si>
    <t>257</t>
  </si>
  <si>
    <t>Ich denke , das ist eine sehr privilegierte Begeisterung .</t>
  </si>
  <si>
    <t>file://conllu/de/teddy-1323.conllu#s257_0</t>
  </si>
  <si>
    <t>258</t>
  </si>
  <si>
    <t>Dank</t>
  </si>
  <si>
    <t>Vielen Dank .</t>
  </si>
  <si>
    <t>file://conllu/de/teddy-1323.conllu#s258_0</t>
  </si>
  <si>
    <t>259</t>
  </si>
  <si>
    <t>Applaus</t>
  </si>
  <si>
    <t>( Applaus )</t>
  </si>
  <si>
    <t>file://conllu/de/teddy-1323.conllu#s259_0</t>
  </si>
  <si>
    <t>WORD</t>
  </si>
  <si>
    <t>GR</t>
  </si>
  <si>
    <t>NP_TYPE</t>
  </si>
  <si>
    <t>REF_AUTO</t>
  </si>
  <si>
    <t>COREF</t>
  </si>
  <si>
    <t>REF</t>
  </si>
  <si>
    <t>IS</t>
  </si>
  <si>
    <t>CB</t>
  </si>
  <si>
    <t>GR_ANTE</t>
  </si>
  <si>
    <t>REF_DIST</t>
  </si>
  <si>
    <t>REF_DIST_ANTE</t>
  </si>
  <si>
    <t># text = \"Ich fühlt' Begräbnis im Gehirn und Trauergäste -- her und hin -- die trampelten und trampelten in meinem Kopfe schwer, bis ich fühlte, dass ich wieder zu Sinnen kam.</t>
  </si>
  <si>
    <t>&amp;quot;</t>
  </si>
  <si>
    <t>Ich</t>
  </si>
  <si>
    <t>SBJ</t>
  </si>
  <si>
    <t>pron.pper</t>
  </si>
  <si>
    <t>?OLD</t>
  </si>
  <si>
    <t>fühlt</t>
  </si>
  <si>
    <t>'</t>
  </si>
  <si>
    <t>Begräbnis</t>
  </si>
  <si>
    <t>OBJ</t>
  </si>
  <si>
    <t>indef-np.bare</t>
  </si>
  <si>
    <t>in</t>
  </si>
  <si>
    <t>dem</t>
  </si>
  <si>
    <t>Gehirn</t>
  </si>
  <si>
    <t>other_2</t>
  </si>
  <si>
    <t>def-np.the</t>
  </si>
  <si>
    <t>und</t>
  </si>
  <si>
    <t>Trauergäste</t>
  </si>
  <si>
    <t>other_3</t>
  </si>
  <si>
    <t>her</t>
  </si>
  <si>
    <t>hin</t>
  </si>
  <si>
    <t>die</t>
  </si>
  <si>
    <t>trampelten</t>
  </si>
  <si>
    <t>meinem</t>
  </si>
  <si>
    <t>pron.ppos</t>
  </si>
  <si>
    <t>Kopfe</t>
  </si>
  <si>
    <t>schwer</t>
  </si>
  <si>
    <t>,</t>
  </si>
  <si>
    <t>bis</t>
  </si>
  <si>
    <t>ich</t>
  </si>
  <si>
    <t>SBJ_3</t>
  </si>
  <si>
    <t>fühlte</t>
  </si>
  <si>
    <t>dass</t>
  </si>
  <si>
    <t>SBJ_4</t>
  </si>
  <si>
    <t>wieder</t>
  </si>
  <si>
    <t>zu</t>
  </si>
  <si>
    <t>other_5</t>
  </si>
  <si>
    <t>pron.pind</t>
  </si>
  <si>
    <t>Sinnen</t>
  </si>
  <si>
    <t>other_4</t>
  </si>
  <si>
    <t>kam</t>
  </si>
  <si>
    <t>.</t>
  </si>
  <si>
    <t># text = Und sobald sie alle saßen, ertönt eine Andacht, trommelgleich, sie hörte nicht auf zu schlagen, schlagen, und schlug das Hirn mir weich.</t>
  </si>
  <si>
    <t>Und</t>
  </si>
  <si>
    <t>sobald</t>
  </si>
  <si>
    <t>sie</t>
  </si>
  <si>
    <t>SBJ_2</t>
  </si>
  <si>
    <t>pron</t>
  </si>
  <si>
    <t>alle</t>
  </si>
  <si>
    <t>OBJ_2</t>
  </si>
  <si>
    <t>saßen</t>
  </si>
  <si>
    <t>ertönt</t>
  </si>
  <si>
    <t>eine</t>
  </si>
  <si>
    <t>Andacht</t>
  </si>
  <si>
    <t>indef-np.a</t>
  </si>
  <si>
    <t>trommelgleich</t>
  </si>
  <si>
    <t>hörte</t>
  </si>
  <si>
    <t>nicht</t>
  </si>
  <si>
    <t>auf</t>
  </si>
  <si>
    <t>schlug</t>
  </si>
  <si>
    <t>das</t>
  </si>
  <si>
    <t>Hirn</t>
  </si>
  <si>
    <t>mir</t>
  </si>
  <si>
    <t>weich</t>
  </si>
  <si>
    <t># text = Ich hörte sie heben eine Kiste und über meine Seele knarzen wieder mit den gleichen Bleistiefeln, dann begann der Raum zu klingen, als wäre der Himmel eine Glocke und die Existenz ein Ohr, und ich und die Stille eine sonderbare Rasse, ruiniert, einsam, hier.</t>
  </si>
  <si>
    <t>heben</t>
  </si>
  <si>
    <t>Kiste</t>
  </si>
  <si>
    <t>OBJ_3</t>
  </si>
  <si>
    <t>über</t>
  </si>
  <si>
    <t>meine</t>
  </si>
  <si>
    <t>Seele</t>
  </si>
  <si>
    <t>indef-np</t>
  </si>
  <si>
    <t>knarzen</t>
  </si>
  <si>
    <t>mit</t>
  </si>
  <si>
    <t>den</t>
  </si>
  <si>
    <t>gleichen</t>
  </si>
  <si>
    <t>Bleistiefeln</t>
  </si>
  <si>
    <t>dann</t>
  </si>
  <si>
    <t>begann</t>
  </si>
  <si>
    <t>der</t>
  </si>
  <si>
    <t>Raum</t>
  </si>
  <si>
    <t>klingen</t>
  </si>
  <si>
    <t>als</t>
  </si>
  <si>
    <t>wäre</t>
  </si>
  <si>
    <t>Himmel</t>
  </si>
  <si>
    <t>Glocke</t>
  </si>
  <si>
    <t>Existenz</t>
  </si>
  <si>
    <t>ein</t>
  </si>
  <si>
    <t>Ohr</t>
  </si>
  <si>
    <t>other</t>
  </si>
  <si>
    <t>Stille</t>
  </si>
  <si>
    <t>sonderbare</t>
  </si>
  <si>
    <t>Rasse</t>
  </si>
  <si>
    <t>ruiniert</t>
  </si>
  <si>
    <t>einsam</t>
  </si>
  <si>
    <t>hier</t>
  </si>
  <si>
    <t>--</t>
  </si>
  <si>
    <t># text = Genau dann bricht eine Planke in der Vernunft und ich fiel immer tiefer und treffe bei jedem Fall auf eine andere Welt und hörte damit auf, zu wissen."</t>
  </si>
  <si>
    <t>Genau</t>
  </si>
  <si>
    <t>bricht</t>
  </si>
  <si>
    <t>Planke</t>
  </si>
  <si>
    <t>Vernunft</t>
  </si>
  <si>
    <t>fiel</t>
  </si>
  <si>
    <t>immer</t>
  </si>
  <si>
    <t>tiefer</t>
  </si>
  <si>
    <t>treffe</t>
  </si>
  <si>
    <t>bei</t>
  </si>
  <si>
    <t>jedem</t>
  </si>
  <si>
    <t>Fall</t>
  </si>
  <si>
    <t>andere</t>
  </si>
  <si>
    <t>Welt</t>
  </si>
  <si>
    <t>damit</t>
  </si>
  <si>
    <t># text = Wir kennen Depressionen durch Metaphern.</t>
  </si>
  <si>
    <t>Wir</t>
  </si>
  <si>
    <t>Depressionen</t>
  </si>
  <si>
    <t>durch</t>
  </si>
  <si>
    <t>Metaphern</t>
  </si>
  <si>
    <t># text = Emily Dickinson konnte es durch Sprache vermitteln, Goya mittels eines Bildes.</t>
  </si>
  <si>
    <t>Emily</t>
  </si>
  <si>
    <t>ne</t>
  </si>
  <si>
    <t>Dickinson</t>
  </si>
  <si>
    <t>konnte</t>
  </si>
  <si>
    <t>es</t>
  </si>
  <si>
    <t>Sprache</t>
  </si>
  <si>
    <t>Goya</t>
  </si>
  <si>
    <t>mittels</t>
  </si>
  <si>
    <t>eines</t>
  </si>
  <si>
    <t>Bildes</t>
  </si>
  <si>
    <t># text = Die Intention von Kunst ist zur Hälfte, solche ikonischen Zustände zu beschreiben.</t>
  </si>
  <si>
    <t>Die</t>
  </si>
  <si>
    <t>Intention</t>
  </si>
  <si>
    <t>von</t>
  </si>
  <si>
    <t>Kunst</t>
  </si>
  <si>
    <t>ist</t>
  </si>
  <si>
    <t>Hälfte</t>
  </si>
  <si>
    <t>solche</t>
  </si>
  <si>
    <t>ikonischen</t>
  </si>
  <si>
    <t>Zustände</t>
  </si>
  <si>
    <t>pron.pds</t>
  </si>
  <si>
    <t>beschreiben</t>
  </si>
  <si>
    <t># text = Ich selbst hielt mich immer für taff, für einen der Menschen, der überleben würde, wenn er in ein Konzentrationslager geschickt würde.</t>
  </si>
  <si>
    <t>selbst</t>
  </si>
  <si>
    <t>hielt</t>
  </si>
  <si>
    <t>mich</t>
  </si>
  <si>
    <t>für</t>
  </si>
  <si>
    <t>taff</t>
  </si>
  <si>
    <t>einen</t>
  </si>
  <si>
    <t>Menschen</t>
  </si>
  <si>
    <t>überleben</t>
  </si>
  <si>
    <t>würde</t>
  </si>
  <si>
    <t>wenn</t>
  </si>
  <si>
    <t>er</t>
  </si>
  <si>
    <t>Konzentrationslager</t>
  </si>
  <si>
    <t>geschickt</t>
  </si>
  <si>
    <t># text = 1991 erlitt ich zahlreiche Verluste.</t>
  </si>
  <si>
    <t>1991</t>
  </si>
  <si>
    <t>erlitt</t>
  </si>
  <si>
    <t>zahlreiche</t>
  </si>
  <si>
    <t>Verluste</t>
  </si>
  <si>
    <t>indef-np.quant</t>
  </si>
  <si>
    <t># text = Meine Mutter starb, meine Beziehung endete, ich zog, nach einigen Jahren im Ausland, in die USA zurück, und ich überstand all diese Erfahrungen unversehrt.</t>
  </si>
  <si>
    <t>Meine</t>
  </si>
  <si>
    <t>Mutter</t>
  </si>
  <si>
    <t>starb</t>
  </si>
  <si>
    <t>Beziehung</t>
  </si>
  <si>
    <t>endete</t>
  </si>
  <si>
    <t>zog</t>
  </si>
  <si>
    <t>nach</t>
  </si>
  <si>
    <t>einigen</t>
  </si>
  <si>
    <t>Jahren</t>
  </si>
  <si>
    <t>Ausland</t>
  </si>
  <si>
    <t>USA</t>
  </si>
  <si>
    <t>zurück</t>
  </si>
  <si>
    <t>überstand</t>
  </si>
  <si>
    <t>all</t>
  </si>
  <si>
    <t>diese</t>
  </si>
  <si>
    <t>Erfahrungen</t>
  </si>
  <si>
    <t>def-np.dem</t>
  </si>
  <si>
    <t>unversehrt</t>
  </si>
  <si>
    <t># text = Aber 1994, drei Jahre später, verlor ich das Interesse an fast allen Dingen.</t>
  </si>
  <si>
    <t>Aber</t>
  </si>
  <si>
    <t>1994</t>
  </si>
  <si>
    <t>drei</t>
  </si>
  <si>
    <t>Jahre</t>
  </si>
  <si>
    <t>später</t>
  </si>
  <si>
    <t>verlor</t>
  </si>
  <si>
    <t>Interesse</t>
  </si>
  <si>
    <t>an</t>
  </si>
  <si>
    <t>fast</t>
  </si>
  <si>
    <t>allen</t>
  </si>
  <si>
    <t>Dingen</t>
  </si>
  <si>
    <t># text = Ich wollte nichts mehr von den Dingen machen, die ich zuvor tun wollte, und ich wusste nicht warum.</t>
  </si>
  <si>
    <t>wollte</t>
  </si>
  <si>
    <t>nichts</t>
  </si>
  <si>
    <t>mehr</t>
  </si>
  <si>
    <t>zuvor</t>
  </si>
  <si>
    <t>wusste</t>
  </si>
  <si>
    <t>warum</t>
  </si>
  <si>
    <t># text = Das Gegenteil von Depressionen ist nicht Glück, sondern Vitalität, und gerade die Vitalität schien in diesem Moment aus mir heraus zu sickern.</t>
  </si>
  <si>
    <t>Das</t>
  </si>
  <si>
    <t>Gegenteil</t>
  </si>
  <si>
    <t>Glück</t>
  </si>
  <si>
    <t>sondern</t>
  </si>
  <si>
    <t>Vitalität</t>
  </si>
  <si>
    <t>gerade</t>
  </si>
  <si>
    <t>schien</t>
  </si>
  <si>
    <t>diesem</t>
  </si>
  <si>
    <t>Moment</t>
  </si>
  <si>
    <t>aus</t>
  </si>
  <si>
    <t>heraus</t>
  </si>
  <si>
    <t>sickern</t>
  </si>
  <si>
    <t># text = Alles, was zu tun war, schien zu viel Arbeit.</t>
  </si>
  <si>
    <t>Alles</t>
  </si>
  <si>
    <t>was</t>
  </si>
  <si>
    <t>war</t>
  </si>
  <si>
    <t>viel</t>
  </si>
  <si>
    <t>Arbeit</t>
  </si>
  <si>
    <t># text = Wenn ich nach Hause kam und das rote Licht meines Anrufbeantworters blinken sah, war ich nicht begeistert von meinen Freunden zu hören, sondern dachte: "Das sind viele Leute, die ich zurückrufen muss."</t>
  </si>
  <si>
    <t>Wenn</t>
  </si>
  <si>
    <t>Hause</t>
  </si>
  <si>
    <t>rote</t>
  </si>
  <si>
    <t>Licht</t>
  </si>
  <si>
    <t>meines</t>
  </si>
  <si>
    <t>Anrufbeantworters</t>
  </si>
  <si>
    <t>blinken</t>
  </si>
  <si>
    <t>sah</t>
  </si>
  <si>
    <t>begeistert</t>
  </si>
  <si>
    <t>meinen</t>
  </si>
  <si>
    <t>Freunden</t>
  </si>
  <si>
    <t>dachte</t>
  </si>
  <si>
    <t>:</t>
  </si>
  <si>
    <t>sind</t>
  </si>
  <si>
    <t>viele</t>
  </si>
  <si>
    <t>Leute</t>
  </si>
  <si>
    <t>OBJ_4</t>
  </si>
  <si>
    <t>zurückrufen</t>
  </si>
  <si>
    <t>muss</t>
  </si>
  <si>
    <t># text = Oder ich entschied zu Mittag zu essen, und dann dachte ich, dass ich dafür das Essen rausholen und es auf einen Teller tun muss, es schneiden und kauen und schlucken muss, und das fühlte sich für mich wie ein Kreuzweg an.</t>
  </si>
  <si>
    <t>Oder</t>
  </si>
  <si>
    <t>entschied</t>
  </si>
  <si>
    <t>Mittag</t>
  </si>
  <si>
    <t>essen</t>
  </si>
  <si>
    <t>dafür</t>
  </si>
  <si>
    <t>Essen</t>
  </si>
  <si>
    <t>rausholen</t>
  </si>
  <si>
    <t>Teller</t>
  </si>
  <si>
    <t>schneiden</t>
  </si>
  <si>
    <t>kauen</t>
  </si>
  <si>
    <t>schlucken</t>
  </si>
  <si>
    <t>sich</t>
  </si>
  <si>
    <t>wie</t>
  </si>
  <si>
    <t>Kreuzweg</t>
  </si>
  <si>
    <t># text = Wenn über Depressionen diskutiert wird, wird oft übersehen, dass man weiß, dass es lächerlich ist.</t>
  </si>
  <si>
    <t>diskutiert</t>
  </si>
  <si>
    <t>wird</t>
  </si>
  <si>
    <t>oft</t>
  </si>
  <si>
    <t>man</t>
  </si>
  <si>
    <t>weiß</t>
  </si>
  <si>
    <t>lächerlich</t>
  </si>
  <si>
    <t># text = Man weiß, dass es lächerlich ist, während man es erlebt.</t>
  </si>
  <si>
    <t>Man</t>
  </si>
  <si>
    <t>während</t>
  </si>
  <si>
    <t>erlebt</t>
  </si>
  <si>
    <t># text = Man weiß, dass die meisten Menschen es schaffen, ihre Nachrichten abzuhören, Mittag zu essen, sich selbst dazu zu bringen, zu duschen und aus dem Haus zu gehen, und das es keine große Sache ist, aber dennoch ist man in ihren Fängen und unfähig, einen Weg drum herum zu finden.</t>
  </si>
  <si>
    <t>meisten</t>
  </si>
  <si>
    <t>schaffen</t>
  </si>
  <si>
    <t>ihre</t>
  </si>
  <si>
    <t>Nachrichten</t>
  </si>
  <si>
    <t>abzuhören</t>
  </si>
  <si>
    <t>dazu</t>
  </si>
  <si>
    <t>pron.padv</t>
  </si>
  <si>
    <t>duschen</t>
  </si>
  <si>
    <t>Haus</t>
  </si>
  <si>
    <t>keine</t>
  </si>
  <si>
    <t>große</t>
  </si>
  <si>
    <t>Sache</t>
  </si>
  <si>
    <t>aber</t>
  </si>
  <si>
    <t>dennoch</t>
  </si>
  <si>
    <t>ihren</t>
  </si>
  <si>
    <t>Fängen</t>
  </si>
  <si>
    <t>unfähig</t>
  </si>
  <si>
    <t>Weg</t>
  </si>
  <si>
    <t>drum</t>
  </si>
  <si>
    <t>herum</t>
  </si>
  <si>
    <t># text = Ich begann immer weniger zu tun, immer weniger zu denken und weniger zu fühlen.</t>
  </si>
  <si>
    <t>weniger</t>
  </si>
  <si>
    <t># text = Es war eine Art Nichtigkeit.</t>
  </si>
  <si>
    <t>Es</t>
  </si>
  <si>
    <t>Art</t>
  </si>
  <si>
    <t>Nichtigkeit</t>
  </si>
  <si>
    <t># text = Und dann setzte die Angst ein.</t>
  </si>
  <si>
    <t>setzte</t>
  </si>
  <si>
    <t>Angst</t>
  </si>
  <si>
    <t># text = Wenn man mir gesagt hätte, dass ich in den nächsten Monaten depressiv sein würde, hätte ich gesagt: "Solange es im November vorbei ist, schaffe ich das."</t>
  </si>
  <si>
    <t>gesagt</t>
  </si>
  <si>
    <t>hätte</t>
  </si>
  <si>
    <t>nächsten</t>
  </si>
  <si>
    <t>Monaten</t>
  </si>
  <si>
    <t>depressiv</t>
  </si>
  <si>
    <t>Solange</t>
  </si>
  <si>
    <t>November</t>
  </si>
  <si>
    <t>vorbei</t>
  </si>
  <si>
    <t>schaffe</t>
  </si>
  <si>
    <t># text = Aber wenn man mir gesagt hätte: \"Sie haben den nächsten Monat akute Angstzustände\", würde ich eher mein Handgelenk aufschlitzen, als das durchzustehen.</t>
  </si>
  <si>
    <t>Sie</t>
  </si>
  <si>
    <t>Monat</t>
  </si>
  <si>
    <t>akute</t>
  </si>
  <si>
    <t>Angstzustände</t>
  </si>
  <si>
    <t>eher</t>
  </si>
  <si>
    <t>mein</t>
  </si>
  <si>
    <t>Handgelenk</t>
  </si>
  <si>
    <t>aufschlitzen</t>
  </si>
  <si>
    <t>durchzustehen</t>
  </si>
  <si>
    <t># text = Ich hatte ständig dieses Gefühl, das man hat, wenn man läuft und rutscht oder stolpert und der Boden auf einen zukommt, aber anstatt dass es eine halbe Sekunde anhält, wie normalerweise, hielt es sechs Monate an.</t>
  </si>
  <si>
    <t>hatte</t>
  </si>
  <si>
    <t>ständig</t>
  </si>
  <si>
    <t>dieses</t>
  </si>
  <si>
    <t>Gefühl</t>
  </si>
  <si>
    <t>hat</t>
  </si>
  <si>
    <t>läuft</t>
  </si>
  <si>
    <t>rutscht</t>
  </si>
  <si>
    <t>oder</t>
  </si>
  <si>
    <t>stolpert</t>
  </si>
  <si>
    <t>Boden</t>
  </si>
  <si>
    <t>zukommt</t>
  </si>
  <si>
    <t>anstatt</t>
  </si>
  <si>
    <t>halbe</t>
  </si>
  <si>
    <t>Sekunde</t>
  </si>
  <si>
    <t>anhält</t>
  </si>
  <si>
    <t>normalerweise</t>
  </si>
  <si>
    <t>SBJ_5</t>
  </si>
  <si>
    <t>sechs</t>
  </si>
  <si>
    <t>Monate</t>
  </si>
  <si>
    <t>OBJ_5</t>
  </si>
  <si>
    <t># text = Es ist ein Gefühl der ständigen Angst, ohne dass man überhaupt weiß, wovor man Angst hat.</t>
  </si>
  <si>
    <t>ständigen</t>
  </si>
  <si>
    <t>ohne</t>
  </si>
  <si>
    <t>überhaupt</t>
  </si>
  <si>
    <t>wovor</t>
  </si>
  <si>
    <t># text = Und an diesem Punkt begann ich zu denken, dass es einfach zu schmerzhaft ist, am Leben zu sein, und dass der einzige Grund, sich nicht umzubringen, darin bestand, anderen Menschen nicht weh zu tun.</t>
  </si>
  <si>
    <t>Punkt</t>
  </si>
  <si>
    <t>einfach</t>
  </si>
  <si>
    <t>schmerzhaft</t>
  </si>
  <si>
    <t>Leben</t>
  </si>
  <si>
    <t>einzige</t>
  </si>
  <si>
    <t>Grund</t>
  </si>
  <si>
    <t>umzubringen</t>
  </si>
  <si>
    <t>darin</t>
  </si>
  <si>
    <t>bestand</t>
  </si>
  <si>
    <t>anderen</t>
  </si>
  <si>
    <t>weh</t>
  </si>
  <si>
    <t># text = Eines Tages wachte ich schließlich auf und dachte, ich hätte vielleicht einen Schlaganfall, weil ich komplett gelähmt im Bett lag, das Telefon ansah und dachte: "Etwas stimmt nicht und ich sollte Hilfe holen."</t>
  </si>
  <si>
    <t>Eines</t>
  </si>
  <si>
    <t>Tages</t>
  </si>
  <si>
    <t>wachte</t>
  </si>
  <si>
    <t>schließlich</t>
  </si>
  <si>
    <t>vielleicht</t>
  </si>
  <si>
    <t>Schlaganfall</t>
  </si>
  <si>
    <t>weil</t>
  </si>
  <si>
    <t>komplett</t>
  </si>
  <si>
    <t>gelähmt</t>
  </si>
  <si>
    <t>Bett</t>
  </si>
  <si>
    <t>lag</t>
  </si>
  <si>
    <t>Telefon</t>
  </si>
  <si>
    <t>ansah</t>
  </si>
  <si>
    <t>Etwas</t>
  </si>
  <si>
    <t>stimmt</t>
  </si>
  <si>
    <t>sollte</t>
  </si>
  <si>
    <t>Hilfe</t>
  </si>
  <si>
    <t>holen</t>
  </si>
  <si>
    <t># text = Ich konnte meinen Arm nicht ausstrecken und das Telefon abheben und wählen.</t>
  </si>
  <si>
    <t>Arm</t>
  </si>
  <si>
    <t>abheben</t>
  </si>
  <si>
    <t>wählen</t>
  </si>
  <si>
    <t># text = Nachdem ich volle 4 Stunden dagelegen und es angestarrt hatte, klingelte endlich das Telefon, und irgendwie schaffte ich es dranzugehen.</t>
  </si>
  <si>
    <t>Nachdem</t>
  </si>
  <si>
    <t>volle</t>
  </si>
  <si>
    <t>Stunden</t>
  </si>
  <si>
    <t>dagelegen</t>
  </si>
  <si>
    <t>angestarrt</t>
  </si>
  <si>
    <t>klingelte</t>
  </si>
  <si>
    <t>endlich</t>
  </si>
  <si>
    <t>irgendwie</t>
  </si>
  <si>
    <t>schaffte</t>
  </si>
  <si>
    <t>dranzugehen</t>
  </si>
  <si>
    <t># text = Es war mein Vater und ich sagte: "Ich habe ernsthafte Probleme.</t>
  </si>
  <si>
    <t>Vater</t>
  </si>
  <si>
    <t>sagte</t>
  </si>
  <si>
    <t>habe</t>
  </si>
  <si>
    <t>ernsthafte</t>
  </si>
  <si>
    <t>Probleme</t>
  </si>
  <si>
    <t># text = Wir müssen etwas tun."</t>
  </si>
  <si>
    <t>müssen</t>
  </si>
  <si>
    <t>etwas</t>
  </si>
  <si>
    <t># text = Am nächsten Tag fing ich mit den Medikamenten und der Therapie an.</t>
  </si>
  <si>
    <t>An</t>
  </si>
  <si>
    <t>Tag</t>
  </si>
  <si>
    <t>fing</t>
  </si>
  <si>
    <t>Medikamenten</t>
  </si>
  <si>
    <t>Therapie</t>
  </si>
  <si>
    <t># text = Und ich begann auch mir diese furchtbare Frage zu stellen: Wenn ich nicht die starke Person bin, die ein Konzentrationslager überstanden hätte, wer bin ich dann?</t>
  </si>
  <si>
    <t>auch</t>
  </si>
  <si>
    <t>furchtbare</t>
  </si>
  <si>
    <t>starke</t>
  </si>
  <si>
    <t>Person</t>
  </si>
  <si>
    <t>bin</t>
  </si>
  <si>
    <t>überstanden</t>
  </si>
  <si>
    <t>wer</t>
  </si>
  <si>
    <t>pron.pint</t>
  </si>
  <si>
    <t>?</t>
  </si>
  <si>
    <t># text = Und wenn ich Medikamente nehmen muss, machen die Medikamente mich mehr zu mir selbst oder machen sie mich zu jemand anderem?</t>
  </si>
  <si>
    <t>Medikamente</t>
  </si>
  <si>
    <t>nehmen</t>
  </si>
  <si>
    <t>jemand</t>
  </si>
  <si>
    <t>anderem</t>
  </si>
  <si>
    <t># text = Und was halte ich davon, wenn sie mich zu einem anderen machen?</t>
  </si>
  <si>
    <t>halte</t>
  </si>
  <si>
    <t>davon</t>
  </si>
  <si>
    <t>einem</t>
  </si>
  <si>
    <t># text = Es gab zwei Vorteile für mich, als ich den Kampf aufnahm.</t>
  </si>
  <si>
    <t>gab</t>
  </si>
  <si>
    <t>zwei</t>
  </si>
  <si>
    <t>Vorteile</t>
  </si>
  <si>
    <t>Kampf</t>
  </si>
  <si>
    <t>aufnahm</t>
  </si>
  <si>
    <t># text = Erstens wusste ich, objektiv gesprochen, dass ich ein schönes Leben hatte und wenn ich nur gesund würde, wäre dort etwas am anderen Ende, das lebenswert war.</t>
  </si>
  <si>
    <t>Erstens</t>
  </si>
  <si>
    <t>objektiv</t>
  </si>
  <si>
    <t>gesprochen</t>
  </si>
  <si>
    <t>schönes</t>
  </si>
  <si>
    <t>nur</t>
  </si>
  <si>
    <t>gesund</t>
  </si>
  <si>
    <t>dort</t>
  </si>
  <si>
    <t>Ende</t>
  </si>
  <si>
    <t>other_6</t>
  </si>
  <si>
    <t>def-np.the.other</t>
  </si>
  <si>
    <t>lebenswert</t>
  </si>
  <si>
    <t># text = Darüber hinaus hatte ich Zugang zu guter Behandlung.</t>
  </si>
  <si>
    <t>Darüber</t>
  </si>
  <si>
    <t>hinaus</t>
  </si>
  <si>
    <t>Zugang</t>
  </si>
  <si>
    <t>guter</t>
  </si>
  <si>
    <t>Behandlung</t>
  </si>
  <si>
    <t># text = Aber trotzdem kämpfte ich mich raus und wurde rückfällig, kämpfte mich raus und schließlich verstand ich, dass ich auf ewig in medizinischer und therapeutischer Behandlung bleiben müsste.</t>
  </si>
  <si>
    <t>trotzdem</t>
  </si>
  <si>
    <t>kämpfte</t>
  </si>
  <si>
    <t>raus</t>
  </si>
  <si>
    <t>wurde</t>
  </si>
  <si>
    <t>rückfällig</t>
  </si>
  <si>
    <t>verstand</t>
  </si>
  <si>
    <t>ewig</t>
  </si>
  <si>
    <t>medizinischer</t>
  </si>
  <si>
    <t>therapeutischer</t>
  </si>
  <si>
    <t>müsste</t>
  </si>
  <si>
    <t># text = Ich überlegte: \"Ist es ein chemisches oder ein psychologisches Problem?</t>
  </si>
  <si>
    <t>überlegte</t>
  </si>
  <si>
    <t>Ist</t>
  </si>
  <si>
    <t>chemisches</t>
  </si>
  <si>
    <t>psychologisches</t>
  </si>
  <si>
    <t>Problem</t>
  </si>
  <si>
    <t># text = Und muss es auf chemische oder auf philosophische Weise geheilt werden?\"</t>
  </si>
  <si>
    <t>chemische</t>
  </si>
  <si>
    <t>philosophische</t>
  </si>
  <si>
    <t>Weise</t>
  </si>
  <si>
    <t>geheilt</t>
  </si>
  <si>
    <t># text = Ich konnte die Frage, welches davon es war, nicht beantworten.</t>
  </si>
  <si>
    <t>welches</t>
  </si>
  <si>
    <t># text = Und dann verstand ich schließlich, dass wir in keinem Bereich fortgeschritten genug sind, um die Dinge ganz zu erklären.</t>
  </si>
  <si>
    <t>wir</t>
  </si>
  <si>
    <t>keinem</t>
  </si>
  <si>
    <t>Bereich</t>
  </si>
  <si>
    <t>fortgeschritten</t>
  </si>
  <si>
    <t>genug</t>
  </si>
  <si>
    <t>um</t>
  </si>
  <si>
    <t>Dinge</t>
  </si>
  <si>
    <t>ganz</t>
  </si>
  <si>
    <t># text = Die chemische und psychologische Behandlung haben beide eine Funktion, und ich verstand auch, dass Depressionen etwas sind, das so tief in uns verwurzelt ist, dass man sie nicht von unserem Charakter und unserer Persönlichkeit trennen kann.</t>
  </si>
  <si>
    <t>psychologische</t>
  </si>
  <si>
    <t>beide</t>
  </si>
  <si>
    <t>Funktion</t>
  </si>
  <si>
    <t>def-np.quant</t>
  </si>
  <si>
    <t>so</t>
  </si>
  <si>
    <t>tief</t>
  </si>
  <si>
    <t>uns</t>
  </si>
  <si>
    <t>verwurzelt</t>
  </si>
  <si>
    <t>unserem</t>
  </si>
  <si>
    <t>Charakter</t>
  </si>
  <si>
    <t>unserer</t>
  </si>
  <si>
    <t>Persönlichkeit</t>
  </si>
  <si>
    <t>trennen</t>
  </si>
  <si>
    <t>kann</t>
  </si>
  <si>
    <t># text = Unsere derzeitigen Behandlungsmethoden für Depressionen sind fürchterlich.</t>
  </si>
  <si>
    <t>Unsere</t>
  </si>
  <si>
    <t>Behandlungsmethoden</t>
  </si>
  <si>
    <t>fürchterlich</t>
  </si>
  <si>
    <t># text = Sie sind nicht besonders effektiv.</t>
  </si>
  <si>
    <t>besonders</t>
  </si>
  <si>
    <t>effektiv</t>
  </si>
  <si>
    <t># text = Sie sind extrem teuer.</t>
  </si>
  <si>
    <t>extrem</t>
  </si>
  <si>
    <t>teuer</t>
  </si>
  <si>
    <t># text = Sie haben unzählige Nebenwirkungen.</t>
  </si>
  <si>
    <t>unzählige</t>
  </si>
  <si>
    <t>Nebenwirkungen</t>
  </si>
  <si>
    <t># text = Sie sind ein Desaster.</t>
  </si>
  <si>
    <t>Desaster</t>
  </si>
  <si>
    <t># text = Aber ich bin so dankbar, dass ich zur heutigen Zeit lebe und nicht vor 50 Jahren, als beinahe gar nichts getan werden konnte.</t>
  </si>
  <si>
    <t>dankbar</t>
  </si>
  <si>
    <t>heutigen</t>
  </si>
  <si>
    <t>Zeit</t>
  </si>
  <si>
    <t>lebe</t>
  </si>
  <si>
    <t>vor</t>
  </si>
  <si>
    <t>beinahe</t>
  </si>
  <si>
    <t>gar</t>
  </si>
  <si>
    <t>getan</t>
  </si>
  <si>
    <t># text = Ich hoffe, dass in 50 Jahren die Menschen von meinen Therapien hören und entsetzt sein werden, dass irgendjemand so eine primitive Wissenschaft erduldete.</t>
  </si>
  <si>
    <t>hoffe</t>
  </si>
  <si>
    <t>Therapien</t>
  </si>
  <si>
    <t>entsetzt</t>
  </si>
  <si>
    <t>irgendjemand</t>
  </si>
  <si>
    <t>primitive</t>
  </si>
  <si>
    <t>Wissenschaft</t>
  </si>
  <si>
    <t>erduldete</t>
  </si>
  <si>
    <t># text = Depressionen sind das Manko der Liebe.</t>
  </si>
  <si>
    <t>Manko</t>
  </si>
  <si>
    <t>Liebe</t>
  </si>
  <si>
    <t># text = Wäre man mit jemandem verheiratet und würde denken: \"Wenn meine Frau stirbt, finde ich eine andere\", wäre es nicht die Liebe, wie wir sie kennen.</t>
  </si>
  <si>
    <t>Wäre</t>
  </si>
  <si>
    <t>jemandem</t>
  </si>
  <si>
    <t>verheiratet</t>
  </si>
  <si>
    <t>stirbt</t>
  </si>
  <si>
    <t>finde</t>
  </si>
  <si>
    <t># text = Es gibt keine Liebe, ohne das Vorgefühl von Verlust, und dieses Schreckgespenst der Verzweiflung kann der Antrieb für Vertrautheit sein.</t>
  </si>
  <si>
    <t>gibt</t>
  </si>
  <si>
    <t>Vorgefühl</t>
  </si>
  <si>
    <t>Verlust</t>
  </si>
  <si>
    <t>Schreckgespenst</t>
  </si>
  <si>
    <t>Verzweiflung</t>
  </si>
  <si>
    <t>Antrieb</t>
  </si>
  <si>
    <t>Vertrautheit</t>
  </si>
  <si>
    <t># text = Es gibt drei Dinge, die Menschen gerne verwechseln: Depressionen, Trauer und Traurigkeit.</t>
  </si>
  <si>
    <t>gerne</t>
  </si>
  <si>
    <t>verwechseln</t>
  </si>
  <si>
    <t>Trauer</t>
  </si>
  <si>
    <t>Traurigkeit</t>
  </si>
  <si>
    <t># text = Trauer ist ausdrücklich reaktiv.</t>
  </si>
  <si>
    <t>ausdrücklich</t>
  </si>
  <si>
    <t>reaktiv</t>
  </si>
  <si>
    <t># text = Wenn Sie einen Verlust erleiden und sich unglaublich unglücklich fühlen, und dann, 6 Monate später, sind Sie immer noch zutiefst traurig, aber Sie funktionieren ein bisschen besser, ist es wahrscheinlich Trauer, und es wird sich wahrscheinlich letztendlich in gewissem Maße von alleine lösen.</t>
  </si>
  <si>
    <t>unglaublich</t>
  </si>
  <si>
    <t>unglücklich</t>
  </si>
  <si>
    <t>noch</t>
  </si>
  <si>
    <t>zutiefst</t>
  </si>
  <si>
    <t>traurig</t>
  </si>
  <si>
    <t>funktionieren</t>
  </si>
  <si>
    <t>bisschen</t>
  </si>
  <si>
    <t>besser</t>
  </si>
  <si>
    <t>letztendlich</t>
  </si>
  <si>
    <t>gewissem</t>
  </si>
  <si>
    <t>Maße</t>
  </si>
  <si>
    <t>alleine</t>
  </si>
  <si>
    <t>lösen</t>
  </si>
  <si>
    <t># text = Wenn Sie einen katastrophalen Verlust erleiden und sich schrecklich fühlen, und nach 6 Monaten kaum funktionieren können, dann sind es vielleicht Depressionen, die von den katastrophalen Umständen ausgelöst wurden.</t>
  </si>
  <si>
    <t>katastrophalen</t>
  </si>
  <si>
    <t>schrecklich</t>
  </si>
  <si>
    <t>kaum</t>
  </si>
  <si>
    <t>können</t>
  </si>
  <si>
    <t>Umständen</t>
  </si>
  <si>
    <t>ausgelöst</t>
  </si>
  <si>
    <t>wurden</t>
  </si>
  <si>
    <t># text = Der Verlauf erzählt uns eine Menge.</t>
  </si>
  <si>
    <t>Der</t>
  </si>
  <si>
    <t>Verlauf</t>
  </si>
  <si>
    <t>erzählt</t>
  </si>
  <si>
    <t>Menge</t>
  </si>
  <si>
    <t># text = Die Menschen denken, Depressionen wären einfach Traurigkeit.</t>
  </si>
  <si>
    <t>wären</t>
  </si>
  <si>
    <t># text = Es ist viel zu viel Traurigkeit, viel zu viel Trauer aus einem viel zu nichtigen Grund.</t>
  </si>
  <si>
    <t>nichtigen</t>
  </si>
  <si>
    <t># text = Ich machte mich daran, Depressionen zu verstehen und Menschen zu interviewen, die das erlebt hatten.</t>
  </si>
  <si>
    <t>machte</t>
  </si>
  <si>
    <t>daran</t>
  </si>
  <si>
    <t>interviewen</t>
  </si>
  <si>
    <t>hatten</t>
  </si>
  <si>
    <t># text = Ich entdeckte, dass es Menschen gibt, die, oberflächlich betrachtet, relativ leichte Depressionen haben, die aber davon dennoch völlig ausgeschaltet sind.</t>
  </si>
  <si>
    <t>entdeckte</t>
  </si>
  <si>
    <t>oberflächlich</t>
  </si>
  <si>
    <t>betrachtet</t>
  </si>
  <si>
    <t>relativ</t>
  </si>
  <si>
    <t>leichte</t>
  </si>
  <si>
    <t>völlig</t>
  </si>
  <si>
    <t>ausgeschaltet</t>
  </si>
  <si>
    <t># text = Und es gibt andere Menschen, die, so wie es klingt, furchtbar schwere Depressionen haben, und dennoch zwischen ihren depressiven Episoden ein schönes Leben hatten.</t>
  </si>
  <si>
    <t>klingt</t>
  </si>
  <si>
    <t>furchtbar</t>
  </si>
  <si>
    <t>schwere</t>
  </si>
  <si>
    <t>zwischen</t>
  </si>
  <si>
    <t>depressiven</t>
  </si>
  <si>
    <t>Episoden</t>
  </si>
  <si>
    <t># text = Ich versuchte also herauszufinden, warum manche Menschen widerstandsfähiger sind als andere.</t>
  </si>
  <si>
    <t>versuchte</t>
  </si>
  <si>
    <t>also</t>
  </si>
  <si>
    <t>herauszufinden</t>
  </si>
  <si>
    <t>manche</t>
  </si>
  <si>
    <t>widerstandsfähiger</t>
  </si>
  <si>
    <t># text = Was sind die Mechanismen, die es Menschen ermöglichen, zu überleben?</t>
  </si>
  <si>
    <t>Was</t>
  </si>
  <si>
    <t>Mechanismen</t>
  </si>
  <si>
    <t>ermöglichen</t>
  </si>
  <si>
    <t># text = Ich ging also los und interviewte einen an Depressionen erkrankten Menschen nach dem anderen.</t>
  </si>
  <si>
    <t>ging</t>
  </si>
  <si>
    <t>los</t>
  </si>
  <si>
    <t>interviewte</t>
  </si>
  <si>
    <t>erkrankten</t>
  </si>
  <si>
    <t># text = Einer der ersten Menschen, die ich interviewte, beschrieb Depressionen als eine andere Art Tod, und es war gut, dass ich das so früh hörte, denn es erinnerte mich daran, dass diese Art Tod zum wirklichen Tod führen kann, und daran, dass es eine ernst zunehmende Sache ist.</t>
  </si>
  <si>
    <t>Einer</t>
  </si>
  <si>
    <t>ersten</t>
  </si>
  <si>
    <t>beschrieb</t>
  </si>
  <si>
    <t>Tod</t>
  </si>
  <si>
    <t>gut</t>
  </si>
  <si>
    <t>früh</t>
  </si>
  <si>
    <t>denn</t>
  </si>
  <si>
    <t>erinnerte</t>
  </si>
  <si>
    <t>wirklichen</t>
  </si>
  <si>
    <t>SBJ_6</t>
  </si>
  <si>
    <t>ernst</t>
  </si>
  <si>
    <t>zunehmende</t>
  </si>
  <si>
    <t># text = Es ist die am weitesten verbreitete Behinderung und täglich sterben Menschen daran.</t>
  </si>
  <si>
    <t>weitesten</t>
  </si>
  <si>
    <t>verbreitete</t>
  </si>
  <si>
    <t>Behinderung</t>
  </si>
  <si>
    <t>täglich</t>
  </si>
  <si>
    <t># text = Einer der Menschen, mit dem ich sprach als ich das zu verstehen versuchte, war eine geliebte Freundin, die ich schon seit vielen Jahren kannte, und die eine psychotische Episode in ihrem ersten Jahr am College gehabt hatte, und dann in eine entsetzliche Depression verfallen war.</t>
  </si>
  <si>
    <t>sprach</t>
  </si>
  <si>
    <t>geliebte</t>
  </si>
  <si>
    <t>Freundin</t>
  </si>
  <si>
    <t>schon</t>
  </si>
  <si>
    <t>seit</t>
  </si>
  <si>
    <t>vielen</t>
  </si>
  <si>
    <t>kannte</t>
  </si>
  <si>
    <t>psychotische</t>
  </si>
  <si>
    <t>Episode</t>
  </si>
  <si>
    <t>ihrem</t>
  </si>
  <si>
    <t>Jahr</t>
  </si>
  <si>
    <t>College</t>
  </si>
  <si>
    <t>gehabt</t>
  </si>
  <si>
    <t>entsetzliche</t>
  </si>
  <si>
    <t>Depression</t>
  </si>
  <si>
    <t>verfallen</t>
  </si>
  <si>
    <t># text = Sie hatte eine bipolare Störung oder manische Depression, wie es damals hieß.</t>
  </si>
  <si>
    <t>bipolare</t>
  </si>
  <si>
    <t>Störung</t>
  </si>
  <si>
    <t>manische</t>
  </si>
  <si>
    <t>damals</t>
  </si>
  <si>
    <t>hieß</t>
  </si>
  <si>
    <t># text = Über viele Jahre hinweg ging es ihr mit Lithium sehr gut und schließlich wurde das Lithium abgesetzt, um zu sehen, wie sie ohne klar käme.</t>
  </si>
  <si>
    <t>Über</t>
  </si>
  <si>
    <t>hinweg</t>
  </si>
  <si>
    <t>ihr</t>
  </si>
  <si>
    <t>Lithium</t>
  </si>
  <si>
    <t>sehr</t>
  </si>
  <si>
    <t>abgesetzt</t>
  </si>
  <si>
    <t>sehen</t>
  </si>
  <si>
    <t>klar</t>
  </si>
  <si>
    <t>käme</t>
  </si>
  <si>
    <t># text = Sie hatte eine weitere Psychose, und verfiel dann in die schwerste Depression, die ich jemals sah.</t>
  </si>
  <si>
    <t>weitere</t>
  </si>
  <si>
    <t>Psychose</t>
  </si>
  <si>
    <t>verfiel</t>
  </si>
  <si>
    <t>schwerste</t>
  </si>
  <si>
    <t>jemals</t>
  </si>
  <si>
    <t># text = Sie saß Tag für Tag mehr oder weniger katatonisch und im Grunde bewegungslos in der Wohnung ihrer Eltern.</t>
  </si>
  <si>
    <t>saß</t>
  </si>
  <si>
    <t>katatonisch</t>
  </si>
  <si>
    <t>Grunde</t>
  </si>
  <si>
    <t>bewegungslos</t>
  </si>
  <si>
    <t>Wohnung</t>
  </si>
  <si>
    <t>ihrer</t>
  </si>
  <si>
    <t>Eltern</t>
  </si>
  <si>
    <t># text = Als ich sie Jahre später über diese Erfahrung befragte -- sie ist die Dichterin und Psychotherapeutin Maggie Robbins -- sagte sie: \"Ich sang immer wieder 'Where Have All The Flowers Gone', um meinen Geist zu beschäftigen.</t>
  </si>
  <si>
    <t>Als</t>
  </si>
  <si>
    <t>Erfahrung</t>
  </si>
  <si>
    <t>befragte</t>
  </si>
  <si>
    <t>Dichterin</t>
  </si>
  <si>
    <t>def-np.poss</t>
  </si>
  <si>
    <t>Psychotherapeutin</t>
  </si>
  <si>
    <t>Maggie</t>
  </si>
  <si>
    <t>Robbins</t>
  </si>
  <si>
    <t>sang</t>
  </si>
  <si>
    <t>Where</t>
  </si>
  <si>
    <t>Have</t>
  </si>
  <si>
    <t>All</t>
  </si>
  <si>
    <t>The</t>
  </si>
  <si>
    <t>Flowers</t>
  </si>
  <si>
    <t>Gone</t>
  </si>
  <si>
    <t>Geist</t>
  </si>
  <si>
    <t>beschäftigen</t>
  </si>
  <si>
    <t># text = Ich sang, um die Dinge auszulöschen, die mein Verstand mir sagte, Dinge wie 'Du bist nichts.</t>
  </si>
  <si>
    <t>auszulöschen</t>
  </si>
  <si>
    <t>Verstand</t>
  </si>
  <si>
    <t>Du</t>
  </si>
  <si>
    <t>bist</t>
  </si>
  <si>
    <t># text = Du bist ein Niemand.</t>
  </si>
  <si>
    <t>Niemand</t>
  </si>
  <si>
    <t># text = Du verdienst es nicht mal zu leben.'</t>
  </si>
  <si>
    <t>verdienst</t>
  </si>
  <si>
    <t>mal</t>
  </si>
  <si>
    <t># text = Und da fing ich wirklich an, daran zu denken, mich umzubringen."</t>
  </si>
  <si>
    <t>da</t>
  </si>
  <si>
    <t>wirklich</t>
  </si>
  <si>
    <t># text = Während der Depressionen merkt man nicht, dass man einen grauen Schleier angelegt hat und die Welt durch diesen Schleier von schlechter Laune sieht.</t>
  </si>
  <si>
    <t>Während</t>
  </si>
  <si>
    <t>merkt</t>
  </si>
  <si>
    <t>grauen</t>
  </si>
  <si>
    <t>Schleier</t>
  </si>
  <si>
    <t>angelegt</t>
  </si>
  <si>
    <t>diesen</t>
  </si>
  <si>
    <t>schlechter</t>
  </si>
  <si>
    <t>Laune</t>
  </si>
  <si>
    <t>sieht</t>
  </si>
  <si>
    <t># text = Man denkt, dass der Schleier entfernt wurde, der Schleier des Glücks, und dass man jetzt erst richtig sieht.</t>
  </si>
  <si>
    <t>denkt</t>
  </si>
  <si>
    <t>entfernt</t>
  </si>
  <si>
    <t>des</t>
  </si>
  <si>
    <t>Glücks</t>
  </si>
  <si>
    <t>jetzt</t>
  </si>
  <si>
    <t>erst</t>
  </si>
  <si>
    <t>richtig</t>
  </si>
  <si>
    <t># text = Es ist einfacher Schizophrenen zu helfen, die etwas Fremdes in sich selbst wahrnehmen, das ausgetrieben werden muss.</t>
  </si>
  <si>
    <t>einfacher</t>
  </si>
  <si>
    <t>Schizophrenen</t>
  </si>
  <si>
    <t>Fremdes</t>
  </si>
  <si>
    <t>wahrnehmen</t>
  </si>
  <si>
    <t>ausgetrieben</t>
  </si>
  <si>
    <t># text = Aber mit Depressiven ist es schwierig, denn wir denken, dass wir die Wahrheit sehen.</t>
  </si>
  <si>
    <t>Depressiven</t>
  </si>
  <si>
    <t>schwierig</t>
  </si>
  <si>
    <t>Wahrheit</t>
  </si>
  <si>
    <t># text = Aber die Wahrheit lügt.</t>
  </si>
  <si>
    <t>lügt</t>
  </si>
  <si>
    <t># text = Ich war von diesem Satz besessen: "Aber die Wahrheit lügt."</t>
  </si>
  <si>
    <t>Satz</t>
  </si>
  <si>
    <t>besessen</t>
  </si>
  <si>
    <t># text = Aber ich stellte fest, als ich mit depressiven Menschen sprach, dass sie viele wahnhafte Wahrnehmungen haben.</t>
  </si>
  <si>
    <t>stellte</t>
  </si>
  <si>
    <t>fest</t>
  </si>
  <si>
    <t>wahnhafte</t>
  </si>
  <si>
    <t>Wahrnehmungen</t>
  </si>
  <si>
    <t># text = Menschen sagen etwa: \"Niemand liebt mich.\"</t>
  </si>
  <si>
    <t>etwa</t>
  </si>
  <si>
    <t>liebt</t>
  </si>
  <si>
    <t># text = Und man sagt: \"Ich liebe dich, deine Frau liebt dich, deine Mutter liebt dich.\"</t>
  </si>
  <si>
    <t>sagt</t>
  </si>
  <si>
    <t>liebe</t>
  </si>
  <si>
    <t>dich</t>
  </si>
  <si>
    <t>deine</t>
  </si>
  <si>
    <t># text = Man kann das ziemlich schnell beantworten, zumindest bei den meisten Menschen.</t>
  </si>
  <si>
    <t>ziemlich</t>
  </si>
  <si>
    <t>schnell</t>
  </si>
  <si>
    <t>zumindest</t>
  </si>
  <si>
    <t># text = Aber depressive Menschen werden auch sagen: \"Egal, was wir machen, am Ende werden wir alle sterben.\"</t>
  </si>
  <si>
    <t>depressive</t>
  </si>
  <si>
    <t>Egal</t>
  </si>
  <si>
    <t># text = Oder sie werden sagen: "Es kann keine wahre Gemeinschaft zwischen zwei Menschen geben.</t>
  </si>
  <si>
    <t>wahre</t>
  </si>
  <si>
    <t>Gemeinschaft</t>
  </si>
  <si>
    <t># text = Jeder von uns ist in seinem eigenen Körper gefangen.\"</t>
  </si>
  <si>
    <t>Jeder</t>
  </si>
  <si>
    <t>seinem</t>
  </si>
  <si>
    <t>eigenen</t>
  </si>
  <si>
    <t>Körper</t>
  </si>
  <si>
    <t>gefangen</t>
  </si>
  <si>
    <t># text = Worauf man sagen muss: \"Das ist wahr, aber ich denke wir sollten uns jetzt darauf konzentrieren, was es zum Frühstück geben soll.\"</t>
  </si>
  <si>
    <t>Worauf</t>
  </si>
  <si>
    <t>wahr</t>
  </si>
  <si>
    <t>denke</t>
  </si>
  <si>
    <t>sollten</t>
  </si>
  <si>
    <t>darauf</t>
  </si>
  <si>
    <t>konzentrieren</t>
  </si>
  <si>
    <t>Frühstück</t>
  </si>
  <si>
    <t>soll</t>
  </si>
  <si>
    <t># text = (Gelächter) Die meiste Zeit bringen sie nicht die Krankheit, sondern Einsicht zum Ausdruck.</t>
  </si>
  <si>
    <t>(</t>
  </si>
  <si>
    <t>Gelächter</t>
  </si>
  <si>
    <t>)</t>
  </si>
  <si>
    <t>meiste</t>
  </si>
  <si>
    <t>Krankheit</t>
  </si>
  <si>
    <t>Einsicht</t>
  </si>
  <si>
    <t>Ausdruck</t>
  </si>
  <si>
    <t># text = Und man beginnt zu denken: Das wirklich Außergewöhnliche ist, dass die meisten von uns diese existenziellen Fragen kennen und sie uns nicht besonders beschäftigen.</t>
  </si>
  <si>
    <t>beginnt</t>
  </si>
  <si>
    <t>Außergewöhnliche</t>
  </si>
  <si>
    <t>existenziellen</t>
  </si>
  <si>
    <t>Fragen</t>
  </si>
  <si>
    <t># text = Es gab eine Studie, die ich besonders mochte, in der eine Gruppe depressiver und eine Gruppe nicht-depressiver Menschen gebeten wurden, eine Stunde lang ein Videospiel zu spielen, und am Ende dieser Stunde wurden sie gefragt, wie viele kleine Monster sie meinten getötet zu haben.</t>
  </si>
  <si>
    <t>Studie</t>
  </si>
  <si>
    <t>mochte</t>
  </si>
  <si>
    <t>Gruppe</t>
  </si>
  <si>
    <t>depressiver</t>
  </si>
  <si>
    <t>nicht-depressiver</t>
  </si>
  <si>
    <t>gebeten</t>
  </si>
  <si>
    <t>Stunde</t>
  </si>
  <si>
    <t>lang</t>
  </si>
  <si>
    <t>Videospiel</t>
  </si>
  <si>
    <t>spielen</t>
  </si>
  <si>
    <t>dieser</t>
  </si>
  <si>
    <t>gefragt</t>
  </si>
  <si>
    <t>kleine</t>
  </si>
  <si>
    <t>Monster</t>
  </si>
  <si>
    <t>meinten</t>
  </si>
  <si>
    <t>getötet</t>
  </si>
  <si>
    <t># text = Die depressive Gruppe war meist, mit Abweichungen von ungefähr 10 Prozent, korrekt und die nicht-depressiven Menschen schätzten zwischen 15 und 20 Mal mehr kleine Monster -- (Gelächter) -- als sie tatsächlich getötet hatten.</t>
  </si>
  <si>
    <t>meist</t>
  </si>
  <si>
    <t>Abweichungen</t>
  </si>
  <si>
    <t>ungefähr</t>
  </si>
  <si>
    <t>Prozent</t>
  </si>
  <si>
    <t>korrekt</t>
  </si>
  <si>
    <t>nicht-depressiven</t>
  </si>
  <si>
    <t>schätzten</t>
  </si>
  <si>
    <t>Mal</t>
  </si>
  <si>
    <t>tatsächlich</t>
  </si>
  <si>
    <t># text = Als ich beschloss, über meine Depressionen zu schreiben, sagten viele Menschen, dass es sehr schwierig sein müsse, sich öffentlich dazu zu bekennen, es die Leute wissen zu lassen.</t>
  </si>
  <si>
    <t>beschloss</t>
  </si>
  <si>
    <t>schreiben</t>
  </si>
  <si>
    <t>sagten</t>
  </si>
  <si>
    <t>müsse</t>
  </si>
  <si>
    <t>öffentlich</t>
  </si>
  <si>
    <t>bekennen</t>
  </si>
  <si>
    <t># text = Sie sagten: \"Reden die Leute anders mit Ihnen?\"</t>
  </si>
  <si>
    <t>Reden</t>
  </si>
  <si>
    <t>anders</t>
  </si>
  <si>
    <t>Ihnen</t>
  </si>
  <si>
    <t># text = Und ich sagte: "Ja, Menschen reden anders mit mir.</t>
  </si>
  <si>
    <t>Ja</t>
  </si>
  <si>
    <t># text = Sie reden insofern anders mit mir, dass sie anfangen, mir von ihrer Erfahrung zu erzählen oder der Erfahrung ihrer Schwester, oder der Erfahrung eines Freundes.</t>
  </si>
  <si>
    <t>insofern</t>
  </si>
  <si>
    <t>anfangen</t>
  </si>
  <si>
    <t>Schwester</t>
  </si>
  <si>
    <t>Freundes</t>
  </si>
  <si>
    <t># text = Die Dinge sind anders, denn jetzt weiß ich, dass Depressionen ein Familiengeheimnis sind, das jeder hat.</t>
  </si>
  <si>
    <t>Familiengeheimnis</t>
  </si>
  <si>
    <t>jeder</t>
  </si>
  <si>
    <t># text = Vor ein paar Jahren ging ich zu einer Konferenz und am Freitag dieser 3-tägigen Konferenz nahm eine der Teilnehmerinnen mich zur Seite und sie sagte zu mir: "Ich leide an Depressionen und ich schäme mich ein bisschen dafür, aber ich nehme diese Medikamente und ich möchte Sie fragen, was Sie darüber denken?"</t>
  </si>
  <si>
    <t>Vor</t>
  </si>
  <si>
    <t>paar</t>
  </si>
  <si>
    <t>einer</t>
  </si>
  <si>
    <t>Konferenz</t>
  </si>
  <si>
    <t>Freitag</t>
  </si>
  <si>
    <t>3-tägigen</t>
  </si>
  <si>
    <t>nahm</t>
  </si>
  <si>
    <t>Teilnehmerinnen</t>
  </si>
  <si>
    <t>Seite</t>
  </si>
  <si>
    <t>leide</t>
  </si>
  <si>
    <t>schäme</t>
  </si>
  <si>
    <t>nehme</t>
  </si>
  <si>
    <t>möchte</t>
  </si>
  <si>
    <t>darüber</t>
  </si>
  <si>
    <t># text = Und ich bemühte mich, so weit ich konnte, ihr einen Rat zu geben.</t>
  </si>
  <si>
    <t>bemühte</t>
  </si>
  <si>
    <t>weit</t>
  </si>
  <si>
    <t>Rat</t>
  </si>
  <si>
    <t># text = Und dann sagte sie: \"Wissen Sie, mein Mann würde das nie verstehen.</t>
  </si>
  <si>
    <t>Wissen</t>
  </si>
  <si>
    <t>Mann</t>
  </si>
  <si>
    <t>nie</t>
  </si>
  <si>
    <t># text = Er ist wirklich ein Typ, für den das keinen Sinn ergeben würde.</t>
  </si>
  <si>
    <t>Er</t>
  </si>
  <si>
    <t>Typ</t>
  </si>
  <si>
    <t>keinen</t>
  </si>
  <si>
    <t>Sinn</t>
  </si>
  <si>
    <t>ergeben</t>
  </si>
  <si>
    <t># text = Also, das sollte unter uns bleiben."</t>
  </si>
  <si>
    <t>Also</t>
  </si>
  <si>
    <t>unter</t>
  </si>
  <si>
    <t># text = Und ich sagte: "Ja, das ist in Ordnung."</t>
  </si>
  <si>
    <t>Ordnung</t>
  </si>
  <si>
    <t># text = Am Sonntag derselben Konferenz nahm mich ihr Ehemann zur Seite und sagte zu mir: \"Meine Frau würde denken, dass ich kein ganzer Kerl wäre, wenn sie das wüsste.</t>
  </si>
  <si>
    <t>Sonntag</t>
  </si>
  <si>
    <t>derselben</t>
  </si>
  <si>
    <t>Ehemann</t>
  </si>
  <si>
    <t>kein</t>
  </si>
  <si>
    <t>ganzer</t>
  </si>
  <si>
    <t>Kerl</t>
  </si>
  <si>
    <t>wüsste</t>
  </si>
  <si>
    <t># text = Aber ich habe mit Depressionen zu kämpfen und ich nehme einige Medikamente, und frage ich mich, was Sie denken.\"</t>
  </si>
  <si>
    <t>einige</t>
  </si>
  <si>
    <t>frage</t>
  </si>
  <si>
    <t># text = Sie versteckten die gleichen Medikamente an zwei verschiedenen Orten im selben Schlafzimmer.</t>
  </si>
  <si>
    <t>versteckten</t>
  </si>
  <si>
    <t>verschiedenen</t>
  </si>
  <si>
    <t>Orten</t>
  </si>
  <si>
    <t>selben</t>
  </si>
  <si>
    <t>Schlafzimmer</t>
  </si>
  <si>
    <t># text = Ich sagte, dass ich denke, dass die Kommunikation in der Ehe einige ihrer Probleme auslösen könnte.</t>
  </si>
  <si>
    <t>Kommunikation</t>
  </si>
  <si>
    <t>Ehe</t>
  </si>
  <si>
    <t>auslösen</t>
  </si>
  <si>
    <t>könnte</t>
  </si>
  <si>
    <t># text = Aber mir wurde auch schlagartig bewusst, wie belastend so eine wechselseitige Heimlichkeit ist.</t>
  </si>
  <si>
    <t>schlagartig</t>
  </si>
  <si>
    <t>bewusst</t>
  </si>
  <si>
    <t>belastend</t>
  </si>
  <si>
    <t>wechselseitige</t>
  </si>
  <si>
    <t>Heimlichkeit</t>
  </si>
  <si>
    <t># text = Depressionen sind so ermüdend.</t>
  </si>
  <si>
    <t>ermüdend</t>
  </si>
  <si>
    <t># text = Sie verbrauchen so viel Zeit und Energie, und darüber zu schweigen verschlimmert die Depressionen noch.</t>
  </si>
  <si>
    <t>Energie</t>
  </si>
  <si>
    <t>schweigen</t>
  </si>
  <si>
    <t>verschlimmert</t>
  </si>
  <si>
    <t># text = Und dann dachte ich über all die Arten nach, wie Menschen sich selbst verbessern.</t>
  </si>
  <si>
    <t>Arten</t>
  </si>
  <si>
    <t>verbessern</t>
  </si>
  <si>
    <t># text = Ich begann als konservativer Mediziner.</t>
  </si>
  <si>
    <t>konservativer</t>
  </si>
  <si>
    <t>Mediziner</t>
  </si>
  <si>
    <t># text = Ich dachte, dass es ein paar Therapie-Arten gab, die funktionierten, und es war klar, welche das waren -- es gab Medikamente, es gab bestimmte Psychotherapien, es gab möglicherweise die Elektroschockbehandlung und dass alles andere Nonsens wäre.</t>
  </si>
  <si>
    <t>funktionierten</t>
  </si>
  <si>
    <t>welche</t>
  </si>
  <si>
    <t>waren</t>
  </si>
  <si>
    <t>bestimmte</t>
  </si>
  <si>
    <t>Psychotherapien</t>
  </si>
  <si>
    <t>möglicherweise</t>
  </si>
  <si>
    <t>Elektroschockbehandlung</t>
  </si>
  <si>
    <t>alles</t>
  </si>
  <si>
    <t>Nonsens</t>
  </si>
  <si>
    <t># text = Aber dann entdeckte ich etwas.</t>
  </si>
  <si>
    <t># text = Wenn man einen Hirntumor hat und man sagt, dass es einem besser geht, wenn man jeden Morgen 20 Minuten auf dem Kopf steht, wird man sich besser fühlen, aber man hat immer noch einen Hirntumor, und man wird wahrscheinlich immer noch daran sterben.</t>
  </si>
  <si>
    <t>Hirntumor</t>
  </si>
  <si>
    <t>geht</t>
  </si>
  <si>
    <t>jeden</t>
  </si>
  <si>
    <t>Morgen</t>
  </si>
  <si>
    <t>Minuten</t>
  </si>
  <si>
    <t>Kopf</t>
  </si>
  <si>
    <t>steht</t>
  </si>
  <si>
    <t># text = Aber wenn man Depressionen hat und zwanzig Minuten Kopfstand am Tag dazu führen, dass man sich besser fühlt, dann funktioniert es, denn bei Depressionen sind die Gefühle erkrankt und wenn man sich besser fühlt, dann ist man praktisch nicht mehr depressiv.</t>
  </si>
  <si>
    <t>zwanzig</t>
  </si>
  <si>
    <t>Kopfstand</t>
  </si>
  <si>
    <t>funktioniert</t>
  </si>
  <si>
    <t>Gefühle</t>
  </si>
  <si>
    <t>erkrankt</t>
  </si>
  <si>
    <t>OBJ_6</t>
  </si>
  <si>
    <t>praktisch</t>
  </si>
  <si>
    <t># text = So wurde ich toleranter gegenüber der weiten Welt alternativer Behandlungen.</t>
  </si>
  <si>
    <t>So</t>
  </si>
  <si>
    <t>toleranter</t>
  </si>
  <si>
    <t>gegenüber</t>
  </si>
  <si>
    <t>weiten</t>
  </si>
  <si>
    <t>alternativer</t>
  </si>
  <si>
    <t>Behandlungen</t>
  </si>
  <si>
    <t># text = Und ich erhalte Briefe, hunderte von Briefen, von Menschen, die mir schreiben, was ihnen geholfen hat.</t>
  </si>
  <si>
    <t>erhalte</t>
  </si>
  <si>
    <t>Briefe</t>
  </si>
  <si>
    <t>hunderte</t>
  </si>
  <si>
    <t>Briefen</t>
  </si>
  <si>
    <t>ihnen</t>
  </si>
  <si>
    <t>geholfen</t>
  </si>
  <si>
    <t># text = Jemand fragte mich heute hinter der Bühne nach Meditation.</t>
  </si>
  <si>
    <t>Jemand</t>
  </si>
  <si>
    <t>fragte</t>
  </si>
  <si>
    <t>heute</t>
  </si>
  <si>
    <t>hinter</t>
  </si>
  <si>
    <t>Bühne</t>
  </si>
  <si>
    <t>Meditation</t>
  </si>
  <si>
    <t># text = Mein Favorit unter den erhaltenen Briefen war einer, der von einer Frau kam, die schrieb und sagte, sie hätte es mit einer Therapie versucht, sie hätte Medikamente versucht, sie hatte so ziemlich alles ausprobiert.</t>
  </si>
  <si>
    <t>Mein</t>
  </si>
  <si>
    <t>Favorit</t>
  </si>
  <si>
    <t>erhaltenen</t>
  </si>
  <si>
    <t>schrieb</t>
  </si>
  <si>
    <t>versucht</t>
  </si>
  <si>
    <t>ausprobiert</t>
  </si>
  <si>
    <t># text = Sie hatte eine Lösung gefunden und hoffte, ich würde es der Welt erzählen, nämlich kleine Dinge aus Garn zu machen.</t>
  </si>
  <si>
    <t>Lösung</t>
  </si>
  <si>
    <t>gefunden</t>
  </si>
  <si>
    <t>hoffte</t>
  </si>
  <si>
    <t>nämlich</t>
  </si>
  <si>
    <t>Garn</t>
  </si>
  <si>
    <t># text = Sie schickte mir ein paar davon.</t>
  </si>
  <si>
    <t>schickte</t>
  </si>
  <si>
    <t># text = Und ich trage sie gerade nicht.</t>
  </si>
  <si>
    <t>trage</t>
  </si>
  <si>
    <t># text = Ich schlug ihr vor, dass sie auch Zwangsstörungen im DSM nachschlagen sollte.</t>
  </si>
  <si>
    <t>Zwangsstörungen</t>
  </si>
  <si>
    <t>DSM</t>
  </si>
  <si>
    <t>nachschlagen</t>
  </si>
  <si>
    <t># text = Dennoch schaute ich mir alternative Behandlungen an, und sah andere Behandlungen in neuem Licht.</t>
  </si>
  <si>
    <t>Dennoch</t>
  </si>
  <si>
    <t>schaute</t>
  </si>
  <si>
    <t>alternative</t>
  </si>
  <si>
    <t>neuem</t>
  </si>
  <si>
    <t># text = Ich unterzog mich einem Stammes-Exorzismus im Senegal, der ziemlich viel Schafsbockblut erforderte.</t>
  </si>
  <si>
    <t>unterzog</t>
  </si>
  <si>
    <t>Stammes</t>
  </si>
  <si>
    <t>Exorzismus</t>
  </si>
  <si>
    <t>Senegal</t>
  </si>
  <si>
    <t>Schafsbockblut</t>
  </si>
  <si>
    <t>erforderte</t>
  </si>
  <si>
    <t># text = Ich werde jetzt nicht ins Detail gehen, aber ein paar Jahre darauf war ich in Ruanda und arbeitete dort an einem anderen Projekt, und ich beschrieb meine Erfahrung jemandem und er sagte: "Weißt du, das ist Westafrika, und wir sind in Ostafrika, und unsere Rituale sind irgendwie sehr verschieden, aber wir haben einige Rituale, die mit dem von dir beschriebenen, etwas gemeinsam haben."</t>
  </si>
  <si>
    <t>werde</t>
  </si>
  <si>
    <t>Detail</t>
  </si>
  <si>
    <t>Ruanda</t>
  </si>
  <si>
    <t>arbeitete</t>
  </si>
  <si>
    <t>Projekt</t>
  </si>
  <si>
    <t>Weißt</t>
  </si>
  <si>
    <t>du</t>
  </si>
  <si>
    <t>Westafrika</t>
  </si>
  <si>
    <t>Ostafrika</t>
  </si>
  <si>
    <t>unsere</t>
  </si>
  <si>
    <t>Rituale</t>
  </si>
  <si>
    <t>verschieden</t>
  </si>
  <si>
    <t>dir</t>
  </si>
  <si>
    <t>beschriebenen</t>
  </si>
  <si>
    <t>gemeinsam</t>
  </si>
  <si>
    <t># text = Und ich sagte: \"Oh.\"</t>
  </si>
  <si>
    <t>Oh</t>
  </si>
  <si>
    <t># text = Und er sagte: \"Ja, aber wir hatten viel Ärger mit Psychotherapeuten aus dem Westen, besonders mit denjenigen, die direkt nach dem Genozid kamen.\"</t>
  </si>
  <si>
    <t>Ärger</t>
  </si>
  <si>
    <t>Psychotherapeuten</t>
  </si>
  <si>
    <t>Westen</t>
  </si>
  <si>
    <t>denjenigen</t>
  </si>
  <si>
    <t>direkt</t>
  </si>
  <si>
    <t>Genozid</t>
  </si>
  <si>
    <t>kamen</t>
  </si>
  <si>
    <t># text = Ich fragte: \"Welche Probleme gab es?\"</t>
  </si>
  <si>
    <t>Welche</t>
  </si>
  <si>
    <t># text = Er erklärte: "Nun ja, sie taten etwas sehr Bizarres.</t>
  </si>
  <si>
    <t>erklärte</t>
  </si>
  <si>
    <t>Nun</t>
  </si>
  <si>
    <t>ja</t>
  </si>
  <si>
    <t>taten</t>
  </si>
  <si>
    <t>Bizarres</t>
  </si>
  <si>
    <t># text = Sie sprachen nicht im Sonnenschein mit den Leuten, wo man beginnt, sich besser zu fühlen.</t>
  </si>
  <si>
    <t>sprachen</t>
  </si>
  <si>
    <t>Sonnenschein</t>
  </si>
  <si>
    <t>Leuten</t>
  </si>
  <si>
    <t>wo</t>
  </si>
  <si>
    <t># text = Sie bezogen weder Trommeln noch Musik ein, um das Blut in Wallung zu bringen.</t>
  </si>
  <si>
    <t>bezogen</t>
  </si>
  <si>
    <t>weder</t>
  </si>
  <si>
    <t>Trommeln</t>
  </si>
  <si>
    <t>Musik</t>
  </si>
  <si>
    <t>Blut</t>
  </si>
  <si>
    <t>Wallung</t>
  </si>
  <si>
    <t># text = Sie involvierten nicht die gesamte Gemeinschaft.</t>
  </si>
  <si>
    <t>involvierten</t>
  </si>
  <si>
    <t>gesamte</t>
  </si>
  <si>
    <t># text = Sie externalisieren die Depressionen nicht als einen eindringenden Geist.</t>
  </si>
  <si>
    <t>eindringenden</t>
  </si>
  <si>
    <t># text = Stattdessen führten sie die Menschen einzeln in schäbige, kleine Räume und ließen sie eine Stunde lang über schlimme Dinge reden, die ihnen passiert waren."</t>
  </si>
  <si>
    <t>Stattdessen</t>
  </si>
  <si>
    <t>führten</t>
  </si>
  <si>
    <t>einzeln</t>
  </si>
  <si>
    <t>schäbige</t>
  </si>
  <si>
    <t>Räume</t>
  </si>
  <si>
    <t>ließen</t>
  </si>
  <si>
    <t>schlimme</t>
  </si>
  <si>
    <t>passiert</t>
  </si>
  <si>
    <t># text = (Gelächter) (Applaus) Er sagte: "Wir mussten sie bitten, das Land zu verlassen."</t>
  </si>
  <si>
    <t>mussten</t>
  </si>
  <si>
    <t>Land</t>
  </si>
  <si>
    <t>verlassen</t>
  </si>
  <si>
    <t># text = Um Ihnen das andere Ende der alternativen Behandlungen zu veranschaulichen, lassen Sie mich Ihnen von Frank Russakoff erzählen.</t>
  </si>
  <si>
    <t>Um</t>
  </si>
  <si>
    <t>alternativen</t>
  </si>
  <si>
    <t>veranschaulichen</t>
  </si>
  <si>
    <t>Frank</t>
  </si>
  <si>
    <t>Russakoff</t>
  </si>
  <si>
    <t># text = Frank Russakoff hatte die schlimmsten Depressionen, die ich wohl je bei einem Mann gesehen habe.</t>
  </si>
  <si>
    <t>schlimmsten</t>
  </si>
  <si>
    <t>wohl</t>
  </si>
  <si>
    <t>je</t>
  </si>
  <si>
    <t>gesehen</t>
  </si>
  <si>
    <t># text = Er war ständig depressiv.</t>
  </si>
  <si>
    <t># text = Als ich ihn traf war er an einem Punkt, wo er jeden Monat eine Elektroschock-Behandlung bekam.</t>
  </si>
  <si>
    <t>ihn</t>
  </si>
  <si>
    <t>traf</t>
  </si>
  <si>
    <t>Elektroschock</t>
  </si>
  <si>
    <t>bekam</t>
  </si>
  <si>
    <t># text = Dann fühlte er sich eine Woche lang etwas desorientiert und dann eine Woche lang okay.</t>
  </si>
  <si>
    <t>Dann</t>
  </si>
  <si>
    <t>Woche</t>
  </si>
  <si>
    <t>desorientiert</t>
  </si>
  <si>
    <t>okay</t>
  </si>
  <si>
    <t># text = Dann ging es eine Woche lang abwärts.</t>
  </si>
  <si>
    <t>abwärts</t>
  </si>
  <si>
    <t># text = Und dann bekam er eine weitere Elektroschock-Behandlung.</t>
  </si>
  <si>
    <t># text = Als ich ihn traf, sagte er zu mir: "Es ist unerträglich, meine Wochen so zu durchleben.</t>
  </si>
  <si>
    <t>unerträglich</t>
  </si>
  <si>
    <t>Wochen</t>
  </si>
  <si>
    <t>durchleben</t>
  </si>
  <si>
    <t># text = Ich kann so nicht weiter machen, und ich habe entschieden, dass ich es beende, wenn es mir nicht besser geht.</t>
  </si>
  <si>
    <t>weiter</t>
  </si>
  <si>
    <t>entschieden</t>
  </si>
  <si>
    <t>beende</t>
  </si>
  <si>
    <t># text = Aber,\" sagte er mir, \"ich habe von einem Plan bei Mass General gehört, ein Verfahren namens Zingulotomie, eine Hirnchirurgie, und ich probiere das aus.\"</t>
  </si>
  <si>
    <t>Plan</t>
  </si>
  <si>
    <t>Mass</t>
  </si>
  <si>
    <t>General</t>
  </si>
  <si>
    <t>gehört</t>
  </si>
  <si>
    <t>Verfahren</t>
  </si>
  <si>
    <t>namens</t>
  </si>
  <si>
    <t>Zingulotomie</t>
  </si>
  <si>
    <t>Hirnchirurgie</t>
  </si>
  <si>
    <t>probiere</t>
  </si>
  <si>
    <t># text = Und ich erinnere mich, mich an diesem Punkt gewundert zu haben, dass jemand, der wirklich so viele schlechte Erfahrungen gehabt hatte mit so vielen verschiedenen Behandlungen, sich genug Optimismus bewahrt hatte, um noch eine Behandlung mitzumachen.</t>
  </si>
  <si>
    <t>erinnere</t>
  </si>
  <si>
    <t>gewundert</t>
  </si>
  <si>
    <t>schlechte</t>
  </si>
  <si>
    <t>Optimismus</t>
  </si>
  <si>
    <t>bewahrt</t>
  </si>
  <si>
    <t>mitzumachen</t>
  </si>
  <si>
    <t># text = Die Zingulotomie wurde durchgeführt und es war ein Erfolg auf der ganzen Linie.</t>
  </si>
  <si>
    <t>durchgeführt</t>
  </si>
  <si>
    <t>Erfolg</t>
  </si>
  <si>
    <t>ganzen</t>
  </si>
  <si>
    <t>Linie</t>
  </si>
  <si>
    <t># text = Wir sind Freunde geworden.</t>
  </si>
  <si>
    <t>Freunde</t>
  </si>
  <si>
    <t>geworden</t>
  </si>
  <si>
    <t># text = Er hat eine wunderbare Frau und zwei hübsche Kinder.</t>
  </si>
  <si>
    <t>wunderbare</t>
  </si>
  <si>
    <t>hübsche</t>
  </si>
  <si>
    <t>Kinder</t>
  </si>
  <si>
    <t># text = Er schrieb mir an Weihnachten nach der Operation einen Brief und sagte: "Mein Vater schickte mir dieses Jahr zwei Geschenke.</t>
  </si>
  <si>
    <t>Weihnachten</t>
  </si>
  <si>
    <t>Operation</t>
  </si>
  <si>
    <t>Brief</t>
  </si>
  <si>
    <t>Geschenke</t>
  </si>
  <si>
    <t># text = Erstens einen motorisierten CD-Ständer von 'The Sharper Image', den ich nicht wirklich brauche, aber ich weiß, dass er ihn mir geschenkt hat, um die Tatsache zu feiern, dass ich eigenständig lebte und eine Arbeit habe, die ich anscheinend liebe.</t>
  </si>
  <si>
    <t>motorisierten</t>
  </si>
  <si>
    <t>CD</t>
  </si>
  <si>
    <t>Ständer</t>
  </si>
  <si>
    <t>Sharper</t>
  </si>
  <si>
    <t>Image</t>
  </si>
  <si>
    <t>brauche</t>
  </si>
  <si>
    <t>geschenkt</t>
  </si>
  <si>
    <t>Tatsache</t>
  </si>
  <si>
    <t>feiern</t>
  </si>
  <si>
    <t>eigenständig</t>
  </si>
  <si>
    <t>lebte</t>
  </si>
  <si>
    <t>anscheinend</t>
  </si>
  <si>
    <t># text = Und das andere Geschenk war ein Foto von meiner Großmutter, die Selbstmord beging.</t>
  </si>
  <si>
    <t>Geschenk</t>
  </si>
  <si>
    <t>Foto</t>
  </si>
  <si>
    <t>meiner</t>
  </si>
  <si>
    <t>Großmutter</t>
  </si>
  <si>
    <t>Selbstmord</t>
  </si>
  <si>
    <t>beging</t>
  </si>
  <si>
    <t># text = Als ich es auspackte, begann ich zu weinen, und meine Mutter kam rüber und sagte: 'Weinst du wegen Verwandten, die du nie kanntest?'</t>
  </si>
  <si>
    <t>auspackte</t>
  </si>
  <si>
    <t>rüber</t>
  </si>
  <si>
    <t>Weinst</t>
  </si>
  <si>
    <t>wegen</t>
  </si>
  <si>
    <t>Verwandten</t>
  </si>
  <si>
    <t>kanntest</t>
  </si>
  <si>
    <t># text = Und ich sagte: 'Sie hatte die gleiche Krankheit wie ich.'</t>
  </si>
  <si>
    <t>gleiche</t>
  </si>
  <si>
    <t># text = Während ich dir das schreibe, weine ich nicht.</t>
  </si>
  <si>
    <t>schreibe</t>
  </si>
  <si>
    <t>weine</t>
  </si>
  <si>
    <t># text = Ich bin nicht besonders traurig, sondern eher überwältigt.</t>
  </si>
  <si>
    <t>überwältigt</t>
  </si>
  <si>
    <t># text = Wahrscheinlich, weil ich mich hätte umbringen können, aber meine Eltern halfen mir weiterzumachen, genauso wie die Ärzte, und ich ließ mich operieren.</t>
  </si>
  <si>
    <t>Wahrscheinlich</t>
  </si>
  <si>
    <t>umbringen</t>
  </si>
  <si>
    <t>halfen</t>
  </si>
  <si>
    <t>weiterzumachen</t>
  </si>
  <si>
    <t>genauso</t>
  </si>
  <si>
    <t>Ärzte</t>
  </si>
  <si>
    <t>ließ</t>
  </si>
  <si>
    <t>operieren</t>
  </si>
  <si>
    <t># text = Ich bin am Leben und dankbar.</t>
  </si>
  <si>
    <t># text = Wir leben zur richtigen Zeit, auch wenn es sich nicht immer so anfühlt."</t>
  </si>
  <si>
    <t>richtigen</t>
  </si>
  <si>
    <t>anfühlt</t>
  </si>
  <si>
    <t># text = Mich beeindruckte die Tatsache, dass Depressionen gemeinhin als modernes, westliches Phänomen der Mittelklasse wahrgenommen wird.</t>
  </si>
  <si>
    <t>Mich</t>
  </si>
  <si>
    <t>beeindruckte</t>
  </si>
  <si>
    <t>gemeinhin</t>
  </si>
  <si>
    <t>modernes</t>
  </si>
  <si>
    <t>westliches</t>
  </si>
  <si>
    <t>Phänomen</t>
  </si>
  <si>
    <t>Mittelklasse</t>
  </si>
  <si>
    <t>wahrgenommen</t>
  </si>
  <si>
    <t># text = Ich schaute mir an, wie sie in vielfältigen Kontexten funktionierte, und eine Sache, die mich am meisten interessierte, waren Depressionen unter den Mittellosen.</t>
  </si>
  <si>
    <t>vielfältigen</t>
  </si>
  <si>
    <t>Kontexten</t>
  </si>
  <si>
    <t>funktionierte</t>
  </si>
  <si>
    <t>interessierte</t>
  </si>
  <si>
    <t>Mittellosen</t>
  </si>
  <si>
    <t># text = Daher machte ich mich auf, um zu betrachten, was für arme Menschen mit Depressionen getan wurde.</t>
  </si>
  <si>
    <t>Daher</t>
  </si>
  <si>
    <t>betrachten</t>
  </si>
  <si>
    <t>arme</t>
  </si>
  <si>
    <t># text = Und ich fand heraus, dass arme Menschen bei Depressionen meistens nicht behandelt werden.</t>
  </si>
  <si>
    <t>fand</t>
  </si>
  <si>
    <t>meistens</t>
  </si>
  <si>
    <t>behandelt</t>
  </si>
  <si>
    <t># text = Depressionen sind das Resultat einer genetischen Anfälligkeit, die vermutlich gleichmäßig in der Bevölkerung verteilt ist, und von Auslösern, die wahrscheinlich bei verarmten Menschen viel extremer sind.</t>
  </si>
  <si>
    <t>Resultat</t>
  </si>
  <si>
    <t>genetischen</t>
  </si>
  <si>
    <t>Anfälligkeit</t>
  </si>
  <si>
    <t>vermutlich</t>
  </si>
  <si>
    <t>gleichmäßig</t>
  </si>
  <si>
    <t>Bevölkerung</t>
  </si>
  <si>
    <t>verteilt</t>
  </si>
  <si>
    <t>Auslösern</t>
  </si>
  <si>
    <t>verarmten</t>
  </si>
  <si>
    <t>extremer</t>
  </si>
  <si>
    <t># text = Dennoch zeigt sich, dass man, wenn man ein wirklich schönes Leben hat, sich aber die ganze Zeit schlecht fühlt, denkt: "Warum fühle ich mich so?</t>
  </si>
  <si>
    <t>zeigt</t>
  </si>
  <si>
    <t>ganze</t>
  </si>
  <si>
    <t>schlecht</t>
  </si>
  <si>
    <t>Warum</t>
  </si>
  <si>
    <t>fühle</t>
  </si>
  <si>
    <t># text = Ich muss Depressionen haben.\"</t>
  </si>
  <si>
    <t># text = Und man sucht eine Behandlung dafür.</t>
  </si>
  <si>
    <t>sucht</t>
  </si>
  <si>
    <t># text = Aber wenn man ein total furchtbares Leben hat und sich andauernd schlecht fühlt, steht dieses Gefühl im Einklang mit dem eigenen Leben, und man kommt nicht darauf, zu denken: "Vielleicht ist das behandelbar."</t>
  </si>
  <si>
    <t>total</t>
  </si>
  <si>
    <t>furchtbares</t>
  </si>
  <si>
    <t>andauernd</t>
  </si>
  <si>
    <t>Einklang</t>
  </si>
  <si>
    <t>kommt</t>
  </si>
  <si>
    <t>Vielleicht</t>
  </si>
  <si>
    <t>behandelbar</t>
  </si>
  <si>
    <t># text = Daher haben wir in diesem Land eine Depressions-Epidemie unter verarmten Menschen, die nicht aufgegriffen und behandelt wird und die nicht angesprochen wird, und das ist eine Tragödie großen Ausmaßes.</t>
  </si>
  <si>
    <t>Depressions</t>
  </si>
  <si>
    <t>Epidemie</t>
  </si>
  <si>
    <t>aufgegriffen</t>
  </si>
  <si>
    <t>angesprochen</t>
  </si>
  <si>
    <t>Tragödie</t>
  </si>
  <si>
    <t>großen</t>
  </si>
  <si>
    <t>Ausmaßes</t>
  </si>
  <si>
    <t># text = Ich fand also ein Wissenschaftlerin, die ein Forschungsprojekt in den Slums außerhalb von Washington D.C. durchführte, wo sie Frauen aufnahm, die wegen anderer Gesundheitsprobleme gekommen waren und Depressionen bei ihnen diagnostizierte, und dann ein Versuchsprotokoll bereitstellte.</t>
  </si>
  <si>
    <t>Wissenschaftlerin</t>
  </si>
  <si>
    <t>Forschungsprojekt</t>
  </si>
  <si>
    <t>Slums</t>
  </si>
  <si>
    <t>außerhalb</t>
  </si>
  <si>
    <t>Washington</t>
  </si>
  <si>
    <t>D.C.</t>
  </si>
  <si>
    <t>durchführte</t>
  </si>
  <si>
    <t>Frauen</t>
  </si>
  <si>
    <t>anderer</t>
  </si>
  <si>
    <t>Gesundheitsprobleme</t>
  </si>
  <si>
    <t>gekommen</t>
  </si>
  <si>
    <t>other_7</t>
  </si>
  <si>
    <t>diagnostizierte</t>
  </si>
  <si>
    <t>Versuchsprotokoll</t>
  </si>
  <si>
    <t>bereitstellte</t>
  </si>
  <si>
    <t># text = Eine von ihnen, Lolly, kam herein, und sie sagte folgendes, als sie hereinkam.</t>
  </si>
  <si>
    <t>Eine</t>
  </si>
  <si>
    <t>Lolly</t>
  </si>
  <si>
    <t>herein</t>
  </si>
  <si>
    <t>folgendes</t>
  </si>
  <si>
    <t>hereinkam</t>
  </si>
  <si>
    <t># text = Übrigens eine Frau, die sieben Kinder hat.</t>
  </si>
  <si>
    <t>Übrigens</t>
  </si>
  <si>
    <t>sieben</t>
  </si>
  <si>
    <t># text = Sie sagte: \"Ich hatte einen Job, aber ich musste ihn aufgeben, weil ich nicht aus dem Haus gehen konnte.</t>
  </si>
  <si>
    <t>Job</t>
  </si>
  <si>
    <t>musste</t>
  </si>
  <si>
    <t>aufgeben</t>
  </si>
  <si>
    <t># text = Ich habe meinen Kindern nichts zu sagen.</t>
  </si>
  <si>
    <t>Kindern</t>
  </si>
  <si>
    <t># text = Morgens kann ich es nicht erwarten, dass sie verschwinden, und dann lege ich mich ins Bett und ziehe die Decke über meinen Kopf, und wenn sie um 3 Uhr nach Haus kommen, kommt das so schnell.\"</t>
  </si>
  <si>
    <t>Morgens</t>
  </si>
  <si>
    <t>verschwinden</t>
  </si>
  <si>
    <t>lege</t>
  </si>
  <si>
    <t>ziehe</t>
  </si>
  <si>
    <t>Decke</t>
  </si>
  <si>
    <t>Uhr</t>
  </si>
  <si>
    <t># text = Sie sagte: \"Ich habe viel Tylenol genommen, alles was mich mehr schlafen lässt.</t>
  </si>
  <si>
    <t>Tylenol</t>
  </si>
  <si>
    <t>genommen</t>
  </si>
  <si>
    <t>schlafen</t>
  </si>
  <si>
    <t>lässt</t>
  </si>
  <si>
    <t># text = Mein Mann sagte mir ständig, dass ich dumm und hässlich bin.</t>
  </si>
  <si>
    <t>dumm</t>
  </si>
  <si>
    <t>hässlich</t>
  </si>
  <si>
    <t># text = Ich wünschte, ich könnte den Schmerz stoppen.\"</t>
  </si>
  <si>
    <t>wünschte</t>
  </si>
  <si>
    <t>Schmerz</t>
  </si>
  <si>
    <t>stoppen</t>
  </si>
  <si>
    <t># text = Sie wurde in diese experimentelle Versuchsreihe aufgenommen und als ich sie sechs Monate später interviewte, hatte sie einen Job in der Kinderbetreuung für die US-Marine aufgenommen, hatte ihren Mann, der sie immer beleidigt hatte, verlassen, und sie sagte zu mir: \"Meine Kinder sind jetzt so viel glücklicher.\"</t>
  </si>
  <si>
    <t>experimentelle</t>
  </si>
  <si>
    <t>Versuchsreihe</t>
  </si>
  <si>
    <t>aufgenommen</t>
  </si>
  <si>
    <t>Kinderbetreuung</t>
  </si>
  <si>
    <t>US</t>
  </si>
  <si>
    <t>Marine</t>
  </si>
  <si>
    <t>beleidigt</t>
  </si>
  <si>
    <t>glücklicher</t>
  </si>
  <si>
    <t># text = Sie sagte: \"Es gibt einen Raum in meiner neuen Wohnung für die Jungs und einen Raum für die Mädchen, aber abends sind sie alle auf meinem Bett und wir machen die Hausaufgaben zusammen.</t>
  </si>
  <si>
    <t>neuen</t>
  </si>
  <si>
    <t>Jungs</t>
  </si>
  <si>
    <t>Mädchen</t>
  </si>
  <si>
    <t>abends</t>
  </si>
  <si>
    <t>Hausaufgaben</t>
  </si>
  <si>
    <t>zusammen</t>
  </si>
  <si>
    <t># text = Einer von ihnen will Priester und einer will Feuerwehrmann werden, und eines der Mädchen sagt, dass sie Anwältin werden wird.</t>
  </si>
  <si>
    <t>will</t>
  </si>
  <si>
    <t>Priester</t>
  </si>
  <si>
    <t>Feuerwehrmann</t>
  </si>
  <si>
    <t>Anwältin</t>
  </si>
  <si>
    <t># text = Sie weinen nicht mehr, so wie früher und sie streiten sich nicht mehr wie zuvor.</t>
  </si>
  <si>
    <t>früher</t>
  </si>
  <si>
    <t>streiten</t>
  </si>
  <si>
    <t># text = Alles, was ich jetzt brauche, sind meine Kinder.</t>
  </si>
  <si>
    <t># text = Dinge verändern sich, die Art, wie ich mich anziehe, wie ich mich fühle und wie ich handle.</t>
  </si>
  <si>
    <t>anziehe</t>
  </si>
  <si>
    <t>handle</t>
  </si>
  <si>
    <t># text = Ich kann jetzt rausgehen, ohne mich zu fürchten, und ich glaube nicht, dass diese schlechten Gefühle zurückkommen werden, und wenn Dr. Miranda nicht gewesen wäre, wäre ich immer noch zu Hause mit der Decke über meinem Kopf, wenn ich überhaupt noch am Leben wäre.</t>
  </si>
  <si>
    <t>fürchten</t>
  </si>
  <si>
    <t>glaube</t>
  </si>
  <si>
    <t>schlechten</t>
  </si>
  <si>
    <t>zurückkommen</t>
  </si>
  <si>
    <t>Dr.</t>
  </si>
  <si>
    <t>Miranda</t>
  </si>
  <si>
    <t>gewesen</t>
  </si>
  <si>
    <t># text = Ich bat Gott, mir einen Engel zu schicken und er erhörte meine Gebete."</t>
  </si>
  <si>
    <t>bat</t>
  </si>
  <si>
    <t>Gott</t>
  </si>
  <si>
    <t>Engel</t>
  </si>
  <si>
    <t>erhörte</t>
  </si>
  <si>
    <t>Gebete</t>
  </si>
  <si>
    <t># text = Mich haben diese Erfahrungen wirklich bewegt, und ich entschied, dass ich darüber schreiben wollte, nicht nur in einem Buch, an dem ich arbeitete, sondern auch in einem Artikel, und so bekam ich vom New York Times Magazine einen Auftrag, über Depressionen unter Mittellosen zu schreiben.</t>
  </si>
  <si>
    <t>bewegt</t>
  </si>
  <si>
    <t>Buch</t>
  </si>
  <si>
    <t>Artikel</t>
  </si>
  <si>
    <t>New</t>
  </si>
  <si>
    <t>York</t>
  </si>
  <si>
    <t>Times</t>
  </si>
  <si>
    <t>Magazine</t>
  </si>
  <si>
    <t>Auftrag</t>
  </si>
  <si>
    <t># text = Ich reichte meine Geschichte ein und meine Redakteurin rief mich an \"Das können wir wirklich nicht veröffentlichen.\"</t>
  </si>
  <si>
    <t>reichte</t>
  </si>
  <si>
    <t>Geschichte</t>
  </si>
  <si>
    <t>Redakteurin</t>
  </si>
  <si>
    <t>rief</t>
  </si>
  <si>
    <t>veröffentlichen</t>
  </si>
  <si>
    <t># text = Ich fragte: \"Warum nicht?\"</t>
  </si>
  <si>
    <t># text = Und sie sagte: "Es ist einfach zu weit hergeholt.</t>
  </si>
  <si>
    <t>hergeholt</t>
  </si>
  <si>
    <t># text = Diese Menschen stehen auf der untersten Gesellschaftsstufe und dann erhalten sie ein paar Monate Behandlung, und sind dann praktisch in der Lage Morgan Stanley zu leiten?</t>
  </si>
  <si>
    <t>Diese</t>
  </si>
  <si>
    <t>untersten</t>
  </si>
  <si>
    <t>Gesellschaftsstufe</t>
  </si>
  <si>
    <t>Lage</t>
  </si>
  <si>
    <t>Morgan</t>
  </si>
  <si>
    <t>Stanley</t>
  </si>
  <si>
    <t>leiten</t>
  </si>
  <si>
    <t># text = Das ist einfach zu unglaubwürdig.\"</t>
  </si>
  <si>
    <t>unglaubwürdig</t>
  </si>
  <si>
    <t># text = Sie sagte: \"Ich habe von so etwas noch nie gehört.\"</t>
  </si>
  <si>
    <t># text = Ich erwiderte: "Die Tatsache, dass Sie noch nie davon gehört haben, ist ein Hinweis darauf, dass es Nachrichten sind."</t>
  </si>
  <si>
    <t>erwiderte</t>
  </si>
  <si>
    <t>Hinweis</t>
  </si>
  <si>
    <t># text = \"Und Sie sind ein Nachrichtenmagazin.\"</t>
  </si>
  <si>
    <t>Nachrichtenmagazin</t>
  </si>
  <si>
    <t># text = Nach einem gewissen Maß an Verhandlungen, stimmten sie zu.</t>
  </si>
  <si>
    <t>Nach</t>
  </si>
  <si>
    <t>gewissen</t>
  </si>
  <si>
    <t>Maß</t>
  </si>
  <si>
    <t>Verhandlungen</t>
  </si>
  <si>
    <t>stimmten</t>
  </si>
  <si>
    <t># text = Aber ich denke, dass vieles von dem, was sie sagten, auf merkwürdige Weise mit der Abneigung verbunden war, die Menschen immer noch haben, gegenüber der Idee von Behandlung, der Vorstellung, dass es ein ausbeuterischer Akt wäre, wenn wir losziehen würden und Menschen in notleidenden Gemeinden behandeln würden, denn wir würden sie ändern.</t>
  </si>
  <si>
    <t>vieles</t>
  </si>
  <si>
    <t>merkwürdige</t>
  </si>
  <si>
    <t>Abneigung</t>
  </si>
  <si>
    <t>verbunden</t>
  </si>
  <si>
    <t>Idee</t>
  </si>
  <si>
    <t>Vorstellung</t>
  </si>
  <si>
    <t>ausbeuterischer</t>
  </si>
  <si>
    <t>Akt</t>
  </si>
  <si>
    <t>losziehen</t>
  </si>
  <si>
    <t>würden</t>
  </si>
  <si>
    <t>SBJ_7</t>
  </si>
  <si>
    <t>notleidenden</t>
  </si>
  <si>
    <t>Gemeinden</t>
  </si>
  <si>
    <t>behandeln</t>
  </si>
  <si>
    <t>SBJ_8</t>
  </si>
  <si>
    <t>ändern</t>
  </si>
  <si>
    <t># text = Es gibt dieses falsche moralische Gebot, das es überall zu geben scheint, dass die Behandlung von Depressionen, die medizinische Behandlung und so weiter, ein Trick seien, und dass es nicht natürlich ist.</t>
  </si>
  <si>
    <t>falsche</t>
  </si>
  <si>
    <t>moralische</t>
  </si>
  <si>
    <t>Gebot</t>
  </si>
  <si>
    <t>überall</t>
  </si>
  <si>
    <t>scheint</t>
  </si>
  <si>
    <t>medizinische</t>
  </si>
  <si>
    <t>Trick</t>
  </si>
  <si>
    <t>seien</t>
  </si>
  <si>
    <t>natürlich</t>
  </si>
  <si>
    <t># text = Ich denke, dass das äußerst fehlgeleitet ist.</t>
  </si>
  <si>
    <t>äußerst</t>
  </si>
  <si>
    <t>fehlgeleitet</t>
  </si>
  <si>
    <t># text = Es wäre natürlich, dass den Menschen die Zähne ausfallen, aber es gibt niemanden, der sich gegen Zahnpasta ausspricht, zumindest nicht in meinen Kreisen.</t>
  </si>
  <si>
    <t>Zähne</t>
  </si>
  <si>
    <t>ausfallen</t>
  </si>
  <si>
    <t>niemanden</t>
  </si>
  <si>
    <t>gegen</t>
  </si>
  <si>
    <t>Zahnpasta</t>
  </si>
  <si>
    <t>ausspricht</t>
  </si>
  <si>
    <t>Kreisen</t>
  </si>
  <si>
    <t># text = Und dann sagen Menschen: \"Sind Depressionen nicht ein Teil dessen, was Menschen erleben sollen?</t>
  </si>
  <si>
    <t>Sind</t>
  </si>
  <si>
    <t>Teil</t>
  </si>
  <si>
    <t>dessen</t>
  </si>
  <si>
    <t>erleben</t>
  </si>
  <si>
    <t>sollen</t>
  </si>
  <si>
    <t># text = Haben wir uns nicht dazu entwickelt, Depressionen zu haben?</t>
  </si>
  <si>
    <t>Haben</t>
  </si>
  <si>
    <t>entwickelt</t>
  </si>
  <si>
    <t># text = Ist das nicht Teil unserer Persönlichkeit?"</t>
  </si>
  <si>
    <t># text = Dazu würde ich sagen, Stimmung ist anpassungsfähig.</t>
  </si>
  <si>
    <t>Dazu</t>
  </si>
  <si>
    <t>Stimmung</t>
  </si>
  <si>
    <t>anpassungsfähig</t>
  </si>
  <si>
    <t># text = In der Lage zu sein, Traurigkeit und Furcht, Freunde und Vergnügen und all die anderen Stimmungen, die wir haben, zu fühlen, ist unglaublich wertvoll.</t>
  </si>
  <si>
    <t>In</t>
  </si>
  <si>
    <t>Furcht</t>
  </si>
  <si>
    <t>Vergnügen</t>
  </si>
  <si>
    <t>Stimmungen</t>
  </si>
  <si>
    <t>OBJ_8</t>
  </si>
  <si>
    <t>wertvoll</t>
  </si>
  <si>
    <t># text = Und schwere Depressionen sind etwas, das auftritt, wenn dieses System zerbricht.</t>
  </si>
  <si>
    <t>auftritt</t>
  </si>
  <si>
    <t>System</t>
  </si>
  <si>
    <t>zerbricht</t>
  </si>
  <si>
    <t># text = Es ist schlecht angepasst.</t>
  </si>
  <si>
    <t>angepasst</t>
  </si>
  <si>
    <t># text = Menschen kommen zu mir und sagen: \"Ich denke, wenn ich nur ein Jahr durchhalte, komme ich da irgendwie durch.\"</t>
  </si>
  <si>
    <t>durchhalte</t>
  </si>
  <si>
    <t>komme</t>
  </si>
  <si>
    <t># text = Und ich sage ihnen immer: "Sie können da durchkommen, aber Sie werden nie mehr 37 sein.</t>
  </si>
  <si>
    <t>sage</t>
  </si>
  <si>
    <t>durchkommen</t>
  </si>
  <si>
    <t># text = Das Leben ist kurz und das ist ein ganzes Jahr, das Sie aufgeben wollen.</t>
  </si>
  <si>
    <t>kurz</t>
  </si>
  <si>
    <t>ganzes</t>
  </si>
  <si>
    <t>wollen</t>
  </si>
  <si>
    <t># text = Überdenken Sie das.\"</t>
  </si>
  <si>
    <t># text = Es ist eine sonderbare Armut der englischen Sprache, und auch vieler anderer Sprachen, dass wir dasselbe Wort, Depressionen, nutzen, um zu beschreiben, wie Kinder sich fühlen, wenn es an ihrem Geburtstag regnet, und um zu beschreiben, wie sich jemand fühlt, eine Minute, bevor er Selbstmord begeht.</t>
  </si>
  <si>
    <t>Armut</t>
  </si>
  <si>
    <t>englischen</t>
  </si>
  <si>
    <t>vieler</t>
  </si>
  <si>
    <t>Sprachen</t>
  </si>
  <si>
    <t>dasselbe</t>
  </si>
  <si>
    <t>Wort</t>
  </si>
  <si>
    <t>nutzen</t>
  </si>
  <si>
    <t>Geburtstag</t>
  </si>
  <si>
    <t>regnet</t>
  </si>
  <si>
    <t>Minute</t>
  </si>
  <si>
    <t>bevor</t>
  </si>
  <si>
    <t>begeht</t>
  </si>
  <si>
    <t># text = Ich wurde gefragt: \"Ist es mit normaler Traurigkeit vergleichbar?\"</t>
  </si>
  <si>
    <t>normaler</t>
  </si>
  <si>
    <t>vergleichbar</t>
  </si>
  <si>
    <t># text = Ich erklärte, dass es gewissermaßen mit normaler Traurigkeit vergleichbar ist.</t>
  </si>
  <si>
    <t>gewissermaßen</t>
  </si>
  <si>
    <t># text = Es gibt ein bestimmtes Maß an Verbindung, aber es ist die gleiche Art von Verbindung zwischen einem Eisenzaun außerhalb des Hauses, der ein paar Rostflecken hat, die man abschleifen und überstreichen muss, und dem, was passiert, wenn man das Haus 100 Jahre verlässt und es durchrostet, bis es nur noch ein Haufen von orangefarbenem Staub ist.</t>
  </si>
  <si>
    <t>bestimmtes</t>
  </si>
  <si>
    <t>Verbindung</t>
  </si>
  <si>
    <t>Eisenzaun</t>
  </si>
  <si>
    <t>Hauses</t>
  </si>
  <si>
    <t>other_8</t>
  </si>
  <si>
    <t>Rostflecken</t>
  </si>
  <si>
    <t>OBJ_7</t>
  </si>
  <si>
    <t>abschleifen</t>
  </si>
  <si>
    <t>überstreichen</t>
  </si>
  <si>
    <t>verlässt</t>
  </si>
  <si>
    <t>durchrostet</t>
  </si>
  <si>
    <t>Haufen</t>
  </si>
  <si>
    <t>orangefarbenem</t>
  </si>
  <si>
    <t>Staub</t>
  </si>
  <si>
    <t># text = Es ist dieser orangefarbene Staubfleck, dieses orangefarbene Staubproblem, das wir angehen wollen.</t>
  </si>
  <si>
    <t>orangefarbene</t>
  </si>
  <si>
    <t>Staubfleck</t>
  </si>
  <si>
    <t>Staubproblem</t>
  </si>
  <si>
    <t>angehen</t>
  </si>
  <si>
    <t># text = Die Menschen sagen jetzt also: "Du nimmst jetzt diese Happy Pills.</t>
  </si>
  <si>
    <t>nimmst</t>
  </si>
  <si>
    <t>Happy</t>
  </si>
  <si>
    <t>Pills</t>
  </si>
  <si>
    <t># text = Fühlst du dich glücklich?"</t>
  </si>
  <si>
    <t>Fühlst</t>
  </si>
  <si>
    <t># text = Das tue ich nicht.</t>
  </si>
  <si>
    <t>tue</t>
  </si>
  <si>
    <t># text = Aber ich bin nicht traurig, dass ich zu Mittag essen muss, und ich bin nicht traurig über meinen Anrufbeantworter, und ich bin nicht traurig, wenn ich duschen muss.</t>
  </si>
  <si>
    <t>Anrufbeantworter</t>
  </si>
  <si>
    <t># text = Ich fühle tatsächlich mehr, weil ich Traurigkeit ohne Nichtigkeit fühlen kann.</t>
  </si>
  <si>
    <t># text = Ich bin traurig über berufliche Enttäuschungen, über beschädigte Beziehungen, über Klimaerwärmung.</t>
  </si>
  <si>
    <t>berufliche</t>
  </si>
  <si>
    <t>Enttäuschungen</t>
  </si>
  <si>
    <t>beschädigte</t>
  </si>
  <si>
    <t>Beziehungen</t>
  </si>
  <si>
    <t>Klimaerwärmung</t>
  </si>
  <si>
    <t># text = Über diese Dinge bin ich jetzt traurig.</t>
  </si>
  <si>
    <t># text = Ich frage mich - was ist das Fazit?</t>
  </si>
  <si>
    <t>Fazit</t>
  </si>
  <si>
    <t># text = Wie haben das die Menschen, die ein besseres Leben haben, sogar mit schwereren Depressionen durchgestanden?</t>
  </si>
  <si>
    <t>Wie</t>
  </si>
  <si>
    <t>besseres</t>
  </si>
  <si>
    <t>sogar</t>
  </si>
  <si>
    <t>schwereren</t>
  </si>
  <si>
    <t>durchgestanden</t>
  </si>
  <si>
    <t># text = Was ist der Mechanismus von Resilienz?</t>
  </si>
  <si>
    <t>Mechanismus</t>
  </si>
  <si>
    <t>Resilienz</t>
  </si>
  <si>
    <t># text = Mit der Zeit fand ich heraus, dass die Menschen, die ihre Erfahrungen leugnen, die sagen: \"Ich war vor langer Zeit depressiv und ich will nie mehr darüber sprechen und ich werde nicht mehr daran denken, ich werde einfach mit meinem Leben weitermachen.\", ironischerweise die Menschen sind, die nahezu von dem, was sie haben, unterjocht werden.</t>
  </si>
  <si>
    <t>Mit</t>
  </si>
  <si>
    <t>leugnen</t>
  </si>
  <si>
    <t>langer</t>
  </si>
  <si>
    <t>weitermachen</t>
  </si>
  <si>
    <t>ironischerweise</t>
  </si>
  <si>
    <t>nahezu</t>
  </si>
  <si>
    <t>unterjocht</t>
  </si>
  <si>
    <t># text = Depressionen auszusperren, verstärken sie nur.</t>
  </si>
  <si>
    <t>auszusperren</t>
  </si>
  <si>
    <t># text = Wenn man sich vor ihnen versteckt, wachsen sie.</t>
  </si>
  <si>
    <t>versteckt</t>
  </si>
  <si>
    <t># text = Und die Menschen, denen es besser geht, sind diejenigen, die die Tatsache tolerieren, dass sie dieses Problem haben.</t>
  </si>
  <si>
    <t>denen</t>
  </si>
  <si>
    <t>diejenigen</t>
  </si>
  <si>
    <t>tolerieren</t>
  </si>
  <si>
    <t># text = Diejenigen, die ihre Depressionen tolerieren können, sind diejenigen, die Resilienz erlangen.</t>
  </si>
  <si>
    <t>Diejenigen</t>
  </si>
  <si>
    <t>erlangen</t>
  </si>
  <si>
    <t># text = Daher sagte Frank Russakoff zu mir: "Wenn ich es nochmal durchleben müsste, würde ich es wahrscheinlich nicht so machen, aber auf sonderbare Weise bin ich dankbar, dass ich das erlebt habe.</t>
  </si>
  <si>
    <t>nochmal</t>
  </si>
  <si>
    <t># text = Ich bin froh, 40 Mal in der Klinik gewesen zu sein.</t>
  </si>
  <si>
    <t>froh</t>
  </si>
  <si>
    <t>Klinik</t>
  </si>
  <si>
    <t># text = Es lehrte mich so viel über Liebe, und meine Beziehung zu meinen Eltern und meinen Ärzten war so wichtig für mich, und sie wird es immer sein.\"</t>
  </si>
  <si>
    <t>lehrte</t>
  </si>
  <si>
    <t>Ärzten</t>
  </si>
  <si>
    <t>wichtig</t>
  </si>
  <si>
    <t># text = Und Maggie Robbins sagte: \"Ich half ehrenamtlich in einer AIDS-Klinik, und ich redete und redete und redete, und die Menschen, mit denen ich zu tun hatte, waren nicht sehr empfänglich, und ich dachte: 'Das ist nicht sehr freundlich oder hilfreich von ihnen.'</t>
  </si>
  <si>
    <t>half</t>
  </si>
  <si>
    <t>ehrenamtlich</t>
  </si>
  <si>
    <t>AIDS</t>
  </si>
  <si>
    <t>redete</t>
  </si>
  <si>
    <t>empfänglich</t>
  </si>
  <si>
    <t>freundlich</t>
  </si>
  <si>
    <t>hilfreich</t>
  </si>
  <si>
    <t># text = Und dann erkannte ich, dass sie nicht mehr machen würden als diese paar Minuten Small Talk.</t>
  </si>
  <si>
    <t>erkannte</t>
  </si>
  <si>
    <t>Small</t>
  </si>
  <si>
    <t>Talk</t>
  </si>
  <si>
    <t># text = Es wäre einfach eine Gelegenheit, wo ich kein AIDS hatte und nicht sterben würde, aber die Tatsache tolerieren konnte, dass sie es hatten und das sie sterben würden.</t>
  </si>
  <si>
    <t>Gelegenheit</t>
  </si>
  <si>
    <t># text = Unsere Bedürfnisse sind unser größtes Kapital.</t>
  </si>
  <si>
    <t>Bedürfnisse</t>
  </si>
  <si>
    <t>unser</t>
  </si>
  <si>
    <t>größtes</t>
  </si>
  <si>
    <t>Kapital</t>
  </si>
  <si>
    <t># text = Es zeigt sich, dass ich gelernt habe, alles zu geben, was ich brauche."</t>
  </si>
  <si>
    <t>gelernt</t>
  </si>
  <si>
    <t># text = Die eigenen Depressionen zu schätzen, verhindert keinen Rückfall, aber es kann die Aussicht auf einen Rückfall und sogar den Rückfall selbst leicht erträglicher machen.</t>
  </si>
  <si>
    <t>schätzen</t>
  </si>
  <si>
    <t>verhindert</t>
  </si>
  <si>
    <t>Rückfall</t>
  </si>
  <si>
    <t>Aussicht</t>
  </si>
  <si>
    <t>leicht</t>
  </si>
  <si>
    <t>erträglicher</t>
  </si>
  <si>
    <t># text = Es geht nicht so sehr darum, einen tieferen Sinn zu finden und zu entscheiden, dass Ihre Depressionen eine wichtige Rolle spielen.</t>
  </si>
  <si>
    <t>darum</t>
  </si>
  <si>
    <t>tieferen</t>
  </si>
  <si>
    <t>entscheiden</t>
  </si>
  <si>
    <t>Ihre</t>
  </si>
  <si>
    <t>wichtige</t>
  </si>
  <si>
    <t>Rolle</t>
  </si>
  <si>
    <t># text = Es geht darum, diese Bedeutung zu suchen, wenn sie erneut kommen, und zu denken: "Das wird die Hölle, aber dadurch werde ich etwas lernen."</t>
  </si>
  <si>
    <t>Bedeutung</t>
  </si>
  <si>
    <t>erneut</t>
  </si>
  <si>
    <t>Hölle</t>
  </si>
  <si>
    <t>dadurch</t>
  </si>
  <si>
    <t># text = Ich habe während meiner eigenen Depressionen gelernt, wir stark eine Emotion sein kann, wie sie wahrhaftiger sein kann als Fakten, und ich merkte, dass diese Erfahrung mir erlaubte, positive Emotionen intensiver zu erleben.</t>
  </si>
  <si>
    <t>stark</t>
  </si>
  <si>
    <t>Emotion</t>
  </si>
  <si>
    <t>wahrhaftiger</t>
  </si>
  <si>
    <t>Fakten</t>
  </si>
  <si>
    <t>merkte</t>
  </si>
  <si>
    <t>erlaubte</t>
  </si>
  <si>
    <t>positive</t>
  </si>
  <si>
    <t>Emotionen</t>
  </si>
  <si>
    <t>intensiver</t>
  </si>
  <si>
    <t># text = Das Gegenteil von Depressionen ist nicht Glück, sondern Vitalität, und heute ist mein Leben vital, sogar an den Tagen, an denen ich traurig bin.</t>
  </si>
  <si>
    <t>vital</t>
  </si>
  <si>
    <t>Tagen</t>
  </si>
  <si>
    <t># text = Ich fühlte dieses Begräbnis in meinem Gehirn und saß neben dem Koloss am Rande der Welt, und ich bemerkte etwas in mir selbst, das ich eine Seele nennen müsste, was ich bis zu dem Tag vor 20 Jahren nie formuliert hatte, als die Hölle mir einen Überraschungsbesuch abstattete.</t>
  </si>
  <si>
    <t>neben</t>
  </si>
  <si>
    <t>Koloss</t>
  </si>
  <si>
    <t>Rande</t>
  </si>
  <si>
    <t>bemerkte</t>
  </si>
  <si>
    <t>nennen</t>
  </si>
  <si>
    <t>formuliert</t>
  </si>
  <si>
    <t>Überraschungsbesuch</t>
  </si>
  <si>
    <t>abstattete</t>
  </si>
  <si>
    <t># text = Obwohl ich es hasste, depressiv zu sein und es hassen würde, wieder depressiv zu werden, habe ich einen Weg gefunden, meine Depressionen zu lieben.</t>
  </si>
  <si>
    <t>Obwohl</t>
  </si>
  <si>
    <t>hasste</t>
  </si>
  <si>
    <t>hassen</t>
  </si>
  <si>
    <t># text = Ich liebe sie, weil sie mich gezwungen hat, Freude zu finden und mich an sie zu klammern.</t>
  </si>
  <si>
    <t>gezwungen</t>
  </si>
  <si>
    <t>Freude</t>
  </si>
  <si>
    <t># text = denn ich entscheide täglich, manchmal spielerisch, und manchmal entgegen der Vernunft des Augenblicks, mich an die Gründe zu leben zu klammern.</t>
  </si>
  <si>
    <t>entscheide</t>
  </si>
  <si>
    <t>manchmal</t>
  </si>
  <si>
    <t>spielerisch</t>
  </si>
  <si>
    <t>entgegen</t>
  </si>
  <si>
    <t>Augenblicks</t>
  </si>
  <si>
    <t>Gründe</t>
  </si>
  <si>
    <t># text = Ich denke, das ist eine sehr privilegierte Begeisterung.</t>
  </si>
  <si>
    <t>privilegierte</t>
  </si>
  <si>
    <t>Begeisterung</t>
  </si>
  <si>
    <t># text = Vielen Dank.</t>
  </si>
  <si>
    <t>Vielen</t>
  </si>
  <si>
    <t># text = (Applaus)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</si>
</sst>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11</v>
      </c>
      <c r="B4" s="6" t="s">
        <v>16</v>
      </c>
      <c r="C4" s="6" t="s">
        <v>12</v>
      </c>
      <c r="D4" s="7" t="s">
        <v>21</v>
      </c>
      <c r="E4" s="8" t="s">
        <v>22</v>
      </c>
      <c r="F4" s="6" t="s">
        <v>23</v>
      </c>
      <c r="G4" s="9">
        <f>IF(A4=1,"_",IF(C4="_","???",C4))</f>
        <v/>
      </c>
      <c r="H4" s="10" t="s">
        <v>12</v>
      </c>
      <c r="I4" s="11" t="s">
        <v>12</v>
      </c>
      <c r="J4" s="12"/>
    </row>
    <row r="5" spans="1:10" ht="60" customHeight="1">
      <c r="A5" s="6" t="s">
        <v>24</v>
      </c>
      <c r="B5" s="6" t="s">
        <v>11</v>
      </c>
      <c r="C5" s="6" t="s">
        <v>12</v>
      </c>
      <c r="D5" s="7" t="s">
        <v>25</v>
      </c>
      <c r="E5" s="8" t="s">
        <v>26</v>
      </c>
      <c r="F5" s="6" t="s">
        <v>27</v>
      </c>
      <c r="G5" s="9">
        <f>IF(A5=1,"_",IF(C5="_","???",C5))</f>
        <v/>
      </c>
      <c r="H5" s="10" t="s">
        <v>12</v>
      </c>
      <c r="I5" s="11" t="s">
        <v>12</v>
      </c>
      <c r="J5" s="12"/>
    </row>
    <row r="6" spans="1:10" ht="60" customHeight="1">
      <c r="A6" s="6" t="s">
        <v>28</v>
      </c>
      <c r="B6" s="6" t="s">
        <v>16</v>
      </c>
      <c r="C6" s="6" t="s">
        <v>12</v>
      </c>
      <c r="D6" s="7" t="s">
        <v>29</v>
      </c>
      <c r="E6" s="8" t="s">
        <v>30</v>
      </c>
      <c r="F6" s="6" t="s">
        <v>31</v>
      </c>
      <c r="G6" s="9">
        <f>IF(A6=1,"_",IF(C6="_","???",C6))</f>
        <v/>
      </c>
      <c r="H6" s="10" t="s">
        <v>12</v>
      </c>
      <c r="I6" s="11" t="s">
        <v>12</v>
      </c>
      <c r="J6" s="12"/>
    </row>
    <row r="7" spans="1:10" ht="60" customHeight="1">
      <c r="A7" s="6" t="s">
        <v>32</v>
      </c>
      <c r="B7" s="6" t="s">
        <v>17</v>
      </c>
      <c r="C7" s="6" t="s">
        <v>33</v>
      </c>
      <c r="D7" s="7" t="s">
        <v>34</v>
      </c>
      <c r="E7" s="8" t="s">
        <v>35</v>
      </c>
      <c r="F7" s="6" t="s">
        <v>36</v>
      </c>
      <c r="G7" s="9">
        <f>IF(A7=1,"_",IF(C7="_","???",C7))</f>
        <v/>
      </c>
      <c r="H7" s="10" t="s">
        <v>12</v>
      </c>
      <c r="I7" s="11" t="s">
        <v>12</v>
      </c>
      <c r="J7" s="12"/>
    </row>
    <row r="8" spans="1:10" ht="60" customHeight="1">
      <c r="A8" s="6" t="s">
        <v>17</v>
      </c>
      <c r="B8" s="6" t="s">
        <v>28</v>
      </c>
      <c r="C8" s="6" t="s">
        <v>12</v>
      </c>
      <c r="D8" s="7" t="s">
        <v>37</v>
      </c>
      <c r="E8" s="8" t="s">
        <v>38</v>
      </c>
      <c r="F8" s="6" t="s">
        <v>39</v>
      </c>
      <c r="G8" s="9">
        <f>IF(A8=1,"_",IF(C8="_","???",C8))</f>
        <v/>
      </c>
      <c r="H8" s="10" t="s">
        <v>12</v>
      </c>
      <c r="I8" s="11" t="s">
        <v>12</v>
      </c>
      <c r="J8" s="12"/>
    </row>
    <row r="9" spans="1:10" ht="60" customHeight="1">
      <c r="A9" s="6" t="s">
        <v>40</v>
      </c>
      <c r="B9" s="6" t="s">
        <v>11</v>
      </c>
      <c r="C9" s="6" t="s">
        <v>12</v>
      </c>
      <c r="D9" s="7" t="s">
        <v>41</v>
      </c>
      <c r="E9" s="8" t="s">
        <v>42</v>
      </c>
      <c r="F9" s="6" t="s">
        <v>43</v>
      </c>
      <c r="G9" s="9">
        <f>IF(A9=1,"_",IF(C9="_","???",C9))</f>
        <v/>
      </c>
      <c r="H9" s="10" t="s">
        <v>12</v>
      </c>
      <c r="I9" s="11" t="s">
        <v>12</v>
      </c>
      <c r="J9" s="12"/>
    </row>
    <row r="10" spans="1:10" ht="60" customHeight="1">
      <c r="A10" s="6" t="s">
        <v>44</v>
      </c>
      <c r="B10" s="6" t="s">
        <v>16</v>
      </c>
      <c r="C10" s="6" t="s">
        <v>12</v>
      </c>
      <c r="D10" s="7" t="s">
        <v>45</v>
      </c>
      <c r="E10" s="8" t="s">
        <v>46</v>
      </c>
      <c r="F10" s="6" t="s">
        <v>47</v>
      </c>
      <c r="G10" s="9">
        <f>IF(A10=1,"_",IF(C10="_","???",C10))</f>
        <v/>
      </c>
      <c r="H10" s="10" t="s">
        <v>12</v>
      </c>
      <c r="I10" s="11" t="s">
        <v>12</v>
      </c>
      <c r="J10" s="12"/>
    </row>
    <row r="11" spans="1:10" ht="60" customHeight="1">
      <c r="A11" s="6" t="s">
        <v>48</v>
      </c>
      <c r="B11" s="6" t="s">
        <v>11</v>
      </c>
      <c r="C11" s="6" t="s">
        <v>12</v>
      </c>
      <c r="D11" s="7" t="s">
        <v>49</v>
      </c>
      <c r="E11" s="8" t="s">
        <v>50</v>
      </c>
      <c r="F11" s="6" t="s">
        <v>51</v>
      </c>
      <c r="G11" s="9">
        <f>IF(A11=1,"_",IF(C11="_","???",C11))</f>
        <v/>
      </c>
      <c r="H11" s="10" t="s">
        <v>12</v>
      </c>
      <c r="I11" s="11" t="s">
        <v>12</v>
      </c>
      <c r="J11" s="12"/>
    </row>
    <row r="12" spans="1:10" ht="60" customHeight="1">
      <c r="A12" s="6" t="s">
        <v>52</v>
      </c>
      <c r="B12" s="6" t="s">
        <v>40</v>
      </c>
      <c r="C12" s="6" t="s">
        <v>12</v>
      </c>
      <c r="D12" s="7" t="s">
        <v>53</v>
      </c>
      <c r="E12" s="8" t="s">
        <v>54</v>
      </c>
      <c r="F12" s="6" t="s">
        <v>55</v>
      </c>
      <c r="G12" s="9">
        <f>IF(A12=1,"_",IF(C12="_","???",C12))</f>
        <v/>
      </c>
      <c r="H12" s="10" t="s">
        <v>12</v>
      </c>
      <c r="I12" s="11" t="s">
        <v>12</v>
      </c>
      <c r="J12" s="12"/>
    </row>
    <row r="13" spans="1:10" ht="60" customHeight="1">
      <c r="A13" s="6" t="s">
        <v>56</v>
      </c>
      <c r="B13" s="6" t="s">
        <v>40</v>
      </c>
      <c r="C13" s="6" t="s">
        <v>57</v>
      </c>
      <c r="D13" s="7" t="s">
        <v>58</v>
      </c>
      <c r="E13" s="8" t="s">
        <v>59</v>
      </c>
      <c r="F13" s="6" t="s">
        <v>60</v>
      </c>
      <c r="G13" s="9">
        <f>IF(A13=1,"_",IF(C13="_","???",C13))</f>
        <v/>
      </c>
      <c r="H13" s="10" t="s">
        <v>12</v>
      </c>
      <c r="I13" s="11" t="s">
        <v>12</v>
      </c>
      <c r="J13" s="12"/>
    </row>
    <row r="14" spans="1:10" ht="60" customHeight="1">
      <c r="A14" s="6" t="s">
        <v>61</v>
      </c>
      <c r="B14" s="6" t="s">
        <v>28</v>
      </c>
      <c r="C14" s="6" t="s">
        <v>12</v>
      </c>
      <c r="D14" s="7" t="s">
        <v>62</v>
      </c>
      <c r="E14" s="8" t="s">
        <v>63</v>
      </c>
      <c r="F14" s="6" t="s">
        <v>64</v>
      </c>
      <c r="G14" s="9">
        <f>IF(A14=1,"_",IF(C14="_","???",C14))</f>
        <v/>
      </c>
      <c r="H14" s="10" t="s">
        <v>12</v>
      </c>
      <c r="I14" s="11" t="s">
        <v>12</v>
      </c>
      <c r="J14" s="12"/>
    </row>
    <row r="15" spans="1:10" ht="60" customHeight="1">
      <c r="A15" s="6" t="s">
        <v>65</v>
      </c>
      <c r="B15" s="6" t="s">
        <v>40</v>
      </c>
      <c r="C15" s="6" t="s">
        <v>12</v>
      </c>
      <c r="D15" s="7" t="s">
        <v>66</v>
      </c>
      <c r="E15" s="8" t="s">
        <v>67</v>
      </c>
      <c r="F15" s="6" t="s">
        <v>68</v>
      </c>
      <c r="G15" s="9">
        <f>IF(A15=1,"_",IF(C15="_","???",C15))</f>
        <v/>
      </c>
      <c r="H15" s="10" t="s">
        <v>12</v>
      </c>
      <c r="I15" s="11" t="s">
        <v>12</v>
      </c>
      <c r="J15" s="12"/>
    </row>
    <row r="16" spans="1:10" ht="60" customHeight="1">
      <c r="A16" s="6" t="s">
        <v>69</v>
      </c>
      <c r="B16" s="6" t="s">
        <v>69</v>
      </c>
      <c r="C16" s="6" t="s">
        <v>12</v>
      </c>
      <c r="D16" s="7" t="s">
        <v>37</v>
      </c>
      <c r="E16" s="8" t="s">
        <v>70</v>
      </c>
      <c r="F16" s="6" t="s">
        <v>71</v>
      </c>
      <c r="G16" s="9">
        <f>IF(A16=1,"_",IF(C16="_","???",C16))</f>
        <v/>
      </c>
      <c r="H16" s="10" t="s">
        <v>12</v>
      </c>
      <c r="I16" s="11" t="s">
        <v>12</v>
      </c>
      <c r="J16" s="12"/>
    </row>
    <row r="17" spans="1:10" ht="60" customHeight="1">
      <c r="A17" s="6" t="s">
        <v>72</v>
      </c>
      <c r="B17" s="6" t="s">
        <v>52</v>
      </c>
      <c r="C17" s="6" t="s">
        <v>12</v>
      </c>
      <c r="D17" s="7" t="s">
        <v>73</v>
      </c>
      <c r="E17" s="8" t="s">
        <v>74</v>
      </c>
      <c r="F17" s="6" t="s">
        <v>75</v>
      </c>
      <c r="G17" s="9">
        <f>IF(A17=1,"_",IF(C17="_","???",C17))</f>
        <v/>
      </c>
      <c r="H17" s="10" t="s">
        <v>12</v>
      </c>
      <c r="I17" s="11" t="s">
        <v>12</v>
      </c>
      <c r="J17" s="12"/>
    </row>
    <row r="18" spans="1:10" ht="60" customHeight="1">
      <c r="A18" s="6" t="s">
        <v>76</v>
      </c>
      <c r="B18" s="6" t="s">
        <v>44</v>
      </c>
      <c r="C18" s="6" t="s">
        <v>12</v>
      </c>
      <c r="D18" s="7" t="s">
        <v>77</v>
      </c>
      <c r="E18" s="8" t="s">
        <v>78</v>
      </c>
      <c r="F18" s="6" t="s">
        <v>79</v>
      </c>
      <c r="G18" s="9">
        <f>IF(A18=1,"_",IF(C18="_","???",C18))</f>
        <v/>
      </c>
      <c r="H18" s="10" t="s">
        <v>12</v>
      </c>
      <c r="I18" s="11" t="s">
        <v>12</v>
      </c>
      <c r="J18" s="12"/>
    </row>
    <row r="19" spans="1:10" ht="60" customHeight="1">
      <c r="A19" s="6" t="s">
        <v>80</v>
      </c>
      <c r="B19" s="6" t="s">
        <v>16</v>
      </c>
      <c r="C19" s="6" t="s">
        <v>12</v>
      </c>
      <c r="D19" s="7" t="s">
        <v>81</v>
      </c>
      <c r="E19" s="8" t="s">
        <v>82</v>
      </c>
      <c r="F19" s="6" t="s">
        <v>83</v>
      </c>
      <c r="G19" s="9">
        <f>IF(A19=1,"_",IF(C19="_","???",C19))</f>
        <v/>
      </c>
      <c r="H19" s="10" t="s">
        <v>12</v>
      </c>
      <c r="I19" s="11" t="s">
        <v>12</v>
      </c>
      <c r="J19" s="12"/>
    </row>
    <row r="20" spans="1:10" ht="60" customHeight="1">
      <c r="A20" s="6" t="s">
        <v>84</v>
      </c>
      <c r="B20" s="6" t="s">
        <v>16</v>
      </c>
      <c r="C20" s="6" t="s">
        <v>12</v>
      </c>
      <c r="D20" s="7" t="s">
        <v>81</v>
      </c>
      <c r="E20" s="8" t="s">
        <v>85</v>
      </c>
      <c r="F20" s="6" t="s">
        <v>86</v>
      </c>
      <c r="G20" s="9">
        <f>IF(A20=1,"_",IF(C20="_","???",C20))</f>
        <v/>
      </c>
      <c r="H20" s="10" t="s">
        <v>12</v>
      </c>
      <c r="I20" s="11" t="s">
        <v>12</v>
      </c>
      <c r="J20" s="12"/>
    </row>
    <row r="21" spans="1:10" ht="60" customHeight="1">
      <c r="A21" s="6" t="s">
        <v>87</v>
      </c>
      <c r="B21" s="6" t="s">
        <v>16</v>
      </c>
      <c r="C21" s="6" t="s">
        <v>12</v>
      </c>
      <c r="D21" s="7" t="s">
        <v>88</v>
      </c>
      <c r="E21" s="8" t="s">
        <v>89</v>
      </c>
      <c r="F21" s="6" t="s">
        <v>90</v>
      </c>
      <c r="G21" s="9">
        <f>IF(A21=1,"_",IF(C21="_","???",C21))</f>
        <v/>
      </c>
      <c r="H21" s="10" t="s">
        <v>12</v>
      </c>
      <c r="I21" s="11" t="s">
        <v>12</v>
      </c>
      <c r="J21" s="12"/>
    </row>
    <row r="22" spans="1:10" ht="60" customHeight="1">
      <c r="A22" s="6" t="s">
        <v>91</v>
      </c>
      <c r="B22" s="6" t="s">
        <v>16</v>
      </c>
      <c r="C22" s="6" t="s">
        <v>12</v>
      </c>
      <c r="D22" s="7" t="s">
        <v>92</v>
      </c>
      <c r="E22" s="8" t="s">
        <v>93</v>
      </c>
      <c r="F22" s="6" t="s">
        <v>94</v>
      </c>
      <c r="G22" s="9">
        <f>IF(A22=1,"_",IF(C22="_","???",C22))</f>
        <v/>
      </c>
      <c r="H22" s="10" t="s">
        <v>12</v>
      </c>
      <c r="I22" s="11" t="s">
        <v>12</v>
      </c>
      <c r="J22" s="12"/>
    </row>
    <row r="23" spans="1:10" ht="60" customHeight="1">
      <c r="A23" s="6" t="s">
        <v>95</v>
      </c>
      <c r="B23" s="6" t="s">
        <v>11</v>
      </c>
      <c r="C23" s="6" t="s">
        <v>12</v>
      </c>
      <c r="D23" s="7" t="s">
        <v>96</v>
      </c>
      <c r="E23" s="8" t="s">
        <v>97</v>
      </c>
      <c r="F23" s="6" t="s">
        <v>98</v>
      </c>
      <c r="G23" s="9">
        <f>IF(A23=1,"_",IF(C23="_","???",C23))</f>
        <v/>
      </c>
      <c r="H23" s="10" t="s">
        <v>12</v>
      </c>
      <c r="I23" s="11" t="s">
        <v>12</v>
      </c>
      <c r="J23" s="12"/>
    </row>
    <row r="24" spans="1:10" ht="60" customHeight="1">
      <c r="A24" s="6" t="s">
        <v>99</v>
      </c>
      <c r="B24" s="6" t="s">
        <v>84</v>
      </c>
      <c r="C24" s="6" t="s">
        <v>12</v>
      </c>
      <c r="D24" s="7" t="s">
        <v>100</v>
      </c>
      <c r="E24" s="8" t="s">
        <v>101</v>
      </c>
      <c r="F24" s="6" t="s">
        <v>102</v>
      </c>
      <c r="G24" s="9">
        <f>IF(A24=1,"_",IF(C24="_","???",C24))</f>
        <v/>
      </c>
      <c r="H24" s="10" t="s">
        <v>12</v>
      </c>
      <c r="I24" s="11" t="s">
        <v>12</v>
      </c>
      <c r="J24" s="12"/>
    </row>
    <row r="25" spans="1:10" ht="60" customHeight="1">
      <c r="A25" s="6" t="s">
        <v>103</v>
      </c>
      <c r="B25" s="6" t="s">
        <v>48</v>
      </c>
      <c r="C25" s="6" t="s">
        <v>12</v>
      </c>
      <c r="D25" s="7" t="s">
        <v>104</v>
      </c>
      <c r="E25" s="8" t="s">
        <v>105</v>
      </c>
      <c r="F25" s="6" t="s">
        <v>106</v>
      </c>
      <c r="G25" s="9">
        <f>IF(A25=1,"_",IF(C25="_","???",C25))</f>
        <v/>
      </c>
      <c r="H25" s="10" t="s">
        <v>12</v>
      </c>
      <c r="I25" s="11" t="s">
        <v>12</v>
      </c>
      <c r="J25" s="12"/>
    </row>
    <row r="26" spans="1:10" ht="60" customHeight="1">
      <c r="A26" s="6" t="s">
        <v>107</v>
      </c>
      <c r="B26" s="6" t="s">
        <v>44</v>
      </c>
      <c r="C26" s="6" t="s">
        <v>12</v>
      </c>
      <c r="D26" s="7" t="s">
        <v>104</v>
      </c>
      <c r="E26" s="8" t="s">
        <v>108</v>
      </c>
      <c r="F26" s="6" t="s">
        <v>109</v>
      </c>
      <c r="G26" s="9">
        <f>IF(A26=1,"_",IF(C26="_","???",C26))</f>
        <v/>
      </c>
      <c r="H26" s="10" t="s">
        <v>12</v>
      </c>
      <c r="I26" s="11" t="s">
        <v>12</v>
      </c>
      <c r="J26" s="12"/>
    </row>
    <row r="27" spans="1:10" ht="60" customHeight="1">
      <c r="A27" s="6" t="s">
        <v>110</v>
      </c>
      <c r="B27" s="6" t="s">
        <v>16</v>
      </c>
      <c r="C27" s="6" t="s">
        <v>12</v>
      </c>
      <c r="D27" s="7" t="s">
        <v>111</v>
      </c>
      <c r="E27" s="8" t="s">
        <v>112</v>
      </c>
      <c r="F27" s="6" t="s">
        <v>113</v>
      </c>
      <c r="G27" s="9">
        <f>IF(A27=1,"_",IF(C27="_","???",C27))</f>
        <v/>
      </c>
      <c r="H27" s="10" t="s">
        <v>12</v>
      </c>
      <c r="I27" s="11" t="s">
        <v>12</v>
      </c>
      <c r="J27" s="12"/>
    </row>
    <row r="28" spans="1:10" ht="60" customHeight="1">
      <c r="A28" s="6" t="s">
        <v>114</v>
      </c>
      <c r="B28" s="6" t="s">
        <v>91</v>
      </c>
      <c r="C28" s="6" t="s">
        <v>12</v>
      </c>
      <c r="D28" s="7" t="s">
        <v>115</v>
      </c>
      <c r="E28" s="8" t="s">
        <v>116</v>
      </c>
      <c r="F28" s="6" t="s">
        <v>117</v>
      </c>
      <c r="G28" s="9">
        <f>IF(A28=1,"_",IF(C28="_","???",C28))</f>
        <v/>
      </c>
      <c r="H28" s="10" t="s">
        <v>12</v>
      </c>
      <c r="I28" s="11" t="s">
        <v>12</v>
      </c>
      <c r="J28" s="12"/>
    </row>
    <row r="29" spans="1:10" ht="60" customHeight="1">
      <c r="A29" s="6" t="s">
        <v>118</v>
      </c>
      <c r="B29" s="6" t="s">
        <v>11</v>
      </c>
      <c r="C29" s="6" t="s">
        <v>12</v>
      </c>
      <c r="D29" s="7" t="s">
        <v>119</v>
      </c>
      <c r="E29" s="8" t="s">
        <v>120</v>
      </c>
      <c r="F29" s="6" t="s">
        <v>121</v>
      </c>
      <c r="G29" s="9">
        <f>IF(A29=1,"_",IF(C29="_","???",C29))</f>
        <v/>
      </c>
      <c r="H29" s="10" t="s">
        <v>12</v>
      </c>
      <c r="I29" s="11" t="s">
        <v>12</v>
      </c>
      <c r="J29" s="12"/>
    </row>
    <row r="30" spans="1:10" ht="60" customHeight="1">
      <c r="A30" s="6" t="s">
        <v>122</v>
      </c>
      <c r="B30" s="6" t="s">
        <v>32</v>
      </c>
      <c r="C30" s="6" t="s">
        <v>12</v>
      </c>
      <c r="D30" s="7" t="s">
        <v>123</v>
      </c>
      <c r="E30" s="8" t="s">
        <v>124</v>
      </c>
      <c r="F30" s="6" t="s">
        <v>125</v>
      </c>
      <c r="G30" s="9">
        <f>IF(A30=1,"_",IF(C30="_","???",C30))</f>
        <v/>
      </c>
      <c r="H30" s="10" t="s">
        <v>12</v>
      </c>
      <c r="I30" s="11" t="s">
        <v>12</v>
      </c>
      <c r="J30" s="12"/>
    </row>
    <row r="31" spans="1:10" ht="60" customHeight="1">
      <c r="A31" s="6" t="s">
        <v>126</v>
      </c>
      <c r="B31" s="6" t="s">
        <v>56</v>
      </c>
      <c r="C31" s="6" t="s">
        <v>127</v>
      </c>
      <c r="D31" s="7" t="s">
        <v>128</v>
      </c>
      <c r="E31" s="8" t="s">
        <v>129</v>
      </c>
      <c r="F31" s="6" t="s">
        <v>130</v>
      </c>
      <c r="G31" s="9">
        <f>IF(A31=1,"_",IF(C31="_","???",C31))</f>
        <v/>
      </c>
      <c r="H31" s="10" t="s">
        <v>12</v>
      </c>
      <c r="I31" s="11" t="s">
        <v>12</v>
      </c>
      <c r="J31" s="12"/>
    </row>
    <row r="32" spans="1:10" ht="60" customHeight="1">
      <c r="A32" s="6" t="s">
        <v>131</v>
      </c>
      <c r="B32" s="6" t="s">
        <v>16</v>
      </c>
      <c r="C32" s="6" t="s">
        <v>12</v>
      </c>
      <c r="D32" s="7" t="s">
        <v>132</v>
      </c>
      <c r="E32" s="8" t="s">
        <v>133</v>
      </c>
      <c r="F32" s="6" t="s">
        <v>134</v>
      </c>
      <c r="G32" s="9">
        <f>IF(A32=1,"_",IF(C32="_","???",C32))</f>
        <v/>
      </c>
      <c r="H32" s="10" t="s">
        <v>12</v>
      </c>
      <c r="I32" s="11" t="s">
        <v>12</v>
      </c>
      <c r="J32" s="12"/>
    </row>
    <row r="33" spans="1:10" ht="60" customHeight="1">
      <c r="A33" s="6" t="s">
        <v>135</v>
      </c>
      <c r="B33" s="6" t="s">
        <v>24</v>
      </c>
      <c r="C33" s="6" t="s">
        <v>12</v>
      </c>
      <c r="D33" s="7" t="s">
        <v>136</v>
      </c>
      <c r="E33" s="8" t="s">
        <v>137</v>
      </c>
      <c r="F33" s="6" t="s">
        <v>138</v>
      </c>
      <c r="G33" s="9">
        <f>IF(A33=1,"_",IF(C33="_","???",C33))</f>
        <v/>
      </c>
      <c r="H33" s="10" t="s">
        <v>12</v>
      </c>
      <c r="I33" s="11" t="s">
        <v>12</v>
      </c>
      <c r="J33" s="12"/>
    </row>
    <row r="34" spans="1:10" ht="60" customHeight="1">
      <c r="A34" s="6" t="s">
        <v>139</v>
      </c>
      <c r="B34" s="6" t="s">
        <v>11</v>
      </c>
      <c r="C34" s="6" t="s">
        <v>12</v>
      </c>
      <c r="D34" s="7" t="s">
        <v>88</v>
      </c>
      <c r="E34" s="8" t="s">
        <v>140</v>
      </c>
      <c r="F34" s="6" t="s">
        <v>141</v>
      </c>
      <c r="G34" s="9">
        <f>IF(A34=1,"_",IF(C34="_","???",C34))</f>
        <v/>
      </c>
      <c r="H34" s="10" t="s">
        <v>12</v>
      </c>
      <c r="I34" s="11" t="s">
        <v>12</v>
      </c>
      <c r="J34" s="12"/>
    </row>
    <row r="35" spans="1:10" ht="60" customHeight="1">
      <c r="A35" s="6" t="s">
        <v>142</v>
      </c>
      <c r="B35" s="6" t="s">
        <v>40</v>
      </c>
      <c r="C35" s="6" t="s">
        <v>12</v>
      </c>
      <c r="D35" s="7" t="s">
        <v>58</v>
      </c>
      <c r="E35" s="8" t="s">
        <v>143</v>
      </c>
      <c r="F35" s="6" t="s">
        <v>144</v>
      </c>
      <c r="G35" s="9">
        <f>IF(A35=1,"_",IF(C35="_","???",C35))</f>
        <v/>
      </c>
      <c r="H35" s="10" t="s">
        <v>12</v>
      </c>
      <c r="I35" s="11" t="s">
        <v>12</v>
      </c>
      <c r="J35" s="12"/>
    </row>
    <row r="36" spans="1:10" ht="60" customHeight="1">
      <c r="A36" s="6" t="s">
        <v>145</v>
      </c>
      <c r="B36" s="6" t="s">
        <v>11</v>
      </c>
      <c r="C36" s="6" t="s">
        <v>146</v>
      </c>
      <c r="D36" s="7" t="s">
        <v>41</v>
      </c>
      <c r="E36" s="8" t="s">
        <v>147</v>
      </c>
      <c r="F36" s="6" t="s">
        <v>148</v>
      </c>
      <c r="G36" s="9">
        <f>IF(A36=1,"_",IF(C36="_","???",C36))</f>
        <v/>
      </c>
      <c r="H36" s="10" t="s">
        <v>12</v>
      </c>
      <c r="I36" s="11" t="s">
        <v>12</v>
      </c>
      <c r="J36" s="12"/>
    </row>
    <row r="37" spans="1:10" ht="60" customHeight="1">
      <c r="A37" s="6" t="s">
        <v>149</v>
      </c>
      <c r="B37" s="6" t="s">
        <v>16</v>
      </c>
      <c r="C37" s="6" t="s">
        <v>12</v>
      </c>
      <c r="D37" s="7" t="s">
        <v>150</v>
      </c>
      <c r="E37" s="8" t="s">
        <v>151</v>
      </c>
      <c r="F37" s="6" t="s">
        <v>152</v>
      </c>
      <c r="G37" s="9">
        <f>IF(A37=1,"_",IF(C37="_","???",C37))</f>
        <v/>
      </c>
      <c r="H37" s="10" t="s">
        <v>12</v>
      </c>
      <c r="I37" s="11" t="s">
        <v>12</v>
      </c>
      <c r="J37" s="12"/>
    </row>
    <row r="38" spans="1:10" ht="60" customHeight="1">
      <c r="A38" s="6" t="s">
        <v>153</v>
      </c>
      <c r="B38" s="6" t="s">
        <v>16</v>
      </c>
      <c r="C38" s="6" t="s">
        <v>12</v>
      </c>
      <c r="D38" s="7" t="s">
        <v>81</v>
      </c>
      <c r="E38" s="8" t="s">
        <v>154</v>
      </c>
      <c r="F38" s="6" t="s">
        <v>155</v>
      </c>
      <c r="G38" s="9">
        <f>IF(A38=1,"_",IF(C38="_","???",C38))</f>
        <v/>
      </c>
      <c r="H38" s="10" t="s">
        <v>12</v>
      </c>
      <c r="I38" s="11" t="s">
        <v>12</v>
      </c>
      <c r="J38" s="12"/>
    </row>
    <row r="39" spans="1:10" ht="60" customHeight="1">
      <c r="A39" s="6" t="s">
        <v>156</v>
      </c>
      <c r="B39" s="6" t="s">
        <v>11</v>
      </c>
      <c r="C39" s="6" t="s">
        <v>12</v>
      </c>
      <c r="D39" s="7" t="s">
        <v>104</v>
      </c>
      <c r="E39" s="8" t="s">
        <v>157</v>
      </c>
      <c r="F39" s="6" t="s">
        <v>158</v>
      </c>
      <c r="G39" s="9">
        <f>IF(A39=1,"_",IF(C39="_","???",C39))</f>
        <v/>
      </c>
      <c r="H39" s="10" t="s">
        <v>12</v>
      </c>
      <c r="I39" s="11" t="s">
        <v>12</v>
      </c>
      <c r="J39" s="12"/>
    </row>
    <row r="40" spans="1:10" ht="60" customHeight="1">
      <c r="A40" s="6" t="s">
        <v>159</v>
      </c>
      <c r="B40" s="6" t="s">
        <v>11</v>
      </c>
      <c r="C40" s="6" t="s">
        <v>12</v>
      </c>
      <c r="D40" s="7" t="s">
        <v>160</v>
      </c>
      <c r="E40" s="8" t="s">
        <v>161</v>
      </c>
      <c r="F40" s="6" t="s">
        <v>162</v>
      </c>
      <c r="G40" s="9">
        <f>IF(A40=1,"_",IF(C40="_","???",C40))</f>
        <v/>
      </c>
      <c r="H40" s="10" t="s">
        <v>12</v>
      </c>
      <c r="I40" s="11" t="s">
        <v>12</v>
      </c>
      <c r="J40" s="12"/>
    </row>
    <row r="41" spans="1:10" ht="60" customHeight="1">
      <c r="A41" s="6" t="s">
        <v>163</v>
      </c>
      <c r="B41" s="6" t="s">
        <v>16</v>
      </c>
      <c r="C41" s="6" t="s">
        <v>12</v>
      </c>
      <c r="D41" s="7" t="s">
        <v>164</v>
      </c>
      <c r="E41" s="8" t="s">
        <v>165</v>
      </c>
      <c r="F41" s="6" t="s">
        <v>166</v>
      </c>
      <c r="G41" s="9">
        <f>IF(A41=1,"_",IF(C41="_","???",C41))</f>
        <v/>
      </c>
      <c r="H41" s="10" t="s">
        <v>12</v>
      </c>
      <c r="I41" s="11" t="s">
        <v>12</v>
      </c>
      <c r="J41" s="12"/>
    </row>
    <row r="42" spans="1:10" ht="60" customHeight="1">
      <c r="A42" s="6" t="s">
        <v>167</v>
      </c>
      <c r="B42" s="6" t="s">
        <v>48</v>
      </c>
      <c r="C42" s="6" t="s">
        <v>12</v>
      </c>
      <c r="D42" s="7" t="s">
        <v>168</v>
      </c>
      <c r="E42" s="8" t="s">
        <v>169</v>
      </c>
      <c r="F42" s="6" t="s">
        <v>170</v>
      </c>
      <c r="G42" s="9">
        <f>IF(A42=1,"_",IF(C42="_","???",C42))</f>
        <v/>
      </c>
      <c r="H42" s="10" t="s">
        <v>12</v>
      </c>
      <c r="I42" s="11" t="s">
        <v>12</v>
      </c>
      <c r="J42" s="12"/>
    </row>
    <row r="43" spans="1:10" ht="60" customHeight="1">
      <c r="A43" s="6" t="s">
        <v>171</v>
      </c>
      <c r="B43" s="6" t="s">
        <v>24</v>
      </c>
      <c r="C43" s="6" t="s">
        <v>12</v>
      </c>
      <c r="D43" s="7" t="s">
        <v>172</v>
      </c>
      <c r="E43" s="8" t="s">
        <v>173</v>
      </c>
      <c r="F43" s="6" t="s">
        <v>174</v>
      </c>
      <c r="G43" s="9">
        <f>IF(A43=1,"_",IF(C43="_","???",C43))</f>
        <v/>
      </c>
      <c r="H43" s="10" t="s">
        <v>12</v>
      </c>
      <c r="I43" s="11" t="s">
        <v>12</v>
      </c>
      <c r="J43" s="12"/>
    </row>
    <row r="44" spans="1:10" ht="60" customHeight="1">
      <c r="A44" s="6" t="s">
        <v>175</v>
      </c>
      <c r="B44" s="6" t="s">
        <v>11</v>
      </c>
      <c r="C44" s="6" t="s">
        <v>12</v>
      </c>
      <c r="D44" s="7" t="s">
        <v>176</v>
      </c>
      <c r="E44" s="8" t="s">
        <v>177</v>
      </c>
      <c r="F44" s="6" t="s">
        <v>178</v>
      </c>
      <c r="G44" s="9">
        <f>IF(A44=1,"_",IF(C44="_","???",C44))</f>
        <v/>
      </c>
      <c r="H44" s="10" t="s">
        <v>12</v>
      </c>
      <c r="I44" s="11" t="s">
        <v>12</v>
      </c>
      <c r="J44" s="12"/>
    </row>
    <row r="45" spans="1:10" ht="60" customHeight="1">
      <c r="A45" s="6" t="s">
        <v>179</v>
      </c>
      <c r="B45" s="6" t="s">
        <v>32</v>
      </c>
      <c r="C45" s="6" t="s">
        <v>12</v>
      </c>
      <c r="D45" s="7" t="s">
        <v>104</v>
      </c>
      <c r="E45" s="8" t="s">
        <v>180</v>
      </c>
      <c r="F45" s="6" t="s">
        <v>181</v>
      </c>
      <c r="G45" s="9">
        <f>IF(A45=1,"_",IF(C45="_","???",C45))</f>
        <v/>
      </c>
      <c r="H45" s="10" t="s">
        <v>12</v>
      </c>
      <c r="I45" s="11" t="s">
        <v>12</v>
      </c>
      <c r="J45" s="12"/>
    </row>
    <row r="46" spans="1:10" ht="60" customHeight="1">
      <c r="A46" s="6" t="s">
        <v>182</v>
      </c>
      <c r="B46" s="6" t="s">
        <v>16</v>
      </c>
      <c r="C46" s="6" t="s">
        <v>12</v>
      </c>
      <c r="D46" s="7" t="s">
        <v>183</v>
      </c>
      <c r="E46" s="8" t="s">
        <v>184</v>
      </c>
      <c r="F46" s="6" t="s">
        <v>185</v>
      </c>
      <c r="G46" s="9">
        <f>IF(A46=1,"_",IF(C46="_","???",C46))</f>
        <v/>
      </c>
      <c r="H46" s="10" t="s">
        <v>12</v>
      </c>
      <c r="I46" s="11" t="s">
        <v>12</v>
      </c>
      <c r="J46" s="12"/>
    </row>
    <row r="47" spans="1:10" ht="60" customHeight="1">
      <c r="A47" s="6" t="s">
        <v>186</v>
      </c>
      <c r="B47" s="6" t="s">
        <v>16</v>
      </c>
      <c r="C47" s="6" t="s">
        <v>12</v>
      </c>
      <c r="D47" s="7" t="s">
        <v>187</v>
      </c>
      <c r="E47" s="8" t="s">
        <v>188</v>
      </c>
      <c r="F47" s="6" t="s">
        <v>189</v>
      </c>
      <c r="G47" s="9">
        <f>IF(A47=1,"_",IF(C47="_","???",C47))</f>
        <v/>
      </c>
      <c r="H47" s="10" t="s">
        <v>12</v>
      </c>
      <c r="I47" s="11" t="s">
        <v>12</v>
      </c>
      <c r="J47" s="12"/>
    </row>
    <row r="48" spans="1:10" ht="60" customHeight="1">
      <c r="A48" s="6" t="s">
        <v>190</v>
      </c>
      <c r="B48" s="6" t="s">
        <v>16</v>
      </c>
      <c r="C48" s="6" t="s">
        <v>12</v>
      </c>
      <c r="D48" s="7" t="s">
        <v>191</v>
      </c>
      <c r="E48" s="8" t="s">
        <v>192</v>
      </c>
      <c r="F48" s="6" t="s">
        <v>193</v>
      </c>
      <c r="G48" s="9">
        <f>IF(A48=1,"_",IF(C48="_","???",C48))</f>
        <v/>
      </c>
      <c r="H48" s="10" t="s">
        <v>12</v>
      </c>
      <c r="I48" s="11" t="s">
        <v>12</v>
      </c>
      <c r="J48" s="12"/>
    </row>
    <row r="49" spans="1:10" ht="60" customHeight="1">
      <c r="A49" s="6" t="s">
        <v>194</v>
      </c>
      <c r="B49" s="6" t="s">
        <v>16</v>
      </c>
      <c r="C49" s="6" t="s">
        <v>12</v>
      </c>
      <c r="D49" s="7" t="s">
        <v>104</v>
      </c>
      <c r="E49" s="8" t="s">
        <v>195</v>
      </c>
      <c r="F49" s="6" t="s">
        <v>196</v>
      </c>
      <c r="G49" s="9">
        <f>IF(A49=1,"_",IF(C49="_","???",C49))</f>
        <v/>
      </c>
      <c r="H49" s="10" t="s">
        <v>12</v>
      </c>
      <c r="I49" s="11" t="s">
        <v>12</v>
      </c>
      <c r="J49" s="12"/>
    </row>
    <row r="50" spans="1:10" ht="60" customHeight="1">
      <c r="A50" s="6" t="s">
        <v>197</v>
      </c>
      <c r="B50" s="6" t="s">
        <v>16</v>
      </c>
      <c r="C50" s="6" t="s">
        <v>12</v>
      </c>
      <c r="D50" s="7" t="s">
        <v>198</v>
      </c>
      <c r="E50" s="8" t="s">
        <v>199</v>
      </c>
      <c r="F50" s="6" t="s">
        <v>200</v>
      </c>
      <c r="G50" s="9">
        <f>IF(A50=1,"_",IF(C50="_","???",C50))</f>
        <v/>
      </c>
      <c r="H50" s="10" t="s">
        <v>12</v>
      </c>
      <c r="I50" s="11" t="s">
        <v>12</v>
      </c>
      <c r="J50" s="12"/>
    </row>
    <row r="51" spans="1:10" ht="60" customHeight="1">
      <c r="A51" s="6" t="s">
        <v>201</v>
      </c>
      <c r="B51" s="6" t="s">
        <v>11</v>
      </c>
      <c r="C51" s="6" t="s">
        <v>12</v>
      </c>
      <c r="D51" s="7" t="s">
        <v>202</v>
      </c>
      <c r="E51" s="8" t="s">
        <v>203</v>
      </c>
      <c r="F51" s="6" t="s">
        <v>204</v>
      </c>
      <c r="G51" s="9">
        <f>IF(A51=1,"_",IF(C51="_","???",C51))</f>
        <v/>
      </c>
      <c r="H51" s="10" t="s">
        <v>12</v>
      </c>
      <c r="I51" s="11" t="s">
        <v>12</v>
      </c>
      <c r="J51" s="12"/>
    </row>
    <row r="52" spans="1:10" ht="60" customHeight="1">
      <c r="A52" s="6" t="s">
        <v>205</v>
      </c>
      <c r="B52" s="6" t="s">
        <v>16</v>
      </c>
      <c r="C52" s="6" t="s">
        <v>12</v>
      </c>
      <c r="D52" s="7" t="s">
        <v>206</v>
      </c>
      <c r="E52" s="8" t="s">
        <v>207</v>
      </c>
      <c r="F52" s="6" t="s">
        <v>208</v>
      </c>
      <c r="G52" s="9">
        <f>IF(A52=1,"_",IF(C52="_","???",C52))</f>
        <v/>
      </c>
      <c r="H52" s="10" t="s">
        <v>12</v>
      </c>
      <c r="I52" s="11" t="s">
        <v>12</v>
      </c>
      <c r="J52" s="12"/>
    </row>
    <row r="53" spans="1:10" ht="60" customHeight="1">
      <c r="A53" s="6" t="s">
        <v>209</v>
      </c>
      <c r="B53" s="6" t="s">
        <v>16</v>
      </c>
      <c r="C53" s="6" t="s">
        <v>12</v>
      </c>
      <c r="D53" s="7" t="s">
        <v>210</v>
      </c>
      <c r="E53" s="8" t="s">
        <v>211</v>
      </c>
      <c r="F53" s="6" t="s">
        <v>212</v>
      </c>
      <c r="G53" s="9">
        <f>IF(A53=1,"_",IF(C53="_","???",C53))</f>
        <v/>
      </c>
      <c r="H53" s="10" t="s">
        <v>12</v>
      </c>
      <c r="I53" s="11" t="s">
        <v>12</v>
      </c>
      <c r="J53" s="12"/>
    </row>
    <row r="54" spans="1:10" ht="60" customHeight="1">
      <c r="A54" s="6" t="s">
        <v>213</v>
      </c>
      <c r="B54" s="6" t="s">
        <v>10</v>
      </c>
      <c r="C54" s="6" t="s">
        <v>12</v>
      </c>
      <c r="D54" s="7" t="s">
        <v>214</v>
      </c>
      <c r="E54" s="8" t="s">
        <v>215</v>
      </c>
      <c r="F54" s="6" t="s">
        <v>216</v>
      </c>
      <c r="G54" s="9">
        <f>IF(A54=1,"_",IF(C54="_","???",C54))</f>
        <v/>
      </c>
      <c r="H54" s="10" t="s">
        <v>12</v>
      </c>
      <c r="I54" s="11" t="s">
        <v>12</v>
      </c>
      <c r="J54" s="12"/>
    </row>
    <row r="55" spans="1:10" ht="60" customHeight="1">
      <c r="A55" s="6" t="s">
        <v>217</v>
      </c>
      <c r="B55" s="6" t="s">
        <v>16</v>
      </c>
      <c r="C55" s="6" t="s">
        <v>12</v>
      </c>
      <c r="D55" s="7" t="s">
        <v>150</v>
      </c>
      <c r="E55" s="8" t="s">
        <v>218</v>
      </c>
      <c r="F55" s="6" t="s">
        <v>219</v>
      </c>
      <c r="G55" s="9">
        <f>IF(A55=1,"_",IF(C55="_","???",C55))</f>
        <v/>
      </c>
      <c r="H55" s="10" t="s">
        <v>12</v>
      </c>
      <c r="I55" s="11" t="s">
        <v>12</v>
      </c>
      <c r="J55" s="12"/>
    </row>
    <row r="56" spans="1:10" ht="60" customHeight="1">
      <c r="A56" s="6" t="s">
        <v>220</v>
      </c>
      <c r="B56" s="6" t="s">
        <v>16</v>
      </c>
      <c r="C56" s="6" t="s">
        <v>12</v>
      </c>
      <c r="D56" s="7" t="s">
        <v>150</v>
      </c>
      <c r="E56" s="8" t="s">
        <v>221</v>
      </c>
      <c r="F56" s="6" t="s">
        <v>222</v>
      </c>
      <c r="G56" s="9">
        <f>IF(A56=1,"_",IF(C56="_","???",C56))</f>
        <v/>
      </c>
      <c r="H56" s="10" t="s">
        <v>12</v>
      </c>
      <c r="I56" s="11" t="s">
        <v>12</v>
      </c>
      <c r="J56" s="12"/>
    </row>
    <row r="57" spans="1:10" ht="60" customHeight="1">
      <c r="A57" s="6" t="s">
        <v>223</v>
      </c>
      <c r="B57" s="6" t="s">
        <v>16</v>
      </c>
      <c r="C57" s="6" t="s">
        <v>12</v>
      </c>
      <c r="D57" s="7" t="s">
        <v>224</v>
      </c>
      <c r="E57" s="8" t="s">
        <v>225</v>
      </c>
      <c r="F57" s="6" t="s">
        <v>226</v>
      </c>
      <c r="G57" s="9">
        <f>IF(A57=1,"_",IF(C57="_","???",C57))</f>
        <v/>
      </c>
      <c r="H57" s="10" t="s">
        <v>12</v>
      </c>
      <c r="I57" s="11" t="s">
        <v>12</v>
      </c>
      <c r="J57" s="12"/>
    </row>
    <row r="58" spans="1:10" ht="60" customHeight="1">
      <c r="A58" s="6" t="s">
        <v>227</v>
      </c>
      <c r="B58" s="6" t="s">
        <v>228</v>
      </c>
      <c r="C58" s="6" t="s">
        <v>12</v>
      </c>
      <c r="D58" s="7" t="s">
        <v>229</v>
      </c>
      <c r="E58" s="8" t="s">
        <v>230</v>
      </c>
      <c r="F58" s="6" t="s">
        <v>231</v>
      </c>
      <c r="G58" s="9">
        <f>IF(A58=1,"_",IF(C58="_","???",C58))</f>
        <v/>
      </c>
      <c r="H58" s="10" t="s">
        <v>12</v>
      </c>
      <c r="I58" s="11" t="s">
        <v>12</v>
      </c>
      <c r="J58" s="12"/>
    </row>
    <row r="59" spans="1:10" ht="60" customHeight="1">
      <c r="A59" s="6" t="s">
        <v>232</v>
      </c>
      <c r="B59" s="6" t="s">
        <v>91</v>
      </c>
      <c r="C59" s="6" t="s">
        <v>12</v>
      </c>
      <c r="D59" s="7" t="s">
        <v>233</v>
      </c>
      <c r="E59" s="8" t="s">
        <v>234</v>
      </c>
      <c r="F59" s="6" t="s">
        <v>235</v>
      </c>
      <c r="G59" s="9">
        <f>IF(A59=1,"_",IF(C59="_","???",C59))</f>
        <v/>
      </c>
      <c r="H59" s="10" t="s">
        <v>12</v>
      </c>
      <c r="I59" s="11" t="s">
        <v>12</v>
      </c>
      <c r="J59" s="12"/>
    </row>
    <row r="60" spans="1:10" ht="60" customHeight="1">
      <c r="A60" s="6" t="s">
        <v>236</v>
      </c>
      <c r="B60" s="6" t="s">
        <v>11</v>
      </c>
      <c r="C60" s="6" t="s">
        <v>12</v>
      </c>
      <c r="D60" s="7" t="s">
        <v>237</v>
      </c>
      <c r="E60" s="8" t="s">
        <v>238</v>
      </c>
      <c r="F60" s="6" t="s">
        <v>239</v>
      </c>
      <c r="G60" s="9">
        <f>IF(A60=1,"_",IF(C60="_","???",C60))</f>
        <v/>
      </c>
      <c r="H60" s="10" t="s">
        <v>12</v>
      </c>
      <c r="I60" s="11" t="s">
        <v>12</v>
      </c>
      <c r="J60" s="12"/>
    </row>
    <row r="61" spans="1:10" ht="60" customHeight="1">
      <c r="A61" s="6" t="s">
        <v>240</v>
      </c>
      <c r="B61" s="6" t="s">
        <v>11</v>
      </c>
      <c r="C61" s="6" t="s">
        <v>12</v>
      </c>
      <c r="D61" s="7" t="s">
        <v>241</v>
      </c>
      <c r="E61" s="8" t="s">
        <v>242</v>
      </c>
      <c r="F61" s="6" t="s">
        <v>243</v>
      </c>
      <c r="G61" s="9">
        <f>IF(A61=1,"_",IF(C61="_","???",C61))</f>
        <v/>
      </c>
      <c r="H61" s="10" t="s">
        <v>12</v>
      </c>
      <c r="I61" s="11" t="s">
        <v>12</v>
      </c>
      <c r="J61" s="12"/>
    </row>
    <row r="62" spans="1:10" ht="60" customHeight="1">
      <c r="A62" s="6" t="s">
        <v>244</v>
      </c>
      <c r="B62" s="6" t="s">
        <v>16</v>
      </c>
      <c r="C62" s="6" t="s">
        <v>12</v>
      </c>
      <c r="D62" s="7" t="s">
        <v>245</v>
      </c>
      <c r="E62" s="8" t="s">
        <v>246</v>
      </c>
      <c r="F62" s="6" t="s">
        <v>247</v>
      </c>
      <c r="G62" s="9">
        <f>IF(A62=1,"_",IF(C62="_","???",C62))</f>
        <v/>
      </c>
      <c r="H62" s="10" t="s">
        <v>12</v>
      </c>
      <c r="I62" s="11" t="s">
        <v>12</v>
      </c>
      <c r="J62" s="12"/>
    </row>
    <row r="63" spans="1:10" ht="60" customHeight="1">
      <c r="A63" s="6" t="s">
        <v>248</v>
      </c>
      <c r="B63" s="6" t="s">
        <v>16</v>
      </c>
      <c r="C63" s="6" t="s">
        <v>12</v>
      </c>
      <c r="D63" s="7" t="s">
        <v>58</v>
      </c>
      <c r="E63" s="8" t="s">
        <v>249</v>
      </c>
      <c r="F63" s="6" t="s">
        <v>250</v>
      </c>
      <c r="G63" s="9">
        <f>IF(A63=1,"_",IF(C63="_","???",C63))</f>
        <v/>
      </c>
      <c r="H63" s="10" t="s">
        <v>12</v>
      </c>
      <c r="I63" s="11" t="s">
        <v>12</v>
      </c>
      <c r="J63" s="12"/>
    </row>
    <row r="64" spans="1:10" ht="60" customHeight="1">
      <c r="A64" s="6" t="s">
        <v>251</v>
      </c>
      <c r="B64" s="6" t="s">
        <v>16</v>
      </c>
      <c r="C64" s="6" t="s">
        <v>12</v>
      </c>
      <c r="D64" s="7" t="s">
        <v>252</v>
      </c>
      <c r="E64" s="8" t="s">
        <v>253</v>
      </c>
      <c r="F64" s="6" t="s">
        <v>254</v>
      </c>
      <c r="G64" s="9">
        <f>IF(A64=1,"_",IF(C64="_","???",C64))</f>
        <v/>
      </c>
      <c r="H64" s="10" t="s">
        <v>12</v>
      </c>
      <c r="I64" s="11" t="s">
        <v>12</v>
      </c>
      <c r="J64" s="12"/>
    </row>
    <row r="65" spans="1:10" ht="60" customHeight="1">
      <c r="A65" s="6" t="s">
        <v>255</v>
      </c>
      <c r="B65" s="6" t="s">
        <v>11</v>
      </c>
      <c r="C65" s="6" t="s">
        <v>12</v>
      </c>
      <c r="D65" s="7" t="s">
        <v>150</v>
      </c>
      <c r="E65" s="8" t="s">
        <v>256</v>
      </c>
      <c r="F65" s="6" t="s">
        <v>257</v>
      </c>
      <c r="G65" s="9">
        <f>IF(A65=1,"_",IF(C65="_","???",C65))</f>
        <v/>
      </c>
      <c r="H65" s="10" t="s">
        <v>12</v>
      </c>
      <c r="I65" s="11" t="s">
        <v>12</v>
      </c>
      <c r="J65" s="12"/>
    </row>
    <row r="66" spans="1:10" ht="60" customHeight="1">
      <c r="A66" s="6" t="s">
        <v>258</v>
      </c>
      <c r="B66" s="6" t="s">
        <v>16</v>
      </c>
      <c r="C66" s="6" t="s">
        <v>12</v>
      </c>
      <c r="D66" s="7" t="s">
        <v>259</v>
      </c>
      <c r="E66" s="8" t="s">
        <v>260</v>
      </c>
      <c r="F66" s="6" t="s">
        <v>261</v>
      </c>
      <c r="G66" s="9">
        <f>IF(A66=1,"_",IF(C66="_","???",C66))</f>
        <v/>
      </c>
      <c r="H66" s="10" t="s">
        <v>12</v>
      </c>
      <c r="I66" s="11" t="s">
        <v>12</v>
      </c>
      <c r="J66" s="12"/>
    </row>
    <row r="67" spans="1:10" ht="60" customHeight="1">
      <c r="A67" s="6" t="s">
        <v>262</v>
      </c>
      <c r="B67" s="6" t="s">
        <v>16</v>
      </c>
      <c r="C67" s="6" t="s">
        <v>146</v>
      </c>
      <c r="D67" s="7" t="s">
        <v>263</v>
      </c>
      <c r="E67" s="8" t="s">
        <v>264</v>
      </c>
      <c r="F67" s="6" t="s">
        <v>265</v>
      </c>
      <c r="G67" s="9">
        <f>IF(A67=1,"_",IF(C67="_","???",C67))</f>
        <v/>
      </c>
      <c r="H67" s="10" t="s">
        <v>12</v>
      </c>
      <c r="I67" s="11" t="s">
        <v>12</v>
      </c>
      <c r="J67" s="12"/>
    </row>
    <row r="68" spans="1:10" ht="60" customHeight="1">
      <c r="A68" s="6" t="s">
        <v>266</v>
      </c>
      <c r="B68" s="6" t="s">
        <v>16</v>
      </c>
      <c r="C68" s="6" t="s">
        <v>12</v>
      </c>
      <c r="D68" s="7" t="s">
        <v>267</v>
      </c>
      <c r="E68" s="8" t="s">
        <v>268</v>
      </c>
      <c r="F68" s="6" t="s">
        <v>269</v>
      </c>
      <c r="G68" s="9">
        <f>IF(A68=1,"_",IF(C68="_","???",C68))</f>
        <v/>
      </c>
      <c r="H68" s="10" t="s">
        <v>12</v>
      </c>
      <c r="I68" s="11" t="s">
        <v>12</v>
      </c>
      <c r="J68" s="12"/>
    </row>
    <row r="69" spans="1:10" ht="60" customHeight="1">
      <c r="A69" s="6" t="s">
        <v>270</v>
      </c>
      <c r="B69" s="6" t="s">
        <v>135</v>
      </c>
      <c r="C69" s="6" t="s">
        <v>12</v>
      </c>
      <c r="D69" s="7" t="s">
        <v>271</v>
      </c>
      <c r="E69" s="8" t="s">
        <v>272</v>
      </c>
      <c r="F69" s="6" t="s">
        <v>273</v>
      </c>
      <c r="G69" s="9">
        <f>IF(A69=1,"_",IF(C69="_","???",C69))</f>
        <v/>
      </c>
      <c r="H69" s="10" t="s">
        <v>12</v>
      </c>
      <c r="I69" s="11" t="s">
        <v>12</v>
      </c>
      <c r="J69" s="12"/>
    </row>
    <row r="70" spans="1:10" ht="60" customHeight="1">
      <c r="A70" s="6" t="s">
        <v>274</v>
      </c>
      <c r="B70" s="6" t="s">
        <v>16</v>
      </c>
      <c r="C70" s="6" t="s">
        <v>12</v>
      </c>
      <c r="D70" s="7" t="s">
        <v>275</v>
      </c>
      <c r="E70" s="8" t="s">
        <v>276</v>
      </c>
      <c r="F70" s="6" t="s">
        <v>277</v>
      </c>
      <c r="G70" s="9">
        <f>IF(A70=1,"_",IF(C70="_","???",C70))</f>
        <v/>
      </c>
      <c r="H70" s="10" t="s">
        <v>12</v>
      </c>
      <c r="I70" s="11" t="s">
        <v>12</v>
      </c>
      <c r="J70" s="12"/>
    </row>
    <row r="71" spans="1:10" ht="60" customHeight="1">
      <c r="A71" s="6" t="s">
        <v>278</v>
      </c>
      <c r="B71" s="6" t="s">
        <v>72</v>
      </c>
      <c r="C71" s="6" t="s">
        <v>12</v>
      </c>
      <c r="D71" s="7" t="s">
        <v>279</v>
      </c>
      <c r="E71" s="8" t="s">
        <v>280</v>
      </c>
      <c r="F71" s="6" t="s">
        <v>281</v>
      </c>
      <c r="G71" s="9">
        <f>IF(A71=1,"_",IF(C71="_","???",C71))</f>
        <v/>
      </c>
      <c r="H71" s="10" t="s">
        <v>12</v>
      </c>
      <c r="I71" s="11" t="s">
        <v>12</v>
      </c>
      <c r="J71" s="12"/>
    </row>
    <row r="72" spans="1:10" ht="60" customHeight="1">
      <c r="A72" s="6" t="s">
        <v>282</v>
      </c>
      <c r="B72" s="6" t="s">
        <v>16</v>
      </c>
      <c r="C72" s="6" t="s">
        <v>12</v>
      </c>
      <c r="D72" s="7" t="s">
        <v>104</v>
      </c>
      <c r="E72" s="8" t="s">
        <v>283</v>
      </c>
      <c r="F72" s="6" t="s">
        <v>284</v>
      </c>
      <c r="G72" s="9">
        <f>IF(A72=1,"_",IF(C72="_","???",C72))</f>
        <v/>
      </c>
      <c r="H72" s="10" t="s">
        <v>12</v>
      </c>
      <c r="I72" s="11" t="s">
        <v>12</v>
      </c>
      <c r="J72" s="12"/>
    </row>
    <row r="73" spans="1:10" ht="60" customHeight="1">
      <c r="A73" s="6" t="s">
        <v>285</v>
      </c>
      <c r="B73" s="6" t="s">
        <v>28</v>
      </c>
      <c r="C73" s="6" t="s">
        <v>12</v>
      </c>
      <c r="D73" s="7" t="s">
        <v>267</v>
      </c>
      <c r="E73" s="8" t="s">
        <v>286</v>
      </c>
      <c r="F73" s="6" t="s">
        <v>287</v>
      </c>
      <c r="G73" s="9">
        <f>IF(A73=1,"_",IF(C73="_","???",C73))</f>
        <v/>
      </c>
      <c r="H73" s="10" t="s">
        <v>12</v>
      </c>
      <c r="I73" s="11" t="s">
        <v>12</v>
      </c>
      <c r="J73" s="12"/>
    </row>
    <row r="74" spans="1:10" ht="60" customHeight="1">
      <c r="A74" s="6" t="s">
        <v>288</v>
      </c>
      <c r="B74" s="6" t="s">
        <v>16</v>
      </c>
      <c r="C74" s="6" t="s">
        <v>12</v>
      </c>
      <c r="D74" s="7" t="s">
        <v>104</v>
      </c>
      <c r="E74" s="8" t="s">
        <v>289</v>
      </c>
      <c r="F74" s="6" t="s">
        <v>290</v>
      </c>
      <c r="G74" s="9">
        <f>IF(A74=1,"_",IF(C74="_","???",C74))</f>
        <v/>
      </c>
      <c r="H74" s="10" t="s">
        <v>12</v>
      </c>
      <c r="I74" s="11" t="s">
        <v>12</v>
      </c>
      <c r="J74" s="12"/>
    </row>
    <row r="75" spans="1:10" ht="60" customHeight="1">
      <c r="A75" s="6" t="s">
        <v>291</v>
      </c>
      <c r="B75" s="6" t="s">
        <v>16</v>
      </c>
      <c r="C75" s="6" t="s">
        <v>12</v>
      </c>
      <c r="D75" s="7" t="s">
        <v>292</v>
      </c>
      <c r="E75" s="8" t="s">
        <v>293</v>
      </c>
      <c r="F75" s="6" t="s">
        <v>294</v>
      </c>
      <c r="G75" s="9">
        <f>IF(A75=1,"_",IF(C75="_","???",C75))</f>
        <v/>
      </c>
      <c r="H75" s="10" t="s">
        <v>12</v>
      </c>
      <c r="I75" s="11" t="s">
        <v>12</v>
      </c>
      <c r="J75" s="12"/>
    </row>
    <row r="76" spans="1:10" ht="60" customHeight="1">
      <c r="A76" s="6" t="s">
        <v>295</v>
      </c>
      <c r="B76" s="6" t="s">
        <v>107</v>
      </c>
      <c r="C76" s="6" t="s">
        <v>12</v>
      </c>
      <c r="D76" s="7" t="s">
        <v>296</v>
      </c>
      <c r="E76" s="8" t="s">
        <v>297</v>
      </c>
      <c r="F76" s="6" t="s">
        <v>298</v>
      </c>
      <c r="G76" s="9">
        <f>IF(A76=1,"_",IF(C76="_","???",C76))</f>
        <v/>
      </c>
      <c r="H76" s="10" t="s">
        <v>12</v>
      </c>
      <c r="I76" s="11" t="s">
        <v>12</v>
      </c>
      <c r="J76" s="12"/>
    </row>
    <row r="77" spans="1:10" ht="60" customHeight="1">
      <c r="A77" s="6" t="s">
        <v>299</v>
      </c>
      <c r="B77" s="6" t="s">
        <v>52</v>
      </c>
      <c r="C77" s="6" t="s">
        <v>12</v>
      </c>
      <c r="D77" s="7" t="s">
        <v>300</v>
      </c>
      <c r="E77" s="8" t="s">
        <v>301</v>
      </c>
      <c r="F77" s="6" t="s">
        <v>302</v>
      </c>
      <c r="G77" s="9">
        <f>IF(A77=1,"_",IF(C77="_","???",C77))</f>
        <v/>
      </c>
      <c r="H77" s="10" t="s">
        <v>12</v>
      </c>
      <c r="I77" s="11" t="s">
        <v>12</v>
      </c>
      <c r="J77" s="12"/>
    </row>
    <row r="78" spans="1:10" ht="60" customHeight="1">
      <c r="A78" s="6" t="s">
        <v>303</v>
      </c>
      <c r="B78" s="6" t="s">
        <v>16</v>
      </c>
      <c r="C78" s="6" t="s">
        <v>12</v>
      </c>
      <c r="D78" s="7" t="s">
        <v>304</v>
      </c>
      <c r="E78" s="8" t="s">
        <v>305</v>
      </c>
      <c r="F78" s="6" t="s">
        <v>306</v>
      </c>
      <c r="G78" s="9">
        <f>IF(A78=1,"_",IF(C78="_","???",C78))</f>
        <v/>
      </c>
      <c r="H78" s="10" t="s">
        <v>12</v>
      </c>
      <c r="I78" s="11" t="s">
        <v>12</v>
      </c>
      <c r="J78" s="12"/>
    </row>
    <row r="79" spans="1:10" ht="60" customHeight="1">
      <c r="A79" s="6" t="s">
        <v>307</v>
      </c>
      <c r="B79" s="6" t="s">
        <v>16</v>
      </c>
      <c r="C79" s="6" t="s">
        <v>12</v>
      </c>
      <c r="D79" s="7" t="s">
        <v>308</v>
      </c>
      <c r="E79" s="8" t="s">
        <v>309</v>
      </c>
      <c r="F79" s="6" t="s">
        <v>310</v>
      </c>
      <c r="G79" s="9">
        <f>IF(A79=1,"_",IF(C79="_","???",C79))</f>
        <v/>
      </c>
      <c r="H79" s="10" t="s">
        <v>12</v>
      </c>
      <c r="I79" s="11" t="s">
        <v>12</v>
      </c>
      <c r="J79" s="12"/>
    </row>
    <row r="80" spans="1:10" ht="60" customHeight="1">
      <c r="A80" s="6" t="s">
        <v>311</v>
      </c>
      <c r="B80" s="6" t="s">
        <v>11</v>
      </c>
      <c r="C80" s="6" t="s">
        <v>12</v>
      </c>
      <c r="D80" s="7" t="s">
        <v>312</v>
      </c>
      <c r="E80" s="8" t="s">
        <v>313</v>
      </c>
      <c r="F80" s="6" t="s">
        <v>314</v>
      </c>
      <c r="G80" s="9">
        <f>IF(A80=1,"_",IF(C80="_","???",C80))</f>
        <v/>
      </c>
      <c r="H80" s="10" t="s">
        <v>12</v>
      </c>
      <c r="I80" s="11" t="s">
        <v>12</v>
      </c>
      <c r="J80" s="12"/>
    </row>
    <row r="81" spans="1:10" ht="60" customHeight="1">
      <c r="A81" s="6" t="s">
        <v>315</v>
      </c>
      <c r="B81" s="6" t="s">
        <v>24</v>
      </c>
      <c r="C81" s="6" t="s">
        <v>12</v>
      </c>
      <c r="D81" s="7" t="s">
        <v>316</v>
      </c>
      <c r="E81" s="8" t="s">
        <v>317</v>
      </c>
      <c r="F81" s="6" t="s">
        <v>318</v>
      </c>
      <c r="G81" s="9">
        <f>IF(A81=1,"_",IF(C81="_","???",C81))</f>
        <v/>
      </c>
      <c r="H81" s="10" t="s">
        <v>12</v>
      </c>
      <c r="I81" s="11" t="s">
        <v>12</v>
      </c>
      <c r="J81" s="12"/>
    </row>
    <row r="82" spans="1:10" ht="60" customHeight="1">
      <c r="A82" s="6" t="s">
        <v>319</v>
      </c>
      <c r="B82" s="6" t="s">
        <v>91</v>
      </c>
      <c r="C82" s="6" t="s">
        <v>12</v>
      </c>
      <c r="D82" s="7" t="s">
        <v>320</v>
      </c>
      <c r="E82" s="8" t="s">
        <v>321</v>
      </c>
      <c r="F82" s="6" t="s">
        <v>322</v>
      </c>
      <c r="G82" s="9">
        <f>IF(A82=1,"_",IF(C82="_","???",C82))</f>
        <v/>
      </c>
      <c r="H82" s="10" t="s">
        <v>12</v>
      </c>
      <c r="I82" s="11" t="s">
        <v>12</v>
      </c>
      <c r="J82" s="12"/>
    </row>
    <row r="83" spans="1:10" ht="60" customHeight="1">
      <c r="A83" s="6" t="s">
        <v>323</v>
      </c>
      <c r="B83" s="6" t="s">
        <v>32</v>
      </c>
      <c r="C83" s="6" t="s">
        <v>12</v>
      </c>
      <c r="D83" s="7" t="s">
        <v>324</v>
      </c>
      <c r="E83" s="8" t="s">
        <v>325</v>
      </c>
      <c r="F83" s="6" t="s">
        <v>326</v>
      </c>
      <c r="G83" s="9">
        <f>IF(A83=1,"_",IF(C83="_","???",C83))</f>
        <v/>
      </c>
      <c r="H83" s="10" t="s">
        <v>12</v>
      </c>
      <c r="I83" s="11" t="s">
        <v>12</v>
      </c>
      <c r="J83" s="12"/>
    </row>
    <row r="84" spans="1:10" ht="60" customHeight="1">
      <c r="A84" s="6" t="s">
        <v>327</v>
      </c>
      <c r="B84" s="6" t="s">
        <v>24</v>
      </c>
      <c r="C84" s="6" t="s">
        <v>12</v>
      </c>
      <c r="D84" s="7" t="s">
        <v>328</v>
      </c>
      <c r="E84" s="8" t="s">
        <v>329</v>
      </c>
      <c r="F84" s="6" t="s">
        <v>330</v>
      </c>
      <c r="G84" s="9">
        <f>IF(A84=1,"_",IF(C84="_","???",C84))</f>
        <v/>
      </c>
      <c r="H84" s="10" t="s">
        <v>12</v>
      </c>
      <c r="I84" s="11" t="s">
        <v>12</v>
      </c>
      <c r="J84" s="12"/>
    </row>
    <row r="85" spans="1:10" ht="60" customHeight="1">
      <c r="A85" s="6" t="s">
        <v>331</v>
      </c>
      <c r="B85" s="6" t="s">
        <v>24</v>
      </c>
      <c r="C85" s="6" t="s">
        <v>12</v>
      </c>
      <c r="D85" s="7" t="s">
        <v>332</v>
      </c>
      <c r="E85" s="8" t="s">
        <v>333</v>
      </c>
      <c r="F85" s="6" t="s">
        <v>334</v>
      </c>
      <c r="G85" s="9">
        <f>IF(A85=1,"_",IF(C85="_","???",C85))</f>
        <v/>
      </c>
      <c r="H85" s="10" t="s">
        <v>12</v>
      </c>
      <c r="I85" s="11" t="s">
        <v>12</v>
      </c>
      <c r="J85" s="12"/>
    </row>
    <row r="86" spans="1:10" ht="60" customHeight="1">
      <c r="A86" s="6" t="s">
        <v>335</v>
      </c>
      <c r="B86" s="6" t="s">
        <v>32</v>
      </c>
      <c r="C86" s="6" t="s">
        <v>12</v>
      </c>
      <c r="D86" s="7" t="s">
        <v>336</v>
      </c>
      <c r="E86" s="8" t="s">
        <v>337</v>
      </c>
      <c r="F86" s="6" t="s">
        <v>338</v>
      </c>
      <c r="G86" s="9">
        <f>IF(A86=1,"_",IF(C86="_","???",C86))</f>
        <v/>
      </c>
      <c r="H86" s="10" t="s">
        <v>12</v>
      </c>
      <c r="I86" s="11" t="s">
        <v>12</v>
      </c>
      <c r="J86" s="12"/>
    </row>
    <row r="87" spans="1:10" ht="60" customHeight="1">
      <c r="A87" s="6" t="s">
        <v>339</v>
      </c>
      <c r="B87" s="6" t="s">
        <v>11</v>
      </c>
      <c r="C87" s="6" t="s">
        <v>12</v>
      </c>
      <c r="D87" s="7" t="s">
        <v>340</v>
      </c>
      <c r="E87" s="8" t="s">
        <v>341</v>
      </c>
      <c r="F87" s="6" t="s">
        <v>342</v>
      </c>
      <c r="G87" s="9">
        <f>IF(A87=1,"_",IF(C87="_","???",C87))</f>
        <v/>
      </c>
      <c r="H87" s="10" t="s">
        <v>12</v>
      </c>
      <c r="I87" s="11" t="s">
        <v>12</v>
      </c>
      <c r="J87" s="12"/>
    </row>
    <row r="88" spans="1:10" ht="60" customHeight="1">
      <c r="A88" s="6" t="s">
        <v>343</v>
      </c>
      <c r="B88" s="6" t="s">
        <v>16</v>
      </c>
      <c r="C88" s="6" t="s">
        <v>12</v>
      </c>
      <c r="D88" s="7" t="s">
        <v>100</v>
      </c>
      <c r="E88" s="8" t="s">
        <v>344</v>
      </c>
      <c r="F88" s="6" t="s">
        <v>345</v>
      </c>
      <c r="G88" s="9">
        <f>IF(A88=1,"_",IF(C88="_","???",C88))</f>
        <v/>
      </c>
      <c r="H88" s="10" t="s">
        <v>12</v>
      </c>
      <c r="I88" s="11" t="s">
        <v>12</v>
      </c>
      <c r="J88" s="12"/>
    </row>
    <row r="89" spans="1:10" ht="60" customHeight="1">
      <c r="A89" s="6" t="s">
        <v>346</v>
      </c>
      <c r="B89" s="6" t="s">
        <v>11</v>
      </c>
      <c r="C89" s="6" t="s">
        <v>12</v>
      </c>
      <c r="D89" s="7" t="s">
        <v>100</v>
      </c>
      <c r="E89" s="8" t="s">
        <v>347</v>
      </c>
      <c r="F89" s="6" t="s">
        <v>348</v>
      </c>
      <c r="G89" s="9">
        <f>IF(A89=1,"_",IF(C89="_","???",C89))</f>
        <v/>
      </c>
      <c r="H89" s="10" t="s">
        <v>12</v>
      </c>
      <c r="I89" s="11" t="s">
        <v>12</v>
      </c>
      <c r="J89" s="12"/>
    </row>
    <row r="90" spans="1:10" ht="60" customHeight="1">
      <c r="A90" s="6" t="s">
        <v>349</v>
      </c>
      <c r="B90" s="6" t="s">
        <v>32</v>
      </c>
      <c r="C90" s="6" t="s">
        <v>12</v>
      </c>
      <c r="D90" s="7" t="s">
        <v>350</v>
      </c>
      <c r="E90" s="8" t="s">
        <v>351</v>
      </c>
      <c r="F90" s="6" t="s">
        <v>352</v>
      </c>
      <c r="G90" s="9">
        <f>IF(A90=1,"_",IF(C90="_","???",C90))</f>
        <v/>
      </c>
      <c r="H90" s="10" t="s">
        <v>12</v>
      </c>
      <c r="I90" s="11" t="s">
        <v>12</v>
      </c>
      <c r="J90" s="12"/>
    </row>
    <row r="91" spans="1:10" ht="60" customHeight="1">
      <c r="A91" s="6" t="s">
        <v>353</v>
      </c>
      <c r="B91" s="6" t="s">
        <v>32</v>
      </c>
      <c r="C91" s="6" t="s">
        <v>12</v>
      </c>
      <c r="D91" s="7" t="s">
        <v>100</v>
      </c>
      <c r="E91" s="8" t="s">
        <v>354</v>
      </c>
      <c r="F91" s="6" t="s">
        <v>355</v>
      </c>
      <c r="G91" s="9">
        <f>IF(A91=1,"_",IF(C91="_","???",C91))</f>
        <v/>
      </c>
      <c r="H91" s="10" t="s">
        <v>12</v>
      </c>
      <c r="I91" s="11" t="s">
        <v>12</v>
      </c>
      <c r="J91" s="12"/>
    </row>
    <row r="92" spans="1:10" ht="60" customHeight="1">
      <c r="A92" s="6" t="s">
        <v>356</v>
      </c>
      <c r="B92" s="6" t="s">
        <v>24</v>
      </c>
      <c r="C92" s="6" t="s">
        <v>12</v>
      </c>
      <c r="D92" s="7" t="s">
        <v>100</v>
      </c>
      <c r="E92" s="8" t="s">
        <v>357</v>
      </c>
      <c r="F92" s="6" t="s">
        <v>358</v>
      </c>
      <c r="G92" s="9">
        <f>IF(A92=1,"_",IF(C92="_","???",C92))</f>
        <v/>
      </c>
      <c r="H92" s="10" t="s">
        <v>12</v>
      </c>
      <c r="I92" s="11" t="s">
        <v>12</v>
      </c>
      <c r="J92" s="12"/>
    </row>
    <row r="93" spans="1:10" ht="60" customHeight="1">
      <c r="A93" s="6" t="s">
        <v>359</v>
      </c>
      <c r="B93" s="6" t="s">
        <v>24</v>
      </c>
      <c r="C93" s="6" t="s">
        <v>12</v>
      </c>
      <c r="D93" s="7" t="s">
        <v>360</v>
      </c>
      <c r="E93" s="8" t="s">
        <v>361</v>
      </c>
      <c r="F93" s="6" t="s">
        <v>362</v>
      </c>
      <c r="G93" s="9">
        <f>IF(A93=1,"_",IF(C93="_","???",C93))</f>
        <v/>
      </c>
      <c r="H93" s="10" t="s">
        <v>12</v>
      </c>
      <c r="I93" s="11" t="s">
        <v>12</v>
      </c>
      <c r="J93" s="12"/>
    </row>
    <row r="94" spans="1:10" ht="60" customHeight="1">
      <c r="A94" s="6" t="s">
        <v>363</v>
      </c>
      <c r="B94" s="6" t="s">
        <v>11</v>
      </c>
      <c r="C94" s="6" t="s">
        <v>12</v>
      </c>
      <c r="D94" s="7" t="s">
        <v>100</v>
      </c>
      <c r="E94" s="8" t="s">
        <v>364</v>
      </c>
      <c r="F94" s="6" t="s">
        <v>365</v>
      </c>
      <c r="G94" s="9">
        <f>IF(A94=1,"_",IF(C94="_","???",C94))</f>
        <v/>
      </c>
      <c r="H94" s="10" t="s">
        <v>12</v>
      </c>
      <c r="I94" s="11" t="s">
        <v>12</v>
      </c>
      <c r="J94" s="12"/>
    </row>
    <row r="95" spans="1:10" ht="60" customHeight="1">
      <c r="A95" s="6" t="s">
        <v>366</v>
      </c>
      <c r="B95" s="6" t="s">
        <v>17</v>
      </c>
      <c r="C95" s="6" t="s">
        <v>12</v>
      </c>
      <c r="D95" s="7" t="s">
        <v>367</v>
      </c>
      <c r="E95" s="8" t="s">
        <v>368</v>
      </c>
      <c r="F95" s="6" t="s">
        <v>369</v>
      </c>
      <c r="G95" s="9">
        <f>IF(A95=1,"_",IF(C95="_","???",C95))</f>
        <v/>
      </c>
      <c r="H95" s="10" t="s">
        <v>12</v>
      </c>
      <c r="I95" s="11" t="s">
        <v>12</v>
      </c>
      <c r="J95" s="12"/>
    </row>
    <row r="96" spans="1:10" ht="60" customHeight="1">
      <c r="A96" s="6" t="s">
        <v>370</v>
      </c>
      <c r="B96" s="6" t="s">
        <v>11</v>
      </c>
      <c r="C96" s="6" t="s">
        <v>12</v>
      </c>
      <c r="D96" s="7" t="s">
        <v>88</v>
      </c>
      <c r="E96" s="8" t="s">
        <v>371</v>
      </c>
      <c r="F96" s="6" t="s">
        <v>372</v>
      </c>
      <c r="G96" s="9">
        <f>IF(A96=1,"_",IF(C96="_","???",C96))</f>
        <v/>
      </c>
      <c r="H96" s="10" t="s">
        <v>12</v>
      </c>
      <c r="I96" s="11" t="s">
        <v>12</v>
      </c>
      <c r="J96" s="12"/>
    </row>
    <row r="97" spans="1:10" ht="60" customHeight="1">
      <c r="A97" s="6" t="s">
        <v>373</v>
      </c>
      <c r="B97" s="6" t="s">
        <v>16</v>
      </c>
      <c r="C97" s="6" t="s">
        <v>12</v>
      </c>
      <c r="D97" s="7" t="s">
        <v>150</v>
      </c>
      <c r="E97" s="8" t="s">
        <v>374</v>
      </c>
      <c r="F97" s="6" t="s">
        <v>375</v>
      </c>
      <c r="G97" s="9">
        <f>IF(A97=1,"_",IF(C97="_","???",C97))</f>
        <v/>
      </c>
      <c r="H97" s="10" t="s">
        <v>12</v>
      </c>
      <c r="I97" s="11" t="s">
        <v>12</v>
      </c>
      <c r="J97" s="12"/>
    </row>
    <row r="98" spans="1:10" ht="60" customHeight="1">
      <c r="A98" s="6" t="s">
        <v>376</v>
      </c>
      <c r="B98" s="6" t="s">
        <v>24</v>
      </c>
      <c r="C98" s="6" t="s">
        <v>12</v>
      </c>
      <c r="D98" s="7" t="s">
        <v>377</v>
      </c>
      <c r="E98" s="8" t="s">
        <v>378</v>
      </c>
      <c r="F98" s="6" t="s">
        <v>379</v>
      </c>
      <c r="G98" s="9">
        <f>IF(A98=1,"_",IF(C98="_","???",C98))</f>
        <v/>
      </c>
      <c r="H98" s="10" t="s">
        <v>12</v>
      </c>
      <c r="I98" s="11" t="s">
        <v>12</v>
      </c>
      <c r="J98" s="12"/>
    </row>
    <row r="99" spans="1:10" ht="60" customHeight="1">
      <c r="A99" s="6" t="s">
        <v>380</v>
      </c>
      <c r="B99" s="6" t="s">
        <v>44</v>
      </c>
      <c r="C99" s="6" t="s">
        <v>12</v>
      </c>
      <c r="D99" s="7" t="s">
        <v>381</v>
      </c>
      <c r="E99" s="8" t="s">
        <v>382</v>
      </c>
      <c r="F99" s="6" t="s">
        <v>383</v>
      </c>
      <c r="G99" s="9">
        <f>IF(A99=1,"_",IF(C99="_","???",C99))</f>
        <v/>
      </c>
      <c r="H99" s="10" t="s">
        <v>12</v>
      </c>
      <c r="I99" s="11" t="s">
        <v>12</v>
      </c>
      <c r="J99" s="12"/>
    </row>
    <row r="100" spans="1:10" ht="60" customHeight="1">
      <c r="A100" s="6" t="s">
        <v>384</v>
      </c>
      <c r="B100" s="6" t="s">
        <v>16</v>
      </c>
      <c r="C100" s="6" t="s">
        <v>12</v>
      </c>
      <c r="D100" s="7" t="s">
        <v>100</v>
      </c>
      <c r="E100" s="8" t="s">
        <v>385</v>
      </c>
      <c r="F100" s="6" t="s">
        <v>386</v>
      </c>
      <c r="G100" s="9">
        <f>IF(A100=1,"_",IF(C100="_","???",C100))</f>
        <v/>
      </c>
      <c r="H100" s="10" t="s">
        <v>12</v>
      </c>
      <c r="I100" s="11" t="s">
        <v>12</v>
      </c>
      <c r="J100" s="12"/>
    </row>
    <row r="101" spans="1:10" ht="60" customHeight="1">
      <c r="A101" s="6" t="s">
        <v>387</v>
      </c>
      <c r="B101" s="6" t="s">
        <v>11</v>
      </c>
      <c r="C101" s="6" t="s">
        <v>12</v>
      </c>
      <c r="D101" s="7" t="s">
        <v>100</v>
      </c>
      <c r="E101" s="8" t="s">
        <v>388</v>
      </c>
      <c r="F101" s="6" t="s">
        <v>389</v>
      </c>
      <c r="G101" s="9">
        <f>IF(A101=1,"_",IF(C101="_","???",C101))</f>
        <v/>
      </c>
      <c r="H101" s="10" t="s">
        <v>12</v>
      </c>
      <c r="I101" s="11" t="s">
        <v>12</v>
      </c>
      <c r="J101" s="12"/>
    </row>
    <row r="102" spans="1:10" ht="60" customHeight="1">
      <c r="A102" s="6" t="s">
        <v>390</v>
      </c>
      <c r="B102" s="6" t="s">
        <v>16</v>
      </c>
      <c r="C102" s="6" t="s">
        <v>12</v>
      </c>
      <c r="D102" s="7" t="s">
        <v>391</v>
      </c>
      <c r="E102" s="8" t="s">
        <v>392</v>
      </c>
      <c r="F102" s="6" t="s">
        <v>393</v>
      </c>
      <c r="G102" s="9">
        <f>IF(A102=1,"_",IF(C102="_","???",C102))</f>
        <v/>
      </c>
      <c r="H102" s="10" t="s">
        <v>12</v>
      </c>
      <c r="I102" s="11" t="s">
        <v>12</v>
      </c>
      <c r="J102" s="12"/>
    </row>
    <row r="103" spans="1:10" ht="60" customHeight="1">
      <c r="A103" s="6" t="s">
        <v>394</v>
      </c>
      <c r="B103" s="6" t="s">
        <v>11</v>
      </c>
      <c r="C103" s="6" t="s">
        <v>12</v>
      </c>
      <c r="D103" s="7" t="s">
        <v>395</v>
      </c>
      <c r="E103" s="8" t="s">
        <v>396</v>
      </c>
      <c r="F103" s="6" t="s">
        <v>397</v>
      </c>
      <c r="G103" s="9">
        <f>IF(A103=1,"_",IF(C103="_","???",C103))</f>
        <v/>
      </c>
      <c r="H103" s="10" t="s">
        <v>12</v>
      </c>
      <c r="I103" s="11" t="s">
        <v>12</v>
      </c>
      <c r="J103" s="12"/>
    </row>
    <row r="104" spans="1:10" ht="60" customHeight="1">
      <c r="A104" s="6" t="s">
        <v>398</v>
      </c>
      <c r="B104" s="6" t="s">
        <v>28</v>
      </c>
      <c r="C104" s="6" t="s">
        <v>12</v>
      </c>
      <c r="D104" s="7" t="s">
        <v>267</v>
      </c>
      <c r="E104" s="8" t="s">
        <v>399</v>
      </c>
      <c r="F104" s="6" t="s">
        <v>400</v>
      </c>
      <c r="G104" s="9">
        <f>IF(A104=1,"_",IF(C104="_","???",C104))</f>
        <v/>
      </c>
      <c r="H104" s="10" t="s">
        <v>12</v>
      </c>
      <c r="I104" s="11" t="s">
        <v>12</v>
      </c>
      <c r="J104" s="12"/>
    </row>
    <row r="105" spans="1:10" ht="60" customHeight="1">
      <c r="A105" s="6" t="s">
        <v>401</v>
      </c>
      <c r="B105" s="6" t="s">
        <v>11</v>
      </c>
      <c r="C105" s="6" t="s">
        <v>12</v>
      </c>
      <c r="D105" s="7" t="s">
        <v>402</v>
      </c>
      <c r="E105" s="8" t="s">
        <v>403</v>
      </c>
      <c r="F105" s="6" t="s">
        <v>404</v>
      </c>
      <c r="G105" s="9">
        <f>IF(A105=1,"_",IF(C105="_","???",C105))</f>
        <v/>
      </c>
      <c r="H105" s="10" t="s">
        <v>12</v>
      </c>
      <c r="I105" s="11" t="s">
        <v>12</v>
      </c>
      <c r="J105" s="12"/>
    </row>
    <row r="106" spans="1:10" ht="60" customHeight="1">
      <c r="A106" s="6" t="s">
        <v>405</v>
      </c>
      <c r="B106" s="6" t="s">
        <v>69</v>
      </c>
      <c r="C106" s="6" t="s">
        <v>12</v>
      </c>
      <c r="D106" s="7" t="s">
        <v>406</v>
      </c>
      <c r="E106" s="8" t="s">
        <v>407</v>
      </c>
      <c r="F106" s="6" t="s">
        <v>408</v>
      </c>
      <c r="G106" s="9">
        <f>IF(A106=1,"_",IF(C106="_","???",C106))</f>
        <v/>
      </c>
      <c r="H106" s="10" t="s">
        <v>12</v>
      </c>
      <c r="I106" s="11" t="s">
        <v>12</v>
      </c>
      <c r="J106" s="12"/>
    </row>
    <row r="107" spans="1:10" ht="60" customHeight="1">
      <c r="A107" s="6" t="s">
        <v>409</v>
      </c>
      <c r="B107" s="6" t="s">
        <v>16</v>
      </c>
      <c r="C107" s="6" t="s">
        <v>12</v>
      </c>
      <c r="D107" s="7" t="s">
        <v>410</v>
      </c>
      <c r="E107" s="8" t="s">
        <v>411</v>
      </c>
      <c r="F107" s="6" t="s">
        <v>412</v>
      </c>
      <c r="G107" s="9">
        <f>IF(A107=1,"_",IF(C107="_","???",C107))</f>
        <v/>
      </c>
      <c r="H107" s="10" t="s">
        <v>12</v>
      </c>
      <c r="I107" s="11" t="s">
        <v>12</v>
      </c>
      <c r="J107" s="12"/>
    </row>
    <row r="108" spans="1:10" ht="60" customHeight="1">
      <c r="A108" s="6" t="s">
        <v>413</v>
      </c>
      <c r="B108" s="6" t="s">
        <v>17</v>
      </c>
      <c r="C108" s="6" t="s">
        <v>12</v>
      </c>
      <c r="D108" s="7" t="s">
        <v>414</v>
      </c>
      <c r="E108" s="8" t="s">
        <v>415</v>
      </c>
      <c r="F108" s="6" t="s">
        <v>416</v>
      </c>
      <c r="G108" s="9">
        <f>IF(A108=1,"_",IF(C108="_","???",C108))</f>
        <v/>
      </c>
      <c r="H108" s="10" t="s">
        <v>12</v>
      </c>
      <c r="I108" s="11" t="s">
        <v>12</v>
      </c>
      <c r="J108" s="12"/>
    </row>
    <row r="109" spans="1:10" ht="60" customHeight="1">
      <c r="A109" s="6" t="s">
        <v>417</v>
      </c>
      <c r="B109" s="6" t="s">
        <v>11</v>
      </c>
      <c r="C109" s="6" t="s">
        <v>12</v>
      </c>
      <c r="D109" s="7" t="s">
        <v>100</v>
      </c>
      <c r="E109" s="8" t="s">
        <v>418</v>
      </c>
      <c r="F109" s="6" t="s">
        <v>419</v>
      </c>
      <c r="G109" s="9">
        <f>IF(A109=1,"_",IF(C109="_","???",C109))</f>
        <v/>
      </c>
      <c r="H109" s="10" t="s">
        <v>12</v>
      </c>
      <c r="I109" s="11" t="s">
        <v>12</v>
      </c>
      <c r="J109" s="12"/>
    </row>
    <row r="110" spans="1:10" ht="60" customHeight="1">
      <c r="A110" s="6" t="s">
        <v>420</v>
      </c>
      <c r="B110" s="6" t="s">
        <v>17</v>
      </c>
      <c r="C110" s="6" t="s">
        <v>146</v>
      </c>
      <c r="D110" s="7" t="s">
        <v>160</v>
      </c>
      <c r="E110" s="8" t="s">
        <v>421</v>
      </c>
      <c r="F110" s="6" t="s">
        <v>422</v>
      </c>
      <c r="G110" s="9">
        <f>IF(A110=1,"_",IF(C110="_","???",C110))</f>
        <v/>
      </c>
      <c r="H110" s="10" t="s">
        <v>12</v>
      </c>
      <c r="I110" s="11" t="s">
        <v>12</v>
      </c>
      <c r="J110" s="12"/>
    </row>
    <row r="111" spans="1:10" ht="60" customHeight="1">
      <c r="A111" s="6" t="s">
        <v>423</v>
      </c>
      <c r="B111" s="6" t="s">
        <v>16</v>
      </c>
      <c r="C111" s="6" t="s">
        <v>12</v>
      </c>
      <c r="D111" s="7" t="s">
        <v>424</v>
      </c>
      <c r="E111" s="8" t="s">
        <v>425</v>
      </c>
      <c r="F111" s="6" t="s">
        <v>426</v>
      </c>
      <c r="G111" s="9">
        <f>IF(A111=1,"_",IF(C111="_","???",C111))</f>
        <v/>
      </c>
      <c r="H111" s="10" t="s">
        <v>12</v>
      </c>
      <c r="I111" s="11" t="s">
        <v>12</v>
      </c>
      <c r="J111" s="12"/>
    </row>
    <row r="112" spans="1:10" ht="60" customHeight="1">
      <c r="A112" s="6" t="s">
        <v>427</v>
      </c>
      <c r="B112" s="6" t="s">
        <v>32</v>
      </c>
      <c r="C112" s="6" t="s">
        <v>12</v>
      </c>
      <c r="D112" s="7" t="s">
        <v>428</v>
      </c>
      <c r="E112" s="8" t="s">
        <v>429</v>
      </c>
      <c r="F112" s="6" t="s">
        <v>430</v>
      </c>
      <c r="G112" s="9">
        <f>IF(A112=1,"_",IF(C112="_","???",C112))</f>
        <v/>
      </c>
      <c r="H112" s="10" t="s">
        <v>12</v>
      </c>
      <c r="I112" s="11" t="s">
        <v>12</v>
      </c>
      <c r="J112" s="12"/>
    </row>
    <row r="113" spans="1:10" ht="60" customHeight="1">
      <c r="A113" s="6" t="s">
        <v>431</v>
      </c>
      <c r="B113" s="6" t="s">
        <v>65</v>
      </c>
      <c r="C113" s="6" t="s">
        <v>12</v>
      </c>
      <c r="D113" s="7" t="s">
        <v>432</v>
      </c>
      <c r="E113" s="8" t="s">
        <v>433</v>
      </c>
      <c r="F113" s="6" t="s">
        <v>434</v>
      </c>
      <c r="G113" s="9">
        <f>IF(A113=1,"_",IF(C113="_","???",C113))</f>
        <v/>
      </c>
      <c r="H113" s="10" t="s">
        <v>12</v>
      </c>
      <c r="I113" s="11" t="s">
        <v>12</v>
      </c>
      <c r="J113" s="12"/>
    </row>
    <row r="114" spans="1:10" ht="60" customHeight="1">
      <c r="A114" s="6" t="s">
        <v>435</v>
      </c>
      <c r="B114" s="6" t="s">
        <v>16</v>
      </c>
      <c r="C114" s="6" t="s">
        <v>12</v>
      </c>
      <c r="D114" s="7" t="s">
        <v>436</v>
      </c>
      <c r="E114" s="8" t="s">
        <v>437</v>
      </c>
      <c r="F114" s="6" t="s">
        <v>438</v>
      </c>
      <c r="G114" s="9">
        <f>IF(A114=1,"_",IF(C114="_","???",C114))</f>
        <v/>
      </c>
      <c r="H114" s="10" t="s">
        <v>12</v>
      </c>
      <c r="I114" s="11" t="s">
        <v>12</v>
      </c>
      <c r="J114" s="12"/>
    </row>
    <row r="115" spans="1:10" ht="60" customHeight="1">
      <c r="A115" s="6" t="s">
        <v>439</v>
      </c>
      <c r="B115" s="6" t="s">
        <v>16</v>
      </c>
      <c r="C115" s="6" t="s">
        <v>12</v>
      </c>
      <c r="D115" s="7" t="s">
        <v>440</v>
      </c>
      <c r="E115" s="8" t="s">
        <v>441</v>
      </c>
      <c r="F115" s="6" t="s">
        <v>442</v>
      </c>
      <c r="G115" s="9">
        <f>IF(A115=1,"_",IF(C115="_","???",C115))</f>
        <v/>
      </c>
      <c r="H115" s="10" t="s">
        <v>12</v>
      </c>
      <c r="I115" s="11" t="s">
        <v>12</v>
      </c>
      <c r="J115" s="12"/>
    </row>
    <row r="116" spans="1:10" ht="60" customHeight="1">
      <c r="A116" s="6" t="s">
        <v>443</v>
      </c>
      <c r="B116" s="6" t="s">
        <v>11</v>
      </c>
      <c r="C116" s="6" t="s">
        <v>12</v>
      </c>
      <c r="D116" s="7" t="s">
        <v>241</v>
      </c>
      <c r="E116" s="8" t="s">
        <v>444</v>
      </c>
      <c r="F116" s="6" t="s">
        <v>445</v>
      </c>
      <c r="G116" s="9">
        <f>IF(A116=1,"_",IF(C116="_","???",C116))</f>
        <v/>
      </c>
      <c r="H116" s="10" t="s">
        <v>12</v>
      </c>
      <c r="I116" s="11" t="s">
        <v>12</v>
      </c>
      <c r="J116" s="12"/>
    </row>
    <row r="117" spans="1:10" ht="60" customHeight="1">
      <c r="A117" s="6" t="s">
        <v>446</v>
      </c>
      <c r="B117" s="6" t="s">
        <v>16</v>
      </c>
      <c r="C117" s="6" t="s">
        <v>12</v>
      </c>
      <c r="D117" s="7" t="s">
        <v>88</v>
      </c>
      <c r="E117" s="8" t="s">
        <v>447</v>
      </c>
      <c r="F117" s="6" t="s">
        <v>448</v>
      </c>
      <c r="G117" s="9">
        <f>IF(A117=1,"_",IF(C117="_","???",C117))</f>
        <v/>
      </c>
      <c r="H117" s="10" t="s">
        <v>12</v>
      </c>
      <c r="I117" s="11" t="s">
        <v>12</v>
      </c>
      <c r="J117" s="12"/>
    </row>
    <row r="118" spans="1:10" ht="60" customHeight="1">
      <c r="A118" s="6" t="s">
        <v>449</v>
      </c>
      <c r="B118" s="6" t="s">
        <v>16</v>
      </c>
      <c r="C118" s="6" t="s">
        <v>12</v>
      </c>
      <c r="D118" s="7" t="s">
        <v>241</v>
      </c>
      <c r="E118" s="8" t="s">
        <v>450</v>
      </c>
      <c r="F118" s="6" t="s">
        <v>451</v>
      </c>
      <c r="G118" s="9">
        <f>IF(A118=1,"_",IF(C118="_","???",C118))</f>
        <v/>
      </c>
      <c r="H118" s="10" t="s">
        <v>12</v>
      </c>
      <c r="I118" s="11" t="s">
        <v>12</v>
      </c>
      <c r="J118" s="12"/>
    </row>
    <row r="119" spans="1:10" ht="60" customHeight="1">
      <c r="A119" s="6" t="s">
        <v>452</v>
      </c>
      <c r="B119" s="6" t="s">
        <v>11</v>
      </c>
      <c r="C119" s="6" t="s">
        <v>12</v>
      </c>
      <c r="D119" s="7" t="s">
        <v>252</v>
      </c>
      <c r="E119" s="8" t="s">
        <v>453</v>
      </c>
      <c r="F119" s="6" t="s">
        <v>454</v>
      </c>
      <c r="G119" s="9">
        <f>IF(A119=1,"_",IF(C119="_","???",C119))</f>
        <v/>
      </c>
      <c r="H119" s="10" t="s">
        <v>12</v>
      </c>
      <c r="I119" s="11" t="s">
        <v>12</v>
      </c>
      <c r="J119" s="12"/>
    </row>
    <row r="120" spans="1:10" ht="60" customHeight="1">
      <c r="A120" s="6" t="s">
        <v>455</v>
      </c>
      <c r="B120" s="6" t="s">
        <v>131</v>
      </c>
      <c r="C120" s="6" t="s">
        <v>12</v>
      </c>
      <c r="D120" s="7" t="s">
        <v>13</v>
      </c>
      <c r="E120" s="8" t="s">
        <v>456</v>
      </c>
      <c r="F120" s="6" t="s">
        <v>457</v>
      </c>
      <c r="G120" s="9">
        <f>IF(A120=1,"_",IF(C120="_","???",C120))</f>
        <v/>
      </c>
      <c r="H120" s="10" t="s">
        <v>12</v>
      </c>
      <c r="I120" s="11" t="s">
        <v>12</v>
      </c>
      <c r="J120" s="12"/>
    </row>
    <row r="121" spans="1:10" ht="60" customHeight="1">
      <c r="A121" s="6" t="s">
        <v>458</v>
      </c>
      <c r="B121" s="6" t="s">
        <v>28</v>
      </c>
      <c r="C121" s="6" t="s">
        <v>12</v>
      </c>
      <c r="D121" s="7" t="s">
        <v>104</v>
      </c>
      <c r="E121" s="8" t="s">
        <v>459</v>
      </c>
      <c r="F121" s="6" t="s">
        <v>460</v>
      </c>
      <c r="G121" s="9">
        <f>IF(A121=1,"_",IF(C121="_","???",C121))</f>
        <v/>
      </c>
      <c r="H121" s="10" t="s">
        <v>12</v>
      </c>
      <c r="I121" s="11" t="s">
        <v>12</v>
      </c>
      <c r="J121" s="12"/>
    </row>
    <row r="122" spans="1:10" ht="60" customHeight="1">
      <c r="A122" s="6" t="s">
        <v>461</v>
      </c>
      <c r="B122" s="6" t="s">
        <v>16</v>
      </c>
      <c r="C122" s="6" t="s">
        <v>12</v>
      </c>
      <c r="D122" s="7" t="s">
        <v>462</v>
      </c>
      <c r="E122" s="8" t="s">
        <v>463</v>
      </c>
      <c r="F122" s="6" t="s">
        <v>464</v>
      </c>
      <c r="G122" s="9">
        <f>IF(A122=1,"_",IF(C122="_","???",C122))</f>
        <v/>
      </c>
      <c r="H122" s="10" t="s">
        <v>12</v>
      </c>
      <c r="I122" s="11" t="s">
        <v>12</v>
      </c>
      <c r="J122" s="12"/>
    </row>
    <row r="123" spans="1:10" ht="60" customHeight="1">
      <c r="A123" s="6" t="s">
        <v>465</v>
      </c>
      <c r="B123" s="6" t="s">
        <v>11</v>
      </c>
      <c r="C123" s="6" t="s">
        <v>12</v>
      </c>
      <c r="D123" s="7" t="s">
        <v>466</v>
      </c>
      <c r="E123" s="8" t="s">
        <v>467</v>
      </c>
      <c r="F123" s="6" t="s">
        <v>468</v>
      </c>
      <c r="G123" s="9">
        <f>IF(A123=1,"_",IF(C123="_","???",C123))</f>
        <v/>
      </c>
      <c r="H123" s="10" t="s">
        <v>12</v>
      </c>
      <c r="I123" s="11" t="s">
        <v>12</v>
      </c>
      <c r="J123" s="12"/>
    </row>
    <row r="124" spans="1:10" ht="60" customHeight="1">
      <c r="A124" s="6" t="s">
        <v>469</v>
      </c>
      <c r="B124" s="6" t="s">
        <v>16</v>
      </c>
      <c r="C124" s="6" t="s">
        <v>12</v>
      </c>
      <c r="D124" s="7" t="s">
        <v>470</v>
      </c>
      <c r="E124" s="8" t="s">
        <v>471</v>
      </c>
      <c r="F124" s="6" t="s">
        <v>472</v>
      </c>
      <c r="G124" s="9">
        <f>IF(A124=1,"_",IF(C124="_","???",C124))</f>
        <v/>
      </c>
      <c r="H124" s="10" t="s">
        <v>12</v>
      </c>
      <c r="I124" s="11" t="s">
        <v>12</v>
      </c>
      <c r="J124" s="12"/>
    </row>
    <row r="125" spans="1:10" ht="60" customHeight="1">
      <c r="A125" s="6" t="s">
        <v>473</v>
      </c>
      <c r="B125" s="6" t="s">
        <v>84</v>
      </c>
      <c r="C125" s="6" t="s">
        <v>12</v>
      </c>
      <c r="D125" s="7" t="s">
        <v>474</v>
      </c>
      <c r="E125" s="8" t="s">
        <v>475</v>
      </c>
      <c r="F125" s="6" t="s">
        <v>476</v>
      </c>
      <c r="G125" s="9">
        <f>IF(A125=1,"_",IF(C125="_","???",C125))</f>
        <v/>
      </c>
      <c r="H125" s="10" t="s">
        <v>12</v>
      </c>
      <c r="I125" s="11" t="s">
        <v>12</v>
      </c>
      <c r="J125" s="12"/>
    </row>
    <row r="126" spans="1:10" ht="60" customHeight="1">
      <c r="A126" s="6" t="s">
        <v>477</v>
      </c>
      <c r="B126" s="6" t="s">
        <v>65</v>
      </c>
      <c r="C126" s="6" t="s">
        <v>12</v>
      </c>
      <c r="D126" s="7" t="s">
        <v>478</v>
      </c>
      <c r="E126" s="8" t="s">
        <v>479</v>
      </c>
      <c r="F126" s="6" t="s">
        <v>480</v>
      </c>
      <c r="G126" s="9">
        <f>IF(A126=1,"_",IF(C126="_","???",C126))</f>
        <v/>
      </c>
      <c r="H126" s="10" t="s">
        <v>12</v>
      </c>
      <c r="I126" s="11" t="s">
        <v>12</v>
      </c>
      <c r="J126" s="12"/>
    </row>
    <row r="127" spans="1:10" ht="60" customHeight="1">
      <c r="A127" s="6" t="s">
        <v>481</v>
      </c>
      <c r="B127" s="6" t="s">
        <v>16</v>
      </c>
      <c r="C127" s="6" t="s">
        <v>12</v>
      </c>
      <c r="D127" s="7" t="s">
        <v>482</v>
      </c>
      <c r="E127" s="8" t="s">
        <v>483</v>
      </c>
      <c r="F127" s="6" t="s">
        <v>484</v>
      </c>
      <c r="G127" s="9">
        <f>IF(A127=1,"_",IF(C127="_","???",C127))</f>
        <v/>
      </c>
      <c r="H127" s="10" t="s">
        <v>12</v>
      </c>
      <c r="I127" s="11" t="s">
        <v>12</v>
      </c>
      <c r="J127" s="12"/>
    </row>
    <row r="128" spans="1:10" ht="60" customHeight="1">
      <c r="A128" s="6" t="s">
        <v>485</v>
      </c>
      <c r="B128" s="6" t="s">
        <v>11</v>
      </c>
      <c r="C128" s="6" t="s">
        <v>12</v>
      </c>
      <c r="D128" s="7" t="s">
        <v>486</v>
      </c>
      <c r="E128" s="8" t="s">
        <v>487</v>
      </c>
      <c r="F128" s="6" t="s">
        <v>488</v>
      </c>
      <c r="G128" s="9">
        <f>IF(A128=1,"_",IF(C128="_","???",C128))</f>
        <v/>
      </c>
      <c r="H128" s="10" t="s">
        <v>12</v>
      </c>
      <c r="I128" s="11" t="s">
        <v>12</v>
      </c>
      <c r="J128" s="12"/>
    </row>
    <row r="129" spans="1:10" ht="60" customHeight="1">
      <c r="A129" s="6" t="s">
        <v>489</v>
      </c>
      <c r="B129" s="6" t="s">
        <v>16</v>
      </c>
      <c r="C129" s="6" t="s">
        <v>12</v>
      </c>
      <c r="D129" s="7" t="s">
        <v>490</v>
      </c>
      <c r="E129" s="8" t="s">
        <v>491</v>
      </c>
      <c r="F129" s="6" t="s">
        <v>492</v>
      </c>
      <c r="G129" s="9">
        <f>IF(A129=1,"_",IF(C129="_","???",C129))</f>
        <v/>
      </c>
      <c r="H129" s="10" t="s">
        <v>12</v>
      </c>
      <c r="I129" s="11" t="s">
        <v>12</v>
      </c>
      <c r="J129" s="12"/>
    </row>
    <row r="130" spans="1:10" ht="60" customHeight="1">
      <c r="A130" s="6" t="s">
        <v>493</v>
      </c>
      <c r="B130" s="6" t="s">
        <v>16</v>
      </c>
      <c r="C130" s="6" t="s">
        <v>12</v>
      </c>
      <c r="D130" s="7" t="s">
        <v>494</v>
      </c>
      <c r="E130" s="8" t="s">
        <v>495</v>
      </c>
      <c r="F130" s="6" t="s">
        <v>496</v>
      </c>
      <c r="G130" s="9">
        <f>IF(A130=1,"_",IF(C130="_","???",C130))</f>
        <v/>
      </c>
      <c r="H130" s="10" t="s">
        <v>12</v>
      </c>
      <c r="I130" s="11" t="s">
        <v>12</v>
      </c>
      <c r="J130" s="12"/>
    </row>
    <row r="131" spans="1:10" ht="60" customHeight="1">
      <c r="A131" s="6" t="s">
        <v>497</v>
      </c>
      <c r="B131" s="6" t="s">
        <v>16</v>
      </c>
      <c r="C131" s="6" t="s">
        <v>12</v>
      </c>
      <c r="D131" s="7" t="s">
        <v>498</v>
      </c>
      <c r="E131" s="8" t="s">
        <v>499</v>
      </c>
      <c r="F131" s="6" t="s">
        <v>500</v>
      </c>
      <c r="G131" s="9">
        <f>IF(A131=1,"_",IF(C131="_","???",C131))</f>
        <v/>
      </c>
      <c r="H131" s="10" t="s">
        <v>12</v>
      </c>
      <c r="I131" s="11" t="s">
        <v>12</v>
      </c>
      <c r="J131" s="12"/>
    </row>
    <row r="132" spans="1:10" ht="60" customHeight="1">
      <c r="A132" s="6" t="s">
        <v>501</v>
      </c>
      <c r="B132" s="6" t="s">
        <v>40</v>
      </c>
      <c r="C132" s="6" t="s">
        <v>12</v>
      </c>
      <c r="D132" s="7" t="s">
        <v>267</v>
      </c>
      <c r="E132" s="8" t="s">
        <v>502</v>
      </c>
      <c r="F132" s="6" t="s">
        <v>503</v>
      </c>
      <c r="G132" s="9">
        <f>IF(A132=1,"_",IF(C132="_","???",C132))</f>
        <v/>
      </c>
      <c r="H132" s="10" t="s">
        <v>12</v>
      </c>
      <c r="I132" s="11" t="s">
        <v>12</v>
      </c>
      <c r="J132" s="12"/>
    </row>
    <row r="133" spans="1:10" ht="60" customHeight="1">
      <c r="A133" s="6" t="s">
        <v>504</v>
      </c>
      <c r="B133" s="6" t="s">
        <v>11</v>
      </c>
      <c r="C133" s="6" t="s">
        <v>12</v>
      </c>
      <c r="D133" s="7" t="s">
        <v>100</v>
      </c>
      <c r="E133" s="8" t="s">
        <v>505</v>
      </c>
      <c r="F133" s="6" t="s">
        <v>506</v>
      </c>
      <c r="G133" s="9">
        <f>IF(A133=1,"_",IF(C133="_","???",C133))</f>
        <v/>
      </c>
      <c r="H133" s="10" t="s">
        <v>12</v>
      </c>
      <c r="I133" s="11" t="s">
        <v>12</v>
      </c>
      <c r="J133" s="12"/>
    </row>
    <row r="134" spans="1:10" ht="60" customHeight="1">
      <c r="A134" s="6" t="s">
        <v>507</v>
      </c>
      <c r="B134" s="6" t="s">
        <v>11</v>
      </c>
      <c r="C134" s="6" t="s">
        <v>12</v>
      </c>
      <c r="D134" s="7" t="s">
        <v>100</v>
      </c>
      <c r="E134" s="8" t="s">
        <v>508</v>
      </c>
      <c r="F134" s="6" t="s">
        <v>509</v>
      </c>
      <c r="G134" s="9">
        <f>IF(A134=1,"_",IF(C134="_","???",C134))</f>
        <v/>
      </c>
      <c r="H134" s="10" t="s">
        <v>12</v>
      </c>
      <c r="I134" s="11" t="s">
        <v>12</v>
      </c>
      <c r="J134" s="12"/>
    </row>
    <row r="135" spans="1:10" ht="60" customHeight="1">
      <c r="A135" s="6" t="s">
        <v>510</v>
      </c>
      <c r="B135" s="6" t="s">
        <v>16</v>
      </c>
      <c r="C135" s="6" t="s">
        <v>12</v>
      </c>
      <c r="D135" s="7" t="s">
        <v>470</v>
      </c>
      <c r="E135" s="8" t="s">
        <v>511</v>
      </c>
      <c r="F135" s="6" t="s">
        <v>512</v>
      </c>
      <c r="G135" s="9">
        <f>IF(A135=1,"_",IF(C135="_","???",C135))</f>
        <v/>
      </c>
      <c r="H135" s="10" t="s">
        <v>12</v>
      </c>
      <c r="I135" s="11" t="s">
        <v>12</v>
      </c>
      <c r="J135" s="12"/>
    </row>
    <row r="136" spans="1:10" ht="60" customHeight="1">
      <c r="A136" s="6" t="s">
        <v>513</v>
      </c>
      <c r="B136" s="6" t="s">
        <v>16</v>
      </c>
      <c r="C136" s="6" t="s">
        <v>12</v>
      </c>
      <c r="D136" s="7" t="s">
        <v>514</v>
      </c>
      <c r="E136" s="8" t="s">
        <v>515</v>
      </c>
      <c r="F136" s="6" t="s">
        <v>516</v>
      </c>
      <c r="G136" s="9">
        <f>IF(A136=1,"_",IF(C136="_","???",C136))</f>
        <v/>
      </c>
      <c r="H136" s="10" t="s">
        <v>12</v>
      </c>
      <c r="I136" s="11" t="s">
        <v>12</v>
      </c>
      <c r="J136" s="12"/>
    </row>
    <row r="137" spans="1:10" ht="60" customHeight="1">
      <c r="A137" s="6" t="s">
        <v>517</v>
      </c>
      <c r="B137" s="6" t="s">
        <v>16</v>
      </c>
      <c r="C137" s="6" t="s">
        <v>12</v>
      </c>
      <c r="D137" s="7" t="s">
        <v>518</v>
      </c>
      <c r="E137" s="8" t="s">
        <v>519</v>
      </c>
      <c r="F137" s="6" t="s">
        <v>520</v>
      </c>
      <c r="G137" s="9">
        <f>IF(A137=1,"_",IF(C137="_","???",C137))</f>
        <v/>
      </c>
      <c r="H137" s="10" t="s">
        <v>12</v>
      </c>
      <c r="I137" s="11" t="s">
        <v>12</v>
      </c>
      <c r="J137" s="12"/>
    </row>
    <row r="138" spans="1:10" ht="60" customHeight="1">
      <c r="A138" s="6" t="s">
        <v>521</v>
      </c>
      <c r="B138" s="6" t="s">
        <v>16</v>
      </c>
      <c r="C138" s="6" t="s">
        <v>12</v>
      </c>
      <c r="D138" s="7" t="s">
        <v>522</v>
      </c>
      <c r="E138" s="8" t="s">
        <v>523</v>
      </c>
      <c r="F138" s="6" t="s">
        <v>524</v>
      </c>
      <c r="G138" s="9">
        <f>IF(A138=1,"_",IF(C138="_","???",C138))</f>
        <v/>
      </c>
      <c r="H138" s="10" t="s">
        <v>12</v>
      </c>
      <c r="I138" s="11" t="s">
        <v>12</v>
      </c>
      <c r="J138" s="12"/>
    </row>
    <row r="139" spans="1:10" ht="60" customHeight="1">
      <c r="A139" s="6" t="s">
        <v>525</v>
      </c>
      <c r="B139" s="6" t="s">
        <v>16</v>
      </c>
      <c r="C139" s="6" t="s">
        <v>12</v>
      </c>
      <c r="D139" s="7" t="s">
        <v>526</v>
      </c>
      <c r="E139" s="8" t="s">
        <v>527</v>
      </c>
      <c r="F139" s="6" t="s">
        <v>528</v>
      </c>
      <c r="G139" s="9">
        <f>IF(A139=1,"_",IF(C139="_","???",C139))</f>
        <v/>
      </c>
      <c r="H139" s="10" t="s">
        <v>12</v>
      </c>
      <c r="I139" s="11" t="s">
        <v>12</v>
      </c>
      <c r="J139" s="12"/>
    </row>
    <row r="140" spans="1:10" ht="60" customHeight="1">
      <c r="A140" s="6" t="s">
        <v>529</v>
      </c>
      <c r="B140" s="6" t="s">
        <v>16</v>
      </c>
      <c r="C140" s="6" t="s">
        <v>12</v>
      </c>
      <c r="D140" s="7" t="s">
        <v>530</v>
      </c>
      <c r="E140" s="8" t="s">
        <v>531</v>
      </c>
      <c r="F140" s="6" t="s">
        <v>532</v>
      </c>
      <c r="G140" s="9">
        <f>IF(A140=1,"_",IF(C140="_","???",C140))</f>
        <v/>
      </c>
      <c r="H140" s="10" t="s">
        <v>12</v>
      </c>
      <c r="I140" s="11" t="s">
        <v>12</v>
      </c>
      <c r="J140" s="12"/>
    </row>
    <row r="141" spans="1:10" ht="60" customHeight="1">
      <c r="A141" s="6" t="s">
        <v>533</v>
      </c>
      <c r="B141" s="6" t="s">
        <v>16</v>
      </c>
      <c r="C141" s="6" t="s">
        <v>12</v>
      </c>
      <c r="D141" s="7" t="s">
        <v>534</v>
      </c>
      <c r="E141" s="8" t="s">
        <v>535</v>
      </c>
      <c r="F141" s="6" t="s">
        <v>536</v>
      </c>
      <c r="G141" s="9">
        <f>IF(A141=1,"_",IF(C141="_","???",C141))</f>
        <v/>
      </c>
      <c r="H141" s="10" t="s">
        <v>12</v>
      </c>
      <c r="I141" s="11" t="s">
        <v>12</v>
      </c>
      <c r="J141" s="12"/>
    </row>
    <row r="142" spans="1:10" ht="60" customHeight="1">
      <c r="A142" s="6" t="s">
        <v>537</v>
      </c>
      <c r="B142" s="6" t="s">
        <v>40</v>
      </c>
      <c r="C142" s="6" t="s">
        <v>12</v>
      </c>
      <c r="D142" s="7" t="s">
        <v>100</v>
      </c>
      <c r="E142" s="8" t="s">
        <v>538</v>
      </c>
      <c r="F142" s="6" t="s">
        <v>539</v>
      </c>
      <c r="G142" s="9">
        <f>IF(A142=1,"_",IF(C142="_","???",C142))</f>
        <v/>
      </c>
      <c r="H142" s="10" t="s">
        <v>12</v>
      </c>
      <c r="I142" s="11" t="s">
        <v>12</v>
      </c>
      <c r="J142" s="12"/>
    </row>
    <row r="143" spans="1:10" ht="60" customHeight="1">
      <c r="A143" s="6" t="s">
        <v>540</v>
      </c>
      <c r="B143" s="6" t="s">
        <v>56</v>
      </c>
      <c r="C143" s="6" t="s">
        <v>12</v>
      </c>
      <c r="D143" s="7" t="s">
        <v>541</v>
      </c>
      <c r="E143" s="8" t="s">
        <v>542</v>
      </c>
      <c r="F143" s="6" t="s">
        <v>543</v>
      </c>
      <c r="G143" s="9">
        <f>IF(A143=1,"_",IF(C143="_","???",C143))</f>
        <v/>
      </c>
      <c r="H143" s="10" t="s">
        <v>12</v>
      </c>
      <c r="I143" s="11" t="s">
        <v>12</v>
      </c>
      <c r="J143" s="12"/>
    </row>
    <row r="144" spans="1:10" ht="60" customHeight="1">
      <c r="A144" s="6" t="s">
        <v>544</v>
      </c>
      <c r="B144" s="6" t="s">
        <v>11</v>
      </c>
      <c r="C144" s="6" t="s">
        <v>12</v>
      </c>
      <c r="D144" s="7" t="s">
        <v>104</v>
      </c>
      <c r="E144" s="8" t="s">
        <v>545</v>
      </c>
      <c r="F144" s="6" t="s">
        <v>546</v>
      </c>
      <c r="G144" s="9">
        <f>IF(A144=1,"_",IF(C144="_","???",C144))</f>
        <v/>
      </c>
      <c r="H144" s="10" t="s">
        <v>12</v>
      </c>
      <c r="I144" s="11" t="s">
        <v>12</v>
      </c>
      <c r="J144" s="12"/>
    </row>
    <row r="145" spans="1:10" ht="60" customHeight="1">
      <c r="A145" s="6" t="s">
        <v>547</v>
      </c>
      <c r="B145" s="6" t="s">
        <v>16</v>
      </c>
      <c r="C145" s="6" t="s">
        <v>12</v>
      </c>
      <c r="D145" s="7" t="s">
        <v>548</v>
      </c>
      <c r="E145" s="8" t="s">
        <v>549</v>
      </c>
      <c r="F145" s="6" t="s">
        <v>550</v>
      </c>
      <c r="G145" s="9">
        <f>IF(A145=1,"_",IF(C145="_","???",C145))</f>
        <v/>
      </c>
      <c r="H145" s="10" t="s">
        <v>12</v>
      </c>
      <c r="I145" s="11" t="s">
        <v>12</v>
      </c>
      <c r="J145" s="12"/>
    </row>
    <row r="146" spans="1:10" ht="60" customHeight="1">
      <c r="A146" s="6" t="s">
        <v>551</v>
      </c>
      <c r="B146" s="6" t="s">
        <v>28</v>
      </c>
      <c r="C146" s="6" t="s">
        <v>12</v>
      </c>
      <c r="D146" s="7" t="s">
        <v>37</v>
      </c>
      <c r="E146" s="8" t="s">
        <v>552</v>
      </c>
      <c r="F146" s="6" t="s">
        <v>553</v>
      </c>
      <c r="G146" s="9">
        <f>IF(A146=1,"_",IF(C146="_","???",C146))</f>
        <v/>
      </c>
      <c r="H146" s="10" t="s">
        <v>12</v>
      </c>
      <c r="I146" s="11" t="s">
        <v>12</v>
      </c>
      <c r="J146" s="12"/>
    </row>
    <row r="147" spans="1:10" ht="60" customHeight="1">
      <c r="A147" s="6" t="s">
        <v>554</v>
      </c>
      <c r="B147" s="6" t="s">
        <v>16</v>
      </c>
      <c r="C147" s="6" t="s">
        <v>12</v>
      </c>
      <c r="D147" s="7" t="s">
        <v>13</v>
      </c>
      <c r="E147" s="8" t="s">
        <v>555</v>
      </c>
      <c r="F147" s="6" t="s">
        <v>556</v>
      </c>
      <c r="G147" s="9">
        <f>IF(A147=1,"_",IF(C147="_","???",C147))</f>
        <v/>
      </c>
      <c r="H147" s="10" t="s">
        <v>12</v>
      </c>
      <c r="I147" s="11" t="s">
        <v>12</v>
      </c>
      <c r="J147" s="12"/>
    </row>
    <row r="148" spans="1:10" ht="60" customHeight="1">
      <c r="A148" s="6" t="s">
        <v>557</v>
      </c>
      <c r="B148" s="6" t="s">
        <v>16</v>
      </c>
      <c r="C148" s="6" t="s">
        <v>12</v>
      </c>
      <c r="D148" s="7" t="s">
        <v>267</v>
      </c>
      <c r="E148" s="8" t="s">
        <v>558</v>
      </c>
      <c r="F148" s="6" t="s">
        <v>559</v>
      </c>
      <c r="G148" s="9">
        <f>IF(A148=1,"_",IF(C148="_","???",C148))</f>
        <v/>
      </c>
      <c r="H148" s="10" t="s">
        <v>12</v>
      </c>
      <c r="I148" s="11" t="s">
        <v>12</v>
      </c>
      <c r="J148" s="12"/>
    </row>
    <row r="149" spans="1:10" ht="60" customHeight="1">
      <c r="A149" s="6" t="s">
        <v>560</v>
      </c>
      <c r="B149" s="6" t="s">
        <v>11</v>
      </c>
      <c r="C149" s="6" t="s">
        <v>12</v>
      </c>
      <c r="D149" s="7" t="s">
        <v>561</v>
      </c>
      <c r="E149" s="8" t="s">
        <v>562</v>
      </c>
      <c r="F149" s="6" t="s">
        <v>563</v>
      </c>
      <c r="G149" s="9">
        <f>IF(A149=1,"_",IF(C149="_","???",C149))</f>
        <v/>
      </c>
      <c r="H149" s="10" t="s">
        <v>12</v>
      </c>
      <c r="I149" s="11" t="s">
        <v>12</v>
      </c>
      <c r="J149" s="12"/>
    </row>
    <row r="150" spans="1:10" ht="60" customHeight="1">
      <c r="A150" s="6" t="s">
        <v>564</v>
      </c>
      <c r="B150" s="6" t="s">
        <v>32</v>
      </c>
      <c r="C150" s="6" t="s">
        <v>12</v>
      </c>
      <c r="D150" s="7" t="s">
        <v>100</v>
      </c>
      <c r="E150" s="8" t="s">
        <v>565</v>
      </c>
      <c r="F150" s="6" t="s">
        <v>566</v>
      </c>
      <c r="G150" s="9">
        <f>IF(A150=1,"_",IF(C150="_","???",C150))</f>
        <v/>
      </c>
      <c r="H150" s="10" t="s">
        <v>12</v>
      </c>
      <c r="I150" s="11" t="s">
        <v>12</v>
      </c>
      <c r="J150" s="12"/>
    </row>
    <row r="151" spans="1:10" ht="60" customHeight="1">
      <c r="A151" s="6" t="s">
        <v>567</v>
      </c>
      <c r="B151" s="6" t="s">
        <v>32</v>
      </c>
      <c r="C151" s="6" t="s">
        <v>12</v>
      </c>
      <c r="D151" s="7" t="s">
        <v>58</v>
      </c>
      <c r="E151" s="8" t="s">
        <v>568</v>
      </c>
      <c r="F151" s="6" t="s">
        <v>569</v>
      </c>
      <c r="G151" s="9">
        <f>IF(A151=1,"_",IF(C151="_","???",C151))</f>
        <v/>
      </c>
      <c r="H151" s="10" t="s">
        <v>12</v>
      </c>
      <c r="I151" s="11" t="s">
        <v>12</v>
      </c>
      <c r="J151" s="12"/>
    </row>
    <row r="152" spans="1:10" ht="60" customHeight="1">
      <c r="A152" s="6" t="s">
        <v>570</v>
      </c>
      <c r="B152" s="6" t="s">
        <v>24</v>
      </c>
      <c r="C152" s="6" t="s">
        <v>12</v>
      </c>
      <c r="D152" s="7" t="s">
        <v>100</v>
      </c>
      <c r="E152" s="8" t="s">
        <v>571</v>
      </c>
      <c r="F152" s="6" t="s">
        <v>572</v>
      </c>
      <c r="G152" s="9">
        <f>IF(A152=1,"_",IF(C152="_","???",C152))</f>
        <v/>
      </c>
      <c r="H152" s="10" t="s">
        <v>12</v>
      </c>
      <c r="I152" s="11" t="s">
        <v>12</v>
      </c>
      <c r="J152" s="12"/>
    </row>
    <row r="153" spans="1:10" ht="60" customHeight="1">
      <c r="A153" s="6" t="s">
        <v>573</v>
      </c>
      <c r="B153" s="6" t="s">
        <v>48</v>
      </c>
      <c r="C153" s="6" t="s">
        <v>12</v>
      </c>
      <c r="D153" s="7" t="s">
        <v>574</v>
      </c>
      <c r="E153" s="8" t="s">
        <v>575</v>
      </c>
      <c r="F153" s="6" t="s">
        <v>576</v>
      </c>
      <c r="G153" s="9">
        <f>IF(A153=1,"_",IF(C153="_","???",C153))</f>
        <v/>
      </c>
      <c r="H153" s="10" t="s">
        <v>12</v>
      </c>
      <c r="I153" s="11" t="s">
        <v>12</v>
      </c>
      <c r="J153" s="12"/>
    </row>
    <row r="154" spans="1:10" ht="60" customHeight="1">
      <c r="A154" s="6" t="s">
        <v>577</v>
      </c>
      <c r="B154" s="6" t="s">
        <v>24</v>
      </c>
      <c r="C154" s="6" t="s">
        <v>12</v>
      </c>
      <c r="D154" s="7" t="s">
        <v>578</v>
      </c>
      <c r="E154" s="8" t="s">
        <v>579</v>
      </c>
      <c r="F154" s="6" t="s">
        <v>580</v>
      </c>
      <c r="G154" s="9">
        <f>IF(A154=1,"_",IF(C154="_","???",C154))</f>
        <v/>
      </c>
      <c r="H154" s="10" t="s">
        <v>12</v>
      </c>
      <c r="I154" s="11" t="s">
        <v>12</v>
      </c>
      <c r="J154" s="12"/>
    </row>
    <row r="155" spans="1:10" ht="60" customHeight="1">
      <c r="A155" s="6" t="s">
        <v>581</v>
      </c>
      <c r="B155" s="6" t="s">
        <v>16</v>
      </c>
      <c r="C155" s="6" t="s">
        <v>12</v>
      </c>
      <c r="D155" s="7" t="s">
        <v>582</v>
      </c>
      <c r="E155" s="8" t="s">
        <v>583</v>
      </c>
      <c r="F155" s="6" t="s">
        <v>584</v>
      </c>
      <c r="G155" s="9">
        <f>IF(A155=1,"_",IF(C155="_","???",C155))</f>
        <v/>
      </c>
      <c r="H155" s="10" t="s">
        <v>12</v>
      </c>
      <c r="I155" s="11" t="s">
        <v>12</v>
      </c>
      <c r="J155" s="12"/>
    </row>
    <row r="156" spans="1:10" ht="60" customHeight="1">
      <c r="A156" s="6" t="s">
        <v>585</v>
      </c>
      <c r="B156" s="6" t="s">
        <v>16</v>
      </c>
      <c r="C156" s="6" t="s">
        <v>12</v>
      </c>
      <c r="D156" s="7" t="s">
        <v>104</v>
      </c>
      <c r="E156" s="8" t="s">
        <v>586</v>
      </c>
      <c r="F156" s="6" t="s">
        <v>587</v>
      </c>
      <c r="G156" s="9">
        <f>IF(A156=1,"_",IF(C156="_","???",C156))</f>
        <v/>
      </c>
      <c r="H156" s="10" t="s">
        <v>12</v>
      </c>
      <c r="I156" s="11" t="s">
        <v>12</v>
      </c>
      <c r="J156" s="12"/>
    </row>
    <row r="157" spans="1:10" ht="60" customHeight="1">
      <c r="A157" s="6" t="s">
        <v>588</v>
      </c>
      <c r="B157" s="6" t="s">
        <v>56</v>
      </c>
      <c r="C157" s="6" t="s">
        <v>12</v>
      </c>
      <c r="D157" s="7" t="s">
        <v>474</v>
      </c>
      <c r="E157" s="8" t="s">
        <v>589</v>
      </c>
      <c r="F157" s="6" t="s">
        <v>590</v>
      </c>
      <c r="G157" s="9">
        <f>IF(A157=1,"_",IF(C157="_","???",C157))</f>
        <v/>
      </c>
      <c r="H157" s="10" t="s">
        <v>12</v>
      </c>
      <c r="I157" s="11" t="s">
        <v>12</v>
      </c>
      <c r="J157" s="12"/>
    </row>
    <row r="158" spans="1:10" ht="60" customHeight="1">
      <c r="A158" s="6" t="s">
        <v>591</v>
      </c>
      <c r="B158" s="6" t="s">
        <v>80</v>
      </c>
      <c r="C158" s="6" t="s">
        <v>12</v>
      </c>
      <c r="D158" s="7" t="s">
        <v>592</v>
      </c>
      <c r="E158" s="8" t="s">
        <v>593</v>
      </c>
      <c r="F158" s="6" t="s">
        <v>594</v>
      </c>
      <c r="G158" s="9">
        <f>IF(A158=1,"_",IF(C158="_","???",C158))</f>
        <v/>
      </c>
      <c r="H158" s="10" t="s">
        <v>12</v>
      </c>
      <c r="I158" s="11" t="s">
        <v>12</v>
      </c>
      <c r="J158" s="12"/>
    </row>
    <row r="159" spans="1:10" ht="60" customHeight="1">
      <c r="A159" s="6" t="s">
        <v>595</v>
      </c>
      <c r="B159" s="6" t="s">
        <v>28</v>
      </c>
      <c r="C159" s="6" t="s">
        <v>12</v>
      </c>
      <c r="D159" s="7" t="s">
        <v>596</v>
      </c>
      <c r="E159" s="8" t="s">
        <v>597</v>
      </c>
      <c r="F159" s="6" t="s">
        <v>598</v>
      </c>
      <c r="G159" s="9">
        <f>IF(A159=1,"_",IF(C159="_","???",C159))</f>
        <v/>
      </c>
      <c r="H159" s="10" t="s">
        <v>12</v>
      </c>
      <c r="I159" s="11" t="s">
        <v>12</v>
      </c>
      <c r="J159" s="12"/>
    </row>
    <row r="160" spans="1:10" ht="60" customHeight="1">
      <c r="A160" s="6" t="s">
        <v>599</v>
      </c>
      <c r="B160" s="6" t="s">
        <v>32</v>
      </c>
      <c r="C160" s="6" t="s">
        <v>12</v>
      </c>
      <c r="D160" s="7" t="s">
        <v>88</v>
      </c>
      <c r="E160" s="8" t="s">
        <v>600</v>
      </c>
      <c r="F160" s="6" t="s">
        <v>601</v>
      </c>
      <c r="G160" s="9">
        <f>IF(A160=1,"_",IF(C160="_","???",C160))</f>
        <v/>
      </c>
      <c r="H160" s="10" t="s">
        <v>12</v>
      </c>
      <c r="I160" s="11" t="s">
        <v>12</v>
      </c>
      <c r="J160" s="12"/>
    </row>
    <row r="161" spans="1:10" ht="60" customHeight="1">
      <c r="A161" s="6" t="s">
        <v>602</v>
      </c>
      <c r="B161" s="6" t="s">
        <v>11</v>
      </c>
      <c r="C161" s="6" t="s">
        <v>12</v>
      </c>
      <c r="D161" s="7" t="s">
        <v>100</v>
      </c>
      <c r="E161" s="8" t="s">
        <v>603</v>
      </c>
      <c r="F161" s="6" t="s">
        <v>604</v>
      </c>
      <c r="G161" s="9">
        <f>IF(A161=1,"_",IF(C161="_","???",C161))</f>
        <v/>
      </c>
      <c r="H161" s="10" t="s">
        <v>12</v>
      </c>
      <c r="I161" s="11" t="s">
        <v>12</v>
      </c>
      <c r="J161" s="12"/>
    </row>
    <row r="162" spans="1:10" ht="60" customHeight="1">
      <c r="A162" s="6" t="s">
        <v>605</v>
      </c>
      <c r="B162" s="6" t="s">
        <v>28</v>
      </c>
      <c r="C162" s="6" t="s">
        <v>12</v>
      </c>
      <c r="D162" s="7" t="s">
        <v>606</v>
      </c>
      <c r="E162" s="8" t="s">
        <v>607</v>
      </c>
      <c r="F162" s="6" t="s">
        <v>608</v>
      </c>
      <c r="G162" s="9">
        <f>IF(A162=1,"_",IF(C162="_","???",C162))</f>
        <v/>
      </c>
      <c r="H162" s="10" t="s">
        <v>12</v>
      </c>
      <c r="I162" s="11" t="s">
        <v>12</v>
      </c>
      <c r="J162" s="12"/>
    </row>
    <row r="163" spans="1:10" ht="60" customHeight="1">
      <c r="A163" s="6" t="s">
        <v>609</v>
      </c>
      <c r="B163" s="6" t="s">
        <v>16</v>
      </c>
      <c r="C163" s="6" t="s">
        <v>12</v>
      </c>
      <c r="D163" s="7" t="s">
        <v>610</v>
      </c>
      <c r="E163" s="8" t="s">
        <v>611</v>
      </c>
      <c r="F163" s="6" t="s">
        <v>612</v>
      </c>
      <c r="G163" s="9">
        <f>IF(A163=1,"_",IF(C163="_","???",C163))</f>
        <v/>
      </c>
      <c r="H163" s="10" t="s">
        <v>12</v>
      </c>
      <c r="I163" s="11" t="s">
        <v>12</v>
      </c>
      <c r="J163" s="12"/>
    </row>
    <row r="164" spans="1:10" ht="60" customHeight="1">
      <c r="A164" s="6" t="s">
        <v>613</v>
      </c>
      <c r="B164" s="6" t="s">
        <v>10</v>
      </c>
      <c r="C164" s="6" t="s">
        <v>12</v>
      </c>
      <c r="D164" s="7" t="s">
        <v>614</v>
      </c>
      <c r="E164" s="8" t="s">
        <v>615</v>
      </c>
      <c r="F164" s="6" t="s">
        <v>616</v>
      </c>
      <c r="G164" s="9">
        <f>IF(A164=1,"_",IF(C164="_","???",C164))</f>
        <v/>
      </c>
      <c r="H164" s="10" t="s">
        <v>12</v>
      </c>
      <c r="I164" s="11" t="s">
        <v>12</v>
      </c>
      <c r="J164" s="12"/>
    </row>
    <row r="165" spans="1:10" ht="60" customHeight="1">
      <c r="A165" s="6" t="s">
        <v>617</v>
      </c>
      <c r="B165" s="6" t="s">
        <v>16</v>
      </c>
      <c r="C165" s="6" t="s">
        <v>12</v>
      </c>
      <c r="D165" s="7" t="s">
        <v>37</v>
      </c>
      <c r="E165" s="8" t="s">
        <v>618</v>
      </c>
      <c r="F165" s="6" t="s">
        <v>619</v>
      </c>
      <c r="G165" s="9">
        <f>IF(A165=1,"_",IF(C165="_","???",C165))</f>
        <v/>
      </c>
      <c r="H165" s="10" t="s">
        <v>12</v>
      </c>
      <c r="I165" s="11" t="s">
        <v>12</v>
      </c>
      <c r="J165" s="12"/>
    </row>
    <row r="166" spans="1:10" ht="60" customHeight="1">
      <c r="A166" s="6" t="s">
        <v>620</v>
      </c>
      <c r="B166" s="6" t="s">
        <v>16</v>
      </c>
      <c r="C166" s="6" t="s">
        <v>12</v>
      </c>
      <c r="D166" s="7" t="s">
        <v>621</v>
      </c>
      <c r="E166" s="8" t="s">
        <v>622</v>
      </c>
      <c r="F166" s="6" t="s">
        <v>623</v>
      </c>
      <c r="G166" s="9">
        <f>IF(A166=1,"_",IF(C166="_","???",C166))</f>
        <v/>
      </c>
      <c r="H166" s="10" t="s">
        <v>12</v>
      </c>
      <c r="I166" s="11" t="s">
        <v>12</v>
      </c>
      <c r="J166" s="12"/>
    </row>
    <row r="167" spans="1:10" ht="60" customHeight="1">
      <c r="A167" s="6" t="s">
        <v>624</v>
      </c>
      <c r="B167" s="6" t="s">
        <v>16</v>
      </c>
      <c r="C167" s="6" t="s">
        <v>12</v>
      </c>
      <c r="D167" s="7" t="s">
        <v>625</v>
      </c>
      <c r="E167" s="8" t="s">
        <v>626</v>
      </c>
      <c r="F167" s="6" t="s">
        <v>627</v>
      </c>
      <c r="G167" s="9">
        <f>IF(A167=1,"_",IF(C167="_","???",C167))</f>
        <v/>
      </c>
      <c r="H167" s="10" t="s">
        <v>12</v>
      </c>
      <c r="I167" s="11" t="s">
        <v>12</v>
      </c>
      <c r="J167" s="12"/>
    </row>
    <row r="168" spans="1:10" ht="60" customHeight="1">
      <c r="A168" s="6" t="s">
        <v>628</v>
      </c>
      <c r="B168" s="6" t="s">
        <v>16</v>
      </c>
      <c r="C168" s="6" t="s">
        <v>12</v>
      </c>
      <c r="D168" s="7" t="s">
        <v>494</v>
      </c>
      <c r="E168" s="8" t="s">
        <v>629</v>
      </c>
      <c r="F168" s="6" t="s">
        <v>630</v>
      </c>
      <c r="G168" s="9">
        <f>IF(A168=1,"_",IF(C168="_","???",C168))</f>
        <v/>
      </c>
      <c r="H168" s="10" t="s">
        <v>12</v>
      </c>
      <c r="I168" s="11" t="s">
        <v>12</v>
      </c>
      <c r="J168" s="12"/>
    </row>
    <row r="169" spans="1:10" ht="60" customHeight="1">
      <c r="A169" s="6" t="s">
        <v>631</v>
      </c>
      <c r="B169" s="6" t="s">
        <v>16</v>
      </c>
      <c r="C169" s="6" t="s">
        <v>146</v>
      </c>
      <c r="D169" s="7" t="s">
        <v>58</v>
      </c>
      <c r="E169" s="8" t="s">
        <v>632</v>
      </c>
      <c r="F169" s="6" t="s">
        <v>633</v>
      </c>
      <c r="G169" s="9">
        <f>IF(A169=1,"_",IF(C169="_","???",C169))</f>
        <v/>
      </c>
      <c r="H169" s="10" t="s">
        <v>12</v>
      </c>
      <c r="I169" s="11" t="s">
        <v>12</v>
      </c>
      <c r="J169" s="12"/>
    </row>
    <row r="170" spans="1:10" ht="60" customHeight="1">
      <c r="A170" s="6" t="s">
        <v>634</v>
      </c>
      <c r="B170" s="6" t="s">
        <v>11</v>
      </c>
      <c r="C170" s="6" t="s">
        <v>12</v>
      </c>
      <c r="D170" s="7" t="s">
        <v>635</v>
      </c>
      <c r="E170" s="8" t="s">
        <v>636</v>
      </c>
      <c r="F170" s="6" t="s">
        <v>637</v>
      </c>
      <c r="G170" s="9">
        <f>IF(A170=1,"_",IF(C170="_","???",C170))</f>
        <v/>
      </c>
      <c r="H170" s="10" t="s">
        <v>12</v>
      </c>
      <c r="I170" s="11" t="s">
        <v>12</v>
      </c>
      <c r="J170" s="12"/>
    </row>
    <row r="171" spans="1:10" ht="60" customHeight="1">
      <c r="A171" s="6" t="s">
        <v>638</v>
      </c>
      <c r="B171" s="6" t="s">
        <v>16</v>
      </c>
      <c r="C171" s="6" t="s">
        <v>12</v>
      </c>
      <c r="D171" s="7" t="s">
        <v>639</v>
      </c>
      <c r="E171" s="8" t="s">
        <v>640</v>
      </c>
      <c r="F171" s="6" t="s">
        <v>641</v>
      </c>
      <c r="G171" s="9">
        <f>IF(A171=1,"_",IF(C171="_","???",C171))</f>
        <v/>
      </c>
      <c r="H171" s="10" t="s">
        <v>12</v>
      </c>
      <c r="I171" s="11" t="s">
        <v>12</v>
      </c>
      <c r="J171" s="12"/>
    </row>
    <row r="172" spans="1:10" ht="60" customHeight="1">
      <c r="A172" s="6" t="s">
        <v>642</v>
      </c>
      <c r="B172" s="6" t="s">
        <v>16</v>
      </c>
      <c r="C172" s="6" t="s">
        <v>12</v>
      </c>
      <c r="D172" s="7" t="s">
        <v>643</v>
      </c>
      <c r="E172" s="8" t="s">
        <v>644</v>
      </c>
      <c r="F172" s="6" t="s">
        <v>645</v>
      </c>
      <c r="G172" s="9">
        <f>IF(A172=1,"_",IF(C172="_","???",C172))</f>
        <v/>
      </c>
      <c r="H172" s="10" t="s">
        <v>12</v>
      </c>
      <c r="I172" s="11" t="s">
        <v>12</v>
      </c>
      <c r="J172" s="12"/>
    </row>
    <row r="173" spans="1:10" ht="60" customHeight="1">
      <c r="A173" s="6" t="s">
        <v>646</v>
      </c>
      <c r="B173" s="6" t="s">
        <v>24</v>
      </c>
      <c r="C173" s="6" t="s">
        <v>12</v>
      </c>
      <c r="D173" s="7" t="s">
        <v>104</v>
      </c>
      <c r="E173" s="8" t="s">
        <v>647</v>
      </c>
      <c r="F173" s="6" t="s">
        <v>648</v>
      </c>
      <c r="G173" s="9">
        <f>IF(A173=1,"_",IF(C173="_","???",C173))</f>
        <v/>
      </c>
      <c r="H173" s="10" t="s">
        <v>12</v>
      </c>
      <c r="I173" s="11" t="s">
        <v>12</v>
      </c>
      <c r="J173" s="12"/>
    </row>
    <row r="174" spans="1:10" ht="60" customHeight="1">
      <c r="A174" s="6" t="s">
        <v>649</v>
      </c>
      <c r="B174" s="6" t="s">
        <v>11</v>
      </c>
      <c r="C174" s="6" t="s">
        <v>12</v>
      </c>
      <c r="D174" s="7" t="s">
        <v>650</v>
      </c>
      <c r="E174" s="8" t="s">
        <v>651</v>
      </c>
      <c r="F174" s="6" t="s">
        <v>652</v>
      </c>
      <c r="G174" s="9">
        <f>IF(A174=1,"_",IF(C174="_","???",C174))</f>
        <v/>
      </c>
      <c r="H174" s="10" t="s">
        <v>12</v>
      </c>
      <c r="I174" s="11" t="s">
        <v>12</v>
      </c>
      <c r="J174" s="12"/>
    </row>
    <row r="175" spans="1:10" ht="60" customHeight="1">
      <c r="A175" s="6" t="s">
        <v>653</v>
      </c>
      <c r="B175" s="6" t="s">
        <v>69</v>
      </c>
      <c r="C175" s="6" t="s">
        <v>12</v>
      </c>
      <c r="D175" s="7" t="s">
        <v>654</v>
      </c>
      <c r="E175" s="8" t="s">
        <v>655</v>
      </c>
      <c r="F175" s="6" t="s">
        <v>656</v>
      </c>
      <c r="G175" s="9">
        <f>IF(A175=1,"_",IF(C175="_","???",C175))</f>
        <v/>
      </c>
      <c r="H175" s="10" t="s">
        <v>12</v>
      </c>
      <c r="I175" s="11" t="s">
        <v>12</v>
      </c>
      <c r="J175" s="12"/>
    </row>
    <row r="176" spans="1:10" ht="60" customHeight="1">
      <c r="A176" s="6" t="s">
        <v>657</v>
      </c>
      <c r="B176" s="6" t="s">
        <v>61</v>
      </c>
      <c r="C176" s="6" t="s">
        <v>12</v>
      </c>
      <c r="D176" s="7" t="s">
        <v>658</v>
      </c>
      <c r="E176" s="8" t="s">
        <v>659</v>
      </c>
      <c r="F176" s="6" t="s">
        <v>660</v>
      </c>
      <c r="G176" s="9">
        <f>IF(A176=1,"_",IF(C176="_","???",C176))</f>
        <v/>
      </c>
      <c r="H176" s="10" t="s">
        <v>12</v>
      </c>
      <c r="I176" s="11" t="s">
        <v>12</v>
      </c>
      <c r="J176" s="12"/>
    </row>
    <row r="177" spans="1:10" ht="60" customHeight="1">
      <c r="A177" s="6" t="s">
        <v>661</v>
      </c>
      <c r="B177" s="6" t="s">
        <v>16</v>
      </c>
      <c r="C177" s="6" t="s">
        <v>12</v>
      </c>
      <c r="D177" s="7" t="s">
        <v>635</v>
      </c>
      <c r="E177" s="8" t="s">
        <v>662</v>
      </c>
      <c r="F177" s="6" t="s">
        <v>663</v>
      </c>
      <c r="G177" s="9">
        <f>IF(A177=1,"_",IF(C177="_","???",C177))</f>
        <v/>
      </c>
      <c r="H177" s="10" t="s">
        <v>12</v>
      </c>
      <c r="I177" s="11" t="s">
        <v>12</v>
      </c>
      <c r="J177" s="12"/>
    </row>
    <row r="178" spans="1:10" ht="60" customHeight="1">
      <c r="A178" s="6" t="s">
        <v>664</v>
      </c>
      <c r="B178" s="6" t="s">
        <v>17</v>
      </c>
      <c r="C178" s="6" t="s">
        <v>12</v>
      </c>
      <c r="D178" s="7" t="s">
        <v>665</v>
      </c>
      <c r="E178" s="8" t="s">
        <v>666</v>
      </c>
      <c r="F178" s="6" t="s">
        <v>667</v>
      </c>
      <c r="G178" s="9">
        <f>IF(A178=1,"_",IF(C178="_","???",C178))</f>
        <v/>
      </c>
      <c r="H178" s="10" t="s">
        <v>12</v>
      </c>
      <c r="I178" s="11" t="s">
        <v>12</v>
      </c>
      <c r="J178" s="12"/>
    </row>
    <row r="179" spans="1:10" ht="60" customHeight="1">
      <c r="A179" s="6" t="s">
        <v>668</v>
      </c>
      <c r="B179" s="6" t="s">
        <v>11</v>
      </c>
      <c r="C179" s="6" t="s">
        <v>12</v>
      </c>
      <c r="D179" s="7" t="s">
        <v>669</v>
      </c>
      <c r="E179" s="8" t="s">
        <v>670</v>
      </c>
      <c r="F179" s="6" t="s">
        <v>671</v>
      </c>
      <c r="G179" s="9">
        <f>IF(A179=1,"_",IF(C179="_","???",C179))</f>
        <v/>
      </c>
      <c r="H179" s="10" t="s">
        <v>12</v>
      </c>
      <c r="I179" s="11" t="s">
        <v>12</v>
      </c>
      <c r="J179" s="12"/>
    </row>
    <row r="180" spans="1:10" ht="60" customHeight="1">
      <c r="A180" s="6" t="s">
        <v>672</v>
      </c>
      <c r="B180" s="6" t="s">
        <v>16</v>
      </c>
      <c r="C180" s="6" t="s">
        <v>12</v>
      </c>
      <c r="D180" s="7" t="s">
        <v>100</v>
      </c>
      <c r="E180" s="8" t="s">
        <v>673</v>
      </c>
      <c r="F180" s="6" t="s">
        <v>674</v>
      </c>
      <c r="G180" s="9">
        <f>IF(A180=1,"_",IF(C180="_","???",C180))</f>
        <v/>
      </c>
      <c r="H180" s="10" t="s">
        <v>12</v>
      </c>
      <c r="I180" s="11" t="s">
        <v>12</v>
      </c>
      <c r="J180" s="12"/>
    </row>
    <row r="181" spans="1:10" ht="60" customHeight="1">
      <c r="A181" s="6" t="s">
        <v>675</v>
      </c>
      <c r="B181" s="6" t="s">
        <v>17</v>
      </c>
      <c r="C181" s="6" t="s">
        <v>12</v>
      </c>
      <c r="D181" s="7" t="s">
        <v>100</v>
      </c>
      <c r="E181" s="8" t="s">
        <v>676</v>
      </c>
      <c r="F181" s="6" t="s">
        <v>677</v>
      </c>
      <c r="G181" s="9">
        <f>IF(A181=1,"_",IF(C181="_","???",C181))</f>
        <v/>
      </c>
      <c r="H181" s="10" t="s">
        <v>12</v>
      </c>
      <c r="I181" s="11" t="s">
        <v>12</v>
      </c>
      <c r="J181" s="12"/>
    </row>
    <row r="182" spans="1:10" ht="60" customHeight="1">
      <c r="A182" s="6" t="s">
        <v>678</v>
      </c>
      <c r="B182" s="6" t="s">
        <v>32</v>
      </c>
      <c r="C182" s="6" t="s">
        <v>12</v>
      </c>
      <c r="D182" s="7" t="s">
        <v>679</v>
      </c>
      <c r="E182" s="8" t="s">
        <v>680</v>
      </c>
      <c r="F182" s="6" t="s">
        <v>681</v>
      </c>
      <c r="G182" s="9">
        <f>IF(A182=1,"_",IF(C182="_","???",C182))</f>
        <v/>
      </c>
      <c r="H182" s="10" t="s">
        <v>12</v>
      </c>
      <c r="I182" s="11" t="s">
        <v>12</v>
      </c>
      <c r="J182" s="12"/>
    </row>
    <row r="183" spans="1:10" ht="60" customHeight="1">
      <c r="A183" s="6" t="s">
        <v>682</v>
      </c>
      <c r="B183" s="6" t="s">
        <v>16</v>
      </c>
      <c r="C183" s="6" t="s">
        <v>12</v>
      </c>
      <c r="D183" s="7" t="s">
        <v>100</v>
      </c>
      <c r="E183" s="8" t="s">
        <v>683</v>
      </c>
      <c r="F183" s="6" t="s">
        <v>684</v>
      </c>
      <c r="G183" s="9">
        <f>IF(A183=1,"_",IF(C183="_","???",C183))</f>
        <v/>
      </c>
      <c r="H183" s="10" t="s">
        <v>12</v>
      </c>
      <c r="I183" s="11" t="s">
        <v>12</v>
      </c>
      <c r="J183" s="12"/>
    </row>
    <row r="184" spans="1:10" ht="60" customHeight="1">
      <c r="A184" s="6" t="s">
        <v>685</v>
      </c>
      <c r="B184" s="6" t="s">
        <v>11</v>
      </c>
      <c r="C184" s="6" t="s">
        <v>12</v>
      </c>
      <c r="D184" s="7" t="s">
        <v>100</v>
      </c>
      <c r="E184" s="8" t="s">
        <v>686</v>
      </c>
      <c r="F184" s="6" t="s">
        <v>687</v>
      </c>
      <c r="G184" s="9">
        <f>IF(A184=1,"_",IF(C184="_","???",C184))</f>
        <v/>
      </c>
      <c r="H184" s="10" t="s">
        <v>12</v>
      </c>
      <c r="I184" s="11" t="s">
        <v>12</v>
      </c>
      <c r="J184" s="12"/>
    </row>
    <row r="185" spans="1:10" ht="60" customHeight="1">
      <c r="A185" s="6" t="s">
        <v>688</v>
      </c>
      <c r="B185" s="6" t="s">
        <v>16</v>
      </c>
      <c r="C185" s="6" t="s">
        <v>12</v>
      </c>
      <c r="D185" s="7" t="s">
        <v>689</v>
      </c>
      <c r="E185" s="8" t="s">
        <v>690</v>
      </c>
      <c r="F185" s="6" t="s">
        <v>691</v>
      </c>
      <c r="G185" s="9">
        <f>IF(A185=1,"_",IF(C185="_","???",C185))</f>
        <v/>
      </c>
      <c r="H185" s="10" t="s">
        <v>12</v>
      </c>
      <c r="I185" s="11" t="s">
        <v>12</v>
      </c>
      <c r="J185" s="12"/>
    </row>
    <row r="186" spans="1:10" ht="60" customHeight="1">
      <c r="A186" s="6" t="s">
        <v>692</v>
      </c>
      <c r="B186" s="6" t="s">
        <v>17</v>
      </c>
      <c r="C186" s="6" t="s">
        <v>12</v>
      </c>
      <c r="D186" s="7" t="s">
        <v>693</v>
      </c>
      <c r="E186" s="8" t="s">
        <v>694</v>
      </c>
      <c r="F186" s="6" t="s">
        <v>695</v>
      </c>
      <c r="G186" s="9">
        <f>IF(A186=1,"_",IF(C186="_","???",C186))</f>
        <v/>
      </c>
      <c r="H186" s="10" t="s">
        <v>12</v>
      </c>
      <c r="I186" s="11" t="s">
        <v>12</v>
      </c>
      <c r="J186" s="12"/>
    </row>
    <row r="187" spans="1:10" ht="60" customHeight="1">
      <c r="A187" s="6" t="s">
        <v>696</v>
      </c>
      <c r="B187" s="6" t="s">
        <v>16</v>
      </c>
      <c r="C187" s="6" t="s">
        <v>12</v>
      </c>
      <c r="D187" s="7" t="s">
        <v>100</v>
      </c>
      <c r="E187" s="8" t="s">
        <v>697</v>
      </c>
      <c r="F187" s="6" t="s">
        <v>698</v>
      </c>
      <c r="G187" s="9">
        <f>IF(A187=1,"_",IF(C187="_","???",C187))</f>
        <v/>
      </c>
      <c r="H187" s="10" t="s">
        <v>12</v>
      </c>
      <c r="I187" s="11" t="s">
        <v>12</v>
      </c>
      <c r="J187" s="12"/>
    </row>
    <row r="188" spans="1:10" ht="60" customHeight="1">
      <c r="A188" s="6" t="s">
        <v>699</v>
      </c>
      <c r="B188" s="6" t="s">
        <v>72</v>
      </c>
      <c r="C188" s="6" t="s">
        <v>12</v>
      </c>
      <c r="D188" s="7" t="s">
        <v>100</v>
      </c>
      <c r="E188" s="8" t="s">
        <v>700</v>
      </c>
      <c r="F188" s="6" t="s">
        <v>701</v>
      </c>
      <c r="G188" s="9">
        <f>IF(A188=1,"_",IF(C188="_","???",C188))</f>
        <v/>
      </c>
      <c r="H188" s="10" t="s">
        <v>12</v>
      </c>
      <c r="I188" s="11" t="s">
        <v>12</v>
      </c>
      <c r="J188" s="12"/>
    </row>
    <row r="189" spans="1:10" ht="60" customHeight="1">
      <c r="A189" s="6" t="s">
        <v>702</v>
      </c>
      <c r="B189" s="6" t="s">
        <v>16</v>
      </c>
      <c r="C189" s="6" t="s">
        <v>12</v>
      </c>
      <c r="D189" s="7" t="s">
        <v>703</v>
      </c>
      <c r="E189" s="8" t="s">
        <v>704</v>
      </c>
      <c r="F189" s="6" t="s">
        <v>705</v>
      </c>
      <c r="G189" s="9">
        <f>IF(A189=1,"_",IF(C189="_","???",C189))</f>
        <v/>
      </c>
      <c r="H189" s="10" t="s">
        <v>12</v>
      </c>
      <c r="I189" s="11" t="s">
        <v>12</v>
      </c>
      <c r="J189" s="12"/>
    </row>
    <row r="190" spans="1:10" ht="60" customHeight="1">
      <c r="A190" s="6" t="s">
        <v>706</v>
      </c>
      <c r="B190" s="6" t="s">
        <v>40</v>
      </c>
      <c r="C190" s="6" t="s">
        <v>12</v>
      </c>
      <c r="D190" s="7" t="s">
        <v>707</v>
      </c>
      <c r="E190" s="8" t="s">
        <v>708</v>
      </c>
      <c r="F190" s="6" t="s">
        <v>709</v>
      </c>
      <c r="G190" s="9">
        <f>IF(A190=1,"_",IF(C190="_","???",C190))</f>
        <v/>
      </c>
      <c r="H190" s="10" t="s">
        <v>12</v>
      </c>
      <c r="I190" s="11" t="s">
        <v>12</v>
      </c>
      <c r="J190" s="12"/>
    </row>
    <row r="191" spans="1:10" ht="60" customHeight="1">
      <c r="A191" s="6" t="s">
        <v>710</v>
      </c>
      <c r="B191" s="6" t="s">
        <v>16</v>
      </c>
      <c r="C191" s="6" t="s">
        <v>12</v>
      </c>
      <c r="D191" s="7" t="s">
        <v>711</v>
      </c>
      <c r="E191" s="8" t="s">
        <v>712</v>
      </c>
      <c r="F191" s="6" t="s">
        <v>713</v>
      </c>
      <c r="G191" s="9">
        <f>IF(A191=1,"_",IF(C191="_","???",C191))</f>
        <v/>
      </c>
      <c r="H191" s="10" t="s">
        <v>12</v>
      </c>
      <c r="I191" s="11" t="s">
        <v>12</v>
      </c>
      <c r="J191" s="12"/>
    </row>
    <row r="192" spans="1:10" ht="60" customHeight="1">
      <c r="A192" s="6" t="s">
        <v>714</v>
      </c>
      <c r="B192" s="6" t="s">
        <v>24</v>
      </c>
      <c r="C192" s="6" t="s">
        <v>12</v>
      </c>
      <c r="D192" s="7" t="s">
        <v>715</v>
      </c>
      <c r="E192" s="8" t="s">
        <v>716</v>
      </c>
      <c r="F192" s="6" t="s">
        <v>717</v>
      </c>
      <c r="G192" s="9">
        <f>IF(A192=1,"_",IF(C192="_","???",C192))</f>
        <v/>
      </c>
      <c r="H192" s="10" t="s">
        <v>12</v>
      </c>
      <c r="I192" s="11" t="s">
        <v>12</v>
      </c>
      <c r="J192" s="12"/>
    </row>
    <row r="193" spans="1:10" ht="60" customHeight="1">
      <c r="A193" s="6" t="s">
        <v>718</v>
      </c>
      <c r="B193" s="6" t="s">
        <v>16</v>
      </c>
      <c r="C193" s="6" t="s">
        <v>12</v>
      </c>
      <c r="D193" s="7" t="s">
        <v>719</v>
      </c>
      <c r="E193" s="8" t="s">
        <v>720</v>
      </c>
      <c r="F193" s="6" t="s">
        <v>721</v>
      </c>
      <c r="G193" s="9">
        <f>IF(A193=1,"_",IF(C193="_","???",C193))</f>
        <v/>
      </c>
      <c r="H193" s="10" t="s">
        <v>12</v>
      </c>
      <c r="I193" s="11" t="s">
        <v>12</v>
      </c>
      <c r="J193" s="12"/>
    </row>
    <row r="194" spans="1:10" ht="60" customHeight="1">
      <c r="A194" s="6" t="s">
        <v>722</v>
      </c>
      <c r="B194" s="6" t="s">
        <v>32</v>
      </c>
      <c r="C194" s="6" t="s">
        <v>12</v>
      </c>
      <c r="D194" s="7" t="s">
        <v>723</v>
      </c>
      <c r="E194" s="8" t="s">
        <v>724</v>
      </c>
      <c r="F194" s="6" t="s">
        <v>725</v>
      </c>
      <c r="G194" s="9">
        <f>IF(A194=1,"_",IF(C194="_","???",C194))</f>
        <v/>
      </c>
      <c r="H194" s="10" t="s">
        <v>12</v>
      </c>
      <c r="I194" s="11" t="s">
        <v>12</v>
      </c>
      <c r="J194" s="12"/>
    </row>
    <row r="195" spans="1:10" ht="60" customHeight="1">
      <c r="A195" s="6" t="s">
        <v>726</v>
      </c>
      <c r="B195" s="6" t="s">
        <v>16</v>
      </c>
      <c r="C195" s="6" t="s">
        <v>12</v>
      </c>
      <c r="D195" s="7" t="s">
        <v>727</v>
      </c>
      <c r="E195" s="8" t="s">
        <v>728</v>
      </c>
      <c r="F195" s="6" t="s">
        <v>729</v>
      </c>
      <c r="G195" s="9">
        <f>IF(A195=1,"_",IF(C195="_","???",C195))</f>
        <v/>
      </c>
      <c r="H195" s="10" t="s">
        <v>12</v>
      </c>
      <c r="I195" s="11" t="s">
        <v>12</v>
      </c>
      <c r="J195" s="12"/>
    </row>
    <row r="196" spans="1:10" ht="60" customHeight="1">
      <c r="A196" s="6" t="s">
        <v>730</v>
      </c>
      <c r="B196" s="6" t="s">
        <v>16</v>
      </c>
      <c r="C196" s="6" t="s">
        <v>57</v>
      </c>
      <c r="D196" s="7" t="s">
        <v>470</v>
      </c>
      <c r="E196" s="8" t="s">
        <v>731</v>
      </c>
      <c r="F196" s="6" t="s">
        <v>732</v>
      </c>
      <c r="G196" s="9">
        <f>IF(A196=1,"_",IF(C196="_","???",C196))</f>
        <v/>
      </c>
      <c r="H196" s="10" t="s">
        <v>12</v>
      </c>
      <c r="I196" s="11" t="s">
        <v>12</v>
      </c>
      <c r="J196" s="12"/>
    </row>
    <row r="197" spans="1:10" ht="60" customHeight="1">
      <c r="A197" s="6" t="s">
        <v>733</v>
      </c>
      <c r="B197" s="6" t="s">
        <v>11</v>
      </c>
      <c r="C197" s="6" t="s">
        <v>12</v>
      </c>
      <c r="D197" s="7" t="s">
        <v>100</v>
      </c>
      <c r="E197" s="8" t="s">
        <v>734</v>
      </c>
      <c r="F197" s="6" t="s">
        <v>735</v>
      </c>
      <c r="G197" s="9">
        <f>IF(A197=1,"_",IF(C197="_","???",C197))</f>
        <v/>
      </c>
      <c r="H197" s="10" t="s">
        <v>12</v>
      </c>
      <c r="I197" s="11" t="s">
        <v>12</v>
      </c>
      <c r="J197" s="12"/>
    </row>
    <row r="198" spans="1:10" ht="60" customHeight="1">
      <c r="A198" s="6" t="s">
        <v>736</v>
      </c>
      <c r="B198" s="6" t="s">
        <v>11</v>
      </c>
      <c r="C198" s="6" t="s">
        <v>12</v>
      </c>
      <c r="D198" s="7" t="s">
        <v>654</v>
      </c>
      <c r="E198" s="8" t="s">
        <v>737</v>
      </c>
      <c r="F198" s="6" t="s">
        <v>738</v>
      </c>
      <c r="G198" s="9">
        <f>IF(A198=1,"_",IF(C198="_","???",C198))</f>
        <v/>
      </c>
      <c r="H198" s="10" t="s">
        <v>12</v>
      </c>
      <c r="I198" s="11" t="s">
        <v>12</v>
      </c>
      <c r="J198" s="12"/>
    </row>
    <row r="199" spans="1:10" ht="60" customHeight="1">
      <c r="A199" s="6" t="s">
        <v>739</v>
      </c>
      <c r="B199" s="6" t="s">
        <v>16</v>
      </c>
      <c r="C199" s="6" t="s">
        <v>12</v>
      </c>
      <c r="D199" s="7" t="s">
        <v>740</v>
      </c>
      <c r="E199" s="8" t="s">
        <v>741</v>
      </c>
      <c r="F199" s="6" t="s">
        <v>742</v>
      </c>
      <c r="G199" s="9">
        <f>IF(A199=1,"_",IF(C199="_","???",C199))</f>
        <v/>
      </c>
      <c r="H199" s="10" t="s">
        <v>12</v>
      </c>
      <c r="I199" s="11" t="s">
        <v>12</v>
      </c>
      <c r="J199" s="12"/>
    </row>
    <row r="200" spans="1:10" ht="60" customHeight="1">
      <c r="A200" s="6" t="s">
        <v>743</v>
      </c>
      <c r="B200" s="6" t="s">
        <v>16</v>
      </c>
      <c r="C200" s="6" t="s">
        <v>12</v>
      </c>
      <c r="D200" s="7" t="s">
        <v>100</v>
      </c>
      <c r="E200" s="8" t="s">
        <v>744</v>
      </c>
      <c r="F200" s="6" t="s">
        <v>745</v>
      </c>
      <c r="G200" s="9">
        <f>IF(A200=1,"_",IF(C200="_","???",C200))</f>
        <v/>
      </c>
      <c r="H200" s="10" t="s">
        <v>12</v>
      </c>
      <c r="I200" s="11" t="s">
        <v>12</v>
      </c>
      <c r="J200" s="12"/>
    </row>
    <row r="201" spans="1:10" ht="60" customHeight="1">
      <c r="A201" s="6" t="s">
        <v>746</v>
      </c>
      <c r="B201" s="6" t="s">
        <v>16</v>
      </c>
      <c r="C201" s="6" t="s">
        <v>12</v>
      </c>
      <c r="D201" s="7" t="s">
        <v>747</v>
      </c>
      <c r="E201" s="8" t="s">
        <v>748</v>
      </c>
      <c r="F201" s="6" t="s">
        <v>749</v>
      </c>
      <c r="G201" s="9">
        <f>IF(A201=1,"_",IF(C201="_","???",C201))</f>
        <v/>
      </c>
      <c r="H201" s="10" t="s">
        <v>12</v>
      </c>
      <c r="I201" s="11" t="s">
        <v>12</v>
      </c>
      <c r="J201" s="12"/>
    </row>
    <row r="202" spans="1:10" ht="60" customHeight="1">
      <c r="A202" s="6" t="s">
        <v>750</v>
      </c>
      <c r="B202" s="6" t="s">
        <v>24</v>
      </c>
      <c r="C202" s="6" t="s">
        <v>12</v>
      </c>
      <c r="D202" s="7" t="s">
        <v>751</v>
      </c>
      <c r="E202" s="8" t="s">
        <v>752</v>
      </c>
      <c r="F202" s="6" t="s">
        <v>753</v>
      </c>
      <c r="G202" s="9">
        <f>IF(A202=1,"_",IF(C202="_","???",C202))</f>
        <v/>
      </c>
      <c r="H202" s="10" t="s">
        <v>12</v>
      </c>
      <c r="I202" s="11" t="s">
        <v>12</v>
      </c>
      <c r="J202" s="12"/>
    </row>
    <row r="203" spans="1:10" ht="60" customHeight="1">
      <c r="A203" s="6" t="s">
        <v>754</v>
      </c>
      <c r="B203" s="6" t="s">
        <v>40</v>
      </c>
      <c r="C203" s="6" t="s">
        <v>12</v>
      </c>
      <c r="D203" s="7" t="s">
        <v>755</v>
      </c>
      <c r="E203" s="8" t="s">
        <v>756</v>
      </c>
      <c r="F203" s="6" t="s">
        <v>757</v>
      </c>
      <c r="G203" s="9">
        <f>IF(A203=1,"_",IF(C203="_","???",C203))</f>
        <v/>
      </c>
      <c r="H203" s="10" t="s">
        <v>12</v>
      </c>
      <c r="I203" s="11" t="s">
        <v>12</v>
      </c>
      <c r="J203" s="12"/>
    </row>
    <row r="204" spans="1:10" ht="60" customHeight="1">
      <c r="A204" s="6" t="s">
        <v>758</v>
      </c>
      <c r="B204" s="6" t="s">
        <v>11</v>
      </c>
      <c r="C204" s="6" t="s">
        <v>12</v>
      </c>
      <c r="D204" s="7" t="s">
        <v>241</v>
      </c>
      <c r="E204" s="8" t="s">
        <v>759</v>
      </c>
      <c r="F204" s="6" t="s">
        <v>760</v>
      </c>
      <c r="G204" s="9">
        <f>IF(A204=1,"_",IF(C204="_","???",C204))</f>
        <v/>
      </c>
      <c r="H204" s="10" t="s">
        <v>12</v>
      </c>
      <c r="I204" s="11" t="s">
        <v>12</v>
      </c>
      <c r="J204" s="12"/>
    </row>
    <row r="205" spans="1:10" ht="60" customHeight="1">
      <c r="A205" s="6" t="s">
        <v>761</v>
      </c>
      <c r="B205" s="6" t="s">
        <v>16</v>
      </c>
      <c r="C205" s="6" t="s">
        <v>12</v>
      </c>
      <c r="D205" s="7" t="s">
        <v>150</v>
      </c>
      <c r="E205" s="8" t="s">
        <v>762</v>
      </c>
      <c r="F205" s="6" t="s">
        <v>763</v>
      </c>
      <c r="G205" s="9">
        <f>IF(A205=1,"_",IF(C205="_","???",C205))</f>
        <v/>
      </c>
      <c r="H205" s="10" t="s">
        <v>12</v>
      </c>
      <c r="I205" s="11" t="s">
        <v>12</v>
      </c>
      <c r="J205" s="12"/>
    </row>
    <row r="206" spans="1:10" ht="60" customHeight="1">
      <c r="A206" s="6" t="s">
        <v>764</v>
      </c>
      <c r="B206" s="6" t="s">
        <v>16</v>
      </c>
      <c r="C206" s="6" t="s">
        <v>12</v>
      </c>
      <c r="D206" s="7" t="s">
        <v>241</v>
      </c>
      <c r="E206" s="8" t="s">
        <v>765</v>
      </c>
      <c r="F206" s="6" t="s">
        <v>766</v>
      </c>
      <c r="G206" s="9">
        <f>IF(A206=1,"_",IF(C206="_","???",C206))</f>
        <v/>
      </c>
      <c r="H206" s="10" t="s">
        <v>12</v>
      </c>
      <c r="I206" s="11" t="s">
        <v>12</v>
      </c>
      <c r="J206" s="12"/>
    </row>
    <row r="207" spans="1:10" ht="60" customHeight="1">
      <c r="A207" s="6" t="s">
        <v>767</v>
      </c>
      <c r="B207" s="6" t="s">
        <v>16</v>
      </c>
      <c r="C207" s="6" t="s">
        <v>12</v>
      </c>
      <c r="D207" s="7" t="s">
        <v>768</v>
      </c>
      <c r="E207" s="8" t="s">
        <v>769</v>
      </c>
      <c r="F207" s="6" t="s">
        <v>770</v>
      </c>
      <c r="G207" s="9">
        <f>IF(A207=1,"_",IF(C207="_","???",C207))</f>
        <v/>
      </c>
      <c r="H207" s="10" t="s">
        <v>12</v>
      </c>
      <c r="I207" s="11" t="s">
        <v>12</v>
      </c>
      <c r="J207" s="12"/>
    </row>
    <row r="208" spans="1:10" ht="60" customHeight="1">
      <c r="A208" s="6" t="s">
        <v>771</v>
      </c>
      <c r="B208" s="6" t="s">
        <v>11</v>
      </c>
      <c r="C208" s="6" t="s">
        <v>12</v>
      </c>
      <c r="D208" s="7" t="s">
        <v>100</v>
      </c>
      <c r="E208" s="8" t="s">
        <v>772</v>
      </c>
      <c r="F208" s="6" t="s">
        <v>773</v>
      </c>
      <c r="G208" s="9">
        <f>IF(A208=1,"_",IF(C208="_","???",C208))</f>
        <v/>
      </c>
      <c r="H208" s="10" t="s">
        <v>12</v>
      </c>
      <c r="I208" s="11" t="s">
        <v>12</v>
      </c>
      <c r="J208" s="12"/>
    </row>
    <row r="209" spans="1:10" ht="60" customHeight="1">
      <c r="A209" s="6" t="s">
        <v>774</v>
      </c>
      <c r="B209" s="6" t="s">
        <v>32</v>
      </c>
      <c r="C209" s="6" t="s">
        <v>12</v>
      </c>
      <c r="D209" s="7" t="s">
        <v>775</v>
      </c>
      <c r="E209" s="8" t="s">
        <v>776</v>
      </c>
      <c r="F209" s="6" t="s">
        <v>777</v>
      </c>
      <c r="G209" s="9">
        <f>IF(A209=1,"_",IF(C209="_","???",C209))</f>
        <v/>
      </c>
      <c r="H209" s="10" t="s">
        <v>12</v>
      </c>
      <c r="I209" s="11" t="s">
        <v>12</v>
      </c>
      <c r="J209" s="12"/>
    </row>
    <row r="210" spans="1:10" ht="60" customHeight="1">
      <c r="A210" s="6" t="s">
        <v>778</v>
      </c>
      <c r="B210" s="6" t="s">
        <v>10</v>
      </c>
      <c r="C210" s="6" t="s">
        <v>12</v>
      </c>
      <c r="D210" s="7" t="s">
        <v>779</v>
      </c>
      <c r="E210" s="8" t="s">
        <v>780</v>
      </c>
      <c r="F210" s="6" t="s">
        <v>781</v>
      </c>
      <c r="G210" s="9">
        <f>IF(A210=1,"_",IF(C210="_","???",C210))</f>
        <v/>
      </c>
      <c r="H210" s="10" t="s">
        <v>12</v>
      </c>
      <c r="I210" s="11" t="s">
        <v>12</v>
      </c>
      <c r="J210" s="12"/>
    </row>
    <row r="211" spans="1:10" ht="60" customHeight="1">
      <c r="A211" s="6" t="s">
        <v>782</v>
      </c>
      <c r="B211" s="6" t="s">
        <v>24</v>
      </c>
      <c r="C211" s="6" t="s">
        <v>12</v>
      </c>
      <c r="D211" s="7" t="s">
        <v>100</v>
      </c>
      <c r="E211" s="8" t="s">
        <v>783</v>
      </c>
      <c r="F211" s="6" t="s">
        <v>784</v>
      </c>
      <c r="G211" s="9">
        <f>IF(A211=1,"_",IF(C211="_","???",C211))</f>
        <v/>
      </c>
      <c r="H211" s="10" t="s">
        <v>12</v>
      </c>
      <c r="I211" s="11" t="s">
        <v>12</v>
      </c>
      <c r="J211" s="12"/>
    </row>
    <row r="212" spans="1:10" ht="60" customHeight="1">
      <c r="A212" s="6" t="s">
        <v>785</v>
      </c>
      <c r="B212" s="6" t="s">
        <v>114</v>
      </c>
      <c r="C212" s="6" t="s">
        <v>12</v>
      </c>
      <c r="D212" s="7" t="s">
        <v>786</v>
      </c>
      <c r="E212" s="8" t="s">
        <v>787</v>
      </c>
      <c r="F212" s="6" t="s">
        <v>788</v>
      </c>
      <c r="G212" s="9">
        <f>IF(A212=1,"_",IF(C212="_","???",C212))</f>
        <v/>
      </c>
      <c r="H212" s="10" t="s">
        <v>12</v>
      </c>
      <c r="I212" s="11" t="s">
        <v>12</v>
      </c>
      <c r="J212" s="12"/>
    </row>
    <row r="213" spans="1:10" ht="60" customHeight="1">
      <c r="A213" s="6" t="s">
        <v>789</v>
      </c>
      <c r="B213" s="6" t="s">
        <v>24</v>
      </c>
      <c r="C213" s="6" t="s">
        <v>12</v>
      </c>
      <c r="D213" s="7" t="s">
        <v>790</v>
      </c>
      <c r="E213" s="8" t="s">
        <v>791</v>
      </c>
      <c r="F213" s="6" t="s">
        <v>792</v>
      </c>
      <c r="G213" s="9">
        <f>IF(A213=1,"_",IF(C213="_","???",C213))</f>
        <v/>
      </c>
      <c r="H213" s="10" t="s">
        <v>12</v>
      </c>
      <c r="I213" s="11" t="s">
        <v>12</v>
      </c>
      <c r="J213" s="12"/>
    </row>
    <row r="214" spans="1:10" ht="60" customHeight="1">
      <c r="A214" s="6" t="s">
        <v>793</v>
      </c>
      <c r="B214" s="6" t="s">
        <v>16</v>
      </c>
      <c r="C214" s="6" t="s">
        <v>12</v>
      </c>
      <c r="D214" s="7" t="s">
        <v>794</v>
      </c>
      <c r="E214" s="8" t="s">
        <v>795</v>
      </c>
      <c r="F214" s="6" t="s">
        <v>796</v>
      </c>
      <c r="G214" s="9">
        <f>IF(A214=1,"_",IF(C214="_","???",C214))</f>
        <v/>
      </c>
      <c r="H214" s="10" t="s">
        <v>12</v>
      </c>
      <c r="I214" s="11" t="s">
        <v>12</v>
      </c>
      <c r="J214" s="12"/>
    </row>
    <row r="215" spans="1:10" ht="60" customHeight="1">
      <c r="A215" s="6" t="s">
        <v>797</v>
      </c>
      <c r="B215" s="6" t="s">
        <v>16</v>
      </c>
      <c r="C215" s="6" t="s">
        <v>12</v>
      </c>
      <c r="D215" s="7" t="s">
        <v>665</v>
      </c>
      <c r="E215" s="8" t="s">
        <v>798</v>
      </c>
      <c r="F215" s="6" t="s">
        <v>799</v>
      </c>
      <c r="G215" s="9">
        <f>IF(A215=1,"_",IF(C215="_","???",C215))</f>
        <v/>
      </c>
      <c r="H215" s="10" t="s">
        <v>12</v>
      </c>
      <c r="I215" s="11" t="s">
        <v>12</v>
      </c>
      <c r="J215" s="12"/>
    </row>
    <row r="216" spans="1:10" ht="60" customHeight="1">
      <c r="A216" s="6" t="s">
        <v>800</v>
      </c>
      <c r="B216" s="6" t="s">
        <v>11</v>
      </c>
      <c r="C216" s="6" t="s">
        <v>12</v>
      </c>
      <c r="D216" s="7" t="s">
        <v>100</v>
      </c>
      <c r="E216" s="8" t="s">
        <v>801</v>
      </c>
      <c r="F216" s="6" t="s">
        <v>802</v>
      </c>
      <c r="G216" s="9">
        <f>IF(A216=1,"_",IF(C216="_","???",C216))</f>
        <v/>
      </c>
      <c r="H216" s="10" t="s">
        <v>12</v>
      </c>
      <c r="I216" s="11" t="s">
        <v>12</v>
      </c>
      <c r="J216" s="12"/>
    </row>
    <row r="217" spans="1:10" ht="60" customHeight="1">
      <c r="A217" s="6" t="s">
        <v>803</v>
      </c>
      <c r="B217" s="6" t="s">
        <v>11</v>
      </c>
      <c r="C217" s="6" t="s">
        <v>12</v>
      </c>
      <c r="D217" s="7" t="s">
        <v>804</v>
      </c>
      <c r="E217" s="8" t="s">
        <v>805</v>
      </c>
      <c r="F217" s="6" t="s">
        <v>806</v>
      </c>
      <c r="G217" s="9">
        <f>IF(A217=1,"_",IF(C217="_","???",C217))</f>
        <v/>
      </c>
      <c r="H217" s="10" t="s">
        <v>12</v>
      </c>
      <c r="I217" s="11" t="s">
        <v>12</v>
      </c>
      <c r="J217" s="12"/>
    </row>
    <row r="218" spans="1:10" ht="60" customHeight="1">
      <c r="A218" s="6" t="s">
        <v>807</v>
      </c>
      <c r="B218" s="6" t="s">
        <v>10</v>
      </c>
      <c r="C218" s="6" t="s">
        <v>12</v>
      </c>
      <c r="D218" s="7" t="s">
        <v>808</v>
      </c>
      <c r="E218" s="8" t="s">
        <v>809</v>
      </c>
      <c r="F218" s="6" t="s">
        <v>810</v>
      </c>
      <c r="G218" s="9">
        <f>IF(A218=1,"_",IF(C218="_","???",C218))</f>
        <v/>
      </c>
      <c r="H218" s="10" t="s">
        <v>12</v>
      </c>
      <c r="I218" s="11" t="s">
        <v>12</v>
      </c>
      <c r="J218" s="12"/>
    </row>
    <row r="219" spans="1:10" ht="60" customHeight="1">
      <c r="A219" s="6" t="s">
        <v>811</v>
      </c>
      <c r="B219" s="6" t="s">
        <v>16</v>
      </c>
      <c r="C219" s="6" t="s">
        <v>12</v>
      </c>
      <c r="D219" s="7" t="s">
        <v>812</v>
      </c>
      <c r="E219" s="8" t="s">
        <v>813</v>
      </c>
      <c r="F219" s="6" t="s">
        <v>814</v>
      </c>
      <c r="G219" s="9">
        <f>IF(A219=1,"_",IF(C219="_","???",C219))</f>
        <v/>
      </c>
      <c r="H219" s="10" t="s">
        <v>12</v>
      </c>
      <c r="I219" s="11" t="s">
        <v>12</v>
      </c>
      <c r="J219" s="12"/>
    </row>
    <row r="220" spans="1:10" ht="60" customHeight="1">
      <c r="A220" s="6" t="s">
        <v>815</v>
      </c>
      <c r="B220" s="6" t="s">
        <v>11</v>
      </c>
      <c r="C220" s="6" t="s">
        <v>12</v>
      </c>
      <c r="D220" s="7" t="s">
        <v>470</v>
      </c>
      <c r="E220" s="8" t="s">
        <v>816</v>
      </c>
      <c r="F220" s="6" t="s">
        <v>817</v>
      </c>
      <c r="G220" s="9">
        <f>IF(A220=1,"_",IF(C220="_","???",C220))</f>
        <v/>
      </c>
      <c r="H220" s="10" t="s">
        <v>12</v>
      </c>
      <c r="I220" s="11" t="s">
        <v>12</v>
      </c>
      <c r="J220" s="12"/>
    </row>
    <row r="221" spans="1:10" ht="60" customHeight="1">
      <c r="A221" s="6" t="s">
        <v>818</v>
      </c>
      <c r="B221" s="6" t="s">
        <v>16</v>
      </c>
      <c r="C221" s="6" t="s">
        <v>12</v>
      </c>
      <c r="D221" s="7" t="s">
        <v>514</v>
      </c>
      <c r="E221" s="8" t="s">
        <v>819</v>
      </c>
      <c r="F221" s="6" t="s">
        <v>820</v>
      </c>
      <c r="G221" s="9">
        <f>IF(A221=1,"_",IF(C221="_","???",C221))</f>
        <v/>
      </c>
      <c r="H221" s="10" t="s">
        <v>12</v>
      </c>
      <c r="I221" s="11" t="s">
        <v>12</v>
      </c>
      <c r="J221" s="12"/>
    </row>
    <row r="222" spans="1:10" ht="60" customHeight="1">
      <c r="A222" s="6" t="s">
        <v>821</v>
      </c>
      <c r="B222" s="6" t="s">
        <v>16</v>
      </c>
      <c r="C222" s="6" t="s">
        <v>12</v>
      </c>
      <c r="D222" s="7" t="s">
        <v>150</v>
      </c>
      <c r="E222" s="8" t="s">
        <v>822</v>
      </c>
      <c r="F222" s="6" t="s">
        <v>823</v>
      </c>
      <c r="G222" s="9">
        <f>IF(A222=1,"_",IF(C222="_","???",C222))</f>
        <v/>
      </c>
      <c r="H222" s="10" t="s">
        <v>12</v>
      </c>
      <c r="I222" s="11" t="s">
        <v>12</v>
      </c>
      <c r="J222" s="12"/>
    </row>
    <row r="223" spans="1:10" ht="60" customHeight="1">
      <c r="A223" s="6" t="s">
        <v>824</v>
      </c>
      <c r="B223" s="6" t="s">
        <v>16</v>
      </c>
      <c r="C223" s="6" t="s">
        <v>12</v>
      </c>
      <c r="D223" s="7" t="s">
        <v>825</v>
      </c>
      <c r="E223" s="8" t="s">
        <v>826</v>
      </c>
      <c r="F223" s="6" t="s">
        <v>827</v>
      </c>
      <c r="G223" s="9">
        <f>IF(A223=1,"_",IF(C223="_","???",C223))</f>
        <v/>
      </c>
      <c r="H223" s="10" t="s">
        <v>12</v>
      </c>
      <c r="I223" s="11" t="s">
        <v>12</v>
      </c>
      <c r="J223" s="12"/>
    </row>
    <row r="224" spans="1:10" ht="60" customHeight="1">
      <c r="A224" s="6" t="s">
        <v>828</v>
      </c>
      <c r="B224" s="6" t="s">
        <v>11</v>
      </c>
      <c r="C224" s="6" t="s">
        <v>12</v>
      </c>
      <c r="D224" s="7" t="s">
        <v>100</v>
      </c>
      <c r="E224" s="8" t="s">
        <v>829</v>
      </c>
      <c r="F224" s="6" t="s">
        <v>830</v>
      </c>
      <c r="G224" s="9">
        <f>IF(A224=1,"_",IF(C224="_","???",C224))</f>
        <v/>
      </c>
      <c r="H224" s="10" t="s">
        <v>12</v>
      </c>
      <c r="I224" s="11" t="s">
        <v>12</v>
      </c>
      <c r="J224" s="12"/>
    </row>
    <row r="225" spans="1:10" ht="60" customHeight="1">
      <c r="A225" s="6" t="s">
        <v>831</v>
      </c>
      <c r="B225" s="6" t="s">
        <v>24</v>
      </c>
      <c r="C225" s="6" t="s">
        <v>12</v>
      </c>
      <c r="D225" s="7" t="s">
        <v>832</v>
      </c>
      <c r="E225" s="8" t="s">
        <v>833</v>
      </c>
      <c r="F225" s="6" t="s">
        <v>834</v>
      </c>
      <c r="G225" s="9">
        <f>IF(A225=1,"_",IF(C225="_","???",C225))</f>
        <v/>
      </c>
      <c r="H225" s="10" t="s">
        <v>12</v>
      </c>
      <c r="I225" s="11" t="s">
        <v>12</v>
      </c>
      <c r="J225" s="12"/>
    </row>
    <row r="226" spans="1:10" ht="60" customHeight="1">
      <c r="A226" s="6" t="s">
        <v>835</v>
      </c>
      <c r="B226" s="6" t="s">
        <v>16</v>
      </c>
      <c r="C226" s="6" t="s">
        <v>12</v>
      </c>
      <c r="D226" s="7" t="s">
        <v>836</v>
      </c>
      <c r="E226" s="8" t="s">
        <v>837</v>
      </c>
      <c r="F226" s="6" t="s">
        <v>838</v>
      </c>
      <c r="G226" s="9">
        <f>IF(A226=1,"_",IF(C226="_","???",C226))</f>
        <v/>
      </c>
      <c r="H226" s="10" t="s">
        <v>12</v>
      </c>
      <c r="I226" s="11" t="s">
        <v>12</v>
      </c>
      <c r="J226" s="12"/>
    </row>
    <row r="227" spans="1:10" ht="60" customHeight="1">
      <c r="A227" s="6" t="s">
        <v>839</v>
      </c>
      <c r="B227" s="6" t="s">
        <v>11</v>
      </c>
      <c r="C227" s="6" t="s">
        <v>12</v>
      </c>
      <c r="D227" s="7" t="s">
        <v>610</v>
      </c>
      <c r="E227" s="8" t="s">
        <v>840</v>
      </c>
      <c r="F227" s="6" t="s">
        <v>841</v>
      </c>
      <c r="G227" s="9">
        <f>IF(A227=1,"_",IF(C227="_","???",C227))</f>
        <v/>
      </c>
      <c r="H227" s="10" t="s">
        <v>12</v>
      </c>
      <c r="I227" s="11" t="s">
        <v>12</v>
      </c>
      <c r="J227" s="12"/>
    </row>
    <row r="228" spans="1:10" ht="60" customHeight="1">
      <c r="A228" s="6" t="s">
        <v>842</v>
      </c>
      <c r="B228" s="6" t="s">
        <v>52</v>
      </c>
      <c r="C228" s="6" t="s">
        <v>12</v>
      </c>
      <c r="D228" s="7" t="s">
        <v>843</v>
      </c>
      <c r="E228" s="8" t="s">
        <v>844</v>
      </c>
      <c r="F228" s="6" t="s">
        <v>845</v>
      </c>
      <c r="G228" s="9">
        <f>IF(A228=1,"_",IF(C228="_","???",C228))</f>
        <v/>
      </c>
      <c r="H228" s="10" t="s">
        <v>12</v>
      </c>
      <c r="I228" s="11" t="s">
        <v>12</v>
      </c>
      <c r="J228" s="12"/>
    </row>
    <row r="229" spans="1:10" ht="60" customHeight="1">
      <c r="A229" s="6" t="s">
        <v>846</v>
      </c>
      <c r="B229" s="6" t="s">
        <v>16</v>
      </c>
      <c r="C229" s="6" t="s">
        <v>12</v>
      </c>
      <c r="D229" s="7" t="s">
        <v>610</v>
      </c>
      <c r="E229" s="8" t="s">
        <v>847</v>
      </c>
      <c r="F229" s="6" t="s">
        <v>848</v>
      </c>
      <c r="G229" s="9">
        <f>IF(A229=1,"_",IF(C229="_","???",C229))</f>
        <v/>
      </c>
      <c r="H229" s="10" t="s">
        <v>12</v>
      </c>
      <c r="I229" s="11" t="s">
        <v>12</v>
      </c>
      <c r="J229" s="12"/>
    </row>
    <row r="230" spans="1:10" ht="60" customHeight="1">
      <c r="A230" s="6" t="s">
        <v>849</v>
      </c>
      <c r="B230" s="6" t="s">
        <v>24</v>
      </c>
      <c r="C230" s="6" t="s">
        <v>12</v>
      </c>
      <c r="D230" s="7" t="s">
        <v>610</v>
      </c>
      <c r="E230" s="8" t="s">
        <v>850</v>
      </c>
      <c r="F230" s="6" t="s">
        <v>851</v>
      </c>
      <c r="G230" s="9">
        <f>IF(A230=1,"_",IF(C230="_","???",C230))</f>
        <v/>
      </c>
      <c r="H230" s="10" t="s">
        <v>12</v>
      </c>
      <c r="I230" s="11" t="s">
        <v>12</v>
      </c>
      <c r="J230" s="12"/>
    </row>
    <row r="231" spans="1:10" ht="60" customHeight="1">
      <c r="A231" s="6" t="s">
        <v>852</v>
      </c>
      <c r="B231" s="6" t="s">
        <v>16</v>
      </c>
      <c r="C231" s="6" t="s">
        <v>146</v>
      </c>
      <c r="D231" s="7" t="s">
        <v>470</v>
      </c>
      <c r="E231" s="8" t="s">
        <v>853</v>
      </c>
      <c r="F231" s="6" t="s">
        <v>854</v>
      </c>
      <c r="G231" s="9">
        <f>IF(A231=1,"_",IF(C231="_","???",C231))</f>
        <v/>
      </c>
      <c r="H231" s="10" t="s">
        <v>12</v>
      </c>
      <c r="I231" s="11" t="s">
        <v>12</v>
      </c>
      <c r="J231" s="12"/>
    </row>
    <row r="232" spans="1:10" ht="60" customHeight="1">
      <c r="A232" s="6" t="s">
        <v>855</v>
      </c>
      <c r="B232" s="6" t="s">
        <v>76</v>
      </c>
      <c r="C232" s="6" t="s">
        <v>12</v>
      </c>
      <c r="D232" s="7" t="s">
        <v>856</v>
      </c>
      <c r="E232" s="8" t="s">
        <v>857</v>
      </c>
      <c r="F232" s="6" t="s">
        <v>858</v>
      </c>
      <c r="G232" s="9">
        <f>IF(A232=1,"_",IF(C232="_","???",C232))</f>
        <v/>
      </c>
      <c r="H232" s="10" t="s">
        <v>12</v>
      </c>
      <c r="I232" s="11" t="s">
        <v>12</v>
      </c>
      <c r="J232" s="12"/>
    </row>
    <row r="233" spans="1:10" ht="60" customHeight="1">
      <c r="A233" s="6" t="s">
        <v>859</v>
      </c>
      <c r="B233" s="6" t="s">
        <v>16</v>
      </c>
      <c r="C233" s="6" t="s">
        <v>146</v>
      </c>
      <c r="D233" s="7" t="s">
        <v>263</v>
      </c>
      <c r="E233" s="8" t="s">
        <v>860</v>
      </c>
      <c r="F233" s="6" t="s">
        <v>861</v>
      </c>
      <c r="G233" s="9">
        <f>IF(A233=1,"_",IF(C233="_","???",C233))</f>
        <v/>
      </c>
      <c r="H233" s="10" t="s">
        <v>12</v>
      </c>
      <c r="I233" s="11" t="s">
        <v>12</v>
      </c>
      <c r="J233" s="12"/>
    </row>
    <row r="234" spans="1:10" ht="60" customHeight="1">
      <c r="A234" s="6" t="s">
        <v>862</v>
      </c>
      <c r="B234" s="6" t="s">
        <v>80</v>
      </c>
      <c r="C234" s="6" t="s">
        <v>12</v>
      </c>
      <c r="D234" s="7" t="s">
        <v>863</v>
      </c>
      <c r="E234" s="8" t="s">
        <v>864</v>
      </c>
      <c r="F234" s="6" t="s">
        <v>865</v>
      </c>
      <c r="G234" s="9">
        <f>IF(A234=1,"_",IF(C234="_","???",C234))</f>
        <v/>
      </c>
      <c r="H234" s="10" t="s">
        <v>12</v>
      </c>
      <c r="I234" s="11" t="s">
        <v>12</v>
      </c>
      <c r="J234" s="12"/>
    </row>
    <row r="235" spans="1:10" ht="60" customHeight="1">
      <c r="A235" s="6" t="s">
        <v>866</v>
      </c>
      <c r="B235" s="6" t="s">
        <v>24</v>
      </c>
      <c r="C235" s="6" t="s">
        <v>12</v>
      </c>
      <c r="D235" s="7" t="s">
        <v>867</v>
      </c>
      <c r="E235" s="8" t="s">
        <v>868</v>
      </c>
      <c r="F235" s="6" t="s">
        <v>869</v>
      </c>
      <c r="G235" s="9">
        <f>IF(A235=1,"_",IF(C235="_","???",C235))</f>
        <v/>
      </c>
      <c r="H235" s="10" t="s">
        <v>12</v>
      </c>
      <c r="I235" s="11" t="s">
        <v>12</v>
      </c>
      <c r="J235" s="12"/>
    </row>
    <row r="236" spans="1:10" ht="60" customHeight="1">
      <c r="A236" s="6" t="s">
        <v>870</v>
      </c>
      <c r="B236" s="6" t="s">
        <v>40</v>
      </c>
      <c r="C236" s="6" t="s">
        <v>12</v>
      </c>
      <c r="D236" s="7" t="s">
        <v>871</v>
      </c>
      <c r="E236" s="8" t="s">
        <v>872</v>
      </c>
      <c r="F236" s="6" t="s">
        <v>873</v>
      </c>
      <c r="G236" s="9">
        <f>IF(A236=1,"_",IF(C236="_","???",C236))</f>
        <v/>
      </c>
      <c r="H236" s="10" t="s">
        <v>12</v>
      </c>
      <c r="I236" s="11" t="s">
        <v>12</v>
      </c>
      <c r="J236" s="12"/>
    </row>
    <row r="237" spans="1:10" ht="60" customHeight="1">
      <c r="A237" s="6" t="s">
        <v>874</v>
      </c>
      <c r="B237" s="6" t="s">
        <v>48</v>
      </c>
      <c r="C237" s="6" t="s">
        <v>12</v>
      </c>
      <c r="D237" s="7" t="s">
        <v>875</v>
      </c>
      <c r="E237" s="8" t="s">
        <v>876</v>
      </c>
      <c r="F237" s="6" t="s">
        <v>877</v>
      </c>
      <c r="G237" s="9">
        <f>IF(A237=1,"_",IF(C237="_","???",C237))</f>
        <v/>
      </c>
      <c r="H237" s="10" t="s">
        <v>12</v>
      </c>
      <c r="I237" s="11" t="s">
        <v>12</v>
      </c>
      <c r="J237" s="12"/>
    </row>
    <row r="238" spans="1:10" ht="60" customHeight="1">
      <c r="A238" s="6" t="s">
        <v>878</v>
      </c>
      <c r="B238" s="6" t="s">
        <v>44</v>
      </c>
      <c r="C238" s="6" t="s">
        <v>12</v>
      </c>
      <c r="D238" s="7" t="s">
        <v>875</v>
      </c>
      <c r="E238" s="8" t="s">
        <v>879</v>
      </c>
      <c r="F238" s="6" t="s">
        <v>880</v>
      </c>
      <c r="G238" s="9">
        <f>IF(A238=1,"_",IF(C238="_","???",C238))</f>
        <v/>
      </c>
      <c r="H238" s="10" t="s">
        <v>12</v>
      </c>
      <c r="I238" s="11" t="s">
        <v>12</v>
      </c>
      <c r="J238" s="12"/>
    </row>
    <row r="239" spans="1:10" ht="60" customHeight="1">
      <c r="A239" s="6" t="s">
        <v>881</v>
      </c>
      <c r="B239" s="6" t="s">
        <v>16</v>
      </c>
      <c r="C239" s="6" t="s">
        <v>12</v>
      </c>
      <c r="D239" s="7" t="s">
        <v>100</v>
      </c>
      <c r="E239" s="8" t="s">
        <v>882</v>
      </c>
      <c r="F239" s="6" t="s">
        <v>883</v>
      </c>
      <c r="G239" s="9">
        <f>IF(A239=1,"_",IF(C239="_","???",C239))</f>
        <v/>
      </c>
      <c r="H239" s="10" t="s">
        <v>12</v>
      </c>
      <c r="I239" s="11" t="s">
        <v>12</v>
      </c>
      <c r="J239" s="12"/>
    </row>
    <row r="240" spans="1:10" ht="60" customHeight="1">
      <c r="A240" s="6" t="s">
        <v>884</v>
      </c>
      <c r="B240" s="6" t="s">
        <v>48</v>
      </c>
      <c r="C240" s="6" t="s">
        <v>12</v>
      </c>
      <c r="D240" s="7" t="s">
        <v>885</v>
      </c>
      <c r="E240" s="8" t="s">
        <v>886</v>
      </c>
      <c r="F240" s="6" t="s">
        <v>887</v>
      </c>
      <c r="G240" s="9">
        <f>IF(A240=1,"_",IF(C240="_","???",C240))</f>
        <v/>
      </c>
      <c r="H240" s="10" t="s">
        <v>12</v>
      </c>
      <c r="I240" s="11" t="s">
        <v>12</v>
      </c>
      <c r="J240" s="12"/>
    </row>
    <row r="241" spans="1:10" ht="60" customHeight="1">
      <c r="A241" s="6" t="s">
        <v>888</v>
      </c>
      <c r="B241" s="6" t="s">
        <v>16</v>
      </c>
      <c r="C241" s="6" t="s">
        <v>12</v>
      </c>
      <c r="D241" s="7" t="s">
        <v>889</v>
      </c>
      <c r="E241" s="8" t="s">
        <v>890</v>
      </c>
      <c r="F241" s="6" t="s">
        <v>891</v>
      </c>
      <c r="G241" s="9">
        <f>IF(A241=1,"_",IF(C241="_","???",C241))</f>
        <v/>
      </c>
      <c r="H241" s="10" t="s">
        <v>12</v>
      </c>
      <c r="I241" s="11" t="s">
        <v>12</v>
      </c>
      <c r="J241" s="12"/>
    </row>
    <row r="242" spans="1:10" ht="60" customHeight="1">
      <c r="A242" s="6" t="s">
        <v>892</v>
      </c>
      <c r="B242" s="6" t="s">
        <v>167</v>
      </c>
      <c r="C242" s="6" t="s">
        <v>12</v>
      </c>
      <c r="D242" s="7" t="s">
        <v>428</v>
      </c>
      <c r="E242" s="8" t="s">
        <v>893</v>
      </c>
      <c r="F242" s="6" t="s">
        <v>894</v>
      </c>
      <c r="G242" s="9">
        <f>IF(A242=1,"_",IF(C242="_","???",C242))</f>
        <v/>
      </c>
      <c r="H242" s="10" t="s">
        <v>12</v>
      </c>
      <c r="I242" s="11" t="s">
        <v>12</v>
      </c>
      <c r="J242" s="12"/>
    </row>
    <row r="243" spans="1:10" ht="60" customHeight="1">
      <c r="A243" s="6" t="s">
        <v>895</v>
      </c>
      <c r="B243" s="6" t="s">
        <v>11</v>
      </c>
      <c r="C243" s="6" t="s">
        <v>12</v>
      </c>
      <c r="D243" s="7" t="s">
        <v>896</v>
      </c>
      <c r="E243" s="8" t="s">
        <v>897</v>
      </c>
      <c r="F243" s="6" t="s">
        <v>898</v>
      </c>
      <c r="G243" s="9">
        <f>IF(A243=1,"_",IF(C243="_","???",C243))</f>
        <v/>
      </c>
      <c r="H243" s="10" t="s">
        <v>12</v>
      </c>
      <c r="I243" s="11" t="s">
        <v>12</v>
      </c>
      <c r="J243" s="12"/>
    </row>
    <row r="244" spans="1:10" ht="60" customHeight="1">
      <c r="A244" s="6" t="s">
        <v>899</v>
      </c>
      <c r="B244" s="6" t="s">
        <v>16</v>
      </c>
      <c r="C244" s="6" t="s">
        <v>12</v>
      </c>
      <c r="D244" s="7" t="s">
        <v>900</v>
      </c>
      <c r="E244" s="8" t="s">
        <v>901</v>
      </c>
      <c r="F244" s="6" t="s">
        <v>902</v>
      </c>
      <c r="G244" s="9">
        <f>IF(A244=1,"_",IF(C244="_","???",C244))</f>
        <v/>
      </c>
      <c r="H244" s="10" t="s">
        <v>12</v>
      </c>
      <c r="I244" s="11" t="s">
        <v>12</v>
      </c>
      <c r="J244" s="12"/>
    </row>
    <row r="245" spans="1:10" ht="60" customHeight="1">
      <c r="A245" s="6" t="s">
        <v>903</v>
      </c>
      <c r="B245" s="6" t="s">
        <v>11</v>
      </c>
      <c r="C245" s="6" t="s">
        <v>12</v>
      </c>
      <c r="D245" s="7" t="s">
        <v>904</v>
      </c>
      <c r="E245" s="8" t="s">
        <v>905</v>
      </c>
      <c r="F245" s="6" t="s">
        <v>906</v>
      </c>
      <c r="G245" s="9">
        <f>IF(A245=1,"_",IF(C245="_","???",C245))</f>
        <v/>
      </c>
      <c r="H245" s="10" t="s">
        <v>12</v>
      </c>
      <c r="I245" s="11" t="s">
        <v>12</v>
      </c>
      <c r="J245" s="12"/>
    </row>
    <row r="246" spans="1:10" ht="60" customHeight="1">
      <c r="A246" s="6" t="s">
        <v>907</v>
      </c>
      <c r="B246" s="6" t="s">
        <v>16</v>
      </c>
      <c r="C246" s="6" t="s">
        <v>146</v>
      </c>
      <c r="D246" s="7" t="s">
        <v>643</v>
      </c>
      <c r="E246" s="8" t="s">
        <v>908</v>
      </c>
      <c r="F246" s="6" t="s">
        <v>909</v>
      </c>
      <c r="G246" s="9">
        <f>IF(A246=1,"_",IF(C246="_","???",C246))</f>
        <v/>
      </c>
      <c r="H246" s="10" t="s">
        <v>12</v>
      </c>
      <c r="I246" s="11" t="s">
        <v>12</v>
      </c>
      <c r="J246" s="12"/>
    </row>
    <row r="247" spans="1:10" ht="60" customHeight="1">
      <c r="A247" s="6" t="s">
        <v>910</v>
      </c>
      <c r="B247" s="6" t="s">
        <v>17</v>
      </c>
      <c r="C247" s="6" t="s">
        <v>12</v>
      </c>
      <c r="D247" s="7" t="s">
        <v>911</v>
      </c>
      <c r="E247" s="8" t="s">
        <v>912</v>
      </c>
      <c r="F247" s="6" t="s">
        <v>913</v>
      </c>
      <c r="G247" s="9">
        <f>IF(A247=1,"_",IF(C247="_","???",C247))</f>
        <v/>
      </c>
      <c r="H247" s="10" t="s">
        <v>12</v>
      </c>
      <c r="I247" s="11" t="s">
        <v>12</v>
      </c>
      <c r="J247" s="12"/>
    </row>
    <row r="248" spans="1:10" ht="60" customHeight="1">
      <c r="A248" s="6" t="s">
        <v>914</v>
      </c>
      <c r="B248" s="6" t="s">
        <v>16</v>
      </c>
      <c r="C248" s="6" t="s">
        <v>12</v>
      </c>
      <c r="D248" s="7" t="s">
        <v>267</v>
      </c>
      <c r="E248" s="8" t="s">
        <v>915</v>
      </c>
      <c r="F248" s="6" t="s">
        <v>916</v>
      </c>
      <c r="G248" s="9">
        <f>IF(A248=1,"_",IF(C248="_","???",C248))</f>
        <v/>
      </c>
      <c r="H248" s="10" t="s">
        <v>12</v>
      </c>
      <c r="I248" s="11" t="s">
        <v>12</v>
      </c>
      <c r="J248" s="12"/>
    </row>
    <row r="249" spans="1:10" ht="60" customHeight="1">
      <c r="A249" s="6" t="s">
        <v>917</v>
      </c>
      <c r="B249" s="6" t="s">
        <v>16</v>
      </c>
      <c r="C249" s="6" t="s">
        <v>12</v>
      </c>
      <c r="D249" s="7" t="s">
        <v>267</v>
      </c>
      <c r="E249" s="8" t="s">
        <v>918</v>
      </c>
      <c r="F249" s="6" t="s">
        <v>919</v>
      </c>
      <c r="G249" s="9">
        <f>IF(A249=1,"_",IF(C249="_","???",C249))</f>
        <v/>
      </c>
      <c r="H249" s="10" t="s">
        <v>12</v>
      </c>
      <c r="I249" s="11" t="s">
        <v>12</v>
      </c>
      <c r="J249" s="12"/>
    </row>
    <row r="250" spans="1:10" ht="60" customHeight="1">
      <c r="A250" s="6" t="s">
        <v>920</v>
      </c>
      <c r="B250" s="6" t="s">
        <v>17</v>
      </c>
      <c r="C250" s="6" t="s">
        <v>12</v>
      </c>
      <c r="D250" s="7" t="s">
        <v>921</v>
      </c>
      <c r="E250" s="8" t="s">
        <v>922</v>
      </c>
      <c r="F250" s="6" t="s">
        <v>923</v>
      </c>
      <c r="G250" s="9">
        <f>IF(A250=1,"_",IF(C250="_","???",C250))</f>
        <v/>
      </c>
      <c r="H250" s="10" t="s">
        <v>12</v>
      </c>
      <c r="I250" s="11" t="s">
        <v>12</v>
      </c>
      <c r="J250" s="12"/>
    </row>
    <row r="251" spans="1:10" ht="60" customHeight="1">
      <c r="A251" s="6" t="s">
        <v>924</v>
      </c>
      <c r="B251" s="6" t="s">
        <v>28</v>
      </c>
      <c r="C251" s="6" t="s">
        <v>12</v>
      </c>
      <c r="D251" s="7" t="s">
        <v>62</v>
      </c>
      <c r="E251" s="8" t="s">
        <v>925</v>
      </c>
      <c r="F251" s="6" t="s">
        <v>926</v>
      </c>
      <c r="G251" s="9">
        <f>IF(A251=1,"_",IF(C251="_","???",C251))</f>
        <v/>
      </c>
      <c r="H251" s="10" t="s">
        <v>12</v>
      </c>
      <c r="I251" s="11" t="s">
        <v>12</v>
      </c>
      <c r="J251" s="12"/>
    </row>
    <row r="252" spans="1:10" ht="60" customHeight="1">
      <c r="A252" s="6" t="s">
        <v>927</v>
      </c>
      <c r="B252" s="6" t="s">
        <v>91</v>
      </c>
      <c r="C252" s="6" t="s">
        <v>146</v>
      </c>
      <c r="D252" s="7" t="s">
        <v>928</v>
      </c>
      <c r="E252" s="8" t="s">
        <v>929</v>
      </c>
      <c r="F252" s="6" t="s">
        <v>930</v>
      </c>
      <c r="G252" s="9">
        <f>IF(A252=1,"_",IF(C252="_","???",C252))</f>
        <v/>
      </c>
      <c r="H252" s="10" t="s">
        <v>12</v>
      </c>
      <c r="I252" s="11" t="s">
        <v>12</v>
      </c>
      <c r="J252" s="12"/>
    </row>
    <row r="253" spans="1:10" ht="60" customHeight="1">
      <c r="A253" s="6" t="s">
        <v>931</v>
      </c>
      <c r="B253" s="6" t="s">
        <v>99</v>
      </c>
      <c r="C253" s="6" t="s">
        <v>12</v>
      </c>
      <c r="D253" s="7" t="s">
        <v>635</v>
      </c>
      <c r="E253" s="8" t="s">
        <v>932</v>
      </c>
      <c r="F253" s="6" t="s">
        <v>933</v>
      </c>
      <c r="G253" s="9">
        <f>IF(A253=1,"_",IF(C253="_","???",C253))</f>
        <v/>
      </c>
      <c r="H253" s="10" t="s">
        <v>12</v>
      </c>
      <c r="I253" s="11" t="s">
        <v>12</v>
      </c>
      <c r="J253" s="12"/>
    </row>
    <row r="254" spans="1:10" ht="60" customHeight="1">
      <c r="A254" s="6" t="s">
        <v>934</v>
      </c>
      <c r="B254" s="6" t="s">
        <v>16</v>
      </c>
      <c r="C254" s="6" t="s">
        <v>12</v>
      </c>
      <c r="D254" s="7" t="s">
        <v>935</v>
      </c>
      <c r="E254" s="8" t="s">
        <v>936</v>
      </c>
      <c r="F254" s="6" t="s">
        <v>937</v>
      </c>
      <c r="G254" s="9">
        <f>IF(A254=1,"_",IF(C254="_","???",C254))</f>
        <v/>
      </c>
      <c r="H254" s="10" t="s">
        <v>12</v>
      </c>
      <c r="I254" s="11" t="s">
        <v>12</v>
      </c>
      <c r="J254" s="12"/>
    </row>
    <row r="255" spans="1:10" ht="60" customHeight="1">
      <c r="A255" s="6" t="s">
        <v>938</v>
      </c>
      <c r="B255" s="6" t="s">
        <v>103</v>
      </c>
      <c r="C255" s="6" t="s">
        <v>12</v>
      </c>
      <c r="D255" s="7" t="s">
        <v>939</v>
      </c>
      <c r="E255" s="8" t="s">
        <v>940</v>
      </c>
      <c r="F255" s="6" t="s">
        <v>941</v>
      </c>
      <c r="G255" s="9">
        <f>IF(A255=1,"_",IF(C255="_","???",C255))</f>
        <v/>
      </c>
      <c r="H255" s="10" t="s">
        <v>12</v>
      </c>
      <c r="I255" s="11" t="s">
        <v>12</v>
      </c>
      <c r="J255" s="12"/>
    </row>
    <row r="256" spans="1:10" ht="60" customHeight="1">
      <c r="A256" s="6" t="s">
        <v>942</v>
      </c>
      <c r="B256" s="6" t="s">
        <v>16</v>
      </c>
      <c r="C256" s="6" t="s">
        <v>12</v>
      </c>
      <c r="D256" s="7" t="s">
        <v>241</v>
      </c>
      <c r="E256" s="8" t="s">
        <v>943</v>
      </c>
      <c r="F256" s="6" t="s">
        <v>944</v>
      </c>
      <c r="G256" s="9">
        <f>IF(A256=1,"_",IF(C256="_","???",C256))</f>
        <v/>
      </c>
      <c r="H256" s="10" t="s">
        <v>12</v>
      </c>
      <c r="I256" s="11" t="s">
        <v>12</v>
      </c>
      <c r="J256" s="12"/>
    </row>
    <row r="257" spans="1:10" ht="60" customHeight="1">
      <c r="A257" s="6" t="s">
        <v>945</v>
      </c>
      <c r="B257" s="6" t="s">
        <v>16</v>
      </c>
      <c r="C257" s="6" t="s">
        <v>12</v>
      </c>
      <c r="D257" s="7" t="s">
        <v>946</v>
      </c>
      <c r="E257" s="8" t="s">
        <v>947</v>
      </c>
      <c r="F257" s="6" t="s">
        <v>948</v>
      </c>
      <c r="G257" s="9">
        <f>IF(A257=1,"_",IF(C257="_","???",C257))</f>
        <v/>
      </c>
      <c r="H257" s="10" t="s">
        <v>12</v>
      </c>
      <c r="I257" s="11" t="s">
        <v>12</v>
      </c>
      <c r="J257" s="12"/>
    </row>
    <row r="258" spans="1:10" ht="60" customHeight="1">
      <c r="A258" s="6" t="s">
        <v>949</v>
      </c>
      <c r="B258" s="6" t="s">
        <v>16</v>
      </c>
      <c r="C258" s="6" t="s">
        <v>12</v>
      </c>
      <c r="D258" s="7" t="s">
        <v>950</v>
      </c>
      <c r="E258" s="8" t="s">
        <v>951</v>
      </c>
      <c r="F258" s="6" t="s">
        <v>952</v>
      </c>
      <c r="G258" s="9">
        <f>IF(A258=1,"_",IF(C258="_","???",C258))</f>
        <v/>
      </c>
      <c r="H258" s="10" t="s">
        <v>12</v>
      </c>
      <c r="I258" s="11" t="s">
        <v>12</v>
      </c>
      <c r="J25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14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953</v>
      </c>
      <c r="B1" s="13" t="s">
        <v>954</v>
      </c>
      <c r="C1" s="13" t="s">
        <v>955</v>
      </c>
      <c r="D1" s="13" t="s">
        <v>956</v>
      </c>
      <c r="E1" s="14" t="s">
        <v>957</v>
      </c>
      <c r="F1" s="15" t="s">
        <v>958</v>
      </c>
      <c r="G1" s="16" t="s">
        <v>959</v>
      </c>
      <c r="H1" s="17" t="s">
        <v>960</v>
      </c>
      <c r="I1" s="18" t="s">
        <v>961</v>
      </c>
      <c r="J1" s="18" t="s">
        <v>962</v>
      </c>
      <c r="K1" s="18" t="s">
        <v>963</v>
      </c>
      <c r="L1" s="19" t="s">
        <v>9</v>
      </c>
    </row>
    <row r="2" spans="1:12">
      <c r="A2" s="20" t="s">
        <v>964</v>
      </c>
    </row>
    <row r="3" spans="1:12">
      <c r="A3" s="20" t="s">
        <v>965</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966</v>
      </c>
      <c r="B4" s="27" t="s">
        <v>967</v>
      </c>
      <c r="C4" s="27" t="s">
        <v>968</v>
      </c>
      <c r="D4" s="27" t="s">
        <v>969</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970</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971</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972</v>
      </c>
      <c r="B7" s="27" t="s">
        <v>973</v>
      </c>
      <c r="C7" s="27" t="s">
        <v>974</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975</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976</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977</v>
      </c>
      <c r="B10" s="27" t="s">
        <v>978</v>
      </c>
      <c r="C10" s="27" t="s">
        <v>979</v>
      </c>
      <c r="D10" s="27" t="s">
        <v>969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980</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981</v>
      </c>
      <c r="B12" s="27" t="s">
        <v>982</v>
      </c>
      <c r="C12" s="27" t="s">
        <v>974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983</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980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984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12</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985</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986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980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986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975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987</v>
      </c>
      <c r="B23" s="27" t="s">
        <v>982</v>
      </c>
      <c r="C23" s="27" t="s">
        <v>988</v>
      </c>
      <c r="D23" s="27" t="s">
        <v>969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989</v>
      </c>
      <c r="B24" s="27" t="s">
        <v>978</v>
      </c>
      <c r="C24" s="27" t="s">
        <v>974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990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991</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992</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993</v>
      </c>
      <c r="B28" s="27" t="s">
        <v>994</v>
      </c>
      <c r="C28" s="27" t="s">
        <v>968</v>
      </c>
      <c r="D28" s="27" t="s">
        <v>969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995</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991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996</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993</v>
      </c>
      <c r="B32" s="27" t="s">
        <v>997</v>
      </c>
      <c r="C32" s="27" t="s">
        <v>968</v>
      </c>
      <c r="D32" s="27" t="s">
        <v>969</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998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999</v>
      </c>
      <c r="B34" s="27" t="s">
        <v>1000</v>
      </c>
      <c r="C34" s="27" t="s">
        <v>1001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1002</v>
      </c>
      <c r="B35" s="27" t="s">
        <v>1003</v>
      </c>
      <c r="C35" s="27" t="s">
        <v>974</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1004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1005</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row>
    <row r="39" spans="1:12">
      <c r="A39" s="20" t="s">
        <v>1006</v>
      </c>
    </row>
    <row r="40" spans="1:12">
      <c r="A40" s="20" t="s">
        <v>1007</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1008</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1009</v>
      </c>
      <c r="B42" s="27" t="s">
        <v>1010</v>
      </c>
      <c r="C42" s="27" t="s">
        <v>1011</v>
      </c>
      <c r="D42" s="27" t="s">
        <v>969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1012</v>
      </c>
      <c r="B43" s="27" t="s">
        <v>1013</v>
      </c>
      <c r="C43" s="27" t="s">
        <v>1001</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1014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991</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1015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1016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1017</v>
      </c>
      <c r="B48" s="27" t="s">
        <v>1010</v>
      </c>
      <c r="C48" s="27" t="s">
        <v>1018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991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1019</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991</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1009</v>
      </c>
      <c r="B52" s="27" t="s">
        <v>1010</v>
      </c>
      <c r="C52" s="27" t="s">
        <v>1011</v>
      </c>
      <c r="D52" s="27" t="s">
        <v>969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1020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1021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1022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999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490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991</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490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991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980</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1023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1024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1025</v>
      </c>
      <c r="B64" s="27" t="s">
        <v>1010</v>
      </c>
      <c r="C64" s="27" t="s">
        <v>979</v>
      </c>
      <c r="D64" s="27" t="s">
        <v>969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1026</v>
      </c>
      <c r="B65" s="27" t="s">
        <v>1013</v>
      </c>
      <c r="C65" s="27" t="s">
        <v>968</v>
      </c>
      <c r="D65" s="27" t="s">
        <v>969</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1027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1005</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1028</v>
      </c>
    </row>
    <row r="70" spans="1:12">
      <c r="A70" s="20" t="s">
        <v>966</v>
      </c>
      <c r="B70" s="27" t="s">
        <v>967</v>
      </c>
      <c r="C70" s="27" t="s">
        <v>968</v>
      </c>
      <c r="D70" s="27" t="s">
        <v>969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1020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1009</v>
      </c>
      <c r="B72" s="27" t="s">
        <v>973</v>
      </c>
      <c r="C72" s="27" t="s">
        <v>1011</v>
      </c>
      <c r="D72" s="27" t="s">
        <v>969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1029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1016</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1030</v>
      </c>
      <c r="B75" s="27" t="s">
        <v>1031</v>
      </c>
      <c r="C75" s="27" t="s">
        <v>1018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980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1032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1033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1034</v>
      </c>
      <c r="B79" s="27" t="s">
        <v>1003</v>
      </c>
      <c r="C79" s="27" t="s">
        <v>1035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1036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998</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1037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1038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1039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1040</v>
      </c>
      <c r="B85" s="27" t="s">
        <v>978</v>
      </c>
      <c r="C85" s="27" t="s">
        <v>979</v>
      </c>
      <c r="D85" s="27" t="s">
        <v>969</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991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1041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1042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1043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1044</v>
      </c>
      <c r="B90" s="27" t="s">
        <v>1010</v>
      </c>
      <c r="C90" s="27" t="s">
        <v>979</v>
      </c>
      <c r="D90" s="27" t="s">
        <v>969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999</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1045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991</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1046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1047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1043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1048</v>
      </c>
      <c r="B97" s="27" t="s">
        <v>1013</v>
      </c>
      <c r="C97" s="27" t="s">
        <v>979</v>
      </c>
      <c r="D97" s="27" t="s">
        <v>969</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1016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1049</v>
      </c>
      <c r="B99" s="27" t="s">
        <v>1010</v>
      </c>
      <c r="C99" s="27" t="s">
        <v>1018</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980</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985</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1050</v>
      </c>
      <c r="B102" s="27" t="s">
        <v>982</v>
      </c>
      <c r="C102" s="27" t="s">
        <v>979</v>
      </c>
      <c r="D102" s="27" t="s">
        <v>969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1051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1052</v>
      </c>
      <c r="B104" s="27" t="s">
        <v>1053</v>
      </c>
      <c r="C104" s="27" t="s">
        <v>1018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991</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980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993</v>
      </c>
      <c r="B107" s="27" t="s">
        <v>994</v>
      </c>
      <c r="C107" s="27" t="s">
        <v>968</v>
      </c>
      <c r="D107" s="27" t="s">
        <v>969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980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985</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1054</v>
      </c>
      <c r="B110" s="27" t="s">
        <v>1003</v>
      </c>
      <c r="C110" s="27" t="s">
        <v>979</v>
      </c>
      <c r="D110" s="27" t="s">
        <v>969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1016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1055</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1056</v>
      </c>
      <c r="B113" s="27" t="s">
        <v>1031</v>
      </c>
      <c r="C113" s="27" t="s">
        <v>1018</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991</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1057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991</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1058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991</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1059</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1005</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row>
    <row r="122" spans="1:12">
      <c r="A122" s="20" t="s">
        <v>1060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1061</v>
      </c>
    </row>
    <row r="124" spans="1:12">
      <c r="A124" s="20" t="s">
        <v>1062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1041</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1063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1016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1064</v>
      </c>
      <c r="B128" s="27" t="s">
        <v>967</v>
      </c>
      <c r="C128" s="27" t="s">
        <v>1018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975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1043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1065</v>
      </c>
      <c r="B131" s="27" t="s">
        <v>978</v>
      </c>
      <c r="C131" s="27" t="s">
        <v>979</v>
      </c>
      <c r="D131" s="27" t="s">
        <v>969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980</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993</v>
      </c>
      <c r="B133" s="27" t="s">
        <v>1010</v>
      </c>
      <c r="C133" s="27" t="s">
        <v>968</v>
      </c>
      <c r="D133" s="27" t="s">
        <v>969</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1066</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1067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1068</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980</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1069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1070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1071</v>
      </c>
      <c r="B140" s="27" t="s">
        <v>1003</v>
      </c>
      <c r="C140" s="27" t="s">
        <v>1001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1072</v>
      </c>
      <c r="B141" s="27" t="s">
        <v>982</v>
      </c>
      <c r="C141" s="27" t="s">
        <v>974</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1022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1016</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1073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1074</v>
      </c>
      <c r="B145" s="27" t="s">
        <v>1003</v>
      </c>
      <c r="C145" s="27" t="s">
        <v>1018</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980</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1020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1075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1022</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991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999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1005</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965</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row>
    <row r="156" spans="1:12">
      <c r="A156" s="20" t="s">
        <v>1076</v>
      </c>
    </row>
    <row r="157" spans="1:12">
      <c r="A157" s="20" t="s">
        <v>1077</v>
      </c>
      <c r="B157" s="27" t="s">
        <v>967</v>
      </c>
      <c r="C157" s="27" t="s">
        <v>1011</v>
      </c>
      <c r="D157" s="27" t="s">
        <v>969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29</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1078</v>
      </c>
      <c r="B159" s="27" t="s">
        <v>973</v>
      </c>
      <c r="C159" s="27" t="s">
        <v>974</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1079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1080</v>
      </c>
      <c r="B161" s="27" t="s">
        <v>978</v>
      </c>
      <c r="C161" s="27" t="s">
        <v>974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1005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row>
    <row r="164" spans="1:12">
      <c r="A164" s="20" t="s">
        <v>1081</v>
      </c>
    </row>
    <row r="165" spans="1:12">
      <c r="A165" s="20" t="s">
        <v>1082</v>
      </c>
      <c r="B165" s="27" t="s">
        <v>967</v>
      </c>
      <c r="C165" s="27" t="s">
        <v>1083</v>
      </c>
      <c r="D165" s="27" t="s">
        <v>969</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1084</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1085</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1086</v>
      </c>
      <c r="B168" s="27" t="s">
        <v>967</v>
      </c>
      <c r="C168" s="27" t="s">
        <v>968</v>
      </c>
      <c r="D168" s="27" t="s">
        <v>969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1079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1087</v>
      </c>
      <c r="B170" s="27" t="s">
        <v>1053</v>
      </c>
      <c r="C170" s="27" t="s">
        <v>974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991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1088</v>
      </c>
      <c r="B173" s="27" t="s">
        <v>1053</v>
      </c>
      <c r="C173" s="27" t="s">
        <v>1083</v>
      </c>
      <c r="D173" s="27" t="s">
        <v>969</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1089</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1090</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1091</v>
      </c>
      <c r="B176" s="27" t="s">
        <v>978</v>
      </c>
      <c r="C176" s="27" t="s">
        <v>1018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1005</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1092</v>
      </c>
    </row>
    <row r="180" spans="1:12">
      <c r="A180" s="20" t="s">
        <v>1093</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1094</v>
      </c>
      <c r="B181" s="27" t="s">
        <v>967</v>
      </c>
      <c r="C181" s="27" t="s">
        <v>979</v>
      </c>
      <c r="D181" s="27" t="s">
        <v>969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1095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1096</v>
      </c>
      <c r="B183" s="27" t="s">
        <v>978</v>
      </c>
      <c r="C183" s="27" t="s">
        <v>974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1097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999</v>
      </c>
      <c r="B185" s="27" t="s">
        <v>978</v>
      </c>
      <c r="C185" s="27" t="s">
        <v>1001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1043</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1098</v>
      </c>
      <c r="B187" s="27" t="s">
        <v>1053</v>
      </c>
      <c r="C187" s="27" t="s">
        <v>979</v>
      </c>
      <c r="D187" s="27" t="s">
        <v>969</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991</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1099</v>
      </c>
      <c r="B189" s="27" t="s">
        <v>1003</v>
      </c>
      <c r="C189" s="27" t="s">
        <v>1011</v>
      </c>
      <c r="D189" s="27" t="s">
        <v>969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1100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1101</v>
      </c>
      <c r="B191" s="27" t="s">
        <v>1031</v>
      </c>
      <c r="C191" s="27" t="s">
        <v>1102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999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1103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1005</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row>
    <row r="196" spans="1:12">
      <c r="A196" s="20" t="s">
        <v>1104</v>
      </c>
    </row>
    <row r="197" spans="1:12">
      <c r="A197" s="20" t="s">
        <v>966</v>
      </c>
      <c r="B197" s="27" t="s">
        <v>967</v>
      </c>
      <c r="C197" s="27" t="s">
        <v>968</v>
      </c>
      <c r="D197" s="27" t="s">
        <v>969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1105</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1106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1107</v>
      </c>
      <c r="B200" s="27" t="s">
        <v>973</v>
      </c>
      <c r="C200" s="27" t="s">
        <v>968</v>
      </c>
      <c r="D200" s="27" t="s">
        <v>969</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1067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1108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1109</v>
      </c>
      <c r="B203" s="27" t="s">
        <v>1053</v>
      </c>
      <c r="C203" s="27" t="s">
        <v>974</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991</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1108</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1110</v>
      </c>
      <c r="B206" s="27" t="s">
        <v>1053</v>
      </c>
      <c r="C206" s="27" t="s">
        <v>1001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1043</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1111</v>
      </c>
      <c r="B208" s="27" t="s">
        <v>978</v>
      </c>
      <c r="C208" s="27" t="s">
        <v>979</v>
      </c>
      <c r="D208" s="27" t="s">
        <v>969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991</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1043</v>
      </c>
      <c r="B210" s="27" t="s">
        <v>1010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1112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1113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991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1114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1115</v>
      </c>
      <c r="B215" s="27" t="s">
        <v>1010</v>
      </c>
      <c r="C215" s="27" t="s">
        <v>968</v>
      </c>
      <c r="D215" s="27" t="s">
        <v>969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975</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1051</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1116</v>
      </c>
      <c r="B218" s="27" t="s">
        <v>978</v>
      </c>
      <c r="C218" s="27" t="s">
        <v>1018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1117</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1113</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1005</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row>
    <row r="223" spans="1:12">
      <c r="A223" s="20" t="s">
        <v>1118</v>
      </c>
    </row>
    <row r="224" spans="1:12">
      <c r="A224" s="20" t="s">
        <v>1119</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1120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993</v>
      </c>
      <c r="B226" s="27" t="s">
        <v>967</v>
      </c>
      <c r="C226" s="27" t="s">
        <v>968</v>
      </c>
      <c r="D226" s="27" t="s">
        <v>969</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1121</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1122</v>
      </c>
      <c r="B228" s="27" t="s">
        <v>973</v>
      </c>
      <c r="C228" s="27" t="s">
        <v>1123</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1005</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row>
    <row r="231" spans="1:12">
      <c r="A231" s="20" t="s">
        <v>1124</v>
      </c>
    </row>
    <row r="232" spans="1:12">
      <c r="A232" s="20" t="s">
        <v>1125</v>
      </c>
      <c r="B232" s="27" t="s">
        <v>978</v>
      </c>
      <c r="C232" s="27" t="s">
        <v>988</v>
      </c>
      <c r="D232" s="27" t="s">
        <v>969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1126</v>
      </c>
      <c r="B233" s="27" t="s">
        <v>967</v>
      </c>
      <c r="C233" s="27" t="s">
        <v>974</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1127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991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1033</v>
      </c>
      <c r="B236" s="27" t="s">
        <v>982</v>
      </c>
      <c r="C236" s="27" t="s">
        <v>988</v>
      </c>
      <c r="D236" s="27" t="s">
        <v>969</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1128</v>
      </c>
      <c r="B237" s="27" t="s">
        <v>1010</v>
      </c>
      <c r="C237" s="27" t="s">
        <v>974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1129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991</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993</v>
      </c>
      <c r="B240" s="27" t="s">
        <v>1010</v>
      </c>
      <c r="C240" s="27" t="s">
        <v>968</v>
      </c>
      <c r="D240" s="27" t="s">
        <v>969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1130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991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1131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1132</v>
      </c>
      <c r="B244" s="27" t="s">
        <v>982</v>
      </c>
      <c r="C244" s="27" t="s">
        <v>1001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1133</v>
      </c>
      <c r="B245" s="27" t="s">
        <v>978</v>
      </c>
      <c r="C245" s="27" t="s">
        <v>1123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975</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976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1134</v>
      </c>
      <c r="B248" s="27" t="s">
        <v>982</v>
      </c>
      <c r="C248" s="27" t="s">
        <v>979</v>
      </c>
      <c r="D248" s="27" t="s">
        <v>969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991</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975</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985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1135</v>
      </c>
      <c r="B252" s="27" t="s">
        <v>978</v>
      </c>
      <c r="C252" s="27" t="s">
        <v>1083</v>
      </c>
      <c r="D252" s="27" t="s">
        <v>969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1136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991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980</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993</v>
      </c>
      <c r="B256" s="27" t="s">
        <v>1010</v>
      </c>
      <c r="C256" s="27" t="s">
        <v>968</v>
      </c>
      <c r="D256" s="27" t="s">
        <v>969</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1137</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1138</v>
      </c>
      <c r="B258" s="27" t="s">
        <v>982</v>
      </c>
      <c r="C258" s="27" t="s">
        <v>1001</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1139</v>
      </c>
      <c r="B259" s="27" t="s">
        <v>982</v>
      </c>
      <c r="C259" s="27" t="s">
        <v>1102</v>
      </c>
      <c r="D259" s="27" t="s">
        <v>969</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1140</v>
      </c>
      <c r="B260" s="27" t="s">
        <v>1013</v>
      </c>
      <c r="C260" s="27" t="s">
        <v>1141</v>
      </c>
      <c r="D260" s="27" t="s">
        <v>969</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1142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1005</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row>
    <row r="264" spans="1:12">
      <c r="A264" s="20" t="s">
        <v>1143</v>
      </c>
    </row>
    <row r="265" spans="1:12">
      <c r="A265" s="20" t="s">
        <v>1144</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1145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991</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1146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1147</v>
      </c>
      <c r="B269" s="27" t="s">
        <v>1003</v>
      </c>
      <c r="C269" s="27" t="s">
        <v>1123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1148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991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1149</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993</v>
      </c>
      <c r="B273" s="27" t="s">
        <v>967</v>
      </c>
      <c r="C273" s="27" t="s">
        <v>968</v>
      </c>
      <c r="D273" s="27" t="s">
        <v>969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1024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1150</v>
      </c>
      <c r="B275" s="27" t="s">
        <v>973</v>
      </c>
      <c r="C275" s="27" t="s">
        <v>979</v>
      </c>
      <c r="D275" s="27" t="s">
        <v>969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1151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1152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1153</v>
      </c>
      <c r="B278" s="27" t="s">
        <v>978</v>
      </c>
      <c r="C278" s="27" t="s">
        <v>1001</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1154</v>
      </c>
      <c r="B279" s="27" t="s">
        <v>1053</v>
      </c>
      <c r="C279" s="27" t="s">
        <v>1123</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1005</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1155</v>
      </c>
    </row>
    <row r="283" spans="1:12">
      <c r="A283" s="20" t="s">
        <v>966</v>
      </c>
      <c r="B283" s="27" t="s">
        <v>967</v>
      </c>
      <c r="C283" s="27" t="s">
        <v>968</v>
      </c>
      <c r="D283" s="27" t="s">
        <v>969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1156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1157</v>
      </c>
      <c r="B285" s="27" t="s">
        <v>967</v>
      </c>
      <c r="C285" s="27" t="s">
        <v>1011</v>
      </c>
      <c r="D285" s="27" t="s">
        <v>969</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1158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1095</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1038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1154</v>
      </c>
      <c r="B289" s="27" t="s">
        <v>1053</v>
      </c>
      <c r="C289" s="27" t="s">
        <v>979</v>
      </c>
      <c r="D289" s="27" t="s">
        <v>969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58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991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985</v>
      </c>
      <c r="B292" s="27" t="s">
        <v>1013</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993</v>
      </c>
      <c r="B293" s="27" t="s">
        <v>1010</v>
      </c>
      <c r="C293" s="27" t="s">
        <v>968</v>
      </c>
      <c r="D293" s="27" t="s">
        <v>969</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1159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136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1156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991</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980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993</v>
      </c>
      <c r="B299" s="27" t="s">
        <v>1010</v>
      </c>
      <c r="C299" s="27" t="s">
        <v>968</v>
      </c>
      <c r="D299" s="27" t="s">
        <v>969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1160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1021</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1161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1005</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row>
    <row r="305" spans="1:12">
      <c r="A305" s="20" t="s">
        <v>1162</v>
      </c>
    </row>
    <row r="306" spans="1:12">
      <c r="A306" s="20" t="s">
        <v>1163</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1164</v>
      </c>
      <c r="B307" s="27" t="s">
        <v>967</v>
      </c>
      <c r="C307" s="27" t="s">
        <v>979</v>
      </c>
      <c r="D307" s="27" t="s">
        <v>969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1095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1078</v>
      </c>
      <c r="B309" s="27" t="s">
        <v>978</v>
      </c>
      <c r="C309" s="27" t="s">
        <v>974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1097</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1021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1165</v>
      </c>
      <c r="B312" s="27" t="s">
        <v>1053</v>
      </c>
      <c r="C312" s="27" t="s">
        <v>974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991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1166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1167</v>
      </c>
      <c r="B315" s="27" t="s">
        <v>1053</v>
      </c>
      <c r="C315" s="27" t="s">
        <v>974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991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980</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1168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985</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1167</v>
      </c>
      <c r="B320" s="27" t="s">
        <v>1010</v>
      </c>
      <c r="C320" s="27" t="s">
        <v>979</v>
      </c>
      <c r="D320" s="27" t="s">
        <v>969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1169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975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1170</v>
      </c>
      <c r="B323" s="27" t="s">
        <v>982</v>
      </c>
      <c r="C323" s="27" t="s">
        <v>1102</v>
      </c>
      <c r="D323" s="27" t="s">
        <v>969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1171</v>
      </c>
      <c r="B324" s="27" t="s">
        <v>978</v>
      </c>
      <c r="C324" s="27" t="s">
        <v>1141</v>
      </c>
      <c r="D324" s="27" t="s">
        <v>969</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1172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1026</v>
      </c>
      <c r="B326" s="27" t="s">
        <v>978</v>
      </c>
      <c r="C326" s="27" t="s">
        <v>968</v>
      </c>
      <c r="D326" s="27" t="s">
        <v>969</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1173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999</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1174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1005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row>
    <row r="332" spans="1:12">
      <c r="A332" s="20" t="s">
        <v>1175</v>
      </c>
    </row>
    <row r="333" spans="1:12">
      <c r="A333" s="20" t="s">
        <v>1176</v>
      </c>
      <c r="B333" s="27" t="s">
        <v>967</v>
      </c>
      <c r="C333" s="27" t="s">
        <v>1001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991</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1177</v>
      </c>
      <c r="B335" s="27" t="s">
        <v>994</v>
      </c>
      <c r="C335" s="27" t="s">
        <v>1011</v>
      </c>
      <c r="D335" s="27" t="s">
        <v>969</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999</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136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1178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991</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1169</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999</v>
      </c>
      <c r="B341" s="27" t="s">
        <v>978</v>
      </c>
      <c r="C341" s="27" t="s">
        <v>1001</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1179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1180</v>
      </c>
      <c r="B343" s="27" t="s">
        <v>1053</v>
      </c>
      <c r="C343" s="27" t="s">
        <v>1123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1005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row>
    <row r="346" spans="1:12">
      <c r="A346" s="20" t="s">
        <v>1060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1181</v>
      </c>
    </row>
    <row r="348" spans="1:12">
      <c r="A348" s="20" t="s">
        <v>1182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993</v>
      </c>
      <c r="B349" s="27" t="s">
        <v>1010</v>
      </c>
      <c r="C349" s="27" t="s">
        <v>968</v>
      </c>
      <c r="D349" s="27" t="s">
        <v>969</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1131</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1183</v>
      </c>
      <c r="B351" s="27" t="s">
        <v>978</v>
      </c>
      <c r="C351" s="27" t="s">
        <v>974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1004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980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1024</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1184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1185</v>
      </c>
      <c r="B356" s="27" t="s">
        <v>1031</v>
      </c>
      <c r="C356" s="27" t="s">
        <v>979</v>
      </c>
      <c r="D356" s="27" t="s">
        <v>969</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1186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1187</v>
      </c>
      <c r="B358" s="27" t="s">
        <v>1003</v>
      </c>
      <c r="C358" s="27" t="s">
        <v>1035</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1188</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1189</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991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1178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993</v>
      </c>
      <c r="B363" s="27" t="s">
        <v>967</v>
      </c>
      <c r="C363" s="27" t="s">
        <v>968</v>
      </c>
      <c r="D363" s="27" t="s">
        <v>969</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1021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1190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1095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1191</v>
      </c>
      <c r="B367" s="27" t="s">
        <v>978</v>
      </c>
      <c r="C367" s="27" t="s">
        <v>988</v>
      </c>
      <c r="D367" s="27" t="s">
        <v>969</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1192</v>
      </c>
      <c r="B368" s="27" t="s">
        <v>1053</v>
      </c>
      <c r="C368" s="27" t="s">
        <v>974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999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21</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991</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1166</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1193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1194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965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1163</v>
      </c>
      <c r="B376" s="27" t="s">
        <v>994</v>
      </c>
      <c r="C376" s="27" t="s">
        <v>1011</v>
      </c>
      <c r="D376" s="27" t="s">
        <v>969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1195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1196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1197</v>
      </c>
      <c r="B379" s="27" t="s">
        <v>978</v>
      </c>
      <c r="C379" s="27" t="s">
        <v>1123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991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985</v>
      </c>
      <c r="B381" s="27" t="s">
        <v>1198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993</v>
      </c>
      <c r="B382" s="27" t="s">
        <v>997</v>
      </c>
      <c r="C382" s="27" t="s">
        <v>968</v>
      </c>
      <c r="D382" s="27" t="s">
        <v>969</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1199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1200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1005</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965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row>
    <row r="388" spans="1:12">
      <c r="A388" s="20" t="s">
        <v>1201</v>
      </c>
    </row>
    <row r="389" spans="1:12">
      <c r="A389" s="20" t="s">
        <v>1202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993</v>
      </c>
      <c r="B390" s="27" t="s">
        <v>967</v>
      </c>
      <c r="C390" s="27" t="s">
        <v>968</v>
      </c>
      <c r="D390" s="27" t="s">
        <v>969</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1203</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999</v>
      </c>
      <c r="B392" s="27" t="s">
        <v>982</v>
      </c>
      <c r="C392" s="27" t="s">
        <v>1001</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1204</v>
      </c>
      <c r="B393" s="27" t="s">
        <v>978</v>
      </c>
      <c r="C393" s="27" t="s">
        <v>974</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999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1205</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991</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980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1041</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1193</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993</v>
      </c>
      <c r="B400" s="27" t="s">
        <v>1010</v>
      </c>
      <c r="C400" s="27" t="s">
        <v>968</v>
      </c>
      <c r="D400" s="27" t="s">
        <v>969</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991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996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993</v>
      </c>
      <c r="B403" s="27" t="s">
        <v>994</v>
      </c>
      <c r="C403" s="27" t="s">
        <v>968</v>
      </c>
      <c r="D403" s="27" t="s">
        <v>969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1206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1024</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1207</v>
      </c>
      <c r="B406" s="27" t="s">
        <v>1031</v>
      </c>
      <c r="C406" s="27" t="s">
        <v>979</v>
      </c>
      <c r="D406" s="27" t="s">
        <v>969</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1208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980</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1086</v>
      </c>
      <c r="B409" s="27" t="s">
        <v>1198</v>
      </c>
      <c r="C409" s="27" t="s">
        <v>968</v>
      </c>
      <c r="D409" s="27" t="s">
        <v>969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1022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1110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1209</v>
      </c>
      <c r="B412" s="27" t="s">
        <v>1003</v>
      </c>
      <c r="C412" s="27" t="s">
        <v>1018</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136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1200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991</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1086</v>
      </c>
      <c r="B416" s="27" t="s">
        <v>1010</v>
      </c>
      <c r="C416" s="27" t="s">
        <v>968</v>
      </c>
      <c r="D416" s="27" t="s">
        <v>969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1210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980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1211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980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1212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1200</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991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980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1024</v>
      </c>
      <c r="B425" s="27" t="s">
        <v>1010</v>
      </c>
      <c r="C425" s="27" t="s">
        <v>1102</v>
      </c>
      <c r="D425" s="27" t="s">
        <v>969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995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1213</v>
      </c>
      <c r="B427" s="27" t="s">
        <v>1013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1108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1107</v>
      </c>
      <c r="B429" s="27" t="s">
        <v>978</v>
      </c>
      <c r="C429" s="27" t="s">
        <v>968</v>
      </c>
      <c r="D429" s="27" t="s">
        <v>969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1214</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1051</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1215</v>
      </c>
      <c r="B432" s="27" t="s">
        <v>978</v>
      </c>
      <c r="C432" s="27" t="s">
        <v>1018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1151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1005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row>
    <row r="436" spans="1:12">
      <c r="A436" s="20" t="s">
        <v>1216</v>
      </c>
    </row>
    <row r="437" spans="1:12">
      <c r="A437" s="20" t="s">
        <v>1182</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1032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1078</v>
      </c>
      <c r="B439" s="27" t="s">
        <v>978</v>
      </c>
      <c r="C439" s="27" t="s">
        <v>974</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1217</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1218</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991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1218</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1219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77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991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996</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1220</v>
      </c>
      <c r="B448" s="27" t="s">
        <v>1010</v>
      </c>
      <c r="C448" s="27" t="s">
        <v>1001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1221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991</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996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1086</v>
      </c>
      <c r="B452" s="27" t="s">
        <v>994</v>
      </c>
      <c r="C452" s="27" t="s">
        <v>968</v>
      </c>
      <c r="D452" s="27" t="s">
        <v>969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1222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1097</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1005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row>
    <row r="457" spans="1:12">
      <c r="A457" s="20" t="s">
        <v>1223</v>
      </c>
    </row>
    <row r="458" spans="1:12">
      <c r="A458" s="20" t="s">
        <v>1224</v>
      </c>
      <c r="B458" s="27" t="s">
        <v>967</v>
      </c>
      <c r="C458" s="27" t="s">
        <v>1001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1221</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991</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996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1086</v>
      </c>
      <c r="B462" s="27" t="s">
        <v>1010</v>
      </c>
      <c r="C462" s="27" t="s">
        <v>968</v>
      </c>
      <c r="D462" s="27" t="s">
        <v>969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1222</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1097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991</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1225</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1220</v>
      </c>
      <c r="B467" s="27" t="s">
        <v>1010</v>
      </c>
      <c r="C467" s="27" t="s">
        <v>1001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1086</v>
      </c>
      <c r="B468" s="27" t="s">
        <v>1013</v>
      </c>
      <c r="C468" s="27" t="s">
        <v>968</v>
      </c>
      <c r="D468" s="27" t="s">
        <v>969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1226</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1005</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1227</v>
      </c>
    </row>
    <row r="473" spans="1:12">
      <c r="A473" s="20" t="s">
        <v>1224</v>
      </c>
      <c r="B473" s="27" t="s">
        <v>967</v>
      </c>
      <c r="C473" s="27" t="s">
        <v>1001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1221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991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996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985</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1228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1111</v>
      </c>
      <c r="B479" s="27" t="s">
        <v>1010</v>
      </c>
      <c r="C479" s="27" t="s">
        <v>979</v>
      </c>
      <c r="D479" s="27" t="s">
        <v>969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1086</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1229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991</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1230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1231</v>
      </c>
      <c r="B484" s="27" t="s">
        <v>1031</v>
      </c>
      <c r="C484" s="27" t="s">
        <v>1035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1232</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991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1204</v>
      </c>
      <c r="B487" s="27" t="s">
        <v>1013</v>
      </c>
      <c r="C487" s="27" t="s">
        <v>974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999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1205</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991</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1213</v>
      </c>
      <c r="B491" s="27" t="s">
        <v>1013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1105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1233</v>
      </c>
      <c r="B493" s="27" t="s">
        <v>978</v>
      </c>
      <c r="C493" s="27" t="s">
        <v>1234</v>
      </c>
      <c r="D493" s="27" t="s">
        <v>969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999</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367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991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999</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1235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980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1172</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976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1236</v>
      </c>
      <c r="B502" s="27" t="s">
        <v>978</v>
      </c>
      <c r="C502" s="27" t="s">
        <v>979</v>
      </c>
      <c r="D502" s="27" t="s">
        <v>969</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999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267</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991</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980</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1024</v>
      </c>
      <c r="B507" s="27" t="s">
        <v>1010</v>
      </c>
      <c r="C507" s="27" t="s">
        <v>1102</v>
      </c>
      <c r="D507" s="27" t="s">
        <v>969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1086</v>
      </c>
      <c r="B508" s="27" t="s">
        <v>1010</v>
      </c>
      <c r="C508" s="27" t="s">
        <v>968</v>
      </c>
      <c r="D508" s="27" t="s">
        <v>969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1237</v>
      </c>
      <c r="B509" s="27" t="s">
        <v>978</v>
      </c>
      <c r="C509" s="27" t="s">
        <v>1011</v>
      </c>
      <c r="D509" s="27" t="s">
        <v>969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1238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1239</v>
      </c>
      <c r="B511" s="27" t="s">
        <v>1053</v>
      </c>
      <c r="C511" s="27" t="s">
        <v>1123</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1097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991</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1240</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1241</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1097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1220</v>
      </c>
      <c r="B517" s="27" t="s">
        <v>994</v>
      </c>
      <c r="C517" s="27" t="s">
        <v>1001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975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1242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1243</v>
      </c>
      <c r="B520" s="27" t="s">
        <v>978</v>
      </c>
      <c r="C520" s="27" t="s">
        <v>1035</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980</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1244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991</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1110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1245</v>
      </c>
      <c r="B525" s="27" t="s">
        <v>1013</v>
      </c>
      <c r="C525" s="27" t="s">
        <v>1018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1246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1247</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999</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635</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1005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row>
    <row r="532" spans="1:12">
      <c r="A532" s="20" t="s">
        <v>1248</v>
      </c>
    </row>
    <row r="533" spans="1:12">
      <c r="A533" s="20" t="s">
        <v>966</v>
      </c>
      <c r="B533" s="27" t="s">
        <v>967</v>
      </c>
      <c r="C533" s="27" t="s">
        <v>968</v>
      </c>
      <c r="D533" s="27" t="s">
        <v>969</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1042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1067</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1249</v>
      </c>
      <c r="B536" s="27" t="s">
        <v>973</v>
      </c>
      <c r="C536" s="27" t="s">
        <v>1001</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999</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136</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991</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1067</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1249</v>
      </c>
      <c r="B541" s="27" t="s">
        <v>1013</v>
      </c>
      <c r="C541" s="27" t="s">
        <v>1011</v>
      </c>
      <c r="D541" s="27" t="s">
        <v>969</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999</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241</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980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1249</v>
      </c>
      <c r="B545" s="27" t="s">
        <v>978</v>
      </c>
      <c r="C545" s="27" t="s">
        <v>1001</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999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13</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1005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row>
    <row r="550" spans="1:12">
      <c r="A550" s="20" t="s">
        <v>1250</v>
      </c>
    </row>
    <row r="551" spans="1:12">
      <c r="A551" s="20" t="s">
        <v>1251</v>
      </c>
      <c r="B551" s="27" t="s">
        <v>967</v>
      </c>
      <c r="C551" s="27" t="s">
        <v>968</v>
      </c>
      <c r="D551" s="27" t="s">
        <v>969</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1178</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1016</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1252</v>
      </c>
      <c r="B554" s="27" t="s">
        <v>1053</v>
      </c>
      <c r="C554" s="27" t="s">
        <v>1018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1253</v>
      </c>
      <c r="B555" s="27" t="s">
        <v>1053</v>
      </c>
      <c r="C555" s="27" t="s">
        <v>974</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1005</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row>
    <row r="558" spans="1:12">
      <c r="A558" s="20" t="s">
        <v>1254</v>
      </c>
    </row>
    <row r="559" spans="1:12">
      <c r="A559" s="20" t="s">
        <v>1007</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1041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1255</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985</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1256</v>
      </c>
      <c r="B563" s="27" t="s">
        <v>973</v>
      </c>
      <c r="C563" s="27" t="s">
        <v>979</v>
      </c>
      <c r="D563" s="27" t="s">
        <v>969</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1051</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1005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row>
    <row r="567" spans="1:12">
      <c r="A567" s="20" t="s">
        <v>1060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1257</v>
      </c>
    </row>
    <row r="569" spans="1:12">
      <c r="A569" s="20" t="s">
        <v>1182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1220</v>
      </c>
      <c r="B570" s="27" t="s">
        <v>1010</v>
      </c>
      <c r="C570" s="27" t="s">
        <v>1001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1026</v>
      </c>
      <c r="B571" s="27" t="s">
        <v>1013</v>
      </c>
      <c r="C571" s="27" t="s">
        <v>968</v>
      </c>
      <c r="D571" s="27" t="s">
        <v>969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1258</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1259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991</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996</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993</v>
      </c>
      <c r="B576" s="27" t="s">
        <v>994</v>
      </c>
      <c r="C576" s="27" t="s">
        <v>968</v>
      </c>
      <c r="D576" s="27" t="s">
        <v>969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975</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1038</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1260</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1261</v>
      </c>
      <c r="B580" s="27" t="s">
        <v>982</v>
      </c>
      <c r="C580" s="27" t="s">
        <v>979</v>
      </c>
      <c r="D580" s="27" t="s">
        <v>969</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1262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1113</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991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1259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993</v>
      </c>
      <c r="B586" s="27" t="s">
        <v>967</v>
      </c>
      <c r="C586" s="27" t="s">
        <v>968</v>
      </c>
      <c r="D586" s="27" t="s">
        <v>969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1258</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1194</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965</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1263</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1086</v>
      </c>
      <c r="B591" s="27" t="s">
        <v>994</v>
      </c>
      <c r="C591" s="27" t="s">
        <v>968</v>
      </c>
      <c r="D591" s="27" t="s">
        <v>969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975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976</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1264</v>
      </c>
      <c r="B594" s="27" t="s">
        <v>982</v>
      </c>
      <c r="C594" s="27" t="s">
        <v>1083</v>
      </c>
      <c r="D594" s="27" t="s">
        <v>969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1265</v>
      </c>
      <c r="B595" s="27" t="s">
        <v>1003</v>
      </c>
      <c r="C595" s="27" t="s">
        <v>1083</v>
      </c>
      <c r="D595" s="27" t="s">
        <v>969</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1097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991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1266</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993</v>
      </c>
      <c r="B599" s="27" t="s">
        <v>1010</v>
      </c>
      <c r="C599" s="27" t="s">
        <v>968</v>
      </c>
      <c r="D599" s="27" t="s">
        <v>969</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1024</v>
      </c>
      <c r="B600" s="27" t="s">
        <v>1013</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1005</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965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row>
    <row r="604" spans="1:12">
      <c r="A604" s="20" t="s">
        <v>1060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1267</v>
      </c>
    </row>
    <row r="606" spans="1:12">
      <c r="A606" s="20" t="s">
        <v>1144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1114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1220</v>
      </c>
      <c r="B608" s="27" t="s">
        <v>1010</v>
      </c>
      <c r="C608" s="27" t="s">
        <v>1001</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1026</v>
      </c>
      <c r="B609" s="27" t="s">
        <v>1013</v>
      </c>
      <c r="C609" s="27" t="s">
        <v>968</v>
      </c>
      <c r="D609" s="27" t="s">
        <v>969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1258</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1259</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1194</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965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1268</v>
      </c>
      <c r="B614" s="27" t="s">
        <v>967</v>
      </c>
      <c r="C614" s="27" t="s">
        <v>968</v>
      </c>
      <c r="D614" s="27" t="s">
        <v>969</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104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1038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1260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1269</v>
      </c>
      <c r="B618" s="27" t="s">
        <v>1031</v>
      </c>
      <c r="C618" s="27" t="s">
        <v>979</v>
      </c>
      <c r="D618" s="27" t="s">
        <v>969</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1270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1271</v>
      </c>
      <c r="B620" s="27" t="s">
        <v>973</v>
      </c>
      <c r="C620" s="27" t="s">
        <v>974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965</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991</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1113</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993</v>
      </c>
      <c r="B624" s="27" t="s">
        <v>1010</v>
      </c>
      <c r="C624" s="27" t="s">
        <v>968</v>
      </c>
      <c r="D624" s="27" t="s">
        <v>969</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1272</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1273</v>
      </c>
      <c r="B626" s="27" t="s">
        <v>982</v>
      </c>
      <c r="C626" s="27" t="s">
        <v>988</v>
      </c>
      <c r="D626" s="27" t="s">
        <v>969</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1274</v>
      </c>
      <c r="B627" s="27" t="s">
        <v>1010</v>
      </c>
      <c r="C627" s="27" t="s">
        <v>974</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1275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991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1046</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1024</v>
      </c>
      <c r="B631" s="27" t="s">
        <v>994</v>
      </c>
      <c r="C631" s="27" t="s">
        <v>1011</v>
      </c>
      <c r="D631" s="27" t="s">
        <v>969</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1276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1005</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row>
    <row r="635" spans="1:12">
      <c r="A635" s="20" t="s">
        <v>1277</v>
      </c>
    </row>
    <row r="636" spans="1:12">
      <c r="A636" s="20" t="s">
        <v>966</v>
      </c>
      <c r="B636" s="27" t="s">
        <v>967</v>
      </c>
      <c r="C636" s="27" t="s">
        <v>968</v>
      </c>
      <c r="D636" s="27" t="s">
        <v>969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1278</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1279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1280</v>
      </c>
      <c r="B639" s="27" t="s">
        <v>978</v>
      </c>
      <c r="C639" s="27" t="s">
        <v>1102</v>
      </c>
      <c r="D639" s="27" t="s">
        <v>969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1281</v>
      </c>
      <c r="B640" s="27" t="s">
        <v>973</v>
      </c>
      <c r="C640" s="27" t="s">
        <v>1141</v>
      </c>
      <c r="D640" s="27" t="s">
        <v>969</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991</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1024</v>
      </c>
      <c r="B642" s="27" t="s">
        <v>967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1220</v>
      </c>
      <c r="B643" s="27" t="s">
        <v>967</v>
      </c>
      <c r="C643" s="27" t="s">
        <v>1001</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1282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991</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1114</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1220</v>
      </c>
      <c r="B647" s="27" t="s">
        <v>1010</v>
      </c>
      <c r="C647" s="27" t="s">
        <v>1001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1283</v>
      </c>
      <c r="B648" s="27" t="s">
        <v>1053</v>
      </c>
      <c r="C648" s="27" t="s">
        <v>974</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980</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1284</v>
      </c>
      <c r="B650" s="27" t="s">
        <v>978</v>
      </c>
      <c r="C650" s="27" t="s">
        <v>974</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1285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1286</v>
      </c>
      <c r="B652" s="27" t="s">
        <v>978</v>
      </c>
      <c r="C652" s="27" t="s">
        <v>974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980</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1043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1287</v>
      </c>
      <c r="B655" s="27" t="s">
        <v>994</v>
      </c>
      <c r="C655" s="27" t="s">
        <v>979</v>
      </c>
      <c r="D655" s="27" t="s">
        <v>969</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1022</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1110</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1288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991</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1240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1289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996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1086</v>
      </c>
      <c r="B663" s="27" t="s">
        <v>997</v>
      </c>
      <c r="C663" s="27" t="s">
        <v>968</v>
      </c>
      <c r="D663" s="27" t="s">
        <v>969</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1016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1290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1291</v>
      </c>
      <c r="B666" s="27" t="s">
        <v>1198</v>
      </c>
      <c r="C666" s="27" t="s">
        <v>1018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1292</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991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1214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1293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991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1106</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1086</v>
      </c>
      <c r="B673" s="27" t="s">
        <v>1294</v>
      </c>
      <c r="C673" s="27" t="s">
        <v>968</v>
      </c>
      <c r="D673" s="27" t="s">
        <v>969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1295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1296</v>
      </c>
      <c r="B675" s="27" t="s">
        <v>1297</v>
      </c>
      <c r="C675" s="27" t="s">
        <v>1123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1151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1005</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row>
    <row r="679" spans="1:12">
      <c r="A679" s="20" t="s">
        <v>1298</v>
      </c>
    </row>
    <row r="680" spans="1:12">
      <c r="A680" s="20" t="s">
        <v>1251</v>
      </c>
      <c r="B680" s="27" t="s">
        <v>967</v>
      </c>
      <c r="C680" s="27" t="s">
        <v>968</v>
      </c>
      <c r="D680" s="27" t="s">
        <v>969</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1097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1051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1281</v>
      </c>
      <c r="B683" s="27" t="s">
        <v>1053</v>
      </c>
      <c r="C683" s="27" t="s">
        <v>1018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1043</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1299</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1256</v>
      </c>
      <c r="B686" s="27" t="s">
        <v>1053</v>
      </c>
      <c r="C686" s="27" t="s">
        <v>979</v>
      </c>
      <c r="D686" s="27" t="s">
        <v>969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991</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1300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996</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1220</v>
      </c>
      <c r="B690" s="27" t="s">
        <v>994</v>
      </c>
      <c r="C690" s="27" t="s">
        <v>1001</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1301</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1221</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991</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1302</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1220</v>
      </c>
      <c r="B695" s="27" t="s">
        <v>994</v>
      </c>
      <c r="C695" s="27" t="s">
        <v>1001</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1256</v>
      </c>
      <c r="B696" s="27" t="s">
        <v>1031</v>
      </c>
      <c r="C696" s="27" t="s">
        <v>974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1282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1005</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row>
    <row r="700" spans="1:12">
      <c r="A700" s="20" t="s">
        <v>1303</v>
      </c>
    </row>
    <row r="701" spans="1:12">
      <c r="A701" s="20" t="s">
        <v>1007</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1151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1170</v>
      </c>
      <c r="B703" s="27" t="s">
        <v>978</v>
      </c>
      <c r="C703" s="27" t="s">
        <v>1102</v>
      </c>
      <c r="D703" s="27" t="s">
        <v>969</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1304</v>
      </c>
      <c r="B704" s="27" t="s">
        <v>1053</v>
      </c>
      <c r="C704" s="27" t="s">
        <v>1141</v>
      </c>
      <c r="D704" s="27" t="s">
        <v>969</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1042</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993</v>
      </c>
      <c r="B706" s="27" t="s">
        <v>967</v>
      </c>
      <c r="C706" s="27" t="s">
        <v>968</v>
      </c>
      <c r="D706" s="27" t="s">
        <v>969</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999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241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991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996</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1086</v>
      </c>
      <c r="B711" s="27" t="s">
        <v>994</v>
      </c>
      <c r="C711" s="27" t="s">
        <v>968</v>
      </c>
      <c r="D711" s="27" t="s">
        <v>969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1305</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999</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1306</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1097</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991</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1151</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976</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1307</v>
      </c>
      <c r="B719" s="27" t="s">
        <v>1053</v>
      </c>
      <c r="C719" s="27" t="s">
        <v>979</v>
      </c>
      <c r="D719" s="27" t="s">
        <v>969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999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37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991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980</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996</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1043</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1308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1309</v>
      </c>
      <c r="B727" s="27" t="s">
        <v>1010</v>
      </c>
      <c r="C727" s="27" t="s">
        <v>979</v>
      </c>
      <c r="D727" s="27" t="s">
        <v>969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991</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1213</v>
      </c>
      <c r="B729" s="27" t="s">
        <v>1013</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1021</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1310</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991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1311</v>
      </c>
      <c r="B733" s="27" t="s">
        <v>994</v>
      </c>
      <c r="C733" s="27" t="s">
        <v>1234</v>
      </c>
      <c r="D733" s="27" t="s">
        <v>969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1312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991</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1313</v>
      </c>
      <c r="B736" s="27" t="s">
        <v>1003</v>
      </c>
      <c r="C736" s="27" t="s">
        <v>1001</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1111</v>
      </c>
      <c r="B737" s="27" t="s">
        <v>994</v>
      </c>
      <c r="C737" s="27" t="s">
        <v>974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1021</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1314</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999</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136</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1005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row>
    <row r="744" spans="1:12">
      <c r="A744" s="20" t="s">
        <v>1060</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1315</v>
      </c>
    </row>
    <row r="746" spans="1:12">
      <c r="A746" s="20" t="s">
        <v>1316</v>
      </c>
      <c r="B746" s="27" t="s">
        <v>978</v>
      </c>
      <c r="C746" s="27" t="s">
        <v>1011</v>
      </c>
      <c r="D746" s="27" t="s">
        <v>969</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1317</v>
      </c>
      <c r="B747" s="27" t="s">
        <v>1053</v>
      </c>
      <c r="C747" s="27" t="s">
        <v>1018</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1318</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993</v>
      </c>
      <c r="B749" s="27" t="s">
        <v>967</v>
      </c>
      <c r="C749" s="27" t="s">
        <v>968</v>
      </c>
      <c r="D749" s="27" t="s">
        <v>969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1319</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1022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980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1193</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991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993</v>
      </c>
      <c r="B755" s="27" t="s">
        <v>1010</v>
      </c>
      <c r="C755" s="27" t="s">
        <v>968</v>
      </c>
      <c r="D755" s="27" t="s">
        <v>969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1259</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1320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1110</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1321</v>
      </c>
      <c r="B759" s="27" t="s">
        <v>1013</v>
      </c>
      <c r="C759" s="27" t="s">
        <v>1018</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991</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1322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993</v>
      </c>
      <c r="B762" s="27" t="s">
        <v>1010</v>
      </c>
      <c r="C762" s="27" t="s">
        <v>968</v>
      </c>
      <c r="D762" s="27" t="s">
        <v>969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1323</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1324</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975</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976</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1325</v>
      </c>
      <c r="B767" s="27" t="s">
        <v>978</v>
      </c>
      <c r="C767" s="27" t="s">
        <v>979</v>
      </c>
      <c r="D767" s="27" t="s">
        <v>969</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1326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991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1024</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1327</v>
      </c>
      <c r="B771" s="27" t="s">
        <v>1010</v>
      </c>
      <c r="C771" s="27" t="s">
        <v>979</v>
      </c>
      <c r="D771" s="27" t="s">
        <v>969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1328</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980</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1193</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1194</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965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1329</v>
      </c>
      <c r="B777" s="27" t="s">
        <v>1010</v>
      </c>
      <c r="C777" s="27" t="s">
        <v>1001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1330</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1021</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980</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993</v>
      </c>
      <c r="B781" s="27" t="s">
        <v>994</v>
      </c>
      <c r="C781" s="27" t="s">
        <v>968</v>
      </c>
      <c r="D781" s="27" t="s">
        <v>969</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1331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1332</v>
      </c>
      <c r="B783" s="27" t="s">
        <v>1031</v>
      </c>
      <c r="C783" s="27" t="s">
        <v>974</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1333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1005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965</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row>
    <row r="788" spans="1:12">
      <c r="A788" s="20" t="s">
        <v>1334</v>
      </c>
    </row>
    <row r="789" spans="1:12">
      <c r="A789" s="20" t="s">
        <v>966</v>
      </c>
      <c r="B789" s="27" t="s">
        <v>967</v>
      </c>
      <c r="C789" s="27" t="s">
        <v>968</v>
      </c>
      <c r="D789" s="27" t="s">
        <v>969</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1085</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1191</v>
      </c>
      <c r="B791" s="27" t="s">
        <v>978</v>
      </c>
      <c r="C791" s="27" t="s">
        <v>968</v>
      </c>
      <c r="D791" s="27" t="s">
        <v>969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1335</v>
      </c>
      <c r="B792" s="27" t="s">
        <v>973</v>
      </c>
      <c r="C792" s="27" t="s">
        <v>1035</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1021</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123</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980</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1024</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1327</v>
      </c>
      <c r="B797" s="27" t="s">
        <v>1013</v>
      </c>
      <c r="C797" s="27" t="s">
        <v>979</v>
      </c>
      <c r="D797" s="27" t="s">
        <v>969</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1336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980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1337</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1005</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row>
    <row r="803" spans="1:12">
      <c r="A803" s="20" t="s">
        <v>1338</v>
      </c>
    </row>
    <row r="804" spans="1:12">
      <c r="A804" s="20" t="s">
        <v>1339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993</v>
      </c>
      <c r="B805" s="27" t="s">
        <v>1010</v>
      </c>
      <c r="C805" s="27" t="s">
        <v>968</v>
      </c>
      <c r="D805" s="27" t="s">
        <v>969</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1340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24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1341</v>
      </c>
      <c r="B808" s="27" t="s">
        <v>1013</v>
      </c>
      <c r="C808" s="27" t="s">
        <v>1123</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1342</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980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1086</v>
      </c>
      <c r="B811" s="27" t="s">
        <v>1031</v>
      </c>
      <c r="C811" s="27" t="s">
        <v>968</v>
      </c>
      <c r="D811" s="27" t="s">
        <v>969</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1343</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1278</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991</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1344</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1345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1024</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1327</v>
      </c>
      <c r="B818" s="27" t="s">
        <v>973</v>
      </c>
      <c r="C818" s="27" t="s">
        <v>979</v>
      </c>
      <c r="D818" s="27" t="s">
        <v>969</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991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980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1346</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1347</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993</v>
      </c>
      <c r="B823" s="27" t="s">
        <v>1010</v>
      </c>
      <c r="C823" s="27" t="s">
        <v>968</v>
      </c>
      <c r="D823" s="27" t="s">
        <v>969</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1086</v>
      </c>
      <c r="B824" s="27" t="s">
        <v>1013</v>
      </c>
      <c r="C824" s="27" t="s">
        <v>968</v>
      </c>
      <c r="D824" s="27" t="s">
        <v>969</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1348</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1005</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row>
    <row r="828" spans="1:12">
      <c r="A828" s="20" t="s">
        <v>1060</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1349</v>
      </c>
    </row>
    <row r="830" spans="1:12">
      <c r="A830" s="20" t="s">
        <v>1251</v>
      </c>
      <c r="B830" s="27" t="s">
        <v>967</v>
      </c>
      <c r="C830" s="27" t="s">
        <v>968</v>
      </c>
      <c r="D830" s="27" t="s">
        <v>969</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1178</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1273</v>
      </c>
      <c r="B832" s="27" t="s">
        <v>1053</v>
      </c>
      <c r="C832" s="27" t="s">
        <v>988</v>
      </c>
      <c r="D832" s="27" t="s">
        <v>969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1350</v>
      </c>
      <c r="B833" s="27" t="s">
        <v>1053</v>
      </c>
      <c r="C833" s="27" t="s">
        <v>974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980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993</v>
      </c>
      <c r="B835" s="27" t="s">
        <v>1010</v>
      </c>
      <c r="C835" s="27" t="s">
        <v>968</v>
      </c>
      <c r="D835" s="27" t="s">
        <v>969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1351</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1194</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965</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966</v>
      </c>
      <c r="B839" s="27" t="s">
        <v>994</v>
      </c>
      <c r="C839" s="27" t="s">
        <v>968</v>
      </c>
      <c r="D839" s="27" t="s">
        <v>969</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1352</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1353</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1354</v>
      </c>
      <c r="B842" s="27" t="s">
        <v>1031</v>
      </c>
      <c r="C842" s="27" t="s">
        <v>974</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1005</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row>
    <row r="845" spans="1:12">
      <c r="A845" s="20" t="s">
        <v>1060</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1355</v>
      </c>
    </row>
    <row r="847" spans="1:12">
      <c r="A847" s="20" t="s">
        <v>1077</v>
      </c>
      <c r="B847" s="27" t="s">
        <v>967</v>
      </c>
      <c r="C847" s="27" t="s">
        <v>1011</v>
      </c>
      <c r="D847" s="27" t="s">
        <v>969</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1356</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1357</v>
      </c>
      <c r="B849" s="27" t="s">
        <v>973</v>
      </c>
      <c r="C849" s="27" t="s">
        <v>1001</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136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1005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965</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row>
    <row r="854" spans="1:12">
      <c r="A854" s="20" t="s">
        <v>1358</v>
      </c>
    </row>
    <row r="855" spans="1:12">
      <c r="A855" s="20" t="s">
        <v>1359</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976</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1260</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1360</v>
      </c>
      <c r="B858" s="27" t="s">
        <v>1053</v>
      </c>
      <c r="C858" s="27" t="s">
        <v>979</v>
      </c>
      <c r="D858" s="27" t="s">
        <v>969</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1361</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993</v>
      </c>
      <c r="B860" s="27" t="s">
        <v>967</v>
      </c>
      <c r="C860" s="27" t="s">
        <v>968</v>
      </c>
      <c r="D860" s="27" t="s">
        <v>969</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1037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1038</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1362</v>
      </c>
      <c r="B863" s="27" t="s">
        <v>1053</v>
      </c>
      <c r="C863" s="27" t="s">
        <v>979</v>
      </c>
      <c r="D863" s="27" t="s">
        <v>969</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980</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1043</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1363</v>
      </c>
      <c r="B866" s="27" t="s">
        <v>978</v>
      </c>
      <c r="C866" s="27" t="s">
        <v>979</v>
      </c>
      <c r="D866" s="27" t="s">
        <v>969</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1151</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1005</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row>
    <row r="870" spans="1:12">
      <c r="A870" s="20" t="s">
        <v>1364</v>
      </c>
    </row>
    <row r="871" spans="1:12">
      <c r="A871" s="20" t="s">
        <v>1007</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993</v>
      </c>
      <c r="B872" s="27" t="s">
        <v>967</v>
      </c>
      <c r="C872" s="27" t="s">
        <v>968</v>
      </c>
      <c r="D872" s="27" t="s">
        <v>969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1042</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1365</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1026</v>
      </c>
      <c r="B875" s="27" t="s">
        <v>973</v>
      </c>
      <c r="C875" s="27" t="s">
        <v>968</v>
      </c>
      <c r="D875" s="27" t="s">
        <v>969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1139</v>
      </c>
      <c r="B876" s="27" t="s">
        <v>982</v>
      </c>
      <c r="C876" s="27" t="s">
        <v>1102</v>
      </c>
      <c r="D876" s="27" t="s">
        <v>969</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1366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172</v>
      </c>
      <c r="B878" s="27" t="s">
        <v>1013</v>
      </c>
      <c r="C878" s="27" t="s">
        <v>1141</v>
      </c>
      <c r="D878" s="27" t="s">
        <v>969</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999</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340</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1194</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1182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993</v>
      </c>
      <c r="B883" s="27" t="s">
        <v>1010</v>
      </c>
      <c r="C883" s="27" t="s">
        <v>968</v>
      </c>
      <c r="D883" s="27" t="s">
        <v>969</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1021</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985</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1367</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1368</v>
      </c>
      <c r="B887" s="27" t="s">
        <v>1053</v>
      </c>
      <c r="C887" s="27" t="s">
        <v>979</v>
      </c>
      <c r="D887" s="27" t="s">
        <v>969</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1369</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991</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985</v>
      </c>
      <c r="B890" s="27" t="s">
        <v>994</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1051</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1116</v>
      </c>
      <c r="B892" s="27" t="s">
        <v>1031</v>
      </c>
      <c r="C892" s="27" t="s">
        <v>1018</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1370</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1259</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991</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1371</v>
      </c>
      <c r="B896" s="27" t="s">
        <v>997</v>
      </c>
      <c r="C896" s="27" t="s">
        <v>1372</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1369</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993</v>
      </c>
      <c r="B898" s="27" t="s">
        <v>997</v>
      </c>
      <c r="C898" s="27" t="s">
        <v>968</v>
      </c>
      <c r="D898" s="27" t="s">
        <v>969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1041</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1373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row>
    <row r="902" spans="1:12">
      <c r="A902" s="20" t="s">
        <v>1374</v>
      </c>
    </row>
    <row r="903" spans="1:12">
      <c r="A903" s="20" t="s">
        <v>1007</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1114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993</v>
      </c>
      <c r="B905" s="27" t="s">
        <v>1010</v>
      </c>
      <c r="C905" s="27" t="s">
        <v>968</v>
      </c>
      <c r="D905" s="27" t="s">
        <v>969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1375</v>
      </c>
      <c r="B906" s="27" t="s">
        <v>1013</v>
      </c>
      <c r="C906" s="27" t="s">
        <v>974</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1376</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1200</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991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58</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985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1375</v>
      </c>
      <c r="B912" s="27" t="s">
        <v>967</v>
      </c>
      <c r="C912" s="27" t="s">
        <v>979</v>
      </c>
      <c r="D912" s="27" t="s">
        <v>969</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1107</v>
      </c>
      <c r="B913" s="27" t="s">
        <v>973</v>
      </c>
      <c r="C913" s="27" t="s">
        <v>968</v>
      </c>
      <c r="D913" s="27" t="s">
        <v>969</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1158</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999</v>
      </c>
      <c r="B915" s="27" t="s">
        <v>978</v>
      </c>
      <c r="C915" s="27" t="s">
        <v>1001</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1026</v>
      </c>
      <c r="B916" s="27" t="s">
        <v>1053</v>
      </c>
      <c r="C916" s="27" t="s">
        <v>968</v>
      </c>
      <c r="D916" s="27" t="s">
        <v>969</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1105</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1285</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58</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1009</v>
      </c>
      <c r="B920" s="27" t="s">
        <v>967</v>
      </c>
      <c r="C920" s="27" t="s">
        <v>1011</v>
      </c>
      <c r="D920" s="27" t="s">
        <v>969</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1107</v>
      </c>
      <c r="B921" s="27" t="s">
        <v>973</v>
      </c>
      <c r="C921" s="27" t="s">
        <v>968</v>
      </c>
      <c r="D921" s="27" t="s">
        <v>969</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999</v>
      </c>
      <c r="B922" s="27" t="s">
        <v>978</v>
      </c>
      <c r="C922" s="27" t="s">
        <v>1001</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1377</v>
      </c>
      <c r="B923" s="27" t="s">
        <v>1053</v>
      </c>
      <c r="C923" s="27" t="s">
        <v>1001</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1378</v>
      </c>
      <c r="B924" s="27" t="s">
        <v>1053</v>
      </c>
      <c r="C924" s="27" t="s">
        <v>1001</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1373</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row>
    <row r="927" spans="1:12">
      <c r="A927" s="20" t="s">
        <v>1379</v>
      </c>
    </row>
    <row r="928" spans="1:12">
      <c r="A928" s="20" t="s">
        <v>1007</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1177</v>
      </c>
      <c r="B929" s="27" t="s">
        <v>973</v>
      </c>
      <c r="C929" s="27" t="s">
        <v>1011</v>
      </c>
      <c r="D929" s="27" t="s">
        <v>969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1380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993</v>
      </c>
      <c r="B931" s="27" t="s">
        <v>967</v>
      </c>
      <c r="C931" s="27" t="s">
        <v>968</v>
      </c>
      <c r="D931" s="27" t="s">
        <v>969</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1381</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991</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1114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1009</v>
      </c>
      <c r="B935" s="27" t="s">
        <v>1010</v>
      </c>
      <c r="C935" s="27" t="s">
        <v>1011</v>
      </c>
      <c r="D935" s="27" t="s">
        <v>969</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1107</v>
      </c>
      <c r="B936" s="27" t="s">
        <v>1013</v>
      </c>
      <c r="C936" s="27" t="s">
        <v>968</v>
      </c>
      <c r="D936" s="27" t="s">
        <v>969</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999</v>
      </c>
      <c r="B937" s="27" t="s">
        <v>982</v>
      </c>
      <c r="C937" s="27" t="s">
        <v>1001</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1382</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1313</v>
      </c>
      <c r="B939" s="27" t="s">
        <v>978</v>
      </c>
      <c r="C939" s="27" t="s">
        <v>1011</v>
      </c>
      <c r="D939" s="27" t="s">
        <v>969</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58</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1373</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row>
    <row r="943" spans="1:12">
      <c r="A943" s="20" t="s">
        <v>1383</v>
      </c>
    </row>
    <row r="944" spans="1:12">
      <c r="A944" s="20" t="s">
        <v>1251</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1384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1385</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1386</v>
      </c>
      <c r="B947" s="27" t="s">
        <v>1013</v>
      </c>
      <c r="C947" s="27" t="s">
        <v>1123</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1108</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1107</v>
      </c>
      <c r="B949" s="27" t="s">
        <v>1053</v>
      </c>
      <c r="C949" s="27" t="s">
        <v>968</v>
      </c>
      <c r="D949" s="27" t="s">
        <v>969</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991</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1046</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993</v>
      </c>
      <c r="B952" s="27" t="s">
        <v>1010</v>
      </c>
      <c r="C952" s="27" t="s">
        <v>968</v>
      </c>
      <c r="D952" s="27" t="s">
        <v>969</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1038</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1387</v>
      </c>
      <c r="B954" s="27" t="s">
        <v>1013</v>
      </c>
      <c r="C954" s="27" t="s">
        <v>979</v>
      </c>
      <c r="D954" s="27" t="s">
        <v>969</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1388</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1005</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1389</v>
      </c>
    </row>
    <row r="959" spans="1:12">
      <c r="A959" s="20" t="s">
        <v>1390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1160</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993</v>
      </c>
      <c r="B961" s="27" t="s">
        <v>967</v>
      </c>
      <c r="C961" s="27" t="s">
        <v>968</v>
      </c>
      <c r="D961" s="27" t="s">
        <v>969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991</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1391</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1392</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991</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996</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993</v>
      </c>
      <c r="B967" s="27" t="s">
        <v>994</v>
      </c>
      <c r="C967" s="27" t="s">
        <v>968</v>
      </c>
      <c r="D967" s="27" t="s">
        <v>969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1051</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1393</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1307</v>
      </c>
      <c r="B970" s="27" t="s">
        <v>1031</v>
      </c>
      <c r="C970" s="27" t="s">
        <v>1018</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1278</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980</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1114</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993</v>
      </c>
      <c r="B974" s="27" t="s">
        <v>997</v>
      </c>
      <c r="C974" s="27" t="s">
        <v>968</v>
      </c>
      <c r="D974" s="27" t="s">
        <v>969</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1394</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1395</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1113</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991</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1047</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1396</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1357</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1151</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976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1313</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1397</v>
      </c>
      <c r="B985" s="27" t="s">
        <v>1398</v>
      </c>
      <c r="C985" s="27" t="s">
        <v>1399</v>
      </c>
      <c r="D985" s="27" t="s">
        <v>969</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991</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1024</v>
      </c>
      <c r="B987" s="27" t="s">
        <v>1294</v>
      </c>
      <c r="C987" s="27" t="s">
        <v>1011</v>
      </c>
      <c r="D987" s="27" t="s">
        <v>969</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1400</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1178</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1005</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row>
    <row r="992" spans="1:12">
      <c r="A992" s="20" t="s">
        <v>1401</v>
      </c>
    </row>
    <row r="993" spans="1:12">
      <c r="A993" s="20" t="s">
        <v>1402</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1403</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1278</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993</v>
      </c>
      <c r="B996" s="27" t="s">
        <v>967</v>
      </c>
      <c r="C996" s="27" t="s">
        <v>968</v>
      </c>
      <c r="D996" s="27" t="s">
        <v>969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1404</v>
      </c>
      <c r="B997" s="27" t="s">
        <v>973</v>
      </c>
      <c r="C997" s="27" t="s">
        <v>974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999</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1405</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1406</v>
      </c>
      <c r="B1000" s="27" t="s">
        <v>978</v>
      </c>
      <c r="C1000" s="27" t="s">
        <v>974</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1005</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row>
    <row r="1003" spans="1:12">
      <c r="A1003" s="20" t="s">
        <v>1407</v>
      </c>
    </row>
    <row r="1004" spans="1:12">
      <c r="A1004" s="20" t="s">
        <v>1144</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1408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1409</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993</v>
      </c>
      <c r="B1007" s="27" t="s">
        <v>967</v>
      </c>
      <c r="C1007" s="27" t="s">
        <v>968</v>
      </c>
      <c r="D1007" s="27" t="s">
        <v>969</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1107</v>
      </c>
      <c r="B1008" s="27" t="s">
        <v>973</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1410</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980</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1411</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1412</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991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1409</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1107</v>
      </c>
      <c r="B1015" s="27" t="s">
        <v>1013</v>
      </c>
      <c r="C1015" s="27" t="s">
        <v>968</v>
      </c>
      <c r="D1015" s="27" t="s">
        <v>969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1410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980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1319</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1413</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993</v>
      </c>
      <c r="B1020" s="27" t="s">
        <v>1010</v>
      </c>
      <c r="C1020" s="27" t="s">
        <v>968</v>
      </c>
      <c r="D1020" s="27" t="s">
        <v>969</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991</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996</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993</v>
      </c>
      <c r="B1023" s="27" t="s">
        <v>994</v>
      </c>
      <c r="C1023" s="27" t="s">
        <v>968</v>
      </c>
      <c r="D1023" s="27" t="s">
        <v>969</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1022</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1414</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975</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1415</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980</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1416</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1406</v>
      </c>
      <c r="B1030" s="27" t="s">
        <v>982</v>
      </c>
      <c r="C1030" s="27" t="s">
        <v>974</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414</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1417</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1005</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row>
    <row r="1035" spans="1:12">
      <c r="A1035" s="20" t="s">
        <v>1060</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1418</v>
      </c>
    </row>
    <row r="1037" spans="1:12">
      <c r="A1037" s="20" t="s">
        <v>966</v>
      </c>
      <c r="B1037" s="27" t="s">
        <v>967</v>
      </c>
      <c r="C1037" s="27" t="s">
        <v>968</v>
      </c>
      <c r="D1037" s="27" t="s">
        <v>969</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1419</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1194</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965</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1420</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1086</v>
      </c>
      <c r="B1042" s="27" t="s">
        <v>1010</v>
      </c>
      <c r="C1042" s="27" t="s">
        <v>968</v>
      </c>
      <c r="D1042" s="27" t="s">
        <v>969</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1051</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1421</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1285</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1051</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1422</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1423</v>
      </c>
      <c r="B1048" s="27" t="s">
        <v>1053</v>
      </c>
      <c r="C1048" s="27" t="s">
        <v>1018</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1373</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row>
    <row r="1051" spans="1:12">
      <c r="A1051" s="20" t="s">
        <v>1060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1424</v>
      </c>
    </row>
    <row r="1053" spans="1:12">
      <c r="A1053" s="20" t="s">
        <v>1007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1200</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1086</v>
      </c>
      <c r="B1055" s="27" t="s">
        <v>967</v>
      </c>
      <c r="C1055" s="27" t="s">
        <v>968</v>
      </c>
      <c r="D1055" s="27" t="s">
        <v>969</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1022</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1425</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1285</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1022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1426</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1427</v>
      </c>
      <c r="B1061" s="27" t="s">
        <v>1053</v>
      </c>
      <c r="C1061" s="27" t="s">
        <v>974</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1428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462</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1373</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965</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row>
    <row r="1067" spans="1:12">
      <c r="A1067" s="20" t="s">
        <v>1429</v>
      </c>
    </row>
    <row r="1068" spans="1:12">
      <c r="A1068" s="20" t="s">
        <v>966</v>
      </c>
      <c r="B1068" s="27" t="s">
        <v>967</v>
      </c>
      <c r="C1068" s="27" t="s">
        <v>968</v>
      </c>
      <c r="D1068" s="27" t="s">
        <v>969</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1085</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985</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172</v>
      </c>
      <c r="B1071" s="27" t="s">
        <v>1053</v>
      </c>
      <c r="C1071" s="27" t="s">
        <v>979</v>
      </c>
      <c r="D1071" s="27" t="s">
        <v>969</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991</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1430</v>
      </c>
      <c r="B1073" s="27" t="s">
        <v>1010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1381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1086</v>
      </c>
      <c r="B1075" s="27" t="s">
        <v>1010</v>
      </c>
      <c r="C1075" s="27" t="s">
        <v>968</v>
      </c>
      <c r="D1075" s="27" t="s">
        <v>969</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1178</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991</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1021</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350</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1005</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row>
    <row r="1082" spans="1:12">
      <c r="A1082" s="20" t="s">
        <v>1431</v>
      </c>
    </row>
    <row r="1083" spans="1:12">
      <c r="A1083" s="20" t="s">
        <v>1007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1041</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1413</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993</v>
      </c>
      <c r="B1086" s="27" t="s">
        <v>967</v>
      </c>
      <c r="C1086" s="27" t="s">
        <v>968</v>
      </c>
      <c r="D1086" s="27" t="s">
        <v>969</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1319</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991</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996</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1432</v>
      </c>
      <c r="B1090" s="27" t="s">
        <v>1010</v>
      </c>
      <c r="C1090" s="27" t="s">
        <v>1011</v>
      </c>
      <c r="D1090" s="27" t="s">
        <v>969</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975</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1433</v>
      </c>
      <c r="B1092" s="27" t="s">
        <v>982</v>
      </c>
      <c r="C1092" s="27" t="s">
        <v>1011</v>
      </c>
      <c r="D1092" s="27" t="s">
        <v>969</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1434</v>
      </c>
      <c r="B1093" s="27" t="s">
        <v>978</v>
      </c>
      <c r="C1093" s="27" t="s">
        <v>1123</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1435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1436</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1195</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991</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1437</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985</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1438</v>
      </c>
      <c r="B1100" s="27" t="s">
        <v>1031</v>
      </c>
      <c r="C1100" s="27" t="s">
        <v>979</v>
      </c>
      <c r="D1100" s="27" t="s">
        <v>969</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1439</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999</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514</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1005</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row>
    <row r="1106" spans="1:12">
      <c r="A1106" s="20" t="s">
        <v>1440</v>
      </c>
    </row>
    <row r="1107" spans="1:12">
      <c r="A1107" s="20" t="s">
        <v>1093</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1425</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980</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1441</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1406</v>
      </c>
      <c r="B1111" s="27" t="s">
        <v>967</v>
      </c>
      <c r="C1111" s="27" t="s">
        <v>979</v>
      </c>
      <c r="D1111" s="27" t="s">
        <v>969</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104</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1442</v>
      </c>
      <c r="B1113" s="27" t="s">
        <v>1010</v>
      </c>
      <c r="C1113" s="27" t="s">
        <v>1001</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1016</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1443</v>
      </c>
      <c r="B1115" s="27" t="s">
        <v>973</v>
      </c>
      <c r="C1115" s="27" t="s">
        <v>1444</v>
      </c>
      <c r="D1115" s="27" t="s">
        <v>969</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991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980</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993</v>
      </c>
      <c r="B1118" s="27" t="s">
        <v>1010</v>
      </c>
      <c r="C1118" s="27" t="s">
        <v>968</v>
      </c>
      <c r="D1118" s="27" t="s">
        <v>969</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1413</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1365</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991</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996</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1078</v>
      </c>
      <c r="B1123" s="27" t="s">
        <v>994</v>
      </c>
      <c r="C1123" s="27" t="s">
        <v>974</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1357</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1195</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991</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1024</v>
      </c>
      <c r="B1127" s="27" t="s">
        <v>997</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1445</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1446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975</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1447</v>
      </c>
      <c r="B1131" s="27" t="s">
        <v>1003</v>
      </c>
      <c r="C1131" s="27" t="s">
        <v>1011</v>
      </c>
      <c r="D1131" s="27" t="s">
        <v>969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1448</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1097</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991</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996</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1220</v>
      </c>
      <c r="B1136" s="27" t="s">
        <v>997</v>
      </c>
      <c r="C1136" s="27" t="s">
        <v>1001</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1009</v>
      </c>
      <c r="B1137" s="27" t="s">
        <v>1198</v>
      </c>
      <c r="C1137" s="27" t="s">
        <v>1011</v>
      </c>
      <c r="D1137" s="27" t="s">
        <v>969</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1021</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1095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1449</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1450</v>
      </c>
      <c r="B1141" s="27" t="s">
        <v>1003</v>
      </c>
      <c r="C1141" s="27" t="s">
        <v>1035</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980</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1451</v>
      </c>
      <c r="B1143" s="27" t="s">
        <v>1398</v>
      </c>
      <c r="C1143" s="27" t="s">
        <v>988</v>
      </c>
      <c r="D1143" s="27" t="s">
        <v>969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1452</v>
      </c>
      <c r="B1144" s="27" t="s">
        <v>1000</v>
      </c>
      <c r="C1144" s="27" t="s">
        <v>974</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1453</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1454</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1005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row>
    <row r="1149" spans="1:12">
      <c r="A1149" s="20" t="s">
        <v>1455</v>
      </c>
    </row>
    <row r="1150" spans="1:12">
      <c r="A1150" s="20" t="s">
        <v>1456</v>
      </c>
      <c r="B1150" s="27" t="s">
        <v>967</v>
      </c>
      <c r="C1150" s="27" t="s">
        <v>1011</v>
      </c>
      <c r="D1150" s="27" t="s">
        <v>969</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183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1457</v>
      </c>
      <c r="B1152" s="27" t="s">
        <v>1010</v>
      </c>
      <c r="C1152" s="27" t="s">
        <v>974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1108</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1078</v>
      </c>
      <c r="B1154" s="27" t="s">
        <v>982</v>
      </c>
      <c r="C1154" s="27" t="s">
        <v>974</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1195</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1458</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1005</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row>
    <row r="1159" spans="1:12">
      <c r="A1159" s="20" t="s">
        <v>1459</v>
      </c>
    </row>
    <row r="1160" spans="1:12">
      <c r="A1160" s="20" t="s">
        <v>1268</v>
      </c>
      <c r="B1160" s="27" t="s">
        <v>967</v>
      </c>
      <c r="C1160" s="27" t="s">
        <v>968</v>
      </c>
      <c r="D1160" s="27" t="s">
        <v>969</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1195</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1021</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1460</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1461</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1005</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row>
    <row r="1167" spans="1:12">
      <c r="A1167" s="20" t="s">
        <v>1462</v>
      </c>
    </row>
    <row r="1168" spans="1:12">
      <c r="A1168" s="20" t="s">
        <v>1268</v>
      </c>
      <c r="B1168" s="27" t="s">
        <v>967</v>
      </c>
      <c r="C1168" s="27" t="s">
        <v>968</v>
      </c>
      <c r="D1168" s="27" t="s">
        <v>969</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1195</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1463</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1464</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1005</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row>
    <row r="1174" spans="1:12">
      <c r="A1174" s="20" t="s">
        <v>1465</v>
      </c>
    </row>
    <row r="1175" spans="1:12">
      <c r="A1175" s="20" t="s">
        <v>1268</v>
      </c>
      <c r="B1175" s="27" t="s">
        <v>967</v>
      </c>
      <c r="C1175" s="27" t="s">
        <v>968</v>
      </c>
      <c r="D1175" s="27" t="s">
        <v>969</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104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1466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1467</v>
      </c>
      <c r="B1178" s="27" t="s">
        <v>973</v>
      </c>
      <c r="C1178" s="27" t="s">
        <v>974</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1005</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row>
    <row r="1181" spans="1:12">
      <c r="A1181" s="20" t="s">
        <v>1468</v>
      </c>
    </row>
    <row r="1182" spans="1:12">
      <c r="A1182" s="20" t="s">
        <v>1268</v>
      </c>
      <c r="B1182" s="27" t="s">
        <v>967</v>
      </c>
      <c r="C1182" s="27" t="s">
        <v>968</v>
      </c>
      <c r="D1182" s="27" t="s">
        <v>969</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1195</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1051</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1469</v>
      </c>
      <c r="B1185" s="27" t="s">
        <v>1053</v>
      </c>
      <c r="C1185" s="27" t="s">
        <v>1018</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1005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row>
    <row r="1188" spans="1:12">
      <c r="A1188" s="20" t="s">
        <v>1470</v>
      </c>
    </row>
    <row r="1189" spans="1:12">
      <c r="A1189" s="20" t="s">
        <v>1144</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993</v>
      </c>
      <c r="B1190" s="27" t="s">
        <v>967</v>
      </c>
      <c r="C1190" s="27" t="s">
        <v>968</v>
      </c>
      <c r="D1190" s="27" t="s">
        <v>969</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1369</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1445</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1471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991</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996</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993</v>
      </c>
      <c r="B1196" s="27" t="s">
        <v>1010</v>
      </c>
      <c r="C1196" s="27" t="s">
        <v>968</v>
      </c>
      <c r="D1196" s="27" t="s">
        <v>969</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999</v>
      </c>
      <c r="B1197" s="27" t="s">
        <v>982</v>
      </c>
      <c r="C1197" s="27" t="s">
        <v>1001</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1043</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1472</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1473</v>
      </c>
      <c r="B1200" s="27" t="s">
        <v>978</v>
      </c>
      <c r="C1200" s="27" t="s">
        <v>979</v>
      </c>
      <c r="D1200" s="27" t="s">
        <v>969</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1474</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980</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1021</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1475</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197</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1133</v>
      </c>
      <c r="B1206" s="27" t="s">
        <v>978</v>
      </c>
      <c r="C1206" s="27" t="s">
        <v>1123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991</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1046</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1476</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1477</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1157</v>
      </c>
      <c r="B1211" s="27" t="s">
        <v>1198</v>
      </c>
      <c r="C1211" s="27" t="s">
        <v>1011</v>
      </c>
      <c r="D1211" s="27" t="s">
        <v>969</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1478</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462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1085</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1005</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row>
    <row r="1217" spans="1:12">
      <c r="A1217" s="20" t="s">
        <v>1479</v>
      </c>
    </row>
    <row r="1218" spans="1:12">
      <c r="A1218" s="20" t="s">
        <v>966</v>
      </c>
      <c r="B1218" s="27" t="s">
        <v>967</v>
      </c>
      <c r="C1218" s="27" t="s">
        <v>968</v>
      </c>
      <c r="D1218" s="27" t="s">
        <v>969</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1480</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991</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996</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975</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197</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1133</v>
      </c>
      <c r="B1224" s="27" t="s">
        <v>978</v>
      </c>
      <c r="C1224" s="27" t="s">
        <v>1123</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985</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1111</v>
      </c>
      <c r="B1226" s="27" t="s">
        <v>1013</v>
      </c>
      <c r="C1226" s="27" t="s">
        <v>979</v>
      </c>
      <c r="D1226" s="27" t="s">
        <v>969</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1095</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1191</v>
      </c>
      <c r="B1228" s="27" t="s">
        <v>982</v>
      </c>
      <c r="C1228" s="27" t="s">
        <v>988</v>
      </c>
      <c r="D1228" s="27" t="s">
        <v>969</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1481</v>
      </c>
      <c r="B1229" s="27" t="s">
        <v>978</v>
      </c>
      <c r="C1229" s="27" t="s">
        <v>974</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21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980</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1482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37</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462</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991</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996</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1483</v>
      </c>
      <c r="B1237" s="27" t="s">
        <v>994</v>
      </c>
      <c r="C1237" s="27" t="s">
        <v>1001</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1445</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1016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1484</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1485</v>
      </c>
      <c r="B1241" s="27" t="s">
        <v>1031</v>
      </c>
      <c r="C1241" s="27" t="s">
        <v>1018</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1486</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1005</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row>
    <row r="1245" spans="1:12">
      <c r="A1245" s="20" t="s">
        <v>1487</v>
      </c>
    </row>
    <row r="1246" spans="1:12">
      <c r="A1246" s="20" t="s">
        <v>1078</v>
      </c>
      <c r="B1246" s="27" t="s">
        <v>967</v>
      </c>
      <c r="C1246" s="27" t="s">
        <v>974</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1195</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1024</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1488</v>
      </c>
      <c r="B1249" s="27" t="s">
        <v>1053</v>
      </c>
      <c r="C1249" s="27" t="s">
        <v>979</v>
      </c>
      <c r="D1249" s="27" t="s">
        <v>969</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1043</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1489</v>
      </c>
      <c r="B1251" s="27" t="s">
        <v>1053</v>
      </c>
      <c r="C1251" s="27" t="s">
        <v>979</v>
      </c>
      <c r="D1251" s="27" t="s">
        <v>969</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1005</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row>
    <row r="1254" spans="1:12">
      <c r="A1254" s="20" t="s">
        <v>1060</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1490</v>
      </c>
    </row>
    <row r="1256" spans="1:12">
      <c r="A1256" s="20" t="s">
        <v>1491</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1220</v>
      </c>
      <c r="B1257" s="27" t="s">
        <v>967</v>
      </c>
      <c r="C1257" s="27" t="s">
        <v>1001</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1037</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1492</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1493</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980</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1113</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241</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1194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965</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1182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1033</v>
      </c>
      <c r="B1267" s="27" t="s">
        <v>1003</v>
      </c>
      <c r="C1267" s="27" t="s">
        <v>988</v>
      </c>
      <c r="D1267" s="27" t="s">
        <v>969</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669</v>
      </c>
      <c r="B1268" s="27" t="s">
        <v>994</v>
      </c>
      <c r="C1268" s="27" t="s">
        <v>974</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1494</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991</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1495</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993</v>
      </c>
      <c r="B1272" s="27" t="s">
        <v>1010</v>
      </c>
      <c r="C1272" s="27" t="s">
        <v>968</v>
      </c>
      <c r="D1272" s="27" t="s">
        <v>969</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1016</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1073</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965</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991</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1047</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1086</v>
      </c>
      <c r="B1278" s="27" t="s">
        <v>994</v>
      </c>
      <c r="C1278" s="27" t="s">
        <v>968</v>
      </c>
      <c r="D1278" s="27" t="s">
        <v>969</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1021</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985</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1489</v>
      </c>
      <c r="B1281" s="27" t="s">
        <v>1013</v>
      </c>
      <c r="C1281" s="27" t="s">
        <v>1399</v>
      </c>
      <c r="D1281" s="27" t="s">
        <v>969</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991</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1214</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1432</v>
      </c>
      <c r="B1284" s="27" t="s">
        <v>997</v>
      </c>
      <c r="C1284" s="27" t="s">
        <v>1011</v>
      </c>
      <c r="D1284" s="27" t="s">
        <v>969</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1009</v>
      </c>
      <c r="B1285" s="27" t="s">
        <v>1198</v>
      </c>
      <c r="C1285" s="27" t="s">
        <v>1011</v>
      </c>
      <c r="D1285" s="27" t="s">
        <v>969</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29</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1005</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row>
    <row r="1289" spans="1:12">
      <c r="A1289" s="20" t="s">
        <v>1496</v>
      </c>
    </row>
    <row r="1290" spans="1:12">
      <c r="A1290" s="20" t="s">
        <v>1251</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1497</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1237</v>
      </c>
      <c r="B1292" s="27" t="s">
        <v>978</v>
      </c>
      <c r="C1292" s="27" t="s">
        <v>1011</v>
      </c>
      <c r="D1292" s="27" t="s">
        <v>969</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1489</v>
      </c>
      <c r="B1293" s="27" t="s">
        <v>967</v>
      </c>
      <c r="C1293" s="27" t="s">
        <v>1123</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991</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1300</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1024</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1498</v>
      </c>
      <c r="B1297" s="27" t="s">
        <v>978</v>
      </c>
      <c r="C1297" s="27" t="s">
        <v>979</v>
      </c>
      <c r="D1297" s="27" t="s">
        <v>969</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1095</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1499</v>
      </c>
      <c r="B1299" s="27" t="s">
        <v>982</v>
      </c>
      <c r="C1299" s="27" t="s">
        <v>974</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991</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980</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1280</v>
      </c>
      <c r="B1302" s="27" t="s">
        <v>982</v>
      </c>
      <c r="C1302" s="27" t="s">
        <v>1102</v>
      </c>
      <c r="D1302" s="27" t="s">
        <v>969</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1500</v>
      </c>
      <c r="B1303" s="27" t="s">
        <v>1010</v>
      </c>
      <c r="C1303" s="27" t="s">
        <v>1141</v>
      </c>
      <c r="D1303" s="27" t="s">
        <v>969</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1043</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1501</v>
      </c>
      <c r="B1305" s="27" t="s">
        <v>982</v>
      </c>
      <c r="C1305" s="27" t="s">
        <v>979</v>
      </c>
      <c r="D1305" s="27" t="s">
        <v>969</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1454</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1043</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1502</v>
      </c>
      <c r="B1308" s="27" t="s">
        <v>1053</v>
      </c>
      <c r="C1308" s="27" t="s">
        <v>979</v>
      </c>
      <c r="D1308" s="27" t="s">
        <v>969</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1108</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1503</v>
      </c>
      <c r="B1310" s="27" t="s">
        <v>978</v>
      </c>
      <c r="C1310" s="27" t="s">
        <v>974</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37</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1005</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row>
    <row r="1314" spans="1:12">
      <c r="A1314" s="20" t="s">
        <v>1504</v>
      </c>
    </row>
    <row r="1315" spans="1:12">
      <c r="A1315" s="20" t="s">
        <v>1251</v>
      </c>
      <c r="B1315" s="27" t="s">
        <v>967</v>
      </c>
      <c r="C1315" s="27" t="s">
        <v>968</v>
      </c>
      <c r="D1315" s="27" t="s">
        <v>969</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1497</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1146</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1438</v>
      </c>
      <c r="B1318" s="27" t="s">
        <v>973</v>
      </c>
      <c r="C1318" s="27" t="s">
        <v>1123</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991</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985</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1111</v>
      </c>
      <c r="B1321" s="27" t="s">
        <v>994</v>
      </c>
      <c r="C1321" s="27" t="s">
        <v>979</v>
      </c>
      <c r="D1321" s="27" t="s">
        <v>969</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1505</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1506</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1194</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1078</v>
      </c>
      <c r="B1325" s="27" t="s">
        <v>1053</v>
      </c>
      <c r="C1325" s="27" t="s">
        <v>974</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991</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1507</v>
      </c>
      <c r="B1327" s="27" t="s">
        <v>978</v>
      </c>
      <c r="C1327" s="27" t="s">
        <v>974</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980</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1508</v>
      </c>
      <c r="B1329" s="27" t="s">
        <v>978</v>
      </c>
      <c r="C1329" s="27" t="s">
        <v>974</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1005</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row>
    <row r="1332" spans="1:12">
      <c r="A1332" s="20" t="s">
        <v>1509</v>
      </c>
    </row>
    <row r="1333" spans="1:12">
      <c r="A1333" s="20" t="s">
        <v>1507</v>
      </c>
      <c r="B1333" s="27" t="s">
        <v>967</v>
      </c>
      <c r="C1333" s="27" t="s">
        <v>974</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1097</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1510</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1511</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1005</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row>
    <row r="1339" spans="1:12">
      <c r="A1339" s="20" t="s">
        <v>1512</v>
      </c>
    </row>
    <row r="1340" spans="1:12">
      <c r="A1340" s="20" t="s">
        <v>1182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1268</v>
      </c>
      <c r="B1341" s="27" t="s">
        <v>1010</v>
      </c>
      <c r="C1341" s="27" t="s">
        <v>968</v>
      </c>
      <c r="D1341" s="27" t="s">
        <v>969</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1110</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1499</v>
      </c>
      <c r="B1343" s="27" t="s">
        <v>1013</v>
      </c>
      <c r="C1343" s="27" t="s">
        <v>1018</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45</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980</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1213</v>
      </c>
      <c r="B1346" s="27" t="s">
        <v>1031</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1513</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1514</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13</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991</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980</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1041</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991</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32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1296</v>
      </c>
      <c r="B1355" s="27" t="s">
        <v>1003</v>
      </c>
      <c r="C1355" s="27" t="s">
        <v>1123</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1148</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991</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1195</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1268</v>
      </c>
      <c r="B1359" s="27" t="s">
        <v>994</v>
      </c>
      <c r="C1359" s="27" t="s">
        <v>968</v>
      </c>
      <c r="D1359" s="27" t="s">
        <v>969</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1067</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1515</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1516</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1517</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991</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1240</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1268</v>
      </c>
      <c r="B1366" s="27" t="s">
        <v>994</v>
      </c>
      <c r="C1366" s="27" t="s">
        <v>968</v>
      </c>
      <c r="D1366" s="27" t="s">
        <v>969</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1518</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1051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1519</v>
      </c>
      <c r="B1369" s="27" t="s">
        <v>997</v>
      </c>
      <c r="C1369" s="27" t="s">
        <v>1001</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1520</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991</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1097</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1086</v>
      </c>
      <c r="B1373" s="27" t="s">
        <v>967</v>
      </c>
      <c r="C1373" s="27" t="s">
        <v>968</v>
      </c>
      <c r="D1373" s="27" t="s">
        <v>969</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614</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1507</v>
      </c>
      <c r="B1375" s="27" t="s">
        <v>1053</v>
      </c>
      <c r="C1375" s="27" t="s">
        <v>974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991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980</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1086</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1218</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1213</v>
      </c>
      <c r="B1380" s="27" t="s">
        <v>1013</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614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1521</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975</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1522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1523</v>
      </c>
      <c r="B1385" s="27" t="s">
        <v>978</v>
      </c>
      <c r="C1385" s="27" t="s">
        <v>974</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1095</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1524</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1525</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1005</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row>
    <row r="1391" spans="1:12">
      <c r="A1391" s="20" t="s">
        <v>1526</v>
      </c>
    </row>
    <row r="1392" spans="1:12">
      <c r="A1392" s="20" t="s">
        <v>1182</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1268</v>
      </c>
      <c r="B1393" s="27" t="s">
        <v>1010</v>
      </c>
      <c r="C1393" s="27" t="s">
        <v>968</v>
      </c>
      <c r="D1393" s="27" t="s">
        <v>969</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1110</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1527</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1499</v>
      </c>
      <c r="B1396" s="27" t="s">
        <v>1013</v>
      </c>
      <c r="C1396" s="27" t="s">
        <v>1018</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45</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980</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1213</v>
      </c>
      <c r="B1399" s="27" t="s">
        <v>1031</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1528</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13</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991</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980</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1131</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32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1261</v>
      </c>
      <c r="B1406" s="27" t="s">
        <v>1003</v>
      </c>
      <c r="C1406" s="27" t="s">
        <v>1123</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1529</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1518</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1530</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991</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1041</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1195</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1086</v>
      </c>
      <c r="B1413" s="27" t="s">
        <v>967</v>
      </c>
      <c r="C1413" s="27" t="s">
        <v>968</v>
      </c>
      <c r="D1413" s="27" t="s">
        <v>969</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1320</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1078</v>
      </c>
      <c r="B1415" s="27" t="s">
        <v>1053</v>
      </c>
      <c r="C1415" s="27" t="s">
        <v>974</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991</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985</v>
      </c>
      <c r="B1417" s="27" t="s">
        <v>1010</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1095</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1038</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1527</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1531</v>
      </c>
      <c r="B1421" s="27" t="s">
        <v>978</v>
      </c>
      <c r="C1421" s="27" t="s">
        <v>979</v>
      </c>
      <c r="D1421" s="27" t="s">
        <v>969</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1532</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1533</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1005</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row>
    <row r="1426" spans="1:12">
      <c r="A1426" s="20" t="s">
        <v>1534</v>
      </c>
    </row>
    <row r="1427" spans="1:12">
      <c r="A1427" s="20" t="s">
        <v>1535</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1536</v>
      </c>
      <c r="B1428" s="27" t="s">
        <v>967</v>
      </c>
      <c r="C1428" s="27" t="s">
        <v>979</v>
      </c>
      <c r="D1428" s="27" t="s">
        <v>969</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1537</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1447</v>
      </c>
      <c r="B1430" s="27" t="s">
        <v>973</v>
      </c>
      <c r="C1430" s="27" t="s">
        <v>1011</v>
      </c>
      <c r="D1430" s="27" t="s">
        <v>969</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1016</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1538</v>
      </c>
      <c r="B1432" s="27" t="s">
        <v>973</v>
      </c>
      <c r="C1432" s="27" t="s">
        <v>1018</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1005</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row>
    <row r="1435" spans="1:12">
      <c r="A1435" s="20" t="s">
        <v>1539</v>
      </c>
    </row>
    <row r="1436" spans="1:12">
      <c r="A1436" s="20" t="s">
        <v>1093</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1111</v>
      </c>
      <c r="B1437" s="27" t="s">
        <v>967</v>
      </c>
      <c r="C1437" s="27" t="s">
        <v>979</v>
      </c>
      <c r="D1437" s="27" t="s">
        <v>969</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241</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991</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1078</v>
      </c>
      <c r="B1440" s="27" t="s">
        <v>1010</v>
      </c>
      <c r="C1440" s="27" t="s">
        <v>974</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1540</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1305</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1508</v>
      </c>
      <c r="B1443" s="27" t="s">
        <v>973</v>
      </c>
      <c r="C1443" s="27" t="s">
        <v>974</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1005</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row>
    <row r="1446" spans="1:12">
      <c r="A1446" s="20" t="s">
        <v>1541</v>
      </c>
    </row>
    <row r="1447" spans="1:12">
      <c r="A1447" s="20" t="s">
        <v>1251</v>
      </c>
      <c r="B1447" s="27" t="s">
        <v>967</v>
      </c>
      <c r="C1447" s="27" t="s">
        <v>968</v>
      </c>
      <c r="D1447" s="27" t="s">
        <v>969</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1097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1179</v>
      </c>
      <c r="B1449" s="27" t="s">
        <v>967</v>
      </c>
      <c r="C1449" s="27" t="s">
        <v>1001</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999</v>
      </c>
      <c r="B1450" s="27" t="s">
        <v>1053</v>
      </c>
      <c r="C1450" s="27" t="s">
        <v>1001</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1179</v>
      </c>
      <c r="B1451" s="27" t="s">
        <v>1053</v>
      </c>
      <c r="C1451" s="27" t="s">
        <v>1001</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1508</v>
      </c>
      <c r="B1452" s="27" t="s">
        <v>1053</v>
      </c>
      <c r="C1452" s="27" t="s">
        <v>1123</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991</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1179</v>
      </c>
      <c r="B1454" s="27" t="s">
        <v>1053</v>
      </c>
      <c r="C1454" s="27" t="s">
        <v>1001</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999</v>
      </c>
      <c r="B1455" s="27" t="s">
        <v>982</v>
      </c>
      <c r="C1455" s="27" t="s">
        <v>1001</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1179</v>
      </c>
      <c r="B1456" s="27" t="s">
        <v>982</v>
      </c>
      <c r="C1456" s="27" t="s">
        <v>1001</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1507</v>
      </c>
      <c r="B1457" s="27" t="s">
        <v>978</v>
      </c>
      <c r="C1457" s="27" t="s">
        <v>1123</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1172</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1382</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1179</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999</v>
      </c>
      <c r="B1461" s="27" t="s">
        <v>1003</v>
      </c>
      <c r="C1461" s="27" t="s">
        <v>1001</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1542</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1309</v>
      </c>
      <c r="B1463" s="27" t="s">
        <v>982</v>
      </c>
      <c r="C1463" s="27" t="s">
        <v>1018</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1005</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row>
    <row r="1466" spans="1:12">
      <c r="A1466" s="20" t="s">
        <v>1543</v>
      </c>
    </row>
    <row r="1467" spans="1:12">
      <c r="A1467" s="20" t="s">
        <v>966</v>
      </c>
      <c r="B1467" s="27" t="s">
        <v>967</v>
      </c>
      <c r="C1467" s="27" t="s">
        <v>968</v>
      </c>
      <c r="D1467" s="27" t="s">
        <v>969</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1544</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1107</v>
      </c>
      <c r="B1469" s="27" t="s">
        <v>973</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1545</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991</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1078</v>
      </c>
      <c r="B1472" s="27" t="s">
        <v>1013</v>
      </c>
      <c r="C1472" s="27" t="s">
        <v>974</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999</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176</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980</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1111</v>
      </c>
      <c r="B1476" s="27" t="s">
        <v>1010</v>
      </c>
      <c r="C1476" s="27" t="s">
        <v>974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999</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1546</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991</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985</v>
      </c>
      <c r="B1480" s="27" t="s">
        <v>1010</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1024</v>
      </c>
      <c r="B1481" s="27" t="s">
        <v>1013</v>
      </c>
      <c r="C1481" s="27" t="s">
        <v>1102</v>
      </c>
      <c r="D1481" s="27" t="s">
        <v>969</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1226</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1547</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1005</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row>
    <row r="1486" spans="1:12">
      <c r="A1486" s="20" t="s">
        <v>1548</v>
      </c>
    </row>
    <row r="1487" spans="1:12">
      <c r="A1487" s="20" t="s">
        <v>966</v>
      </c>
      <c r="B1487" s="27" t="s">
        <v>967</v>
      </c>
      <c r="C1487" s="27" t="s">
        <v>968</v>
      </c>
      <c r="D1487" s="27" t="s">
        <v>969</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1549</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991</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996</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1086</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1111</v>
      </c>
      <c r="B1492" s="27" t="s">
        <v>1010</v>
      </c>
      <c r="C1492" s="27" t="s">
        <v>974</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1497</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991</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985</v>
      </c>
      <c r="B1495" s="27" t="s">
        <v>997</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991</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1550</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1551</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991</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1552</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1553</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1078</v>
      </c>
      <c r="B1502" s="27" t="s">
        <v>1013</v>
      </c>
      <c r="C1502" s="27" t="s">
        <v>974</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104</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991</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985</v>
      </c>
      <c r="B1505" s="27" t="s">
        <v>1010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1240</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1381</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1241</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1554</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1555</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1195</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1005</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row>
    <row r="1514" spans="1:12">
      <c r="A1514" s="20" t="s">
        <v>1556</v>
      </c>
    </row>
    <row r="1515" spans="1:12">
      <c r="A1515" s="20" t="s">
        <v>1007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1086</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1497</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1073</v>
      </c>
      <c r="B1518" s="27" t="s">
        <v>978</v>
      </c>
      <c r="C1518" s="27" t="s">
        <v>1011</v>
      </c>
      <c r="D1518" s="27" t="s">
        <v>969</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1111</v>
      </c>
      <c r="B1519" s="27" t="s">
        <v>967</v>
      </c>
      <c r="C1519" s="27" t="s">
        <v>974</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991</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985</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991</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1445</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1214</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1086</v>
      </c>
      <c r="B1525" s="27" t="s">
        <v>1010</v>
      </c>
      <c r="C1525" s="27" t="s">
        <v>968</v>
      </c>
      <c r="D1525" s="27" t="s">
        <v>969</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1557</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991</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1558</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1559</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1078</v>
      </c>
      <c r="B1530" s="27" t="s">
        <v>1031</v>
      </c>
      <c r="C1530" s="27" t="s">
        <v>974</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104</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991</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980</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1241</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1560</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1242</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1561</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1562</v>
      </c>
      <c r="B1538" s="27" t="s">
        <v>1003</v>
      </c>
      <c r="C1538" s="27" t="s">
        <v>1035</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1051</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1393</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1307</v>
      </c>
      <c r="B1541" s="27" t="s">
        <v>1198</v>
      </c>
      <c r="C1541" s="27" t="s">
        <v>1018</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1547</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1005</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row>
    <row r="1545" spans="1:12">
      <c r="A1545" s="20" t="s">
        <v>1563</v>
      </c>
    </row>
    <row r="1546" spans="1:12">
      <c r="A1546" s="20" t="s">
        <v>966</v>
      </c>
      <c r="B1546" s="27" t="s">
        <v>967</v>
      </c>
      <c r="C1546" s="27" t="s">
        <v>968</v>
      </c>
      <c r="D1546" s="27" t="s">
        <v>969</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1564</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1565</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1566</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991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1161</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1567</v>
      </c>
      <c r="B1552" s="27" t="s">
        <v>1003</v>
      </c>
      <c r="C1552" s="27" t="s">
        <v>1001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1111</v>
      </c>
      <c r="B1553" s="27" t="s">
        <v>994</v>
      </c>
      <c r="C1553" s="27" t="s">
        <v>1123</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1568</v>
      </c>
      <c r="B1554" s="27" t="s">
        <v>1010</v>
      </c>
      <c r="C1554" s="27" t="s">
        <v>1011</v>
      </c>
      <c r="D1554" s="27" t="s">
        <v>969</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1195</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1046</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1073</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1005</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row>
    <row r="1560" spans="1:12">
      <c r="A1560" s="20" t="s">
        <v>1569</v>
      </c>
    </row>
    <row r="1561" spans="1:12">
      <c r="A1561" s="20" t="s">
        <v>1570</v>
      </c>
      <c r="B1561" s="27" t="s">
        <v>967</v>
      </c>
      <c r="C1561" s="27" t="s">
        <v>1011</v>
      </c>
      <c r="D1561" s="27" t="s">
        <v>969</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1195</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985</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1571</v>
      </c>
      <c r="B1564" s="27" t="s">
        <v>1053</v>
      </c>
      <c r="C1564" s="27" t="s">
        <v>979</v>
      </c>
      <c r="D1564" s="27" t="s">
        <v>969</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991</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985</v>
      </c>
      <c r="B1566" s="27" t="s">
        <v>1010</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1086</v>
      </c>
      <c r="B1567" s="27" t="s">
        <v>1013</v>
      </c>
      <c r="C1567" s="27" t="s">
        <v>968</v>
      </c>
      <c r="D1567" s="27" t="s">
        <v>969</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1111</v>
      </c>
      <c r="B1568" s="27" t="s">
        <v>1013</v>
      </c>
      <c r="C1568" s="27" t="s">
        <v>974</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1572</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991</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999</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1112</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1373</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row>
    <row r="1575" spans="1:12">
      <c r="A1575" s="20" t="s">
        <v>1573</v>
      </c>
    </row>
    <row r="1576" spans="1:12">
      <c r="A1576" s="20" t="s">
        <v>966</v>
      </c>
      <c r="B1576" s="27" t="s">
        <v>967</v>
      </c>
      <c r="C1576" s="27" t="s">
        <v>968</v>
      </c>
      <c r="D1576" s="27" t="s">
        <v>969</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1574</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1565</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1575</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980</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1576</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1110</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1151</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1078</v>
      </c>
      <c r="B1584" s="27" t="s">
        <v>1003</v>
      </c>
      <c r="C1584" s="27" t="s">
        <v>974</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1577</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1111</v>
      </c>
      <c r="B1586" s="27" t="s">
        <v>1013</v>
      </c>
      <c r="C1586" s="27" t="s">
        <v>1018</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1131</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976</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1313</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1005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row>
    <row r="1592" spans="1:12">
      <c r="A1592" s="20" t="s">
        <v>1578</v>
      </c>
    </row>
    <row r="1593" spans="1:12">
      <c r="A1593" s="20" t="s">
        <v>1579</v>
      </c>
      <c r="B1593" s="27" t="s">
        <v>967</v>
      </c>
      <c r="C1593" s="27" t="s">
        <v>1001</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1043</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1580</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1111</v>
      </c>
      <c r="B1596" s="27" t="s">
        <v>978</v>
      </c>
      <c r="C1596" s="27" t="s">
        <v>979</v>
      </c>
      <c r="D1596" s="27" t="s">
        <v>969</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991</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985</v>
      </c>
      <c r="B1598" s="27" t="s">
        <v>1198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993</v>
      </c>
      <c r="B1599" s="27" t="s">
        <v>997</v>
      </c>
      <c r="C1599" s="27" t="s">
        <v>968</v>
      </c>
      <c r="D1599" s="27" t="s">
        <v>969</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1576</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991</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1581</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1078</v>
      </c>
      <c r="B1603" s="27" t="s">
        <v>973</v>
      </c>
      <c r="C1603" s="27" t="s">
        <v>974</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1046</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1016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1073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1252</v>
      </c>
      <c r="B1607" s="27" t="s">
        <v>1053</v>
      </c>
      <c r="C1607" s="27" t="s">
        <v>1018</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1582</v>
      </c>
      <c r="B1608" s="27" t="s">
        <v>978</v>
      </c>
      <c r="C1608" s="27" t="s">
        <v>974</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991</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980</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1086</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1178</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1583</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991</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996</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993</v>
      </c>
      <c r="B1616" s="27" t="s">
        <v>1010</v>
      </c>
      <c r="C1616" s="27" t="s">
        <v>968</v>
      </c>
      <c r="D1616" s="27" t="s">
        <v>969</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1024</v>
      </c>
      <c r="B1617" s="27" t="s">
        <v>1013</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1445</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1584</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1020</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991</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1585</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1086</v>
      </c>
      <c r="B1623" s="27" t="s">
        <v>994</v>
      </c>
      <c r="C1623" s="27" t="s">
        <v>968</v>
      </c>
      <c r="D1623" s="27" t="s">
        <v>969</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1586</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1107</v>
      </c>
      <c r="B1625" s="27" t="s">
        <v>1031</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1545</v>
      </c>
      <c r="B1626" s="27" t="s">
        <v>994</v>
      </c>
      <c r="C1626" s="27" t="s">
        <v>1234</v>
      </c>
      <c r="D1626" s="27" t="s">
        <v>969</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991</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996</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1139</v>
      </c>
      <c r="B1629" s="27" t="s">
        <v>1398</v>
      </c>
      <c r="C1629" s="27" t="s">
        <v>1102</v>
      </c>
      <c r="D1629" s="27" t="s">
        <v>969</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1252</v>
      </c>
      <c r="B1630" s="27" t="s">
        <v>1294</v>
      </c>
      <c r="C1630" s="27" t="s">
        <v>1141</v>
      </c>
      <c r="D1630" s="27" t="s">
        <v>969</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1582</v>
      </c>
      <c r="B1631" s="27" t="s">
        <v>1297</v>
      </c>
      <c r="C1631" s="27" t="s">
        <v>974</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999</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976</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1587</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1582</v>
      </c>
      <c r="B1635" s="27" t="s">
        <v>1000</v>
      </c>
      <c r="C1635" s="27" t="s">
        <v>979</v>
      </c>
      <c r="D1635" s="27" t="s">
        <v>969</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534</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1454</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991</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980</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1545</v>
      </c>
      <c r="B1640" s="27" t="s">
        <v>1398</v>
      </c>
      <c r="C1640" s="27" t="s">
        <v>1234</v>
      </c>
      <c r="D1640" s="27" t="s">
        <v>969</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991</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996</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1086</v>
      </c>
      <c r="B1643" s="27" t="s">
        <v>1588</v>
      </c>
      <c r="C1643" s="27" t="s">
        <v>968</v>
      </c>
      <c r="D1643" s="27" t="s">
        <v>969</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1016</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1589</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1590</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1239</v>
      </c>
      <c r="B1647" s="27" t="s">
        <v>1000</v>
      </c>
      <c r="C1647" s="27" t="s">
        <v>1018</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1097</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1005</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row>
    <row r="1651" spans="1:12">
      <c r="A1651" s="20" t="s">
        <v>1591</v>
      </c>
    </row>
    <row r="1652" spans="1:12">
      <c r="A1652" s="20" t="s">
        <v>1251</v>
      </c>
      <c r="B1652" s="27" t="s">
        <v>967</v>
      </c>
      <c r="C1652" s="27" t="s">
        <v>968</v>
      </c>
      <c r="D1652" s="27" t="s">
        <v>969</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1097</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985</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1151</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976</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1592</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1593</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1594</v>
      </c>
      <c r="B1659" s="27" t="s">
        <v>1053</v>
      </c>
      <c r="C1659" s="27" t="s">
        <v>979</v>
      </c>
      <c r="D1659" s="27" t="s">
        <v>969</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980</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1595</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49</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1111</v>
      </c>
      <c r="B1663" s="27" t="s">
        <v>1010</v>
      </c>
      <c r="C1663" s="27" t="s">
        <v>974</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1545</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1005</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row>
    <row r="1667" spans="1:12">
      <c r="A1667" s="20" t="s">
        <v>1596</v>
      </c>
    </row>
    <row r="1668" spans="1:12">
      <c r="A1668" s="20" t="s">
        <v>1579</v>
      </c>
      <c r="B1668" s="27" t="s">
        <v>967</v>
      </c>
      <c r="C1668" s="27" t="s">
        <v>1001</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1043</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1111</v>
      </c>
      <c r="B1670" s="27" t="s">
        <v>978</v>
      </c>
      <c r="C1670" s="27" t="s">
        <v>979</v>
      </c>
      <c r="D1670" s="27" t="s">
        <v>969</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991</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1037</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976</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993</v>
      </c>
      <c r="B1674" s="27" t="s">
        <v>997</v>
      </c>
      <c r="C1674" s="27" t="s">
        <v>968</v>
      </c>
      <c r="D1674" s="27" t="s">
        <v>969</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1597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1046</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993</v>
      </c>
      <c r="B1677" s="27" t="s">
        <v>997</v>
      </c>
      <c r="C1677" s="27" t="s">
        <v>968</v>
      </c>
      <c r="D1677" s="27" t="s">
        <v>969</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1024</v>
      </c>
      <c r="B1678" s="27" t="s">
        <v>1198</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999</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176</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1564</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991</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1178</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1016</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1598</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1599</v>
      </c>
      <c r="B1686" s="27" t="s">
        <v>1053</v>
      </c>
      <c r="C1686" s="27" t="s">
        <v>1018</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991</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985</v>
      </c>
      <c r="B1688" s="27" t="s">
        <v>1013</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993</v>
      </c>
      <c r="B1689" s="27" t="s">
        <v>1010</v>
      </c>
      <c r="C1689" s="27" t="s">
        <v>968</v>
      </c>
      <c r="D1689" s="27" t="s">
        <v>969</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1600</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1601</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1602</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1133</v>
      </c>
      <c r="B1693" s="27" t="s">
        <v>978</v>
      </c>
      <c r="C1693" s="27" t="s">
        <v>1123</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1603</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991</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980</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985</v>
      </c>
      <c r="B1697" s="27" t="s">
        <v>1010</v>
      </c>
      <c r="C1697" s="27" t="s">
        <v>1011</v>
      </c>
      <c r="D1697" s="27" t="s">
        <v>969</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1016</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1604</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1605</v>
      </c>
      <c r="B1700" s="27" t="s">
        <v>1013</v>
      </c>
      <c r="C1700" s="27" t="s">
        <v>1018</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975</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1606</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1580</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1607</v>
      </c>
      <c r="B1704" s="27" t="s">
        <v>978</v>
      </c>
      <c r="C1704" s="27" t="s">
        <v>1035</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1151</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976</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1608</v>
      </c>
      <c r="B1707" s="27" t="s">
        <v>978</v>
      </c>
      <c r="C1707" s="27" t="s">
        <v>979</v>
      </c>
      <c r="D1707" s="27" t="s">
        <v>969</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1609</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1278</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991</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980</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1041</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975</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1016</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1610</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1611</v>
      </c>
      <c r="B1716" s="27" t="s">
        <v>978</v>
      </c>
      <c r="C1716" s="27" t="s">
        <v>1018</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1612</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1178</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1005</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row>
    <row r="1721" spans="1:12">
      <c r="A1721" s="20" t="s">
        <v>1613</v>
      </c>
    </row>
    <row r="1722" spans="1:12">
      <c r="A1722" s="20" t="s">
        <v>1268</v>
      </c>
      <c r="B1722" s="27" t="s">
        <v>967</v>
      </c>
      <c r="C1722" s="27" t="s">
        <v>968</v>
      </c>
      <c r="D1722" s="27" t="s">
        <v>969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1278</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1016</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1614</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1615</v>
      </c>
      <c r="B1726" s="27" t="s">
        <v>973</v>
      </c>
      <c r="C1726" s="27" t="s">
        <v>1018</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1285</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1616</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1611</v>
      </c>
      <c r="B1729" s="27" t="s">
        <v>978</v>
      </c>
      <c r="C1729" s="27" t="s">
        <v>974</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991</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1214</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1086</v>
      </c>
      <c r="B1732" s="27" t="s">
        <v>997</v>
      </c>
      <c r="C1732" s="27" t="s">
        <v>968</v>
      </c>
      <c r="D1732" s="27" t="s">
        <v>969</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1617</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1618</v>
      </c>
      <c r="B1734" s="27" t="s">
        <v>982</v>
      </c>
      <c r="C1734" s="27" t="s">
        <v>974</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1005</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row>
    <row r="1737" spans="1:12">
      <c r="A1737" s="20" t="s">
        <v>1619</v>
      </c>
    </row>
    <row r="1738" spans="1:12">
      <c r="A1738" s="20" t="s">
        <v>1620</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1196</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1147</v>
      </c>
      <c r="B1740" s="27" t="s">
        <v>1053</v>
      </c>
      <c r="C1740" s="27" t="s">
        <v>1123</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1621</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1574</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1086</v>
      </c>
      <c r="B1743" s="27" t="s">
        <v>967</v>
      </c>
      <c r="C1743" s="27" t="s">
        <v>968</v>
      </c>
      <c r="D1743" s="27" t="s">
        <v>969</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1622</v>
      </c>
      <c r="B1744" s="27" t="s">
        <v>967</v>
      </c>
      <c r="C1744" s="27" t="s">
        <v>1011</v>
      </c>
      <c r="D1744" s="27" t="s">
        <v>969</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1037</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1623</v>
      </c>
      <c r="B1746" s="27" t="s">
        <v>1053</v>
      </c>
      <c r="C1746" s="27" t="s">
        <v>974</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1624</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1583</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980</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1319</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1411</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1024</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1623</v>
      </c>
      <c r="B1753" s="27" t="s">
        <v>1010</v>
      </c>
      <c r="C1753" s="27" t="s">
        <v>979</v>
      </c>
      <c r="D1753" s="27" t="s">
        <v>969</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1625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991</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1437</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999</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1626</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991</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1214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1009</v>
      </c>
      <c r="B1761" s="27" t="s">
        <v>1010</v>
      </c>
      <c r="C1761" s="27" t="s">
        <v>1011</v>
      </c>
      <c r="D1761" s="27" t="s">
        <v>969</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1300</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1627</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1628</v>
      </c>
      <c r="B1764" s="27" t="s">
        <v>1053</v>
      </c>
      <c r="C1764" s="27" t="s">
        <v>974</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1005</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row>
    <row r="1767" spans="1:12">
      <c r="A1767" s="20" t="s">
        <v>1629</v>
      </c>
    </row>
    <row r="1768" spans="1:12">
      <c r="A1768" s="20" t="s">
        <v>1268</v>
      </c>
      <c r="B1768" s="27" t="s">
        <v>967</v>
      </c>
      <c r="C1768" s="27" t="s">
        <v>968</v>
      </c>
      <c r="D1768" s="27" t="s">
        <v>969</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1278</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1016</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1630</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1631</v>
      </c>
      <c r="B1772" s="27" t="s">
        <v>973</v>
      </c>
      <c r="C1772" s="27" t="s">
        <v>1018</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991</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980</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1632</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1041</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975</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985</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1633</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1611</v>
      </c>
      <c r="B1780" s="27" t="s">
        <v>978</v>
      </c>
      <c r="C1780" s="27" t="s">
        <v>979</v>
      </c>
      <c r="D1780" s="27" t="s">
        <v>969</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991</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985</v>
      </c>
      <c r="B1782" s="27" t="s">
        <v>1198</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993</v>
      </c>
      <c r="B1783" s="27" t="s">
        <v>997</v>
      </c>
      <c r="C1783" s="27" t="s">
        <v>968</v>
      </c>
      <c r="D1783" s="27" t="s">
        <v>969</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1634</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1189</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1005</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row>
    <row r="1788" spans="1:12">
      <c r="A1788" s="20" t="s">
        <v>1635</v>
      </c>
    </row>
    <row r="1789" spans="1:12">
      <c r="A1789" s="20" t="s">
        <v>1268</v>
      </c>
      <c r="B1789" s="27" t="s">
        <v>967</v>
      </c>
      <c r="C1789" s="27" t="s">
        <v>968</v>
      </c>
      <c r="D1789" s="27" t="s">
        <v>969</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1636</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1360</v>
      </c>
      <c r="B1791" s="27" t="s">
        <v>978</v>
      </c>
      <c r="C1791" s="27" t="s">
        <v>974</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1108</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1360</v>
      </c>
      <c r="B1793" s="27" t="s">
        <v>1053</v>
      </c>
      <c r="C1793" s="27" t="s">
        <v>974</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1158</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1285</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1249</v>
      </c>
      <c r="B1796" s="27" t="s">
        <v>978</v>
      </c>
      <c r="C1796" s="27" t="s">
        <v>1001</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1637</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980</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975</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976</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1638</v>
      </c>
      <c r="B1801" s="27" t="s">
        <v>1003</v>
      </c>
      <c r="C1801" s="27" t="s">
        <v>979</v>
      </c>
      <c r="D1801" s="27" t="s">
        <v>969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1639</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975</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1043</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1640</v>
      </c>
      <c r="B1805" s="27" t="s">
        <v>1053</v>
      </c>
      <c r="C1805" s="27" t="s">
        <v>979</v>
      </c>
      <c r="D1805" s="27" t="s">
        <v>969</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1641</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1642</v>
      </c>
      <c r="B1807" s="27" t="s">
        <v>978</v>
      </c>
      <c r="C1807" s="27" t="s">
        <v>1035</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1005</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row>
    <row r="1810" spans="1:12">
      <c r="A1810" s="20" t="s">
        <v>1060</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1643</v>
      </c>
    </row>
    <row r="1812" spans="1:12">
      <c r="A1812" s="20" t="s">
        <v>1644</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993</v>
      </c>
      <c r="B1813" s="27" t="s">
        <v>994</v>
      </c>
      <c r="C1813" s="27" t="s">
        <v>968</v>
      </c>
      <c r="D1813" s="27" t="s">
        <v>969</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1009</v>
      </c>
      <c r="B1814" s="27" t="s">
        <v>1031</v>
      </c>
      <c r="C1814" s="27" t="s">
        <v>1011</v>
      </c>
      <c r="D1814" s="27" t="s">
        <v>969</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1147</v>
      </c>
      <c r="B1815" s="27" t="s">
        <v>1003</v>
      </c>
      <c r="C1815" s="27" t="s">
        <v>974</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1148</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1032</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1139</v>
      </c>
      <c r="B1818" s="27" t="s">
        <v>1003</v>
      </c>
      <c r="C1818" s="27" t="s">
        <v>1102</v>
      </c>
      <c r="D1818" s="27" t="s">
        <v>969</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1645</v>
      </c>
      <c r="B1819" s="27" t="s">
        <v>982</v>
      </c>
      <c r="C1819" s="27" t="s">
        <v>1141</v>
      </c>
      <c r="D1819" s="27" t="s">
        <v>969</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1646</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12</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1009</v>
      </c>
      <c r="B1822" s="27" t="s">
        <v>1010</v>
      </c>
      <c r="C1822" s="27" t="s">
        <v>1011</v>
      </c>
      <c r="D1822" s="27" t="s">
        <v>969</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1097</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985</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1647</v>
      </c>
      <c r="B1825" s="27" t="s">
        <v>973</v>
      </c>
      <c r="C1825" s="27" t="s">
        <v>1648</v>
      </c>
      <c r="D1825" s="27" t="s">
        <v>969</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980</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1649</v>
      </c>
      <c r="B1827" s="27" t="s">
        <v>978</v>
      </c>
      <c r="C1827" s="27" t="s">
        <v>974</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1650</v>
      </c>
      <c r="B1828" s="27" t="s">
        <v>978</v>
      </c>
      <c r="C1828" s="27" t="s">
        <v>1083</v>
      </c>
      <c r="D1828" s="27" t="s">
        <v>969</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1651</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12</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1351</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1009</v>
      </c>
      <c r="B1832" s="27" t="s">
        <v>967</v>
      </c>
      <c r="C1832" s="27" t="s">
        <v>1011</v>
      </c>
      <c r="D1832" s="27" t="s">
        <v>969</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1194</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965</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966</v>
      </c>
      <c r="B1835" s="27" t="s">
        <v>1010</v>
      </c>
      <c r="C1835" s="27" t="s">
        <v>968</v>
      </c>
      <c r="D1835" s="27" t="s">
        <v>969</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1652</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1067</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998</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971</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1653</v>
      </c>
      <c r="B1840" s="27" t="s">
        <v>982</v>
      </c>
      <c r="C1840" s="27" t="s">
        <v>974</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1654</v>
      </c>
      <c r="B1841" s="27" t="s">
        <v>994</v>
      </c>
      <c r="C1841" s="27" t="s">
        <v>1083</v>
      </c>
      <c r="D1841" s="27" t="s">
        <v>969</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1655</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1656</v>
      </c>
      <c r="B1843" s="27" t="s">
        <v>982</v>
      </c>
      <c r="C1843" s="27" t="s">
        <v>1083</v>
      </c>
      <c r="D1843" s="27" t="s">
        <v>969</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1657</v>
      </c>
      <c r="B1844" s="27" t="s">
        <v>1013</v>
      </c>
      <c r="C1844" s="27" t="s">
        <v>1083</v>
      </c>
      <c r="D1844" s="27" t="s">
        <v>969</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1658</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971</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991</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1437</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1191</v>
      </c>
      <c r="B1849" s="27" t="s">
        <v>1000</v>
      </c>
      <c r="C1849" s="27" t="s">
        <v>988</v>
      </c>
      <c r="D1849" s="27" t="s">
        <v>969</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1659</v>
      </c>
      <c r="B1850" s="27" t="s">
        <v>1198</v>
      </c>
      <c r="C1850" s="27" t="s">
        <v>974</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999</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1660</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1005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row>
    <row r="1855" spans="1:12">
      <c r="A1855" s="20" t="s">
        <v>1661</v>
      </c>
    </row>
    <row r="1856" spans="1:12">
      <c r="A1856" s="20" t="s">
        <v>966</v>
      </c>
      <c r="B1856" s="27" t="s">
        <v>967</v>
      </c>
      <c r="C1856" s="27" t="s">
        <v>968</v>
      </c>
      <c r="D1856" s="27" t="s">
        <v>969</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1652</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991</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1437</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985</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1438</v>
      </c>
      <c r="B1861" s="27" t="s">
        <v>1013</v>
      </c>
      <c r="C1861" s="27" t="s">
        <v>979</v>
      </c>
      <c r="D1861" s="27" t="s">
        <v>969</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1662</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991</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985</v>
      </c>
      <c r="B1864" s="27" t="s">
        <v>1010</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1273</v>
      </c>
      <c r="B1865" s="27" t="s">
        <v>982</v>
      </c>
      <c r="C1865" s="27" t="s">
        <v>988</v>
      </c>
      <c r="D1865" s="27" t="s">
        <v>969</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1663</v>
      </c>
      <c r="B1866" s="27" t="s">
        <v>1013</v>
      </c>
      <c r="C1866" s="27" t="s">
        <v>974</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1026</v>
      </c>
      <c r="B1867" s="27" t="s">
        <v>1013</v>
      </c>
      <c r="C1867" s="27" t="s">
        <v>968</v>
      </c>
      <c r="D1867" s="27" t="s">
        <v>969</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1351</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991</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1438</v>
      </c>
      <c r="B1870" s="27" t="s">
        <v>994</v>
      </c>
      <c r="C1870" s="27" t="s">
        <v>974</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1214</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971</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1664</v>
      </c>
      <c r="B1873" s="27" t="s">
        <v>1003</v>
      </c>
      <c r="C1873" s="27" t="s">
        <v>968</v>
      </c>
      <c r="D1873" s="27" t="s">
        <v>969</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1665</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1157</v>
      </c>
      <c r="B1875" s="27" t="s">
        <v>1031</v>
      </c>
      <c r="C1875" s="27" t="s">
        <v>1011</v>
      </c>
      <c r="D1875" s="27" t="s">
        <v>969</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1005</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row>
    <row r="1878" spans="1:12">
      <c r="A1878" s="20" t="s">
        <v>1666</v>
      </c>
    </row>
    <row r="1879" spans="1:12">
      <c r="A1879" s="20" t="s">
        <v>1664</v>
      </c>
      <c r="B1879" s="27" t="s">
        <v>967</v>
      </c>
      <c r="C1879" s="27" t="s">
        <v>968</v>
      </c>
      <c r="D1879" s="27" t="s">
        <v>969</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1665</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1051</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1667</v>
      </c>
      <c r="B1882" s="27" t="s">
        <v>1053</v>
      </c>
      <c r="C1882" s="27" t="s">
        <v>1001</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1005</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row>
    <row r="1885" spans="1:12">
      <c r="A1885" s="20" t="s">
        <v>1668</v>
      </c>
    </row>
    <row r="1886" spans="1:12">
      <c r="A1886" s="20" t="s">
        <v>1664</v>
      </c>
      <c r="B1886" s="27" t="s">
        <v>967</v>
      </c>
      <c r="C1886" s="27" t="s">
        <v>968</v>
      </c>
      <c r="D1886" s="27" t="s">
        <v>969</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1669</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1086</v>
      </c>
      <c r="B1888" s="27" t="s">
        <v>967</v>
      </c>
      <c r="C1888" s="27" t="s">
        <v>968</v>
      </c>
      <c r="D1888" s="27" t="s">
        <v>969</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1021</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1670</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999</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621</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1005</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971</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row>
    <row r="1896" spans="1:12">
      <c r="A1896" s="20" t="s">
        <v>1060</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1671</v>
      </c>
    </row>
    <row r="1898" spans="1:12">
      <c r="A1898" s="20" t="s">
        <v>1007</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1672</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1361</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993</v>
      </c>
      <c r="B1901" s="27" t="s">
        <v>967</v>
      </c>
      <c r="C1901" s="27" t="s">
        <v>968</v>
      </c>
      <c r="D1901" s="27" t="s">
        <v>969</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1673</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1151</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991</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1545</v>
      </c>
      <c r="B1905" s="27" t="s">
        <v>978</v>
      </c>
      <c r="C1905" s="27" t="s">
        <v>1234</v>
      </c>
      <c r="D1905" s="27" t="s">
        <v>969</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999</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241</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991</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1107</v>
      </c>
      <c r="B1909" s="27" t="s">
        <v>1013</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1310</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1005</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965</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row>
    <row r="1914" spans="1:12">
      <c r="A1914" s="20" t="s">
        <v>1674</v>
      </c>
    </row>
    <row r="1915" spans="1:12">
      <c r="A1915" s="20" t="s">
        <v>1675</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1043</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1078</v>
      </c>
      <c r="B1917" s="27" t="s">
        <v>1053</v>
      </c>
      <c r="C1917" s="27" t="s">
        <v>979</v>
      </c>
      <c r="D1917" s="27" t="s">
        <v>969</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1676</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1220</v>
      </c>
      <c r="B1919" s="27" t="s">
        <v>967</v>
      </c>
      <c r="C1919" s="27" t="s">
        <v>1001</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1021</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991</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996</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1220</v>
      </c>
      <c r="B1923" s="27" t="s">
        <v>1010</v>
      </c>
      <c r="C1923" s="27" t="s">
        <v>1001</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1110</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1677</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1678</v>
      </c>
      <c r="B1926" s="27" t="s">
        <v>1013</v>
      </c>
      <c r="C1926" s="27" t="s">
        <v>1018</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1679</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1282</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980</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985</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1074</v>
      </c>
      <c r="B1931" s="27" t="s">
        <v>1031</v>
      </c>
      <c r="C1931" s="27" t="s">
        <v>979</v>
      </c>
      <c r="D1931" s="27" t="s">
        <v>969</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1079</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1680</v>
      </c>
      <c r="B1933" s="27" t="s">
        <v>1003</v>
      </c>
      <c r="C1933" s="27" t="s">
        <v>1102</v>
      </c>
      <c r="D1933" s="27" t="s">
        <v>969</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1678</v>
      </c>
      <c r="B1934" s="27" t="s">
        <v>982</v>
      </c>
      <c r="C1934" s="27" t="s">
        <v>1141</v>
      </c>
      <c r="D1934" s="27" t="s">
        <v>969</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1095</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1681</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1682</v>
      </c>
      <c r="B1937" s="27" t="s">
        <v>1003</v>
      </c>
      <c r="C1937" s="27" t="s">
        <v>974</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1683</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1005</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row>
    <row r="1941" spans="1:12">
      <c r="A1941" s="20" t="s">
        <v>1684</v>
      </c>
    </row>
    <row r="1942" spans="1:12">
      <c r="A1942" s="20" t="s">
        <v>1224</v>
      </c>
      <c r="B1942" s="27" t="s">
        <v>967</v>
      </c>
      <c r="C1942" s="27" t="s">
        <v>1001</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1685</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991</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996</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1043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1678</v>
      </c>
      <c r="B1947" s="27" t="s">
        <v>1010</v>
      </c>
      <c r="C1947" s="27" t="s">
        <v>979</v>
      </c>
      <c r="D1947" s="27" t="s">
        <v>969</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1686</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1411</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991</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1043</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1678</v>
      </c>
      <c r="B1952" s="27" t="s">
        <v>1053</v>
      </c>
      <c r="C1952" s="27" t="s">
        <v>979</v>
      </c>
      <c r="D1952" s="27" t="s">
        <v>969</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1687</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1688</v>
      </c>
      <c r="B1954" s="27" t="s">
        <v>978</v>
      </c>
      <c r="C1954" s="27" t="s">
        <v>979</v>
      </c>
      <c r="D1954" s="27" t="s">
        <v>969</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991</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980</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996</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1220</v>
      </c>
      <c r="B1958" s="27" t="s">
        <v>1010</v>
      </c>
      <c r="C1958" s="27" t="s">
        <v>1001</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1689</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1690</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1691</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1683</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1005</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row>
    <row r="1965" spans="1:12">
      <c r="A1965" s="20" t="s">
        <v>1692</v>
      </c>
    </row>
    <row r="1966" spans="1:12">
      <c r="A1966" s="20" t="s">
        <v>1251</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1097</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1693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1694</v>
      </c>
      <c r="B1969" s="27" t="s">
        <v>973</v>
      </c>
      <c r="C1969" s="27" t="s">
        <v>974</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999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324</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991</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985</v>
      </c>
      <c r="B1973" s="27" t="s">
        <v>1010</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1357</v>
      </c>
      <c r="B1974" s="27" t="s">
        <v>982</v>
      </c>
      <c r="C1974" s="27" t="s">
        <v>1011</v>
      </c>
      <c r="D1974" s="27" t="s">
        <v>969</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1695</v>
      </c>
      <c r="B1975" s="27" t="s">
        <v>1013</v>
      </c>
      <c r="C1975" s="27" t="s">
        <v>1123</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975</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1213</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1105</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1696</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991</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1024</v>
      </c>
      <c r="B1981" s="27" t="s">
        <v>994</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1697</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462</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1200</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1005</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row>
    <row r="1987" spans="1:12">
      <c r="A1987" s="20" t="s">
        <v>1698</v>
      </c>
    </row>
    <row r="1988" spans="1:12">
      <c r="A1988" s="20" t="s">
        <v>1144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1037</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1699</v>
      </c>
      <c r="B1990" s="27" t="s">
        <v>1053</v>
      </c>
      <c r="C1990" s="27" t="s">
        <v>974</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1097</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1086</v>
      </c>
      <c r="B1992" s="27" t="s">
        <v>967</v>
      </c>
      <c r="C1992" s="27" t="s">
        <v>968</v>
      </c>
      <c r="D1992" s="27" t="s">
        <v>969</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1700</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991</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1585</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1432</v>
      </c>
      <c r="B1996" s="27" t="s">
        <v>1010</v>
      </c>
      <c r="C1996" s="27" t="s">
        <v>1011</v>
      </c>
      <c r="D1996" s="27" t="s">
        <v>969</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241</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991</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996</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1432</v>
      </c>
      <c r="B2000" s="27" t="s">
        <v>994</v>
      </c>
      <c r="C2000" s="27" t="s">
        <v>1011</v>
      </c>
      <c r="D2000" s="27" t="s">
        <v>969</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985</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1701</v>
      </c>
      <c r="B2002" s="27" t="s">
        <v>1031</v>
      </c>
      <c r="C2002" s="27" t="s">
        <v>979</v>
      </c>
      <c r="D2002" s="27" t="s">
        <v>969</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1626</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1005</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row>
    <row r="2006" spans="1:12">
      <c r="A2006" s="20" t="s">
        <v>1702</v>
      </c>
    </row>
    <row r="2007" spans="1:12">
      <c r="A2007" s="20" t="s">
        <v>1144</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985</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1701</v>
      </c>
      <c r="B2009" s="27" t="s">
        <v>967</v>
      </c>
      <c r="C2009" s="27" t="s">
        <v>979</v>
      </c>
      <c r="D2009" s="27" t="s">
        <v>969</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1703</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1005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row>
    <row r="2013" spans="1:12">
      <c r="A2013" s="20" t="s">
        <v>1060</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1704</v>
      </c>
    </row>
    <row r="2015" spans="1:12">
      <c r="A2015" s="20" t="s">
        <v>966</v>
      </c>
      <c r="B2015" s="27" t="s">
        <v>967</v>
      </c>
      <c r="C2015" s="27" t="s">
        <v>968</v>
      </c>
      <c r="D2015" s="27" t="s">
        <v>969</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1178</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1095</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1170</v>
      </c>
      <c r="B2018" s="27" t="s">
        <v>978</v>
      </c>
      <c r="C2018" s="27" t="s">
        <v>1102</v>
      </c>
      <c r="D2018" s="27" t="s">
        <v>969</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1705</v>
      </c>
      <c r="B2019" s="27" t="s">
        <v>1053</v>
      </c>
      <c r="C2019" s="27" t="s">
        <v>1141</v>
      </c>
      <c r="D2019" s="27" t="s">
        <v>969</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1706</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1194</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965</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1144</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985</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1701</v>
      </c>
      <c r="B2025" s="27" t="s">
        <v>1010</v>
      </c>
      <c r="C2025" s="27" t="s">
        <v>979</v>
      </c>
      <c r="D2025" s="27" t="s">
        <v>969</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1703</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1005</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965</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row>
    <row r="2030" spans="1:12">
      <c r="A2030" s="20" t="s">
        <v>1707</v>
      </c>
    </row>
    <row r="2031" spans="1:12">
      <c r="A2031" s="20" t="s">
        <v>1144</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993</v>
      </c>
      <c r="B2032" s="27" t="s">
        <v>967</v>
      </c>
      <c r="C2032" s="27" t="s">
        <v>968</v>
      </c>
      <c r="D2032" s="27" t="s">
        <v>969</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1708</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1709</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991</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1046</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993</v>
      </c>
      <c r="B2037" s="27" t="s">
        <v>1010</v>
      </c>
      <c r="C2037" s="27" t="s">
        <v>968</v>
      </c>
      <c r="D2037" s="27" t="s">
        <v>969</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1037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1561</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1111</v>
      </c>
      <c r="B2040" s="27" t="s">
        <v>978</v>
      </c>
      <c r="C2040" s="27" t="s">
        <v>974</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1597</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991</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996</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1009</v>
      </c>
      <c r="B2044" s="27" t="s">
        <v>994</v>
      </c>
      <c r="C2044" s="27" t="s">
        <v>1011</v>
      </c>
      <c r="D2044" s="27" t="s">
        <v>969</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1196</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1710</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1711</v>
      </c>
      <c r="B2047" s="27" t="s">
        <v>1031</v>
      </c>
      <c r="C2047" s="27" t="s">
        <v>1123</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104</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1005</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row>
    <row r="2051" spans="1:12">
      <c r="A2051" s="20" t="s">
        <v>1060</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1712</v>
      </c>
    </row>
    <row r="2053" spans="1:12">
      <c r="A2053" s="20" t="s">
        <v>1111</v>
      </c>
      <c r="B2053" s="27" t="s">
        <v>967</v>
      </c>
      <c r="C2053" s="27" t="s">
        <v>974</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100</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1713</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1194</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965</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1667</v>
      </c>
      <c r="B2058" s="27" t="s">
        <v>1010</v>
      </c>
      <c r="C2058" s="27" t="s">
        <v>1001</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1714</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1107</v>
      </c>
      <c r="B2060" s="27" t="s">
        <v>1013</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1005</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965</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row>
    <row r="2064" spans="1:12">
      <c r="A2064" s="20" t="s">
        <v>1060</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1715</v>
      </c>
    </row>
    <row r="2066" spans="1:12">
      <c r="A2066" s="20" t="s">
        <v>1007</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1220</v>
      </c>
      <c r="B2067" s="27" t="s">
        <v>967</v>
      </c>
      <c r="C2067" s="27" t="s">
        <v>1001</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1716</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1194</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965</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966</v>
      </c>
      <c r="B2071" s="27" t="s">
        <v>1010</v>
      </c>
      <c r="C2071" s="27" t="s">
        <v>968</v>
      </c>
      <c r="D2071" s="27" t="s">
        <v>969</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1717</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1718</v>
      </c>
      <c r="B2073" s="27" t="s">
        <v>1013</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991</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1719</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669</v>
      </c>
      <c r="B2076" s="27" t="s">
        <v>982</v>
      </c>
      <c r="C2076" s="27" t="s">
        <v>1035</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1714</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1718</v>
      </c>
      <c r="B2078" s="27" t="s">
        <v>1031</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991</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1719</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1126</v>
      </c>
      <c r="B2081" s="27" t="s">
        <v>1294</v>
      </c>
      <c r="C2081" s="27" t="s">
        <v>974</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1714</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1718</v>
      </c>
      <c r="B2083" s="27" t="s">
        <v>1297</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1005</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965</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row>
    <row r="2087" spans="1:12">
      <c r="A2087" s="20" t="s">
        <v>1720</v>
      </c>
    </row>
    <row r="2088" spans="1:12">
      <c r="A2088" s="20" t="s">
        <v>1224</v>
      </c>
      <c r="B2088" s="27" t="s">
        <v>967</v>
      </c>
      <c r="C2088" s="27" t="s">
        <v>1001</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1454</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1024</v>
      </c>
      <c r="B2090" s="27" t="s">
        <v>967</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1721</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1722</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350</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991</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1723</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1070</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1038</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1228</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1111</v>
      </c>
      <c r="B2099" s="27" t="s">
        <v>1053</v>
      </c>
      <c r="C2099" s="27" t="s">
        <v>979</v>
      </c>
      <c r="D2099" s="27" t="s">
        <v>969</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1005</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row>
    <row r="2102" spans="1:12">
      <c r="A2102" s="20" t="s">
        <v>1060</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1724</v>
      </c>
    </row>
    <row r="2104" spans="1:12">
      <c r="A2104" s="20" t="s">
        <v>1144</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1725</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1111</v>
      </c>
      <c r="B2106" s="27" t="s">
        <v>967</v>
      </c>
      <c r="C2106" s="27" t="s">
        <v>974</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462</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1365</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100</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1194</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965</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1726</v>
      </c>
      <c r="B2112" s="27" t="s">
        <v>982</v>
      </c>
      <c r="C2112" s="27" t="s">
        <v>1083</v>
      </c>
      <c r="D2112" s="27" t="s">
        <v>969</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991</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1177</v>
      </c>
      <c r="B2114" s="27" t="s">
        <v>1297</v>
      </c>
      <c r="C2114" s="27" t="s">
        <v>1011</v>
      </c>
      <c r="D2114" s="27" t="s">
        <v>969</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1432</v>
      </c>
      <c r="B2115" s="27" t="s">
        <v>1294</v>
      </c>
      <c r="C2115" s="27" t="s">
        <v>1011</v>
      </c>
      <c r="D2115" s="27" t="s">
        <v>969</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58</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991</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1151</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976</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1397</v>
      </c>
      <c r="B2120" s="27" t="s">
        <v>982</v>
      </c>
      <c r="C2120" s="27" t="s">
        <v>979</v>
      </c>
      <c r="D2120" s="27" t="s">
        <v>969</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462</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1432</v>
      </c>
      <c r="B2122" s="27" t="s">
        <v>994</v>
      </c>
      <c r="C2122" s="27" t="s">
        <v>1011</v>
      </c>
      <c r="D2122" s="27" t="s">
        <v>969</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1012</v>
      </c>
      <c r="B2123" s="27" t="s">
        <v>1031</v>
      </c>
      <c r="C2123" s="27" t="s">
        <v>1001</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49</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1005</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965</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row>
    <row r="2128" spans="1:12">
      <c r="A2128" s="20" t="s">
        <v>1060</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1727</v>
      </c>
    </row>
    <row r="2130" spans="1:12">
      <c r="A2130" s="20" t="s">
        <v>1202</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1009</v>
      </c>
      <c r="B2131" s="27" t="s">
        <v>967</v>
      </c>
      <c r="C2131" s="27" t="s">
        <v>1011</v>
      </c>
      <c r="D2131" s="27" t="s">
        <v>969</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462</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100</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1194</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965</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1251</v>
      </c>
      <c r="B2136" s="27" t="s">
        <v>1010</v>
      </c>
      <c r="C2136" s="27" t="s">
        <v>968</v>
      </c>
      <c r="D2136" s="27" t="s">
        <v>969</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1454</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1237</v>
      </c>
      <c r="B2138" s="27" t="s">
        <v>982</v>
      </c>
      <c r="C2138" s="27" t="s">
        <v>1011</v>
      </c>
      <c r="D2138" s="27" t="s">
        <v>969</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1728</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1729</v>
      </c>
      <c r="B2140" s="27" t="s">
        <v>1013</v>
      </c>
      <c r="C2140" s="27" t="s">
        <v>1123</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1560</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1385</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1111</v>
      </c>
      <c r="B2143" s="27" t="s">
        <v>978</v>
      </c>
      <c r="C2143" s="27" t="s">
        <v>1123</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150</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1005</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row>
    <row r="2147" spans="1:12">
      <c r="A2147" s="20" t="s">
        <v>1060</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1730</v>
      </c>
    </row>
    <row r="2149" spans="1:12">
      <c r="A2149" s="20" t="s">
        <v>1731</v>
      </c>
      <c r="B2149" s="27" t="s">
        <v>967</v>
      </c>
      <c r="C2149" s="27" t="s">
        <v>1001</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1095</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1447</v>
      </c>
      <c r="B2151" s="27" t="s">
        <v>978</v>
      </c>
      <c r="C2151" s="27" t="s">
        <v>1011</v>
      </c>
      <c r="D2151" s="27" t="s">
        <v>969</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1097</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975</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1732</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1733</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1734</v>
      </c>
      <c r="B2156" s="27" t="s">
        <v>1053</v>
      </c>
      <c r="C2156" s="27" t="s">
        <v>1035</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1735</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1005</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965</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row>
    <row r="2161" spans="1:12">
      <c r="A2161" s="20" t="s">
        <v>1060</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1736</v>
      </c>
    </row>
    <row r="2163" spans="1:12">
      <c r="A2163" s="20" t="s">
        <v>1737</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1220</v>
      </c>
      <c r="B2164" s="27" t="s">
        <v>967</v>
      </c>
      <c r="C2164" s="27" t="s">
        <v>1001</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100</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1200</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1194</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965</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1163</v>
      </c>
      <c r="B2169" s="27" t="s">
        <v>1010</v>
      </c>
      <c r="C2169" s="27" t="s">
        <v>1102</v>
      </c>
      <c r="D2169" s="27" t="s">
        <v>969</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1097</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1738</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991</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1240</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993</v>
      </c>
      <c r="B2174" s="27" t="s">
        <v>994</v>
      </c>
      <c r="C2174" s="27" t="s">
        <v>968</v>
      </c>
      <c r="D2174" s="27" t="s">
        <v>969</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1739</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1432</v>
      </c>
      <c r="B2176" s="27" t="s">
        <v>997</v>
      </c>
      <c r="C2176" s="27" t="s">
        <v>1011</v>
      </c>
      <c r="D2176" s="27" t="s">
        <v>969</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1740</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1447</v>
      </c>
      <c r="B2178" s="27" t="s">
        <v>1198</v>
      </c>
      <c r="C2178" s="27" t="s">
        <v>1011</v>
      </c>
      <c r="D2178" s="27" t="s">
        <v>969</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1689</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1741</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1742</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991</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1177</v>
      </c>
      <c r="B2183" s="27" t="s">
        <v>1297</v>
      </c>
      <c r="C2183" s="27" t="s">
        <v>1011</v>
      </c>
      <c r="D2183" s="27" t="s">
        <v>969</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1086</v>
      </c>
      <c r="B2184" s="27" t="s">
        <v>1294</v>
      </c>
      <c r="C2184" s="27" t="s">
        <v>968</v>
      </c>
      <c r="D2184" s="27" t="s">
        <v>969</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999</v>
      </c>
      <c r="B2185" s="27" t="s">
        <v>1398</v>
      </c>
      <c r="C2185" s="27" t="s">
        <v>1001</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976</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1743</v>
      </c>
      <c r="B2187" s="27" t="s">
        <v>1000</v>
      </c>
      <c r="C2187" s="27" t="s">
        <v>979</v>
      </c>
      <c r="D2187" s="27" t="s">
        <v>969</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150</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1744</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1005</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965</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row>
    <row r="2193" spans="1:12">
      <c r="A2193" s="20" t="s">
        <v>1745</v>
      </c>
    </row>
    <row r="2194" spans="1:12">
      <c r="A2194" s="20" t="s">
        <v>1746</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1747</v>
      </c>
      <c r="B2195" s="27" t="s">
        <v>982</v>
      </c>
      <c r="C2195" s="27" t="s">
        <v>974</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1748</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1093</v>
      </c>
      <c r="B2197" s="27" t="s">
        <v>978</v>
      </c>
      <c r="C2197" s="27" t="s">
        <v>1011</v>
      </c>
      <c r="D2197" s="27" t="s">
        <v>969</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1749</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1473</v>
      </c>
      <c r="B2199" s="27" t="s">
        <v>973</v>
      </c>
      <c r="C2199" s="27" t="s">
        <v>979</v>
      </c>
      <c r="D2199" s="27" t="s">
        <v>969</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367</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1009</v>
      </c>
      <c r="B2201" s="27" t="s">
        <v>967</v>
      </c>
      <c r="C2201" s="27" t="s">
        <v>1011</v>
      </c>
      <c r="D2201" s="27" t="s">
        <v>969</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1021</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985</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1750</v>
      </c>
      <c r="B2204" s="27" t="s">
        <v>973</v>
      </c>
      <c r="C2204" s="27" t="s">
        <v>979</v>
      </c>
      <c r="D2204" s="27" t="s">
        <v>969</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991</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1166</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1751</v>
      </c>
      <c r="B2207" s="27" t="s">
        <v>1053</v>
      </c>
      <c r="C2207" s="27" t="s">
        <v>974</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999</v>
      </c>
      <c r="B2208" s="27" t="s">
        <v>982</v>
      </c>
      <c r="C2208" s="27" t="s">
        <v>1001</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976</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1752</v>
      </c>
      <c r="B2210" s="27" t="s">
        <v>978</v>
      </c>
      <c r="C2210" s="27" t="s">
        <v>979</v>
      </c>
      <c r="D2210" s="27" t="s">
        <v>969</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1005</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row>
    <row r="2213" spans="1:12">
      <c r="A2213" s="20" t="s">
        <v>1753</v>
      </c>
    </row>
    <row r="2214" spans="1:12">
      <c r="A2214" s="20" t="s">
        <v>1007</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1220</v>
      </c>
      <c r="B2215" s="27" t="s">
        <v>967</v>
      </c>
      <c r="C2215" s="27" t="s">
        <v>1001</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1754</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999</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241</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1194</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1163</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1673</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1755</v>
      </c>
      <c r="B2222" s="27" t="s">
        <v>1013</v>
      </c>
      <c r="C2222" s="27" t="s">
        <v>979</v>
      </c>
      <c r="D2222" s="27" t="s">
        <v>969</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1097</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991</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996</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985</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1228</v>
      </c>
      <c r="B2227" s="27" t="s">
        <v>994</v>
      </c>
      <c r="C2227" s="27" t="s">
        <v>1011</v>
      </c>
      <c r="D2227" s="27" t="s">
        <v>969</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1095</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1447</v>
      </c>
      <c r="B2229" s="27" t="s">
        <v>982</v>
      </c>
      <c r="C2229" s="27" t="s">
        <v>1011</v>
      </c>
      <c r="D2229" s="27" t="s">
        <v>969</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1139</v>
      </c>
      <c r="B2230" s="27" t="s">
        <v>994</v>
      </c>
      <c r="C2230" s="27" t="s">
        <v>1102</v>
      </c>
      <c r="D2230" s="27" t="s">
        <v>969</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1756</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1757</v>
      </c>
      <c r="B2232" s="27" t="s">
        <v>1031</v>
      </c>
      <c r="C2232" s="27" t="s">
        <v>974</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29</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980</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1009</v>
      </c>
      <c r="B2235" s="27" t="s">
        <v>1010</v>
      </c>
      <c r="C2235" s="27" t="s">
        <v>1011</v>
      </c>
      <c r="D2235" s="27" t="s">
        <v>969</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1447</v>
      </c>
      <c r="B2236" s="27" t="s">
        <v>1013</v>
      </c>
      <c r="C2236" s="27" t="s">
        <v>1011</v>
      </c>
      <c r="D2236" s="27" t="s">
        <v>969</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1021</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1460</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1660</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1005</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row>
    <row r="2242" spans="1:12">
      <c r="A2242" s="20" t="s">
        <v>1758</v>
      </c>
    </row>
    <row r="2243" spans="1:12">
      <c r="A2243" s="20" t="s">
        <v>1251</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1384</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1016</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1759</v>
      </c>
      <c r="B2246" s="27" t="s">
        <v>967</v>
      </c>
      <c r="C2246" s="27" t="s">
        <v>1018</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991</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985</v>
      </c>
      <c r="B2248" s="27" t="s">
        <v>1031</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993</v>
      </c>
      <c r="B2249" s="27" t="s">
        <v>994</v>
      </c>
      <c r="C2249" s="27" t="s">
        <v>968</v>
      </c>
      <c r="D2249" s="27" t="s">
        <v>969</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1460</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1760</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991</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975</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1043</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1016</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1761</v>
      </c>
      <c r="B2256" s="27" t="s">
        <v>997</v>
      </c>
      <c r="C2256" s="27" t="s">
        <v>1018</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1762</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980</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1016</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1761</v>
      </c>
      <c r="B2260" s="27" t="s">
        <v>1000</v>
      </c>
      <c r="C2260" s="27" t="s">
        <v>1018</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1763</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1111</v>
      </c>
      <c r="B2262" s="27" t="s">
        <v>1398</v>
      </c>
      <c r="C2262" s="27" t="s">
        <v>974</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1764</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1533</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991</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1016</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1765</v>
      </c>
      <c r="B2267" s="27" t="s">
        <v>1297</v>
      </c>
      <c r="C2267" s="27" t="s">
        <v>1018</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1766</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1051</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1767</v>
      </c>
      <c r="B2270" s="27" t="s">
        <v>1000</v>
      </c>
      <c r="C2270" s="27" t="s">
        <v>1018</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999</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1768</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991</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980</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1151</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976</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1397</v>
      </c>
      <c r="B2277" s="27" t="s">
        <v>978</v>
      </c>
      <c r="C2277" s="27" t="s">
        <v>979</v>
      </c>
      <c r="D2277" s="27" t="s">
        <v>969</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1769</v>
      </c>
      <c r="B2278" s="27" t="s">
        <v>1003</v>
      </c>
      <c r="C2278" s="27" t="s">
        <v>1102</v>
      </c>
      <c r="D2278" s="27" t="s">
        <v>969</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1765</v>
      </c>
      <c r="B2279" s="27" t="s">
        <v>982</v>
      </c>
      <c r="C2279" s="27" t="s">
        <v>1141</v>
      </c>
      <c r="D2279" s="27" t="s">
        <v>969</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1533</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1009</v>
      </c>
      <c r="B2281" s="27" t="s">
        <v>1010</v>
      </c>
      <c r="C2281" s="27" t="s">
        <v>1011</v>
      </c>
      <c r="D2281" s="27" t="s">
        <v>969</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1770</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991</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1214</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1196</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1771</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1772</v>
      </c>
      <c r="B2287" s="27" t="s">
        <v>994</v>
      </c>
      <c r="C2287" s="27" t="s">
        <v>1123</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1009</v>
      </c>
      <c r="B2288" s="27" t="s">
        <v>1031</v>
      </c>
      <c r="C2288" s="27" t="s">
        <v>1011</v>
      </c>
      <c r="D2288" s="27" t="s">
        <v>969</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1773</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1774</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999</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104</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1005</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row>
    <row r="2295" spans="1:12">
      <c r="A2295" s="20" t="s">
        <v>1775</v>
      </c>
    </row>
    <row r="2296" spans="1:12">
      <c r="A2296" s="20" t="s">
        <v>1093</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1725</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1761</v>
      </c>
      <c r="B2298" s="27" t="s">
        <v>967</v>
      </c>
      <c r="C2298" s="27" t="s">
        <v>979</v>
      </c>
      <c r="D2298" s="27" t="s">
        <v>969</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1178</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1776</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991</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1037</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1777</v>
      </c>
      <c r="B2303" s="27" t="s">
        <v>1053</v>
      </c>
      <c r="C2303" s="27" t="s">
        <v>974</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1095</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1778</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48</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1779</v>
      </c>
      <c r="B2307" s="27" t="s">
        <v>978</v>
      </c>
      <c r="C2307" s="27" t="s">
        <v>1123</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991</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1780</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980</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985</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1781</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1111</v>
      </c>
      <c r="B2313" s="27" t="s">
        <v>1297</v>
      </c>
      <c r="C2313" s="27" t="s">
        <v>979</v>
      </c>
      <c r="D2313" s="27" t="s">
        <v>969</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1782</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1560</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69</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980</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87</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1783</v>
      </c>
      <c r="B2319" s="27" t="s">
        <v>1000</v>
      </c>
      <c r="C2319" s="27" t="s">
        <v>1123</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1158</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1771</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1772</v>
      </c>
      <c r="B2322" s="27" t="s">
        <v>982</v>
      </c>
      <c r="C2322" s="27" t="s">
        <v>974</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12</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1746</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1747</v>
      </c>
      <c r="B2325" s="27" t="s">
        <v>982</v>
      </c>
      <c r="C2325" s="27" t="s">
        <v>974</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1748</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12</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1046</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1009</v>
      </c>
      <c r="B2329" s="27" t="s">
        <v>997</v>
      </c>
      <c r="C2329" s="27" t="s">
        <v>1011</v>
      </c>
      <c r="D2329" s="27" t="s">
        <v>969</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1784</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1774</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1547</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1005</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row>
    <row r="2335" spans="1:12">
      <c r="A2335" s="20" t="s">
        <v>1785</v>
      </c>
    </row>
    <row r="2336" spans="1:12">
      <c r="A2336" s="20" t="s">
        <v>1644</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993</v>
      </c>
      <c r="B2337" s="27" t="s">
        <v>1010</v>
      </c>
      <c r="C2337" s="27" t="s">
        <v>968</v>
      </c>
      <c r="D2337" s="27" t="s">
        <v>969</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1786</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991</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1032</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1033</v>
      </c>
      <c r="B2341" s="27" t="s">
        <v>1003</v>
      </c>
      <c r="C2341" s="27" t="s">
        <v>988</v>
      </c>
      <c r="D2341" s="27" t="s">
        <v>969</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1078</v>
      </c>
      <c r="B2342" s="27" t="s">
        <v>982</v>
      </c>
      <c r="C2342" s="27" t="s">
        <v>974</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999</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1787</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991</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1788</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1196</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1111</v>
      </c>
      <c r="B2348" s="27" t="s">
        <v>967</v>
      </c>
      <c r="C2348" s="27" t="s">
        <v>1123</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991</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996</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1086</v>
      </c>
      <c r="B2351" s="27" t="s">
        <v>1010</v>
      </c>
      <c r="C2351" s="27" t="s">
        <v>968</v>
      </c>
      <c r="D2351" s="27" t="s">
        <v>969</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1624</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1700</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37</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1789</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991</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1213</v>
      </c>
      <c r="B2357" s="27" t="s">
        <v>1031</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1790</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1233</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999</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1791</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991</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1086</v>
      </c>
      <c r="B2363" s="27" t="s">
        <v>1013</v>
      </c>
      <c r="C2363" s="27" t="s">
        <v>968</v>
      </c>
      <c r="D2363" s="27" t="s">
        <v>969</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985</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1197</v>
      </c>
      <c r="B2365" s="27" t="s">
        <v>1010</v>
      </c>
      <c r="C2365" s="27" t="s">
        <v>979</v>
      </c>
      <c r="D2365" s="27" t="s">
        <v>969</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81</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999</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541</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1005</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row>
    <row r="2371" spans="1:12">
      <c r="A2371" s="20" t="s">
        <v>1060</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1792</v>
      </c>
    </row>
    <row r="2373" spans="1:12">
      <c r="A2373" s="20" t="s">
        <v>1268</v>
      </c>
      <c r="B2373" s="27" t="s">
        <v>967</v>
      </c>
      <c r="C2373" s="27" t="s">
        <v>968</v>
      </c>
      <c r="D2373" s="27" t="s">
        <v>969</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1788</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1194</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965</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1793</v>
      </c>
      <c r="B2377" s="27" t="s">
        <v>1053</v>
      </c>
      <c r="C2377" s="27" t="s">
        <v>974</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985</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1197</v>
      </c>
      <c r="B2379" s="27" t="s">
        <v>1010</v>
      </c>
      <c r="C2379" s="27" t="s">
        <v>979</v>
      </c>
      <c r="D2379" s="27" t="s">
        <v>969</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1794</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1037</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1795</v>
      </c>
      <c r="B2382" s="27" t="s">
        <v>978</v>
      </c>
      <c r="C2382" s="27" t="s">
        <v>968</v>
      </c>
      <c r="D2382" s="27" t="s">
        <v>969</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1373</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965</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row>
    <row r="2386" spans="1:12">
      <c r="A2386" s="20" t="s">
        <v>1060</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1796</v>
      </c>
    </row>
    <row r="2388" spans="1:12">
      <c r="A2388" s="20" t="s">
        <v>1007</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993</v>
      </c>
      <c r="B2389" s="27" t="s">
        <v>967</v>
      </c>
      <c r="C2389" s="27" t="s">
        <v>968</v>
      </c>
      <c r="D2389" s="27" t="s">
        <v>969</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1351</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1194</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965</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1797</v>
      </c>
      <c r="B2393" s="27" t="s">
        <v>1013</v>
      </c>
      <c r="C2393" s="27" t="s">
        <v>1083</v>
      </c>
      <c r="D2393" s="27" t="s">
        <v>969</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991</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1111</v>
      </c>
      <c r="B2395" s="27" t="s">
        <v>1010</v>
      </c>
      <c r="C2395" s="27" t="s">
        <v>974</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391</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1794</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1037</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1026</v>
      </c>
      <c r="B2399" s="27" t="s">
        <v>978</v>
      </c>
      <c r="C2399" s="27" t="s">
        <v>968</v>
      </c>
      <c r="D2399" s="27" t="s">
        <v>969</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1005</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row>
    <row r="2402" spans="1:12">
      <c r="A2402" s="20" t="s">
        <v>1798</v>
      </c>
    </row>
    <row r="2403" spans="1:12">
      <c r="A2403" s="20" t="s">
        <v>1268</v>
      </c>
      <c r="B2403" s="27" t="s">
        <v>967</v>
      </c>
      <c r="C2403" s="27" t="s">
        <v>968</v>
      </c>
      <c r="D2403" s="27" t="s">
        <v>969</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391</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1799</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1794</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1037</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1026</v>
      </c>
      <c r="B2408" s="27" t="s">
        <v>1053</v>
      </c>
      <c r="C2408" s="27" t="s">
        <v>968</v>
      </c>
      <c r="D2408" s="27" t="s">
        <v>969</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991</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996</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1009</v>
      </c>
      <c r="B2411" s="27" t="s">
        <v>1010</v>
      </c>
      <c r="C2411" s="27" t="s">
        <v>1011</v>
      </c>
      <c r="D2411" s="27" t="s">
        <v>969</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1800</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991</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1026</v>
      </c>
      <c r="B2414" s="27" t="s">
        <v>1031</v>
      </c>
      <c r="C2414" s="27" t="s">
        <v>968</v>
      </c>
      <c r="D2414" s="27" t="s">
        <v>969</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1095</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1641</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1645</v>
      </c>
      <c r="B2417" s="27" t="s">
        <v>982</v>
      </c>
      <c r="C2417" s="27" t="s">
        <v>1035</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999</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237</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1285</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1043</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1645</v>
      </c>
      <c r="B2422" s="27" t="s">
        <v>978</v>
      </c>
      <c r="C2422" s="27" t="s">
        <v>979</v>
      </c>
      <c r="D2422" s="27" t="s">
        <v>969</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1641</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1801</v>
      </c>
      <c r="B2424" s="27" t="s">
        <v>982</v>
      </c>
      <c r="C2424" s="27" t="s">
        <v>1035</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991</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1285</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1043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1645</v>
      </c>
      <c r="B2428" s="27" t="s">
        <v>1003</v>
      </c>
      <c r="C2428" s="27" t="s">
        <v>979</v>
      </c>
      <c r="D2428" s="27" t="s">
        <v>969</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1090</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1802</v>
      </c>
      <c r="B2430" s="27" t="s">
        <v>1003</v>
      </c>
      <c r="C2430" s="27" t="s">
        <v>1018</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1005</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row>
    <row r="2433" spans="1:12">
      <c r="A2433" s="20" t="s">
        <v>1803</v>
      </c>
    </row>
    <row r="2434" spans="1:12">
      <c r="A2434" s="20" t="s">
        <v>1093</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1438</v>
      </c>
      <c r="B2435" s="27" t="s">
        <v>967</v>
      </c>
      <c r="C2435" s="27" t="s">
        <v>979</v>
      </c>
      <c r="D2435" s="27" t="s">
        <v>969</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1195</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1794</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991</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1585</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1689</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1221</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993</v>
      </c>
      <c r="B2442" s="27" t="s">
        <v>1010</v>
      </c>
      <c r="C2442" s="27" t="s">
        <v>968</v>
      </c>
      <c r="D2442" s="27" t="s">
        <v>969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991</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996</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1078</v>
      </c>
      <c r="B2445" s="27" t="s">
        <v>997</v>
      </c>
      <c r="C2445" s="27" t="s">
        <v>974</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1051</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1804</v>
      </c>
      <c r="B2447" s="27" t="s">
        <v>982</v>
      </c>
      <c r="C2447" s="27" t="s">
        <v>1018</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1195</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991</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1024</v>
      </c>
      <c r="B2450" s="27" t="s">
        <v>1031</v>
      </c>
      <c r="C2450" s="27" t="s">
        <v>1102</v>
      </c>
      <c r="D2450" s="27" t="s">
        <v>969</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1805</v>
      </c>
      <c r="B2451" s="27" t="s">
        <v>994</v>
      </c>
      <c r="C2451" s="27" t="s">
        <v>1001</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1282</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1005</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row>
    <row r="2455" spans="1:12">
      <c r="A2455" s="20" t="s">
        <v>1060</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1806</v>
      </c>
    </row>
    <row r="2457" spans="1:12">
      <c r="A2457" s="20" t="s">
        <v>1807</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1051</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1808</v>
      </c>
      <c r="B2459" s="27" t="s">
        <v>978</v>
      </c>
      <c r="C2459" s="27" t="s">
        <v>1001</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1133</v>
      </c>
      <c r="B2460" s="27" t="s">
        <v>1053</v>
      </c>
      <c r="C2460" s="27" t="s">
        <v>1018</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1574</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993</v>
      </c>
      <c r="B2462" s="27" t="s">
        <v>967</v>
      </c>
      <c r="C2462" s="27" t="s">
        <v>968</v>
      </c>
      <c r="D2462" s="27" t="s">
        <v>969</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999</v>
      </c>
      <c r="B2463" s="27" t="s">
        <v>978</v>
      </c>
      <c r="C2463" s="27" t="s">
        <v>1001</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1809</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1810</v>
      </c>
      <c r="B2465" s="27" t="s">
        <v>1053</v>
      </c>
      <c r="C2465" s="27" t="s">
        <v>1018</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980</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1151</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976</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1811</v>
      </c>
      <c r="B2469" s="27" t="s">
        <v>978</v>
      </c>
      <c r="C2469" s="27" t="s">
        <v>979</v>
      </c>
      <c r="D2469" s="27" t="s">
        <v>969</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1769</v>
      </c>
      <c r="B2470" s="27" t="s">
        <v>1003</v>
      </c>
      <c r="C2470" s="27" t="s">
        <v>1102</v>
      </c>
      <c r="D2470" s="27" t="s">
        <v>969</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1812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1810</v>
      </c>
      <c r="B2472" s="27" t="s">
        <v>982</v>
      </c>
      <c r="C2472" s="27" t="s">
        <v>1141</v>
      </c>
      <c r="D2472" s="27" t="s">
        <v>969</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1813</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1016</v>
      </c>
      <c r="B2474" s="27" t="s">
        <v>1010</v>
      </c>
      <c r="C2474" s="27" t="s">
        <v>1001</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1043</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1814</v>
      </c>
      <c r="B2476" s="27" t="s">
        <v>982</v>
      </c>
      <c r="C2476" s="27" t="s">
        <v>979</v>
      </c>
      <c r="D2476" s="27" t="s">
        <v>969</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1107</v>
      </c>
      <c r="B2477" s="27" t="s">
        <v>1013</v>
      </c>
      <c r="C2477" s="27" t="s">
        <v>968</v>
      </c>
      <c r="D2477" s="27" t="s">
        <v>969</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999</v>
      </c>
      <c r="B2478" s="27" t="s">
        <v>982</v>
      </c>
      <c r="C2478" s="27" t="s">
        <v>1001</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1043</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1815</v>
      </c>
      <c r="B2480" s="27" t="s">
        <v>978</v>
      </c>
      <c r="C2480" s="27" t="s">
        <v>979</v>
      </c>
      <c r="D2480" s="27" t="s">
        <v>969</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980</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1009</v>
      </c>
      <c r="B2482" s="27" t="s">
        <v>1010</v>
      </c>
      <c r="C2482" s="27" t="s">
        <v>1011</v>
      </c>
      <c r="D2482" s="27" t="s">
        <v>969</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1351</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999</v>
      </c>
      <c r="B2484" s="27" t="s">
        <v>982</v>
      </c>
      <c r="C2484" s="27" t="s">
        <v>1001</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1026</v>
      </c>
      <c r="B2485" s="27" t="s">
        <v>978</v>
      </c>
      <c r="C2485" s="27" t="s">
        <v>968</v>
      </c>
      <c r="D2485" s="27" t="s">
        <v>969</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1194</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965</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966</v>
      </c>
      <c r="B2488" s="27" t="s">
        <v>994</v>
      </c>
      <c r="C2488" s="27" t="s">
        <v>968</v>
      </c>
      <c r="D2488" s="27" t="s">
        <v>969</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1816</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1151</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1078</v>
      </c>
      <c r="B2491" s="27" t="s">
        <v>982</v>
      </c>
      <c r="C2491" s="27" t="s">
        <v>974</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980</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993</v>
      </c>
      <c r="B2493" s="27" t="s">
        <v>1003</v>
      </c>
      <c r="C2493" s="27" t="s">
        <v>968</v>
      </c>
      <c r="D2493" s="27" t="s">
        <v>969</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1817</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1107</v>
      </c>
      <c r="B2495" s="27" t="s">
        <v>1031</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1051</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1519</v>
      </c>
      <c r="B2497" s="27" t="s">
        <v>1031</v>
      </c>
      <c r="C2497" s="27" t="s">
        <v>1001</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1206</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991</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1240</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993</v>
      </c>
      <c r="B2501" s="27" t="s">
        <v>997</v>
      </c>
      <c r="C2501" s="27" t="s">
        <v>968</v>
      </c>
      <c r="D2501" s="27" t="s">
        <v>969</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1818</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1139</v>
      </c>
      <c r="B2503" s="27" t="s">
        <v>1000</v>
      </c>
      <c r="C2503" s="27" t="s">
        <v>1102</v>
      </c>
      <c r="D2503" s="27" t="s">
        <v>969</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1375</v>
      </c>
      <c r="B2504" s="27" t="s">
        <v>1198</v>
      </c>
      <c r="C2504" s="27" t="s">
        <v>1141</v>
      </c>
      <c r="D2504" s="27" t="s">
        <v>969</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980</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993</v>
      </c>
      <c r="B2506" s="27" t="s">
        <v>1010</v>
      </c>
      <c r="C2506" s="27" t="s">
        <v>968</v>
      </c>
      <c r="D2506" s="27" t="s">
        <v>969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1819</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1268</v>
      </c>
      <c r="B2508" s="27" t="s">
        <v>1013</v>
      </c>
      <c r="C2508" s="27" t="s">
        <v>968</v>
      </c>
      <c r="D2508" s="27" t="s">
        <v>969</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470</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991</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1177</v>
      </c>
      <c r="B2511" s="27" t="s">
        <v>1198</v>
      </c>
      <c r="C2511" s="27" t="s">
        <v>1011</v>
      </c>
      <c r="D2511" s="27" t="s">
        <v>969</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1268</v>
      </c>
      <c r="B2512" s="27" t="s">
        <v>997</v>
      </c>
      <c r="C2512" s="27" t="s">
        <v>968</v>
      </c>
      <c r="D2512" s="27" t="s">
        <v>969</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1820</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241</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1373</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965</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row>
    <row r="2518" spans="1:12">
      <c r="A2518" s="20" t="s">
        <v>1821</v>
      </c>
    </row>
    <row r="2519" spans="1:12">
      <c r="A2519" s="20" t="s">
        <v>1007</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993</v>
      </c>
      <c r="B2520" s="27" t="s">
        <v>967</v>
      </c>
      <c r="C2520" s="27" t="s">
        <v>968</v>
      </c>
      <c r="D2520" s="27" t="s">
        <v>969</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1822</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1107</v>
      </c>
      <c r="B2522" s="27" t="s">
        <v>973</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991</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1445</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1823</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993</v>
      </c>
      <c r="B2526" s="27" t="s">
        <v>1010</v>
      </c>
      <c r="C2526" s="27" t="s">
        <v>968</v>
      </c>
      <c r="D2526" s="27" t="s">
        <v>969</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1085</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991</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1622</v>
      </c>
      <c r="B2529" s="27" t="s">
        <v>1013</v>
      </c>
      <c r="C2529" s="27" t="s">
        <v>968</v>
      </c>
      <c r="D2529" s="27" t="s">
        <v>969</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1110</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1824</v>
      </c>
      <c r="B2531" s="27" t="s">
        <v>1013</v>
      </c>
      <c r="C2531" s="27" t="s">
        <v>1018</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999</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150</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1005</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row>
    <row r="2536" spans="1:12">
      <c r="A2536" s="20" t="s">
        <v>1060</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1825</v>
      </c>
    </row>
    <row r="2538" spans="1:12">
      <c r="A2538" s="20" t="s">
        <v>1007</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1041</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1351</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1009</v>
      </c>
      <c r="B2541" s="27" t="s">
        <v>967</v>
      </c>
      <c r="C2541" s="27" t="s">
        <v>1011</v>
      </c>
      <c r="D2541" s="27" t="s">
        <v>969</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1194</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965</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1826</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1268</v>
      </c>
      <c r="B2545" s="27" t="s">
        <v>1010</v>
      </c>
      <c r="C2545" s="27" t="s">
        <v>968</v>
      </c>
      <c r="D2545" s="27" t="s">
        <v>969</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991</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1273</v>
      </c>
      <c r="B2547" s="27" t="s">
        <v>982</v>
      </c>
      <c r="C2547" s="27" t="s">
        <v>988</v>
      </c>
      <c r="D2547" s="27" t="s">
        <v>969</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1827</v>
      </c>
      <c r="B2548" s="27" t="s">
        <v>1010</v>
      </c>
      <c r="C2548" s="27" t="s">
        <v>974</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1113</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1024</v>
      </c>
      <c r="B2550" s="27" t="s">
        <v>1013</v>
      </c>
      <c r="C2550" s="27" t="s">
        <v>1011</v>
      </c>
      <c r="D2550" s="27" t="s">
        <v>969</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1828</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176</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1005</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row>
    <row r="2555" spans="1:12">
      <c r="A2555" s="20" t="s">
        <v>1829</v>
      </c>
    </row>
    <row r="2556" spans="1:12">
      <c r="A2556" s="20" t="s">
        <v>1830</v>
      </c>
      <c r="B2556" s="27" t="s">
        <v>967</v>
      </c>
      <c r="C2556" s="27" t="s">
        <v>968</v>
      </c>
      <c r="D2556" s="27" t="s">
        <v>969</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1097</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1673</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1051</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1831</v>
      </c>
      <c r="B2560" s="27" t="s">
        <v>1053</v>
      </c>
      <c r="C2560" s="27" t="s">
        <v>1018</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991</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1108</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1038</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1024</v>
      </c>
      <c r="B2564" s="27" t="s">
        <v>1010</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1832</v>
      </c>
      <c r="B2565" s="27" t="s">
        <v>982</v>
      </c>
      <c r="C2565" s="27" t="s">
        <v>1011</v>
      </c>
      <c r="D2565" s="27" t="s">
        <v>969</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1833</v>
      </c>
      <c r="B2566" s="27" t="s">
        <v>1013</v>
      </c>
      <c r="C2566" s="27" t="s">
        <v>1123</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1834</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1113</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1005</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row>
    <row r="2571" spans="1:12">
      <c r="A2571" s="20" t="s">
        <v>1060</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1835</v>
      </c>
    </row>
    <row r="2573" spans="1:12">
      <c r="A2573" s="20" t="s">
        <v>1836</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991</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1024</v>
      </c>
      <c r="B2575" s="27" t="s">
        <v>967</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1331</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1837</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1447</v>
      </c>
      <c r="B2578" s="27" t="s">
        <v>1053</v>
      </c>
      <c r="C2578" s="27" t="s">
        <v>1011</v>
      </c>
      <c r="D2578" s="27" t="s">
        <v>969</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414</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1005</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965</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row>
    <row r="2583" spans="1:12">
      <c r="A2583" s="20" t="s">
        <v>1060</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1838</v>
      </c>
    </row>
    <row r="2585" spans="1:12">
      <c r="A2585" s="20" t="s">
        <v>1007</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993</v>
      </c>
      <c r="B2586" s="27" t="s">
        <v>967</v>
      </c>
      <c r="C2586" s="27" t="s">
        <v>968</v>
      </c>
      <c r="D2586" s="27" t="s">
        <v>969</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1351</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1194</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965</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1797</v>
      </c>
      <c r="B2590" s="27" t="s">
        <v>973</v>
      </c>
      <c r="C2590" s="27" t="s">
        <v>1083</v>
      </c>
      <c r="D2590" s="27" t="s">
        <v>969</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991</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1024</v>
      </c>
      <c r="B2592" s="27" t="s">
        <v>1010</v>
      </c>
      <c r="C2592" s="27" t="s">
        <v>1102</v>
      </c>
      <c r="D2592" s="27" t="s">
        <v>969</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1097</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975</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1839</v>
      </c>
      <c r="B2595" s="27" t="s">
        <v>978</v>
      </c>
      <c r="C2595" s="27" t="s">
        <v>974</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1005</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965</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row>
    <row r="2599" spans="1:12">
      <c r="A2599" s="20" t="s">
        <v>1060</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1840</v>
      </c>
    </row>
    <row r="2601" spans="1:12">
      <c r="A2601" s="20" t="s">
        <v>1359</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976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1841</v>
      </c>
      <c r="B2603" s="27" t="s">
        <v>1053</v>
      </c>
      <c r="C2603" s="27" t="s">
        <v>1083</v>
      </c>
      <c r="D2603" s="27" t="s">
        <v>969</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1842</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1810</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1813</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1107</v>
      </c>
      <c r="B2607" s="27" t="s">
        <v>973</v>
      </c>
      <c r="C2607" s="27" t="s">
        <v>968</v>
      </c>
      <c r="D2607" s="27" t="s">
        <v>969</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1622</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1843</v>
      </c>
      <c r="B2609" s="27" t="s">
        <v>967</v>
      </c>
      <c r="C2609" s="27" t="s">
        <v>1035</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999</v>
      </c>
      <c r="B2610" s="27" t="s">
        <v>978</v>
      </c>
      <c r="C2610" s="27" t="s">
        <v>1001</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1043</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1815</v>
      </c>
      <c r="B2612" s="27" t="s">
        <v>1053</v>
      </c>
      <c r="C2612" s="27" t="s">
        <v>979</v>
      </c>
      <c r="D2612" s="27" t="s">
        <v>969</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980</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1351</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999</v>
      </c>
      <c r="B2615" s="27" t="s">
        <v>982</v>
      </c>
      <c r="C2615" s="27" t="s">
        <v>1001</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1026</v>
      </c>
      <c r="B2616" s="27" t="s">
        <v>978</v>
      </c>
      <c r="C2616" s="27" t="s">
        <v>968</v>
      </c>
      <c r="D2616" s="27" t="s">
        <v>969</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1194</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965</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1125</v>
      </c>
      <c r="B2619" s="27" t="s">
        <v>1003</v>
      </c>
      <c r="C2619" s="27" t="s">
        <v>988</v>
      </c>
      <c r="D2619" s="27" t="s">
        <v>969</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669</v>
      </c>
      <c r="B2620" s="27" t="s">
        <v>994</v>
      </c>
      <c r="C2620" s="27" t="s">
        <v>974</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1113</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241</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991</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996</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993</v>
      </c>
      <c r="B2625" s="27" t="s">
        <v>997</v>
      </c>
      <c r="C2625" s="27" t="s">
        <v>968</v>
      </c>
      <c r="D2625" s="27" t="s">
        <v>969</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1844</v>
      </c>
      <c r="B2626" s="27" t="s">
        <v>1003</v>
      </c>
      <c r="C2626" s="27" t="s">
        <v>1011</v>
      </c>
      <c r="D2626" s="27" t="s">
        <v>969</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1845</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1846</v>
      </c>
      <c r="B2628" s="27" t="s">
        <v>982</v>
      </c>
      <c r="C2628" s="27" t="s">
        <v>1123</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1047</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991</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1114</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1009</v>
      </c>
      <c r="B2632" s="27" t="s">
        <v>1294</v>
      </c>
      <c r="C2632" s="27" t="s">
        <v>1011</v>
      </c>
      <c r="D2632" s="27" t="s">
        <v>969</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1024</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1847</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1005</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row>
    <row r="2637" spans="1:12">
      <c r="A2637" s="20" t="s">
        <v>1060</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1848</v>
      </c>
    </row>
    <row r="2639" spans="1:12">
      <c r="A2639" s="20" t="s">
        <v>1144</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993</v>
      </c>
      <c r="B2640" s="27" t="s">
        <v>967</v>
      </c>
      <c r="C2640" s="27" t="s">
        <v>968</v>
      </c>
      <c r="D2640" s="27" t="s">
        <v>969</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1352</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1037</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1078</v>
      </c>
      <c r="B2643" s="27" t="s">
        <v>1053</v>
      </c>
      <c r="C2643" s="27" t="s">
        <v>974</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999</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160</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980</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993</v>
      </c>
      <c r="B2647" s="27" t="s">
        <v>1010</v>
      </c>
      <c r="C2647" s="27" t="s">
        <v>968</v>
      </c>
      <c r="D2647" s="27" t="s">
        <v>969</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1818</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1849</v>
      </c>
      <c r="B2649" s="27" t="s">
        <v>982</v>
      </c>
      <c r="C2649" s="27" t="s">
        <v>1001</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1375</v>
      </c>
      <c r="B2650" s="27" t="s">
        <v>1013</v>
      </c>
      <c r="C2650" s="27" t="s">
        <v>1123</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991</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980</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1850</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993</v>
      </c>
      <c r="B2654" s="27" t="s">
        <v>1010</v>
      </c>
      <c r="C2654" s="27" t="s">
        <v>968</v>
      </c>
      <c r="D2654" s="27" t="s">
        <v>969</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1107</v>
      </c>
      <c r="B2655" s="27" t="s">
        <v>1013</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991</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1177</v>
      </c>
      <c r="B2657" s="27" t="s">
        <v>1013</v>
      </c>
      <c r="C2657" s="27" t="s">
        <v>1011</v>
      </c>
      <c r="D2657" s="27" t="s">
        <v>969</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1268</v>
      </c>
      <c r="B2658" s="27" t="s">
        <v>1010</v>
      </c>
      <c r="C2658" s="27" t="s">
        <v>968</v>
      </c>
      <c r="D2658" s="27" t="s">
        <v>969</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241</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1005</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965</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row>
    <row r="2663" spans="1:12">
      <c r="A2663" s="20" t="s">
        <v>1851</v>
      </c>
    </row>
    <row r="2664" spans="1:12">
      <c r="A2664" s="20" t="s">
        <v>1268</v>
      </c>
      <c r="B2664" s="27" t="s">
        <v>967</v>
      </c>
      <c r="C2664" s="27" t="s">
        <v>968</v>
      </c>
      <c r="D2664" s="27" t="s">
        <v>969</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1852</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985</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1039</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1375</v>
      </c>
      <c r="B2668" s="27" t="s">
        <v>973</v>
      </c>
      <c r="C2668" s="27" t="s">
        <v>979</v>
      </c>
      <c r="D2668" s="27" t="s">
        <v>969</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1151</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1385</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1853</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1854</v>
      </c>
      <c r="B2672" s="27" t="s">
        <v>978</v>
      </c>
      <c r="C2672" s="27" t="s">
        <v>1123</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975</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976</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1855</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1856</v>
      </c>
      <c r="B2676" s="27" t="s">
        <v>982</v>
      </c>
      <c r="C2676" s="27" t="s">
        <v>979</v>
      </c>
      <c r="D2676" s="27" t="s">
        <v>969</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1005</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row>
    <row r="2679" spans="1:12">
      <c r="A2679" s="20" t="s">
        <v>1857</v>
      </c>
    </row>
    <row r="2680" spans="1:12">
      <c r="A2680" s="20" t="s">
        <v>966</v>
      </c>
      <c r="B2680" s="27" t="s">
        <v>967</v>
      </c>
      <c r="C2680" s="27" t="s">
        <v>968</v>
      </c>
      <c r="D2680" s="27" t="s">
        <v>969</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1351</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991</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996</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993</v>
      </c>
      <c r="B2684" s="27" t="s">
        <v>1010</v>
      </c>
      <c r="C2684" s="27" t="s">
        <v>968</v>
      </c>
      <c r="D2684" s="27" t="s">
        <v>969</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1739</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991</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996</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985</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1858</v>
      </c>
      <c r="B2689" s="27" t="s">
        <v>994</v>
      </c>
      <c r="C2689" s="27" t="s">
        <v>979</v>
      </c>
      <c r="D2689" s="27" t="s">
        <v>969</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975</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1043</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1859</v>
      </c>
      <c r="B2692" s="27" t="s">
        <v>982</v>
      </c>
      <c r="C2692" s="27" t="s">
        <v>979</v>
      </c>
      <c r="D2692" s="27" t="s">
        <v>969</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1849</v>
      </c>
      <c r="B2693" s="27" t="s">
        <v>994</v>
      </c>
      <c r="C2693" s="27" t="s">
        <v>1001</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1641</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1354</v>
      </c>
      <c r="B2695" s="27" t="s">
        <v>1003</v>
      </c>
      <c r="C2695" s="27" t="s">
        <v>1035</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1860</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1861</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1005</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row>
    <row r="2700" spans="1:12">
      <c r="A2700" s="20" t="s">
        <v>1862</v>
      </c>
    </row>
    <row r="2701" spans="1:12">
      <c r="A2701" s="20" t="s">
        <v>1144</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1026</v>
      </c>
      <c r="B2702" s="27" t="s">
        <v>973</v>
      </c>
      <c r="C2702" s="27" t="s">
        <v>968</v>
      </c>
      <c r="D2702" s="27" t="s">
        <v>969</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1411</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1365</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1863</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1864</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991</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1214</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1865</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1445</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1016</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1866</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1867</v>
      </c>
      <c r="B2713" s="27" t="s">
        <v>1053</v>
      </c>
      <c r="C2713" s="27" t="s">
        <v>1018</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1097</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1005</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row>
    <row r="2717" spans="1:12">
      <c r="A2717" s="20" t="s">
        <v>1868</v>
      </c>
    </row>
    <row r="2718" spans="1:12">
      <c r="A2718" s="20" t="s">
        <v>1078</v>
      </c>
      <c r="B2718" s="27" t="s">
        <v>967</v>
      </c>
      <c r="C2718" s="27" t="s">
        <v>974</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1195</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1445</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1869</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1005</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row>
    <row r="2724" spans="1:12">
      <c r="A2724" s="20" t="s">
        <v>1870</v>
      </c>
    </row>
    <row r="2725" spans="1:12">
      <c r="A2725" s="20" t="s">
        <v>1268</v>
      </c>
      <c r="B2725" s="27" t="s">
        <v>967</v>
      </c>
      <c r="C2725" s="27" t="s">
        <v>968</v>
      </c>
      <c r="D2725" s="27" t="s">
        <v>969</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440</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1445</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1179</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1473</v>
      </c>
      <c r="B2729" s="27" t="s">
        <v>973</v>
      </c>
      <c r="C2729" s="27" t="s">
        <v>1123</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980</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1871</v>
      </c>
      <c r="B2731" s="27" t="s">
        <v>978</v>
      </c>
      <c r="C2731" s="27" t="s">
        <v>974</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991</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980</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1820</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999</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1872</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1873</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985</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1078</v>
      </c>
      <c r="B2739" s="27" t="s">
        <v>973</v>
      </c>
      <c r="C2739" s="27" t="s">
        <v>979</v>
      </c>
      <c r="D2739" s="27" t="s">
        <v>969</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1515</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1005</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row>
    <row r="2743" spans="1:12">
      <c r="A2743" s="20" t="s">
        <v>1874</v>
      </c>
    </row>
    <row r="2744" spans="1:12">
      <c r="A2744" s="20" t="s">
        <v>1007</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1041</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1193</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993</v>
      </c>
      <c r="B2747" s="27" t="s">
        <v>967</v>
      </c>
      <c r="C2747" s="27" t="s">
        <v>968</v>
      </c>
      <c r="D2747" s="27" t="s">
        <v>969</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1032</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1138</v>
      </c>
      <c r="B2749" s="27" t="s">
        <v>978</v>
      </c>
      <c r="C2749" s="27" t="s">
        <v>1001</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985</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1875</v>
      </c>
      <c r="B2751" s="27" t="s">
        <v>1053</v>
      </c>
      <c r="C2751" s="27" t="s">
        <v>979</v>
      </c>
      <c r="D2751" s="27" t="s">
        <v>969</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1131</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991</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1214</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1111</v>
      </c>
      <c r="B2755" s="27" t="s">
        <v>978</v>
      </c>
      <c r="C2755" s="27" t="s">
        <v>974</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1213</v>
      </c>
      <c r="B2756" s="27" t="s">
        <v>1013</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1105</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1876</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1005</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row>
    <row r="2761" spans="1:12">
      <c r="A2761" s="20" t="s">
        <v>1877</v>
      </c>
    </row>
    <row r="2762" spans="1:12">
      <c r="A2762" s="20" t="s">
        <v>966</v>
      </c>
      <c r="B2762" s="27" t="s">
        <v>967</v>
      </c>
      <c r="C2762" s="27" t="s">
        <v>968</v>
      </c>
      <c r="D2762" s="27" t="s">
        <v>969</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1042</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1046</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1878</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1879</v>
      </c>
      <c r="B2766" s="27" t="s">
        <v>1053</v>
      </c>
      <c r="C2766" s="27" t="s">
        <v>974</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1005</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row>
    <row r="2769" spans="1:12">
      <c r="A2769" s="20" t="s">
        <v>1880</v>
      </c>
    </row>
    <row r="2770" spans="1:12">
      <c r="A2770" s="20" t="s">
        <v>966</v>
      </c>
      <c r="B2770" s="27" t="s">
        <v>967</v>
      </c>
      <c r="C2770" s="27" t="s">
        <v>968</v>
      </c>
      <c r="D2770" s="27" t="s">
        <v>969</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1193</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991</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996</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1086</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1051</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1808</v>
      </c>
      <c r="B2776" s="27" t="s">
        <v>982</v>
      </c>
      <c r="C2776" s="27" t="s">
        <v>1001</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1363</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12</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1875</v>
      </c>
      <c r="B2779" s="27" t="s">
        <v>1010</v>
      </c>
      <c r="C2779" s="27" t="s">
        <v>1018</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1384</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991</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985</v>
      </c>
      <c r="B2782" s="27" t="s">
        <v>1010</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1881</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991</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980</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1086</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1178</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1627</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991</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1882</v>
      </c>
      <c r="B2790" s="27" t="s">
        <v>1010</v>
      </c>
      <c r="C2790" s="27" t="s">
        <v>1011</v>
      </c>
      <c r="D2790" s="27" t="s">
        <v>969</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1024</v>
      </c>
      <c r="B2791" s="27" t="s">
        <v>1010</v>
      </c>
      <c r="C2791" s="27" t="s">
        <v>1102</v>
      </c>
      <c r="D2791" s="27" t="s">
        <v>969</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1883</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12</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1086</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1384</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1375</v>
      </c>
      <c r="B2796" s="27" t="s">
        <v>1010</v>
      </c>
      <c r="C2796" s="27" t="s">
        <v>974</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991</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1086</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1384</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1884</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1885</v>
      </c>
      <c r="B2801" s="27" t="s">
        <v>1010</v>
      </c>
      <c r="C2801" s="27" t="s">
        <v>974</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991</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1086</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1384</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1886</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985</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1887</v>
      </c>
      <c r="B2807" s="27" t="s">
        <v>1010</v>
      </c>
      <c r="C2807" s="27" t="s">
        <v>979</v>
      </c>
      <c r="D2807" s="27" t="s">
        <v>969</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980</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996</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1888</v>
      </c>
      <c r="B2810" s="27" t="s">
        <v>982</v>
      </c>
      <c r="C2810" s="27" t="s">
        <v>1001</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1073</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1889</v>
      </c>
      <c r="B2812" s="27" t="s">
        <v>1010</v>
      </c>
      <c r="C2812" s="27" t="s">
        <v>1123</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1047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1005</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row>
    <row r="2816" spans="1:12">
      <c r="A2816" s="20" t="s">
        <v>1890</v>
      </c>
    </row>
    <row r="2817" spans="1:12">
      <c r="A2817" s="20" t="s">
        <v>1144</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1041</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1549</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993</v>
      </c>
      <c r="B2820" s="27" t="s">
        <v>967</v>
      </c>
      <c r="C2820" s="27" t="s">
        <v>968</v>
      </c>
      <c r="D2820" s="27" t="s">
        <v>969</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1357</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1005</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row>
    <row r="2824" spans="1:12">
      <c r="A2824" s="20" t="s">
        <v>1891</v>
      </c>
    </row>
    <row r="2825" spans="1:12">
      <c r="A2825" s="20" t="s">
        <v>1182</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1220</v>
      </c>
      <c r="B2826" s="27" t="s">
        <v>1010</v>
      </c>
      <c r="C2826" s="27" t="s">
        <v>1001</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1110</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1892</v>
      </c>
      <c r="B2828" s="27" t="s">
        <v>1013</v>
      </c>
      <c r="C2828" s="27" t="s">
        <v>1018</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1282</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980</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1220</v>
      </c>
      <c r="B2831" s="27" t="s">
        <v>994</v>
      </c>
      <c r="C2831" s="27" t="s">
        <v>1001</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1716</v>
      </c>
      <c r="B2832" s="27" t="s">
        <v>978</v>
      </c>
      <c r="C2832" s="27" t="s">
        <v>1083</v>
      </c>
      <c r="D2832" s="27" t="s">
        <v>969</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991</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996</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1086</v>
      </c>
      <c r="B2835" s="27" t="s">
        <v>997</v>
      </c>
      <c r="C2835" s="27" t="s">
        <v>968</v>
      </c>
      <c r="D2835" s="27" t="s">
        <v>969</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1382</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1520</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1893</v>
      </c>
      <c r="B2838" s="27" t="s">
        <v>982</v>
      </c>
      <c r="C2838" s="27" t="s">
        <v>1018</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991</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1114</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1220</v>
      </c>
      <c r="B2841" s="27" t="s">
        <v>994</v>
      </c>
      <c r="C2841" s="27" t="s">
        <v>1001</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1894</v>
      </c>
      <c r="B2842" s="27" t="s">
        <v>1003</v>
      </c>
      <c r="C2842" s="27" t="s">
        <v>1001</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1895</v>
      </c>
      <c r="B2843" s="27" t="s">
        <v>1031</v>
      </c>
      <c r="C2843" s="27" t="s">
        <v>974</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87</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1896</v>
      </c>
      <c r="B2845" s="27" t="s">
        <v>1000</v>
      </c>
      <c r="C2845" s="27" t="s">
        <v>1123</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1022</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976</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1897</v>
      </c>
      <c r="B2848" s="27" t="s">
        <v>1003</v>
      </c>
      <c r="C2848" s="27" t="s">
        <v>979</v>
      </c>
      <c r="D2848" s="27" t="s">
        <v>969</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1898</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991</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1218</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1220</v>
      </c>
      <c r="B2852" s="27" t="s">
        <v>967</v>
      </c>
      <c r="C2852" s="27" t="s">
        <v>1001</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1213</v>
      </c>
      <c r="B2853" s="27" t="s">
        <v>973</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1520</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13</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991</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1240</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1220</v>
      </c>
      <c r="B2858" s="27" t="s">
        <v>1010</v>
      </c>
      <c r="C2858" s="27" t="s">
        <v>1001</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1282</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1067</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1515</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1110</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1892</v>
      </c>
      <c r="B2863" s="27" t="s">
        <v>1013</v>
      </c>
      <c r="C2863" s="27" t="s">
        <v>1018</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991</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980</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1220</v>
      </c>
      <c r="B2866" s="27" t="s">
        <v>1010</v>
      </c>
      <c r="C2866" s="27" t="s">
        <v>1001</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1218</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614</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1067</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1515</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1545</v>
      </c>
      <c r="B2871" s="27" t="s">
        <v>978</v>
      </c>
      <c r="C2871" s="27" t="s">
        <v>1234</v>
      </c>
      <c r="D2871" s="27" t="s">
        <v>969</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49</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1005</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row>
    <row r="2875" spans="1:12">
      <c r="A2875" s="20" t="s">
        <v>1899</v>
      </c>
    </row>
    <row r="2876" spans="1:12">
      <c r="A2876" s="20" t="s">
        <v>1144</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1114</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1220</v>
      </c>
      <c r="B2878" s="27" t="s">
        <v>967</v>
      </c>
      <c r="C2878" s="27" t="s">
        <v>1001</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1078</v>
      </c>
      <c r="B2879" s="27" t="s">
        <v>973</v>
      </c>
      <c r="C2879" s="27" t="s">
        <v>974</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1282</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980</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1900</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1896</v>
      </c>
      <c r="B2883" s="27" t="s">
        <v>982</v>
      </c>
      <c r="C2883" s="27" t="s">
        <v>1123</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1901</v>
      </c>
      <c r="B2884" s="27" t="s">
        <v>1013</v>
      </c>
      <c r="C2884" s="27" t="s">
        <v>974</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1151</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976</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1360</v>
      </c>
      <c r="B2887" s="27" t="s">
        <v>982</v>
      </c>
      <c r="C2887" s="27" t="s">
        <v>979</v>
      </c>
      <c r="D2887" s="27" t="s">
        <v>969</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1233</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534</v>
      </c>
      <c r="B2889" s="27" t="s">
        <v>1010</v>
      </c>
      <c r="C2889" s="27" t="s">
        <v>974</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991</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996</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1220</v>
      </c>
      <c r="B2892" s="27" t="s">
        <v>1010</v>
      </c>
      <c r="C2892" s="27" t="s">
        <v>1001</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1213</v>
      </c>
      <c r="B2893" s="27" t="s">
        <v>1013</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1520</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970</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991</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1041</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1902</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1086</v>
      </c>
      <c r="B2899" s="27" t="s">
        <v>994</v>
      </c>
      <c r="C2899" s="27" t="s">
        <v>968</v>
      </c>
      <c r="D2899" s="27" t="s">
        <v>969</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991</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1585</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1070</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1078</v>
      </c>
      <c r="B2903" s="27" t="s">
        <v>1003</v>
      </c>
      <c r="C2903" s="27" t="s">
        <v>974</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1195</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985</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1903</v>
      </c>
      <c r="B2906" s="27" t="s">
        <v>997</v>
      </c>
      <c r="C2906" s="27" t="s">
        <v>979</v>
      </c>
      <c r="D2906" s="27" t="s">
        <v>969</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1904</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980</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1114</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1220</v>
      </c>
      <c r="B2910" s="27" t="s">
        <v>1588</v>
      </c>
      <c r="C2910" s="27" t="s">
        <v>1001</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1213</v>
      </c>
      <c r="B2911" s="27" t="s">
        <v>1905</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1520</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970</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991</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1041</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1097</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1220</v>
      </c>
      <c r="B2917" s="27" t="s">
        <v>1294</v>
      </c>
      <c r="C2917" s="27" t="s">
        <v>1001</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1906</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1021</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1158</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1262</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1005</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row>
    <row r="2924" spans="1:12">
      <c r="A2924" s="20" t="s">
        <v>1907</v>
      </c>
    </row>
    <row r="2925" spans="1:12">
      <c r="A2925" s="20" t="s">
        <v>1908</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1411</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993</v>
      </c>
      <c r="B2927" s="27" t="s">
        <v>1010</v>
      </c>
      <c r="C2927" s="27" t="s">
        <v>968</v>
      </c>
      <c r="D2927" s="27" t="s">
        <v>969</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1909</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1910</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1043</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1911</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1074</v>
      </c>
      <c r="B2932" s="27" t="s">
        <v>982</v>
      </c>
      <c r="C2932" s="27" t="s">
        <v>979</v>
      </c>
      <c r="D2932" s="27" t="s">
        <v>969</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1912</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1913</v>
      </c>
      <c r="B2934" s="27" t="s">
        <v>1053</v>
      </c>
      <c r="C2934" s="27" t="s">
        <v>974</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1005</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row>
    <row r="2937" spans="1:12">
      <c r="A2937" s="20" t="s">
        <v>1914</v>
      </c>
    </row>
    <row r="2938" spans="1:12">
      <c r="A2938" s="20" t="s">
        <v>1007</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993</v>
      </c>
      <c r="B2939" s="27" t="s">
        <v>967</v>
      </c>
      <c r="C2939" s="27" t="s">
        <v>968</v>
      </c>
      <c r="D2939" s="27" t="s">
        <v>969</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1915</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1916</v>
      </c>
      <c r="B2941" s="27" t="s">
        <v>973</v>
      </c>
      <c r="C2941" s="27" t="s">
        <v>974</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991</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1917</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1095</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1918</v>
      </c>
      <c r="B2945" s="27" t="s">
        <v>978</v>
      </c>
      <c r="C2945" s="27" t="s">
        <v>974</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991</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1095</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1111</v>
      </c>
      <c r="B2948" s="27" t="s">
        <v>982</v>
      </c>
      <c r="C2948" s="27" t="s">
        <v>974</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991</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985</v>
      </c>
      <c r="B2950" s="27" t="s">
        <v>1294</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1026</v>
      </c>
      <c r="B2951" s="27" t="s">
        <v>1297</v>
      </c>
      <c r="C2951" s="27" t="s">
        <v>968</v>
      </c>
      <c r="D2951" s="27" t="s">
        <v>969</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1787</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991</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1177</v>
      </c>
      <c r="B2954" s="27" t="s">
        <v>1588</v>
      </c>
      <c r="C2954" s="27" t="s">
        <v>1011</v>
      </c>
      <c r="D2954" s="27" t="s">
        <v>969</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1919</v>
      </c>
      <c r="B2955" s="27" t="s">
        <v>1905</v>
      </c>
      <c r="C2955" s="27" t="s">
        <v>968</v>
      </c>
      <c r="D2955" s="27" t="s">
        <v>969</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1920</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1282</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1005</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row>
    <row r="2960" spans="1:12">
      <c r="A2960" s="20" t="s">
        <v>1921</v>
      </c>
    </row>
    <row r="2961" spans="1:12">
      <c r="A2961" s="20" t="s">
        <v>1922</v>
      </c>
      <c r="B2961" s="27" t="s">
        <v>967</v>
      </c>
      <c r="C2961" s="27" t="s">
        <v>1001</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1923</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1107</v>
      </c>
      <c r="B2963" s="27" t="s">
        <v>973</v>
      </c>
      <c r="C2963" s="27" t="s">
        <v>968</v>
      </c>
      <c r="D2963" s="27" t="s">
        <v>969</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1924</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1925</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1043</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1926</v>
      </c>
      <c r="B2967" s="27" t="s">
        <v>1053</v>
      </c>
      <c r="C2967" s="27" t="s">
        <v>979</v>
      </c>
      <c r="D2967" s="27" t="s">
        <v>969</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1131</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1927</v>
      </c>
      <c r="B2969" s="27" t="s">
        <v>1053</v>
      </c>
      <c r="C2969" s="27" t="s">
        <v>974</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1005</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row>
    <row r="2972" spans="1:12">
      <c r="A2972" s="20" t="s">
        <v>1928</v>
      </c>
    </row>
    <row r="2973" spans="1:12">
      <c r="A2973" s="20" t="s">
        <v>1929</v>
      </c>
      <c r="B2973" s="27" t="s">
        <v>978</v>
      </c>
      <c r="C2973" s="27" t="s">
        <v>1083</v>
      </c>
      <c r="D2973" s="27" t="s">
        <v>969</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1930</v>
      </c>
      <c r="B2974" s="27" t="s">
        <v>967</v>
      </c>
      <c r="C2974" s="27" t="s">
        <v>1083</v>
      </c>
      <c r="D2974" s="27" t="s">
        <v>969</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1837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1038</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1931</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1918</v>
      </c>
      <c r="B2978" s="27" t="s">
        <v>1053</v>
      </c>
      <c r="C2978" s="27" t="s">
        <v>979</v>
      </c>
      <c r="D2978" s="27" t="s">
        <v>969</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1178</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1809</v>
      </c>
      <c r="B2980" s="27" t="s">
        <v>967</v>
      </c>
      <c r="C2980" s="27" t="s">
        <v>1011</v>
      </c>
      <c r="D2980" s="27" t="s">
        <v>969</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991</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1043</v>
      </c>
      <c r="B2982" s="27" t="s">
        <v>994</v>
      </c>
      <c r="C2982" s="27" t="s">
        <v>1011</v>
      </c>
      <c r="D2982" s="27" t="s">
        <v>969</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1095</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1809</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669</v>
      </c>
      <c r="B2985" s="27" t="s">
        <v>982</v>
      </c>
      <c r="C2985" s="27" t="s">
        <v>1018</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1004</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991</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985</v>
      </c>
      <c r="B2988" s="27" t="s">
        <v>967</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1932</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980</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1351</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991</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1009</v>
      </c>
      <c r="B2993" s="27" t="s">
        <v>1010</v>
      </c>
      <c r="C2993" s="27" t="s">
        <v>1011</v>
      </c>
      <c r="D2993" s="27" t="s">
        <v>969</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1259</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1086</v>
      </c>
      <c r="B2995" s="27" t="s">
        <v>1010</v>
      </c>
      <c r="C2995" s="27" t="s">
        <v>968</v>
      </c>
      <c r="D2995" s="27" t="s">
        <v>969</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1037</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1809</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1363</v>
      </c>
      <c r="B2998" s="27" t="s">
        <v>978</v>
      </c>
      <c r="C2998" s="27" t="s">
        <v>1018</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1933</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991</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1009</v>
      </c>
      <c r="B3001" s="27" t="s">
        <v>1010</v>
      </c>
      <c r="C3001" s="27" t="s">
        <v>1011</v>
      </c>
      <c r="D3001" s="27" t="s">
        <v>969</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1259</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1375</v>
      </c>
      <c r="B3003" s="27" t="s">
        <v>1010</v>
      </c>
      <c r="C3003" s="27" t="s">
        <v>974</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1933</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991</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1009</v>
      </c>
      <c r="B3006" s="27" t="s">
        <v>1010</v>
      </c>
      <c r="C3006" s="27" t="s">
        <v>1011</v>
      </c>
      <c r="D3006" s="27" t="s">
        <v>969</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1278</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1445</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1721</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1888</v>
      </c>
      <c r="B3010" s="27" t="s">
        <v>973</v>
      </c>
      <c r="C3010" s="27" t="s">
        <v>1001</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1934</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1005</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row>
    <row r="3014" spans="1:12">
      <c r="A3014" s="20" t="s">
        <v>1935</v>
      </c>
    </row>
    <row r="3015" spans="1:12">
      <c r="A3015" s="20" t="s">
        <v>1268</v>
      </c>
      <c r="B3015" s="27" t="s">
        <v>1010</v>
      </c>
      <c r="C3015" s="27" t="s">
        <v>968</v>
      </c>
      <c r="D3015" s="27" t="s">
        <v>969</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1278</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1016</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1936</v>
      </c>
      <c r="B3018" s="27" t="s">
        <v>973</v>
      </c>
      <c r="C3018" s="27" t="s">
        <v>1018</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1937</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980</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1938</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991</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993</v>
      </c>
      <c r="B3023" s="27" t="s">
        <v>1010</v>
      </c>
      <c r="C3023" s="27" t="s">
        <v>968</v>
      </c>
      <c r="D3023" s="27" t="s">
        <v>969</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1113</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1086</v>
      </c>
      <c r="B3025" s="27" t="s">
        <v>1013</v>
      </c>
      <c r="C3025" s="27" t="s">
        <v>968</v>
      </c>
      <c r="D3025" s="27" t="s">
        <v>969</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1043</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1074</v>
      </c>
      <c r="B3027" s="27" t="s">
        <v>1013</v>
      </c>
      <c r="C3027" s="27" t="s">
        <v>979</v>
      </c>
      <c r="D3027" s="27" t="s">
        <v>969</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237</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991</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1939</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1771</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1438</v>
      </c>
      <c r="B3032" s="27" t="s">
        <v>1031</v>
      </c>
      <c r="C3032" s="27" t="s">
        <v>974</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1172</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1940</v>
      </c>
      <c r="B3034" s="27" t="s">
        <v>1003</v>
      </c>
      <c r="C3034" s="27" t="s">
        <v>974</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999</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58</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1005</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row>
    <row r="3039" spans="1:12">
      <c r="A3039" s="20" t="s">
        <v>1941</v>
      </c>
    </row>
    <row r="3040" spans="1:12">
      <c r="A3040" s="20" t="s">
        <v>1268</v>
      </c>
      <c r="B3040" s="27" t="s">
        <v>967</v>
      </c>
      <c r="C3040" s="27" t="s">
        <v>968</v>
      </c>
      <c r="D3040" s="27" t="s">
        <v>969</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1942</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1026</v>
      </c>
      <c r="B3042" s="27" t="s">
        <v>973</v>
      </c>
      <c r="C3042" s="27" t="s">
        <v>968</v>
      </c>
      <c r="D3042" s="27" t="s">
        <v>969</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1051</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1808</v>
      </c>
      <c r="B3044" s="27" t="s">
        <v>973</v>
      </c>
      <c r="C3044" s="27" t="s">
        <v>1001</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1381</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1005</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row>
    <row r="3048" spans="1:12">
      <c r="A3048" s="20" t="s">
        <v>1943</v>
      </c>
    </row>
    <row r="3049" spans="1:12">
      <c r="A3049" s="20" t="s">
        <v>1007</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993</v>
      </c>
      <c r="B3050" s="27" t="s">
        <v>967</v>
      </c>
      <c r="C3050" s="27" t="s">
        <v>968</v>
      </c>
      <c r="D3050" s="27" t="s">
        <v>969</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1944</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1009</v>
      </c>
      <c r="B3052" s="27" t="s">
        <v>973</v>
      </c>
      <c r="C3052" s="27" t="s">
        <v>1011</v>
      </c>
      <c r="D3052" s="27" t="s">
        <v>969</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1168</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1021</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1005</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row>
    <row r="3057" spans="1:12">
      <c r="A3057" s="20" t="s">
        <v>1945</v>
      </c>
    </row>
    <row r="3058" spans="1:12">
      <c r="A3058" s="20" t="s">
        <v>966</v>
      </c>
      <c r="B3058" s="27" t="s">
        <v>967</v>
      </c>
      <c r="C3058" s="27" t="s">
        <v>968</v>
      </c>
      <c r="D3058" s="27" t="s">
        <v>969</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1023</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1622</v>
      </c>
      <c r="B3060" s="27" t="s">
        <v>973</v>
      </c>
      <c r="C3060" s="27" t="s">
        <v>968</v>
      </c>
      <c r="D3060" s="27" t="s">
        <v>969</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1475</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991</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996</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1009</v>
      </c>
      <c r="B3064" s="27" t="s">
        <v>1010</v>
      </c>
      <c r="C3064" s="27" t="s">
        <v>1011</v>
      </c>
      <c r="D3064" s="27" t="s">
        <v>969</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1365</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1946</v>
      </c>
      <c r="B3066" s="27" t="s">
        <v>1013</v>
      </c>
      <c r="C3066" s="27" t="s">
        <v>974</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975</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976</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1947</v>
      </c>
      <c r="B3069" s="27" t="s">
        <v>982</v>
      </c>
      <c r="C3069" s="27" t="s">
        <v>1083</v>
      </c>
      <c r="D3069" s="27" t="s">
        <v>969</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1948</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1331</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1005</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row>
    <row r="3074" spans="1:12">
      <c r="A3074" s="20" t="s">
        <v>1949</v>
      </c>
    </row>
    <row r="3075" spans="1:12">
      <c r="A3075" s="20" t="s">
        <v>1950</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1951</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993</v>
      </c>
      <c r="B3077" s="27" t="s">
        <v>967</v>
      </c>
      <c r="C3077" s="27" t="s">
        <v>968</v>
      </c>
      <c r="D3077" s="27" t="s">
        <v>969</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1026</v>
      </c>
      <c r="B3078" s="27" t="s">
        <v>973</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1952</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1913</v>
      </c>
      <c r="B3080" s="27" t="s">
        <v>973</v>
      </c>
      <c r="C3080" s="27" t="s">
        <v>974</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1151</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991</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980</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1189</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1073</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1913</v>
      </c>
      <c r="B3086" s="27" t="s">
        <v>1013</v>
      </c>
      <c r="C3086" s="27" t="s">
        <v>974</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975</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1953</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1185</v>
      </c>
      <c r="B3089" s="27" t="s">
        <v>982</v>
      </c>
      <c r="C3089" s="27" t="s">
        <v>974</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1005</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row>
    <row r="3092" spans="1:12">
      <c r="A3092" s="20" t="s">
        <v>1954</v>
      </c>
    </row>
    <row r="3093" spans="1:12">
      <c r="A3093" s="20" t="s">
        <v>966</v>
      </c>
      <c r="B3093" s="27" t="s">
        <v>967</v>
      </c>
      <c r="C3093" s="27" t="s">
        <v>968</v>
      </c>
      <c r="D3093" s="27" t="s">
        <v>969</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1955</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1107</v>
      </c>
      <c r="B3095" s="27" t="s">
        <v>973</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1382</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1956</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12</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1957</v>
      </c>
      <c r="B3099" s="27" t="s">
        <v>973</v>
      </c>
      <c r="C3099" s="27" t="s">
        <v>1018</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975</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976</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1958</v>
      </c>
      <c r="B3102" s="27" t="s">
        <v>1053</v>
      </c>
      <c r="C3102" s="27" t="s">
        <v>979</v>
      </c>
      <c r="D3102" s="27" t="s">
        <v>969</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991</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1043</v>
      </c>
      <c r="B3104" s="27" t="s">
        <v>994</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1721</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1179</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1959</v>
      </c>
      <c r="B3107" s="27" t="s">
        <v>1031</v>
      </c>
      <c r="C3107" s="27" t="s">
        <v>1123</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1960</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1005</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row>
    <row r="3111" spans="1:12">
      <c r="A3111" s="20" t="s">
        <v>1060</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1961</v>
      </c>
    </row>
    <row r="3113" spans="1:12">
      <c r="A3113" s="20" t="s">
        <v>966</v>
      </c>
      <c r="B3113" s="27" t="s">
        <v>967</v>
      </c>
      <c r="C3113" s="27" t="s">
        <v>968</v>
      </c>
      <c r="D3113" s="27" t="s">
        <v>969</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1962</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1689</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1021</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975</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1024</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1963</v>
      </c>
      <c r="B3119" s="27" t="s">
        <v>1053</v>
      </c>
      <c r="C3119" s="27" t="s">
        <v>979</v>
      </c>
      <c r="D3119" s="27" t="s">
        <v>969</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267</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991</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1240</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1051</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1808</v>
      </c>
      <c r="B3124" s="27" t="s">
        <v>1003</v>
      </c>
      <c r="C3124" s="27" t="s">
        <v>1001</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1147</v>
      </c>
      <c r="B3125" s="27" t="s">
        <v>982</v>
      </c>
      <c r="C3125" s="27" t="s">
        <v>1018</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1741</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1178</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993</v>
      </c>
      <c r="B3128" s="27" t="s">
        <v>994</v>
      </c>
      <c r="C3128" s="27" t="s">
        <v>968</v>
      </c>
      <c r="D3128" s="27" t="s">
        <v>969</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975</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1964</v>
      </c>
      <c r="B3130" s="27" t="s">
        <v>978</v>
      </c>
      <c r="C3130" s="27" t="s">
        <v>1083</v>
      </c>
      <c r="D3130" s="27" t="s">
        <v>969</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980</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1965</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1396</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1151</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1382</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1313</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1966</v>
      </c>
      <c r="B3137" s="27" t="s">
        <v>982</v>
      </c>
      <c r="C3137" s="27" t="s">
        <v>1018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991</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980</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993</v>
      </c>
      <c r="B3140" s="27" t="s">
        <v>1010</v>
      </c>
      <c r="C3140" s="27" t="s">
        <v>968</v>
      </c>
      <c r="D3140" s="27" t="s">
        <v>969</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1581</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1033</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1645</v>
      </c>
      <c r="B3143" s="27" t="s">
        <v>1013</v>
      </c>
      <c r="C3143" s="27" t="s">
        <v>1035</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1492</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980</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1115</v>
      </c>
      <c r="B3146" s="27" t="s">
        <v>1010</v>
      </c>
      <c r="C3146" s="27" t="s">
        <v>968</v>
      </c>
      <c r="D3146" s="27" t="s">
        <v>969</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1351</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1194</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965</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1967</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1968</v>
      </c>
      <c r="B3151" s="27" t="s">
        <v>994</v>
      </c>
      <c r="C3151" s="27" t="s">
        <v>968</v>
      </c>
      <c r="D3151" s="27" t="s">
        <v>969</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991</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1024</v>
      </c>
      <c r="B3153" s="27" t="s">
        <v>997</v>
      </c>
      <c r="C3153" s="27" t="s">
        <v>1011</v>
      </c>
      <c r="D3153" s="27" t="s">
        <v>969</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1097</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1969</v>
      </c>
      <c r="B3155" s="27" t="s">
        <v>1031</v>
      </c>
      <c r="C3155" s="27" t="s">
        <v>1083</v>
      </c>
      <c r="D3155" s="27" t="s">
        <v>969</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991</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980</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1432</v>
      </c>
      <c r="B3158" s="27" t="s">
        <v>997</v>
      </c>
      <c r="C3158" s="27" t="s">
        <v>1011</v>
      </c>
      <c r="D3158" s="27" t="s">
        <v>969</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1195</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975</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1970</v>
      </c>
      <c r="B3161" s="27" t="s">
        <v>1003</v>
      </c>
      <c r="C3161" s="27" t="s">
        <v>1083</v>
      </c>
      <c r="D3161" s="27" t="s">
        <v>969</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991</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980</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1971</v>
      </c>
      <c r="B3164" s="27" t="s">
        <v>1000</v>
      </c>
      <c r="C3164" s="27" t="s">
        <v>988</v>
      </c>
      <c r="D3164" s="27" t="s">
        <v>969</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1972</v>
      </c>
      <c r="B3165" s="27" t="s">
        <v>997</v>
      </c>
      <c r="C3165" s="27" t="s">
        <v>974</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1195</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1346</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1624</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1973</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991</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1240</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1432</v>
      </c>
      <c r="B3172" s="27" t="s">
        <v>997</v>
      </c>
      <c r="C3172" s="27" t="s">
        <v>1011</v>
      </c>
      <c r="D3172" s="27" t="s">
        <v>969</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104</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1849</v>
      </c>
      <c r="B3174" s="27" t="s">
        <v>1000</v>
      </c>
      <c r="C3174" s="27" t="s">
        <v>1001</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1972</v>
      </c>
      <c r="B3175" s="27" t="s">
        <v>1198</v>
      </c>
      <c r="C3175" s="27" t="s">
        <v>1123</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991</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985</v>
      </c>
      <c r="B3177" s="27" t="s">
        <v>1588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1037</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976</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1095</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1974</v>
      </c>
      <c r="B3181" s="27" t="s">
        <v>1398</v>
      </c>
      <c r="C3181" s="27" t="s">
        <v>1011</v>
      </c>
      <c r="D3181" s="27" t="s">
        <v>969</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1975</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991</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1357</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1976</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104</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1005</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965</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row>
    <row r="3190" spans="1:12">
      <c r="A3190" s="20" t="s">
        <v>1060</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1977</v>
      </c>
    </row>
    <row r="3192" spans="1:12">
      <c r="A3192" s="20" t="s">
        <v>1007</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993</v>
      </c>
      <c r="B3193" s="27" t="s">
        <v>967</v>
      </c>
      <c r="C3193" s="27" t="s">
        <v>968</v>
      </c>
      <c r="D3193" s="27" t="s">
        <v>969</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1351</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1194</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965</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1978</v>
      </c>
      <c r="B3197" s="27" t="s">
        <v>1053</v>
      </c>
      <c r="C3197" s="27" t="s">
        <v>1083</v>
      </c>
      <c r="D3197" s="27" t="s">
        <v>969</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1005</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965</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row>
    <row r="3201" spans="1:12">
      <c r="A3201" s="20" t="s">
        <v>1060</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1979</v>
      </c>
    </row>
    <row r="3203" spans="1:12">
      <c r="A3203" s="20" t="s">
        <v>1007</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1115</v>
      </c>
      <c r="B3204" s="27" t="s">
        <v>967</v>
      </c>
      <c r="C3204" s="27" t="s">
        <v>968</v>
      </c>
      <c r="D3204" s="27" t="s">
        <v>969</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1351</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1194</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965</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1797</v>
      </c>
      <c r="B3208" s="27" t="s">
        <v>1010</v>
      </c>
      <c r="C3208" s="27" t="s">
        <v>1083</v>
      </c>
      <c r="D3208" s="27" t="s">
        <v>969</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991</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1240</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1432</v>
      </c>
      <c r="B3211" s="27" t="s">
        <v>1010</v>
      </c>
      <c r="C3211" s="27" t="s">
        <v>1011</v>
      </c>
      <c r="D3211" s="27" t="s">
        <v>969</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1547</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1179</v>
      </c>
      <c r="B3213" s="27" t="s">
        <v>982</v>
      </c>
      <c r="C3213" s="27" t="s">
        <v>1001</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1980</v>
      </c>
      <c r="B3214" s="27" t="s">
        <v>1013</v>
      </c>
      <c r="C3214" s="27" t="s">
        <v>1123</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1037</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1981</v>
      </c>
      <c r="B3216" s="27" t="s">
        <v>982</v>
      </c>
      <c r="C3216" s="27" t="s">
        <v>974</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1172</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976</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1982</v>
      </c>
      <c r="B3219" s="27" t="s">
        <v>1003</v>
      </c>
      <c r="C3219" s="27" t="s">
        <v>979</v>
      </c>
      <c r="D3219" s="27" t="s">
        <v>969</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991</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1460</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1037</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1983</v>
      </c>
      <c r="B3223" s="27" t="s">
        <v>978</v>
      </c>
      <c r="C3223" s="27" t="s">
        <v>1102</v>
      </c>
      <c r="D3223" s="27" t="s">
        <v>969</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991</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985</v>
      </c>
      <c r="B3225" s="27" t="s">
        <v>997</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1984</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1131</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976</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1985</v>
      </c>
      <c r="B3229" s="27" t="s">
        <v>1003</v>
      </c>
      <c r="C3229" s="27" t="s">
        <v>979</v>
      </c>
      <c r="D3229" s="27" t="s">
        <v>969</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1986</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1005</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965</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row>
    <row r="3234" spans="1:12">
      <c r="A3234" s="20" t="s">
        <v>1060</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1987</v>
      </c>
    </row>
    <row r="3236" spans="1:12">
      <c r="A3236" s="20" t="s">
        <v>966</v>
      </c>
      <c r="B3236" s="27" t="s">
        <v>967</v>
      </c>
      <c r="C3236" s="27" t="s">
        <v>968</v>
      </c>
      <c r="D3236" s="27" t="s">
        <v>969</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1923</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1194</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965</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1988</v>
      </c>
      <c r="B3240" s="27" t="s">
        <v>982</v>
      </c>
      <c r="C3240" s="27" t="s">
        <v>1001</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1354</v>
      </c>
      <c r="B3241" s="27" t="s">
        <v>1013</v>
      </c>
      <c r="C3241" s="27" t="s">
        <v>974</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1384</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1086</v>
      </c>
      <c r="B3243" s="27" t="s">
        <v>1010</v>
      </c>
      <c r="C3243" s="27" t="s">
        <v>968</v>
      </c>
      <c r="D3243" s="27" t="s">
        <v>969</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1373</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965</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row>
    <row r="3247" spans="1:12">
      <c r="A3247" s="20" t="s">
        <v>1060</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1989</v>
      </c>
    </row>
    <row r="3249" spans="1:12">
      <c r="A3249" s="20" t="s">
        <v>1830</v>
      </c>
      <c r="B3249" s="27" t="s">
        <v>967</v>
      </c>
      <c r="C3249" s="27" t="s">
        <v>968</v>
      </c>
      <c r="D3249" s="27" t="s">
        <v>969</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1990</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1194</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965</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1991</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1992</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991</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1009</v>
      </c>
      <c r="B3256" s="27" t="s">
        <v>1010</v>
      </c>
      <c r="C3256" s="27" t="s">
        <v>1011</v>
      </c>
      <c r="D3256" s="27" t="s">
        <v>969</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1993</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1357</v>
      </c>
      <c r="B3258" s="27" t="s">
        <v>994</v>
      </c>
      <c r="C3258" s="27" t="s">
        <v>1001</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1624</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1994</v>
      </c>
      <c r="B3260" s="27" t="s">
        <v>1013</v>
      </c>
      <c r="C3260" s="27" t="s">
        <v>1123</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1005</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row>
    <row r="3263" spans="1:12">
      <c r="A3263" s="20" t="s">
        <v>1995</v>
      </c>
    </row>
    <row r="3264" spans="1:12">
      <c r="A3264" s="20" t="s">
        <v>1268</v>
      </c>
      <c r="B3264" s="27" t="s">
        <v>967</v>
      </c>
      <c r="C3264" s="27" t="s">
        <v>968</v>
      </c>
      <c r="D3264" s="27" t="s">
        <v>969</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1996</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1021</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975</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976</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1997</v>
      </c>
      <c r="B3269" s="27" t="s">
        <v>1053</v>
      </c>
      <c r="C3269" s="27" t="s">
        <v>979</v>
      </c>
      <c r="D3269" s="27" t="s">
        <v>969</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1037</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1038</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1998</v>
      </c>
      <c r="B3272" s="27" t="s">
        <v>978</v>
      </c>
      <c r="C3272" s="27" t="s">
        <v>979</v>
      </c>
      <c r="D3272" s="27" t="s">
        <v>969</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991</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1999</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1220</v>
      </c>
      <c r="B3275" s="27" t="s">
        <v>997</v>
      </c>
      <c r="C3275" s="27" t="s">
        <v>1001</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1754</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991</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1213</v>
      </c>
      <c r="B3278" s="27" t="s">
        <v>1297</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1520</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999</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13</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1005</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row>
    <row r="3284" spans="1:12">
      <c r="A3284" s="20" t="s">
        <v>2000</v>
      </c>
    </row>
    <row r="3285" spans="1:12">
      <c r="A3285" s="20" t="s">
        <v>1268</v>
      </c>
      <c r="B3285" s="27" t="s">
        <v>967</v>
      </c>
      <c r="C3285" s="27" t="s">
        <v>968</v>
      </c>
      <c r="D3285" s="27" t="s">
        <v>969</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2001</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2002</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2003</v>
      </c>
      <c r="B3288" s="27" t="s">
        <v>1053</v>
      </c>
      <c r="C3288" s="27" t="s">
        <v>974</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1515</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2004</v>
      </c>
      <c r="B3290" s="27" t="s">
        <v>978</v>
      </c>
      <c r="C3290" s="27" t="s">
        <v>974</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1051</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991</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1437</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1024</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2005</v>
      </c>
      <c r="B3295" s="27" t="s">
        <v>1013</v>
      </c>
      <c r="C3295" s="27" t="s">
        <v>979</v>
      </c>
      <c r="D3295" s="27" t="s">
        <v>969</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975</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2006</v>
      </c>
      <c r="B3297" s="27" t="s">
        <v>978</v>
      </c>
      <c r="C3297" s="27" t="s">
        <v>974</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999</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367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1005</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row>
    <row r="3302" spans="1:12">
      <c r="A3302" s="20" t="s">
        <v>2007</v>
      </c>
    </row>
    <row r="3303" spans="1:12">
      <c r="A3303" s="20" t="s">
        <v>1268</v>
      </c>
      <c r="B3303" s="27" t="s">
        <v>967</v>
      </c>
      <c r="C3303" s="27" t="s">
        <v>968</v>
      </c>
      <c r="D3303" s="27" t="s">
        <v>969</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2008</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1021</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985</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2009</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1729</v>
      </c>
      <c r="B3308" s="27" t="s">
        <v>973</v>
      </c>
      <c r="C3308" s="27" t="s">
        <v>979</v>
      </c>
      <c r="D3308" s="27" t="s">
        <v>969</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1005</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row>
    <row r="3311" spans="1:12">
      <c r="A3311" s="20" t="s">
        <v>2010</v>
      </c>
    </row>
    <row r="3312" spans="1:12">
      <c r="A3312" s="20" t="s">
        <v>1268</v>
      </c>
      <c r="B3312" s="27" t="s">
        <v>967</v>
      </c>
      <c r="C3312" s="27" t="s">
        <v>968</v>
      </c>
      <c r="D3312" s="27" t="s">
        <v>969</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530</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985</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1078</v>
      </c>
      <c r="B3315" s="27" t="s">
        <v>967</v>
      </c>
      <c r="C3315" s="27" t="s">
        <v>979</v>
      </c>
      <c r="D3315" s="27" t="s">
        <v>969</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1021</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1046</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1110</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2011</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1659</v>
      </c>
      <c r="B3320" s="27" t="s">
        <v>1053</v>
      </c>
      <c r="C3320" s="27" t="s">
        <v>1018</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1005</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row>
    <row r="3323" spans="1:12">
      <c r="A3323" s="20" t="s">
        <v>1060</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2012</v>
      </c>
    </row>
    <row r="3325" spans="1:12">
      <c r="A3325" s="20" t="s">
        <v>2013</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2014</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1009</v>
      </c>
      <c r="B3327" s="27" t="s">
        <v>967</v>
      </c>
      <c r="C3327" s="27" t="s">
        <v>1011</v>
      </c>
      <c r="D3327" s="27" t="s">
        <v>969</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985</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1111</v>
      </c>
      <c r="B3329" s="27" t="s">
        <v>967</v>
      </c>
      <c r="C3329" s="27" t="s">
        <v>979</v>
      </c>
      <c r="D3329" s="27" t="s">
        <v>969</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2015</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975</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2016</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991</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1771</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2017</v>
      </c>
      <c r="B3335" s="27" t="s">
        <v>1053</v>
      </c>
      <c r="C3335" s="27" t="s">
        <v>974</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980</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2018</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1009</v>
      </c>
      <c r="B3338" s="27" t="s">
        <v>1010</v>
      </c>
      <c r="C3338" s="27" t="s">
        <v>1011</v>
      </c>
      <c r="D3338" s="27" t="s">
        <v>969</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1016</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1765</v>
      </c>
      <c r="B3340" s="27" t="s">
        <v>982</v>
      </c>
      <c r="C3340" s="27" t="s">
        <v>1018</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1766</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1032</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2019</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1438</v>
      </c>
      <c r="B3344" s="27" t="s">
        <v>982</v>
      </c>
      <c r="C3344" s="27" t="s">
        <v>974</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391</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991</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985</v>
      </c>
      <c r="B3347" s="27" t="s">
        <v>1010</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1919</v>
      </c>
      <c r="B3348" s="27" t="s">
        <v>1013</v>
      </c>
      <c r="C3348" s="27" t="s">
        <v>968</v>
      </c>
      <c r="D3348" s="27" t="s">
        <v>969</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2020</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1883</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1005</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965</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row>
    <row r="3354" spans="1:12">
      <c r="A3354" s="20" t="s">
        <v>1060</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2021</v>
      </c>
    </row>
    <row r="3356" spans="1:12">
      <c r="A3356" s="20" t="s">
        <v>1746</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1747</v>
      </c>
      <c r="B3357" s="27" t="s">
        <v>978</v>
      </c>
      <c r="C3357" s="27" t="s">
        <v>974</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1748</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1746</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950</v>
      </c>
      <c r="B3360" s="27" t="s">
        <v>982</v>
      </c>
      <c r="C3360" s="27" t="s">
        <v>1083</v>
      </c>
      <c r="D3360" s="27" t="s">
        <v>969</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1748</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1830</v>
      </c>
      <c r="B3362" s="27" t="s">
        <v>967</v>
      </c>
      <c r="C3362" s="27" t="s">
        <v>968</v>
      </c>
      <c r="D3362" s="27" t="s">
        <v>969</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1351</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1194</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965</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1077</v>
      </c>
      <c r="B3366" s="27" t="s">
        <v>1010</v>
      </c>
      <c r="C3366" s="27" t="s">
        <v>1011</v>
      </c>
      <c r="D3366" s="27" t="s">
        <v>969</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2022</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1009</v>
      </c>
      <c r="B3368" s="27" t="s">
        <v>1010</v>
      </c>
      <c r="C3368" s="27" t="s">
        <v>1011</v>
      </c>
      <c r="D3368" s="27" t="s">
        <v>969</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719</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991</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1024</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2023</v>
      </c>
      <c r="B3372" s="27" t="s">
        <v>1031</v>
      </c>
      <c r="C3372" s="27" t="s">
        <v>979</v>
      </c>
      <c r="D3372" s="27" t="s">
        <v>969</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999</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2024</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1005</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965</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row>
    <row r="3378" spans="1:12">
      <c r="A3378" s="20" t="s">
        <v>2025</v>
      </c>
    </row>
    <row r="3379" spans="1:12">
      <c r="A3379" s="20" t="s">
        <v>2026</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1795</v>
      </c>
      <c r="B3380" s="27" t="s">
        <v>1013</v>
      </c>
      <c r="C3380" s="27" t="s">
        <v>968</v>
      </c>
      <c r="D3380" s="27" t="s">
        <v>969</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1024</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1073</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1397</v>
      </c>
      <c r="B3383" s="27" t="s">
        <v>1013</v>
      </c>
      <c r="C3383" s="27" t="s">
        <v>1399</v>
      </c>
      <c r="D3383" s="27" t="s">
        <v>969</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1043</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2027</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1913</v>
      </c>
      <c r="B3386" s="27" t="s">
        <v>982</v>
      </c>
      <c r="C3386" s="27" t="s">
        <v>979</v>
      </c>
      <c r="D3386" s="27" t="s">
        <v>969</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999</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2028</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991</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541</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1268</v>
      </c>
      <c r="B3391" s="27" t="s">
        <v>967</v>
      </c>
      <c r="C3391" s="27" t="s">
        <v>968</v>
      </c>
      <c r="D3391" s="27" t="s">
        <v>969</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1107</v>
      </c>
      <c r="B3392" s="27" t="s">
        <v>1013</v>
      </c>
      <c r="C3392" s="27" t="s">
        <v>968</v>
      </c>
      <c r="D3392" s="27" t="s">
        <v>969</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1795</v>
      </c>
      <c r="B3393" s="27" t="s">
        <v>1013</v>
      </c>
      <c r="C3393" s="27" t="s">
        <v>968</v>
      </c>
      <c r="D3393" s="27" t="s">
        <v>969</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1095</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2029</v>
      </c>
      <c r="B3395" s="27" t="s">
        <v>982</v>
      </c>
      <c r="C3395" s="27" t="s">
        <v>1083</v>
      </c>
      <c r="D3395" s="27" t="s">
        <v>969</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2030</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237</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1005</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row>
    <row r="3400" spans="1:12">
      <c r="A3400" s="20" t="s">
        <v>2031</v>
      </c>
    </row>
    <row r="3401" spans="1:12">
      <c r="A3401" s="20" t="s">
        <v>2029</v>
      </c>
      <c r="B3401" s="27" t="s">
        <v>967</v>
      </c>
      <c r="C3401" s="27" t="s">
        <v>1083</v>
      </c>
      <c r="D3401" s="27" t="s">
        <v>969</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2030</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1278</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985</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2032</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1078</v>
      </c>
      <c r="B3406" s="27" t="s">
        <v>973</v>
      </c>
      <c r="C3406" s="27" t="s">
        <v>979</v>
      </c>
      <c r="D3406" s="27" t="s">
        <v>969</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991</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985</v>
      </c>
      <c r="B3408" s="27" t="s">
        <v>1031</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993</v>
      </c>
      <c r="B3409" s="27" t="s">
        <v>994</v>
      </c>
      <c r="C3409" s="27" t="s">
        <v>968</v>
      </c>
      <c r="D3409" s="27" t="s">
        <v>969</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2033</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2034</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1070</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1382</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1827</v>
      </c>
      <c r="B3414" s="27" t="s">
        <v>982</v>
      </c>
      <c r="C3414" s="27" t="s">
        <v>1018</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2035</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1352</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1005</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row>
    <row r="3419" spans="1:12">
      <c r="A3419" s="20" t="s">
        <v>2036</v>
      </c>
    </row>
    <row r="3420" spans="1:12">
      <c r="A3420" s="20" t="s">
        <v>1830</v>
      </c>
      <c r="B3420" s="27" t="s">
        <v>967</v>
      </c>
      <c r="C3420" s="27" t="s">
        <v>968</v>
      </c>
      <c r="D3420" s="27" t="s">
        <v>969</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1178</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1279</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1262</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1005</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row>
    <row r="3426" spans="1:12">
      <c r="A3426" s="20" t="s">
        <v>2037</v>
      </c>
    </row>
    <row r="3427" spans="1:12">
      <c r="A3427" s="20" t="s">
        <v>1644</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993</v>
      </c>
      <c r="B3428" s="27" t="s">
        <v>1010</v>
      </c>
      <c r="C3428" s="27" t="s">
        <v>968</v>
      </c>
      <c r="D3428" s="27" t="s">
        <v>969</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2038</v>
      </c>
      <c r="B3429" s="27" t="s">
        <v>1013</v>
      </c>
      <c r="C3429" s="27" t="s">
        <v>968</v>
      </c>
      <c r="D3429" s="27" t="s">
        <v>969</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2039</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1178</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1115</v>
      </c>
      <c r="B3432" s="27" t="s">
        <v>967</v>
      </c>
      <c r="C3432" s="27" t="s">
        <v>968</v>
      </c>
      <c r="D3432" s="27" t="s">
        <v>969</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1151</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1382</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1304</v>
      </c>
      <c r="B3435" s="27" t="s">
        <v>1053</v>
      </c>
      <c r="C3435" s="27" t="s">
        <v>1018</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991</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1999</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1115</v>
      </c>
      <c r="B3438" s="27" t="s">
        <v>994</v>
      </c>
      <c r="C3438" s="27" t="s">
        <v>968</v>
      </c>
      <c r="D3438" s="27" t="s">
        <v>969</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1894</v>
      </c>
      <c r="B3439" s="27" t="s">
        <v>1003</v>
      </c>
      <c r="C3439" s="27" t="s">
        <v>1001</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1269</v>
      </c>
      <c r="B3440" s="27" t="s">
        <v>982</v>
      </c>
      <c r="C3440" s="27" t="s">
        <v>974</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1016</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2040</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12</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1406</v>
      </c>
      <c r="B3444" s="27" t="s">
        <v>1031</v>
      </c>
      <c r="C3444" s="27" t="s">
        <v>1018</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2041</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1005</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row>
    <row r="3448" spans="1:12">
      <c r="A3448" s="20" t="s">
        <v>2042</v>
      </c>
    </row>
    <row r="3449" spans="1:12">
      <c r="A3449" s="20" t="s">
        <v>2043</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995</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1115</v>
      </c>
      <c r="B3451" s="27" t="s">
        <v>967</v>
      </c>
      <c r="C3451" s="27" t="s">
        <v>968</v>
      </c>
      <c r="D3451" s="27" t="s">
        <v>969</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1213</v>
      </c>
      <c r="B3452" s="27" t="s">
        <v>973</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1016</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2044</v>
      </c>
      <c r="B3454" s="27" t="s">
        <v>978</v>
      </c>
      <c r="C3454" s="27" t="s">
        <v>1018</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1766</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1357</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2045</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980</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1041</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1016</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2044</v>
      </c>
      <c r="B3461" s="27" t="s">
        <v>982</v>
      </c>
      <c r="C3461" s="27" t="s">
        <v>1018</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1766</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2046</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1005</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row>
    <row r="3466" spans="1:12">
      <c r="A3466" s="20" t="s">
        <v>2047</v>
      </c>
    </row>
    <row r="3467" spans="1:12">
      <c r="A3467" s="20" t="s">
        <v>2043</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1574</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1086</v>
      </c>
      <c r="B3469" s="27" t="s">
        <v>967</v>
      </c>
      <c r="C3469" s="27" t="s">
        <v>968</v>
      </c>
      <c r="D3469" s="27" t="s">
        <v>969</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1016</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2044</v>
      </c>
      <c r="B3471" s="27" t="s">
        <v>978</v>
      </c>
      <c r="C3471" s="27" t="s">
        <v>1018</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1766</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2048</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1005</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row>
    <row r="3476" spans="1:12">
      <c r="A3476" s="20" t="s">
        <v>2049</v>
      </c>
    </row>
    <row r="3477" spans="1:12">
      <c r="A3477" s="20" t="s">
        <v>1007</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1041</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2041</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1115</v>
      </c>
      <c r="B3480" s="27" t="s">
        <v>967</v>
      </c>
      <c r="C3480" s="27" t="s">
        <v>968</v>
      </c>
      <c r="D3480" s="27" t="s">
        <v>969</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1016</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1630</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2040</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1406</v>
      </c>
      <c r="B3485" s="27" t="s">
        <v>973</v>
      </c>
      <c r="C3485" s="27" t="s">
        <v>1018</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1005</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row>
    <row r="3488" spans="1:12">
      <c r="A3488" s="20" t="s">
        <v>1060</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2050</v>
      </c>
    </row>
    <row r="3490" spans="1:12">
      <c r="A3490" s="20" t="s">
        <v>1644</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993</v>
      </c>
      <c r="B3491" s="27" t="s">
        <v>1010</v>
      </c>
      <c r="C3491" s="27" t="s">
        <v>968</v>
      </c>
      <c r="D3491" s="27" t="s">
        <v>969</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2038</v>
      </c>
      <c r="B3492" s="27" t="s">
        <v>1013</v>
      </c>
      <c r="C3492" s="27" t="s">
        <v>968</v>
      </c>
      <c r="D3492" s="27" t="s">
        <v>969</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2039</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991</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1351</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1115</v>
      </c>
      <c r="B3496" s="27" t="s">
        <v>967</v>
      </c>
      <c r="C3496" s="27" t="s">
        <v>968</v>
      </c>
      <c r="D3496" s="27" t="s">
        <v>969</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999</v>
      </c>
      <c r="B3497" s="27" t="s">
        <v>978</v>
      </c>
      <c r="C3497" s="27" t="s">
        <v>1001</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1026</v>
      </c>
      <c r="B3498" s="27" t="s">
        <v>1053</v>
      </c>
      <c r="C3498" s="27" t="s">
        <v>968</v>
      </c>
      <c r="D3498" s="27" t="s">
        <v>969</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1194</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965</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1251</v>
      </c>
      <c r="B3501" s="27" t="s">
        <v>1010</v>
      </c>
      <c r="C3501" s="27" t="s">
        <v>968</v>
      </c>
      <c r="D3501" s="27" t="s">
        <v>969</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1097</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2051</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991</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1033</v>
      </c>
      <c r="B3505" s="27" t="s">
        <v>1003</v>
      </c>
      <c r="C3505" s="27" t="s">
        <v>988</v>
      </c>
      <c r="D3505" s="27" t="s">
        <v>969</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2052</v>
      </c>
      <c r="B3506" s="27" t="s">
        <v>982</v>
      </c>
      <c r="C3506" s="27" t="s">
        <v>974</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1445</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999</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2053</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1005</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row>
    <row r="3512" spans="1:12">
      <c r="A3512" s="20" t="s">
        <v>2054</v>
      </c>
    </row>
    <row r="3513" spans="1:12">
      <c r="A3513" s="20" t="s">
        <v>966</v>
      </c>
      <c r="B3513" s="27" t="s">
        <v>967</v>
      </c>
      <c r="C3513" s="27" t="s">
        <v>968</v>
      </c>
      <c r="D3513" s="27" t="s">
        <v>969</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1454</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1445</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1021</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2055</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58</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991</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980</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993</v>
      </c>
      <c r="B3521" s="27" t="s">
        <v>1010</v>
      </c>
      <c r="C3521" s="27" t="s">
        <v>968</v>
      </c>
      <c r="D3521" s="27" t="s">
        <v>969</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1352</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2056</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991</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996</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993</v>
      </c>
      <c r="B3526" s="27" t="s">
        <v>994</v>
      </c>
      <c r="C3526" s="27" t="s">
        <v>968</v>
      </c>
      <c r="D3526" s="27" t="s">
        <v>969</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1086</v>
      </c>
      <c r="B3527" s="27" t="s">
        <v>1031</v>
      </c>
      <c r="C3527" s="27" t="s">
        <v>968</v>
      </c>
      <c r="D3527" s="27" t="s">
        <v>969</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2057</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991</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1114</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1086</v>
      </c>
      <c r="B3531" s="27" t="s">
        <v>997</v>
      </c>
      <c r="C3531" s="27" t="s">
        <v>968</v>
      </c>
      <c r="D3531" s="27" t="s">
        <v>969</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1026</v>
      </c>
      <c r="B3532" s="27" t="s">
        <v>1198</v>
      </c>
      <c r="C3532" s="27" t="s">
        <v>968</v>
      </c>
      <c r="D3532" s="27" t="s">
        <v>969</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1021</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1520</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1893</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1005</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row>
    <row r="3538" spans="1:12">
      <c r="A3538" s="20" t="s">
        <v>1060</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2058</v>
      </c>
    </row>
    <row r="3540" spans="1:12">
      <c r="A3540" s="20" t="s">
        <v>1144</v>
      </c>
      <c r="B3540" s="27" t="s">
        <v>973</v>
      </c>
      <c r="C3540" s="27" t="s">
        <v>1083</v>
      </c>
      <c r="D3540" s="27" t="s">
        <v>969</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991</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965</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1351</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1115</v>
      </c>
      <c r="B3544" s="27" t="s">
        <v>967</v>
      </c>
      <c r="C3544" s="27" t="s">
        <v>968</v>
      </c>
      <c r="D3544" s="27" t="s">
        <v>969</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1026</v>
      </c>
      <c r="B3545" s="27" t="s">
        <v>973</v>
      </c>
      <c r="C3545" s="27" t="s">
        <v>968</v>
      </c>
      <c r="D3545" s="27" t="s">
        <v>969</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991</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965</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993</v>
      </c>
      <c r="B3548" s="27" t="s">
        <v>1010</v>
      </c>
      <c r="C3548" s="27" t="s">
        <v>968</v>
      </c>
      <c r="D3548" s="27" t="s">
        <v>969</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1352</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1095</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1382</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2059</v>
      </c>
      <c r="B3552" s="27" t="s">
        <v>978</v>
      </c>
      <c r="C3552" s="27" t="s">
        <v>1018</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1070</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2060</v>
      </c>
      <c r="B3554" s="27" t="s">
        <v>978</v>
      </c>
      <c r="C3554" s="27" t="s">
        <v>1083</v>
      </c>
      <c r="D3554" s="27" t="s">
        <v>969</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2061</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2062</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991</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1051</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2063</v>
      </c>
      <c r="B3559" s="27" t="s">
        <v>978</v>
      </c>
      <c r="C3559" s="27" t="s">
        <v>1018</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2064</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2065</v>
      </c>
      <c r="B3561" s="27" t="s">
        <v>982</v>
      </c>
      <c r="C3561" s="27" t="s">
        <v>974</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991</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1016</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2066</v>
      </c>
      <c r="B3564" s="27" t="s">
        <v>978</v>
      </c>
      <c r="C3564" s="27" t="s">
        <v>1018</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991</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980</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993</v>
      </c>
      <c r="B3567" s="27" t="s">
        <v>997</v>
      </c>
      <c r="C3567" s="27" t="s">
        <v>968</v>
      </c>
      <c r="D3567" s="27" t="s">
        <v>969</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2067</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1024</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1172</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1005</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965</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row>
    <row r="3574" spans="1:12">
      <c r="A3574" s="20" t="s">
        <v>2068</v>
      </c>
    </row>
    <row r="3575" spans="1:12">
      <c r="A3575" s="20" t="s">
        <v>1007</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993</v>
      </c>
      <c r="B3576" s="27" t="s">
        <v>967</v>
      </c>
      <c r="C3576" s="27" t="s">
        <v>968</v>
      </c>
      <c r="D3576" s="27" t="s">
        <v>969</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2069</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1107</v>
      </c>
      <c r="B3578" s="27" t="s">
        <v>973</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991</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1107</v>
      </c>
      <c r="B3580" s="27" t="s">
        <v>1013</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1151</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1170</v>
      </c>
      <c r="B3582" s="27" t="s">
        <v>982</v>
      </c>
      <c r="C3582" s="27" t="s">
        <v>1102</v>
      </c>
      <c r="D3582" s="27" t="s">
        <v>969</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1304</v>
      </c>
      <c r="B3583" s="27" t="s">
        <v>978</v>
      </c>
      <c r="C3583" s="27" t="s">
        <v>1141</v>
      </c>
      <c r="D3583" s="27" t="s">
        <v>969</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2070</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999</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104</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991</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996</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1377</v>
      </c>
      <c r="B3589" s="27" t="s">
        <v>1010</v>
      </c>
      <c r="C3589" s="27" t="s">
        <v>1001</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991</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1043</v>
      </c>
      <c r="B3591" s="27" t="s">
        <v>1010</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1673</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1445</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1196</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2071</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1140</v>
      </c>
      <c r="B3596" s="27" t="s">
        <v>1013</v>
      </c>
      <c r="C3596" s="27" t="s">
        <v>1123</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1609</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1278</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1037</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1445</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1602</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1853</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1913</v>
      </c>
      <c r="B3603" s="27" t="s">
        <v>1053</v>
      </c>
      <c r="C3603" s="27" t="s">
        <v>1123</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991</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1213</v>
      </c>
      <c r="B3605" s="27" t="s">
        <v>994</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1436</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2072</v>
      </c>
      <c r="B3607" s="27" t="s">
        <v>1031</v>
      </c>
      <c r="C3607" s="27" t="s">
        <v>974</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2073</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1278</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991</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1437</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1515</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1016</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1406</v>
      </c>
      <c r="B3614" s="27" t="s">
        <v>1198</v>
      </c>
      <c r="C3614" s="27" t="s">
        <v>1018</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2074</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1005</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row>
    <row r="3618" spans="1:12">
      <c r="A3618" s="20" t="s">
        <v>2075</v>
      </c>
    </row>
    <row r="3619" spans="1:12">
      <c r="A3619" s="20" t="s">
        <v>1093</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2065</v>
      </c>
      <c r="B3620" s="27" t="s">
        <v>967</v>
      </c>
      <c r="C3620" s="27" t="s">
        <v>979</v>
      </c>
      <c r="D3620" s="27" t="s">
        <v>969</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1411</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2076</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980</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1086</v>
      </c>
      <c r="B3624" s="27" t="s">
        <v>1010</v>
      </c>
      <c r="C3624" s="27" t="s">
        <v>968</v>
      </c>
      <c r="D3624" s="27" t="s">
        <v>969</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1178</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1051</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2077</v>
      </c>
      <c r="B3627" s="27" t="s">
        <v>1053</v>
      </c>
      <c r="C3627" s="27" t="s">
        <v>1018</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1022</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1043</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2078</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2079</v>
      </c>
      <c r="B3631" s="27" t="s">
        <v>978</v>
      </c>
      <c r="C3631" s="27" t="s">
        <v>979</v>
      </c>
      <c r="D3631" s="27" t="s">
        <v>969</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1005</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row>
    <row r="3634" spans="1:12">
      <c r="A3634" s="20" t="s">
        <v>2080</v>
      </c>
    </row>
    <row r="3635" spans="1:12">
      <c r="A3635" s="20" t="s">
        <v>1077</v>
      </c>
      <c r="B3635" s="27" t="s">
        <v>967</v>
      </c>
      <c r="C3635" s="27" t="s">
        <v>1011</v>
      </c>
      <c r="D3635" s="27" t="s">
        <v>969</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1195</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2081</v>
      </c>
      <c r="B3637" s="27" t="s">
        <v>967</v>
      </c>
      <c r="C3637" s="27" t="s">
        <v>974</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2082</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1005</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row>
    <row r="3641" spans="1:12">
      <c r="A3641" s="20" t="s">
        <v>2083</v>
      </c>
    </row>
    <row r="3642" spans="1:12">
      <c r="A3642" s="20" t="s">
        <v>1830</v>
      </c>
      <c r="B3642" s="27" t="s">
        <v>967</v>
      </c>
      <c r="C3642" s="27" t="s">
        <v>968</v>
      </c>
      <c r="D3642" s="27" t="s">
        <v>969</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1282</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1016</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2084</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669</v>
      </c>
      <c r="B3646" s="27" t="s">
        <v>973</v>
      </c>
      <c r="C3646" s="27" t="s">
        <v>1018</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980</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1385</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2085</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2086</v>
      </c>
      <c r="B3650" s="27" t="s">
        <v>978</v>
      </c>
      <c r="C3650" s="27" t="s">
        <v>1123</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1005</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row>
    <row r="3653" spans="1:12">
      <c r="A3653" s="20" t="s">
        <v>1060</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2087</v>
      </c>
    </row>
    <row r="3655" spans="1:12">
      <c r="A3655" s="20" t="s">
        <v>1830</v>
      </c>
      <c r="B3655" s="27" t="s">
        <v>967</v>
      </c>
      <c r="C3655" s="27" t="s">
        <v>968</v>
      </c>
      <c r="D3655" s="27" t="s">
        <v>969</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1932</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1026</v>
      </c>
      <c r="B3657" s="27" t="s">
        <v>973</v>
      </c>
      <c r="C3657" s="27" t="s">
        <v>968</v>
      </c>
      <c r="D3657" s="27" t="s">
        <v>969</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1151</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2088</v>
      </c>
      <c r="B3659" s="27" t="s">
        <v>1053</v>
      </c>
      <c r="C3659" s="27" t="s">
        <v>974</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1131</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1043</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2089</v>
      </c>
      <c r="B3662" s="27" t="s">
        <v>1053</v>
      </c>
      <c r="C3662" s="27" t="s">
        <v>979</v>
      </c>
      <c r="D3662" s="27" t="s">
        <v>969</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1110</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2090</v>
      </c>
      <c r="B3664" s="27" t="s">
        <v>973</v>
      </c>
      <c r="C3664" s="27" t="s">
        <v>1018</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980</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1351</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1194</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965</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1929</v>
      </c>
      <c r="B3669" s="27" t="s">
        <v>1003</v>
      </c>
      <c r="C3669" s="27" t="s">
        <v>1083</v>
      </c>
      <c r="D3669" s="27" t="s">
        <v>969</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1350</v>
      </c>
      <c r="B3670" s="27" t="s">
        <v>994</v>
      </c>
      <c r="C3670" s="27" t="s">
        <v>1083</v>
      </c>
      <c r="D3670" s="27" t="s">
        <v>969</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1942</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1026</v>
      </c>
      <c r="B3672" s="27" t="s">
        <v>1031</v>
      </c>
      <c r="C3672" s="27" t="s">
        <v>968</v>
      </c>
      <c r="D3672" s="27" t="s">
        <v>969</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1280</v>
      </c>
      <c r="B3673" s="27" t="s">
        <v>1003</v>
      </c>
      <c r="C3673" s="27" t="s">
        <v>1102</v>
      </c>
      <c r="D3673" s="27" t="s">
        <v>969</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1607</v>
      </c>
      <c r="B3674" s="27" t="s">
        <v>982</v>
      </c>
      <c r="C3674" s="27" t="s">
        <v>1141</v>
      </c>
      <c r="D3674" s="27" t="s">
        <v>969</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1385</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2091</v>
      </c>
      <c r="B3676" s="27" t="s">
        <v>1031</v>
      </c>
      <c r="C3676" s="27" t="s">
        <v>1123</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1005</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row>
    <row r="3679" spans="1:12">
      <c r="A3679" s="20" t="s">
        <v>2092</v>
      </c>
    </row>
    <row r="3680" spans="1:12">
      <c r="A3680" s="20" t="s">
        <v>1390</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1110</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2093</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2094</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12</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2095</v>
      </c>
      <c r="B3685" s="27" t="s">
        <v>967</v>
      </c>
      <c r="C3685" s="27" t="s">
        <v>1018</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1095</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971</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1656</v>
      </c>
      <c r="B3688" s="27" t="s">
        <v>978</v>
      </c>
      <c r="C3688" s="27" t="s">
        <v>1083</v>
      </c>
      <c r="D3688" s="27" t="s">
        <v>969</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2096</v>
      </c>
      <c r="B3689" s="27" t="s">
        <v>1053</v>
      </c>
      <c r="C3689" s="27" t="s">
        <v>1083</v>
      </c>
      <c r="D3689" s="27" t="s">
        <v>969</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2097</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971</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991</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1038</v>
      </c>
      <c r="B3693" s="27" t="s">
        <v>973</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993</v>
      </c>
      <c r="B3694" s="27" t="s">
        <v>967</v>
      </c>
      <c r="C3694" s="27" t="s">
        <v>968</v>
      </c>
      <c r="D3694" s="27" t="s">
        <v>969</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1021</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1673</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2098</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991</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1240</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993</v>
      </c>
      <c r="B3700" s="27" t="s">
        <v>1010</v>
      </c>
      <c r="C3700" s="27" t="s">
        <v>968</v>
      </c>
      <c r="D3700" s="27" t="s">
        <v>969</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1221</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991</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996</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1115</v>
      </c>
      <c r="B3704" s="27" t="s">
        <v>1010</v>
      </c>
      <c r="C3704" s="27" t="s">
        <v>968</v>
      </c>
      <c r="D3704" s="27" t="s">
        <v>969</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2038</v>
      </c>
      <c r="B3705" s="27" t="s">
        <v>1013</v>
      </c>
      <c r="C3705" s="27" t="s">
        <v>968</v>
      </c>
      <c r="D3705" s="27" t="s">
        <v>969</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1026</v>
      </c>
      <c r="B3706" s="27" t="s">
        <v>1013</v>
      </c>
      <c r="C3706" s="27" t="s">
        <v>968</v>
      </c>
      <c r="D3706" s="27" t="s">
        <v>969</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2099</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1282</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991</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1437</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985</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2100</v>
      </c>
      <c r="B3712" s="27" t="s">
        <v>1031</v>
      </c>
      <c r="C3712" s="27" t="s">
        <v>979</v>
      </c>
      <c r="D3712" s="27" t="s">
        <v>969</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999</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2101</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991</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996</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993</v>
      </c>
      <c r="B3717" s="27" t="s">
        <v>1010</v>
      </c>
      <c r="C3717" s="27" t="s">
        <v>968</v>
      </c>
      <c r="D3717" s="27" t="s">
        <v>969</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2102</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2103</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980</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1016</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1180</v>
      </c>
      <c r="B3722" s="27" t="s">
        <v>1031</v>
      </c>
      <c r="C3722" s="27" t="s">
        <v>1018</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1352</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991</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985</v>
      </c>
      <c r="B3725" s="27" t="s">
        <v>1013</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993</v>
      </c>
      <c r="B3726" s="27" t="s">
        <v>1010</v>
      </c>
      <c r="C3726" s="27" t="s">
        <v>968</v>
      </c>
      <c r="D3726" s="27" t="s">
        <v>969</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2104</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1717</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1005</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row>
    <row r="3731" spans="1:12">
      <c r="A3731" s="20" t="s">
        <v>2105</v>
      </c>
    </row>
    <row r="3732" spans="1:12">
      <c r="A3732" s="20" t="s">
        <v>1007</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1024</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1073</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2106</v>
      </c>
      <c r="B3735" s="27" t="s">
        <v>967</v>
      </c>
      <c r="C3735" s="27" t="s">
        <v>1399</v>
      </c>
      <c r="D3735" s="27" t="s">
        <v>969</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1178</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1051</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2107</v>
      </c>
      <c r="B3738" s="27" t="s">
        <v>1053</v>
      </c>
      <c r="C3738" s="27" t="s">
        <v>1018</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1095</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2108</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2109</v>
      </c>
      <c r="B3741" s="27" t="s">
        <v>1053</v>
      </c>
      <c r="C3741" s="27" t="s">
        <v>1035</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991</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985</v>
      </c>
      <c r="B3743" s="27" t="s">
        <v>1010</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2110</v>
      </c>
      <c r="B3744" s="27" t="s">
        <v>1013</v>
      </c>
      <c r="C3744" s="27" t="s">
        <v>974</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2111</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1005</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row>
    <row r="3748" spans="1:12">
      <c r="A3748" s="20" t="s">
        <v>2112</v>
      </c>
    </row>
    <row r="3749" spans="1:12">
      <c r="A3749" s="20" t="s">
        <v>1644</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993</v>
      </c>
      <c r="B3750" s="27" t="s">
        <v>1010</v>
      </c>
      <c r="C3750" s="27" t="s">
        <v>968</v>
      </c>
      <c r="D3750" s="27" t="s">
        <v>969</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1086</v>
      </c>
      <c r="B3751" s="27" t="s">
        <v>1013</v>
      </c>
      <c r="C3751" s="27" t="s">
        <v>968</v>
      </c>
      <c r="D3751" s="27" t="s">
        <v>969</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2113</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991</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1042</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993</v>
      </c>
      <c r="B3755" s="27" t="s">
        <v>967</v>
      </c>
      <c r="C3755" s="27" t="s">
        <v>968</v>
      </c>
      <c r="D3755" s="27" t="s">
        <v>969</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999</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703</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991</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980</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1033</v>
      </c>
      <c r="B3760" s="27" t="s">
        <v>982</v>
      </c>
      <c r="C3760" s="27" t="s">
        <v>988</v>
      </c>
      <c r="D3760" s="27" t="s">
        <v>969</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1126</v>
      </c>
      <c r="B3761" s="27" t="s">
        <v>1010</v>
      </c>
      <c r="C3761" s="27" t="s">
        <v>974</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1004</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2114</v>
      </c>
      <c r="B3763" s="27" t="s">
        <v>978</v>
      </c>
      <c r="C3763" s="27" t="s">
        <v>1234</v>
      </c>
      <c r="D3763" s="27" t="s">
        <v>969</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980</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1351</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1194</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971</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2115</v>
      </c>
      <c r="B3768" s="27" t="s">
        <v>978</v>
      </c>
      <c r="C3768" s="27" t="s">
        <v>974</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1968</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2116</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2117</v>
      </c>
      <c r="B3771" s="27" t="s">
        <v>978</v>
      </c>
      <c r="C3771" s="27" t="s">
        <v>974</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991</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985</v>
      </c>
      <c r="B3773" s="27" t="s">
        <v>997</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1968</v>
      </c>
      <c r="B3774" s="27" t="s">
        <v>997</v>
      </c>
      <c r="C3774" s="27" t="s">
        <v>968</v>
      </c>
      <c r="D3774" s="27" t="s">
        <v>969</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1828</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2118</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1373</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971</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row>
    <row r="3780" spans="1:12">
      <c r="A3780" s="20" t="s">
        <v>2119</v>
      </c>
    </row>
    <row r="3781" spans="1:12">
      <c r="A3781" s="20" t="s">
        <v>1007</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993</v>
      </c>
      <c r="B3782" s="27" t="s">
        <v>967</v>
      </c>
      <c r="C3782" s="27" t="s">
        <v>968</v>
      </c>
      <c r="D3782" s="27" t="s">
        <v>969</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1351</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1194</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971</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1268</v>
      </c>
      <c r="B3786" s="27" t="s">
        <v>1010</v>
      </c>
      <c r="C3786" s="27" t="s">
        <v>968</v>
      </c>
      <c r="D3786" s="27" t="s">
        <v>969</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1278</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985</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2120</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1750</v>
      </c>
      <c r="B3790" s="27" t="s">
        <v>1031</v>
      </c>
      <c r="C3790" s="27" t="s">
        <v>979</v>
      </c>
      <c r="D3790" s="27" t="s">
        <v>969</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1214</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993</v>
      </c>
      <c r="B3792" s="27" t="s">
        <v>1010</v>
      </c>
      <c r="C3792" s="27" t="s">
        <v>968</v>
      </c>
      <c r="D3792" s="27" t="s">
        <v>969</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1005</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971</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row>
    <row r="3796" spans="1:12">
      <c r="A3796" s="20" t="s">
        <v>2121</v>
      </c>
    </row>
    <row r="3797" spans="1:12">
      <c r="A3797" s="20" t="s">
        <v>1675</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993</v>
      </c>
      <c r="B3798" s="27" t="s">
        <v>967</v>
      </c>
      <c r="C3798" s="27" t="s">
        <v>968</v>
      </c>
      <c r="D3798" s="27" t="s">
        <v>969</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1974</v>
      </c>
      <c r="B3799" s="27" t="s">
        <v>973</v>
      </c>
      <c r="C3799" s="27" t="s">
        <v>968</v>
      </c>
      <c r="D3799" s="27" t="s">
        <v>969</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1024</v>
      </c>
      <c r="B3800" s="27" t="s">
        <v>967</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2122</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991</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2123</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993</v>
      </c>
      <c r="B3804" s="27" t="s">
        <v>1010</v>
      </c>
      <c r="C3804" s="27" t="s">
        <v>968</v>
      </c>
      <c r="D3804" s="27" t="s">
        <v>969</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1021</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1005</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row>
    <row r="3808" spans="1:12">
      <c r="A3808" s="20" t="s">
        <v>2124</v>
      </c>
    </row>
    <row r="3809" spans="1:12">
      <c r="A3809" s="20" t="s">
        <v>966</v>
      </c>
      <c r="B3809" s="27" t="s">
        <v>967</v>
      </c>
      <c r="C3809" s="27" t="s">
        <v>968</v>
      </c>
      <c r="D3809" s="27" t="s">
        <v>969</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1369</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1021</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1460</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1517</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991</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1166</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1272</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2125</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1005</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row>
    <row r="3820" spans="1:12">
      <c r="A3820" s="20" t="s">
        <v>2126</v>
      </c>
    </row>
    <row r="3821" spans="1:12">
      <c r="A3821" s="20" t="s">
        <v>2127</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991</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1322</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993</v>
      </c>
      <c r="B3824" s="27" t="s">
        <v>1010</v>
      </c>
      <c r="C3824" s="27" t="s">
        <v>968</v>
      </c>
      <c r="D3824" s="27" t="s">
        <v>969</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1107</v>
      </c>
      <c r="B3825" s="27" t="s">
        <v>1013</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1259</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2128</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1530</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991</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1240</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1033</v>
      </c>
      <c r="B3831" s="27" t="s">
        <v>1003</v>
      </c>
      <c r="C3831" s="27" t="s">
        <v>988</v>
      </c>
      <c r="D3831" s="27" t="s">
        <v>969</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1642</v>
      </c>
      <c r="B3832" s="27" t="s">
        <v>994</v>
      </c>
      <c r="C3832" s="27" t="s">
        <v>974</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2129</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1026</v>
      </c>
      <c r="B3834" s="27" t="s">
        <v>1031</v>
      </c>
      <c r="C3834" s="27" t="s">
        <v>968</v>
      </c>
      <c r="D3834" s="27" t="s">
        <v>969</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2130</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991</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2131</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1214</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985</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2132</v>
      </c>
      <c r="B3840" s="27" t="s">
        <v>1003</v>
      </c>
      <c r="C3840" s="27" t="s">
        <v>979</v>
      </c>
      <c r="D3840" s="27" t="s">
        <v>969</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991</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980</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993</v>
      </c>
      <c r="B3843" s="27" t="s">
        <v>1294</v>
      </c>
      <c r="C3843" s="27" t="s">
        <v>968</v>
      </c>
      <c r="D3843" s="27" t="s">
        <v>969</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2133</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1107</v>
      </c>
      <c r="B3845" s="27" t="s">
        <v>1297</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2134</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1005</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row>
    <row r="3849" spans="1:12">
      <c r="A3849" s="20" t="s">
        <v>2135</v>
      </c>
    </row>
    <row r="3850" spans="1:12">
      <c r="A3850" s="20" t="s">
        <v>966</v>
      </c>
      <c r="B3850" s="27" t="s">
        <v>967</v>
      </c>
      <c r="C3850" s="27" t="s">
        <v>968</v>
      </c>
      <c r="D3850" s="27" t="s">
        <v>969</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1369</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1151</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976</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1307</v>
      </c>
      <c r="B3854" s="27" t="s">
        <v>1053</v>
      </c>
      <c r="C3854" s="27" t="s">
        <v>979</v>
      </c>
      <c r="D3854" s="27" t="s">
        <v>969</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980</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1471</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1005</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row>
    <row r="3859" spans="1:12">
      <c r="A3859" s="20" t="s">
        <v>1060</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2136</v>
      </c>
    </row>
    <row r="3861" spans="1:12">
      <c r="A3861" s="20" t="s">
        <v>1077</v>
      </c>
      <c r="B3861" s="27" t="s">
        <v>967</v>
      </c>
      <c r="C3861" s="27" t="s">
        <v>1011</v>
      </c>
      <c r="D3861" s="27" t="s">
        <v>969</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621</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999</v>
      </c>
      <c r="B3863" s="27" t="s">
        <v>978</v>
      </c>
      <c r="C3863" s="27" t="s">
        <v>1001</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1043</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2137</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1473</v>
      </c>
      <c r="B3866" s="27" t="s">
        <v>1053</v>
      </c>
      <c r="C3866" s="27" t="s">
        <v>979</v>
      </c>
      <c r="D3866" s="27" t="s">
        <v>969</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991</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1365</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1114</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1086</v>
      </c>
      <c r="B3870" s="27" t="s">
        <v>1010</v>
      </c>
      <c r="C3870" s="27" t="s">
        <v>968</v>
      </c>
      <c r="D3870" s="27" t="s">
        <v>969</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1213</v>
      </c>
      <c r="B3871" s="27" t="s">
        <v>1013</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1021</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1067</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1445</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2138</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1005</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965</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row>
    <row r="3879" spans="1:12">
      <c r="A3879" s="20" t="s">
        <v>2139</v>
      </c>
    </row>
    <row r="3880" spans="1:12">
      <c r="A3880" s="20" t="s">
        <v>2140</v>
      </c>
      <c r="B3880" s="27" t="s">
        <v>973</v>
      </c>
      <c r="C3880" s="27" t="s">
        <v>968</v>
      </c>
      <c r="D3880" s="27" t="s">
        <v>969</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2141</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985</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2100</v>
      </c>
      <c r="B3883" s="27" t="s">
        <v>967</v>
      </c>
      <c r="C3883" s="27" t="s">
        <v>979</v>
      </c>
      <c r="D3883" s="27" t="s">
        <v>969</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991</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996</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1078</v>
      </c>
      <c r="B3886" s="27" t="s">
        <v>994</v>
      </c>
      <c r="C3886" s="27" t="s">
        <v>974</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2142</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1046</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2143</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991</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2144</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2145</v>
      </c>
      <c r="B3892" s="27" t="s">
        <v>982</v>
      </c>
      <c r="C3892" s="27" t="s">
        <v>974</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1043</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2146</v>
      </c>
      <c r="B3894" s="27" t="s">
        <v>1003</v>
      </c>
      <c r="C3894" s="27" t="s">
        <v>979</v>
      </c>
      <c r="D3894" s="27" t="s">
        <v>969</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2147</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1218</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1005</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row>
    <row r="3899" spans="1:12">
      <c r="A3899" s="20" t="s">
        <v>2148</v>
      </c>
    </row>
    <row r="3900" spans="1:12">
      <c r="A3900" s="20" t="s">
        <v>966</v>
      </c>
      <c r="B3900" s="27" t="s">
        <v>967</v>
      </c>
      <c r="C3900" s="27" t="s">
        <v>968</v>
      </c>
      <c r="D3900" s="27" t="s">
        <v>969</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1951</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1026</v>
      </c>
      <c r="B3902" s="27" t="s">
        <v>973</v>
      </c>
      <c r="C3902" s="27" t="s">
        <v>968</v>
      </c>
      <c r="D3902" s="27" t="s">
        <v>969</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1151</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991</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1214</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1009</v>
      </c>
      <c r="B3906" s="27" t="s">
        <v>1010</v>
      </c>
      <c r="C3906" s="27" t="s">
        <v>1011</v>
      </c>
      <c r="D3906" s="27" t="s">
        <v>969</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975</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2149</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2150</v>
      </c>
      <c r="B3909" s="27" t="s">
        <v>978</v>
      </c>
      <c r="C3909" s="27" t="s">
        <v>974</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2151</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991</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980</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1016</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1239</v>
      </c>
      <c r="B3914" s="27" t="s">
        <v>1053</v>
      </c>
      <c r="C3914" s="27" t="s">
        <v>1018</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991</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985</v>
      </c>
      <c r="B3916" s="27" t="s">
        <v>994</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1107</v>
      </c>
      <c r="B3917" s="27" t="s">
        <v>1031</v>
      </c>
      <c r="C3917" s="27" t="s">
        <v>968</v>
      </c>
      <c r="D3917" s="27" t="s">
        <v>969</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1151</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976</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1228</v>
      </c>
      <c r="B3920" s="27" t="s">
        <v>982</v>
      </c>
      <c r="C3920" s="27" t="s">
        <v>1011</v>
      </c>
      <c r="D3920" s="27" t="s">
        <v>969</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2152</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991</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1883</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1078</v>
      </c>
      <c r="B3924" s="27" t="s">
        <v>967</v>
      </c>
      <c r="C3924" s="27" t="s">
        <v>974</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1837</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1038</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2153</v>
      </c>
      <c r="B3927" s="27" t="s">
        <v>1053</v>
      </c>
      <c r="C3927" s="27" t="s">
        <v>979</v>
      </c>
      <c r="D3927" s="27" t="s">
        <v>969</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1005</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row>
    <row r="3930" spans="1:12">
      <c r="A3930" s="20" t="s">
        <v>2154</v>
      </c>
    </row>
    <row r="3931" spans="1:12">
      <c r="A3931" s="20" t="s">
        <v>2155</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1544</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993</v>
      </c>
      <c r="B3933" s="27" t="s">
        <v>967</v>
      </c>
      <c r="C3933" s="27" t="s">
        <v>968</v>
      </c>
      <c r="D3933" s="27" t="s">
        <v>969</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1107</v>
      </c>
      <c r="B3934" s="27" t="s">
        <v>973</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1022</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991</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1437</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999</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2156</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991</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1177</v>
      </c>
      <c r="B3941" s="27" t="s">
        <v>1010</v>
      </c>
      <c r="C3941" s="27" t="s">
        <v>1011</v>
      </c>
      <c r="D3941" s="27" t="s">
        <v>969</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1108</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2157</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1111</v>
      </c>
      <c r="B3944" s="27" t="s">
        <v>978</v>
      </c>
      <c r="C3944" s="27" t="s">
        <v>974</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1037</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1078</v>
      </c>
      <c r="B3946" s="27" t="s">
        <v>978</v>
      </c>
      <c r="C3946" s="27" t="s">
        <v>974</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1478</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1411</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1005</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row>
    <row r="3951" spans="1:12">
      <c r="A3951" s="20" t="s">
        <v>2158</v>
      </c>
    </row>
    <row r="3952" spans="1:12">
      <c r="A3952" s="20" t="s">
        <v>1007</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993</v>
      </c>
      <c r="B3953" s="27" t="s">
        <v>967</v>
      </c>
      <c r="C3953" s="27" t="s">
        <v>968</v>
      </c>
      <c r="D3953" s="27" t="s">
        <v>969</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2159</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1173</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991</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996</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2157</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1111</v>
      </c>
      <c r="B3959" s="27" t="s">
        <v>1010</v>
      </c>
      <c r="C3959" s="27" t="s">
        <v>974</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1070</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1078</v>
      </c>
      <c r="B3961" s="27" t="s">
        <v>978</v>
      </c>
      <c r="C3961" s="27" t="s">
        <v>974</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2160</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1021</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2161</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462</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1005</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row>
    <row r="3968" spans="1:12">
      <c r="A3968" s="20" t="s">
        <v>2162</v>
      </c>
    </row>
    <row r="3969" spans="1:12">
      <c r="A3969" s="20" t="s">
        <v>1078</v>
      </c>
      <c r="B3969" s="27" t="s">
        <v>967</v>
      </c>
      <c r="C3969" s="27" t="s">
        <v>974</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1195</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1024</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2163</v>
      </c>
      <c r="B3972" s="27" t="s">
        <v>1053</v>
      </c>
      <c r="C3972" s="27" t="s">
        <v>979</v>
      </c>
      <c r="D3972" s="27" t="s">
        <v>969</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1809</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2164</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2165</v>
      </c>
      <c r="B3975" s="27" t="s">
        <v>1053</v>
      </c>
      <c r="C3975" s="27" t="s">
        <v>1018</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991</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985</v>
      </c>
      <c r="B3977" s="27" t="s">
        <v>994</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2166</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2167</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975</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1043</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2168</v>
      </c>
      <c r="B3982" s="27" t="s">
        <v>982</v>
      </c>
      <c r="C3982" s="27" t="s">
        <v>979</v>
      </c>
      <c r="D3982" s="27" t="s">
        <v>969</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2169</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1097</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991</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980</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1095</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2170</v>
      </c>
      <c r="B3988" s="27" t="s">
        <v>1053</v>
      </c>
      <c r="C3988" s="27" t="s">
        <v>974</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991</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985</v>
      </c>
      <c r="B3990" s="27" t="s">
        <v>994</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614</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1070</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2171</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1111</v>
      </c>
      <c r="B3994" s="27" t="s">
        <v>982</v>
      </c>
      <c r="C3994" s="27" t="s">
        <v>974</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1179</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2172</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1195</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1005</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row>
    <row r="4000" spans="1:12">
      <c r="A4000" s="20" t="s">
        <v>1060</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2173</v>
      </c>
    </row>
    <row r="4002" spans="1:12">
      <c r="A4002" s="20" t="s">
        <v>1950</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2174</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1213</v>
      </c>
      <c r="B4004" s="27" t="s">
        <v>973</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991</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996</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1220</v>
      </c>
      <c r="B4007" s="27" t="s">
        <v>994</v>
      </c>
      <c r="C4007" s="27" t="s">
        <v>1001</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991</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1114</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1220</v>
      </c>
      <c r="B4010" s="27" t="s">
        <v>997</v>
      </c>
      <c r="C4010" s="27" t="s">
        <v>1001</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1051</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1673</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1393</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1307</v>
      </c>
      <c r="B4014" s="27" t="s">
        <v>1198</v>
      </c>
      <c r="C4014" s="27" t="s">
        <v>1018</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1282</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991</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1213</v>
      </c>
      <c r="B4017" s="27" t="s">
        <v>994</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1240</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985</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2175</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1473</v>
      </c>
      <c r="B4021" s="27" t="s">
        <v>982</v>
      </c>
      <c r="C4021" s="27" t="s">
        <v>979</v>
      </c>
      <c r="D4021" s="27" t="s">
        <v>969</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2176</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970</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991</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1685</v>
      </c>
      <c r="B4025" s="27" t="s">
        <v>967</v>
      </c>
      <c r="C4025" s="27" t="s">
        <v>974</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1194</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965</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2177</v>
      </c>
      <c r="B4028" s="27" t="s">
        <v>1031</v>
      </c>
      <c r="C4028" s="27" t="s">
        <v>1372</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2178</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993</v>
      </c>
      <c r="B4030" s="27" t="s">
        <v>994</v>
      </c>
      <c r="C4030" s="27" t="s">
        <v>968</v>
      </c>
      <c r="D4030" s="27" t="s">
        <v>969</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1107</v>
      </c>
      <c r="B4031" s="27" t="s">
        <v>1031</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1445</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1373</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row>
    <row r="4035" spans="1:12">
      <c r="A4035" s="20" t="s">
        <v>1060</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2179</v>
      </c>
    </row>
    <row r="4037" spans="1:12">
      <c r="A4037" s="20" t="s">
        <v>966</v>
      </c>
      <c r="B4037" s="27" t="s">
        <v>967</v>
      </c>
      <c r="C4037" s="27" t="s">
        <v>968</v>
      </c>
      <c r="D4037" s="27" t="s">
        <v>969</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1200</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1078</v>
      </c>
      <c r="B4039" s="27" t="s">
        <v>973</v>
      </c>
      <c r="C4039" s="27" t="s">
        <v>974</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104</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1005</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965</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row>
    <row r="4044" spans="1:12">
      <c r="A4044" s="20" t="s">
        <v>2180</v>
      </c>
    </row>
    <row r="4045" spans="1:12">
      <c r="A4045" s="20" t="s">
        <v>1007</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1220</v>
      </c>
      <c r="B4046" s="27" t="s">
        <v>967</v>
      </c>
      <c r="C4046" s="27" t="s">
        <v>1001</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2181</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1016</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1406</v>
      </c>
      <c r="B4049" s="27" t="s">
        <v>973</v>
      </c>
      <c r="C4049" s="27" t="s">
        <v>1018</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1206</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1005</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row>
    <row r="4053" spans="1:12">
      <c r="A4053" s="20" t="s">
        <v>1060</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2182</v>
      </c>
    </row>
    <row r="4055" spans="1:12">
      <c r="A4055" s="20" t="s">
        <v>1144</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1114</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1220</v>
      </c>
      <c r="B4057" s="27" t="s">
        <v>1010</v>
      </c>
      <c r="C4057" s="27" t="s">
        <v>1001</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1051</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2183</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2184</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1307</v>
      </c>
      <c r="B4061" s="27" t="s">
        <v>1013</v>
      </c>
      <c r="C4061" s="27" t="s">
        <v>1018</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1282</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980</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1213</v>
      </c>
      <c r="B4064" s="27" t="s">
        <v>1031</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2185</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2176</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970</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991</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1898</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1280</v>
      </c>
      <c r="B4070" s="27" t="s">
        <v>978</v>
      </c>
      <c r="C4070" s="27" t="s">
        <v>1102</v>
      </c>
      <c r="D4070" s="27" t="s">
        <v>969</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1281</v>
      </c>
      <c r="B4071" s="27" t="s">
        <v>967</v>
      </c>
      <c r="C4071" s="27" t="s">
        <v>1141</v>
      </c>
      <c r="D4071" s="27" t="s">
        <v>969</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975</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976</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2186</v>
      </c>
      <c r="B4074" s="27" t="s">
        <v>1053</v>
      </c>
      <c r="C4074" s="27" t="s">
        <v>979</v>
      </c>
      <c r="D4074" s="27" t="s">
        <v>969</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1037</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976</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1733</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1307</v>
      </c>
      <c r="B4078" s="27" t="s">
        <v>978</v>
      </c>
      <c r="C4078" s="27" t="s">
        <v>979</v>
      </c>
      <c r="D4078" s="27" t="s">
        <v>969</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991</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980</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1220</v>
      </c>
      <c r="B4081" s="27" t="s">
        <v>1010</v>
      </c>
      <c r="C4081" s="27" t="s">
        <v>1001</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2187</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1021</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1741</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991</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999</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241</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1194</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965</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2188</v>
      </c>
      <c r="B4090" s="27" t="s">
        <v>1010</v>
      </c>
      <c r="C4090" s="27" t="s">
        <v>974</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1097</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1024</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2189</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1005</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965</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row>
    <row r="4097" spans="1:12">
      <c r="A4097" s="20" t="s">
        <v>2190</v>
      </c>
    </row>
    <row r="4098" spans="1:12">
      <c r="A4098" s="20" t="s">
        <v>2155</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104</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1432</v>
      </c>
      <c r="B4100" s="27" t="s">
        <v>967</v>
      </c>
      <c r="C4100" s="27" t="s">
        <v>1011</v>
      </c>
      <c r="D4100" s="27" t="s">
        <v>969</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975</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1170</v>
      </c>
      <c r="B4102" s="27" t="s">
        <v>978</v>
      </c>
      <c r="C4102" s="27" t="s">
        <v>1102</v>
      </c>
      <c r="D4102" s="27" t="s">
        <v>969</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2023</v>
      </c>
      <c r="B4103" s="27" t="s">
        <v>1053</v>
      </c>
      <c r="C4103" s="27" t="s">
        <v>1141</v>
      </c>
      <c r="D4103" s="27" t="s">
        <v>969</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1016</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2191</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12</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2192</v>
      </c>
      <c r="B4107" s="27" t="s">
        <v>967</v>
      </c>
      <c r="C4107" s="27" t="s">
        <v>1018</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1837</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2171</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1111</v>
      </c>
      <c r="B4110" s="27" t="s">
        <v>1053</v>
      </c>
      <c r="C4110" s="27" t="s">
        <v>974</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991</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985</v>
      </c>
      <c r="B4112" s="27" t="s">
        <v>1010</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1021</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2193</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980</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2161</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1218</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980</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985</v>
      </c>
      <c r="B4119" s="27" t="s">
        <v>994</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1021</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2194</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1218</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991</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980</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1024</v>
      </c>
      <c r="B4125" s="27" t="s">
        <v>1010</v>
      </c>
      <c r="C4125" s="27" t="s">
        <v>1102</v>
      </c>
      <c r="D4125" s="27" t="s">
        <v>969</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1097</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1016</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2195</v>
      </c>
      <c r="B4128" s="27" t="s">
        <v>1053</v>
      </c>
      <c r="C4128" s="27" t="s">
        <v>1018</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2196</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2197</v>
      </c>
      <c r="B4130" s="27" t="s">
        <v>978</v>
      </c>
      <c r="C4130" s="27" t="s">
        <v>974</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1005</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row>
    <row r="4133" spans="1:12">
      <c r="A4133" s="20" t="s">
        <v>2198</v>
      </c>
    </row>
    <row r="4134" spans="1:12">
      <c r="A4134" s="20" t="s">
        <v>966</v>
      </c>
      <c r="B4134" s="27" t="s">
        <v>967</v>
      </c>
      <c r="C4134" s="27" t="s">
        <v>968</v>
      </c>
      <c r="D4134" s="27" t="s">
        <v>969</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2159</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1565</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1051</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2199</v>
      </c>
      <c r="B4138" s="27" t="s">
        <v>973</v>
      </c>
      <c r="C4138" s="27" t="s">
        <v>1018</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991</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985</v>
      </c>
      <c r="B4140" s="27" t="s">
        <v>994</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1051</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2200</v>
      </c>
      <c r="B4142" s="27" t="s">
        <v>1031</v>
      </c>
      <c r="C4142" s="27" t="s">
        <v>1018</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975</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1038</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2201</v>
      </c>
      <c r="B4145" s="27" t="s">
        <v>982</v>
      </c>
      <c r="C4145" s="27" t="s">
        <v>979</v>
      </c>
      <c r="D4145" s="27" t="s">
        <v>969</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2202</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1095</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2203</v>
      </c>
      <c r="B4148" s="27" t="s">
        <v>982</v>
      </c>
      <c r="C4148" s="27" t="s">
        <v>1083</v>
      </c>
      <c r="D4148" s="27" t="s">
        <v>969</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2204</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2205</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991</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1999</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1009</v>
      </c>
      <c r="B4153" s="27" t="s">
        <v>997</v>
      </c>
      <c r="C4153" s="27" t="s">
        <v>1011</v>
      </c>
      <c r="D4153" s="27" t="s">
        <v>969</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2206</v>
      </c>
      <c r="B4154" s="27" t="s">
        <v>1198</v>
      </c>
      <c r="C4154" s="27" t="s">
        <v>974</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1388</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991</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985</v>
      </c>
      <c r="B4157" s="27" t="s">
        <v>1294</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2116</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2207</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2208</v>
      </c>
      <c r="B4160" s="27" t="s">
        <v>1000</v>
      </c>
      <c r="C4160" s="27" t="s">
        <v>974</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2209</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1883</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980</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1078</v>
      </c>
      <c r="B4164" s="27" t="s">
        <v>1905</v>
      </c>
      <c r="C4164" s="27" t="s">
        <v>974</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1070</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1919</v>
      </c>
      <c r="B4166" s="27" t="s">
        <v>2210</v>
      </c>
      <c r="C4166" s="27" t="s">
        <v>968</v>
      </c>
      <c r="D4166" s="27" t="s">
        <v>969</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2211</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991</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980</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1041</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1051</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2212</v>
      </c>
      <c r="B4172" s="27" t="s">
        <v>1297</v>
      </c>
      <c r="C4172" s="27" t="s">
        <v>1018</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2213</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1005</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row>
    <row r="4176" spans="1:12">
      <c r="A4176" s="20" t="s">
        <v>2214</v>
      </c>
    </row>
    <row r="4177" spans="1:12">
      <c r="A4177" s="20" t="s">
        <v>2215</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1095</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1919</v>
      </c>
      <c r="B4179" s="27" t="s">
        <v>978</v>
      </c>
      <c r="C4179" s="27" t="s">
        <v>968</v>
      </c>
      <c r="D4179" s="27" t="s">
        <v>969</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991</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2216</v>
      </c>
      <c r="B4181" s="27" t="s">
        <v>967</v>
      </c>
      <c r="C4181" s="27" t="s">
        <v>1083</v>
      </c>
      <c r="D4181" s="27" t="s">
        <v>969</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991</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1004</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2217</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991</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980</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1009</v>
      </c>
      <c r="B4187" s="27" t="s">
        <v>1010</v>
      </c>
      <c r="C4187" s="27" t="s">
        <v>1011</v>
      </c>
      <c r="D4187" s="27" t="s">
        <v>969</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1351</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2218</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991</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1046</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1009</v>
      </c>
      <c r="B4192" s="27" t="s">
        <v>994</v>
      </c>
      <c r="C4192" s="27" t="s">
        <v>1011</v>
      </c>
      <c r="D4192" s="27" t="s">
        <v>969</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2219</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1005</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row>
    <row r="4196" spans="1:12">
      <c r="A4196" s="20" t="s">
        <v>2220</v>
      </c>
    </row>
    <row r="4197" spans="1:12">
      <c r="A4197" s="20" t="s">
        <v>2221</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1016</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669</v>
      </c>
      <c r="B4199" s="27" t="s">
        <v>1053</v>
      </c>
      <c r="C4199" s="27" t="s">
        <v>1018</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991</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985</v>
      </c>
      <c r="B4201" s="27" t="s">
        <v>1010</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2222</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2086</v>
      </c>
      <c r="B4203" s="27" t="s">
        <v>1013</v>
      </c>
      <c r="C4203" s="27" t="s">
        <v>1123</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1282</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1005</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row>
    <row r="4207" spans="1:12">
      <c r="A4207" s="20" t="s">
        <v>1060</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2223</v>
      </c>
    </row>
    <row r="4209" spans="1:12">
      <c r="A4209" s="20" t="s">
        <v>1268</v>
      </c>
      <c r="B4209" s="27" t="s">
        <v>967</v>
      </c>
      <c r="C4209" s="27" t="s">
        <v>968</v>
      </c>
      <c r="D4209" s="27" t="s">
        <v>969</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1351</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1194</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965</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966</v>
      </c>
      <c r="B4213" s="27" t="s">
        <v>1010</v>
      </c>
      <c r="C4213" s="27" t="s">
        <v>968</v>
      </c>
      <c r="D4213" s="27" t="s">
        <v>969</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1278</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1110</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2224</v>
      </c>
      <c r="B4216" s="27" t="s">
        <v>1013</v>
      </c>
      <c r="C4216" s="27" t="s">
        <v>1018</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991</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1240</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993</v>
      </c>
      <c r="B4219" s="27" t="s">
        <v>994</v>
      </c>
      <c r="C4219" s="27" t="s">
        <v>968</v>
      </c>
      <c r="D4219" s="27" t="s">
        <v>969</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2225</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2038</v>
      </c>
      <c r="B4221" s="27" t="s">
        <v>1031</v>
      </c>
      <c r="C4221" s="27" t="s">
        <v>968</v>
      </c>
      <c r="D4221" s="27" t="s">
        <v>969</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2226</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991</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1322</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993</v>
      </c>
      <c r="B4225" s="27" t="s">
        <v>997</v>
      </c>
      <c r="C4225" s="27" t="s">
        <v>968</v>
      </c>
      <c r="D4225" s="27" t="s">
        <v>969</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1021</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1172</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976</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1236</v>
      </c>
      <c r="B4229" s="27" t="s">
        <v>1003</v>
      </c>
      <c r="C4229" s="27" t="s">
        <v>979</v>
      </c>
      <c r="D4229" s="27" t="s">
        <v>969</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267</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1085</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1005</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row>
    <row r="4234" spans="1:12">
      <c r="A4234" s="20" t="s">
        <v>2227</v>
      </c>
    </row>
    <row r="4235" spans="1:12">
      <c r="A4235" s="20" t="s">
        <v>966</v>
      </c>
      <c r="B4235" s="27" t="s">
        <v>967</v>
      </c>
      <c r="C4235" s="27" t="s">
        <v>968</v>
      </c>
      <c r="D4235" s="27" t="s">
        <v>969</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1352</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1191</v>
      </c>
      <c r="B4237" s="27" t="s">
        <v>978</v>
      </c>
      <c r="C4237" s="27" t="s">
        <v>988</v>
      </c>
      <c r="D4237" s="27" t="s">
        <v>969</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2228</v>
      </c>
      <c r="B4238" s="27" t="s">
        <v>973</v>
      </c>
      <c r="C4238" s="27" t="s">
        <v>974</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1157</v>
      </c>
      <c r="B4239" s="27" t="s">
        <v>973</v>
      </c>
      <c r="C4239" s="27" t="s">
        <v>1011</v>
      </c>
      <c r="D4239" s="27" t="s">
        <v>969</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999</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100</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1005</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row>
    <row r="4244" spans="1:12">
      <c r="A4244" s="20" t="s">
        <v>1060</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2229</v>
      </c>
    </row>
    <row r="4246" spans="1:12">
      <c r="A4246" s="20" t="s">
        <v>2230</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1454</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993</v>
      </c>
      <c r="B4248" s="27" t="s">
        <v>967</v>
      </c>
      <c r="C4248" s="27" t="s">
        <v>968</v>
      </c>
      <c r="D4248" s="27" t="s">
        <v>969</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1086</v>
      </c>
      <c r="B4249" s="27" t="s">
        <v>973</v>
      </c>
      <c r="C4249" s="27" t="s">
        <v>968</v>
      </c>
      <c r="D4249" s="27" t="s">
        <v>969</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1021</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679</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991</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996</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1009</v>
      </c>
      <c r="B4254" s="27" t="s">
        <v>1010</v>
      </c>
      <c r="C4254" s="27" t="s">
        <v>1011</v>
      </c>
      <c r="D4254" s="27" t="s">
        <v>969</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2231</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991</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980</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1041</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2232</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993</v>
      </c>
      <c r="B4260" s="27" t="s">
        <v>1010</v>
      </c>
      <c r="C4260" s="27" t="s">
        <v>968</v>
      </c>
      <c r="D4260" s="27" t="s">
        <v>969</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1107</v>
      </c>
      <c r="B4261" s="27" t="s">
        <v>1013</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975</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1024</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1325</v>
      </c>
      <c r="B4264" s="27" t="s">
        <v>978</v>
      </c>
      <c r="C4264" s="27" t="s">
        <v>979</v>
      </c>
      <c r="D4264" s="27" t="s">
        <v>969</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980</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2233</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985</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2234</v>
      </c>
      <c r="B4268" s="27" t="s">
        <v>1013</v>
      </c>
      <c r="C4268" s="27" t="s">
        <v>979</v>
      </c>
      <c r="D4268" s="27" t="s">
        <v>969</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1032</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1191</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1897</v>
      </c>
      <c r="B4271" s="27" t="s">
        <v>982</v>
      </c>
      <c r="C4271" s="27" t="s">
        <v>1035</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991</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980</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1114</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1009</v>
      </c>
      <c r="B4275" s="27" t="s">
        <v>1010</v>
      </c>
      <c r="C4275" s="27" t="s">
        <v>1011</v>
      </c>
      <c r="D4275" s="27" t="s">
        <v>969</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1437</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11</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2235</v>
      </c>
      <c r="B4278" s="27" t="s">
        <v>978</v>
      </c>
      <c r="C4278" s="27" t="s">
        <v>1123</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1131</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1236</v>
      </c>
      <c r="B4280" s="27" t="s">
        <v>978</v>
      </c>
      <c r="C4280" s="27" t="s">
        <v>1083</v>
      </c>
      <c r="D4280" s="27" t="s">
        <v>969</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665</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991</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2187</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1024</v>
      </c>
      <c r="B4284" s="27" t="s">
        <v>994</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1445</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1722</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1005</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965</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row>
    <row r="4290" spans="1:12">
      <c r="A4290" s="20" t="s">
        <v>1060</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2236</v>
      </c>
    </row>
    <row r="4292" spans="1:12">
      <c r="A4292" s="20" t="s">
        <v>1268</v>
      </c>
      <c r="B4292" s="27" t="s">
        <v>967</v>
      </c>
      <c r="C4292" s="27" t="s">
        <v>968</v>
      </c>
      <c r="D4292" s="27" t="s">
        <v>969</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1351</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1194</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965</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966</v>
      </c>
      <c r="B4296" s="27" t="s">
        <v>1010</v>
      </c>
      <c r="C4296" s="27" t="s">
        <v>968</v>
      </c>
      <c r="D4296" s="27" t="s">
        <v>969</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1352</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1179</v>
      </c>
      <c r="B4298" s="27" t="s">
        <v>982</v>
      </c>
      <c r="C4298" s="27" t="s">
        <v>1001</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2237</v>
      </c>
      <c r="B4299" s="27" t="s">
        <v>1013</v>
      </c>
      <c r="C4299" s="27" t="s">
        <v>1123</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2238</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991</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1888</v>
      </c>
      <c r="B4302" s="27" t="s">
        <v>1013</v>
      </c>
      <c r="C4302" s="27" t="s">
        <v>1001</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1177</v>
      </c>
      <c r="B4303" s="27" t="s">
        <v>997</v>
      </c>
      <c r="C4303" s="27" t="s">
        <v>1011</v>
      </c>
      <c r="D4303" s="27" t="s">
        <v>969</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1107</v>
      </c>
      <c r="B4304" s="27" t="s">
        <v>1198</v>
      </c>
      <c r="C4304" s="27" t="s">
        <v>968</v>
      </c>
      <c r="D4304" s="27" t="s">
        <v>969</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1158</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2239</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2240</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1005</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row>
    <row r="4310" spans="1:12">
      <c r="A4310" s="20" t="s">
        <v>2241</v>
      </c>
    </row>
    <row r="4311" spans="1:12">
      <c r="A4311" s="20" t="s">
        <v>1929</v>
      </c>
      <c r="B4311" s="27" t="s">
        <v>978</v>
      </c>
      <c r="C4311" s="27" t="s">
        <v>1083</v>
      </c>
      <c r="D4311" s="27" t="s">
        <v>969</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1827</v>
      </c>
      <c r="B4312" s="27" t="s">
        <v>967</v>
      </c>
      <c r="C4312" s="27" t="s">
        <v>1083</v>
      </c>
      <c r="D4312" s="27" t="s">
        <v>969</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1351</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1026</v>
      </c>
      <c r="B4314" s="27" t="s">
        <v>973</v>
      </c>
      <c r="C4314" s="27" t="s">
        <v>968</v>
      </c>
      <c r="D4314" s="27" t="s">
        <v>969</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1279</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991</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996</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993</v>
      </c>
      <c r="B4318" s="27" t="s">
        <v>1010</v>
      </c>
      <c r="C4318" s="27" t="s">
        <v>968</v>
      </c>
      <c r="D4318" s="27" t="s">
        <v>969</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2242</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980</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2243</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1369</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1005</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row>
    <row r="4325" spans="1:12">
      <c r="A4325" s="20" t="s">
        <v>1060</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2244</v>
      </c>
    </row>
    <row r="4327" spans="1:12">
      <c r="A4327" s="20" t="s">
        <v>966</v>
      </c>
      <c r="B4327" s="27" t="s">
        <v>967</v>
      </c>
      <c r="C4327" s="27" t="s">
        <v>968</v>
      </c>
      <c r="D4327" s="27" t="s">
        <v>969</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2245</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991</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993</v>
      </c>
      <c r="B4330" s="27" t="s">
        <v>1010</v>
      </c>
      <c r="C4330" s="27" t="s">
        <v>968</v>
      </c>
      <c r="D4330" s="27" t="s">
        <v>969</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1861</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1038</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2246</v>
      </c>
      <c r="B4333" s="27" t="s">
        <v>1013</v>
      </c>
      <c r="C4333" s="27" t="s">
        <v>979</v>
      </c>
      <c r="D4333" s="27" t="s">
        <v>969</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2247</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1005</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965</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row>
    <row r="4338" spans="1:12">
      <c r="A4338" s="20" t="s">
        <v>1060</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2248</v>
      </c>
    </row>
    <row r="4340" spans="1:12">
      <c r="A4340" s="20" t="s">
        <v>1268</v>
      </c>
      <c r="B4340" s="27" t="s">
        <v>967</v>
      </c>
      <c r="C4340" s="27" t="s">
        <v>968</v>
      </c>
      <c r="D4340" s="27" t="s">
        <v>969</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1411</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975</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1139</v>
      </c>
      <c r="B4343" s="27" t="s">
        <v>978</v>
      </c>
      <c r="C4343" s="27" t="s">
        <v>1102</v>
      </c>
      <c r="D4343" s="27" t="s">
        <v>969</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2249</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2250</v>
      </c>
      <c r="B4345" s="27" t="s">
        <v>1053</v>
      </c>
      <c r="C4345" s="27" t="s">
        <v>1141</v>
      </c>
      <c r="D4345" s="27" t="s">
        <v>969</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2251</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980</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1046</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993</v>
      </c>
      <c r="B4349" s="27" t="s">
        <v>994</v>
      </c>
      <c r="C4349" s="27" t="s">
        <v>968</v>
      </c>
      <c r="D4349" s="27" t="s">
        <v>969</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1009</v>
      </c>
      <c r="B4350" s="27" t="s">
        <v>1031</v>
      </c>
      <c r="C4350" s="27" t="s">
        <v>1011</v>
      </c>
      <c r="D4350" s="27" t="s">
        <v>969</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1295</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1296</v>
      </c>
      <c r="B4352" s="27" t="s">
        <v>1003</v>
      </c>
      <c r="C4352" s="27" t="s">
        <v>1123</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1148</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1576</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991</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1278</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1009</v>
      </c>
      <c r="B4357" s="27" t="s">
        <v>1010</v>
      </c>
      <c r="C4357" s="27" t="s">
        <v>1011</v>
      </c>
      <c r="D4357" s="27" t="s">
        <v>969</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1110</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2224</v>
      </c>
      <c r="B4359" s="27" t="s">
        <v>1013</v>
      </c>
      <c r="C4359" s="27" t="s">
        <v>1018</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975</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1043</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2252</v>
      </c>
      <c r="B4362" s="27" t="s">
        <v>982</v>
      </c>
      <c r="C4362" s="27" t="s">
        <v>979</v>
      </c>
      <c r="D4362" s="27" t="s">
        <v>969</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1108</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985</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2253</v>
      </c>
      <c r="B4365" s="27" t="s">
        <v>1003</v>
      </c>
      <c r="C4365" s="27" t="s">
        <v>1083</v>
      </c>
      <c r="D4365" s="27" t="s">
        <v>969</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12</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2254</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2251</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991</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1278</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1242</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1827</v>
      </c>
      <c r="B4372" s="27" t="s">
        <v>1031</v>
      </c>
      <c r="C4372" s="27" t="s">
        <v>1035</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991</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1043</v>
      </c>
      <c r="B4374" s="27" t="s">
        <v>1294</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1009</v>
      </c>
      <c r="B4375" s="27" t="s">
        <v>1297</v>
      </c>
      <c r="C4375" s="27" t="s">
        <v>1011</v>
      </c>
      <c r="D4375" s="27" t="s">
        <v>969</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1067</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2255</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1278</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991</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2024</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991</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980</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1009</v>
      </c>
      <c r="B4383" s="27" t="s">
        <v>1010</v>
      </c>
      <c r="C4383" s="27" t="s">
        <v>1011</v>
      </c>
      <c r="D4383" s="27" t="s">
        <v>969</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1351</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999</v>
      </c>
      <c r="B4385" s="27" t="s">
        <v>982</v>
      </c>
      <c r="C4385" s="27" t="s">
        <v>1001</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1026</v>
      </c>
      <c r="B4386" s="27" t="s">
        <v>978</v>
      </c>
      <c r="C4386" s="27" t="s">
        <v>968</v>
      </c>
      <c r="D4386" s="27" t="s">
        <v>969</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1194</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965</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1125</v>
      </c>
      <c r="B4389" s="27" t="s">
        <v>1003</v>
      </c>
      <c r="C4389" s="27" t="s">
        <v>988</v>
      </c>
      <c r="D4389" s="27" t="s">
        <v>969</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2086</v>
      </c>
      <c r="B4390" s="27" t="s">
        <v>994</v>
      </c>
      <c r="C4390" s="27" t="s">
        <v>974</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1195</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1689</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1445</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1179</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2256</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1005</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965</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row>
    <row r="4399" spans="1:12">
      <c r="A4399" s="20" t="s">
        <v>1060</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2257</v>
      </c>
    </row>
    <row r="4401" spans="1:12">
      <c r="A4401" s="20" t="s">
        <v>1268</v>
      </c>
      <c r="B4401" s="27" t="s">
        <v>967</v>
      </c>
      <c r="C4401" s="27" t="s">
        <v>968</v>
      </c>
      <c r="D4401" s="27" t="s">
        <v>969</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1351</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1194</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965</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1251</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1497</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1110</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1044</v>
      </c>
      <c r="B4408" s="27" t="s">
        <v>1013</v>
      </c>
      <c r="C4408" s="27" t="s">
        <v>1018</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975</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2108</v>
      </c>
      <c r="B4410" s="27" t="s">
        <v>1003</v>
      </c>
      <c r="C4410" s="27" t="s">
        <v>988</v>
      </c>
      <c r="D4410" s="27" t="s">
        <v>969</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2258</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1640</v>
      </c>
      <c r="B4412" s="27" t="s">
        <v>982</v>
      </c>
      <c r="C4412" s="27" t="s">
        <v>974</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1108</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985</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2259</v>
      </c>
      <c r="B4415" s="27" t="s">
        <v>978</v>
      </c>
      <c r="C4415" s="27" t="s">
        <v>979</v>
      </c>
      <c r="D4415" s="27" t="s">
        <v>969</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980</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1110</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1044</v>
      </c>
      <c r="B4418" s="27" t="s">
        <v>982</v>
      </c>
      <c r="C4418" s="27" t="s">
        <v>1018</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1108</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985</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2260</v>
      </c>
      <c r="B4421" s="27" t="s">
        <v>982</v>
      </c>
      <c r="C4421" s="27" t="s">
        <v>979</v>
      </c>
      <c r="D4421" s="27" t="s">
        <v>969</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991</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1240</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2261</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1195</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1009</v>
      </c>
      <c r="B4426" s="27" t="s">
        <v>994</v>
      </c>
      <c r="C4426" s="27" t="s">
        <v>1011</v>
      </c>
      <c r="D4426" s="27" t="s">
        <v>969</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1012</v>
      </c>
      <c r="B4427" s="27" t="s">
        <v>982</v>
      </c>
      <c r="C4427" s="27" t="s">
        <v>1001</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1022</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987</v>
      </c>
      <c r="B4429" s="27" t="s">
        <v>982</v>
      </c>
      <c r="C4429" s="27" t="s">
        <v>988</v>
      </c>
      <c r="D4429" s="27" t="s">
        <v>969</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1325</v>
      </c>
      <c r="B4430" s="27" t="s">
        <v>978</v>
      </c>
      <c r="C4430" s="27" t="s">
        <v>1123</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980</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1432</v>
      </c>
      <c r="B4432" s="27" t="s">
        <v>994</v>
      </c>
      <c r="C4432" s="27" t="s">
        <v>1011</v>
      </c>
      <c r="D4432" s="27" t="s">
        <v>969</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58</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985</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2262</v>
      </c>
      <c r="B4435" s="27" t="s">
        <v>1031</v>
      </c>
      <c r="C4435" s="27" t="s">
        <v>979</v>
      </c>
      <c r="D4435" s="27" t="s">
        <v>969</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2263</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1005</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row>
    <row r="4439" spans="1:12">
      <c r="A4439" s="20" t="s">
        <v>2264</v>
      </c>
    </row>
    <row r="4440" spans="1:12">
      <c r="A4440" s="20" t="s">
        <v>1579</v>
      </c>
      <c r="B4440" s="27" t="s">
        <v>1010</v>
      </c>
      <c r="C4440" s="27" t="s">
        <v>1001</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1095</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1919</v>
      </c>
      <c r="B4442" s="27" t="s">
        <v>982</v>
      </c>
      <c r="C4442" s="27" t="s">
        <v>968</v>
      </c>
      <c r="D4442" s="27" t="s">
        <v>969</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2265</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2266</v>
      </c>
      <c r="B4444" s="27" t="s">
        <v>1013</v>
      </c>
      <c r="C4444" s="27" t="s">
        <v>974</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980</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1809</v>
      </c>
      <c r="B4446" s="27" t="s">
        <v>994</v>
      </c>
      <c r="C4446" s="27" t="s">
        <v>1001</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2265</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2267</v>
      </c>
      <c r="B4448" s="27" t="s">
        <v>982</v>
      </c>
      <c r="C4448" s="27" t="s">
        <v>1083</v>
      </c>
      <c r="D4448" s="27" t="s">
        <v>969</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462</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991</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980</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1090</v>
      </c>
      <c r="B4452" s="27" t="s">
        <v>978</v>
      </c>
      <c r="C4452" s="27" t="s">
        <v>1001</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1043</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2260</v>
      </c>
      <c r="B4454" s="27" t="s">
        <v>982</v>
      </c>
      <c r="C4454" s="27" t="s">
        <v>979</v>
      </c>
      <c r="D4454" s="27" t="s">
        <v>969</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1716</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991</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996</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1009</v>
      </c>
      <c r="B4458" s="27" t="s">
        <v>1010</v>
      </c>
      <c r="C4458" s="27" t="s">
        <v>1011</v>
      </c>
      <c r="D4458" s="27" t="s">
        <v>969</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2268</v>
      </c>
      <c r="B4459" s="27" t="s">
        <v>978</v>
      </c>
      <c r="C4459" s="27" t="s">
        <v>974</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462</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1218</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1005</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row>
    <row r="4464" spans="1:12">
      <c r="A4464" s="20" t="s">
        <v>2269</v>
      </c>
    </row>
    <row r="4465" spans="1:12">
      <c r="A4465" s="20" t="s">
        <v>1268</v>
      </c>
      <c r="B4465" s="27" t="s">
        <v>967</v>
      </c>
      <c r="C4465" s="27" t="s">
        <v>968</v>
      </c>
      <c r="D4465" s="27" t="s">
        <v>969</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703</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1021</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1158</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991</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1445</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1214</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2270</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980</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1009</v>
      </c>
      <c r="B4474" s="27" t="s">
        <v>1010</v>
      </c>
      <c r="C4474" s="27" t="s">
        <v>1011</v>
      </c>
      <c r="D4474" s="27" t="s">
        <v>969</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2271</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1213</v>
      </c>
      <c r="B4476" s="27" t="s">
        <v>1013</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1021</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1158</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1214</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1159</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1005</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row>
    <row r="4483" spans="1:12">
      <c r="A4483" s="20" t="s">
        <v>2272</v>
      </c>
    </row>
    <row r="4484" spans="1:12">
      <c r="A4484" s="20" t="s">
        <v>1176</v>
      </c>
      <c r="B4484" s="27" t="s">
        <v>967</v>
      </c>
      <c r="C4484" s="27" t="s">
        <v>1001</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991</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1177</v>
      </c>
      <c r="B4486" s="27" t="s">
        <v>1031</v>
      </c>
      <c r="C4486" s="27" t="s">
        <v>1011</v>
      </c>
      <c r="D4486" s="27" t="s">
        <v>969</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993</v>
      </c>
      <c r="B4487" s="27" t="s">
        <v>994</v>
      </c>
      <c r="C4487" s="27" t="s">
        <v>968</v>
      </c>
      <c r="D4487" s="27" t="s">
        <v>969</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1689</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2098</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991</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1195</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1033</v>
      </c>
      <c r="B4492" s="27" t="s">
        <v>1053</v>
      </c>
      <c r="C4492" s="27" t="s">
        <v>988</v>
      </c>
      <c r="D4492" s="27" t="s">
        <v>969</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2086</v>
      </c>
      <c r="B4493" s="27" t="s">
        <v>1053</v>
      </c>
      <c r="C4493" s="27" t="s">
        <v>1123</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1005</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row>
    <row r="4496" spans="1:12">
      <c r="A4496" s="20" t="s">
        <v>2273</v>
      </c>
    </row>
    <row r="4497" spans="1:12">
      <c r="A4497" s="20" t="s">
        <v>1438</v>
      </c>
      <c r="B4497" s="27" t="s">
        <v>967</v>
      </c>
      <c r="C4497" s="27" t="s">
        <v>1083</v>
      </c>
      <c r="D4497" s="27" t="s">
        <v>969</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711</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1213</v>
      </c>
      <c r="B4499" s="27" t="s">
        <v>973</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991</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985</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1252</v>
      </c>
      <c r="B4502" s="27" t="s">
        <v>967</v>
      </c>
      <c r="C4502" s="27" t="s">
        <v>979</v>
      </c>
      <c r="D4502" s="27" t="s">
        <v>969</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991</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1214</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993</v>
      </c>
      <c r="B4505" s="27" t="s">
        <v>994</v>
      </c>
      <c r="C4505" s="27" t="s">
        <v>968</v>
      </c>
      <c r="D4505" s="27" t="s">
        <v>969</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1107</v>
      </c>
      <c r="B4506" s="27" t="s">
        <v>1031</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2274</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991</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1214</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993</v>
      </c>
      <c r="B4510" s="27" t="s">
        <v>997</v>
      </c>
      <c r="C4510" s="27" t="s">
        <v>968</v>
      </c>
      <c r="D4510" s="27" t="s">
        <v>969</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1107</v>
      </c>
      <c r="B4511" s="27" t="s">
        <v>1198</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2178</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980</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1214</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993</v>
      </c>
      <c r="B4515" s="27" t="s">
        <v>1294</v>
      </c>
      <c r="C4515" s="27" t="s">
        <v>968</v>
      </c>
      <c r="D4515" s="27" t="s">
        <v>969</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2275</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1005</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row>
    <row r="4519" spans="1:12">
      <c r="A4519" s="20" t="s">
        <v>2276</v>
      </c>
    </row>
    <row r="4520" spans="1:12">
      <c r="A4520" s="20" t="s">
        <v>966</v>
      </c>
      <c r="B4520" s="27" t="s">
        <v>967</v>
      </c>
      <c r="C4520" s="27" t="s">
        <v>968</v>
      </c>
      <c r="D4520" s="27" t="s">
        <v>969</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1454</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1689</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715</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991</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1300</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1107</v>
      </c>
      <c r="B4526" s="27" t="s">
        <v>1013</v>
      </c>
      <c r="C4526" s="27" t="s">
        <v>968</v>
      </c>
      <c r="D4526" s="27" t="s">
        <v>969</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999</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2277</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991</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980</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993</v>
      </c>
      <c r="B4531" s="27" t="s">
        <v>1010</v>
      </c>
      <c r="C4531" s="27" t="s">
        <v>968</v>
      </c>
      <c r="D4531" s="27" t="s">
        <v>969</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2278</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1021</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991</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996</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1139</v>
      </c>
      <c r="B4536" s="27" t="s">
        <v>1003</v>
      </c>
      <c r="C4536" s="27" t="s">
        <v>1102</v>
      </c>
      <c r="D4536" s="27" t="s">
        <v>969</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2279</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1903</v>
      </c>
      <c r="B4538" s="27" t="s">
        <v>994</v>
      </c>
      <c r="C4538" s="27" t="s">
        <v>1141</v>
      </c>
      <c r="D4538" s="27" t="s">
        <v>969</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2280</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462</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991</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980</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1114</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2281</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2282</v>
      </c>
      <c r="B4545" s="27" t="s">
        <v>994</v>
      </c>
      <c r="C4545" s="27" t="s">
        <v>1083</v>
      </c>
      <c r="D4545" s="27" t="s">
        <v>969</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1021</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2283</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1047</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991</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1047</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993</v>
      </c>
      <c r="B4551" s="27" t="s">
        <v>994</v>
      </c>
      <c r="C4551" s="27" t="s">
        <v>968</v>
      </c>
      <c r="D4551" s="27" t="s">
        <v>969</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1067</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1515</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999</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1183</v>
      </c>
      <c r="B4555" s="27" t="s">
        <v>978</v>
      </c>
      <c r="C4555" s="27" t="s">
        <v>974</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1037</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1043</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2234</v>
      </c>
      <c r="B4558" s="27" t="s">
        <v>982</v>
      </c>
      <c r="C4558" s="27" t="s">
        <v>979</v>
      </c>
      <c r="D4558" s="27" t="s">
        <v>969</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1032</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987</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1897</v>
      </c>
      <c r="B4561" s="27" t="s">
        <v>1003</v>
      </c>
      <c r="C4561" s="27" t="s">
        <v>1035</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991</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1114</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993</v>
      </c>
      <c r="B4564" s="27" t="s">
        <v>1294</v>
      </c>
      <c r="C4564" s="27" t="s">
        <v>968</v>
      </c>
      <c r="D4564" s="27" t="s">
        <v>969</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1301</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1515</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1151</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976</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1307</v>
      </c>
      <c r="B4569" s="27" t="s">
        <v>1000</v>
      </c>
      <c r="C4569" s="27" t="s">
        <v>979</v>
      </c>
      <c r="D4569" s="27" t="s">
        <v>969</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1047</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1005</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row>
    <row r="4573" spans="1:12">
      <c r="A4573" s="20" t="s">
        <v>1060</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2284</v>
      </c>
    </row>
    <row r="4575" spans="1:12">
      <c r="A4575" s="20" t="s">
        <v>966</v>
      </c>
      <c r="B4575" s="27" t="s">
        <v>967</v>
      </c>
      <c r="C4575" s="27" t="s">
        <v>968</v>
      </c>
      <c r="D4575" s="27" t="s">
        <v>969</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2285</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2286</v>
      </c>
      <c r="B4577" s="27" t="s">
        <v>973</v>
      </c>
      <c r="C4577" s="27" t="s">
        <v>974</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991</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1026</v>
      </c>
      <c r="B4579" s="27" t="s">
        <v>1013</v>
      </c>
      <c r="C4579" s="27" t="s">
        <v>968</v>
      </c>
      <c r="D4579" s="27" t="s">
        <v>969</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1110</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2287</v>
      </c>
      <c r="B4581" s="27" t="s">
        <v>1013</v>
      </c>
      <c r="C4581" s="27" t="s">
        <v>1018</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999</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482</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980</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1115</v>
      </c>
      <c r="B4585" s="27" t="s">
        <v>1010</v>
      </c>
      <c r="C4585" s="27" t="s">
        <v>968</v>
      </c>
      <c r="D4585" s="27" t="s">
        <v>969</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2288</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1033</v>
      </c>
      <c r="B4587" s="27" t="s">
        <v>982</v>
      </c>
      <c r="C4587" s="27" t="s">
        <v>988</v>
      </c>
      <c r="D4587" s="27" t="s">
        <v>969</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2289</v>
      </c>
      <c r="B4588" s="27" t="s">
        <v>1013</v>
      </c>
      <c r="C4588" s="27" t="s">
        <v>974</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1005</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965</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row>
    <row r="4592" spans="1:12">
      <c r="A4592" s="20" t="s">
        <v>2290</v>
      </c>
    </row>
    <row r="4593" spans="1:12">
      <c r="A4593" s="20" t="s">
        <v>2140</v>
      </c>
      <c r="B4593" s="27" t="s">
        <v>973</v>
      </c>
      <c r="C4593" s="27" t="s">
        <v>968</v>
      </c>
      <c r="D4593" s="27" t="s">
        <v>969</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104</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1139</v>
      </c>
      <c r="B4595" s="27" t="s">
        <v>978</v>
      </c>
      <c r="C4595" s="27" t="s">
        <v>1102</v>
      </c>
      <c r="D4595" s="27" t="s">
        <v>969</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1140</v>
      </c>
      <c r="B4596" s="27" t="s">
        <v>967</v>
      </c>
      <c r="C4596" s="27" t="s">
        <v>1141</v>
      </c>
      <c r="D4596" s="27" t="s">
        <v>969</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1673</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2291</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991</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980</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993</v>
      </c>
      <c r="B4601" s="27" t="s">
        <v>1010</v>
      </c>
      <c r="C4601" s="27" t="s">
        <v>968</v>
      </c>
      <c r="D4601" s="27" t="s">
        <v>969</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1203</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991</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996</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993</v>
      </c>
      <c r="B4605" s="27" t="s">
        <v>1294</v>
      </c>
      <c r="C4605" s="27" t="s">
        <v>968</v>
      </c>
      <c r="D4605" s="27" t="s">
        <v>969</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1820</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1787</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1156</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991</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1021</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1394</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975</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1382</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2292</v>
      </c>
      <c r="B4614" s="27" t="s">
        <v>1013</v>
      </c>
      <c r="C4614" s="27" t="s">
        <v>1018</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991</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1151</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976</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993</v>
      </c>
      <c r="B4618" s="27" t="s">
        <v>997</v>
      </c>
      <c r="C4618" s="27" t="s">
        <v>968</v>
      </c>
      <c r="D4618" s="27" t="s">
        <v>969</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1965</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991</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1166</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1365</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975</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1382</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2293</v>
      </c>
      <c r="B4625" s="27" t="s">
        <v>1003</v>
      </c>
      <c r="C4625" s="27" t="s">
        <v>1018</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991</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980</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1445</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2041</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993</v>
      </c>
      <c r="B4630" s="27" t="s">
        <v>1010</v>
      </c>
      <c r="C4630" s="27" t="s">
        <v>968</v>
      </c>
      <c r="D4630" s="27" t="s">
        <v>969</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1095</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976</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2294</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2295</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2296</v>
      </c>
      <c r="B4635" s="27" t="s">
        <v>978</v>
      </c>
      <c r="C4635" s="27" t="s">
        <v>1083</v>
      </c>
      <c r="D4635" s="27" t="s">
        <v>969</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2297</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1110</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2298</v>
      </c>
      <c r="B4638" s="27" t="s">
        <v>1013</v>
      </c>
      <c r="C4638" s="27" t="s">
        <v>1018</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991</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1032</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1078</v>
      </c>
      <c r="B4641" s="27" t="s">
        <v>1003</v>
      </c>
      <c r="C4641" s="27" t="s">
        <v>974</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1837</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2153</v>
      </c>
      <c r="B4643" s="27" t="s">
        <v>1003</v>
      </c>
      <c r="C4643" s="27" t="s">
        <v>974</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999</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1787</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1005</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row>
    <row r="4648" spans="1:12">
      <c r="A4648" s="20" t="s">
        <v>1060</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2299</v>
      </c>
    </row>
    <row r="4650" spans="1:12">
      <c r="A4650" s="20" t="s">
        <v>966</v>
      </c>
      <c r="B4650" s="27" t="s">
        <v>967</v>
      </c>
      <c r="C4650" s="27" t="s">
        <v>968</v>
      </c>
      <c r="D4650" s="27" t="s">
        <v>969</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2300</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1033</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2301</v>
      </c>
      <c r="B4653" s="27" t="s">
        <v>973</v>
      </c>
      <c r="C4653" s="27" t="s">
        <v>1035</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1051</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980</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1033</v>
      </c>
      <c r="B4656" s="27" t="s">
        <v>982</v>
      </c>
      <c r="C4656" s="27" t="s">
        <v>988</v>
      </c>
      <c r="D4656" s="27" t="s">
        <v>969</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2302</v>
      </c>
      <c r="B4657" s="27" t="s">
        <v>1010</v>
      </c>
      <c r="C4657" s="27" t="s">
        <v>974</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2303</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1107</v>
      </c>
      <c r="B4659" s="27" t="s">
        <v>1013</v>
      </c>
      <c r="C4659" s="27" t="s">
        <v>968</v>
      </c>
      <c r="D4659" s="27" t="s">
        <v>969</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1151</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965</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1163</v>
      </c>
      <c r="B4662" s="27" t="s">
        <v>994</v>
      </c>
      <c r="C4662" s="27" t="s">
        <v>1011</v>
      </c>
      <c r="D4662" s="27" t="s">
        <v>969</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1530</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1432</v>
      </c>
      <c r="B4664" s="27" t="s">
        <v>994</v>
      </c>
      <c r="C4664" s="27" t="s">
        <v>1011</v>
      </c>
      <c r="D4664" s="27" t="s">
        <v>969</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1673</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1021</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2304</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1005</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965</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row>
    <row r="4671" spans="1:12">
      <c r="A4671" s="20" t="s">
        <v>1060</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2305</v>
      </c>
    </row>
    <row r="4673" spans="1:12">
      <c r="A4673" s="20" t="s">
        <v>966</v>
      </c>
      <c r="B4673" s="27" t="s">
        <v>967</v>
      </c>
      <c r="C4673" s="27" t="s">
        <v>968</v>
      </c>
      <c r="D4673" s="27" t="s">
        <v>969</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1923</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1194</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965</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2177</v>
      </c>
      <c r="B4677" s="27" t="s">
        <v>1053</v>
      </c>
      <c r="C4677" s="27" t="s">
        <v>1372</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1021</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1373</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965</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row>
    <row r="4682" spans="1:12">
      <c r="A4682" s="20" t="s">
        <v>1060</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2306</v>
      </c>
    </row>
    <row r="4684" spans="1:12">
      <c r="A4684" s="20" t="s">
        <v>1007</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1009</v>
      </c>
      <c r="B4685" s="27" t="s">
        <v>967</v>
      </c>
      <c r="C4685" s="27" t="s">
        <v>1011</v>
      </c>
      <c r="D4685" s="27" t="s">
        <v>969</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1351</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1194</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965</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1251</v>
      </c>
      <c r="B4689" s="27" t="s">
        <v>1010</v>
      </c>
      <c r="C4689" s="27" t="s">
        <v>968</v>
      </c>
      <c r="D4689" s="27" t="s">
        <v>969</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1097</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1305</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999</v>
      </c>
      <c r="B4692" s="27" t="s">
        <v>978</v>
      </c>
      <c r="C4692" s="27" t="s">
        <v>1001</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1823</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2307</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1005</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row>
    <row r="4697" spans="1:12">
      <c r="A4697" s="20" t="s">
        <v>2308</v>
      </c>
    </row>
    <row r="4698" spans="1:12">
      <c r="A4698" s="20" t="s">
        <v>2309</v>
      </c>
      <c r="B4698" s="27" t="s">
        <v>978</v>
      </c>
      <c r="C4698" s="27" t="s">
        <v>1102</v>
      </c>
      <c r="D4698" s="27" t="s">
        <v>969</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1111</v>
      </c>
      <c r="B4699" s="27" t="s">
        <v>967</v>
      </c>
      <c r="C4699" s="27" t="s">
        <v>1141</v>
      </c>
      <c r="D4699" s="27" t="s">
        <v>969</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654</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1022</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1043</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2310</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2311</v>
      </c>
      <c r="B4704" s="27" t="s">
        <v>978</v>
      </c>
      <c r="C4704" s="27" t="s">
        <v>979</v>
      </c>
      <c r="D4704" s="27" t="s">
        <v>969</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980</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1041</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466</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1009</v>
      </c>
      <c r="B4708" s="27" t="s">
        <v>1010</v>
      </c>
      <c r="C4708" s="27" t="s">
        <v>1011</v>
      </c>
      <c r="D4708" s="27" t="s">
        <v>969</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1051</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1808</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1296</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1406</v>
      </c>
      <c r="B4712" s="27" t="s">
        <v>1013</v>
      </c>
      <c r="C4712" s="27" t="s">
        <v>1018</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991</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980</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1195</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1041</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1906</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975</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1043</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2312</v>
      </c>
      <c r="B4720" s="27" t="s">
        <v>978</v>
      </c>
      <c r="C4720" s="27" t="s">
        <v>979</v>
      </c>
      <c r="D4720" s="27" t="s">
        <v>969</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2313</v>
      </c>
      <c r="B4721" s="27" t="s">
        <v>1013</v>
      </c>
      <c r="C4721" s="27" t="s">
        <v>1083</v>
      </c>
      <c r="D4721" s="27" t="s">
        <v>969</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2314</v>
      </c>
      <c r="B4722" s="27" t="s">
        <v>1013</v>
      </c>
      <c r="C4722" s="27" t="s">
        <v>1083</v>
      </c>
      <c r="D4722" s="27" t="s">
        <v>969</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999</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2315</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1373</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row>
    <row r="4727" spans="1:12">
      <c r="A4727" s="20" t="s">
        <v>1060</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2316</v>
      </c>
    </row>
    <row r="4729" spans="1:12">
      <c r="A4729" s="20" t="s">
        <v>1163</v>
      </c>
      <c r="B4729" s="27" t="s">
        <v>967</v>
      </c>
      <c r="C4729" s="27" t="s">
        <v>1102</v>
      </c>
      <c r="D4729" s="27" t="s">
        <v>969</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1097</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1305</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999</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2317</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1005</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965</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row>
    <row r="4737" spans="1:12">
      <c r="A4737" s="20" t="s">
        <v>1060</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2318</v>
      </c>
    </row>
    <row r="4739" spans="1:12">
      <c r="A4739" s="20" t="s">
        <v>1268</v>
      </c>
      <c r="B4739" s="27" t="s">
        <v>967</v>
      </c>
      <c r="C4739" s="27" t="s">
        <v>968</v>
      </c>
      <c r="D4739" s="27" t="s">
        <v>969</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1351</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1194</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965</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966</v>
      </c>
      <c r="B4743" s="27" t="s">
        <v>1010</v>
      </c>
      <c r="C4743" s="27" t="s">
        <v>968</v>
      </c>
      <c r="D4743" s="27" t="s">
        <v>969</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1352</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1095</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1445</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1357</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1515</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1828</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2062</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1005</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965</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row>
    <row r="4754" spans="1:12">
      <c r="A4754" s="20" t="s">
        <v>1060</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2319</v>
      </c>
    </row>
    <row r="4756" spans="1:12">
      <c r="A4756" s="20" t="s">
        <v>966</v>
      </c>
      <c r="B4756" s="27" t="s">
        <v>967</v>
      </c>
      <c r="C4756" s="27" t="s">
        <v>968</v>
      </c>
      <c r="D4756" s="27" t="s">
        <v>969</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2320</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1194</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965</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1093</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2100</v>
      </c>
      <c r="B4761" s="27" t="s">
        <v>1010</v>
      </c>
      <c r="C4761" s="27" t="s">
        <v>979</v>
      </c>
      <c r="D4761" s="27" t="s">
        <v>969</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991</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996</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1268</v>
      </c>
      <c r="B4764" s="27" t="s">
        <v>997</v>
      </c>
      <c r="C4764" s="27" t="s">
        <v>968</v>
      </c>
      <c r="D4764" s="27" t="s">
        <v>969</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1515</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1828</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1381</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2062</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104</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991</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1097</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1051</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2321</v>
      </c>
      <c r="B4773" s="27" t="s">
        <v>1053</v>
      </c>
      <c r="C4773" s="27" t="s">
        <v>1018</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1741</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991</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996</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1086</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1231</v>
      </c>
      <c r="B4778" s="27" t="s">
        <v>994</v>
      </c>
      <c r="C4778" s="27" t="s">
        <v>974</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1195</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1005</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965</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row>
    <row r="4783" spans="1:12">
      <c r="A4783" s="20" t="s">
        <v>1060</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2322</v>
      </c>
    </row>
    <row r="4785" spans="1:12">
      <c r="A4785" s="20" t="s">
        <v>965</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1007</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1268</v>
      </c>
      <c r="B4787" s="27" t="s">
        <v>967</v>
      </c>
      <c r="C4787" s="27" t="s">
        <v>968</v>
      </c>
      <c r="D4787" s="27" t="s">
        <v>969</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1195</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1051</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2323</v>
      </c>
      <c r="B4790" s="27" t="s">
        <v>1053</v>
      </c>
      <c r="C4790" s="27" t="s">
        <v>1018</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1005</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965</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row>
    <row r="4794" spans="1:12">
      <c r="A4794" s="20" t="s">
        <v>2324</v>
      </c>
    </row>
    <row r="4795" spans="1:12">
      <c r="A4795" s="20" t="s">
        <v>2325</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1382</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2326</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2327</v>
      </c>
      <c r="B4798" s="27" t="s">
        <v>1053</v>
      </c>
      <c r="C4798" s="27" t="s">
        <v>1018</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1151</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2328</v>
      </c>
      <c r="B4800" s="27" t="s">
        <v>978</v>
      </c>
      <c r="C4800" s="27" t="s">
        <v>974</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991</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2329</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1009</v>
      </c>
      <c r="B4803" s="27" t="s">
        <v>967</v>
      </c>
      <c r="C4803" s="27" t="s">
        <v>1011</v>
      </c>
      <c r="D4803" s="27" t="s">
        <v>969</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999</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1005</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row>
    <row r="4807" spans="1:12">
      <c r="A4807" s="20" t="s">
        <v>2330</v>
      </c>
    </row>
    <row r="4808" spans="1:12">
      <c r="A4808" s="20" t="s">
        <v>1144</v>
      </c>
      <c r="E4808" s="21">
        <f>IF(D4808="?OLD","!!!","")</f>
        <v/>
      </c>
      <c r="F4808" s="22" t="str">
        <f>IF(OR(E4808="",E4808="!!!"),"",IF(NOT(ISNA(VLOOKUP(E4808,E$1:E4807,1,FALSE()))),"OLD",IF(AND(E4808&lt;&gt;"",E4808&lt;&gt;"!!!"),"NEW","")))</f>
        <v> </v>
      </c>
      <c r="G4808" s="23" t="str">
        <f>IF(OR(E4808="",E4808="!!!"),"",IF(OR(J4808=0,AND(J4808=1,K4808=1),AND(J4808=1,I4808="SBJ"),AND(J4808=1,I4808=0)),"?IN_FOCUS",IF(J4808&lt;=2,"?ACTIVATED",IF(J4808&lt;&gt;"","?FAMILIAR",IF(F4808="NEW",IF(ISNA(VLOOKUP(E4808,#REF!,1,FALSE())),"?TYPE_IDENTIFIABLE","?REFERENTIAL"),"_")))))</f>
        <v> </v>
      </c>
      <c r="H4808" s="24" t="str">
        <f>IF(J4808&lt;&gt;1,"",IF(I4808="SBJ","CB","?"))</f>
        <v> </v>
      </c>
      <c r="I4808" s="25" t="str">
        <f>IF(OR(E4808="",E4808="!!!",F4808="NEW"),"",INDEX(B4807:B$2,-1+SUMPRODUCT(MAX(ROW(E4807:E$2)*(E4808=E4807:E$2)))))</f>
        <v> </v>
      </c>
      <c r="J4808" s="25" t="str">
        <f>IF(OR(E4808="",E4808="!!!",F4808="NEW"),"",COUNTBLANK(OFFSET(A$1,,,SUMPRODUCT(MAX(ROW(E$2:E4808)*(E4808=E$2:E4808)))))-COUNTBLANK(OFFSET(A$1,,,SUMPRODUCT(MAX(ROW(E$1:E4807)*(E2=E$1:E4807))))))</f>
        <v> </v>
      </c>
      <c r="K4808" s="25" t="str">
        <f>IF(OR(E4808="",E4808="!!!",F4808="NEW"),"",INDEX(J$1:J4807,SUMPRODUCT(MAX(ROW(E$1:E4807)*(E4808=E$1:E4807)))))</f>
        <v> </v>
      </c>
      <c r="L4808" s="26"/>
    </row>
    <row r="4809" spans="1:12">
      <c r="A4809" s="20" t="s">
        <v>993</v>
      </c>
      <c r="B4809" s="27" t="s">
        <v>967</v>
      </c>
      <c r="C4809" s="27" t="s">
        <v>968</v>
      </c>
      <c r="D4809" s="27" t="s">
        <v>969</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1739</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991</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996</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2331</v>
      </c>
      <c r="B4813" s="27" t="s">
        <v>1010</v>
      </c>
      <c r="C4813" s="27" t="s">
        <v>1001</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1095</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976</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991</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1177</v>
      </c>
      <c r="B4817" s="27" t="s">
        <v>1297</v>
      </c>
      <c r="C4817" s="27" t="s">
        <v>1011</v>
      </c>
      <c r="D4817" s="27" t="s">
        <v>969</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1009</v>
      </c>
      <c r="B4818" s="27" t="s">
        <v>1294</v>
      </c>
      <c r="C4818" s="27" t="s">
        <v>1011</v>
      </c>
      <c r="D4818" s="27" t="s">
        <v>969</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1788</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991</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1022</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2332</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1427</v>
      </c>
      <c r="B4823" s="27" t="s">
        <v>978</v>
      </c>
      <c r="C4823" s="27" t="s">
        <v>979</v>
      </c>
      <c r="D4823" s="27" t="s">
        <v>969</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1037</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1043</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2333</v>
      </c>
      <c r="B4826" s="27" t="s">
        <v>978</v>
      </c>
      <c r="C4826" s="27" t="s">
        <v>979</v>
      </c>
      <c r="D4826" s="27" t="s">
        <v>969</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2334</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1178</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991</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985</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1111</v>
      </c>
      <c r="B4831" s="27" t="s">
        <v>1010</v>
      </c>
      <c r="C4831" s="27" t="s">
        <v>979</v>
      </c>
      <c r="D4831" s="27" t="s">
        <v>969</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1067</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1515</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104</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991</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1910</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1043</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2335</v>
      </c>
      <c r="B4838" s="27" t="s">
        <v>978</v>
      </c>
      <c r="C4838" s="27" t="s">
        <v>979</v>
      </c>
      <c r="D4838" s="27" t="s">
        <v>969</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1095</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1406</v>
      </c>
      <c r="B4840" s="27" t="s">
        <v>982</v>
      </c>
      <c r="C4840" s="27" t="s">
        <v>974</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991</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1043</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2336</v>
      </c>
      <c r="B4843" s="27" t="s">
        <v>1003</v>
      </c>
      <c r="C4843" s="27" t="s">
        <v>979</v>
      </c>
      <c r="D4843" s="27" t="s">
        <v>969</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991</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996</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1086</v>
      </c>
      <c r="B4846" s="27" t="s">
        <v>1588</v>
      </c>
      <c r="C4846" s="27" t="s">
        <v>968</v>
      </c>
      <c r="D4846" s="27" t="s">
        <v>969</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1051</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2337</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2338</v>
      </c>
      <c r="B4849" s="27" t="s">
        <v>1294</v>
      </c>
      <c r="C4849" s="27" t="s">
        <v>1018</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1047</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991</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1114</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1432</v>
      </c>
      <c r="B4853" s="27" t="s">
        <v>1588</v>
      </c>
      <c r="C4853" s="27" t="s">
        <v>1011</v>
      </c>
      <c r="D4853" s="27" t="s">
        <v>969</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2339</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2340</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980</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1111</v>
      </c>
      <c r="B4857" s="27" t="s">
        <v>2341</v>
      </c>
      <c r="C4857" s="27" t="s">
        <v>974</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975</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2342</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2343</v>
      </c>
      <c r="B4860" s="27" t="s">
        <v>2210</v>
      </c>
      <c r="C4860" s="27" t="s">
        <v>974</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2344</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2340</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991</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1585</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1432</v>
      </c>
      <c r="B4865" s="27" t="s">
        <v>2345</v>
      </c>
      <c r="C4865" s="27" t="s">
        <v>1011</v>
      </c>
      <c r="D4865" s="27" t="s">
        <v>969</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2340</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1009</v>
      </c>
      <c r="B4867" s="27" t="s">
        <v>2345</v>
      </c>
      <c r="C4867" s="27" t="s">
        <v>1011</v>
      </c>
      <c r="D4867" s="27" t="s">
        <v>969</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2346</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1005</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row>
    <row r="4871" spans="1:12">
      <c r="A4871" s="20" t="s">
        <v>2347</v>
      </c>
    </row>
    <row r="4872" spans="1:12">
      <c r="A4872" s="20" t="s">
        <v>1251</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1497</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1280</v>
      </c>
      <c r="B4874" s="27" t="s">
        <v>978</v>
      </c>
      <c r="C4874" s="27" t="s">
        <v>1102</v>
      </c>
      <c r="D4874" s="27" t="s">
        <v>969</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2348</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2349</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2350</v>
      </c>
      <c r="B4877" s="27" t="s">
        <v>967</v>
      </c>
      <c r="C4877" s="27" t="s">
        <v>1141</v>
      </c>
      <c r="D4877" s="27" t="s">
        <v>969</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991</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1024</v>
      </c>
      <c r="B4879" s="27" t="s">
        <v>994</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1086</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2351</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999</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150</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t="s">
        <v>2352</v>
      </c>
      <c r="E4884" s="21">
        <f>IF(D4884="?OLD","!!!","")</f>
        <v/>
      </c>
      <c r="F4884" s="22" t="str">
        <f>IF(OR(E4884="",E4884="!!!"),"",IF(NOT(ISNA(VLOOKUP(E4884,E$1:E4883,1,FALSE()))),"OLD",IF(AND(E4884&lt;&gt;"",E4884&lt;&gt;"!!!"),"NEW","")))</f>
        <v> </v>
      </c>
      <c r="G4884" s="23" t="str">
        <f>IF(OR(E4884="",E4884="!!!"),"",IF(OR(J4884=0,AND(J4884=1,K4884=1),AND(J4884=1,I4884="SBJ"),AND(J4884=1,I4884=0)),"?IN_FOCUS",IF(J4884&lt;=2,"?ACTIVATED",IF(J4884&lt;&gt;"","?FAMILIAR",IF(F4884="NEW",IF(ISNA(VLOOKUP(E4884,#REF!,1,FALSE())),"?TYPE_IDENTIFIABLE","?REFERENTIAL"),"_")))))</f>
        <v> </v>
      </c>
      <c r="H4884" s="24" t="str">
        <f>IF(J4884&lt;&gt;1,"",IF(I4884="SBJ","CB","?"))</f>
        <v> </v>
      </c>
      <c r="I4884" s="25" t="str">
        <f>IF(OR(E4884="",E4884="!!!",F4884="NEW"),"",INDEX(B4883:B$2,-1+SUMPRODUCT(MAX(ROW(E4883:E$2)*(E4884=E4883:E$2)))))</f>
        <v> </v>
      </c>
      <c r="J4884" s="25" t="str">
        <f>IF(OR(E4884="",E4884="!!!",F4884="NEW"),"",COUNTBLANK(OFFSET(A$1,,,SUMPRODUCT(MAX(ROW(E$2:E4884)*(E4884=E$2:E4884)))))-COUNTBLANK(OFFSET(A$1,,,SUMPRODUCT(MAX(ROW(E$1:E4883)*(E2=E$1:E4883))))))</f>
        <v> </v>
      </c>
      <c r="K4884" s="25" t="str">
        <f>IF(OR(E4884="",E4884="!!!",F4884="NEW"),"",INDEX(J$1:J4883,SUMPRODUCT(MAX(ROW(E$1:E4883)*(E4884=E$1:E4883)))))</f>
        <v> </v>
      </c>
      <c r="L4884" s="26"/>
    </row>
    <row r="4885" spans="1:12">
      <c r="A4885" s="20" t="s">
        <v>991</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t="s">
        <v>996</v>
      </c>
      <c r="E4886" s="21">
        <f>IF(D4886="?OLD","!!!","")</f>
        <v/>
      </c>
      <c r="F4886" s="22" t="str">
        <f>IF(OR(E4886="",E4886="!!!"),"",IF(NOT(ISNA(VLOOKUP(E4886,E$1:E4885,1,FALSE()))),"OLD",IF(AND(E4886&lt;&gt;"",E4886&lt;&gt;"!!!"),"NEW","")))</f>
        <v> </v>
      </c>
      <c r="G4886" s="23" t="str">
        <f>IF(OR(E4886="",E4886="!!!"),"",IF(OR(J4886=0,AND(J4886=1,K4886=1),AND(J4886=1,I4886="SBJ"),AND(J4886=1,I4886=0)),"?IN_FOCUS",IF(J4886&lt;=2,"?ACTIVATED",IF(J4886&lt;&gt;"","?FAMILIAR",IF(F4886="NEW",IF(ISNA(VLOOKUP(E4886,#REF!,1,FALSE())),"?TYPE_IDENTIFIABLE","?REFERENTIAL"),"_")))))</f>
        <v> </v>
      </c>
      <c r="H4886" s="24" t="str">
        <f>IF(J4886&lt;&gt;1,"",IF(I4886="SBJ","CB","?"))</f>
        <v> </v>
      </c>
      <c r="I4886" s="25" t="str">
        <f>IF(OR(E4886="",E4886="!!!",F4886="NEW"),"",INDEX(B4885:B$2,-1+SUMPRODUCT(MAX(ROW(E4885:E$2)*(E4886=E4885:E$2)))))</f>
        <v> </v>
      </c>
      <c r="J4886" s="25" t="str">
        <f>IF(OR(E4886="",E4886="!!!",F4886="NEW"),"",COUNTBLANK(OFFSET(A$1,,,SUMPRODUCT(MAX(ROW(E$2:E4886)*(E4886=E$2:E4886)))))-COUNTBLANK(OFFSET(A$1,,,SUMPRODUCT(MAX(ROW(E$1:E4885)*(E2=E$1:E4885))))))</f>
        <v> </v>
      </c>
      <c r="K4886" s="25" t="str">
        <f>IF(OR(E4886="",E4886="!!!",F4886="NEW"),"",INDEX(J$1:J4885,SUMPRODUCT(MAX(ROW(E$1:E4885)*(E4886=E$1:E4885)))))</f>
        <v> </v>
      </c>
      <c r="L4886" s="26"/>
    </row>
    <row r="4887" spans="1:12">
      <c r="A4887" s="20" t="s">
        <v>985</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1406</v>
      </c>
      <c r="B4888" s="27" t="s">
        <v>1010</v>
      </c>
      <c r="C4888" s="27" t="s">
        <v>979</v>
      </c>
      <c r="D4888" s="27" t="s">
        <v>969</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1095</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1078</v>
      </c>
      <c r="B4890" s="27" t="s">
        <v>982</v>
      </c>
      <c r="C4890" s="27" t="s">
        <v>974</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991</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985</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2353</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1406</v>
      </c>
      <c r="B4894" s="27" t="s">
        <v>1003</v>
      </c>
      <c r="C4894" s="27" t="s">
        <v>979</v>
      </c>
      <c r="D4894" s="27" t="s">
        <v>969</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t="s">
        <v>980</v>
      </c>
      <c r="E4895" s="21">
        <f>IF(D4895="?OLD","!!!","")</f>
        <v/>
      </c>
      <c r="F4895" s="22" t="str">
        <f>IF(OR(E4895="",E4895="!!!"),"",IF(NOT(ISNA(VLOOKUP(E4895,E$1:E4894,1,FALSE()))),"OLD",IF(AND(E4895&lt;&gt;"",E4895&lt;&gt;"!!!"),"NEW","")))</f>
        <v> </v>
      </c>
      <c r="G4895" s="23" t="str">
        <f>IF(OR(E4895="",E4895="!!!"),"",IF(OR(J4895=0,AND(J4895=1,K4895=1),AND(J4895=1,I4895="SBJ"),AND(J4895=1,I4895=0)),"?IN_FOCUS",IF(J4895&lt;=2,"?ACTIVATED",IF(J4895&lt;&gt;"","?FAMILIAR",IF(F4895="NEW",IF(ISNA(VLOOKUP(E4895,#REF!,1,FALSE())),"?TYPE_IDENTIFIABLE","?REFERENTIAL"),"_")))))</f>
        <v> </v>
      </c>
      <c r="H4895" s="24" t="str">
        <f>IF(J4895&lt;&gt;1,"",IF(I4895="SBJ","CB","?"))</f>
        <v> </v>
      </c>
      <c r="I4895" s="25" t="str">
        <f>IF(OR(E4895="",E4895="!!!",F4895="NEW"),"",INDEX(B4894:B$2,-1+SUMPRODUCT(MAX(ROW(E4894:E$2)*(E4895=E4894:E$2)))))</f>
        <v> </v>
      </c>
      <c r="J4895" s="25" t="str">
        <f>IF(OR(E4895="",E4895="!!!",F4895="NEW"),"",COUNTBLANK(OFFSET(A$1,,,SUMPRODUCT(MAX(ROW(E$2:E4895)*(E4895=E$2:E4895)))))-COUNTBLANK(OFFSET(A$1,,,SUMPRODUCT(MAX(ROW(E$1:E4894)*(E2=E$1:E4894))))))</f>
        <v> </v>
      </c>
      <c r="K4895" s="25" t="str">
        <f>IF(OR(E4895="",E4895="!!!",F4895="NEW"),"",INDEX(J$1:J4894,SUMPRODUCT(MAX(ROW(E$1:E4894)*(E4895=E$1:E4894)))))</f>
        <v> </v>
      </c>
      <c r="L4895" s="26"/>
    </row>
    <row r="4896" spans="1:12">
      <c r="A4896" s="20" t="s">
        <v>1445</v>
      </c>
      <c r="E4896" s="21">
        <f>IF(D4896="?OLD","!!!","")</f>
        <v/>
      </c>
      <c r="F4896" s="22" t="str">
        <f>IF(OR(E4896="",E4896="!!!"),"",IF(NOT(ISNA(VLOOKUP(E4896,E$1:E4895,1,FALSE()))),"OLD",IF(AND(E4896&lt;&gt;"",E4896&lt;&gt;"!!!"),"NEW","")))</f>
        <v> </v>
      </c>
      <c r="G4896" s="23" t="str">
        <f>IF(OR(E4896="",E4896="!!!"),"",IF(OR(J4896=0,AND(J4896=1,K4896=1),AND(J4896=1,I4896="SBJ"),AND(J4896=1,I4896=0)),"?IN_FOCUS",IF(J4896&lt;=2,"?ACTIVATED",IF(J4896&lt;&gt;"","?FAMILIAR",IF(F4896="NEW",IF(ISNA(VLOOKUP(E4896,#REF!,1,FALSE())),"?TYPE_IDENTIFIABLE","?REFERENTIAL"),"_")))))</f>
        <v> </v>
      </c>
      <c r="H4896" s="24" t="str">
        <f>IF(J4896&lt;&gt;1,"",IF(I4896="SBJ","CB","?"))</f>
        <v> </v>
      </c>
      <c r="I4896" s="25" t="str">
        <f>IF(OR(E4896="",E4896="!!!",F4896="NEW"),"",INDEX(B4895:B$2,-1+SUMPRODUCT(MAX(ROW(E4895:E$2)*(E4896=E4895:E$2)))))</f>
        <v> </v>
      </c>
      <c r="J4896" s="25" t="str">
        <f>IF(OR(E4896="",E4896="!!!",F4896="NEW"),"",COUNTBLANK(OFFSET(A$1,,,SUMPRODUCT(MAX(ROW(E$2:E4896)*(E4896=E$2:E4896)))))-COUNTBLANK(OFFSET(A$1,,,SUMPRODUCT(MAX(ROW(E$1:E4895)*(E2=E$1:E4895))))))</f>
        <v> </v>
      </c>
      <c r="K4896" s="25" t="str">
        <f>IF(OR(E4896="",E4896="!!!",F4896="NEW"),"",INDEX(J$1:J4895,SUMPRODUCT(MAX(ROW(E$1:E4895)*(E4896=E$1:E4895)))))</f>
        <v> </v>
      </c>
      <c r="L4896" s="26"/>
    </row>
    <row r="4897" spans="1:12">
      <c r="A4897" s="20" t="s">
        <v>2055</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991</v>
      </c>
      <c r="E4898" s="21">
        <f>IF(D4898="?OLD","!!!","")</f>
        <v/>
      </c>
      <c r="F4898" s="22" t="str">
        <f>IF(OR(E4898="",E4898="!!!"),"",IF(NOT(ISNA(VLOOKUP(E4898,E$1:E4897,1,FALSE()))),"OLD",IF(AND(E4898&lt;&gt;"",E4898&lt;&gt;"!!!"),"NEW","")))</f>
        <v> </v>
      </c>
      <c r="G4898" s="23" t="str">
        <f>IF(OR(E4898="",E4898="!!!"),"",IF(OR(J4898=0,AND(J4898=1,K4898=1),AND(J4898=1,I4898="SBJ"),AND(J4898=1,I4898=0)),"?IN_FOCUS",IF(J4898&lt;=2,"?ACTIVATED",IF(J4898&lt;&gt;"","?FAMILIAR",IF(F4898="NEW",IF(ISNA(VLOOKUP(E4898,#REF!,1,FALSE())),"?TYPE_IDENTIFIABLE","?REFERENTIAL"),"_")))))</f>
        <v> </v>
      </c>
      <c r="H4898" s="24" t="str">
        <f>IF(J4898&lt;&gt;1,"",IF(I4898="SBJ","CB","?"))</f>
        <v> </v>
      </c>
      <c r="I4898" s="25" t="str">
        <f>IF(OR(E4898="",E4898="!!!",F4898="NEW"),"",INDEX(B4897:B$2,-1+SUMPRODUCT(MAX(ROW(E4897:E$2)*(E4898=E4897:E$2)))))</f>
        <v> </v>
      </c>
      <c r="J4898" s="25" t="str">
        <f>IF(OR(E4898="",E4898="!!!",F4898="NEW"),"",COUNTBLANK(OFFSET(A$1,,,SUMPRODUCT(MAX(ROW(E$2:E4898)*(E4898=E$2:E4898)))))-COUNTBLANK(OFFSET(A$1,,,SUMPRODUCT(MAX(ROW(E$1:E4897)*(E2=E$1:E4897))))))</f>
        <v> </v>
      </c>
      <c r="K4898" s="25" t="str">
        <f>IF(OR(E4898="",E4898="!!!",F4898="NEW"),"",INDEX(J$1:J4897,SUMPRODUCT(MAX(ROW(E$1:E4897)*(E4898=E$1:E4897)))))</f>
        <v> </v>
      </c>
      <c r="L4898" s="26"/>
    </row>
    <row r="4899" spans="1:12">
      <c r="A4899" s="20" t="s">
        <v>1051</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2354</v>
      </c>
      <c r="B4900" s="27" t="s">
        <v>1053</v>
      </c>
      <c r="C4900" s="27" t="s">
        <v>1018</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2355</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991</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980</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996</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1086</v>
      </c>
      <c r="B4905" s="27" t="s">
        <v>994</v>
      </c>
      <c r="C4905" s="27" t="s">
        <v>968</v>
      </c>
      <c r="D4905" s="27" t="s">
        <v>969</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1021</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2356</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1097</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1005</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row>
    <row r="4911" spans="1:12">
      <c r="A4911" s="20" t="s">
        <v>2357</v>
      </c>
    </row>
    <row r="4912" spans="1:12">
      <c r="A4912" s="20" t="s">
        <v>966</v>
      </c>
      <c r="B4912" s="27" t="s">
        <v>967</v>
      </c>
      <c r="C4912" s="27" t="s">
        <v>968</v>
      </c>
      <c r="D4912" s="27" t="s">
        <v>969</v>
      </c>
      <c r="E4912" s="21">
        <f>IF(D4912="?OLD","!!!","")</f>
        <v/>
      </c>
      <c r="F4912" s="22" t="str">
        <f>IF(OR(E4912="",E4912="!!!"),"",IF(NOT(ISNA(VLOOKUP(E4912,E$1:E4911,1,FALSE()))),"OLD",IF(AND(E4912&lt;&gt;"",E4912&lt;&gt;"!!!"),"NEW","")))</f>
        <v> </v>
      </c>
      <c r="G4912" s="23" t="str">
        <f>IF(OR(E4912="",E4912="!!!"),"",IF(OR(J4912=0,AND(J4912=1,K4912=1),AND(J4912=1,I4912="SBJ"),AND(J4912=1,I4912=0)),"?IN_FOCUS",IF(J4912&lt;=2,"?ACTIVATED",IF(J4912&lt;&gt;"","?FAMILIAR",IF(F4912="NEW",IF(ISNA(VLOOKUP(E4912,#REF!,1,FALSE())),"?TYPE_IDENTIFIABLE","?REFERENTIAL"),"_")))))</f>
        <v> </v>
      </c>
      <c r="H4912" s="24" t="str">
        <f>IF(J4912&lt;&gt;1,"",IF(I4912="SBJ","CB","?"))</f>
        <v> </v>
      </c>
      <c r="I4912" s="25" t="str">
        <f>IF(OR(E4912="",E4912="!!!",F4912="NEW"),"",INDEX(B4911:B$2,-1+SUMPRODUCT(MAX(ROW(E4911:E$2)*(E4912=E4911:E$2)))))</f>
        <v> </v>
      </c>
      <c r="J4912" s="25" t="str">
        <f>IF(OR(E4912="",E4912="!!!",F4912="NEW"),"",COUNTBLANK(OFFSET(A$1,,,SUMPRODUCT(MAX(ROW(E$2:E4912)*(E4912=E$2:E4912)))))-COUNTBLANK(OFFSET(A$1,,,SUMPRODUCT(MAX(ROW(E$1:E4911)*(E2=E$1:E4911))))))</f>
        <v> </v>
      </c>
      <c r="K4912" s="25" t="str">
        <f>IF(OR(E4912="",E4912="!!!",F4912="NEW"),"",INDEX(J$1:J4911,SUMPRODUCT(MAX(ROW(E$1:E4911)*(E4912=E$1:E4911)))))</f>
        <v> </v>
      </c>
      <c r="L4912" s="26"/>
    </row>
    <row r="4913" spans="1:12">
      <c r="A4913" s="20" t="s">
        <v>1739</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991</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996</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1024</v>
      </c>
      <c r="B4916" s="27" t="s">
        <v>1010</v>
      </c>
      <c r="C4916" s="27" t="s">
        <v>1011</v>
      </c>
      <c r="D4916" s="27" t="s">
        <v>969</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2358</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2359</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1097</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1005</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row>
    <row r="4922" spans="1:12">
      <c r="A4922" s="20" t="s">
        <v>2360</v>
      </c>
    </row>
    <row r="4923" spans="1:12">
      <c r="A4923" s="20" t="s">
        <v>1251</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1047</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2356</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991</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t="s">
        <v>996</v>
      </c>
      <c r="E4927" s="21">
        <f>IF(D4927="?OLD","!!!","")</f>
        <v/>
      </c>
      <c r="F4927" s="22" t="str">
        <f>IF(OR(E4927="",E4927="!!!"),"",IF(NOT(ISNA(VLOOKUP(E4927,E$1:E4926,1,FALSE()))),"OLD",IF(AND(E4927&lt;&gt;"",E4927&lt;&gt;"!!!"),"NEW","")))</f>
        <v> </v>
      </c>
      <c r="G4927" s="23" t="str">
        <f>IF(OR(E4927="",E4927="!!!"),"",IF(OR(J4927=0,AND(J4927=1,K4927=1),AND(J4927=1,I4927="SBJ"),AND(J4927=1,I4927=0)),"?IN_FOCUS",IF(J4927&lt;=2,"?ACTIVATED",IF(J4927&lt;&gt;"","?FAMILIAR",IF(F4927="NEW",IF(ISNA(VLOOKUP(E4927,#REF!,1,FALSE())),"?TYPE_IDENTIFIABLE","?REFERENTIAL"),"_")))))</f>
        <v> </v>
      </c>
      <c r="H4927" s="24" t="str">
        <f>IF(J4927&lt;&gt;1,"",IF(I4927="SBJ","CB","?"))</f>
        <v> </v>
      </c>
      <c r="I4927" s="25" t="str">
        <f>IF(OR(E4927="",E4927="!!!",F4927="NEW"),"",INDEX(B4926:B$2,-1+SUMPRODUCT(MAX(ROW(E4926:E$2)*(E4927=E4926:E$2)))))</f>
        <v> </v>
      </c>
      <c r="J4927" s="25" t="str">
        <f>IF(OR(E4927="",E4927="!!!",F4927="NEW"),"",COUNTBLANK(OFFSET(A$1,,,SUMPRODUCT(MAX(ROW(E$2:E4927)*(E4927=E$2:E4927)))))-COUNTBLANK(OFFSET(A$1,,,SUMPRODUCT(MAX(ROW(E$1:E4926)*(E2=E$1:E4926))))))</f>
        <v> </v>
      </c>
      <c r="K4927" s="25" t="str">
        <f>IF(OR(E4927="",E4927="!!!",F4927="NEW"),"",INDEX(J$1:J4926,SUMPRODUCT(MAX(ROW(E$1:E4926)*(E4927=E$1:E4926)))))</f>
        <v> </v>
      </c>
      <c r="L4927" s="26"/>
    </row>
    <row r="4928" spans="1:12">
      <c r="A4928" s="20" t="s">
        <v>1038</v>
      </c>
      <c r="E4928" s="21">
        <f>IF(D4928="?OLD","!!!","")</f>
        <v/>
      </c>
      <c r="F4928" s="22" t="str">
        <f>IF(OR(E4928="",E4928="!!!"),"",IF(NOT(ISNA(VLOOKUP(E4928,E$1:E4927,1,FALSE()))),"OLD",IF(AND(E4928&lt;&gt;"",E4928&lt;&gt;"!!!"),"NEW","")))</f>
        <v> </v>
      </c>
      <c r="G4928" s="23" t="str">
        <f>IF(OR(E4928="",E4928="!!!"),"",IF(OR(J4928=0,AND(J4928=1,K4928=1),AND(J4928=1,I4928="SBJ"),AND(J4928=1,I4928=0)),"?IN_FOCUS",IF(J4928&lt;=2,"?ACTIVATED",IF(J4928&lt;&gt;"","?FAMILIAR",IF(F4928="NEW",IF(ISNA(VLOOKUP(E4928,#REF!,1,FALSE())),"?TYPE_IDENTIFIABLE","?REFERENTIAL"),"_")))))</f>
        <v> </v>
      </c>
      <c r="H4928" s="24" t="str">
        <f>IF(J4928&lt;&gt;1,"",IF(I4928="SBJ","CB","?"))</f>
        <v> </v>
      </c>
      <c r="I4928" s="25" t="str">
        <f>IF(OR(E4928="",E4928="!!!",F4928="NEW"),"",INDEX(B4927:B$2,-1+SUMPRODUCT(MAX(ROW(E4927:E$2)*(E4928=E4927:E$2)))))</f>
        <v> </v>
      </c>
      <c r="J4928" s="25" t="str">
        <f>IF(OR(E4928="",E4928="!!!",F4928="NEW"),"",COUNTBLANK(OFFSET(A$1,,,SUMPRODUCT(MAX(ROW(E$2:E4928)*(E4928=E$2:E4928)))))-COUNTBLANK(OFFSET(A$1,,,SUMPRODUCT(MAX(ROW(E$1:E4927)*(E2=E$1:E4927))))))</f>
        <v> </v>
      </c>
      <c r="K4928" s="25" t="str">
        <f>IF(OR(E4928="",E4928="!!!",F4928="NEW"),"",INDEX(J$1:J4927,SUMPRODUCT(MAX(ROW(E$1:E4927)*(E4928=E$1:E4927)))))</f>
        <v> </v>
      </c>
      <c r="L4928" s="26"/>
    </row>
    <row r="4929" spans="1:12">
      <c r="A4929" s="20" t="s">
        <v>1111</v>
      </c>
      <c r="B4929" s="27" t="s">
        <v>1010</v>
      </c>
      <c r="C4929" s="27" t="s">
        <v>979</v>
      </c>
      <c r="D4929" s="27" t="s">
        <v>969</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985</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2361</v>
      </c>
      <c r="B4931" s="27" t="s">
        <v>1013</v>
      </c>
      <c r="C4931" s="27" t="s">
        <v>979</v>
      </c>
      <c r="D4931" s="27" t="s">
        <v>969</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2362</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991</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1240</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1086</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1497</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2363</v>
      </c>
      <c r="B4937" s="27" t="s">
        <v>1010</v>
      </c>
      <c r="C4937" s="27" t="s">
        <v>1001</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t="s">
        <v>991</v>
      </c>
      <c r="E4938" s="21">
        <f>IF(D4938="?OLD","!!!","")</f>
        <v/>
      </c>
      <c r="F4938" s="22" t="str">
        <f>IF(OR(E4938="",E4938="!!!"),"",IF(NOT(ISNA(VLOOKUP(E4938,E$1:E4937,1,FALSE()))),"OLD",IF(AND(E4938&lt;&gt;"",E4938&lt;&gt;"!!!"),"NEW","")))</f>
        <v> </v>
      </c>
      <c r="G4938" s="23" t="str">
        <f>IF(OR(E4938="",E4938="!!!"),"",IF(OR(J4938=0,AND(J4938=1,K4938=1),AND(J4938=1,I4938="SBJ"),AND(J4938=1,I4938=0)),"?IN_FOCUS",IF(J4938&lt;=2,"?ACTIVATED",IF(J4938&lt;&gt;"","?FAMILIAR",IF(F4938="NEW",IF(ISNA(VLOOKUP(E4938,#REF!,1,FALSE())),"?TYPE_IDENTIFIABLE","?REFERENTIAL"),"_")))))</f>
        <v> </v>
      </c>
      <c r="H4938" s="24" t="str">
        <f>IF(J4938&lt;&gt;1,"",IF(I4938="SBJ","CB","?"))</f>
        <v> </v>
      </c>
      <c r="I4938" s="25" t="str">
        <f>IF(OR(E4938="",E4938="!!!",F4938="NEW"),"",INDEX(B4937:B$2,-1+SUMPRODUCT(MAX(ROW(E4937:E$2)*(E4938=E4937:E$2)))))</f>
        <v> </v>
      </c>
      <c r="J4938" s="25" t="str">
        <f>IF(OR(E4938="",E4938="!!!",F4938="NEW"),"",COUNTBLANK(OFFSET(A$1,,,SUMPRODUCT(MAX(ROW(E$2:E4938)*(E4938=E$2:E4938)))))-COUNTBLANK(OFFSET(A$1,,,SUMPRODUCT(MAX(ROW(E$1:E4937)*(E2=E$1:E4937))))))</f>
        <v> </v>
      </c>
      <c r="K4938" s="25" t="str">
        <f>IF(OR(E4938="",E4938="!!!",F4938="NEW"),"",INDEX(J$1:J4937,SUMPRODUCT(MAX(ROW(E$1:E4937)*(E4938=E$1:E4937)))))</f>
        <v> </v>
      </c>
      <c r="L4938" s="26"/>
    </row>
    <row r="4939" spans="1:12">
      <c r="A4939" s="20" t="s">
        <v>1043</v>
      </c>
      <c r="B4939" s="27" t="s">
        <v>997</v>
      </c>
      <c r="E4939" s="21">
        <f>IF(D4939="?OLD","!!!","")</f>
        <v/>
      </c>
      <c r="F4939" s="22" t="str">
        <f>IF(OR(E4939="",E4939="!!!"),"",IF(NOT(ISNA(VLOOKUP(E4939,E$1:E4938,1,FALSE()))),"OLD",IF(AND(E4939&lt;&gt;"",E4939&lt;&gt;"!!!"),"NEW","")))</f>
        <v> </v>
      </c>
      <c r="G4939" s="23" t="str">
        <f>IF(OR(E4939="",E4939="!!!"),"",IF(OR(J4939=0,AND(J4939=1,K4939=1),AND(J4939=1,I4939="SBJ"),AND(J4939=1,I4939=0)),"?IN_FOCUS",IF(J4939&lt;=2,"?ACTIVATED",IF(J4939&lt;&gt;"","?FAMILIAR",IF(F4939="NEW",IF(ISNA(VLOOKUP(E4939,#REF!,1,FALSE())),"?TYPE_IDENTIFIABLE","?REFERENTIAL"),"_")))))</f>
        <v> </v>
      </c>
      <c r="H4939" s="24" t="str">
        <f>IF(J4939&lt;&gt;1,"",IF(I4939="SBJ","CB","?"))</f>
        <v> </v>
      </c>
      <c r="I4939" s="25" t="str">
        <f>IF(OR(E4939="",E4939="!!!",F4939="NEW"),"",INDEX(B4938:B$2,-1+SUMPRODUCT(MAX(ROW(E4938:E$2)*(E4939=E4938:E$2)))))</f>
        <v> </v>
      </c>
      <c r="J4939" s="25" t="str">
        <f>IF(OR(E4939="",E4939="!!!",F4939="NEW"),"",COUNTBLANK(OFFSET(A$1,,,SUMPRODUCT(MAX(ROW(E$2:E4939)*(E4939=E$2:E4939)))))-COUNTBLANK(OFFSET(A$1,,,SUMPRODUCT(MAX(ROW(E$1:E4938)*(E2=E$1:E4938))))))</f>
        <v> </v>
      </c>
      <c r="K4939" s="25" t="str">
        <f>IF(OR(E4939="",E4939="!!!",F4939="NEW"),"",INDEX(J$1:J4938,SUMPRODUCT(MAX(ROW(E$1:E4938)*(E4939=E$1:E4938)))))</f>
        <v> </v>
      </c>
      <c r="L4939" s="26"/>
    </row>
    <row r="4940" spans="1:12">
      <c r="A4940" s="20" t="s">
        <v>1213</v>
      </c>
      <c r="B4940" s="27" t="s">
        <v>1198</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2364</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2365</v>
      </c>
      <c r="B4942" s="27" t="s">
        <v>1003</v>
      </c>
      <c r="C4942" s="27" t="s">
        <v>1083</v>
      </c>
      <c r="D4942" s="27" t="s">
        <v>969</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2366</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991</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1723</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1021</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975</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1191</v>
      </c>
      <c r="B4948" s="27" t="s">
        <v>982</v>
      </c>
      <c r="C4948" s="27" t="s">
        <v>988</v>
      </c>
      <c r="D4948" s="27" t="s">
        <v>969</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2367</v>
      </c>
      <c r="B4949" s="27" t="s">
        <v>978</v>
      </c>
      <c r="C4949" s="27" t="s">
        <v>974</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1005</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row>
    <row r="4952" spans="1:12">
      <c r="A4952" s="20" t="s">
        <v>1060</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t="s">
        <v>2368</v>
      </c>
    </row>
    <row r="4954" spans="1:12">
      <c r="A4954" s="20" t="s">
        <v>1007</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1041</v>
      </c>
      <c r="E4955" s="21">
        <f>IF(D4955="?OLD","!!!","")</f>
        <v/>
      </c>
      <c r="F4955" s="22" t="str">
        <f>IF(OR(E4955="",E4955="!!!"),"",IF(NOT(ISNA(VLOOKUP(E4955,E$1:E4954,1,FALSE()))),"OLD",IF(AND(E4955&lt;&gt;"",E4955&lt;&gt;"!!!"),"NEW","")))</f>
        <v> </v>
      </c>
      <c r="G4955" s="23" t="str">
        <f>IF(OR(E4955="",E4955="!!!"),"",IF(OR(J4955=0,AND(J4955=1,K4955=1),AND(J4955=1,I4955="SBJ"),AND(J4955=1,I4955=0)),"?IN_FOCUS",IF(J4955&lt;=2,"?ACTIVATED",IF(J4955&lt;&gt;"","?FAMILIAR",IF(F4955="NEW",IF(ISNA(VLOOKUP(E4955,#REF!,1,FALSE())),"?TYPE_IDENTIFIABLE","?REFERENTIAL"),"_")))))</f>
        <v> </v>
      </c>
      <c r="H4955" s="24" t="str">
        <f>IF(J4955&lt;&gt;1,"",IF(I4955="SBJ","CB","?"))</f>
        <v> </v>
      </c>
      <c r="I4955" s="25" t="str">
        <f>IF(OR(E4955="",E4955="!!!",F4955="NEW"),"",INDEX(B4954:B$2,-1+SUMPRODUCT(MAX(ROW(E4954:E$2)*(E4955=E4954:E$2)))))</f>
        <v> </v>
      </c>
      <c r="J4955" s="25" t="str">
        <f>IF(OR(E4955="",E4955="!!!",F4955="NEW"),"",COUNTBLANK(OFFSET(A$1,,,SUMPRODUCT(MAX(ROW(E$2:E4955)*(E4955=E$2:E4955)))))-COUNTBLANK(OFFSET(A$1,,,SUMPRODUCT(MAX(ROW(E$1:E4954)*(E2=E$1:E4954))))))</f>
        <v> </v>
      </c>
      <c r="K4955" s="25" t="str">
        <f>IF(OR(E4955="",E4955="!!!",F4955="NEW"),"",INDEX(J$1:J4954,SUMPRODUCT(MAX(ROW(E$1:E4954)*(E4955=E$1:E4954)))))</f>
        <v> </v>
      </c>
      <c r="L4955" s="26"/>
    </row>
    <row r="4956" spans="1:12">
      <c r="A4956" s="20" t="s">
        <v>100</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1111</v>
      </c>
      <c r="B4957" s="27" t="s">
        <v>967</v>
      </c>
      <c r="C4957" s="27" t="s">
        <v>974</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1194</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965</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2369</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t="s">
        <v>1078</v>
      </c>
      <c r="B4961" s="27" t="s">
        <v>994</v>
      </c>
      <c r="C4961" s="27" t="s">
        <v>974</v>
      </c>
      <c r="E4961" s="21">
        <f>IF(D4961="?OLD","!!!","")</f>
        <v/>
      </c>
      <c r="F4961" s="22" t="str">
        <f>IF(OR(E4961="",E4961="!!!"),"",IF(NOT(ISNA(VLOOKUP(E4961,E$1:E4960,1,FALSE()))),"OLD",IF(AND(E4961&lt;&gt;"",E4961&lt;&gt;"!!!"),"NEW","")))</f>
        <v> </v>
      </c>
      <c r="G4961" s="23" t="str">
        <f>IF(OR(E4961="",E4961="!!!"),"",IF(OR(J4961=0,AND(J4961=1,K4961=1),AND(J4961=1,I4961="SBJ"),AND(J4961=1,I4961=0)),"?IN_FOCUS",IF(J4961&lt;=2,"?ACTIVATED",IF(J4961&lt;&gt;"","?FAMILIAR",IF(F4961="NEW",IF(ISNA(VLOOKUP(E4961,#REF!,1,FALSE())),"?TYPE_IDENTIFIABLE","?REFERENTIAL"),"_")))))</f>
        <v> </v>
      </c>
      <c r="H4961" s="24" t="str">
        <f>IF(J4961&lt;&gt;1,"",IF(I4961="SBJ","CB","?"))</f>
        <v> </v>
      </c>
      <c r="I4961" s="25" t="str">
        <f>IF(OR(E4961="",E4961="!!!",F4961="NEW"),"",INDEX(B4960:B$2,-1+SUMPRODUCT(MAX(ROW(E4960:E$2)*(E4961=E4960:E$2)))))</f>
        <v> </v>
      </c>
      <c r="J4961" s="25" t="str">
        <f>IF(OR(E4961="",E4961="!!!",F4961="NEW"),"",COUNTBLANK(OFFSET(A$1,,,SUMPRODUCT(MAX(ROW(E$2:E4961)*(E4961=E$2:E4961)))))-COUNTBLANK(OFFSET(A$1,,,SUMPRODUCT(MAX(ROW(E$1:E4960)*(E2=E$1:E4960))))))</f>
        <v> </v>
      </c>
      <c r="K4961" s="25" t="str">
        <f>IF(OR(E4961="",E4961="!!!",F4961="NEW"),"",INDEX(J$1:J4960,SUMPRODUCT(MAX(ROW(E$1:E4960)*(E4961=E$1:E4960)))))</f>
        <v> </v>
      </c>
      <c r="L4961" s="26"/>
    </row>
    <row r="4962" spans="1:12">
      <c r="A4962" s="20" t="s">
        <v>1021</v>
      </c>
      <c r="E4962" s="21">
        <f>IF(D4962="?OLD","!!!","")</f>
        <v/>
      </c>
      <c r="F4962" s="22" t="str">
        <f>IF(OR(E4962="",E4962="!!!"),"",IF(NOT(ISNA(VLOOKUP(E4962,E$1:E4961,1,FALSE()))),"OLD",IF(AND(E4962&lt;&gt;"",E4962&lt;&gt;"!!!"),"NEW","")))</f>
        <v> </v>
      </c>
      <c r="G4962" s="23" t="str">
        <f>IF(OR(E4962="",E4962="!!!"),"",IF(OR(J4962=0,AND(J4962=1,K4962=1),AND(J4962=1,I4962="SBJ"),AND(J4962=1,I4962=0)),"?IN_FOCUS",IF(J4962&lt;=2,"?ACTIVATED",IF(J4962&lt;&gt;"","?FAMILIAR",IF(F4962="NEW",IF(ISNA(VLOOKUP(E4962,#REF!,1,FALSE())),"?TYPE_IDENTIFIABLE","?REFERENTIAL"),"_")))))</f>
        <v> </v>
      </c>
      <c r="H4962" s="24" t="str">
        <f>IF(J4962&lt;&gt;1,"",IF(I4962="SBJ","CB","?"))</f>
        <v> </v>
      </c>
      <c r="I4962" s="25" t="str">
        <f>IF(OR(E4962="",E4962="!!!",F4962="NEW"),"",INDEX(B4961:B$2,-1+SUMPRODUCT(MAX(ROW(E4961:E$2)*(E4962=E4961:E$2)))))</f>
        <v> </v>
      </c>
      <c r="J4962" s="25" t="str">
        <f>IF(OR(E4962="",E4962="!!!",F4962="NEW"),"",COUNTBLANK(OFFSET(A$1,,,SUMPRODUCT(MAX(ROW(E$2:E4962)*(E4962=E$2:E4962)))))-COUNTBLANK(OFFSET(A$1,,,SUMPRODUCT(MAX(ROW(E$1:E4961)*(E2=E$1:E4961))))))</f>
        <v> </v>
      </c>
      <c r="K4962" s="25" t="str">
        <f>IF(OR(E4962="",E4962="!!!",F4962="NEW"),"",INDEX(J$1:J4961,SUMPRODUCT(MAX(ROW(E$1:E4961)*(E4962=E$1:E4961)))))</f>
        <v> </v>
      </c>
      <c r="L4962" s="26"/>
    </row>
    <row r="4963" spans="1:12">
      <c r="A4963" s="20" t="s">
        <v>1051</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t="s">
        <v>2370</v>
      </c>
      <c r="B4964" s="27" t="s">
        <v>978</v>
      </c>
      <c r="C4964" s="27" t="s">
        <v>1648</v>
      </c>
      <c r="D4964" s="27" t="s">
        <v>969</v>
      </c>
      <c r="E4964" s="21">
        <f>IF(D4964="?OLD","!!!","")</f>
        <v/>
      </c>
      <c r="F4964" s="22" t="str">
        <f>IF(OR(E4964="",E4964="!!!"),"",IF(NOT(ISNA(VLOOKUP(E4964,E$1:E4963,1,FALSE()))),"OLD",IF(AND(E4964&lt;&gt;"",E4964&lt;&gt;"!!!"),"NEW","")))</f>
        <v> </v>
      </c>
      <c r="G4964" s="23" t="str">
        <f>IF(OR(E4964="",E4964="!!!"),"",IF(OR(J4964=0,AND(J4964=1,K4964=1),AND(J4964=1,I4964="SBJ"),AND(J4964=1,I4964=0)),"?IN_FOCUS",IF(J4964&lt;=2,"?ACTIVATED",IF(J4964&lt;&gt;"","?FAMILIAR",IF(F4964="NEW",IF(ISNA(VLOOKUP(E4964,#REF!,1,FALSE())),"?TYPE_IDENTIFIABLE","?REFERENTIAL"),"_")))))</f>
        <v> </v>
      </c>
      <c r="H4964" s="24" t="str">
        <f>IF(J4964&lt;&gt;1,"",IF(I4964="SBJ","CB","?"))</f>
        <v> </v>
      </c>
      <c r="I4964" s="25" t="str">
        <f>IF(OR(E4964="",E4964="!!!",F4964="NEW"),"",INDEX(B4963:B$2,-1+SUMPRODUCT(MAX(ROW(E4963:E$2)*(E4964=E4963:E$2)))))</f>
        <v> </v>
      </c>
      <c r="J4964" s="25" t="str">
        <f>IF(OR(E4964="",E4964="!!!",F4964="NEW"),"",COUNTBLANK(OFFSET(A$1,,,SUMPRODUCT(MAX(ROW(E$2:E4964)*(E4964=E$2:E4964)))))-COUNTBLANK(OFFSET(A$1,,,SUMPRODUCT(MAX(ROW(E$1:E4963)*(E2=E$1:E4963))))))</f>
        <v> </v>
      </c>
      <c r="K4964" s="25" t="str">
        <f>IF(OR(E4964="",E4964="!!!",F4964="NEW"),"",INDEX(J$1:J4963,SUMPRODUCT(MAX(ROW(E$1:E4963)*(E4964=E$1:E4963)))))</f>
        <v> </v>
      </c>
      <c r="L4964" s="26"/>
    </row>
    <row r="4965" spans="1:12">
      <c r="A4965" s="20" t="s">
        <v>2371</v>
      </c>
      <c r="B4965" s="27" t="s">
        <v>982</v>
      </c>
      <c r="C4965" s="27" t="s">
        <v>1102</v>
      </c>
      <c r="D4965" s="27" t="s">
        <v>969</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991</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1177</v>
      </c>
      <c r="B4967" s="27" t="s">
        <v>1198</v>
      </c>
      <c r="C4967" s="27" t="s">
        <v>1011</v>
      </c>
      <c r="D4967" s="27" t="s">
        <v>969</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1111</v>
      </c>
      <c r="B4968" s="27" t="s">
        <v>997</v>
      </c>
      <c r="C4968" s="27" t="s">
        <v>974</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2372</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2373</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1373</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row>
    <row r="4973" spans="1:12">
      <c r="A4973" s="20" t="s">
        <v>2374</v>
      </c>
    </row>
    <row r="4974" spans="1:12">
      <c r="A4974" s="20" t="s">
        <v>2375</v>
      </c>
      <c r="E4974" s="21">
        <f>IF(D4974="?OLD","!!!","")</f>
        <v/>
      </c>
      <c r="F4974" s="22" t="str">
        <f>IF(OR(E4974="",E4974="!!!"),"",IF(NOT(ISNA(VLOOKUP(E4974,E$1:E4973,1,FALSE()))),"OLD",IF(AND(E4974&lt;&gt;"",E4974&lt;&gt;"!!!"),"NEW","")))</f>
        <v> </v>
      </c>
      <c r="G4974" s="23" t="str">
        <f>IF(OR(E4974="",E4974="!!!"),"",IF(OR(J4974=0,AND(J4974=1,K4974=1),AND(J4974=1,I4974="SBJ"),AND(J4974=1,I4974=0)),"?IN_FOCUS",IF(J4974&lt;=2,"?ACTIVATED",IF(J4974&lt;&gt;"","?FAMILIAR",IF(F4974="NEW",IF(ISNA(VLOOKUP(E4974,#REF!,1,FALSE())),"?TYPE_IDENTIFIABLE","?REFERENTIAL"),"_")))))</f>
        <v> </v>
      </c>
      <c r="H4974" s="24" t="str">
        <f>IF(J4974&lt;&gt;1,"",IF(I4974="SBJ","CB","?"))</f>
        <v> </v>
      </c>
      <c r="I4974" s="25" t="str">
        <f>IF(OR(E4974="",E4974="!!!",F4974="NEW"),"",INDEX(B4973:B$2,-1+SUMPRODUCT(MAX(ROW(E4973:E$2)*(E4974=E4973:E$2)))))</f>
        <v> </v>
      </c>
      <c r="J4974" s="25" t="str">
        <f>IF(OR(E4974="",E4974="!!!",F4974="NEW"),"",COUNTBLANK(OFFSET(A$1,,,SUMPRODUCT(MAX(ROW(E$2:E4974)*(E4974=E$2:E4974)))))-COUNTBLANK(OFFSET(A$1,,,SUMPRODUCT(MAX(ROW(E$1:E4973)*(E2=E$1:E4973))))))</f>
        <v> </v>
      </c>
      <c r="K4974" s="25" t="str">
        <f>IF(OR(E4974="",E4974="!!!",F4974="NEW"),"",INDEX(J$1:J4973,SUMPRODUCT(MAX(ROW(E$1:E4973)*(E4974=E$1:E4973)))))</f>
        <v> </v>
      </c>
      <c r="L4974" s="26"/>
    </row>
    <row r="4975" spans="1:12">
      <c r="A4975" s="20" t="s">
        <v>1432</v>
      </c>
      <c r="B4975" s="27" t="s">
        <v>967</v>
      </c>
      <c r="C4975" s="27" t="s">
        <v>1011</v>
      </c>
      <c r="D4975" s="27" t="s">
        <v>969</v>
      </c>
      <c r="E4975" s="21">
        <f>IF(D4975="?OLD","!!!","")</f>
        <v/>
      </c>
      <c r="F4975" s="22" t="str">
        <f>IF(OR(E4975="",E4975="!!!"),"",IF(NOT(ISNA(VLOOKUP(E4975,E$1:E4974,1,FALSE()))),"OLD",IF(AND(E4975&lt;&gt;"",E4975&lt;&gt;"!!!"),"NEW","")))</f>
        <v> </v>
      </c>
      <c r="G4975" s="23" t="str">
        <f>IF(OR(E4975="",E4975="!!!"),"",IF(OR(J4975=0,AND(J4975=1,K4975=1),AND(J4975=1,I4975="SBJ"),AND(J4975=1,I4975=0)),"?IN_FOCUS",IF(J4975&lt;=2,"?ACTIVATED",IF(J4975&lt;&gt;"","?FAMILIAR",IF(F4975="NEW",IF(ISNA(VLOOKUP(E4975,#REF!,1,FALSE())),"?TYPE_IDENTIFIABLE","?REFERENTIAL"),"_")))))</f>
        <v> </v>
      </c>
      <c r="H4975" s="24" t="str">
        <f>IF(J4975&lt;&gt;1,"",IF(I4975="SBJ","CB","?"))</f>
        <v> </v>
      </c>
      <c r="I4975" s="25" t="str">
        <f>IF(OR(E4975="",E4975="!!!",F4975="NEW"),"",INDEX(B4974:B$2,-1+SUMPRODUCT(MAX(ROW(E4974:E$2)*(E4975=E4974:E$2)))))</f>
        <v> </v>
      </c>
      <c r="J4975" s="25" t="str">
        <f>IF(OR(E4975="",E4975="!!!",F4975="NEW"),"",COUNTBLANK(OFFSET(A$1,,,SUMPRODUCT(MAX(ROW(E$2:E4975)*(E4975=E$2:E4975)))))-COUNTBLANK(OFFSET(A$1,,,SUMPRODUCT(MAX(ROW(E$1:E4974)*(E2=E$1:E4974))))))</f>
        <v> </v>
      </c>
      <c r="K4975" s="25" t="str">
        <f>IF(OR(E4975="",E4975="!!!",F4975="NEW"),"",INDEX(J$1:J4974,SUMPRODUCT(MAX(ROW(E$1:E4974)*(E4975=E$1:E4974)))))</f>
        <v> </v>
      </c>
      <c r="L4975" s="26"/>
    </row>
    <row r="4976" spans="1:12">
      <c r="A4976" s="20" t="s">
        <v>1447</v>
      </c>
      <c r="B4976" s="27" t="s">
        <v>973</v>
      </c>
      <c r="C4976" s="27" t="s">
        <v>1011</v>
      </c>
      <c r="D4976" s="27" t="s">
        <v>969</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1021</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1233</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2376</v>
      </c>
      <c r="E4979" s="21">
        <f>IF(D4979="?OLD","!!!","")</f>
        <v/>
      </c>
      <c r="F4979" s="22" t="str">
        <f>IF(OR(E4979="",E4979="!!!"),"",IF(NOT(ISNA(VLOOKUP(E4979,E$1:E4978,1,FALSE()))),"OLD",IF(AND(E4979&lt;&gt;"",E4979&lt;&gt;"!!!"),"NEW","")))</f>
        <v> </v>
      </c>
      <c r="G4979" s="23" t="str">
        <f>IF(OR(E4979="",E4979="!!!"),"",IF(OR(J4979=0,AND(J4979=1,K4979=1),AND(J4979=1,I4979="SBJ"),AND(J4979=1,I4979=0)),"?IN_FOCUS",IF(J4979&lt;=2,"?ACTIVATED",IF(J4979&lt;&gt;"","?FAMILIAR",IF(F4979="NEW",IF(ISNA(VLOOKUP(E4979,#REF!,1,FALSE())),"?TYPE_IDENTIFIABLE","?REFERENTIAL"),"_")))))</f>
        <v> </v>
      </c>
      <c r="H4979" s="24" t="str">
        <f>IF(J4979&lt;&gt;1,"",IF(I4979="SBJ","CB","?"))</f>
        <v> </v>
      </c>
      <c r="I4979" s="25" t="str">
        <f>IF(OR(E4979="",E4979="!!!",F4979="NEW"),"",INDEX(B4978:B$2,-1+SUMPRODUCT(MAX(ROW(E4978:E$2)*(E4979=E4978:E$2)))))</f>
        <v> </v>
      </c>
      <c r="J4979" s="25" t="str">
        <f>IF(OR(E4979="",E4979="!!!",F4979="NEW"),"",COUNTBLANK(OFFSET(A$1,,,SUMPRODUCT(MAX(ROW(E$2:E4979)*(E4979=E$2:E4979)))))-COUNTBLANK(OFFSET(A$1,,,SUMPRODUCT(MAX(ROW(E$1:E4978)*(E2=E$1:E4978))))))</f>
        <v> </v>
      </c>
      <c r="K4979" s="25" t="str">
        <f>IF(OR(E4979="",E4979="!!!",F4979="NEW"),"",INDEX(J$1:J4978,SUMPRODUCT(MAX(ROW(E$1:E4978)*(E4979=E$1:E4978)))))</f>
        <v> </v>
      </c>
      <c r="L4979" s="26"/>
    </row>
    <row r="4980" spans="1:12">
      <c r="A4980" s="20" t="s">
        <v>991</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1078</v>
      </c>
      <c r="B4981" s="27" t="s">
        <v>1013</v>
      </c>
      <c r="C4981" s="27" t="s">
        <v>974</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999</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104</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1373</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row>
    <row r="4986" spans="1:12">
      <c r="A4986" s="20" t="s">
        <v>1060</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t="s">
        <v>2377</v>
      </c>
    </row>
    <row r="4988" spans="1:12">
      <c r="A4988" s="20" t="s">
        <v>1420</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1024</v>
      </c>
      <c r="B4989" s="27" t="s">
        <v>967</v>
      </c>
      <c r="E4989" s="21">
        <f>IF(D4989="?OLD","!!!","")</f>
        <v/>
      </c>
      <c r="F4989" s="22" t="str">
        <f>IF(OR(E4989="",E4989="!!!"),"",IF(NOT(ISNA(VLOOKUP(E4989,E$1:E4988,1,FALSE()))),"OLD",IF(AND(E4989&lt;&gt;"",E4989&lt;&gt;"!!!"),"NEW","")))</f>
        <v> </v>
      </c>
      <c r="G4989" s="23" t="str">
        <f>IF(OR(E4989="",E4989="!!!"),"",IF(OR(J4989=0,AND(J4989=1,K4989=1),AND(J4989=1,I4989="SBJ"),AND(J4989=1,I4989=0)),"?IN_FOCUS",IF(J4989&lt;=2,"?ACTIVATED",IF(J4989&lt;&gt;"","?FAMILIAR",IF(F4989="NEW",IF(ISNA(VLOOKUP(E4989,#REF!,1,FALSE())),"?TYPE_IDENTIFIABLE","?REFERENTIAL"),"_")))))</f>
        <v> </v>
      </c>
      <c r="H4989" s="24" t="str">
        <f>IF(J4989&lt;&gt;1,"",IF(I4989="SBJ","CB","?"))</f>
        <v> </v>
      </c>
      <c r="I4989" s="25" t="str">
        <f>IF(OR(E4989="",E4989="!!!",F4989="NEW"),"",INDEX(B4988:B$2,-1+SUMPRODUCT(MAX(ROW(E4988:E$2)*(E4989=E4988:E$2)))))</f>
        <v> </v>
      </c>
      <c r="J4989" s="25" t="str">
        <f>IF(OR(E4989="",E4989="!!!",F4989="NEW"),"",COUNTBLANK(OFFSET(A$1,,,SUMPRODUCT(MAX(ROW(E$2:E4989)*(E4989=E$2:E4989)))))-COUNTBLANK(OFFSET(A$1,,,SUMPRODUCT(MAX(ROW(E$1:E4988)*(E2=E$1:E4988))))))</f>
        <v> </v>
      </c>
      <c r="K4989" s="25" t="str">
        <f>IF(OR(E4989="",E4989="!!!",F4989="NEW"),"",INDEX(J$1:J4988,SUMPRODUCT(MAX(ROW(E$1:E4988)*(E4989=E$1:E4988)))))</f>
        <v> </v>
      </c>
      <c r="L4989" s="26"/>
    </row>
    <row r="4990" spans="1:12">
      <c r="A4990" s="20" t="s">
        <v>1021</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2370</v>
      </c>
      <c r="B4991" s="27" t="s">
        <v>1053</v>
      </c>
      <c r="C4991" s="27" t="s">
        <v>974</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1451</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1452</v>
      </c>
      <c r="B4993" s="27" t="s">
        <v>1053</v>
      </c>
      <c r="C4993" s="27" t="s">
        <v>1035</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1373</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965</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row>
    <row r="4997" spans="1:12">
      <c r="A4997" s="20" t="s">
        <v>2378</v>
      </c>
    </row>
    <row r="4998" spans="1:12">
      <c r="A4998" s="20" t="s">
        <v>2379</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t="s">
        <v>1113</v>
      </c>
      <c r="E4999" s="21">
        <f>IF(D4999="?OLD","!!!","")</f>
        <v/>
      </c>
      <c r="F4999" s="22" t="str">
        <f>IF(OR(E4999="",E4999="!!!"),"",IF(NOT(ISNA(VLOOKUP(E4999,E$1:E4998,1,FALSE()))),"OLD",IF(AND(E4999&lt;&gt;"",E4999&lt;&gt;"!!!"),"NEW","")))</f>
        <v> </v>
      </c>
      <c r="G4999" s="23" t="str">
        <f>IF(OR(E4999="",E4999="!!!"),"",IF(OR(J4999=0,AND(J4999=1,K4999=1),AND(J4999=1,I4999="SBJ"),AND(J4999=1,I4999=0)),"?IN_FOCUS",IF(J4999&lt;=2,"?ACTIVATED",IF(J4999&lt;&gt;"","?FAMILIAR",IF(F4999="NEW",IF(ISNA(VLOOKUP(E4999,#REF!,1,FALSE())),"?TYPE_IDENTIFIABLE","?REFERENTIAL"),"_")))))</f>
        <v> </v>
      </c>
      <c r="H4999" s="24" t="str">
        <f>IF(J4999&lt;&gt;1,"",IF(I4999="SBJ","CB","?"))</f>
        <v> </v>
      </c>
      <c r="I4999" s="25" t="str">
        <f>IF(OR(E4999="",E4999="!!!",F4999="NEW"),"",INDEX(B4998:B$2,-1+SUMPRODUCT(MAX(ROW(E4998:E$2)*(E4999=E4998:E$2)))))</f>
        <v> </v>
      </c>
      <c r="J4999" s="25" t="str">
        <f>IF(OR(E4999="",E4999="!!!",F4999="NEW"),"",COUNTBLANK(OFFSET(A$1,,,SUMPRODUCT(MAX(ROW(E$2:E4999)*(E4999=E$2:E4999)))))-COUNTBLANK(OFFSET(A$1,,,SUMPRODUCT(MAX(ROW(E$1:E4998)*(E2=E$1:E4998))))))</f>
        <v> </v>
      </c>
      <c r="K4999" s="25" t="str">
        <f>IF(OR(E4999="",E4999="!!!",F4999="NEW"),"",INDEX(J$1:J4998,SUMPRODUCT(MAX(ROW(E$1:E4998)*(E4999=E$1:E4998)))))</f>
        <v> </v>
      </c>
      <c r="L4999" s="26"/>
    </row>
    <row r="5000" spans="1:12">
      <c r="A5000" s="20" t="s">
        <v>993</v>
      </c>
      <c r="B5000" s="27" t="s">
        <v>967</v>
      </c>
      <c r="C5000" s="27" t="s">
        <v>968</v>
      </c>
      <c r="D5000" s="27" t="s">
        <v>969</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100</v>
      </c>
      <c r="E5001" s="21">
        <f>IF(D5001="?OLD","!!!","")</f>
        <v/>
      </c>
      <c r="F5001" s="22" t="str">
        <f>IF(OR(E5001="",E5001="!!!"),"",IF(NOT(ISNA(VLOOKUP(E5001,E$1:E5000,1,FALSE()))),"OLD",IF(AND(E5001&lt;&gt;"",E5001&lt;&gt;"!!!"),"NEW","")))</f>
        <v> </v>
      </c>
      <c r="G5001" s="23" t="str">
        <f>IF(OR(E5001="",E5001="!!!"),"",IF(OR(J5001=0,AND(J5001=1,K5001=1),AND(J5001=1,I5001="SBJ"),AND(J5001=1,I5001=0)),"?IN_FOCUS",IF(J5001&lt;=2,"?ACTIVATED",IF(J5001&lt;&gt;"","?FAMILIAR",IF(F5001="NEW",IF(ISNA(VLOOKUP(E5001,#REF!,1,FALSE())),"?TYPE_IDENTIFIABLE","?REFERENTIAL"),"_")))))</f>
        <v> </v>
      </c>
      <c r="H5001" s="24" t="str">
        <f>IF(J5001&lt;&gt;1,"",IF(I5001="SBJ","CB","?"))</f>
        <v> </v>
      </c>
      <c r="I5001" s="25" t="str">
        <f>IF(OR(E5001="",E5001="!!!",F5001="NEW"),"",INDEX(B5000:B$2,-1+SUMPRODUCT(MAX(ROW(E5000:E$2)*(E5001=E5000:E$2)))))</f>
        <v> </v>
      </c>
      <c r="J5001" s="25" t="str">
        <f>IF(OR(E5001="",E5001="!!!",F5001="NEW"),"",COUNTBLANK(OFFSET(A$1,,,SUMPRODUCT(MAX(ROW(E$2:E5001)*(E5001=E$2:E5001)))))-COUNTBLANK(OFFSET(A$1,,,SUMPRODUCT(MAX(ROW(E$1:E5000)*(E2=E$1:E5000))))))</f>
        <v> </v>
      </c>
      <c r="K5001" s="25" t="str">
        <f>IF(OR(E5001="",E5001="!!!",F5001="NEW"),"",INDEX(J$1:J5000,SUMPRODUCT(MAX(ROW(E$1:E5000)*(E5001=E$1:E5000)))))</f>
        <v> </v>
      </c>
      <c r="L5001" s="26"/>
    </row>
    <row r="5002" spans="1:12">
      <c r="A5002" s="20" t="s">
        <v>991</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2380</v>
      </c>
      <c r="B5003" s="27" t="s">
        <v>1010</v>
      </c>
      <c r="C5003" s="27" t="s">
        <v>974</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1097</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2381</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1005</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row>
    <row r="5008" spans="1:12">
      <c r="A5008" s="20" t="s">
        <v>2382</v>
      </c>
    </row>
    <row r="5009" spans="1:12">
      <c r="A5009" s="20" t="s">
        <v>2383</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1043</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t="s">
        <v>2312</v>
      </c>
      <c r="B5011" s="27" t="s">
        <v>982</v>
      </c>
      <c r="C5011" s="27" t="s">
        <v>979</v>
      </c>
      <c r="D5011" s="27" t="s">
        <v>969</v>
      </c>
      <c r="E5011" s="21">
        <f>IF(D5011="?OLD","!!!","")</f>
        <v/>
      </c>
      <c r="F5011" s="22" t="str">
        <f>IF(OR(E5011="",E5011="!!!"),"",IF(NOT(ISNA(VLOOKUP(E5011,E$1:E5010,1,FALSE()))),"OLD",IF(AND(E5011&lt;&gt;"",E5011&lt;&gt;"!!!"),"NEW","")))</f>
        <v> </v>
      </c>
      <c r="G5011" s="23" t="str">
        <f>IF(OR(E5011="",E5011="!!!"),"",IF(OR(J5011=0,AND(J5011=1,K5011=1),AND(J5011=1,I5011="SBJ"),AND(J5011=1,I5011=0)),"?IN_FOCUS",IF(J5011&lt;=2,"?ACTIVATED",IF(J5011&lt;&gt;"","?FAMILIAR",IF(F5011="NEW",IF(ISNA(VLOOKUP(E5011,#REF!,1,FALSE())),"?TYPE_IDENTIFIABLE","?REFERENTIAL"),"_")))))</f>
        <v> </v>
      </c>
      <c r="H5011" s="24" t="str">
        <f>IF(J5011&lt;&gt;1,"",IF(I5011="SBJ","CB","?"))</f>
        <v> </v>
      </c>
      <c r="I5011" s="25" t="str">
        <f>IF(OR(E5011="",E5011="!!!",F5011="NEW"),"",INDEX(B5010:B$2,-1+SUMPRODUCT(MAX(ROW(E5010:E$2)*(E5011=E5010:E$2)))))</f>
        <v> </v>
      </c>
      <c r="J5011" s="25" t="str">
        <f>IF(OR(E5011="",E5011="!!!",F5011="NEW"),"",COUNTBLANK(OFFSET(A$1,,,SUMPRODUCT(MAX(ROW(E$2:E5011)*(E5011=E$2:E5011)))))-COUNTBLANK(OFFSET(A$1,,,SUMPRODUCT(MAX(ROW(E$1:E5010)*(E2=E$1:E5010))))))</f>
        <v> </v>
      </c>
      <c r="K5011" s="25" t="str">
        <f>IF(OR(E5011="",E5011="!!!",F5011="NEW"),"",INDEX(J$1:J5010,SUMPRODUCT(MAX(ROW(E$1:E5010)*(E5011=E$1:E5010)))))</f>
        <v> </v>
      </c>
      <c r="L5011" s="26"/>
    </row>
    <row r="5012" spans="1:12">
      <c r="A5012" s="20" t="s">
        <v>999</v>
      </c>
      <c r="E5012" s="21">
        <f>IF(D5012="?OLD","!!!","")</f>
        <v/>
      </c>
      <c r="F5012" s="22" t="str">
        <f>IF(OR(E5012="",E5012="!!!"),"",IF(NOT(ISNA(VLOOKUP(E5012,E$1:E5011,1,FALSE()))),"OLD",IF(AND(E5012&lt;&gt;"",E5012&lt;&gt;"!!!"),"NEW","")))</f>
        <v> </v>
      </c>
      <c r="G5012" s="23" t="str">
        <f>IF(OR(E5012="",E5012="!!!"),"",IF(OR(J5012=0,AND(J5012=1,K5012=1),AND(J5012=1,I5012="SBJ"),AND(J5012=1,I5012=0)),"?IN_FOCUS",IF(J5012&lt;=2,"?ACTIVATED",IF(J5012&lt;&gt;"","?FAMILIAR",IF(F5012="NEW",IF(ISNA(VLOOKUP(E5012,#REF!,1,FALSE())),"?TYPE_IDENTIFIABLE","?REFERENTIAL"),"_")))))</f>
        <v> </v>
      </c>
      <c r="H5012" s="24" t="str">
        <f>IF(J5012&lt;&gt;1,"",IF(I5012="SBJ","CB","?"))</f>
        <v> </v>
      </c>
      <c r="I5012" s="25" t="str">
        <f>IF(OR(E5012="",E5012="!!!",F5012="NEW"),"",INDEX(B5011:B$2,-1+SUMPRODUCT(MAX(ROW(E5011:E$2)*(E5012=E5011:E$2)))))</f>
        <v> </v>
      </c>
      <c r="J5012" s="25" t="str">
        <f>IF(OR(E5012="",E5012="!!!",F5012="NEW"),"",COUNTBLANK(OFFSET(A$1,,,SUMPRODUCT(MAX(ROW(E$2:E5012)*(E5012=E$2:E5012)))))-COUNTBLANK(OFFSET(A$1,,,SUMPRODUCT(MAX(ROW(E$1:E5011)*(E2=E$1:E5011))))))</f>
        <v> </v>
      </c>
      <c r="K5012" s="25" t="str">
        <f>IF(OR(E5012="",E5012="!!!",F5012="NEW"),"",INDEX(J$1:J5011,SUMPRODUCT(MAX(ROW(E$1:E5011)*(E5012=E$1:E5011)))))</f>
        <v> </v>
      </c>
      <c r="L5012" s="26"/>
    </row>
    <row r="5013" spans="1:12">
      <c r="A5013" s="20" t="s">
        <v>37</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991</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1508</v>
      </c>
      <c r="B5015" s="27" t="s">
        <v>1000</v>
      </c>
      <c r="C5015" s="27" t="s">
        <v>974</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980</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2384</v>
      </c>
      <c r="B5017" s="27" t="s">
        <v>1000</v>
      </c>
      <c r="C5017" s="27" t="s">
        <v>974</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991</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2081</v>
      </c>
      <c r="B5019" s="27" t="s">
        <v>1000</v>
      </c>
      <c r="C5019" s="27" t="s">
        <v>974</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980</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2385</v>
      </c>
      <c r="B5021" s="27" t="s">
        <v>1000</v>
      </c>
      <c r="C5021" s="27" t="s">
        <v>974</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980</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1138</v>
      </c>
      <c r="B5023" s="27" t="s">
        <v>1000</v>
      </c>
      <c r="C5023" s="27" t="s">
        <v>1001</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985</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1313</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2386</v>
      </c>
      <c r="B5026" s="27" t="s">
        <v>1905</v>
      </c>
      <c r="C5026" s="27" t="s">
        <v>1399</v>
      </c>
      <c r="D5026" s="27" t="s">
        <v>969</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t="s">
        <v>991</v>
      </c>
      <c r="E5027" s="21">
        <f>IF(D5027="?OLD","!!!","")</f>
        <v/>
      </c>
      <c r="F5027" s="22" t="str">
        <f>IF(OR(E5027="",E5027="!!!"),"",IF(NOT(ISNA(VLOOKUP(E5027,E$1:E5026,1,FALSE()))),"OLD",IF(AND(E5027&lt;&gt;"",E5027&lt;&gt;"!!!"),"NEW","")))</f>
        <v> </v>
      </c>
      <c r="G5027" s="23" t="str">
        <f>IF(OR(E5027="",E5027="!!!"),"",IF(OR(J5027=0,AND(J5027=1,K5027=1),AND(J5027=1,I5027="SBJ"),AND(J5027=1,I5027=0)),"?IN_FOCUS",IF(J5027&lt;=2,"?ACTIVATED",IF(J5027&lt;&gt;"","?FAMILIAR",IF(F5027="NEW",IF(ISNA(VLOOKUP(E5027,#REF!,1,FALSE())),"?TYPE_IDENTIFIABLE","?REFERENTIAL"),"_")))))</f>
        <v> </v>
      </c>
      <c r="H5027" s="24" t="str">
        <f>IF(J5027&lt;&gt;1,"",IF(I5027="SBJ","CB","?"))</f>
        <v> </v>
      </c>
      <c r="I5027" s="25" t="str">
        <f>IF(OR(E5027="",E5027="!!!",F5027="NEW"),"",INDEX(B5026:B$2,-1+SUMPRODUCT(MAX(ROW(E5026:E$2)*(E5027=E5026:E$2)))))</f>
        <v> </v>
      </c>
      <c r="J5027" s="25" t="str">
        <f>IF(OR(E5027="",E5027="!!!",F5027="NEW"),"",COUNTBLANK(OFFSET(A$1,,,SUMPRODUCT(MAX(ROW(E$2:E5027)*(E5027=E$2:E5027)))))-COUNTBLANK(OFFSET(A$1,,,SUMPRODUCT(MAX(ROW(E$1:E5026)*(E2=E$1:E5026))))))</f>
        <v> </v>
      </c>
      <c r="K5027" s="25" t="str">
        <f>IF(OR(E5027="",E5027="!!!",F5027="NEW"),"",INDEX(J$1:J5026,SUMPRODUCT(MAX(ROW(E$1:E5026)*(E5027=E$1:E5026)))))</f>
        <v> </v>
      </c>
      <c r="L5027" s="26"/>
    </row>
    <row r="5028" spans="1:12">
      <c r="A5028" s="20" t="s">
        <v>985</v>
      </c>
      <c r="B5028" s="27" t="s">
        <v>2387</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1432</v>
      </c>
      <c r="B5029" s="27" t="s">
        <v>2345</v>
      </c>
      <c r="C5029" s="27" t="s">
        <v>1011</v>
      </c>
      <c r="D5029" s="27" t="s">
        <v>969</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104</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991</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999</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13</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991</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1097</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1513</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2388</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1005</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row>
    <row r="5040" spans="1:12">
      <c r="A5040" s="20" t="s">
        <v>2389</v>
      </c>
    </row>
    <row r="5041" spans="1:12">
      <c r="A5041" s="20" t="s">
        <v>1007</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1559</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1078</v>
      </c>
      <c r="B5043" s="27" t="s">
        <v>967</v>
      </c>
      <c r="C5043" s="27" t="s">
        <v>974</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1195</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1357</v>
      </c>
      <c r="B5045" s="27" t="s">
        <v>1053</v>
      </c>
      <c r="C5045" s="27" t="s">
        <v>1011</v>
      </c>
      <c r="D5045" s="27" t="s">
        <v>969</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991</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t="s">
        <v>1024</v>
      </c>
      <c r="B5047" s="27" t="s">
        <v>1010</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2390</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991</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1114</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1280</v>
      </c>
      <c r="B5051" s="27" t="s">
        <v>1003</v>
      </c>
      <c r="C5051" s="27" t="s">
        <v>1102</v>
      </c>
      <c r="D5051" s="27" t="s">
        <v>969</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2391</v>
      </c>
      <c r="B5052" s="27" t="s">
        <v>994</v>
      </c>
      <c r="C5052" s="27" t="s">
        <v>1141</v>
      </c>
      <c r="D5052" s="27" t="s">
        <v>969</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2392</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1005</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row>
    <row r="5056" spans="1:12">
      <c r="A5056" s="20" t="s">
        <v>2393</v>
      </c>
    </row>
    <row r="5057" spans="1:12">
      <c r="A5057" s="20" t="s">
        <v>1251</v>
      </c>
      <c r="B5057" s="27" t="s">
        <v>967</v>
      </c>
      <c r="C5057" s="27" t="s">
        <v>968</v>
      </c>
      <c r="D5057" s="27" t="s">
        <v>969</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1097</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2176</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2394</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1005</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row>
    <row r="5063" spans="1:12">
      <c r="A5063" s="20" t="s">
        <v>1060</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2395</v>
      </c>
    </row>
    <row r="5065" spans="1:12">
      <c r="A5065" s="20" t="s">
        <v>1111</v>
      </c>
      <c r="B5065" s="27" t="s">
        <v>967</v>
      </c>
      <c r="C5065" s="27" t="s">
        <v>974</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665</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t="s">
        <v>999</v>
      </c>
      <c r="B5067" s="27" t="s">
        <v>978</v>
      </c>
      <c r="C5067" s="27" t="s">
        <v>1001</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1026</v>
      </c>
      <c r="B5068" s="27" t="s">
        <v>1053</v>
      </c>
      <c r="C5068" s="27" t="s">
        <v>968</v>
      </c>
      <c r="D5068" s="27" t="s">
        <v>969</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980</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100</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1194</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965</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966</v>
      </c>
      <c r="B5073" s="27" t="s">
        <v>1010</v>
      </c>
      <c r="C5073" s="27" t="s">
        <v>968</v>
      </c>
      <c r="D5073" s="27" t="s">
        <v>969</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1739</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991</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1114</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993</v>
      </c>
      <c r="B5077" s="27" t="s">
        <v>994</v>
      </c>
      <c r="C5077" s="27" t="s">
        <v>968</v>
      </c>
      <c r="D5077" s="27" t="s">
        <v>969</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1394</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1051</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1607</v>
      </c>
      <c r="B5080" s="27" t="s">
        <v>982</v>
      </c>
      <c r="C5080" s="27" t="s">
        <v>1018</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2396</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991</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2397</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t="s">
        <v>993</v>
      </c>
      <c r="B5084" s="27" t="s">
        <v>994</v>
      </c>
      <c r="C5084" s="27" t="s">
        <v>968</v>
      </c>
      <c r="D5084" s="27" t="s">
        <v>969</v>
      </c>
      <c r="E5084" s="21">
        <f>IF(D5084="?OLD","!!!","")</f>
        <v/>
      </c>
      <c r="F5084" s="22" t="str">
        <f>IF(OR(E5084="",E5084="!!!"),"",IF(NOT(ISNA(VLOOKUP(E5084,E$1:E5083,1,FALSE()))),"OLD",IF(AND(E5084&lt;&gt;"",E5084&lt;&gt;"!!!"),"NEW","")))</f>
        <v> </v>
      </c>
      <c r="G5084" s="23" t="str">
        <f>IF(OR(E5084="",E5084="!!!"),"",IF(OR(J5084=0,AND(J5084=1,K5084=1),AND(J5084=1,I5084="SBJ"),AND(J5084=1,I5084=0)),"?IN_FOCUS",IF(J5084&lt;=2,"?ACTIVATED",IF(J5084&lt;&gt;"","?FAMILIAR",IF(F5084="NEW",IF(ISNA(VLOOKUP(E5084,#REF!,1,FALSE())),"?TYPE_IDENTIFIABLE","?REFERENTIAL"),"_")))))</f>
        <v> </v>
      </c>
      <c r="H5084" s="24" t="str">
        <f>IF(J5084&lt;&gt;1,"",IF(I5084="SBJ","CB","?"))</f>
        <v> </v>
      </c>
      <c r="I5084" s="25" t="str">
        <f>IF(OR(E5084="",E5084="!!!",F5084="NEW"),"",INDEX(B5083:B$2,-1+SUMPRODUCT(MAX(ROW(E5083:E$2)*(E5084=E5083:E$2)))))</f>
        <v> </v>
      </c>
      <c r="J5084" s="25" t="str">
        <f>IF(OR(E5084="",E5084="!!!",F5084="NEW"),"",COUNTBLANK(OFFSET(A$1,,,SUMPRODUCT(MAX(ROW(E$2:E5084)*(E5084=E$2:E5084)))))-COUNTBLANK(OFFSET(A$1,,,SUMPRODUCT(MAX(ROW(E$1:E5083)*(E2=E$1:E5083))))))</f>
        <v> </v>
      </c>
      <c r="K5084" s="25" t="str">
        <f>IF(OR(E5084="",E5084="!!!",F5084="NEW"),"",INDEX(J$1:J5083,SUMPRODUCT(MAX(ROW(E$1:E5083)*(E5084=E$1:E5083)))))</f>
        <v> </v>
      </c>
      <c r="L5084" s="26"/>
    </row>
    <row r="5085" spans="1:12">
      <c r="A5085" s="20" t="s">
        <v>1672</v>
      </c>
      <c r="E5085" s="21">
        <f>IF(D5085="?OLD","!!!","")</f>
        <v/>
      </c>
      <c r="F5085" s="22" t="str">
        <f>IF(OR(E5085="",E5085="!!!"),"",IF(NOT(ISNA(VLOOKUP(E5085,E$1:E5084,1,FALSE()))),"OLD",IF(AND(E5085&lt;&gt;"",E5085&lt;&gt;"!!!"),"NEW","")))</f>
        <v> </v>
      </c>
      <c r="G5085" s="23" t="str">
        <f>IF(OR(E5085="",E5085="!!!"),"",IF(OR(J5085=0,AND(J5085=1,K5085=1),AND(J5085=1,I5085="SBJ"),AND(J5085=1,I5085=0)),"?IN_FOCUS",IF(J5085&lt;=2,"?ACTIVATED",IF(J5085&lt;&gt;"","?FAMILIAR",IF(F5085="NEW",IF(ISNA(VLOOKUP(E5085,#REF!,1,FALSE())),"?TYPE_IDENTIFIABLE","?REFERENTIAL"),"_")))))</f>
        <v> </v>
      </c>
      <c r="H5085" s="24" t="str">
        <f>IF(J5085&lt;&gt;1,"",IF(I5085="SBJ","CB","?"))</f>
        <v> </v>
      </c>
      <c r="I5085" s="25" t="str">
        <f>IF(OR(E5085="",E5085="!!!",F5085="NEW"),"",INDEX(B5084:B$2,-1+SUMPRODUCT(MAX(ROW(E5084:E$2)*(E5085=E5084:E$2)))))</f>
        <v> </v>
      </c>
      <c r="J5085" s="25" t="str">
        <f>IF(OR(E5085="",E5085="!!!",F5085="NEW"),"",COUNTBLANK(OFFSET(A$1,,,SUMPRODUCT(MAX(ROW(E$2:E5085)*(E5085=E$2:E5085)))))-COUNTBLANK(OFFSET(A$1,,,SUMPRODUCT(MAX(ROW(E$1:E5084)*(E2=E$1:E5084))))))</f>
        <v> </v>
      </c>
      <c r="K5085" s="25" t="str">
        <f>IF(OR(E5085="",E5085="!!!",F5085="NEW"),"",INDEX(J$1:J5084,SUMPRODUCT(MAX(ROW(E$1:E5084)*(E5085=E$1:E5084)))))</f>
        <v> </v>
      </c>
      <c r="L5085" s="26"/>
    </row>
    <row r="5086" spans="1:12">
      <c r="A5086" s="20" t="s">
        <v>1346</v>
      </c>
      <c r="E5086" s="21">
        <f>IF(D5086="?OLD","!!!","")</f>
        <v/>
      </c>
      <c r="F5086" s="22" t="str">
        <f>IF(OR(E5086="",E5086="!!!"),"",IF(NOT(ISNA(VLOOKUP(E5086,E$1:E5085,1,FALSE()))),"OLD",IF(AND(E5086&lt;&gt;"",E5086&lt;&gt;"!!!"),"NEW","")))</f>
        <v> </v>
      </c>
      <c r="G5086" s="23" t="str">
        <f>IF(OR(E5086="",E5086="!!!"),"",IF(OR(J5086=0,AND(J5086=1,K5086=1),AND(J5086=1,I5086="SBJ"),AND(J5086=1,I5086=0)),"?IN_FOCUS",IF(J5086&lt;=2,"?ACTIVATED",IF(J5086&lt;&gt;"","?FAMILIAR",IF(F5086="NEW",IF(ISNA(VLOOKUP(E5086,#REF!,1,FALSE())),"?TYPE_IDENTIFIABLE","?REFERENTIAL"),"_")))))</f>
        <v> </v>
      </c>
      <c r="H5086" s="24" t="str">
        <f>IF(J5086&lt;&gt;1,"",IF(I5086="SBJ","CB","?"))</f>
        <v> </v>
      </c>
      <c r="I5086" s="25" t="str">
        <f>IF(OR(E5086="",E5086="!!!",F5086="NEW"),"",INDEX(B5085:B$2,-1+SUMPRODUCT(MAX(ROW(E5085:E$2)*(E5086=E5085:E$2)))))</f>
        <v> </v>
      </c>
      <c r="J5086" s="25" t="str">
        <f>IF(OR(E5086="",E5086="!!!",F5086="NEW"),"",COUNTBLANK(OFFSET(A$1,,,SUMPRODUCT(MAX(ROW(E$2:E5086)*(E5086=E$2:E5086)))))-COUNTBLANK(OFFSET(A$1,,,SUMPRODUCT(MAX(ROW(E$1:E5085)*(E2=E$1:E5085))))))</f>
        <v> </v>
      </c>
      <c r="K5086" s="25" t="str">
        <f>IF(OR(E5086="",E5086="!!!",F5086="NEW"),"",INDEX(J$1:J5085,SUMPRODUCT(MAX(ROW(E$1:E5085)*(E5086=E$1:E5085)))))</f>
        <v> </v>
      </c>
      <c r="L5086" s="26"/>
    </row>
    <row r="5087" spans="1:12">
      <c r="A5087" s="20" t="s">
        <v>1079</v>
      </c>
      <c r="E5087" s="21">
        <f>IF(D5087="?OLD","!!!","")</f>
        <v/>
      </c>
      <c r="F5087" s="22" t="str">
        <f>IF(OR(E5087="",E5087="!!!"),"",IF(NOT(ISNA(VLOOKUP(E5087,E$1:E5086,1,FALSE()))),"OLD",IF(AND(E5087&lt;&gt;"",E5087&lt;&gt;"!!!"),"NEW","")))</f>
        <v> </v>
      </c>
      <c r="G5087" s="23" t="str">
        <f>IF(OR(E5087="",E5087="!!!"),"",IF(OR(J5087=0,AND(J5087=1,K5087=1),AND(J5087=1,I5087="SBJ"),AND(J5087=1,I5087=0)),"?IN_FOCUS",IF(J5087&lt;=2,"?ACTIVATED",IF(J5087&lt;&gt;"","?FAMILIAR",IF(F5087="NEW",IF(ISNA(VLOOKUP(E5087,#REF!,1,FALSE())),"?TYPE_IDENTIFIABLE","?REFERENTIAL"),"_")))))</f>
        <v> </v>
      </c>
      <c r="H5087" s="24" t="str">
        <f>IF(J5087&lt;&gt;1,"",IF(I5087="SBJ","CB","?"))</f>
        <v> </v>
      </c>
      <c r="I5087" s="25" t="str">
        <f>IF(OR(E5087="",E5087="!!!",F5087="NEW"),"",INDEX(B5086:B$2,-1+SUMPRODUCT(MAX(ROW(E5086:E$2)*(E5087=E5086:E$2)))))</f>
        <v> </v>
      </c>
      <c r="J5087" s="25" t="str">
        <f>IF(OR(E5087="",E5087="!!!",F5087="NEW"),"",COUNTBLANK(OFFSET(A$1,,,SUMPRODUCT(MAX(ROW(E$2:E5087)*(E5087=E$2:E5087)))))-COUNTBLANK(OFFSET(A$1,,,SUMPRODUCT(MAX(ROW(E$1:E5086)*(E2=E$1:E5086))))))</f>
        <v> </v>
      </c>
      <c r="K5087" s="25" t="str">
        <f>IF(OR(E5087="",E5087="!!!",F5087="NEW"),"",INDEX(J$1:J5086,SUMPRODUCT(MAX(ROW(E$1:E5086)*(E5087=E$1:E5086)))))</f>
        <v> </v>
      </c>
      <c r="L5087" s="26"/>
    </row>
    <row r="5088" spans="1:12">
      <c r="A5088" s="20" t="s">
        <v>1005</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965</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row>
    <row r="5091" spans="1:12">
      <c r="A5091" s="20" t="s">
        <v>1060</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t="s">
        <v>2398</v>
      </c>
    </row>
    <row r="5093" spans="1:12">
      <c r="A5093" s="20" t="s">
        <v>1007</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993</v>
      </c>
      <c r="B5094" s="27" t="s">
        <v>967</v>
      </c>
      <c r="C5094" s="27" t="s">
        <v>968</v>
      </c>
      <c r="D5094" s="27" t="s">
        <v>969</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2399</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1919</v>
      </c>
      <c r="B5096" s="27" t="s">
        <v>973</v>
      </c>
      <c r="C5096" s="27" t="s">
        <v>968</v>
      </c>
      <c r="D5096" s="27" t="s">
        <v>969</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1067</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1194</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965</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1268</v>
      </c>
      <c r="B5100" s="27" t="s">
        <v>1010</v>
      </c>
      <c r="C5100" s="27" t="s">
        <v>968</v>
      </c>
      <c r="D5100" s="27" t="s">
        <v>969</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1530</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1672</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2400</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t="s">
        <v>991</v>
      </c>
      <c r="E5104" s="21">
        <f>IF(D5104="?OLD","!!!","")</f>
        <v/>
      </c>
      <c r="F5104" s="22" t="str">
        <f>IF(OR(E5104="",E5104="!!!"),"",IF(NOT(ISNA(VLOOKUP(E5104,E$1:E5103,1,FALSE()))),"OLD",IF(AND(E5104&lt;&gt;"",E5104&lt;&gt;"!!!"),"NEW","")))</f>
        <v> </v>
      </c>
      <c r="G5104" s="23" t="str">
        <f>IF(OR(E5104="",E5104="!!!"),"",IF(OR(J5104=0,AND(J5104=1,K5104=1),AND(J5104=1,I5104="SBJ"),AND(J5104=1,I5104=0)),"?IN_FOCUS",IF(J5104&lt;=2,"?ACTIVATED",IF(J5104&lt;&gt;"","?FAMILIAR",IF(F5104="NEW",IF(ISNA(VLOOKUP(E5104,#REF!,1,FALSE())),"?TYPE_IDENTIFIABLE","?REFERENTIAL"),"_")))))</f>
        <v> </v>
      </c>
      <c r="H5104" s="24" t="str">
        <f>IF(J5104&lt;&gt;1,"",IF(I5104="SBJ","CB","?"))</f>
        <v> </v>
      </c>
      <c r="I5104" s="25" t="str">
        <f>IF(OR(E5104="",E5104="!!!",F5104="NEW"),"",INDEX(B5103:B$2,-1+SUMPRODUCT(MAX(ROW(E5103:E$2)*(E5104=E5103:E$2)))))</f>
        <v> </v>
      </c>
      <c r="J5104" s="25" t="str">
        <f>IF(OR(E5104="",E5104="!!!",F5104="NEW"),"",COUNTBLANK(OFFSET(A$1,,,SUMPRODUCT(MAX(ROW(E$2:E5104)*(E5104=E$2:E5104)))))-COUNTBLANK(OFFSET(A$1,,,SUMPRODUCT(MAX(ROW(E$1:E5103)*(E2=E$1:E5103))))))</f>
        <v> </v>
      </c>
      <c r="K5104" s="25" t="str">
        <f>IF(OR(E5104="",E5104="!!!",F5104="NEW"),"",INDEX(J$1:J5103,SUMPRODUCT(MAX(ROW(E$1:E5103)*(E5104=E$1:E5103)))))</f>
        <v> </v>
      </c>
      <c r="L5104" s="26"/>
    </row>
    <row r="5105" spans="1:12">
      <c r="A5105" s="20" t="s">
        <v>1240</v>
      </c>
      <c r="E5105" s="21">
        <f>IF(D5105="?OLD","!!!","")</f>
        <v/>
      </c>
      <c r="F5105" s="22" t="str">
        <f>IF(OR(E5105="",E5105="!!!"),"",IF(NOT(ISNA(VLOOKUP(E5105,E$1:E5104,1,FALSE()))),"OLD",IF(AND(E5105&lt;&gt;"",E5105&lt;&gt;"!!!"),"NEW","")))</f>
        <v> </v>
      </c>
      <c r="G5105" s="23" t="str">
        <f>IF(OR(E5105="",E5105="!!!"),"",IF(OR(J5105=0,AND(J5105=1,K5105=1),AND(J5105=1,I5105="SBJ"),AND(J5105=1,I5105=0)),"?IN_FOCUS",IF(J5105&lt;=2,"?ACTIVATED",IF(J5105&lt;&gt;"","?FAMILIAR",IF(F5105="NEW",IF(ISNA(VLOOKUP(E5105,#REF!,1,FALSE())),"?TYPE_IDENTIFIABLE","?REFERENTIAL"),"_")))))</f>
        <v> </v>
      </c>
      <c r="H5105" s="24" t="str">
        <f>IF(J5105&lt;&gt;1,"",IF(I5105="SBJ","CB","?"))</f>
        <v> </v>
      </c>
      <c r="I5105" s="25" t="str">
        <f>IF(OR(E5105="",E5105="!!!",F5105="NEW"),"",INDEX(B5104:B$2,-1+SUMPRODUCT(MAX(ROW(E5104:E$2)*(E5105=E5104:E$2)))))</f>
        <v> </v>
      </c>
      <c r="J5105" s="25" t="str">
        <f>IF(OR(E5105="",E5105="!!!",F5105="NEW"),"",COUNTBLANK(OFFSET(A$1,,,SUMPRODUCT(MAX(ROW(E$2:E5105)*(E5105=E$2:E5105)))))-COUNTBLANK(OFFSET(A$1,,,SUMPRODUCT(MAX(ROW(E$1:E5104)*(E2=E$1:E5104))))))</f>
        <v> </v>
      </c>
      <c r="K5105" s="25" t="str">
        <f>IF(OR(E5105="",E5105="!!!",F5105="NEW"),"",INDEX(J$1:J5104,SUMPRODUCT(MAX(ROW(E$1:E5104)*(E5105=E$1:E5104)))))</f>
        <v> </v>
      </c>
      <c r="L5105" s="26"/>
    </row>
    <row r="5106" spans="1:12">
      <c r="A5106" s="20" t="s">
        <v>1268</v>
      </c>
      <c r="B5106" s="27" t="s">
        <v>994</v>
      </c>
      <c r="C5106" s="27" t="s">
        <v>968</v>
      </c>
      <c r="D5106" s="27" t="s">
        <v>969</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462</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1828</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1158</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149</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37</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1005</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row>
    <row r="5114" spans="1:12">
      <c r="A5114" s="20" t="s">
        <v>2401</v>
      </c>
    </row>
    <row r="5115" spans="1:12">
      <c r="A5115" s="20" t="s">
        <v>1163</v>
      </c>
      <c r="E5115" s="21">
        <f>IF(D5115="?OLD","!!!","")</f>
        <v/>
      </c>
      <c r="F5115" s="22" t="str">
        <f>IF(OR(E5115="",E5115="!!!"),"",IF(NOT(ISNA(VLOOKUP(E5115,E$1:E5114,1,FALSE()))),"OLD",IF(AND(E5115&lt;&gt;"",E5115&lt;&gt;"!!!"),"NEW","")))</f>
        <v> </v>
      </c>
      <c r="G5115" s="23" t="str">
        <f>IF(OR(E5115="",E5115="!!!"),"",IF(OR(J5115=0,AND(J5115=1,K5115=1),AND(J5115=1,I5115="SBJ"),AND(J5115=1,I5115=0)),"?IN_FOCUS",IF(J5115&lt;=2,"?ACTIVATED",IF(J5115&lt;&gt;"","?FAMILIAR",IF(F5115="NEW",IF(ISNA(VLOOKUP(E5115,#REF!,1,FALSE())),"?TYPE_IDENTIFIABLE","?REFERENTIAL"),"_")))))</f>
        <v> </v>
      </c>
      <c r="H5115" s="24" t="str">
        <f>IF(J5115&lt;&gt;1,"",IF(I5115="SBJ","CB","?"))</f>
        <v> </v>
      </c>
      <c r="I5115" s="25" t="str">
        <f>IF(OR(E5115="",E5115="!!!",F5115="NEW"),"",INDEX(B5114:B$2,-1+SUMPRODUCT(MAX(ROW(E5114:E$2)*(E5115=E5114:E$2)))))</f>
        <v> </v>
      </c>
      <c r="J5115" s="25" t="str">
        <f>IF(OR(E5115="",E5115="!!!",F5115="NEW"),"",COUNTBLANK(OFFSET(A$1,,,SUMPRODUCT(MAX(ROW(E$2:E5115)*(E5115=E$2:E5115)))))-COUNTBLANK(OFFSET(A$1,,,SUMPRODUCT(MAX(ROW(E$1:E5114)*(E2=E$1:E5114))))))</f>
        <v> </v>
      </c>
      <c r="K5115" s="25" t="str">
        <f>IF(OR(E5115="",E5115="!!!",F5115="NEW"),"",INDEX(J$1:J5114,SUMPRODUCT(MAX(ROW(E$1:E5114)*(E5115=E$1:E5114)))))</f>
        <v> </v>
      </c>
      <c r="L5115" s="26"/>
    </row>
    <row r="5116" spans="1:12">
      <c r="A5116" s="20" t="s">
        <v>1307</v>
      </c>
      <c r="B5116" s="27" t="s">
        <v>967</v>
      </c>
      <c r="C5116" s="27" t="s">
        <v>979</v>
      </c>
      <c r="D5116" s="27" t="s">
        <v>969</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1097</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2402</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980</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1024</v>
      </c>
      <c r="B5120" s="27" t="s">
        <v>1010</v>
      </c>
      <c r="C5120" s="27" t="s">
        <v>1102</v>
      </c>
      <c r="D5120" s="27" t="s">
        <v>969</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1097</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1051</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2403</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t="s">
        <v>1607</v>
      </c>
      <c r="B5124" s="27" t="s">
        <v>1053</v>
      </c>
      <c r="C5124" s="27" t="s">
        <v>1018</v>
      </c>
      <c r="E5124" s="21">
        <f>IF(D5124="?OLD","!!!","")</f>
        <v/>
      </c>
      <c r="F5124" s="22" t="str">
        <f>IF(OR(E5124="",E5124="!!!"),"",IF(NOT(ISNA(VLOOKUP(E5124,E$1:E5123,1,FALSE()))),"OLD",IF(AND(E5124&lt;&gt;"",E5124&lt;&gt;"!!!"),"NEW","")))</f>
        <v> </v>
      </c>
      <c r="G5124" s="23" t="str">
        <f>IF(OR(E5124="",E5124="!!!"),"",IF(OR(J5124=0,AND(J5124=1,K5124=1),AND(J5124=1,I5124="SBJ"),AND(J5124=1,I5124=0)),"?IN_FOCUS",IF(J5124&lt;=2,"?ACTIVATED",IF(J5124&lt;&gt;"","?FAMILIAR",IF(F5124="NEW",IF(ISNA(VLOOKUP(E5124,#REF!,1,FALSE())),"?TYPE_IDENTIFIABLE","?REFERENTIAL"),"_")))))</f>
        <v> </v>
      </c>
      <c r="H5124" s="24" t="str">
        <f>IF(J5124&lt;&gt;1,"",IF(I5124="SBJ","CB","?"))</f>
        <v> </v>
      </c>
      <c r="I5124" s="25" t="str">
        <f>IF(OR(E5124="",E5124="!!!",F5124="NEW"),"",INDEX(B5123:B$2,-1+SUMPRODUCT(MAX(ROW(E5123:E$2)*(E5124=E5123:E$2)))))</f>
        <v> </v>
      </c>
      <c r="J5124" s="25" t="str">
        <f>IF(OR(E5124="",E5124="!!!",F5124="NEW"),"",COUNTBLANK(OFFSET(A$1,,,SUMPRODUCT(MAX(ROW(E$2:E5124)*(E5124=E$2:E5124)))))-COUNTBLANK(OFFSET(A$1,,,SUMPRODUCT(MAX(ROW(E$1:E5123)*(E2=E$1:E5123))))))</f>
        <v> </v>
      </c>
      <c r="K5124" s="25" t="str">
        <f>IF(OR(E5124="",E5124="!!!",F5124="NEW"),"",INDEX(J$1:J5123,SUMPRODUCT(MAX(ROW(E$1:E5123)*(E5124=E$1:E5123)))))</f>
        <v> </v>
      </c>
      <c r="L5124" s="26"/>
    </row>
    <row r="5125" spans="1:12">
      <c r="A5125" s="20" t="s">
        <v>991</v>
      </c>
      <c r="E5125" s="21">
        <f>IF(D5125="?OLD","!!!","")</f>
        <v/>
      </c>
      <c r="F5125" s="22" t="str">
        <f>IF(OR(E5125="",E5125="!!!"),"",IF(NOT(ISNA(VLOOKUP(E5125,E$1:E5124,1,FALSE()))),"OLD",IF(AND(E5125&lt;&gt;"",E5125&lt;&gt;"!!!"),"NEW","")))</f>
        <v> </v>
      </c>
      <c r="G5125" s="23" t="str">
        <f>IF(OR(E5125="",E5125="!!!"),"",IF(OR(J5125=0,AND(J5125=1,K5125=1),AND(J5125=1,I5125="SBJ"),AND(J5125=1,I5125=0)),"?IN_FOCUS",IF(J5125&lt;=2,"?ACTIVATED",IF(J5125&lt;&gt;"","?FAMILIAR",IF(F5125="NEW",IF(ISNA(VLOOKUP(E5125,#REF!,1,FALSE())),"?TYPE_IDENTIFIABLE","?REFERENTIAL"),"_")))))</f>
        <v> </v>
      </c>
      <c r="H5125" s="24" t="str">
        <f>IF(J5125&lt;&gt;1,"",IF(I5125="SBJ","CB","?"))</f>
        <v> </v>
      </c>
      <c r="I5125" s="25" t="str">
        <f>IF(OR(E5125="",E5125="!!!",F5125="NEW"),"",INDEX(B5124:B$2,-1+SUMPRODUCT(MAX(ROW(E5124:E$2)*(E5125=E5124:E$2)))))</f>
        <v> </v>
      </c>
      <c r="J5125" s="25" t="str">
        <f>IF(OR(E5125="",E5125="!!!",F5125="NEW"),"",COUNTBLANK(OFFSET(A$1,,,SUMPRODUCT(MAX(ROW(E$2:E5125)*(E5125=E$2:E5125)))))-COUNTBLANK(OFFSET(A$1,,,SUMPRODUCT(MAX(ROW(E$1:E5124)*(E2=E$1:E5124))))))</f>
        <v> </v>
      </c>
      <c r="K5125" s="25" t="str">
        <f>IF(OR(E5125="",E5125="!!!",F5125="NEW"),"",INDEX(J$1:J5124,SUMPRODUCT(MAX(ROW(E$1:E5124)*(E5125=E$1:E5124)))))</f>
        <v> </v>
      </c>
      <c r="L5125" s="26"/>
    </row>
    <row r="5126" spans="1:12">
      <c r="A5126" s="20" t="s">
        <v>1024</v>
      </c>
      <c r="B5126" s="27" t="s">
        <v>1031</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1268</v>
      </c>
      <c r="B5127" s="27" t="s">
        <v>994</v>
      </c>
      <c r="C5127" s="27" t="s">
        <v>968</v>
      </c>
      <c r="D5127" s="27" t="s">
        <v>969</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2226</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2404</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1005</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row>
    <row r="5132" spans="1:12">
      <c r="A5132" s="20" t="s">
        <v>1060</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2405</v>
      </c>
    </row>
    <row r="5134" spans="1:12">
      <c r="A5134" s="20" t="s">
        <v>808</v>
      </c>
      <c r="E5134" s="21">
        <f>IF(D5134="?OLD","!!!","")</f>
        <v/>
      </c>
      <c r="F5134" s="22" t="str">
        <f>IF(OR(E5134="",E5134="!!!"),"",IF(NOT(ISNA(VLOOKUP(E5134,E$1:E5133,1,FALSE()))),"OLD",IF(AND(E5134&lt;&gt;"",E5134&lt;&gt;"!!!"),"NEW","")))</f>
        <v> </v>
      </c>
      <c r="G5134" s="23" t="str">
        <f>IF(OR(E5134="",E5134="!!!"),"",IF(OR(J5134=0,AND(J5134=1,K5134=1),AND(J5134=1,I5134="SBJ"),AND(J5134=1,I5134=0)),"?IN_FOCUS",IF(J5134&lt;=2,"?ACTIVATED",IF(J5134&lt;&gt;"","?FAMILIAR",IF(F5134="NEW",IF(ISNA(VLOOKUP(E5134,#REF!,1,FALSE())),"?TYPE_IDENTIFIABLE","?REFERENTIAL"),"_")))))</f>
        <v> </v>
      </c>
      <c r="H5134" s="24" t="str">
        <f>IF(J5134&lt;&gt;1,"",IF(I5134="SBJ","CB","?"))</f>
        <v> </v>
      </c>
      <c r="I5134" s="25" t="str">
        <f>IF(OR(E5134="",E5134="!!!",F5134="NEW"),"",INDEX(B5133:B$2,-1+SUMPRODUCT(MAX(ROW(E5133:E$2)*(E5134=E5133:E$2)))))</f>
        <v> </v>
      </c>
      <c r="J5134" s="25" t="str">
        <f>IF(OR(E5134="",E5134="!!!",F5134="NEW"),"",COUNTBLANK(OFFSET(A$1,,,SUMPRODUCT(MAX(ROW(E$2:E5134)*(E5134=E$2:E5134)))))-COUNTBLANK(OFFSET(A$1,,,SUMPRODUCT(MAX(ROW(E$1:E5133)*(E2=E$1:E5133))))))</f>
        <v> </v>
      </c>
      <c r="K5134" s="25" t="str">
        <f>IF(OR(E5134="",E5134="!!!",F5134="NEW"),"",INDEX(J$1:J5133,SUMPRODUCT(MAX(ROW(E$1:E5133)*(E5134=E$1:E5133)))))</f>
        <v> </v>
      </c>
      <c r="L5134" s="26"/>
    </row>
    <row r="5135" spans="1:12">
      <c r="A5135" s="20" t="s">
        <v>1268</v>
      </c>
      <c r="B5135" s="27" t="s">
        <v>967</v>
      </c>
      <c r="C5135" s="27" t="s">
        <v>968</v>
      </c>
      <c r="D5135" s="27" t="s">
        <v>969</v>
      </c>
      <c r="E5135" s="21">
        <f>IF(D5135="?OLD","!!!","")</f>
        <v/>
      </c>
      <c r="F5135" s="22" t="str">
        <f>IF(OR(E5135="",E5135="!!!"),"",IF(NOT(ISNA(VLOOKUP(E5135,E$1:E5134,1,FALSE()))),"OLD",IF(AND(E5135&lt;&gt;"",E5135&lt;&gt;"!!!"),"NEW","")))</f>
        <v> </v>
      </c>
      <c r="G5135" s="23" t="str">
        <f>IF(OR(E5135="",E5135="!!!"),"",IF(OR(J5135=0,AND(J5135=1,K5135=1),AND(J5135=1,I5135="SBJ"),AND(J5135=1,I5135=0)),"?IN_FOCUS",IF(J5135&lt;=2,"?ACTIVATED",IF(J5135&lt;&gt;"","?FAMILIAR",IF(F5135="NEW",IF(ISNA(VLOOKUP(E5135,#REF!,1,FALSE())),"?TYPE_IDENTIFIABLE","?REFERENTIAL"),"_")))))</f>
        <v> </v>
      </c>
      <c r="H5135" s="24" t="str">
        <f>IF(J5135&lt;&gt;1,"",IF(I5135="SBJ","CB","?"))</f>
        <v> </v>
      </c>
      <c r="I5135" s="25" t="str">
        <f>IF(OR(E5135="",E5135="!!!",F5135="NEW"),"",INDEX(B5134:B$2,-1+SUMPRODUCT(MAX(ROW(E5134:E$2)*(E5135=E5134:E$2)))))</f>
        <v> </v>
      </c>
      <c r="J5135" s="25" t="str">
        <f>IF(OR(E5135="",E5135="!!!",F5135="NEW"),"",COUNTBLANK(OFFSET(A$1,,,SUMPRODUCT(MAX(ROW(E$2:E5135)*(E5135=E$2:E5135)))))-COUNTBLANK(OFFSET(A$1,,,SUMPRODUCT(MAX(ROW(E$1:E5134)*(E2=E$1:E5134))))))</f>
        <v> </v>
      </c>
      <c r="K5135" s="25" t="str">
        <f>IF(OR(E5135="",E5135="!!!",F5135="NEW"),"",INDEX(J$1:J5134,SUMPRODUCT(MAX(ROW(E$1:E5134)*(E5135=E$1:E5134)))))</f>
        <v> </v>
      </c>
      <c r="L5135" s="26"/>
    </row>
    <row r="5136" spans="1:12">
      <c r="A5136" s="20" t="s">
        <v>1024</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1005</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965</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row>
    <row r="5140" spans="1:12">
      <c r="A5140" s="20" t="s">
        <v>2406</v>
      </c>
    </row>
    <row r="5141" spans="1:12">
      <c r="A5141" s="20" t="s">
        <v>1251</v>
      </c>
      <c r="B5141" s="27" t="s">
        <v>967</v>
      </c>
      <c r="C5141" s="27" t="s">
        <v>968</v>
      </c>
      <c r="D5141" s="27" t="s">
        <v>969</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1097</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1016</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1055</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t="s">
        <v>2407</v>
      </c>
      <c r="B5145" s="27" t="s">
        <v>1053</v>
      </c>
      <c r="C5145" s="27" t="s">
        <v>1018</v>
      </c>
      <c r="E5145" s="21">
        <f>IF(D5145="?OLD","!!!","")</f>
        <v/>
      </c>
      <c r="F5145" s="22" t="str">
        <f>IF(OR(E5145="",E5145="!!!"),"",IF(NOT(ISNA(VLOOKUP(E5145,E$1:E5144,1,FALSE()))),"OLD",IF(AND(E5145&lt;&gt;"",E5145&lt;&gt;"!!!"),"NEW","")))</f>
        <v> </v>
      </c>
      <c r="G5145" s="23" t="str">
        <f>IF(OR(E5145="",E5145="!!!"),"",IF(OR(J5145=0,AND(J5145=1,K5145=1),AND(J5145=1,I5145="SBJ"),AND(J5145=1,I5145=0)),"?IN_FOCUS",IF(J5145&lt;=2,"?ACTIVATED",IF(J5145&lt;&gt;"","?FAMILIAR",IF(F5145="NEW",IF(ISNA(VLOOKUP(E5145,#REF!,1,FALSE())),"?TYPE_IDENTIFIABLE","?REFERENTIAL"),"_")))))</f>
        <v> </v>
      </c>
      <c r="H5145" s="24" t="str">
        <f>IF(J5145&lt;&gt;1,"",IF(I5145="SBJ","CB","?"))</f>
        <v> </v>
      </c>
      <c r="I5145" s="25" t="str">
        <f>IF(OR(E5145="",E5145="!!!",F5145="NEW"),"",INDEX(B5144:B$2,-1+SUMPRODUCT(MAX(ROW(E5144:E$2)*(E5145=E5144:E$2)))))</f>
        <v> </v>
      </c>
      <c r="J5145" s="25" t="str">
        <f>IF(OR(E5145="",E5145="!!!",F5145="NEW"),"",COUNTBLANK(OFFSET(A$1,,,SUMPRODUCT(MAX(ROW(E$2:E5145)*(E5145=E$2:E5145)))))-COUNTBLANK(OFFSET(A$1,,,SUMPRODUCT(MAX(ROW(E$1:E5144)*(E2=E$1:E5144))))))</f>
        <v> </v>
      </c>
      <c r="K5145" s="25" t="str">
        <f>IF(OR(E5145="",E5145="!!!",F5145="NEW"),"",INDEX(J$1:J5144,SUMPRODUCT(MAX(ROW(E$1:E5144)*(E5145=E$1:E5144)))))</f>
        <v> </v>
      </c>
      <c r="L5145" s="26"/>
    </row>
    <row r="5146" spans="1:12">
      <c r="A5146" s="20" t="s">
        <v>1043</v>
      </c>
      <c r="E5146" s="21">
        <f>IF(D5146="?OLD","!!!","")</f>
        <v/>
      </c>
      <c r="F5146" s="22" t="str">
        <f>IF(OR(E5146="",E5146="!!!"),"",IF(NOT(ISNA(VLOOKUP(E5146,E$1:E5145,1,FALSE()))),"OLD",IF(AND(E5146&lt;&gt;"",E5146&lt;&gt;"!!!"),"NEW","")))</f>
        <v> </v>
      </c>
      <c r="G5146" s="23" t="str">
        <f>IF(OR(E5146="",E5146="!!!"),"",IF(OR(J5146=0,AND(J5146=1,K5146=1),AND(J5146=1,I5146="SBJ"),AND(J5146=1,I5146=0)),"?IN_FOCUS",IF(J5146&lt;=2,"?ACTIVATED",IF(J5146&lt;&gt;"","?FAMILIAR",IF(F5146="NEW",IF(ISNA(VLOOKUP(E5146,#REF!,1,FALSE())),"?TYPE_IDENTIFIABLE","?REFERENTIAL"),"_")))))</f>
        <v> </v>
      </c>
      <c r="H5146" s="24" t="str">
        <f>IF(J5146&lt;&gt;1,"",IF(I5146="SBJ","CB","?"))</f>
        <v> </v>
      </c>
      <c r="I5146" s="25" t="str">
        <f>IF(OR(E5146="",E5146="!!!",F5146="NEW"),"",INDEX(B5145:B$2,-1+SUMPRODUCT(MAX(ROW(E5145:E$2)*(E5146=E5145:E$2)))))</f>
        <v> </v>
      </c>
      <c r="J5146" s="25" t="str">
        <f>IF(OR(E5146="",E5146="!!!",F5146="NEW"),"",COUNTBLANK(OFFSET(A$1,,,SUMPRODUCT(MAX(ROW(E$2:E5146)*(E5146=E$2:E5146)))))-COUNTBLANK(OFFSET(A$1,,,SUMPRODUCT(MAX(ROW(E$1:E5145)*(E2=E$1:E5145))))))</f>
        <v> </v>
      </c>
      <c r="K5146" s="25" t="str">
        <f>IF(OR(E5146="",E5146="!!!",F5146="NEW"),"",INDEX(J$1:J5145,SUMPRODUCT(MAX(ROW(E$1:E5145)*(E5146=E$1:E5145)))))</f>
        <v> </v>
      </c>
      <c r="L5146" s="26"/>
    </row>
    <row r="5147" spans="1:12">
      <c r="A5147" s="20" t="s">
        <v>2408</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1087</v>
      </c>
      <c r="B5148" s="27" t="s">
        <v>1053</v>
      </c>
      <c r="C5148" s="27" t="s">
        <v>979</v>
      </c>
      <c r="D5148" s="27" t="s">
        <v>969</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991</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980</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1365</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2409</v>
      </c>
      <c r="B5152" s="27" t="s">
        <v>978</v>
      </c>
      <c r="C5152" s="27" t="s">
        <v>1001</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2207</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t="s">
        <v>2410</v>
      </c>
      <c r="B5154" s="27" t="s">
        <v>1053</v>
      </c>
      <c r="C5154" s="27" t="s">
        <v>1123</v>
      </c>
      <c r="E5154" s="21">
        <f>IF(D5154="?OLD","!!!","")</f>
        <v/>
      </c>
      <c r="F5154" s="22" t="str">
        <f>IF(OR(E5154="",E5154="!!!"),"",IF(NOT(ISNA(VLOOKUP(E5154,E$1:E5153,1,FALSE()))),"OLD",IF(AND(E5154&lt;&gt;"",E5154&lt;&gt;"!!!"),"NEW","")))</f>
        <v> </v>
      </c>
      <c r="G5154" s="23" t="str">
        <f>IF(OR(E5154="",E5154="!!!"),"",IF(OR(J5154=0,AND(J5154=1,K5154=1),AND(J5154=1,I5154="SBJ"),AND(J5154=1,I5154=0)),"?IN_FOCUS",IF(J5154&lt;=2,"?ACTIVATED",IF(J5154&lt;&gt;"","?FAMILIAR",IF(F5154="NEW",IF(ISNA(VLOOKUP(E5154,#REF!,1,FALSE())),"?TYPE_IDENTIFIABLE","?REFERENTIAL"),"_")))))</f>
        <v> </v>
      </c>
      <c r="H5154" s="24" t="str">
        <f>IF(J5154&lt;&gt;1,"",IF(I5154="SBJ","CB","?"))</f>
        <v> </v>
      </c>
      <c r="I5154" s="25" t="str">
        <f>IF(OR(E5154="",E5154="!!!",F5154="NEW"),"",INDEX(B5153:B$2,-1+SUMPRODUCT(MAX(ROW(E5153:E$2)*(E5154=E5153:E$2)))))</f>
        <v> </v>
      </c>
      <c r="J5154" s="25" t="str">
        <f>IF(OR(E5154="",E5154="!!!",F5154="NEW"),"",COUNTBLANK(OFFSET(A$1,,,SUMPRODUCT(MAX(ROW(E$2:E5154)*(E5154=E$2:E5154)))))-COUNTBLANK(OFFSET(A$1,,,SUMPRODUCT(MAX(ROW(E$1:E5153)*(E2=E$1:E5153))))))</f>
        <v> </v>
      </c>
      <c r="K5154" s="25" t="str">
        <f>IF(OR(E5154="",E5154="!!!",F5154="NEW"),"",INDEX(J$1:J5153,SUMPRODUCT(MAX(ROW(E$1:E5153)*(E5154=E$1:E5153)))))</f>
        <v> </v>
      </c>
      <c r="L5154" s="26"/>
    </row>
    <row r="5155" spans="1:12">
      <c r="A5155" s="20" t="s">
        <v>991</v>
      </c>
      <c r="E5155" s="21">
        <f>IF(D5155="?OLD","!!!","")</f>
        <v/>
      </c>
      <c r="F5155" s="22" t="str">
        <f>IF(OR(E5155="",E5155="!!!"),"",IF(NOT(ISNA(VLOOKUP(E5155,E$1:E5154,1,FALSE()))),"OLD",IF(AND(E5155&lt;&gt;"",E5155&lt;&gt;"!!!"),"NEW","")))</f>
        <v> </v>
      </c>
      <c r="G5155" s="23" t="str">
        <f>IF(OR(E5155="",E5155="!!!"),"",IF(OR(J5155=0,AND(J5155=1,K5155=1),AND(J5155=1,I5155="SBJ"),AND(J5155=1,I5155=0)),"?IN_FOCUS",IF(J5155&lt;=2,"?ACTIVATED",IF(J5155&lt;&gt;"","?FAMILIAR",IF(F5155="NEW",IF(ISNA(VLOOKUP(E5155,#REF!,1,FALSE())),"?TYPE_IDENTIFIABLE","?REFERENTIAL"),"_")))))</f>
        <v> </v>
      </c>
      <c r="H5155" s="24" t="str">
        <f>IF(J5155&lt;&gt;1,"",IF(I5155="SBJ","CB","?"))</f>
        <v> </v>
      </c>
      <c r="I5155" s="25" t="str">
        <f>IF(OR(E5155="",E5155="!!!",F5155="NEW"),"",INDEX(B5154:B$2,-1+SUMPRODUCT(MAX(ROW(E5154:E$2)*(E5155=E5154:E$2)))))</f>
        <v> </v>
      </c>
      <c r="J5155" s="25" t="str">
        <f>IF(OR(E5155="",E5155="!!!",F5155="NEW"),"",COUNTBLANK(OFFSET(A$1,,,SUMPRODUCT(MAX(ROW(E$2:E5155)*(E5155=E$2:E5155)))))-COUNTBLANK(OFFSET(A$1,,,SUMPRODUCT(MAX(ROW(E$1:E5154)*(E2=E$1:E5154))))))</f>
        <v> </v>
      </c>
      <c r="K5155" s="25" t="str">
        <f>IF(OR(E5155="",E5155="!!!",F5155="NEW"),"",INDEX(J$1:J5154,SUMPRODUCT(MAX(ROW(E$1:E5154)*(E5155=E$1:E5154)))))</f>
        <v> </v>
      </c>
      <c r="L5155" s="26"/>
    </row>
    <row r="5156" spans="1:12">
      <c r="A5156" s="20" t="s">
        <v>996</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t="s">
        <v>1432</v>
      </c>
      <c r="B5157" s="27" t="s">
        <v>1010</v>
      </c>
      <c r="C5157" s="27" t="s">
        <v>1011</v>
      </c>
      <c r="D5157" s="27" t="s">
        <v>969</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2411</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t="s">
        <v>2412</v>
      </c>
      <c r="B5159" s="27" t="s">
        <v>1013</v>
      </c>
      <c r="C5159" s="27" t="s">
        <v>1141</v>
      </c>
      <c r="D5159" s="27" t="s">
        <v>969</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991</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1078</v>
      </c>
      <c r="B5161" s="27" t="s">
        <v>982</v>
      </c>
      <c r="C5161" s="27" t="s">
        <v>974</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991</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t="s">
        <v>2413</v>
      </c>
      <c r="E5163" s="21">
        <f>IF(D5163="?OLD","!!!","")</f>
        <v/>
      </c>
      <c r="F5163" s="22" t="str">
        <f>IF(OR(E5163="",E5163="!!!"),"",IF(NOT(ISNA(VLOOKUP(E5163,E$1:E5162,1,FALSE()))),"OLD",IF(AND(E5163&lt;&gt;"",E5163&lt;&gt;"!!!"),"NEW","")))</f>
        <v> </v>
      </c>
      <c r="G5163" s="23" t="str">
        <f>IF(OR(E5163="",E5163="!!!"),"",IF(OR(J5163=0,AND(J5163=1,K5163=1),AND(J5163=1,I5163="SBJ"),AND(J5163=1,I5163=0)),"?IN_FOCUS",IF(J5163&lt;=2,"?ACTIVATED",IF(J5163&lt;&gt;"","?FAMILIAR",IF(F5163="NEW",IF(ISNA(VLOOKUP(E5163,#REF!,1,FALSE())),"?TYPE_IDENTIFIABLE","?REFERENTIAL"),"_")))))</f>
        <v> </v>
      </c>
      <c r="H5163" s="24" t="str">
        <f>IF(J5163&lt;&gt;1,"",IF(I5163="SBJ","CB","?"))</f>
        <v> </v>
      </c>
      <c r="I5163" s="25" t="str">
        <f>IF(OR(E5163="",E5163="!!!",F5163="NEW"),"",INDEX(B5162:B$2,-1+SUMPRODUCT(MAX(ROW(E5162:E$2)*(E5163=E5162:E$2)))))</f>
        <v> </v>
      </c>
      <c r="J5163" s="25" t="str">
        <f>IF(OR(E5163="",E5163="!!!",F5163="NEW"),"",COUNTBLANK(OFFSET(A$1,,,SUMPRODUCT(MAX(ROW(E$2:E5163)*(E5163=E$2:E5163)))))-COUNTBLANK(OFFSET(A$1,,,SUMPRODUCT(MAX(ROW(E$1:E5162)*(E2=E$1:E5162))))))</f>
        <v> </v>
      </c>
      <c r="K5163" s="25" t="str">
        <f>IF(OR(E5163="",E5163="!!!",F5163="NEW"),"",INDEX(J$1:J5162,SUMPRODUCT(MAX(ROW(E$1:E5162)*(E5163=E$1:E5162)))))</f>
        <v> </v>
      </c>
      <c r="L5163" s="26"/>
    </row>
    <row r="5164" spans="1:12">
      <c r="A5164" s="20" t="s">
        <v>991</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1437</v>
      </c>
      <c r="E5165" s="21">
        <f>IF(D5165="?OLD","!!!","")</f>
        <v/>
      </c>
      <c r="F5165" s="22" t="str">
        <f>IF(OR(E5165="",E5165="!!!"),"",IF(NOT(ISNA(VLOOKUP(E5165,E$1:E5164,1,FALSE()))),"OLD",IF(AND(E5165&lt;&gt;"",E5165&lt;&gt;"!!!"),"NEW","")))</f>
        <v> </v>
      </c>
      <c r="G5165" s="23" t="str">
        <f>IF(OR(E5165="",E5165="!!!"),"",IF(OR(J5165=0,AND(J5165=1,K5165=1),AND(J5165=1,I5165="SBJ"),AND(J5165=1,I5165=0)),"?IN_FOCUS",IF(J5165&lt;=2,"?ACTIVATED",IF(J5165&lt;&gt;"","?FAMILIAR",IF(F5165="NEW",IF(ISNA(VLOOKUP(E5165,#REF!,1,FALSE())),"?TYPE_IDENTIFIABLE","?REFERENTIAL"),"_")))))</f>
        <v> </v>
      </c>
      <c r="H5165" s="24" t="str">
        <f>IF(J5165&lt;&gt;1,"",IF(I5165="SBJ","CB","?"))</f>
        <v> </v>
      </c>
      <c r="I5165" s="25" t="str">
        <f>IF(OR(E5165="",E5165="!!!",F5165="NEW"),"",INDEX(B5164:B$2,-1+SUMPRODUCT(MAX(ROW(E5164:E$2)*(E5165=E5164:E$2)))))</f>
        <v> </v>
      </c>
      <c r="J5165" s="25" t="str">
        <f>IF(OR(E5165="",E5165="!!!",F5165="NEW"),"",COUNTBLANK(OFFSET(A$1,,,SUMPRODUCT(MAX(ROW(E$2:E5165)*(E5165=E$2:E5165)))))-COUNTBLANK(OFFSET(A$1,,,SUMPRODUCT(MAX(ROW(E$1:E5164)*(E2=E$1:E5164))))))</f>
        <v> </v>
      </c>
      <c r="K5165" s="25" t="str">
        <f>IF(OR(E5165="",E5165="!!!",F5165="NEW"),"",INDEX(J$1:J5164,SUMPRODUCT(MAX(ROW(E$1:E5164)*(E5165=E$1:E5164)))))</f>
        <v> </v>
      </c>
      <c r="L5165" s="26"/>
    </row>
    <row r="5166" spans="1:12">
      <c r="A5166" s="20" t="s">
        <v>999</v>
      </c>
      <c r="E5166" s="21">
        <f>IF(D5166="?OLD","!!!","")</f>
        <v/>
      </c>
      <c r="F5166" s="22" t="str">
        <f>IF(OR(E5166="",E5166="!!!"),"",IF(NOT(ISNA(VLOOKUP(E5166,E$1:E5165,1,FALSE()))),"OLD",IF(AND(E5166&lt;&gt;"",E5166&lt;&gt;"!!!"),"NEW","")))</f>
        <v> </v>
      </c>
      <c r="G5166" s="23" t="str">
        <f>IF(OR(E5166="",E5166="!!!"),"",IF(OR(J5166=0,AND(J5166=1,K5166=1),AND(J5166=1,I5166="SBJ"),AND(J5166=1,I5166=0)),"?IN_FOCUS",IF(J5166&lt;=2,"?ACTIVATED",IF(J5166&lt;&gt;"","?FAMILIAR",IF(F5166="NEW",IF(ISNA(VLOOKUP(E5166,#REF!,1,FALSE())),"?TYPE_IDENTIFIABLE","?REFERENTIAL"),"_")))))</f>
        <v> </v>
      </c>
      <c r="H5166" s="24" t="str">
        <f>IF(J5166&lt;&gt;1,"",IF(I5166="SBJ","CB","?"))</f>
        <v> </v>
      </c>
      <c r="I5166" s="25" t="str">
        <f>IF(OR(E5166="",E5166="!!!",F5166="NEW"),"",INDEX(B5165:B$2,-1+SUMPRODUCT(MAX(ROW(E5165:E$2)*(E5166=E5165:E$2)))))</f>
        <v> </v>
      </c>
      <c r="J5166" s="25" t="str">
        <f>IF(OR(E5166="",E5166="!!!",F5166="NEW"),"",COUNTBLANK(OFFSET(A$1,,,SUMPRODUCT(MAX(ROW(E$2:E5166)*(E5166=E$2:E5166)))))-COUNTBLANK(OFFSET(A$1,,,SUMPRODUCT(MAX(ROW(E$1:E5165)*(E2=E$1:E5165))))))</f>
        <v> </v>
      </c>
      <c r="K5166" s="25" t="str">
        <f>IF(OR(E5166="",E5166="!!!",F5166="NEW"),"",INDEX(J$1:J5165,SUMPRODUCT(MAX(ROW(E$1:E5165)*(E5166=E$1:E5165)))))</f>
        <v> </v>
      </c>
      <c r="L5166" s="26"/>
    </row>
    <row r="5167" spans="1:12">
      <c r="A5167" s="20" t="s">
        <v>1103</v>
      </c>
      <c r="E5167" s="21">
        <f>IF(D5167="?OLD","!!!","")</f>
        <v/>
      </c>
      <c r="F5167" s="22" t="str">
        <f>IF(OR(E5167="",E5167="!!!"),"",IF(NOT(ISNA(VLOOKUP(E5167,E$1:E5166,1,FALSE()))),"OLD",IF(AND(E5167&lt;&gt;"",E5167&lt;&gt;"!!!"),"NEW","")))</f>
        <v> </v>
      </c>
      <c r="G5167" s="23" t="str">
        <f>IF(OR(E5167="",E5167="!!!"),"",IF(OR(J5167=0,AND(J5167=1,K5167=1),AND(J5167=1,I5167="SBJ"),AND(J5167=1,I5167=0)),"?IN_FOCUS",IF(J5167&lt;=2,"?ACTIVATED",IF(J5167&lt;&gt;"","?FAMILIAR",IF(F5167="NEW",IF(ISNA(VLOOKUP(E5167,#REF!,1,FALSE())),"?TYPE_IDENTIFIABLE","?REFERENTIAL"),"_")))))</f>
        <v> </v>
      </c>
      <c r="H5167" s="24" t="str">
        <f>IF(J5167&lt;&gt;1,"",IF(I5167="SBJ","CB","?"))</f>
        <v> </v>
      </c>
      <c r="I5167" s="25" t="str">
        <f>IF(OR(E5167="",E5167="!!!",F5167="NEW"),"",INDEX(B5166:B$2,-1+SUMPRODUCT(MAX(ROW(E5166:E$2)*(E5167=E5166:E$2)))))</f>
        <v> </v>
      </c>
      <c r="J5167" s="25" t="str">
        <f>IF(OR(E5167="",E5167="!!!",F5167="NEW"),"",COUNTBLANK(OFFSET(A$1,,,SUMPRODUCT(MAX(ROW(E$2:E5167)*(E5167=E$2:E5167)))))-COUNTBLANK(OFFSET(A$1,,,SUMPRODUCT(MAX(ROW(E$1:E5166)*(E2=E$1:E5166))))))</f>
        <v> </v>
      </c>
      <c r="K5167" s="25" t="str">
        <f>IF(OR(E5167="",E5167="!!!",F5167="NEW"),"",INDEX(J$1:J5166,SUMPRODUCT(MAX(ROW(E$1:E5166)*(E5167=E$1:E5166)))))</f>
        <v> </v>
      </c>
      <c r="L5167" s="26"/>
    </row>
    <row r="5168" spans="1:12">
      <c r="A5168" s="20" t="s">
        <v>991</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1214</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2086</v>
      </c>
      <c r="B5170" s="27" t="s">
        <v>982</v>
      </c>
      <c r="C5170" s="27" t="s">
        <v>974</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1213</v>
      </c>
      <c r="B5171" s="27" t="s">
        <v>1031</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13</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991</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1114</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1086</v>
      </c>
      <c r="B5175" s="27" t="s">
        <v>994</v>
      </c>
      <c r="C5175" s="27" t="s">
        <v>968</v>
      </c>
      <c r="D5175" s="27" t="s">
        <v>969</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1151</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1606</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t="s">
        <v>2414</v>
      </c>
      <c r="B5178" s="27" t="s">
        <v>982</v>
      </c>
      <c r="C5178" s="27" t="s">
        <v>1035</v>
      </c>
      <c r="E5178" s="21">
        <f>IF(D5178="?OLD","!!!","")</f>
        <v/>
      </c>
      <c r="F5178" s="22" t="str">
        <f>IF(OR(E5178="",E5178="!!!"),"",IF(NOT(ISNA(VLOOKUP(E5178,E$1:E5177,1,FALSE()))),"OLD",IF(AND(E5178&lt;&gt;"",E5178&lt;&gt;"!!!"),"NEW","")))</f>
        <v> </v>
      </c>
      <c r="G5178" s="23" t="str">
        <f>IF(OR(E5178="",E5178="!!!"),"",IF(OR(J5178=0,AND(J5178=1,K5178=1),AND(J5178=1,I5178="SBJ"),AND(J5178=1,I5178=0)),"?IN_FOCUS",IF(J5178&lt;=2,"?ACTIVATED",IF(J5178&lt;&gt;"","?FAMILIAR",IF(F5178="NEW",IF(ISNA(VLOOKUP(E5178,#REF!,1,FALSE())),"?TYPE_IDENTIFIABLE","?REFERENTIAL"),"_")))))</f>
        <v> </v>
      </c>
      <c r="H5178" s="24" t="str">
        <f>IF(J5178&lt;&gt;1,"",IF(I5178="SBJ","CB","?"))</f>
        <v> </v>
      </c>
      <c r="I5178" s="25" t="str">
        <f>IF(OR(E5178="",E5178="!!!",F5178="NEW"),"",INDEX(B5177:B$2,-1+SUMPRODUCT(MAX(ROW(E5177:E$2)*(E5178=E5177:E$2)))))</f>
        <v> </v>
      </c>
      <c r="J5178" s="25" t="str">
        <f>IF(OR(E5178="",E5178="!!!",F5178="NEW"),"",COUNTBLANK(OFFSET(A$1,,,SUMPRODUCT(MAX(ROW(E$2:E5178)*(E5178=E$2:E5178)))))-COUNTBLANK(OFFSET(A$1,,,SUMPRODUCT(MAX(ROW(E$1:E5177)*(E2=E$1:E5177))))))</f>
        <v> </v>
      </c>
      <c r="K5178" s="25" t="str">
        <f>IF(OR(E5178="",E5178="!!!",F5178="NEW"),"",INDEX(J$1:J5177,SUMPRODUCT(MAX(ROW(E$1:E5177)*(E5178=E$1:E5177)))))</f>
        <v> </v>
      </c>
      <c r="L5178" s="26"/>
    </row>
    <row r="5179" spans="1:12">
      <c r="A5179" s="20" t="s">
        <v>2415</v>
      </c>
      <c r="E5179" s="21">
        <f>IF(D5179="?OLD","!!!","")</f>
        <v/>
      </c>
      <c r="F5179" s="22" t="str">
        <f>IF(OR(E5179="",E5179="!!!"),"",IF(NOT(ISNA(VLOOKUP(E5179,E$1:E5178,1,FALSE()))),"OLD",IF(AND(E5179&lt;&gt;"",E5179&lt;&gt;"!!!"),"NEW","")))</f>
        <v> </v>
      </c>
      <c r="G5179" s="23" t="str">
        <f>IF(OR(E5179="",E5179="!!!"),"",IF(OR(J5179=0,AND(J5179=1,K5179=1),AND(J5179=1,I5179="SBJ"),AND(J5179=1,I5179=0)),"?IN_FOCUS",IF(J5179&lt;=2,"?ACTIVATED",IF(J5179&lt;&gt;"","?FAMILIAR",IF(F5179="NEW",IF(ISNA(VLOOKUP(E5179,#REF!,1,FALSE())),"?TYPE_IDENTIFIABLE","?REFERENTIAL"),"_")))))</f>
        <v> </v>
      </c>
      <c r="H5179" s="24" t="str">
        <f>IF(J5179&lt;&gt;1,"",IF(I5179="SBJ","CB","?"))</f>
        <v> </v>
      </c>
      <c r="I5179" s="25" t="str">
        <f>IF(OR(E5179="",E5179="!!!",F5179="NEW"),"",INDEX(B5178:B$2,-1+SUMPRODUCT(MAX(ROW(E5178:E$2)*(E5179=E5178:E$2)))))</f>
        <v> </v>
      </c>
      <c r="J5179" s="25" t="str">
        <f>IF(OR(E5179="",E5179="!!!",F5179="NEW"),"",COUNTBLANK(OFFSET(A$1,,,SUMPRODUCT(MAX(ROW(E$2:E5179)*(E5179=E$2:E5179)))))-COUNTBLANK(OFFSET(A$1,,,SUMPRODUCT(MAX(ROW(E$1:E5178)*(E2=E$1:E5178))))))</f>
        <v> </v>
      </c>
      <c r="K5179" s="25" t="str">
        <f>IF(OR(E5179="",E5179="!!!",F5179="NEW"),"",INDEX(J$1:J5178,SUMPRODUCT(MAX(ROW(E$1:E5178)*(E5179=E$1:E5178)))))</f>
        <v> </v>
      </c>
      <c r="L5179" s="26"/>
    </row>
    <row r="5180" spans="1:12">
      <c r="A5180" s="20" t="s">
        <v>991</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980</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1437</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999</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t="s">
        <v>1103</v>
      </c>
      <c r="E5184" s="21">
        <f>IF(D5184="?OLD","!!!","")</f>
        <v/>
      </c>
      <c r="F5184" s="22" t="str">
        <f>IF(OR(E5184="",E5184="!!!"),"",IF(NOT(ISNA(VLOOKUP(E5184,E$1:E5183,1,FALSE()))),"OLD",IF(AND(E5184&lt;&gt;"",E5184&lt;&gt;"!!!"),"NEW","")))</f>
        <v> </v>
      </c>
      <c r="G5184" s="23" t="str">
        <f>IF(OR(E5184="",E5184="!!!"),"",IF(OR(J5184=0,AND(J5184=1,K5184=1),AND(J5184=1,I5184="SBJ"),AND(J5184=1,I5184=0)),"?IN_FOCUS",IF(J5184&lt;=2,"?ACTIVATED",IF(J5184&lt;&gt;"","?FAMILIAR",IF(F5184="NEW",IF(ISNA(VLOOKUP(E5184,#REF!,1,FALSE())),"?TYPE_IDENTIFIABLE","?REFERENTIAL"),"_")))))</f>
        <v> </v>
      </c>
      <c r="H5184" s="24" t="str">
        <f>IF(J5184&lt;&gt;1,"",IF(I5184="SBJ","CB","?"))</f>
        <v> </v>
      </c>
      <c r="I5184" s="25" t="str">
        <f>IF(OR(E5184="",E5184="!!!",F5184="NEW"),"",INDEX(B5183:B$2,-1+SUMPRODUCT(MAX(ROW(E5183:E$2)*(E5184=E5183:E$2)))))</f>
        <v> </v>
      </c>
      <c r="J5184" s="25" t="str">
        <f>IF(OR(E5184="",E5184="!!!",F5184="NEW"),"",COUNTBLANK(OFFSET(A$1,,,SUMPRODUCT(MAX(ROW(E$2:E5184)*(E5184=E$2:E5184)))))-COUNTBLANK(OFFSET(A$1,,,SUMPRODUCT(MAX(ROW(E$1:E5183)*(E2=E$1:E5183))))))</f>
        <v> </v>
      </c>
      <c r="K5184" s="25" t="str">
        <f>IF(OR(E5184="",E5184="!!!",F5184="NEW"),"",INDEX(J$1:J5183,SUMPRODUCT(MAX(ROW(E$1:E5183)*(E5184=E$1:E5183)))))</f>
        <v> </v>
      </c>
      <c r="L5184" s="26"/>
    </row>
    <row r="5185" spans="1:12">
      <c r="A5185" s="20" t="s">
        <v>991</v>
      </c>
      <c r="E5185" s="21">
        <f>IF(D5185="?OLD","!!!","")</f>
        <v/>
      </c>
      <c r="F5185" s="22" t="str">
        <f>IF(OR(E5185="",E5185="!!!"),"",IF(NOT(ISNA(VLOOKUP(E5185,E$1:E5184,1,FALSE()))),"OLD",IF(AND(E5185&lt;&gt;"",E5185&lt;&gt;"!!!"),"NEW","")))</f>
        <v> </v>
      </c>
      <c r="G5185" s="23" t="str">
        <f>IF(OR(E5185="",E5185="!!!"),"",IF(OR(J5185=0,AND(J5185=1,K5185=1),AND(J5185=1,I5185="SBJ"),AND(J5185=1,I5185=0)),"?IN_FOCUS",IF(J5185&lt;=2,"?ACTIVATED",IF(J5185&lt;&gt;"","?FAMILIAR",IF(F5185="NEW",IF(ISNA(VLOOKUP(E5185,#REF!,1,FALSE())),"?TYPE_IDENTIFIABLE","?REFERENTIAL"),"_")))))</f>
        <v> </v>
      </c>
      <c r="H5185" s="24" t="str">
        <f>IF(J5185&lt;&gt;1,"",IF(I5185="SBJ","CB","?"))</f>
        <v> </v>
      </c>
      <c r="I5185" s="25" t="str">
        <f>IF(OR(E5185="",E5185="!!!",F5185="NEW"),"",INDEX(B5184:B$2,-1+SUMPRODUCT(MAX(ROW(E5184:E$2)*(E5185=E5184:E$2)))))</f>
        <v> </v>
      </c>
      <c r="J5185" s="25" t="str">
        <f>IF(OR(E5185="",E5185="!!!",F5185="NEW"),"",COUNTBLANK(OFFSET(A$1,,,SUMPRODUCT(MAX(ROW(E$2:E5185)*(E5185=E$2:E5185)))))-COUNTBLANK(OFFSET(A$1,,,SUMPRODUCT(MAX(ROW(E$1:E5184)*(E2=E$1:E5184))))))</f>
        <v> </v>
      </c>
      <c r="K5185" s="25" t="str">
        <f>IF(OR(E5185="",E5185="!!!",F5185="NEW"),"",INDEX(J$1:J5184,SUMPRODUCT(MAX(ROW(E$1:E5184)*(E5185=E$1:E5184)))))</f>
        <v> </v>
      </c>
      <c r="L5185" s="26"/>
    </row>
    <row r="5186" spans="1:12">
      <c r="A5186" s="20" t="s">
        <v>1214</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1213</v>
      </c>
      <c r="B5187" s="27" t="s">
        <v>1198</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1377</v>
      </c>
      <c r="B5188" s="27" t="s">
        <v>997</v>
      </c>
      <c r="C5188" s="27" t="s">
        <v>1001</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970</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991</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1016</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2416</v>
      </c>
      <c r="B5192" s="27" t="s">
        <v>978</v>
      </c>
      <c r="C5192" s="27" t="s">
        <v>1018</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991</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t="s">
        <v>2417</v>
      </c>
      <c r="E5194" s="21">
        <f>IF(D5194="?OLD","!!!","")</f>
        <v/>
      </c>
      <c r="F5194" s="22" t="str">
        <f>IF(OR(E5194="",E5194="!!!"),"",IF(NOT(ISNA(VLOOKUP(E5194,E$1:E5193,1,FALSE()))),"OLD",IF(AND(E5194&lt;&gt;"",E5194&lt;&gt;"!!!"),"NEW","")))</f>
        <v> </v>
      </c>
      <c r="G5194" s="23" t="str">
        <f>IF(OR(E5194="",E5194="!!!"),"",IF(OR(J5194=0,AND(J5194=1,K5194=1),AND(J5194=1,I5194="SBJ"),AND(J5194=1,I5194=0)),"?IN_FOCUS",IF(J5194&lt;=2,"?ACTIVATED",IF(J5194&lt;&gt;"","?FAMILIAR",IF(F5194="NEW",IF(ISNA(VLOOKUP(E5194,#REF!,1,FALSE())),"?TYPE_IDENTIFIABLE","?REFERENTIAL"),"_")))))</f>
        <v> </v>
      </c>
      <c r="H5194" s="24" t="str">
        <f>IF(J5194&lt;&gt;1,"",IF(I5194="SBJ","CB","?"))</f>
        <v> </v>
      </c>
      <c r="I5194" s="25" t="str">
        <f>IF(OR(E5194="",E5194="!!!",F5194="NEW"),"",INDEX(B5193:B$2,-1+SUMPRODUCT(MAX(ROW(E5193:E$2)*(E5194=E5193:E$2)))))</f>
        <v> </v>
      </c>
      <c r="J5194" s="25" t="str">
        <f>IF(OR(E5194="",E5194="!!!",F5194="NEW"),"",COUNTBLANK(OFFSET(A$1,,,SUMPRODUCT(MAX(ROW(E$2:E5194)*(E5194=E$2:E5194)))))-COUNTBLANK(OFFSET(A$1,,,SUMPRODUCT(MAX(ROW(E$1:E5193)*(E2=E$1:E5193))))))</f>
        <v> </v>
      </c>
      <c r="K5194" s="25" t="str">
        <f>IF(OR(E5194="",E5194="!!!",F5194="NEW"),"",INDEX(J$1:J5193,SUMPRODUCT(MAX(ROW(E$1:E5193)*(E5194=E$1:E5193)))))</f>
        <v> </v>
      </c>
      <c r="L5194" s="26"/>
    </row>
    <row r="5195" spans="1:12">
      <c r="A5195" s="20" t="s">
        <v>1115</v>
      </c>
      <c r="B5195" s="27" t="s">
        <v>997</v>
      </c>
      <c r="C5195" s="27" t="s">
        <v>968</v>
      </c>
      <c r="D5195" s="27" t="s">
        <v>969</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2110</v>
      </c>
      <c r="B5196" s="27" t="s">
        <v>1198</v>
      </c>
      <c r="C5196" s="27" t="s">
        <v>974</v>
      </c>
      <c r="E5196" s="21">
        <f>IF(D5196="?OLD","!!!","")</f>
        <v/>
      </c>
      <c r="F5196" s="22" t="str">
        <f>IF(OR(E5196="",E5196="!!!"),"",IF(NOT(ISNA(VLOOKUP(E5196,E$1:E5195,1,FALSE()))),"OLD",IF(AND(E5196&lt;&gt;"",E5196&lt;&gt;"!!!"),"NEW","")))</f>
        <v> </v>
      </c>
      <c r="G5196" s="23" t="str">
        <f>IF(OR(E5196="",E5196="!!!"),"",IF(OR(J5196=0,AND(J5196=1,K5196=1),AND(J5196=1,I5196="SBJ"),AND(J5196=1,I5196=0)),"?IN_FOCUS",IF(J5196&lt;=2,"?ACTIVATED",IF(J5196&lt;&gt;"","?FAMILIAR",IF(F5196="NEW",IF(ISNA(VLOOKUP(E5196,#REF!,1,FALSE())),"?TYPE_IDENTIFIABLE","?REFERENTIAL"),"_")))))</f>
        <v> </v>
      </c>
      <c r="H5196" s="24" t="str">
        <f>IF(J5196&lt;&gt;1,"",IF(I5196="SBJ","CB","?"))</f>
        <v> </v>
      </c>
      <c r="I5196" s="25" t="str">
        <f>IF(OR(E5196="",E5196="!!!",F5196="NEW"),"",INDEX(B5195:B$2,-1+SUMPRODUCT(MAX(ROW(E5195:E$2)*(E5196=E5195:E$2)))))</f>
        <v> </v>
      </c>
      <c r="J5196" s="25" t="str">
        <f>IF(OR(E5196="",E5196="!!!",F5196="NEW"),"",COUNTBLANK(OFFSET(A$1,,,SUMPRODUCT(MAX(ROW(E$2:E5196)*(E5196=E$2:E5196)))))-COUNTBLANK(OFFSET(A$1,,,SUMPRODUCT(MAX(ROW(E$1:E5195)*(E2=E$1:E5195))))))</f>
        <v> </v>
      </c>
      <c r="K5196" s="25" t="str">
        <f>IF(OR(E5196="",E5196="!!!",F5196="NEW"),"",INDEX(J$1:J5195,SUMPRODUCT(MAX(ROW(E$1:E5195)*(E5196=E$1:E5195)))))</f>
        <v> </v>
      </c>
      <c r="L5196" s="26"/>
    </row>
    <row r="5197" spans="1:12">
      <c r="A5197" s="20" t="s">
        <v>2418</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t="s">
        <v>1005</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row>
    <row r="5200" spans="1:12">
      <c r="A5200" s="20" t="s">
        <v>1060</v>
      </c>
      <c r="E5200" s="21">
        <f>IF(D5200="?OLD","!!!","")</f>
        <v/>
      </c>
      <c r="F5200" s="22" t="str">
        <f>IF(OR(E5200="",E5200="!!!"),"",IF(NOT(ISNA(VLOOKUP(E5200,E$1:E5199,1,FALSE()))),"OLD",IF(AND(E5200&lt;&gt;"",E5200&lt;&gt;"!!!"),"NEW","")))</f>
        <v> </v>
      </c>
      <c r="G5200" s="23" t="str">
        <f>IF(OR(E5200="",E5200="!!!"),"",IF(OR(J5200=0,AND(J5200=1,K5200=1),AND(J5200=1,I5200="SBJ"),AND(J5200=1,I5200=0)),"?IN_FOCUS",IF(J5200&lt;=2,"?ACTIVATED",IF(J5200&lt;&gt;"","?FAMILIAR",IF(F5200="NEW",IF(ISNA(VLOOKUP(E5200,#REF!,1,FALSE())),"?TYPE_IDENTIFIABLE","?REFERENTIAL"),"_")))))</f>
        <v> </v>
      </c>
      <c r="H5200" s="24" t="str">
        <f>IF(J5200&lt;&gt;1,"",IF(I5200="SBJ","CB","?"))</f>
        <v> </v>
      </c>
      <c r="I5200" s="25" t="str">
        <f>IF(OR(E5200="",E5200="!!!",F5200="NEW"),"",INDEX(B5199:B$2,-1+SUMPRODUCT(MAX(ROW(E5199:E$2)*(E5200=E5199:E$2)))))</f>
        <v> </v>
      </c>
      <c r="J5200" s="25" t="str">
        <f>IF(OR(E5200="",E5200="!!!",F5200="NEW"),"",COUNTBLANK(OFFSET(A$1,,,SUMPRODUCT(MAX(ROW(E$2:E5200)*(E5200=E$2:E5200)))))-COUNTBLANK(OFFSET(A$1,,,SUMPRODUCT(MAX(ROW(E$1:E5199)*(E2=E$1:E5199))))))</f>
        <v> </v>
      </c>
      <c r="K5200" s="25" t="str">
        <f>IF(OR(E5200="",E5200="!!!",F5200="NEW"),"",INDEX(J$1:J5199,SUMPRODUCT(MAX(ROW(E$1:E5199)*(E5200=E$1:E5199)))))</f>
        <v> </v>
      </c>
      <c r="L5200" s="26"/>
    </row>
    <row r="5201" spans="1:12">
      <c r="A5201" s="20" t="s">
        <v>2419</v>
      </c>
    </row>
    <row r="5202" spans="1:12">
      <c r="A5202" s="20" t="s">
        <v>966</v>
      </c>
      <c r="B5202" s="27" t="s">
        <v>967</v>
      </c>
      <c r="C5202" s="27" t="s">
        <v>968</v>
      </c>
      <c r="D5202" s="27" t="s">
        <v>969</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t="s">
        <v>1411</v>
      </c>
      <c r="E5203" s="21">
        <f>IF(D5203="?OLD","!!!","")</f>
        <v/>
      </c>
      <c r="F5203" s="22" t="str">
        <f>IF(OR(E5203="",E5203="!!!"),"",IF(NOT(ISNA(VLOOKUP(E5203,E$1:E5202,1,FALSE()))),"OLD",IF(AND(E5203&lt;&gt;"",E5203&lt;&gt;"!!!"),"NEW","")))</f>
        <v> </v>
      </c>
      <c r="G5203" s="23" t="str">
        <f>IF(OR(E5203="",E5203="!!!"),"",IF(OR(J5203=0,AND(J5203=1,K5203=1),AND(J5203=1,I5203="SBJ"),AND(J5203=1,I5203=0)),"?IN_FOCUS",IF(J5203&lt;=2,"?ACTIVATED",IF(J5203&lt;&gt;"","?FAMILIAR",IF(F5203="NEW",IF(ISNA(VLOOKUP(E5203,#REF!,1,FALSE())),"?TYPE_IDENTIFIABLE","?REFERENTIAL"),"_")))))</f>
        <v> </v>
      </c>
      <c r="H5203" s="24" t="str">
        <f>IF(J5203&lt;&gt;1,"",IF(I5203="SBJ","CB","?"))</f>
        <v> </v>
      </c>
      <c r="I5203" s="25" t="str">
        <f>IF(OR(E5203="",E5203="!!!",F5203="NEW"),"",INDEX(B5202:B$2,-1+SUMPRODUCT(MAX(ROW(E5202:E$2)*(E5203=E5202:E$2)))))</f>
        <v> </v>
      </c>
      <c r="J5203" s="25" t="str">
        <f>IF(OR(E5203="",E5203="!!!",F5203="NEW"),"",COUNTBLANK(OFFSET(A$1,,,SUMPRODUCT(MAX(ROW(E$2:E5203)*(E5203=E$2:E5203)))))-COUNTBLANK(OFFSET(A$1,,,SUMPRODUCT(MAX(ROW(E$1:E5202)*(E2=E$1:E5202))))))</f>
        <v> </v>
      </c>
      <c r="K5203" s="25" t="str">
        <f>IF(OR(E5203="",E5203="!!!",F5203="NEW"),"",INDEX(J$1:J5202,SUMPRODUCT(MAX(ROW(E$1:E5202)*(E5203=E$1:E5202)))))</f>
        <v> </v>
      </c>
      <c r="L5203" s="26"/>
    </row>
    <row r="5204" spans="1:12">
      <c r="A5204" s="20" t="s">
        <v>1770</v>
      </c>
      <c r="E5204" s="21">
        <f>IF(D5204="?OLD","!!!","")</f>
        <v/>
      </c>
      <c r="F5204" s="22" t="str">
        <f>IF(OR(E5204="",E5204="!!!"),"",IF(NOT(ISNA(VLOOKUP(E5204,E$1:E5203,1,FALSE()))),"OLD",IF(AND(E5204&lt;&gt;"",E5204&lt;&gt;"!!!"),"NEW","")))</f>
        <v> </v>
      </c>
      <c r="G5204" s="23" t="str">
        <f>IF(OR(E5204="",E5204="!!!"),"",IF(OR(J5204=0,AND(J5204=1,K5204=1),AND(J5204=1,I5204="SBJ"),AND(J5204=1,I5204=0)),"?IN_FOCUS",IF(J5204&lt;=2,"?ACTIVATED",IF(J5204&lt;&gt;"","?FAMILIAR",IF(F5204="NEW",IF(ISNA(VLOOKUP(E5204,#REF!,1,FALSE())),"?TYPE_IDENTIFIABLE","?REFERENTIAL"),"_")))))</f>
        <v> </v>
      </c>
      <c r="H5204" s="24" t="str">
        <f>IF(J5204&lt;&gt;1,"",IF(I5204="SBJ","CB","?"))</f>
        <v> </v>
      </c>
      <c r="I5204" s="25" t="str">
        <f>IF(OR(E5204="",E5204="!!!",F5204="NEW"),"",INDEX(B5203:B$2,-1+SUMPRODUCT(MAX(ROW(E5203:E$2)*(E5204=E5203:E$2)))))</f>
        <v> </v>
      </c>
      <c r="J5204" s="25" t="str">
        <f>IF(OR(E5204="",E5204="!!!",F5204="NEW"),"",COUNTBLANK(OFFSET(A$1,,,SUMPRODUCT(MAX(ROW(E$2:E5204)*(E5204=E$2:E5204)))))-COUNTBLANK(OFFSET(A$1,,,SUMPRODUCT(MAX(ROW(E$1:E5203)*(E2=E$1:E5203))))))</f>
        <v> </v>
      </c>
      <c r="K5204" s="25" t="str">
        <f>IF(OR(E5204="",E5204="!!!",F5204="NEW"),"",INDEX(J$1:J5203,SUMPRODUCT(MAX(ROW(E$1:E5203)*(E5204=E$1:E5203)))))</f>
        <v> </v>
      </c>
      <c r="L5204" s="26"/>
    </row>
    <row r="5205" spans="1:12">
      <c r="A5205" s="20" t="s">
        <v>1194</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t="s">
        <v>965</v>
      </c>
      <c r="E5206" s="21">
        <f>IF(D5206="?OLD","!!!","")</f>
        <v/>
      </c>
      <c r="F5206" s="22" t="str">
        <f>IF(OR(E5206="",E5206="!!!"),"",IF(NOT(ISNA(VLOOKUP(E5206,E$1:E5205,1,FALSE()))),"OLD",IF(AND(E5206&lt;&gt;"",E5206&lt;&gt;"!!!"),"NEW","")))</f>
        <v> </v>
      </c>
      <c r="G5206" s="23" t="str">
        <f>IF(OR(E5206="",E5206="!!!"),"",IF(OR(J5206=0,AND(J5206=1,K5206=1),AND(J5206=1,I5206="SBJ"),AND(J5206=1,I5206=0)),"?IN_FOCUS",IF(J5206&lt;=2,"?ACTIVATED",IF(J5206&lt;&gt;"","?FAMILIAR",IF(F5206="NEW",IF(ISNA(VLOOKUP(E5206,#REF!,1,FALSE())),"?TYPE_IDENTIFIABLE","?REFERENTIAL"),"_")))))</f>
        <v> </v>
      </c>
      <c r="H5206" s="24" t="str">
        <f>IF(J5206&lt;&gt;1,"",IF(I5206="SBJ","CB","?"))</f>
        <v> </v>
      </c>
      <c r="I5206" s="25" t="str">
        <f>IF(OR(E5206="",E5206="!!!",F5206="NEW"),"",INDEX(B5205:B$2,-1+SUMPRODUCT(MAX(ROW(E5205:E$2)*(E5206=E5205:E$2)))))</f>
        <v> </v>
      </c>
      <c r="J5206" s="25" t="str">
        <f>IF(OR(E5206="",E5206="!!!",F5206="NEW"),"",COUNTBLANK(OFFSET(A$1,,,SUMPRODUCT(MAX(ROW(E$2:E5206)*(E5206=E$2:E5206)))))-COUNTBLANK(OFFSET(A$1,,,SUMPRODUCT(MAX(ROW(E$1:E5205)*(E2=E$1:E5205))))))</f>
        <v> </v>
      </c>
      <c r="K5206" s="25" t="str">
        <f>IF(OR(E5206="",E5206="!!!",F5206="NEW"),"",INDEX(J$1:J5205,SUMPRODUCT(MAX(ROW(E$1:E5205)*(E5206=E$1:E5205)))))</f>
        <v> </v>
      </c>
      <c r="L5206" s="26"/>
    </row>
    <row r="5207" spans="1:12">
      <c r="A5207" s="20" t="s">
        <v>1420</v>
      </c>
      <c r="E5207" s="21">
        <f>IF(D5207="?OLD","!!!","")</f>
        <v/>
      </c>
      <c r="F5207" s="22" t="str">
        <f>IF(OR(E5207="",E5207="!!!"),"",IF(NOT(ISNA(VLOOKUP(E5207,E$1:E5206,1,FALSE()))),"OLD",IF(AND(E5207&lt;&gt;"",E5207&lt;&gt;"!!!"),"NEW","")))</f>
        <v> </v>
      </c>
      <c r="G5207" s="23" t="str">
        <f>IF(OR(E5207="",E5207="!!!"),"",IF(OR(J5207=0,AND(J5207=1,K5207=1),AND(J5207=1,I5207="SBJ"),AND(J5207=1,I5207=0)),"?IN_FOCUS",IF(J5207&lt;=2,"?ACTIVATED",IF(J5207&lt;&gt;"","?FAMILIAR",IF(F5207="NEW",IF(ISNA(VLOOKUP(E5207,#REF!,1,FALSE())),"?TYPE_IDENTIFIABLE","?REFERENTIAL"),"_")))))</f>
        <v> </v>
      </c>
      <c r="H5207" s="24" t="str">
        <f>IF(J5207&lt;&gt;1,"",IF(I5207="SBJ","CB","?"))</f>
        <v> </v>
      </c>
      <c r="I5207" s="25" t="str">
        <f>IF(OR(E5207="",E5207="!!!",F5207="NEW"),"",INDEX(B5206:B$2,-1+SUMPRODUCT(MAX(ROW(E5206:E$2)*(E5207=E5206:E$2)))))</f>
        <v> </v>
      </c>
      <c r="J5207" s="25" t="str">
        <f>IF(OR(E5207="",E5207="!!!",F5207="NEW"),"",COUNTBLANK(OFFSET(A$1,,,SUMPRODUCT(MAX(ROW(E$2:E5207)*(E5207=E$2:E5207)))))-COUNTBLANK(OFFSET(A$1,,,SUMPRODUCT(MAX(ROW(E$1:E5206)*(E2=E$1:E5206))))))</f>
        <v> </v>
      </c>
      <c r="K5207" s="25" t="str">
        <f>IF(OR(E5207="",E5207="!!!",F5207="NEW"),"",INDEX(J$1:J5206,SUMPRODUCT(MAX(ROW(E$1:E5206)*(E5207=E$1:E5206)))))</f>
        <v> </v>
      </c>
      <c r="L5207" s="26"/>
    </row>
    <row r="5208" spans="1:12">
      <c r="A5208" s="20" t="s">
        <v>1086</v>
      </c>
      <c r="B5208" s="27" t="s">
        <v>1010</v>
      </c>
      <c r="C5208" s="27" t="s">
        <v>968</v>
      </c>
      <c r="D5208" s="27" t="s">
        <v>969</v>
      </c>
      <c r="E5208" s="21">
        <f>IF(D5208="?OLD","!!!","")</f>
        <v/>
      </c>
      <c r="F5208" s="22" t="str">
        <f>IF(OR(E5208="",E5208="!!!"),"",IF(NOT(ISNA(VLOOKUP(E5208,E$1:E5207,1,FALSE()))),"OLD",IF(AND(E5208&lt;&gt;"",E5208&lt;&gt;"!!!"),"NEW","")))</f>
        <v> </v>
      </c>
      <c r="G5208" s="23" t="str">
        <f>IF(OR(E5208="",E5208="!!!"),"",IF(OR(J5208=0,AND(J5208=1,K5208=1),AND(J5208=1,I5208="SBJ"),AND(J5208=1,I5208=0)),"?IN_FOCUS",IF(J5208&lt;=2,"?ACTIVATED",IF(J5208&lt;&gt;"","?FAMILIAR",IF(F5208="NEW",IF(ISNA(VLOOKUP(E5208,#REF!,1,FALSE())),"?TYPE_IDENTIFIABLE","?REFERENTIAL"),"_")))))</f>
        <v> </v>
      </c>
      <c r="H5208" s="24" t="str">
        <f>IF(J5208&lt;&gt;1,"",IF(I5208="SBJ","CB","?"))</f>
        <v> </v>
      </c>
      <c r="I5208" s="25" t="str">
        <f>IF(OR(E5208="",E5208="!!!",F5208="NEW"),"",INDEX(B5207:B$2,-1+SUMPRODUCT(MAX(ROW(E5207:E$2)*(E5208=E5207:E$2)))))</f>
        <v> </v>
      </c>
      <c r="J5208" s="25" t="str">
        <f>IF(OR(E5208="",E5208="!!!",F5208="NEW"),"",COUNTBLANK(OFFSET(A$1,,,SUMPRODUCT(MAX(ROW(E$2:E5208)*(E5208=E$2:E5208)))))-COUNTBLANK(OFFSET(A$1,,,SUMPRODUCT(MAX(ROW(E$1:E5207)*(E2=E$1:E5207))))))</f>
        <v> </v>
      </c>
      <c r="K5208" s="25" t="str">
        <f>IF(OR(E5208="",E5208="!!!",F5208="NEW"),"",INDEX(J$1:J5207,SUMPRODUCT(MAX(ROW(E$1:E5207)*(E5208=E$1:E5207)))))</f>
        <v> </v>
      </c>
      <c r="L5208" s="26"/>
    </row>
    <row r="5209" spans="1:12">
      <c r="A5209" s="20" t="s">
        <v>1037</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2420</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t="s">
        <v>1508</v>
      </c>
      <c r="B5211" s="27" t="s">
        <v>978</v>
      </c>
      <c r="C5211" s="27" t="s">
        <v>974</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2421</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t="s">
        <v>1373</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t="s">
        <v>965</v>
      </c>
      <c r="E5214" s="21">
        <f>IF(D5214="?OLD","!!!","")</f>
        <v/>
      </c>
      <c r="F5214" s="22" t="str">
        <f>IF(OR(E5214="",E5214="!!!"),"",IF(NOT(ISNA(VLOOKUP(E5214,E$1:E5213,1,FALSE()))),"OLD",IF(AND(E5214&lt;&gt;"",E5214&lt;&gt;"!!!"),"NEW","")))</f>
        <v> </v>
      </c>
      <c r="G5214" s="23" t="str">
        <f>IF(OR(E5214="",E5214="!!!"),"",IF(OR(J5214=0,AND(J5214=1,K5214=1),AND(J5214=1,I5214="SBJ"),AND(J5214=1,I5214=0)),"?IN_FOCUS",IF(J5214&lt;=2,"?ACTIVATED",IF(J5214&lt;&gt;"","?FAMILIAR",IF(F5214="NEW",IF(ISNA(VLOOKUP(E5214,#REF!,1,FALSE())),"?TYPE_IDENTIFIABLE","?REFERENTIAL"),"_")))))</f>
        <v> </v>
      </c>
      <c r="H5214" s="24" t="str">
        <f>IF(J5214&lt;&gt;1,"",IF(I5214="SBJ","CB","?"))</f>
        <v> </v>
      </c>
      <c r="I5214" s="25" t="str">
        <f>IF(OR(E5214="",E5214="!!!",F5214="NEW"),"",INDEX(B5213:B$2,-1+SUMPRODUCT(MAX(ROW(E5213:E$2)*(E5214=E5213:E$2)))))</f>
        <v> </v>
      </c>
      <c r="J5214" s="25" t="str">
        <f>IF(OR(E5214="",E5214="!!!",F5214="NEW"),"",COUNTBLANK(OFFSET(A$1,,,SUMPRODUCT(MAX(ROW(E$2:E5214)*(E5214=E$2:E5214)))))-COUNTBLANK(OFFSET(A$1,,,SUMPRODUCT(MAX(ROW(E$1:E5213)*(E2=E$1:E5213))))))</f>
        <v> </v>
      </c>
      <c r="K5214" s="25" t="str">
        <f>IF(OR(E5214="",E5214="!!!",F5214="NEW"),"",INDEX(J$1:J5213,SUMPRODUCT(MAX(ROW(E$1:E5213)*(E5214=E$1:E5213)))))</f>
        <v> </v>
      </c>
      <c r="L5214" s="26"/>
    </row>
    <row r="5215" spans="1:12">
      <c r="A5215" s="20"/>
    </row>
    <row r="5216" spans="1:12">
      <c r="A5216" s="20" t="s">
        <v>2422</v>
      </c>
    </row>
    <row r="5217" spans="1:12">
      <c r="A5217" s="20" t="s">
        <v>966</v>
      </c>
      <c r="B5217" s="27" t="s">
        <v>967</v>
      </c>
      <c r="C5217" s="27" t="s">
        <v>968</v>
      </c>
      <c r="D5217" s="27" t="s">
        <v>969</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t="s">
        <v>1990</v>
      </c>
      <c r="E5218" s="21">
        <f>IF(D5218="?OLD","!!!","")</f>
        <v/>
      </c>
      <c r="F5218" s="22" t="str">
        <f>IF(OR(E5218="",E5218="!!!"),"",IF(NOT(ISNA(VLOOKUP(E5218,E$1:E5217,1,FALSE()))),"OLD",IF(AND(E5218&lt;&gt;"",E5218&lt;&gt;"!!!"),"NEW","")))</f>
        <v> </v>
      </c>
      <c r="G5218" s="23" t="str">
        <f>IF(OR(E5218="",E5218="!!!"),"",IF(OR(J5218=0,AND(J5218=1,K5218=1),AND(J5218=1,I5218="SBJ"),AND(J5218=1,I5218=0)),"?IN_FOCUS",IF(J5218&lt;=2,"?ACTIVATED",IF(J5218&lt;&gt;"","?FAMILIAR",IF(F5218="NEW",IF(ISNA(VLOOKUP(E5218,#REF!,1,FALSE())),"?TYPE_IDENTIFIABLE","?REFERENTIAL"),"_")))))</f>
        <v> </v>
      </c>
      <c r="H5218" s="24" t="str">
        <f>IF(J5218&lt;&gt;1,"",IF(I5218="SBJ","CB","?"))</f>
        <v> </v>
      </c>
      <c r="I5218" s="25" t="str">
        <f>IF(OR(E5218="",E5218="!!!",F5218="NEW"),"",INDEX(B5217:B$2,-1+SUMPRODUCT(MAX(ROW(E5217:E$2)*(E5218=E5217:E$2)))))</f>
        <v> </v>
      </c>
      <c r="J5218" s="25" t="str">
        <f>IF(OR(E5218="",E5218="!!!",F5218="NEW"),"",COUNTBLANK(OFFSET(A$1,,,SUMPRODUCT(MAX(ROW(E$2:E5218)*(E5218=E$2:E5218)))))-COUNTBLANK(OFFSET(A$1,,,SUMPRODUCT(MAX(ROW(E$1:E5217)*(E2=E$1:E5217))))))</f>
        <v> </v>
      </c>
      <c r="K5218" s="25" t="str">
        <f>IF(OR(E5218="",E5218="!!!",F5218="NEW"),"",INDEX(J$1:J5217,SUMPRODUCT(MAX(ROW(E$1:E5217)*(E5218=E$1:E5217)))))</f>
        <v> </v>
      </c>
      <c r="L5218" s="26"/>
    </row>
    <row r="5219" spans="1:12">
      <c r="A5219" s="20" t="s">
        <v>991</v>
      </c>
      <c r="E5219" s="21">
        <f>IF(D5219="?OLD","!!!","")</f>
        <v/>
      </c>
      <c r="F5219" s="22" t="str">
        <f>IF(OR(E5219="",E5219="!!!"),"",IF(NOT(ISNA(VLOOKUP(E5219,E$1:E5218,1,FALSE()))),"OLD",IF(AND(E5219&lt;&gt;"",E5219&lt;&gt;"!!!"),"NEW","")))</f>
        <v> </v>
      </c>
      <c r="G5219" s="23" t="str">
        <f>IF(OR(E5219="",E5219="!!!"),"",IF(OR(J5219=0,AND(J5219=1,K5219=1),AND(J5219=1,I5219="SBJ"),AND(J5219=1,I5219=0)),"?IN_FOCUS",IF(J5219&lt;=2,"?ACTIVATED",IF(J5219&lt;&gt;"","?FAMILIAR",IF(F5219="NEW",IF(ISNA(VLOOKUP(E5219,#REF!,1,FALSE())),"?TYPE_IDENTIFIABLE","?REFERENTIAL"),"_")))))</f>
        <v> </v>
      </c>
      <c r="H5219" s="24" t="str">
        <f>IF(J5219&lt;&gt;1,"",IF(I5219="SBJ","CB","?"))</f>
        <v> </v>
      </c>
      <c r="I5219" s="25" t="str">
        <f>IF(OR(E5219="",E5219="!!!",F5219="NEW"),"",INDEX(B5218:B$2,-1+SUMPRODUCT(MAX(ROW(E5218:E$2)*(E5219=E5218:E$2)))))</f>
        <v> </v>
      </c>
      <c r="J5219" s="25" t="str">
        <f>IF(OR(E5219="",E5219="!!!",F5219="NEW"),"",COUNTBLANK(OFFSET(A$1,,,SUMPRODUCT(MAX(ROW(E$2:E5219)*(E5219=E$2:E5219)))))-COUNTBLANK(OFFSET(A$1,,,SUMPRODUCT(MAX(ROW(E$1:E5218)*(E2=E$1:E5218))))))</f>
        <v> </v>
      </c>
      <c r="K5219" s="25" t="str">
        <f>IF(OR(E5219="",E5219="!!!",F5219="NEW"),"",INDEX(J$1:J5218,SUMPRODUCT(MAX(ROW(E$1:E5218)*(E5219=E$1:E5218)))))</f>
        <v> </v>
      </c>
      <c r="L5219" s="26"/>
    </row>
    <row r="5220" spans="1:12">
      <c r="A5220" s="20" t="s">
        <v>996</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t="s">
        <v>1086</v>
      </c>
      <c r="B5221" s="27" t="s">
        <v>1010</v>
      </c>
      <c r="C5221" s="27" t="s">
        <v>968</v>
      </c>
      <c r="D5221" s="27" t="s">
        <v>969</v>
      </c>
      <c r="E5221" s="21">
        <f>IF(D5221="?OLD","!!!","")</f>
        <v/>
      </c>
      <c r="F5221" s="22" t="str">
        <f>IF(OR(E5221="",E5221="!!!"),"",IF(NOT(ISNA(VLOOKUP(E5221,E$1:E5220,1,FALSE()))),"OLD",IF(AND(E5221&lt;&gt;"",E5221&lt;&gt;"!!!"),"NEW","")))</f>
        <v> </v>
      </c>
      <c r="G5221" s="23" t="str">
        <f>IF(OR(E5221="",E5221="!!!"),"",IF(OR(J5221=0,AND(J5221=1,K5221=1),AND(J5221=1,I5221="SBJ"),AND(J5221=1,I5221=0)),"?IN_FOCUS",IF(J5221&lt;=2,"?ACTIVATED",IF(J5221&lt;&gt;"","?FAMILIAR",IF(F5221="NEW",IF(ISNA(VLOOKUP(E5221,#REF!,1,FALSE())),"?TYPE_IDENTIFIABLE","?REFERENTIAL"),"_")))))</f>
        <v> </v>
      </c>
      <c r="H5221" s="24" t="str">
        <f>IF(J5221&lt;&gt;1,"",IF(I5221="SBJ","CB","?"))</f>
        <v> </v>
      </c>
      <c r="I5221" s="25" t="str">
        <f>IF(OR(E5221="",E5221="!!!",F5221="NEW"),"",INDEX(B5220:B$2,-1+SUMPRODUCT(MAX(ROW(E5220:E$2)*(E5221=E5220:E$2)))))</f>
        <v> </v>
      </c>
      <c r="J5221" s="25" t="str">
        <f>IF(OR(E5221="",E5221="!!!",F5221="NEW"),"",COUNTBLANK(OFFSET(A$1,,,SUMPRODUCT(MAX(ROW(E$2:E5221)*(E5221=E$2:E5221)))))-COUNTBLANK(OFFSET(A$1,,,SUMPRODUCT(MAX(ROW(E$1:E5220)*(E2=E$1:E5220))))))</f>
        <v> </v>
      </c>
      <c r="K5221" s="25" t="str">
        <f>IF(OR(E5221="",E5221="!!!",F5221="NEW"),"",INDEX(J$1:J5220,SUMPRODUCT(MAX(ROW(E$1:E5220)*(E5221=E$1:E5220)))))</f>
        <v> </v>
      </c>
      <c r="L5221" s="26"/>
    </row>
    <row r="5222" spans="1:12">
      <c r="A5222" s="20" t="s">
        <v>2423</v>
      </c>
      <c r="E5222" s="21">
        <f>IF(D5222="?OLD","!!!","")</f>
        <v/>
      </c>
      <c r="F5222" s="22" t="str">
        <f>IF(OR(E5222="",E5222="!!!"),"",IF(NOT(ISNA(VLOOKUP(E5222,E$1:E5221,1,FALSE()))),"OLD",IF(AND(E5222&lt;&gt;"",E5222&lt;&gt;"!!!"),"NEW","")))</f>
        <v> </v>
      </c>
      <c r="G5222" s="23" t="str">
        <f>IF(OR(E5222="",E5222="!!!"),"",IF(OR(J5222=0,AND(J5222=1,K5222=1),AND(J5222=1,I5222="SBJ"),AND(J5222=1,I5222=0)),"?IN_FOCUS",IF(J5222&lt;=2,"?ACTIVATED",IF(J5222&lt;&gt;"","?FAMILIAR",IF(F5222="NEW",IF(ISNA(VLOOKUP(E5222,#REF!,1,FALSE())),"?TYPE_IDENTIFIABLE","?REFERENTIAL"),"_")))))</f>
        <v> </v>
      </c>
      <c r="H5222" s="24" t="str">
        <f>IF(J5222&lt;&gt;1,"",IF(I5222="SBJ","CB","?"))</f>
        <v> </v>
      </c>
      <c r="I5222" s="25" t="str">
        <f>IF(OR(E5222="",E5222="!!!",F5222="NEW"),"",INDEX(B5221:B$2,-1+SUMPRODUCT(MAX(ROW(E5221:E$2)*(E5222=E5221:E$2)))))</f>
        <v> </v>
      </c>
      <c r="J5222" s="25" t="str">
        <f>IF(OR(E5222="",E5222="!!!",F5222="NEW"),"",COUNTBLANK(OFFSET(A$1,,,SUMPRODUCT(MAX(ROW(E$2:E5222)*(E5222=E$2:E5222)))))-COUNTBLANK(OFFSET(A$1,,,SUMPRODUCT(MAX(ROW(E$1:E5221)*(E2=E$1:E5221))))))</f>
        <v> </v>
      </c>
      <c r="K5222" s="25" t="str">
        <f>IF(OR(E5222="",E5222="!!!",F5222="NEW"),"",INDEX(J$1:J5221,SUMPRODUCT(MAX(ROW(E$1:E5221)*(E5222=E$1:E5221)))))</f>
        <v> </v>
      </c>
      <c r="L5222" s="26"/>
    </row>
    <row r="5223" spans="1:12">
      <c r="A5223" s="20" t="s">
        <v>1037</v>
      </c>
      <c r="E5223" s="21">
        <f>IF(D5223="?OLD","!!!","")</f>
        <v/>
      </c>
      <c r="F5223" s="22" t="str">
        <f>IF(OR(E5223="",E5223="!!!"),"",IF(NOT(ISNA(VLOOKUP(E5223,E$1:E5222,1,FALSE()))),"OLD",IF(AND(E5223&lt;&gt;"",E5223&lt;&gt;"!!!"),"NEW","")))</f>
        <v> </v>
      </c>
      <c r="G5223" s="23" t="str">
        <f>IF(OR(E5223="",E5223="!!!"),"",IF(OR(J5223=0,AND(J5223=1,K5223=1),AND(J5223=1,I5223="SBJ"),AND(J5223=1,I5223=0)),"?IN_FOCUS",IF(J5223&lt;=2,"?ACTIVATED",IF(J5223&lt;&gt;"","?FAMILIAR",IF(F5223="NEW",IF(ISNA(VLOOKUP(E5223,#REF!,1,FALSE())),"?TYPE_IDENTIFIABLE","?REFERENTIAL"),"_")))))</f>
        <v> </v>
      </c>
      <c r="H5223" s="24" t="str">
        <f>IF(J5223&lt;&gt;1,"",IF(I5223="SBJ","CB","?"))</f>
        <v> </v>
      </c>
      <c r="I5223" s="25" t="str">
        <f>IF(OR(E5223="",E5223="!!!",F5223="NEW"),"",INDEX(B5222:B$2,-1+SUMPRODUCT(MAX(ROW(E5222:E$2)*(E5223=E5222:E$2)))))</f>
        <v> </v>
      </c>
      <c r="J5223" s="25" t="str">
        <f>IF(OR(E5223="",E5223="!!!",F5223="NEW"),"",COUNTBLANK(OFFSET(A$1,,,SUMPRODUCT(MAX(ROW(E$2:E5223)*(E5223=E$2:E5223)))))-COUNTBLANK(OFFSET(A$1,,,SUMPRODUCT(MAX(ROW(E$1:E5222)*(E2=E$1:E5222))))))</f>
        <v> </v>
      </c>
      <c r="K5223" s="25" t="str">
        <f>IF(OR(E5223="",E5223="!!!",F5223="NEW"),"",INDEX(J$1:J5222,SUMPRODUCT(MAX(ROW(E$1:E5222)*(E5223=E$1:E5222)))))</f>
        <v> </v>
      </c>
      <c r="L5223" s="26"/>
    </row>
    <row r="5224" spans="1:12">
      <c r="A5224" s="20" t="s">
        <v>2420</v>
      </c>
      <c r="E5224" s="21">
        <f>IF(D5224="?OLD","!!!","")</f>
        <v/>
      </c>
      <c r="F5224" s="22" t="str">
        <f>IF(OR(E5224="",E5224="!!!"),"",IF(NOT(ISNA(VLOOKUP(E5224,E$1:E5223,1,FALSE()))),"OLD",IF(AND(E5224&lt;&gt;"",E5224&lt;&gt;"!!!"),"NEW","")))</f>
        <v> </v>
      </c>
      <c r="G5224" s="23" t="str">
        <f>IF(OR(E5224="",E5224="!!!"),"",IF(OR(J5224=0,AND(J5224=1,K5224=1),AND(J5224=1,I5224="SBJ"),AND(J5224=1,I5224=0)),"?IN_FOCUS",IF(J5224&lt;=2,"?ACTIVATED",IF(J5224&lt;&gt;"","?FAMILIAR",IF(F5224="NEW",IF(ISNA(VLOOKUP(E5224,#REF!,1,FALSE())),"?TYPE_IDENTIFIABLE","?REFERENTIAL"),"_")))))</f>
        <v> </v>
      </c>
      <c r="H5224" s="24" t="str">
        <f>IF(J5224&lt;&gt;1,"",IF(I5224="SBJ","CB","?"))</f>
        <v> </v>
      </c>
      <c r="I5224" s="25" t="str">
        <f>IF(OR(E5224="",E5224="!!!",F5224="NEW"),"",INDEX(B5223:B$2,-1+SUMPRODUCT(MAX(ROW(E5223:E$2)*(E5224=E5223:E$2)))))</f>
        <v> </v>
      </c>
      <c r="J5224" s="25" t="str">
        <f>IF(OR(E5224="",E5224="!!!",F5224="NEW"),"",COUNTBLANK(OFFSET(A$1,,,SUMPRODUCT(MAX(ROW(E$2:E5224)*(E5224=E$2:E5224)))))-COUNTBLANK(OFFSET(A$1,,,SUMPRODUCT(MAX(ROW(E$1:E5223)*(E2=E$1:E5223))))))</f>
        <v> </v>
      </c>
      <c r="K5224" s="25" t="str">
        <f>IF(OR(E5224="",E5224="!!!",F5224="NEW"),"",INDEX(J$1:J5223,SUMPRODUCT(MAX(ROW(E$1:E5223)*(E5224=E$1:E5223)))))</f>
        <v> </v>
      </c>
      <c r="L5224" s="26"/>
    </row>
    <row r="5225" spans="1:12">
      <c r="A5225" s="20" t="s">
        <v>1508</v>
      </c>
      <c r="B5225" s="27" t="s">
        <v>978</v>
      </c>
      <c r="C5225" s="27" t="s">
        <v>974</v>
      </c>
      <c r="E5225" s="21">
        <f>IF(D5225="?OLD","!!!","")</f>
        <v/>
      </c>
      <c r="F5225" s="22" t="str">
        <f>IF(OR(E5225="",E5225="!!!"),"",IF(NOT(ISNA(VLOOKUP(E5225,E$1:E5224,1,FALSE()))),"OLD",IF(AND(E5225&lt;&gt;"",E5225&lt;&gt;"!!!"),"NEW","")))</f>
        <v> </v>
      </c>
      <c r="G5225" s="23" t="str">
        <f>IF(OR(E5225="",E5225="!!!"),"",IF(OR(J5225=0,AND(J5225=1,K5225=1),AND(J5225=1,I5225="SBJ"),AND(J5225=1,I5225=0)),"?IN_FOCUS",IF(J5225&lt;=2,"?ACTIVATED",IF(J5225&lt;&gt;"","?FAMILIAR",IF(F5225="NEW",IF(ISNA(VLOOKUP(E5225,#REF!,1,FALSE())),"?TYPE_IDENTIFIABLE","?REFERENTIAL"),"_")))))</f>
        <v> </v>
      </c>
      <c r="H5225" s="24" t="str">
        <f>IF(J5225&lt;&gt;1,"",IF(I5225="SBJ","CB","?"))</f>
        <v> </v>
      </c>
      <c r="I5225" s="25" t="str">
        <f>IF(OR(E5225="",E5225="!!!",F5225="NEW"),"",INDEX(B5224:B$2,-1+SUMPRODUCT(MAX(ROW(E5224:E$2)*(E5225=E5224:E$2)))))</f>
        <v> </v>
      </c>
      <c r="J5225" s="25" t="str">
        <f>IF(OR(E5225="",E5225="!!!",F5225="NEW"),"",COUNTBLANK(OFFSET(A$1,,,SUMPRODUCT(MAX(ROW(E$2:E5225)*(E5225=E$2:E5225)))))-COUNTBLANK(OFFSET(A$1,,,SUMPRODUCT(MAX(ROW(E$1:E5224)*(E2=E$1:E5224))))))</f>
        <v> </v>
      </c>
      <c r="K5225" s="25" t="str">
        <f>IF(OR(E5225="",E5225="!!!",F5225="NEW"),"",INDEX(J$1:J5224,SUMPRODUCT(MAX(ROW(E$1:E5224)*(E5225=E$1:E5224)))))</f>
        <v> </v>
      </c>
      <c r="L5225" s="26"/>
    </row>
    <row r="5226" spans="1:12">
      <c r="A5226" s="20" t="s">
        <v>2421</v>
      </c>
      <c r="E5226" s="21">
        <f>IF(D5226="?OLD","!!!","")</f>
        <v/>
      </c>
      <c r="F5226" s="22" t="str">
        <f>IF(OR(E5226="",E5226="!!!"),"",IF(NOT(ISNA(VLOOKUP(E5226,E$1:E5225,1,FALSE()))),"OLD",IF(AND(E5226&lt;&gt;"",E5226&lt;&gt;"!!!"),"NEW","")))</f>
        <v> </v>
      </c>
      <c r="G5226" s="23" t="str">
        <f>IF(OR(E5226="",E5226="!!!"),"",IF(OR(J5226=0,AND(J5226=1,K5226=1),AND(J5226=1,I5226="SBJ"),AND(J5226=1,I5226=0)),"?IN_FOCUS",IF(J5226&lt;=2,"?ACTIVATED",IF(J5226&lt;&gt;"","?FAMILIAR",IF(F5226="NEW",IF(ISNA(VLOOKUP(E5226,#REF!,1,FALSE())),"?TYPE_IDENTIFIABLE","?REFERENTIAL"),"_")))))</f>
        <v> </v>
      </c>
      <c r="H5226" s="24" t="str">
        <f>IF(J5226&lt;&gt;1,"",IF(I5226="SBJ","CB","?"))</f>
        <v> </v>
      </c>
      <c r="I5226" s="25" t="str">
        <f>IF(OR(E5226="",E5226="!!!",F5226="NEW"),"",INDEX(B5225:B$2,-1+SUMPRODUCT(MAX(ROW(E5225:E$2)*(E5226=E5225:E$2)))))</f>
        <v> </v>
      </c>
      <c r="J5226" s="25" t="str">
        <f>IF(OR(E5226="",E5226="!!!",F5226="NEW"),"",COUNTBLANK(OFFSET(A$1,,,SUMPRODUCT(MAX(ROW(E$2:E5226)*(E5226=E$2:E5226)))))-COUNTBLANK(OFFSET(A$1,,,SUMPRODUCT(MAX(ROW(E$1:E5225)*(E2=E$1:E5225))))))</f>
        <v> </v>
      </c>
      <c r="K5226" s="25" t="str">
        <f>IF(OR(E5226="",E5226="!!!",F5226="NEW"),"",INDEX(J$1:J5225,SUMPRODUCT(MAX(ROW(E$1:E5225)*(E5226=E$1:E5225)))))</f>
        <v> </v>
      </c>
      <c r="L5226" s="26"/>
    </row>
    <row r="5227" spans="1:12">
      <c r="A5227" s="20" t="s">
        <v>1097</v>
      </c>
      <c r="E5227" s="21">
        <f>IF(D5227="?OLD","!!!","")</f>
        <v/>
      </c>
      <c r="F5227" s="22" t="str">
        <f>IF(OR(E5227="",E5227="!!!"),"",IF(NOT(ISNA(VLOOKUP(E5227,E$1:E5226,1,FALSE()))),"OLD",IF(AND(E5227&lt;&gt;"",E5227&lt;&gt;"!!!"),"NEW","")))</f>
        <v> </v>
      </c>
      <c r="G5227" s="23" t="str">
        <f>IF(OR(E5227="",E5227="!!!"),"",IF(OR(J5227=0,AND(J5227=1,K5227=1),AND(J5227=1,I5227="SBJ"),AND(J5227=1,I5227=0)),"?IN_FOCUS",IF(J5227&lt;=2,"?ACTIVATED",IF(J5227&lt;&gt;"","?FAMILIAR",IF(F5227="NEW",IF(ISNA(VLOOKUP(E5227,#REF!,1,FALSE())),"?TYPE_IDENTIFIABLE","?REFERENTIAL"),"_")))))</f>
        <v> </v>
      </c>
      <c r="H5227" s="24" t="str">
        <f>IF(J5227&lt;&gt;1,"",IF(I5227="SBJ","CB","?"))</f>
        <v> </v>
      </c>
      <c r="I5227" s="25" t="str">
        <f>IF(OR(E5227="",E5227="!!!",F5227="NEW"),"",INDEX(B5226:B$2,-1+SUMPRODUCT(MAX(ROW(E5226:E$2)*(E5227=E5226:E$2)))))</f>
        <v> </v>
      </c>
      <c r="J5227" s="25" t="str">
        <f>IF(OR(E5227="",E5227="!!!",F5227="NEW"),"",COUNTBLANK(OFFSET(A$1,,,SUMPRODUCT(MAX(ROW(E$2:E5227)*(E5227=E$2:E5227)))))-COUNTBLANK(OFFSET(A$1,,,SUMPRODUCT(MAX(ROW(E$1:E5226)*(E2=E$1:E5226))))))</f>
        <v> </v>
      </c>
      <c r="K5227" s="25" t="str">
        <f>IF(OR(E5227="",E5227="!!!",F5227="NEW"),"",INDEX(J$1:J5226,SUMPRODUCT(MAX(ROW(E$1:E5226)*(E5227=E$1:E5226)))))</f>
        <v> </v>
      </c>
      <c r="L5227" s="26"/>
    </row>
    <row r="5228" spans="1:12">
      <c r="A5228" s="20" t="s">
        <v>1005</v>
      </c>
      <c r="E5228" s="21">
        <f>IF(D5228="?OLD","!!!","")</f>
        <v/>
      </c>
      <c r="F5228" s="22" t="str">
        <f>IF(OR(E5228="",E5228="!!!"),"",IF(NOT(ISNA(VLOOKUP(E5228,E$1:E5227,1,FALSE()))),"OLD",IF(AND(E5228&lt;&gt;"",E5228&lt;&gt;"!!!"),"NEW","")))</f>
        <v> </v>
      </c>
      <c r="G5228" s="23" t="str">
        <f>IF(OR(E5228="",E5228="!!!"),"",IF(OR(J5228=0,AND(J5228=1,K5228=1),AND(J5228=1,I5228="SBJ"),AND(J5228=1,I5228=0)),"?IN_FOCUS",IF(J5228&lt;=2,"?ACTIVATED",IF(J5228&lt;&gt;"","?FAMILIAR",IF(F5228="NEW",IF(ISNA(VLOOKUP(E5228,#REF!,1,FALSE())),"?TYPE_IDENTIFIABLE","?REFERENTIAL"),"_")))))</f>
        <v> </v>
      </c>
      <c r="H5228" s="24" t="str">
        <f>IF(J5228&lt;&gt;1,"",IF(I5228="SBJ","CB","?"))</f>
        <v> </v>
      </c>
      <c r="I5228" s="25" t="str">
        <f>IF(OR(E5228="",E5228="!!!",F5228="NEW"),"",INDEX(B5227:B$2,-1+SUMPRODUCT(MAX(ROW(E5227:E$2)*(E5228=E5227:E$2)))))</f>
        <v> </v>
      </c>
      <c r="J5228" s="25" t="str">
        <f>IF(OR(E5228="",E5228="!!!",F5228="NEW"),"",COUNTBLANK(OFFSET(A$1,,,SUMPRODUCT(MAX(ROW(E$2:E5228)*(E5228=E$2:E5228)))))-COUNTBLANK(OFFSET(A$1,,,SUMPRODUCT(MAX(ROW(E$1:E5227)*(E2=E$1:E5227))))))</f>
        <v> </v>
      </c>
      <c r="K5228" s="25" t="str">
        <f>IF(OR(E5228="",E5228="!!!",F5228="NEW"),"",INDEX(J$1:J5227,SUMPRODUCT(MAX(ROW(E$1:E5227)*(E5228=E$1:E5227)))))</f>
        <v> </v>
      </c>
      <c r="L5228" s="26"/>
    </row>
    <row r="5229" spans="1:12">
      <c r="A5229" s="20"/>
    </row>
    <row r="5230" spans="1:12">
      <c r="A5230" s="20" t="s">
        <v>2424</v>
      </c>
    </row>
    <row r="5231" spans="1:12">
      <c r="A5231" s="20" t="s">
        <v>1251</v>
      </c>
      <c r="B5231" s="27" t="s">
        <v>967</v>
      </c>
      <c r="C5231" s="27" t="s">
        <v>968</v>
      </c>
      <c r="D5231" s="27" t="s">
        <v>969</v>
      </c>
      <c r="E5231" s="21">
        <f>IF(D5231="?OLD","!!!","")</f>
        <v/>
      </c>
      <c r="F5231" s="22" t="str">
        <f>IF(OR(E5231="",E5231="!!!"),"",IF(NOT(ISNA(VLOOKUP(E5231,E$1:E5230,1,FALSE()))),"OLD",IF(AND(E5231&lt;&gt;"",E5231&lt;&gt;"!!!"),"NEW","")))</f>
        <v> </v>
      </c>
      <c r="G5231" s="23" t="str">
        <f>IF(OR(E5231="",E5231="!!!"),"",IF(OR(J5231=0,AND(J5231=1,K5231=1),AND(J5231=1,I5231="SBJ"),AND(J5231=1,I5231=0)),"?IN_FOCUS",IF(J5231&lt;=2,"?ACTIVATED",IF(J5231&lt;&gt;"","?FAMILIAR",IF(F5231="NEW",IF(ISNA(VLOOKUP(E5231,#REF!,1,FALSE())),"?TYPE_IDENTIFIABLE","?REFERENTIAL"),"_")))))</f>
        <v> </v>
      </c>
      <c r="H5231" s="24" t="str">
        <f>IF(J5231&lt;&gt;1,"",IF(I5231="SBJ","CB","?"))</f>
        <v> </v>
      </c>
      <c r="I5231" s="25" t="str">
        <f>IF(OR(E5231="",E5231="!!!",F5231="NEW"),"",INDEX(B5230:B$2,-1+SUMPRODUCT(MAX(ROW(E5230:E$2)*(E5231=E5230:E$2)))))</f>
        <v> </v>
      </c>
      <c r="J5231" s="25" t="str">
        <f>IF(OR(E5231="",E5231="!!!",F5231="NEW"),"",COUNTBLANK(OFFSET(A$1,,,SUMPRODUCT(MAX(ROW(E$2:E5231)*(E5231=E$2:E5231)))))-COUNTBLANK(OFFSET(A$1,,,SUMPRODUCT(MAX(ROW(E$1:E5230)*(E2=E$1:E5230))))))</f>
        <v> </v>
      </c>
      <c r="K5231" s="25" t="str">
        <f>IF(OR(E5231="",E5231="!!!",F5231="NEW"),"",INDEX(J$1:J5230,SUMPRODUCT(MAX(ROW(E$1:E5230)*(E5231=E$1:E5230)))))</f>
        <v> </v>
      </c>
      <c r="L5231" s="26"/>
    </row>
    <row r="5232" spans="1:12">
      <c r="A5232" s="20" t="s">
        <v>1497</v>
      </c>
      <c r="E5232" s="21">
        <f>IF(D5232="?OLD","!!!","")</f>
        <v/>
      </c>
      <c r="F5232" s="22" t="str">
        <f>IF(OR(E5232="",E5232="!!!"),"",IF(NOT(ISNA(VLOOKUP(E5232,E$1:E5231,1,FALSE()))),"OLD",IF(AND(E5232&lt;&gt;"",E5232&lt;&gt;"!!!"),"NEW","")))</f>
        <v> </v>
      </c>
      <c r="G5232" s="23" t="str">
        <f>IF(OR(E5232="",E5232="!!!"),"",IF(OR(J5232=0,AND(J5232=1,K5232=1),AND(J5232=1,I5232="SBJ"),AND(J5232=1,I5232=0)),"?IN_FOCUS",IF(J5232&lt;=2,"?ACTIVATED",IF(J5232&lt;&gt;"","?FAMILIAR",IF(F5232="NEW",IF(ISNA(VLOOKUP(E5232,#REF!,1,FALSE())),"?TYPE_IDENTIFIABLE","?REFERENTIAL"),"_")))))</f>
        <v> </v>
      </c>
      <c r="H5232" s="24" t="str">
        <f>IF(J5232&lt;&gt;1,"",IF(I5232="SBJ","CB","?"))</f>
        <v> </v>
      </c>
      <c r="I5232" s="25" t="str">
        <f>IF(OR(E5232="",E5232="!!!",F5232="NEW"),"",INDEX(B5231:B$2,-1+SUMPRODUCT(MAX(ROW(E5231:E$2)*(E5232=E5231:E$2)))))</f>
        <v> </v>
      </c>
      <c r="J5232" s="25" t="str">
        <f>IF(OR(E5232="",E5232="!!!",F5232="NEW"),"",COUNTBLANK(OFFSET(A$1,,,SUMPRODUCT(MAX(ROW(E$2:E5232)*(E5232=E$2:E5232)))))-COUNTBLANK(OFFSET(A$1,,,SUMPRODUCT(MAX(ROW(E$1:E5231)*(E2=E$1:E5231))))))</f>
        <v> </v>
      </c>
      <c r="K5232" s="25" t="str">
        <f>IF(OR(E5232="",E5232="!!!",F5232="NEW"),"",INDEX(J$1:J5231,SUMPRODUCT(MAX(ROW(E$1:E5231)*(E5232=E$1:E5231)))))</f>
        <v> </v>
      </c>
      <c r="L5232" s="26"/>
    </row>
    <row r="5233" spans="1:12">
      <c r="A5233" s="20" t="s">
        <v>1051</v>
      </c>
      <c r="E5233" s="21">
        <f>IF(D5233="?OLD","!!!","")</f>
        <v/>
      </c>
      <c r="F5233" s="22" t="str">
        <f>IF(OR(E5233="",E5233="!!!"),"",IF(NOT(ISNA(VLOOKUP(E5233,E$1:E5232,1,FALSE()))),"OLD",IF(AND(E5233&lt;&gt;"",E5233&lt;&gt;"!!!"),"NEW","")))</f>
        <v> </v>
      </c>
      <c r="G5233" s="23" t="str">
        <f>IF(OR(E5233="",E5233="!!!"),"",IF(OR(J5233=0,AND(J5233=1,K5233=1),AND(J5233=1,I5233="SBJ"),AND(J5233=1,I5233=0)),"?IN_FOCUS",IF(J5233&lt;=2,"?ACTIVATED",IF(J5233&lt;&gt;"","?FAMILIAR",IF(F5233="NEW",IF(ISNA(VLOOKUP(E5233,#REF!,1,FALSE())),"?TYPE_IDENTIFIABLE","?REFERENTIAL"),"_")))))</f>
        <v> </v>
      </c>
      <c r="H5233" s="24" t="str">
        <f>IF(J5233&lt;&gt;1,"",IF(I5233="SBJ","CB","?"))</f>
        <v> </v>
      </c>
      <c r="I5233" s="25" t="str">
        <f>IF(OR(E5233="",E5233="!!!",F5233="NEW"),"",INDEX(B5232:B$2,-1+SUMPRODUCT(MAX(ROW(E5232:E$2)*(E5233=E5232:E$2)))))</f>
        <v> </v>
      </c>
      <c r="J5233" s="25" t="str">
        <f>IF(OR(E5233="",E5233="!!!",F5233="NEW"),"",COUNTBLANK(OFFSET(A$1,,,SUMPRODUCT(MAX(ROW(E$2:E5233)*(E5233=E$2:E5233)))))-COUNTBLANK(OFFSET(A$1,,,SUMPRODUCT(MAX(ROW(E$1:E5232)*(E2=E$1:E5232))))))</f>
        <v> </v>
      </c>
      <c r="K5233" s="25" t="str">
        <f>IF(OR(E5233="",E5233="!!!",F5233="NEW"),"",INDEX(J$1:J5232,SUMPRODUCT(MAX(ROW(E$1:E5232)*(E5233=E$1:E5232)))))</f>
        <v> </v>
      </c>
      <c r="L5233" s="26"/>
    </row>
    <row r="5234" spans="1:12">
      <c r="A5234" s="20" t="s">
        <v>2425</v>
      </c>
      <c r="E5234" s="21">
        <f>IF(D5234="?OLD","!!!","")</f>
        <v/>
      </c>
      <c r="F5234" s="22" t="str">
        <f>IF(OR(E5234="",E5234="!!!"),"",IF(NOT(ISNA(VLOOKUP(E5234,E$1:E5233,1,FALSE()))),"OLD",IF(AND(E5234&lt;&gt;"",E5234&lt;&gt;"!!!"),"NEW","")))</f>
        <v> </v>
      </c>
      <c r="G5234" s="23" t="str">
        <f>IF(OR(E5234="",E5234="!!!"),"",IF(OR(J5234=0,AND(J5234=1,K5234=1),AND(J5234=1,I5234="SBJ"),AND(J5234=1,I5234=0)),"?IN_FOCUS",IF(J5234&lt;=2,"?ACTIVATED",IF(J5234&lt;&gt;"","?FAMILIAR",IF(F5234="NEW",IF(ISNA(VLOOKUP(E5234,#REF!,1,FALSE())),"?TYPE_IDENTIFIABLE","?REFERENTIAL"),"_")))))</f>
        <v> </v>
      </c>
      <c r="H5234" s="24" t="str">
        <f>IF(J5234&lt;&gt;1,"",IF(I5234="SBJ","CB","?"))</f>
        <v> </v>
      </c>
      <c r="I5234" s="25" t="str">
        <f>IF(OR(E5234="",E5234="!!!",F5234="NEW"),"",INDEX(B5233:B$2,-1+SUMPRODUCT(MAX(ROW(E5233:E$2)*(E5234=E5233:E$2)))))</f>
        <v> </v>
      </c>
      <c r="J5234" s="25" t="str">
        <f>IF(OR(E5234="",E5234="!!!",F5234="NEW"),"",COUNTBLANK(OFFSET(A$1,,,SUMPRODUCT(MAX(ROW(E$2:E5234)*(E5234=E$2:E5234)))))-COUNTBLANK(OFFSET(A$1,,,SUMPRODUCT(MAX(ROW(E$1:E5233)*(E2=E$1:E5233))))))</f>
        <v> </v>
      </c>
      <c r="K5234" s="25" t="str">
        <f>IF(OR(E5234="",E5234="!!!",F5234="NEW"),"",INDEX(J$1:J5233,SUMPRODUCT(MAX(ROW(E$1:E5233)*(E5234=E$1:E5233)))))</f>
        <v> </v>
      </c>
      <c r="L5234" s="26"/>
    </row>
    <row r="5235" spans="1:12">
      <c r="A5235" s="20" t="s">
        <v>2327</v>
      </c>
      <c r="B5235" s="27" t="s">
        <v>973</v>
      </c>
      <c r="C5235" s="27" t="s">
        <v>1018</v>
      </c>
      <c r="E5235" s="21">
        <f>IF(D5235="?OLD","!!!","")</f>
        <v/>
      </c>
      <c r="F5235" s="22" t="str">
        <f>IF(OR(E5235="",E5235="!!!"),"",IF(NOT(ISNA(VLOOKUP(E5235,E$1:E5234,1,FALSE()))),"OLD",IF(AND(E5235&lt;&gt;"",E5235&lt;&gt;"!!!"),"NEW","")))</f>
        <v> </v>
      </c>
      <c r="G5235" s="23" t="str">
        <f>IF(OR(E5235="",E5235="!!!"),"",IF(OR(J5235=0,AND(J5235=1,K5235=1),AND(J5235=1,I5235="SBJ"),AND(J5235=1,I5235=0)),"?IN_FOCUS",IF(J5235&lt;=2,"?ACTIVATED",IF(J5235&lt;&gt;"","?FAMILIAR",IF(F5235="NEW",IF(ISNA(VLOOKUP(E5235,#REF!,1,FALSE())),"?TYPE_IDENTIFIABLE","?REFERENTIAL"),"_")))))</f>
        <v> </v>
      </c>
      <c r="H5235" s="24" t="str">
        <f>IF(J5235&lt;&gt;1,"",IF(I5235="SBJ","CB","?"))</f>
        <v> </v>
      </c>
      <c r="I5235" s="25" t="str">
        <f>IF(OR(E5235="",E5235="!!!",F5235="NEW"),"",INDEX(B5234:B$2,-1+SUMPRODUCT(MAX(ROW(E5234:E$2)*(E5235=E5234:E$2)))))</f>
        <v> </v>
      </c>
      <c r="J5235" s="25" t="str">
        <f>IF(OR(E5235="",E5235="!!!",F5235="NEW"),"",COUNTBLANK(OFFSET(A$1,,,SUMPRODUCT(MAX(ROW(E$2:E5235)*(E5235=E$2:E5235)))))-COUNTBLANK(OFFSET(A$1,,,SUMPRODUCT(MAX(ROW(E$1:E5234)*(E2=E$1:E5234))))))</f>
        <v> </v>
      </c>
      <c r="K5235" s="25" t="str">
        <f>IF(OR(E5235="",E5235="!!!",F5235="NEW"),"",INDEX(J$1:J5234,SUMPRODUCT(MAX(ROW(E$1:E5234)*(E5235=E$1:E5234)))))</f>
        <v> </v>
      </c>
      <c r="L5235" s="26"/>
    </row>
    <row r="5236" spans="1:12">
      <c r="A5236" s="20" t="s">
        <v>1151</v>
      </c>
      <c r="E5236" s="21">
        <f>IF(D5236="?OLD","!!!","")</f>
        <v/>
      </c>
      <c r="F5236" s="22" t="str">
        <f>IF(OR(E5236="",E5236="!!!"),"",IF(NOT(ISNA(VLOOKUP(E5236,E$1:E5235,1,FALSE()))),"OLD",IF(AND(E5236&lt;&gt;"",E5236&lt;&gt;"!!!"),"NEW","")))</f>
        <v> </v>
      </c>
      <c r="G5236" s="23" t="str">
        <f>IF(OR(E5236="",E5236="!!!"),"",IF(OR(J5236=0,AND(J5236=1,K5236=1),AND(J5236=1,I5236="SBJ"),AND(J5236=1,I5236=0)),"?IN_FOCUS",IF(J5236&lt;=2,"?ACTIVATED",IF(J5236&lt;&gt;"","?FAMILIAR",IF(F5236="NEW",IF(ISNA(VLOOKUP(E5236,#REF!,1,FALSE())),"?TYPE_IDENTIFIABLE","?REFERENTIAL"),"_")))))</f>
        <v> </v>
      </c>
      <c r="H5236" s="24" t="str">
        <f>IF(J5236&lt;&gt;1,"",IF(I5236="SBJ","CB","?"))</f>
        <v> </v>
      </c>
      <c r="I5236" s="25" t="str">
        <f>IF(OR(E5236="",E5236="!!!",F5236="NEW"),"",INDEX(B5235:B$2,-1+SUMPRODUCT(MAX(ROW(E5235:E$2)*(E5236=E5235:E$2)))))</f>
        <v> </v>
      </c>
      <c r="J5236" s="25" t="str">
        <f>IF(OR(E5236="",E5236="!!!",F5236="NEW"),"",COUNTBLANK(OFFSET(A$1,,,SUMPRODUCT(MAX(ROW(E$2:E5236)*(E5236=E$2:E5236)))))-COUNTBLANK(OFFSET(A$1,,,SUMPRODUCT(MAX(ROW(E$1:E5235)*(E2=E$1:E5235))))))</f>
        <v> </v>
      </c>
      <c r="K5236" s="25" t="str">
        <f>IF(OR(E5236="",E5236="!!!",F5236="NEW"),"",INDEX(J$1:J5235,SUMPRODUCT(MAX(ROW(E$1:E5235)*(E5236=E$1:E5235)))))</f>
        <v> </v>
      </c>
      <c r="L5236" s="26"/>
    </row>
    <row r="5237" spans="1:12">
      <c r="A5237" s="20" t="s">
        <v>2426</v>
      </c>
      <c r="B5237" s="27" t="s">
        <v>978</v>
      </c>
      <c r="C5237" s="27" t="s">
        <v>974</v>
      </c>
      <c r="E5237" s="21">
        <f>IF(D5237="?OLD","!!!","")</f>
        <v/>
      </c>
      <c r="F5237" s="22" t="str">
        <f>IF(OR(E5237="",E5237="!!!"),"",IF(NOT(ISNA(VLOOKUP(E5237,E$1:E5236,1,FALSE()))),"OLD",IF(AND(E5237&lt;&gt;"",E5237&lt;&gt;"!!!"),"NEW","")))</f>
        <v> </v>
      </c>
      <c r="G5237" s="23" t="str">
        <f>IF(OR(E5237="",E5237="!!!"),"",IF(OR(J5237=0,AND(J5237=1,K5237=1),AND(J5237=1,I5237="SBJ"),AND(J5237=1,I5237=0)),"?IN_FOCUS",IF(J5237&lt;=2,"?ACTIVATED",IF(J5237&lt;&gt;"","?FAMILIAR",IF(F5237="NEW",IF(ISNA(VLOOKUP(E5237,#REF!,1,FALSE())),"?TYPE_IDENTIFIABLE","?REFERENTIAL"),"_")))))</f>
        <v> </v>
      </c>
      <c r="H5237" s="24" t="str">
        <f>IF(J5237&lt;&gt;1,"",IF(I5237="SBJ","CB","?"))</f>
        <v> </v>
      </c>
      <c r="I5237" s="25" t="str">
        <f>IF(OR(E5237="",E5237="!!!",F5237="NEW"),"",INDEX(B5236:B$2,-1+SUMPRODUCT(MAX(ROW(E5236:E$2)*(E5237=E5236:E$2)))))</f>
        <v> </v>
      </c>
      <c r="J5237" s="25" t="str">
        <f>IF(OR(E5237="",E5237="!!!",F5237="NEW"),"",COUNTBLANK(OFFSET(A$1,,,SUMPRODUCT(MAX(ROW(E$2:E5237)*(E5237=E$2:E5237)))))-COUNTBLANK(OFFSET(A$1,,,SUMPRODUCT(MAX(ROW(E$1:E5236)*(E2=E$1:E5236))))))</f>
        <v> </v>
      </c>
      <c r="K5237" s="25" t="str">
        <f>IF(OR(E5237="",E5237="!!!",F5237="NEW"),"",INDEX(J$1:J5236,SUMPRODUCT(MAX(ROW(E$1:E5236)*(E5237=E$1:E5236)))))</f>
        <v> </v>
      </c>
      <c r="L5237" s="26"/>
    </row>
    <row r="5238" spans="1:12">
      <c r="A5238" s="20" t="s">
        <v>991</v>
      </c>
      <c r="E5238" s="21">
        <f>IF(D5238="?OLD","!!!","")</f>
        <v/>
      </c>
      <c r="F5238" s="22" t="str">
        <f>IF(OR(E5238="",E5238="!!!"),"",IF(NOT(ISNA(VLOOKUP(E5238,E$1:E5237,1,FALSE()))),"OLD",IF(AND(E5238&lt;&gt;"",E5238&lt;&gt;"!!!"),"NEW","")))</f>
        <v> </v>
      </c>
      <c r="G5238" s="23" t="str">
        <f>IF(OR(E5238="",E5238="!!!"),"",IF(OR(J5238=0,AND(J5238=1,K5238=1),AND(J5238=1,I5238="SBJ"),AND(J5238=1,I5238=0)),"?IN_FOCUS",IF(J5238&lt;=2,"?ACTIVATED",IF(J5238&lt;&gt;"","?FAMILIAR",IF(F5238="NEW",IF(ISNA(VLOOKUP(E5238,#REF!,1,FALSE())),"?TYPE_IDENTIFIABLE","?REFERENTIAL"),"_")))))</f>
        <v> </v>
      </c>
      <c r="H5238" s="24" t="str">
        <f>IF(J5238&lt;&gt;1,"",IF(I5238="SBJ","CB","?"))</f>
        <v> </v>
      </c>
      <c r="I5238" s="25" t="str">
        <f>IF(OR(E5238="",E5238="!!!",F5238="NEW"),"",INDEX(B5237:B$2,-1+SUMPRODUCT(MAX(ROW(E5237:E$2)*(E5238=E5237:E$2)))))</f>
        <v> </v>
      </c>
      <c r="J5238" s="25" t="str">
        <f>IF(OR(E5238="",E5238="!!!",F5238="NEW"),"",COUNTBLANK(OFFSET(A$1,,,SUMPRODUCT(MAX(ROW(E$2:E5238)*(E5238=E$2:E5238)))))-COUNTBLANK(OFFSET(A$1,,,SUMPRODUCT(MAX(ROW(E$1:E5237)*(E2=E$1:E5237))))))</f>
        <v> </v>
      </c>
      <c r="K5238" s="25" t="str">
        <f>IF(OR(E5238="",E5238="!!!",F5238="NEW"),"",INDEX(J$1:J5237,SUMPRODUCT(MAX(ROW(E$1:E5237)*(E5238=E$1:E5237)))))</f>
        <v> </v>
      </c>
      <c r="L5238" s="26"/>
    </row>
    <row r="5239" spans="1:12">
      <c r="A5239" s="20" t="s">
        <v>1240</v>
      </c>
      <c r="E5239" s="21">
        <f>IF(D5239="?OLD","!!!","")</f>
        <v/>
      </c>
      <c r="F5239" s="22" t="str">
        <f>IF(OR(E5239="",E5239="!!!"),"",IF(NOT(ISNA(VLOOKUP(E5239,E$1:E5238,1,FALSE()))),"OLD",IF(AND(E5239&lt;&gt;"",E5239&lt;&gt;"!!!"),"NEW","")))</f>
        <v> </v>
      </c>
      <c r="G5239" s="23" t="str">
        <f>IF(OR(E5239="",E5239="!!!"),"",IF(OR(J5239=0,AND(J5239=1,K5239=1),AND(J5239=1,I5239="SBJ"),AND(J5239=1,I5239=0)),"?IN_FOCUS",IF(J5239&lt;=2,"?ACTIVATED",IF(J5239&lt;&gt;"","?FAMILIAR",IF(F5239="NEW",IF(ISNA(VLOOKUP(E5239,#REF!,1,FALSE())),"?TYPE_IDENTIFIABLE","?REFERENTIAL"),"_")))))</f>
        <v> </v>
      </c>
      <c r="H5239" s="24" t="str">
        <f>IF(J5239&lt;&gt;1,"",IF(I5239="SBJ","CB","?"))</f>
        <v> </v>
      </c>
      <c r="I5239" s="25" t="str">
        <f>IF(OR(E5239="",E5239="!!!",F5239="NEW"),"",INDEX(B5238:B$2,-1+SUMPRODUCT(MAX(ROW(E5238:E$2)*(E5239=E5238:E$2)))))</f>
        <v> </v>
      </c>
      <c r="J5239" s="25" t="str">
        <f>IF(OR(E5239="",E5239="!!!",F5239="NEW"),"",COUNTBLANK(OFFSET(A$1,,,SUMPRODUCT(MAX(ROW(E$2:E5239)*(E5239=E$2:E5239)))))-COUNTBLANK(OFFSET(A$1,,,SUMPRODUCT(MAX(ROW(E$1:E5238)*(E2=E$1:E5238))))))</f>
        <v> </v>
      </c>
      <c r="K5239" s="25" t="str">
        <f>IF(OR(E5239="",E5239="!!!",F5239="NEW"),"",INDEX(J$1:J5238,SUMPRODUCT(MAX(ROW(E$1:E5238)*(E5239=E$1:E5238)))))</f>
        <v> </v>
      </c>
      <c r="L5239" s="26"/>
    </row>
    <row r="5240" spans="1:12">
      <c r="A5240" s="20" t="s">
        <v>1086</v>
      </c>
      <c r="B5240" s="27" t="s">
        <v>1010</v>
      </c>
      <c r="C5240" s="27" t="s">
        <v>968</v>
      </c>
      <c r="D5240" s="27" t="s">
        <v>969</v>
      </c>
      <c r="E5240" s="21">
        <f>IF(D5240="?OLD","!!!","")</f>
        <v/>
      </c>
      <c r="F5240" s="22" t="str">
        <f>IF(OR(E5240="",E5240="!!!"),"",IF(NOT(ISNA(VLOOKUP(E5240,E$1:E5239,1,FALSE()))),"OLD",IF(AND(E5240&lt;&gt;"",E5240&lt;&gt;"!!!"),"NEW","")))</f>
        <v> </v>
      </c>
      <c r="G5240" s="23" t="str">
        <f>IF(OR(E5240="",E5240="!!!"),"",IF(OR(J5240=0,AND(J5240=1,K5240=1),AND(J5240=1,I5240="SBJ"),AND(J5240=1,I5240=0)),"?IN_FOCUS",IF(J5240&lt;=2,"?ACTIVATED",IF(J5240&lt;&gt;"","?FAMILIAR",IF(F5240="NEW",IF(ISNA(VLOOKUP(E5240,#REF!,1,FALSE())),"?TYPE_IDENTIFIABLE","?REFERENTIAL"),"_")))))</f>
        <v> </v>
      </c>
      <c r="H5240" s="24" t="str">
        <f>IF(J5240&lt;&gt;1,"",IF(I5240="SBJ","CB","?"))</f>
        <v> </v>
      </c>
      <c r="I5240" s="25" t="str">
        <f>IF(OR(E5240="",E5240="!!!",F5240="NEW"),"",INDEX(B5239:B$2,-1+SUMPRODUCT(MAX(ROW(E5239:E$2)*(E5240=E5239:E$2)))))</f>
        <v> </v>
      </c>
      <c r="J5240" s="25" t="str">
        <f>IF(OR(E5240="",E5240="!!!",F5240="NEW"),"",COUNTBLANK(OFFSET(A$1,,,SUMPRODUCT(MAX(ROW(E$2:E5240)*(E5240=E$2:E5240)))))-COUNTBLANK(OFFSET(A$1,,,SUMPRODUCT(MAX(ROW(E$1:E5239)*(E2=E$1:E5239))))))</f>
        <v> </v>
      </c>
      <c r="K5240" s="25" t="str">
        <f>IF(OR(E5240="",E5240="!!!",F5240="NEW"),"",INDEX(J$1:J5239,SUMPRODUCT(MAX(ROW(E$1:E5239)*(E5240=E$1:E5239)))))</f>
        <v> </v>
      </c>
      <c r="L5240" s="26"/>
    </row>
    <row r="5241" spans="1:12">
      <c r="A5241" s="20" t="s">
        <v>1097</v>
      </c>
      <c r="E5241" s="21">
        <f>IF(D5241="?OLD","!!!","")</f>
        <v/>
      </c>
      <c r="F5241" s="22" t="str">
        <f>IF(OR(E5241="",E5241="!!!"),"",IF(NOT(ISNA(VLOOKUP(E5241,E$1:E5240,1,FALSE()))),"OLD",IF(AND(E5241&lt;&gt;"",E5241&lt;&gt;"!!!"),"NEW","")))</f>
        <v> </v>
      </c>
      <c r="G5241" s="23" t="str">
        <f>IF(OR(E5241="",E5241="!!!"),"",IF(OR(J5241=0,AND(J5241=1,K5241=1),AND(J5241=1,I5241="SBJ"),AND(J5241=1,I5241=0)),"?IN_FOCUS",IF(J5241&lt;=2,"?ACTIVATED",IF(J5241&lt;&gt;"","?FAMILIAR",IF(F5241="NEW",IF(ISNA(VLOOKUP(E5241,#REF!,1,FALSE())),"?TYPE_IDENTIFIABLE","?REFERENTIAL"),"_")))))</f>
        <v> </v>
      </c>
      <c r="H5241" s="24" t="str">
        <f>IF(J5241&lt;&gt;1,"",IF(I5241="SBJ","CB","?"))</f>
        <v> </v>
      </c>
      <c r="I5241" s="25" t="str">
        <f>IF(OR(E5241="",E5241="!!!",F5241="NEW"),"",INDEX(B5240:B$2,-1+SUMPRODUCT(MAX(ROW(E5240:E$2)*(E5241=E5240:E$2)))))</f>
        <v> </v>
      </c>
      <c r="J5241" s="25" t="str">
        <f>IF(OR(E5241="",E5241="!!!",F5241="NEW"),"",COUNTBLANK(OFFSET(A$1,,,SUMPRODUCT(MAX(ROW(E$2:E5241)*(E5241=E$2:E5241)))))-COUNTBLANK(OFFSET(A$1,,,SUMPRODUCT(MAX(ROW(E$1:E5240)*(E2=E$1:E5240))))))</f>
        <v> </v>
      </c>
      <c r="K5241" s="25" t="str">
        <f>IF(OR(E5241="",E5241="!!!",F5241="NEW"),"",INDEX(J$1:J5240,SUMPRODUCT(MAX(ROW(E$1:E5240)*(E5241=E$1:E5240)))))</f>
        <v> </v>
      </c>
      <c r="L5241" s="26"/>
    </row>
    <row r="5242" spans="1:12">
      <c r="A5242" s="20" t="s">
        <v>985</v>
      </c>
      <c r="E5242" s="21">
        <f>IF(D5242="?OLD","!!!","")</f>
        <v/>
      </c>
      <c r="F5242" s="22" t="str">
        <f>IF(OR(E5242="",E5242="!!!"),"",IF(NOT(ISNA(VLOOKUP(E5242,E$1:E5241,1,FALSE()))),"OLD",IF(AND(E5242&lt;&gt;"",E5242&lt;&gt;"!!!"),"NEW","")))</f>
        <v> </v>
      </c>
      <c r="G5242" s="23" t="str">
        <f>IF(OR(E5242="",E5242="!!!"),"",IF(OR(J5242=0,AND(J5242=1,K5242=1),AND(J5242=1,I5242="SBJ"),AND(J5242=1,I5242=0)),"?IN_FOCUS",IF(J5242&lt;=2,"?ACTIVATED",IF(J5242&lt;&gt;"","?FAMILIAR",IF(F5242="NEW",IF(ISNA(VLOOKUP(E5242,#REF!,1,FALSE())),"?TYPE_IDENTIFIABLE","?REFERENTIAL"),"_")))))</f>
        <v> </v>
      </c>
      <c r="H5242" s="24" t="str">
        <f>IF(J5242&lt;&gt;1,"",IF(I5242="SBJ","CB","?"))</f>
        <v> </v>
      </c>
      <c r="I5242" s="25" t="str">
        <f>IF(OR(E5242="",E5242="!!!",F5242="NEW"),"",INDEX(B5241:B$2,-1+SUMPRODUCT(MAX(ROW(E5241:E$2)*(E5242=E5241:E$2)))))</f>
        <v> </v>
      </c>
      <c r="J5242" s="25" t="str">
        <f>IF(OR(E5242="",E5242="!!!",F5242="NEW"),"",COUNTBLANK(OFFSET(A$1,,,SUMPRODUCT(MAX(ROW(E$2:E5242)*(E5242=E$2:E5242)))))-COUNTBLANK(OFFSET(A$1,,,SUMPRODUCT(MAX(ROW(E$1:E5241)*(E2=E$1:E5241))))))</f>
        <v> </v>
      </c>
      <c r="K5242" s="25" t="str">
        <f>IF(OR(E5242="",E5242="!!!",F5242="NEW"),"",INDEX(J$1:J5241,SUMPRODUCT(MAX(ROW(E$1:E5241)*(E5242=E$1:E5241)))))</f>
        <v> </v>
      </c>
      <c r="L5242" s="26"/>
    </row>
    <row r="5243" spans="1:12">
      <c r="A5243" s="20" t="s">
        <v>2120</v>
      </c>
      <c r="E5243" s="21">
        <f>IF(D5243="?OLD","!!!","")</f>
        <v/>
      </c>
      <c r="F5243" s="22" t="str">
        <f>IF(OR(E5243="",E5243="!!!"),"",IF(NOT(ISNA(VLOOKUP(E5243,E$1:E5242,1,FALSE()))),"OLD",IF(AND(E5243&lt;&gt;"",E5243&lt;&gt;"!!!"),"NEW","")))</f>
        <v> </v>
      </c>
      <c r="G5243" s="23" t="str">
        <f>IF(OR(E5243="",E5243="!!!"),"",IF(OR(J5243=0,AND(J5243=1,K5243=1),AND(J5243=1,I5243="SBJ"),AND(J5243=1,I5243=0)),"?IN_FOCUS",IF(J5243&lt;=2,"?ACTIVATED",IF(J5243&lt;&gt;"","?FAMILIAR",IF(F5243="NEW",IF(ISNA(VLOOKUP(E5243,#REF!,1,FALSE())),"?TYPE_IDENTIFIABLE","?REFERENTIAL"),"_")))))</f>
        <v> </v>
      </c>
      <c r="H5243" s="24" t="str">
        <f>IF(J5243&lt;&gt;1,"",IF(I5243="SBJ","CB","?"))</f>
        <v> </v>
      </c>
      <c r="I5243" s="25" t="str">
        <f>IF(OR(E5243="",E5243="!!!",F5243="NEW"),"",INDEX(B5242:B$2,-1+SUMPRODUCT(MAX(ROW(E5242:E$2)*(E5243=E5242:E$2)))))</f>
        <v> </v>
      </c>
      <c r="J5243" s="25" t="str">
        <f>IF(OR(E5243="",E5243="!!!",F5243="NEW"),"",COUNTBLANK(OFFSET(A$1,,,SUMPRODUCT(MAX(ROW(E$2:E5243)*(E5243=E$2:E5243)))))-COUNTBLANK(OFFSET(A$1,,,SUMPRODUCT(MAX(ROW(E$1:E5242)*(E2=E$1:E5242))))))</f>
        <v> </v>
      </c>
      <c r="K5243" s="25" t="str">
        <f>IF(OR(E5243="",E5243="!!!",F5243="NEW"),"",INDEX(J$1:J5242,SUMPRODUCT(MAX(ROW(E$1:E5242)*(E5243=E$1:E5242)))))</f>
        <v> </v>
      </c>
      <c r="L5243" s="26"/>
    </row>
    <row r="5244" spans="1:12">
      <c r="A5244" s="20" t="s">
        <v>1252</v>
      </c>
      <c r="B5244" s="27" t="s">
        <v>1053</v>
      </c>
      <c r="C5244" s="27" t="s">
        <v>979</v>
      </c>
      <c r="D5244" s="27" t="s">
        <v>969</v>
      </c>
      <c r="E5244" s="21">
        <f>IF(D5244="?OLD","!!!","")</f>
        <v/>
      </c>
      <c r="F5244" s="22" t="str">
        <f>IF(OR(E5244="",E5244="!!!"),"",IF(NOT(ISNA(VLOOKUP(E5244,E$1:E5243,1,FALSE()))),"OLD",IF(AND(E5244&lt;&gt;"",E5244&lt;&gt;"!!!"),"NEW","")))</f>
        <v> </v>
      </c>
      <c r="G5244" s="23" t="str">
        <f>IF(OR(E5244="",E5244="!!!"),"",IF(OR(J5244=0,AND(J5244=1,K5244=1),AND(J5244=1,I5244="SBJ"),AND(J5244=1,I5244=0)),"?IN_FOCUS",IF(J5244&lt;=2,"?ACTIVATED",IF(J5244&lt;&gt;"","?FAMILIAR",IF(F5244="NEW",IF(ISNA(VLOOKUP(E5244,#REF!,1,FALSE())),"?TYPE_IDENTIFIABLE","?REFERENTIAL"),"_")))))</f>
        <v> </v>
      </c>
      <c r="H5244" s="24" t="str">
        <f>IF(J5244&lt;&gt;1,"",IF(I5244="SBJ","CB","?"))</f>
        <v> </v>
      </c>
      <c r="I5244" s="25" t="str">
        <f>IF(OR(E5244="",E5244="!!!",F5244="NEW"),"",INDEX(B5243:B$2,-1+SUMPRODUCT(MAX(ROW(E5243:E$2)*(E5244=E5243:E$2)))))</f>
        <v> </v>
      </c>
      <c r="J5244" s="25" t="str">
        <f>IF(OR(E5244="",E5244="!!!",F5244="NEW"),"",COUNTBLANK(OFFSET(A$1,,,SUMPRODUCT(MAX(ROW(E$2:E5244)*(E5244=E$2:E5244)))))-COUNTBLANK(OFFSET(A$1,,,SUMPRODUCT(MAX(ROW(E$1:E5243)*(E2=E$1:E5243))))))</f>
        <v> </v>
      </c>
      <c r="K5244" s="25" t="str">
        <f>IF(OR(E5244="",E5244="!!!",F5244="NEW"),"",INDEX(J$1:J5243,SUMPRODUCT(MAX(ROW(E$1:E5243)*(E5244=E$1:E5243)))))</f>
        <v> </v>
      </c>
      <c r="L5244" s="26"/>
    </row>
    <row r="5245" spans="1:12">
      <c r="A5245" s="20" t="s">
        <v>1095</v>
      </c>
      <c r="E5245" s="21">
        <f>IF(D5245="?OLD","!!!","")</f>
        <v/>
      </c>
      <c r="F5245" s="22" t="str">
        <f>IF(OR(E5245="",E5245="!!!"),"",IF(NOT(ISNA(VLOOKUP(E5245,E$1:E5244,1,FALSE()))),"OLD",IF(AND(E5245&lt;&gt;"",E5245&lt;&gt;"!!!"),"NEW","")))</f>
        <v> </v>
      </c>
      <c r="G5245" s="23" t="str">
        <f>IF(OR(E5245="",E5245="!!!"),"",IF(OR(J5245=0,AND(J5245=1,K5245=1),AND(J5245=1,I5245="SBJ"),AND(J5245=1,I5245=0)),"?IN_FOCUS",IF(J5245&lt;=2,"?ACTIVATED",IF(J5245&lt;&gt;"","?FAMILIAR",IF(F5245="NEW",IF(ISNA(VLOOKUP(E5245,#REF!,1,FALSE())),"?TYPE_IDENTIFIABLE","?REFERENTIAL"),"_")))))</f>
        <v> </v>
      </c>
      <c r="H5245" s="24" t="str">
        <f>IF(J5245&lt;&gt;1,"",IF(I5245="SBJ","CB","?"))</f>
        <v> </v>
      </c>
      <c r="I5245" s="25" t="str">
        <f>IF(OR(E5245="",E5245="!!!",F5245="NEW"),"",INDEX(B5244:B$2,-1+SUMPRODUCT(MAX(ROW(E5244:E$2)*(E5245=E5244:E$2)))))</f>
        <v> </v>
      </c>
      <c r="J5245" s="25" t="str">
        <f>IF(OR(E5245="",E5245="!!!",F5245="NEW"),"",COUNTBLANK(OFFSET(A$1,,,SUMPRODUCT(MAX(ROW(E$2:E5245)*(E5245=E$2:E5245)))))-COUNTBLANK(OFFSET(A$1,,,SUMPRODUCT(MAX(ROW(E$1:E5244)*(E2=E$1:E5244))))))</f>
        <v> </v>
      </c>
      <c r="K5245" s="25" t="str">
        <f>IF(OR(E5245="",E5245="!!!",F5245="NEW"),"",INDEX(J$1:J5244,SUMPRODUCT(MAX(ROW(E$1:E5244)*(E5245=E$1:E5244)))))</f>
        <v> </v>
      </c>
      <c r="L5245" s="26"/>
    </row>
    <row r="5246" spans="1:12">
      <c r="A5246" s="20" t="s">
        <v>2426</v>
      </c>
      <c r="B5246" s="27" t="s">
        <v>978</v>
      </c>
      <c r="C5246" s="27" t="s">
        <v>974</v>
      </c>
      <c r="E5246" s="21">
        <f>IF(D5246="?OLD","!!!","")</f>
        <v/>
      </c>
      <c r="F5246" s="22" t="str">
        <f>IF(OR(E5246="",E5246="!!!"),"",IF(NOT(ISNA(VLOOKUP(E5246,E$1:E5245,1,FALSE()))),"OLD",IF(AND(E5246&lt;&gt;"",E5246&lt;&gt;"!!!"),"NEW","")))</f>
        <v> </v>
      </c>
      <c r="G5246" s="23" t="str">
        <f>IF(OR(E5246="",E5246="!!!"),"",IF(OR(J5246=0,AND(J5246=1,K5246=1),AND(J5246=1,I5246="SBJ"),AND(J5246=1,I5246=0)),"?IN_FOCUS",IF(J5246&lt;=2,"?ACTIVATED",IF(J5246&lt;&gt;"","?FAMILIAR",IF(F5246="NEW",IF(ISNA(VLOOKUP(E5246,#REF!,1,FALSE())),"?TYPE_IDENTIFIABLE","?REFERENTIAL"),"_")))))</f>
        <v> </v>
      </c>
      <c r="H5246" s="24" t="str">
        <f>IF(J5246&lt;&gt;1,"",IF(I5246="SBJ","CB","?"))</f>
        <v> </v>
      </c>
      <c r="I5246" s="25" t="str">
        <f>IF(OR(E5246="",E5246="!!!",F5246="NEW"),"",INDEX(B5245:B$2,-1+SUMPRODUCT(MAX(ROW(E5245:E$2)*(E5246=E5245:E$2)))))</f>
        <v> </v>
      </c>
      <c r="J5246" s="25" t="str">
        <f>IF(OR(E5246="",E5246="!!!",F5246="NEW"),"",COUNTBLANK(OFFSET(A$1,,,SUMPRODUCT(MAX(ROW(E$2:E5246)*(E5246=E$2:E5246)))))-COUNTBLANK(OFFSET(A$1,,,SUMPRODUCT(MAX(ROW(E$1:E5245)*(E2=E$1:E5245))))))</f>
        <v> </v>
      </c>
      <c r="K5246" s="25" t="str">
        <f>IF(OR(E5246="",E5246="!!!",F5246="NEW"),"",INDEX(J$1:J5245,SUMPRODUCT(MAX(ROW(E$1:E5245)*(E5246=E$1:E5245)))))</f>
        <v> </v>
      </c>
      <c r="L5246" s="26"/>
    </row>
    <row r="5247" spans="1:12">
      <c r="A5247" s="20" t="s">
        <v>1560</v>
      </c>
      <c r="E5247" s="21">
        <f>IF(D5247="?OLD","!!!","")</f>
        <v/>
      </c>
      <c r="F5247" s="22" t="str">
        <f>IF(OR(E5247="",E5247="!!!"),"",IF(NOT(ISNA(VLOOKUP(E5247,E$1:E5246,1,FALSE()))),"OLD",IF(AND(E5247&lt;&gt;"",E5247&lt;&gt;"!!!"),"NEW","")))</f>
        <v> </v>
      </c>
      <c r="G5247" s="23" t="str">
        <f>IF(OR(E5247="",E5247="!!!"),"",IF(OR(J5247=0,AND(J5247=1,K5247=1),AND(J5247=1,I5247="SBJ"),AND(J5247=1,I5247=0)),"?IN_FOCUS",IF(J5247&lt;=2,"?ACTIVATED",IF(J5247&lt;&gt;"","?FAMILIAR",IF(F5247="NEW",IF(ISNA(VLOOKUP(E5247,#REF!,1,FALSE())),"?TYPE_IDENTIFIABLE","?REFERENTIAL"),"_")))))</f>
        <v> </v>
      </c>
      <c r="H5247" s="24" t="str">
        <f>IF(J5247&lt;&gt;1,"",IF(I5247="SBJ","CB","?"))</f>
        <v> </v>
      </c>
      <c r="I5247" s="25" t="str">
        <f>IF(OR(E5247="",E5247="!!!",F5247="NEW"),"",INDEX(B5246:B$2,-1+SUMPRODUCT(MAX(ROW(E5246:E$2)*(E5247=E5246:E$2)))))</f>
        <v> </v>
      </c>
      <c r="J5247" s="25" t="str">
        <f>IF(OR(E5247="",E5247="!!!",F5247="NEW"),"",COUNTBLANK(OFFSET(A$1,,,SUMPRODUCT(MAX(ROW(E$2:E5247)*(E5247=E$2:E5247)))))-COUNTBLANK(OFFSET(A$1,,,SUMPRODUCT(MAX(ROW(E$1:E5246)*(E2=E$1:E5246))))))</f>
        <v> </v>
      </c>
      <c r="K5247" s="25" t="str">
        <f>IF(OR(E5247="",E5247="!!!",F5247="NEW"),"",INDEX(J$1:J5246,SUMPRODUCT(MAX(ROW(E$1:E5246)*(E5247=E$1:E5246)))))</f>
        <v> </v>
      </c>
      <c r="L5247" s="26"/>
    </row>
    <row r="5248" spans="1:12">
      <c r="A5248" s="20" t="s">
        <v>1382</v>
      </c>
      <c r="E5248" s="21">
        <f>IF(D5248="?OLD","!!!","")</f>
        <v/>
      </c>
      <c r="F5248" s="22" t="str">
        <f>IF(OR(E5248="",E5248="!!!"),"",IF(NOT(ISNA(VLOOKUP(E5248,E$1:E5247,1,FALSE()))),"OLD",IF(AND(E5248&lt;&gt;"",E5248&lt;&gt;"!!!"),"NEW","")))</f>
        <v> </v>
      </c>
      <c r="G5248" s="23" t="str">
        <f>IF(OR(E5248="",E5248="!!!"),"",IF(OR(J5248=0,AND(J5248=1,K5248=1),AND(J5248=1,I5248="SBJ"),AND(J5248=1,I5248=0)),"?IN_FOCUS",IF(J5248&lt;=2,"?ACTIVATED",IF(J5248&lt;&gt;"","?FAMILIAR",IF(F5248="NEW",IF(ISNA(VLOOKUP(E5248,#REF!,1,FALSE())),"?TYPE_IDENTIFIABLE","?REFERENTIAL"),"_")))))</f>
        <v> </v>
      </c>
      <c r="H5248" s="24" t="str">
        <f>IF(J5248&lt;&gt;1,"",IF(I5248="SBJ","CB","?"))</f>
        <v> </v>
      </c>
      <c r="I5248" s="25" t="str">
        <f>IF(OR(E5248="",E5248="!!!",F5248="NEW"),"",INDEX(B5247:B$2,-1+SUMPRODUCT(MAX(ROW(E5247:E$2)*(E5248=E5247:E$2)))))</f>
        <v> </v>
      </c>
      <c r="J5248" s="25" t="str">
        <f>IF(OR(E5248="",E5248="!!!",F5248="NEW"),"",COUNTBLANK(OFFSET(A$1,,,SUMPRODUCT(MAX(ROW(E$2:E5248)*(E5248=E$2:E5248)))))-COUNTBLANK(OFFSET(A$1,,,SUMPRODUCT(MAX(ROW(E$1:E5247)*(E2=E$1:E5247))))))</f>
        <v> </v>
      </c>
      <c r="K5248" s="25" t="str">
        <f>IF(OR(E5248="",E5248="!!!",F5248="NEW"),"",INDEX(J$1:J5247,SUMPRODUCT(MAX(ROW(E$1:E5247)*(E5248=E$1:E5247)))))</f>
        <v> </v>
      </c>
      <c r="L5248" s="26"/>
    </row>
    <row r="5249" spans="1:12">
      <c r="A5249" s="20" t="s">
        <v>2427</v>
      </c>
      <c r="B5249" s="27" t="s">
        <v>1003</v>
      </c>
      <c r="C5249" s="27" t="s">
        <v>1018</v>
      </c>
      <c r="E5249" s="21">
        <f>IF(D5249="?OLD","!!!","")</f>
        <v/>
      </c>
      <c r="F5249" s="22" t="str">
        <f>IF(OR(E5249="",E5249="!!!"),"",IF(NOT(ISNA(VLOOKUP(E5249,E$1:E5248,1,FALSE()))),"OLD",IF(AND(E5249&lt;&gt;"",E5249&lt;&gt;"!!!"),"NEW","")))</f>
        <v> </v>
      </c>
      <c r="G5249" s="23" t="str">
        <f>IF(OR(E5249="",E5249="!!!"),"",IF(OR(J5249=0,AND(J5249=1,K5249=1),AND(J5249=1,I5249="SBJ"),AND(J5249=1,I5249=0)),"?IN_FOCUS",IF(J5249&lt;=2,"?ACTIVATED",IF(J5249&lt;&gt;"","?FAMILIAR",IF(F5249="NEW",IF(ISNA(VLOOKUP(E5249,#REF!,1,FALSE())),"?TYPE_IDENTIFIABLE","?REFERENTIAL"),"_")))))</f>
        <v> </v>
      </c>
      <c r="H5249" s="24" t="str">
        <f>IF(J5249&lt;&gt;1,"",IF(I5249="SBJ","CB","?"))</f>
        <v> </v>
      </c>
      <c r="I5249" s="25" t="str">
        <f>IF(OR(E5249="",E5249="!!!",F5249="NEW"),"",INDEX(B5248:B$2,-1+SUMPRODUCT(MAX(ROW(E5248:E$2)*(E5249=E5248:E$2)))))</f>
        <v> </v>
      </c>
      <c r="J5249" s="25" t="str">
        <f>IF(OR(E5249="",E5249="!!!",F5249="NEW"),"",COUNTBLANK(OFFSET(A$1,,,SUMPRODUCT(MAX(ROW(E$2:E5249)*(E5249=E$2:E5249)))))-COUNTBLANK(OFFSET(A$1,,,SUMPRODUCT(MAX(ROW(E$1:E5248)*(E2=E$1:E5248))))))</f>
        <v> </v>
      </c>
      <c r="K5249" s="25" t="str">
        <f>IF(OR(E5249="",E5249="!!!",F5249="NEW"),"",INDEX(J$1:J5248,SUMPRODUCT(MAX(ROW(E$1:E5248)*(E5249=E$1:E5248)))))</f>
        <v> </v>
      </c>
      <c r="L5249" s="26"/>
    </row>
    <row r="5250" spans="1:12">
      <c r="A5250" s="20" t="s">
        <v>2202</v>
      </c>
      <c r="E5250" s="21">
        <f>IF(D5250="?OLD","!!!","")</f>
        <v/>
      </c>
      <c r="F5250" s="22" t="str">
        <f>IF(OR(E5250="",E5250="!!!"),"",IF(NOT(ISNA(VLOOKUP(E5250,E$1:E5249,1,FALSE()))),"OLD",IF(AND(E5250&lt;&gt;"",E5250&lt;&gt;"!!!"),"NEW","")))</f>
        <v> </v>
      </c>
      <c r="G5250" s="23" t="str">
        <f>IF(OR(E5250="",E5250="!!!"),"",IF(OR(J5250=0,AND(J5250=1,K5250=1),AND(J5250=1,I5250="SBJ"),AND(J5250=1,I5250=0)),"?IN_FOCUS",IF(J5250&lt;=2,"?ACTIVATED",IF(J5250&lt;&gt;"","?FAMILIAR",IF(F5250="NEW",IF(ISNA(VLOOKUP(E5250,#REF!,1,FALSE())),"?TYPE_IDENTIFIABLE","?REFERENTIAL"),"_")))))</f>
        <v> </v>
      </c>
      <c r="H5250" s="24" t="str">
        <f>IF(J5250&lt;&gt;1,"",IF(I5250="SBJ","CB","?"))</f>
        <v> </v>
      </c>
      <c r="I5250" s="25" t="str">
        <f>IF(OR(E5250="",E5250="!!!",F5250="NEW"),"",INDEX(B5249:B$2,-1+SUMPRODUCT(MAX(ROW(E5249:E$2)*(E5250=E5249:E$2)))))</f>
        <v> </v>
      </c>
      <c r="J5250" s="25" t="str">
        <f>IF(OR(E5250="",E5250="!!!",F5250="NEW"),"",COUNTBLANK(OFFSET(A$1,,,SUMPRODUCT(MAX(ROW(E$2:E5250)*(E5250=E$2:E5250)))))-COUNTBLANK(OFFSET(A$1,,,SUMPRODUCT(MAX(ROW(E$1:E5249)*(E2=E$1:E5249))))))</f>
        <v> </v>
      </c>
      <c r="K5250" s="25" t="str">
        <f>IF(OR(E5250="",E5250="!!!",F5250="NEW"),"",INDEX(J$1:J5249,SUMPRODUCT(MAX(ROW(E$1:E5249)*(E5250=E$1:E5249)))))</f>
        <v> </v>
      </c>
      <c r="L5250" s="26"/>
    </row>
    <row r="5251" spans="1:12">
      <c r="A5251" s="20" t="s">
        <v>1687</v>
      </c>
      <c r="E5251" s="21">
        <f>IF(D5251="?OLD","!!!","")</f>
        <v/>
      </c>
      <c r="F5251" s="22" t="str">
        <f>IF(OR(E5251="",E5251="!!!"),"",IF(NOT(ISNA(VLOOKUP(E5251,E$1:E5250,1,FALSE()))),"OLD",IF(AND(E5251&lt;&gt;"",E5251&lt;&gt;"!!!"),"NEW","")))</f>
        <v> </v>
      </c>
      <c r="G5251" s="23" t="str">
        <f>IF(OR(E5251="",E5251="!!!"),"",IF(OR(J5251=0,AND(J5251=1,K5251=1),AND(J5251=1,I5251="SBJ"),AND(J5251=1,I5251=0)),"?IN_FOCUS",IF(J5251&lt;=2,"?ACTIVATED",IF(J5251&lt;&gt;"","?FAMILIAR",IF(F5251="NEW",IF(ISNA(VLOOKUP(E5251,#REF!,1,FALSE())),"?TYPE_IDENTIFIABLE","?REFERENTIAL"),"_")))))</f>
        <v> </v>
      </c>
      <c r="H5251" s="24" t="str">
        <f>IF(J5251&lt;&gt;1,"",IF(I5251="SBJ","CB","?"))</f>
        <v> </v>
      </c>
      <c r="I5251" s="25" t="str">
        <f>IF(OR(E5251="",E5251="!!!",F5251="NEW"),"",INDEX(B5250:B$2,-1+SUMPRODUCT(MAX(ROW(E5250:E$2)*(E5251=E5250:E$2)))))</f>
        <v> </v>
      </c>
      <c r="J5251" s="25" t="str">
        <f>IF(OR(E5251="",E5251="!!!",F5251="NEW"),"",COUNTBLANK(OFFSET(A$1,,,SUMPRODUCT(MAX(ROW(E$2:E5251)*(E5251=E$2:E5251)))))-COUNTBLANK(OFFSET(A$1,,,SUMPRODUCT(MAX(ROW(E$1:E5250)*(E2=E$1:E5250))))))</f>
        <v> </v>
      </c>
      <c r="K5251" s="25" t="str">
        <f>IF(OR(E5251="",E5251="!!!",F5251="NEW"),"",INDEX(J$1:J5250,SUMPRODUCT(MAX(ROW(E$1:E5250)*(E5251=E$1:E5250)))))</f>
        <v> </v>
      </c>
      <c r="L5251" s="26"/>
    </row>
    <row r="5252" spans="1:12">
      <c r="A5252" s="20" t="s">
        <v>2428</v>
      </c>
      <c r="B5252" s="27" t="s">
        <v>1000</v>
      </c>
      <c r="C5252" s="27" t="s">
        <v>979</v>
      </c>
      <c r="D5252" s="27" t="s">
        <v>969</v>
      </c>
      <c r="E5252" s="21">
        <f>IF(D5252="?OLD","!!!","")</f>
        <v/>
      </c>
      <c r="F5252" s="22" t="str">
        <f>IF(OR(E5252="",E5252="!!!"),"",IF(NOT(ISNA(VLOOKUP(E5252,E$1:E5251,1,FALSE()))),"OLD",IF(AND(E5252&lt;&gt;"",E5252&lt;&gt;"!!!"),"NEW","")))</f>
        <v> </v>
      </c>
      <c r="G5252" s="23" t="str">
        <f>IF(OR(E5252="",E5252="!!!"),"",IF(OR(J5252=0,AND(J5252=1,K5252=1),AND(J5252=1,I5252="SBJ"),AND(J5252=1,I5252=0)),"?IN_FOCUS",IF(J5252&lt;=2,"?ACTIVATED",IF(J5252&lt;&gt;"","?FAMILIAR",IF(F5252="NEW",IF(ISNA(VLOOKUP(E5252,#REF!,1,FALSE())),"?TYPE_IDENTIFIABLE","?REFERENTIAL"),"_")))))</f>
        <v> </v>
      </c>
      <c r="H5252" s="24" t="str">
        <f>IF(J5252&lt;&gt;1,"",IF(I5252="SBJ","CB","?"))</f>
        <v> </v>
      </c>
      <c r="I5252" s="25" t="str">
        <f>IF(OR(E5252="",E5252="!!!",F5252="NEW"),"",INDEX(B5251:B$2,-1+SUMPRODUCT(MAX(ROW(E5251:E$2)*(E5252=E5251:E$2)))))</f>
        <v> </v>
      </c>
      <c r="J5252" s="25" t="str">
        <f>IF(OR(E5252="",E5252="!!!",F5252="NEW"),"",COUNTBLANK(OFFSET(A$1,,,SUMPRODUCT(MAX(ROW(E$2:E5252)*(E5252=E$2:E5252)))))-COUNTBLANK(OFFSET(A$1,,,SUMPRODUCT(MAX(ROW(E$1:E5251)*(E2=E$1:E5251))))))</f>
        <v> </v>
      </c>
      <c r="K5252" s="25" t="str">
        <f>IF(OR(E5252="",E5252="!!!",F5252="NEW"),"",INDEX(J$1:J5251,SUMPRODUCT(MAX(ROW(E$1:E5251)*(E5252=E$1:E5251)))))</f>
        <v> </v>
      </c>
      <c r="L5252" s="26"/>
    </row>
    <row r="5253" spans="1:12">
      <c r="A5253" s="20" t="s">
        <v>991</v>
      </c>
      <c r="E5253" s="21">
        <f>IF(D5253="?OLD","!!!","")</f>
        <v/>
      </c>
      <c r="F5253" s="22" t="str">
        <f>IF(OR(E5253="",E5253="!!!"),"",IF(NOT(ISNA(VLOOKUP(E5253,E$1:E5252,1,FALSE()))),"OLD",IF(AND(E5253&lt;&gt;"",E5253&lt;&gt;"!!!"),"NEW","")))</f>
        <v> </v>
      </c>
      <c r="G5253" s="23" t="str">
        <f>IF(OR(E5253="",E5253="!!!"),"",IF(OR(J5253=0,AND(J5253=1,K5253=1),AND(J5253=1,I5253="SBJ"),AND(J5253=1,I5253=0)),"?IN_FOCUS",IF(J5253&lt;=2,"?ACTIVATED",IF(J5253&lt;&gt;"","?FAMILIAR",IF(F5253="NEW",IF(ISNA(VLOOKUP(E5253,#REF!,1,FALSE())),"?TYPE_IDENTIFIABLE","?REFERENTIAL"),"_")))))</f>
        <v> </v>
      </c>
      <c r="H5253" s="24" t="str">
        <f>IF(J5253&lt;&gt;1,"",IF(I5253="SBJ","CB","?"))</f>
        <v> </v>
      </c>
      <c r="I5253" s="25" t="str">
        <f>IF(OR(E5253="",E5253="!!!",F5253="NEW"),"",INDEX(B5252:B$2,-1+SUMPRODUCT(MAX(ROW(E5252:E$2)*(E5253=E5252:E$2)))))</f>
        <v> </v>
      </c>
      <c r="J5253" s="25" t="str">
        <f>IF(OR(E5253="",E5253="!!!",F5253="NEW"),"",COUNTBLANK(OFFSET(A$1,,,SUMPRODUCT(MAX(ROW(E$2:E5253)*(E5253=E$2:E5253)))))-COUNTBLANK(OFFSET(A$1,,,SUMPRODUCT(MAX(ROW(E$1:E5252)*(E2=E$1:E5252))))))</f>
        <v> </v>
      </c>
      <c r="K5253" s="25" t="str">
        <f>IF(OR(E5253="",E5253="!!!",F5253="NEW"),"",INDEX(J$1:J5252,SUMPRODUCT(MAX(ROW(E$1:E5252)*(E5253=E$1:E5252)))))</f>
        <v> </v>
      </c>
      <c r="L5253" s="26"/>
    </row>
    <row r="5254" spans="1:12">
      <c r="A5254" s="20" t="s">
        <v>1043</v>
      </c>
      <c r="B5254" s="27" t="s">
        <v>2341</v>
      </c>
      <c r="E5254" s="21">
        <f>IF(D5254="?OLD","!!!","")</f>
        <v/>
      </c>
      <c r="F5254" s="22" t="str">
        <f>IF(OR(E5254="",E5254="!!!"),"",IF(NOT(ISNA(VLOOKUP(E5254,E$1:E5253,1,FALSE()))),"OLD",IF(AND(E5254&lt;&gt;"",E5254&lt;&gt;"!!!"),"NEW","")))</f>
        <v> </v>
      </c>
      <c r="G5254" s="23" t="str">
        <f>IF(OR(E5254="",E5254="!!!"),"",IF(OR(J5254=0,AND(J5254=1,K5254=1),AND(J5254=1,I5254="SBJ"),AND(J5254=1,I5254=0)),"?IN_FOCUS",IF(J5254&lt;=2,"?ACTIVATED",IF(J5254&lt;&gt;"","?FAMILIAR",IF(F5254="NEW",IF(ISNA(VLOOKUP(E5254,#REF!,1,FALSE())),"?TYPE_IDENTIFIABLE","?REFERENTIAL"),"_")))))</f>
        <v> </v>
      </c>
      <c r="H5254" s="24" t="str">
        <f>IF(J5254&lt;&gt;1,"",IF(I5254="SBJ","CB","?"))</f>
        <v> </v>
      </c>
      <c r="I5254" s="25" t="str">
        <f>IF(OR(E5254="",E5254="!!!",F5254="NEW"),"",INDEX(B5253:B$2,-1+SUMPRODUCT(MAX(ROW(E5253:E$2)*(E5254=E5253:E$2)))))</f>
        <v> </v>
      </c>
      <c r="J5254" s="25" t="str">
        <f>IF(OR(E5254="",E5254="!!!",F5254="NEW"),"",COUNTBLANK(OFFSET(A$1,,,SUMPRODUCT(MAX(ROW(E$2:E5254)*(E5254=E$2:E5254)))))-COUNTBLANK(OFFSET(A$1,,,SUMPRODUCT(MAX(ROW(E$1:E5253)*(E2=E$1:E5253))))))</f>
        <v> </v>
      </c>
      <c r="K5254" s="25" t="str">
        <f>IF(OR(E5254="",E5254="!!!",F5254="NEW"),"",INDEX(J$1:J5253,SUMPRODUCT(MAX(ROW(E$1:E5253)*(E5254=E$1:E5253)))))</f>
        <v> </v>
      </c>
      <c r="L5254" s="26"/>
    </row>
    <row r="5255" spans="1:12">
      <c r="A5255" s="20" t="s">
        <v>1051</v>
      </c>
      <c r="E5255" s="21">
        <f>IF(D5255="?OLD","!!!","")</f>
        <v/>
      </c>
      <c r="F5255" s="22" t="str">
        <f>IF(OR(E5255="",E5255="!!!"),"",IF(NOT(ISNA(VLOOKUP(E5255,E$1:E5254,1,FALSE()))),"OLD",IF(AND(E5255&lt;&gt;"",E5255&lt;&gt;"!!!"),"NEW","")))</f>
        <v> </v>
      </c>
      <c r="G5255" s="23" t="str">
        <f>IF(OR(E5255="",E5255="!!!"),"",IF(OR(J5255=0,AND(J5255=1,K5255=1),AND(J5255=1,I5255="SBJ"),AND(J5255=1,I5255=0)),"?IN_FOCUS",IF(J5255&lt;=2,"?ACTIVATED",IF(J5255&lt;&gt;"","?FAMILIAR",IF(F5255="NEW",IF(ISNA(VLOOKUP(E5255,#REF!,1,FALSE())),"?TYPE_IDENTIFIABLE","?REFERENTIAL"),"_")))))</f>
        <v> </v>
      </c>
      <c r="H5255" s="24" t="str">
        <f>IF(J5255&lt;&gt;1,"",IF(I5255="SBJ","CB","?"))</f>
        <v> </v>
      </c>
      <c r="I5255" s="25" t="str">
        <f>IF(OR(E5255="",E5255="!!!",F5255="NEW"),"",INDEX(B5254:B$2,-1+SUMPRODUCT(MAX(ROW(E5254:E$2)*(E5255=E5254:E$2)))))</f>
        <v> </v>
      </c>
      <c r="J5255" s="25" t="str">
        <f>IF(OR(E5255="",E5255="!!!",F5255="NEW"),"",COUNTBLANK(OFFSET(A$1,,,SUMPRODUCT(MAX(ROW(E$2:E5255)*(E5255=E$2:E5255)))))-COUNTBLANK(OFFSET(A$1,,,SUMPRODUCT(MAX(ROW(E$1:E5254)*(E2=E$1:E5254))))))</f>
        <v> </v>
      </c>
      <c r="K5255" s="25" t="str">
        <f>IF(OR(E5255="",E5255="!!!",F5255="NEW"),"",INDEX(J$1:J5254,SUMPRODUCT(MAX(ROW(E$1:E5254)*(E5255=E$1:E5254)))))</f>
        <v> </v>
      </c>
      <c r="L5255" s="26"/>
    </row>
    <row r="5256" spans="1:12">
      <c r="A5256" s="20" t="s">
        <v>1808</v>
      </c>
      <c r="B5256" s="27" t="s">
        <v>2429</v>
      </c>
      <c r="C5256" s="27" t="s">
        <v>1001</v>
      </c>
      <c r="E5256" s="21">
        <f>IF(D5256="?OLD","!!!","")</f>
        <v/>
      </c>
      <c r="F5256" s="22" t="str">
        <f>IF(OR(E5256="",E5256="!!!"),"",IF(NOT(ISNA(VLOOKUP(E5256,E$1:E5255,1,FALSE()))),"OLD",IF(AND(E5256&lt;&gt;"",E5256&lt;&gt;"!!!"),"NEW","")))</f>
        <v> </v>
      </c>
      <c r="G5256" s="23" t="str">
        <f>IF(OR(E5256="",E5256="!!!"),"",IF(OR(J5256=0,AND(J5256=1,K5256=1),AND(J5256=1,I5256="SBJ"),AND(J5256=1,I5256=0)),"?IN_FOCUS",IF(J5256&lt;=2,"?ACTIVATED",IF(J5256&lt;&gt;"","?FAMILIAR",IF(F5256="NEW",IF(ISNA(VLOOKUP(E5256,#REF!,1,FALSE())),"?TYPE_IDENTIFIABLE","?REFERENTIAL"),"_")))))</f>
        <v> </v>
      </c>
      <c r="H5256" s="24" t="str">
        <f>IF(J5256&lt;&gt;1,"",IF(I5256="SBJ","CB","?"))</f>
        <v> </v>
      </c>
      <c r="I5256" s="25" t="str">
        <f>IF(OR(E5256="",E5256="!!!",F5256="NEW"),"",INDEX(B5255:B$2,-1+SUMPRODUCT(MAX(ROW(E5255:E$2)*(E5256=E5255:E$2)))))</f>
        <v> </v>
      </c>
      <c r="J5256" s="25" t="str">
        <f>IF(OR(E5256="",E5256="!!!",F5256="NEW"),"",COUNTBLANK(OFFSET(A$1,,,SUMPRODUCT(MAX(ROW(E$2:E5256)*(E5256=E$2:E5256)))))-COUNTBLANK(OFFSET(A$1,,,SUMPRODUCT(MAX(ROW(E$1:E5255)*(E2=E$1:E5255))))))</f>
        <v> </v>
      </c>
      <c r="K5256" s="25" t="str">
        <f>IF(OR(E5256="",E5256="!!!",F5256="NEW"),"",INDEX(J$1:J5255,SUMPRODUCT(MAX(ROW(E$1:E5255)*(E5256=E$1:E5255)))))</f>
        <v> </v>
      </c>
      <c r="L5256" s="26"/>
    </row>
    <row r="5257" spans="1:12">
      <c r="A5257" s="20" t="s">
        <v>2430</v>
      </c>
      <c r="B5257" s="27" t="s">
        <v>2431</v>
      </c>
      <c r="C5257" s="27" t="s">
        <v>1018</v>
      </c>
      <c r="E5257" s="21">
        <f>IF(D5257="?OLD","!!!","")</f>
        <v/>
      </c>
      <c r="F5257" s="22" t="str">
        <f>IF(OR(E5257="",E5257="!!!"),"",IF(NOT(ISNA(VLOOKUP(E5257,E$1:E5256,1,FALSE()))),"OLD",IF(AND(E5257&lt;&gt;"",E5257&lt;&gt;"!!!"),"NEW","")))</f>
        <v> </v>
      </c>
      <c r="G5257" s="23" t="str">
        <f>IF(OR(E5257="",E5257="!!!"),"",IF(OR(J5257=0,AND(J5257=1,K5257=1),AND(J5257=1,I5257="SBJ"),AND(J5257=1,I5257=0)),"?IN_FOCUS",IF(J5257&lt;=2,"?ACTIVATED",IF(J5257&lt;&gt;"","?FAMILIAR",IF(F5257="NEW",IF(ISNA(VLOOKUP(E5257,#REF!,1,FALSE())),"?TYPE_IDENTIFIABLE","?REFERENTIAL"),"_")))))</f>
        <v> </v>
      </c>
      <c r="H5257" s="24" t="str">
        <f>IF(J5257&lt;&gt;1,"",IF(I5257="SBJ","CB","?"))</f>
        <v> </v>
      </c>
      <c r="I5257" s="25" t="str">
        <f>IF(OR(E5257="",E5257="!!!",F5257="NEW"),"",INDEX(B5256:B$2,-1+SUMPRODUCT(MAX(ROW(E5256:E$2)*(E5257=E5256:E$2)))))</f>
        <v> </v>
      </c>
      <c r="J5257" s="25" t="str">
        <f>IF(OR(E5257="",E5257="!!!",F5257="NEW"),"",COUNTBLANK(OFFSET(A$1,,,SUMPRODUCT(MAX(ROW(E$2:E5257)*(E5257=E$2:E5257)))))-COUNTBLANK(OFFSET(A$1,,,SUMPRODUCT(MAX(ROW(E$1:E5256)*(E2=E$1:E5256))))))</f>
        <v> </v>
      </c>
      <c r="K5257" s="25" t="str">
        <f>IF(OR(E5257="",E5257="!!!",F5257="NEW"),"",INDEX(J$1:J5256,SUMPRODUCT(MAX(ROW(E$1:E5256)*(E5257=E$1:E5256)))))</f>
        <v> </v>
      </c>
      <c r="L5257" s="26"/>
    </row>
    <row r="5258" spans="1:12">
      <c r="A5258" s="20" t="s">
        <v>1282</v>
      </c>
      <c r="E5258" s="21">
        <f>IF(D5258="?OLD","!!!","")</f>
        <v/>
      </c>
      <c r="F5258" s="22" t="str">
        <f>IF(OR(E5258="",E5258="!!!"),"",IF(NOT(ISNA(VLOOKUP(E5258,E$1:E5257,1,FALSE()))),"OLD",IF(AND(E5258&lt;&gt;"",E5258&lt;&gt;"!!!"),"NEW","")))</f>
        <v> </v>
      </c>
      <c r="G5258" s="23" t="str">
        <f>IF(OR(E5258="",E5258="!!!"),"",IF(OR(J5258=0,AND(J5258=1,K5258=1),AND(J5258=1,I5258="SBJ"),AND(J5258=1,I5258=0)),"?IN_FOCUS",IF(J5258&lt;=2,"?ACTIVATED",IF(J5258&lt;&gt;"","?FAMILIAR",IF(F5258="NEW",IF(ISNA(VLOOKUP(E5258,#REF!,1,FALSE())),"?TYPE_IDENTIFIABLE","?REFERENTIAL"),"_")))))</f>
        <v> </v>
      </c>
      <c r="H5258" s="24" t="str">
        <f>IF(J5258&lt;&gt;1,"",IF(I5258="SBJ","CB","?"))</f>
        <v> </v>
      </c>
      <c r="I5258" s="25" t="str">
        <f>IF(OR(E5258="",E5258="!!!",F5258="NEW"),"",INDEX(B5257:B$2,-1+SUMPRODUCT(MAX(ROW(E5257:E$2)*(E5258=E5257:E$2)))))</f>
        <v> </v>
      </c>
      <c r="J5258" s="25" t="str">
        <f>IF(OR(E5258="",E5258="!!!",F5258="NEW"),"",COUNTBLANK(OFFSET(A$1,,,SUMPRODUCT(MAX(ROW(E$2:E5258)*(E5258=E$2:E5258)))))-COUNTBLANK(OFFSET(A$1,,,SUMPRODUCT(MAX(ROW(E$1:E5257)*(E2=E$1:E5257))))))</f>
        <v> </v>
      </c>
      <c r="K5258" s="25" t="str">
        <f>IF(OR(E5258="",E5258="!!!",F5258="NEW"),"",INDEX(J$1:J5257,SUMPRODUCT(MAX(ROW(E$1:E5257)*(E5258=E$1:E5257)))))</f>
        <v> </v>
      </c>
      <c r="L5258" s="26"/>
    </row>
    <row r="5259" spans="1:12">
      <c r="A5259" s="20" t="s">
        <v>991</v>
      </c>
      <c r="E5259" s="21">
        <f>IF(D5259="?OLD","!!!","")</f>
        <v/>
      </c>
      <c r="F5259" s="22" t="str">
        <f>IF(OR(E5259="",E5259="!!!"),"",IF(NOT(ISNA(VLOOKUP(E5259,E$1:E5258,1,FALSE()))),"OLD",IF(AND(E5259&lt;&gt;"",E5259&lt;&gt;"!!!"),"NEW","")))</f>
        <v> </v>
      </c>
      <c r="G5259" s="23" t="str">
        <f>IF(OR(E5259="",E5259="!!!"),"",IF(OR(J5259=0,AND(J5259=1,K5259=1),AND(J5259=1,I5259="SBJ"),AND(J5259=1,I5259=0)),"?IN_FOCUS",IF(J5259&lt;=2,"?ACTIVATED",IF(J5259&lt;&gt;"","?FAMILIAR",IF(F5259="NEW",IF(ISNA(VLOOKUP(E5259,#REF!,1,FALSE())),"?TYPE_IDENTIFIABLE","?REFERENTIAL"),"_")))))</f>
        <v> </v>
      </c>
      <c r="H5259" s="24" t="str">
        <f>IF(J5259&lt;&gt;1,"",IF(I5259="SBJ","CB","?"))</f>
        <v> </v>
      </c>
      <c r="I5259" s="25" t="str">
        <f>IF(OR(E5259="",E5259="!!!",F5259="NEW"),"",INDEX(B5258:B$2,-1+SUMPRODUCT(MAX(ROW(E5258:E$2)*(E5259=E5258:E$2)))))</f>
        <v> </v>
      </c>
      <c r="J5259" s="25" t="str">
        <f>IF(OR(E5259="",E5259="!!!",F5259="NEW"),"",COUNTBLANK(OFFSET(A$1,,,SUMPRODUCT(MAX(ROW(E$2:E5259)*(E5259=E$2:E5259)))))-COUNTBLANK(OFFSET(A$1,,,SUMPRODUCT(MAX(ROW(E$1:E5258)*(E2=E$1:E5258))))))</f>
        <v> </v>
      </c>
      <c r="K5259" s="25" t="str">
        <f>IF(OR(E5259="",E5259="!!!",F5259="NEW"),"",INDEX(J$1:J5258,SUMPRODUCT(MAX(ROW(E$1:E5258)*(E5259=E$1:E5258)))))</f>
        <v> </v>
      </c>
      <c r="L5259" s="26"/>
    </row>
    <row r="5260" spans="1:12">
      <c r="A5260" s="20" t="s">
        <v>985</v>
      </c>
      <c r="B5260" s="27" t="s">
        <v>1294</v>
      </c>
      <c r="E5260" s="21">
        <f>IF(D5260="?OLD","!!!","")</f>
        <v/>
      </c>
      <c r="F5260" s="22" t="str">
        <f>IF(OR(E5260="",E5260="!!!"),"",IF(NOT(ISNA(VLOOKUP(E5260,E$1:E5259,1,FALSE()))),"OLD",IF(AND(E5260&lt;&gt;"",E5260&lt;&gt;"!!!"),"NEW","")))</f>
        <v> </v>
      </c>
      <c r="G5260" s="23" t="str">
        <f>IF(OR(E5260="",E5260="!!!"),"",IF(OR(J5260=0,AND(J5260=1,K5260=1),AND(J5260=1,I5260="SBJ"),AND(J5260=1,I5260=0)),"?IN_FOCUS",IF(J5260&lt;=2,"?ACTIVATED",IF(J5260&lt;&gt;"","?FAMILIAR",IF(F5260="NEW",IF(ISNA(VLOOKUP(E5260,#REF!,1,FALSE())),"?TYPE_IDENTIFIABLE","?REFERENTIAL"),"_")))))</f>
        <v> </v>
      </c>
      <c r="H5260" s="24" t="str">
        <f>IF(J5260&lt;&gt;1,"",IF(I5260="SBJ","CB","?"))</f>
        <v> </v>
      </c>
      <c r="I5260" s="25" t="str">
        <f>IF(OR(E5260="",E5260="!!!",F5260="NEW"),"",INDEX(B5259:B$2,-1+SUMPRODUCT(MAX(ROW(E5259:E$2)*(E5260=E5259:E$2)))))</f>
        <v> </v>
      </c>
      <c r="J5260" s="25" t="str">
        <f>IF(OR(E5260="",E5260="!!!",F5260="NEW"),"",COUNTBLANK(OFFSET(A$1,,,SUMPRODUCT(MAX(ROW(E$2:E5260)*(E5260=E$2:E5260)))))-COUNTBLANK(OFFSET(A$1,,,SUMPRODUCT(MAX(ROW(E$1:E5259)*(E2=E$1:E5259))))))</f>
        <v> </v>
      </c>
      <c r="K5260" s="25" t="str">
        <f>IF(OR(E5260="",E5260="!!!",F5260="NEW"),"",INDEX(J$1:J5259,SUMPRODUCT(MAX(ROW(E$1:E5259)*(E5260=E$1:E5259)))))</f>
        <v> </v>
      </c>
      <c r="L5260" s="26"/>
    </row>
    <row r="5261" spans="1:12">
      <c r="A5261" s="20" t="s">
        <v>1220</v>
      </c>
      <c r="B5261" s="27" t="s">
        <v>1294</v>
      </c>
      <c r="C5261" s="27" t="s">
        <v>1001</v>
      </c>
      <c r="E5261" s="21">
        <f>IF(D5261="?OLD","!!!","")</f>
        <v/>
      </c>
      <c r="F5261" s="22" t="str">
        <f>IF(OR(E5261="",E5261="!!!"),"",IF(NOT(ISNA(VLOOKUP(E5261,E$1:E5260,1,FALSE()))),"OLD",IF(AND(E5261&lt;&gt;"",E5261&lt;&gt;"!!!"),"NEW","")))</f>
        <v> </v>
      </c>
      <c r="G5261" s="23" t="str">
        <f>IF(OR(E5261="",E5261="!!!"),"",IF(OR(J5261=0,AND(J5261=1,K5261=1),AND(J5261=1,I5261="SBJ"),AND(J5261=1,I5261=0)),"?IN_FOCUS",IF(J5261&lt;=2,"?ACTIVATED",IF(J5261&lt;&gt;"","?FAMILIAR",IF(F5261="NEW",IF(ISNA(VLOOKUP(E5261,#REF!,1,FALSE())),"?TYPE_IDENTIFIABLE","?REFERENTIAL"),"_")))))</f>
        <v> </v>
      </c>
      <c r="H5261" s="24" t="str">
        <f>IF(J5261&lt;&gt;1,"",IF(I5261="SBJ","CB","?"))</f>
        <v> </v>
      </c>
      <c r="I5261" s="25" t="str">
        <f>IF(OR(E5261="",E5261="!!!",F5261="NEW"),"",INDEX(B5260:B$2,-1+SUMPRODUCT(MAX(ROW(E5260:E$2)*(E5261=E5260:E$2)))))</f>
        <v> </v>
      </c>
      <c r="J5261" s="25" t="str">
        <f>IF(OR(E5261="",E5261="!!!",F5261="NEW"),"",COUNTBLANK(OFFSET(A$1,,,SUMPRODUCT(MAX(ROW(E$2:E5261)*(E5261=E$2:E5261)))))-COUNTBLANK(OFFSET(A$1,,,SUMPRODUCT(MAX(ROW(E$1:E5260)*(E2=E$1:E5260))))))</f>
        <v> </v>
      </c>
      <c r="K5261" s="25" t="str">
        <f>IF(OR(E5261="",E5261="!!!",F5261="NEW"),"",INDEX(J$1:J5260,SUMPRODUCT(MAX(ROW(E$1:E5260)*(E5261=E$1:E5260)))))</f>
        <v> </v>
      </c>
      <c r="L5261" s="26"/>
    </row>
    <row r="5262" spans="1:12">
      <c r="A5262" s="20" t="s">
        <v>2432</v>
      </c>
      <c r="E5262" s="21">
        <f>IF(D5262="?OLD","!!!","")</f>
        <v/>
      </c>
      <c r="F5262" s="22" t="str">
        <f>IF(OR(E5262="",E5262="!!!"),"",IF(NOT(ISNA(VLOOKUP(E5262,E$1:E5261,1,FALSE()))),"OLD",IF(AND(E5262&lt;&gt;"",E5262&lt;&gt;"!!!"),"NEW","")))</f>
        <v> </v>
      </c>
      <c r="G5262" s="23" t="str">
        <f>IF(OR(E5262="",E5262="!!!"),"",IF(OR(J5262=0,AND(J5262=1,K5262=1),AND(J5262=1,I5262="SBJ"),AND(J5262=1,I5262=0)),"?IN_FOCUS",IF(J5262&lt;=2,"?ACTIVATED",IF(J5262&lt;&gt;"","?FAMILIAR",IF(F5262="NEW",IF(ISNA(VLOOKUP(E5262,#REF!,1,FALSE())),"?TYPE_IDENTIFIABLE","?REFERENTIAL"),"_")))))</f>
        <v> </v>
      </c>
      <c r="H5262" s="24" t="str">
        <f>IF(J5262&lt;&gt;1,"",IF(I5262="SBJ","CB","?"))</f>
        <v> </v>
      </c>
      <c r="I5262" s="25" t="str">
        <f>IF(OR(E5262="",E5262="!!!",F5262="NEW"),"",INDEX(B5261:B$2,-1+SUMPRODUCT(MAX(ROW(E5261:E$2)*(E5262=E5261:E$2)))))</f>
        <v> </v>
      </c>
      <c r="J5262" s="25" t="str">
        <f>IF(OR(E5262="",E5262="!!!",F5262="NEW"),"",COUNTBLANK(OFFSET(A$1,,,SUMPRODUCT(MAX(ROW(E$2:E5262)*(E5262=E$2:E5262)))))-COUNTBLANK(OFFSET(A$1,,,SUMPRODUCT(MAX(ROW(E$1:E5261)*(E2=E$1:E5261))))))</f>
        <v> </v>
      </c>
      <c r="K5262" s="25" t="str">
        <f>IF(OR(E5262="",E5262="!!!",F5262="NEW"),"",INDEX(J$1:J5261,SUMPRODUCT(MAX(ROW(E$1:E5261)*(E5262=E$1:E5261)))))</f>
        <v> </v>
      </c>
      <c r="L5262" s="26"/>
    </row>
    <row r="5263" spans="1:12">
      <c r="A5263" s="20" t="s">
        <v>980</v>
      </c>
      <c r="E5263" s="21">
        <f>IF(D5263="?OLD","!!!","")</f>
        <v/>
      </c>
      <c r="F5263" s="22" t="str">
        <f>IF(OR(E5263="",E5263="!!!"),"",IF(NOT(ISNA(VLOOKUP(E5263,E$1:E5262,1,FALSE()))),"OLD",IF(AND(E5263&lt;&gt;"",E5263&lt;&gt;"!!!"),"NEW","")))</f>
        <v> </v>
      </c>
      <c r="G5263" s="23" t="str">
        <f>IF(OR(E5263="",E5263="!!!"),"",IF(OR(J5263=0,AND(J5263=1,K5263=1),AND(J5263=1,I5263="SBJ"),AND(J5263=1,I5263=0)),"?IN_FOCUS",IF(J5263&lt;=2,"?ACTIVATED",IF(J5263&lt;&gt;"","?FAMILIAR",IF(F5263="NEW",IF(ISNA(VLOOKUP(E5263,#REF!,1,FALSE())),"?TYPE_IDENTIFIABLE","?REFERENTIAL"),"_")))))</f>
        <v> </v>
      </c>
      <c r="H5263" s="24" t="str">
        <f>IF(J5263&lt;&gt;1,"",IF(I5263="SBJ","CB","?"))</f>
        <v> </v>
      </c>
      <c r="I5263" s="25" t="str">
        <f>IF(OR(E5263="",E5263="!!!",F5263="NEW"),"",INDEX(B5262:B$2,-1+SUMPRODUCT(MAX(ROW(E5262:E$2)*(E5263=E5262:E$2)))))</f>
        <v> </v>
      </c>
      <c r="J5263" s="25" t="str">
        <f>IF(OR(E5263="",E5263="!!!",F5263="NEW"),"",COUNTBLANK(OFFSET(A$1,,,SUMPRODUCT(MAX(ROW(E$2:E5263)*(E5263=E$2:E5263)))))-COUNTBLANK(OFFSET(A$1,,,SUMPRODUCT(MAX(ROW(E$1:E5262)*(E2=E$1:E5262))))))</f>
        <v> </v>
      </c>
      <c r="K5263" s="25" t="str">
        <f>IF(OR(E5263="",E5263="!!!",F5263="NEW"),"",INDEX(J$1:J5262,SUMPRODUCT(MAX(ROW(E$1:E5262)*(E5263=E$1:E5262)))))</f>
        <v> </v>
      </c>
      <c r="L5263" s="26"/>
    </row>
    <row r="5264" spans="1:12">
      <c r="A5264" s="20" t="s">
        <v>2433</v>
      </c>
      <c r="E5264" s="21">
        <f>IF(D5264="?OLD","!!!","")</f>
        <v/>
      </c>
      <c r="F5264" s="22" t="str">
        <f>IF(OR(E5264="",E5264="!!!"),"",IF(NOT(ISNA(VLOOKUP(E5264,E$1:E5263,1,FALSE()))),"OLD",IF(AND(E5264&lt;&gt;"",E5264&lt;&gt;"!!!"),"NEW","")))</f>
        <v> </v>
      </c>
      <c r="G5264" s="23" t="str">
        <f>IF(OR(E5264="",E5264="!!!"),"",IF(OR(J5264=0,AND(J5264=1,K5264=1),AND(J5264=1,I5264="SBJ"),AND(J5264=1,I5264=0)),"?IN_FOCUS",IF(J5264&lt;=2,"?ACTIVATED",IF(J5264&lt;&gt;"","?FAMILIAR",IF(F5264="NEW",IF(ISNA(VLOOKUP(E5264,#REF!,1,FALSE())),"?TYPE_IDENTIFIABLE","?REFERENTIAL"),"_")))))</f>
        <v> </v>
      </c>
      <c r="H5264" s="24" t="str">
        <f>IF(J5264&lt;&gt;1,"",IF(I5264="SBJ","CB","?"))</f>
        <v> </v>
      </c>
      <c r="I5264" s="25" t="str">
        <f>IF(OR(E5264="",E5264="!!!",F5264="NEW"),"",INDEX(B5263:B$2,-1+SUMPRODUCT(MAX(ROW(E5263:E$2)*(E5264=E5263:E$2)))))</f>
        <v> </v>
      </c>
      <c r="J5264" s="25" t="str">
        <f>IF(OR(E5264="",E5264="!!!",F5264="NEW"),"",COUNTBLANK(OFFSET(A$1,,,SUMPRODUCT(MAX(ROW(E$2:E5264)*(E5264=E$2:E5264)))))-COUNTBLANK(OFFSET(A$1,,,SUMPRODUCT(MAX(ROW(E$1:E5263)*(E2=E$1:E5263))))))</f>
        <v> </v>
      </c>
      <c r="K5264" s="25" t="str">
        <f>IF(OR(E5264="",E5264="!!!",F5264="NEW"),"",INDEX(J$1:J5263,SUMPRODUCT(MAX(ROW(E$1:E5263)*(E5264=E$1:E5263)))))</f>
        <v> </v>
      </c>
      <c r="L5264" s="26"/>
    </row>
    <row r="5265" spans="1:12">
      <c r="A5265" s="20" t="s">
        <v>1200</v>
      </c>
      <c r="E5265" s="21">
        <f>IF(D5265="?OLD","!!!","")</f>
        <v/>
      </c>
      <c r="F5265" s="22" t="str">
        <f>IF(OR(E5265="",E5265="!!!"),"",IF(NOT(ISNA(VLOOKUP(E5265,E$1:E5264,1,FALSE()))),"OLD",IF(AND(E5265&lt;&gt;"",E5265&lt;&gt;"!!!"),"NEW","")))</f>
        <v> </v>
      </c>
      <c r="G5265" s="23" t="str">
        <f>IF(OR(E5265="",E5265="!!!"),"",IF(OR(J5265=0,AND(J5265=1,K5265=1),AND(J5265=1,I5265="SBJ"),AND(J5265=1,I5265=0)),"?IN_FOCUS",IF(J5265&lt;=2,"?ACTIVATED",IF(J5265&lt;&gt;"","?FAMILIAR",IF(F5265="NEW",IF(ISNA(VLOOKUP(E5265,#REF!,1,FALSE())),"?TYPE_IDENTIFIABLE","?REFERENTIAL"),"_")))))</f>
        <v> </v>
      </c>
      <c r="H5265" s="24" t="str">
        <f>IF(J5265&lt;&gt;1,"",IF(I5265="SBJ","CB","?"))</f>
        <v> </v>
      </c>
      <c r="I5265" s="25" t="str">
        <f>IF(OR(E5265="",E5265="!!!",F5265="NEW"),"",INDEX(B5264:B$2,-1+SUMPRODUCT(MAX(ROW(E5264:E$2)*(E5265=E5264:E$2)))))</f>
        <v> </v>
      </c>
      <c r="J5265" s="25" t="str">
        <f>IF(OR(E5265="",E5265="!!!",F5265="NEW"),"",COUNTBLANK(OFFSET(A$1,,,SUMPRODUCT(MAX(ROW(E$2:E5265)*(E5265=E$2:E5265)))))-COUNTBLANK(OFFSET(A$1,,,SUMPRODUCT(MAX(ROW(E$1:E5264)*(E2=E$1:E5264))))))</f>
        <v> </v>
      </c>
      <c r="K5265" s="25" t="str">
        <f>IF(OR(E5265="",E5265="!!!",F5265="NEW"),"",INDEX(J$1:J5264,SUMPRODUCT(MAX(ROW(E$1:E5264)*(E5265=E$1:E5264)))))</f>
        <v> </v>
      </c>
      <c r="L5265" s="26"/>
    </row>
    <row r="5266" spans="1:12">
      <c r="A5266" s="20" t="s">
        <v>991</v>
      </c>
      <c r="E5266" s="21">
        <f>IF(D5266="?OLD","!!!","")</f>
        <v/>
      </c>
      <c r="F5266" s="22" t="str">
        <f>IF(OR(E5266="",E5266="!!!"),"",IF(NOT(ISNA(VLOOKUP(E5266,E$1:E5265,1,FALSE()))),"OLD",IF(AND(E5266&lt;&gt;"",E5266&lt;&gt;"!!!"),"NEW","")))</f>
        <v> </v>
      </c>
      <c r="G5266" s="23" t="str">
        <f>IF(OR(E5266="",E5266="!!!"),"",IF(OR(J5266=0,AND(J5266=1,K5266=1),AND(J5266=1,I5266="SBJ"),AND(J5266=1,I5266=0)),"?IN_FOCUS",IF(J5266&lt;=2,"?ACTIVATED",IF(J5266&lt;&gt;"","?FAMILIAR",IF(F5266="NEW",IF(ISNA(VLOOKUP(E5266,#REF!,1,FALSE())),"?TYPE_IDENTIFIABLE","?REFERENTIAL"),"_")))))</f>
        <v> </v>
      </c>
      <c r="H5266" s="24" t="str">
        <f>IF(J5266&lt;&gt;1,"",IF(I5266="SBJ","CB","?"))</f>
        <v> </v>
      </c>
      <c r="I5266" s="25" t="str">
        <f>IF(OR(E5266="",E5266="!!!",F5266="NEW"),"",INDEX(B5265:B$2,-1+SUMPRODUCT(MAX(ROW(E5265:E$2)*(E5266=E5265:E$2)))))</f>
        <v> </v>
      </c>
      <c r="J5266" s="25" t="str">
        <f>IF(OR(E5266="",E5266="!!!",F5266="NEW"),"",COUNTBLANK(OFFSET(A$1,,,SUMPRODUCT(MAX(ROW(E$2:E5266)*(E5266=E$2:E5266)))))-COUNTBLANK(OFFSET(A$1,,,SUMPRODUCT(MAX(ROW(E$1:E5265)*(E2=E$1:E5265))))))</f>
        <v> </v>
      </c>
      <c r="K5266" s="25" t="str">
        <f>IF(OR(E5266="",E5266="!!!",F5266="NEW"),"",INDEX(J$1:J5265,SUMPRODUCT(MAX(ROW(E$1:E5265)*(E5266=E$1:E5265)))))</f>
        <v> </v>
      </c>
      <c r="L5266" s="26"/>
    </row>
    <row r="5267" spans="1:12">
      <c r="A5267" s="20" t="s">
        <v>980</v>
      </c>
      <c r="E5267" s="21">
        <f>IF(D5267="?OLD","!!!","")</f>
        <v/>
      </c>
      <c r="F5267" s="22" t="str">
        <f>IF(OR(E5267="",E5267="!!!"),"",IF(NOT(ISNA(VLOOKUP(E5267,E$1:E5266,1,FALSE()))),"OLD",IF(AND(E5267&lt;&gt;"",E5267&lt;&gt;"!!!"),"NEW","")))</f>
        <v> </v>
      </c>
      <c r="G5267" s="23" t="str">
        <f>IF(OR(E5267="",E5267="!!!"),"",IF(OR(J5267=0,AND(J5267=1,K5267=1),AND(J5267=1,I5267="SBJ"),AND(J5267=1,I5267=0)),"?IN_FOCUS",IF(J5267&lt;=2,"?ACTIVATED",IF(J5267&lt;&gt;"","?FAMILIAR",IF(F5267="NEW",IF(ISNA(VLOOKUP(E5267,#REF!,1,FALSE())),"?TYPE_IDENTIFIABLE","?REFERENTIAL"),"_")))))</f>
        <v> </v>
      </c>
      <c r="H5267" s="24" t="str">
        <f>IF(J5267&lt;&gt;1,"",IF(I5267="SBJ","CB","?"))</f>
        <v> </v>
      </c>
      <c r="I5267" s="25" t="str">
        <f>IF(OR(E5267="",E5267="!!!",F5267="NEW"),"",INDEX(B5266:B$2,-1+SUMPRODUCT(MAX(ROW(E5266:E$2)*(E5267=E5266:E$2)))))</f>
        <v> </v>
      </c>
      <c r="J5267" s="25" t="str">
        <f>IF(OR(E5267="",E5267="!!!",F5267="NEW"),"",COUNTBLANK(OFFSET(A$1,,,SUMPRODUCT(MAX(ROW(E$2:E5267)*(E5267=E$2:E5267)))))-COUNTBLANK(OFFSET(A$1,,,SUMPRODUCT(MAX(ROW(E$1:E5266)*(E2=E$1:E5266))))))</f>
        <v> </v>
      </c>
      <c r="K5267" s="25" t="str">
        <f>IF(OR(E5267="",E5267="!!!",F5267="NEW"),"",INDEX(J$1:J5266,SUMPRODUCT(MAX(ROW(E$1:E5266)*(E5267=E$1:E5266)))))</f>
        <v> </v>
      </c>
      <c r="L5267" s="26"/>
    </row>
    <row r="5268" spans="1:12">
      <c r="A5268" s="20" t="s">
        <v>976</v>
      </c>
      <c r="B5268" s="27" t="s">
        <v>982</v>
      </c>
      <c r="C5268" s="27" t="s">
        <v>1102</v>
      </c>
      <c r="D5268" s="27" t="s">
        <v>969</v>
      </c>
      <c r="E5268" s="21">
        <f>IF(D5268="?OLD","!!!","")</f>
        <v/>
      </c>
      <c r="F5268" s="22" t="str">
        <f>IF(OR(E5268="",E5268="!!!"),"",IF(NOT(ISNA(VLOOKUP(E5268,E$1:E5267,1,FALSE()))),"OLD",IF(AND(E5268&lt;&gt;"",E5268&lt;&gt;"!!!"),"NEW","")))</f>
        <v> </v>
      </c>
      <c r="G5268" s="23" t="str">
        <f>IF(OR(E5268="",E5268="!!!"),"",IF(OR(J5268=0,AND(J5268=1,K5268=1),AND(J5268=1,I5268="SBJ"),AND(J5268=1,I5268=0)),"?IN_FOCUS",IF(J5268&lt;=2,"?ACTIVATED",IF(J5268&lt;&gt;"","?FAMILIAR",IF(F5268="NEW",IF(ISNA(VLOOKUP(E5268,#REF!,1,FALSE())),"?TYPE_IDENTIFIABLE","?REFERENTIAL"),"_")))))</f>
        <v> </v>
      </c>
      <c r="H5268" s="24" t="str">
        <f>IF(J5268&lt;&gt;1,"",IF(I5268="SBJ","CB","?"))</f>
        <v> </v>
      </c>
      <c r="I5268" s="25" t="str">
        <f>IF(OR(E5268="",E5268="!!!",F5268="NEW"),"",INDEX(B5267:B$2,-1+SUMPRODUCT(MAX(ROW(E5267:E$2)*(E5268=E5267:E$2)))))</f>
        <v> </v>
      </c>
      <c r="J5268" s="25" t="str">
        <f>IF(OR(E5268="",E5268="!!!",F5268="NEW"),"",COUNTBLANK(OFFSET(A$1,,,SUMPRODUCT(MAX(ROW(E$2:E5268)*(E5268=E$2:E5268)))))-COUNTBLANK(OFFSET(A$1,,,SUMPRODUCT(MAX(ROW(E$1:E5267)*(E2=E$1:E5267))))))</f>
        <v> </v>
      </c>
      <c r="K5268" s="25" t="str">
        <f>IF(OR(E5268="",E5268="!!!",F5268="NEW"),"",INDEX(J$1:J5267,SUMPRODUCT(MAX(ROW(E$1:E5267)*(E5268=E$1:E5267)))))</f>
        <v> </v>
      </c>
      <c r="L5268" s="26"/>
    </row>
    <row r="5269" spans="1:12">
      <c r="A5269" s="20" t="s">
        <v>991</v>
      </c>
      <c r="E5269" s="21">
        <f>IF(D5269="?OLD","!!!","")</f>
        <v/>
      </c>
      <c r="F5269" s="22" t="str">
        <f>IF(OR(E5269="",E5269="!!!"),"",IF(NOT(ISNA(VLOOKUP(E5269,E$1:E5268,1,FALSE()))),"OLD",IF(AND(E5269&lt;&gt;"",E5269&lt;&gt;"!!!"),"NEW","")))</f>
        <v> </v>
      </c>
      <c r="G5269" s="23" t="str">
        <f>IF(OR(E5269="",E5269="!!!"),"",IF(OR(J5269=0,AND(J5269=1,K5269=1),AND(J5269=1,I5269="SBJ"),AND(J5269=1,I5269=0)),"?IN_FOCUS",IF(J5269&lt;=2,"?ACTIVATED",IF(J5269&lt;&gt;"","?FAMILIAR",IF(F5269="NEW",IF(ISNA(VLOOKUP(E5269,#REF!,1,FALSE())),"?TYPE_IDENTIFIABLE","?REFERENTIAL"),"_")))))</f>
        <v> </v>
      </c>
      <c r="H5269" s="24" t="str">
        <f>IF(J5269&lt;&gt;1,"",IF(I5269="SBJ","CB","?"))</f>
        <v> </v>
      </c>
      <c r="I5269" s="25" t="str">
        <f>IF(OR(E5269="",E5269="!!!",F5269="NEW"),"",INDEX(B5268:B$2,-1+SUMPRODUCT(MAX(ROW(E5268:E$2)*(E5269=E5268:E$2)))))</f>
        <v> </v>
      </c>
      <c r="J5269" s="25" t="str">
        <f>IF(OR(E5269="",E5269="!!!",F5269="NEW"),"",COUNTBLANK(OFFSET(A$1,,,SUMPRODUCT(MAX(ROW(E$2:E5269)*(E5269=E$2:E5269)))))-COUNTBLANK(OFFSET(A$1,,,SUMPRODUCT(MAX(ROW(E$1:E5268)*(E2=E$1:E5268))))))</f>
        <v> </v>
      </c>
      <c r="K5269" s="25" t="str">
        <f>IF(OR(E5269="",E5269="!!!",F5269="NEW"),"",INDEX(J$1:J5268,SUMPRODUCT(MAX(ROW(E$1:E5268)*(E5269=E$1:E5268)))))</f>
        <v> </v>
      </c>
      <c r="L5269" s="26"/>
    </row>
    <row r="5270" spans="1:12">
      <c r="A5270" s="20" t="s">
        <v>1177</v>
      </c>
      <c r="B5270" s="27" t="s">
        <v>1294</v>
      </c>
      <c r="C5270" s="27" t="s">
        <v>1011</v>
      </c>
      <c r="D5270" s="27" t="s">
        <v>969</v>
      </c>
      <c r="E5270" s="21">
        <f>IF(D5270="?OLD","!!!","")</f>
        <v/>
      </c>
      <c r="F5270" s="22" t="str">
        <f>IF(OR(E5270="",E5270="!!!"),"",IF(NOT(ISNA(VLOOKUP(E5270,E$1:E5269,1,FALSE()))),"OLD",IF(AND(E5270&lt;&gt;"",E5270&lt;&gt;"!!!"),"NEW","")))</f>
        <v> </v>
      </c>
      <c r="G5270" s="23" t="str">
        <f>IF(OR(E5270="",E5270="!!!"),"",IF(OR(J5270=0,AND(J5270=1,K5270=1),AND(J5270=1,I5270="SBJ"),AND(J5270=1,I5270=0)),"?IN_FOCUS",IF(J5270&lt;=2,"?ACTIVATED",IF(J5270&lt;&gt;"","?FAMILIAR",IF(F5270="NEW",IF(ISNA(VLOOKUP(E5270,#REF!,1,FALSE())),"?TYPE_IDENTIFIABLE","?REFERENTIAL"),"_")))))</f>
        <v> </v>
      </c>
      <c r="H5270" s="24" t="str">
        <f>IF(J5270&lt;&gt;1,"",IF(I5270="SBJ","CB","?"))</f>
        <v> </v>
      </c>
      <c r="I5270" s="25" t="str">
        <f>IF(OR(E5270="",E5270="!!!",F5270="NEW"),"",INDEX(B5269:B$2,-1+SUMPRODUCT(MAX(ROW(E5269:E$2)*(E5270=E5269:E$2)))))</f>
        <v> </v>
      </c>
      <c r="J5270" s="25" t="str">
        <f>IF(OR(E5270="",E5270="!!!",F5270="NEW"),"",COUNTBLANK(OFFSET(A$1,,,SUMPRODUCT(MAX(ROW(E$2:E5270)*(E5270=E$2:E5270)))))-COUNTBLANK(OFFSET(A$1,,,SUMPRODUCT(MAX(ROW(E$1:E5269)*(E2=E$1:E5269))))))</f>
        <v> </v>
      </c>
      <c r="K5270" s="25" t="str">
        <f>IF(OR(E5270="",E5270="!!!",F5270="NEW"),"",INDEX(J$1:J5269,SUMPRODUCT(MAX(ROW(E$1:E5269)*(E5270=E$1:E5269)))))</f>
        <v> </v>
      </c>
      <c r="L5270" s="26"/>
    </row>
    <row r="5271" spans="1:12">
      <c r="A5271" s="20" t="s">
        <v>2020</v>
      </c>
      <c r="E5271" s="21">
        <f>IF(D5271="?OLD","!!!","")</f>
        <v/>
      </c>
      <c r="F5271" s="22" t="str">
        <f>IF(OR(E5271="",E5271="!!!"),"",IF(NOT(ISNA(VLOOKUP(E5271,E$1:E5270,1,FALSE()))),"OLD",IF(AND(E5271&lt;&gt;"",E5271&lt;&gt;"!!!"),"NEW","")))</f>
        <v> </v>
      </c>
      <c r="G5271" s="23" t="str">
        <f>IF(OR(E5271="",E5271="!!!"),"",IF(OR(J5271=0,AND(J5271=1,K5271=1),AND(J5271=1,I5271="SBJ"),AND(J5271=1,I5271=0)),"?IN_FOCUS",IF(J5271&lt;=2,"?ACTIVATED",IF(J5271&lt;&gt;"","?FAMILIAR",IF(F5271="NEW",IF(ISNA(VLOOKUP(E5271,#REF!,1,FALSE())),"?TYPE_IDENTIFIABLE","?REFERENTIAL"),"_")))))</f>
        <v> </v>
      </c>
      <c r="H5271" s="24" t="str">
        <f>IF(J5271&lt;&gt;1,"",IF(I5271="SBJ","CB","?"))</f>
        <v> </v>
      </c>
      <c r="I5271" s="25" t="str">
        <f>IF(OR(E5271="",E5271="!!!",F5271="NEW"),"",INDEX(B5270:B$2,-1+SUMPRODUCT(MAX(ROW(E5270:E$2)*(E5271=E5270:E$2)))))</f>
        <v> </v>
      </c>
      <c r="J5271" s="25" t="str">
        <f>IF(OR(E5271="",E5271="!!!",F5271="NEW"),"",COUNTBLANK(OFFSET(A$1,,,SUMPRODUCT(MAX(ROW(E$2:E5271)*(E5271=E$2:E5271)))))-COUNTBLANK(OFFSET(A$1,,,SUMPRODUCT(MAX(ROW(E$1:E5270)*(E2=E$1:E5270))))))</f>
        <v> </v>
      </c>
      <c r="K5271" s="25" t="str">
        <f>IF(OR(E5271="",E5271="!!!",F5271="NEW"),"",INDEX(J$1:J5270,SUMPRODUCT(MAX(ROW(E$1:E5270)*(E5271=E$1:E5270)))))</f>
        <v> </v>
      </c>
      <c r="L5271" s="26"/>
    </row>
    <row r="5272" spans="1:12">
      <c r="A5272" s="20" t="s">
        <v>991</v>
      </c>
      <c r="E5272" s="21">
        <f>IF(D5272="?OLD","!!!","")</f>
        <v/>
      </c>
      <c r="F5272" s="22" t="str">
        <f>IF(OR(E5272="",E5272="!!!"),"",IF(NOT(ISNA(VLOOKUP(E5272,E$1:E5271,1,FALSE()))),"OLD",IF(AND(E5272&lt;&gt;"",E5272&lt;&gt;"!!!"),"NEW","")))</f>
        <v> </v>
      </c>
      <c r="G5272" s="23" t="str">
        <f>IF(OR(E5272="",E5272="!!!"),"",IF(OR(J5272=0,AND(J5272=1,K5272=1),AND(J5272=1,I5272="SBJ"),AND(J5272=1,I5272=0)),"?IN_FOCUS",IF(J5272&lt;=2,"?ACTIVATED",IF(J5272&lt;&gt;"","?FAMILIAR",IF(F5272="NEW",IF(ISNA(VLOOKUP(E5272,#REF!,1,FALSE())),"?TYPE_IDENTIFIABLE","?REFERENTIAL"),"_")))))</f>
        <v> </v>
      </c>
      <c r="H5272" s="24" t="str">
        <f>IF(J5272&lt;&gt;1,"",IF(I5272="SBJ","CB","?"))</f>
        <v> </v>
      </c>
      <c r="I5272" s="25" t="str">
        <f>IF(OR(E5272="",E5272="!!!",F5272="NEW"),"",INDEX(B5271:B$2,-1+SUMPRODUCT(MAX(ROW(E5271:E$2)*(E5272=E5271:E$2)))))</f>
        <v> </v>
      </c>
      <c r="J5272" s="25" t="str">
        <f>IF(OR(E5272="",E5272="!!!",F5272="NEW"),"",COUNTBLANK(OFFSET(A$1,,,SUMPRODUCT(MAX(ROW(E$2:E5272)*(E5272=E$2:E5272)))))-COUNTBLANK(OFFSET(A$1,,,SUMPRODUCT(MAX(ROW(E$1:E5271)*(E2=E$1:E5271))))))</f>
        <v> </v>
      </c>
      <c r="K5272" s="25" t="str">
        <f>IF(OR(E5272="",E5272="!!!",F5272="NEW"),"",INDEX(J$1:J5271,SUMPRODUCT(MAX(ROW(E$1:E5271)*(E5272=E$1:E5271)))))</f>
        <v> </v>
      </c>
      <c r="L5272" s="26"/>
    </row>
    <row r="5273" spans="1:12">
      <c r="A5273" s="20" t="s">
        <v>1114</v>
      </c>
      <c r="E5273" s="21">
        <f>IF(D5273="?OLD","!!!","")</f>
        <v/>
      </c>
      <c r="F5273" s="22" t="str">
        <f>IF(OR(E5273="",E5273="!!!"),"",IF(NOT(ISNA(VLOOKUP(E5273,E$1:E5272,1,FALSE()))),"OLD",IF(AND(E5273&lt;&gt;"",E5273&lt;&gt;"!!!"),"NEW","")))</f>
        <v> </v>
      </c>
      <c r="G5273" s="23" t="str">
        <f>IF(OR(E5273="",E5273="!!!"),"",IF(OR(J5273=0,AND(J5273=1,K5273=1),AND(J5273=1,I5273="SBJ"),AND(J5273=1,I5273=0)),"?IN_FOCUS",IF(J5273&lt;=2,"?ACTIVATED",IF(J5273&lt;&gt;"","?FAMILIAR",IF(F5273="NEW",IF(ISNA(VLOOKUP(E5273,#REF!,1,FALSE())),"?TYPE_IDENTIFIABLE","?REFERENTIAL"),"_")))))</f>
        <v> </v>
      </c>
      <c r="H5273" s="24" t="str">
        <f>IF(J5273&lt;&gt;1,"",IF(I5273="SBJ","CB","?"))</f>
        <v> </v>
      </c>
      <c r="I5273" s="25" t="str">
        <f>IF(OR(E5273="",E5273="!!!",F5273="NEW"),"",INDEX(B5272:B$2,-1+SUMPRODUCT(MAX(ROW(E5272:E$2)*(E5273=E5272:E$2)))))</f>
        <v> </v>
      </c>
      <c r="J5273" s="25" t="str">
        <f>IF(OR(E5273="",E5273="!!!",F5273="NEW"),"",COUNTBLANK(OFFSET(A$1,,,SUMPRODUCT(MAX(ROW(E$2:E5273)*(E5273=E$2:E5273)))))-COUNTBLANK(OFFSET(A$1,,,SUMPRODUCT(MAX(ROW(E$1:E5272)*(E2=E$1:E5272))))))</f>
        <v> </v>
      </c>
      <c r="K5273" s="25" t="str">
        <f>IF(OR(E5273="",E5273="!!!",F5273="NEW"),"",INDEX(J$1:J5272,SUMPRODUCT(MAX(ROW(E$1:E5272)*(E5273=E$1:E5272)))))</f>
        <v> </v>
      </c>
      <c r="L5273" s="26"/>
    </row>
    <row r="5274" spans="1:12">
      <c r="A5274" s="20" t="s">
        <v>1220</v>
      </c>
      <c r="B5274" s="27" t="s">
        <v>1588</v>
      </c>
      <c r="C5274" s="27" t="s">
        <v>1001</v>
      </c>
      <c r="E5274" s="21">
        <f>IF(D5274="?OLD","!!!","")</f>
        <v/>
      </c>
      <c r="F5274" s="22" t="str">
        <f>IF(OR(E5274="",E5274="!!!"),"",IF(NOT(ISNA(VLOOKUP(E5274,E$1:E5273,1,FALSE()))),"OLD",IF(AND(E5274&lt;&gt;"",E5274&lt;&gt;"!!!"),"NEW","")))</f>
        <v> </v>
      </c>
      <c r="G5274" s="23" t="str">
        <f>IF(OR(E5274="",E5274="!!!"),"",IF(OR(J5274=0,AND(J5274=1,K5274=1),AND(J5274=1,I5274="SBJ"),AND(J5274=1,I5274=0)),"?IN_FOCUS",IF(J5274&lt;=2,"?ACTIVATED",IF(J5274&lt;&gt;"","?FAMILIAR",IF(F5274="NEW",IF(ISNA(VLOOKUP(E5274,#REF!,1,FALSE())),"?TYPE_IDENTIFIABLE","?REFERENTIAL"),"_")))))</f>
        <v> </v>
      </c>
      <c r="H5274" s="24" t="str">
        <f>IF(J5274&lt;&gt;1,"",IF(I5274="SBJ","CB","?"))</f>
        <v> </v>
      </c>
      <c r="I5274" s="25" t="str">
        <f>IF(OR(E5274="",E5274="!!!",F5274="NEW"),"",INDEX(B5273:B$2,-1+SUMPRODUCT(MAX(ROW(E5273:E$2)*(E5274=E5273:E$2)))))</f>
        <v> </v>
      </c>
      <c r="J5274" s="25" t="str">
        <f>IF(OR(E5274="",E5274="!!!",F5274="NEW"),"",COUNTBLANK(OFFSET(A$1,,,SUMPRODUCT(MAX(ROW(E$2:E5274)*(E5274=E$2:E5274)))))-COUNTBLANK(OFFSET(A$1,,,SUMPRODUCT(MAX(ROW(E$1:E5273)*(E2=E$1:E5273))))))</f>
        <v> </v>
      </c>
      <c r="K5274" s="25" t="str">
        <f>IF(OR(E5274="",E5274="!!!",F5274="NEW"),"",INDEX(J$1:J5273,SUMPRODUCT(MAX(ROW(E$1:E5273)*(E5274=E$1:E5273)))))</f>
        <v> </v>
      </c>
      <c r="L5274" s="26"/>
    </row>
    <row r="5275" spans="1:12">
      <c r="A5275" s="20" t="s">
        <v>1024</v>
      </c>
      <c r="E5275" s="21">
        <f>IF(D5275="?OLD","!!!","")</f>
        <v/>
      </c>
      <c r="F5275" s="22" t="str">
        <f>IF(OR(E5275="",E5275="!!!"),"",IF(NOT(ISNA(VLOOKUP(E5275,E$1:E5274,1,FALSE()))),"OLD",IF(AND(E5275&lt;&gt;"",E5275&lt;&gt;"!!!"),"NEW","")))</f>
        <v> </v>
      </c>
      <c r="G5275" s="23" t="str">
        <f>IF(OR(E5275="",E5275="!!!"),"",IF(OR(J5275=0,AND(J5275=1,K5275=1),AND(J5275=1,I5275="SBJ"),AND(J5275=1,I5275=0)),"?IN_FOCUS",IF(J5275&lt;=2,"?ACTIVATED",IF(J5275&lt;&gt;"","?FAMILIAR",IF(F5275="NEW",IF(ISNA(VLOOKUP(E5275,#REF!,1,FALSE())),"?TYPE_IDENTIFIABLE","?REFERENTIAL"),"_")))))</f>
        <v> </v>
      </c>
      <c r="H5275" s="24" t="str">
        <f>IF(J5275&lt;&gt;1,"",IF(I5275="SBJ","CB","?"))</f>
        <v> </v>
      </c>
      <c r="I5275" s="25" t="str">
        <f>IF(OR(E5275="",E5275="!!!",F5275="NEW"),"",INDEX(B5274:B$2,-1+SUMPRODUCT(MAX(ROW(E5274:E$2)*(E5275=E5274:E$2)))))</f>
        <v> </v>
      </c>
      <c r="J5275" s="25" t="str">
        <f>IF(OR(E5275="",E5275="!!!",F5275="NEW"),"",COUNTBLANK(OFFSET(A$1,,,SUMPRODUCT(MAX(ROW(E$2:E5275)*(E5275=E$2:E5275)))))-COUNTBLANK(OFFSET(A$1,,,SUMPRODUCT(MAX(ROW(E$1:E5274)*(E2=E$1:E5274))))))</f>
        <v> </v>
      </c>
      <c r="K5275" s="25" t="str">
        <f>IF(OR(E5275="",E5275="!!!",F5275="NEW"),"",INDEX(J$1:J5274,SUMPRODUCT(MAX(ROW(E$1:E5274)*(E5275=E$1:E5274)))))</f>
        <v> </v>
      </c>
      <c r="L5275" s="26"/>
    </row>
    <row r="5276" spans="1:12">
      <c r="A5276" s="20" t="s">
        <v>1236</v>
      </c>
      <c r="B5276" s="27" t="s">
        <v>1905</v>
      </c>
      <c r="C5276" s="27" t="s">
        <v>979</v>
      </c>
      <c r="D5276" s="27" t="s">
        <v>969</v>
      </c>
      <c r="E5276" s="21">
        <f>IF(D5276="?OLD","!!!","")</f>
        <v/>
      </c>
      <c r="F5276" s="22" t="str">
        <f>IF(OR(E5276="",E5276="!!!"),"",IF(NOT(ISNA(VLOOKUP(E5276,E$1:E5275,1,FALSE()))),"OLD",IF(AND(E5276&lt;&gt;"",E5276&lt;&gt;"!!!"),"NEW","")))</f>
        <v> </v>
      </c>
      <c r="G5276" s="23" t="str">
        <f>IF(OR(E5276="",E5276="!!!"),"",IF(OR(J5276=0,AND(J5276=1,K5276=1),AND(J5276=1,I5276="SBJ"),AND(J5276=1,I5276=0)),"?IN_FOCUS",IF(J5276&lt;=2,"?ACTIVATED",IF(J5276&lt;&gt;"","?FAMILIAR",IF(F5276="NEW",IF(ISNA(VLOOKUP(E5276,#REF!,1,FALSE())),"?TYPE_IDENTIFIABLE","?REFERENTIAL"),"_")))))</f>
        <v> </v>
      </c>
      <c r="H5276" s="24" t="str">
        <f>IF(J5276&lt;&gt;1,"",IF(I5276="SBJ","CB","?"))</f>
        <v> </v>
      </c>
      <c r="I5276" s="25" t="str">
        <f>IF(OR(E5276="",E5276="!!!",F5276="NEW"),"",INDEX(B5275:B$2,-1+SUMPRODUCT(MAX(ROW(E5275:E$2)*(E5276=E5275:E$2)))))</f>
        <v> </v>
      </c>
      <c r="J5276" s="25" t="str">
        <f>IF(OR(E5276="",E5276="!!!",F5276="NEW"),"",COUNTBLANK(OFFSET(A$1,,,SUMPRODUCT(MAX(ROW(E$2:E5276)*(E5276=E$2:E5276)))))-COUNTBLANK(OFFSET(A$1,,,SUMPRODUCT(MAX(ROW(E$1:E5275)*(E2=E$1:E5275))))))</f>
        <v> </v>
      </c>
      <c r="K5276" s="25" t="str">
        <f>IF(OR(E5276="",E5276="!!!",F5276="NEW"),"",INDEX(J$1:J5275,SUMPRODUCT(MAX(ROW(E$1:E5275)*(E5276=E$1:E5275)))))</f>
        <v> </v>
      </c>
      <c r="L5276" s="26"/>
    </row>
    <row r="5277" spans="1:12">
      <c r="A5277" s="20" t="s">
        <v>384</v>
      </c>
      <c r="E5277" s="21">
        <f>IF(D5277="?OLD","!!!","")</f>
        <v/>
      </c>
      <c r="F5277" s="22" t="str">
        <f>IF(OR(E5277="",E5277="!!!"),"",IF(NOT(ISNA(VLOOKUP(E5277,E$1:E5276,1,FALSE()))),"OLD",IF(AND(E5277&lt;&gt;"",E5277&lt;&gt;"!!!"),"NEW","")))</f>
        <v> </v>
      </c>
      <c r="G5277" s="23" t="str">
        <f>IF(OR(E5277="",E5277="!!!"),"",IF(OR(J5277=0,AND(J5277=1,K5277=1),AND(J5277=1,I5277="SBJ"),AND(J5277=1,I5277=0)),"?IN_FOCUS",IF(J5277&lt;=2,"?ACTIVATED",IF(J5277&lt;&gt;"","?FAMILIAR",IF(F5277="NEW",IF(ISNA(VLOOKUP(E5277,#REF!,1,FALSE())),"?TYPE_IDENTIFIABLE","?REFERENTIAL"),"_")))))</f>
        <v> </v>
      </c>
      <c r="H5277" s="24" t="str">
        <f>IF(J5277&lt;&gt;1,"",IF(I5277="SBJ","CB","?"))</f>
        <v> </v>
      </c>
      <c r="I5277" s="25" t="str">
        <f>IF(OR(E5277="",E5277="!!!",F5277="NEW"),"",INDEX(B5276:B$2,-1+SUMPRODUCT(MAX(ROW(E5276:E$2)*(E5277=E5276:E$2)))))</f>
        <v> </v>
      </c>
      <c r="J5277" s="25" t="str">
        <f>IF(OR(E5277="",E5277="!!!",F5277="NEW"),"",COUNTBLANK(OFFSET(A$1,,,SUMPRODUCT(MAX(ROW(E$2:E5277)*(E5277=E$2:E5277)))))-COUNTBLANK(OFFSET(A$1,,,SUMPRODUCT(MAX(ROW(E$1:E5276)*(E2=E$1:E5276))))))</f>
        <v> </v>
      </c>
      <c r="K5277" s="25" t="str">
        <f>IF(OR(E5277="",E5277="!!!",F5277="NEW"),"",INDEX(J$1:J5276,SUMPRODUCT(MAX(ROW(E$1:E5276)*(E5277=E$1:E5276)))))</f>
        <v> </v>
      </c>
      <c r="L5277" s="26"/>
    </row>
    <row r="5278" spans="1:12">
      <c r="A5278" s="20" t="s">
        <v>1147</v>
      </c>
      <c r="B5278" s="27" t="s">
        <v>1398</v>
      </c>
      <c r="C5278" s="27" t="s">
        <v>1123</v>
      </c>
      <c r="E5278" s="21">
        <f>IF(D5278="?OLD","!!!","")</f>
        <v/>
      </c>
      <c r="F5278" s="22" t="str">
        <f>IF(OR(E5278="",E5278="!!!"),"",IF(NOT(ISNA(VLOOKUP(E5278,E$1:E5277,1,FALSE()))),"OLD",IF(AND(E5278&lt;&gt;"",E5278&lt;&gt;"!!!"),"NEW","")))</f>
        <v> </v>
      </c>
      <c r="G5278" s="23" t="str">
        <f>IF(OR(E5278="",E5278="!!!"),"",IF(OR(J5278=0,AND(J5278=1,K5278=1),AND(J5278=1,I5278="SBJ"),AND(J5278=1,I5278=0)),"?IN_FOCUS",IF(J5278&lt;=2,"?ACTIVATED",IF(J5278&lt;&gt;"","?FAMILIAR",IF(F5278="NEW",IF(ISNA(VLOOKUP(E5278,#REF!,1,FALSE())),"?TYPE_IDENTIFIABLE","?REFERENTIAL"),"_")))))</f>
        <v> </v>
      </c>
      <c r="H5278" s="24" t="str">
        <f>IF(J5278&lt;&gt;1,"",IF(I5278="SBJ","CB","?"))</f>
        <v> </v>
      </c>
      <c r="I5278" s="25" t="str">
        <f>IF(OR(E5278="",E5278="!!!",F5278="NEW"),"",INDEX(B5277:B$2,-1+SUMPRODUCT(MAX(ROW(E5277:E$2)*(E5278=E5277:E$2)))))</f>
        <v> </v>
      </c>
      <c r="J5278" s="25" t="str">
        <f>IF(OR(E5278="",E5278="!!!",F5278="NEW"),"",COUNTBLANK(OFFSET(A$1,,,SUMPRODUCT(MAX(ROW(E$2:E5278)*(E5278=E$2:E5278)))))-COUNTBLANK(OFFSET(A$1,,,SUMPRODUCT(MAX(ROW(E$1:E5277)*(E2=E$1:E5277))))))</f>
        <v> </v>
      </c>
      <c r="K5278" s="25" t="str">
        <f>IF(OR(E5278="",E5278="!!!",F5278="NEW"),"",INDEX(J$1:J5277,SUMPRODUCT(MAX(ROW(E$1:E5277)*(E5278=E$1:E5277)))))</f>
        <v> </v>
      </c>
      <c r="L5278" s="26"/>
    </row>
    <row r="5279" spans="1:12">
      <c r="A5279" s="20" t="s">
        <v>2434</v>
      </c>
      <c r="E5279" s="21">
        <f>IF(D5279="?OLD","!!!","")</f>
        <v/>
      </c>
      <c r="F5279" s="22" t="str">
        <f>IF(OR(E5279="",E5279="!!!"),"",IF(NOT(ISNA(VLOOKUP(E5279,E$1:E5278,1,FALSE()))),"OLD",IF(AND(E5279&lt;&gt;"",E5279&lt;&gt;"!!!"),"NEW","")))</f>
        <v> </v>
      </c>
      <c r="G5279" s="23" t="str">
        <f>IF(OR(E5279="",E5279="!!!"),"",IF(OR(J5279=0,AND(J5279=1,K5279=1),AND(J5279=1,I5279="SBJ"),AND(J5279=1,I5279=0)),"?IN_FOCUS",IF(J5279&lt;=2,"?ACTIVATED",IF(J5279&lt;&gt;"","?FAMILIAR",IF(F5279="NEW",IF(ISNA(VLOOKUP(E5279,#REF!,1,FALSE())),"?TYPE_IDENTIFIABLE","?REFERENTIAL"),"_")))))</f>
        <v> </v>
      </c>
      <c r="H5279" s="24" t="str">
        <f>IF(J5279&lt;&gt;1,"",IF(I5279="SBJ","CB","?"))</f>
        <v> </v>
      </c>
      <c r="I5279" s="25" t="str">
        <f>IF(OR(E5279="",E5279="!!!",F5279="NEW"),"",INDEX(B5278:B$2,-1+SUMPRODUCT(MAX(ROW(E5278:E$2)*(E5279=E5278:E$2)))))</f>
        <v> </v>
      </c>
      <c r="J5279" s="25" t="str">
        <f>IF(OR(E5279="",E5279="!!!",F5279="NEW"),"",COUNTBLANK(OFFSET(A$1,,,SUMPRODUCT(MAX(ROW(E$2:E5279)*(E5279=E$2:E5279)))))-COUNTBLANK(OFFSET(A$1,,,SUMPRODUCT(MAX(ROW(E$1:E5278)*(E2=E$1:E5278))))))</f>
        <v> </v>
      </c>
      <c r="K5279" s="25" t="str">
        <f>IF(OR(E5279="",E5279="!!!",F5279="NEW"),"",INDEX(J$1:J5278,SUMPRODUCT(MAX(ROW(E$1:E5278)*(E5279=E$1:E5278)))))</f>
        <v> </v>
      </c>
      <c r="L5279" s="26"/>
    </row>
    <row r="5280" spans="1:12">
      <c r="A5280" s="20" t="s">
        <v>980</v>
      </c>
      <c r="E5280" s="21">
        <f>IF(D5280="?OLD","!!!","")</f>
        <v/>
      </c>
      <c r="F5280" s="22" t="str">
        <f>IF(OR(E5280="",E5280="!!!"),"",IF(NOT(ISNA(VLOOKUP(E5280,E$1:E5279,1,FALSE()))),"OLD",IF(AND(E5280&lt;&gt;"",E5280&lt;&gt;"!!!"),"NEW","")))</f>
        <v> </v>
      </c>
      <c r="G5280" s="23" t="str">
        <f>IF(OR(E5280="",E5280="!!!"),"",IF(OR(J5280=0,AND(J5280=1,K5280=1),AND(J5280=1,I5280="SBJ"),AND(J5280=1,I5280=0)),"?IN_FOCUS",IF(J5280&lt;=2,"?ACTIVATED",IF(J5280&lt;&gt;"","?FAMILIAR",IF(F5280="NEW",IF(ISNA(VLOOKUP(E5280,#REF!,1,FALSE())),"?TYPE_IDENTIFIABLE","?REFERENTIAL"),"_")))))</f>
        <v> </v>
      </c>
      <c r="H5280" s="24" t="str">
        <f>IF(J5280&lt;&gt;1,"",IF(I5280="SBJ","CB","?"))</f>
        <v> </v>
      </c>
      <c r="I5280" s="25" t="str">
        <f>IF(OR(E5280="",E5280="!!!",F5280="NEW"),"",INDEX(B5279:B$2,-1+SUMPRODUCT(MAX(ROW(E5279:E$2)*(E5280=E5279:E$2)))))</f>
        <v> </v>
      </c>
      <c r="J5280" s="25" t="str">
        <f>IF(OR(E5280="",E5280="!!!",F5280="NEW"),"",COUNTBLANK(OFFSET(A$1,,,SUMPRODUCT(MAX(ROW(E$2:E5280)*(E5280=E$2:E5280)))))-COUNTBLANK(OFFSET(A$1,,,SUMPRODUCT(MAX(ROW(E$1:E5279)*(E2=E$1:E5279))))))</f>
        <v> </v>
      </c>
      <c r="K5280" s="25" t="str">
        <f>IF(OR(E5280="",E5280="!!!",F5280="NEW"),"",INDEX(J$1:J5279,SUMPRODUCT(MAX(ROW(E$1:E5279)*(E5280=E$1:E5279)))))</f>
        <v> </v>
      </c>
      <c r="L5280" s="26"/>
    </row>
    <row r="5281" spans="1:12">
      <c r="A5281" s="20" t="s">
        <v>1086</v>
      </c>
      <c r="E5281" s="21">
        <f>IF(D5281="?OLD","!!!","")</f>
        <v/>
      </c>
      <c r="F5281" s="22" t="str">
        <f>IF(OR(E5281="",E5281="!!!"),"",IF(NOT(ISNA(VLOOKUP(E5281,E$1:E5280,1,FALSE()))),"OLD",IF(AND(E5281&lt;&gt;"",E5281&lt;&gt;"!!!"),"NEW","")))</f>
        <v> </v>
      </c>
      <c r="G5281" s="23" t="str">
        <f>IF(OR(E5281="",E5281="!!!"),"",IF(OR(J5281=0,AND(J5281=1,K5281=1),AND(J5281=1,I5281="SBJ"),AND(J5281=1,I5281=0)),"?IN_FOCUS",IF(J5281&lt;=2,"?ACTIVATED",IF(J5281&lt;&gt;"","?FAMILIAR",IF(F5281="NEW",IF(ISNA(VLOOKUP(E5281,#REF!,1,FALSE())),"?TYPE_IDENTIFIABLE","?REFERENTIAL"),"_")))))</f>
        <v> </v>
      </c>
      <c r="H5281" s="24" t="str">
        <f>IF(J5281&lt;&gt;1,"",IF(I5281="SBJ","CB","?"))</f>
        <v> </v>
      </c>
      <c r="I5281" s="25" t="str">
        <f>IF(OR(E5281="",E5281="!!!",F5281="NEW"),"",INDEX(B5280:B$2,-1+SUMPRODUCT(MAX(ROW(E5280:E$2)*(E5281=E5280:E$2)))))</f>
        <v> </v>
      </c>
      <c r="J5281" s="25" t="str">
        <f>IF(OR(E5281="",E5281="!!!",F5281="NEW"),"",COUNTBLANK(OFFSET(A$1,,,SUMPRODUCT(MAX(ROW(E$2:E5281)*(E5281=E$2:E5281)))))-COUNTBLANK(OFFSET(A$1,,,SUMPRODUCT(MAX(ROW(E$1:E5280)*(E2=E$1:E5280))))))</f>
        <v> </v>
      </c>
      <c r="K5281" s="25" t="str">
        <f>IF(OR(E5281="",E5281="!!!",F5281="NEW"),"",INDEX(J$1:J5280,SUMPRODUCT(MAX(ROW(E$1:E5280)*(E5281=E$1:E5280)))))</f>
        <v> </v>
      </c>
      <c r="L5281" s="26"/>
    </row>
    <row r="5282" spans="1:12">
      <c r="A5282" s="20" t="s">
        <v>2435</v>
      </c>
      <c r="E5282" s="21">
        <f>IF(D5282="?OLD","!!!","")</f>
        <v/>
      </c>
      <c r="F5282" s="22" t="str">
        <f>IF(OR(E5282="",E5282="!!!"),"",IF(NOT(ISNA(VLOOKUP(E5282,E$1:E5281,1,FALSE()))),"OLD",IF(AND(E5282&lt;&gt;"",E5282&lt;&gt;"!!!"),"NEW","")))</f>
        <v> </v>
      </c>
      <c r="G5282" s="23" t="str">
        <f>IF(OR(E5282="",E5282="!!!"),"",IF(OR(J5282=0,AND(J5282=1,K5282=1),AND(J5282=1,I5282="SBJ"),AND(J5282=1,I5282=0)),"?IN_FOCUS",IF(J5282&lt;=2,"?ACTIVATED",IF(J5282&lt;&gt;"","?FAMILIAR",IF(F5282="NEW",IF(ISNA(VLOOKUP(E5282,#REF!,1,FALSE())),"?TYPE_IDENTIFIABLE","?REFERENTIAL"),"_")))))</f>
        <v> </v>
      </c>
      <c r="H5282" s="24" t="str">
        <f>IF(J5282&lt;&gt;1,"",IF(I5282="SBJ","CB","?"))</f>
        <v> </v>
      </c>
      <c r="I5282" s="25" t="str">
        <f>IF(OR(E5282="",E5282="!!!",F5282="NEW"),"",INDEX(B5281:B$2,-1+SUMPRODUCT(MAX(ROW(E5281:E$2)*(E5282=E5281:E$2)))))</f>
        <v> </v>
      </c>
      <c r="J5282" s="25" t="str">
        <f>IF(OR(E5282="",E5282="!!!",F5282="NEW"),"",COUNTBLANK(OFFSET(A$1,,,SUMPRODUCT(MAX(ROW(E$2:E5282)*(E5282=E$2:E5282)))))-COUNTBLANK(OFFSET(A$1,,,SUMPRODUCT(MAX(ROW(E$1:E5281)*(E2=E$1:E5281))))))</f>
        <v> </v>
      </c>
      <c r="K5282" s="25" t="str">
        <f>IF(OR(E5282="",E5282="!!!",F5282="NEW"),"",INDEX(J$1:J5281,SUMPRODUCT(MAX(ROW(E$1:E5281)*(E5282=E$1:E5281)))))</f>
        <v> </v>
      </c>
      <c r="L5282" s="26"/>
    </row>
    <row r="5283" spans="1:12">
      <c r="A5283" s="20" t="s">
        <v>991</v>
      </c>
      <c r="E5283" s="21">
        <f>IF(D5283="?OLD","!!!","")</f>
        <v/>
      </c>
      <c r="F5283" s="22" t="str">
        <f>IF(OR(E5283="",E5283="!!!"),"",IF(NOT(ISNA(VLOOKUP(E5283,E$1:E5282,1,FALSE()))),"OLD",IF(AND(E5283&lt;&gt;"",E5283&lt;&gt;"!!!"),"NEW","")))</f>
        <v> </v>
      </c>
      <c r="G5283" s="23" t="str">
        <f>IF(OR(E5283="",E5283="!!!"),"",IF(OR(J5283=0,AND(J5283=1,K5283=1),AND(J5283=1,I5283="SBJ"),AND(J5283=1,I5283=0)),"?IN_FOCUS",IF(J5283&lt;=2,"?ACTIVATED",IF(J5283&lt;&gt;"","?FAMILIAR",IF(F5283="NEW",IF(ISNA(VLOOKUP(E5283,#REF!,1,FALSE())),"?TYPE_IDENTIFIABLE","?REFERENTIAL"),"_")))))</f>
        <v> </v>
      </c>
      <c r="H5283" s="24" t="str">
        <f>IF(J5283&lt;&gt;1,"",IF(I5283="SBJ","CB","?"))</f>
        <v> </v>
      </c>
      <c r="I5283" s="25" t="str">
        <f>IF(OR(E5283="",E5283="!!!",F5283="NEW"),"",INDEX(B5282:B$2,-1+SUMPRODUCT(MAX(ROW(E5282:E$2)*(E5283=E5282:E$2)))))</f>
        <v> </v>
      </c>
      <c r="J5283" s="25" t="str">
        <f>IF(OR(E5283="",E5283="!!!",F5283="NEW"),"",COUNTBLANK(OFFSET(A$1,,,SUMPRODUCT(MAX(ROW(E$2:E5283)*(E5283=E$2:E5283)))))-COUNTBLANK(OFFSET(A$1,,,SUMPRODUCT(MAX(ROW(E$1:E5282)*(E2=E$1:E5282))))))</f>
        <v> </v>
      </c>
      <c r="K5283" s="25" t="str">
        <f>IF(OR(E5283="",E5283="!!!",F5283="NEW"),"",INDEX(J$1:J5282,SUMPRODUCT(MAX(ROW(E$1:E5282)*(E5283=E$1:E5282)))))</f>
        <v> </v>
      </c>
      <c r="L5283" s="26"/>
    </row>
    <row r="5284" spans="1:12">
      <c r="A5284" s="20" t="s">
        <v>992</v>
      </c>
      <c r="E5284" s="21">
        <f>IF(D5284="?OLD","!!!","")</f>
        <v/>
      </c>
      <c r="F5284" s="22" t="str">
        <f>IF(OR(E5284="",E5284="!!!"),"",IF(NOT(ISNA(VLOOKUP(E5284,E$1:E5283,1,FALSE()))),"OLD",IF(AND(E5284&lt;&gt;"",E5284&lt;&gt;"!!!"),"NEW","")))</f>
        <v> </v>
      </c>
      <c r="G5284" s="23" t="str">
        <f>IF(OR(E5284="",E5284="!!!"),"",IF(OR(J5284=0,AND(J5284=1,K5284=1),AND(J5284=1,I5284="SBJ"),AND(J5284=1,I5284=0)),"?IN_FOCUS",IF(J5284&lt;=2,"?ACTIVATED",IF(J5284&lt;&gt;"","?FAMILIAR",IF(F5284="NEW",IF(ISNA(VLOOKUP(E5284,#REF!,1,FALSE())),"?TYPE_IDENTIFIABLE","?REFERENTIAL"),"_")))))</f>
        <v> </v>
      </c>
      <c r="H5284" s="24" t="str">
        <f>IF(J5284&lt;&gt;1,"",IF(I5284="SBJ","CB","?"))</f>
        <v> </v>
      </c>
      <c r="I5284" s="25" t="str">
        <f>IF(OR(E5284="",E5284="!!!",F5284="NEW"),"",INDEX(B5283:B$2,-1+SUMPRODUCT(MAX(ROW(E5283:E$2)*(E5284=E5283:E$2)))))</f>
        <v> </v>
      </c>
      <c r="J5284" s="25" t="str">
        <f>IF(OR(E5284="",E5284="!!!",F5284="NEW"),"",COUNTBLANK(OFFSET(A$1,,,SUMPRODUCT(MAX(ROW(E$2:E5284)*(E5284=E$2:E5284)))))-COUNTBLANK(OFFSET(A$1,,,SUMPRODUCT(MAX(ROW(E$1:E5283)*(E2=E$1:E5283))))))</f>
        <v> </v>
      </c>
      <c r="K5284" s="25" t="str">
        <f>IF(OR(E5284="",E5284="!!!",F5284="NEW"),"",INDEX(J$1:J5283,SUMPRODUCT(MAX(ROW(E$1:E5283)*(E5284=E$1:E5283)))))</f>
        <v> </v>
      </c>
      <c r="L5284" s="26"/>
    </row>
    <row r="5285" spans="1:12">
      <c r="A5285" s="20" t="s">
        <v>1086</v>
      </c>
      <c r="B5285" s="27" t="s">
        <v>2345</v>
      </c>
      <c r="C5285" s="27" t="s">
        <v>968</v>
      </c>
      <c r="D5285" s="27" t="s">
        <v>969</v>
      </c>
      <c r="E5285" s="21">
        <f>IF(D5285="?OLD","!!!","")</f>
        <v/>
      </c>
      <c r="F5285" s="22" t="str">
        <f>IF(OR(E5285="",E5285="!!!"),"",IF(NOT(ISNA(VLOOKUP(E5285,E$1:E5284,1,FALSE()))),"OLD",IF(AND(E5285&lt;&gt;"",E5285&lt;&gt;"!!!"),"NEW","")))</f>
        <v> </v>
      </c>
      <c r="G5285" s="23" t="str">
        <f>IF(OR(E5285="",E5285="!!!"),"",IF(OR(J5285=0,AND(J5285=1,K5285=1),AND(J5285=1,I5285="SBJ"),AND(J5285=1,I5285=0)),"?IN_FOCUS",IF(J5285&lt;=2,"?ACTIVATED",IF(J5285&lt;&gt;"","?FAMILIAR",IF(F5285="NEW",IF(ISNA(VLOOKUP(E5285,#REF!,1,FALSE())),"?TYPE_IDENTIFIABLE","?REFERENTIAL"),"_")))))</f>
        <v> </v>
      </c>
      <c r="H5285" s="24" t="str">
        <f>IF(J5285&lt;&gt;1,"",IF(I5285="SBJ","CB","?"))</f>
        <v> </v>
      </c>
      <c r="I5285" s="25" t="str">
        <f>IF(OR(E5285="",E5285="!!!",F5285="NEW"),"",INDEX(B5284:B$2,-1+SUMPRODUCT(MAX(ROW(E5284:E$2)*(E5285=E5284:E$2)))))</f>
        <v> </v>
      </c>
      <c r="J5285" s="25" t="str">
        <f>IF(OR(E5285="",E5285="!!!",F5285="NEW"),"",COUNTBLANK(OFFSET(A$1,,,SUMPRODUCT(MAX(ROW(E$2:E5285)*(E5285=E$2:E5285)))))-COUNTBLANK(OFFSET(A$1,,,SUMPRODUCT(MAX(ROW(E$1:E5284)*(E2=E$1:E5284))))))</f>
        <v> </v>
      </c>
      <c r="K5285" s="25" t="str">
        <f>IF(OR(E5285="",E5285="!!!",F5285="NEW"),"",INDEX(J$1:J5284,SUMPRODUCT(MAX(ROW(E$1:E5284)*(E5285=E$1:E5284)))))</f>
        <v> </v>
      </c>
      <c r="L5285" s="26"/>
    </row>
    <row r="5286" spans="1:12">
      <c r="A5286" s="20" t="s">
        <v>1394</v>
      </c>
      <c r="E5286" s="21">
        <f>IF(D5286="?OLD","!!!","")</f>
        <v/>
      </c>
      <c r="F5286" s="22" t="str">
        <f>IF(OR(E5286="",E5286="!!!"),"",IF(NOT(ISNA(VLOOKUP(E5286,E$1:E5285,1,FALSE()))),"OLD",IF(AND(E5286&lt;&gt;"",E5286&lt;&gt;"!!!"),"NEW","")))</f>
        <v> </v>
      </c>
      <c r="G5286" s="23" t="str">
        <f>IF(OR(E5286="",E5286="!!!"),"",IF(OR(J5286=0,AND(J5286=1,K5286=1),AND(J5286=1,I5286="SBJ"),AND(J5286=1,I5286=0)),"?IN_FOCUS",IF(J5286&lt;=2,"?ACTIVATED",IF(J5286&lt;&gt;"","?FAMILIAR",IF(F5286="NEW",IF(ISNA(VLOOKUP(E5286,#REF!,1,FALSE())),"?TYPE_IDENTIFIABLE","?REFERENTIAL"),"_")))))</f>
        <v> </v>
      </c>
      <c r="H5286" s="24" t="str">
        <f>IF(J5286&lt;&gt;1,"",IF(I5286="SBJ","CB","?"))</f>
        <v> </v>
      </c>
      <c r="I5286" s="25" t="str">
        <f>IF(OR(E5286="",E5286="!!!",F5286="NEW"),"",INDEX(B5285:B$2,-1+SUMPRODUCT(MAX(ROW(E5285:E$2)*(E5286=E5285:E$2)))))</f>
        <v> </v>
      </c>
      <c r="J5286" s="25" t="str">
        <f>IF(OR(E5286="",E5286="!!!",F5286="NEW"),"",COUNTBLANK(OFFSET(A$1,,,SUMPRODUCT(MAX(ROW(E$2:E5286)*(E5286=E$2:E5286)))))-COUNTBLANK(OFFSET(A$1,,,SUMPRODUCT(MAX(ROW(E$1:E5285)*(E2=E$1:E5285))))))</f>
        <v> </v>
      </c>
      <c r="K5286" s="25" t="str">
        <f>IF(OR(E5286="",E5286="!!!",F5286="NEW"),"",INDEX(J$1:J5285,SUMPRODUCT(MAX(ROW(E$1:E5285)*(E5286=E$1:E5285)))))</f>
        <v> </v>
      </c>
      <c r="L5286" s="26"/>
    </row>
    <row r="5287" spans="1:12">
      <c r="A5287" s="20" t="s">
        <v>1515</v>
      </c>
      <c r="E5287" s="21">
        <f>IF(D5287="?OLD","!!!","")</f>
        <v/>
      </c>
      <c r="F5287" s="22" t="str">
        <f>IF(OR(E5287="",E5287="!!!"),"",IF(NOT(ISNA(VLOOKUP(E5287,E$1:E5286,1,FALSE()))),"OLD",IF(AND(E5287&lt;&gt;"",E5287&lt;&gt;"!!!"),"NEW","")))</f>
        <v> </v>
      </c>
      <c r="G5287" s="23" t="str">
        <f>IF(OR(E5287="",E5287="!!!"),"",IF(OR(J5287=0,AND(J5287=1,K5287=1),AND(J5287=1,I5287="SBJ"),AND(J5287=1,I5287=0)),"?IN_FOCUS",IF(J5287&lt;=2,"?ACTIVATED",IF(J5287&lt;&gt;"","?FAMILIAR",IF(F5287="NEW",IF(ISNA(VLOOKUP(E5287,#REF!,1,FALSE())),"?TYPE_IDENTIFIABLE","?REFERENTIAL"),"_")))))</f>
        <v> </v>
      </c>
      <c r="H5287" s="24" t="str">
        <f>IF(J5287&lt;&gt;1,"",IF(I5287="SBJ","CB","?"))</f>
        <v> </v>
      </c>
      <c r="I5287" s="25" t="str">
        <f>IF(OR(E5287="",E5287="!!!",F5287="NEW"),"",INDEX(B5286:B$2,-1+SUMPRODUCT(MAX(ROW(E5286:E$2)*(E5287=E5286:E$2)))))</f>
        <v> </v>
      </c>
      <c r="J5287" s="25" t="str">
        <f>IF(OR(E5287="",E5287="!!!",F5287="NEW"),"",COUNTBLANK(OFFSET(A$1,,,SUMPRODUCT(MAX(ROW(E$2:E5287)*(E5287=E$2:E5287)))))-COUNTBLANK(OFFSET(A$1,,,SUMPRODUCT(MAX(ROW(E$1:E5286)*(E2=E$1:E5286))))))</f>
        <v> </v>
      </c>
      <c r="K5287" s="25" t="str">
        <f>IF(OR(E5287="",E5287="!!!",F5287="NEW"),"",INDEX(J$1:J5286,SUMPRODUCT(MAX(ROW(E$1:E5286)*(E5287=E$1:E5286)))))</f>
        <v> </v>
      </c>
      <c r="L5287" s="26"/>
    </row>
    <row r="5288" spans="1:12">
      <c r="A5288" s="20" t="s">
        <v>1051</v>
      </c>
      <c r="E5288" s="21">
        <f>IF(D5288="?OLD","!!!","")</f>
        <v/>
      </c>
      <c r="F5288" s="22" t="str">
        <f>IF(OR(E5288="",E5288="!!!"),"",IF(NOT(ISNA(VLOOKUP(E5288,E$1:E5287,1,FALSE()))),"OLD",IF(AND(E5288&lt;&gt;"",E5288&lt;&gt;"!!!"),"NEW","")))</f>
        <v> </v>
      </c>
      <c r="G5288" s="23" t="str">
        <f>IF(OR(E5288="",E5288="!!!"),"",IF(OR(J5288=0,AND(J5288=1,K5288=1),AND(J5288=1,I5288="SBJ"),AND(J5288=1,I5288=0)),"?IN_FOCUS",IF(J5288&lt;=2,"?ACTIVATED",IF(J5288&lt;&gt;"","?FAMILIAR",IF(F5288="NEW",IF(ISNA(VLOOKUP(E5288,#REF!,1,FALSE())),"?TYPE_IDENTIFIABLE","?REFERENTIAL"),"_")))))</f>
        <v> </v>
      </c>
      <c r="H5288" s="24" t="str">
        <f>IF(J5288&lt;&gt;1,"",IF(I5288="SBJ","CB","?"))</f>
        <v> </v>
      </c>
      <c r="I5288" s="25" t="str">
        <f>IF(OR(E5288="",E5288="!!!",F5288="NEW"),"",INDEX(B5287:B$2,-1+SUMPRODUCT(MAX(ROW(E5287:E$2)*(E5288=E5287:E$2)))))</f>
        <v> </v>
      </c>
      <c r="J5288" s="25" t="str">
        <f>IF(OR(E5288="",E5288="!!!",F5288="NEW"),"",COUNTBLANK(OFFSET(A$1,,,SUMPRODUCT(MAX(ROW(E$2:E5288)*(E5288=E$2:E5288)))))-COUNTBLANK(OFFSET(A$1,,,SUMPRODUCT(MAX(ROW(E$1:E5287)*(E2=E$1:E5287))))))</f>
        <v> </v>
      </c>
      <c r="K5288" s="25" t="str">
        <f>IF(OR(E5288="",E5288="!!!",F5288="NEW"),"",INDEX(J$1:J5287,SUMPRODUCT(MAX(ROW(E$1:E5287)*(E5288=E$1:E5287)))))</f>
        <v> </v>
      </c>
      <c r="L5288" s="26"/>
    </row>
    <row r="5289" spans="1:12">
      <c r="A5289" s="20" t="s">
        <v>2436</v>
      </c>
      <c r="B5289" s="27" t="s">
        <v>2210</v>
      </c>
      <c r="C5289" s="27" t="s">
        <v>1018</v>
      </c>
      <c r="E5289" s="21">
        <f>IF(D5289="?OLD","!!!","")</f>
        <v/>
      </c>
      <c r="F5289" s="22" t="str">
        <f>IF(OR(E5289="",E5289="!!!"),"",IF(NOT(ISNA(VLOOKUP(E5289,E$1:E5288,1,FALSE()))),"OLD",IF(AND(E5289&lt;&gt;"",E5289&lt;&gt;"!!!"),"NEW","")))</f>
        <v> </v>
      </c>
      <c r="G5289" s="23" t="str">
        <f>IF(OR(E5289="",E5289="!!!"),"",IF(OR(J5289=0,AND(J5289=1,K5289=1),AND(J5289=1,I5289="SBJ"),AND(J5289=1,I5289=0)),"?IN_FOCUS",IF(J5289&lt;=2,"?ACTIVATED",IF(J5289&lt;&gt;"","?FAMILIAR",IF(F5289="NEW",IF(ISNA(VLOOKUP(E5289,#REF!,1,FALSE())),"?TYPE_IDENTIFIABLE","?REFERENTIAL"),"_")))))</f>
        <v> </v>
      </c>
      <c r="H5289" s="24" t="str">
        <f>IF(J5289&lt;&gt;1,"",IF(I5289="SBJ","CB","?"))</f>
        <v> </v>
      </c>
      <c r="I5289" s="25" t="str">
        <f>IF(OR(E5289="",E5289="!!!",F5289="NEW"),"",INDEX(B5288:B$2,-1+SUMPRODUCT(MAX(ROW(E5288:E$2)*(E5289=E5288:E$2)))))</f>
        <v> </v>
      </c>
      <c r="J5289" s="25" t="str">
        <f>IF(OR(E5289="",E5289="!!!",F5289="NEW"),"",COUNTBLANK(OFFSET(A$1,,,SUMPRODUCT(MAX(ROW(E$2:E5289)*(E5289=E$2:E5289)))))-COUNTBLANK(OFFSET(A$1,,,SUMPRODUCT(MAX(ROW(E$1:E5288)*(E2=E$1:E5288))))))</f>
        <v> </v>
      </c>
      <c r="K5289" s="25" t="str">
        <f>IF(OR(E5289="",E5289="!!!",F5289="NEW"),"",INDEX(J$1:J5288,SUMPRODUCT(MAX(ROW(E$1:E5288)*(E5289=E$1:E5288)))))</f>
        <v> </v>
      </c>
      <c r="L5289" s="26"/>
    </row>
    <row r="5290" spans="1:12">
      <c r="A5290" s="20" t="s">
        <v>1095</v>
      </c>
      <c r="E5290" s="21">
        <f>IF(D5290="?OLD","!!!","")</f>
        <v/>
      </c>
      <c r="F5290" s="22" t="str">
        <f>IF(OR(E5290="",E5290="!!!"),"",IF(NOT(ISNA(VLOOKUP(E5290,E$1:E5289,1,FALSE()))),"OLD",IF(AND(E5290&lt;&gt;"",E5290&lt;&gt;"!!!"),"NEW","")))</f>
        <v> </v>
      </c>
      <c r="G5290" s="23" t="str">
        <f>IF(OR(E5290="",E5290="!!!"),"",IF(OR(J5290=0,AND(J5290=1,K5290=1),AND(J5290=1,I5290="SBJ"),AND(J5290=1,I5290=0)),"?IN_FOCUS",IF(J5290&lt;=2,"?ACTIVATED",IF(J5290&lt;&gt;"","?FAMILIAR",IF(F5290="NEW",IF(ISNA(VLOOKUP(E5290,#REF!,1,FALSE())),"?TYPE_IDENTIFIABLE","?REFERENTIAL"),"_")))))</f>
        <v> </v>
      </c>
      <c r="H5290" s="24" t="str">
        <f>IF(J5290&lt;&gt;1,"",IF(I5290="SBJ","CB","?"))</f>
        <v> </v>
      </c>
      <c r="I5290" s="25" t="str">
        <f>IF(OR(E5290="",E5290="!!!",F5290="NEW"),"",INDEX(B5289:B$2,-1+SUMPRODUCT(MAX(ROW(E5289:E$2)*(E5290=E5289:E$2)))))</f>
        <v> </v>
      </c>
      <c r="J5290" s="25" t="str">
        <f>IF(OR(E5290="",E5290="!!!",F5290="NEW"),"",COUNTBLANK(OFFSET(A$1,,,SUMPRODUCT(MAX(ROW(E$2:E5290)*(E5290=E$2:E5290)))))-COUNTBLANK(OFFSET(A$1,,,SUMPRODUCT(MAX(ROW(E$1:E5289)*(E2=E$1:E5289))))))</f>
        <v> </v>
      </c>
      <c r="K5290" s="25" t="str">
        <f>IF(OR(E5290="",E5290="!!!",F5290="NEW"),"",INDEX(J$1:J5289,SUMPRODUCT(MAX(ROW(E$1:E5289)*(E5290=E$1:E5289)))))</f>
        <v> </v>
      </c>
      <c r="L5290" s="26"/>
    </row>
    <row r="5291" spans="1:12">
      <c r="A5291" s="20" t="s">
        <v>2437</v>
      </c>
      <c r="E5291" s="21">
        <f>IF(D5291="?OLD","!!!","")</f>
        <v/>
      </c>
      <c r="F5291" s="22" t="str">
        <f>IF(OR(E5291="",E5291="!!!"),"",IF(NOT(ISNA(VLOOKUP(E5291,E$1:E5290,1,FALSE()))),"OLD",IF(AND(E5291&lt;&gt;"",E5291&lt;&gt;"!!!"),"NEW","")))</f>
        <v> </v>
      </c>
      <c r="G5291" s="23" t="str">
        <f>IF(OR(E5291="",E5291="!!!"),"",IF(OR(J5291=0,AND(J5291=1,K5291=1),AND(J5291=1,I5291="SBJ"),AND(J5291=1,I5291=0)),"?IN_FOCUS",IF(J5291&lt;=2,"?ACTIVATED",IF(J5291&lt;&gt;"","?FAMILIAR",IF(F5291="NEW",IF(ISNA(VLOOKUP(E5291,#REF!,1,FALSE())),"?TYPE_IDENTIFIABLE","?REFERENTIAL"),"_")))))</f>
        <v> </v>
      </c>
      <c r="H5291" s="24" t="str">
        <f>IF(J5291&lt;&gt;1,"",IF(I5291="SBJ","CB","?"))</f>
        <v> </v>
      </c>
      <c r="I5291" s="25" t="str">
        <f>IF(OR(E5291="",E5291="!!!",F5291="NEW"),"",INDEX(B5290:B$2,-1+SUMPRODUCT(MAX(ROW(E5290:E$2)*(E5291=E5290:E$2)))))</f>
        <v> </v>
      </c>
      <c r="J5291" s="25" t="str">
        <f>IF(OR(E5291="",E5291="!!!",F5291="NEW"),"",COUNTBLANK(OFFSET(A$1,,,SUMPRODUCT(MAX(ROW(E$2:E5291)*(E5291=E$2:E5291)))))-COUNTBLANK(OFFSET(A$1,,,SUMPRODUCT(MAX(ROW(E$1:E5290)*(E2=E$1:E5290))))))</f>
        <v> </v>
      </c>
      <c r="K5291" s="25" t="str">
        <f>IF(OR(E5291="",E5291="!!!",F5291="NEW"),"",INDEX(J$1:J5290,SUMPRODUCT(MAX(ROW(E$1:E5290)*(E5291=E$1:E5290)))))</f>
        <v> </v>
      </c>
      <c r="L5291" s="26"/>
    </row>
    <row r="5292" spans="1:12">
      <c r="A5292" s="20" t="s">
        <v>2438</v>
      </c>
      <c r="B5292" s="27" t="s">
        <v>2429</v>
      </c>
      <c r="C5292" s="27" t="s">
        <v>974</v>
      </c>
      <c r="E5292" s="21">
        <f>IF(D5292="?OLD","!!!","")</f>
        <v/>
      </c>
      <c r="F5292" s="22" t="str">
        <f>IF(OR(E5292="",E5292="!!!"),"",IF(NOT(ISNA(VLOOKUP(E5292,E$1:E5291,1,FALSE()))),"OLD",IF(AND(E5292&lt;&gt;"",E5292&lt;&gt;"!!!"),"NEW","")))</f>
        <v> </v>
      </c>
      <c r="G5292" s="23" t="str">
        <f>IF(OR(E5292="",E5292="!!!"),"",IF(OR(J5292=0,AND(J5292=1,K5292=1),AND(J5292=1,I5292="SBJ"),AND(J5292=1,I5292=0)),"?IN_FOCUS",IF(J5292&lt;=2,"?ACTIVATED",IF(J5292&lt;&gt;"","?FAMILIAR",IF(F5292="NEW",IF(ISNA(VLOOKUP(E5292,#REF!,1,FALSE())),"?TYPE_IDENTIFIABLE","?REFERENTIAL"),"_")))))</f>
        <v> </v>
      </c>
      <c r="H5292" s="24" t="str">
        <f>IF(J5292&lt;&gt;1,"",IF(I5292="SBJ","CB","?"))</f>
        <v> </v>
      </c>
      <c r="I5292" s="25" t="str">
        <f>IF(OR(E5292="",E5292="!!!",F5292="NEW"),"",INDEX(B5291:B$2,-1+SUMPRODUCT(MAX(ROW(E5291:E$2)*(E5292=E5291:E$2)))))</f>
        <v> </v>
      </c>
      <c r="J5292" s="25" t="str">
        <f>IF(OR(E5292="",E5292="!!!",F5292="NEW"),"",COUNTBLANK(OFFSET(A$1,,,SUMPRODUCT(MAX(ROW(E$2:E5292)*(E5292=E$2:E5292)))))-COUNTBLANK(OFFSET(A$1,,,SUMPRODUCT(MAX(ROW(E$1:E5291)*(E2=E$1:E5291))))))</f>
        <v> </v>
      </c>
      <c r="K5292" s="25" t="str">
        <f>IF(OR(E5292="",E5292="!!!",F5292="NEW"),"",INDEX(J$1:J5291,SUMPRODUCT(MAX(ROW(E$1:E5291)*(E5292=E$1:E5291)))))</f>
        <v> </v>
      </c>
      <c r="L5292" s="26"/>
    </row>
    <row r="5293" spans="1:12">
      <c r="A5293" s="20" t="s">
        <v>1097</v>
      </c>
      <c r="E5293" s="21">
        <f>IF(D5293="?OLD","!!!","")</f>
        <v/>
      </c>
      <c r="F5293" s="22" t="str">
        <f>IF(OR(E5293="",E5293="!!!"),"",IF(NOT(ISNA(VLOOKUP(E5293,E$1:E5292,1,FALSE()))),"OLD",IF(AND(E5293&lt;&gt;"",E5293&lt;&gt;"!!!"),"NEW","")))</f>
        <v> </v>
      </c>
      <c r="G5293" s="23" t="str">
        <f>IF(OR(E5293="",E5293="!!!"),"",IF(OR(J5293=0,AND(J5293=1,K5293=1),AND(J5293=1,I5293="SBJ"),AND(J5293=1,I5293=0)),"?IN_FOCUS",IF(J5293&lt;=2,"?ACTIVATED",IF(J5293&lt;&gt;"","?FAMILIAR",IF(F5293="NEW",IF(ISNA(VLOOKUP(E5293,#REF!,1,FALSE())),"?TYPE_IDENTIFIABLE","?REFERENTIAL"),"_")))))</f>
        <v> </v>
      </c>
      <c r="H5293" s="24" t="str">
        <f>IF(J5293&lt;&gt;1,"",IF(I5293="SBJ","CB","?"))</f>
        <v> </v>
      </c>
      <c r="I5293" s="25" t="str">
        <f>IF(OR(E5293="",E5293="!!!",F5293="NEW"),"",INDEX(B5292:B$2,-1+SUMPRODUCT(MAX(ROW(E5292:E$2)*(E5293=E5292:E$2)))))</f>
        <v> </v>
      </c>
      <c r="J5293" s="25" t="str">
        <f>IF(OR(E5293="",E5293="!!!",F5293="NEW"),"",COUNTBLANK(OFFSET(A$1,,,SUMPRODUCT(MAX(ROW(E$2:E5293)*(E5293=E$2:E5293)))))-COUNTBLANK(OFFSET(A$1,,,SUMPRODUCT(MAX(ROW(E$1:E5292)*(E2=E$1:E5292))))))</f>
        <v> </v>
      </c>
      <c r="K5293" s="25" t="str">
        <f>IF(OR(E5293="",E5293="!!!",F5293="NEW"),"",INDEX(J$1:J5292,SUMPRODUCT(MAX(ROW(E$1:E5292)*(E5293=E$1:E5292)))))</f>
        <v> </v>
      </c>
      <c r="L5293" s="26"/>
    </row>
    <row r="5294" spans="1:12">
      <c r="A5294" s="20" t="s">
        <v>1005</v>
      </c>
      <c r="E5294" s="21">
        <f>IF(D5294="?OLD","!!!","")</f>
        <v/>
      </c>
      <c r="F5294" s="22" t="str">
        <f>IF(OR(E5294="",E5294="!!!"),"",IF(NOT(ISNA(VLOOKUP(E5294,E$1:E5293,1,FALSE()))),"OLD",IF(AND(E5294&lt;&gt;"",E5294&lt;&gt;"!!!"),"NEW","")))</f>
        <v> </v>
      </c>
      <c r="G5294" s="23" t="str">
        <f>IF(OR(E5294="",E5294="!!!"),"",IF(OR(J5294=0,AND(J5294=1,K5294=1),AND(J5294=1,I5294="SBJ"),AND(J5294=1,I5294=0)),"?IN_FOCUS",IF(J5294&lt;=2,"?ACTIVATED",IF(J5294&lt;&gt;"","?FAMILIAR",IF(F5294="NEW",IF(ISNA(VLOOKUP(E5294,#REF!,1,FALSE())),"?TYPE_IDENTIFIABLE","?REFERENTIAL"),"_")))))</f>
        <v> </v>
      </c>
      <c r="H5294" s="24" t="str">
        <f>IF(J5294&lt;&gt;1,"",IF(I5294="SBJ","CB","?"))</f>
        <v> </v>
      </c>
      <c r="I5294" s="25" t="str">
        <f>IF(OR(E5294="",E5294="!!!",F5294="NEW"),"",INDEX(B5293:B$2,-1+SUMPRODUCT(MAX(ROW(E5293:E$2)*(E5294=E5293:E$2)))))</f>
        <v> </v>
      </c>
      <c r="J5294" s="25" t="str">
        <f>IF(OR(E5294="",E5294="!!!",F5294="NEW"),"",COUNTBLANK(OFFSET(A$1,,,SUMPRODUCT(MAX(ROW(E$2:E5294)*(E5294=E$2:E5294)))))-COUNTBLANK(OFFSET(A$1,,,SUMPRODUCT(MAX(ROW(E$1:E5293)*(E2=E$1:E5293))))))</f>
        <v> </v>
      </c>
      <c r="K5294" s="25" t="str">
        <f>IF(OR(E5294="",E5294="!!!",F5294="NEW"),"",INDEX(J$1:J5293,SUMPRODUCT(MAX(ROW(E$1:E5293)*(E5294=E$1:E5293)))))</f>
        <v> </v>
      </c>
      <c r="L5294" s="26"/>
    </row>
    <row r="5295" spans="1:12">
      <c r="A5295" s="20"/>
    </row>
    <row r="5296" spans="1:12">
      <c r="A5296" s="20" t="s">
        <v>2439</v>
      </c>
    </row>
    <row r="5297" spans="1:12">
      <c r="A5297" s="20" t="s">
        <v>1251</v>
      </c>
      <c r="B5297" s="27" t="s">
        <v>967</v>
      </c>
      <c r="C5297" s="27" t="s">
        <v>968</v>
      </c>
      <c r="D5297" s="27" t="s">
        <v>969</v>
      </c>
      <c r="E5297" s="21">
        <f>IF(D5297="?OLD","!!!","")</f>
        <v/>
      </c>
      <c r="F5297" s="22" t="str">
        <f>IF(OR(E5297="",E5297="!!!"),"",IF(NOT(ISNA(VLOOKUP(E5297,E$1:E5296,1,FALSE()))),"OLD",IF(AND(E5297&lt;&gt;"",E5297&lt;&gt;"!!!"),"NEW","")))</f>
        <v> </v>
      </c>
      <c r="G5297" s="23" t="str">
        <f>IF(OR(E5297="",E5297="!!!"),"",IF(OR(J5297=0,AND(J5297=1,K5297=1),AND(J5297=1,I5297="SBJ"),AND(J5297=1,I5297=0)),"?IN_FOCUS",IF(J5297&lt;=2,"?ACTIVATED",IF(J5297&lt;&gt;"","?FAMILIAR",IF(F5297="NEW",IF(ISNA(VLOOKUP(E5297,#REF!,1,FALSE())),"?TYPE_IDENTIFIABLE","?REFERENTIAL"),"_")))))</f>
        <v> </v>
      </c>
      <c r="H5297" s="24" t="str">
        <f>IF(J5297&lt;&gt;1,"",IF(I5297="SBJ","CB","?"))</f>
        <v> </v>
      </c>
      <c r="I5297" s="25" t="str">
        <f>IF(OR(E5297="",E5297="!!!",F5297="NEW"),"",INDEX(B5296:B$2,-1+SUMPRODUCT(MAX(ROW(E5296:E$2)*(E5297=E5296:E$2)))))</f>
        <v> </v>
      </c>
      <c r="J5297" s="25" t="str">
        <f>IF(OR(E5297="",E5297="!!!",F5297="NEW"),"",COUNTBLANK(OFFSET(A$1,,,SUMPRODUCT(MAX(ROW(E$2:E5297)*(E5297=E$2:E5297)))))-COUNTBLANK(OFFSET(A$1,,,SUMPRODUCT(MAX(ROW(E$1:E5296)*(E2=E$1:E5296))))))</f>
        <v> </v>
      </c>
      <c r="K5297" s="25" t="str">
        <f>IF(OR(E5297="",E5297="!!!",F5297="NEW"),"",INDEX(J$1:J5296,SUMPRODUCT(MAX(ROW(E$1:E5296)*(E5297=E$1:E5296)))))</f>
        <v> </v>
      </c>
      <c r="L5297" s="26"/>
    </row>
    <row r="5298" spans="1:12">
      <c r="A5298" s="20" t="s">
        <v>1097</v>
      </c>
      <c r="E5298" s="21">
        <f>IF(D5298="?OLD","!!!","")</f>
        <v/>
      </c>
      <c r="F5298" s="22" t="str">
        <f>IF(OR(E5298="",E5298="!!!"),"",IF(NOT(ISNA(VLOOKUP(E5298,E$1:E5297,1,FALSE()))),"OLD",IF(AND(E5298&lt;&gt;"",E5298&lt;&gt;"!!!"),"NEW","")))</f>
        <v> </v>
      </c>
      <c r="G5298" s="23" t="str">
        <f>IF(OR(E5298="",E5298="!!!"),"",IF(OR(J5298=0,AND(J5298=1,K5298=1),AND(J5298=1,I5298="SBJ"),AND(J5298=1,I5298=0)),"?IN_FOCUS",IF(J5298&lt;=2,"?ACTIVATED",IF(J5298&lt;&gt;"","?FAMILIAR",IF(F5298="NEW",IF(ISNA(VLOOKUP(E5298,#REF!,1,FALSE())),"?TYPE_IDENTIFIABLE","?REFERENTIAL"),"_")))))</f>
        <v> </v>
      </c>
      <c r="H5298" s="24" t="str">
        <f>IF(J5298&lt;&gt;1,"",IF(I5298="SBJ","CB","?"))</f>
        <v> </v>
      </c>
      <c r="I5298" s="25" t="str">
        <f>IF(OR(E5298="",E5298="!!!",F5298="NEW"),"",INDEX(B5297:B$2,-1+SUMPRODUCT(MAX(ROW(E5297:E$2)*(E5298=E5297:E$2)))))</f>
        <v> </v>
      </c>
      <c r="J5298" s="25" t="str">
        <f>IF(OR(E5298="",E5298="!!!",F5298="NEW"),"",COUNTBLANK(OFFSET(A$1,,,SUMPRODUCT(MAX(ROW(E$2:E5298)*(E5298=E$2:E5298)))))-COUNTBLANK(OFFSET(A$1,,,SUMPRODUCT(MAX(ROW(E$1:E5297)*(E2=E$1:E5297))))))</f>
        <v> </v>
      </c>
      <c r="K5298" s="25" t="str">
        <f>IF(OR(E5298="",E5298="!!!",F5298="NEW"),"",INDEX(J$1:J5297,SUMPRODUCT(MAX(ROW(E$1:E5297)*(E5298=E$1:E5297)))))</f>
        <v> </v>
      </c>
      <c r="L5298" s="26"/>
    </row>
    <row r="5299" spans="1:12">
      <c r="A5299" s="20" t="s">
        <v>1769</v>
      </c>
      <c r="B5299" s="27" t="s">
        <v>1053</v>
      </c>
      <c r="C5299" s="27" t="s">
        <v>1102</v>
      </c>
      <c r="D5299" s="27" t="s">
        <v>969</v>
      </c>
      <c r="E5299" s="21">
        <f>IF(D5299="?OLD","!!!","")</f>
        <v/>
      </c>
      <c r="F5299" s="22" t="str">
        <f>IF(OR(E5299="",E5299="!!!"),"",IF(NOT(ISNA(VLOOKUP(E5299,E$1:E5298,1,FALSE()))),"OLD",IF(AND(E5299&lt;&gt;"",E5299&lt;&gt;"!!!"),"NEW","")))</f>
        <v> </v>
      </c>
      <c r="G5299" s="23" t="str">
        <f>IF(OR(E5299="",E5299="!!!"),"",IF(OR(J5299=0,AND(J5299=1,K5299=1),AND(J5299=1,I5299="SBJ"),AND(J5299=1,I5299=0)),"?IN_FOCUS",IF(J5299&lt;=2,"?ACTIVATED",IF(J5299&lt;&gt;"","?FAMILIAR",IF(F5299="NEW",IF(ISNA(VLOOKUP(E5299,#REF!,1,FALSE())),"?TYPE_IDENTIFIABLE","?REFERENTIAL"),"_")))))</f>
        <v> </v>
      </c>
      <c r="H5299" s="24" t="str">
        <f>IF(J5299&lt;&gt;1,"",IF(I5299="SBJ","CB","?"))</f>
        <v> </v>
      </c>
      <c r="I5299" s="25" t="str">
        <f>IF(OR(E5299="",E5299="!!!",F5299="NEW"),"",INDEX(B5298:B$2,-1+SUMPRODUCT(MAX(ROW(E5298:E$2)*(E5299=E5298:E$2)))))</f>
        <v> </v>
      </c>
      <c r="J5299" s="25" t="str">
        <f>IF(OR(E5299="",E5299="!!!",F5299="NEW"),"",COUNTBLANK(OFFSET(A$1,,,SUMPRODUCT(MAX(ROW(E$2:E5299)*(E5299=E$2:E5299)))))-COUNTBLANK(OFFSET(A$1,,,SUMPRODUCT(MAX(ROW(E$1:E5298)*(E2=E$1:E5298))))))</f>
        <v> </v>
      </c>
      <c r="K5299" s="25" t="str">
        <f>IF(OR(E5299="",E5299="!!!",F5299="NEW"),"",INDEX(J$1:J5298,SUMPRODUCT(MAX(ROW(E$1:E5298)*(E5299=E$1:E5298)))))</f>
        <v> </v>
      </c>
      <c r="L5299" s="26"/>
    </row>
    <row r="5300" spans="1:12">
      <c r="A5300" s="20" t="s">
        <v>2440</v>
      </c>
      <c r="E5300" s="21">
        <f>IF(D5300="?OLD","!!!","")</f>
        <v/>
      </c>
      <c r="F5300" s="22" t="str">
        <f>IF(OR(E5300="",E5300="!!!"),"",IF(NOT(ISNA(VLOOKUP(E5300,E$1:E5299,1,FALSE()))),"OLD",IF(AND(E5300&lt;&gt;"",E5300&lt;&gt;"!!!"),"NEW","")))</f>
        <v> </v>
      </c>
      <c r="G5300" s="23" t="str">
        <f>IF(OR(E5300="",E5300="!!!"),"",IF(OR(J5300=0,AND(J5300=1,K5300=1),AND(J5300=1,I5300="SBJ"),AND(J5300=1,I5300=0)),"?IN_FOCUS",IF(J5300&lt;=2,"?ACTIVATED",IF(J5300&lt;&gt;"","?FAMILIAR",IF(F5300="NEW",IF(ISNA(VLOOKUP(E5300,#REF!,1,FALSE())),"?TYPE_IDENTIFIABLE","?REFERENTIAL"),"_")))))</f>
        <v> </v>
      </c>
      <c r="H5300" s="24" t="str">
        <f>IF(J5300&lt;&gt;1,"",IF(I5300="SBJ","CB","?"))</f>
        <v> </v>
      </c>
      <c r="I5300" s="25" t="str">
        <f>IF(OR(E5300="",E5300="!!!",F5300="NEW"),"",INDEX(B5299:B$2,-1+SUMPRODUCT(MAX(ROW(E5299:E$2)*(E5300=E5299:E$2)))))</f>
        <v> </v>
      </c>
      <c r="J5300" s="25" t="str">
        <f>IF(OR(E5300="",E5300="!!!",F5300="NEW"),"",COUNTBLANK(OFFSET(A$1,,,SUMPRODUCT(MAX(ROW(E$2:E5300)*(E5300=E$2:E5300)))))-COUNTBLANK(OFFSET(A$1,,,SUMPRODUCT(MAX(ROW(E$1:E5299)*(E2=E$1:E5299))))))</f>
        <v> </v>
      </c>
      <c r="K5300" s="25" t="str">
        <f>IF(OR(E5300="",E5300="!!!",F5300="NEW"),"",INDEX(J$1:J5299,SUMPRODUCT(MAX(ROW(E$1:E5299)*(E5300=E$1:E5299)))))</f>
        <v> </v>
      </c>
      <c r="L5300" s="26"/>
    </row>
    <row r="5301" spans="1:12">
      <c r="A5301" s="20" t="s">
        <v>2441</v>
      </c>
      <c r="B5301" s="27" t="s">
        <v>1053</v>
      </c>
      <c r="C5301" s="27" t="s">
        <v>1141</v>
      </c>
      <c r="D5301" s="27" t="s">
        <v>969</v>
      </c>
      <c r="E5301" s="21">
        <f>IF(D5301="?OLD","!!!","")</f>
        <v/>
      </c>
      <c r="F5301" s="22" t="str">
        <f>IF(OR(E5301="",E5301="!!!"),"",IF(NOT(ISNA(VLOOKUP(E5301,E$1:E5300,1,FALSE()))),"OLD",IF(AND(E5301&lt;&gt;"",E5301&lt;&gt;"!!!"),"NEW","")))</f>
        <v> </v>
      </c>
      <c r="G5301" s="23" t="str">
        <f>IF(OR(E5301="",E5301="!!!"),"",IF(OR(J5301=0,AND(J5301=1,K5301=1),AND(J5301=1,I5301="SBJ"),AND(J5301=1,I5301=0)),"?IN_FOCUS",IF(J5301&lt;=2,"?ACTIVATED",IF(J5301&lt;&gt;"","?FAMILIAR",IF(F5301="NEW",IF(ISNA(VLOOKUP(E5301,#REF!,1,FALSE())),"?TYPE_IDENTIFIABLE","?REFERENTIAL"),"_")))))</f>
        <v> </v>
      </c>
      <c r="H5301" s="24" t="str">
        <f>IF(J5301&lt;&gt;1,"",IF(I5301="SBJ","CB","?"))</f>
        <v> </v>
      </c>
      <c r="I5301" s="25" t="str">
        <f>IF(OR(E5301="",E5301="!!!",F5301="NEW"),"",INDEX(B5300:B$2,-1+SUMPRODUCT(MAX(ROW(E5300:E$2)*(E5301=E5300:E$2)))))</f>
        <v> </v>
      </c>
      <c r="J5301" s="25" t="str">
        <f>IF(OR(E5301="",E5301="!!!",F5301="NEW"),"",COUNTBLANK(OFFSET(A$1,,,SUMPRODUCT(MAX(ROW(E$2:E5301)*(E5301=E$2:E5301)))))-COUNTBLANK(OFFSET(A$1,,,SUMPRODUCT(MAX(ROW(E$1:E5300)*(E2=E$1:E5300))))))</f>
        <v> </v>
      </c>
      <c r="K5301" s="25" t="str">
        <f>IF(OR(E5301="",E5301="!!!",F5301="NEW"),"",INDEX(J$1:J5300,SUMPRODUCT(MAX(ROW(E$1:E5300)*(E5301=E$1:E5300)))))</f>
        <v> </v>
      </c>
      <c r="L5301" s="26"/>
    </row>
    <row r="5302" spans="1:12">
      <c r="A5302" s="20" t="s">
        <v>991</v>
      </c>
      <c r="E5302" s="21">
        <f>IF(D5302="?OLD","!!!","")</f>
        <v/>
      </c>
      <c r="F5302" s="22" t="str">
        <f>IF(OR(E5302="",E5302="!!!"),"",IF(NOT(ISNA(VLOOKUP(E5302,E$1:E5301,1,FALSE()))),"OLD",IF(AND(E5302&lt;&gt;"",E5302&lt;&gt;"!!!"),"NEW","")))</f>
        <v> </v>
      </c>
      <c r="G5302" s="23" t="str">
        <f>IF(OR(E5302="",E5302="!!!"),"",IF(OR(J5302=0,AND(J5302=1,K5302=1),AND(J5302=1,I5302="SBJ"),AND(J5302=1,I5302=0)),"?IN_FOCUS",IF(J5302&lt;=2,"?ACTIVATED",IF(J5302&lt;&gt;"","?FAMILIAR",IF(F5302="NEW",IF(ISNA(VLOOKUP(E5302,#REF!,1,FALSE())),"?TYPE_IDENTIFIABLE","?REFERENTIAL"),"_")))))</f>
        <v> </v>
      </c>
      <c r="H5302" s="24" t="str">
        <f>IF(J5302&lt;&gt;1,"",IF(I5302="SBJ","CB","?"))</f>
        <v> </v>
      </c>
      <c r="I5302" s="25" t="str">
        <f>IF(OR(E5302="",E5302="!!!",F5302="NEW"),"",INDEX(B5301:B$2,-1+SUMPRODUCT(MAX(ROW(E5301:E$2)*(E5302=E5301:E$2)))))</f>
        <v> </v>
      </c>
      <c r="J5302" s="25" t="str">
        <f>IF(OR(E5302="",E5302="!!!",F5302="NEW"),"",COUNTBLANK(OFFSET(A$1,,,SUMPRODUCT(MAX(ROW(E$2:E5302)*(E5302=E$2:E5302)))))-COUNTBLANK(OFFSET(A$1,,,SUMPRODUCT(MAX(ROW(E$1:E5301)*(E2=E$1:E5301))))))</f>
        <v> </v>
      </c>
      <c r="K5302" s="25" t="str">
        <f>IF(OR(E5302="",E5302="!!!",F5302="NEW"),"",INDEX(J$1:J5301,SUMPRODUCT(MAX(ROW(E$1:E5301)*(E5302=E$1:E5301)))))</f>
        <v> </v>
      </c>
      <c r="L5302" s="26"/>
    </row>
    <row r="5303" spans="1:12">
      <c r="A5303" s="20" t="s">
        <v>1280</v>
      </c>
      <c r="B5303" s="27" t="s">
        <v>978</v>
      </c>
      <c r="C5303" s="27" t="s">
        <v>1102</v>
      </c>
      <c r="D5303" s="27" t="s">
        <v>969</v>
      </c>
      <c r="E5303" s="21">
        <f>IF(D5303="?OLD","!!!","")</f>
        <v/>
      </c>
      <c r="F5303" s="22" t="str">
        <f>IF(OR(E5303="",E5303="!!!"),"",IF(NOT(ISNA(VLOOKUP(E5303,E$1:E5302,1,FALSE()))),"OLD",IF(AND(E5303&lt;&gt;"",E5303&lt;&gt;"!!!"),"NEW","")))</f>
        <v> </v>
      </c>
      <c r="G5303" s="23" t="str">
        <f>IF(OR(E5303="",E5303="!!!"),"",IF(OR(J5303=0,AND(J5303=1,K5303=1),AND(J5303=1,I5303="SBJ"),AND(J5303=1,I5303=0)),"?IN_FOCUS",IF(J5303&lt;=2,"?ACTIVATED",IF(J5303&lt;&gt;"","?FAMILIAR",IF(F5303="NEW",IF(ISNA(VLOOKUP(E5303,#REF!,1,FALSE())),"?TYPE_IDENTIFIABLE","?REFERENTIAL"),"_")))))</f>
        <v> </v>
      </c>
      <c r="H5303" s="24" t="str">
        <f>IF(J5303&lt;&gt;1,"",IF(I5303="SBJ","CB","?"))</f>
        <v> </v>
      </c>
      <c r="I5303" s="25" t="str">
        <f>IF(OR(E5303="",E5303="!!!",F5303="NEW"),"",INDEX(B5302:B$2,-1+SUMPRODUCT(MAX(ROW(E5302:E$2)*(E5303=E5302:E$2)))))</f>
        <v> </v>
      </c>
      <c r="J5303" s="25" t="str">
        <f>IF(OR(E5303="",E5303="!!!",F5303="NEW"),"",COUNTBLANK(OFFSET(A$1,,,SUMPRODUCT(MAX(ROW(E$2:E5303)*(E5303=E$2:E5303)))))-COUNTBLANK(OFFSET(A$1,,,SUMPRODUCT(MAX(ROW(E$1:E5302)*(E2=E$1:E5302))))))</f>
        <v> </v>
      </c>
      <c r="K5303" s="25" t="str">
        <f>IF(OR(E5303="",E5303="!!!",F5303="NEW"),"",INDEX(J$1:J5302,SUMPRODUCT(MAX(ROW(E$1:E5302)*(E5303=E$1:E5302)))))</f>
        <v> </v>
      </c>
      <c r="L5303" s="26"/>
    </row>
    <row r="5304" spans="1:12">
      <c r="A5304" s="20" t="s">
        <v>2440</v>
      </c>
      <c r="E5304" s="21">
        <f>IF(D5304="?OLD","!!!","")</f>
        <v/>
      </c>
      <c r="F5304" s="22" t="str">
        <f>IF(OR(E5304="",E5304="!!!"),"",IF(NOT(ISNA(VLOOKUP(E5304,E$1:E5303,1,FALSE()))),"OLD",IF(AND(E5304&lt;&gt;"",E5304&lt;&gt;"!!!"),"NEW","")))</f>
        <v> </v>
      </c>
      <c r="G5304" s="23" t="str">
        <f>IF(OR(E5304="",E5304="!!!"),"",IF(OR(J5304=0,AND(J5304=1,K5304=1),AND(J5304=1,I5304="SBJ"),AND(J5304=1,I5304=0)),"?IN_FOCUS",IF(J5304&lt;=2,"?ACTIVATED",IF(J5304&lt;&gt;"","?FAMILIAR",IF(F5304="NEW",IF(ISNA(VLOOKUP(E5304,#REF!,1,FALSE())),"?TYPE_IDENTIFIABLE","?REFERENTIAL"),"_")))))</f>
        <v> </v>
      </c>
      <c r="H5304" s="24" t="str">
        <f>IF(J5304&lt;&gt;1,"",IF(I5304="SBJ","CB","?"))</f>
        <v> </v>
      </c>
      <c r="I5304" s="25" t="str">
        <f>IF(OR(E5304="",E5304="!!!",F5304="NEW"),"",INDEX(B5303:B$2,-1+SUMPRODUCT(MAX(ROW(E5303:E$2)*(E5304=E5303:E$2)))))</f>
        <v> </v>
      </c>
      <c r="J5304" s="25" t="str">
        <f>IF(OR(E5304="",E5304="!!!",F5304="NEW"),"",COUNTBLANK(OFFSET(A$1,,,SUMPRODUCT(MAX(ROW(E$2:E5304)*(E5304=E$2:E5304)))))-COUNTBLANK(OFFSET(A$1,,,SUMPRODUCT(MAX(ROW(E$1:E5303)*(E2=E$1:E5303))))))</f>
        <v> </v>
      </c>
      <c r="K5304" s="25" t="str">
        <f>IF(OR(E5304="",E5304="!!!",F5304="NEW"),"",INDEX(J$1:J5303,SUMPRODUCT(MAX(ROW(E$1:E5303)*(E5304=E$1:E5303)))))</f>
        <v> </v>
      </c>
      <c r="L5304" s="26"/>
    </row>
    <row r="5305" spans="1:12">
      <c r="A5305" s="20" t="s">
        <v>2442</v>
      </c>
      <c r="B5305" s="27" t="s">
        <v>1053</v>
      </c>
      <c r="C5305" s="27" t="s">
        <v>1141</v>
      </c>
      <c r="D5305" s="27" t="s">
        <v>969</v>
      </c>
      <c r="E5305" s="21">
        <f>IF(D5305="?OLD","!!!","")</f>
        <v/>
      </c>
      <c r="F5305" s="22" t="str">
        <f>IF(OR(E5305="",E5305="!!!"),"",IF(NOT(ISNA(VLOOKUP(E5305,E$1:E5304,1,FALSE()))),"OLD",IF(AND(E5305&lt;&gt;"",E5305&lt;&gt;"!!!"),"NEW","")))</f>
        <v> </v>
      </c>
      <c r="G5305" s="23" t="str">
        <f>IF(OR(E5305="",E5305="!!!"),"",IF(OR(J5305=0,AND(J5305=1,K5305=1),AND(J5305=1,I5305="SBJ"),AND(J5305=1,I5305=0)),"?IN_FOCUS",IF(J5305&lt;=2,"?ACTIVATED",IF(J5305&lt;&gt;"","?FAMILIAR",IF(F5305="NEW",IF(ISNA(VLOOKUP(E5305,#REF!,1,FALSE())),"?TYPE_IDENTIFIABLE","?REFERENTIAL"),"_")))))</f>
        <v> </v>
      </c>
      <c r="H5305" s="24" t="str">
        <f>IF(J5305&lt;&gt;1,"",IF(I5305="SBJ","CB","?"))</f>
        <v> </v>
      </c>
      <c r="I5305" s="25" t="str">
        <f>IF(OR(E5305="",E5305="!!!",F5305="NEW"),"",INDEX(B5304:B$2,-1+SUMPRODUCT(MAX(ROW(E5304:E$2)*(E5305=E5304:E$2)))))</f>
        <v> </v>
      </c>
      <c r="J5305" s="25" t="str">
        <f>IF(OR(E5305="",E5305="!!!",F5305="NEW"),"",COUNTBLANK(OFFSET(A$1,,,SUMPRODUCT(MAX(ROW(E$2:E5305)*(E5305=E$2:E5305)))))-COUNTBLANK(OFFSET(A$1,,,SUMPRODUCT(MAX(ROW(E$1:E5304)*(E2=E$1:E5304))))))</f>
        <v> </v>
      </c>
      <c r="K5305" s="25" t="str">
        <f>IF(OR(E5305="",E5305="!!!",F5305="NEW"),"",INDEX(J$1:J5304,SUMPRODUCT(MAX(ROW(E$1:E5304)*(E5305=E$1:E5304)))))</f>
        <v> </v>
      </c>
      <c r="L5305" s="26"/>
    </row>
    <row r="5306" spans="1:12">
      <c r="A5306" s="20" t="s">
        <v>991</v>
      </c>
      <c r="E5306" s="21">
        <f>IF(D5306="?OLD","!!!","")</f>
        <v/>
      </c>
      <c r="F5306" s="22" t="str">
        <f>IF(OR(E5306="",E5306="!!!"),"",IF(NOT(ISNA(VLOOKUP(E5306,E$1:E5305,1,FALSE()))),"OLD",IF(AND(E5306&lt;&gt;"",E5306&lt;&gt;"!!!"),"NEW","")))</f>
        <v> </v>
      </c>
      <c r="G5306" s="23" t="str">
        <f>IF(OR(E5306="",E5306="!!!"),"",IF(OR(J5306=0,AND(J5306=1,K5306=1),AND(J5306=1,I5306="SBJ"),AND(J5306=1,I5306=0)),"?IN_FOCUS",IF(J5306&lt;=2,"?ACTIVATED",IF(J5306&lt;&gt;"","?FAMILIAR",IF(F5306="NEW",IF(ISNA(VLOOKUP(E5306,#REF!,1,FALSE())),"?TYPE_IDENTIFIABLE","?REFERENTIAL"),"_")))))</f>
        <v> </v>
      </c>
      <c r="H5306" s="24" t="str">
        <f>IF(J5306&lt;&gt;1,"",IF(I5306="SBJ","CB","?"))</f>
        <v> </v>
      </c>
      <c r="I5306" s="25" t="str">
        <f>IF(OR(E5306="",E5306="!!!",F5306="NEW"),"",INDEX(B5305:B$2,-1+SUMPRODUCT(MAX(ROW(E5305:E$2)*(E5306=E5305:E$2)))))</f>
        <v> </v>
      </c>
      <c r="J5306" s="25" t="str">
        <f>IF(OR(E5306="",E5306="!!!",F5306="NEW"),"",COUNTBLANK(OFFSET(A$1,,,SUMPRODUCT(MAX(ROW(E$2:E5306)*(E5306=E$2:E5306)))))-COUNTBLANK(OFFSET(A$1,,,SUMPRODUCT(MAX(ROW(E$1:E5305)*(E2=E$1:E5305))))))</f>
        <v> </v>
      </c>
      <c r="K5306" s="25" t="str">
        <f>IF(OR(E5306="",E5306="!!!",F5306="NEW"),"",INDEX(J$1:J5305,SUMPRODUCT(MAX(ROW(E$1:E5305)*(E5306=E$1:E5305)))))</f>
        <v> </v>
      </c>
      <c r="L5306" s="26"/>
    </row>
    <row r="5307" spans="1:12">
      <c r="A5307" s="20" t="s">
        <v>1024</v>
      </c>
      <c r="B5307" s="27" t="s">
        <v>1031</v>
      </c>
      <c r="E5307" s="21">
        <f>IF(D5307="?OLD","!!!","")</f>
        <v/>
      </c>
      <c r="F5307" s="22" t="str">
        <f>IF(OR(E5307="",E5307="!!!"),"",IF(NOT(ISNA(VLOOKUP(E5307,E$1:E5306,1,FALSE()))),"OLD",IF(AND(E5307&lt;&gt;"",E5307&lt;&gt;"!!!"),"NEW","")))</f>
        <v> </v>
      </c>
      <c r="G5307" s="23" t="str">
        <f>IF(OR(E5307="",E5307="!!!"),"",IF(OR(J5307=0,AND(J5307=1,K5307=1),AND(J5307=1,I5307="SBJ"),AND(J5307=1,I5307=0)),"?IN_FOCUS",IF(J5307&lt;=2,"?ACTIVATED",IF(J5307&lt;&gt;"","?FAMILIAR",IF(F5307="NEW",IF(ISNA(VLOOKUP(E5307,#REF!,1,FALSE())),"?TYPE_IDENTIFIABLE","?REFERENTIAL"),"_")))))</f>
        <v> </v>
      </c>
      <c r="H5307" s="24" t="str">
        <f>IF(J5307&lt;&gt;1,"",IF(I5307="SBJ","CB","?"))</f>
        <v> </v>
      </c>
      <c r="I5307" s="25" t="str">
        <f>IF(OR(E5307="",E5307="!!!",F5307="NEW"),"",INDEX(B5306:B$2,-1+SUMPRODUCT(MAX(ROW(E5306:E$2)*(E5307=E5306:E$2)))))</f>
        <v> </v>
      </c>
      <c r="J5307" s="25" t="str">
        <f>IF(OR(E5307="",E5307="!!!",F5307="NEW"),"",COUNTBLANK(OFFSET(A$1,,,SUMPRODUCT(MAX(ROW(E$2:E5307)*(E5307=E$2:E5307)))))-COUNTBLANK(OFFSET(A$1,,,SUMPRODUCT(MAX(ROW(E$1:E5306)*(E2=E$1:E5306))))))</f>
        <v> </v>
      </c>
      <c r="K5307" s="25" t="str">
        <f>IF(OR(E5307="",E5307="!!!",F5307="NEW"),"",INDEX(J$1:J5306,SUMPRODUCT(MAX(ROW(E$1:E5306)*(E5307=E$1:E5306)))))</f>
        <v> </v>
      </c>
      <c r="L5307" s="26"/>
    </row>
    <row r="5308" spans="1:12">
      <c r="A5308" s="20" t="s">
        <v>1432</v>
      </c>
      <c r="B5308" s="27" t="s">
        <v>994</v>
      </c>
      <c r="C5308" s="27" t="s">
        <v>1011</v>
      </c>
      <c r="D5308" s="27" t="s">
        <v>969</v>
      </c>
      <c r="E5308" s="21">
        <f>IF(D5308="?OLD","!!!","")</f>
        <v/>
      </c>
      <c r="F5308" s="22" t="str">
        <f>IF(OR(E5308="",E5308="!!!"),"",IF(NOT(ISNA(VLOOKUP(E5308,E$1:E5307,1,FALSE()))),"OLD",IF(AND(E5308&lt;&gt;"",E5308&lt;&gt;"!!!"),"NEW","")))</f>
        <v> </v>
      </c>
      <c r="G5308" s="23" t="str">
        <f>IF(OR(E5308="",E5308="!!!"),"",IF(OR(J5308=0,AND(J5308=1,K5308=1),AND(J5308=1,I5308="SBJ"),AND(J5308=1,I5308=0)),"?IN_FOCUS",IF(J5308&lt;=2,"?ACTIVATED",IF(J5308&lt;&gt;"","?FAMILIAR",IF(F5308="NEW",IF(ISNA(VLOOKUP(E5308,#REF!,1,FALSE())),"?TYPE_IDENTIFIABLE","?REFERENTIAL"),"_")))))</f>
        <v> </v>
      </c>
      <c r="H5308" s="24" t="str">
        <f>IF(J5308&lt;&gt;1,"",IF(I5308="SBJ","CB","?"))</f>
        <v> </v>
      </c>
      <c r="I5308" s="25" t="str">
        <f>IF(OR(E5308="",E5308="!!!",F5308="NEW"),"",INDEX(B5307:B$2,-1+SUMPRODUCT(MAX(ROW(E5307:E$2)*(E5308=E5307:E$2)))))</f>
        <v> </v>
      </c>
      <c r="J5308" s="25" t="str">
        <f>IF(OR(E5308="",E5308="!!!",F5308="NEW"),"",COUNTBLANK(OFFSET(A$1,,,SUMPRODUCT(MAX(ROW(E$2:E5308)*(E5308=E$2:E5308)))))-COUNTBLANK(OFFSET(A$1,,,SUMPRODUCT(MAX(ROW(E$1:E5307)*(E2=E$1:E5307))))))</f>
        <v> </v>
      </c>
      <c r="K5308" s="25" t="str">
        <f>IF(OR(E5308="",E5308="!!!",F5308="NEW"),"",INDEX(J$1:J5307,SUMPRODUCT(MAX(ROW(E$1:E5307)*(E5308=E$1:E5307)))))</f>
        <v> </v>
      </c>
      <c r="L5308" s="26"/>
    </row>
    <row r="5309" spans="1:12">
      <c r="A5309" s="20" t="s">
        <v>2443</v>
      </c>
      <c r="E5309" s="21">
        <f>IF(D5309="?OLD","!!!","")</f>
        <v/>
      </c>
      <c r="F5309" s="22" t="str">
        <f>IF(OR(E5309="",E5309="!!!"),"",IF(NOT(ISNA(VLOOKUP(E5309,E$1:E5308,1,FALSE()))),"OLD",IF(AND(E5309&lt;&gt;"",E5309&lt;&gt;"!!!"),"NEW","")))</f>
        <v> </v>
      </c>
      <c r="G5309" s="23" t="str">
        <f>IF(OR(E5309="",E5309="!!!"),"",IF(OR(J5309=0,AND(J5309=1,K5309=1),AND(J5309=1,I5309="SBJ"),AND(J5309=1,I5309=0)),"?IN_FOCUS",IF(J5309&lt;=2,"?ACTIVATED",IF(J5309&lt;&gt;"","?FAMILIAR",IF(F5309="NEW",IF(ISNA(VLOOKUP(E5309,#REF!,1,FALSE())),"?TYPE_IDENTIFIABLE","?REFERENTIAL"),"_")))))</f>
        <v> </v>
      </c>
      <c r="H5309" s="24" t="str">
        <f>IF(J5309&lt;&gt;1,"",IF(I5309="SBJ","CB","?"))</f>
        <v> </v>
      </c>
      <c r="I5309" s="25" t="str">
        <f>IF(OR(E5309="",E5309="!!!",F5309="NEW"),"",INDEX(B5308:B$2,-1+SUMPRODUCT(MAX(ROW(E5308:E$2)*(E5309=E5308:E$2)))))</f>
        <v> </v>
      </c>
      <c r="J5309" s="25" t="str">
        <f>IF(OR(E5309="",E5309="!!!",F5309="NEW"),"",COUNTBLANK(OFFSET(A$1,,,SUMPRODUCT(MAX(ROW(E$2:E5309)*(E5309=E$2:E5309)))))-COUNTBLANK(OFFSET(A$1,,,SUMPRODUCT(MAX(ROW(E$1:E5308)*(E2=E$1:E5308))))))</f>
        <v> </v>
      </c>
      <c r="K5309" s="25" t="str">
        <f>IF(OR(E5309="",E5309="!!!",F5309="NEW"),"",INDEX(J$1:J5308,SUMPRODUCT(MAX(ROW(E$1:E5308)*(E5309=E$1:E5308)))))</f>
        <v> </v>
      </c>
      <c r="L5309" s="26"/>
    </row>
    <row r="5310" spans="1:12">
      <c r="A5310" s="20" t="s">
        <v>2404</v>
      </c>
      <c r="E5310" s="21">
        <f>IF(D5310="?OLD","!!!","")</f>
        <v/>
      </c>
      <c r="F5310" s="22" t="str">
        <f>IF(OR(E5310="",E5310="!!!"),"",IF(NOT(ISNA(VLOOKUP(E5310,E$1:E5309,1,FALSE()))),"OLD",IF(AND(E5310&lt;&gt;"",E5310&lt;&gt;"!!!"),"NEW","")))</f>
        <v> </v>
      </c>
      <c r="G5310" s="23" t="str">
        <f>IF(OR(E5310="",E5310="!!!"),"",IF(OR(J5310=0,AND(J5310=1,K5310=1),AND(J5310=1,I5310="SBJ"),AND(J5310=1,I5310=0)),"?IN_FOCUS",IF(J5310&lt;=2,"?ACTIVATED",IF(J5310&lt;&gt;"","?FAMILIAR",IF(F5310="NEW",IF(ISNA(VLOOKUP(E5310,#REF!,1,FALSE())),"?TYPE_IDENTIFIABLE","?REFERENTIAL"),"_")))))</f>
        <v> </v>
      </c>
      <c r="H5310" s="24" t="str">
        <f>IF(J5310&lt;&gt;1,"",IF(I5310="SBJ","CB","?"))</f>
        <v> </v>
      </c>
      <c r="I5310" s="25" t="str">
        <f>IF(OR(E5310="",E5310="!!!",F5310="NEW"),"",INDEX(B5309:B$2,-1+SUMPRODUCT(MAX(ROW(E5309:E$2)*(E5310=E5309:E$2)))))</f>
        <v> </v>
      </c>
      <c r="J5310" s="25" t="str">
        <f>IF(OR(E5310="",E5310="!!!",F5310="NEW"),"",COUNTBLANK(OFFSET(A$1,,,SUMPRODUCT(MAX(ROW(E$2:E5310)*(E5310=E$2:E5310)))))-COUNTBLANK(OFFSET(A$1,,,SUMPRODUCT(MAX(ROW(E$1:E5309)*(E2=E$1:E5309))))))</f>
        <v> </v>
      </c>
      <c r="K5310" s="25" t="str">
        <f>IF(OR(E5310="",E5310="!!!",F5310="NEW"),"",INDEX(J$1:J5309,SUMPRODUCT(MAX(ROW(E$1:E5309)*(E5310=E$1:E5309)))))</f>
        <v> </v>
      </c>
      <c r="L5310" s="26"/>
    </row>
    <row r="5311" spans="1:12">
      <c r="A5311" s="20" t="s">
        <v>1005</v>
      </c>
      <c r="E5311" s="21">
        <f>IF(D5311="?OLD","!!!","")</f>
        <v/>
      </c>
      <c r="F5311" s="22" t="str">
        <f>IF(OR(E5311="",E5311="!!!"),"",IF(NOT(ISNA(VLOOKUP(E5311,E$1:E5310,1,FALSE()))),"OLD",IF(AND(E5311&lt;&gt;"",E5311&lt;&gt;"!!!"),"NEW","")))</f>
        <v> </v>
      </c>
      <c r="G5311" s="23" t="str">
        <f>IF(OR(E5311="",E5311="!!!"),"",IF(OR(J5311=0,AND(J5311=1,K5311=1),AND(J5311=1,I5311="SBJ"),AND(J5311=1,I5311=0)),"?IN_FOCUS",IF(J5311&lt;=2,"?ACTIVATED",IF(J5311&lt;&gt;"","?FAMILIAR",IF(F5311="NEW",IF(ISNA(VLOOKUP(E5311,#REF!,1,FALSE())),"?TYPE_IDENTIFIABLE","?REFERENTIAL"),"_")))))</f>
        <v> </v>
      </c>
      <c r="H5311" s="24" t="str">
        <f>IF(J5311&lt;&gt;1,"",IF(I5311="SBJ","CB","?"))</f>
        <v> </v>
      </c>
      <c r="I5311" s="25" t="str">
        <f>IF(OR(E5311="",E5311="!!!",F5311="NEW"),"",INDEX(B5310:B$2,-1+SUMPRODUCT(MAX(ROW(E5310:E$2)*(E5311=E5310:E$2)))))</f>
        <v> </v>
      </c>
      <c r="J5311" s="25" t="str">
        <f>IF(OR(E5311="",E5311="!!!",F5311="NEW"),"",COUNTBLANK(OFFSET(A$1,,,SUMPRODUCT(MAX(ROW(E$2:E5311)*(E5311=E$2:E5311)))))-COUNTBLANK(OFFSET(A$1,,,SUMPRODUCT(MAX(ROW(E$1:E5310)*(E2=E$1:E5310))))))</f>
        <v> </v>
      </c>
      <c r="K5311" s="25" t="str">
        <f>IF(OR(E5311="",E5311="!!!",F5311="NEW"),"",INDEX(J$1:J5310,SUMPRODUCT(MAX(ROW(E$1:E5310)*(E5311=E$1:E5310)))))</f>
        <v> </v>
      </c>
      <c r="L5311" s="26"/>
    </row>
    <row r="5312" spans="1:12">
      <c r="A5312" s="20"/>
    </row>
    <row r="5313" spans="1:12">
      <c r="A5313" s="20" t="s">
        <v>1060</v>
      </c>
      <c r="E5313" s="21">
        <f>IF(D5313="?OLD","!!!","")</f>
        <v/>
      </c>
      <c r="F5313" s="22" t="str">
        <f>IF(OR(E5313="",E5313="!!!"),"",IF(NOT(ISNA(VLOOKUP(E5313,E$1:E5312,1,FALSE()))),"OLD",IF(AND(E5313&lt;&gt;"",E5313&lt;&gt;"!!!"),"NEW","")))</f>
        <v> </v>
      </c>
      <c r="G5313" s="23" t="str">
        <f>IF(OR(E5313="",E5313="!!!"),"",IF(OR(J5313=0,AND(J5313=1,K5313=1),AND(J5313=1,I5313="SBJ"),AND(J5313=1,I5313=0)),"?IN_FOCUS",IF(J5313&lt;=2,"?ACTIVATED",IF(J5313&lt;&gt;"","?FAMILIAR",IF(F5313="NEW",IF(ISNA(VLOOKUP(E5313,#REF!,1,FALSE())),"?TYPE_IDENTIFIABLE","?REFERENTIAL"),"_")))))</f>
        <v> </v>
      </c>
      <c r="H5313" s="24" t="str">
        <f>IF(J5313&lt;&gt;1,"",IF(I5313="SBJ","CB","?"))</f>
        <v> </v>
      </c>
      <c r="I5313" s="25" t="str">
        <f>IF(OR(E5313="",E5313="!!!",F5313="NEW"),"",INDEX(B5312:B$2,-1+SUMPRODUCT(MAX(ROW(E5312:E$2)*(E5313=E5312:E$2)))))</f>
        <v> </v>
      </c>
      <c r="J5313" s="25" t="str">
        <f>IF(OR(E5313="",E5313="!!!",F5313="NEW"),"",COUNTBLANK(OFFSET(A$1,,,SUMPRODUCT(MAX(ROW(E$2:E5313)*(E5313=E$2:E5313)))))-COUNTBLANK(OFFSET(A$1,,,SUMPRODUCT(MAX(ROW(E$1:E5312)*(E2=E$1:E5312))))))</f>
        <v> </v>
      </c>
      <c r="K5313" s="25" t="str">
        <f>IF(OR(E5313="",E5313="!!!",F5313="NEW"),"",INDEX(J$1:J5312,SUMPRODUCT(MAX(ROW(E$1:E5312)*(E5313=E$1:E5312)))))</f>
        <v> </v>
      </c>
      <c r="L5313" s="26"/>
    </row>
    <row r="5314" spans="1:12">
      <c r="A5314" s="20" t="s">
        <v>2444</v>
      </c>
    </row>
    <row r="5315" spans="1:12">
      <c r="A5315" s="20" t="s">
        <v>1093</v>
      </c>
      <c r="E5315" s="21">
        <f>IF(D5315="?OLD","!!!","")</f>
        <v/>
      </c>
      <c r="F5315" s="22" t="str">
        <f>IF(OR(E5315="",E5315="!!!"),"",IF(NOT(ISNA(VLOOKUP(E5315,E$1:E5314,1,FALSE()))),"OLD",IF(AND(E5315&lt;&gt;"",E5315&lt;&gt;"!!!"),"NEW","")))</f>
        <v> </v>
      </c>
      <c r="G5315" s="23" t="str">
        <f>IF(OR(E5315="",E5315="!!!"),"",IF(OR(J5315=0,AND(J5315=1,K5315=1),AND(J5315=1,I5315="SBJ"),AND(J5315=1,I5315=0)),"?IN_FOCUS",IF(J5315&lt;=2,"?ACTIVATED",IF(J5315&lt;&gt;"","?FAMILIAR",IF(F5315="NEW",IF(ISNA(VLOOKUP(E5315,#REF!,1,FALSE())),"?TYPE_IDENTIFIABLE","?REFERENTIAL"),"_")))))</f>
        <v> </v>
      </c>
      <c r="H5315" s="24" t="str">
        <f>IF(J5315&lt;&gt;1,"",IF(I5315="SBJ","CB","?"))</f>
        <v> </v>
      </c>
      <c r="I5315" s="25" t="str">
        <f>IF(OR(E5315="",E5315="!!!",F5315="NEW"),"",INDEX(B5314:B$2,-1+SUMPRODUCT(MAX(ROW(E5314:E$2)*(E5315=E5314:E$2)))))</f>
        <v> </v>
      </c>
      <c r="J5315" s="25" t="str">
        <f>IF(OR(E5315="",E5315="!!!",F5315="NEW"),"",COUNTBLANK(OFFSET(A$1,,,SUMPRODUCT(MAX(ROW(E$2:E5315)*(E5315=E$2:E5315)))))-COUNTBLANK(OFFSET(A$1,,,SUMPRODUCT(MAX(ROW(E$1:E5314)*(E2=E$1:E5314))))))</f>
        <v> </v>
      </c>
      <c r="K5315" s="25" t="str">
        <f>IF(OR(E5315="",E5315="!!!",F5315="NEW"),"",INDEX(J$1:J5314,SUMPRODUCT(MAX(ROW(E$1:E5314)*(E5315=E$1:E5314)))))</f>
        <v> </v>
      </c>
      <c r="L5315" s="26"/>
    </row>
    <row r="5316" spans="1:12">
      <c r="A5316" s="20" t="s">
        <v>1111</v>
      </c>
      <c r="B5316" s="27" t="s">
        <v>967</v>
      </c>
      <c r="C5316" s="27" t="s">
        <v>979</v>
      </c>
      <c r="D5316" s="27" t="s">
        <v>969</v>
      </c>
      <c r="E5316" s="21">
        <f>IF(D5316="?OLD","!!!","")</f>
        <v/>
      </c>
      <c r="F5316" s="22" t="str">
        <f>IF(OR(E5316="",E5316="!!!"),"",IF(NOT(ISNA(VLOOKUP(E5316,E$1:E5315,1,FALSE()))),"OLD",IF(AND(E5316&lt;&gt;"",E5316&lt;&gt;"!!!"),"NEW","")))</f>
        <v> </v>
      </c>
      <c r="G5316" s="23" t="str">
        <f>IF(OR(E5316="",E5316="!!!"),"",IF(OR(J5316=0,AND(J5316=1,K5316=1),AND(J5316=1,I5316="SBJ"),AND(J5316=1,I5316=0)),"?IN_FOCUS",IF(J5316&lt;=2,"?ACTIVATED",IF(J5316&lt;&gt;"","?FAMILIAR",IF(F5316="NEW",IF(ISNA(VLOOKUP(E5316,#REF!,1,FALSE())),"?TYPE_IDENTIFIABLE","?REFERENTIAL"),"_")))))</f>
        <v> </v>
      </c>
      <c r="H5316" s="24" t="str">
        <f>IF(J5316&lt;&gt;1,"",IF(I5316="SBJ","CB","?"))</f>
        <v> </v>
      </c>
      <c r="I5316" s="25" t="str">
        <f>IF(OR(E5316="",E5316="!!!",F5316="NEW"),"",INDEX(B5315:B$2,-1+SUMPRODUCT(MAX(ROW(E5315:E$2)*(E5316=E5315:E$2)))))</f>
        <v> </v>
      </c>
      <c r="J5316" s="25" t="str">
        <f>IF(OR(E5316="",E5316="!!!",F5316="NEW"),"",COUNTBLANK(OFFSET(A$1,,,SUMPRODUCT(MAX(ROW(E$2:E5316)*(E5316=E$2:E5316)))))-COUNTBLANK(OFFSET(A$1,,,SUMPRODUCT(MAX(ROW(E$1:E5315)*(E2=E$1:E5315))))))</f>
        <v> </v>
      </c>
      <c r="K5316" s="25" t="str">
        <f>IF(OR(E5316="",E5316="!!!",F5316="NEW"),"",INDEX(J$1:J5315,SUMPRODUCT(MAX(ROW(E$1:E5315)*(E5316=E$1:E5315)))))</f>
        <v> </v>
      </c>
      <c r="L5316" s="26"/>
    </row>
    <row r="5317" spans="1:12">
      <c r="A5317" s="20" t="s">
        <v>100</v>
      </c>
      <c r="E5317" s="21">
        <f>IF(D5317="?OLD","!!!","")</f>
        <v/>
      </c>
      <c r="F5317" s="22" t="str">
        <f>IF(OR(E5317="",E5317="!!!"),"",IF(NOT(ISNA(VLOOKUP(E5317,E$1:E5316,1,FALSE()))),"OLD",IF(AND(E5317&lt;&gt;"",E5317&lt;&gt;"!!!"),"NEW","")))</f>
        <v> </v>
      </c>
      <c r="G5317" s="23" t="str">
        <f>IF(OR(E5317="",E5317="!!!"),"",IF(OR(J5317=0,AND(J5317=1,K5317=1),AND(J5317=1,I5317="SBJ"),AND(J5317=1,I5317=0)),"?IN_FOCUS",IF(J5317&lt;=2,"?ACTIVATED",IF(J5317&lt;&gt;"","?FAMILIAR",IF(F5317="NEW",IF(ISNA(VLOOKUP(E5317,#REF!,1,FALSE())),"?TYPE_IDENTIFIABLE","?REFERENTIAL"),"_")))))</f>
        <v> </v>
      </c>
      <c r="H5317" s="24" t="str">
        <f>IF(J5317&lt;&gt;1,"",IF(I5317="SBJ","CB","?"))</f>
        <v> </v>
      </c>
      <c r="I5317" s="25" t="str">
        <f>IF(OR(E5317="",E5317="!!!",F5317="NEW"),"",INDEX(B5316:B$2,-1+SUMPRODUCT(MAX(ROW(E5316:E$2)*(E5317=E5316:E$2)))))</f>
        <v> </v>
      </c>
      <c r="J5317" s="25" t="str">
        <f>IF(OR(E5317="",E5317="!!!",F5317="NEW"),"",COUNTBLANK(OFFSET(A$1,,,SUMPRODUCT(MAX(ROW(E$2:E5317)*(E5317=E$2:E5317)))))-COUNTBLANK(OFFSET(A$1,,,SUMPRODUCT(MAX(ROW(E$1:E5316)*(E2=E$1:E5316))))))</f>
        <v> </v>
      </c>
      <c r="K5317" s="25" t="str">
        <f>IF(OR(E5317="",E5317="!!!",F5317="NEW"),"",INDEX(J$1:J5316,SUMPRODUCT(MAX(ROW(E$1:E5316)*(E5317=E$1:E5316)))))</f>
        <v> </v>
      </c>
      <c r="L5317" s="26"/>
    </row>
    <row r="5318" spans="1:12">
      <c r="A5318" s="20" t="s">
        <v>1689</v>
      </c>
      <c r="E5318" s="21">
        <f>IF(D5318="?OLD","!!!","")</f>
        <v/>
      </c>
      <c r="F5318" s="22" t="str">
        <f>IF(OR(E5318="",E5318="!!!"),"",IF(NOT(ISNA(VLOOKUP(E5318,E$1:E5317,1,FALSE()))),"OLD",IF(AND(E5318&lt;&gt;"",E5318&lt;&gt;"!!!"),"NEW","")))</f>
        <v> </v>
      </c>
      <c r="G5318" s="23" t="str">
        <f>IF(OR(E5318="",E5318="!!!"),"",IF(OR(J5318=0,AND(J5318=1,K5318=1),AND(J5318=1,I5318="SBJ"),AND(J5318=1,I5318=0)),"?IN_FOCUS",IF(J5318&lt;=2,"?ACTIVATED",IF(J5318&lt;&gt;"","?FAMILIAR",IF(F5318="NEW",IF(ISNA(VLOOKUP(E5318,#REF!,1,FALSE())),"?TYPE_IDENTIFIABLE","?REFERENTIAL"),"_")))))</f>
        <v> </v>
      </c>
      <c r="H5318" s="24" t="str">
        <f>IF(J5318&lt;&gt;1,"",IF(I5318="SBJ","CB","?"))</f>
        <v> </v>
      </c>
      <c r="I5318" s="25" t="str">
        <f>IF(OR(E5318="",E5318="!!!",F5318="NEW"),"",INDEX(B5317:B$2,-1+SUMPRODUCT(MAX(ROW(E5317:E$2)*(E5318=E5317:E$2)))))</f>
        <v> </v>
      </c>
      <c r="J5318" s="25" t="str">
        <f>IF(OR(E5318="",E5318="!!!",F5318="NEW"),"",COUNTBLANK(OFFSET(A$1,,,SUMPRODUCT(MAX(ROW(E$2:E5318)*(E5318=E$2:E5318)))))-COUNTBLANK(OFFSET(A$1,,,SUMPRODUCT(MAX(ROW(E$1:E5317)*(E2=E$1:E5317))))))</f>
        <v> </v>
      </c>
      <c r="K5318" s="25" t="str">
        <f>IF(OR(E5318="",E5318="!!!",F5318="NEW"),"",INDEX(J$1:J5317,SUMPRODUCT(MAX(ROW(E$1:E5317)*(E5318=E$1:E5317)))))</f>
        <v> </v>
      </c>
      <c r="L5318" s="26"/>
    </row>
    <row r="5319" spans="1:12">
      <c r="A5319" s="20" t="s">
        <v>1565</v>
      </c>
      <c r="E5319" s="21">
        <f>IF(D5319="?OLD","!!!","")</f>
        <v/>
      </c>
      <c r="F5319" s="22" t="str">
        <f>IF(OR(E5319="",E5319="!!!"),"",IF(NOT(ISNA(VLOOKUP(E5319,E$1:E5318,1,FALSE()))),"OLD",IF(AND(E5319&lt;&gt;"",E5319&lt;&gt;"!!!"),"NEW","")))</f>
        <v> </v>
      </c>
      <c r="G5319" s="23" t="str">
        <f>IF(OR(E5319="",E5319="!!!"),"",IF(OR(J5319=0,AND(J5319=1,K5319=1),AND(J5319=1,I5319="SBJ"),AND(J5319=1,I5319=0)),"?IN_FOCUS",IF(J5319&lt;=2,"?ACTIVATED",IF(J5319&lt;&gt;"","?FAMILIAR",IF(F5319="NEW",IF(ISNA(VLOOKUP(E5319,#REF!,1,FALSE())),"?TYPE_IDENTIFIABLE","?REFERENTIAL"),"_")))))</f>
        <v> </v>
      </c>
      <c r="H5319" s="24" t="str">
        <f>IF(J5319&lt;&gt;1,"",IF(I5319="SBJ","CB","?"))</f>
        <v> </v>
      </c>
      <c r="I5319" s="25" t="str">
        <f>IF(OR(E5319="",E5319="!!!",F5319="NEW"),"",INDEX(B5318:B$2,-1+SUMPRODUCT(MAX(ROW(E5318:E$2)*(E5319=E5318:E$2)))))</f>
        <v> </v>
      </c>
      <c r="J5319" s="25" t="str">
        <f>IF(OR(E5319="",E5319="!!!",F5319="NEW"),"",COUNTBLANK(OFFSET(A$1,,,SUMPRODUCT(MAX(ROW(E$2:E5319)*(E5319=E$2:E5319)))))-COUNTBLANK(OFFSET(A$1,,,SUMPRODUCT(MAX(ROW(E$1:E5318)*(E2=E$1:E5318))))))</f>
        <v> </v>
      </c>
      <c r="K5319" s="25" t="str">
        <f>IF(OR(E5319="",E5319="!!!",F5319="NEW"),"",INDEX(J$1:J5318,SUMPRODUCT(MAX(ROW(E$1:E5318)*(E5319=E$1:E5318)))))</f>
        <v> </v>
      </c>
      <c r="L5319" s="26"/>
    </row>
    <row r="5320" spans="1:12">
      <c r="A5320" s="20" t="s">
        <v>1194</v>
      </c>
      <c r="E5320" s="21">
        <f>IF(D5320="?OLD","!!!","")</f>
        <v/>
      </c>
      <c r="F5320" s="22" t="str">
        <f>IF(OR(E5320="",E5320="!!!"),"",IF(NOT(ISNA(VLOOKUP(E5320,E$1:E5319,1,FALSE()))),"OLD",IF(AND(E5320&lt;&gt;"",E5320&lt;&gt;"!!!"),"NEW","")))</f>
        <v> </v>
      </c>
      <c r="G5320" s="23" t="str">
        <f>IF(OR(E5320="",E5320="!!!"),"",IF(OR(J5320=0,AND(J5320=1,K5320=1),AND(J5320=1,I5320="SBJ"),AND(J5320=1,I5320=0)),"?IN_FOCUS",IF(J5320&lt;=2,"?ACTIVATED",IF(J5320&lt;&gt;"","?FAMILIAR",IF(F5320="NEW",IF(ISNA(VLOOKUP(E5320,#REF!,1,FALSE())),"?TYPE_IDENTIFIABLE","?REFERENTIAL"),"_")))))</f>
        <v> </v>
      </c>
      <c r="H5320" s="24" t="str">
        <f>IF(J5320&lt;&gt;1,"",IF(I5320="SBJ","CB","?"))</f>
        <v> </v>
      </c>
      <c r="I5320" s="25" t="str">
        <f>IF(OR(E5320="",E5320="!!!",F5320="NEW"),"",INDEX(B5319:B$2,-1+SUMPRODUCT(MAX(ROW(E5319:E$2)*(E5320=E5319:E$2)))))</f>
        <v> </v>
      </c>
      <c r="J5320" s="25" t="str">
        <f>IF(OR(E5320="",E5320="!!!",F5320="NEW"),"",COUNTBLANK(OFFSET(A$1,,,SUMPRODUCT(MAX(ROW(E$2:E5320)*(E5320=E$2:E5320)))))-COUNTBLANK(OFFSET(A$1,,,SUMPRODUCT(MAX(ROW(E$1:E5319)*(E2=E$1:E5319))))))</f>
        <v> </v>
      </c>
      <c r="K5320" s="25" t="str">
        <f>IF(OR(E5320="",E5320="!!!",F5320="NEW"),"",INDEX(J$1:J5319,SUMPRODUCT(MAX(ROW(E$1:E5319)*(E5320=E$1:E5319)))))</f>
        <v> </v>
      </c>
      <c r="L5320" s="26"/>
    </row>
    <row r="5321" spans="1:12">
      <c r="A5321" s="20" t="s">
        <v>965</v>
      </c>
      <c r="E5321" s="21">
        <f>IF(D5321="?OLD","!!!","")</f>
        <v/>
      </c>
      <c r="F5321" s="22" t="str">
        <f>IF(OR(E5321="",E5321="!!!"),"",IF(NOT(ISNA(VLOOKUP(E5321,E$1:E5320,1,FALSE()))),"OLD",IF(AND(E5321&lt;&gt;"",E5321&lt;&gt;"!!!"),"NEW","")))</f>
        <v> </v>
      </c>
      <c r="G5321" s="23" t="str">
        <f>IF(OR(E5321="",E5321="!!!"),"",IF(OR(J5321=0,AND(J5321=1,K5321=1),AND(J5321=1,I5321="SBJ"),AND(J5321=1,I5321=0)),"?IN_FOCUS",IF(J5321&lt;=2,"?ACTIVATED",IF(J5321&lt;&gt;"","?FAMILIAR",IF(F5321="NEW",IF(ISNA(VLOOKUP(E5321,#REF!,1,FALSE())),"?TYPE_IDENTIFIABLE","?REFERENTIAL"),"_")))))</f>
        <v> </v>
      </c>
      <c r="H5321" s="24" t="str">
        <f>IF(J5321&lt;&gt;1,"",IF(I5321="SBJ","CB","?"))</f>
        <v> </v>
      </c>
      <c r="I5321" s="25" t="str">
        <f>IF(OR(E5321="",E5321="!!!",F5321="NEW"),"",INDEX(B5320:B$2,-1+SUMPRODUCT(MAX(ROW(E5320:E$2)*(E5321=E5320:E$2)))))</f>
        <v> </v>
      </c>
      <c r="J5321" s="25" t="str">
        <f>IF(OR(E5321="",E5321="!!!",F5321="NEW"),"",COUNTBLANK(OFFSET(A$1,,,SUMPRODUCT(MAX(ROW(E$2:E5321)*(E5321=E$2:E5321)))))-COUNTBLANK(OFFSET(A$1,,,SUMPRODUCT(MAX(ROW(E$1:E5320)*(E2=E$1:E5320))))))</f>
        <v> </v>
      </c>
      <c r="K5321" s="25" t="str">
        <f>IF(OR(E5321="",E5321="!!!",F5321="NEW"),"",INDEX(J$1:J5320,SUMPRODUCT(MAX(ROW(E$1:E5320)*(E5321=E$1:E5320)))))</f>
        <v> </v>
      </c>
      <c r="L5321" s="26"/>
    </row>
    <row r="5322" spans="1:12">
      <c r="A5322" s="20" t="s">
        <v>1664</v>
      </c>
      <c r="B5322" s="27" t="s">
        <v>1010</v>
      </c>
      <c r="C5322" s="27" t="s">
        <v>968</v>
      </c>
      <c r="D5322" s="27" t="s">
        <v>969</v>
      </c>
      <c r="E5322" s="21">
        <f>IF(D5322="?OLD","!!!","")</f>
        <v/>
      </c>
      <c r="F5322" s="22" t="str">
        <f>IF(OR(E5322="",E5322="!!!"),"",IF(NOT(ISNA(VLOOKUP(E5322,E$1:E5321,1,FALSE()))),"OLD",IF(AND(E5322&lt;&gt;"",E5322&lt;&gt;"!!!"),"NEW","")))</f>
        <v> </v>
      </c>
      <c r="G5322" s="23" t="str">
        <f>IF(OR(E5322="",E5322="!!!"),"",IF(OR(J5322=0,AND(J5322=1,K5322=1),AND(J5322=1,I5322="SBJ"),AND(J5322=1,I5322=0)),"?IN_FOCUS",IF(J5322&lt;=2,"?ACTIVATED",IF(J5322&lt;&gt;"","?FAMILIAR",IF(F5322="NEW",IF(ISNA(VLOOKUP(E5322,#REF!,1,FALSE())),"?TYPE_IDENTIFIABLE","?REFERENTIAL"),"_")))))</f>
        <v> </v>
      </c>
      <c r="H5322" s="24" t="str">
        <f>IF(J5322&lt;&gt;1,"",IF(I5322="SBJ","CB","?"))</f>
        <v> </v>
      </c>
      <c r="I5322" s="25" t="str">
        <f>IF(OR(E5322="",E5322="!!!",F5322="NEW"),"",INDEX(B5321:B$2,-1+SUMPRODUCT(MAX(ROW(E5321:E$2)*(E5322=E5321:E$2)))))</f>
        <v> </v>
      </c>
      <c r="J5322" s="25" t="str">
        <f>IF(OR(E5322="",E5322="!!!",F5322="NEW"),"",COUNTBLANK(OFFSET(A$1,,,SUMPRODUCT(MAX(ROW(E$2:E5322)*(E5322=E$2:E5322)))))-COUNTBLANK(OFFSET(A$1,,,SUMPRODUCT(MAX(ROW(E$1:E5321)*(E2=E$1:E5321))))))</f>
        <v> </v>
      </c>
      <c r="K5322" s="25" t="str">
        <f>IF(OR(E5322="",E5322="!!!",F5322="NEW"),"",INDEX(J$1:J5321,SUMPRODUCT(MAX(ROW(E$1:E5321)*(E5322=E$1:E5321)))))</f>
        <v> </v>
      </c>
      <c r="L5322" s="26"/>
    </row>
    <row r="5323" spans="1:12">
      <c r="A5323" s="20" t="s">
        <v>2445</v>
      </c>
      <c r="E5323" s="21">
        <f>IF(D5323="?OLD","!!!","")</f>
        <v/>
      </c>
      <c r="F5323" s="22" t="str">
        <f>IF(OR(E5323="",E5323="!!!"),"",IF(NOT(ISNA(VLOOKUP(E5323,E$1:E5322,1,FALSE()))),"OLD",IF(AND(E5323&lt;&gt;"",E5323&lt;&gt;"!!!"),"NEW","")))</f>
        <v> </v>
      </c>
      <c r="G5323" s="23" t="str">
        <f>IF(OR(E5323="",E5323="!!!"),"",IF(OR(J5323=0,AND(J5323=1,K5323=1),AND(J5323=1,I5323="SBJ"),AND(J5323=1,I5323=0)),"?IN_FOCUS",IF(J5323&lt;=2,"?ACTIVATED",IF(J5323&lt;&gt;"","?FAMILIAR",IF(F5323="NEW",IF(ISNA(VLOOKUP(E5323,#REF!,1,FALSE())),"?TYPE_IDENTIFIABLE","?REFERENTIAL"),"_")))))</f>
        <v> </v>
      </c>
      <c r="H5323" s="24" t="str">
        <f>IF(J5323&lt;&gt;1,"",IF(I5323="SBJ","CB","?"))</f>
        <v> </v>
      </c>
      <c r="I5323" s="25" t="str">
        <f>IF(OR(E5323="",E5323="!!!",F5323="NEW"),"",INDEX(B5322:B$2,-1+SUMPRODUCT(MAX(ROW(E5322:E$2)*(E5323=E5322:E$2)))))</f>
        <v> </v>
      </c>
      <c r="J5323" s="25" t="str">
        <f>IF(OR(E5323="",E5323="!!!",F5323="NEW"),"",COUNTBLANK(OFFSET(A$1,,,SUMPRODUCT(MAX(ROW(E$2:E5323)*(E5323=E$2:E5323)))))-COUNTBLANK(OFFSET(A$1,,,SUMPRODUCT(MAX(ROW(E$1:E5322)*(E2=E$1:E5322))))))</f>
        <v> </v>
      </c>
      <c r="K5323" s="25" t="str">
        <f>IF(OR(E5323="",E5323="!!!",F5323="NEW"),"",INDEX(J$1:J5322,SUMPRODUCT(MAX(ROW(E$1:E5322)*(E5323=E$1:E5322)))))</f>
        <v> </v>
      </c>
      <c r="L5323" s="26"/>
    </row>
    <row r="5324" spans="1:12">
      <c r="A5324" s="20" t="s">
        <v>1689</v>
      </c>
      <c r="E5324" s="21">
        <f>IF(D5324="?OLD","!!!","")</f>
        <v/>
      </c>
      <c r="F5324" s="22" t="str">
        <f>IF(OR(E5324="",E5324="!!!"),"",IF(NOT(ISNA(VLOOKUP(E5324,E$1:E5323,1,FALSE()))),"OLD",IF(AND(E5324&lt;&gt;"",E5324&lt;&gt;"!!!"),"NEW","")))</f>
        <v> </v>
      </c>
      <c r="G5324" s="23" t="str">
        <f>IF(OR(E5324="",E5324="!!!"),"",IF(OR(J5324=0,AND(J5324=1,K5324=1),AND(J5324=1,I5324="SBJ"),AND(J5324=1,I5324=0)),"?IN_FOCUS",IF(J5324&lt;=2,"?ACTIVATED",IF(J5324&lt;&gt;"","?FAMILIAR",IF(F5324="NEW",IF(ISNA(VLOOKUP(E5324,#REF!,1,FALSE())),"?TYPE_IDENTIFIABLE","?REFERENTIAL"),"_")))))</f>
        <v> </v>
      </c>
      <c r="H5324" s="24" t="str">
        <f>IF(J5324&lt;&gt;1,"",IF(I5324="SBJ","CB","?"))</f>
        <v> </v>
      </c>
      <c r="I5324" s="25" t="str">
        <f>IF(OR(E5324="",E5324="!!!",F5324="NEW"),"",INDEX(B5323:B$2,-1+SUMPRODUCT(MAX(ROW(E5323:E$2)*(E5324=E5323:E$2)))))</f>
        <v> </v>
      </c>
      <c r="J5324" s="25" t="str">
        <f>IF(OR(E5324="",E5324="!!!",F5324="NEW"),"",COUNTBLANK(OFFSET(A$1,,,SUMPRODUCT(MAX(ROW(E$2:E5324)*(E5324=E$2:E5324)))))-COUNTBLANK(OFFSET(A$1,,,SUMPRODUCT(MAX(ROW(E$1:E5323)*(E2=E$1:E5323))))))</f>
        <v> </v>
      </c>
      <c r="K5324" s="25" t="str">
        <f>IF(OR(E5324="",E5324="!!!",F5324="NEW"),"",INDEX(J$1:J5323,SUMPRODUCT(MAX(ROW(E$1:E5323)*(E5324=E$1:E5323)))))</f>
        <v> </v>
      </c>
      <c r="L5324" s="26"/>
    </row>
    <row r="5325" spans="1:12">
      <c r="A5325" s="20" t="s">
        <v>1139</v>
      </c>
      <c r="B5325" s="27" t="s">
        <v>982</v>
      </c>
      <c r="C5325" s="27" t="s">
        <v>1102</v>
      </c>
      <c r="D5325" s="27" t="s">
        <v>969</v>
      </c>
      <c r="E5325" s="21">
        <f>IF(D5325="?OLD","!!!","")</f>
        <v/>
      </c>
      <c r="F5325" s="22" t="str">
        <f>IF(OR(E5325="",E5325="!!!"),"",IF(NOT(ISNA(VLOOKUP(E5325,E$1:E5324,1,FALSE()))),"OLD",IF(AND(E5325&lt;&gt;"",E5325&lt;&gt;"!!!"),"NEW","")))</f>
        <v> </v>
      </c>
      <c r="G5325" s="23" t="str">
        <f>IF(OR(E5325="",E5325="!!!"),"",IF(OR(J5325=0,AND(J5325=1,K5325=1),AND(J5325=1,I5325="SBJ"),AND(J5325=1,I5325=0)),"?IN_FOCUS",IF(J5325&lt;=2,"?ACTIVATED",IF(J5325&lt;&gt;"","?FAMILIAR",IF(F5325="NEW",IF(ISNA(VLOOKUP(E5325,#REF!,1,FALSE())),"?TYPE_IDENTIFIABLE","?REFERENTIAL"),"_")))))</f>
        <v> </v>
      </c>
      <c r="H5325" s="24" t="str">
        <f>IF(J5325&lt;&gt;1,"",IF(I5325="SBJ","CB","?"))</f>
        <v> </v>
      </c>
      <c r="I5325" s="25" t="str">
        <f>IF(OR(E5325="",E5325="!!!",F5325="NEW"),"",INDEX(B5324:B$2,-1+SUMPRODUCT(MAX(ROW(E5324:E$2)*(E5325=E5324:E$2)))))</f>
        <v> </v>
      </c>
      <c r="J5325" s="25" t="str">
        <f>IF(OR(E5325="",E5325="!!!",F5325="NEW"),"",COUNTBLANK(OFFSET(A$1,,,SUMPRODUCT(MAX(ROW(E$2:E5325)*(E5325=E$2:E5325)))))-COUNTBLANK(OFFSET(A$1,,,SUMPRODUCT(MAX(ROW(E$1:E5324)*(E2=E$1:E5324))))))</f>
        <v> </v>
      </c>
      <c r="K5325" s="25" t="str">
        <f>IF(OR(E5325="",E5325="!!!",F5325="NEW"),"",INDEX(J$1:J5324,SUMPRODUCT(MAX(ROW(E$1:E5324)*(E5325=E$1:E5324)))))</f>
        <v> </v>
      </c>
      <c r="L5325" s="26"/>
    </row>
    <row r="5326" spans="1:12">
      <c r="A5326" s="20" t="s">
        <v>2446</v>
      </c>
      <c r="E5326" s="21">
        <f>IF(D5326="?OLD","!!!","")</f>
        <v/>
      </c>
      <c r="F5326" s="22" t="str">
        <f>IF(OR(E5326="",E5326="!!!"),"",IF(NOT(ISNA(VLOOKUP(E5326,E$1:E5325,1,FALSE()))),"OLD",IF(AND(E5326&lt;&gt;"",E5326&lt;&gt;"!!!"),"NEW","")))</f>
        <v> </v>
      </c>
      <c r="G5326" s="23" t="str">
        <f>IF(OR(E5326="",E5326="!!!"),"",IF(OR(J5326=0,AND(J5326=1,K5326=1),AND(J5326=1,I5326="SBJ"),AND(J5326=1,I5326=0)),"?IN_FOCUS",IF(J5326&lt;=2,"?ACTIVATED",IF(J5326&lt;&gt;"","?FAMILIAR",IF(F5326="NEW",IF(ISNA(VLOOKUP(E5326,#REF!,1,FALSE())),"?TYPE_IDENTIFIABLE","?REFERENTIAL"),"_")))))</f>
        <v> </v>
      </c>
      <c r="H5326" s="24" t="str">
        <f>IF(J5326&lt;&gt;1,"",IF(I5326="SBJ","CB","?"))</f>
        <v> </v>
      </c>
      <c r="I5326" s="25" t="str">
        <f>IF(OR(E5326="",E5326="!!!",F5326="NEW"),"",INDEX(B5325:B$2,-1+SUMPRODUCT(MAX(ROW(E5325:E$2)*(E5326=E5325:E$2)))))</f>
        <v> </v>
      </c>
      <c r="J5326" s="25" t="str">
        <f>IF(OR(E5326="",E5326="!!!",F5326="NEW"),"",COUNTBLANK(OFFSET(A$1,,,SUMPRODUCT(MAX(ROW(E$2:E5326)*(E5326=E$2:E5326)))))-COUNTBLANK(OFFSET(A$1,,,SUMPRODUCT(MAX(ROW(E$1:E5325)*(E2=E$1:E5325))))))</f>
        <v> </v>
      </c>
      <c r="K5326" s="25" t="str">
        <f>IF(OR(E5326="",E5326="!!!",F5326="NEW"),"",INDEX(J$1:J5325,SUMPRODUCT(MAX(ROW(E$1:E5325)*(E5326=E$1:E5325)))))</f>
        <v> </v>
      </c>
      <c r="L5326" s="26"/>
    </row>
    <row r="5327" spans="1:12">
      <c r="A5327" s="20" t="s">
        <v>2447</v>
      </c>
      <c r="B5327" s="27" t="s">
        <v>1013</v>
      </c>
      <c r="C5327" s="27" t="s">
        <v>1083</v>
      </c>
      <c r="D5327" s="27" t="s">
        <v>969</v>
      </c>
      <c r="E5327" s="21">
        <f>IF(D5327="?OLD","!!!","")</f>
        <v/>
      </c>
      <c r="F5327" s="22" t="str">
        <f>IF(OR(E5327="",E5327="!!!"),"",IF(NOT(ISNA(VLOOKUP(E5327,E$1:E5326,1,FALSE()))),"OLD",IF(AND(E5327&lt;&gt;"",E5327&lt;&gt;"!!!"),"NEW","")))</f>
        <v> </v>
      </c>
      <c r="G5327" s="23" t="str">
        <f>IF(OR(E5327="",E5327="!!!"),"",IF(OR(J5327=0,AND(J5327=1,K5327=1),AND(J5327=1,I5327="SBJ"),AND(J5327=1,I5327=0)),"?IN_FOCUS",IF(J5327&lt;=2,"?ACTIVATED",IF(J5327&lt;&gt;"","?FAMILIAR",IF(F5327="NEW",IF(ISNA(VLOOKUP(E5327,#REF!,1,FALSE())),"?TYPE_IDENTIFIABLE","?REFERENTIAL"),"_")))))</f>
        <v> </v>
      </c>
      <c r="H5327" s="24" t="str">
        <f>IF(J5327&lt;&gt;1,"",IF(I5327="SBJ","CB","?"))</f>
        <v> </v>
      </c>
      <c r="I5327" s="25" t="str">
        <f>IF(OR(E5327="",E5327="!!!",F5327="NEW"),"",INDEX(B5326:B$2,-1+SUMPRODUCT(MAX(ROW(E5326:E$2)*(E5327=E5326:E$2)))))</f>
        <v> </v>
      </c>
      <c r="J5327" s="25" t="str">
        <f>IF(OR(E5327="",E5327="!!!",F5327="NEW"),"",COUNTBLANK(OFFSET(A$1,,,SUMPRODUCT(MAX(ROW(E$2:E5327)*(E5327=E$2:E5327)))))-COUNTBLANK(OFFSET(A$1,,,SUMPRODUCT(MAX(ROW(E$1:E5326)*(E2=E$1:E5326))))))</f>
        <v> </v>
      </c>
      <c r="K5327" s="25" t="str">
        <f>IF(OR(E5327="",E5327="!!!",F5327="NEW"),"",INDEX(J$1:J5326,SUMPRODUCT(MAX(ROW(E$1:E5326)*(E5327=E$1:E5326)))))</f>
        <v> </v>
      </c>
      <c r="L5327" s="26"/>
    </row>
    <row r="5328" spans="1:12">
      <c r="A5328" s="20" t="s">
        <v>1005</v>
      </c>
      <c r="E5328" s="21">
        <f>IF(D5328="?OLD","!!!","")</f>
        <v/>
      </c>
      <c r="F5328" s="22" t="str">
        <f>IF(OR(E5328="",E5328="!!!"),"",IF(NOT(ISNA(VLOOKUP(E5328,E$1:E5327,1,FALSE()))),"OLD",IF(AND(E5328&lt;&gt;"",E5328&lt;&gt;"!!!"),"NEW","")))</f>
        <v> </v>
      </c>
      <c r="G5328" s="23" t="str">
        <f>IF(OR(E5328="",E5328="!!!"),"",IF(OR(J5328=0,AND(J5328=1,K5328=1),AND(J5328=1,I5328="SBJ"),AND(J5328=1,I5328=0)),"?IN_FOCUS",IF(J5328&lt;=2,"?ACTIVATED",IF(J5328&lt;&gt;"","?FAMILIAR",IF(F5328="NEW",IF(ISNA(VLOOKUP(E5328,#REF!,1,FALSE())),"?TYPE_IDENTIFIABLE","?REFERENTIAL"),"_")))))</f>
        <v> </v>
      </c>
      <c r="H5328" s="24" t="str">
        <f>IF(J5328&lt;&gt;1,"",IF(I5328="SBJ","CB","?"))</f>
        <v> </v>
      </c>
      <c r="I5328" s="25" t="str">
        <f>IF(OR(E5328="",E5328="!!!",F5328="NEW"),"",INDEX(B5327:B$2,-1+SUMPRODUCT(MAX(ROW(E5327:E$2)*(E5328=E5327:E$2)))))</f>
        <v> </v>
      </c>
      <c r="J5328" s="25" t="str">
        <f>IF(OR(E5328="",E5328="!!!",F5328="NEW"),"",COUNTBLANK(OFFSET(A$1,,,SUMPRODUCT(MAX(ROW(E$2:E5328)*(E5328=E$2:E5328)))))-COUNTBLANK(OFFSET(A$1,,,SUMPRODUCT(MAX(ROW(E$1:E5327)*(E2=E$1:E5327))))))</f>
        <v> </v>
      </c>
      <c r="K5328" s="25" t="str">
        <f>IF(OR(E5328="",E5328="!!!",F5328="NEW"),"",INDEX(J$1:J5327,SUMPRODUCT(MAX(ROW(E$1:E5327)*(E5328=E$1:E5327)))))</f>
        <v> </v>
      </c>
      <c r="L5328" s="26"/>
    </row>
    <row r="5329" spans="1:12">
      <c r="A5329" s="20"/>
    </row>
    <row r="5330" spans="1:12">
      <c r="A5330" s="20" t="s">
        <v>1060</v>
      </c>
      <c r="E5330" s="21">
        <f>IF(D5330="?OLD","!!!","")</f>
        <v/>
      </c>
      <c r="F5330" s="22" t="str">
        <f>IF(OR(E5330="",E5330="!!!"),"",IF(NOT(ISNA(VLOOKUP(E5330,E$1:E5329,1,FALSE()))),"OLD",IF(AND(E5330&lt;&gt;"",E5330&lt;&gt;"!!!"),"NEW","")))</f>
        <v> </v>
      </c>
      <c r="G5330" s="23" t="str">
        <f>IF(OR(E5330="",E5330="!!!"),"",IF(OR(J5330=0,AND(J5330=1,K5330=1),AND(J5330=1,I5330="SBJ"),AND(J5330=1,I5330=0)),"?IN_FOCUS",IF(J5330&lt;=2,"?ACTIVATED",IF(J5330&lt;&gt;"","?FAMILIAR",IF(F5330="NEW",IF(ISNA(VLOOKUP(E5330,#REF!,1,FALSE())),"?TYPE_IDENTIFIABLE","?REFERENTIAL"),"_")))))</f>
        <v> </v>
      </c>
      <c r="H5330" s="24" t="str">
        <f>IF(J5330&lt;&gt;1,"",IF(I5330="SBJ","CB","?"))</f>
        <v> </v>
      </c>
      <c r="I5330" s="25" t="str">
        <f>IF(OR(E5330="",E5330="!!!",F5330="NEW"),"",INDEX(B5329:B$2,-1+SUMPRODUCT(MAX(ROW(E5329:E$2)*(E5330=E5329:E$2)))))</f>
        <v> </v>
      </c>
      <c r="J5330" s="25" t="str">
        <f>IF(OR(E5330="",E5330="!!!",F5330="NEW"),"",COUNTBLANK(OFFSET(A$1,,,SUMPRODUCT(MAX(ROW(E$2:E5330)*(E5330=E$2:E5330)))))-COUNTBLANK(OFFSET(A$1,,,SUMPRODUCT(MAX(ROW(E$1:E5329)*(E2=E$1:E5329))))))</f>
        <v> </v>
      </c>
      <c r="K5330" s="25" t="str">
        <f>IF(OR(E5330="",E5330="!!!",F5330="NEW"),"",INDEX(J$1:J5329,SUMPRODUCT(MAX(ROW(E$1:E5329)*(E5330=E$1:E5329)))))</f>
        <v> </v>
      </c>
      <c r="L5330" s="26"/>
    </row>
    <row r="5331" spans="1:12">
      <c r="A5331" s="20" t="s">
        <v>2448</v>
      </c>
    </row>
    <row r="5332" spans="1:12">
      <c r="A5332" s="20" t="s">
        <v>2449</v>
      </c>
      <c r="E5332" s="21">
        <f>IF(D5332="?OLD","!!!","")</f>
        <v/>
      </c>
      <c r="F5332" s="22" t="str">
        <f>IF(OR(E5332="",E5332="!!!"),"",IF(NOT(ISNA(VLOOKUP(E5332,E$1:E5331,1,FALSE()))),"OLD",IF(AND(E5332&lt;&gt;"",E5332&lt;&gt;"!!!"),"NEW","")))</f>
        <v> </v>
      </c>
      <c r="G5332" s="23" t="str">
        <f>IF(OR(E5332="",E5332="!!!"),"",IF(OR(J5332=0,AND(J5332=1,K5332=1),AND(J5332=1,I5332="SBJ"),AND(J5332=1,I5332=0)),"?IN_FOCUS",IF(J5332&lt;=2,"?ACTIVATED",IF(J5332&lt;&gt;"","?FAMILIAR",IF(F5332="NEW",IF(ISNA(VLOOKUP(E5332,#REF!,1,FALSE())),"?TYPE_IDENTIFIABLE","?REFERENTIAL"),"_")))))</f>
        <v> </v>
      </c>
      <c r="H5332" s="24" t="str">
        <f>IF(J5332&lt;&gt;1,"",IF(I5332="SBJ","CB","?"))</f>
        <v> </v>
      </c>
      <c r="I5332" s="25" t="str">
        <f>IF(OR(E5332="",E5332="!!!",F5332="NEW"),"",INDEX(B5331:B$2,-1+SUMPRODUCT(MAX(ROW(E5331:E$2)*(E5332=E5331:E$2)))))</f>
        <v> </v>
      </c>
      <c r="J5332" s="25" t="str">
        <f>IF(OR(E5332="",E5332="!!!",F5332="NEW"),"",COUNTBLANK(OFFSET(A$1,,,SUMPRODUCT(MAX(ROW(E$2:E5332)*(E5332=E$2:E5332)))))-COUNTBLANK(OFFSET(A$1,,,SUMPRODUCT(MAX(ROW(E$1:E5331)*(E2=E$1:E5331))))))</f>
        <v> </v>
      </c>
      <c r="K5332" s="25" t="str">
        <f>IF(OR(E5332="",E5332="!!!",F5332="NEW"),"",INDEX(J$1:J5331,SUMPRODUCT(MAX(ROW(E$1:E5331)*(E5332=E$1:E5331)))))</f>
        <v> </v>
      </c>
      <c r="L5332" s="26"/>
    </row>
    <row r="5333" spans="1:12">
      <c r="A5333" s="20" t="s">
        <v>1968</v>
      </c>
      <c r="B5333" s="27" t="s">
        <v>967</v>
      </c>
      <c r="C5333" s="27" t="s">
        <v>968</v>
      </c>
      <c r="D5333" s="27" t="s">
        <v>969</v>
      </c>
      <c r="E5333" s="21">
        <f>IF(D5333="?OLD","!!!","")</f>
        <v/>
      </c>
      <c r="F5333" s="22" t="str">
        <f>IF(OR(E5333="",E5333="!!!"),"",IF(NOT(ISNA(VLOOKUP(E5333,E$1:E5332,1,FALSE()))),"OLD",IF(AND(E5333&lt;&gt;"",E5333&lt;&gt;"!!!"),"NEW","")))</f>
        <v> </v>
      </c>
      <c r="G5333" s="23" t="str">
        <f>IF(OR(E5333="",E5333="!!!"),"",IF(OR(J5333=0,AND(J5333=1,K5333=1),AND(J5333=1,I5333="SBJ"),AND(J5333=1,I5333=0)),"?IN_FOCUS",IF(J5333&lt;=2,"?ACTIVATED",IF(J5333&lt;&gt;"","?FAMILIAR",IF(F5333="NEW",IF(ISNA(VLOOKUP(E5333,#REF!,1,FALSE())),"?TYPE_IDENTIFIABLE","?REFERENTIAL"),"_")))))</f>
        <v> </v>
      </c>
      <c r="H5333" s="24" t="str">
        <f>IF(J5333&lt;&gt;1,"",IF(I5333="SBJ","CB","?"))</f>
        <v> </v>
      </c>
      <c r="I5333" s="25" t="str">
        <f>IF(OR(E5333="",E5333="!!!",F5333="NEW"),"",INDEX(B5332:B$2,-1+SUMPRODUCT(MAX(ROW(E5332:E$2)*(E5333=E5332:E$2)))))</f>
        <v> </v>
      </c>
      <c r="J5333" s="25" t="str">
        <f>IF(OR(E5333="",E5333="!!!",F5333="NEW"),"",COUNTBLANK(OFFSET(A$1,,,SUMPRODUCT(MAX(ROW(E$2:E5333)*(E5333=E$2:E5333)))))-COUNTBLANK(OFFSET(A$1,,,SUMPRODUCT(MAX(ROW(E$1:E5332)*(E2=E$1:E5332))))))</f>
        <v> </v>
      </c>
      <c r="K5333" s="25" t="str">
        <f>IF(OR(E5333="",E5333="!!!",F5333="NEW"),"",INDEX(J$1:J5332,SUMPRODUCT(MAX(ROW(E$1:E5332)*(E5333=E$1:E5332)))))</f>
        <v> </v>
      </c>
      <c r="L5333" s="26"/>
    </row>
    <row r="5334" spans="1:12">
      <c r="A5334" s="20" t="s">
        <v>1718</v>
      </c>
      <c r="B5334" s="27" t="s">
        <v>967</v>
      </c>
      <c r="E5334" s="21">
        <f>IF(D5334="?OLD","!!!","")</f>
        <v/>
      </c>
      <c r="F5334" s="22" t="str">
        <f>IF(OR(E5334="",E5334="!!!"),"",IF(NOT(ISNA(VLOOKUP(E5334,E$1:E5333,1,FALSE()))),"OLD",IF(AND(E5334&lt;&gt;"",E5334&lt;&gt;"!!!"),"NEW","")))</f>
        <v> </v>
      </c>
      <c r="G5334" s="23" t="str">
        <f>IF(OR(E5334="",E5334="!!!"),"",IF(OR(J5334=0,AND(J5334=1,K5334=1),AND(J5334=1,I5334="SBJ"),AND(J5334=1,I5334=0)),"?IN_FOCUS",IF(J5334&lt;=2,"?ACTIVATED",IF(J5334&lt;&gt;"","?FAMILIAR",IF(F5334="NEW",IF(ISNA(VLOOKUP(E5334,#REF!,1,FALSE())),"?TYPE_IDENTIFIABLE","?REFERENTIAL"),"_")))))</f>
        <v> </v>
      </c>
      <c r="H5334" s="24" t="str">
        <f>IF(J5334&lt;&gt;1,"",IF(I5334="SBJ","CB","?"))</f>
        <v> </v>
      </c>
      <c r="I5334" s="25" t="str">
        <f>IF(OR(E5334="",E5334="!!!",F5334="NEW"),"",INDEX(B5333:B$2,-1+SUMPRODUCT(MAX(ROW(E5333:E$2)*(E5334=E5333:E$2)))))</f>
        <v> </v>
      </c>
      <c r="J5334" s="25" t="str">
        <f>IF(OR(E5334="",E5334="!!!",F5334="NEW"),"",COUNTBLANK(OFFSET(A$1,,,SUMPRODUCT(MAX(ROW(E$2:E5334)*(E5334=E$2:E5334)))))-COUNTBLANK(OFFSET(A$1,,,SUMPRODUCT(MAX(ROW(E$1:E5333)*(E2=E$1:E5333))))))</f>
        <v> </v>
      </c>
      <c r="K5334" s="25" t="str">
        <f>IF(OR(E5334="",E5334="!!!",F5334="NEW"),"",INDEX(J$1:J5333,SUMPRODUCT(MAX(ROW(E$1:E5333)*(E5334=E$1:E5333)))))</f>
        <v> </v>
      </c>
      <c r="L5334" s="26"/>
    </row>
    <row r="5335" spans="1:12">
      <c r="A5335" s="20" t="s">
        <v>832</v>
      </c>
      <c r="E5335" s="21">
        <f>IF(D5335="?OLD","!!!","")</f>
        <v/>
      </c>
      <c r="F5335" s="22" t="str">
        <f>IF(OR(E5335="",E5335="!!!"),"",IF(NOT(ISNA(VLOOKUP(E5335,E$1:E5334,1,FALSE()))),"OLD",IF(AND(E5335&lt;&gt;"",E5335&lt;&gt;"!!!"),"NEW","")))</f>
        <v> </v>
      </c>
      <c r="G5335" s="23" t="str">
        <f>IF(OR(E5335="",E5335="!!!"),"",IF(OR(J5335=0,AND(J5335=1,K5335=1),AND(J5335=1,I5335="SBJ"),AND(J5335=1,I5335=0)),"?IN_FOCUS",IF(J5335&lt;=2,"?ACTIVATED",IF(J5335&lt;&gt;"","?FAMILIAR",IF(F5335="NEW",IF(ISNA(VLOOKUP(E5335,#REF!,1,FALSE())),"?TYPE_IDENTIFIABLE","?REFERENTIAL"),"_")))))</f>
        <v> </v>
      </c>
      <c r="H5335" s="24" t="str">
        <f>IF(J5335&lt;&gt;1,"",IF(I5335="SBJ","CB","?"))</f>
        <v> </v>
      </c>
      <c r="I5335" s="25" t="str">
        <f>IF(OR(E5335="",E5335="!!!",F5335="NEW"),"",INDEX(B5334:B$2,-1+SUMPRODUCT(MAX(ROW(E5334:E$2)*(E5335=E5334:E$2)))))</f>
        <v> </v>
      </c>
      <c r="J5335" s="25" t="str">
        <f>IF(OR(E5335="",E5335="!!!",F5335="NEW"),"",COUNTBLANK(OFFSET(A$1,,,SUMPRODUCT(MAX(ROW(E$2:E5335)*(E5335=E$2:E5335)))))-COUNTBLANK(OFFSET(A$1,,,SUMPRODUCT(MAX(ROW(E$1:E5334)*(E2=E$1:E5334))))))</f>
        <v> </v>
      </c>
      <c r="K5335" s="25" t="str">
        <f>IF(OR(E5335="",E5335="!!!",F5335="NEW"),"",INDEX(J$1:J5334,SUMPRODUCT(MAX(ROW(E$1:E5334)*(E5335=E$1:E5334)))))</f>
        <v> </v>
      </c>
      <c r="L5335" s="26"/>
    </row>
    <row r="5336" spans="1:12">
      <c r="A5336" s="20" t="s">
        <v>1373</v>
      </c>
      <c r="E5336" s="21">
        <f>IF(D5336="?OLD","!!!","")</f>
        <v/>
      </c>
      <c r="F5336" s="22" t="str">
        <f>IF(OR(E5336="",E5336="!!!"),"",IF(NOT(ISNA(VLOOKUP(E5336,E$1:E5335,1,FALSE()))),"OLD",IF(AND(E5336&lt;&gt;"",E5336&lt;&gt;"!!!"),"NEW","")))</f>
        <v> </v>
      </c>
      <c r="G5336" s="23" t="str">
        <f>IF(OR(E5336="",E5336="!!!"),"",IF(OR(J5336=0,AND(J5336=1,K5336=1),AND(J5336=1,I5336="SBJ"),AND(J5336=1,I5336=0)),"?IN_FOCUS",IF(J5336&lt;=2,"?ACTIVATED",IF(J5336&lt;&gt;"","?FAMILIAR",IF(F5336="NEW",IF(ISNA(VLOOKUP(E5336,#REF!,1,FALSE())),"?TYPE_IDENTIFIABLE","?REFERENTIAL"),"_")))))</f>
        <v> </v>
      </c>
      <c r="H5336" s="24" t="str">
        <f>IF(J5336&lt;&gt;1,"",IF(I5336="SBJ","CB","?"))</f>
        <v> </v>
      </c>
      <c r="I5336" s="25" t="str">
        <f>IF(OR(E5336="",E5336="!!!",F5336="NEW"),"",INDEX(B5335:B$2,-1+SUMPRODUCT(MAX(ROW(E5335:E$2)*(E5336=E5335:E$2)))))</f>
        <v> </v>
      </c>
      <c r="J5336" s="25" t="str">
        <f>IF(OR(E5336="",E5336="!!!",F5336="NEW"),"",COUNTBLANK(OFFSET(A$1,,,SUMPRODUCT(MAX(ROW(E$2:E5336)*(E5336=E$2:E5336)))))-COUNTBLANK(OFFSET(A$1,,,SUMPRODUCT(MAX(ROW(E$1:E5335)*(E2=E$1:E5335))))))</f>
        <v> </v>
      </c>
      <c r="K5336" s="25" t="str">
        <f>IF(OR(E5336="",E5336="!!!",F5336="NEW"),"",INDEX(J$1:J5335,SUMPRODUCT(MAX(ROW(E$1:E5335)*(E5336=E$1:E5335)))))</f>
        <v> </v>
      </c>
      <c r="L5336" s="26"/>
    </row>
    <row r="5337" spans="1:12">
      <c r="A5337" s="20" t="s">
        <v>965</v>
      </c>
      <c r="E5337" s="21">
        <f>IF(D5337="?OLD","!!!","")</f>
        <v/>
      </c>
      <c r="F5337" s="22" t="str">
        <f>IF(OR(E5337="",E5337="!!!"),"",IF(NOT(ISNA(VLOOKUP(E5337,E$1:E5336,1,FALSE()))),"OLD",IF(AND(E5337&lt;&gt;"",E5337&lt;&gt;"!!!"),"NEW","")))</f>
        <v> </v>
      </c>
      <c r="G5337" s="23" t="str">
        <f>IF(OR(E5337="",E5337="!!!"),"",IF(OR(J5337=0,AND(J5337=1,K5337=1),AND(J5337=1,I5337="SBJ"),AND(J5337=1,I5337=0)),"?IN_FOCUS",IF(J5337&lt;=2,"?ACTIVATED",IF(J5337&lt;&gt;"","?FAMILIAR",IF(F5337="NEW",IF(ISNA(VLOOKUP(E5337,#REF!,1,FALSE())),"?TYPE_IDENTIFIABLE","?REFERENTIAL"),"_")))))</f>
        <v> </v>
      </c>
      <c r="H5337" s="24" t="str">
        <f>IF(J5337&lt;&gt;1,"",IF(I5337="SBJ","CB","?"))</f>
        <v> </v>
      </c>
      <c r="I5337" s="25" t="str">
        <f>IF(OR(E5337="",E5337="!!!",F5337="NEW"),"",INDEX(B5336:B$2,-1+SUMPRODUCT(MAX(ROW(E5336:E$2)*(E5337=E5336:E$2)))))</f>
        <v> </v>
      </c>
      <c r="J5337" s="25" t="str">
        <f>IF(OR(E5337="",E5337="!!!",F5337="NEW"),"",COUNTBLANK(OFFSET(A$1,,,SUMPRODUCT(MAX(ROW(E$2:E5337)*(E5337=E$2:E5337)))))-COUNTBLANK(OFFSET(A$1,,,SUMPRODUCT(MAX(ROW(E$1:E5336)*(E2=E$1:E5336))))))</f>
        <v> </v>
      </c>
      <c r="K5337" s="25" t="str">
        <f>IF(OR(E5337="",E5337="!!!",F5337="NEW"),"",INDEX(J$1:J5336,SUMPRODUCT(MAX(ROW(E$1:E5336)*(E5337=E$1:E5336)))))</f>
        <v> </v>
      </c>
      <c r="L5337" s="26"/>
    </row>
    <row r="5338" spans="1:12">
      <c r="A5338" s="20"/>
    </row>
    <row r="5339" spans="1:12">
      <c r="A5339" s="20" t="s">
        <v>2450</v>
      </c>
    </row>
    <row r="5340" spans="1:12">
      <c r="A5340" s="20" t="s">
        <v>1163</v>
      </c>
      <c r="B5340" s="27" t="s">
        <v>967</v>
      </c>
      <c r="C5340" s="27" t="s">
        <v>1011</v>
      </c>
      <c r="D5340" s="27" t="s">
        <v>969</v>
      </c>
      <c r="E5340" s="21">
        <f>IF(D5340="?OLD","!!!","")</f>
        <v/>
      </c>
      <c r="F5340" s="22" t="str">
        <f>IF(OR(E5340="",E5340="!!!"),"",IF(NOT(ISNA(VLOOKUP(E5340,E$1:E5339,1,FALSE()))),"OLD",IF(AND(E5340&lt;&gt;"",E5340&lt;&gt;"!!!"),"NEW","")))</f>
        <v> </v>
      </c>
      <c r="G5340" s="23" t="str">
        <f>IF(OR(E5340="",E5340="!!!"),"",IF(OR(J5340=0,AND(J5340=1,K5340=1),AND(J5340=1,I5340="SBJ"),AND(J5340=1,I5340=0)),"?IN_FOCUS",IF(J5340&lt;=2,"?ACTIVATED",IF(J5340&lt;&gt;"","?FAMILIAR",IF(F5340="NEW",IF(ISNA(VLOOKUP(E5340,#REF!,1,FALSE())),"?TYPE_IDENTIFIABLE","?REFERENTIAL"),"_")))))</f>
        <v> </v>
      </c>
      <c r="H5340" s="24" t="str">
        <f>IF(J5340&lt;&gt;1,"",IF(I5340="SBJ","CB","?"))</f>
        <v> </v>
      </c>
      <c r="I5340" s="25" t="str">
        <f>IF(OR(E5340="",E5340="!!!",F5340="NEW"),"",INDEX(B5339:B$2,-1+SUMPRODUCT(MAX(ROW(E5339:E$2)*(E5340=E5339:E$2)))))</f>
        <v> </v>
      </c>
      <c r="J5340" s="25" t="str">
        <f>IF(OR(E5340="",E5340="!!!",F5340="NEW"),"",COUNTBLANK(OFFSET(A$1,,,SUMPRODUCT(MAX(ROW(E$2:E5340)*(E5340=E$2:E5340)))))-COUNTBLANK(OFFSET(A$1,,,SUMPRODUCT(MAX(ROW(E$1:E5339)*(E2=E$1:E5339))))))</f>
        <v> </v>
      </c>
      <c r="K5340" s="25" t="str">
        <f>IF(OR(E5340="",E5340="!!!",F5340="NEW"),"",INDEX(J$1:J5339,SUMPRODUCT(MAX(ROW(E$1:E5339)*(E5340=E$1:E5339)))))</f>
        <v> </v>
      </c>
      <c r="L5340" s="26"/>
    </row>
    <row r="5341" spans="1:12">
      <c r="A5341" s="20" t="s">
        <v>2451</v>
      </c>
      <c r="E5341" s="21">
        <f>IF(D5341="?OLD","!!!","")</f>
        <v/>
      </c>
      <c r="F5341" s="22" t="str">
        <f>IF(OR(E5341="",E5341="!!!"),"",IF(NOT(ISNA(VLOOKUP(E5341,E$1:E5340,1,FALSE()))),"OLD",IF(AND(E5341&lt;&gt;"",E5341&lt;&gt;"!!!"),"NEW","")))</f>
        <v> </v>
      </c>
      <c r="G5341" s="23" t="str">
        <f>IF(OR(E5341="",E5341="!!!"),"",IF(OR(J5341=0,AND(J5341=1,K5341=1),AND(J5341=1,I5341="SBJ"),AND(J5341=1,I5341=0)),"?IN_FOCUS",IF(J5341&lt;=2,"?ACTIVATED",IF(J5341&lt;&gt;"","?FAMILIAR",IF(F5341="NEW",IF(ISNA(VLOOKUP(E5341,#REF!,1,FALSE())),"?TYPE_IDENTIFIABLE","?REFERENTIAL"),"_")))))</f>
        <v> </v>
      </c>
      <c r="H5341" s="24" t="str">
        <f>IF(J5341&lt;&gt;1,"",IF(I5341="SBJ","CB","?"))</f>
        <v> </v>
      </c>
      <c r="I5341" s="25" t="str">
        <f>IF(OR(E5341="",E5341="!!!",F5341="NEW"),"",INDEX(B5340:B$2,-1+SUMPRODUCT(MAX(ROW(E5340:E$2)*(E5341=E5340:E$2)))))</f>
        <v> </v>
      </c>
      <c r="J5341" s="25" t="str">
        <f>IF(OR(E5341="",E5341="!!!",F5341="NEW"),"",COUNTBLANK(OFFSET(A$1,,,SUMPRODUCT(MAX(ROW(E$2:E5341)*(E5341=E$2:E5341)))))-COUNTBLANK(OFFSET(A$1,,,SUMPRODUCT(MAX(ROW(E$1:E5340)*(E2=E$1:E5340))))))</f>
        <v> </v>
      </c>
      <c r="K5341" s="25" t="str">
        <f>IF(OR(E5341="",E5341="!!!",F5341="NEW"),"",INDEX(J$1:J5340,SUMPRODUCT(MAX(ROW(E$1:E5340)*(E5341=E$1:E5340)))))</f>
        <v> </v>
      </c>
      <c r="L5341" s="26"/>
    </row>
    <row r="5342" spans="1:12">
      <c r="A5342" s="20" t="s">
        <v>993</v>
      </c>
      <c r="B5342" s="27" t="s">
        <v>967</v>
      </c>
      <c r="C5342" s="27" t="s">
        <v>968</v>
      </c>
      <c r="D5342" s="27" t="s">
        <v>969</v>
      </c>
      <c r="E5342" s="21">
        <f>IF(D5342="?OLD","!!!","")</f>
        <v/>
      </c>
      <c r="F5342" s="22" t="str">
        <f>IF(OR(E5342="",E5342="!!!"),"",IF(NOT(ISNA(VLOOKUP(E5342,E$1:E5341,1,FALSE()))),"OLD",IF(AND(E5342&lt;&gt;"",E5342&lt;&gt;"!!!"),"NEW","")))</f>
        <v> </v>
      </c>
      <c r="G5342" s="23" t="str">
        <f>IF(OR(E5342="",E5342="!!!"),"",IF(OR(J5342=0,AND(J5342=1,K5342=1),AND(J5342=1,I5342="SBJ"),AND(J5342=1,I5342=0)),"?IN_FOCUS",IF(J5342&lt;=2,"?ACTIVATED",IF(J5342&lt;&gt;"","?FAMILIAR",IF(F5342="NEW",IF(ISNA(VLOOKUP(E5342,#REF!,1,FALSE())),"?TYPE_IDENTIFIABLE","?REFERENTIAL"),"_")))))</f>
        <v> </v>
      </c>
      <c r="H5342" s="24" t="str">
        <f>IF(J5342&lt;&gt;1,"",IF(I5342="SBJ","CB","?"))</f>
        <v> </v>
      </c>
      <c r="I5342" s="25" t="str">
        <f>IF(OR(E5342="",E5342="!!!",F5342="NEW"),"",INDEX(B5341:B$2,-1+SUMPRODUCT(MAX(ROW(E5341:E$2)*(E5342=E5341:E$2)))))</f>
        <v> </v>
      </c>
      <c r="J5342" s="25" t="str">
        <f>IF(OR(E5342="",E5342="!!!",F5342="NEW"),"",COUNTBLANK(OFFSET(A$1,,,SUMPRODUCT(MAX(ROW(E$2:E5342)*(E5342=E$2:E5342)))))-COUNTBLANK(OFFSET(A$1,,,SUMPRODUCT(MAX(ROW(E$1:E5341)*(E2=E$1:E5341))))))</f>
        <v> </v>
      </c>
      <c r="K5342" s="25" t="str">
        <f>IF(OR(E5342="",E5342="!!!",F5342="NEW"),"",INDEX(J$1:J5341,SUMPRODUCT(MAX(ROW(E$1:E5341)*(E5342=E$1:E5341)))))</f>
        <v> </v>
      </c>
      <c r="L5342" s="26"/>
    </row>
    <row r="5343" spans="1:12">
      <c r="A5343" s="20" t="s">
        <v>1021</v>
      </c>
      <c r="E5343" s="21">
        <f>IF(D5343="?OLD","!!!","")</f>
        <v/>
      </c>
      <c r="F5343" s="22" t="str">
        <f>IF(OR(E5343="",E5343="!!!"),"",IF(NOT(ISNA(VLOOKUP(E5343,E$1:E5342,1,FALSE()))),"OLD",IF(AND(E5343&lt;&gt;"",E5343&lt;&gt;"!!!"),"NEW","")))</f>
        <v> </v>
      </c>
      <c r="G5343" s="23" t="str">
        <f>IF(OR(E5343="",E5343="!!!"),"",IF(OR(J5343=0,AND(J5343=1,K5343=1),AND(J5343=1,I5343="SBJ"),AND(J5343=1,I5343=0)),"?IN_FOCUS",IF(J5343&lt;=2,"?ACTIVATED",IF(J5343&lt;&gt;"","?FAMILIAR",IF(F5343="NEW",IF(ISNA(VLOOKUP(E5343,#REF!,1,FALSE())),"?TYPE_IDENTIFIABLE","?REFERENTIAL"),"_")))))</f>
        <v> </v>
      </c>
      <c r="H5343" s="24" t="str">
        <f>IF(J5343&lt;&gt;1,"",IF(I5343="SBJ","CB","?"))</f>
        <v> </v>
      </c>
      <c r="I5343" s="25" t="str">
        <f>IF(OR(E5343="",E5343="!!!",F5343="NEW"),"",INDEX(B5342:B$2,-1+SUMPRODUCT(MAX(ROW(E5342:E$2)*(E5343=E5342:E$2)))))</f>
        <v> </v>
      </c>
      <c r="J5343" s="25" t="str">
        <f>IF(OR(E5343="",E5343="!!!",F5343="NEW"),"",COUNTBLANK(OFFSET(A$1,,,SUMPRODUCT(MAX(ROW(E$2:E5343)*(E5343=E$2:E5343)))))-COUNTBLANK(OFFSET(A$1,,,SUMPRODUCT(MAX(ROW(E$1:E5342)*(E2=E$1:E5342))))))</f>
        <v> </v>
      </c>
      <c r="K5343" s="25" t="str">
        <f>IF(OR(E5343="",E5343="!!!",F5343="NEW"),"",INDEX(J$1:J5342,SUMPRODUCT(MAX(ROW(E$1:E5342)*(E5343=E$1:E5342)))))</f>
        <v> </v>
      </c>
      <c r="L5343" s="26"/>
    </row>
    <row r="5344" spans="1:12">
      <c r="A5344" s="20" t="s">
        <v>1005</v>
      </c>
      <c r="E5344" s="21">
        <f>IF(D5344="?OLD","!!!","")</f>
        <v/>
      </c>
      <c r="F5344" s="22" t="str">
        <f>IF(OR(E5344="",E5344="!!!"),"",IF(NOT(ISNA(VLOOKUP(E5344,E$1:E5343,1,FALSE()))),"OLD",IF(AND(E5344&lt;&gt;"",E5344&lt;&gt;"!!!"),"NEW","")))</f>
        <v> </v>
      </c>
      <c r="G5344" s="23" t="str">
        <f>IF(OR(E5344="",E5344="!!!"),"",IF(OR(J5344=0,AND(J5344=1,K5344=1),AND(J5344=1,I5344="SBJ"),AND(J5344=1,I5344=0)),"?IN_FOCUS",IF(J5344&lt;=2,"?ACTIVATED",IF(J5344&lt;&gt;"","?FAMILIAR",IF(F5344="NEW",IF(ISNA(VLOOKUP(E5344,#REF!,1,FALSE())),"?TYPE_IDENTIFIABLE","?REFERENTIAL"),"_")))))</f>
        <v> </v>
      </c>
      <c r="H5344" s="24" t="str">
        <f>IF(J5344&lt;&gt;1,"",IF(I5344="SBJ","CB","?"))</f>
        <v> </v>
      </c>
      <c r="I5344" s="25" t="str">
        <f>IF(OR(E5344="",E5344="!!!",F5344="NEW"),"",INDEX(B5343:B$2,-1+SUMPRODUCT(MAX(ROW(E5343:E$2)*(E5344=E5343:E$2)))))</f>
        <v> </v>
      </c>
      <c r="J5344" s="25" t="str">
        <f>IF(OR(E5344="",E5344="!!!",F5344="NEW"),"",COUNTBLANK(OFFSET(A$1,,,SUMPRODUCT(MAX(ROW(E$2:E5344)*(E5344=E$2:E5344)))))-COUNTBLANK(OFFSET(A$1,,,SUMPRODUCT(MAX(ROW(E$1:E5343)*(E2=E$1:E5343))))))</f>
        <v> </v>
      </c>
      <c r="K5344" s="25" t="str">
        <f>IF(OR(E5344="",E5344="!!!",F5344="NEW"),"",INDEX(J$1:J5343,SUMPRODUCT(MAX(ROW(E$1:E5343)*(E5344=E$1:E5343)))))</f>
        <v> </v>
      </c>
      <c r="L5344" s="26"/>
    </row>
    <row r="5345" spans="1:12">
      <c r="A5345" s="20"/>
    </row>
    <row r="5346" spans="1:12">
      <c r="A5346" s="20" t="s">
        <v>2452</v>
      </c>
    </row>
    <row r="5347" spans="1:12">
      <c r="A5347" s="20" t="s">
        <v>1144</v>
      </c>
      <c r="E5347" s="21">
        <f>IF(D5347="?OLD","!!!","")</f>
        <v/>
      </c>
      <c r="F5347" s="22" t="str">
        <f>IF(OR(E5347="",E5347="!!!"),"",IF(NOT(ISNA(VLOOKUP(E5347,E$1:E5346,1,FALSE()))),"OLD",IF(AND(E5347&lt;&gt;"",E5347&lt;&gt;"!!!"),"NEW","")))</f>
        <v> </v>
      </c>
      <c r="G5347" s="23" t="str">
        <f>IF(OR(E5347="",E5347="!!!"),"",IF(OR(J5347=0,AND(J5347=1,K5347=1),AND(J5347=1,I5347="SBJ"),AND(J5347=1,I5347=0)),"?IN_FOCUS",IF(J5347&lt;=2,"?ACTIVATED",IF(J5347&lt;&gt;"","?FAMILIAR",IF(F5347="NEW",IF(ISNA(VLOOKUP(E5347,#REF!,1,FALSE())),"?TYPE_IDENTIFIABLE","?REFERENTIAL"),"_")))))</f>
        <v> </v>
      </c>
      <c r="H5347" s="24" t="str">
        <f>IF(J5347&lt;&gt;1,"",IF(I5347="SBJ","CB","?"))</f>
        <v> </v>
      </c>
      <c r="I5347" s="25" t="str">
        <f>IF(OR(E5347="",E5347="!!!",F5347="NEW"),"",INDEX(B5346:B$2,-1+SUMPRODUCT(MAX(ROW(E5346:E$2)*(E5347=E5346:E$2)))))</f>
        <v> </v>
      </c>
      <c r="J5347" s="25" t="str">
        <f>IF(OR(E5347="",E5347="!!!",F5347="NEW"),"",COUNTBLANK(OFFSET(A$1,,,SUMPRODUCT(MAX(ROW(E$2:E5347)*(E5347=E$2:E5347)))))-COUNTBLANK(OFFSET(A$1,,,SUMPRODUCT(MAX(ROW(E$1:E5346)*(E2=E$1:E5346))))))</f>
        <v> </v>
      </c>
      <c r="K5347" s="25" t="str">
        <f>IF(OR(E5347="",E5347="!!!",F5347="NEW"),"",INDEX(J$1:J5346,SUMPRODUCT(MAX(ROW(E$1:E5346)*(E5347=E$1:E5346)))))</f>
        <v> </v>
      </c>
      <c r="L5347" s="26"/>
    </row>
    <row r="5348" spans="1:12">
      <c r="A5348" s="20" t="s">
        <v>993</v>
      </c>
      <c r="B5348" s="27" t="s">
        <v>967</v>
      </c>
      <c r="C5348" s="27" t="s">
        <v>968</v>
      </c>
      <c r="D5348" s="27" t="s">
        <v>969</v>
      </c>
      <c r="E5348" s="21">
        <f>IF(D5348="?OLD","!!!","")</f>
        <v/>
      </c>
      <c r="F5348" s="22" t="str">
        <f>IF(OR(E5348="",E5348="!!!"),"",IF(NOT(ISNA(VLOOKUP(E5348,E$1:E5347,1,FALSE()))),"OLD",IF(AND(E5348&lt;&gt;"",E5348&lt;&gt;"!!!"),"NEW","")))</f>
        <v> </v>
      </c>
      <c r="G5348" s="23" t="str">
        <f>IF(OR(E5348="",E5348="!!!"),"",IF(OR(J5348=0,AND(J5348=1,K5348=1),AND(J5348=1,I5348="SBJ"),AND(J5348=1,I5348=0)),"?IN_FOCUS",IF(J5348&lt;=2,"?ACTIVATED",IF(J5348&lt;&gt;"","?FAMILIAR",IF(F5348="NEW",IF(ISNA(VLOOKUP(E5348,#REF!,1,FALSE())),"?TYPE_IDENTIFIABLE","?REFERENTIAL"),"_")))))</f>
        <v> </v>
      </c>
      <c r="H5348" s="24" t="str">
        <f>IF(J5348&lt;&gt;1,"",IF(I5348="SBJ","CB","?"))</f>
        <v> </v>
      </c>
      <c r="I5348" s="25" t="str">
        <f>IF(OR(E5348="",E5348="!!!",F5348="NEW"),"",INDEX(B5347:B$2,-1+SUMPRODUCT(MAX(ROW(E5347:E$2)*(E5348=E5347:E$2)))))</f>
        <v> </v>
      </c>
      <c r="J5348" s="25" t="str">
        <f>IF(OR(E5348="",E5348="!!!",F5348="NEW"),"",COUNTBLANK(OFFSET(A$1,,,SUMPRODUCT(MAX(ROW(E$2:E5348)*(E5348=E$2:E5348)))))-COUNTBLANK(OFFSET(A$1,,,SUMPRODUCT(MAX(ROW(E$1:E5347)*(E2=E$1:E5347))))))</f>
        <v> </v>
      </c>
      <c r="K5348" s="25" t="str">
        <f>IF(OR(E5348="",E5348="!!!",F5348="NEW"),"",INDEX(J$1:J5347,SUMPRODUCT(MAX(ROW(E$1:E5347)*(E5348=E$1:E5347)))))</f>
        <v> </v>
      </c>
      <c r="L5348" s="26"/>
    </row>
    <row r="5349" spans="1:12">
      <c r="A5349" s="20" t="s">
        <v>1369</v>
      </c>
      <c r="E5349" s="21">
        <f>IF(D5349="?OLD","!!!","")</f>
        <v/>
      </c>
      <c r="F5349" s="22" t="str">
        <f>IF(OR(E5349="",E5349="!!!"),"",IF(NOT(ISNA(VLOOKUP(E5349,E$1:E5348,1,FALSE()))),"OLD",IF(AND(E5349&lt;&gt;"",E5349&lt;&gt;"!!!"),"NEW","")))</f>
        <v> </v>
      </c>
      <c r="G5349" s="23" t="str">
        <f>IF(OR(E5349="",E5349="!!!"),"",IF(OR(J5349=0,AND(J5349=1,K5349=1),AND(J5349=1,I5349="SBJ"),AND(J5349=1,I5349=0)),"?IN_FOCUS",IF(J5349&lt;=2,"?ACTIVATED",IF(J5349&lt;&gt;"","?FAMILIAR",IF(F5349="NEW",IF(ISNA(VLOOKUP(E5349,#REF!,1,FALSE())),"?TYPE_IDENTIFIABLE","?REFERENTIAL"),"_")))))</f>
        <v> </v>
      </c>
      <c r="H5349" s="24" t="str">
        <f>IF(J5349&lt;&gt;1,"",IF(I5349="SBJ","CB","?"))</f>
        <v> </v>
      </c>
      <c r="I5349" s="25" t="str">
        <f>IF(OR(E5349="",E5349="!!!",F5349="NEW"),"",INDEX(B5348:B$2,-1+SUMPRODUCT(MAX(ROW(E5348:E$2)*(E5349=E5348:E$2)))))</f>
        <v> </v>
      </c>
      <c r="J5349" s="25" t="str">
        <f>IF(OR(E5349="",E5349="!!!",F5349="NEW"),"",COUNTBLANK(OFFSET(A$1,,,SUMPRODUCT(MAX(ROW(E$2:E5349)*(E5349=E$2:E5349)))))-COUNTBLANK(OFFSET(A$1,,,SUMPRODUCT(MAX(ROW(E$1:E5348)*(E2=E$1:E5348))))))</f>
        <v> </v>
      </c>
      <c r="K5349" s="25" t="str">
        <f>IF(OR(E5349="",E5349="!!!",F5349="NEW"),"",INDEX(J$1:J5348,SUMPRODUCT(MAX(ROW(E$1:E5348)*(E5349=E$1:E5348)))))</f>
        <v> </v>
      </c>
      <c r="L5349" s="26"/>
    </row>
    <row r="5350" spans="1:12">
      <c r="A5350" s="20" t="s">
        <v>1021</v>
      </c>
      <c r="E5350" s="21">
        <f>IF(D5350="?OLD","!!!","")</f>
        <v/>
      </c>
      <c r="F5350" s="22" t="str">
        <f>IF(OR(E5350="",E5350="!!!"),"",IF(NOT(ISNA(VLOOKUP(E5350,E$1:E5349,1,FALSE()))),"OLD",IF(AND(E5350&lt;&gt;"",E5350&lt;&gt;"!!!"),"NEW","")))</f>
        <v> </v>
      </c>
      <c r="G5350" s="23" t="str">
        <f>IF(OR(E5350="",E5350="!!!"),"",IF(OR(J5350=0,AND(J5350=1,K5350=1),AND(J5350=1,I5350="SBJ"),AND(J5350=1,I5350=0)),"?IN_FOCUS",IF(J5350&lt;=2,"?ACTIVATED",IF(J5350&lt;&gt;"","?FAMILIAR",IF(F5350="NEW",IF(ISNA(VLOOKUP(E5350,#REF!,1,FALSE())),"?TYPE_IDENTIFIABLE","?REFERENTIAL"),"_")))))</f>
        <v> </v>
      </c>
      <c r="H5350" s="24" t="str">
        <f>IF(J5350&lt;&gt;1,"",IF(I5350="SBJ","CB","?"))</f>
        <v> </v>
      </c>
      <c r="I5350" s="25" t="str">
        <f>IF(OR(E5350="",E5350="!!!",F5350="NEW"),"",INDEX(B5349:B$2,-1+SUMPRODUCT(MAX(ROW(E5349:E$2)*(E5350=E5349:E$2)))))</f>
        <v> </v>
      </c>
      <c r="J5350" s="25" t="str">
        <f>IF(OR(E5350="",E5350="!!!",F5350="NEW"),"",COUNTBLANK(OFFSET(A$1,,,SUMPRODUCT(MAX(ROW(E$2:E5350)*(E5350=E$2:E5350)))))-COUNTBLANK(OFFSET(A$1,,,SUMPRODUCT(MAX(ROW(E$1:E5349)*(E2=E$1:E5349))))))</f>
        <v> </v>
      </c>
      <c r="K5350" s="25" t="str">
        <f>IF(OR(E5350="",E5350="!!!",F5350="NEW"),"",INDEX(J$1:J5349,SUMPRODUCT(MAX(ROW(E$1:E5349)*(E5350=E$1:E5349)))))</f>
        <v> </v>
      </c>
      <c r="L5350" s="26"/>
    </row>
    <row r="5351" spans="1:12">
      <c r="A5351" s="20" t="s">
        <v>1517</v>
      </c>
      <c r="E5351" s="21">
        <f>IF(D5351="?OLD","!!!","")</f>
        <v/>
      </c>
      <c r="F5351" s="22" t="str">
        <f>IF(OR(E5351="",E5351="!!!"),"",IF(NOT(ISNA(VLOOKUP(E5351,E$1:E5350,1,FALSE()))),"OLD",IF(AND(E5351&lt;&gt;"",E5351&lt;&gt;"!!!"),"NEW","")))</f>
        <v> </v>
      </c>
      <c r="G5351" s="23" t="str">
        <f>IF(OR(E5351="",E5351="!!!"),"",IF(OR(J5351=0,AND(J5351=1,K5351=1),AND(J5351=1,I5351="SBJ"),AND(J5351=1,I5351=0)),"?IN_FOCUS",IF(J5351&lt;=2,"?ACTIVATED",IF(J5351&lt;&gt;"","?FAMILIAR",IF(F5351="NEW",IF(ISNA(VLOOKUP(E5351,#REF!,1,FALSE())),"?TYPE_IDENTIFIABLE","?REFERENTIAL"),"_")))))</f>
        <v> </v>
      </c>
      <c r="H5351" s="24" t="str">
        <f>IF(J5351&lt;&gt;1,"",IF(I5351="SBJ","CB","?"))</f>
        <v> </v>
      </c>
      <c r="I5351" s="25" t="str">
        <f>IF(OR(E5351="",E5351="!!!",F5351="NEW"),"",INDEX(B5350:B$2,-1+SUMPRODUCT(MAX(ROW(E5350:E$2)*(E5351=E5350:E$2)))))</f>
        <v> </v>
      </c>
      <c r="J5351" s="25" t="str">
        <f>IF(OR(E5351="",E5351="!!!",F5351="NEW"),"",COUNTBLANK(OFFSET(A$1,,,SUMPRODUCT(MAX(ROW(E$2:E5351)*(E5351=E$2:E5351)))))-COUNTBLANK(OFFSET(A$1,,,SUMPRODUCT(MAX(ROW(E$1:E5350)*(E2=E$1:E5350))))))</f>
        <v> </v>
      </c>
      <c r="K5351" s="25" t="str">
        <f>IF(OR(E5351="",E5351="!!!",F5351="NEW"),"",INDEX(J$1:J5350,SUMPRODUCT(MAX(ROW(E$1:E5350)*(E5351=E$1:E5350)))))</f>
        <v> </v>
      </c>
      <c r="L5351" s="26"/>
    </row>
    <row r="5352" spans="1:12">
      <c r="A5352" s="20" t="s">
        <v>991</v>
      </c>
      <c r="E5352" s="21">
        <f>IF(D5352="?OLD","!!!","")</f>
        <v/>
      </c>
      <c r="F5352" s="22" t="str">
        <f>IF(OR(E5352="",E5352="!!!"),"",IF(NOT(ISNA(VLOOKUP(E5352,E$1:E5351,1,FALSE()))),"OLD",IF(AND(E5352&lt;&gt;"",E5352&lt;&gt;"!!!"),"NEW","")))</f>
        <v> </v>
      </c>
      <c r="G5352" s="23" t="str">
        <f>IF(OR(E5352="",E5352="!!!"),"",IF(OR(J5352=0,AND(J5352=1,K5352=1),AND(J5352=1,I5352="SBJ"),AND(J5352=1,I5352=0)),"?IN_FOCUS",IF(J5352&lt;=2,"?ACTIVATED",IF(J5352&lt;&gt;"","?FAMILIAR",IF(F5352="NEW",IF(ISNA(VLOOKUP(E5352,#REF!,1,FALSE())),"?TYPE_IDENTIFIABLE","?REFERENTIAL"),"_")))))</f>
        <v> </v>
      </c>
      <c r="H5352" s="24" t="str">
        <f>IF(J5352&lt;&gt;1,"",IF(I5352="SBJ","CB","?"))</f>
        <v> </v>
      </c>
      <c r="I5352" s="25" t="str">
        <f>IF(OR(E5352="",E5352="!!!",F5352="NEW"),"",INDEX(B5351:B$2,-1+SUMPRODUCT(MAX(ROW(E5351:E$2)*(E5352=E5351:E$2)))))</f>
        <v> </v>
      </c>
      <c r="J5352" s="25" t="str">
        <f>IF(OR(E5352="",E5352="!!!",F5352="NEW"),"",COUNTBLANK(OFFSET(A$1,,,SUMPRODUCT(MAX(ROW(E$2:E5352)*(E5352=E$2:E5352)))))-COUNTBLANK(OFFSET(A$1,,,SUMPRODUCT(MAX(ROW(E$1:E5351)*(E2=E$1:E5351))))))</f>
        <v> </v>
      </c>
      <c r="K5352" s="25" t="str">
        <f>IF(OR(E5352="",E5352="!!!",F5352="NEW"),"",INDEX(J$1:J5351,SUMPRODUCT(MAX(ROW(E$1:E5351)*(E5352=E$1:E5351)))))</f>
        <v> </v>
      </c>
      <c r="L5352" s="26"/>
    </row>
    <row r="5353" spans="1:12">
      <c r="A5353" s="20" t="s">
        <v>996</v>
      </c>
      <c r="E5353" s="21">
        <f>IF(D5353="?OLD","!!!","")</f>
        <v/>
      </c>
      <c r="F5353" s="22" t="str">
        <f>IF(OR(E5353="",E5353="!!!"),"",IF(NOT(ISNA(VLOOKUP(E5353,E$1:E5352,1,FALSE()))),"OLD",IF(AND(E5353&lt;&gt;"",E5353&lt;&gt;"!!!"),"NEW","")))</f>
        <v> </v>
      </c>
      <c r="G5353" s="23" t="str">
        <f>IF(OR(E5353="",E5353="!!!"),"",IF(OR(J5353=0,AND(J5353=1,K5353=1),AND(J5353=1,I5353="SBJ"),AND(J5353=1,I5353=0)),"?IN_FOCUS",IF(J5353&lt;=2,"?ACTIVATED",IF(J5353&lt;&gt;"","?FAMILIAR",IF(F5353="NEW",IF(ISNA(VLOOKUP(E5353,#REF!,1,FALSE())),"?TYPE_IDENTIFIABLE","?REFERENTIAL"),"_")))))</f>
        <v> </v>
      </c>
      <c r="H5353" s="24" t="str">
        <f>IF(J5353&lt;&gt;1,"",IF(I5353="SBJ","CB","?"))</f>
        <v> </v>
      </c>
      <c r="I5353" s="25" t="str">
        <f>IF(OR(E5353="",E5353="!!!",F5353="NEW"),"",INDEX(B5352:B$2,-1+SUMPRODUCT(MAX(ROW(E5352:E$2)*(E5353=E5352:E$2)))))</f>
        <v> </v>
      </c>
      <c r="J5353" s="25" t="str">
        <f>IF(OR(E5353="",E5353="!!!",F5353="NEW"),"",COUNTBLANK(OFFSET(A$1,,,SUMPRODUCT(MAX(ROW(E$2:E5353)*(E5353=E$2:E5353)))))-COUNTBLANK(OFFSET(A$1,,,SUMPRODUCT(MAX(ROW(E$1:E5352)*(E2=E$1:E5352))))))</f>
        <v> </v>
      </c>
      <c r="K5353" s="25" t="str">
        <f>IF(OR(E5353="",E5353="!!!",F5353="NEW"),"",INDEX(J$1:J5352,SUMPRODUCT(MAX(ROW(E$1:E5352)*(E5353=E$1:E5352)))))</f>
        <v> </v>
      </c>
      <c r="L5353" s="26"/>
    </row>
    <row r="5354" spans="1:12">
      <c r="A5354" s="20" t="s">
        <v>993</v>
      </c>
      <c r="B5354" s="27" t="s">
        <v>1010</v>
      </c>
      <c r="C5354" s="27" t="s">
        <v>968</v>
      </c>
      <c r="D5354" s="27" t="s">
        <v>969</v>
      </c>
      <c r="E5354" s="21">
        <f>IF(D5354="?OLD","!!!","")</f>
        <v/>
      </c>
      <c r="F5354" s="22" t="str">
        <f>IF(OR(E5354="",E5354="!!!"),"",IF(NOT(ISNA(VLOOKUP(E5354,E$1:E5353,1,FALSE()))),"OLD",IF(AND(E5354&lt;&gt;"",E5354&lt;&gt;"!!!"),"NEW","")))</f>
        <v> </v>
      </c>
      <c r="G5354" s="23" t="str">
        <f>IF(OR(E5354="",E5354="!!!"),"",IF(OR(J5354=0,AND(J5354=1,K5354=1),AND(J5354=1,I5354="SBJ"),AND(J5354=1,I5354=0)),"?IN_FOCUS",IF(J5354&lt;=2,"?ACTIVATED",IF(J5354&lt;&gt;"","?FAMILIAR",IF(F5354="NEW",IF(ISNA(VLOOKUP(E5354,#REF!,1,FALSE())),"?TYPE_IDENTIFIABLE","?REFERENTIAL"),"_")))))</f>
        <v> </v>
      </c>
      <c r="H5354" s="24" t="str">
        <f>IF(J5354&lt;&gt;1,"",IF(I5354="SBJ","CB","?"))</f>
        <v> </v>
      </c>
      <c r="I5354" s="25" t="str">
        <f>IF(OR(E5354="",E5354="!!!",F5354="NEW"),"",INDEX(B5353:B$2,-1+SUMPRODUCT(MAX(ROW(E5353:E$2)*(E5354=E5353:E$2)))))</f>
        <v> </v>
      </c>
      <c r="J5354" s="25" t="str">
        <f>IF(OR(E5354="",E5354="!!!",F5354="NEW"),"",COUNTBLANK(OFFSET(A$1,,,SUMPRODUCT(MAX(ROW(E$2:E5354)*(E5354=E$2:E5354)))))-COUNTBLANK(OFFSET(A$1,,,SUMPRODUCT(MAX(ROW(E$1:E5353)*(E2=E$1:E5353))))))</f>
        <v> </v>
      </c>
      <c r="K5354" s="25" t="str">
        <f>IF(OR(E5354="",E5354="!!!",F5354="NEW"),"",INDEX(J$1:J5353,SUMPRODUCT(MAX(ROW(E$1:E5353)*(E5354=E$1:E5353)))))</f>
        <v> </v>
      </c>
      <c r="L5354" s="26"/>
    </row>
    <row r="5355" spans="1:12">
      <c r="A5355" s="20" t="s">
        <v>999</v>
      </c>
      <c r="B5355" s="27" t="s">
        <v>982</v>
      </c>
      <c r="C5355" s="27" t="s">
        <v>1001</v>
      </c>
      <c r="E5355" s="21">
        <f>IF(D5355="?OLD","!!!","")</f>
        <v/>
      </c>
      <c r="F5355" s="22" t="str">
        <f>IF(OR(E5355="",E5355="!!!"),"",IF(NOT(ISNA(VLOOKUP(E5355,E$1:E5354,1,FALSE()))),"OLD",IF(AND(E5355&lt;&gt;"",E5355&lt;&gt;"!!!"),"NEW","")))</f>
        <v> </v>
      </c>
      <c r="G5355" s="23" t="str">
        <f>IF(OR(E5355="",E5355="!!!"),"",IF(OR(J5355=0,AND(J5355=1,K5355=1),AND(J5355=1,I5355="SBJ"),AND(J5355=1,I5355=0)),"?IN_FOCUS",IF(J5355&lt;=2,"?ACTIVATED",IF(J5355&lt;&gt;"","?FAMILIAR",IF(F5355="NEW",IF(ISNA(VLOOKUP(E5355,#REF!,1,FALSE())),"?TYPE_IDENTIFIABLE","?REFERENTIAL"),"_")))))</f>
        <v> </v>
      </c>
      <c r="H5355" s="24" t="str">
        <f>IF(J5355&lt;&gt;1,"",IF(I5355="SBJ","CB","?"))</f>
        <v> </v>
      </c>
      <c r="I5355" s="25" t="str">
        <f>IF(OR(E5355="",E5355="!!!",F5355="NEW"),"",INDEX(B5354:B$2,-1+SUMPRODUCT(MAX(ROW(E5354:E$2)*(E5355=E5354:E$2)))))</f>
        <v> </v>
      </c>
      <c r="J5355" s="25" t="str">
        <f>IF(OR(E5355="",E5355="!!!",F5355="NEW"),"",COUNTBLANK(OFFSET(A$1,,,SUMPRODUCT(MAX(ROW(E$2:E5355)*(E5355=E$2:E5355)))))-COUNTBLANK(OFFSET(A$1,,,SUMPRODUCT(MAX(ROW(E$1:E5354)*(E2=E$1:E5354))))))</f>
        <v> </v>
      </c>
      <c r="K5355" s="25" t="str">
        <f>IF(OR(E5355="",E5355="!!!",F5355="NEW"),"",INDEX(J$1:J5354,SUMPRODUCT(MAX(ROW(E$1:E5354)*(E5355=E$1:E5354)))))</f>
        <v> </v>
      </c>
      <c r="L5355" s="26"/>
    </row>
    <row r="5356" spans="1:12">
      <c r="A5356" s="20" t="s">
        <v>1204</v>
      </c>
      <c r="B5356" s="27" t="s">
        <v>978</v>
      </c>
      <c r="C5356" s="27" t="s">
        <v>1083</v>
      </c>
      <c r="D5356" s="27" t="s">
        <v>969</v>
      </c>
      <c r="E5356" s="21">
        <f>IF(D5356="?OLD","!!!","")</f>
        <v/>
      </c>
      <c r="F5356" s="22" t="str">
        <f>IF(OR(E5356="",E5356="!!!"),"",IF(NOT(ISNA(VLOOKUP(E5356,E$1:E5355,1,FALSE()))),"OLD",IF(AND(E5356&lt;&gt;"",E5356&lt;&gt;"!!!"),"NEW","")))</f>
        <v> </v>
      </c>
      <c r="G5356" s="23" t="str">
        <f>IF(OR(E5356="",E5356="!!!"),"",IF(OR(J5356=0,AND(J5356=1,K5356=1),AND(J5356=1,I5356="SBJ"),AND(J5356=1,I5356=0)),"?IN_FOCUS",IF(J5356&lt;=2,"?ACTIVATED",IF(J5356&lt;&gt;"","?FAMILIAR",IF(F5356="NEW",IF(ISNA(VLOOKUP(E5356,#REF!,1,FALSE())),"?TYPE_IDENTIFIABLE","?REFERENTIAL"),"_")))))</f>
        <v> </v>
      </c>
      <c r="H5356" s="24" t="str">
        <f>IF(J5356&lt;&gt;1,"",IF(I5356="SBJ","CB","?"))</f>
        <v> </v>
      </c>
      <c r="I5356" s="25" t="str">
        <f>IF(OR(E5356="",E5356="!!!",F5356="NEW"),"",INDEX(B5355:B$2,-1+SUMPRODUCT(MAX(ROW(E5355:E$2)*(E5356=E5355:E$2)))))</f>
        <v> </v>
      </c>
      <c r="J5356" s="25" t="str">
        <f>IF(OR(E5356="",E5356="!!!",F5356="NEW"),"",COUNTBLANK(OFFSET(A$1,,,SUMPRODUCT(MAX(ROW(E$2:E5356)*(E5356=E$2:E5356)))))-COUNTBLANK(OFFSET(A$1,,,SUMPRODUCT(MAX(ROW(E$1:E5355)*(E2=E$1:E5355))))))</f>
        <v> </v>
      </c>
      <c r="K5356" s="25" t="str">
        <f>IF(OR(E5356="",E5356="!!!",F5356="NEW"),"",INDEX(J$1:J5355,SUMPRODUCT(MAX(ROW(E$1:E5355)*(E5356=E$1:E5355)))))</f>
        <v> </v>
      </c>
      <c r="L5356" s="26"/>
    </row>
    <row r="5357" spans="1:12">
      <c r="A5357" s="20" t="s">
        <v>1205</v>
      </c>
      <c r="E5357" s="21">
        <f>IF(D5357="?OLD","!!!","")</f>
        <v/>
      </c>
      <c r="F5357" s="22" t="str">
        <f>IF(OR(E5357="",E5357="!!!"),"",IF(NOT(ISNA(VLOOKUP(E5357,E$1:E5356,1,FALSE()))),"OLD",IF(AND(E5357&lt;&gt;"",E5357&lt;&gt;"!!!"),"NEW","")))</f>
        <v> </v>
      </c>
      <c r="G5357" s="23" t="str">
        <f>IF(OR(E5357="",E5357="!!!"),"",IF(OR(J5357=0,AND(J5357=1,K5357=1),AND(J5357=1,I5357="SBJ"),AND(J5357=1,I5357=0)),"?IN_FOCUS",IF(J5357&lt;=2,"?ACTIVATED",IF(J5357&lt;&gt;"","?FAMILIAR",IF(F5357="NEW",IF(ISNA(VLOOKUP(E5357,#REF!,1,FALSE())),"?TYPE_IDENTIFIABLE","?REFERENTIAL"),"_")))))</f>
        <v> </v>
      </c>
      <c r="H5357" s="24" t="str">
        <f>IF(J5357&lt;&gt;1,"",IF(I5357="SBJ","CB","?"))</f>
        <v> </v>
      </c>
      <c r="I5357" s="25" t="str">
        <f>IF(OR(E5357="",E5357="!!!",F5357="NEW"),"",INDEX(B5356:B$2,-1+SUMPRODUCT(MAX(ROW(E5356:E$2)*(E5357=E5356:E$2)))))</f>
        <v> </v>
      </c>
      <c r="J5357" s="25" t="str">
        <f>IF(OR(E5357="",E5357="!!!",F5357="NEW"),"",COUNTBLANK(OFFSET(A$1,,,SUMPRODUCT(MAX(ROW(E$2:E5357)*(E5357=E$2:E5357)))))-COUNTBLANK(OFFSET(A$1,,,SUMPRODUCT(MAX(ROW(E$1:E5356)*(E2=E$1:E5356))))))</f>
        <v> </v>
      </c>
      <c r="K5357" s="25" t="str">
        <f>IF(OR(E5357="",E5357="!!!",F5357="NEW"),"",INDEX(J$1:J5356,SUMPRODUCT(MAX(ROW(E$1:E5356)*(E5357=E$1:E5356)))))</f>
        <v> </v>
      </c>
      <c r="L5357" s="26"/>
    </row>
    <row r="5358" spans="1:12">
      <c r="A5358" s="20" t="s">
        <v>1200</v>
      </c>
      <c r="E5358" s="21">
        <f>IF(D5358="?OLD","!!!","")</f>
        <v/>
      </c>
      <c r="F5358" s="22" t="str">
        <f>IF(OR(E5358="",E5358="!!!"),"",IF(NOT(ISNA(VLOOKUP(E5358,E$1:E5357,1,FALSE()))),"OLD",IF(AND(E5358&lt;&gt;"",E5358&lt;&gt;"!!!"),"NEW","")))</f>
        <v> </v>
      </c>
      <c r="G5358" s="23" t="str">
        <f>IF(OR(E5358="",E5358="!!!"),"",IF(OR(J5358=0,AND(J5358=1,K5358=1),AND(J5358=1,I5358="SBJ"),AND(J5358=1,I5358=0)),"?IN_FOCUS",IF(J5358&lt;=2,"?ACTIVATED",IF(J5358&lt;&gt;"","?FAMILIAR",IF(F5358="NEW",IF(ISNA(VLOOKUP(E5358,#REF!,1,FALSE())),"?TYPE_IDENTIFIABLE","?REFERENTIAL"),"_")))))</f>
        <v> </v>
      </c>
      <c r="H5358" s="24" t="str">
        <f>IF(J5358&lt;&gt;1,"",IF(I5358="SBJ","CB","?"))</f>
        <v> </v>
      </c>
      <c r="I5358" s="25" t="str">
        <f>IF(OR(E5358="",E5358="!!!",F5358="NEW"),"",INDEX(B5357:B$2,-1+SUMPRODUCT(MAX(ROW(E5357:E$2)*(E5358=E5357:E$2)))))</f>
        <v> </v>
      </c>
      <c r="J5358" s="25" t="str">
        <f>IF(OR(E5358="",E5358="!!!",F5358="NEW"),"",COUNTBLANK(OFFSET(A$1,,,SUMPRODUCT(MAX(ROW(E$2:E5358)*(E5358=E$2:E5358)))))-COUNTBLANK(OFFSET(A$1,,,SUMPRODUCT(MAX(ROW(E$1:E5357)*(E2=E$1:E5357))))))</f>
        <v> </v>
      </c>
      <c r="K5358" s="25" t="str">
        <f>IF(OR(E5358="",E5358="!!!",F5358="NEW"),"",INDEX(J$1:J5357,SUMPRODUCT(MAX(ROW(E$1:E5357)*(E5358=E$1:E5357)))))</f>
        <v> </v>
      </c>
      <c r="L5358" s="26"/>
    </row>
    <row r="5359" spans="1:12">
      <c r="A5359" s="20" t="s">
        <v>991</v>
      </c>
      <c r="E5359" s="21">
        <f>IF(D5359="?OLD","!!!","")</f>
        <v/>
      </c>
      <c r="F5359" s="22" t="str">
        <f>IF(OR(E5359="",E5359="!!!"),"",IF(NOT(ISNA(VLOOKUP(E5359,E$1:E5358,1,FALSE()))),"OLD",IF(AND(E5359&lt;&gt;"",E5359&lt;&gt;"!!!"),"NEW","")))</f>
        <v> </v>
      </c>
      <c r="G5359" s="23" t="str">
        <f>IF(OR(E5359="",E5359="!!!"),"",IF(OR(J5359=0,AND(J5359=1,K5359=1),AND(J5359=1,I5359="SBJ"),AND(J5359=1,I5359=0)),"?IN_FOCUS",IF(J5359&lt;=2,"?ACTIVATED",IF(J5359&lt;&gt;"","?FAMILIAR",IF(F5359="NEW",IF(ISNA(VLOOKUP(E5359,#REF!,1,FALSE())),"?TYPE_IDENTIFIABLE","?REFERENTIAL"),"_")))))</f>
        <v> </v>
      </c>
      <c r="H5359" s="24" t="str">
        <f>IF(J5359&lt;&gt;1,"",IF(I5359="SBJ","CB","?"))</f>
        <v> </v>
      </c>
      <c r="I5359" s="25" t="str">
        <f>IF(OR(E5359="",E5359="!!!",F5359="NEW"),"",INDEX(B5358:B$2,-1+SUMPRODUCT(MAX(ROW(E5358:E$2)*(E5359=E5358:E$2)))))</f>
        <v> </v>
      </c>
      <c r="J5359" s="25" t="str">
        <f>IF(OR(E5359="",E5359="!!!",F5359="NEW"),"",COUNTBLANK(OFFSET(A$1,,,SUMPRODUCT(MAX(ROW(E$2:E5359)*(E5359=E$2:E5359)))))-COUNTBLANK(OFFSET(A$1,,,SUMPRODUCT(MAX(ROW(E$1:E5358)*(E2=E$1:E5358))))))</f>
        <v> </v>
      </c>
      <c r="K5359" s="25" t="str">
        <f>IF(OR(E5359="",E5359="!!!",F5359="NEW"),"",INDEX(J$1:J5358,SUMPRODUCT(MAX(ROW(E$1:E5358)*(E5359=E$1:E5358)))))</f>
        <v> </v>
      </c>
      <c r="L5359" s="26"/>
    </row>
    <row r="5360" spans="1:12">
      <c r="A5360" s="20" t="s">
        <v>980</v>
      </c>
      <c r="E5360" s="21">
        <f>IF(D5360="?OLD","!!!","")</f>
        <v/>
      </c>
      <c r="F5360" s="22" t="str">
        <f>IF(OR(E5360="",E5360="!!!"),"",IF(NOT(ISNA(VLOOKUP(E5360,E$1:E5359,1,FALSE()))),"OLD",IF(AND(E5360&lt;&gt;"",E5360&lt;&gt;"!!!"),"NEW","")))</f>
        <v> </v>
      </c>
      <c r="G5360" s="23" t="str">
        <f>IF(OR(E5360="",E5360="!!!"),"",IF(OR(J5360=0,AND(J5360=1,K5360=1),AND(J5360=1,I5360="SBJ"),AND(J5360=1,I5360=0)),"?IN_FOCUS",IF(J5360&lt;=2,"?ACTIVATED",IF(J5360&lt;&gt;"","?FAMILIAR",IF(F5360="NEW",IF(ISNA(VLOOKUP(E5360,#REF!,1,FALSE())),"?TYPE_IDENTIFIABLE","?REFERENTIAL"),"_")))))</f>
        <v> </v>
      </c>
      <c r="H5360" s="24" t="str">
        <f>IF(J5360&lt;&gt;1,"",IF(I5360="SBJ","CB","?"))</f>
        <v> </v>
      </c>
      <c r="I5360" s="25" t="str">
        <f>IF(OR(E5360="",E5360="!!!",F5360="NEW"),"",INDEX(B5359:B$2,-1+SUMPRODUCT(MAX(ROW(E5359:E$2)*(E5360=E5359:E$2)))))</f>
        <v> </v>
      </c>
      <c r="J5360" s="25" t="str">
        <f>IF(OR(E5360="",E5360="!!!",F5360="NEW"),"",COUNTBLANK(OFFSET(A$1,,,SUMPRODUCT(MAX(ROW(E$2:E5360)*(E5360=E$2:E5360)))))-COUNTBLANK(OFFSET(A$1,,,SUMPRODUCT(MAX(ROW(E$1:E5359)*(E2=E$1:E5359))))))</f>
        <v> </v>
      </c>
      <c r="K5360" s="25" t="str">
        <f>IF(OR(E5360="",E5360="!!!",F5360="NEW"),"",INDEX(J$1:J5359,SUMPRODUCT(MAX(ROW(E$1:E5359)*(E5360=E$1:E5359)))))</f>
        <v> </v>
      </c>
      <c r="L5360" s="26"/>
    </row>
    <row r="5361" spans="1:12">
      <c r="A5361" s="20" t="s">
        <v>993</v>
      </c>
      <c r="B5361" s="27" t="s">
        <v>1010</v>
      </c>
      <c r="C5361" s="27" t="s">
        <v>968</v>
      </c>
      <c r="D5361" s="27" t="s">
        <v>969</v>
      </c>
      <c r="E5361" s="21">
        <f>IF(D5361="?OLD","!!!","")</f>
        <v/>
      </c>
      <c r="F5361" s="22" t="str">
        <f>IF(OR(E5361="",E5361="!!!"),"",IF(NOT(ISNA(VLOOKUP(E5361,E$1:E5360,1,FALSE()))),"OLD",IF(AND(E5361&lt;&gt;"",E5361&lt;&gt;"!!!"),"NEW","")))</f>
        <v> </v>
      </c>
      <c r="G5361" s="23" t="str">
        <f>IF(OR(E5361="",E5361="!!!"),"",IF(OR(J5361=0,AND(J5361=1,K5361=1),AND(J5361=1,I5361="SBJ"),AND(J5361=1,I5361=0)),"?IN_FOCUS",IF(J5361&lt;=2,"?ACTIVATED",IF(J5361&lt;&gt;"","?FAMILIAR",IF(F5361="NEW",IF(ISNA(VLOOKUP(E5361,#REF!,1,FALSE())),"?TYPE_IDENTIFIABLE","?REFERENTIAL"),"_")))))</f>
        <v> </v>
      </c>
      <c r="H5361" s="24" t="str">
        <f>IF(J5361&lt;&gt;1,"",IF(I5361="SBJ","CB","?"))</f>
        <v> </v>
      </c>
      <c r="I5361" s="25" t="str">
        <f>IF(OR(E5361="",E5361="!!!",F5361="NEW"),"",INDEX(B5360:B$2,-1+SUMPRODUCT(MAX(ROW(E5360:E$2)*(E5361=E5360:E$2)))))</f>
        <v> </v>
      </c>
      <c r="J5361" s="25" t="str">
        <f>IF(OR(E5361="",E5361="!!!",F5361="NEW"),"",COUNTBLANK(OFFSET(A$1,,,SUMPRODUCT(MAX(ROW(E$2:E5361)*(E5361=E$2:E5361)))))-COUNTBLANK(OFFSET(A$1,,,SUMPRODUCT(MAX(ROW(E$1:E5360)*(E2=E$1:E5360))))))</f>
        <v> </v>
      </c>
      <c r="K5361" s="25" t="str">
        <f>IF(OR(E5361="",E5361="!!!",F5361="NEW"),"",INDEX(J$1:J5360,SUMPRODUCT(MAX(ROW(E$1:E5360)*(E5361=E$1:E5360)))))</f>
        <v> </v>
      </c>
      <c r="L5361" s="26"/>
    </row>
    <row r="5362" spans="1:12">
      <c r="A5362" s="20" t="s">
        <v>1369</v>
      </c>
      <c r="E5362" s="21">
        <f>IF(D5362="?OLD","!!!","")</f>
        <v/>
      </c>
      <c r="F5362" s="22" t="str">
        <f>IF(OR(E5362="",E5362="!!!"),"",IF(NOT(ISNA(VLOOKUP(E5362,E$1:E5361,1,FALSE()))),"OLD",IF(AND(E5362&lt;&gt;"",E5362&lt;&gt;"!!!"),"NEW","")))</f>
        <v> </v>
      </c>
      <c r="G5362" s="23" t="str">
        <f>IF(OR(E5362="",E5362="!!!"),"",IF(OR(J5362=0,AND(J5362=1,K5362=1),AND(J5362=1,I5362="SBJ"),AND(J5362=1,I5362=0)),"?IN_FOCUS",IF(J5362&lt;=2,"?ACTIVATED",IF(J5362&lt;&gt;"","?FAMILIAR",IF(F5362="NEW",IF(ISNA(VLOOKUP(E5362,#REF!,1,FALSE())),"?TYPE_IDENTIFIABLE","?REFERENTIAL"),"_")))))</f>
        <v> </v>
      </c>
      <c r="H5362" s="24" t="str">
        <f>IF(J5362&lt;&gt;1,"",IF(I5362="SBJ","CB","?"))</f>
        <v> </v>
      </c>
      <c r="I5362" s="25" t="str">
        <f>IF(OR(E5362="",E5362="!!!",F5362="NEW"),"",INDEX(B5361:B$2,-1+SUMPRODUCT(MAX(ROW(E5361:E$2)*(E5362=E5361:E$2)))))</f>
        <v> </v>
      </c>
      <c r="J5362" s="25" t="str">
        <f>IF(OR(E5362="",E5362="!!!",F5362="NEW"),"",COUNTBLANK(OFFSET(A$1,,,SUMPRODUCT(MAX(ROW(E$2:E5362)*(E5362=E$2:E5362)))))-COUNTBLANK(OFFSET(A$1,,,SUMPRODUCT(MAX(ROW(E$1:E5361)*(E2=E$1:E5361))))))</f>
        <v> </v>
      </c>
      <c r="K5362" s="25" t="str">
        <f>IF(OR(E5362="",E5362="!!!",F5362="NEW"),"",INDEX(J$1:J5361,SUMPRODUCT(MAX(ROW(E$1:E5361)*(E5362=E$1:E5361)))))</f>
        <v> </v>
      </c>
      <c r="L5362" s="26"/>
    </row>
    <row r="5363" spans="1:12">
      <c r="A5363" s="20" t="s">
        <v>1021</v>
      </c>
      <c r="E5363" s="21">
        <f>IF(D5363="?OLD","!!!","")</f>
        <v/>
      </c>
      <c r="F5363" s="22" t="str">
        <f>IF(OR(E5363="",E5363="!!!"),"",IF(NOT(ISNA(VLOOKUP(E5363,E$1:E5362,1,FALSE()))),"OLD",IF(AND(E5363&lt;&gt;"",E5363&lt;&gt;"!!!"),"NEW","")))</f>
        <v> </v>
      </c>
      <c r="G5363" s="23" t="str">
        <f>IF(OR(E5363="",E5363="!!!"),"",IF(OR(J5363=0,AND(J5363=1,K5363=1),AND(J5363=1,I5363="SBJ"),AND(J5363=1,I5363=0)),"?IN_FOCUS",IF(J5363&lt;=2,"?ACTIVATED",IF(J5363&lt;&gt;"","?FAMILIAR",IF(F5363="NEW",IF(ISNA(VLOOKUP(E5363,#REF!,1,FALSE())),"?TYPE_IDENTIFIABLE","?REFERENTIAL"),"_")))))</f>
        <v> </v>
      </c>
      <c r="H5363" s="24" t="str">
        <f>IF(J5363&lt;&gt;1,"",IF(I5363="SBJ","CB","?"))</f>
        <v> </v>
      </c>
      <c r="I5363" s="25" t="str">
        <f>IF(OR(E5363="",E5363="!!!",F5363="NEW"),"",INDEX(B5362:B$2,-1+SUMPRODUCT(MAX(ROW(E5362:E$2)*(E5363=E5362:E$2)))))</f>
        <v> </v>
      </c>
      <c r="J5363" s="25" t="str">
        <f>IF(OR(E5363="",E5363="!!!",F5363="NEW"),"",COUNTBLANK(OFFSET(A$1,,,SUMPRODUCT(MAX(ROW(E$2:E5363)*(E5363=E$2:E5363)))))-COUNTBLANK(OFFSET(A$1,,,SUMPRODUCT(MAX(ROW(E$1:E5362)*(E2=E$1:E5362))))))</f>
        <v> </v>
      </c>
      <c r="K5363" s="25" t="str">
        <f>IF(OR(E5363="",E5363="!!!",F5363="NEW"),"",INDEX(J$1:J5362,SUMPRODUCT(MAX(ROW(E$1:E5362)*(E5363=E$1:E5362)))))</f>
        <v> </v>
      </c>
      <c r="L5363" s="26"/>
    </row>
    <row r="5364" spans="1:12">
      <c r="A5364" s="20" t="s">
        <v>1517</v>
      </c>
      <c r="E5364" s="21">
        <f>IF(D5364="?OLD","!!!","")</f>
        <v/>
      </c>
      <c r="F5364" s="22" t="str">
        <f>IF(OR(E5364="",E5364="!!!"),"",IF(NOT(ISNA(VLOOKUP(E5364,E$1:E5363,1,FALSE()))),"OLD",IF(AND(E5364&lt;&gt;"",E5364&lt;&gt;"!!!"),"NEW","")))</f>
        <v> </v>
      </c>
      <c r="G5364" s="23" t="str">
        <f>IF(OR(E5364="",E5364="!!!"),"",IF(OR(J5364=0,AND(J5364=1,K5364=1),AND(J5364=1,I5364="SBJ"),AND(J5364=1,I5364=0)),"?IN_FOCUS",IF(J5364&lt;=2,"?ACTIVATED",IF(J5364&lt;&gt;"","?FAMILIAR",IF(F5364="NEW",IF(ISNA(VLOOKUP(E5364,#REF!,1,FALSE())),"?TYPE_IDENTIFIABLE","?REFERENTIAL"),"_")))))</f>
        <v> </v>
      </c>
      <c r="H5364" s="24" t="str">
        <f>IF(J5364&lt;&gt;1,"",IF(I5364="SBJ","CB","?"))</f>
        <v> </v>
      </c>
      <c r="I5364" s="25" t="str">
        <f>IF(OR(E5364="",E5364="!!!",F5364="NEW"),"",INDEX(B5363:B$2,-1+SUMPRODUCT(MAX(ROW(E5363:E$2)*(E5364=E5363:E$2)))))</f>
        <v> </v>
      </c>
      <c r="J5364" s="25" t="str">
        <f>IF(OR(E5364="",E5364="!!!",F5364="NEW"),"",COUNTBLANK(OFFSET(A$1,,,SUMPRODUCT(MAX(ROW(E$2:E5364)*(E5364=E$2:E5364)))))-COUNTBLANK(OFFSET(A$1,,,SUMPRODUCT(MAX(ROW(E$1:E5363)*(E2=E$1:E5363))))))</f>
        <v> </v>
      </c>
      <c r="K5364" s="25" t="str">
        <f>IF(OR(E5364="",E5364="!!!",F5364="NEW"),"",INDEX(J$1:J5363,SUMPRODUCT(MAX(ROW(E$1:E5363)*(E5364=E$1:E5363)))))</f>
        <v> </v>
      </c>
      <c r="L5364" s="26"/>
    </row>
    <row r="5365" spans="1:12">
      <c r="A5365" s="20" t="s">
        <v>1032</v>
      </c>
      <c r="E5365" s="21">
        <f>IF(D5365="?OLD","!!!","")</f>
        <v/>
      </c>
      <c r="F5365" s="22" t="str">
        <f>IF(OR(E5365="",E5365="!!!"),"",IF(NOT(ISNA(VLOOKUP(E5365,E$1:E5364,1,FALSE()))),"OLD",IF(AND(E5365&lt;&gt;"",E5365&lt;&gt;"!!!"),"NEW","")))</f>
        <v> </v>
      </c>
      <c r="G5365" s="23" t="str">
        <f>IF(OR(E5365="",E5365="!!!"),"",IF(OR(J5365=0,AND(J5365=1,K5365=1),AND(J5365=1,I5365="SBJ"),AND(J5365=1,I5365=0)),"?IN_FOCUS",IF(J5365&lt;=2,"?ACTIVATED",IF(J5365&lt;&gt;"","?FAMILIAR",IF(F5365="NEW",IF(ISNA(VLOOKUP(E5365,#REF!,1,FALSE())),"?TYPE_IDENTIFIABLE","?REFERENTIAL"),"_")))))</f>
        <v> </v>
      </c>
      <c r="H5365" s="24" t="str">
        <f>IF(J5365&lt;&gt;1,"",IF(I5365="SBJ","CB","?"))</f>
        <v> </v>
      </c>
      <c r="I5365" s="25" t="str">
        <f>IF(OR(E5365="",E5365="!!!",F5365="NEW"),"",INDEX(B5364:B$2,-1+SUMPRODUCT(MAX(ROW(E5364:E$2)*(E5365=E5364:E$2)))))</f>
        <v> </v>
      </c>
      <c r="J5365" s="25" t="str">
        <f>IF(OR(E5365="",E5365="!!!",F5365="NEW"),"",COUNTBLANK(OFFSET(A$1,,,SUMPRODUCT(MAX(ROW(E$2:E5365)*(E5365=E$2:E5365)))))-COUNTBLANK(OFFSET(A$1,,,SUMPRODUCT(MAX(ROW(E$1:E5364)*(E2=E$1:E5364))))))</f>
        <v> </v>
      </c>
      <c r="K5365" s="25" t="str">
        <f>IF(OR(E5365="",E5365="!!!",F5365="NEW"),"",INDEX(J$1:J5364,SUMPRODUCT(MAX(ROW(E$1:E5364)*(E5365=E$1:E5364)))))</f>
        <v> </v>
      </c>
      <c r="L5365" s="26"/>
    </row>
    <row r="5366" spans="1:12">
      <c r="A5366" s="20" t="s">
        <v>1191</v>
      </c>
      <c r="E5366" s="21">
        <f>IF(D5366="?OLD","!!!","")</f>
        <v/>
      </c>
      <c r="F5366" s="22" t="str">
        <f>IF(OR(E5366="",E5366="!!!"),"",IF(NOT(ISNA(VLOOKUP(E5366,E$1:E5365,1,FALSE()))),"OLD",IF(AND(E5366&lt;&gt;"",E5366&lt;&gt;"!!!"),"NEW","")))</f>
        <v> </v>
      </c>
      <c r="G5366" s="23" t="str">
        <f>IF(OR(E5366="",E5366="!!!"),"",IF(OR(J5366=0,AND(J5366=1,K5366=1),AND(J5366=1,I5366="SBJ"),AND(J5366=1,I5366=0)),"?IN_FOCUS",IF(J5366&lt;=2,"?ACTIVATED",IF(J5366&lt;&gt;"","?FAMILIAR",IF(F5366="NEW",IF(ISNA(VLOOKUP(E5366,#REF!,1,FALSE())),"?TYPE_IDENTIFIABLE","?REFERENTIAL"),"_")))))</f>
        <v> </v>
      </c>
      <c r="H5366" s="24" t="str">
        <f>IF(J5366&lt;&gt;1,"",IF(I5366="SBJ","CB","?"))</f>
        <v> </v>
      </c>
      <c r="I5366" s="25" t="str">
        <f>IF(OR(E5366="",E5366="!!!",F5366="NEW"),"",INDEX(B5365:B$2,-1+SUMPRODUCT(MAX(ROW(E5365:E$2)*(E5366=E5365:E$2)))))</f>
        <v> </v>
      </c>
      <c r="J5366" s="25" t="str">
        <f>IF(OR(E5366="",E5366="!!!",F5366="NEW"),"",COUNTBLANK(OFFSET(A$1,,,SUMPRODUCT(MAX(ROW(E$2:E5366)*(E5366=E$2:E5366)))))-COUNTBLANK(OFFSET(A$1,,,SUMPRODUCT(MAX(ROW(E$1:E5365)*(E2=E$1:E5365))))))</f>
        <v> </v>
      </c>
      <c r="K5366" s="25" t="str">
        <f>IF(OR(E5366="",E5366="!!!",F5366="NEW"),"",INDEX(J$1:J5365,SUMPRODUCT(MAX(ROW(E$1:E5365)*(E5366=E$1:E5365)))))</f>
        <v> </v>
      </c>
      <c r="L5366" s="26"/>
    </row>
    <row r="5367" spans="1:12">
      <c r="A5367" s="20" t="s">
        <v>2453</v>
      </c>
      <c r="B5367" s="27" t="s">
        <v>1053</v>
      </c>
      <c r="C5367" s="27" t="s">
        <v>1035</v>
      </c>
      <c r="E5367" s="21">
        <f>IF(D5367="?OLD","!!!","")</f>
        <v/>
      </c>
      <c r="F5367" s="22" t="str">
        <f>IF(OR(E5367="",E5367="!!!"),"",IF(NOT(ISNA(VLOOKUP(E5367,E$1:E5366,1,FALSE()))),"OLD",IF(AND(E5367&lt;&gt;"",E5367&lt;&gt;"!!!"),"NEW","")))</f>
        <v> </v>
      </c>
      <c r="G5367" s="23" t="str">
        <f>IF(OR(E5367="",E5367="!!!"),"",IF(OR(J5367=0,AND(J5367=1,K5367=1),AND(J5367=1,I5367="SBJ"),AND(J5367=1,I5367=0)),"?IN_FOCUS",IF(J5367&lt;=2,"?ACTIVATED",IF(J5367&lt;&gt;"","?FAMILIAR",IF(F5367="NEW",IF(ISNA(VLOOKUP(E5367,#REF!,1,FALSE())),"?TYPE_IDENTIFIABLE","?REFERENTIAL"),"_")))))</f>
        <v> </v>
      </c>
      <c r="H5367" s="24" t="str">
        <f>IF(J5367&lt;&gt;1,"",IF(I5367="SBJ","CB","?"))</f>
        <v> </v>
      </c>
      <c r="I5367" s="25" t="str">
        <f>IF(OR(E5367="",E5367="!!!",F5367="NEW"),"",INDEX(B5366:B$2,-1+SUMPRODUCT(MAX(ROW(E5366:E$2)*(E5367=E5366:E$2)))))</f>
        <v> </v>
      </c>
      <c r="J5367" s="25" t="str">
        <f>IF(OR(E5367="",E5367="!!!",F5367="NEW"),"",COUNTBLANK(OFFSET(A$1,,,SUMPRODUCT(MAX(ROW(E$2:E5367)*(E5367=E$2:E5367)))))-COUNTBLANK(OFFSET(A$1,,,SUMPRODUCT(MAX(ROW(E$1:E5366)*(E2=E$1:E5366))))))</f>
        <v> </v>
      </c>
      <c r="K5367" s="25" t="str">
        <f>IF(OR(E5367="",E5367="!!!",F5367="NEW"),"",INDEX(J$1:J5366,SUMPRODUCT(MAX(ROW(E$1:E5366)*(E5367=E$1:E5366)))))</f>
        <v> </v>
      </c>
      <c r="L5367" s="26"/>
    </row>
    <row r="5368" spans="1:12">
      <c r="A5368" s="20" t="s">
        <v>991</v>
      </c>
      <c r="E5368" s="21">
        <f>IF(D5368="?OLD","!!!","")</f>
        <v/>
      </c>
      <c r="F5368" s="22" t="str">
        <f>IF(OR(E5368="",E5368="!!!"),"",IF(NOT(ISNA(VLOOKUP(E5368,E$1:E5367,1,FALSE()))),"OLD",IF(AND(E5368&lt;&gt;"",E5368&lt;&gt;"!!!"),"NEW","")))</f>
        <v> </v>
      </c>
      <c r="G5368" s="23" t="str">
        <f>IF(OR(E5368="",E5368="!!!"),"",IF(OR(J5368=0,AND(J5368=1,K5368=1),AND(J5368=1,I5368="SBJ"),AND(J5368=1,I5368=0)),"?IN_FOCUS",IF(J5368&lt;=2,"?ACTIVATED",IF(J5368&lt;&gt;"","?FAMILIAR",IF(F5368="NEW",IF(ISNA(VLOOKUP(E5368,#REF!,1,FALSE())),"?TYPE_IDENTIFIABLE","?REFERENTIAL"),"_")))))</f>
        <v> </v>
      </c>
      <c r="H5368" s="24" t="str">
        <f>IF(J5368&lt;&gt;1,"",IF(I5368="SBJ","CB","?"))</f>
        <v> </v>
      </c>
      <c r="I5368" s="25" t="str">
        <f>IF(OR(E5368="",E5368="!!!",F5368="NEW"),"",INDEX(B5367:B$2,-1+SUMPRODUCT(MAX(ROW(E5367:E$2)*(E5368=E5367:E$2)))))</f>
        <v> </v>
      </c>
      <c r="J5368" s="25" t="str">
        <f>IF(OR(E5368="",E5368="!!!",F5368="NEW"),"",COUNTBLANK(OFFSET(A$1,,,SUMPRODUCT(MAX(ROW(E$2:E5368)*(E5368=E$2:E5368)))))-COUNTBLANK(OFFSET(A$1,,,SUMPRODUCT(MAX(ROW(E$1:E5367)*(E2=E$1:E5367))))))</f>
        <v> </v>
      </c>
      <c r="K5368" s="25" t="str">
        <f>IF(OR(E5368="",E5368="!!!",F5368="NEW"),"",INDEX(J$1:J5367,SUMPRODUCT(MAX(ROW(E$1:E5367)*(E5368=E$1:E5367)))))</f>
        <v> </v>
      </c>
      <c r="L5368" s="26"/>
    </row>
    <row r="5369" spans="1:12">
      <c r="A5369" s="20" t="s">
        <v>980</v>
      </c>
      <c r="E5369" s="21">
        <f>IF(D5369="?OLD","!!!","")</f>
        <v/>
      </c>
      <c r="F5369" s="22" t="str">
        <f>IF(OR(E5369="",E5369="!!!"),"",IF(NOT(ISNA(VLOOKUP(E5369,E$1:E5368,1,FALSE()))),"OLD",IF(AND(E5369&lt;&gt;"",E5369&lt;&gt;"!!!"),"NEW","")))</f>
        <v> </v>
      </c>
      <c r="G5369" s="23" t="str">
        <f>IF(OR(E5369="",E5369="!!!"),"",IF(OR(J5369=0,AND(J5369=1,K5369=1),AND(J5369=1,I5369="SBJ"),AND(J5369=1,I5369=0)),"?IN_FOCUS",IF(J5369&lt;=2,"?ACTIVATED",IF(J5369&lt;&gt;"","?FAMILIAR",IF(F5369="NEW",IF(ISNA(VLOOKUP(E5369,#REF!,1,FALSE())),"?TYPE_IDENTIFIABLE","?REFERENTIAL"),"_")))))</f>
        <v> </v>
      </c>
      <c r="H5369" s="24" t="str">
        <f>IF(J5369&lt;&gt;1,"",IF(I5369="SBJ","CB","?"))</f>
        <v> </v>
      </c>
      <c r="I5369" s="25" t="str">
        <f>IF(OR(E5369="",E5369="!!!",F5369="NEW"),"",INDEX(B5368:B$2,-1+SUMPRODUCT(MAX(ROW(E5368:E$2)*(E5369=E5368:E$2)))))</f>
        <v> </v>
      </c>
      <c r="J5369" s="25" t="str">
        <f>IF(OR(E5369="",E5369="!!!",F5369="NEW"),"",COUNTBLANK(OFFSET(A$1,,,SUMPRODUCT(MAX(ROW(E$2:E5369)*(E5369=E$2:E5369)))))-COUNTBLANK(OFFSET(A$1,,,SUMPRODUCT(MAX(ROW(E$1:E5368)*(E2=E$1:E5368))))))</f>
        <v> </v>
      </c>
      <c r="K5369" s="25" t="str">
        <f>IF(OR(E5369="",E5369="!!!",F5369="NEW"),"",INDEX(J$1:J5368,SUMPRODUCT(MAX(ROW(E$1:E5368)*(E5369=E$1:E5368)))))</f>
        <v> </v>
      </c>
      <c r="L5369" s="26"/>
    </row>
    <row r="5370" spans="1:12">
      <c r="A5370" s="20" t="s">
        <v>993</v>
      </c>
      <c r="B5370" s="27" t="s">
        <v>1010</v>
      </c>
      <c r="C5370" s="27" t="s">
        <v>968</v>
      </c>
      <c r="D5370" s="27" t="s">
        <v>969</v>
      </c>
      <c r="E5370" s="21">
        <f>IF(D5370="?OLD","!!!","")</f>
        <v/>
      </c>
      <c r="F5370" s="22" t="str">
        <f>IF(OR(E5370="",E5370="!!!"),"",IF(NOT(ISNA(VLOOKUP(E5370,E$1:E5369,1,FALSE()))),"OLD",IF(AND(E5370&lt;&gt;"",E5370&lt;&gt;"!!!"),"NEW","")))</f>
        <v> </v>
      </c>
      <c r="G5370" s="23" t="str">
        <f>IF(OR(E5370="",E5370="!!!"),"",IF(OR(J5370=0,AND(J5370=1,K5370=1),AND(J5370=1,I5370="SBJ"),AND(J5370=1,I5370=0)),"?IN_FOCUS",IF(J5370&lt;=2,"?ACTIVATED",IF(J5370&lt;&gt;"","?FAMILIAR",IF(F5370="NEW",IF(ISNA(VLOOKUP(E5370,#REF!,1,FALSE())),"?TYPE_IDENTIFIABLE","?REFERENTIAL"),"_")))))</f>
        <v> </v>
      </c>
      <c r="H5370" s="24" t="str">
        <f>IF(J5370&lt;&gt;1,"",IF(I5370="SBJ","CB","?"))</f>
        <v> </v>
      </c>
      <c r="I5370" s="25" t="str">
        <f>IF(OR(E5370="",E5370="!!!",F5370="NEW"),"",INDEX(B5369:B$2,-1+SUMPRODUCT(MAX(ROW(E5369:E$2)*(E5370=E5369:E$2)))))</f>
        <v> </v>
      </c>
      <c r="J5370" s="25" t="str">
        <f>IF(OR(E5370="",E5370="!!!",F5370="NEW"),"",COUNTBLANK(OFFSET(A$1,,,SUMPRODUCT(MAX(ROW(E$2:E5370)*(E5370=E$2:E5370)))))-COUNTBLANK(OFFSET(A$1,,,SUMPRODUCT(MAX(ROW(E$1:E5369)*(E2=E$1:E5369))))))</f>
        <v> </v>
      </c>
      <c r="K5370" s="25" t="str">
        <f>IF(OR(E5370="",E5370="!!!",F5370="NEW"),"",INDEX(J$1:J5369,SUMPRODUCT(MAX(ROW(E$1:E5369)*(E5370=E$1:E5369)))))</f>
        <v> </v>
      </c>
      <c r="L5370" s="26"/>
    </row>
    <row r="5371" spans="1:12">
      <c r="A5371" s="20" t="s">
        <v>1369</v>
      </c>
      <c r="E5371" s="21">
        <f>IF(D5371="?OLD","!!!","")</f>
        <v/>
      </c>
      <c r="F5371" s="22" t="str">
        <f>IF(OR(E5371="",E5371="!!!"),"",IF(NOT(ISNA(VLOOKUP(E5371,E$1:E5370,1,FALSE()))),"OLD",IF(AND(E5371&lt;&gt;"",E5371&lt;&gt;"!!!"),"NEW","")))</f>
        <v> </v>
      </c>
      <c r="G5371" s="23" t="str">
        <f>IF(OR(E5371="",E5371="!!!"),"",IF(OR(J5371=0,AND(J5371=1,K5371=1),AND(J5371=1,I5371="SBJ"),AND(J5371=1,I5371=0)),"?IN_FOCUS",IF(J5371&lt;=2,"?ACTIVATED",IF(J5371&lt;&gt;"","?FAMILIAR",IF(F5371="NEW",IF(ISNA(VLOOKUP(E5371,#REF!,1,FALSE())),"?TYPE_IDENTIFIABLE","?REFERENTIAL"),"_")))))</f>
        <v> </v>
      </c>
      <c r="H5371" s="24" t="str">
        <f>IF(J5371&lt;&gt;1,"",IF(I5371="SBJ","CB","?"))</f>
        <v> </v>
      </c>
      <c r="I5371" s="25" t="str">
        <f>IF(OR(E5371="",E5371="!!!",F5371="NEW"),"",INDEX(B5370:B$2,-1+SUMPRODUCT(MAX(ROW(E5370:E$2)*(E5371=E5370:E$2)))))</f>
        <v> </v>
      </c>
      <c r="J5371" s="25" t="str">
        <f>IF(OR(E5371="",E5371="!!!",F5371="NEW"),"",COUNTBLANK(OFFSET(A$1,,,SUMPRODUCT(MAX(ROW(E$2:E5371)*(E5371=E$2:E5371)))))-COUNTBLANK(OFFSET(A$1,,,SUMPRODUCT(MAX(ROW(E$1:E5370)*(E2=E$1:E5370))))))</f>
        <v> </v>
      </c>
      <c r="K5371" s="25" t="str">
        <f>IF(OR(E5371="",E5371="!!!",F5371="NEW"),"",INDEX(J$1:J5370,SUMPRODUCT(MAX(ROW(E$1:E5370)*(E5371=E$1:E5370)))))</f>
        <v> </v>
      </c>
      <c r="L5371" s="26"/>
    </row>
    <row r="5372" spans="1:12">
      <c r="A5372" s="20" t="s">
        <v>1021</v>
      </c>
      <c r="E5372" s="21">
        <f>IF(D5372="?OLD","!!!","")</f>
        <v/>
      </c>
      <c r="F5372" s="22" t="str">
        <f>IF(OR(E5372="",E5372="!!!"),"",IF(NOT(ISNA(VLOOKUP(E5372,E$1:E5371,1,FALSE()))),"OLD",IF(AND(E5372&lt;&gt;"",E5372&lt;&gt;"!!!"),"NEW","")))</f>
        <v> </v>
      </c>
      <c r="G5372" s="23" t="str">
        <f>IF(OR(E5372="",E5372="!!!"),"",IF(OR(J5372=0,AND(J5372=1,K5372=1),AND(J5372=1,I5372="SBJ"),AND(J5372=1,I5372=0)),"?IN_FOCUS",IF(J5372&lt;=2,"?ACTIVATED",IF(J5372&lt;&gt;"","?FAMILIAR",IF(F5372="NEW",IF(ISNA(VLOOKUP(E5372,#REF!,1,FALSE())),"?TYPE_IDENTIFIABLE","?REFERENTIAL"),"_")))))</f>
        <v> </v>
      </c>
      <c r="H5372" s="24" t="str">
        <f>IF(J5372&lt;&gt;1,"",IF(I5372="SBJ","CB","?"))</f>
        <v> </v>
      </c>
      <c r="I5372" s="25" t="str">
        <f>IF(OR(E5372="",E5372="!!!",F5372="NEW"),"",INDEX(B5371:B$2,-1+SUMPRODUCT(MAX(ROW(E5371:E$2)*(E5372=E5371:E$2)))))</f>
        <v> </v>
      </c>
      <c r="J5372" s="25" t="str">
        <f>IF(OR(E5372="",E5372="!!!",F5372="NEW"),"",COUNTBLANK(OFFSET(A$1,,,SUMPRODUCT(MAX(ROW(E$2:E5372)*(E5372=E$2:E5372)))))-COUNTBLANK(OFFSET(A$1,,,SUMPRODUCT(MAX(ROW(E$1:E5371)*(E2=E$1:E5371))))))</f>
        <v> </v>
      </c>
      <c r="K5372" s="25" t="str">
        <f>IF(OR(E5372="",E5372="!!!",F5372="NEW"),"",INDEX(J$1:J5371,SUMPRODUCT(MAX(ROW(E$1:E5371)*(E5372=E$1:E5371)))))</f>
        <v> </v>
      </c>
      <c r="L5372" s="26"/>
    </row>
    <row r="5373" spans="1:12">
      <c r="A5373" s="20" t="s">
        <v>1517</v>
      </c>
      <c r="E5373" s="21">
        <f>IF(D5373="?OLD","!!!","")</f>
        <v/>
      </c>
      <c r="F5373" s="22" t="str">
        <f>IF(OR(E5373="",E5373="!!!"),"",IF(NOT(ISNA(VLOOKUP(E5373,E$1:E5372,1,FALSE()))),"OLD",IF(AND(E5373&lt;&gt;"",E5373&lt;&gt;"!!!"),"NEW","")))</f>
        <v> </v>
      </c>
      <c r="G5373" s="23" t="str">
        <f>IF(OR(E5373="",E5373="!!!"),"",IF(OR(J5373=0,AND(J5373=1,K5373=1),AND(J5373=1,I5373="SBJ"),AND(J5373=1,I5373=0)),"?IN_FOCUS",IF(J5373&lt;=2,"?ACTIVATED",IF(J5373&lt;&gt;"","?FAMILIAR",IF(F5373="NEW",IF(ISNA(VLOOKUP(E5373,#REF!,1,FALSE())),"?TYPE_IDENTIFIABLE","?REFERENTIAL"),"_")))))</f>
        <v> </v>
      </c>
      <c r="H5373" s="24" t="str">
        <f>IF(J5373&lt;&gt;1,"",IF(I5373="SBJ","CB","?"))</f>
        <v> </v>
      </c>
      <c r="I5373" s="25" t="str">
        <f>IF(OR(E5373="",E5373="!!!",F5373="NEW"),"",INDEX(B5372:B$2,-1+SUMPRODUCT(MAX(ROW(E5372:E$2)*(E5373=E5372:E$2)))))</f>
        <v> </v>
      </c>
      <c r="J5373" s="25" t="str">
        <f>IF(OR(E5373="",E5373="!!!",F5373="NEW"),"",COUNTBLANK(OFFSET(A$1,,,SUMPRODUCT(MAX(ROW(E$2:E5373)*(E5373=E$2:E5373)))))-COUNTBLANK(OFFSET(A$1,,,SUMPRODUCT(MAX(ROW(E$1:E5372)*(E2=E$1:E5372))))))</f>
        <v> </v>
      </c>
      <c r="K5373" s="25" t="str">
        <f>IF(OR(E5373="",E5373="!!!",F5373="NEW"),"",INDEX(J$1:J5372,SUMPRODUCT(MAX(ROW(E$1:E5372)*(E5373=E$1:E5372)))))</f>
        <v> </v>
      </c>
      <c r="L5373" s="26"/>
    </row>
    <row r="5374" spans="1:12">
      <c r="A5374" s="20" t="s">
        <v>991</v>
      </c>
      <c r="E5374" s="21">
        <f>IF(D5374="?OLD","!!!","")</f>
        <v/>
      </c>
      <c r="F5374" s="22" t="str">
        <f>IF(OR(E5374="",E5374="!!!"),"",IF(NOT(ISNA(VLOOKUP(E5374,E$1:E5373,1,FALSE()))),"OLD",IF(AND(E5374&lt;&gt;"",E5374&lt;&gt;"!!!"),"NEW","")))</f>
        <v> </v>
      </c>
      <c r="G5374" s="23" t="str">
        <f>IF(OR(E5374="",E5374="!!!"),"",IF(OR(J5374=0,AND(J5374=1,K5374=1),AND(J5374=1,I5374="SBJ"),AND(J5374=1,I5374=0)),"?IN_FOCUS",IF(J5374&lt;=2,"?ACTIVATED",IF(J5374&lt;&gt;"","?FAMILIAR",IF(F5374="NEW",IF(ISNA(VLOOKUP(E5374,#REF!,1,FALSE())),"?TYPE_IDENTIFIABLE","?REFERENTIAL"),"_")))))</f>
        <v> </v>
      </c>
      <c r="H5374" s="24" t="str">
        <f>IF(J5374&lt;&gt;1,"",IF(I5374="SBJ","CB","?"))</f>
        <v> </v>
      </c>
      <c r="I5374" s="25" t="str">
        <f>IF(OR(E5374="",E5374="!!!",F5374="NEW"),"",INDEX(B5373:B$2,-1+SUMPRODUCT(MAX(ROW(E5373:E$2)*(E5374=E5373:E$2)))))</f>
        <v> </v>
      </c>
      <c r="J5374" s="25" t="str">
        <f>IF(OR(E5374="",E5374="!!!",F5374="NEW"),"",COUNTBLANK(OFFSET(A$1,,,SUMPRODUCT(MAX(ROW(E$2:E5374)*(E5374=E$2:E5374)))))-COUNTBLANK(OFFSET(A$1,,,SUMPRODUCT(MAX(ROW(E$1:E5373)*(E2=E$1:E5373))))))</f>
        <v> </v>
      </c>
      <c r="K5374" s="25" t="str">
        <f>IF(OR(E5374="",E5374="!!!",F5374="NEW"),"",INDEX(J$1:J5373,SUMPRODUCT(MAX(ROW(E$1:E5373)*(E5374=E$1:E5373)))))</f>
        <v> </v>
      </c>
      <c r="L5374" s="26"/>
    </row>
    <row r="5375" spans="1:12">
      <c r="A5375" s="20" t="s">
        <v>1114</v>
      </c>
      <c r="E5375" s="21">
        <f>IF(D5375="?OLD","!!!","")</f>
        <v/>
      </c>
      <c r="F5375" s="22" t="str">
        <f>IF(OR(E5375="",E5375="!!!"),"",IF(NOT(ISNA(VLOOKUP(E5375,E$1:E5374,1,FALSE()))),"OLD",IF(AND(E5375&lt;&gt;"",E5375&lt;&gt;"!!!"),"NEW","")))</f>
        <v> </v>
      </c>
      <c r="G5375" s="23" t="str">
        <f>IF(OR(E5375="",E5375="!!!"),"",IF(OR(J5375=0,AND(J5375=1,K5375=1),AND(J5375=1,I5375="SBJ"),AND(J5375=1,I5375=0)),"?IN_FOCUS",IF(J5375&lt;=2,"?ACTIVATED",IF(J5375&lt;&gt;"","?FAMILIAR",IF(F5375="NEW",IF(ISNA(VLOOKUP(E5375,#REF!,1,FALSE())),"?TYPE_IDENTIFIABLE","?REFERENTIAL"),"_")))))</f>
        <v> </v>
      </c>
      <c r="H5375" s="24" t="str">
        <f>IF(J5375&lt;&gt;1,"",IF(I5375="SBJ","CB","?"))</f>
        <v> </v>
      </c>
      <c r="I5375" s="25" t="str">
        <f>IF(OR(E5375="",E5375="!!!",F5375="NEW"),"",INDEX(B5374:B$2,-1+SUMPRODUCT(MAX(ROW(E5374:E$2)*(E5375=E5374:E$2)))))</f>
        <v> </v>
      </c>
      <c r="J5375" s="25" t="str">
        <f>IF(OR(E5375="",E5375="!!!",F5375="NEW"),"",COUNTBLANK(OFFSET(A$1,,,SUMPRODUCT(MAX(ROW(E$2:E5375)*(E5375=E$2:E5375)))))-COUNTBLANK(OFFSET(A$1,,,SUMPRODUCT(MAX(ROW(E$1:E5374)*(E2=E$1:E5374))))))</f>
        <v> </v>
      </c>
      <c r="K5375" s="25" t="str">
        <f>IF(OR(E5375="",E5375="!!!",F5375="NEW"),"",INDEX(J$1:J5374,SUMPRODUCT(MAX(ROW(E$1:E5374)*(E5375=E$1:E5374)))))</f>
        <v> </v>
      </c>
      <c r="L5375" s="26"/>
    </row>
    <row r="5376" spans="1:12">
      <c r="A5376" s="20" t="s">
        <v>993</v>
      </c>
      <c r="B5376" s="27" t="s">
        <v>1010</v>
      </c>
      <c r="C5376" s="27" t="s">
        <v>968</v>
      </c>
      <c r="D5376" s="27" t="s">
        <v>969</v>
      </c>
      <c r="E5376" s="21">
        <f>IF(D5376="?OLD","!!!","")</f>
        <v/>
      </c>
      <c r="F5376" s="22" t="str">
        <f>IF(OR(E5376="",E5376="!!!"),"",IF(NOT(ISNA(VLOOKUP(E5376,E$1:E5375,1,FALSE()))),"OLD",IF(AND(E5376&lt;&gt;"",E5376&lt;&gt;"!!!"),"NEW","")))</f>
        <v> </v>
      </c>
      <c r="G5376" s="23" t="str">
        <f>IF(OR(E5376="",E5376="!!!"),"",IF(OR(J5376=0,AND(J5376=1,K5376=1),AND(J5376=1,I5376="SBJ"),AND(J5376=1,I5376=0)),"?IN_FOCUS",IF(J5376&lt;=2,"?ACTIVATED",IF(J5376&lt;&gt;"","?FAMILIAR",IF(F5376="NEW",IF(ISNA(VLOOKUP(E5376,#REF!,1,FALSE())),"?TYPE_IDENTIFIABLE","?REFERENTIAL"),"_")))))</f>
        <v> </v>
      </c>
      <c r="H5376" s="24" t="str">
        <f>IF(J5376&lt;&gt;1,"",IF(I5376="SBJ","CB","?"))</f>
        <v> </v>
      </c>
      <c r="I5376" s="25" t="str">
        <f>IF(OR(E5376="",E5376="!!!",F5376="NEW"),"",INDEX(B5375:B$2,-1+SUMPRODUCT(MAX(ROW(E5375:E$2)*(E5376=E5375:E$2)))))</f>
        <v> </v>
      </c>
      <c r="J5376" s="25" t="str">
        <f>IF(OR(E5376="",E5376="!!!",F5376="NEW"),"",COUNTBLANK(OFFSET(A$1,,,SUMPRODUCT(MAX(ROW(E$2:E5376)*(E5376=E$2:E5376)))))-COUNTBLANK(OFFSET(A$1,,,SUMPRODUCT(MAX(ROW(E$1:E5375)*(E2=E$1:E5375))))))</f>
        <v> </v>
      </c>
      <c r="K5376" s="25" t="str">
        <f>IF(OR(E5376="",E5376="!!!",F5376="NEW"),"",INDEX(J$1:J5375,SUMPRODUCT(MAX(ROW(E$1:E5375)*(E5376=E$1:E5375)))))</f>
        <v> </v>
      </c>
      <c r="L5376" s="26"/>
    </row>
    <row r="5377" spans="1:12">
      <c r="A5377" s="20" t="s">
        <v>1235</v>
      </c>
      <c r="E5377" s="21">
        <f>IF(D5377="?OLD","!!!","")</f>
        <v/>
      </c>
      <c r="F5377" s="22" t="str">
        <f>IF(OR(E5377="",E5377="!!!"),"",IF(NOT(ISNA(VLOOKUP(E5377,E$1:E5376,1,FALSE()))),"OLD",IF(AND(E5377&lt;&gt;"",E5377&lt;&gt;"!!!"),"NEW","")))</f>
        <v> </v>
      </c>
      <c r="G5377" s="23" t="str">
        <f>IF(OR(E5377="",E5377="!!!"),"",IF(OR(J5377=0,AND(J5377=1,K5377=1),AND(J5377=1,I5377="SBJ"),AND(J5377=1,I5377=0)),"?IN_FOCUS",IF(J5377&lt;=2,"?ACTIVATED",IF(J5377&lt;&gt;"","?FAMILIAR",IF(F5377="NEW",IF(ISNA(VLOOKUP(E5377,#REF!,1,FALSE())),"?TYPE_IDENTIFIABLE","?REFERENTIAL"),"_")))))</f>
        <v> </v>
      </c>
      <c r="H5377" s="24" t="str">
        <f>IF(J5377&lt;&gt;1,"",IF(I5377="SBJ","CB","?"))</f>
        <v> </v>
      </c>
      <c r="I5377" s="25" t="str">
        <f>IF(OR(E5377="",E5377="!!!",F5377="NEW"),"",INDEX(B5376:B$2,-1+SUMPRODUCT(MAX(ROW(E5376:E$2)*(E5377=E5376:E$2)))))</f>
        <v> </v>
      </c>
      <c r="J5377" s="25" t="str">
        <f>IF(OR(E5377="",E5377="!!!",F5377="NEW"),"",COUNTBLANK(OFFSET(A$1,,,SUMPRODUCT(MAX(ROW(E$2:E5377)*(E5377=E$2:E5377)))))-COUNTBLANK(OFFSET(A$1,,,SUMPRODUCT(MAX(ROW(E$1:E5376)*(E2=E$1:E5376))))))</f>
        <v> </v>
      </c>
      <c r="K5377" s="25" t="str">
        <f>IF(OR(E5377="",E5377="!!!",F5377="NEW"),"",INDEX(J$1:J5376,SUMPRODUCT(MAX(ROW(E$1:E5376)*(E5377=E$1:E5376)))))</f>
        <v> </v>
      </c>
      <c r="L5377" s="26"/>
    </row>
    <row r="5378" spans="1:12">
      <c r="A5378" s="20" t="s">
        <v>1200</v>
      </c>
      <c r="E5378" s="21">
        <f>IF(D5378="?OLD","!!!","")</f>
        <v/>
      </c>
      <c r="F5378" s="22" t="str">
        <f>IF(OR(E5378="",E5378="!!!"),"",IF(NOT(ISNA(VLOOKUP(E5378,E$1:E5377,1,FALSE()))),"OLD",IF(AND(E5378&lt;&gt;"",E5378&lt;&gt;"!!!"),"NEW","")))</f>
        <v> </v>
      </c>
      <c r="G5378" s="23" t="str">
        <f>IF(OR(E5378="",E5378="!!!"),"",IF(OR(J5378=0,AND(J5378=1,K5378=1),AND(J5378=1,I5378="SBJ"),AND(J5378=1,I5378=0)),"?IN_FOCUS",IF(J5378&lt;=2,"?ACTIVATED",IF(J5378&lt;&gt;"","?FAMILIAR",IF(F5378="NEW",IF(ISNA(VLOOKUP(E5378,#REF!,1,FALSE())),"?TYPE_IDENTIFIABLE","?REFERENTIAL"),"_")))))</f>
        <v> </v>
      </c>
      <c r="H5378" s="24" t="str">
        <f>IF(J5378&lt;&gt;1,"",IF(I5378="SBJ","CB","?"))</f>
        <v> </v>
      </c>
      <c r="I5378" s="25" t="str">
        <f>IF(OR(E5378="",E5378="!!!",F5378="NEW"),"",INDEX(B5377:B$2,-1+SUMPRODUCT(MAX(ROW(E5377:E$2)*(E5378=E5377:E$2)))))</f>
        <v> </v>
      </c>
      <c r="J5378" s="25" t="str">
        <f>IF(OR(E5378="",E5378="!!!",F5378="NEW"),"",COUNTBLANK(OFFSET(A$1,,,SUMPRODUCT(MAX(ROW(E$2:E5378)*(E5378=E$2:E5378)))))-COUNTBLANK(OFFSET(A$1,,,SUMPRODUCT(MAX(ROW(E$1:E5377)*(E2=E$1:E5377))))))</f>
        <v> </v>
      </c>
      <c r="K5378" s="25" t="str">
        <f>IF(OR(E5378="",E5378="!!!",F5378="NEW"),"",INDEX(J$1:J5377,SUMPRODUCT(MAX(ROW(E$1:E5377)*(E5378=E$1:E5377)))))</f>
        <v> </v>
      </c>
      <c r="L5378" s="26"/>
    </row>
    <row r="5379" spans="1:12">
      <c r="A5379" s="20" t="s">
        <v>1005</v>
      </c>
      <c r="E5379" s="21">
        <f>IF(D5379="?OLD","!!!","")</f>
        <v/>
      </c>
      <c r="F5379" s="22" t="str">
        <f>IF(OR(E5379="",E5379="!!!"),"",IF(NOT(ISNA(VLOOKUP(E5379,E$1:E5378,1,FALSE()))),"OLD",IF(AND(E5379&lt;&gt;"",E5379&lt;&gt;"!!!"),"NEW","")))</f>
        <v> </v>
      </c>
      <c r="G5379" s="23" t="str">
        <f>IF(OR(E5379="",E5379="!!!"),"",IF(OR(J5379=0,AND(J5379=1,K5379=1),AND(J5379=1,I5379="SBJ"),AND(J5379=1,I5379=0)),"?IN_FOCUS",IF(J5379&lt;=2,"?ACTIVATED",IF(J5379&lt;&gt;"","?FAMILIAR",IF(F5379="NEW",IF(ISNA(VLOOKUP(E5379,#REF!,1,FALSE())),"?TYPE_IDENTIFIABLE","?REFERENTIAL"),"_")))))</f>
        <v> </v>
      </c>
      <c r="H5379" s="24" t="str">
        <f>IF(J5379&lt;&gt;1,"",IF(I5379="SBJ","CB","?"))</f>
        <v> </v>
      </c>
      <c r="I5379" s="25" t="str">
        <f>IF(OR(E5379="",E5379="!!!",F5379="NEW"),"",INDEX(B5378:B$2,-1+SUMPRODUCT(MAX(ROW(E5378:E$2)*(E5379=E5378:E$2)))))</f>
        <v> </v>
      </c>
      <c r="J5379" s="25" t="str">
        <f>IF(OR(E5379="",E5379="!!!",F5379="NEW"),"",COUNTBLANK(OFFSET(A$1,,,SUMPRODUCT(MAX(ROW(E$2:E5379)*(E5379=E$2:E5379)))))-COUNTBLANK(OFFSET(A$1,,,SUMPRODUCT(MAX(ROW(E$1:E5378)*(E2=E$1:E5378))))))</f>
        <v> </v>
      </c>
      <c r="K5379" s="25" t="str">
        <f>IF(OR(E5379="",E5379="!!!",F5379="NEW"),"",INDEX(J$1:J5378,SUMPRODUCT(MAX(ROW(E$1:E5378)*(E5379=E$1:E5378)))))</f>
        <v> </v>
      </c>
      <c r="L5379" s="26"/>
    </row>
    <row r="5380" spans="1:12">
      <c r="A5380" s="20"/>
    </row>
    <row r="5381" spans="1:12">
      <c r="A5381" s="20" t="s">
        <v>2454</v>
      </c>
    </row>
    <row r="5382" spans="1:12">
      <c r="A5382" s="20" t="s">
        <v>966</v>
      </c>
      <c r="B5382" s="27" t="s">
        <v>967</v>
      </c>
      <c r="C5382" s="27" t="s">
        <v>968</v>
      </c>
      <c r="D5382" s="27" t="s">
        <v>969</v>
      </c>
      <c r="E5382" s="21">
        <f>IF(D5382="?OLD","!!!","")</f>
        <v/>
      </c>
      <c r="F5382" s="22" t="str">
        <f>IF(OR(E5382="",E5382="!!!"),"",IF(NOT(ISNA(VLOOKUP(E5382,E$1:E5381,1,FALSE()))),"OLD",IF(AND(E5382&lt;&gt;"",E5382&lt;&gt;"!!!"),"NEW","")))</f>
        <v> </v>
      </c>
      <c r="G5382" s="23" t="str">
        <f>IF(OR(E5382="",E5382="!!!"),"",IF(OR(J5382=0,AND(J5382=1,K5382=1),AND(J5382=1,I5382="SBJ"),AND(J5382=1,I5382=0)),"?IN_FOCUS",IF(J5382&lt;=2,"?ACTIVATED",IF(J5382&lt;&gt;"","?FAMILIAR",IF(F5382="NEW",IF(ISNA(VLOOKUP(E5382,#REF!,1,FALSE())),"?TYPE_IDENTIFIABLE","?REFERENTIAL"),"_")))))</f>
        <v> </v>
      </c>
      <c r="H5382" s="24" t="str">
        <f>IF(J5382&lt;&gt;1,"",IF(I5382="SBJ","CB","?"))</f>
        <v> </v>
      </c>
      <c r="I5382" s="25" t="str">
        <f>IF(OR(E5382="",E5382="!!!",F5382="NEW"),"",INDEX(B5381:B$2,-1+SUMPRODUCT(MAX(ROW(E5381:E$2)*(E5382=E5381:E$2)))))</f>
        <v> </v>
      </c>
      <c r="J5382" s="25" t="str">
        <f>IF(OR(E5382="",E5382="!!!",F5382="NEW"),"",COUNTBLANK(OFFSET(A$1,,,SUMPRODUCT(MAX(ROW(E$2:E5382)*(E5382=E$2:E5382)))))-COUNTBLANK(OFFSET(A$1,,,SUMPRODUCT(MAX(ROW(E$1:E5381)*(E2=E$1:E5381))))))</f>
        <v> </v>
      </c>
      <c r="K5382" s="25" t="str">
        <f>IF(OR(E5382="",E5382="!!!",F5382="NEW"),"",INDEX(J$1:J5381,SUMPRODUCT(MAX(ROW(E$1:E5381)*(E5382=E$1:E5381)))))</f>
        <v> </v>
      </c>
      <c r="L5382" s="26"/>
    </row>
    <row r="5383" spans="1:12">
      <c r="A5383" s="20" t="s">
        <v>2178</v>
      </c>
      <c r="E5383" s="21">
        <f>IF(D5383="?OLD","!!!","")</f>
        <v/>
      </c>
      <c r="F5383" s="22" t="str">
        <f>IF(OR(E5383="",E5383="!!!"),"",IF(NOT(ISNA(VLOOKUP(E5383,E$1:E5382,1,FALSE()))),"OLD",IF(AND(E5383&lt;&gt;"",E5383&lt;&gt;"!!!"),"NEW","")))</f>
        <v> </v>
      </c>
      <c r="G5383" s="23" t="str">
        <f>IF(OR(E5383="",E5383="!!!"),"",IF(OR(J5383=0,AND(J5383=1,K5383=1),AND(J5383=1,I5383="SBJ"),AND(J5383=1,I5383=0)),"?IN_FOCUS",IF(J5383&lt;=2,"?ACTIVATED",IF(J5383&lt;&gt;"","?FAMILIAR",IF(F5383="NEW",IF(ISNA(VLOOKUP(E5383,#REF!,1,FALSE())),"?TYPE_IDENTIFIABLE","?REFERENTIAL"),"_")))))</f>
        <v> </v>
      </c>
      <c r="H5383" s="24" t="str">
        <f>IF(J5383&lt;&gt;1,"",IF(I5383="SBJ","CB","?"))</f>
        <v> </v>
      </c>
      <c r="I5383" s="25" t="str">
        <f>IF(OR(E5383="",E5383="!!!",F5383="NEW"),"",INDEX(B5382:B$2,-1+SUMPRODUCT(MAX(ROW(E5382:E$2)*(E5383=E5382:E$2)))))</f>
        <v> </v>
      </c>
      <c r="J5383" s="25" t="str">
        <f>IF(OR(E5383="",E5383="!!!",F5383="NEW"),"",COUNTBLANK(OFFSET(A$1,,,SUMPRODUCT(MAX(ROW(E$2:E5383)*(E5383=E$2:E5383)))))-COUNTBLANK(OFFSET(A$1,,,SUMPRODUCT(MAX(ROW(E$1:E5382)*(E2=E$1:E5382))))))</f>
        <v> </v>
      </c>
      <c r="K5383" s="25" t="str">
        <f>IF(OR(E5383="",E5383="!!!",F5383="NEW"),"",INDEX(J$1:J5382,SUMPRODUCT(MAX(ROW(E$1:E5382)*(E5383=E$1:E5382)))))</f>
        <v> </v>
      </c>
      <c r="L5383" s="26"/>
    </row>
    <row r="5384" spans="1:12">
      <c r="A5384" s="20" t="s">
        <v>1784</v>
      </c>
      <c r="E5384" s="21">
        <f>IF(D5384="?OLD","!!!","")</f>
        <v/>
      </c>
      <c r="F5384" s="22" t="str">
        <f>IF(OR(E5384="",E5384="!!!"),"",IF(NOT(ISNA(VLOOKUP(E5384,E$1:E5383,1,FALSE()))),"OLD",IF(AND(E5384&lt;&gt;"",E5384&lt;&gt;"!!!"),"NEW","")))</f>
        <v> </v>
      </c>
      <c r="G5384" s="23" t="str">
        <f>IF(OR(E5384="",E5384="!!!"),"",IF(OR(J5384=0,AND(J5384=1,K5384=1),AND(J5384=1,I5384="SBJ"),AND(J5384=1,I5384=0)),"?IN_FOCUS",IF(J5384&lt;=2,"?ACTIVATED",IF(J5384&lt;&gt;"","?FAMILIAR",IF(F5384="NEW",IF(ISNA(VLOOKUP(E5384,#REF!,1,FALSE())),"?TYPE_IDENTIFIABLE","?REFERENTIAL"),"_")))))</f>
        <v> </v>
      </c>
      <c r="H5384" s="24" t="str">
        <f>IF(J5384&lt;&gt;1,"",IF(I5384="SBJ","CB","?"))</f>
        <v> </v>
      </c>
      <c r="I5384" s="25" t="str">
        <f>IF(OR(E5384="",E5384="!!!",F5384="NEW"),"",INDEX(B5383:B$2,-1+SUMPRODUCT(MAX(ROW(E5383:E$2)*(E5384=E5383:E$2)))))</f>
        <v> </v>
      </c>
      <c r="J5384" s="25" t="str">
        <f>IF(OR(E5384="",E5384="!!!",F5384="NEW"),"",COUNTBLANK(OFFSET(A$1,,,SUMPRODUCT(MAX(ROW(E$2:E5384)*(E5384=E$2:E5384)))))-COUNTBLANK(OFFSET(A$1,,,SUMPRODUCT(MAX(ROW(E$1:E5383)*(E2=E$1:E5383))))))</f>
        <v> </v>
      </c>
      <c r="K5384" s="25" t="str">
        <f>IF(OR(E5384="",E5384="!!!",F5384="NEW"),"",INDEX(J$1:J5383,SUMPRODUCT(MAX(ROW(E$1:E5383)*(E5384=E$1:E5383)))))</f>
        <v> </v>
      </c>
      <c r="L5384" s="26"/>
    </row>
    <row r="5385" spans="1:12">
      <c r="A5385" s="20" t="s">
        <v>1158</v>
      </c>
      <c r="E5385" s="21">
        <f>IF(D5385="?OLD","!!!","")</f>
        <v/>
      </c>
      <c r="F5385" s="22" t="str">
        <f>IF(OR(E5385="",E5385="!!!"),"",IF(NOT(ISNA(VLOOKUP(E5385,E$1:E5384,1,FALSE()))),"OLD",IF(AND(E5385&lt;&gt;"",E5385&lt;&gt;"!!!"),"NEW","")))</f>
        <v> </v>
      </c>
      <c r="G5385" s="23" t="str">
        <f>IF(OR(E5385="",E5385="!!!"),"",IF(OR(J5385=0,AND(J5385=1,K5385=1),AND(J5385=1,I5385="SBJ"),AND(J5385=1,I5385=0)),"?IN_FOCUS",IF(J5385&lt;=2,"?ACTIVATED",IF(J5385&lt;&gt;"","?FAMILIAR",IF(F5385="NEW",IF(ISNA(VLOOKUP(E5385,#REF!,1,FALSE())),"?TYPE_IDENTIFIABLE","?REFERENTIAL"),"_")))))</f>
        <v> </v>
      </c>
      <c r="H5385" s="24" t="str">
        <f>IF(J5385&lt;&gt;1,"",IF(I5385="SBJ","CB","?"))</f>
        <v> </v>
      </c>
      <c r="I5385" s="25" t="str">
        <f>IF(OR(E5385="",E5385="!!!",F5385="NEW"),"",INDEX(B5384:B$2,-1+SUMPRODUCT(MAX(ROW(E5384:E$2)*(E5385=E5384:E$2)))))</f>
        <v> </v>
      </c>
      <c r="J5385" s="25" t="str">
        <f>IF(OR(E5385="",E5385="!!!",F5385="NEW"),"",COUNTBLANK(OFFSET(A$1,,,SUMPRODUCT(MAX(ROW(E$2:E5385)*(E5385=E$2:E5385)))))-COUNTBLANK(OFFSET(A$1,,,SUMPRODUCT(MAX(ROW(E$1:E5384)*(E2=E$1:E5384))))))</f>
        <v> </v>
      </c>
      <c r="K5385" s="25" t="str">
        <f>IF(OR(E5385="",E5385="!!!",F5385="NEW"),"",INDEX(J$1:J5384,SUMPRODUCT(MAX(ROW(E$1:E5384)*(E5385=E$1:E5384)))))</f>
        <v> </v>
      </c>
      <c r="L5385" s="26"/>
    </row>
    <row r="5386" spans="1:12">
      <c r="A5386" s="20" t="s">
        <v>991</v>
      </c>
      <c r="E5386" s="21">
        <f>IF(D5386="?OLD","!!!","")</f>
        <v/>
      </c>
      <c r="F5386" s="22" t="str">
        <f>IF(OR(E5386="",E5386="!!!"),"",IF(NOT(ISNA(VLOOKUP(E5386,E$1:E5385,1,FALSE()))),"OLD",IF(AND(E5386&lt;&gt;"",E5386&lt;&gt;"!!!"),"NEW","")))</f>
        <v> </v>
      </c>
      <c r="G5386" s="23" t="str">
        <f>IF(OR(E5386="",E5386="!!!"),"",IF(OR(J5386=0,AND(J5386=1,K5386=1),AND(J5386=1,I5386="SBJ"),AND(J5386=1,I5386=0)),"?IN_FOCUS",IF(J5386&lt;=2,"?ACTIVATED",IF(J5386&lt;&gt;"","?FAMILIAR",IF(F5386="NEW",IF(ISNA(VLOOKUP(E5386,#REF!,1,FALSE())),"?TYPE_IDENTIFIABLE","?REFERENTIAL"),"_")))))</f>
        <v> </v>
      </c>
      <c r="H5386" s="24" t="str">
        <f>IF(J5386&lt;&gt;1,"",IF(I5386="SBJ","CB","?"))</f>
        <v> </v>
      </c>
      <c r="I5386" s="25" t="str">
        <f>IF(OR(E5386="",E5386="!!!",F5386="NEW"),"",INDEX(B5385:B$2,-1+SUMPRODUCT(MAX(ROW(E5385:E$2)*(E5386=E5385:E$2)))))</f>
        <v> </v>
      </c>
      <c r="J5386" s="25" t="str">
        <f>IF(OR(E5386="",E5386="!!!",F5386="NEW"),"",COUNTBLANK(OFFSET(A$1,,,SUMPRODUCT(MAX(ROW(E$2:E5386)*(E5386=E$2:E5386)))))-COUNTBLANK(OFFSET(A$1,,,SUMPRODUCT(MAX(ROW(E$1:E5385)*(E2=E$1:E5385))))))</f>
        <v> </v>
      </c>
      <c r="K5386" s="25" t="str">
        <f>IF(OR(E5386="",E5386="!!!",F5386="NEW"),"",INDEX(J$1:J5385,SUMPRODUCT(MAX(ROW(E$1:E5385)*(E5386=E$1:E5385)))))</f>
        <v> </v>
      </c>
      <c r="L5386" s="26"/>
    </row>
    <row r="5387" spans="1:12">
      <c r="A5387" s="20" t="s">
        <v>1322</v>
      </c>
      <c r="E5387" s="21">
        <f>IF(D5387="?OLD","!!!","")</f>
        <v/>
      </c>
      <c r="F5387" s="22" t="str">
        <f>IF(OR(E5387="",E5387="!!!"),"",IF(NOT(ISNA(VLOOKUP(E5387,E$1:E5386,1,FALSE()))),"OLD",IF(AND(E5387&lt;&gt;"",E5387&lt;&gt;"!!!"),"NEW","")))</f>
        <v> </v>
      </c>
      <c r="G5387" s="23" t="str">
        <f>IF(OR(E5387="",E5387="!!!"),"",IF(OR(J5387=0,AND(J5387=1,K5387=1),AND(J5387=1,I5387="SBJ"),AND(J5387=1,I5387=0)),"?IN_FOCUS",IF(J5387&lt;=2,"?ACTIVATED",IF(J5387&lt;&gt;"","?FAMILIAR",IF(F5387="NEW",IF(ISNA(VLOOKUP(E5387,#REF!,1,FALSE())),"?TYPE_IDENTIFIABLE","?REFERENTIAL"),"_")))))</f>
        <v> </v>
      </c>
      <c r="H5387" s="24" t="str">
        <f>IF(J5387&lt;&gt;1,"",IF(I5387="SBJ","CB","?"))</f>
        <v> </v>
      </c>
      <c r="I5387" s="25" t="str">
        <f>IF(OR(E5387="",E5387="!!!",F5387="NEW"),"",INDEX(B5386:B$2,-1+SUMPRODUCT(MAX(ROW(E5386:E$2)*(E5387=E5386:E$2)))))</f>
        <v> </v>
      </c>
      <c r="J5387" s="25" t="str">
        <f>IF(OR(E5387="",E5387="!!!",F5387="NEW"),"",COUNTBLANK(OFFSET(A$1,,,SUMPRODUCT(MAX(ROW(E$2:E5387)*(E5387=E$2:E5387)))))-COUNTBLANK(OFFSET(A$1,,,SUMPRODUCT(MAX(ROW(E$1:E5386)*(E2=E$1:E5386))))))</f>
        <v> </v>
      </c>
      <c r="K5387" s="25" t="str">
        <f>IF(OR(E5387="",E5387="!!!",F5387="NEW"),"",INDEX(J$1:J5386,SUMPRODUCT(MAX(ROW(E$1:E5386)*(E5387=E$1:E5386)))))</f>
        <v> </v>
      </c>
      <c r="L5387" s="26"/>
    </row>
    <row r="5388" spans="1:12">
      <c r="A5388" s="20" t="s">
        <v>993</v>
      </c>
      <c r="B5388" s="27" t="s">
        <v>1010</v>
      </c>
      <c r="C5388" s="27" t="s">
        <v>968</v>
      </c>
      <c r="D5388" s="27" t="s">
        <v>969</v>
      </c>
      <c r="E5388" s="21">
        <f>IF(D5388="?OLD","!!!","")</f>
        <v/>
      </c>
      <c r="F5388" s="22" t="str">
        <f>IF(OR(E5388="",E5388="!!!"),"",IF(NOT(ISNA(VLOOKUP(E5388,E$1:E5387,1,FALSE()))),"OLD",IF(AND(E5388&lt;&gt;"",E5388&lt;&gt;"!!!"),"NEW","")))</f>
        <v> </v>
      </c>
      <c r="G5388" s="23" t="str">
        <f>IF(OR(E5388="",E5388="!!!"),"",IF(OR(J5388=0,AND(J5388=1,K5388=1),AND(J5388=1,I5388="SBJ"),AND(J5388=1,I5388=0)),"?IN_FOCUS",IF(J5388&lt;=2,"?ACTIVATED",IF(J5388&lt;&gt;"","?FAMILIAR",IF(F5388="NEW",IF(ISNA(VLOOKUP(E5388,#REF!,1,FALSE())),"?TYPE_IDENTIFIABLE","?REFERENTIAL"),"_")))))</f>
        <v> </v>
      </c>
      <c r="H5388" s="24" t="str">
        <f>IF(J5388&lt;&gt;1,"",IF(I5388="SBJ","CB","?"))</f>
        <v> </v>
      </c>
      <c r="I5388" s="25" t="str">
        <f>IF(OR(E5388="",E5388="!!!",F5388="NEW"),"",INDEX(B5387:B$2,-1+SUMPRODUCT(MAX(ROW(E5387:E$2)*(E5388=E5387:E$2)))))</f>
        <v> </v>
      </c>
      <c r="J5388" s="25" t="str">
        <f>IF(OR(E5388="",E5388="!!!",F5388="NEW"),"",COUNTBLANK(OFFSET(A$1,,,SUMPRODUCT(MAX(ROW(E$2:E5388)*(E5388=E$2:E5388)))))-COUNTBLANK(OFFSET(A$1,,,SUMPRODUCT(MAX(ROW(E$1:E5387)*(E2=E$1:E5387))))))</f>
        <v> </v>
      </c>
      <c r="K5388" s="25" t="str">
        <f>IF(OR(E5388="",E5388="!!!",F5388="NEW"),"",INDEX(J$1:J5387,SUMPRODUCT(MAX(ROW(E$1:E5387)*(E5388=E$1:E5387)))))</f>
        <v> </v>
      </c>
      <c r="L5388" s="26"/>
    </row>
    <row r="5389" spans="1:12">
      <c r="A5389" s="20" t="s">
        <v>1508</v>
      </c>
      <c r="B5389" s="27" t="s">
        <v>1013</v>
      </c>
      <c r="C5389" s="27" t="s">
        <v>974</v>
      </c>
      <c r="E5389" s="21">
        <f>IF(D5389="?OLD","!!!","")</f>
        <v/>
      </c>
      <c r="F5389" s="22" t="str">
        <f>IF(OR(E5389="",E5389="!!!"),"",IF(NOT(ISNA(VLOOKUP(E5389,E$1:E5388,1,FALSE()))),"OLD",IF(AND(E5389&lt;&gt;"",E5389&lt;&gt;"!!!"),"NEW","")))</f>
        <v> </v>
      </c>
      <c r="G5389" s="23" t="str">
        <f>IF(OR(E5389="",E5389="!!!"),"",IF(OR(J5389=0,AND(J5389=1,K5389=1),AND(J5389=1,I5389="SBJ"),AND(J5389=1,I5389=0)),"?IN_FOCUS",IF(J5389&lt;=2,"?ACTIVATED",IF(J5389&lt;&gt;"","?FAMILIAR",IF(F5389="NEW",IF(ISNA(VLOOKUP(E5389,#REF!,1,FALSE())),"?TYPE_IDENTIFIABLE","?REFERENTIAL"),"_")))))</f>
        <v> </v>
      </c>
      <c r="H5389" s="24" t="str">
        <f>IF(J5389&lt;&gt;1,"",IF(I5389="SBJ","CB","?"))</f>
        <v> </v>
      </c>
      <c r="I5389" s="25" t="str">
        <f>IF(OR(E5389="",E5389="!!!",F5389="NEW"),"",INDEX(B5388:B$2,-1+SUMPRODUCT(MAX(ROW(E5388:E$2)*(E5389=E5388:E$2)))))</f>
        <v> </v>
      </c>
      <c r="J5389" s="25" t="str">
        <f>IF(OR(E5389="",E5389="!!!",F5389="NEW"),"",COUNTBLANK(OFFSET(A$1,,,SUMPRODUCT(MAX(ROW(E$2:E5389)*(E5389=E$2:E5389)))))-COUNTBLANK(OFFSET(A$1,,,SUMPRODUCT(MAX(ROW(E$1:E5388)*(E2=E$1:E5388))))))</f>
        <v> </v>
      </c>
      <c r="K5389" s="25" t="str">
        <f>IF(OR(E5389="",E5389="!!!",F5389="NEW"),"",INDEX(J$1:J5388,SUMPRODUCT(MAX(ROW(E$1:E5388)*(E5389=E$1:E5388)))))</f>
        <v> </v>
      </c>
      <c r="L5389" s="26"/>
    </row>
    <row r="5390" spans="1:12">
      <c r="A5390" s="20" t="s">
        <v>1300</v>
      </c>
      <c r="E5390" s="21">
        <f>IF(D5390="?OLD","!!!","")</f>
        <v/>
      </c>
      <c r="F5390" s="22" t="str">
        <f>IF(OR(E5390="",E5390="!!!"),"",IF(NOT(ISNA(VLOOKUP(E5390,E$1:E5389,1,FALSE()))),"OLD",IF(AND(E5390&lt;&gt;"",E5390&lt;&gt;"!!!"),"NEW","")))</f>
        <v> </v>
      </c>
      <c r="G5390" s="23" t="str">
        <f>IF(OR(E5390="",E5390="!!!"),"",IF(OR(J5390=0,AND(J5390=1,K5390=1),AND(J5390=1,I5390="SBJ"),AND(J5390=1,I5390=0)),"?IN_FOCUS",IF(J5390&lt;=2,"?ACTIVATED",IF(J5390&lt;&gt;"","?FAMILIAR",IF(F5390="NEW",IF(ISNA(VLOOKUP(E5390,#REF!,1,FALSE())),"?TYPE_IDENTIFIABLE","?REFERENTIAL"),"_")))))</f>
        <v> </v>
      </c>
      <c r="H5390" s="24" t="str">
        <f>IF(J5390&lt;&gt;1,"",IF(I5390="SBJ","CB","?"))</f>
        <v> </v>
      </c>
      <c r="I5390" s="25" t="str">
        <f>IF(OR(E5390="",E5390="!!!",F5390="NEW"),"",INDEX(B5389:B$2,-1+SUMPRODUCT(MAX(ROW(E5389:E$2)*(E5390=E5389:E$2)))))</f>
        <v> </v>
      </c>
      <c r="J5390" s="25" t="str">
        <f>IF(OR(E5390="",E5390="!!!",F5390="NEW"),"",COUNTBLANK(OFFSET(A$1,,,SUMPRODUCT(MAX(ROW(E$2:E5390)*(E5390=E$2:E5390)))))-COUNTBLANK(OFFSET(A$1,,,SUMPRODUCT(MAX(ROW(E$1:E5389)*(E2=E$1:E5389))))))</f>
        <v> </v>
      </c>
      <c r="K5390" s="25" t="str">
        <f>IF(OR(E5390="",E5390="!!!",F5390="NEW"),"",INDEX(J$1:J5389,SUMPRODUCT(MAX(ROW(E$1:E5389)*(E5390=E$1:E5389)))))</f>
        <v> </v>
      </c>
      <c r="L5390" s="26"/>
    </row>
    <row r="5391" spans="1:12">
      <c r="A5391" s="20" t="s">
        <v>1253</v>
      </c>
      <c r="B5391" s="27" t="s">
        <v>982</v>
      </c>
      <c r="C5391" s="27" t="s">
        <v>974</v>
      </c>
      <c r="E5391" s="21">
        <f>IF(D5391="?OLD","!!!","")</f>
        <v/>
      </c>
      <c r="F5391" s="22" t="str">
        <f>IF(OR(E5391="",E5391="!!!"),"",IF(NOT(ISNA(VLOOKUP(E5391,E$1:E5390,1,FALSE()))),"OLD",IF(AND(E5391&lt;&gt;"",E5391&lt;&gt;"!!!"),"NEW","")))</f>
        <v> </v>
      </c>
      <c r="G5391" s="23" t="str">
        <f>IF(OR(E5391="",E5391="!!!"),"",IF(OR(J5391=0,AND(J5391=1,K5391=1),AND(J5391=1,I5391="SBJ"),AND(J5391=1,I5391=0)),"?IN_FOCUS",IF(J5391&lt;=2,"?ACTIVATED",IF(J5391&lt;&gt;"","?FAMILIAR",IF(F5391="NEW",IF(ISNA(VLOOKUP(E5391,#REF!,1,FALSE())),"?TYPE_IDENTIFIABLE","?REFERENTIAL"),"_")))))</f>
        <v> </v>
      </c>
      <c r="H5391" s="24" t="str">
        <f>IF(J5391&lt;&gt;1,"",IF(I5391="SBJ","CB","?"))</f>
        <v> </v>
      </c>
      <c r="I5391" s="25" t="str">
        <f>IF(OR(E5391="",E5391="!!!",F5391="NEW"),"",INDEX(B5390:B$2,-1+SUMPRODUCT(MAX(ROW(E5390:E$2)*(E5391=E5390:E$2)))))</f>
        <v> </v>
      </c>
      <c r="J5391" s="25" t="str">
        <f>IF(OR(E5391="",E5391="!!!",F5391="NEW"),"",COUNTBLANK(OFFSET(A$1,,,SUMPRODUCT(MAX(ROW(E$2:E5391)*(E5391=E$2:E5391)))))-COUNTBLANK(OFFSET(A$1,,,SUMPRODUCT(MAX(ROW(E$1:E5390)*(E2=E$1:E5390))))))</f>
        <v> </v>
      </c>
      <c r="K5391" s="25" t="str">
        <f>IF(OR(E5391="",E5391="!!!",F5391="NEW"),"",INDEX(J$1:J5390,SUMPRODUCT(MAX(ROW(E$1:E5390)*(E5391=E$1:E5390)))))</f>
        <v> </v>
      </c>
      <c r="L5391" s="26"/>
    </row>
    <row r="5392" spans="1:12">
      <c r="A5392" s="20" t="s">
        <v>13</v>
      </c>
      <c r="E5392" s="21">
        <f>IF(D5392="?OLD","!!!","")</f>
        <v/>
      </c>
      <c r="F5392" s="22" t="str">
        <f>IF(OR(E5392="",E5392="!!!"),"",IF(NOT(ISNA(VLOOKUP(E5392,E$1:E5391,1,FALSE()))),"OLD",IF(AND(E5392&lt;&gt;"",E5392&lt;&gt;"!!!"),"NEW","")))</f>
        <v> </v>
      </c>
      <c r="G5392" s="23" t="str">
        <f>IF(OR(E5392="",E5392="!!!"),"",IF(OR(J5392=0,AND(J5392=1,K5392=1),AND(J5392=1,I5392="SBJ"),AND(J5392=1,I5392=0)),"?IN_FOCUS",IF(J5392&lt;=2,"?ACTIVATED",IF(J5392&lt;&gt;"","?FAMILIAR",IF(F5392="NEW",IF(ISNA(VLOOKUP(E5392,#REF!,1,FALSE())),"?TYPE_IDENTIFIABLE","?REFERENTIAL"),"_")))))</f>
        <v> </v>
      </c>
      <c r="H5392" s="24" t="str">
        <f>IF(J5392&lt;&gt;1,"",IF(I5392="SBJ","CB","?"))</f>
        <v> </v>
      </c>
      <c r="I5392" s="25" t="str">
        <f>IF(OR(E5392="",E5392="!!!",F5392="NEW"),"",INDEX(B5391:B$2,-1+SUMPRODUCT(MAX(ROW(E5391:E$2)*(E5392=E5391:E$2)))))</f>
        <v> </v>
      </c>
      <c r="J5392" s="25" t="str">
        <f>IF(OR(E5392="",E5392="!!!",F5392="NEW"),"",COUNTBLANK(OFFSET(A$1,,,SUMPRODUCT(MAX(ROW(E$2:E5392)*(E5392=E$2:E5392)))))-COUNTBLANK(OFFSET(A$1,,,SUMPRODUCT(MAX(ROW(E$1:E5391)*(E2=E$1:E5391))))))</f>
        <v> </v>
      </c>
      <c r="K5392" s="25" t="str">
        <f>IF(OR(E5392="",E5392="!!!",F5392="NEW"),"",INDEX(J$1:J5391,SUMPRODUCT(MAX(ROW(E$1:E5391)*(E5392=E$1:E5391)))))</f>
        <v> </v>
      </c>
      <c r="L5392" s="26"/>
    </row>
    <row r="5393" spans="1:12">
      <c r="A5393" s="20" t="s">
        <v>1454</v>
      </c>
      <c r="E5393" s="21">
        <f>IF(D5393="?OLD","!!!","")</f>
        <v/>
      </c>
      <c r="F5393" s="22" t="str">
        <f>IF(OR(E5393="",E5393="!!!"),"",IF(NOT(ISNA(VLOOKUP(E5393,E$1:E5392,1,FALSE()))),"OLD",IF(AND(E5393&lt;&gt;"",E5393&lt;&gt;"!!!"),"NEW","")))</f>
        <v> </v>
      </c>
      <c r="G5393" s="23" t="str">
        <f>IF(OR(E5393="",E5393="!!!"),"",IF(OR(J5393=0,AND(J5393=1,K5393=1),AND(J5393=1,I5393="SBJ"),AND(J5393=1,I5393=0)),"?IN_FOCUS",IF(J5393&lt;=2,"?ACTIVATED",IF(J5393&lt;&gt;"","?FAMILIAR",IF(F5393="NEW",IF(ISNA(VLOOKUP(E5393,#REF!,1,FALSE())),"?TYPE_IDENTIFIABLE","?REFERENTIAL"),"_")))))</f>
        <v> </v>
      </c>
      <c r="H5393" s="24" t="str">
        <f>IF(J5393&lt;&gt;1,"",IF(I5393="SBJ","CB","?"))</f>
        <v> </v>
      </c>
      <c r="I5393" s="25" t="str">
        <f>IF(OR(E5393="",E5393="!!!",F5393="NEW"),"",INDEX(B5392:B$2,-1+SUMPRODUCT(MAX(ROW(E5392:E$2)*(E5393=E5392:E$2)))))</f>
        <v> </v>
      </c>
      <c r="J5393" s="25" t="str">
        <f>IF(OR(E5393="",E5393="!!!",F5393="NEW"),"",COUNTBLANK(OFFSET(A$1,,,SUMPRODUCT(MAX(ROW(E$2:E5393)*(E5393=E$2:E5393)))))-COUNTBLANK(OFFSET(A$1,,,SUMPRODUCT(MAX(ROW(E$1:E5392)*(E2=E$1:E5392))))))</f>
        <v> </v>
      </c>
      <c r="K5393" s="25" t="str">
        <f>IF(OR(E5393="",E5393="!!!",F5393="NEW"),"",INDEX(J$1:J5392,SUMPRODUCT(MAX(ROW(E$1:E5392)*(E5393=E$1:E5392)))))</f>
        <v> </v>
      </c>
      <c r="L5393" s="26"/>
    </row>
    <row r="5394" spans="1:12">
      <c r="A5394" s="20" t="s">
        <v>1005</v>
      </c>
      <c r="E5394" s="21">
        <f>IF(D5394="?OLD","!!!","")</f>
        <v/>
      </c>
      <c r="F5394" s="22" t="str">
        <f>IF(OR(E5394="",E5394="!!!"),"",IF(NOT(ISNA(VLOOKUP(E5394,E$1:E5393,1,FALSE()))),"OLD",IF(AND(E5394&lt;&gt;"",E5394&lt;&gt;"!!!"),"NEW","")))</f>
        <v> </v>
      </c>
      <c r="G5394" s="23" t="str">
        <f>IF(OR(E5394="",E5394="!!!"),"",IF(OR(J5394=0,AND(J5394=1,K5394=1),AND(J5394=1,I5394="SBJ"),AND(J5394=1,I5394=0)),"?IN_FOCUS",IF(J5394&lt;=2,"?ACTIVATED",IF(J5394&lt;&gt;"","?FAMILIAR",IF(F5394="NEW",IF(ISNA(VLOOKUP(E5394,#REF!,1,FALSE())),"?TYPE_IDENTIFIABLE","?REFERENTIAL"),"_")))))</f>
        <v> </v>
      </c>
      <c r="H5394" s="24" t="str">
        <f>IF(J5394&lt;&gt;1,"",IF(I5394="SBJ","CB","?"))</f>
        <v> </v>
      </c>
      <c r="I5394" s="25" t="str">
        <f>IF(OR(E5394="",E5394="!!!",F5394="NEW"),"",INDEX(B5393:B$2,-1+SUMPRODUCT(MAX(ROW(E5393:E$2)*(E5394=E5393:E$2)))))</f>
        <v> </v>
      </c>
      <c r="J5394" s="25" t="str">
        <f>IF(OR(E5394="",E5394="!!!",F5394="NEW"),"",COUNTBLANK(OFFSET(A$1,,,SUMPRODUCT(MAX(ROW(E$2:E5394)*(E5394=E$2:E5394)))))-COUNTBLANK(OFFSET(A$1,,,SUMPRODUCT(MAX(ROW(E$1:E5393)*(E2=E$1:E5393))))))</f>
        <v> </v>
      </c>
      <c r="K5394" s="25" t="str">
        <f>IF(OR(E5394="",E5394="!!!",F5394="NEW"),"",INDEX(J$1:J5393,SUMPRODUCT(MAX(ROW(E$1:E5393)*(E5394=E$1:E5393)))))</f>
        <v> </v>
      </c>
      <c r="L5394" s="26"/>
    </row>
    <row r="5395" spans="1:12">
      <c r="A5395" s="20"/>
    </row>
    <row r="5396" spans="1:12">
      <c r="A5396" s="20" t="s">
        <v>2455</v>
      </c>
    </row>
    <row r="5397" spans="1:12">
      <c r="A5397" s="20" t="s">
        <v>966</v>
      </c>
      <c r="B5397" s="27" t="s">
        <v>967</v>
      </c>
      <c r="C5397" s="27" t="s">
        <v>968</v>
      </c>
      <c r="D5397" s="27" t="s">
        <v>969</v>
      </c>
      <c r="E5397" s="21">
        <f>IF(D5397="?OLD","!!!","")</f>
        <v/>
      </c>
      <c r="F5397" s="22" t="str">
        <f>IF(OR(E5397="",E5397="!!!"),"",IF(NOT(ISNA(VLOOKUP(E5397,E$1:E5396,1,FALSE()))),"OLD",IF(AND(E5397&lt;&gt;"",E5397&lt;&gt;"!!!"),"NEW","")))</f>
        <v> </v>
      </c>
      <c r="G5397" s="23" t="str">
        <f>IF(OR(E5397="",E5397="!!!"),"",IF(OR(J5397=0,AND(J5397=1,K5397=1),AND(J5397=1,I5397="SBJ"),AND(J5397=1,I5397=0)),"?IN_FOCUS",IF(J5397&lt;=2,"?ACTIVATED",IF(J5397&lt;&gt;"","?FAMILIAR",IF(F5397="NEW",IF(ISNA(VLOOKUP(E5397,#REF!,1,FALSE())),"?TYPE_IDENTIFIABLE","?REFERENTIAL"),"_")))))</f>
        <v> </v>
      </c>
      <c r="H5397" s="24" t="str">
        <f>IF(J5397&lt;&gt;1,"",IF(I5397="SBJ","CB","?"))</f>
        <v> </v>
      </c>
      <c r="I5397" s="25" t="str">
        <f>IF(OR(E5397="",E5397="!!!",F5397="NEW"),"",INDEX(B5396:B$2,-1+SUMPRODUCT(MAX(ROW(E5396:E$2)*(E5397=E5396:E$2)))))</f>
        <v> </v>
      </c>
      <c r="J5397" s="25" t="str">
        <f>IF(OR(E5397="",E5397="!!!",F5397="NEW"),"",COUNTBLANK(OFFSET(A$1,,,SUMPRODUCT(MAX(ROW(E$2:E5397)*(E5397=E$2:E5397)))))-COUNTBLANK(OFFSET(A$1,,,SUMPRODUCT(MAX(ROW(E$1:E5396)*(E2=E$1:E5396))))))</f>
        <v> </v>
      </c>
      <c r="K5397" s="25" t="str">
        <f>IF(OR(E5397="",E5397="!!!",F5397="NEW"),"",INDEX(J$1:J5396,SUMPRODUCT(MAX(ROW(E$1:E5396)*(E5397=E$1:E5396)))))</f>
        <v> </v>
      </c>
      <c r="L5397" s="26"/>
    </row>
    <row r="5398" spans="1:12">
      <c r="A5398" s="20" t="s">
        <v>1369</v>
      </c>
      <c r="E5398" s="21">
        <f>IF(D5398="?OLD","!!!","")</f>
        <v/>
      </c>
      <c r="F5398" s="22" t="str">
        <f>IF(OR(E5398="",E5398="!!!"),"",IF(NOT(ISNA(VLOOKUP(E5398,E$1:E5397,1,FALSE()))),"OLD",IF(AND(E5398&lt;&gt;"",E5398&lt;&gt;"!!!"),"NEW","")))</f>
        <v> </v>
      </c>
      <c r="G5398" s="23" t="str">
        <f>IF(OR(E5398="",E5398="!!!"),"",IF(OR(J5398=0,AND(J5398=1,K5398=1),AND(J5398=1,I5398="SBJ"),AND(J5398=1,I5398=0)),"?IN_FOCUS",IF(J5398&lt;=2,"?ACTIVATED",IF(J5398&lt;&gt;"","?FAMILIAR",IF(F5398="NEW",IF(ISNA(VLOOKUP(E5398,#REF!,1,FALSE())),"?TYPE_IDENTIFIABLE","?REFERENTIAL"),"_")))))</f>
        <v> </v>
      </c>
      <c r="H5398" s="24" t="str">
        <f>IF(J5398&lt;&gt;1,"",IF(I5398="SBJ","CB","?"))</f>
        <v> </v>
      </c>
      <c r="I5398" s="25" t="str">
        <f>IF(OR(E5398="",E5398="!!!",F5398="NEW"),"",INDEX(B5397:B$2,-1+SUMPRODUCT(MAX(ROW(E5397:E$2)*(E5398=E5397:E$2)))))</f>
        <v> </v>
      </c>
      <c r="J5398" s="25" t="str">
        <f>IF(OR(E5398="",E5398="!!!",F5398="NEW"),"",COUNTBLANK(OFFSET(A$1,,,SUMPRODUCT(MAX(ROW(E$2:E5398)*(E5398=E$2:E5398)))))-COUNTBLANK(OFFSET(A$1,,,SUMPRODUCT(MAX(ROW(E$1:E5397)*(E2=E$1:E5397))))))</f>
        <v> </v>
      </c>
      <c r="K5398" s="25" t="str">
        <f>IF(OR(E5398="",E5398="!!!",F5398="NEW"),"",INDEX(J$1:J5397,SUMPRODUCT(MAX(ROW(E$1:E5397)*(E5398=E$1:E5397)))))</f>
        <v> </v>
      </c>
      <c r="L5398" s="26"/>
    </row>
    <row r="5399" spans="1:12">
      <c r="A5399" s="20" t="s">
        <v>1517</v>
      </c>
      <c r="E5399" s="21">
        <f>IF(D5399="?OLD","!!!","")</f>
        <v/>
      </c>
      <c r="F5399" s="22" t="str">
        <f>IF(OR(E5399="",E5399="!!!"),"",IF(NOT(ISNA(VLOOKUP(E5399,E$1:E5398,1,FALSE()))),"OLD",IF(AND(E5399&lt;&gt;"",E5399&lt;&gt;"!!!"),"NEW","")))</f>
        <v> </v>
      </c>
      <c r="G5399" s="23" t="str">
        <f>IF(OR(E5399="",E5399="!!!"),"",IF(OR(J5399=0,AND(J5399=1,K5399=1),AND(J5399=1,I5399="SBJ"),AND(J5399=1,I5399=0)),"?IN_FOCUS",IF(J5399&lt;=2,"?ACTIVATED",IF(J5399&lt;&gt;"","?FAMILIAR",IF(F5399="NEW",IF(ISNA(VLOOKUP(E5399,#REF!,1,FALSE())),"?TYPE_IDENTIFIABLE","?REFERENTIAL"),"_")))))</f>
        <v> </v>
      </c>
      <c r="H5399" s="24" t="str">
        <f>IF(J5399&lt;&gt;1,"",IF(I5399="SBJ","CB","?"))</f>
        <v> </v>
      </c>
      <c r="I5399" s="25" t="str">
        <f>IF(OR(E5399="",E5399="!!!",F5399="NEW"),"",INDEX(B5398:B$2,-1+SUMPRODUCT(MAX(ROW(E5398:E$2)*(E5399=E5398:E$2)))))</f>
        <v> </v>
      </c>
      <c r="J5399" s="25" t="str">
        <f>IF(OR(E5399="",E5399="!!!",F5399="NEW"),"",COUNTBLANK(OFFSET(A$1,,,SUMPRODUCT(MAX(ROW(E$2:E5399)*(E5399=E$2:E5399)))))-COUNTBLANK(OFFSET(A$1,,,SUMPRODUCT(MAX(ROW(E$1:E5398)*(E2=E$1:E5398))))))</f>
        <v> </v>
      </c>
      <c r="K5399" s="25" t="str">
        <f>IF(OR(E5399="",E5399="!!!",F5399="NEW"),"",INDEX(J$1:J5398,SUMPRODUCT(MAX(ROW(E$1:E5398)*(E5399=E$1:E5398)))))</f>
        <v> </v>
      </c>
      <c r="L5399" s="26"/>
    </row>
    <row r="5400" spans="1:12">
      <c r="A5400" s="20" t="s">
        <v>1032</v>
      </c>
      <c r="E5400" s="21">
        <f>IF(D5400="?OLD","!!!","")</f>
        <v/>
      </c>
      <c r="F5400" s="22" t="str">
        <f>IF(OR(E5400="",E5400="!!!"),"",IF(NOT(ISNA(VLOOKUP(E5400,E$1:E5399,1,FALSE()))),"OLD",IF(AND(E5400&lt;&gt;"",E5400&lt;&gt;"!!!"),"NEW","")))</f>
        <v> </v>
      </c>
      <c r="G5400" s="23" t="str">
        <f>IF(OR(E5400="",E5400="!!!"),"",IF(OR(J5400=0,AND(J5400=1,K5400=1),AND(J5400=1,I5400="SBJ"),AND(J5400=1,I5400=0)),"?IN_FOCUS",IF(J5400&lt;=2,"?ACTIVATED",IF(J5400&lt;&gt;"","?FAMILIAR",IF(F5400="NEW",IF(ISNA(VLOOKUP(E5400,#REF!,1,FALSE())),"?TYPE_IDENTIFIABLE","?REFERENTIAL"),"_")))))</f>
        <v> </v>
      </c>
      <c r="H5400" s="24" t="str">
        <f>IF(J5400&lt;&gt;1,"",IF(I5400="SBJ","CB","?"))</f>
        <v> </v>
      </c>
      <c r="I5400" s="25" t="str">
        <f>IF(OR(E5400="",E5400="!!!",F5400="NEW"),"",INDEX(B5399:B$2,-1+SUMPRODUCT(MAX(ROW(E5399:E$2)*(E5400=E5399:E$2)))))</f>
        <v> </v>
      </c>
      <c r="J5400" s="25" t="str">
        <f>IF(OR(E5400="",E5400="!!!",F5400="NEW"),"",COUNTBLANK(OFFSET(A$1,,,SUMPRODUCT(MAX(ROW(E$2:E5400)*(E5400=E$2:E5400)))))-COUNTBLANK(OFFSET(A$1,,,SUMPRODUCT(MAX(ROW(E$1:E5399)*(E2=E$1:E5399))))))</f>
        <v> </v>
      </c>
      <c r="K5400" s="25" t="str">
        <f>IF(OR(E5400="",E5400="!!!",F5400="NEW"),"",INDEX(J$1:J5399,SUMPRODUCT(MAX(ROW(E$1:E5399)*(E5400=E$1:E5399)))))</f>
        <v> </v>
      </c>
      <c r="L5400" s="26"/>
    </row>
    <row r="5401" spans="1:12">
      <c r="A5401" s="20" t="s">
        <v>2456</v>
      </c>
      <c r="E5401" s="21">
        <f>IF(D5401="?OLD","!!!","")</f>
        <v/>
      </c>
      <c r="F5401" s="22" t="str">
        <f>IF(OR(E5401="",E5401="!!!"),"",IF(NOT(ISNA(VLOOKUP(E5401,E$1:E5400,1,FALSE()))),"OLD",IF(AND(E5401&lt;&gt;"",E5401&lt;&gt;"!!!"),"NEW","")))</f>
        <v> </v>
      </c>
      <c r="G5401" s="23" t="str">
        <f>IF(OR(E5401="",E5401="!!!"),"",IF(OR(J5401=0,AND(J5401=1,K5401=1),AND(J5401=1,I5401="SBJ"),AND(J5401=1,I5401=0)),"?IN_FOCUS",IF(J5401&lt;=2,"?ACTIVATED",IF(J5401&lt;&gt;"","?FAMILIAR",IF(F5401="NEW",IF(ISNA(VLOOKUP(E5401,#REF!,1,FALSE())),"?TYPE_IDENTIFIABLE","?REFERENTIAL"),"_")))))</f>
        <v> </v>
      </c>
      <c r="H5401" s="24" t="str">
        <f>IF(J5401&lt;&gt;1,"",IF(I5401="SBJ","CB","?"))</f>
        <v> </v>
      </c>
      <c r="I5401" s="25" t="str">
        <f>IF(OR(E5401="",E5401="!!!",F5401="NEW"),"",INDEX(B5400:B$2,-1+SUMPRODUCT(MAX(ROW(E5400:E$2)*(E5401=E5400:E$2)))))</f>
        <v> </v>
      </c>
      <c r="J5401" s="25" t="str">
        <f>IF(OR(E5401="",E5401="!!!",F5401="NEW"),"",COUNTBLANK(OFFSET(A$1,,,SUMPRODUCT(MAX(ROW(E$2:E5401)*(E5401=E$2:E5401)))))-COUNTBLANK(OFFSET(A$1,,,SUMPRODUCT(MAX(ROW(E$1:E5400)*(E2=E$1:E5400))))))</f>
        <v> </v>
      </c>
      <c r="K5401" s="25" t="str">
        <f>IF(OR(E5401="",E5401="!!!",F5401="NEW"),"",INDEX(J$1:J5400,SUMPRODUCT(MAX(ROW(E$1:E5400)*(E5401=E$1:E5400)))))</f>
        <v> </v>
      </c>
      <c r="L5401" s="26"/>
    </row>
    <row r="5402" spans="1:12">
      <c r="A5402" s="20" t="s">
        <v>2457</v>
      </c>
      <c r="B5402" s="27" t="s">
        <v>1053</v>
      </c>
      <c r="C5402" s="27" t="s">
        <v>974</v>
      </c>
      <c r="E5402" s="21">
        <f>IF(D5402="?OLD","!!!","")</f>
        <v/>
      </c>
      <c r="F5402" s="22" t="str">
        <f>IF(OR(E5402="",E5402="!!!"),"",IF(NOT(ISNA(VLOOKUP(E5402,E$1:E5401,1,FALSE()))),"OLD",IF(AND(E5402&lt;&gt;"",E5402&lt;&gt;"!!!"),"NEW","")))</f>
        <v> </v>
      </c>
      <c r="G5402" s="23" t="str">
        <f>IF(OR(E5402="",E5402="!!!"),"",IF(OR(J5402=0,AND(J5402=1,K5402=1),AND(J5402=1,I5402="SBJ"),AND(J5402=1,I5402=0)),"?IN_FOCUS",IF(J5402&lt;=2,"?ACTIVATED",IF(J5402&lt;&gt;"","?FAMILIAR",IF(F5402="NEW",IF(ISNA(VLOOKUP(E5402,#REF!,1,FALSE())),"?TYPE_IDENTIFIABLE","?REFERENTIAL"),"_")))))</f>
        <v> </v>
      </c>
      <c r="H5402" s="24" t="str">
        <f>IF(J5402&lt;&gt;1,"",IF(I5402="SBJ","CB","?"))</f>
        <v> </v>
      </c>
      <c r="I5402" s="25" t="str">
        <f>IF(OR(E5402="",E5402="!!!",F5402="NEW"),"",INDEX(B5401:B$2,-1+SUMPRODUCT(MAX(ROW(E5401:E$2)*(E5402=E5401:E$2)))))</f>
        <v> </v>
      </c>
      <c r="J5402" s="25" t="str">
        <f>IF(OR(E5402="",E5402="!!!",F5402="NEW"),"",COUNTBLANK(OFFSET(A$1,,,SUMPRODUCT(MAX(ROW(E$2:E5402)*(E5402=E$2:E5402)))))-COUNTBLANK(OFFSET(A$1,,,SUMPRODUCT(MAX(ROW(E$1:E5401)*(E2=E$1:E5401))))))</f>
        <v> </v>
      </c>
      <c r="K5402" s="25" t="str">
        <f>IF(OR(E5402="",E5402="!!!",F5402="NEW"),"",INDEX(J$1:J5401,SUMPRODUCT(MAX(ROW(E$1:E5401)*(E5402=E$1:E5401)))))</f>
        <v> </v>
      </c>
      <c r="L5402" s="26"/>
    </row>
    <row r="5403" spans="1:12">
      <c r="A5403" s="20" t="s">
        <v>991</v>
      </c>
      <c r="E5403" s="21">
        <f>IF(D5403="?OLD","!!!","")</f>
        <v/>
      </c>
      <c r="F5403" s="22" t="str">
        <f>IF(OR(E5403="",E5403="!!!"),"",IF(NOT(ISNA(VLOOKUP(E5403,E$1:E5402,1,FALSE()))),"OLD",IF(AND(E5403&lt;&gt;"",E5403&lt;&gt;"!!!"),"NEW","")))</f>
        <v> </v>
      </c>
      <c r="G5403" s="23" t="str">
        <f>IF(OR(E5403="",E5403="!!!"),"",IF(OR(J5403=0,AND(J5403=1,K5403=1),AND(J5403=1,I5403="SBJ"),AND(J5403=1,I5403=0)),"?IN_FOCUS",IF(J5403&lt;=2,"?ACTIVATED",IF(J5403&lt;&gt;"","?FAMILIAR",IF(F5403="NEW",IF(ISNA(VLOOKUP(E5403,#REF!,1,FALSE())),"?TYPE_IDENTIFIABLE","?REFERENTIAL"),"_")))))</f>
        <v> </v>
      </c>
      <c r="H5403" s="24" t="str">
        <f>IF(J5403&lt;&gt;1,"",IF(I5403="SBJ","CB","?"))</f>
        <v> </v>
      </c>
      <c r="I5403" s="25" t="str">
        <f>IF(OR(E5403="",E5403="!!!",F5403="NEW"),"",INDEX(B5402:B$2,-1+SUMPRODUCT(MAX(ROW(E5402:E$2)*(E5403=E5402:E$2)))))</f>
        <v> </v>
      </c>
      <c r="J5403" s="25" t="str">
        <f>IF(OR(E5403="",E5403="!!!",F5403="NEW"),"",COUNTBLANK(OFFSET(A$1,,,SUMPRODUCT(MAX(ROW(E$2:E5403)*(E5403=E$2:E5403)))))-COUNTBLANK(OFFSET(A$1,,,SUMPRODUCT(MAX(ROW(E$1:E5402)*(E2=E$1:E5402))))))</f>
        <v> </v>
      </c>
      <c r="K5403" s="25" t="str">
        <f>IF(OR(E5403="",E5403="!!!",F5403="NEW"),"",INDEX(J$1:J5402,SUMPRODUCT(MAX(ROW(E$1:E5402)*(E5403=E$1:E5402)))))</f>
        <v> </v>
      </c>
      <c r="L5403" s="26"/>
    </row>
    <row r="5404" spans="1:12">
      <c r="A5404" s="20" t="s">
        <v>1032</v>
      </c>
      <c r="E5404" s="21">
        <f>IF(D5404="?OLD","!!!","")</f>
        <v/>
      </c>
      <c r="F5404" s="22" t="str">
        <f>IF(OR(E5404="",E5404="!!!"),"",IF(NOT(ISNA(VLOOKUP(E5404,E$1:E5403,1,FALSE()))),"OLD",IF(AND(E5404&lt;&gt;"",E5404&lt;&gt;"!!!"),"NEW","")))</f>
        <v> </v>
      </c>
      <c r="G5404" s="23" t="str">
        <f>IF(OR(E5404="",E5404="!!!"),"",IF(OR(J5404=0,AND(J5404=1,K5404=1),AND(J5404=1,I5404="SBJ"),AND(J5404=1,I5404=0)),"?IN_FOCUS",IF(J5404&lt;=2,"?ACTIVATED",IF(J5404&lt;&gt;"","?FAMILIAR",IF(F5404="NEW",IF(ISNA(VLOOKUP(E5404,#REF!,1,FALSE())),"?TYPE_IDENTIFIABLE","?REFERENTIAL"),"_")))))</f>
        <v> </v>
      </c>
      <c r="H5404" s="24" t="str">
        <f>IF(J5404&lt;&gt;1,"",IF(I5404="SBJ","CB","?"))</f>
        <v> </v>
      </c>
      <c r="I5404" s="25" t="str">
        <f>IF(OR(E5404="",E5404="!!!",F5404="NEW"),"",INDEX(B5403:B$2,-1+SUMPRODUCT(MAX(ROW(E5403:E$2)*(E5404=E5403:E$2)))))</f>
        <v> </v>
      </c>
      <c r="J5404" s="25" t="str">
        <f>IF(OR(E5404="",E5404="!!!",F5404="NEW"),"",COUNTBLANK(OFFSET(A$1,,,SUMPRODUCT(MAX(ROW(E$2:E5404)*(E5404=E$2:E5404)))))-COUNTBLANK(OFFSET(A$1,,,SUMPRODUCT(MAX(ROW(E$1:E5403)*(E2=E$1:E5403))))))</f>
        <v> </v>
      </c>
      <c r="K5404" s="25" t="str">
        <f>IF(OR(E5404="",E5404="!!!",F5404="NEW"),"",INDEX(J$1:J5403,SUMPRODUCT(MAX(ROW(E$1:E5403)*(E5404=E$1:E5403)))))</f>
        <v> </v>
      </c>
      <c r="L5404" s="26"/>
    </row>
    <row r="5405" spans="1:12">
      <c r="A5405" s="20" t="s">
        <v>2458</v>
      </c>
      <c r="E5405" s="21">
        <f>IF(D5405="?OLD","!!!","")</f>
        <v/>
      </c>
      <c r="F5405" s="22" t="str">
        <f>IF(OR(E5405="",E5405="!!!"),"",IF(NOT(ISNA(VLOOKUP(E5405,E$1:E5404,1,FALSE()))),"OLD",IF(AND(E5405&lt;&gt;"",E5405&lt;&gt;"!!!"),"NEW","")))</f>
        <v> </v>
      </c>
      <c r="G5405" s="23" t="str">
        <f>IF(OR(E5405="",E5405="!!!"),"",IF(OR(J5405=0,AND(J5405=1,K5405=1),AND(J5405=1,I5405="SBJ"),AND(J5405=1,I5405=0)),"?IN_FOCUS",IF(J5405&lt;=2,"?ACTIVATED",IF(J5405&lt;&gt;"","?FAMILIAR",IF(F5405="NEW",IF(ISNA(VLOOKUP(E5405,#REF!,1,FALSE())),"?TYPE_IDENTIFIABLE","?REFERENTIAL"),"_")))))</f>
        <v> </v>
      </c>
      <c r="H5405" s="24" t="str">
        <f>IF(J5405&lt;&gt;1,"",IF(I5405="SBJ","CB","?"))</f>
        <v> </v>
      </c>
      <c r="I5405" s="25" t="str">
        <f>IF(OR(E5405="",E5405="!!!",F5405="NEW"),"",INDEX(B5404:B$2,-1+SUMPRODUCT(MAX(ROW(E5404:E$2)*(E5405=E5404:E$2)))))</f>
        <v> </v>
      </c>
      <c r="J5405" s="25" t="str">
        <f>IF(OR(E5405="",E5405="!!!",F5405="NEW"),"",COUNTBLANK(OFFSET(A$1,,,SUMPRODUCT(MAX(ROW(E$2:E5405)*(E5405=E$2:E5405)))))-COUNTBLANK(OFFSET(A$1,,,SUMPRODUCT(MAX(ROW(E$1:E5404)*(E2=E$1:E5404))))))</f>
        <v> </v>
      </c>
      <c r="K5405" s="25" t="str">
        <f>IF(OR(E5405="",E5405="!!!",F5405="NEW"),"",INDEX(J$1:J5404,SUMPRODUCT(MAX(ROW(E$1:E5404)*(E5405=E$1:E5404)))))</f>
        <v> </v>
      </c>
      <c r="L5405" s="26"/>
    </row>
    <row r="5406" spans="1:12">
      <c r="A5406" s="20" t="s">
        <v>2459</v>
      </c>
      <c r="B5406" s="27" t="s">
        <v>978</v>
      </c>
      <c r="C5406" s="27" t="s">
        <v>974</v>
      </c>
      <c r="E5406" s="21">
        <f>IF(D5406="?OLD","!!!","")</f>
        <v/>
      </c>
      <c r="F5406" s="22" t="str">
        <f>IF(OR(E5406="",E5406="!!!"),"",IF(NOT(ISNA(VLOOKUP(E5406,E$1:E5405,1,FALSE()))),"OLD",IF(AND(E5406&lt;&gt;"",E5406&lt;&gt;"!!!"),"NEW","")))</f>
        <v> </v>
      </c>
      <c r="G5406" s="23" t="str">
        <f>IF(OR(E5406="",E5406="!!!"),"",IF(OR(J5406=0,AND(J5406=1,K5406=1),AND(J5406=1,I5406="SBJ"),AND(J5406=1,I5406=0)),"?IN_FOCUS",IF(J5406&lt;=2,"?ACTIVATED",IF(J5406&lt;&gt;"","?FAMILIAR",IF(F5406="NEW",IF(ISNA(VLOOKUP(E5406,#REF!,1,FALSE())),"?TYPE_IDENTIFIABLE","?REFERENTIAL"),"_")))))</f>
        <v> </v>
      </c>
      <c r="H5406" s="24" t="str">
        <f>IF(J5406&lt;&gt;1,"",IF(I5406="SBJ","CB","?"))</f>
        <v> </v>
      </c>
      <c r="I5406" s="25" t="str">
        <f>IF(OR(E5406="",E5406="!!!",F5406="NEW"),"",INDEX(B5405:B$2,-1+SUMPRODUCT(MAX(ROW(E5405:E$2)*(E5406=E5405:E$2)))))</f>
        <v> </v>
      </c>
      <c r="J5406" s="25" t="str">
        <f>IF(OR(E5406="",E5406="!!!",F5406="NEW"),"",COUNTBLANK(OFFSET(A$1,,,SUMPRODUCT(MAX(ROW(E$2:E5406)*(E5406=E$2:E5406)))))-COUNTBLANK(OFFSET(A$1,,,SUMPRODUCT(MAX(ROW(E$1:E5405)*(E2=E$1:E5405))))))</f>
        <v> </v>
      </c>
      <c r="K5406" s="25" t="str">
        <f>IF(OR(E5406="",E5406="!!!",F5406="NEW"),"",INDEX(J$1:J5405,SUMPRODUCT(MAX(ROW(E$1:E5405)*(E5406=E$1:E5405)))))</f>
        <v> </v>
      </c>
      <c r="L5406" s="26"/>
    </row>
    <row r="5407" spans="1:12">
      <c r="A5407" s="20" t="s">
        <v>991</v>
      </c>
      <c r="E5407" s="21">
        <f>IF(D5407="?OLD","!!!","")</f>
        <v/>
      </c>
      <c r="F5407" s="22" t="str">
        <f>IF(OR(E5407="",E5407="!!!"),"",IF(NOT(ISNA(VLOOKUP(E5407,E$1:E5406,1,FALSE()))),"OLD",IF(AND(E5407&lt;&gt;"",E5407&lt;&gt;"!!!"),"NEW","")))</f>
        <v> </v>
      </c>
      <c r="G5407" s="23" t="str">
        <f>IF(OR(E5407="",E5407="!!!"),"",IF(OR(J5407=0,AND(J5407=1,K5407=1),AND(J5407=1,I5407="SBJ"),AND(J5407=1,I5407=0)),"?IN_FOCUS",IF(J5407&lt;=2,"?ACTIVATED",IF(J5407&lt;&gt;"","?FAMILIAR",IF(F5407="NEW",IF(ISNA(VLOOKUP(E5407,#REF!,1,FALSE())),"?TYPE_IDENTIFIABLE","?REFERENTIAL"),"_")))))</f>
        <v> </v>
      </c>
      <c r="H5407" s="24" t="str">
        <f>IF(J5407&lt;&gt;1,"",IF(I5407="SBJ","CB","?"))</f>
        <v> </v>
      </c>
      <c r="I5407" s="25" t="str">
        <f>IF(OR(E5407="",E5407="!!!",F5407="NEW"),"",INDEX(B5406:B$2,-1+SUMPRODUCT(MAX(ROW(E5406:E$2)*(E5407=E5406:E$2)))))</f>
        <v> </v>
      </c>
      <c r="J5407" s="25" t="str">
        <f>IF(OR(E5407="",E5407="!!!",F5407="NEW"),"",COUNTBLANK(OFFSET(A$1,,,SUMPRODUCT(MAX(ROW(E$2:E5407)*(E5407=E$2:E5407)))))-COUNTBLANK(OFFSET(A$1,,,SUMPRODUCT(MAX(ROW(E$1:E5406)*(E2=E$1:E5406))))))</f>
        <v> </v>
      </c>
      <c r="K5407" s="25" t="str">
        <f>IF(OR(E5407="",E5407="!!!",F5407="NEW"),"",INDEX(J$1:J5406,SUMPRODUCT(MAX(ROW(E$1:E5406)*(E5407=E$1:E5406)))))</f>
        <v> </v>
      </c>
      <c r="L5407" s="26"/>
    </row>
    <row r="5408" spans="1:12">
      <c r="A5408" s="20" t="s">
        <v>1032</v>
      </c>
      <c r="E5408" s="21">
        <f>IF(D5408="?OLD","!!!","")</f>
        <v/>
      </c>
      <c r="F5408" s="22" t="str">
        <f>IF(OR(E5408="",E5408="!!!"),"",IF(NOT(ISNA(VLOOKUP(E5408,E$1:E5407,1,FALSE()))),"OLD",IF(AND(E5408&lt;&gt;"",E5408&lt;&gt;"!!!"),"NEW","")))</f>
        <v> </v>
      </c>
      <c r="G5408" s="23" t="str">
        <f>IF(OR(E5408="",E5408="!!!"),"",IF(OR(J5408=0,AND(J5408=1,K5408=1),AND(J5408=1,I5408="SBJ"),AND(J5408=1,I5408=0)),"?IN_FOCUS",IF(J5408&lt;=2,"?ACTIVATED",IF(J5408&lt;&gt;"","?FAMILIAR",IF(F5408="NEW",IF(ISNA(VLOOKUP(E5408,#REF!,1,FALSE())),"?TYPE_IDENTIFIABLE","?REFERENTIAL"),"_")))))</f>
        <v> </v>
      </c>
      <c r="H5408" s="24" t="str">
        <f>IF(J5408&lt;&gt;1,"",IF(I5408="SBJ","CB","?"))</f>
        <v> </v>
      </c>
      <c r="I5408" s="25" t="str">
        <f>IF(OR(E5408="",E5408="!!!",F5408="NEW"),"",INDEX(B5407:B$2,-1+SUMPRODUCT(MAX(ROW(E5407:E$2)*(E5408=E5407:E$2)))))</f>
        <v> </v>
      </c>
      <c r="J5408" s="25" t="str">
        <f>IF(OR(E5408="",E5408="!!!",F5408="NEW"),"",COUNTBLANK(OFFSET(A$1,,,SUMPRODUCT(MAX(ROW(E$2:E5408)*(E5408=E$2:E5408)))))-COUNTBLANK(OFFSET(A$1,,,SUMPRODUCT(MAX(ROW(E$1:E5407)*(E2=E$1:E5407))))))</f>
        <v> </v>
      </c>
      <c r="K5408" s="25" t="str">
        <f>IF(OR(E5408="",E5408="!!!",F5408="NEW"),"",INDEX(J$1:J5407,SUMPRODUCT(MAX(ROW(E$1:E5407)*(E5408=E$1:E5407)))))</f>
        <v> </v>
      </c>
      <c r="L5408" s="26"/>
    </row>
    <row r="5409" spans="1:12">
      <c r="A5409" s="20" t="s">
        <v>2460</v>
      </c>
      <c r="B5409" s="27" t="s">
        <v>978</v>
      </c>
      <c r="C5409" s="27" t="s">
        <v>974</v>
      </c>
      <c r="E5409" s="21">
        <f>IF(D5409="?OLD","!!!","")</f>
        <v/>
      </c>
      <c r="F5409" s="22" t="str">
        <f>IF(OR(E5409="",E5409="!!!"),"",IF(NOT(ISNA(VLOOKUP(E5409,E$1:E5408,1,FALSE()))),"OLD",IF(AND(E5409&lt;&gt;"",E5409&lt;&gt;"!!!"),"NEW","")))</f>
        <v> </v>
      </c>
      <c r="G5409" s="23" t="str">
        <f>IF(OR(E5409="",E5409="!!!"),"",IF(OR(J5409=0,AND(J5409=1,K5409=1),AND(J5409=1,I5409="SBJ"),AND(J5409=1,I5409=0)),"?IN_FOCUS",IF(J5409&lt;=2,"?ACTIVATED",IF(J5409&lt;&gt;"","?FAMILIAR",IF(F5409="NEW",IF(ISNA(VLOOKUP(E5409,#REF!,1,FALSE())),"?TYPE_IDENTIFIABLE","?REFERENTIAL"),"_")))))</f>
        <v> </v>
      </c>
      <c r="H5409" s="24" t="str">
        <f>IF(J5409&lt;&gt;1,"",IF(I5409="SBJ","CB","?"))</f>
        <v> </v>
      </c>
      <c r="I5409" s="25" t="str">
        <f>IF(OR(E5409="",E5409="!!!",F5409="NEW"),"",INDEX(B5408:B$2,-1+SUMPRODUCT(MAX(ROW(E5408:E$2)*(E5409=E5408:E$2)))))</f>
        <v> </v>
      </c>
      <c r="J5409" s="25" t="str">
        <f>IF(OR(E5409="",E5409="!!!",F5409="NEW"),"",COUNTBLANK(OFFSET(A$1,,,SUMPRODUCT(MAX(ROW(E$2:E5409)*(E5409=E$2:E5409)))))-COUNTBLANK(OFFSET(A$1,,,SUMPRODUCT(MAX(ROW(E$1:E5408)*(E2=E$1:E5408))))))</f>
        <v> </v>
      </c>
      <c r="K5409" s="25" t="str">
        <f>IF(OR(E5409="",E5409="!!!",F5409="NEW"),"",INDEX(J$1:J5408,SUMPRODUCT(MAX(ROW(E$1:E5408)*(E5409=E$1:E5408)))))</f>
        <v> </v>
      </c>
      <c r="L5409" s="26"/>
    </row>
    <row r="5410" spans="1:12">
      <c r="A5410" s="20" t="s">
        <v>1005</v>
      </c>
      <c r="E5410" s="21">
        <f>IF(D5410="?OLD","!!!","")</f>
        <v/>
      </c>
      <c r="F5410" s="22" t="str">
        <f>IF(OR(E5410="",E5410="!!!"),"",IF(NOT(ISNA(VLOOKUP(E5410,E$1:E5409,1,FALSE()))),"OLD",IF(AND(E5410&lt;&gt;"",E5410&lt;&gt;"!!!"),"NEW","")))</f>
        <v> </v>
      </c>
      <c r="G5410" s="23" t="str">
        <f>IF(OR(E5410="",E5410="!!!"),"",IF(OR(J5410=0,AND(J5410=1,K5410=1),AND(J5410=1,I5410="SBJ"),AND(J5410=1,I5410=0)),"?IN_FOCUS",IF(J5410&lt;=2,"?ACTIVATED",IF(J5410&lt;&gt;"","?FAMILIAR",IF(F5410="NEW",IF(ISNA(VLOOKUP(E5410,#REF!,1,FALSE())),"?TYPE_IDENTIFIABLE","?REFERENTIAL"),"_")))))</f>
        <v> </v>
      </c>
      <c r="H5410" s="24" t="str">
        <f>IF(J5410&lt;&gt;1,"",IF(I5410="SBJ","CB","?"))</f>
        <v> </v>
      </c>
      <c r="I5410" s="25" t="str">
        <f>IF(OR(E5410="",E5410="!!!",F5410="NEW"),"",INDEX(B5409:B$2,-1+SUMPRODUCT(MAX(ROW(E5409:E$2)*(E5410=E5409:E$2)))))</f>
        <v> </v>
      </c>
      <c r="J5410" s="25" t="str">
        <f>IF(OR(E5410="",E5410="!!!",F5410="NEW"),"",COUNTBLANK(OFFSET(A$1,,,SUMPRODUCT(MAX(ROW(E$2:E5410)*(E5410=E$2:E5410)))))-COUNTBLANK(OFFSET(A$1,,,SUMPRODUCT(MAX(ROW(E$1:E5409)*(E2=E$1:E5409))))))</f>
        <v> </v>
      </c>
      <c r="K5410" s="25" t="str">
        <f>IF(OR(E5410="",E5410="!!!",F5410="NEW"),"",INDEX(J$1:J5409,SUMPRODUCT(MAX(ROW(E$1:E5409)*(E5410=E$1:E5409)))))</f>
        <v> </v>
      </c>
      <c r="L5410" s="26"/>
    </row>
    <row r="5411" spans="1:12">
      <c r="A5411" s="20"/>
    </row>
    <row r="5412" spans="1:12">
      <c r="A5412" s="20" t="s">
        <v>2461</v>
      </c>
    </row>
    <row r="5413" spans="1:12">
      <c r="A5413" s="20" t="s">
        <v>1620</v>
      </c>
      <c r="E5413" s="21">
        <f>IF(D5413="?OLD","!!!","")</f>
        <v/>
      </c>
      <c r="F5413" s="22" t="str">
        <f>IF(OR(E5413="",E5413="!!!"),"",IF(NOT(ISNA(VLOOKUP(E5413,E$1:E5412,1,FALSE()))),"OLD",IF(AND(E5413&lt;&gt;"",E5413&lt;&gt;"!!!"),"NEW","")))</f>
        <v> </v>
      </c>
      <c r="G5413" s="23" t="str">
        <f>IF(OR(E5413="",E5413="!!!"),"",IF(OR(J5413=0,AND(J5413=1,K5413=1),AND(J5413=1,I5413="SBJ"),AND(J5413=1,I5413=0)),"?IN_FOCUS",IF(J5413&lt;=2,"?ACTIVATED",IF(J5413&lt;&gt;"","?FAMILIAR",IF(F5413="NEW",IF(ISNA(VLOOKUP(E5413,#REF!,1,FALSE())),"?TYPE_IDENTIFIABLE","?REFERENTIAL"),"_")))))</f>
        <v> </v>
      </c>
      <c r="H5413" s="24" t="str">
        <f>IF(J5413&lt;&gt;1,"",IF(I5413="SBJ","CB","?"))</f>
        <v> </v>
      </c>
      <c r="I5413" s="25" t="str">
        <f>IF(OR(E5413="",E5413="!!!",F5413="NEW"),"",INDEX(B5412:B$2,-1+SUMPRODUCT(MAX(ROW(E5412:E$2)*(E5413=E5412:E$2)))))</f>
        <v> </v>
      </c>
      <c r="J5413" s="25" t="str">
        <f>IF(OR(E5413="",E5413="!!!",F5413="NEW"),"",COUNTBLANK(OFFSET(A$1,,,SUMPRODUCT(MAX(ROW(E$2:E5413)*(E5413=E$2:E5413)))))-COUNTBLANK(OFFSET(A$1,,,SUMPRODUCT(MAX(ROW(E$1:E5412)*(E2=E$1:E5412))))))</f>
        <v> </v>
      </c>
      <c r="K5413" s="25" t="str">
        <f>IF(OR(E5413="",E5413="!!!",F5413="NEW"),"",INDEX(J$1:J5412,SUMPRODUCT(MAX(ROW(E$1:E5412)*(E5413=E$1:E5412)))))</f>
        <v> </v>
      </c>
      <c r="L5413" s="26"/>
    </row>
    <row r="5414" spans="1:12">
      <c r="A5414" s="20" t="s">
        <v>1139</v>
      </c>
      <c r="B5414" s="27" t="s">
        <v>978</v>
      </c>
      <c r="C5414" s="27" t="s">
        <v>1102</v>
      </c>
      <c r="D5414" s="27" t="s">
        <v>969</v>
      </c>
      <c r="E5414" s="21">
        <f>IF(D5414="?OLD","!!!","")</f>
        <v/>
      </c>
      <c r="F5414" s="22" t="str">
        <f>IF(OR(E5414="",E5414="!!!"),"",IF(NOT(ISNA(VLOOKUP(E5414,E$1:E5413,1,FALSE()))),"OLD",IF(AND(E5414&lt;&gt;"",E5414&lt;&gt;"!!!"),"NEW","")))</f>
        <v> </v>
      </c>
      <c r="G5414" s="23" t="str">
        <f>IF(OR(E5414="",E5414="!!!"),"",IF(OR(J5414=0,AND(J5414=1,K5414=1),AND(J5414=1,I5414="SBJ"),AND(J5414=1,I5414=0)),"?IN_FOCUS",IF(J5414&lt;=2,"?ACTIVATED",IF(J5414&lt;&gt;"","?FAMILIAR",IF(F5414="NEW",IF(ISNA(VLOOKUP(E5414,#REF!,1,FALSE())),"?TYPE_IDENTIFIABLE","?REFERENTIAL"),"_")))))</f>
        <v> </v>
      </c>
      <c r="H5414" s="24" t="str">
        <f>IF(J5414&lt;&gt;1,"",IF(I5414="SBJ","CB","?"))</f>
        <v> </v>
      </c>
      <c r="I5414" s="25" t="str">
        <f>IF(OR(E5414="",E5414="!!!",F5414="NEW"),"",INDEX(B5413:B$2,-1+SUMPRODUCT(MAX(ROW(E5413:E$2)*(E5414=E5413:E$2)))))</f>
        <v> </v>
      </c>
      <c r="J5414" s="25" t="str">
        <f>IF(OR(E5414="",E5414="!!!",F5414="NEW"),"",COUNTBLANK(OFFSET(A$1,,,SUMPRODUCT(MAX(ROW(E$2:E5414)*(E5414=E$2:E5414)))))-COUNTBLANK(OFFSET(A$1,,,SUMPRODUCT(MAX(ROW(E$1:E5413)*(E2=E$1:E5413))))))</f>
        <v> </v>
      </c>
      <c r="K5414" s="25" t="str">
        <f>IF(OR(E5414="",E5414="!!!",F5414="NEW"),"",INDEX(J$1:J5413,SUMPRODUCT(MAX(ROW(E$1:E5413)*(E5414=E$1:E5413)))))</f>
        <v> </v>
      </c>
      <c r="L5414" s="26"/>
    </row>
    <row r="5415" spans="1:12">
      <c r="A5415" s="20" t="s">
        <v>1438</v>
      </c>
      <c r="B5415" s="27" t="s">
        <v>1053</v>
      </c>
      <c r="C5415" s="27" t="s">
        <v>1141</v>
      </c>
      <c r="D5415" s="27" t="s">
        <v>969</v>
      </c>
      <c r="E5415" s="21">
        <f>IF(D5415="?OLD","!!!","")</f>
        <v/>
      </c>
      <c r="F5415" s="22" t="str">
        <f>IF(OR(E5415="",E5415="!!!"),"",IF(NOT(ISNA(VLOOKUP(E5415,E$1:E5414,1,FALSE()))),"OLD",IF(AND(E5415&lt;&gt;"",E5415&lt;&gt;"!!!"),"NEW","")))</f>
        <v> </v>
      </c>
      <c r="G5415" s="23" t="str">
        <f>IF(OR(E5415="",E5415="!!!"),"",IF(OR(J5415=0,AND(J5415=1,K5415=1),AND(J5415=1,I5415="SBJ"),AND(J5415=1,I5415=0)),"?IN_FOCUS",IF(J5415&lt;=2,"?ACTIVATED",IF(J5415&lt;&gt;"","?FAMILIAR",IF(F5415="NEW",IF(ISNA(VLOOKUP(E5415,#REF!,1,FALSE())),"?TYPE_IDENTIFIABLE","?REFERENTIAL"),"_")))))</f>
        <v> </v>
      </c>
      <c r="H5415" s="24" t="str">
        <f>IF(J5415&lt;&gt;1,"",IF(I5415="SBJ","CB","?"))</f>
        <v> </v>
      </c>
      <c r="I5415" s="25" t="str">
        <f>IF(OR(E5415="",E5415="!!!",F5415="NEW"),"",INDEX(B5414:B$2,-1+SUMPRODUCT(MAX(ROW(E5414:E$2)*(E5415=E5414:E$2)))))</f>
        <v> </v>
      </c>
      <c r="J5415" s="25" t="str">
        <f>IF(OR(E5415="",E5415="!!!",F5415="NEW"),"",COUNTBLANK(OFFSET(A$1,,,SUMPRODUCT(MAX(ROW(E$2:E5415)*(E5415=E$2:E5415)))))-COUNTBLANK(OFFSET(A$1,,,SUMPRODUCT(MAX(ROW(E$1:E5414)*(E2=E$1:E5414))))))</f>
        <v> </v>
      </c>
      <c r="K5415" s="25" t="str">
        <f>IF(OR(E5415="",E5415="!!!",F5415="NEW"),"",INDEX(J$1:J5414,SUMPRODUCT(MAX(ROW(E$1:E5414)*(E5415=E$1:E5414)))))</f>
        <v> </v>
      </c>
      <c r="L5415" s="26"/>
    </row>
    <row r="5416" spans="1:12">
      <c r="A5416" s="20" t="s">
        <v>1369</v>
      </c>
      <c r="E5416" s="21">
        <f>IF(D5416="?OLD","!!!","")</f>
        <v/>
      </c>
      <c r="F5416" s="22" t="str">
        <f>IF(OR(E5416="",E5416="!!!"),"",IF(NOT(ISNA(VLOOKUP(E5416,E$1:E5415,1,FALSE()))),"OLD",IF(AND(E5416&lt;&gt;"",E5416&lt;&gt;"!!!"),"NEW","")))</f>
        <v> </v>
      </c>
      <c r="G5416" s="23" t="str">
        <f>IF(OR(E5416="",E5416="!!!"),"",IF(OR(J5416=0,AND(J5416=1,K5416=1),AND(J5416=1,I5416="SBJ"),AND(J5416=1,I5416=0)),"?IN_FOCUS",IF(J5416&lt;=2,"?ACTIVATED",IF(J5416&lt;&gt;"","?FAMILIAR",IF(F5416="NEW",IF(ISNA(VLOOKUP(E5416,#REF!,1,FALSE())),"?TYPE_IDENTIFIABLE","?REFERENTIAL"),"_")))))</f>
        <v> </v>
      </c>
      <c r="H5416" s="24" t="str">
        <f>IF(J5416&lt;&gt;1,"",IF(I5416="SBJ","CB","?"))</f>
        <v> </v>
      </c>
      <c r="I5416" s="25" t="str">
        <f>IF(OR(E5416="",E5416="!!!",F5416="NEW"),"",INDEX(B5415:B$2,-1+SUMPRODUCT(MAX(ROW(E5415:E$2)*(E5416=E5415:E$2)))))</f>
        <v> </v>
      </c>
      <c r="J5416" s="25" t="str">
        <f>IF(OR(E5416="",E5416="!!!",F5416="NEW"),"",COUNTBLANK(OFFSET(A$1,,,SUMPRODUCT(MAX(ROW(E$2:E5416)*(E5416=E$2:E5416)))))-COUNTBLANK(OFFSET(A$1,,,SUMPRODUCT(MAX(ROW(E$1:E5415)*(E2=E$1:E5415))))))</f>
        <v> </v>
      </c>
      <c r="K5416" s="25" t="str">
        <f>IF(OR(E5416="",E5416="!!!",F5416="NEW"),"",INDEX(J$1:J5415,SUMPRODUCT(MAX(ROW(E$1:E5415)*(E5416=E$1:E5415)))))</f>
        <v> </v>
      </c>
      <c r="L5416" s="26"/>
    </row>
    <row r="5417" spans="1:12">
      <c r="A5417" s="20" t="s">
        <v>993</v>
      </c>
      <c r="B5417" s="27" t="s">
        <v>967</v>
      </c>
      <c r="C5417" s="27" t="s">
        <v>968</v>
      </c>
      <c r="D5417" s="27" t="s">
        <v>969</v>
      </c>
      <c r="E5417" s="21">
        <f>IF(D5417="?OLD","!!!","")</f>
        <v/>
      </c>
      <c r="F5417" s="22" t="str">
        <f>IF(OR(E5417="",E5417="!!!"),"",IF(NOT(ISNA(VLOOKUP(E5417,E$1:E5416,1,FALSE()))),"OLD",IF(AND(E5417&lt;&gt;"",E5417&lt;&gt;"!!!"),"NEW","")))</f>
        <v> </v>
      </c>
      <c r="G5417" s="23" t="str">
        <f>IF(OR(E5417="",E5417="!!!"),"",IF(OR(J5417=0,AND(J5417=1,K5417=1),AND(J5417=1,I5417="SBJ"),AND(J5417=1,I5417=0)),"?IN_FOCUS",IF(J5417&lt;=2,"?ACTIVATED",IF(J5417&lt;&gt;"","?FAMILIAR",IF(F5417="NEW",IF(ISNA(VLOOKUP(E5417,#REF!,1,FALSE())),"?TYPE_IDENTIFIABLE","?REFERENTIAL"),"_")))))</f>
        <v> </v>
      </c>
      <c r="H5417" s="24" t="str">
        <f>IF(J5417&lt;&gt;1,"",IF(I5417="SBJ","CB","?"))</f>
        <v> </v>
      </c>
      <c r="I5417" s="25" t="str">
        <f>IF(OR(E5417="",E5417="!!!",F5417="NEW"),"",INDEX(B5416:B$2,-1+SUMPRODUCT(MAX(ROW(E5416:E$2)*(E5417=E5416:E$2)))))</f>
        <v> </v>
      </c>
      <c r="J5417" s="25" t="str">
        <f>IF(OR(E5417="",E5417="!!!",F5417="NEW"),"",COUNTBLANK(OFFSET(A$1,,,SUMPRODUCT(MAX(ROW(E$2:E5417)*(E5417=E$2:E5417)))))-COUNTBLANK(OFFSET(A$1,,,SUMPRODUCT(MAX(ROW(E$1:E5416)*(E2=E$1:E5416))))))</f>
        <v> </v>
      </c>
      <c r="K5417" s="25" t="str">
        <f>IF(OR(E5417="",E5417="!!!",F5417="NEW"),"",INDEX(J$1:J5416,SUMPRODUCT(MAX(ROW(E$1:E5416)*(E5417=E$1:E5416)))))</f>
        <v> </v>
      </c>
      <c r="L5417" s="26"/>
    </row>
    <row r="5418" spans="1:12">
      <c r="A5418" s="20" t="s">
        <v>1689</v>
      </c>
      <c r="E5418" s="21">
        <f>IF(D5418="?OLD","!!!","")</f>
        <v/>
      </c>
      <c r="F5418" s="22" t="str">
        <f>IF(OR(E5418="",E5418="!!!"),"",IF(NOT(ISNA(VLOOKUP(E5418,E$1:E5417,1,FALSE()))),"OLD",IF(AND(E5418&lt;&gt;"",E5418&lt;&gt;"!!!"),"NEW","")))</f>
        <v> </v>
      </c>
      <c r="G5418" s="23" t="str">
        <f>IF(OR(E5418="",E5418="!!!"),"",IF(OR(J5418=0,AND(J5418=1,K5418=1),AND(J5418=1,I5418="SBJ"),AND(J5418=1,I5418=0)),"?IN_FOCUS",IF(J5418&lt;=2,"?ACTIVATED",IF(J5418&lt;&gt;"","?FAMILIAR",IF(F5418="NEW",IF(ISNA(VLOOKUP(E5418,#REF!,1,FALSE())),"?TYPE_IDENTIFIABLE","?REFERENTIAL"),"_")))))</f>
        <v> </v>
      </c>
      <c r="H5418" s="24" t="str">
        <f>IF(J5418&lt;&gt;1,"",IF(I5418="SBJ","CB","?"))</f>
        <v> </v>
      </c>
      <c r="I5418" s="25" t="str">
        <f>IF(OR(E5418="",E5418="!!!",F5418="NEW"),"",INDEX(B5417:B$2,-1+SUMPRODUCT(MAX(ROW(E5417:E$2)*(E5418=E5417:E$2)))))</f>
        <v> </v>
      </c>
      <c r="J5418" s="25" t="str">
        <f>IF(OR(E5418="",E5418="!!!",F5418="NEW"),"",COUNTBLANK(OFFSET(A$1,,,SUMPRODUCT(MAX(ROW(E$2:E5418)*(E5418=E$2:E5418)))))-COUNTBLANK(OFFSET(A$1,,,SUMPRODUCT(MAX(ROW(E$1:E5417)*(E2=E$1:E5417))))))</f>
        <v> </v>
      </c>
      <c r="K5418" s="25" t="str">
        <f>IF(OR(E5418="",E5418="!!!",F5418="NEW"),"",INDEX(J$1:J5417,SUMPRODUCT(MAX(ROW(E$1:E5417)*(E5418=E$1:E5417)))))</f>
        <v> </v>
      </c>
      <c r="L5418" s="26"/>
    </row>
    <row r="5419" spans="1:12">
      <c r="A5419" s="20" t="s">
        <v>1517</v>
      </c>
      <c r="E5419" s="21">
        <f>IF(D5419="?OLD","!!!","")</f>
        <v/>
      </c>
      <c r="F5419" s="22" t="str">
        <f>IF(OR(E5419="",E5419="!!!"),"",IF(NOT(ISNA(VLOOKUP(E5419,E$1:E5418,1,FALSE()))),"OLD",IF(AND(E5419&lt;&gt;"",E5419&lt;&gt;"!!!"),"NEW","")))</f>
        <v> </v>
      </c>
      <c r="G5419" s="23" t="str">
        <f>IF(OR(E5419="",E5419="!!!"),"",IF(OR(J5419=0,AND(J5419=1,K5419=1),AND(J5419=1,I5419="SBJ"),AND(J5419=1,I5419=0)),"?IN_FOCUS",IF(J5419&lt;=2,"?ACTIVATED",IF(J5419&lt;&gt;"","?FAMILIAR",IF(F5419="NEW",IF(ISNA(VLOOKUP(E5419,#REF!,1,FALSE())),"?TYPE_IDENTIFIABLE","?REFERENTIAL"),"_")))))</f>
        <v> </v>
      </c>
      <c r="H5419" s="24" t="str">
        <f>IF(J5419&lt;&gt;1,"",IF(I5419="SBJ","CB","?"))</f>
        <v> </v>
      </c>
      <c r="I5419" s="25" t="str">
        <f>IF(OR(E5419="",E5419="!!!",F5419="NEW"),"",INDEX(B5418:B$2,-1+SUMPRODUCT(MAX(ROW(E5418:E$2)*(E5419=E5418:E$2)))))</f>
        <v> </v>
      </c>
      <c r="J5419" s="25" t="str">
        <f>IF(OR(E5419="",E5419="!!!",F5419="NEW"),"",COUNTBLANK(OFFSET(A$1,,,SUMPRODUCT(MAX(ROW(E$2:E5419)*(E5419=E$2:E5419)))))-COUNTBLANK(OFFSET(A$1,,,SUMPRODUCT(MAX(ROW(E$1:E5418)*(E2=E$1:E5418))))))</f>
        <v> </v>
      </c>
      <c r="K5419" s="25" t="str">
        <f>IF(OR(E5419="",E5419="!!!",F5419="NEW"),"",INDEX(J$1:J5418,SUMPRODUCT(MAX(ROW(E$1:E5418)*(E5419=E$1:E5418)))))</f>
        <v> </v>
      </c>
      <c r="L5419" s="26"/>
    </row>
    <row r="5420" spans="1:12">
      <c r="A5420" s="20" t="s">
        <v>1005</v>
      </c>
      <c r="E5420" s="21">
        <f>IF(D5420="?OLD","!!!","")</f>
        <v/>
      </c>
      <c r="F5420" s="22" t="str">
        <f>IF(OR(E5420="",E5420="!!!"),"",IF(NOT(ISNA(VLOOKUP(E5420,E$1:E5419,1,FALSE()))),"OLD",IF(AND(E5420&lt;&gt;"",E5420&lt;&gt;"!!!"),"NEW","")))</f>
        <v> </v>
      </c>
      <c r="G5420" s="23" t="str">
        <f>IF(OR(E5420="",E5420="!!!"),"",IF(OR(J5420=0,AND(J5420=1,K5420=1),AND(J5420=1,I5420="SBJ"),AND(J5420=1,I5420=0)),"?IN_FOCUS",IF(J5420&lt;=2,"?ACTIVATED",IF(J5420&lt;&gt;"","?FAMILIAR",IF(F5420="NEW",IF(ISNA(VLOOKUP(E5420,#REF!,1,FALSE())),"?TYPE_IDENTIFIABLE","?REFERENTIAL"),"_")))))</f>
        <v> </v>
      </c>
      <c r="H5420" s="24" t="str">
        <f>IF(J5420&lt;&gt;1,"",IF(I5420="SBJ","CB","?"))</f>
        <v> </v>
      </c>
      <c r="I5420" s="25" t="str">
        <f>IF(OR(E5420="",E5420="!!!",F5420="NEW"),"",INDEX(B5419:B$2,-1+SUMPRODUCT(MAX(ROW(E5419:E$2)*(E5420=E5419:E$2)))))</f>
        <v> </v>
      </c>
      <c r="J5420" s="25" t="str">
        <f>IF(OR(E5420="",E5420="!!!",F5420="NEW"),"",COUNTBLANK(OFFSET(A$1,,,SUMPRODUCT(MAX(ROW(E$2:E5420)*(E5420=E$2:E5420)))))-COUNTBLANK(OFFSET(A$1,,,SUMPRODUCT(MAX(ROW(E$1:E5419)*(E2=E$1:E5419))))))</f>
        <v> </v>
      </c>
      <c r="K5420" s="25" t="str">
        <f>IF(OR(E5420="",E5420="!!!",F5420="NEW"),"",INDEX(J$1:J5419,SUMPRODUCT(MAX(ROW(E$1:E5419)*(E5420=E$1:E5419)))))</f>
        <v> </v>
      </c>
      <c r="L5420" s="26"/>
    </row>
    <row r="5421" spans="1:12">
      <c r="A5421" s="20"/>
    </row>
    <row r="5422" spans="1:12">
      <c r="A5422" s="20" t="s">
        <v>2462</v>
      </c>
    </row>
    <row r="5423" spans="1:12">
      <c r="A5423" s="20" t="s">
        <v>966</v>
      </c>
      <c r="B5423" s="27" t="s">
        <v>967</v>
      </c>
      <c r="C5423" s="27" t="s">
        <v>968</v>
      </c>
      <c r="D5423" s="27" t="s">
        <v>969</v>
      </c>
      <c r="E5423" s="21">
        <f>IF(D5423="?OLD","!!!","")</f>
        <v/>
      </c>
      <c r="F5423" s="22" t="str">
        <f>IF(OR(E5423="",E5423="!!!"),"",IF(NOT(ISNA(VLOOKUP(E5423,E$1:E5422,1,FALSE()))),"OLD",IF(AND(E5423&lt;&gt;"",E5423&lt;&gt;"!!!"),"NEW","")))</f>
        <v> </v>
      </c>
      <c r="G5423" s="23" t="str">
        <f>IF(OR(E5423="",E5423="!!!"),"",IF(OR(J5423=0,AND(J5423=1,K5423=1),AND(J5423=1,I5423="SBJ"),AND(J5423=1,I5423=0)),"?IN_FOCUS",IF(J5423&lt;=2,"?ACTIVATED",IF(J5423&lt;&gt;"","?FAMILIAR",IF(F5423="NEW",IF(ISNA(VLOOKUP(E5423,#REF!,1,FALSE())),"?TYPE_IDENTIFIABLE","?REFERENTIAL"),"_")))))</f>
        <v> </v>
      </c>
      <c r="H5423" s="24" t="str">
        <f>IF(J5423&lt;&gt;1,"",IF(I5423="SBJ","CB","?"))</f>
        <v> </v>
      </c>
      <c r="I5423" s="25" t="str">
        <f>IF(OR(E5423="",E5423="!!!",F5423="NEW"),"",INDEX(B5422:B$2,-1+SUMPRODUCT(MAX(ROW(E5422:E$2)*(E5423=E5422:E$2)))))</f>
        <v> </v>
      </c>
      <c r="J5423" s="25" t="str">
        <f>IF(OR(E5423="",E5423="!!!",F5423="NEW"),"",COUNTBLANK(OFFSET(A$1,,,SUMPRODUCT(MAX(ROW(E$2:E5423)*(E5423=E$2:E5423)))))-COUNTBLANK(OFFSET(A$1,,,SUMPRODUCT(MAX(ROW(E$1:E5422)*(E2=E$1:E5422))))))</f>
        <v> </v>
      </c>
      <c r="K5423" s="25" t="str">
        <f>IF(OR(E5423="",E5423="!!!",F5423="NEW"),"",INDEX(J$1:J5422,SUMPRODUCT(MAX(ROW(E$1:E5422)*(E5423=E$1:E5422)))))</f>
        <v> </v>
      </c>
      <c r="L5423" s="26"/>
    </row>
    <row r="5424" spans="1:12">
      <c r="A5424" s="20" t="s">
        <v>1850</v>
      </c>
      <c r="E5424" s="21">
        <f>IF(D5424="?OLD","!!!","")</f>
        <v/>
      </c>
      <c r="F5424" s="22" t="str">
        <f>IF(OR(E5424="",E5424="!!!"),"",IF(NOT(ISNA(VLOOKUP(E5424,E$1:E5423,1,FALSE()))),"OLD",IF(AND(E5424&lt;&gt;"",E5424&lt;&gt;"!!!"),"NEW","")))</f>
        <v> </v>
      </c>
      <c r="G5424" s="23" t="str">
        <f>IF(OR(E5424="",E5424="!!!"),"",IF(OR(J5424=0,AND(J5424=1,K5424=1),AND(J5424=1,I5424="SBJ"),AND(J5424=1,I5424=0)),"?IN_FOCUS",IF(J5424&lt;=2,"?ACTIVATED",IF(J5424&lt;&gt;"","?FAMILIAR",IF(F5424="NEW",IF(ISNA(VLOOKUP(E5424,#REF!,1,FALSE())),"?TYPE_IDENTIFIABLE","?REFERENTIAL"),"_")))))</f>
        <v> </v>
      </c>
      <c r="H5424" s="24" t="str">
        <f>IF(J5424&lt;&gt;1,"",IF(I5424="SBJ","CB","?"))</f>
        <v> </v>
      </c>
      <c r="I5424" s="25" t="str">
        <f>IF(OR(E5424="",E5424="!!!",F5424="NEW"),"",INDEX(B5423:B$2,-1+SUMPRODUCT(MAX(ROW(E5423:E$2)*(E5424=E5423:E$2)))))</f>
        <v> </v>
      </c>
      <c r="J5424" s="25" t="str">
        <f>IF(OR(E5424="",E5424="!!!",F5424="NEW"),"",COUNTBLANK(OFFSET(A$1,,,SUMPRODUCT(MAX(ROW(E$2:E5424)*(E5424=E$2:E5424)))))-COUNTBLANK(OFFSET(A$1,,,SUMPRODUCT(MAX(ROW(E$1:E5423)*(E2=E$1:E5423))))))</f>
        <v> </v>
      </c>
      <c r="K5424" s="25" t="str">
        <f>IF(OR(E5424="",E5424="!!!",F5424="NEW"),"",INDEX(J$1:J5423,SUMPRODUCT(MAX(ROW(E$1:E5423)*(E5424=E$1:E5423)))))</f>
        <v> </v>
      </c>
      <c r="L5424" s="26"/>
    </row>
    <row r="5425" spans="1:12">
      <c r="A5425" s="20" t="s">
        <v>1107</v>
      </c>
      <c r="B5425" s="27" t="s">
        <v>973</v>
      </c>
      <c r="E5425" s="21">
        <f>IF(D5425="?OLD","!!!","")</f>
        <v/>
      </c>
      <c r="F5425" s="22" t="str">
        <f>IF(OR(E5425="",E5425="!!!"),"",IF(NOT(ISNA(VLOOKUP(E5425,E$1:E5424,1,FALSE()))),"OLD",IF(AND(E5425&lt;&gt;"",E5425&lt;&gt;"!!!"),"NEW","")))</f>
        <v> </v>
      </c>
      <c r="G5425" s="23" t="str">
        <f>IF(OR(E5425="",E5425="!!!"),"",IF(OR(J5425=0,AND(J5425=1,K5425=1),AND(J5425=1,I5425="SBJ"),AND(J5425=1,I5425=0)),"?IN_FOCUS",IF(J5425&lt;=2,"?ACTIVATED",IF(J5425&lt;&gt;"","?FAMILIAR",IF(F5425="NEW",IF(ISNA(VLOOKUP(E5425,#REF!,1,FALSE())),"?TYPE_IDENTIFIABLE","?REFERENTIAL"),"_")))))</f>
        <v> </v>
      </c>
      <c r="H5425" s="24" t="str">
        <f>IF(J5425&lt;&gt;1,"",IF(I5425="SBJ","CB","?"))</f>
        <v> </v>
      </c>
      <c r="I5425" s="25" t="str">
        <f>IF(OR(E5425="",E5425="!!!",F5425="NEW"),"",INDEX(B5424:B$2,-1+SUMPRODUCT(MAX(ROW(E5424:E$2)*(E5425=E5424:E$2)))))</f>
        <v> </v>
      </c>
      <c r="J5425" s="25" t="str">
        <f>IF(OR(E5425="",E5425="!!!",F5425="NEW"),"",COUNTBLANK(OFFSET(A$1,,,SUMPRODUCT(MAX(ROW(E$2:E5425)*(E5425=E$2:E5425)))))-COUNTBLANK(OFFSET(A$1,,,SUMPRODUCT(MAX(ROW(E$1:E5424)*(E2=E$1:E5424))))))</f>
        <v> </v>
      </c>
      <c r="K5425" s="25" t="str">
        <f>IF(OR(E5425="",E5425="!!!",F5425="NEW"),"",INDEX(J$1:J5424,SUMPRODUCT(MAX(ROW(E$1:E5424)*(E5425=E$1:E5424)))))</f>
        <v> </v>
      </c>
      <c r="L5425" s="26"/>
    </row>
    <row r="5426" spans="1:12">
      <c r="A5426" s="20" t="s">
        <v>12</v>
      </c>
      <c r="E5426" s="21">
        <f>IF(D5426="?OLD","!!!","")</f>
        <v/>
      </c>
      <c r="F5426" s="22" t="str">
        <f>IF(OR(E5426="",E5426="!!!"),"",IF(NOT(ISNA(VLOOKUP(E5426,E$1:E5425,1,FALSE()))),"OLD",IF(AND(E5426&lt;&gt;"",E5426&lt;&gt;"!!!"),"NEW","")))</f>
        <v> </v>
      </c>
      <c r="G5426" s="23" t="str">
        <f>IF(OR(E5426="",E5426="!!!"),"",IF(OR(J5426=0,AND(J5426=1,K5426=1),AND(J5426=1,I5426="SBJ"),AND(J5426=1,I5426=0)),"?IN_FOCUS",IF(J5426&lt;=2,"?ACTIVATED",IF(J5426&lt;&gt;"","?FAMILIAR",IF(F5426="NEW",IF(ISNA(VLOOKUP(E5426,#REF!,1,FALSE())),"?TYPE_IDENTIFIABLE","?REFERENTIAL"),"_")))))</f>
        <v> </v>
      </c>
      <c r="H5426" s="24" t="str">
        <f>IF(J5426&lt;&gt;1,"",IF(I5426="SBJ","CB","?"))</f>
        <v> </v>
      </c>
      <c r="I5426" s="25" t="str">
        <f>IF(OR(E5426="",E5426="!!!",F5426="NEW"),"",INDEX(B5425:B$2,-1+SUMPRODUCT(MAX(ROW(E5425:E$2)*(E5426=E5425:E$2)))))</f>
        <v> </v>
      </c>
      <c r="J5426" s="25" t="str">
        <f>IF(OR(E5426="",E5426="!!!",F5426="NEW"),"",COUNTBLANK(OFFSET(A$1,,,SUMPRODUCT(MAX(ROW(E$2:E5426)*(E5426=E$2:E5426)))))-COUNTBLANK(OFFSET(A$1,,,SUMPRODUCT(MAX(ROW(E$1:E5425)*(E2=E$1:E5425))))))</f>
        <v> </v>
      </c>
      <c r="K5426" s="25" t="str">
        <f>IF(OR(E5426="",E5426="!!!",F5426="NEW"),"",INDEX(J$1:J5425,SUMPRODUCT(MAX(ROW(E$1:E5425)*(E5426=E$1:E5425)))))</f>
        <v> </v>
      </c>
      <c r="L5426" s="26"/>
    </row>
    <row r="5427" spans="1:12">
      <c r="A5427" s="20" t="s">
        <v>1177</v>
      </c>
      <c r="B5427" s="27" t="s">
        <v>1010</v>
      </c>
      <c r="C5427" s="27" t="s">
        <v>1011</v>
      </c>
      <c r="D5427" s="27" t="s">
        <v>969</v>
      </c>
      <c r="E5427" s="21">
        <f>IF(D5427="?OLD","!!!","")</f>
        <v/>
      </c>
      <c r="F5427" s="22" t="str">
        <f>IF(OR(E5427="",E5427="!!!"),"",IF(NOT(ISNA(VLOOKUP(E5427,E$1:E5426,1,FALSE()))),"OLD",IF(AND(E5427&lt;&gt;"",E5427&lt;&gt;"!!!"),"NEW","")))</f>
        <v> </v>
      </c>
      <c r="G5427" s="23" t="str">
        <f>IF(OR(E5427="",E5427="!!!"),"",IF(OR(J5427=0,AND(J5427=1,K5427=1),AND(J5427=1,I5427="SBJ"),AND(J5427=1,I5427=0)),"?IN_FOCUS",IF(J5427&lt;=2,"?ACTIVATED",IF(J5427&lt;&gt;"","?FAMILIAR",IF(F5427="NEW",IF(ISNA(VLOOKUP(E5427,#REF!,1,FALSE())),"?TYPE_IDENTIFIABLE","?REFERENTIAL"),"_")))))</f>
        <v> </v>
      </c>
      <c r="H5427" s="24" t="str">
        <f>IF(J5427&lt;&gt;1,"",IF(I5427="SBJ","CB","?"))</f>
        <v> </v>
      </c>
      <c r="I5427" s="25" t="str">
        <f>IF(OR(E5427="",E5427="!!!",F5427="NEW"),"",INDEX(B5426:B$2,-1+SUMPRODUCT(MAX(ROW(E5426:E$2)*(E5427=E5426:E$2)))))</f>
        <v> </v>
      </c>
      <c r="J5427" s="25" t="str">
        <f>IF(OR(E5427="",E5427="!!!",F5427="NEW"),"",COUNTBLANK(OFFSET(A$1,,,SUMPRODUCT(MAX(ROW(E$2:E5427)*(E5427=E$2:E5427)))))-COUNTBLANK(OFFSET(A$1,,,SUMPRODUCT(MAX(ROW(E$1:E5426)*(E2=E$1:E5426))))))</f>
        <v> </v>
      </c>
      <c r="K5427" s="25" t="str">
        <f>IF(OR(E5427="",E5427="!!!",F5427="NEW"),"",INDEX(J$1:J5426,SUMPRODUCT(MAX(ROW(E$1:E5426)*(E5427=E$1:E5426)))))</f>
        <v> </v>
      </c>
      <c r="L5427" s="26"/>
    </row>
    <row r="5428" spans="1:12">
      <c r="A5428" s="20" t="s">
        <v>1097</v>
      </c>
      <c r="E5428" s="21">
        <f>IF(D5428="?OLD","!!!","")</f>
        <v/>
      </c>
      <c r="F5428" s="22" t="str">
        <f>IF(OR(E5428="",E5428="!!!"),"",IF(NOT(ISNA(VLOOKUP(E5428,E$1:E5427,1,FALSE()))),"OLD",IF(AND(E5428&lt;&gt;"",E5428&lt;&gt;"!!!"),"NEW","")))</f>
        <v> </v>
      </c>
      <c r="G5428" s="23" t="str">
        <f>IF(OR(E5428="",E5428="!!!"),"",IF(OR(J5428=0,AND(J5428=1,K5428=1),AND(J5428=1,I5428="SBJ"),AND(J5428=1,I5428=0)),"?IN_FOCUS",IF(J5428&lt;=2,"?ACTIVATED",IF(J5428&lt;&gt;"","?FAMILIAR",IF(F5428="NEW",IF(ISNA(VLOOKUP(E5428,#REF!,1,FALSE())),"?TYPE_IDENTIFIABLE","?REFERENTIAL"),"_")))))</f>
        <v> </v>
      </c>
      <c r="H5428" s="24" t="str">
        <f>IF(J5428&lt;&gt;1,"",IF(I5428="SBJ","CB","?"))</f>
        <v> </v>
      </c>
      <c r="I5428" s="25" t="str">
        <f>IF(OR(E5428="",E5428="!!!",F5428="NEW"),"",INDEX(B5427:B$2,-1+SUMPRODUCT(MAX(ROW(E5427:E$2)*(E5428=E5427:E$2)))))</f>
        <v> </v>
      </c>
      <c r="J5428" s="25" t="str">
        <f>IF(OR(E5428="",E5428="!!!",F5428="NEW"),"",COUNTBLANK(OFFSET(A$1,,,SUMPRODUCT(MAX(ROW(E$2:E5428)*(E5428=E$2:E5428)))))-COUNTBLANK(OFFSET(A$1,,,SUMPRODUCT(MAX(ROW(E$1:E5427)*(E2=E$1:E5427))))))</f>
        <v> </v>
      </c>
      <c r="K5428" s="25" t="str">
        <f>IF(OR(E5428="",E5428="!!!",F5428="NEW"),"",INDEX(J$1:J5427,SUMPRODUCT(MAX(ROW(E$1:E5427)*(E5428=E$1:E5427)))))</f>
        <v> </v>
      </c>
      <c r="L5428" s="26"/>
    </row>
    <row r="5429" spans="1:12">
      <c r="A5429" s="20" t="s">
        <v>1024</v>
      </c>
      <c r="E5429" s="21">
        <f>IF(D5429="?OLD","!!!","")</f>
        <v/>
      </c>
      <c r="F5429" s="22" t="str">
        <f>IF(OR(E5429="",E5429="!!!"),"",IF(NOT(ISNA(VLOOKUP(E5429,E$1:E5428,1,FALSE()))),"OLD",IF(AND(E5429&lt;&gt;"",E5429&lt;&gt;"!!!"),"NEW","")))</f>
        <v> </v>
      </c>
      <c r="G5429" s="23" t="str">
        <f>IF(OR(E5429="",E5429="!!!"),"",IF(OR(J5429=0,AND(J5429=1,K5429=1),AND(J5429=1,I5429="SBJ"),AND(J5429=1,I5429=0)),"?IN_FOCUS",IF(J5429&lt;=2,"?ACTIVATED",IF(J5429&lt;&gt;"","?FAMILIAR",IF(F5429="NEW",IF(ISNA(VLOOKUP(E5429,#REF!,1,FALSE())),"?TYPE_IDENTIFIABLE","?REFERENTIAL"),"_")))))</f>
        <v> </v>
      </c>
      <c r="H5429" s="24" t="str">
        <f>IF(J5429&lt;&gt;1,"",IF(I5429="SBJ","CB","?"))</f>
        <v> </v>
      </c>
      <c r="I5429" s="25" t="str">
        <f>IF(OR(E5429="",E5429="!!!",F5429="NEW"),"",INDEX(B5428:B$2,-1+SUMPRODUCT(MAX(ROW(E5428:E$2)*(E5429=E5428:E$2)))))</f>
        <v> </v>
      </c>
      <c r="J5429" s="25" t="str">
        <f>IF(OR(E5429="",E5429="!!!",F5429="NEW"),"",COUNTBLANK(OFFSET(A$1,,,SUMPRODUCT(MAX(ROW(E$2:E5429)*(E5429=E$2:E5429)))))-COUNTBLANK(OFFSET(A$1,,,SUMPRODUCT(MAX(ROW(E$1:E5428)*(E2=E$1:E5428))))))</f>
        <v> </v>
      </c>
      <c r="K5429" s="25" t="str">
        <f>IF(OR(E5429="",E5429="!!!",F5429="NEW"),"",INDEX(J$1:J5428,SUMPRODUCT(MAX(ROW(E$1:E5428)*(E5429=E$1:E5428)))))</f>
        <v> </v>
      </c>
      <c r="L5429" s="26"/>
    </row>
    <row r="5430" spans="1:12">
      <c r="A5430" s="20" t="s">
        <v>2463</v>
      </c>
      <c r="B5430" s="27" t="s">
        <v>1053</v>
      </c>
      <c r="C5430" s="27" t="s">
        <v>979</v>
      </c>
      <c r="D5430" s="27" t="s">
        <v>969</v>
      </c>
      <c r="E5430" s="21">
        <f>IF(D5430="?OLD","!!!","")</f>
        <v/>
      </c>
      <c r="F5430" s="22" t="str">
        <f>IF(OR(E5430="",E5430="!!!"),"",IF(NOT(ISNA(VLOOKUP(E5430,E$1:E5429,1,FALSE()))),"OLD",IF(AND(E5430&lt;&gt;"",E5430&lt;&gt;"!!!"),"NEW","")))</f>
        <v> </v>
      </c>
      <c r="G5430" s="23" t="str">
        <f>IF(OR(E5430="",E5430="!!!"),"",IF(OR(J5430=0,AND(J5430=1,K5430=1),AND(J5430=1,I5430="SBJ"),AND(J5430=1,I5430=0)),"?IN_FOCUS",IF(J5430&lt;=2,"?ACTIVATED",IF(J5430&lt;&gt;"","?FAMILIAR",IF(F5430="NEW",IF(ISNA(VLOOKUP(E5430,#REF!,1,FALSE())),"?TYPE_IDENTIFIABLE","?REFERENTIAL"),"_")))))</f>
        <v> </v>
      </c>
      <c r="H5430" s="24" t="str">
        <f>IF(J5430&lt;&gt;1,"",IF(I5430="SBJ","CB","?"))</f>
        <v> </v>
      </c>
      <c r="I5430" s="25" t="str">
        <f>IF(OR(E5430="",E5430="!!!",F5430="NEW"),"",INDEX(B5429:B$2,-1+SUMPRODUCT(MAX(ROW(E5429:E$2)*(E5430=E5429:E$2)))))</f>
        <v> </v>
      </c>
      <c r="J5430" s="25" t="str">
        <f>IF(OR(E5430="",E5430="!!!",F5430="NEW"),"",COUNTBLANK(OFFSET(A$1,,,SUMPRODUCT(MAX(ROW(E$2:E5430)*(E5430=E$2:E5430)))))-COUNTBLANK(OFFSET(A$1,,,SUMPRODUCT(MAX(ROW(E$1:E5429)*(E2=E$1:E5429))))))</f>
        <v> </v>
      </c>
      <c r="K5430" s="25" t="str">
        <f>IF(OR(E5430="",E5430="!!!",F5430="NEW"),"",INDEX(J$1:J5429,SUMPRODUCT(MAX(ROW(E$1:E5429)*(E5430=E$1:E5429)))))</f>
        <v> </v>
      </c>
      <c r="L5430" s="26"/>
    </row>
    <row r="5431" spans="1:12">
      <c r="A5431" s="20" t="s">
        <v>1373</v>
      </c>
      <c r="E5431" s="21">
        <f>IF(D5431="?OLD","!!!","")</f>
        <v/>
      </c>
      <c r="F5431" s="22" t="str">
        <f>IF(OR(E5431="",E5431="!!!"),"",IF(NOT(ISNA(VLOOKUP(E5431,E$1:E5430,1,FALSE()))),"OLD",IF(AND(E5431&lt;&gt;"",E5431&lt;&gt;"!!!"),"NEW","")))</f>
        <v> </v>
      </c>
      <c r="G5431" s="23" t="str">
        <f>IF(OR(E5431="",E5431="!!!"),"",IF(OR(J5431=0,AND(J5431=1,K5431=1),AND(J5431=1,I5431="SBJ"),AND(J5431=1,I5431=0)),"?IN_FOCUS",IF(J5431&lt;=2,"?ACTIVATED",IF(J5431&lt;&gt;"","?FAMILIAR",IF(F5431="NEW",IF(ISNA(VLOOKUP(E5431,#REF!,1,FALSE())),"?TYPE_IDENTIFIABLE","?REFERENTIAL"),"_")))))</f>
        <v> </v>
      </c>
      <c r="H5431" s="24" t="str">
        <f>IF(J5431&lt;&gt;1,"",IF(I5431="SBJ","CB","?"))</f>
        <v> </v>
      </c>
      <c r="I5431" s="25" t="str">
        <f>IF(OR(E5431="",E5431="!!!",F5431="NEW"),"",INDEX(B5430:B$2,-1+SUMPRODUCT(MAX(ROW(E5430:E$2)*(E5431=E5430:E$2)))))</f>
        <v> </v>
      </c>
      <c r="J5431" s="25" t="str">
        <f>IF(OR(E5431="",E5431="!!!",F5431="NEW"),"",COUNTBLANK(OFFSET(A$1,,,SUMPRODUCT(MAX(ROW(E$2:E5431)*(E5431=E$2:E5431)))))-COUNTBLANK(OFFSET(A$1,,,SUMPRODUCT(MAX(ROW(E$1:E5430)*(E2=E$1:E5430))))))</f>
        <v> </v>
      </c>
      <c r="K5431" s="25" t="str">
        <f>IF(OR(E5431="",E5431="!!!",F5431="NEW"),"",INDEX(J$1:J5430,SUMPRODUCT(MAX(ROW(E$1:E5430)*(E5431=E$1:E5430)))))</f>
        <v> </v>
      </c>
      <c r="L5431" s="26"/>
    </row>
    <row r="5432" spans="1:12">
      <c r="A5432" s="20"/>
    </row>
    <row r="5433" spans="1:12">
      <c r="A5433" s="20" t="s">
        <v>2464</v>
      </c>
    </row>
    <row r="5434" spans="1:12">
      <c r="A5434" s="20" t="s">
        <v>2465</v>
      </c>
      <c r="E5434" s="21">
        <f>IF(D5434="?OLD","!!!","")</f>
        <v/>
      </c>
      <c r="F5434" s="22" t="str">
        <f>IF(OR(E5434="",E5434="!!!"),"",IF(NOT(ISNA(VLOOKUP(E5434,E$1:E5433,1,FALSE()))),"OLD",IF(AND(E5434&lt;&gt;"",E5434&lt;&gt;"!!!"),"NEW","")))</f>
        <v> </v>
      </c>
      <c r="G5434" s="23" t="str">
        <f>IF(OR(E5434="",E5434="!!!"),"",IF(OR(J5434=0,AND(J5434=1,K5434=1),AND(J5434=1,I5434="SBJ"),AND(J5434=1,I5434=0)),"?IN_FOCUS",IF(J5434&lt;=2,"?ACTIVATED",IF(J5434&lt;&gt;"","?FAMILIAR",IF(F5434="NEW",IF(ISNA(VLOOKUP(E5434,#REF!,1,FALSE())),"?TYPE_IDENTIFIABLE","?REFERENTIAL"),"_")))))</f>
        <v> </v>
      </c>
      <c r="H5434" s="24" t="str">
        <f>IF(J5434&lt;&gt;1,"",IF(I5434="SBJ","CB","?"))</f>
        <v> </v>
      </c>
      <c r="I5434" s="25" t="str">
        <f>IF(OR(E5434="",E5434="!!!",F5434="NEW"),"",INDEX(B5433:B$2,-1+SUMPRODUCT(MAX(ROW(E5433:E$2)*(E5434=E5433:E$2)))))</f>
        <v> </v>
      </c>
      <c r="J5434" s="25" t="str">
        <f>IF(OR(E5434="",E5434="!!!",F5434="NEW"),"",COUNTBLANK(OFFSET(A$1,,,SUMPRODUCT(MAX(ROW(E$2:E5434)*(E5434=E$2:E5434)))))-COUNTBLANK(OFFSET(A$1,,,SUMPRODUCT(MAX(ROW(E$1:E5433)*(E2=E$1:E5433))))))</f>
        <v> </v>
      </c>
      <c r="K5434" s="25" t="str">
        <f>IF(OR(E5434="",E5434="!!!",F5434="NEW"),"",INDEX(J$1:J5433,SUMPRODUCT(MAX(ROW(E$1:E5433)*(E5434=E$1:E5433)))))</f>
        <v> </v>
      </c>
      <c r="L5434" s="26"/>
    </row>
    <row r="5435" spans="1:12">
      <c r="A5435" s="20" t="s">
        <v>104</v>
      </c>
      <c r="E5435" s="21">
        <f>IF(D5435="?OLD","!!!","")</f>
        <v/>
      </c>
      <c r="F5435" s="22" t="str">
        <f>IF(OR(E5435="",E5435="!!!"),"",IF(NOT(ISNA(VLOOKUP(E5435,E$1:E5434,1,FALSE()))),"OLD",IF(AND(E5435&lt;&gt;"",E5435&lt;&gt;"!!!"),"NEW","")))</f>
        <v> </v>
      </c>
      <c r="G5435" s="23" t="str">
        <f>IF(OR(E5435="",E5435="!!!"),"",IF(OR(J5435=0,AND(J5435=1,K5435=1),AND(J5435=1,I5435="SBJ"),AND(J5435=1,I5435=0)),"?IN_FOCUS",IF(J5435&lt;=2,"?ACTIVATED",IF(J5435&lt;&gt;"","?FAMILIAR",IF(F5435="NEW",IF(ISNA(VLOOKUP(E5435,#REF!,1,FALSE())),"?TYPE_IDENTIFIABLE","?REFERENTIAL"),"_")))))</f>
        <v> </v>
      </c>
      <c r="H5435" s="24" t="str">
        <f>IF(J5435&lt;&gt;1,"",IF(I5435="SBJ","CB","?"))</f>
        <v> </v>
      </c>
      <c r="I5435" s="25" t="str">
        <f>IF(OR(E5435="",E5435="!!!",F5435="NEW"),"",INDEX(B5434:B$2,-1+SUMPRODUCT(MAX(ROW(E5434:E$2)*(E5435=E5434:E$2)))))</f>
        <v> </v>
      </c>
      <c r="J5435" s="25" t="str">
        <f>IF(OR(E5435="",E5435="!!!",F5435="NEW"),"",COUNTBLANK(OFFSET(A$1,,,SUMPRODUCT(MAX(ROW(E$2:E5435)*(E5435=E$2:E5435)))))-COUNTBLANK(OFFSET(A$1,,,SUMPRODUCT(MAX(ROW(E$1:E5434)*(E2=E$1:E5434))))))</f>
        <v> </v>
      </c>
      <c r="K5435" s="25" t="str">
        <f>IF(OR(E5435="",E5435="!!!",F5435="NEW"),"",INDEX(J$1:J5434,SUMPRODUCT(MAX(ROW(E$1:E5434)*(E5435=E$1:E5434)))))</f>
        <v> </v>
      </c>
      <c r="L5435" s="26"/>
    </row>
    <row r="5436" spans="1:12">
      <c r="A5436" s="20" t="s">
        <v>1024</v>
      </c>
      <c r="B5436" s="27" t="s">
        <v>973</v>
      </c>
      <c r="C5436" s="27" t="s">
        <v>1102</v>
      </c>
      <c r="D5436" s="27" t="s">
        <v>969</v>
      </c>
      <c r="E5436" s="21">
        <f>IF(D5436="?OLD","!!!","")</f>
        <v/>
      </c>
      <c r="F5436" s="22" t="str">
        <f>IF(OR(E5436="",E5436="!!!"),"",IF(NOT(ISNA(VLOOKUP(E5436,E$1:E5435,1,FALSE()))),"OLD",IF(AND(E5436&lt;&gt;"",E5436&lt;&gt;"!!!"),"NEW","")))</f>
        <v> </v>
      </c>
      <c r="G5436" s="23" t="str">
        <f>IF(OR(E5436="",E5436="!!!"),"",IF(OR(J5436=0,AND(J5436=1,K5436=1),AND(J5436=1,I5436="SBJ"),AND(J5436=1,I5436=0)),"?IN_FOCUS",IF(J5436&lt;=2,"?ACTIVATED",IF(J5436&lt;&gt;"","?FAMILIAR",IF(F5436="NEW",IF(ISNA(VLOOKUP(E5436,#REF!,1,FALSE())),"?TYPE_IDENTIFIABLE","?REFERENTIAL"),"_")))))</f>
        <v> </v>
      </c>
      <c r="H5436" s="24" t="str">
        <f>IF(J5436&lt;&gt;1,"",IF(I5436="SBJ","CB","?"))</f>
        <v> </v>
      </c>
      <c r="I5436" s="25" t="str">
        <f>IF(OR(E5436="",E5436="!!!",F5436="NEW"),"",INDEX(B5435:B$2,-1+SUMPRODUCT(MAX(ROW(E5435:E$2)*(E5436=E5435:E$2)))))</f>
        <v> </v>
      </c>
      <c r="J5436" s="25" t="str">
        <f>IF(OR(E5436="",E5436="!!!",F5436="NEW"),"",COUNTBLANK(OFFSET(A$1,,,SUMPRODUCT(MAX(ROW(E$2:E5436)*(E5436=E$2:E5436)))))-COUNTBLANK(OFFSET(A$1,,,SUMPRODUCT(MAX(ROW(E$1:E5435)*(E2=E$1:E5435))))))</f>
        <v> </v>
      </c>
      <c r="K5436" s="25" t="str">
        <f>IF(OR(E5436="",E5436="!!!",F5436="NEW"),"",INDEX(J$1:J5435,SUMPRODUCT(MAX(ROW(E$1:E5435)*(E5436=E$1:E5435)))))</f>
        <v> </v>
      </c>
      <c r="L5436" s="26"/>
    </row>
    <row r="5437" spans="1:12">
      <c r="A5437" s="20" t="s">
        <v>985</v>
      </c>
      <c r="E5437" s="21">
        <f>IF(D5437="?OLD","!!!","")</f>
        <v/>
      </c>
      <c r="F5437" s="22" t="str">
        <f>IF(OR(E5437="",E5437="!!!"),"",IF(NOT(ISNA(VLOOKUP(E5437,E$1:E5436,1,FALSE()))),"OLD",IF(AND(E5437&lt;&gt;"",E5437&lt;&gt;"!!!"),"NEW","")))</f>
        <v> </v>
      </c>
      <c r="G5437" s="23" t="str">
        <f>IF(OR(E5437="",E5437="!!!"),"",IF(OR(J5437=0,AND(J5437=1,K5437=1),AND(J5437=1,I5437="SBJ"),AND(J5437=1,I5437=0)),"?IN_FOCUS",IF(J5437&lt;=2,"?ACTIVATED",IF(J5437&lt;&gt;"","?FAMILIAR",IF(F5437="NEW",IF(ISNA(VLOOKUP(E5437,#REF!,1,FALSE())),"?TYPE_IDENTIFIABLE","?REFERENTIAL"),"_")))))</f>
        <v> </v>
      </c>
      <c r="H5437" s="24" t="str">
        <f>IF(J5437&lt;&gt;1,"",IF(I5437="SBJ","CB","?"))</f>
        <v> </v>
      </c>
      <c r="I5437" s="25" t="str">
        <f>IF(OR(E5437="",E5437="!!!",F5437="NEW"),"",INDEX(B5436:B$2,-1+SUMPRODUCT(MAX(ROW(E5436:E$2)*(E5437=E5436:E$2)))))</f>
        <v> </v>
      </c>
      <c r="J5437" s="25" t="str">
        <f>IF(OR(E5437="",E5437="!!!",F5437="NEW"),"",COUNTBLANK(OFFSET(A$1,,,SUMPRODUCT(MAX(ROW(E$2:E5437)*(E5437=E$2:E5437)))))-COUNTBLANK(OFFSET(A$1,,,SUMPRODUCT(MAX(ROW(E$1:E5436)*(E2=E$1:E5436))))))</f>
        <v> </v>
      </c>
      <c r="K5437" s="25" t="str">
        <f>IF(OR(E5437="",E5437="!!!",F5437="NEW"),"",INDEX(J$1:J5436,SUMPRODUCT(MAX(ROW(E$1:E5436)*(E5437=E$1:E5436)))))</f>
        <v> </v>
      </c>
      <c r="L5437" s="26"/>
    </row>
    <row r="5438" spans="1:12">
      <c r="A5438" s="20" t="s">
        <v>1111</v>
      </c>
      <c r="B5438" s="27" t="s">
        <v>967</v>
      </c>
      <c r="C5438" s="27" t="s">
        <v>979</v>
      </c>
      <c r="D5438" s="27" t="s">
        <v>969</v>
      </c>
      <c r="E5438" s="21">
        <f>IF(D5438="?OLD","!!!","")</f>
        <v/>
      </c>
      <c r="F5438" s="22" t="str">
        <f>IF(OR(E5438="",E5438="!!!"),"",IF(NOT(ISNA(VLOOKUP(E5438,E$1:E5437,1,FALSE()))),"OLD",IF(AND(E5438&lt;&gt;"",E5438&lt;&gt;"!!!"),"NEW","")))</f>
        <v> </v>
      </c>
      <c r="G5438" s="23" t="str">
        <f>IF(OR(E5438="",E5438="!!!"),"",IF(OR(J5438=0,AND(J5438=1,K5438=1),AND(J5438=1,I5438="SBJ"),AND(J5438=1,I5438=0)),"?IN_FOCUS",IF(J5438&lt;=2,"?ACTIVATED",IF(J5438&lt;&gt;"","?FAMILIAR",IF(F5438="NEW",IF(ISNA(VLOOKUP(E5438,#REF!,1,FALSE())),"?TYPE_IDENTIFIABLE","?REFERENTIAL"),"_")))))</f>
        <v> </v>
      </c>
      <c r="H5438" s="24" t="str">
        <f>IF(J5438&lt;&gt;1,"",IF(I5438="SBJ","CB","?"))</f>
        <v> </v>
      </c>
      <c r="I5438" s="25" t="str">
        <f>IF(OR(E5438="",E5438="!!!",F5438="NEW"),"",INDEX(B5437:B$2,-1+SUMPRODUCT(MAX(ROW(E5437:E$2)*(E5438=E5437:E$2)))))</f>
        <v> </v>
      </c>
      <c r="J5438" s="25" t="str">
        <f>IF(OR(E5438="",E5438="!!!",F5438="NEW"),"",COUNTBLANK(OFFSET(A$1,,,SUMPRODUCT(MAX(ROW(E$2:E5438)*(E5438=E$2:E5438)))))-COUNTBLANK(OFFSET(A$1,,,SUMPRODUCT(MAX(ROW(E$1:E5437)*(E2=E$1:E5437))))))</f>
        <v> </v>
      </c>
      <c r="K5438" s="25" t="str">
        <f>IF(OR(E5438="",E5438="!!!",F5438="NEW"),"",INDEX(J$1:J5437,SUMPRODUCT(MAX(ROW(E$1:E5437)*(E5438=E$1:E5437)))))</f>
        <v> </v>
      </c>
      <c r="L5438" s="26"/>
    </row>
    <row r="5439" spans="1:12">
      <c r="A5439" s="20" t="s">
        <v>991</v>
      </c>
      <c r="E5439" s="21">
        <f>IF(D5439="?OLD","!!!","")</f>
        <v/>
      </c>
      <c r="F5439" s="22" t="str">
        <f>IF(OR(E5439="",E5439="!!!"),"",IF(NOT(ISNA(VLOOKUP(E5439,E$1:E5438,1,FALSE()))),"OLD",IF(AND(E5439&lt;&gt;"",E5439&lt;&gt;"!!!"),"NEW","")))</f>
        <v> </v>
      </c>
      <c r="G5439" s="23" t="str">
        <f>IF(OR(E5439="",E5439="!!!"),"",IF(OR(J5439=0,AND(J5439=1,K5439=1),AND(J5439=1,I5439="SBJ"),AND(J5439=1,I5439=0)),"?IN_FOCUS",IF(J5439&lt;=2,"?ACTIVATED",IF(J5439&lt;&gt;"","?FAMILIAR",IF(F5439="NEW",IF(ISNA(VLOOKUP(E5439,#REF!,1,FALSE())),"?TYPE_IDENTIFIABLE","?REFERENTIAL"),"_")))))</f>
        <v> </v>
      </c>
      <c r="H5439" s="24" t="str">
        <f>IF(J5439&lt;&gt;1,"",IF(I5439="SBJ","CB","?"))</f>
        <v> </v>
      </c>
      <c r="I5439" s="25" t="str">
        <f>IF(OR(E5439="",E5439="!!!",F5439="NEW"),"",INDEX(B5438:B$2,-1+SUMPRODUCT(MAX(ROW(E5438:E$2)*(E5439=E5438:E$2)))))</f>
        <v> </v>
      </c>
      <c r="J5439" s="25" t="str">
        <f>IF(OR(E5439="",E5439="!!!",F5439="NEW"),"",COUNTBLANK(OFFSET(A$1,,,SUMPRODUCT(MAX(ROW(E$2:E5439)*(E5439=E$2:E5439)))))-COUNTBLANK(OFFSET(A$1,,,SUMPRODUCT(MAX(ROW(E$1:E5438)*(E2=E$1:E5438))))))</f>
        <v> </v>
      </c>
      <c r="K5439" s="25" t="str">
        <f>IF(OR(E5439="",E5439="!!!",F5439="NEW"),"",INDEX(J$1:J5438,SUMPRODUCT(MAX(ROW(E$1:E5438)*(E5439=E$1:E5438)))))</f>
        <v> </v>
      </c>
      <c r="L5439" s="26"/>
    </row>
    <row r="5440" spans="1:12">
      <c r="A5440" s="20" t="s">
        <v>985</v>
      </c>
      <c r="B5440" s="27" t="s">
        <v>994</v>
      </c>
      <c r="E5440" s="21">
        <f>IF(D5440="?OLD","!!!","")</f>
        <v/>
      </c>
      <c r="F5440" s="22" t="str">
        <f>IF(OR(E5440="",E5440="!!!"),"",IF(NOT(ISNA(VLOOKUP(E5440,E$1:E5439,1,FALSE()))),"OLD",IF(AND(E5440&lt;&gt;"",E5440&lt;&gt;"!!!"),"NEW","")))</f>
        <v> </v>
      </c>
      <c r="G5440" s="23" t="str">
        <f>IF(OR(E5440="",E5440="!!!"),"",IF(OR(J5440=0,AND(J5440=1,K5440=1),AND(J5440=1,I5440="SBJ"),AND(J5440=1,I5440=0)),"?IN_FOCUS",IF(J5440&lt;=2,"?ACTIVATED",IF(J5440&lt;&gt;"","?FAMILIAR",IF(F5440="NEW",IF(ISNA(VLOOKUP(E5440,#REF!,1,FALSE())),"?TYPE_IDENTIFIABLE","?REFERENTIAL"),"_")))))</f>
        <v> </v>
      </c>
      <c r="H5440" s="24" t="str">
        <f>IF(J5440&lt;&gt;1,"",IF(I5440="SBJ","CB","?"))</f>
        <v> </v>
      </c>
      <c r="I5440" s="25" t="str">
        <f>IF(OR(E5440="",E5440="!!!",F5440="NEW"),"",INDEX(B5439:B$2,-1+SUMPRODUCT(MAX(ROW(E5439:E$2)*(E5440=E5439:E$2)))))</f>
        <v> </v>
      </c>
      <c r="J5440" s="25" t="str">
        <f>IF(OR(E5440="",E5440="!!!",F5440="NEW"),"",COUNTBLANK(OFFSET(A$1,,,SUMPRODUCT(MAX(ROW(E$2:E5440)*(E5440=E$2:E5440)))))-COUNTBLANK(OFFSET(A$1,,,SUMPRODUCT(MAX(ROW(E$1:E5439)*(E2=E$1:E5439))))))</f>
        <v> </v>
      </c>
      <c r="K5440" s="25" t="str">
        <f>IF(OR(E5440="",E5440="!!!",F5440="NEW"),"",INDEX(J$1:J5439,SUMPRODUCT(MAX(ROW(E$1:E5439)*(E5440=E$1:E5439)))))</f>
        <v> </v>
      </c>
      <c r="L5440" s="26"/>
    </row>
    <row r="5441" spans="1:12">
      <c r="A5441" s="20" t="s">
        <v>1051</v>
      </c>
      <c r="E5441" s="21">
        <f>IF(D5441="?OLD","!!!","")</f>
        <v/>
      </c>
      <c r="F5441" s="22" t="str">
        <f>IF(OR(E5441="",E5441="!!!"),"",IF(NOT(ISNA(VLOOKUP(E5441,E$1:E5440,1,FALSE()))),"OLD",IF(AND(E5441&lt;&gt;"",E5441&lt;&gt;"!!!"),"NEW","")))</f>
        <v> </v>
      </c>
      <c r="G5441" s="23" t="str">
        <f>IF(OR(E5441="",E5441="!!!"),"",IF(OR(J5441=0,AND(J5441=1,K5441=1),AND(J5441=1,I5441="SBJ"),AND(J5441=1,I5441=0)),"?IN_FOCUS",IF(J5441&lt;=2,"?ACTIVATED",IF(J5441&lt;&gt;"","?FAMILIAR",IF(F5441="NEW",IF(ISNA(VLOOKUP(E5441,#REF!,1,FALSE())),"?TYPE_IDENTIFIABLE","?REFERENTIAL"),"_")))))</f>
        <v> </v>
      </c>
      <c r="H5441" s="24" t="str">
        <f>IF(J5441&lt;&gt;1,"",IF(I5441="SBJ","CB","?"))</f>
        <v> </v>
      </c>
      <c r="I5441" s="25" t="str">
        <f>IF(OR(E5441="",E5441="!!!",F5441="NEW"),"",INDEX(B5440:B$2,-1+SUMPRODUCT(MAX(ROW(E5440:E$2)*(E5441=E5440:E$2)))))</f>
        <v> </v>
      </c>
      <c r="J5441" s="25" t="str">
        <f>IF(OR(E5441="",E5441="!!!",F5441="NEW"),"",COUNTBLANK(OFFSET(A$1,,,SUMPRODUCT(MAX(ROW(E$2:E5441)*(E5441=E$2:E5441)))))-COUNTBLANK(OFFSET(A$1,,,SUMPRODUCT(MAX(ROW(E$1:E5440)*(E2=E$1:E5440))))))</f>
        <v> </v>
      </c>
      <c r="K5441" s="25" t="str">
        <f>IF(OR(E5441="",E5441="!!!",F5441="NEW"),"",INDEX(J$1:J5440,SUMPRODUCT(MAX(ROW(E$1:E5440)*(E5441=E$1:E5440)))))</f>
        <v> </v>
      </c>
      <c r="L5441" s="26"/>
    </row>
    <row r="5442" spans="1:12">
      <c r="A5442" s="20" t="s">
        <v>2466</v>
      </c>
      <c r="E5442" s="21">
        <f>IF(D5442="?OLD","!!!","")</f>
        <v/>
      </c>
      <c r="F5442" s="22" t="str">
        <f>IF(OR(E5442="",E5442="!!!"),"",IF(NOT(ISNA(VLOOKUP(E5442,E$1:E5441,1,FALSE()))),"OLD",IF(AND(E5442&lt;&gt;"",E5442&lt;&gt;"!!!"),"NEW","")))</f>
        <v> </v>
      </c>
      <c r="G5442" s="23" t="str">
        <f>IF(OR(E5442="",E5442="!!!"),"",IF(OR(J5442=0,AND(J5442=1,K5442=1),AND(J5442=1,I5442="SBJ"),AND(J5442=1,I5442=0)),"?IN_FOCUS",IF(J5442&lt;=2,"?ACTIVATED",IF(J5442&lt;&gt;"","?FAMILIAR",IF(F5442="NEW",IF(ISNA(VLOOKUP(E5442,#REF!,1,FALSE())),"?TYPE_IDENTIFIABLE","?REFERENTIAL"),"_")))))</f>
        <v> </v>
      </c>
      <c r="H5442" s="24" t="str">
        <f>IF(J5442&lt;&gt;1,"",IF(I5442="SBJ","CB","?"))</f>
        <v> </v>
      </c>
      <c r="I5442" s="25" t="str">
        <f>IF(OR(E5442="",E5442="!!!",F5442="NEW"),"",INDEX(B5441:B$2,-1+SUMPRODUCT(MAX(ROW(E5441:E$2)*(E5442=E5441:E$2)))))</f>
        <v> </v>
      </c>
      <c r="J5442" s="25" t="str">
        <f>IF(OR(E5442="",E5442="!!!",F5442="NEW"),"",COUNTBLANK(OFFSET(A$1,,,SUMPRODUCT(MAX(ROW(E$2:E5442)*(E5442=E$2:E5442)))))-COUNTBLANK(OFFSET(A$1,,,SUMPRODUCT(MAX(ROW(E$1:E5441)*(E2=E$1:E5441))))))</f>
        <v> </v>
      </c>
      <c r="K5442" s="25" t="str">
        <f>IF(OR(E5442="",E5442="!!!",F5442="NEW"),"",INDEX(J$1:J5441,SUMPRODUCT(MAX(ROW(E$1:E5441)*(E5442=E$1:E5441)))))</f>
        <v> </v>
      </c>
      <c r="L5442" s="26"/>
    </row>
    <row r="5443" spans="1:12">
      <c r="A5443" s="20" t="s">
        <v>1307</v>
      </c>
      <c r="B5443" s="27" t="s">
        <v>1031</v>
      </c>
      <c r="C5443" s="27" t="s">
        <v>1018</v>
      </c>
      <c r="E5443" s="21">
        <f>IF(D5443="?OLD","!!!","")</f>
        <v/>
      </c>
      <c r="F5443" s="22" t="str">
        <f>IF(OR(E5443="",E5443="!!!"),"",IF(NOT(ISNA(VLOOKUP(E5443,E$1:E5442,1,FALSE()))),"OLD",IF(AND(E5443&lt;&gt;"",E5443&lt;&gt;"!!!"),"NEW","")))</f>
        <v> </v>
      </c>
      <c r="G5443" s="23" t="str">
        <f>IF(OR(E5443="",E5443="!!!"),"",IF(OR(J5443=0,AND(J5443=1,K5443=1),AND(J5443=1,I5443="SBJ"),AND(J5443=1,I5443=0)),"?IN_FOCUS",IF(J5443&lt;=2,"?ACTIVATED",IF(J5443&lt;&gt;"","?FAMILIAR",IF(F5443="NEW",IF(ISNA(VLOOKUP(E5443,#REF!,1,FALSE())),"?TYPE_IDENTIFIABLE","?REFERENTIAL"),"_")))))</f>
        <v> </v>
      </c>
      <c r="H5443" s="24" t="str">
        <f>IF(J5443&lt;&gt;1,"",IF(I5443="SBJ","CB","?"))</f>
        <v> </v>
      </c>
      <c r="I5443" s="25" t="str">
        <f>IF(OR(E5443="",E5443="!!!",F5443="NEW"),"",INDEX(B5442:B$2,-1+SUMPRODUCT(MAX(ROW(E5442:E$2)*(E5443=E5442:E$2)))))</f>
        <v> </v>
      </c>
      <c r="J5443" s="25" t="str">
        <f>IF(OR(E5443="",E5443="!!!",F5443="NEW"),"",COUNTBLANK(OFFSET(A$1,,,SUMPRODUCT(MAX(ROW(E$2:E5443)*(E5443=E$2:E5443)))))-COUNTBLANK(OFFSET(A$1,,,SUMPRODUCT(MAX(ROW(E$1:E5442)*(E2=E$1:E5442))))))</f>
        <v> </v>
      </c>
      <c r="K5443" s="25" t="str">
        <f>IF(OR(E5443="",E5443="!!!",F5443="NEW"),"",INDEX(J$1:J5442,SUMPRODUCT(MAX(ROW(E$1:E5442)*(E5443=E$1:E5442)))))</f>
        <v> </v>
      </c>
      <c r="L5443" s="26"/>
    </row>
    <row r="5444" spans="1:12">
      <c r="A5444" s="20" t="s">
        <v>104</v>
      </c>
      <c r="E5444" s="21">
        <f>IF(D5444="?OLD","!!!","")</f>
        <v/>
      </c>
      <c r="F5444" s="22" t="str">
        <f>IF(OR(E5444="",E5444="!!!"),"",IF(NOT(ISNA(VLOOKUP(E5444,E$1:E5443,1,FALSE()))),"OLD",IF(AND(E5444&lt;&gt;"",E5444&lt;&gt;"!!!"),"NEW","")))</f>
        <v> </v>
      </c>
      <c r="G5444" s="23" t="str">
        <f>IF(OR(E5444="",E5444="!!!"),"",IF(OR(J5444=0,AND(J5444=1,K5444=1),AND(J5444=1,I5444="SBJ"),AND(J5444=1,I5444=0)),"?IN_FOCUS",IF(J5444&lt;=2,"?ACTIVATED",IF(J5444&lt;&gt;"","?FAMILIAR",IF(F5444="NEW",IF(ISNA(VLOOKUP(E5444,#REF!,1,FALSE())),"?TYPE_IDENTIFIABLE","?REFERENTIAL"),"_")))))</f>
        <v> </v>
      </c>
      <c r="H5444" s="24" t="str">
        <f>IF(J5444&lt;&gt;1,"",IF(I5444="SBJ","CB","?"))</f>
        <v> </v>
      </c>
      <c r="I5444" s="25" t="str">
        <f>IF(OR(E5444="",E5444="!!!",F5444="NEW"),"",INDEX(B5443:B$2,-1+SUMPRODUCT(MAX(ROW(E5443:E$2)*(E5444=E5443:E$2)))))</f>
        <v> </v>
      </c>
      <c r="J5444" s="25" t="str">
        <f>IF(OR(E5444="",E5444="!!!",F5444="NEW"),"",COUNTBLANK(OFFSET(A$1,,,SUMPRODUCT(MAX(ROW(E$2:E5444)*(E5444=E$2:E5444)))))-COUNTBLANK(OFFSET(A$1,,,SUMPRODUCT(MAX(ROW(E$1:E5443)*(E2=E$1:E5443))))))</f>
        <v> </v>
      </c>
      <c r="K5444" s="25" t="str">
        <f>IF(OR(E5444="",E5444="!!!",F5444="NEW"),"",INDEX(J$1:J5443,SUMPRODUCT(MAX(ROW(E$1:E5443)*(E5444=E$1:E5443)))))</f>
        <v> </v>
      </c>
      <c r="L5444" s="26"/>
    </row>
    <row r="5445" spans="1:12">
      <c r="A5445" s="20" t="s">
        <v>991</v>
      </c>
      <c r="E5445" s="21">
        <f>IF(D5445="?OLD","!!!","")</f>
        <v/>
      </c>
      <c r="F5445" s="22" t="str">
        <f>IF(OR(E5445="",E5445="!!!"),"",IF(NOT(ISNA(VLOOKUP(E5445,E$1:E5444,1,FALSE()))),"OLD",IF(AND(E5445&lt;&gt;"",E5445&lt;&gt;"!!!"),"NEW","")))</f>
        <v> </v>
      </c>
      <c r="G5445" s="23" t="str">
        <f>IF(OR(E5445="",E5445="!!!"),"",IF(OR(J5445=0,AND(J5445=1,K5445=1),AND(J5445=1,I5445="SBJ"),AND(J5445=1,I5445=0)),"?IN_FOCUS",IF(J5445&lt;=2,"?ACTIVATED",IF(J5445&lt;&gt;"","?FAMILIAR",IF(F5445="NEW",IF(ISNA(VLOOKUP(E5445,#REF!,1,FALSE())),"?TYPE_IDENTIFIABLE","?REFERENTIAL"),"_")))))</f>
        <v> </v>
      </c>
      <c r="H5445" s="24" t="str">
        <f>IF(J5445&lt;&gt;1,"",IF(I5445="SBJ","CB","?"))</f>
        <v> </v>
      </c>
      <c r="I5445" s="25" t="str">
        <f>IF(OR(E5445="",E5445="!!!",F5445="NEW"),"",INDEX(B5444:B$2,-1+SUMPRODUCT(MAX(ROW(E5444:E$2)*(E5445=E5444:E$2)))))</f>
        <v> </v>
      </c>
      <c r="J5445" s="25" t="str">
        <f>IF(OR(E5445="",E5445="!!!",F5445="NEW"),"",COUNTBLANK(OFFSET(A$1,,,SUMPRODUCT(MAX(ROW(E$2:E5445)*(E5445=E$2:E5445)))))-COUNTBLANK(OFFSET(A$1,,,SUMPRODUCT(MAX(ROW(E$1:E5444)*(E2=E$1:E5444))))))</f>
        <v> </v>
      </c>
      <c r="K5445" s="25" t="str">
        <f>IF(OR(E5445="",E5445="!!!",F5445="NEW"),"",INDEX(J$1:J5444,SUMPRODUCT(MAX(ROW(E$1:E5444)*(E5445=E$1:E5444)))))</f>
        <v> </v>
      </c>
      <c r="L5445" s="26"/>
    </row>
    <row r="5446" spans="1:12">
      <c r="A5446" s="20" t="s">
        <v>2467</v>
      </c>
      <c r="E5446" s="21">
        <f>IF(D5446="?OLD","!!!","")</f>
        <v/>
      </c>
      <c r="F5446" s="22" t="str">
        <f>IF(OR(E5446="",E5446="!!!"),"",IF(NOT(ISNA(VLOOKUP(E5446,E$1:E5445,1,FALSE()))),"OLD",IF(AND(E5446&lt;&gt;"",E5446&lt;&gt;"!!!"),"NEW","")))</f>
        <v> </v>
      </c>
      <c r="G5446" s="23" t="str">
        <f>IF(OR(E5446="",E5446="!!!"),"",IF(OR(J5446=0,AND(J5446=1,K5446=1),AND(J5446=1,I5446="SBJ"),AND(J5446=1,I5446=0)),"?IN_FOCUS",IF(J5446&lt;=2,"?ACTIVATED",IF(J5446&lt;&gt;"","?FAMILIAR",IF(F5446="NEW",IF(ISNA(VLOOKUP(E5446,#REF!,1,FALSE())),"?TYPE_IDENTIFIABLE","?REFERENTIAL"),"_")))))</f>
        <v> </v>
      </c>
      <c r="H5446" s="24" t="str">
        <f>IF(J5446&lt;&gt;1,"",IF(I5446="SBJ","CB","?"))</f>
        <v> </v>
      </c>
      <c r="I5446" s="25" t="str">
        <f>IF(OR(E5446="",E5446="!!!",F5446="NEW"),"",INDEX(B5445:B$2,-1+SUMPRODUCT(MAX(ROW(E5445:E$2)*(E5446=E5445:E$2)))))</f>
        <v> </v>
      </c>
      <c r="J5446" s="25" t="str">
        <f>IF(OR(E5446="",E5446="!!!",F5446="NEW"),"",COUNTBLANK(OFFSET(A$1,,,SUMPRODUCT(MAX(ROW(E$2:E5446)*(E5446=E$2:E5446)))))-COUNTBLANK(OFFSET(A$1,,,SUMPRODUCT(MAX(ROW(E$1:E5445)*(E2=E$1:E5445))))))</f>
        <v> </v>
      </c>
      <c r="K5446" s="25" t="str">
        <f>IF(OR(E5446="",E5446="!!!",F5446="NEW"),"",INDEX(J$1:J5445,SUMPRODUCT(MAX(ROW(E$1:E5445)*(E5446=E$1:E5445)))))</f>
        <v> </v>
      </c>
      <c r="L5446" s="26"/>
    </row>
    <row r="5447" spans="1:12">
      <c r="A5447" s="20" t="s">
        <v>1037</v>
      </c>
      <c r="E5447" s="21">
        <f>IF(D5447="?OLD","!!!","")</f>
        <v/>
      </c>
      <c r="F5447" s="22" t="str">
        <f>IF(OR(E5447="",E5447="!!!"),"",IF(NOT(ISNA(VLOOKUP(E5447,E$1:E5446,1,FALSE()))),"OLD",IF(AND(E5447&lt;&gt;"",E5447&lt;&gt;"!!!"),"NEW","")))</f>
        <v> </v>
      </c>
      <c r="G5447" s="23" t="str">
        <f>IF(OR(E5447="",E5447="!!!"),"",IF(OR(J5447=0,AND(J5447=1,K5447=1),AND(J5447=1,I5447="SBJ"),AND(J5447=1,I5447=0)),"?IN_FOCUS",IF(J5447&lt;=2,"?ACTIVATED",IF(J5447&lt;&gt;"","?FAMILIAR",IF(F5447="NEW",IF(ISNA(VLOOKUP(E5447,#REF!,1,FALSE())),"?TYPE_IDENTIFIABLE","?REFERENTIAL"),"_")))))</f>
        <v> </v>
      </c>
      <c r="H5447" s="24" t="str">
        <f>IF(J5447&lt;&gt;1,"",IF(I5447="SBJ","CB","?"))</f>
        <v> </v>
      </c>
      <c r="I5447" s="25" t="str">
        <f>IF(OR(E5447="",E5447="!!!",F5447="NEW"),"",INDEX(B5446:B$2,-1+SUMPRODUCT(MAX(ROW(E5446:E$2)*(E5447=E5446:E$2)))))</f>
        <v> </v>
      </c>
      <c r="J5447" s="25" t="str">
        <f>IF(OR(E5447="",E5447="!!!",F5447="NEW"),"",COUNTBLANK(OFFSET(A$1,,,SUMPRODUCT(MAX(ROW(E$2:E5447)*(E5447=E$2:E5447)))))-COUNTBLANK(OFFSET(A$1,,,SUMPRODUCT(MAX(ROW(E$1:E5446)*(E2=E$1:E5446))))))</f>
        <v> </v>
      </c>
      <c r="K5447" s="25" t="str">
        <f>IF(OR(E5447="",E5447="!!!",F5447="NEW"),"",INDEX(J$1:J5446,SUMPRODUCT(MAX(ROW(E$1:E5446)*(E5447=E$1:E5446)))))</f>
        <v> </v>
      </c>
      <c r="L5447" s="26"/>
    </row>
    <row r="5448" spans="1:12">
      <c r="A5448" s="20" t="s">
        <v>2468</v>
      </c>
      <c r="E5448" s="21">
        <f>IF(D5448="?OLD","!!!","")</f>
        <v/>
      </c>
      <c r="F5448" s="22" t="str">
        <f>IF(OR(E5448="",E5448="!!!"),"",IF(NOT(ISNA(VLOOKUP(E5448,E$1:E5447,1,FALSE()))),"OLD",IF(AND(E5448&lt;&gt;"",E5448&lt;&gt;"!!!"),"NEW","")))</f>
        <v> </v>
      </c>
      <c r="G5448" s="23" t="str">
        <f>IF(OR(E5448="",E5448="!!!"),"",IF(OR(J5448=0,AND(J5448=1,K5448=1),AND(J5448=1,I5448="SBJ"),AND(J5448=1,I5448=0)),"?IN_FOCUS",IF(J5448&lt;=2,"?ACTIVATED",IF(J5448&lt;&gt;"","?FAMILIAR",IF(F5448="NEW",IF(ISNA(VLOOKUP(E5448,#REF!,1,FALSE())),"?TYPE_IDENTIFIABLE","?REFERENTIAL"),"_")))))</f>
        <v> </v>
      </c>
      <c r="H5448" s="24" t="str">
        <f>IF(J5448&lt;&gt;1,"",IF(I5448="SBJ","CB","?"))</f>
        <v> </v>
      </c>
      <c r="I5448" s="25" t="str">
        <f>IF(OR(E5448="",E5448="!!!",F5448="NEW"),"",INDEX(B5447:B$2,-1+SUMPRODUCT(MAX(ROW(E5447:E$2)*(E5448=E5447:E$2)))))</f>
        <v> </v>
      </c>
      <c r="J5448" s="25" t="str">
        <f>IF(OR(E5448="",E5448="!!!",F5448="NEW"),"",COUNTBLANK(OFFSET(A$1,,,SUMPRODUCT(MAX(ROW(E$2:E5448)*(E5448=E$2:E5448)))))-COUNTBLANK(OFFSET(A$1,,,SUMPRODUCT(MAX(ROW(E$1:E5447)*(E2=E$1:E5447))))))</f>
        <v> </v>
      </c>
      <c r="K5448" s="25" t="str">
        <f>IF(OR(E5448="",E5448="!!!",F5448="NEW"),"",INDEX(J$1:J5447,SUMPRODUCT(MAX(ROW(E$1:E5447)*(E5448=E$1:E5447)))))</f>
        <v> </v>
      </c>
      <c r="L5448" s="26"/>
    </row>
    <row r="5449" spans="1:12">
      <c r="A5449" s="20" t="s">
        <v>1078</v>
      </c>
      <c r="B5449" s="27" t="s">
        <v>1053</v>
      </c>
      <c r="C5449" s="27" t="s">
        <v>974</v>
      </c>
      <c r="E5449" s="21">
        <f>IF(D5449="?OLD","!!!","")</f>
        <v/>
      </c>
      <c r="F5449" s="22" t="str">
        <f>IF(OR(E5449="",E5449="!!!"),"",IF(NOT(ISNA(VLOOKUP(E5449,E$1:E5448,1,FALSE()))),"OLD",IF(AND(E5449&lt;&gt;"",E5449&lt;&gt;"!!!"),"NEW","")))</f>
        <v> </v>
      </c>
      <c r="G5449" s="23" t="str">
        <f>IF(OR(E5449="",E5449="!!!"),"",IF(OR(J5449=0,AND(J5449=1,K5449=1),AND(J5449=1,I5449="SBJ"),AND(J5449=1,I5449=0)),"?IN_FOCUS",IF(J5449&lt;=2,"?ACTIVATED",IF(J5449&lt;&gt;"","?FAMILIAR",IF(F5449="NEW",IF(ISNA(VLOOKUP(E5449,#REF!,1,FALSE())),"?TYPE_IDENTIFIABLE","?REFERENTIAL"),"_")))))</f>
        <v> </v>
      </c>
      <c r="H5449" s="24" t="str">
        <f>IF(J5449&lt;&gt;1,"",IF(I5449="SBJ","CB","?"))</f>
        <v> </v>
      </c>
      <c r="I5449" s="25" t="str">
        <f>IF(OR(E5449="",E5449="!!!",F5449="NEW"),"",INDEX(B5448:B$2,-1+SUMPRODUCT(MAX(ROW(E5448:E$2)*(E5449=E5448:E$2)))))</f>
        <v> </v>
      </c>
      <c r="J5449" s="25" t="str">
        <f>IF(OR(E5449="",E5449="!!!",F5449="NEW"),"",COUNTBLANK(OFFSET(A$1,,,SUMPRODUCT(MAX(ROW(E$2:E5449)*(E5449=E$2:E5449)))))-COUNTBLANK(OFFSET(A$1,,,SUMPRODUCT(MAX(ROW(E$1:E5448)*(E2=E$1:E5448))))))</f>
        <v> </v>
      </c>
      <c r="K5449" s="25" t="str">
        <f>IF(OR(E5449="",E5449="!!!",F5449="NEW"),"",INDEX(J$1:J5448,SUMPRODUCT(MAX(ROW(E$1:E5448)*(E5449=E$1:E5448)))))</f>
        <v> </v>
      </c>
      <c r="L5449" s="26"/>
    </row>
    <row r="5450" spans="1:12">
      <c r="A5450" s="20" t="s">
        <v>2469</v>
      </c>
      <c r="E5450" s="21">
        <f>IF(D5450="?OLD","!!!","")</f>
        <v/>
      </c>
      <c r="F5450" s="22" t="str">
        <f>IF(OR(E5450="",E5450="!!!"),"",IF(NOT(ISNA(VLOOKUP(E5450,E$1:E5449,1,FALSE()))),"OLD",IF(AND(E5450&lt;&gt;"",E5450&lt;&gt;"!!!"),"NEW","")))</f>
        <v> </v>
      </c>
      <c r="G5450" s="23" t="str">
        <f>IF(OR(E5450="",E5450="!!!"),"",IF(OR(J5450=0,AND(J5450=1,K5450=1),AND(J5450=1,I5450="SBJ"),AND(J5450=1,I5450=0)),"?IN_FOCUS",IF(J5450&lt;=2,"?ACTIVATED",IF(J5450&lt;&gt;"","?FAMILIAR",IF(F5450="NEW",IF(ISNA(VLOOKUP(E5450,#REF!,1,FALSE())),"?TYPE_IDENTIFIABLE","?REFERENTIAL"),"_")))))</f>
        <v> </v>
      </c>
      <c r="H5450" s="24" t="str">
        <f>IF(J5450&lt;&gt;1,"",IF(I5450="SBJ","CB","?"))</f>
        <v> </v>
      </c>
      <c r="I5450" s="25" t="str">
        <f>IF(OR(E5450="",E5450="!!!",F5450="NEW"),"",INDEX(B5449:B$2,-1+SUMPRODUCT(MAX(ROW(E5449:E$2)*(E5450=E5449:E$2)))))</f>
        <v> </v>
      </c>
      <c r="J5450" s="25" t="str">
        <f>IF(OR(E5450="",E5450="!!!",F5450="NEW"),"",COUNTBLANK(OFFSET(A$1,,,SUMPRODUCT(MAX(ROW(E$2:E5450)*(E5450=E$2:E5450)))))-COUNTBLANK(OFFSET(A$1,,,SUMPRODUCT(MAX(ROW(E$1:E5449)*(E2=E$1:E5449))))))</f>
        <v> </v>
      </c>
      <c r="K5450" s="25" t="str">
        <f>IF(OR(E5450="",E5450="!!!",F5450="NEW"),"",INDEX(J$1:J5449,SUMPRODUCT(MAX(ROW(E$1:E5449)*(E5450=E$1:E5449)))))</f>
        <v> </v>
      </c>
      <c r="L5450" s="26"/>
    </row>
    <row r="5451" spans="1:12">
      <c r="A5451" s="20" t="s">
        <v>1373</v>
      </c>
      <c r="E5451" s="21">
        <f>IF(D5451="?OLD","!!!","")</f>
        <v/>
      </c>
      <c r="F5451" s="22" t="str">
        <f>IF(OR(E5451="",E5451="!!!"),"",IF(NOT(ISNA(VLOOKUP(E5451,E$1:E5450,1,FALSE()))),"OLD",IF(AND(E5451&lt;&gt;"",E5451&lt;&gt;"!!!"),"NEW","")))</f>
        <v> </v>
      </c>
      <c r="G5451" s="23" t="str">
        <f>IF(OR(E5451="",E5451="!!!"),"",IF(OR(J5451=0,AND(J5451=1,K5451=1),AND(J5451=1,I5451="SBJ"),AND(J5451=1,I5451=0)),"?IN_FOCUS",IF(J5451&lt;=2,"?ACTIVATED",IF(J5451&lt;&gt;"","?FAMILIAR",IF(F5451="NEW",IF(ISNA(VLOOKUP(E5451,#REF!,1,FALSE())),"?TYPE_IDENTIFIABLE","?REFERENTIAL"),"_")))))</f>
        <v> </v>
      </c>
      <c r="H5451" s="24" t="str">
        <f>IF(J5451&lt;&gt;1,"",IF(I5451="SBJ","CB","?"))</f>
        <v> </v>
      </c>
      <c r="I5451" s="25" t="str">
        <f>IF(OR(E5451="",E5451="!!!",F5451="NEW"),"",INDEX(B5450:B$2,-1+SUMPRODUCT(MAX(ROW(E5450:E$2)*(E5451=E5450:E$2)))))</f>
        <v> </v>
      </c>
      <c r="J5451" s="25" t="str">
        <f>IF(OR(E5451="",E5451="!!!",F5451="NEW"),"",COUNTBLANK(OFFSET(A$1,,,SUMPRODUCT(MAX(ROW(E$2:E5451)*(E5451=E$2:E5451)))))-COUNTBLANK(OFFSET(A$1,,,SUMPRODUCT(MAX(ROW(E$1:E5450)*(E2=E$1:E5450))))))</f>
        <v> </v>
      </c>
      <c r="K5451" s="25" t="str">
        <f>IF(OR(E5451="",E5451="!!!",F5451="NEW"),"",INDEX(J$1:J5450,SUMPRODUCT(MAX(ROW(E$1:E5450)*(E5451=E$1:E5450)))))</f>
        <v> </v>
      </c>
      <c r="L5451" s="26"/>
    </row>
    <row r="5452" spans="1:12">
      <c r="A5452" s="20"/>
    </row>
    <row r="5453" spans="1:12">
      <c r="A5453" s="20" t="s">
        <v>2470</v>
      </c>
    </row>
    <row r="5454" spans="1:12">
      <c r="A5454" s="20" t="s">
        <v>1570</v>
      </c>
      <c r="B5454" s="27" t="s">
        <v>967</v>
      </c>
      <c r="C5454" s="27" t="s">
        <v>1011</v>
      </c>
      <c r="D5454" s="27" t="s">
        <v>969</v>
      </c>
      <c r="E5454" s="21">
        <f>IF(D5454="?OLD","!!!","")</f>
        <v/>
      </c>
      <c r="F5454" s="22" t="str">
        <f>IF(OR(E5454="",E5454="!!!"),"",IF(NOT(ISNA(VLOOKUP(E5454,E$1:E5453,1,FALSE()))),"OLD",IF(AND(E5454&lt;&gt;"",E5454&lt;&gt;"!!!"),"NEW","")))</f>
        <v> </v>
      </c>
      <c r="G5454" s="23" t="str">
        <f>IF(OR(E5454="",E5454="!!!"),"",IF(OR(J5454=0,AND(J5454=1,K5454=1),AND(J5454=1,I5454="SBJ"),AND(J5454=1,I5454=0)),"?IN_FOCUS",IF(J5454&lt;=2,"?ACTIVATED",IF(J5454&lt;&gt;"","?FAMILIAR",IF(F5454="NEW",IF(ISNA(VLOOKUP(E5454,#REF!,1,FALSE())),"?TYPE_IDENTIFIABLE","?REFERENTIAL"),"_")))))</f>
        <v> </v>
      </c>
      <c r="H5454" s="24" t="str">
        <f>IF(J5454&lt;&gt;1,"",IF(I5454="SBJ","CB","?"))</f>
        <v> </v>
      </c>
      <c r="I5454" s="25" t="str">
        <f>IF(OR(E5454="",E5454="!!!",F5454="NEW"),"",INDEX(B5453:B$2,-1+SUMPRODUCT(MAX(ROW(E5453:E$2)*(E5454=E5453:E$2)))))</f>
        <v> </v>
      </c>
      <c r="J5454" s="25" t="str">
        <f>IF(OR(E5454="",E5454="!!!",F5454="NEW"),"",COUNTBLANK(OFFSET(A$1,,,SUMPRODUCT(MAX(ROW(E$2:E5454)*(E5454=E$2:E5454)))))-COUNTBLANK(OFFSET(A$1,,,SUMPRODUCT(MAX(ROW(E$1:E5453)*(E2=E$1:E5453))))))</f>
        <v> </v>
      </c>
      <c r="K5454" s="25" t="str">
        <f>IF(OR(E5454="",E5454="!!!",F5454="NEW"),"",INDEX(J$1:J5453,SUMPRODUCT(MAX(ROW(E$1:E5453)*(E5454=E$1:E5453)))))</f>
        <v> </v>
      </c>
      <c r="L5454" s="26"/>
    </row>
    <row r="5455" spans="1:12">
      <c r="A5455" s="20" t="s">
        <v>1097</v>
      </c>
      <c r="E5455" s="21">
        <f>IF(D5455="?OLD","!!!","")</f>
        <v/>
      </c>
      <c r="F5455" s="22" t="str">
        <f>IF(OR(E5455="",E5455="!!!"),"",IF(NOT(ISNA(VLOOKUP(E5455,E$1:E5454,1,FALSE()))),"OLD",IF(AND(E5455&lt;&gt;"",E5455&lt;&gt;"!!!"),"NEW","")))</f>
        <v> </v>
      </c>
      <c r="G5455" s="23" t="str">
        <f>IF(OR(E5455="",E5455="!!!"),"",IF(OR(J5455=0,AND(J5455=1,K5455=1),AND(J5455=1,I5455="SBJ"),AND(J5455=1,I5455=0)),"?IN_FOCUS",IF(J5455&lt;=2,"?ACTIVATED",IF(J5455&lt;&gt;"","?FAMILIAR",IF(F5455="NEW",IF(ISNA(VLOOKUP(E5455,#REF!,1,FALSE())),"?TYPE_IDENTIFIABLE","?REFERENTIAL"),"_")))))</f>
        <v> </v>
      </c>
      <c r="H5455" s="24" t="str">
        <f>IF(J5455&lt;&gt;1,"",IF(I5455="SBJ","CB","?"))</f>
        <v> </v>
      </c>
      <c r="I5455" s="25" t="str">
        <f>IF(OR(E5455="",E5455="!!!",F5455="NEW"),"",INDEX(B5454:B$2,-1+SUMPRODUCT(MAX(ROW(E5454:E$2)*(E5455=E5454:E$2)))))</f>
        <v> </v>
      </c>
      <c r="J5455" s="25" t="str">
        <f>IF(OR(E5455="",E5455="!!!",F5455="NEW"),"",COUNTBLANK(OFFSET(A$1,,,SUMPRODUCT(MAX(ROW(E$2:E5455)*(E5455=E$2:E5455)))))-COUNTBLANK(OFFSET(A$1,,,SUMPRODUCT(MAX(ROW(E$1:E5454)*(E2=E$1:E5454))))))</f>
        <v> </v>
      </c>
      <c r="K5455" s="25" t="str">
        <f>IF(OR(E5455="",E5455="!!!",F5455="NEW"),"",INDEX(J$1:J5454,SUMPRODUCT(MAX(ROW(E$1:E5454)*(E5455=E$1:E5454)))))</f>
        <v> </v>
      </c>
      <c r="L5455" s="26"/>
    </row>
    <row r="5456" spans="1:12">
      <c r="A5456" s="20" t="s">
        <v>1043</v>
      </c>
      <c r="E5456" s="21">
        <f>IF(D5456="?OLD","!!!","")</f>
        <v/>
      </c>
      <c r="F5456" s="22" t="str">
        <f>IF(OR(E5456="",E5456="!!!"),"",IF(NOT(ISNA(VLOOKUP(E5456,E$1:E5455,1,FALSE()))),"OLD",IF(AND(E5456&lt;&gt;"",E5456&lt;&gt;"!!!"),"NEW","")))</f>
        <v> </v>
      </c>
      <c r="G5456" s="23" t="str">
        <f>IF(OR(E5456="",E5456="!!!"),"",IF(OR(J5456=0,AND(J5456=1,K5456=1),AND(J5456=1,I5456="SBJ"),AND(J5456=1,I5456=0)),"?IN_FOCUS",IF(J5456&lt;=2,"?ACTIVATED",IF(J5456&lt;&gt;"","?FAMILIAR",IF(F5456="NEW",IF(ISNA(VLOOKUP(E5456,#REF!,1,FALSE())),"?TYPE_IDENTIFIABLE","?REFERENTIAL"),"_")))))</f>
        <v> </v>
      </c>
      <c r="H5456" s="24" t="str">
        <f>IF(J5456&lt;&gt;1,"",IF(I5456="SBJ","CB","?"))</f>
        <v> </v>
      </c>
      <c r="I5456" s="25" t="str">
        <f>IF(OR(E5456="",E5456="!!!",F5456="NEW"),"",INDEX(B5455:B$2,-1+SUMPRODUCT(MAX(ROW(E5455:E$2)*(E5456=E5455:E$2)))))</f>
        <v> </v>
      </c>
      <c r="J5456" s="25" t="str">
        <f>IF(OR(E5456="",E5456="!!!",F5456="NEW"),"",COUNTBLANK(OFFSET(A$1,,,SUMPRODUCT(MAX(ROW(E$2:E5456)*(E5456=E$2:E5456)))))-COUNTBLANK(OFFSET(A$1,,,SUMPRODUCT(MAX(ROW(E$1:E5455)*(E2=E$1:E5455))))))</f>
        <v> </v>
      </c>
      <c r="K5456" s="25" t="str">
        <f>IF(OR(E5456="",E5456="!!!",F5456="NEW"),"",INDEX(J$1:J5455,SUMPRODUCT(MAX(ROW(E$1:E5455)*(E5456=E$1:E5455)))))</f>
        <v> </v>
      </c>
      <c r="L5456" s="26"/>
    </row>
    <row r="5457" spans="1:12">
      <c r="A5457" s="20" t="s">
        <v>2471</v>
      </c>
      <c r="B5457" s="27" t="s">
        <v>1053</v>
      </c>
      <c r="C5457" s="27" t="s">
        <v>979</v>
      </c>
      <c r="D5457" s="27" t="s">
        <v>969</v>
      </c>
      <c r="E5457" s="21">
        <f>IF(D5457="?OLD","!!!","")</f>
        <v/>
      </c>
      <c r="F5457" s="22" t="str">
        <f>IF(OR(E5457="",E5457="!!!"),"",IF(NOT(ISNA(VLOOKUP(E5457,E$1:E5456,1,FALSE()))),"OLD",IF(AND(E5457&lt;&gt;"",E5457&lt;&gt;"!!!"),"NEW","")))</f>
        <v> </v>
      </c>
      <c r="G5457" s="23" t="str">
        <f>IF(OR(E5457="",E5457="!!!"),"",IF(OR(J5457=0,AND(J5457=1,K5457=1),AND(J5457=1,I5457="SBJ"),AND(J5457=1,I5457=0)),"?IN_FOCUS",IF(J5457&lt;=2,"?ACTIVATED",IF(J5457&lt;&gt;"","?FAMILIAR",IF(F5457="NEW",IF(ISNA(VLOOKUP(E5457,#REF!,1,FALSE())),"?TYPE_IDENTIFIABLE","?REFERENTIAL"),"_")))))</f>
        <v> </v>
      </c>
      <c r="H5457" s="24" t="str">
        <f>IF(J5457&lt;&gt;1,"",IF(I5457="SBJ","CB","?"))</f>
        <v> </v>
      </c>
      <c r="I5457" s="25" t="str">
        <f>IF(OR(E5457="",E5457="!!!",F5457="NEW"),"",INDEX(B5456:B$2,-1+SUMPRODUCT(MAX(ROW(E5456:E$2)*(E5457=E5456:E$2)))))</f>
        <v> </v>
      </c>
      <c r="J5457" s="25" t="str">
        <f>IF(OR(E5457="",E5457="!!!",F5457="NEW"),"",COUNTBLANK(OFFSET(A$1,,,SUMPRODUCT(MAX(ROW(E$2:E5457)*(E5457=E$2:E5457)))))-COUNTBLANK(OFFSET(A$1,,,SUMPRODUCT(MAX(ROW(E$1:E5456)*(E2=E$1:E5456))))))</f>
        <v> </v>
      </c>
      <c r="K5457" s="25" t="str">
        <f>IF(OR(E5457="",E5457="!!!",F5457="NEW"),"",INDEX(J$1:J5456,SUMPRODUCT(MAX(ROW(E$1:E5456)*(E5457=E$1:E5456)))))</f>
        <v> </v>
      </c>
      <c r="L5457" s="26"/>
    </row>
    <row r="5458" spans="1:12">
      <c r="A5458" s="20" t="s">
        <v>1095</v>
      </c>
      <c r="E5458" s="21">
        <f>IF(D5458="?OLD","!!!","")</f>
        <v/>
      </c>
      <c r="F5458" s="22" t="str">
        <f>IF(OR(E5458="",E5458="!!!"),"",IF(NOT(ISNA(VLOOKUP(E5458,E$1:E5457,1,FALSE()))),"OLD",IF(AND(E5458&lt;&gt;"",E5458&lt;&gt;"!!!"),"NEW","")))</f>
        <v> </v>
      </c>
      <c r="G5458" s="23" t="str">
        <f>IF(OR(E5458="",E5458="!!!"),"",IF(OR(J5458=0,AND(J5458=1,K5458=1),AND(J5458=1,I5458="SBJ"),AND(J5458=1,I5458=0)),"?IN_FOCUS",IF(J5458&lt;=2,"?ACTIVATED",IF(J5458&lt;&gt;"","?FAMILIAR",IF(F5458="NEW",IF(ISNA(VLOOKUP(E5458,#REF!,1,FALSE())),"?TYPE_IDENTIFIABLE","?REFERENTIAL"),"_")))))</f>
        <v> </v>
      </c>
      <c r="H5458" s="24" t="str">
        <f>IF(J5458&lt;&gt;1,"",IF(I5458="SBJ","CB","?"))</f>
        <v> </v>
      </c>
      <c r="I5458" s="25" t="str">
        <f>IF(OR(E5458="",E5458="!!!",F5458="NEW"),"",INDEX(B5457:B$2,-1+SUMPRODUCT(MAX(ROW(E5457:E$2)*(E5458=E5457:E$2)))))</f>
        <v> </v>
      </c>
      <c r="J5458" s="25" t="str">
        <f>IF(OR(E5458="",E5458="!!!",F5458="NEW"),"",COUNTBLANK(OFFSET(A$1,,,SUMPRODUCT(MAX(ROW(E$2:E5458)*(E5458=E$2:E5458)))))-COUNTBLANK(OFFSET(A$1,,,SUMPRODUCT(MAX(ROW(E$1:E5457)*(E2=E$1:E5457))))))</f>
        <v> </v>
      </c>
      <c r="K5458" s="25" t="str">
        <f>IF(OR(E5458="",E5458="!!!",F5458="NEW"),"",INDEX(J$1:J5457,SUMPRODUCT(MAX(ROW(E$1:E5457)*(E5458=E$1:E5457)))))</f>
        <v> </v>
      </c>
      <c r="L5458" s="26"/>
    </row>
    <row r="5459" spans="1:12">
      <c r="A5459" s="20" t="s">
        <v>2472</v>
      </c>
      <c r="B5459" s="27" t="s">
        <v>1053</v>
      </c>
      <c r="C5459" s="27" t="s">
        <v>1083</v>
      </c>
      <c r="D5459" s="27" t="s">
        <v>969</v>
      </c>
      <c r="E5459" s="21">
        <f>IF(D5459="?OLD","!!!","")</f>
        <v/>
      </c>
      <c r="F5459" s="22" t="str">
        <f>IF(OR(E5459="",E5459="!!!"),"",IF(NOT(ISNA(VLOOKUP(E5459,E$1:E5458,1,FALSE()))),"OLD",IF(AND(E5459&lt;&gt;"",E5459&lt;&gt;"!!!"),"NEW","")))</f>
        <v> </v>
      </c>
      <c r="G5459" s="23" t="str">
        <f>IF(OR(E5459="",E5459="!!!"),"",IF(OR(J5459=0,AND(J5459=1,K5459=1),AND(J5459=1,I5459="SBJ"),AND(J5459=1,I5459=0)),"?IN_FOCUS",IF(J5459&lt;=2,"?ACTIVATED",IF(J5459&lt;&gt;"","?FAMILIAR",IF(F5459="NEW",IF(ISNA(VLOOKUP(E5459,#REF!,1,FALSE())),"?TYPE_IDENTIFIABLE","?REFERENTIAL"),"_")))))</f>
        <v> </v>
      </c>
      <c r="H5459" s="24" t="str">
        <f>IF(J5459&lt;&gt;1,"",IF(I5459="SBJ","CB","?"))</f>
        <v> </v>
      </c>
      <c r="I5459" s="25" t="str">
        <f>IF(OR(E5459="",E5459="!!!",F5459="NEW"),"",INDEX(B5458:B$2,-1+SUMPRODUCT(MAX(ROW(E5458:E$2)*(E5459=E5458:E$2)))))</f>
        <v> </v>
      </c>
      <c r="J5459" s="25" t="str">
        <f>IF(OR(E5459="",E5459="!!!",F5459="NEW"),"",COUNTBLANK(OFFSET(A$1,,,SUMPRODUCT(MAX(ROW(E$2:E5459)*(E5459=E$2:E5459)))))-COUNTBLANK(OFFSET(A$1,,,SUMPRODUCT(MAX(ROW(E$1:E5458)*(E2=E$1:E5458))))))</f>
        <v> </v>
      </c>
      <c r="K5459" s="25" t="str">
        <f>IF(OR(E5459="",E5459="!!!",F5459="NEW"),"",INDEX(J$1:J5458,SUMPRODUCT(MAX(ROW(E$1:E5458)*(E5459=E$1:E5458)))))</f>
        <v> </v>
      </c>
      <c r="L5459" s="26"/>
    </row>
    <row r="5460" spans="1:12">
      <c r="A5460" s="20" t="s">
        <v>1373</v>
      </c>
      <c r="E5460" s="21">
        <f>IF(D5460="?OLD","!!!","")</f>
        <v/>
      </c>
      <c r="F5460" s="22" t="str">
        <f>IF(OR(E5460="",E5460="!!!"),"",IF(NOT(ISNA(VLOOKUP(E5460,E$1:E5459,1,FALSE()))),"OLD",IF(AND(E5460&lt;&gt;"",E5460&lt;&gt;"!!!"),"NEW","")))</f>
        <v> </v>
      </c>
      <c r="G5460" s="23" t="str">
        <f>IF(OR(E5460="",E5460="!!!"),"",IF(OR(J5460=0,AND(J5460=1,K5460=1),AND(J5460=1,I5460="SBJ"),AND(J5460=1,I5460=0)),"?IN_FOCUS",IF(J5460&lt;=2,"?ACTIVATED",IF(J5460&lt;&gt;"","?FAMILIAR",IF(F5460="NEW",IF(ISNA(VLOOKUP(E5460,#REF!,1,FALSE())),"?TYPE_IDENTIFIABLE","?REFERENTIAL"),"_")))))</f>
        <v> </v>
      </c>
      <c r="H5460" s="24" t="str">
        <f>IF(J5460&lt;&gt;1,"",IF(I5460="SBJ","CB","?"))</f>
        <v> </v>
      </c>
      <c r="I5460" s="25" t="str">
        <f>IF(OR(E5460="",E5460="!!!",F5460="NEW"),"",INDEX(B5459:B$2,-1+SUMPRODUCT(MAX(ROW(E5459:E$2)*(E5460=E5459:E$2)))))</f>
        <v> </v>
      </c>
      <c r="J5460" s="25" t="str">
        <f>IF(OR(E5460="",E5460="!!!",F5460="NEW"),"",COUNTBLANK(OFFSET(A$1,,,SUMPRODUCT(MAX(ROW(E$2:E5460)*(E5460=E$2:E5460)))))-COUNTBLANK(OFFSET(A$1,,,SUMPRODUCT(MAX(ROW(E$1:E5459)*(E2=E$1:E5459))))))</f>
        <v> </v>
      </c>
      <c r="K5460" s="25" t="str">
        <f>IF(OR(E5460="",E5460="!!!",F5460="NEW"),"",INDEX(J$1:J5459,SUMPRODUCT(MAX(ROW(E$1:E5459)*(E5460=E$1:E5459)))))</f>
        <v> </v>
      </c>
      <c r="L5460" s="26"/>
    </row>
    <row r="5461" spans="1:12">
      <c r="A5461" s="20"/>
    </row>
    <row r="5462" spans="1:12">
      <c r="A5462" s="20" t="s">
        <v>1060</v>
      </c>
      <c r="E5462" s="21">
        <f>IF(D5462="?OLD","!!!","")</f>
        <v/>
      </c>
      <c r="F5462" s="22" t="str">
        <f>IF(OR(E5462="",E5462="!!!"),"",IF(NOT(ISNA(VLOOKUP(E5462,E$1:E5461,1,FALSE()))),"OLD",IF(AND(E5462&lt;&gt;"",E5462&lt;&gt;"!!!"),"NEW","")))</f>
        <v> </v>
      </c>
      <c r="G5462" s="23" t="str">
        <f>IF(OR(E5462="",E5462="!!!"),"",IF(OR(J5462=0,AND(J5462=1,K5462=1),AND(J5462=1,I5462="SBJ"),AND(J5462=1,I5462=0)),"?IN_FOCUS",IF(J5462&lt;=2,"?ACTIVATED",IF(J5462&lt;&gt;"","?FAMILIAR",IF(F5462="NEW",IF(ISNA(VLOOKUP(E5462,#REF!,1,FALSE())),"?TYPE_IDENTIFIABLE","?REFERENTIAL"),"_")))))</f>
        <v> </v>
      </c>
      <c r="H5462" s="24" t="str">
        <f>IF(J5462&lt;&gt;1,"",IF(I5462="SBJ","CB","?"))</f>
        <v> </v>
      </c>
      <c r="I5462" s="25" t="str">
        <f>IF(OR(E5462="",E5462="!!!",F5462="NEW"),"",INDEX(B5461:B$2,-1+SUMPRODUCT(MAX(ROW(E5461:E$2)*(E5462=E5461:E$2)))))</f>
        <v> </v>
      </c>
      <c r="J5462" s="25" t="str">
        <f>IF(OR(E5462="",E5462="!!!",F5462="NEW"),"",COUNTBLANK(OFFSET(A$1,,,SUMPRODUCT(MAX(ROW(E$2:E5462)*(E5462=E$2:E5462)))))-COUNTBLANK(OFFSET(A$1,,,SUMPRODUCT(MAX(ROW(E$1:E5461)*(E2=E$1:E5461))))))</f>
        <v> </v>
      </c>
      <c r="K5462" s="25" t="str">
        <f>IF(OR(E5462="",E5462="!!!",F5462="NEW"),"",INDEX(J$1:J5461,SUMPRODUCT(MAX(ROW(E$1:E5461)*(E5462=E$1:E5461)))))</f>
        <v> </v>
      </c>
      <c r="L5462" s="26"/>
    </row>
    <row r="5463" spans="1:12">
      <c r="A5463" s="20" t="s">
        <v>2473</v>
      </c>
    </row>
    <row r="5464" spans="1:12">
      <c r="A5464" s="20" t="s">
        <v>2474</v>
      </c>
      <c r="E5464" s="21">
        <f>IF(D5464="?OLD","!!!","")</f>
        <v/>
      </c>
      <c r="F5464" s="22" t="str">
        <f>IF(OR(E5464="",E5464="!!!"),"",IF(NOT(ISNA(VLOOKUP(E5464,E$1:E5463,1,FALSE()))),"OLD",IF(AND(E5464&lt;&gt;"",E5464&lt;&gt;"!!!"),"NEW","")))</f>
        <v> </v>
      </c>
      <c r="G5464" s="23" t="str">
        <f>IF(OR(E5464="",E5464="!!!"),"",IF(OR(J5464=0,AND(J5464=1,K5464=1),AND(J5464=1,I5464="SBJ"),AND(J5464=1,I5464=0)),"?IN_FOCUS",IF(J5464&lt;=2,"?ACTIVATED",IF(J5464&lt;&gt;"","?FAMILIAR",IF(F5464="NEW",IF(ISNA(VLOOKUP(E5464,#REF!,1,FALSE())),"?TYPE_IDENTIFIABLE","?REFERENTIAL"),"_")))))</f>
        <v> </v>
      </c>
      <c r="H5464" s="24" t="str">
        <f>IF(J5464&lt;&gt;1,"",IF(I5464="SBJ","CB","?"))</f>
        <v> </v>
      </c>
      <c r="I5464" s="25" t="str">
        <f>IF(OR(E5464="",E5464="!!!",F5464="NEW"),"",INDEX(B5463:B$2,-1+SUMPRODUCT(MAX(ROW(E5463:E$2)*(E5464=E5463:E$2)))))</f>
        <v> </v>
      </c>
      <c r="J5464" s="25" t="str">
        <f>IF(OR(E5464="",E5464="!!!",F5464="NEW"),"",COUNTBLANK(OFFSET(A$1,,,SUMPRODUCT(MAX(ROW(E$2:E5464)*(E5464=E$2:E5464)))))-COUNTBLANK(OFFSET(A$1,,,SUMPRODUCT(MAX(ROW(E$1:E5463)*(E2=E$1:E5463))))))</f>
        <v> </v>
      </c>
      <c r="K5464" s="25" t="str">
        <f>IF(OR(E5464="",E5464="!!!",F5464="NEW"),"",INDEX(J$1:J5463,SUMPRODUCT(MAX(ROW(E$1:E5463)*(E5464=E$1:E5463)))))</f>
        <v> </v>
      </c>
      <c r="L5464" s="26"/>
    </row>
    <row r="5465" spans="1:12">
      <c r="A5465" s="20" t="s">
        <v>1043</v>
      </c>
      <c r="E5465" s="21">
        <f>IF(D5465="?OLD","!!!","")</f>
        <v/>
      </c>
      <c r="F5465" s="22" t="str">
        <f>IF(OR(E5465="",E5465="!!!"),"",IF(NOT(ISNA(VLOOKUP(E5465,E$1:E5464,1,FALSE()))),"OLD",IF(AND(E5465&lt;&gt;"",E5465&lt;&gt;"!!!"),"NEW","")))</f>
        <v> </v>
      </c>
      <c r="G5465" s="23" t="str">
        <f>IF(OR(E5465="",E5465="!!!"),"",IF(OR(J5465=0,AND(J5465=1,K5465=1),AND(J5465=1,I5465="SBJ"),AND(J5465=1,I5465=0)),"?IN_FOCUS",IF(J5465&lt;=2,"?ACTIVATED",IF(J5465&lt;&gt;"","?FAMILIAR",IF(F5465="NEW",IF(ISNA(VLOOKUP(E5465,#REF!,1,FALSE())),"?TYPE_IDENTIFIABLE","?REFERENTIAL"),"_")))))</f>
        <v> </v>
      </c>
      <c r="H5465" s="24" t="str">
        <f>IF(J5465&lt;&gt;1,"",IF(I5465="SBJ","CB","?"))</f>
        <v> </v>
      </c>
      <c r="I5465" s="25" t="str">
        <f>IF(OR(E5465="",E5465="!!!",F5465="NEW"),"",INDEX(B5464:B$2,-1+SUMPRODUCT(MAX(ROW(E5464:E$2)*(E5465=E5464:E$2)))))</f>
        <v> </v>
      </c>
      <c r="J5465" s="25" t="str">
        <f>IF(OR(E5465="",E5465="!!!",F5465="NEW"),"",COUNTBLANK(OFFSET(A$1,,,SUMPRODUCT(MAX(ROW(E$2:E5465)*(E5465=E$2:E5465)))))-COUNTBLANK(OFFSET(A$1,,,SUMPRODUCT(MAX(ROW(E$1:E5464)*(E2=E$1:E5464))))))</f>
        <v> </v>
      </c>
      <c r="K5465" s="25" t="str">
        <f>IF(OR(E5465="",E5465="!!!",F5465="NEW"),"",INDEX(J$1:J5464,SUMPRODUCT(MAX(ROW(E$1:E5464)*(E5465=E$1:E5464)))))</f>
        <v> </v>
      </c>
      <c r="L5465" s="26"/>
    </row>
    <row r="5466" spans="1:12">
      <c r="A5466" s="20" t="s">
        <v>1473</v>
      </c>
      <c r="B5466" s="27" t="s">
        <v>1053</v>
      </c>
      <c r="C5466" s="27" t="s">
        <v>979</v>
      </c>
      <c r="D5466" s="27" t="s">
        <v>969</v>
      </c>
      <c r="E5466" s="21">
        <f>IF(D5466="?OLD","!!!","")</f>
        <v/>
      </c>
      <c r="F5466" s="22" t="str">
        <f>IF(OR(E5466="",E5466="!!!"),"",IF(NOT(ISNA(VLOOKUP(E5466,E$1:E5465,1,FALSE()))),"OLD",IF(AND(E5466&lt;&gt;"",E5466&lt;&gt;"!!!"),"NEW","")))</f>
        <v> </v>
      </c>
      <c r="G5466" s="23" t="str">
        <f>IF(OR(E5466="",E5466="!!!"),"",IF(OR(J5466=0,AND(J5466=1,K5466=1),AND(J5466=1,I5466="SBJ"),AND(J5466=1,I5466=0)),"?IN_FOCUS",IF(J5466&lt;=2,"?ACTIVATED",IF(J5466&lt;&gt;"","?FAMILIAR",IF(F5466="NEW",IF(ISNA(VLOOKUP(E5466,#REF!,1,FALSE())),"?TYPE_IDENTIFIABLE","?REFERENTIAL"),"_")))))</f>
        <v> </v>
      </c>
      <c r="H5466" s="24" t="str">
        <f>IF(J5466&lt;&gt;1,"",IF(I5466="SBJ","CB","?"))</f>
        <v> </v>
      </c>
      <c r="I5466" s="25" t="str">
        <f>IF(OR(E5466="",E5466="!!!",F5466="NEW"),"",INDEX(B5465:B$2,-1+SUMPRODUCT(MAX(ROW(E5465:E$2)*(E5466=E5465:E$2)))))</f>
        <v> </v>
      </c>
      <c r="J5466" s="25" t="str">
        <f>IF(OR(E5466="",E5466="!!!",F5466="NEW"),"",COUNTBLANK(OFFSET(A$1,,,SUMPRODUCT(MAX(ROW(E$2:E5466)*(E5466=E$2:E5466)))))-COUNTBLANK(OFFSET(A$1,,,SUMPRODUCT(MAX(ROW(E$1:E5465)*(E2=E$1:E5465))))))</f>
        <v> </v>
      </c>
      <c r="K5466" s="25" t="str">
        <f>IF(OR(E5466="",E5466="!!!",F5466="NEW"),"",INDEX(J$1:J5465,SUMPRODUCT(MAX(ROW(E$1:E5465)*(E5466=E$1:E5465)))))</f>
        <v> </v>
      </c>
      <c r="L5466" s="26"/>
    </row>
    <row r="5467" spans="1:12">
      <c r="A5467" s="20" t="s">
        <v>2159</v>
      </c>
      <c r="E5467" s="21">
        <f>IF(D5467="?OLD","!!!","")</f>
        <v/>
      </c>
      <c r="F5467" s="22" t="str">
        <f>IF(OR(E5467="",E5467="!!!"),"",IF(NOT(ISNA(VLOOKUP(E5467,E$1:E5466,1,FALSE()))),"OLD",IF(AND(E5467&lt;&gt;"",E5467&lt;&gt;"!!!"),"NEW","")))</f>
        <v> </v>
      </c>
      <c r="G5467" s="23" t="str">
        <f>IF(OR(E5467="",E5467="!!!"),"",IF(OR(J5467=0,AND(J5467=1,K5467=1),AND(J5467=1,I5467="SBJ"),AND(J5467=1,I5467=0)),"?IN_FOCUS",IF(J5467&lt;=2,"?ACTIVATED",IF(J5467&lt;&gt;"","?FAMILIAR",IF(F5467="NEW",IF(ISNA(VLOOKUP(E5467,#REF!,1,FALSE())),"?TYPE_IDENTIFIABLE","?REFERENTIAL"),"_")))))</f>
        <v> </v>
      </c>
      <c r="H5467" s="24" t="str">
        <f>IF(J5467&lt;&gt;1,"",IF(I5467="SBJ","CB","?"))</f>
        <v> </v>
      </c>
      <c r="I5467" s="25" t="str">
        <f>IF(OR(E5467="",E5467="!!!",F5467="NEW"),"",INDEX(B5466:B$2,-1+SUMPRODUCT(MAX(ROW(E5466:E$2)*(E5467=E5466:E$2)))))</f>
        <v> </v>
      </c>
      <c r="J5467" s="25" t="str">
        <f>IF(OR(E5467="",E5467="!!!",F5467="NEW"),"",COUNTBLANK(OFFSET(A$1,,,SUMPRODUCT(MAX(ROW(E$2:E5467)*(E5467=E$2:E5467)))))-COUNTBLANK(OFFSET(A$1,,,SUMPRODUCT(MAX(ROW(E$1:E5466)*(E2=E$1:E5466))))))</f>
        <v> </v>
      </c>
      <c r="K5467" s="25" t="str">
        <f>IF(OR(E5467="",E5467="!!!",F5467="NEW"),"",INDEX(J$1:J5466,SUMPRODUCT(MAX(ROW(E$1:E5466)*(E5467=E$1:E5466)))))</f>
        <v> </v>
      </c>
      <c r="L5467" s="26"/>
    </row>
    <row r="5468" spans="1:12">
      <c r="A5468" s="20" t="s">
        <v>993</v>
      </c>
      <c r="B5468" s="27" t="s">
        <v>967</v>
      </c>
      <c r="C5468" s="27" t="s">
        <v>968</v>
      </c>
      <c r="D5468" s="27" t="s">
        <v>969</v>
      </c>
      <c r="E5468" s="21">
        <f>IF(D5468="?OLD","!!!","")</f>
        <v/>
      </c>
      <c r="F5468" s="22" t="str">
        <f>IF(OR(E5468="",E5468="!!!"),"",IF(NOT(ISNA(VLOOKUP(E5468,E$1:E5467,1,FALSE()))),"OLD",IF(AND(E5468&lt;&gt;"",E5468&lt;&gt;"!!!"),"NEW","")))</f>
        <v> </v>
      </c>
      <c r="G5468" s="23" t="str">
        <f>IF(OR(E5468="",E5468="!!!"),"",IF(OR(J5468=0,AND(J5468=1,K5468=1),AND(J5468=1,I5468="SBJ"),AND(J5468=1,I5468=0)),"?IN_FOCUS",IF(J5468&lt;=2,"?ACTIVATED",IF(J5468&lt;&gt;"","?FAMILIAR",IF(F5468="NEW",IF(ISNA(VLOOKUP(E5468,#REF!,1,FALSE())),"?TYPE_IDENTIFIABLE","?REFERENTIAL"),"_")))))</f>
        <v> </v>
      </c>
      <c r="H5468" s="24" t="str">
        <f>IF(J5468&lt;&gt;1,"",IF(I5468="SBJ","CB","?"))</f>
        <v> </v>
      </c>
      <c r="I5468" s="25" t="str">
        <f>IF(OR(E5468="",E5468="!!!",F5468="NEW"),"",INDEX(B5467:B$2,-1+SUMPRODUCT(MAX(ROW(E5467:E$2)*(E5468=E5467:E$2)))))</f>
        <v> </v>
      </c>
      <c r="J5468" s="25" t="str">
        <f>IF(OR(E5468="",E5468="!!!",F5468="NEW"),"",COUNTBLANK(OFFSET(A$1,,,SUMPRODUCT(MAX(ROW(E$2:E5468)*(E5468=E$2:E5468)))))-COUNTBLANK(OFFSET(A$1,,,SUMPRODUCT(MAX(ROW(E$1:E5467)*(E2=E$1:E5467))))))</f>
        <v> </v>
      </c>
      <c r="K5468" s="25" t="str">
        <f>IF(OR(E5468="",E5468="!!!",F5468="NEW"),"",INDEX(J$1:J5467,SUMPRODUCT(MAX(ROW(E$1:E5467)*(E5468=E$1:E5467)))))</f>
        <v> </v>
      </c>
      <c r="L5468" s="26"/>
    </row>
    <row r="5469" spans="1:12">
      <c r="A5469" s="20" t="s">
        <v>1173</v>
      </c>
      <c r="E5469" s="21">
        <f>IF(D5469="?OLD","!!!","")</f>
        <v/>
      </c>
      <c r="F5469" s="22" t="str">
        <f>IF(OR(E5469="",E5469="!!!"),"",IF(NOT(ISNA(VLOOKUP(E5469,E$1:E5468,1,FALSE()))),"OLD",IF(AND(E5469&lt;&gt;"",E5469&lt;&gt;"!!!"),"NEW","")))</f>
        <v> </v>
      </c>
      <c r="G5469" s="23" t="str">
        <f>IF(OR(E5469="",E5469="!!!"),"",IF(OR(J5469=0,AND(J5469=1,K5469=1),AND(J5469=1,I5469="SBJ"),AND(J5469=1,I5469=0)),"?IN_FOCUS",IF(J5469&lt;=2,"?ACTIVATED",IF(J5469&lt;&gt;"","?FAMILIAR",IF(F5469="NEW",IF(ISNA(VLOOKUP(E5469,#REF!,1,FALSE())),"?TYPE_IDENTIFIABLE","?REFERENTIAL"),"_")))))</f>
        <v> </v>
      </c>
      <c r="H5469" s="24" t="str">
        <f>IF(J5469&lt;&gt;1,"",IF(I5469="SBJ","CB","?"))</f>
        <v> </v>
      </c>
      <c r="I5469" s="25" t="str">
        <f>IF(OR(E5469="",E5469="!!!",F5469="NEW"),"",INDEX(B5468:B$2,-1+SUMPRODUCT(MAX(ROW(E5468:E$2)*(E5469=E5468:E$2)))))</f>
        <v> </v>
      </c>
      <c r="J5469" s="25" t="str">
        <f>IF(OR(E5469="",E5469="!!!",F5469="NEW"),"",COUNTBLANK(OFFSET(A$1,,,SUMPRODUCT(MAX(ROW(E$2:E5469)*(E5469=E$2:E5469)))))-COUNTBLANK(OFFSET(A$1,,,SUMPRODUCT(MAX(ROW(E$1:E5468)*(E2=E$1:E5468))))))</f>
        <v> </v>
      </c>
      <c r="K5469" s="25" t="str">
        <f>IF(OR(E5469="",E5469="!!!",F5469="NEW"),"",INDEX(J$1:J5468,SUMPRODUCT(MAX(ROW(E$1:E5468)*(E5469=E$1:E5468)))))</f>
        <v> </v>
      </c>
      <c r="L5469" s="26"/>
    </row>
    <row r="5470" spans="1:12">
      <c r="A5470" s="20" t="s">
        <v>991</v>
      </c>
      <c r="E5470" s="21">
        <f>IF(D5470="?OLD","!!!","")</f>
        <v/>
      </c>
      <c r="F5470" s="22" t="str">
        <f>IF(OR(E5470="",E5470="!!!"),"",IF(NOT(ISNA(VLOOKUP(E5470,E$1:E5469,1,FALSE()))),"OLD",IF(AND(E5470&lt;&gt;"",E5470&lt;&gt;"!!!"),"NEW","")))</f>
        <v> </v>
      </c>
      <c r="G5470" s="23" t="str">
        <f>IF(OR(E5470="",E5470="!!!"),"",IF(OR(J5470=0,AND(J5470=1,K5470=1),AND(J5470=1,I5470="SBJ"),AND(J5470=1,I5470=0)),"?IN_FOCUS",IF(J5470&lt;=2,"?ACTIVATED",IF(J5470&lt;&gt;"","?FAMILIAR",IF(F5470="NEW",IF(ISNA(VLOOKUP(E5470,#REF!,1,FALSE())),"?TYPE_IDENTIFIABLE","?REFERENTIAL"),"_")))))</f>
        <v> </v>
      </c>
      <c r="H5470" s="24" t="str">
        <f>IF(J5470&lt;&gt;1,"",IF(I5470="SBJ","CB","?"))</f>
        <v> </v>
      </c>
      <c r="I5470" s="25" t="str">
        <f>IF(OR(E5470="",E5470="!!!",F5470="NEW"),"",INDEX(B5469:B$2,-1+SUMPRODUCT(MAX(ROW(E5469:E$2)*(E5470=E5469:E$2)))))</f>
        <v> </v>
      </c>
      <c r="J5470" s="25" t="str">
        <f>IF(OR(E5470="",E5470="!!!",F5470="NEW"),"",COUNTBLANK(OFFSET(A$1,,,SUMPRODUCT(MAX(ROW(E$2:E5470)*(E5470=E$2:E5470)))))-COUNTBLANK(OFFSET(A$1,,,SUMPRODUCT(MAX(ROW(E$1:E5469)*(E2=E$1:E5469))))))</f>
        <v> </v>
      </c>
      <c r="K5470" s="25" t="str">
        <f>IF(OR(E5470="",E5470="!!!",F5470="NEW"),"",INDEX(J$1:J5469,SUMPRODUCT(MAX(ROW(E$1:E5469)*(E5470=E$1:E5469)))))</f>
        <v> </v>
      </c>
      <c r="L5470" s="26"/>
    </row>
    <row r="5471" spans="1:12">
      <c r="A5471" s="20" t="s">
        <v>996</v>
      </c>
      <c r="E5471" s="21">
        <f>IF(D5471="?OLD","!!!","")</f>
        <v/>
      </c>
      <c r="F5471" s="22" t="str">
        <f>IF(OR(E5471="",E5471="!!!"),"",IF(NOT(ISNA(VLOOKUP(E5471,E$1:E5470,1,FALSE()))),"OLD",IF(AND(E5471&lt;&gt;"",E5471&lt;&gt;"!!!"),"NEW","")))</f>
        <v> </v>
      </c>
      <c r="G5471" s="23" t="str">
        <f>IF(OR(E5471="",E5471="!!!"),"",IF(OR(J5471=0,AND(J5471=1,K5471=1),AND(J5471=1,I5471="SBJ"),AND(J5471=1,I5471=0)),"?IN_FOCUS",IF(J5471&lt;=2,"?ACTIVATED",IF(J5471&lt;&gt;"","?FAMILIAR",IF(F5471="NEW",IF(ISNA(VLOOKUP(E5471,#REF!,1,FALSE())),"?TYPE_IDENTIFIABLE","?REFERENTIAL"),"_")))))</f>
        <v> </v>
      </c>
      <c r="H5471" s="24" t="str">
        <f>IF(J5471&lt;&gt;1,"",IF(I5471="SBJ","CB","?"))</f>
        <v> </v>
      </c>
      <c r="I5471" s="25" t="str">
        <f>IF(OR(E5471="",E5471="!!!",F5471="NEW"),"",INDEX(B5470:B$2,-1+SUMPRODUCT(MAX(ROW(E5470:E$2)*(E5471=E5470:E$2)))))</f>
        <v> </v>
      </c>
      <c r="J5471" s="25" t="str">
        <f>IF(OR(E5471="",E5471="!!!",F5471="NEW"),"",COUNTBLANK(OFFSET(A$1,,,SUMPRODUCT(MAX(ROW(E$2:E5471)*(E5471=E$2:E5471)))))-COUNTBLANK(OFFSET(A$1,,,SUMPRODUCT(MAX(ROW(E$1:E5470)*(E2=E$1:E5470))))))</f>
        <v> </v>
      </c>
      <c r="K5471" s="25" t="str">
        <f>IF(OR(E5471="",E5471="!!!",F5471="NEW"),"",INDEX(J$1:J5470,SUMPRODUCT(MAX(ROW(E$1:E5470)*(E5471=E$1:E5470)))))</f>
        <v> </v>
      </c>
      <c r="L5471" s="26"/>
    </row>
    <row r="5472" spans="1:12">
      <c r="A5472" s="20" t="s">
        <v>985</v>
      </c>
      <c r="E5472" s="21">
        <f>IF(D5472="?OLD","!!!","")</f>
        <v/>
      </c>
      <c r="F5472" s="22" t="str">
        <f>IF(OR(E5472="",E5472="!!!"),"",IF(NOT(ISNA(VLOOKUP(E5472,E$1:E5471,1,FALSE()))),"OLD",IF(AND(E5472&lt;&gt;"",E5472&lt;&gt;"!!!"),"NEW","")))</f>
        <v> </v>
      </c>
      <c r="G5472" s="23" t="str">
        <f>IF(OR(E5472="",E5472="!!!"),"",IF(OR(J5472=0,AND(J5472=1,K5472=1),AND(J5472=1,I5472="SBJ"),AND(J5472=1,I5472=0)),"?IN_FOCUS",IF(J5472&lt;=2,"?ACTIVATED",IF(J5472&lt;&gt;"","?FAMILIAR",IF(F5472="NEW",IF(ISNA(VLOOKUP(E5472,#REF!,1,FALSE())),"?TYPE_IDENTIFIABLE","?REFERENTIAL"),"_")))))</f>
        <v> </v>
      </c>
      <c r="H5472" s="24" t="str">
        <f>IF(J5472&lt;&gt;1,"",IF(I5472="SBJ","CB","?"))</f>
        <v> </v>
      </c>
      <c r="I5472" s="25" t="str">
        <f>IF(OR(E5472="",E5472="!!!",F5472="NEW"),"",INDEX(B5471:B$2,-1+SUMPRODUCT(MAX(ROW(E5471:E$2)*(E5472=E5471:E$2)))))</f>
        <v> </v>
      </c>
      <c r="J5472" s="25" t="str">
        <f>IF(OR(E5472="",E5472="!!!",F5472="NEW"),"",COUNTBLANK(OFFSET(A$1,,,SUMPRODUCT(MAX(ROW(E$2:E5472)*(E5472=E$2:E5472)))))-COUNTBLANK(OFFSET(A$1,,,SUMPRODUCT(MAX(ROW(E$1:E5471)*(E2=E$1:E5471))))))</f>
        <v> </v>
      </c>
      <c r="K5472" s="25" t="str">
        <f>IF(OR(E5472="",E5472="!!!",F5472="NEW"),"",INDEX(J$1:J5471,SUMPRODUCT(MAX(ROW(E$1:E5471)*(E5472=E$1:E5471)))))</f>
        <v> </v>
      </c>
      <c r="L5472" s="26"/>
    </row>
    <row r="5473" spans="1:12">
      <c r="A5473" s="20" t="s">
        <v>1111</v>
      </c>
      <c r="B5473" s="27" t="s">
        <v>1010</v>
      </c>
      <c r="C5473" s="27" t="s">
        <v>979</v>
      </c>
      <c r="D5473" s="27" t="s">
        <v>969</v>
      </c>
      <c r="E5473" s="21">
        <f>IF(D5473="?OLD","!!!","")</f>
        <v/>
      </c>
      <c r="F5473" s="22" t="str">
        <f>IF(OR(E5473="",E5473="!!!"),"",IF(NOT(ISNA(VLOOKUP(E5473,E$1:E5472,1,FALSE()))),"OLD",IF(AND(E5473&lt;&gt;"",E5473&lt;&gt;"!!!"),"NEW","")))</f>
        <v> </v>
      </c>
      <c r="G5473" s="23" t="str">
        <f>IF(OR(E5473="",E5473="!!!"),"",IF(OR(J5473=0,AND(J5473=1,K5473=1),AND(J5473=1,I5473="SBJ"),AND(J5473=1,I5473=0)),"?IN_FOCUS",IF(J5473&lt;=2,"?ACTIVATED",IF(J5473&lt;&gt;"","?FAMILIAR",IF(F5473="NEW",IF(ISNA(VLOOKUP(E5473,#REF!,1,FALSE())),"?TYPE_IDENTIFIABLE","?REFERENTIAL"),"_")))))</f>
        <v> </v>
      </c>
      <c r="H5473" s="24" t="str">
        <f>IF(J5473&lt;&gt;1,"",IF(I5473="SBJ","CB","?"))</f>
        <v> </v>
      </c>
      <c r="I5473" s="25" t="str">
        <f>IF(OR(E5473="",E5473="!!!",F5473="NEW"),"",INDEX(B5472:B$2,-1+SUMPRODUCT(MAX(ROW(E5472:E$2)*(E5473=E5472:E$2)))))</f>
        <v> </v>
      </c>
      <c r="J5473" s="25" t="str">
        <f>IF(OR(E5473="",E5473="!!!",F5473="NEW"),"",COUNTBLANK(OFFSET(A$1,,,SUMPRODUCT(MAX(ROW(E$2:E5473)*(E5473=E$2:E5473)))))-COUNTBLANK(OFFSET(A$1,,,SUMPRODUCT(MAX(ROW(E$1:E5472)*(E2=E$1:E5472))))))</f>
        <v> </v>
      </c>
      <c r="K5473" s="25" t="str">
        <f>IF(OR(E5473="",E5473="!!!",F5473="NEW"),"",INDEX(J$1:J5472,SUMPRODUCT(MAX(ROW(E$1:E5472)*(E5473=E$1:E5472)))))</f>
        <v> </v>
      </c>
      <c r="L5473" s="26"/>
    </row>
    <row r="5474" spans="1:12">
      <c r="A5474" s="20" t="s">
        <v>991</v>
      </c>
      <c r="E5474" s="21">
        <f>IF(D5474="?OLD","!!!","")</f>
        <v/>
      </c>
      <c r="F5474" s="22" t="str">
        <f>IF(OR(E5474="",E5474="!!!"),"",IF(NOT(ISNA(VLOOKUP(E5474,E$1:E5473,1,FALSE()))),"OLD",IF(AND(E5474&lt;&gt;"",E5474&lt;&gt;"!!!"),"NEW","")))</f>
        <v> </v>
      </c>
      <c r="G5474" s="23" t="str">
        <f>IF(OR(E5474="",E5474="!!!"),"",IF(OR(J5474=0,AND(J5474=1,K5474=1),AND(J5474=1,I5474="SBJ"),AND(J5474=1,I5474=0)),"?IN_FOCUS",IF(J5474&lt;=2,"?ACTIVATED",IF(J5474&lt;&gt;"","?FAMILIAR",IF(F5474="NEW",IF(ISNA(VLOOKUP(E5474,#REF!,1,FALSE())),"?TYPE_IDENTIFIABLE","?REFERENTIAL"),"_")))))</f>
        <v> </v>
      </c>
      <c r="H5474" s="24" t="str">
        <f>IF(J5474&lt;&gt;1,"",IF(I5474="SBJ","CB","?"))</f>
        <v> </v>
      </c>
      <c r="I5474" s="25" t="str">
        <f>IF(OR(E5474="",E5474="!!!",F5474="NEW"),"",INDEX(B5473:B$2,-1+SUMPRODUCT(MAX(ROW(E5473:E$2)*(E5474=E5473:E$2)))))</f>
        <v> </v>
      </c>
      <c r="J5474" s="25" t="str">
        <f>IF(OR(E5474="",E5474="!!!",F5474="NEW"),"",COUNTBLANK(OFFSET(A$1,,,SUMPRODUCT(MAX(ROW(E$2:E5474)*(E5474=E$2:E5474)))))-COUNTBLANK(OFFSET(A$1,,,SUMPRODUCT(MAX(ROW(E$1:E5473)*(E2=E$1:E5473))))))</f>
        <v> </v>
      </c>
      <c r="K5474" s="25" t="str">
        <f>IF(OR(E5474="",E5474="!!!",F5474="NEW"),"",INDEX(J$1:J5473,SUMPRODUCT(MAX(ROW(E$1:E5473)*(E5474=E$1:E5473)))))</f>
        <v> </v>
      </c>
      <c r="L5474" s="26"/>
    </row>
    <row r="5475" spans="1:12">
      <c r="A5475" s="20" t="s">
        <v>985</v>
      </c>
      <c r="B5475" s="27" t="s">
        <v>997</v>
      </c>
      <c r="E5475" s="21">
        <f>IF(D5475="?OLD","!!!","")</f>
        <v/>
      </c>
      <c r="F5475" s="22" t="str">
        <f>IF(OR(E5475="",E5475="!!!"),"",IF(NOT(ISNA(VLOOKUP(E5475,E$1:E5474,1,FALSE()))),"OLD",IF(AND(E5475&lt;&gt;"",E5475&lt;&gt;"!!!"),"NEW","")))</f>
        <v> </v>
      </c>
      <c r="G5475" s="23" t="str">
        <f>IF(OR(E5475="",E5475="!!!"),"",IF(OR(J5475=0,AND(J5475=1,K5475=1),AND(J5475=1,I5475="SBJ"),AND(J5475=1,I5475=0)),"?IN_FOCUS",IF(J5475&lt;=2,"?ACTIVATED",IF(J5475&lt;&gt;"","?FAMILIAR",IF(F5475="NEW",IF(ISNA(VLOOKUP(E5475,#REF!,1,FALSE())),"?TYPE_IDENTIFIABLE","?REFERENTIAL"),"_")))))</f>
        <v> </v>
      </c>
      <c r="H5475" s="24" t="str">
        <f>IF(J5475&lt;&gt;1,"",IF(I5475="SBJ","CB","?"))</f>
        <v> </v>
      </c>
      <c r="I5475" s="25" t="str">
        <f>IF(OR(E5475="",E5475="!!!",F5475="NEW"),"",INDEX(B5474:B$2,-1+SUMPRODUCT(MAX(ROW(E5474:E$2)*(E5475=E5474:E$2)))))</f>
        <v> </v>
      </c>
      <c r="J5475" s="25" t="str">
        <f>IF(OR(E5475="",E5475="!!!",F5475="NEW"),"",COUNTBLANK(OFFSET(A$1,,,SUMPRODUCT(MAX(ROW(E$2:E5475)*(E5475=E$2:E5475)))))-COUNTBLANK(OFFSET(A$1,,,SUMPRODUCT(MAX(ROW(E$1:E5474)*(E2=E$1:E5474))))))</f>
        <v> </v>
      </c>
      <c r="K5475" s="25" t="str">
        <f>IF(OR(E5475="",E5475="!!!",F5475="NEW"),"",INDEX(J$1:J5474,SUMPRODUCT(MAX(ROW(E$1:E5474)*(E5475=E$1:E5474)))))</f>
        <v> </v>
      </c>
      <c r="L5475" s="26"/>
    </row>
    <row r="5476" spans="1:12">
      <c r="A5476" s="20" t="s">
        <v>1230</v>
      </c>
      <c r="E5476" s="21">
        <f>IF(D5476="?OLD","!!!","")</f>
        <v/>
      </c>
      <c r="F5476" s="22" t="str">
        <f>IF(OR(E5476="",E5476="!!!"),"",IF(NOT(ISNA(VLOOKUP(E5476,E$1:E5475,1,FALSE()))),"OLD",IF(AND(E5476&lt;&gt;"",E5476&lt;&gt;"!!!"),"NEW","")))</f>
        <v> </v>
      </c>
      <c r="G5476" s="23" t="str">
        <f>IF(OR(E5476="",E5476="!!!"),"",IF(OR(J5476=0,AND(J5476=1,K5476=1),AND(J5476=1,I5476="SBJ"),AND(J5476=1,I5476=0)),"?IN_FOCUS",IF(J5476&lt;=2,"?ACTIVATED",IF(J5476&lt;&gt;"","?FAMILIAR",IF(F5476="NEW",IF(ISNA(VLOOKUP(E5476,#REF!,1,FALSE())),"?TYPE_IDENTIFIABLE","?REFERENTIAL"),"_")))))</f>
        <v> </v>
      </c>
      <c r="H5476" s="24" t="str">
        <f>IF(J5476&lt;&gt;1,"",IF(I5476="SBJ","CB","?"))</f>
        <v> </v>
      </c>
      <c r="I5476" s="25" t="str">
        <f>IF(OR(E5476="",E5476="!!!",F5476="NEW"),"",INDEX(B5475:B$2,-1+SUMPRODUCT(MAX(ROW(E5475:E$2)*(E5476=E5475:E$2)))))</f>
        <v> </v>
      </c>
      <c r="J5476" s="25" t="str">
        <f>IF(OR(E5476="",E5476="!!!",F5476="NEW"),"",COUNTBLANK(OFFSET(A$1,,,SUMPRODUCT(MAX(ROW(E$2:E5476)*(E5476=E$2:E5476)))))-COUNTBLANK(OFFSET(A$1,,,SUMPRODUCT(MAX(ROW(E$1:E5475)*(E2=E$1:E5475))))))</f>
        <v> </v>
      </c>
      <c r="K5476" s="25" t="str">
        <f>IF(OR(E5476="",E5476="!!!",F5476="NEW"),"",INDEX(J$1:J5475,SUMPRODUCT(MAX(ROW(E$1:E5475)*(E5476=E$1:E5475)))))</f>
        <v> </v>
      </c>
      <c r="L5476" s="26"/>
    </row>
    <row r="5477" spans="1:12">
      <c r="A5477" s="20" t="s">
        <v>1140</v>
      </c>
      <c r="B5477" s="27" t="s">
        <v>1198</v>
      </c>
      <c r="C5477" s="27" t="s">
        <v>1035</v>
      </c>
      <c r="E5477" s="21">
        <f>IF(D5477="?OLD","!!!","")</f>
        <v/>
      </c>
      <c r="F5477" s="22" t="str">
        <f>IF(OR(E5477="",E5477="!!!"),"",IF(NOT(ISNA(VLOOKUP(E5477,E$1:E5476,1,FALSE()))),"OLD",IF(AND(E5477&lt;&gt;"",E5477&lt;&gt;"!!!"),"NEW","")))</f>
        <v> </v>
      </c>
      <c r="G5477" s="23" t="str">
        <f>IF(OR(E5477="",E5477="!!!"),"",IF(OR(J5477=0,AND(J5477=1,K5477=1),AND(J5477=1,I5477="SBJ"),AND(J5477=1,I5477=0)),"?IN_FOCUS",IF(J5477&lt;=2,"?ACTIVATED",IF(J5477&lt;&gt;"","?FAMILIAR",IF(F5477="NEW",IF(ISNA(VLOOKUP(E5477,#REF!,1,FALSE())),"?TYPE_IDENTIFIABLE","?REFERENTIAL"),"_")))))</f>
        <v> </v>
      </c>
      <c r="H5477" s="24" t="str">
        <f>IF(J5477&lt;&gt;1,"",IF(I5477="SBJ","CB","?"))</f>
        <v> </v>
      </c>
      <c r="I5477" s="25" t="str">
        <f>IF(OR(E5477="",E5477="!!!",F5477="NEW"),"",INDEX(B5476:B$2,-1+SUMPRODUCT(MAX(ROW(E5476:E$2)*(E5477=E5476:E$2)))))</f>
        <v> </v>
      </c>
      <c r="J5477" s="25" t="str">
        <f>IF(OR(E5477="",E5477="!!!",F5477="NEW"),"",COUNTBLANK(OFFSET(A$1,,,SUMPRODUCT(MAX(ROW(E$2:E5477)*(E5477=E$2:E5477)))))-COUNTBLANK(OFFSET(A$1,,,SUMPRODUCT(MAX(ROW(E$1:E5476)*(E2=E$1:E5476))))))</f>
        <v> </v>
      </c>
      <c r="K5477" s="25" t="str">
        <f>IF(OR(E5477="",E5477="!!!",F5477="NEW"),"",INDEX(J$1:J5476,SUMPRODUCT(MAX(ROW(E$1:E5476)*(E5477=E$1:E5476)))))</f>
        <v> </v>
      </c>
      <c r="L5477" s="26"/>
    </row>
    <row r="5478" spans="1:12">
      <c r="A5478" s="20" t="s">
        <v>2475</v>
      </c>
      <c r="E5478" s="21">
        <f>IF(D5478="?OLD","!!!","")</f>
        <v/>
      </c>
      <c r="F5478" s="22" t="str">
        <f>IF(OR(E5478="",E5478="!!!"),"",IF(NOT(ISNA(VLOOKUP(E5478,E$1:E5477,1,FALSE()))),"OLD",IF(AND(E5478&lt;&gt;"",E5478&lt;&gt;"!!!"),"NEW","")))</f>
        <v> </v>
      </c>
      <c r="G5478" s="23" t="str">
        <f>IF(OR(E5478="",E5478="!!!"),"",IF(OR(J5478=0,AND(J5478=1,K5478=1),AND(J5478=1,I5478="SBJ"),AND(J5478=1,I5478=0)),"?IN_FOCUS",IF(J5478&lt;=2,"?ACTIVATED",IF(J5478&lt;&gt;"","?FAMILIAR",IF(F5478="NEW",IF(ISNA(VLOOKUP(E5478,#REF!,1,FALSE())),"?TYPE_IDENTIFIABLE","?REFERENTIAL"),"_")))))</f>
        <v> </v>
      </c>
      <c r="H5478" s="24" t="str">
        <f>IF(J5478&lt;&gt;1,"",IF(I5478="SBJ","CB","?"))</f>
        <v> </v>
      </c>
      <c r="I5478" s="25" t="str">
        <f>IF(OR(E5478="",E5478="!!!",F5478="NEW"),"",INDEX(B5477:B$2,-1+SUMPRODUCT(MAX(ROW(E5477:E$2)*(E5478=E5477:E$2)))))</f>
        <v> </v>
      </c>
      <c r="J5478" s="25" t="str">
        <f>IF(OR(E5478="",E5478="!!!",F5478="NEW"),"",COUNTBLANK(OFFSET(A$1,,,SUMPRODUCT(MAX(ROW(E$2:E5478)*(E5478=E$2:E5478)))))-COUNTBLANK(OFFSET(A$1,,,SUMPRODUCT(MAX(ROW(E$1:E5477)*(E2=E$1:E5477))))))</f>
        <v> </v>
      </c>
      <c r="K5478" s="25" t="str">
        <f>IF(OR(E5478="",E5478="!!!",F5478="NEW"),"",INDEX(J$1:J5477,SUMPRODUCT(MAX(ROW(E$1:E5477)*(E5478=E$1:E5477)))))</f>
        <v> </v>
      </c>
      <c r="L5478" s="26"/>
    </row>
    <row r="5479" spans="1:12">
      <c r="A5479" s="20" t="s">
        <v>991</v>
      </c>
      <c r="E5479" s="21">
        <f>IF(D5479="?OLD","!!!","")</f>
        <v/>
      </c>
      <c r="F5479" s="22" t="str">
        <f>IF(OR(E5479="",E5479="!!!"),"",IF(NOT(ISNA(VLOOKUP(E5479,E$1:E5478,1,FALSE()))),"OLD",IF(AND(E5479&lt;&gt;"",E5479&lt;&gt;"!!!"),"NEW","")))</f>
        <v> </v>
      </c>
      <c r="G5479" s="23" t="str">
        <f>IF(OR(E5479="",E5479="!!!"),"",IF(OR(J5479=0,AND(J5479=1,K5479=1),AND(J5479=1,I5479="SBJ"),AND(J5479=1,I5479=0)),"?IN_FOCUS",IF(J5479&lt;=2,"?ACTIVATED",IF(J5479&lt;&gt;"","?FAMILIAR",IF(F5479="NEW",IF(ISNA(VLOOKUP(E5479,#REF!,1,FALSE())),"?TYPE_IDENTIFIABLE","?REFERENTIAL"),"_")))))</f>
        <v> </v>
      </c>
      <c r="H5479" s="24" t="str">
        <f>IF(J5479&lt;&gt;1,"",IF(I5479="SBJ","CB","?"))</f>
        <v> </v>
      </c>
      <c r="I5479" s="25" t="str">
        <f>IF(OR(E5479="",E5479="!!!",F5479="NEW"),"",INDEX(B5478:B$2,-1+SUMPRODUCT(MAX(ROW(E5478:E$2)*(E5479=E5478:E$2)))))</f>
        <v> </v>
      </c>
      <c r="J5479" s="25" t="str">
        <f>IF(OR(E5479="",E5479="!!!",F5479="NEW"),"",COUNTBLANK(OFFSET(A$1,,,SUMPRODUCT(MAX(ROW(E$2:E5479)*(E5479=E$2:E5479)))))-COUNTBLANK(OFFSET(A$1,,,SUMPRODUCT(MAX(ROW(E$1:E5478)*(E2=E$1:E5478))))))</f>
        <v> </v>
      </c>
      <c r="K5479" s="25" t="str">
        <f>IF(OR(E5479="",E5479="!!!",F5479="NEW"),"",INDEX(J$1:J5478,SUMPRODUCT(MAX(ROW(E$1:E5478)*(E5479=E$1:E5478)))))</f>
        <v> </v>
      </c>
      <c r="L5479" s="26"/>
    </row>
    <row r="5480" spans="1:12">
      <c r="A5480" s="20" t="s">
        <v>985</v>
      </c>
      <c r="B5480" s="27" t="s">
        <v>1010</v>
      </c>
      <c r="E5480" s="21">
        <f>IF(D5480="?OLD","!!!","")</f>
        <v/>
      </c>
      <c r="F5480" s="22" t="str">
        <f>IF(OR(E5480="",E5480="!!!"),"",IF(NOT(ISNA(VLOOKUP(E5480,E$1:E5479,1,FALSE()))),"OLD",IF(AND(E5480&lt;&gt;"",E5480&lt;&gt;"!!!"),"NEW","")))</f>
        <v> </v>
      </c>
      <c r="G5480" s="23" t="str">
        <f>IF(OR(E5480="",E5480="!!!"),"",IF(OR(J5480=0,AND(J5480=1,K5480=1),AND(J5480=1,I5480="SBJ"),AND(J5480=1,I5480=0)),"?IN_FOCUS",IF(J5480&lt;=2,"?ACTIVATED",IF(J5480&lt;&gt;"","?FAMILIAR",IF(F5480="NEW",IF(ISNA(VLOOKUP(E5480,#REF!,1,FALSE())),"?TYPE_IDENTIFIABLE","?REFERENTIAL"),"_")))))</f>
        <v> </v>
      </c>
      <c r="H5480" s="24" t="str">
        <f>IF(J5480&lt;&gt;1,"",IF(I5480="SBJ","CB","?"))</f>
        <v> </v>
      </c>
      <c r="I5480" s="25" t="str">
        <f>IF(OR(E5480="",E5480="!!!",F5480="NEW"),"",INDEX(B5479:B$2,-1+SUMPRODUCT(MAX(ROW(E5479:E$2)*(E5480=E5479:E$2)))))</f>
        <v> </v>
      </c>
      <c r="J5480" s="25" t="str">
        <f>IF(OR(E5480="",E5480="!!!",F5480="NEW"),"",COUNTBLANK(OFFSET(A$1,,,SUMPRODUCT(MAX(ROW(E$2:E5480)*(E5480=E$2:E5480)))))-COUNTBLANK(OFFSET(A$1,,,SUMPRODUCT(MAX(ROW(E$1:E5479)*(E2=E$1:E5479))))))</f>
        <v> </v>
      </c>
      <c r="K5480" s="25" t="str">
        <f>IF(OR(E5480="",E5480="!!!",F5480="NEW"),"",INDEX(J$1:J5479,SUMPRODUCT(MAX(ROW(E$1:E5479)*(E5480=E$1:E5479)))))</f>
        <v> </v>
      </c>
      <c r="L5480" s="26"/>
    </row>
    <row r="5481" spans="1:12">
      <c r="A5481" s="20" t="s">
        <v>100</v>
      </c>
      <c r="E5481" s="21">
        <f>IF(D5481="?OLD","!!!","")</f>
        <v/>
      </c>
      <c r="F5481" s="22" t="str">
        <f>IF(OR(E5481="",E5481="!!!"),"",IF(NOT(ISNA(VLOOKUP(E5481,E$1:E5480,1,FALSE()))),"OLD",IF(AND(E5481&lt;&gt;"",E5481&lt;&gt;"!!!"),"NEW","")))</f>
        <v> </v>
      </c>
      <c r="G5481" s="23" t="str">
        <f>IF(OR(E5481="",E5481="!!!"),"",IF(OR(J5481=0,AND(J5481=1,K5481=1),AND(J5481=1,I5481="SBJ"),AND(J5481=1,I5481=0)),"?IN_FOCUS",IF(J5481&lt;=2,"?ACTIVATED",IF(J5481&lt;&gt;"","?FAMILIAR",IF(F5481="NEW",IF(ISNA(VLOOKUP(E5481,#REF!,1,FALSE())),"?TYPE_IDENTIFIABLE","?REFERENTIAL"),"_")))))</f>
        <v> </v>
      </c>
      <c r="H5481" s="24" t="str">
        <f>IF(J5481&lt;&gt;1,"",IF(I5481="SBJ","CB","?"))</f>
        <v> </v>
      </c>
      <c r="I5481" s="25" t="str">
        <f>IF(OR(E5481="",E5481="!!!",F5481="NEW"),"",INDEX(B5480:B$2,-1+SUMPRODUCT(MAX(ROW(E5480:E$2)*(E5481=E5480:E$2)))))</f>
        <v> </v>
      </c>
      <c r="J5481" s="25" t="str">
        <f>IF(OR(E5481="",E5481="!!!",F5481="NEW"),"",COUNTBLANK(OFFSET(A$1,,,SUMPRODUCT(MAX(ROW(E$2:E5481)*(E5481=E$2:E5481)))))-COUNTBLANK(OFFSET(A$1,,,SUMPRODUCT(MAX(ROW(E$1:E5480)*(E2=E$1:E5480))))))</f>
        <v> </v>
      </c>
      <c r="K5481" s="25" t="str">
        <f>IF(OR(E5481="",E5481="!!!",F5481="NEW"),"",INDEX(J$1:J5480,SUMPRODUCT(MAX(ROW(E$1:E5480)*(E5481=E$1:E5480)))))</f>
        <v> </v>
      </c>
      <c r="L5481" s="26"/>
    </row>
    <row r="5482" spans="1:12">
      <c r="A5482" s="20" t="s">
        <v>1194</v>
      </c>
      <c r="E5482" s="21">
        <f>IF(D5482="?OLD","!!!","")</f>
        <v/>
      </c>
      <c r="F5482" s="22" t="str">
        <f>IF(OR(E5482="",E5482="!!!"),"",IF(NOT(ISNA(VLOOKUP(E5482,E$1:E5481,1,FALSE()))),"OLD",IF(AND(E5482&lt;&gt;"",E5482&lt;&gt;"!!!"),"NEW","")))</f>
        <v> </v>
      </c>
      <c r="G5482" s="23" t="str">
        <f>IF(OR(E5482="",E5482="!!!"),"",IF(OR(J5482=0,AND(J5482=1,K5482=1),AND(J5482=1,I5482="SBJ"),AND(J5482=1,I5482=0)),"?IN_FOCUS",IF(J5482&lt;=2,"?ACTIVATED",IF(J5482&lt;&gt;"","?FAMILIAR",IF(F5482="NEW",IF(ISNA(VLOOKUP(E5482,#REF!,1,FALSE())),"?TYPE_IDENTIFIABLE","?REFERENTIAL"),"_")))))</f>
        <v> </v>
      </c>
      <c r="H5482" s="24" t="str">
        <f>IF(J5482&lt;&gt;1,"",IF(I5482="SBJ","CB","?"))</f>
        <v> </v>
      </c>
      <c r="I5482" s="25" t="str">
        <f>IF(OR(E5482="",E5482="!!!",F5482="NEW"),"",INDEX(B5481:B$2,-1+SUMPRODUCT(MAX(ROW(E5481:E$2)*(E5482=E5481:E$2)))))</f>
        <v> </v>
      </c>
      <c r="J5482" s="25" t="str">
        <f>IF(OR(E5482="",E5482="!!!",F5482="NEW"),"",COUNTBLANK(OFFSET(A$1,,,SUMPRODUCT(MAX(ROW(E$2:E5482)*(E5482=E$2:E5482)))))-COUNTBLANK(OFFSET(A$1,,,SUMPRODUCT(MAX(ROW(E$1:E5481)*(E2=E$1:E5481))))))</f>
        <v> </v>
      </c>
      <c r="K5482" s="25" t="str">
        <f>IF(OR(E5482="",E5482="!!!",F5482="NEW"),"",INDEX(J$1:J5481,SUMPRODUCT(MAX(ROW(E$1:E5481)*(E5482=E$1:E5481)))))</f>
        <v> </v>
      </c>
      <c r="L5482" s="26"/>
    </row>
    <row r="5483" spans="1:12">
      <c r="A5483" s="20" t="s">
        <v>965</v>
      </c>
      <c r="E5483" s="21">
        <f>IF(D5483="?OLD","!!!","")</f>
        <v/>
      </c>
      <c r="F5483" s="22" t="str">
        <f>IF(OR(E5483="",E5483="!!!"),"",IF(NOT(ISNA(VLOOKUP(E5483,E$1:E5482,1,FALSE()))),"OLD",IF(AND(E5483&lt;&gt;"",E5483&lt;&gt;"!!!"),"NEW","")))</f>
        <v> </v>
      </c>
      <c r="G5483" s="23" t="str">
        <f>IF(OR(E5483="",E5483="!!!"),"",IF(OR(J5483=0,AND(J5483=1,K5483=1),AND(J5483=1,I5483="SBJ"),AND(J5483=1,I5483=0)),"?IN_FOCUS",IF(J5483&lt;=2,"?ACTIVATED",IF(J5483&lt;&gt;"","?FAMILIAR",IF(F5483="NEW",IF(ISNA(VLOOKUP(E5483,#REF!,1,FALSE())),"?TYPE_IDENTIFIABLE","?REFERENTIAL"),"_")))))</f>
        <v> </v>
      </c>
      <c r="H5483" s="24" t="str">
        <f>IF(J5483&lt;&gt;1,"",IF(I5483="SBJ","CB","?"))</f>
        <v> </v>
      </c>
      <c r="I5483" s="25" t="str">
        <f>IF(OR(E5483="",E5483="!!!",F5483="NEW"),"",INDEX(B5482:B$2,-1+SUMPRODUCT(MAX(ROW(E5482:E$2)*(E5483=E5482:E$2)))))</f>
        <v> </v>
      </c>
      <c r="J5483" s="25" t="str">
        <f>IF(OR(E5483="",E5483="!!!",F5483="NEW"),"",COUNTBLANK(OFFSET(A$1,,,SUMPRODUCT(MAX(ROW(E$2:E5483)*(E5483=E$2:E5483)))))-COUNTBLANK(OFFSET(A$1,,,SUMPRODUCT(MAX(ROW(E$1:E5482)*(E2=E$1:E5482))))))</f>
        <v> </v>
      </c>
      <c r="K5483" s="25" t="str">
        <f>IF(OR(E5483="",E5483="!!!",F5483="NEW"),"",INDEX(J$1:J5482,SUMPRODUCT(MAX(ROW(E$1:E5482)*(E5483=E$1:E5482)))))</f>
        <v> </v>
      </c>
      <c r="L5483" s="26"/>
    </row>
    <row r="5484" spans="1:12">
      <c r="A5484" s="20" t="s">
        <v>966</v>
      </c>
      <c r="B5484" s="27" t="s">
        <v>997</v>
      </c>
      <c r="C5484" s="27" t="s">
        <v>968</v>
      </c>
      <c r="D5484" s="27" t="s">
        <v>969</v>
      </c>
      <c r="E5484" s="21">
        <f>IF(D5484="?OLD","!!!","")</f>
        <v/>
      </c>
      <c r="F5484" s="22" t="str">
        <f>IF(OR(E5484="",E5484="!!!"),"",IF(NOT(ISNA(VLOOKUP(E5484,E$1:E5483,1,FALSE()))),"OLD",IF(AND(E5484&lt;&gt;"",E5484&lt;&gt;"!!!"),"NEW","")))</f>
        <v> </v>
      </c>
      <c r="G5484" s="23" t="str">
        <f>IF(OR(E5484="",E5484="!!!"),"",IF(OR(J5484=0,AND(J5484=1,K5484=1),AND(J5484=1,I5484="SBJ"),AND(J5484=1,I5484=0)),"?IN_FOCUS",IF(J5484&lt;=2,"?ACTIVATED",IF(J5484&lt;&gt;"","?FAMILIAR",IF(F5484="NEW",IF(ISNA(VLOOKUP(E5484,#REF!,1,FALSE())),"?TYPE_IDENTIFIABLE","?REFERENTIAL"),"_")))))</f>
        <v> </v>
      </c>
      <c r="H5484" s="24" t="str">
        <f>IF(J5484&lt;&gt;1,"",IF(I5484="SBJ","CB","?"))</f>
        <v> </v>
      </c>
      <c r="I5484" s="25" t="str">
        <f>IF(OR(E5484="",E5484="!!!",F5484="NEW"),"",INDEX(B5483:B$2,-1+SUMPRODUCT(MAX(ROW(E5483:E$2)*(E5484=E5483:E$2)))))</f>
        <v> </v>
      </c>
      <c r="J5484" s="25" t="str">
        <f>IF(OR(E5484="",E5484="!!!",F5484="NEW"),"",COUNTBLANK(OFFSET(A$1,,,SUMPRODUCT(MAX(ROW(E$2:E5484)*(E5484=E$2:E5484)))))-COUNTBLANK(OFFSET(A$1,,,SUMPRODUCT(MAX(ROW(E$1:E5483)*(E2=E$1:E5483))))))</f>
        <v> </v>
      </c>
      <c r="K5484" s="25" t="str">
        <f>IF(OR(E5484="",E5484="!!!",F5484="NEW"),"",INDEX(J$1:J5483,SUMPRODUCT(MAX(ROW(E$1:E5483)*(E5484=E$1:E5483)))))</f>
        <v> </v>
      </c>
      <c r="L5484" s="26"/>
    </row>
    <row r="5485" spans="1:12">
      <c r="A5485" s="20" t="s">
        <v>1178</v>
      </c>
      <c r="E5485" s="21">
        <f>IF(D5485="?OLD","!!!","")</f>
        <v/>
      </c>
      <c r="F5485" s="22" t="str">
        <f>IF(OR(E5485="",E5485="!!!"),"",IF(NOT(ISNA(VLOOKUP(E5485,E$1:E5484,1,FALSE()))),"OLD",IF(AND(E5485&lt;&gt;"",E5485&lt;&gt;"!!!"),"NEW","")))</f>
        <v> </v>
      </c>
      <c r="G5485" s="23" t="str">
        <f>IF(OR(E5485="",E5485="!!!"),"",IF(OR(J5485=0,AND(J5485=1,K5485=1),AND(J5485=1,I5485="SBJ"),AND(J5485=1,I5485=0)),"?IN_FOCUS",IF(J5485&lt;=2,"?ACTIVATED",IF(J5485&lt;&gt;"","?FAMILIAR",IF(F5485="NEW",IF(ISNA(VLOOKUP(E5485,#REF!,1,FALSE())),"?TYPE_IDENTIFIABLE","?REFERENTIAL"),"_")))))</f>
        <v> </v>
      </c>
      <c r="H5485" s="24" t="str">
        <f>IF(J5485&lt;&gt;1,"",IF(I5485="SBJ","CB","?"))</f>
        <v> </v>
      </c>
      <c r="I5485" s="25" t="str">
        <f>IF(OR(E5485="",E5485="!!!",F5485="NEW"),"",INDEX(B5484:B$2,-1+SUMPRODUCT(MAX(ROW(E5484:E$2)*(E5485=E5484:E$2)))))</f>
        <v> </v>
      </c>
      <c r="J5485" s="25" t="str">
        <f>IF(OR(E5485="",E5485="!!!",F5485="NEW"),"",COUNTBLANK(OFFSET(A$1,,,SUMPRODUCT(MAX(ROW(E$2:E5485)*(E5485=E$2:E5485)))))-COUNTBLANK(OFFSET(A$1,,,SUMPRODUCT(MAX(ROW(E$1:E5484)*(E2=E$1:E5484))))))</f>
        <v> </v>
      </c>
      <c r="K5485" s="25" t="str">
        <f>IF(OR(E5485="",E5485="!!!",F5485="NEW"),"",INDEX(J$1:J5484,SUMPRODUCT(MAX(ROW(E$1:E5484)*(E5485=E$1:E5484)))))</f>
        <v> </v>
      </c>
      <c r="L5485" s="26"/>
    </row>
    <row r="5486" spans="1:12">
      <c r="A5486" s="20" t="s">
        <v>1475</v>
      </c>
      <c r="E5486" s="21">
        <f>IF(D5486="?OLD","!!!","")</f>
        <v/>
      </c>
      <c r="F5486" s="22" t="str">
        <f>IF(OR(E5486="",E5486="!!!"),"",IF(NOT(ISNA(VLOOKUP(E5486,E$1:E5485,1,FALSE()))),"OLD",IF(AND(E5486&lt;&gt;"",E5486&lt;&gt;"!!!"),"NEW","")))</f>
        <v> </v>
      </c>
      <c r="G5486" s="23" t="str">
        <f>IF(OR(E5486="",E5486="!!!"),"",IF(OR(J5486=0,AND(J5486=1,K5486=1),AND(J5486=1,I5486="SBJ"),AND(J5486=1,I5486=0)),"?IN_FOCUS",IF(J5486&lt;=2,"?ACTIVATED",IF(J5486&lt;&gt;"","?FAMILIAR",IF(F5486="NEW",IF(ISNA(VLOOKUP(E5486,#REF!,1,FALSE())),"?TYPE_IDENTIFIABLE","?REFERENTIAL"),"_")))))</f>
        <v> </v>
      </c>
      <c r="H5486" s="24" t="str">
        <f>IF(J5486&lt;&gt;1,"",IF(I5486="SBJ","CB","?"))</f>
        <v> </v>
      </c>
      <c r="I5486" s="25" t="str">
        <f>IF(OR(E5486="",E5486="!!!",F5486="NEW"),"",INDEX(B5485:B$2,-1+SUMPRODUCT(MAX(ROW(E5485:E$2)*(E5486=E5485:E$2)))))</f>
        <v> </v>
      </c>
      <c r="J5486" s="25" t="str">
        <f>IF(OR(E5486="",E5486="!!!",F5486="NEW"),"",COUNTBLANK(OFFSET(A$1,,,SUMPRODUCT(MAX(ROW(E$2:E5486)*(E5486=E$2:E5486)))))-COUNTBLANK(OFFSET(A$1,,,SUMPRODUCT(MAX(ROW(E$1:E5485)*(E2=E$1:E5485))))))</f>
        <v> </v>
      </c>
      <c r="K5486" s="25" t="str">
        <f>IF(OR(E5486="",E5486="!!!",F5486="NEW"),"",INDEX(J$1:J5485,SUMPRODUCT(MAX(ROW(E$1:E5485)*(E5486=E$1:E5485)))))</f>
        <v> </v>
      </c>
      <c r="L5486" s="26"/>
    </row>
    <row r="5487" spans="1:12">
      <c r="A5487" s="20" t="s">
        <v>2476</v>
      </c>
      <c r="E5487" s="21">
        <f>IF(D5487="?OLD","!!!","")</f>
        <v/>
      </c>
      <c r="F5487" s="22" t="str">
        <f>IF(OR(E5487="",E5487="!!!"),"",IF(NOT(ISNA(VLOOKUP(E5487,E$1:E5486,1,FALSE()))),"OLD",IF(AND(E5487&lt;&gt;"",E5487&lt;&gt;"!!!"),"NEW","")))</f>
        <v> </v>
      </c>
      <c r="G5487" s="23" t="str">
        <f>IF(OR(E5487="",E5487="!!!"),"",IF(OR(J5487=0,AND(J5487=1,K5487=1),AND(J5487=1,I5487="SBJ"),AND(J5487=1,I5487=0)),"?IN_FOCUS",IF(J5487&lt;=2,"?ACTIVATED",IF(J5487&lt;&gt;"","?FAMILIAR",IF(F5487="NEW",IF(ISNA(VLOOKUP(E5487,#REF!,1,FALSE())),"?TYPE_IDENTIFIABLE","?REFERENTIAL"),"_")))))</f>
        <v> </v>
      </c>
      <c r="H5487" s="24" t="str">
        <f>IF(J5487&lt;&gt;1,"",IF(I5487="SBJ","CB","?"))</f>
        <v> </v>
      </c>
      <c r="I5487" s="25" t="str">
        <f>IF(OR(E5487="",E5487="!!!",F5487="NEW"),"",INDEX(B5486:B$2,-1+SUMPRODUCT(MAX(ROW(E5486:E$2)*(E5487=E5486:E$2)))))</f>
        <v> </v>
      </c>
      <c r="J5487" s="25" t="str">
        <f>IF(OR(E5487="",E5487="!!!",F5487="NEW"),"",COUNTBLANK(OFFSET(A$1,,,SUMPRODUCT(MAX(ROW(E$2:E5487)*(E5487=E$2:E5487)))))-COUNTBLANK(OFFSET(A$1,,,SUMPRODUCT(MAX(ROW(E$1:E5486)*(E2=E$1:E5486))))))</f>
        <v> </v>
      </c>
      <c r="K5487" s="25" t="str">
        <f>IF(OR(E5487="",E5487="!!!",F5487="NEW"),"",INDEX(J$1:J5486,SUMPRODUCT(MAX(ROW(E$1:E5486)*(E5487=E$1:E5486)))))</f>
        <v> </v>
      </c>
      <c r="L5487" s="26"/>
    </row>
    <row r="5488" spans="1:12">
      <c r="A5488" s="20" t="s">
        <v>1473</v>
      </c>
      <c r="B5488" s="27" t="s">
        <v>982</v>
      </c>
      <c r="C5488" s="27" t="s">
        <v>974</v>
      </c>
      <c r="E5488" s="21">
        <f>IF(D5488="?OLD","!!!","")</f>
        <v/>
      </c>
      <c r="F5488" s="22" t="str">
        <f>IF(OR(E5488="",E5488="!!!"),"",IF(NOT(ISNA(VLOOKUP(E5488,E$1:E5487,1,FALSE()))),"OLD",IF(AND(E5488&lt;&gt;"",E5488&lt;&gt;"!!!"),"NEW","")))</f>
        <v> </v>
      </c>
      <c r="G5488" s="23" t="str">
        <f>IF(OR(E5488="",E5488="!!!"),"",IF(OR(J5488=0,AND(J5488=1,K5488=1),AND(J5488=1,I5488="SBJ"),AND(J5488=1,I5488=0)),"?IN_FOCUS",IF(J5488&lt;=2,"?ACTIVATED",IF(J5488&lt;&gt;"","?FAMILIAR",IF(F5488="NEW",IF(ISNA(VLOOKUP(E5488,#REF!,1,FALSE())),"?TYPE_IDENTIFIABLE","?REFERENTIAL"),"_")))))</f>
        <v> </v>
      </c>
      <c r="H5488" s="24" t="str">
        <f>IF(J5488&lt;&gt;1,"",IF(I5488="SBJ","CB","?"))</f>
        <v> </v>
      </c>
      <c r="I5488" s="25" t="str">
        <f>IF(OR(E5488="",E5488="!!!",F5488="NEW"),"",INDEX(B5487:B$2,-1+SUMPRODUCT(MAX(ROW(E5487:E$2)*(E5488=E5487:E$2)))))</f>
        <v> </v>
      </c>
      <c r="J5488" s="25" t="str">
        <f>IF(OR(E5488="",E5488="!!!",F5488="NEW"),"",COUNTBLANK(OFFSET(A$1,,,SUMPRODUCT(MAX(ROW(E$2:E5488)*(E5488=E$2:E5488)))))-COUNTBLANK(OFFSET(A$1,,,SUMPRODUCT(MAX(ROW(E$1:E5487)*(E2=E$1:E5487))))))</f>
        <v> </v>
      </c>
      <c r="K5488" s="25" t="str">
        <f>IF(OR(E5488="",E5488="!!!",F5488="NEW"),"",INDEX(J$1:J5487,SUMPRODUCT(MAX(ROW(E$1:E5487)*(E5488=E$1:E5487)))))</f>
        <v> </v>
      </c>
      <c r="L5488" s="26"/>
    </row>
    <row r="5489" spans="1:12">
      <c r="A5489" s="20" t="s">
        <v>1262</v>
      </c>
      <c r="E5489" s="21">
        <f>IF(D5489="?OLD","!!!","")</f>
        <v/>
      </c>
      <c r="F5489" s="22" t="str">
        <f>IF(OR(E5489="",E5489="!!!"),"",IF(NOT(ISNA(VLOOKUP(E5489,E$1:E5488,1,FALSE()))),"OLD",IF(AND(E5489&lt;&gt;"",E5489&lt;&gt;"!!!"),"NEW","")))</f>
        <v> </v>
      </c>
      <c r="G5489" s="23" t="str">
        <f>IF(OR(E5489="",E5489="!!!"),"",IF(OR(J5489=0,AND(J5489=1,K5489=1),AND(J5489=1,I5489="SBJ"),AND(J5489=1,I5489=0)),"?IN_FOCUS",IF(J5489&lt;=2,"?ACTIVATED",IF(J5489&lt;&gt;"","?FAMILIAR",IF(F5489="NEW",IF(ISNA(VLOOKUP(E5489,#REF!,1,FALSE())),"?TYPE_IDENTIFIABLE","?REFERENTIAL"),"_")))))</f>
        <v> </v>
      </c>
      <c r="H5489" s="24" t="str">
        <f>IF(J5489&lt;&gt;1,"",IF(I5489="SBJ","CB","?"))</f>
        <v> </v>
      </c>
      <c r="I5489" s="25" t="str">
        <f>IF(OR(E5489="",E5489="!!!",F5489="NEW"),"",INDEX(B5488:B$2,-1+SUMPRODUCT(MAX(ROW(E5488:E$2)*(E5489=E5488:E$2)))))</f>
        <v> </v>
      </c>
      <c r="J5489" s="25" t="str">
        <f>IF(OR(E5489="",E5489="!!!",F5489="NEW"),"",COUNTBLANK(OFFSET(A$1,,,SUMPRODUCT(MAX(ROW(E$2:E5489)*(E5489=E$2:E5489)))))-COUNTBLANK(OFFSET(A$1,,,SUMPRODUCT(MAX(ROW(E$1:E5488)*(E2=E$1:E5488))))))</f>
        <v> </v>
      </c>
      <c r="K5489" s="25" t="str">
        <f>IF(OR(E5489="",E5489="!!!",F5489="NEW"),"",INDEX(J$1:J5488,SUMPRODUCT(MAX(ROW(E$1:E5488)*(E5489=E$1:E5488)))))</f>
        <v> </v>
      </c>
      <c r="L5489" s="26"/>
    </row>
    <row r="5490" spans="1:12">
      <c r="A5490" s="20" t="s">
        <v>980</v>
      </c>
      <c r="E5490" s="21">
        <f>IF(D5490="?OLD","!!!","")</f>
        <v/>
      </c>
      <c r="F5490" s="22" t="str">
        <f>IF(OR(E5490="",E5490="!!!"),"",IF(NOT(ISNA(VLOOKUP(E5490,E$1:E5489,1,FALSE()))),"OLD",IF(AND(E5490&lt;&gt;"",E5490&lt;&gt;"!!!"),"NEW","")))</f>
        <v> </v>
      </c>
      <c r="G5490" s="23" t="str">
        <f>IF(OR(E5490="",E5490="!!!"),"",IF(OR(J5490=0,AND(J5490=1,K5490=1),AND(J5490=1,I5490="SBJ"),AND(J5490=1,I5490=0)),"?IN_FOCUS",IF(J5490&lt;=2,"?ACTIVATED",IF(J5490&lt;&gt;"","?FAMILIAR",IF(F5490="NEW",IF(ISNA(VLOOKUP(E5490,#REF!,1,FALSE())),"?TYPE_IDENTIFIABLE","?REFERENTIAL"),"_")))))</f>
        <v> </v>
      </c>
      <c r="H5490" s="24" t="str">
        <f>IF(J5490&lt;&gt;1,"",IF(I5490="SBJ","CB","?"))</f>
        <v> </v>
      </c>
      <c r="I5490" s="25" t="str">
        <f>IF(OR(E5490="",E5490="!!!",F5490="NEW"),"",INDEX(B5489:B$2,-1+SUMPRODUCT(MAX(ROW(E5489:E$2)*(E5490=E5489:E$2)))))</f>
        <v> </v>
      </c>
      <c r="J5490" s="25" t="str">
        <f>IF(OR(E5490="",E5490="!!!",F5490="NEW"),"",COUNTBLANK(OFFSET(A$1,,,SUMPRODUCT(MAX(ROW(E$2:E5490)*(E5490=E$2:E5490)))))-COUNTBLANK(OFFSET(A$1,,,SUMPRODUCT(MAX(ROW(E$1:E5489)*(E2=E$1:E5489))))))</f>
        <v> </v>
      </c>
      <c r="K5490" s="25" t="str">
        <f>IF(OR(E5490="",E5490="!!!",F5490="NEW"),"",INDEX(J$1:J5489,SUMPRODUCT(MAX(ROW(E$1:E5489)*(E5490=E$1:E5489)))))</f>
        <v> </v>
      </c>
      <c r="L5490" s="26"/>
    </row>
    <row r="5491" spans="1:12">
      <c r="A5491" s="20" t="s">
        <v>993</v>
      </c>
      <c r="B5491" s="27" t="s">
        <v>997</v>
      </c>
      <c r="C5491" s="27" t="s">
        <v>968</v>
      </c>
      <c r="D5491" s="27" t="s">
        <v>969</v>
      </c>
      <c r="E5491" s="21">
        <f>IF(D5491="?OLD","!!!","")</f>
        <v/>
      </c>
      <c r="F5491" s="22" t="str">
        <f>IF(OR(E5491="",E5491="!!!"),"",IF(NOT(ISNA(VLOOKUP(E5491,E$1:E5490,1,FALSE()))),"OLD",IF(AND(E5491&lt;&gt;"",E5491&lt;&gt;"!!!"),"NEW","")))</f>
        <v> </v>
      </c>
      <c r="G5491" s="23" t="str">
        <f>IF(OR(E5491="",E5491="!!!"),"",IF(OR(J5491=0,AND(J5491=1,K5491=1),AND(J5491=1,I5491="SBJ"),AND(J5491=1,I5491=0)),"?IN_FOCUS",IF(J5491&lt;=2,"?ACTIVATED",IF(J5491&lt;&gt;"","?FAMILIAR",IF(F5491="NEW",IF(ISNA(VLOOKUP(E5491,#REF!,1,FALSE())),"?TYPE_IDENTIFIABLE","?REFERENTIAL"),"_")))))</f>
        <v> </v>
      </c>
      <c r="H5491" s="24" t="str">
        <f>IF(J5491&lt;&gt;1,"",IF(I5491="SBJ","CB","?"))</f>
        <v> </v>
      </c>
      <c r="I5491" s="25" t="str">
        <f>IF(OR(E5491="",E5491="!!!",F5491="NEW"),"",INDEX(B5490:B$2,-1+SUMPRODUCT(MAX(ROW(E5490:E$2)*(E5491=E5490:E$2)))))</f>
        <v> </v>
      </c>
      <c r="J5491" s="25" t="str">
        <f>IF(OR(E5491="",E5491="!!!",F5491="NEW"),"",COUNTBLANK(OFFSET(A$1,,,SUMPRODUCT(MAX(ROW(E$2:E5491)*(E5491=E$2:E5491)))))-COUNTBLANK(OFFSET(A$1,,,SUMPRODUCT(MAX(ROW(E$1:E5490)*(E2=E$1:E5490))))))</f>
        <v> </v>
      </c>
      <c r="K5491" s="25" t="str">
        <f>IF(OR(E5491="",E5491="!!!",F5491="NEW"),"",INDEX(J$1:J5490,SUMPRODUCT(MAX(ROW(E$1:E5490)*(E5491=E$1:E5490)))))</f>
        <v> </v>
      </c>
      <c r="L5491" s="26"/>
    </row>
    <row r="5492" spans="1:12">
      <c r="A5492" s="20" t="s">
        <v>2265</v>
      </c>
      <c r="E5492" s="21">
        <f>IF(D5492="?OLD","!!!","")</f>
        <v/>
      </c>
      <c r="F5492" s="22" t="str">
        <f>IF(OR(E5492="",E5492="!!!"),"",IF(NOT(ISNA(VLOOKUP(E5492,E$1:E5491,1,FALSE()))),"OLD",IF(AND(E5492&lt;&gt;"",E5492&lt;&gt;"!!!"),"NEW","")))</f>
        <v> </v>
      </c>
      <c r="G5492" s="23" t="str">
        <f>IF(OR(E5492="",E5492="!!!"),"",IF(OR(J5492=0,AND(J5492=1,K5492=1),AND(J5492=1,I5492="SBJ"),AND(J5492=1,I5492=0)),"?IN_FOCUS",IF(J5492&lt;=2,"?ACTIVATED",IF(J5492&lt;&gt;"","?FAMILIAR",IF(F5492="NEW",IF(ISNA(VLOOKUP(E5492,#REF!,1,FALSE())),"?TYPE_IDENTIFIABLE","?REFERENTIAL"),"_")))))</f>
        <v> </v>
      </c>
      <c r="H5492" s="24" t="str">
        <f>IF(J5492&lt;&gt;1,"",IF(I5492="SBJ","CB","?"))</f>
        <v> </v>
      </c>
      <c r="I5492" s="25" t="str">
        <f>IF(OR(E5492="",E5492="!!!",F5492="NEW"),"",INDEX(B5491:B$2,-1+SUMPRODUCT(MAX(ROW(E5491:E$2)*(E5492=E5491:E$2)))))</f>
        <v> </v>
      </c>
      <c r="J5492" s="25" t="str">
        <f>IF(OR(E5492="",E5492="!!!",F5492="NEW"),"",COUNTBLANK(OFFSET(A$1,,,SUMPRODUCT(MAX(ROW(E$2:E5492)*(E5492=E$2:E5492)))))-COUNTBLANK(OFFSET(A$1,,,SUMPRODUCT(MAX(ROW(E$1:E5491)*(E2=E$1:E5491))))))</f>
        <v> </v>
      </c>
      <c r="K5492" s="25" t="str">
        <f>IF(OR(E5492="",E5492="!!!",F5492="NEW"),"",INDEX(J$1:J5491,SUMPRODUCT(MAX(ROW(E$1:E5491)*(E5492=E$1:E5491)))))</f>
        <v> </v>
      </c>
      <c r="L5492" s="26"/>
    </row>
    <row r="5493" spans="1:12">
      <c r="A5493" s="20" t="s">
        <v>1828</v>
      </c>
      <c r="E5493" s="21">
        <f>IF(D5493="?OLD","!!!","")</f>
        <v/>
      </c>
      <c r="F5493" s="22" t="str">
        <f>IF(OR(E5493="",E5493="!!!"),"",IF(NOT(ISNA(VLOOKUP(E5493,E$1:E5492,1,FALSE()))),"OLD",IF(AND(E5493&lt;&gt;"",E5493&lt;&gt;"!!!"),"NEW","")))</f>
        <v> </v>
      </c>
      <c r="G5493" s="23" t="str">
        <f>IF(OR(E5493="",E5493="!!!"),"",IF(OR(J5493=0,AND(J5493=1,K5493=1),AND(J5493=1,I5493="SBJ"),AND(J5493=1,I5493=0)),"?IN_FOCUS",IF(J5493&lt;=2,"?ACTIVATED",IF(J5493&lt;&gt;"","?FAMILIAR",IF(F5493="NEW",IF(ISNA(VLOOKUP(E5493,#REF!,1,FALSE())),"?TYPE_IDENTIFIABLE","?REFERENTIAL"),"_")))))</f>
        <v> </v>
      </c>
      <c r="H5493" s="24" t="str">
        <f>IF(J5493&lt;&gt;1,"",IF(I5493="SBJ","CB","?"))</f>
        <v> </v>
      </c>
      <c r="I5493" s="25" t="str">
        <f>IF(OR(E5493="",E5493="!!!",F5493="NEW"),"",INDEX(B5492:B$2,-1+SUMPRODUCT(MAX(ROW(E5492:E$2)*(E5493=E5492:E$2)))))</f>
        <v> </v>
      </c>
      <c r="J5493" s="25" t="str">
        <f>IF(OR(E5493="",E5493="!!!",F5493="NEW"),"",COUNTBLANK(OFFSET(A$1,,,SUMPRODUCT(MAX(ROW(E$2:E5493)*(E5493=E$2:E5493)))))-COUNTBLANK(OFFSET(A$1,,,SUMPRODUCT(MAX(ROW(E$1:E5492)*(E2=E$1:E5492))))))</f>
        <v> </v>
      </c>
      <c r="K5493" s="25" t="str">
        <f>IF(OR(E5493="",E5493="!!!",F5493="NEW"),"",INDEX(J$1:J5492,SUMPRODUCT(MAX(ROW(E$1:E5492)*(E5493=E$1:E5492)))))</f>
        <v> </v>
      </c>
      <c r="L5493" s="26"/>
    </row>
    <row r="5494" spans="1:12">
      <c r="A5494" s="20" t="s">
        <v>1158</v>
      </c>
      <c r="E5494" s="21">
        <f>IF(D5494="?OLD","!!!","")</f>
        <v/>
      </c>
      <c r="F5494" s="22" t="str">
        <f>IF(OR(E5494="",E5494="!!!"),"",IF(NOT(ISNA(VLOOKUP(E5494,E$1:E5493,1,FALSE()))),"OLD",IF(AND(E5494&lt;&gt;"",E5494&lt;&gt;"!!!"),"NEW","")))</f>
        <v> </v>
      </c>
      <c r="G5494" s="23" t="str">
        <f>IF(OR(E5494="",E5494="!!!"),"",IF(OR(J5494=0,AND(J5494=1,K5494=1),AND(J5494=1,I5494="SBJ"),AND(J5494=1,I5494=0)),"?IN_FOCUS",IF(J5494&lt;=2,"?ACTIVATED",IF(J5494&lt;&gt;"","?FAMILIAR",IF(F5494="NEW",IF(ISNA(VLOOKUP(E5494,#REF!,1,FALSE())),"?TYPE_IDENTIFIABLE","?REFERENTIAL"),"_")))))</f>
        <v> </v>
      </c>
      <c r="H5494" s="24" t="str">
        <f>IF(J5494&lt;&gt;1,"",IF(I5494="SBJ","CB","?"))</f>
        <v> </v>
      </c>
      <c r="I5494" s="25" t="str">
        <f>IF(OR(E5494="",E5494="!!!",F5494="NEW"),"",INDEX(B5493:B$2,-1+SUMPRODUCT(MAX(ROW(E5493:E$2)*(E5494=E5493:E$2)))))</f>
        <v> </v>
      </c>
      <c r="J5494" s="25" t="str">
        <f>IF(OR(E5494="",E5494="!!!",F5494="NEW"),"",COUNTBLANK(OFFSET(A$1,,,SUMPRODUCT(MAX(ROW(E$2:E5494)*(E5494=E$2:E5494)))))-COUNTBLANK(OFFSET(A$1,,,SUMPRODUCT(MAX(ROW(E$1:E5493)*(E2=E$1:E5493))))))</f>
        <v> </v>
      </c>
      <c r="K5494" s="25" t="str">
        <f>IF(OR(E5494="",E5494="!!!",F5494="NEW"),"",INDEX(J$1:J5493,SUMPRODUCT(MAX(ROW(E$1:E5493)*(E5494=E$1:E5493)))))</f>
        <v> </v>
      </c>
      <c r="L5494" s="26"/>
    </row>
    <row r="5495" spans="1:12">
      <c r="A5495" s="20" t="s">
        <v>1820</v>
      </c>
      <c r="E5495" s="21">
        <f>IF(D5495="?OLD","!!!","")</f>
        <v/>
      </c>
      <c r="F5495" s="22" t="str">
        <f>IF(OR(E5495="",E5495="!!!"),"",IF(NOT(ISNA(VLOOKUP(E5495,E$1:E5494,1,FALSE()))),"OLD",IF(AND(E5495&lt;&gt;"",E5495&lt;&gt;"!!!"),"NEW","")))</f>
        <v> </v>
      </c>
      <c r="G5495" s="23" t="str">
        <f>IF(OR(E5495="",E5495="!!!"),"",IF(OR(J5495=0,AND(J5495=1,K5495=1),AND(J5495=1,I5495="SBJ"),AND(J5495=1,I5495=0)),"?IN_FOCUS",IF(J5495&lt;=2,"?ACTIVATED",IF(J5495&lt;&gt;"","?FAMILIAR",IF(F5495="NEW",IF(ISNA(VLOOKUP(E5495,#REF!,1,FALSE())),"?TYPE_IDENTIFIABLE","?REFERENTIAL"),"_")))))</f>
        <v> </v>
      </c>
      <c r="H5495" s="24" t="str">
        <f>IF(J5495&lt;&gt;1,"",IF(I5495="SBJ","CB","?"))</f>
        <v> </v>
      </c>
      <c r="I5495" s="25" t="str">
        <f>IF(OR(E5495="",E5495="!!!",F5495="NEW"),"",INDEX(B5494:B$2,-1+SUMPRODUCT(MAX(ROW(E5494:E$2)*(E5495=E5494:E$2)))))</f>
        <v> </v>
      </c>
      <c r="J5495" s="25" t="str">
        <f>IF(OR(E5495="",E5495="!!!",F5495="NEW"),"",COUNTBLANK(OFFSET(A$1,,,SUMPRODUCT(MAX(ROW(E$2:E5495)*(E5495=E$2:E5495)))))-COUNTBLANK(OFFSET(A$1,,,SUMPRODUCT(MAX(ROW(E$1:E5494)*(E2=E$1:E5494))))))</f>
        <v> </v>
      </c>
      <c r="K5495" s="25" t="str">
        <f>IF(OR(E5495="",E5495="!!!",F5495="NEW"),"",INDEX(J$1:J5494,SUMPRODUCT(MAX(ROW(E$1:E5494)*(E5495=E$1:E5494)))))</f>
        <v> </v>
      </c>
      <c r="L5495" s="26"/>
    </row>
    <row r="5496" spans="1:12">
      <c r="A5496" s="20" t="s">
        <v>518</v>
      </c>
      <c r="E5496" s="21">
        <f>IF(D5496="?OLD","!!!","")</f>
        <v/>
      </c>
      <c r="F5496" s="22" t="str">
        <f>IF(OR(E5496="",E5496="!!!"),"",IF(NOT(ISNA(VLOOKUP(E5496,E$1:E5495,1,FALSE()))),"OLD",IF(AND(E5496&lt;&gt;"",E5496&lt;&gt;"!!!"),"NEW","")))</f>
        <v> </v>
      </c>
      <c r="G5496" s="23" t="str">
        <f>IF(OR(E5496="",E5496="!!!"),"",IF(OR(J5496=0,AND(J5496=1,K5496=1),AND(J5496=1,I5496="SBJ"),AND(J5496=1,I5496=0)),"?IN_FOCUS",IF(J5496&lt;=2,"?ACTIVATED",IF(J5496&lt;&gt;"","?FAMILIAR",IF(F5496="NEW",IF(ISNA(VLOOKUP(E5496,#REF!,1,FALSE())),"?TYPE_IDENTIFIABLE","?REFERENTIAL"),"_")))))</f>
        <v> </v>
      </c>
      <c r="H5496" s="24" t="str">
        <f>IF(J5496&lt;&gt;1,"",IF(I5496="SBJ","CB","?"))</f>
        <v> </v>
      </c>
      <c r="I5496" s="25" t="str">
        <f>IF(OR(E5496="",E5496="!!!",F5496="NEW"),"",INDEX(B5495:B$2,-1+SUMPRODUCT(MAX(ROW(E5495:E$2)*(E5496=E5495:E$2)))))</f>
        <v> </v>
      </c>
      <c r="J5496" s="25" t="str">
        <f>IF(OR(E5496="",E5496="!!!",F5496="NEW"),"",COUNTBLANK(OFFSET(A$1,,,SUMPRODUCT(MAX(ROW(E$2:E5496)*(E5496=E$2:E5496)))))-COUNTBLANK(OFFSET(A$1,,,SUMPRODUCT(MAX(ROW(E$1:E5495)*(E2=E$1:E5495))))))</f>
        <v> </v>
      </c>
      <c r="K5496" s="25" t="str">
        <f>IF(OR(E5496="",E5496="!!!",F5496="NEW"),"",INDEX(J$1:J5495,SUMPRODUCT(MAX(ROW(E$1:E5495)*(E5496=E$1:E5495)))))</f>
        <v> </v>
      </c>
      <c r="L5496" s="26"/>
    </row>
    <row r="5497" spans="1:12">
      <c r="A5497" s="20" t="s">
        <v>980</v>
      </c>
      <c r="E5497" s="21">
        <f>IF(D5497="?OLD","!!!","")</f>
        <v/>
      </c>
      <c r="F5497" s="22" t="str">
        <f>IF(OR(E5497="",E5497="!!!"),"",IF(NOT(ISNA(VLOOKUP(E5497,E$1:E5496,1,FALSE()))),"OLD",IF(AND(E5497&lt;&gt;"",E5497&lt;&gt;"!!!"),"NEW","")))</f>
        <v> </v>
      </c>
      <c r="G5497" s="23" t="str">
        <f>IF(OR(E5497="",E5497="!!!"),"",IF(OR(J5497=0,AND(J5497=1,K5497=1),AND(J5497=1,I5497="SBJ"),AND(J5497=1,I5497=0)),"?IN_FOCUS",IF(J5497&lt;=2,"?ACTIVATED",IF(J5497&lt;&gt;"","?FAMILIAR",IF(F5497="NEW",IF(ISNA(VLOOKUP(E5497,#REF!,1,FALSE())),"?TYPE_IDENTIFIABLE","?REFERENTIAL"),"_")))))</f>
        <v> </v>
      </c>
      <c r="H5497" s="24" t="str">
        <f>IF(J5497&lt;&gt;1,"",IF(I5497="SBJ","CB","?"))</f>
        <v> </v>
      </c>
      <c r="I5497" s="25" t="str">
        <f>IF(OR(E5497="",E5497="!!!",F5497="NEW"),"",INDEX(B5496:B$2,-1+SUMPRODUCT(MAX(ROW(E5496:E$2)*(E5497=E5496:E$2)))))</f>
        <v> </v>
      </c>
      <c r="J5497" s="25" t="str">
        <f>IF(OR(E5497="",E5497="!!!",F5497="NEW"),"",COUNTBLANK(OFFSET(A$1,,,SUMPRODUCT(MAX(ROW(E$2:E5497)*(E5497=E$2:E5497)))))-COUNTBLANK(OFFSET(A$1,,,SUMPRODUCT(MAX(ROW(E$1:E5496)*(E2=E$1:E5496))))))</f>
        <v> </v>
      </c>
      <c r="K5497" s="25" t="str">
        <f>IF(OR(E5497="",E5497="!!!",F5497="NEW"),"",INDEX(J$1:J5496,SUMPRODUCT(MAX(ROW(E$1:E5496)*(E5497=E$1:E5496)))))</f>
        <v> </v>
      </c>
      <c r="L5497" s="26"/>
    </row>
    <row r="5498" spans="1:12">
      <c r="A5498" s="20" t="s">
        <v>993</v>
      </c>
      <c r="B5498" s="27" t="s">
        <v>997</v>
      </c>
      <c r="C5498" s="27" t="s">
        <v>968</v>
      </c>
      <c r="D5498" s="27" t="s">
        <v>969</v>
      </c>
      <c r="E5498" s="21">
        <f>IF(D5498="?OLD","!!!","")</f>
        <v/>
      </c>
      <c r="F5498" s="22" t="str">
        <f>IF(OR(E5498="",E5498="!!!"),"",IF(NOT(ISNA(VLOOKUP(E5498,E$1:E5497,1,FALSE()))),"OLD",IF(AND(E5498&lt;&gt;"",E5498&lt;&gt;"!!!"),"NEW","")))</f>
        <v> </v>
      </c>
      <c r="G5498" s="23" t="str">
        <f>IF(OR(E5498="",E5498="!!!"),"",IF(OR(J5498=0,AND(J5498=1,K5498=1),AND(J5498=1,I5498="SBJ"),AND(J5498=1,I5498=0)),"?IN_FOCUS",IF(J5498&lt;=2,"?ACTIVATED",IF(J5498&lt;&gt;"","?FAMILIAR",IF(F5498="NEW",IF(ISNA(VLOOKUP(E5498,#REF!,1,FALSE())),"?TYPE_IDENTIFIABLE","?REFERENTIAL"),"_")))))</f>
        <v> </v>
      </c>
      <c r="H5498" s="24" t="str">
        <f>IF(J5498&lt;&gt;1,"",IF(I5498="SBJ","CB","?"))</f>
        <v> </v>
      </c>
      <c r="I5498" s="25" t="str">
        <f>IF(OR(E5498="",E5498="!!!",F5498="NEW"),"",INDEX(B5497:B$2,-1+SUMPRODUCT(MAX(ROW(E5497:E$2)*(E5498=E5497:E$2)))))</f>
        <v> </v>
      </c>
      <c r="J5498" s="25" t="str">
        <f>IF(OR(E5498="",E5498="!!!",F5498="NEW"),"",COUNTBLANK(OFFSET(A$1,,,SUMPRODUCT(MAX(ROW(E$2:E5498)*(E5498=E$2:E5498)))))-COUNTBLANK(OFFSET(A$1,,,SUMPRODUCT(MAX(ROW(E$1:E5497)*(E2=E$1:E5497))))))</f>
        <v> </v>
      </c>
      <c r="K5498" s="25" t="str">
        <f>IF(OR(E5498="",E5498="!!!",F5498="NEW"),"",INDEX(J$1:J5497,SUMPRODUCT(MAX(ROW(E$1:E5497)*(E5498=E$1:E5497)))))</f>
        <v> </v>
      </c>
      <c r="L5498" s="26"/>
    </row>
    <row r="5499" spans="1:12">
      <c r="A5499" s="20" t="s">
        <v>1962</v>
      </c>
      <c r="E5499" s="21">
        <f>IF(D5499="?OLD","!!!","")</f>
        <v/>
      </c>
      <c r="F5499" s="22" t="str">
        <f>IF(OR(E5499="",E5499="!!!"),"",IF(NOT(ISNA(VLOOKUP(E5499,E$1:E5498,1,FALSE()))),"OLD",IF(AND(E5499&lt;&gt;"",E5499&lt;&gt;"!!!"),"NEW","")))</f>
        <v> </v>
      </c>
      <c r="G5499" s="23" t="str">
        <f>IF(OR(E5499="",E5499="!!!"),"",IF(OR(J5499=0,AND(J5499=1,K5499=1),AND(J5499=1,I5499="SBJ"),AND(J5499=1,I5499=0)),"?IN_FOCUS",IF(J5499&lt;=2,"?ACTIVATED",IF(J5499&lt;&gt;"","?FAMILIAR",IF(F5499="NEW",IF(ISNA(VLOOKUP(E5499,#REF!,1,FALSE())),"?TYPE_IDENTIFIABLE","?REFERENTIAL"),"_")))))</f>
        <v> </v>
      </c>
      <c r="H5499" s="24" t="str">
        <f>IF(J5499&lt;&gt;1,"",IF(I5499="SBJ","CB","?"))</f>
        <v> </v>
      </c>
      <c r="I5499" s="25" t="str">
        <f>IF(OR(E5499="",E5499="!!!",F5499="NEW"),"",INDEX(B5498:B$2,-1+SUMPRODUCT(MAX(ROW(E5498:E$2)*(E5499=E5498:E$2)))))</f>
        <v> </v>
      </c>
      <c r="J5499" s="25" t="str">
        <f>IF(OR(E5499="",E5499="!!!",F5499="NEW"),"",COUNTBLANK(OFFSET(A$1,,,SUMPRODUCT(MAX(ROW(E$2:E5499)*(E5499=E$2:E5499)))))-COUNTBLANK(OFFSET(A$1,,,SUMPRODUCT(MAX(ROW(E$1:E5498)*(E2=E$1:E5498))))))</f>
        <v> </v>
      </c>
      <c r="K5499" s="25" t="str">
        <f>IF(OR(E5499="",E5499="!!!",F5499="NEW"),"",INDEX(J$1:J5498,SUMPRODUCT(MAX(ROW(E$1:E5498)*(E5499=E$1:E5498)))))</f>
        <v> </v>
      </c>
      <c r="L5499" s="26"/>
    </row>
    <row r="5500" spans="1:12">
      <c r="A5500" s="20" t="s">
        <v>1021</v>
      </c>
      <c r="E5500" s="21">
        <f>IF(D5500="?OLD","!!!","")</f>
        <v/>
      </c>
      <c r="F5500" s="22" t="str">
        <f>IF(OR(E5500="",E5500="!!!"),"",IF(NOT(ISNA(VLOOKUP(E5500,E$1:E5499,1,FALSE()))),"OLD",IF(AND(E5500&lt;&gt;"",E5500&lt;&gt;"!!!"),"NEW","")))</f>
        <v> </v>
      </c>
      <c r="G5500" s="23" t="str">
        <f>IF(OR(E5500="",E5500="!!!"),"",IF(OR(J5500=0,AND(J5500=1,K5500=1),AND(J5500=1,I5500="SBJ"),AND(J5500=1,I5500=0)),"?IN_FOCUS",IF(J5500&lt;=2,"?ACTIVATED",IF(J5500&lt;&gt;"","?FAMILIAR",IF(F5500="NEW",IF(ISNA(VLOOKUP(E5500,#REF!,1,FALSE())),"?TYPE_IDENTIFIABLE","?REFERENTIAL"),"_")))))</f>
        <v> </v>
      </c>
      <c r="H5500" s="24" t="str">
        <f>IF(J5500&lt;&gt;1,"",IF(I5500="SBJ","CB","?"))</f>
        <v> </v>
      </c>
      <c r="I5500" s="25" t="str">
        <f>IF(OR(E5500="",E5500="!!!",F5500="NEW"),"",INDEX(B5499:B$2,-1+SUMPRODUCT(MAX(ROW(E5499:E$2)*(E5500=E5499:E$2)))))</f>
        <v> </v>
      </c>
      <c r="J5500" s="25" t="str">
        <f>IF(OR(E5500="",E5500="!!!",F5500="NEW"),"",COUNTBLANK(OFFSET(A$1,,,SUMPRODUCT(MAX(ROW(E$2:E5500)*(E5500=E$2:E5500)))))-COUNTBLANK(OFFSET(A$1,,,SUMPRODUCT(MAX(ROW(E$1:E5499)*(E2=E$1:E5499))))))</f>
        <v> </v>
      </c>
      <c r="K5500" s="25" t="str">
        <f>IF(OR(E5500="",E5500="!!!",F5500="NEW"),"",INDEX(J$1:J5499,SUMPRODUCT(MAX(ROW(E$1:E5499)*(E5500=E$1:E5499)))))</f>
        <v> </v>
      </c>
      <c r="L5500" s="26"/>
    </row>
    <row r="5501" spans="1:12">
      <c r="A5501" s="20" t="s">
        <v>1158</v>
      </c>
      <c r="E5501" s="21">
        <f>IF(D5501="?OLD","!!!","")</f>
        <v/>
      </c>
      <c r="F5501" s="22" t="str">
        <f>IF(OR(E5501="",E5501="!!!"),"",IF(NOT(ISNA(VLOOKUP(E5501,E$1:E5500,1,FALSE()))),"OLD",IF(AND(E5501&lt;&gt;"",E5501&lt;&gt;"!!!"),"NEW","")))</f>
        <v> </v>
      </c>
      <c r="G5501" s="23" t="str">
        <f>IF(OR(E5501="",E5501="!!!"),"",IF(OR(J5501=0,AND(J5501=1,K5501=1),AND(J5501=1,I5501="SBJ"),AND(J5501=1,I5501=0)),"?IN_FOCUS",IF(J5501&lt;=2,"?ACTIVATED",IF(J5501&lt;&gt;"","?FAMILIAR",IF(F5501="NEW",IF(ISNA(VLOOKUP(E5501,#REF!,1,FALSE())),"?TYPE_IDENTIFIABLE","?REFERENTIAL"),"_")))))</f>
        <v> </v>
      </c>
      <c r="H5501" s="24" t="str">
        <f>IF(J5501&lt;&gt;1,"",IF(I5501="SBJ","CB","?"))</f>
        <v> </v>
      </c>
      <c r="I5501" s="25" t="str">
        <f>IF(OR(E5501="",E5501="!!!",F5501="NEW"),"",INDEX(B5500:B$2,-1+SUMPRODUCT(MAX(ROW(E5500:E$2)*(E5501=E5500:E$2)))))</f>
        <v> </v>
      </c>
      <c r="J5501" s="25" t="str">
        <f>IF(OR(E5501="",E5501="!!!",F5501="NEW"),"",COUNTBLANK(OFFSET(A$1,,,SUMPRODUCT(MAX(ROW(E$2:E5501)*(E5501=E$2:E5501)))))-COUNTBLANK(OFFSET(A$1,,,SUMPRODUCT(MAX(ROW(E$1:E5500)*(E2=E$1:E5500))))))</f>
        <v> </v>
      </c>
      <c r="K5501" s="25" t="str">
        <f>IF(OR(E5501="",E5501="!!!",F5501="NEW"),"",INDEX(J$1:J5500,SUMPRODUCT(MAX(ROW(E$1:E5500)*(E5501=E$1:E5500)))))</f>
        <v> </v>
      </c>
      <c r="L5501" s="26"/>
    </row>
    <row r="5502" spans="1:12">
      <c r="A5502" s="20" t="s">
        <v>1545</v>
      </c>
      <c r="B5502" s="27" t="s">
        <v>1198</v>
      </c>
      <c r="C5502" s="27" t="s">
        <v>1234</v>
      </c>
      <c r="D5502" s="27" t="s">
        <v>969</v>
      </c>
      <c r="E5502" s="21">
        <f>IF(D5502="?OLD","!!!","")</f>
        <v/>
      </c>
      <c r="F5502" s="22" t="str">
        <f>IF(OR(E5502="",E5502="!!!"),"",IF(NOT(ISNA(VLOOKUP(E5502,E$1:E5501,1,FALSE()))),"OLD",IF(AND(E5502&lt;&gt;"",E5502&lt;&gt;"!!!"),"NEW","")))</f>
        <v> </v>
      </c>
      <c r="G5502" s="23" t="str">
        <f>IF(OR(E5502="",E5502="!!!"),"",IF(OR(J5502=0,AND(J5502=1,K5502=1),AND(J5502=1,I5502="SBJ"),AND(J5502=1,I5502=0)),"?IN_FOCUS",IF(J5502&lt;=2,"?ACTIVATED",IF(J5502&lt;&gt;"","?FAMILIAR",IF(F5502="NEW",IF(ISNA(VLOOKUP(E5502,#REF!,1,FALSE())),"?TYPE_IDENTIFIABLE","?REFERENTIAL"),"_")))))</f>
        <v> </v>
      </c>
      <c r="H5502" s="24" t="str">
        <f>IF(J5502&lt;&gt;1,"",IF(I5502="SBJ","CB","?"))</f>
        <v> </v>
      </c>
      <c r="I5502" s="25" t="str">
        <f>IF(OR(E5502="",E5502="!!!",F5502="NEW"),"",INDEX(B5501:B$2,-1+SUMPRODUCT(MAX(ROW(E5501:E$2)*(E5502=E5501:E$2)))))</f>
        <v> </v>
      </c>
      <c r="J5502" s="25" t="str">
        <f>IF(OR(E5502="",E5502="!!!",F5502="NEW"),"",COUNTBLANK(OFFSET(A$1,,,SUMPRODUCT(MAX(ROW(E$2:E5502)*(E5502=E$2:E5502)))))-COUNTBLANK(OFFSET(A$1,,,SUMPRODUCT(MAX(ROW(E$1:E5501)*(E2=E$1:E5501))))))</f>
        <v> </v>
      </c>
      <c r="K5502" s="25" t="str">
        <f>IF(OR(E5502="",E5502="!!!",F5502="NEW"),"",INDEX(J$1:J5501,SUMPRODUCT(MAX(ROW(E$1:E5501)*(E5502=E$1:E5501)))))</f>
        <v> </v>
      </c>
      <c r="L5502" s="26"/>
    </row>
    <row r="5503" spans="1:12">
      <c r="A5503" s="20" t="s">
        <v>241</v>
      </c>
      <c r="E5503" s="21">
        <f>IF(D5503="?OLD","!!!","")</f>
        <v/>
      </c>
      <c r="F5503" s="22" t="str">
        <f>IF(OR(E5503="",E5503="!!!"),"",IF(NOT(ISNA(VLOOKUP(E5503,E$1:E5502,1,FALSE()))),"OLD",IF(AND(E5503&lt;&gt;"",E5503&lt;&gt;"!!!"),"NEW","")))</f>
        <v> </v>
      </c>
      <c r="G5503" s="23" t="str">
        <f>IF(OR(E5503="",E5503="!!!"),"",IF(OR(J5503=0,AND(J5503=1,K5503=1),AND(J5503=1,I5503="SBJ"),AND(J5503=1,I5503=0)),"?IN_FOCUS",IF(J5503&lt;=2,"?ACTIVATED",IF(J5503&lt;&gt;"","?FAMILIAR",IF(F5503="NEW",IF(ISNA(VLOOKUP(E5503,#REF!,1,FALSE())),"?TYPE_IDENTIFIABLE","?REFERENTIAL"),"_")))))</f>
        <v> </v>
      </c>
      <c r="H5503" s="24" t="str">
        <f>IF(J5503&lt;&gt;1,"",IF(I5503="SBJ","CB","?"))</f>
        <v> </v>
      </c>
      <c r="I5503" s="25" t="str">
        <f>IF(OR(E5503="",E5503="!!!",F5503="NEW"),"",INDEX(B5502:B$2,-1+SUMPRODUCT(MAX(ROW(E5502:E$2)*(E5503=E5502:E$2)))))</f>
        <v> </v>
      </c>
      <c r="J5503" s="25" t="str">
        <f>IF(OR(E5503="",E5503="!!!",F5503="NEW"),"",COUNTBLANK(OFFSET(A$1,,,SUMPRODUCT(MAX(ROW(E$2:E5503)*(E5503=E$2:E5503)))))-COUNTBLANK(OFFSET(A$1,,,SUMPRODUCT(MAX(ROW(E$1:E5502)*(E2=E$1:E5502))))))</f>
        <v> </v>
      </c>
      <c r="K5503" s="25" t="str">
        <f>IF(OR(E5503="",E5503="!!!",F5503="NEW"),"",INDEX(J$1:J5502,SUMPRODUCT(MAX(ROW(E$1:E5502)*(E5503=E$1:E5502)))))</f>
        <v> </v>
      </c>
      <c r="L5503" s="26"/>
    </row>
    <row r="5504" spans="1:12">
      <c r="A5504" s="20" t="s">
        <v>991</v>
      </c>
      <c r="E5504" s="21">
        <f>IF(D5504="?OLD","!!!","")</f>
        <v/>
      </c>
      <c r="F5504" s="22" t="str">
        <f>IF(OR(E5504="",E5504="!!!"),"",IF(NOT(ISNA(VLOOKUP(E5504,E$1:E5503,1,FALSE()))),"OLD",IF(AND(E5504&lt;&gt;"",E5504&lt;&gt;"!!!"),"NEW","")))</f>
        <v> </v>
      </c>
      <c r="G5504" s="23" t="str">
        <f>IF(OR(E5504="",E5504="!!!"),"",IF(OR(J5504=0,AND(J5504=1,K5504=1),AND(J5504=1,I5504="SBJ"),AND(J5504=1,I5504=0)),"?IN_FOCUS",IF(J5504&lt;=2,"?ACTIVATED",IF(J5504&lt;&gt;"","?FAMILIAR",IF(F5504="NEW",IF(ISNA(VLOOKUP(E5504,#REF!,1,FALSE())),"?TYPE_IDENTIFIABLE","?REFERENTIAL"),"_")))))</f>
        <v> </v>
      </c>
      <c r="H5504" s="24" t="str">
        <f>IF(J5504&lt;&gt;1,"",IF(I5504="SBJ","CB","?"))</f>
        <v> </v>
      </c>
      <c r="I5504" s="25" t="str">
        <f>IF(OR(E5504="",E5504="!!!",F5504="NEW"),"",INDEX(B5503:B$2,-1+SUMPRODUCT(MAX(ROW(E5503:E$2)*(E5504=E5503:E$2)))))</f>
        <v> </v>
      </c>
      <c r="J5504" s="25" t="str">
        <f>IF(OR(E5504="",E5504="!!!",F5504="NEW"),"",COUNTBLANK(OFFSET(A$1,,,SUMPRODUCT(MAX(ROW(E$2:E5504)*(E5504=E$2:E5504)))))-COUNTBLANK(OFFSET(A$1,,,SUMPRODUCT(MAX(ROW(E$1:E5503)*(E2=E$1:E5503))))))</f>
        <v> </v>
      </c>
      <c r="K5504" s="25" t="str">
        <f>IF(OR(E5504="",E5504="!!!",F5504="NEW"),"",INDEX(J$1:J5503,SUMPRODUCT(MAX(ROW(E$1:E5503)*(E5504=E$1:E5503)))))</f>
        <v> </v>
      </c>
      <c r="L5504" s="26"/>
    </row>
    <row r="5505" spans="1:12">
      <c r="A5505" s="20" t="s">
        <v>993</v>
      </c>
      <c r="B5505" s="27" t="s">
        <v>997</v>
      </c>
      <c r="C5505" s="27" t="s">
        <v>968</v>
      </c>
      <c r="D5505" s="27" t="s">
        <v>969</v>
      </c>
      <c r="E5505" s="21">
        <f>IF(D5505="?OLD","!!!","")</f>
        <v/>
      </c>
      <c r="F5505" s="22" t="str">
        <f>IF(OR(E5505="",E5505="!!!"),"",IF(NOT(ISNA(VLOOKUP(E5505,E$1:E5504,1,FALSE()))),"OLD",IF(AND(E5505&lt;&gt;"",E5505&lt;&gt;"!!!"),"NEW","")))</f>
        <v> </v>
      </c>
      <c r="G5505" s="23" t="str">
        <f>IF(OR(E5505="",E5505="!!!"),"",IF(OR(J5505=0,AND(J5505=1,K5505=1),AND(J5505=1,I5505="SBJ"),AND(J5505=1,I5505=0)),"?IN_FOCUS",IF(J5505&lt;=2,"?ACTIVATED",IF(J5505&lt;&gt;"","?FAMILIAR",IF(F5505="NEW",IF(ISNA(VLOOKUP(E5505,#REF!,1,FALSE())),"?TYPE_IDENTIFIABLE","?REFERENTIAL"),"_")))))</f>
        <v> </v>
      </c>
      <c r="H5505" s="24" t="str">
        <f>IF(J5505&lt;&gt;1,"",IF(I5505="SBJ","CB","?"))</f>
        <v> </v>
      </c>
      <c r="I5505" s="25" t="str">
        <f>IF(OR(E5505="",E5505="!!!",F5505="NEW"),"",INDEX(B5504:B$2,-1+SUMPRODUCT(MAX(ROW(E5504:E$2)*(E5505=E5504:E$2)))))</f>
        <v> </v>
      </c>
      <c r="J5505" s="25" t="str">
        <f>IF(OR(E5505="",E5505="!!!",F5505="NEW"),"",COUNTBLANK(OFFSET(A$1,,,SUMPRODUCT(MAX(ROW(E$2:E5505)*(E5505=E$2:E5505)))))-COUNTBLANK(OFFSET(A$1,,,SUMPRODUCT(MAX(ROW(E$1:E5504)*(E2=E$1:E5504))))))</f>
        <v> </v>
      </c>
      <c r="K5505" s="25" t="str">
        <f>IF(OR(E5505="",E5505="!!!",F5505="NEW"),"",INDEX(J$1:J5504,SUMPRODUCT(MAX(ROW(E$1:E5504)*(E5505=E$1:E5504)))))</f>
        <v> </v>
      </c>
      <c r="L5505" s="26"/>
    </row>
    <row r="5506" spans="1:12">
      <c r="A5506" s="20" t="s">
        <v>1962</v>
      </c>
      <c r="E5506" s="21">
        <f>IF(D5506="?OLD","!!!","")</f>
        <v/>
      </c>
      <c r="F5506" s="22" t="str">
        <f>IF(OR(E5506="",E5506="!!!"),"",IF(NOT(ISNA(VLOOKUP(E5506,E$1:E5505,1,FALSE()))),"OLD",IF(AND(E5506&lt;&gt;"",E5506&lt;&gt;"!!!"),"NEW","")))</f>
        <v> </v>
      </c>
      <c r="G5506" s="23" t="str">
        <f>IF(OR(E5506="",E5506="!!!"),"",IF(OR(J5506=0,AND(J5506=1,K5506=1),AND(J5506=1,I5506="SBJ"),AND(J5506=1,I5506=0)),"?IN_FOCUS",IF(J5506&lt;=2,"?ACTIVATED",IF(J5506&lt;&gt;"","?FAMILIAR",IF(F5506="NEW",IF(ISNA(VLOOKUP(E5506,#REF!,1,FALSE())),"?TYPE_IDENTIFIABLE","?REFERENTIAL"),"_")))))</f>
        <v> </v>
      </c>
      <c r="H5506" s="24" t="str">
        <f>IF(J5506&lt;&gt;1,"",IF(I5506="SBJ","CB","?"))</f>
        <v> </v>
      </c>
      <c r="I5506" s="25" t="str">
        <f>IF(OR(E5506="",E5506="!!!",F5506="NEW"),"",INDEX(B5505:B$2,-1+SUMPRODUCT(MAX(ROW(E5505:E$2)*(E5506=E5505:E$2)))))</f>
        <v> </v>
      </c>
      <c r="J5506" s="25" t="str">
        <f>IF(OR(E5506="",E5506="!!!",F5506="NEW"),"",COUNTBLANK(OFFSET(A$1,,,SUMPRODUCT(MAX(ROW(E$2:E5506)*(E5506=E$2:E5506)))))-COUNTBLANK(OFFSET(A$1,,,SUMPRODUCT(MAX(ROW(E$1:E5505)*(E2=E$1:E5505))))))</f>
        <v> </v>
      </c>
      <c r="K5506" s="25" t="str">
        <f>IF(OR(E5506="",E5506="!!!",F5506="NEW"),"",INDEX(J$1:J5505,SUMPRODUCT(MAX(ROW(E$1:E5505)*(E5506=E$1:E5505)))))</f>
        <v> </v>
      </c>
      <c r="L5506" s="26"/>
    </row>
    <row r="5507" spans="1:12">
      <c r="A5507" s="20" t="s">
        <v>1305</v>
      </c>
      <c r="E5507" s="21">
        <f>IF(D5507="?OLD","!!!","")</f>
        <v/>
      </c>
      <c r="F5507" s="22" t="str">
        <f>IF(OR(E5507="",E5507="!!!"),"",IF(NOT(ISNA(VLOOKUP(E5507,E$1:E5506,1,FALSE()))),"OLD",IF(AND(E5507&lt;&gt;"",E5507&lt;&gt;"!!!"),"NEW","")))</f>
        <v> </v>
      </c>
      <c r="G5507" s="23" t="str">
        <f>IF(OR(E5507="",E5507="!!!"),"",IF(OR(J5507=0,AND(J5507=1,K5507=1),AND(J5507=1,I5507="SBJ"),AND(J5507=1,I5507=0)),"?IN_FOCUS",IF(J5507&lt;=2,"?ACTIVATED",IF(J5507&lt;&gt;"","?FAMILIAR",IF(F5507="NEW",IF(ISNA(VLOOKUP(E5507,#REF!,1,FALSE())),"?TYPE_IDENTIFIABLE","?REFERENTIAL"),"_")))))</f>
        <v> </v>
      </c>
      <c r="H5507" s="24" t="str">
        <f>IF(J5507&lt;&gt;1,"",IF(I5507="SBJ","CB","?"))</f>
        <v> </v>
      </c>
      <c r="I5507" s="25" t="str">
        <f>IF(OR(E5507="",E5507="!!!",F5507="NEW"),"",INDEX(B5506:B$2,-1+SUMPRODUCT(MAX(ROW(E5506:E$2)*(E5507=E5506:E$2)))))</f>
        <v> </v>
      </c>
      <c r="J5507" s="25" t="str">
        <f>IF(OR(E5507="",E5507="!!!",F5507="NEW"),"",COUNTBLANK(OFFSET(A$1,,,SUMPRODUCT(MAX(ROW(E$2:E5507)*(E5507=E$2:E5507)))))-COUNTBLANK(OFFSET(A$1,,,SUMPRODUCT(MAX(ROW(E$1:E5506)*(E2=E$1:E5506))))))</f>
        <v> </v>
      </c>
      <c r="K5507" s="25" t="str">
        <f>IF(OR(E5507="",E5507="!!!",F5507="NEW"),"",INDEX(J$1:J5506,SUMPRODUCT(MAX(ROW(E$1:E5506)*(E5507=E$1:E5506)))))</f>
        <v> </v>
      </c>
      <c r="L5507" s="26"/>
    </row>
    <row r="5508" spans="1:12">
      <c r="A5508" s="20" t="s">
        <v>1037</v>
      </c>
      <c r="E5508" s="21">
        <f>IF(D5508="?OLD","!!!","")</f>
        <v/>
      </c>
      <c r="F5508" s="22" t="str">
        <f>IF(OR(E5508="",E5508="!!!"),"",IF(NOT(ISNA(VLOOKUP(E5508,E$1:E5507,1,FALSE()))),"OLD",IF(AND(E5508&lt;&gt;"",E5508&lt;&gt;"!!!"),"NEW","")))</f>
        <v> </v>
      </c>
      <c r="G5508" s="23" t="str">
        <f>IF(OR(E5508="",E5508="!!!"),"",IF(OR(J5508=0,AND(J5508=1,K5508=1),AND(J5508=1,I5508="SBJ"),AND(J5508=1,I5508=0)),"?IN_FOCUS",IF(J5508&lt;=2,"?ACTIVATED",IF(J5508&lt;&gt;"","?FAMILIAR",IF(F5508="NEW",IF(ISNA(VLOOKUP(E5508,#REF!,1,FALSE())),"?TYPE_IDENTIFIABLE","?REFERENTIAL"),"_")))))</f>
        <v> </v>
      </c>
      <c r="H5508" s="24" t="str">
        <f>IF(J5508&lt;&gt;1,"",IF(I5508="SBJ","CB","?"))</f>
        <v> </v>
      </c>
      <c r="I5508" s="25" t="str">
        <f>IF(OR(E5508="",E5508="!!!",F5508="NEW"),"",INDEX(B5507:B$2,-1+SUMPRODUCT(MAX(ROW(E5507:E$2)*(E5508=E5507:E$2)))))</f>
        <v> </v>
      </c>
      <c r="J5508" s="25" t="str">
        <f>IF(OR(E5508="",E5508="!!!",F5508="NEW"),"",COUNTBLANK(OFFSET(A$1,,,SUMPRODUCT(MAX(ROW(E$2:E5508)*(E5508=E$2:E5508)))))-COUNTBLANK(OFFSET(A$1,,,SUMPRODUCT(MAX(ROW(E$1:E5507)*(E2=E$1:E5507))))))</f>
        <v> </v>
      </c>
      <c r="K5508" s="25" t="str">
        <f>IF(OR(E5508="",E5508="!!!",F5508="NEW"),"",INDEX(J$1:J5507,SUMPRODUCT(MAX(ROW(E$1:E5507)*(E5508=E$1:E5507)))))</f>
        <v> </v>
      </c>
      <c r="L5508" s="26"/>
    </row>
    <row r="5509" spans="1:12">
      <c r="A5509" s="20" t="s">
        <v>987</v>
      </c>
      <c r="B5509" s="27" t="s">
        <v>1000</v>
      </c>
      <c r="C5509" s="27" t="s">
        <v>988</v>
      </c>
      <c r="D5509" s="27" t="s">
        <v>969</v>
      </c>
      <c r="E5509" s="21">
        <f>IF(D5509="?OLD","!!!","")</f>
        <v/>
      </c>
      <c r="F5509" s="22" t="str">
        <f>IF(OR(E5509="",E5509="!!!"),"",IF(NOT(ISNA(VLOOKUP(E5509,E$1:E5508,1,FALSE()))),"OLD",IF(AND(E5509&lt;&gt;"",E5509&lt;&gt;"!!!"),"NEW","")))</f>
        <v> </v>
      </c>
      <c r="G5509" s="23" t="str">
        <f>IF(OR(E5509="",E5509="!!!"),"",IF(OR(J5509=0,AND(J5509=1,K5509=1),AND(J5509=1,I5509="SBJ"),AND(J5509=1,I5509=0)),"?IN_FOCUS",IF(J5509&lt;=2,"?ACTIVATED",IF(J5509&lt;&gt;"","?FAMILIAR",IF(F5509="NEW",IF(ISNA(VLOOKUP(E5509,#REF!,1,FALSE())),"?TYPE_IDENTIFIABLE","?REFERENTIAL"),"_")))))</f>
        <v> </v>
      </c>
      <c r="H5509" s="24" t="str">
        <f>IF(J5509&lt;&gt;1,"",IF(I5509="SBJ","CB","?"))</f>
        <v> </v>
      </c>
      <c r="I5509" s="25" t="str">
        <f>IF(OR(E5509="",E5509="!!!",F5509="NEW"),"",INDEX(B5508:B$2,-1+SUMPRODUCT(MAX(ROW(E5508:E$2)*(E5509=E5508:E$2)))))</f>
        <v> </v>
      </c>
      <c r="J5509" s="25" t="str">
        <f>IF(OR(E5509="",E5509="!!!",F5509="NEW"),"",COUNTBLANK(OFFSET(A$1,,,SUMPRODUCT(MAX(ROW(E$2:E5509)*(E5509=E$2:E5509)))))-COUNTBLANK(OFFSET(A$1,,,SUMPRODUCT(MAX(ROW(E$1:E5508)*(E2=E$1:E5508))))))</f>
        <v> </v>
      </c>
      <c r="K5509" s="25" t="str">
        <f>IF(OR(E5509="",E5509="!!!",F5509="NEW"),"",INDEX(J$1:J5508,SUMPRODUCT(MAX(ROW(E$1:E5508)*(E5509=E$1:E5508)))))</f>
        <v> </v>
      </c>
      <c r="L5509" s="26"/>
    </row>
    <row r="5510" spans="1:12">
      <c r="A5510" s="20" t="s">
        <v>1307</v>
      </c>
      <c r="B5510" s="27" t="s">
        <v>1003</v>
      </c>
      <c r="C5510" s="27" t="s">
        <v>974</v>
      </c>
      <c r="E5510" s="21">
        <f>IF(D5510="?OLD","!!!","")</f>
        <v/>
      </c>
      <c r="F5510" s="22" t="str">
        <f>IF(OR(E5510="",E5510="!!!"),"",IF(NOT(ISNA(VLOOKUP(E5510,E$1:E5509,1,FALSE()))),"OLD",IF(AND(E5510&lt;&gt;"",E5510&lt;&gt;"!!!"),"NEW","")))</f>
        <v> </v>
      </c>
      <c r="G5510" s="23" t="str">
        <f>IF(OR(E5510="",E5510="!!!"),"",IF(OR(J5510=0,AND(J5510=1,K5510=1),AND(J5510=1,I5510="SBJ"),AND(J5510=1,I5510=0)),"?IN_FOCUS",IF(J5510&lt;=2,"?ACTIVATED",IF(J5510&lt;&gt;"","?FAMILIAR",IF(F5510="NEW",IF(ISNA(VLOOKUP(E5510,#REF!,1,FALSE())),"?TYPE_IDENTIFIABLE","?REFERENTIAL"),"_")))))</f>
        <v> </v>
      </c>
      <c r="H5510" s="24" t="str">
        <f>IF(J5510&lt;&gt;1,"",IF(I5510="SBJ","CB","?"))</f>
        <v> </v>
      </c>
      <c r="I5510" s="25" t="str">
        <f>IF(OR(E5510="",E5510="!!!",F5510="NEW"),"",INDEX(B5509:B$2,-1+SUMPRODUCT(MAX(ROW(E5509:E$2)*(E5510=E5509:E$2)))))</f>
        <v> </v>
      </c>
      <c r="J5510" s="25" t="str">
        <f>IF(OR(E5510="",E5510="!!!",F5510="NEW"),"",COUNTBLANK(OFFSET(A$1,,,SUMPRODUCT(MAX(ROW(E$2:E5510)*(E5510=E$2:E5510)))))-COUNTBLANK(OFFSET(A$1,,,SUMPRODUCT(MAX(ROW(E$1:E5509)*(E2=E$1:E5509))))))</f>
        <v> </v>
      </c>
      <c r="K5510" s="25" t="str">
        <f>IF(OR(E5510="",E5510="!!!",F5510="NEW"),"",INDEX(J$1:J5509,SUMPRODUCT(MAX(ROW(E$1:E5509)*(E5510=E$1:E5509)))))</f>
        <v> </v>
      </c>
      <c r="L5510" s="26"/>
    </row>
    <row r="5511" spans="1:12">
      <c r="A5511" s="20" t="s">
        <v>2477</v>
      </c>
      <c r="E5511" s="21">
        <f>IF(D5511="?OLD","!!!","")</f>
        <v/>
      </c>
      <c r="F5511" s="22" t="str">
        <f>IF(OR(E5511="",E5511="!!!"),"",IF(NOT(ISNA(VLOOKUP(E5511,E$1:E5510,1,FALSE()))),"OLD",IF(AND(E5511&lt;&gt;"",E5511&lt;&gt;"!!!"),"NEW","")))</f>
        <v> </v>
      </c>
      <c r="G5511" s="23" t="str">
        <f>IF(OR(E5511="",E5511="!!!"),"",IF(OR(J5511=0,AND(J5511=1,K5511=1),AND(J5511=1,I5511="SBJ"),AND(J5511=1,I5511=0)),"?IN_FOCUS",IF(J5511&lt;=2,"?ACTIVATED",IF(J5511&lt;&gt;"","?FAMILIAR",IF(F5511="NEW",IF(ISNA(VLOOKUP(E5511,#REF!,1,FALSE())),"?TYPE_IDENTIFIABLE","?REFERENTIAL"),"_")))))</f>
        <v> </v>
      </c>
      <c r="H5511" s="24" t="str">
        <f>IF(J5511&lt;&gt;1,"",IF(I5511="SBJ","CB","?"))</f>
        <v> </v>
      </c>
      <c r="I5511" s="25" t="str">
        <f>IF(OR(E5511="",E5511="!!!",F5511="NEW"),"",INDEX(B5510:B$2,-1+SUMPRODUCT(MAX(ROW(E5510:E$2)*(E5511=E5510:E$2)))))</f>
        <v> </v>
      </c>
      <c r="J5511" s="25" t="str">
        <f>IF(OR(E5511="",E5511="!!!",F5511="NEW"),"",COUNTBLANK(OFFSET(A$1,,,SUMPRODUCT(MAX(ROW(E$2:E5511)*(E5511=E$2:E5511)))))-COUNTBLANK(OFFSET(A$1,,,SUMPRODUCT(MAX(ROW(E$1:E5510)*(E2=E$1:E5510))))))</f>
        <v> </v>
      </c>
      <c r="K5511" s="25" t="str">
        <f>IF(OR(E5511="",E5511="!!!",F5511="NEW"),"",INDEX(J$1:J5510,SUMPRODUCT(MAX(ROW(E$1:E5510)*(E5511=E$1:E5510)))))</f>
        <v> </v>
      </c>
      <c r="L5511" s="26"/>
    </row>
    <row r="5512" spans="1:12">
      <c r="A5512" s="20" t="s">
        <v>1005</v>
      </c>
      <c r="E5512" s="21">
        <f>IF(D5512="?OLD","!!!","")</f>
        <v/>
      </c>
      <c r="F5512" s="22" t="str">
        <f>IF(OR(E5512="",E5512="!!!"),"",IF(NOT(ISNA(VLOOKUP(E5512,E$1:E5511,1,FALSE()))),"OLD",IF(AND(E5512&lt;&gt;"",E5512&lt;&gt;"!!!"),"NEW","")))</f>
        <v> </v>
      </c>
      <c r="G5512" s="23" t="str">
        <f>IF(OR(E5512="",E5512="!!!"),"",IF(OR(J5512=0,AND(J5512=1,K5512=1),AND(J5512=1,I5512="SBJ"),AND(J5512=1,I5512=0)),"?IN_FOCUS",IF(J5512&lt;=2,"?ACTIVATED",IF(J5512&lt;&gt;"","?FAMILIAR",IF(F5512="NEW",IF(ISNA(VLOOKUP(E5512,#REF!,1,FALSE())),"?TYPE_IDENTIFIABLE","?REFERENTIAL"),"_")))))</f>
        <v> </v>
      </c>
      <c r="H5512" s="24" t="str">
        <f>IF(J5512&lt;&gt;1,"",IF(I5512="SBJ","CB","?"))</f>
        <v> </v>
      </c>
      <c r="I5512" s="25" t="str">
        <f>IF(OR(E5512="",E5512="!!!",F5512="NEW"),"",INDEX(B5511:B$2,-1+SUMPRODUCT(MAX(ROW(E5511:E$2)*(E5512=E5511:E$2)))))</f>
        <v> </v>
      </c>
      <c r="J5512" s="25" t="str">
        <f>IF(OR(E5512="",E5512="!!!",F5512="NEW"),"",COUNTBLANK(OFFSET(A$1,,,SUMPRODUCT(MAX(ROW(E$2:E5512)*(E5512=E$2:E5512)))))-COUNTBLANK(OFFSET(A$1,,,SUMPRODUCT(MAX(ROW(E$1:E5511)*(E2=E$1:E5511))))))</f>
        <v> </v>
      </c>
      <c r="K5512" s="25" t="str">
        <f>IF(OR(E5512="",E5512="!!!",F5512="NEW"),"",INDEX(J$1:J5511,SUMPRODUCT(MAX(ROW(E$1:E5511)*(E5512=E$1:E5511)))))</f>
        <v> </v>
      </c>
      <c r="L5512" s="26"/>
    </row>
    <row r="5513" spans="1:12">
      <c r="A5513" s="20" t="s">
        <v>965</v>
      </c>
      <c r="E5513" s="21">
        <f>IF(D5513="?OLD","!!!","")</f>
        <v/>
      </c>
      <c r="F5513" s="22" t="str">
        <f>IF(OR(E5513="",E5513="!!!"),"",IF(NOT(ISNA(VLOOKUP(E5513,E$1:E5512,1,FALSE()))),"OLD",IF(AND(E5513&lt;&gt;"",E5513&lt;&gt;"!!!"),"NEW","")))</f>
        <v> </v>
      </c>
      <c r="G5513" s="23" t="str">
        <f>IF(OR(E5513="",E5513="!!!"),"",IF(OR(J5513=0,AND(J5513=1,K5513=1),AND(J5513=1,I5513="SBJ"),AND(J5513=1,I5513=0)),"?IN_FOCUS",IF(J5513&lt;=2,"?ACTIVATED",IF(J5513&lt;&gt;"","?FAMILIAR",IF(F5513="NEW",IF(ISNA(VLOOKUP(E5513,#REF!,1,FALSE())),"?TYPE_IDENTIFIABLE","?REFERENTIAL"),"_")))))</f>
        <v> </v>
      </c>
      <c r="H5513" s="24" t="str">
        <f>IF(J5513&lt;&gt;1,"",IF(I5513="SBJ","CB","?"))</f>
        <v> </v>
      </c>
      <c r="I5513" s="25" t="str">
        <f>IF(OR(E5513="",E5513="!!!",F5513="NEW"),"",INDEX(B5512:B$2,-1+SUMPRODUCT(MAX(ROW(E5512:E$2)*(E5513=E5512:E$2)))))</f>
        <v> </v>
      </c>
      <c r="J5513" s="25" t="str">
        <f>IF(OR(E5513="",E5513="!!!",F5513="NEW"),"",COUNTBLANK(OFFSET(A$1,,,SUMPRODUCT(MAX(ROW(E$2:E5513)*(E5513=E$2:E5513)))))-COUNTBLANK(OFFSET(A$1,,,SUMPRODUCT(MAX(ROW(E$1:E5512)*(E2=E$1:E5512))))))</f>
        <v> </v>
      </c>
      <c r="K5513" s="25" t="str">
        <f>IF(OR(E5513="",E5513="!!!",F5513="NEW"),"",INDEX(J$1:J5512,SUMPRODUCT(MAX(ROW(E$1:E5512)*(E5513=E$1:E5512)))))</f>
        <v> </v>
      </c>
      <c r="L5513" s="26"/>
    </row>
    <row r="5514" spans="1:12">
      <c r="A5514" s="20" t="s">
        <v>991</v>
      </c>
      <c r="E5514" s="21">
        <f>IF(D5514="?OLD","!!!","")</f>
        <v/>
      </c>
      <c r="F5514" s="22" t="str">
        <f>IF(OR(E5514="",E5514="!!!"),"",IF(NOT(ISNA(VLOOKUP(E5514,E$1:E5513,1,FALSE()))),"OLD",IF(AND(E5514&lt;&gt;"",E5514&lt;&gt;"!!!"),"NEW","")))</f>
        <v> </v>
      </c>
      <c r="G5514" s="23" t="str">
        <f>IF(OR(E5514="",E5514="!!!"),"",IF(OR(J5514=0,AND(J5514=1,K5514=1),AND(J5514=1,I5514="SBJ"),AND(J5514=1,I5514=0)),"?IN_FOCUS",IF(J5514&lt;=2,"?ACTIVATED",IF(J5514&lt;&gt;"","?FAMILIAR",IF(F5514="NEW",IF(ISNA(VLOOKUP(E5514,#REF!,1,FALSE())),"?TYPE_IDENTIFIABLE","?REFERENTIAL"),"_")))))</f>
        <v> </v>
      </c>
      <c r="H5514" s="24" t="str">
        <f>IF(J5514&lt;&gt;1,"",IF(I5514="SBJ","CB","?"))</f>
        <v> </v>
      </c>
      <c r="I5514" s="25" t="str">
        <f>IF(OR(E5514="",E5514="!!!",F5514="NEW"),"",INDEX(B5513:B$2,-1+SUMPRODUCT(MAX(ROW(E5513:E$2)*(E5514=E5513:E$2)))))</f>
        <v> </v>
      </c>
      <c r="J5514" s="25" t="str">
        <f>IF(OR(E5514="",E5514="!!!",F5514="NEW"),"",COUNTBLANK(OFFSET(A$1,,,SUMPRODUCT(MAX(ROW(E$2:E5514)*(E5514=E$2:E5514)))))-COUNTBLANK(OFFSET(A$1,,,SUMPRODUCT(MAX(ROW(E$1:E5513)*(E2=E$1:E5513))))))</f>
        <v> </v>
      </c>
      <c r="K5514" s="25" t="str">
        <f>IF(OR(E5514="",E5514="!!!",F5514="NEW"),"",INDEX(J$1:J5513,SUMPRODUCT(MAX(ROW(E$1:E5513)*(E5514=E$1:E5513)))))</f>
        <v> </v>
      </c>
      <c r="L5514" s="26"/>
    </row>
    <row r="5515" spans="1:12">
      <c r="A5515" s="20" t="s">
        <v>2478</v>
      </c>
      <c r="E5515" s="21">
        <f>IF(D5515="?OLD","!!!","")</f>
        <v/>
      </c>
      <c r="F5515" s="22" t="str">
        <f>IF(OR(E5515="",E5515="!!!"),"",IF(NOT(ISNA(VLOOKUP(E5515,E$1:E5514,1,FALSE()))),"OLD",IF(AND(E5515&lt;&gt;"",E5515&lt;&gt;"!!!"),"NEW","")))</f>
        <v> </v>
      </c>
      <c r="G5515" s="23" t="str">
        <f>IF(OR(E5515="",E5515="!!!"),"",IF(OR(J5515=0,AND(J5515=1,K5515=1),AND(J5515=1,I5515="SBJ"),AND(J5515=1,I5515=0)),"?IN_FOCUS",IF(J5515&lt;=2,"?ACTIVATED",IF(J5515&lt;&gt;"","?FAMILIAR",IF(F5515="NEW",IF(ISNA(VLOOKUP(E5515,#REF!,1,FALSE())),"?TYPE_IDENTIFIABLE","?REFERENTIAL"),"_")))))</f>
        <v> </v>
      </c>
      <c r="H5515" s="24" t="str">
        <f>IF(J5515&lt;&gt;1,"",IF(I5515="SBJ","CB","?"))</f>
        <v> </v>
      </c>
      <c r="I5515" s="25" t="str">
        <f>IF(OR(E5515="",E5515="!!!",F5515="NEW"),"",INDEX(B5514:B$2,-1+SUMPRODUCT(MAX(ROW(E5514:E$2)*(E5515=E5514:E$2)))))</f>
        <v> </v>
      </c>
      <c r="J5515" s="25" t="str">
        <f>IF(OR(E5515="",E5515="!!!",F5515="NEW"),"",COUNTBLANK(OFFSET(A$1,,,SUMPRODUCT(MAX(ROW(E$2:E5515)*(E5515=E$2:E5515)))))-COUNTBLANK(OFFSET(A$1,,,SUMPRODUCT(MAX(ROW(E$1:E5514)*(E2=E$1:E5514))))))</f>
        <v> </v>
      </c>
      <c r="K5515" s="25" t="str">
        <f>IF(OR(E5515="",E5515="!!!",F5515="NEW"),"",INDEX(J$1:J5514,SUMPRODUCT(MAX(ROW(E$1:E5514)*(E5515=E$1:E5514)))))</f>
        <v> </v>
      </c>
      <c r="L5515" s="26"/>
    </row>
    <row r="5516" spans="1:12">
      <c r="A5516" s="20" t="s">
        <v>985</v>
      </c>
      <c r="E5516" s="21">
        <f>IF(D5516="?OLD","!!!","")</f>
        <v/>
      </c>
      <c r="F5516" s="22" t="str">
        <f>IF(OR(E5516="",E5516="!!!"),"",IF(NOT(ISNA(VLOOKUP(E5516,E$1:E5515,1,FALSE()))),"OLD",IF(AND(E5516&lt;&gt;"",E5516&lt;&gt;"!!!"),"NEW","")))</f>
        <v> </v>
      </c>
      <c r="G5516" s="23" t="str">
        <f>IF(OR(E5516="",E5516="!!!"),"",IF(OR(J5516=0,AND(J5516=1,K5516=1),AND(J5516=1,I5516="SBJ"),AND(J5516=1,I5516=0)),"?IN_FOCUS",IF(J5516&lt;=2,"?ACTIVATED",IF(J5516&lt;&gt;"","?FAMILIAR",IF(F5516="NEW",IF(ISNA(VLOOKUP(E5516,#REF!,1,FALSE())),"?TYPE_IDENTIFIABLE","?REFERENTIAL"),"_")))))</f>
        <v> </v>
      </c>
      <c r="H5516" s="24" t="str">
        <f>IF(J5516&lt;&gt;1,"",IF(I5516="SBJ","CB","?"))</f>
        <v> </v>
      </c>
      <c r="I5516" s="25" t="str">
        <f>IF(OR(E5516="",E5516="!!!",F5516="NEW"),"",INDEX(B5515:B$2,-1+SUMPRODUCT(MAX(ROW(E5515:E$2)*(E5516=E5515:E$2)))))</f>
        <v> </v>
      </c>
      <c r="J5516" s="25" t="str">
        <f>IF(OR(E5516="",E5516="!!!",F5516="NEW"),"",COUNTBLANK(OFFSET(A$1,,,SUMPRODUCT(MAX(ROW(E$2:E5516)*(E5516=E$2:E5516)))))-COUNTBLANK(OFFSET(A$1,,,SUMPRODUCT(MAX(ROW(E$1:E5515)*(E2=E$1:E5515))))))</f>
        <v> </v>
      </c>
      <c r="K5516" s="25" t="str">
        <f>IF(OR(E5516="",E5516="!!!",F5516="NEW"),"",INDEX(J$1:J5515,SUMPRODUCT(MAX(ROW(E$1:E5515)*(E5516=E$1:E5515)))))</f>
        <v> </v>
      </c>
      <c r="L5516" s="26"/>
    </row>
    <row r="5517" spans="1:12">
      <c r="A5517" s="20" t="s">
        <v>1111</v>
      </c>
      <c r="B5517" s="27" t="s">
        <v>997</v>
      </c>
      <c r="C5517" s="27" t="s">
        <v>979</v>
      </c>
      <c r="D5517" s="27" t="s">
        <v>969</v>
      </c>
      <c r="E5517" s="21">
        <f>IF(D5517="?OLD","!!!","")</f>
        <v/>
      </c>
      <c r="F5517" s="22" t="str">
        <f>IF(OR(E5517="",E5517="!!!"),"",IF(NOT(ISNA(VLOOKUP(E5517,E$1:E5516,1,FALSE()))),"OLD",IF(AND(E5517&lt;&gt;"",E5517&lt;&gt;"!!!"),"NEW","")))</f>
        <v> </v>
      </c>
      <c r="G5517" s="23" t="str">
        <f>IF(OR(E5517="",E5517="!!!"),"",IF(OR(J5517=0,AND(J5517=1,K5517=1),AND(J5517=1,I5517="SBJ"),AND(J5517=1,I5517=0)),"?IN_FOCUS",IF(J5517&lt;=2,"?ACTIVATED",IF(J5517&lt;&gt;"","?FAMILIAR",IF(F5517="NEW",IF(ISNA(VLOOKUP(E5517,#REF!,1,FALSE())),"?TYPE_IDENTIFIABLE","?REFERENTIAL"),"_")))))</f>
        <v> </v>
      </c>
      <c r="H5517" s="24" t="str">
        <f>IF(J5517&lt;&gt;1,"",IF(I5517="SBJ","CB","?"))</f>
        <v> </v>
      </c>
      <c r="I5517" s="25" t="str">
        <f>IF(OR(E5517="",E5517="!!!",F5517="NEW"),"",INDEX(B5516:B$2,-1+SUMPRODUCT(MAX(ROW(E5516:E$2)*(E5517=E5516:E$2)))))</f>
        <v> </v>
      </c>
      <c r="J5517" s="25" t="str">
        <f>IF(OR(E5517="",E5517="!!!",F5517="NEW"),"",COUNTBLANK(OFFSET(A$1,,,SUMPRODUCT(MAX(ROW(E$2:E5517)*(E5517=E$2:E5517)))))-COUNTBLANK(OFFSET(A$1,,,SUMPRODUCT(MAX(ROW(E$1:E5516)*(E2=E$1:E5516))))))</f>
        <v> </v>
      </c>
      <c r="K5517" s="25" t="str">
        <f>IF(OR(E5517="",E5517="!!!",F5517="NEW"),"",INDEX(J$1:J5516,SUMPRODUCT(MAX(ROW(E$1:E5516)*(E5517=E$1:E5516)))))</f>
        <v> </v>
      </c>
      <c r="L5517" s="26"/>
    </row>
    <row r="5518" spans="1:12">
      <c r="A5518" s="20" t="s">
        <v>1195</v>
      </c>
      <c r="E5518" s="21">
        <f>IF(D5518="?OLD","!!!","")</f>
        <v/>
      </c>
      <c r="F5518" s="22" t="str">
        <f>IF(OR(E5518="",E5518="!!!"),"",IF(NOT(ISNA(VLOOKUP(E5518,E$1:E5517,1,FALSE()))),"OLD",IF(AND(E5518&lt;&gt;"",E5518&lt;&gt;"!!!"),"NEW","")))</f>
        <v> </v>
      </c>
      <c r="G5518" s="23" t="str">
        <f>IF(OR(E5518="",E5518="!!!"),"",IF(OR(J5518=0,AND(J5518=1,K5518=1),AND(J5518=1,I5518="SBJ"),AND(J5518=1,I5518=0)),"?IN_FOCUS",IF(J5518&lt;=2,"?ACTIVATED",IF(J5518&lt;&gt;"","?FAMILIAR",IF(F5518="NEW",IF(ISNA(VLOOKUP(E5518,#REF!,1,FALSE())),"?TYPE_IDENTIFIABLE","?REFERENTIAL"),"_")))))</f>
        <v> </v>
      </c>
      <c r="H5518" s="24" t="str">
        <f>IF(J5518&lt;&gt;1,"",IF(I5518="SBJ","CB","?"))</f>
        <v> </v>
      </c>
      <c r="I5518" s="25" t="str">
        <f>IF(OR(E5518="",E5518="!!!",F5518="NEW"),"",INDEX(B5517:B$2,-1+SUMPRODUCT(MAX(ROW(E5517:E$2)*(E5518=E5517:E$2)))))</f>
        <v> </v>
      </c>
      <c r="J5518" s="25" t="str">
        <f>IF(OR(E5518="",E5518="!!!",F5518="NEW"),"",COUNTBLANK(OFFSET(A$1,,,SUMPRODUCT(MAX(ROW(E$2:E5518)*(E5518=E$2:E5518)))))-COUNTBLANK(OFFSET(A$1,,,SUMPRODUCT(MAX(ROW(E$1:E5517)*(E2=E$1:E5517))))))</f>
        <v> </v>
      </c>
      <c r="K5518" s="25" t="str">
        <f>IF(OR(E5518="",E5518="!!!",F5518="NEW"),"",INDEX(J$1:J5517,SUMPRODUCT(MAX(ROW(E$1:E5517)*(E5518=E$1:E5517)))))</f>
        <v> </v>
      </c>
      <c r="L5518" s="26"/>
    </row>
    <row r="5519" spans="1:12">
      <c r="A5519" s="20" t="s">
        <v>991</v>
      </c>
      <c r="E5519" s="21">
        <f>IF(D5519="?OLD","!!!","")</f>
        <v/>
      </c>
      <c r="F5519" s="22" t="str">
        <f>IF(OR(E5519="",E5519="!!!"),"",IF(NOT(ISNA(VLOOKUP(E5519,E$1:E5518,1,FALSE()))),"OLD",IF(AND(E5519&lt;&gt;"",E5519&lt;&gt;"!!!"),"NEW","")))</f>
        <v> </v>
      </c>
      <c r="G5519" s="23" t="str">
        <f>IF(OR(E5519="",E5519="!!!"),"",IF(OR(J5519=0,AND(J5519=1,K5519=1),AND(J5519=1,I5519="SBJ"),AND(J5519=1,I5519=0)),"?IN_FOCUS",IF(J5519&lt;=2,"?ACTIVATED",IF(J5519&lt;&gt;"","?FAMILIAR",IF(F5519="NEW",IF(ISNA(VLOOKUP(E5519,#REF!,1,FALSE())),"?TYPE_IDENTIFIABLE","?REFERENTIAL"),"_")))))</f>
        <v> </v>
      </c>
      <c r="H5519" s="24" t="str">
        <f>IF(J5519&lt;&gt;1,"",IF(I5519="SBJ","CB","?"))</f>
        <v> </v>
      </c>
      <c r="I5519" s="25" t="str">
        <f>IF(OR(E5519="",E5519="!!!",F5519="NEW"),"",INDEX(B5518:B$2,-1+SUMPRODUCT(MAX(ROW(E5518:E$2)*(E5519=E5518:E$2)))))</f>
        <v> </v>
      </c>
      <c r="J5519" s="25" t="str">
        <f>IF(OR(E5519="",E5519="!!!",F5519="NEW"),"",COUNTBLANK(OFFSET(A$1,,,SUMPRODUCT(MAX(ROW(E$2:E5519)*(E5519=E$2:E5519)))))-COUNTBLANK(OFFSET(A$1,,,SUMPRODUCT(MAX(ROW(E$1:E5518)*(E2=E$1:E5518))))))</f>
        <v> </v>
      </c>
      <c r="K5519" s="25" t="str">
        <f>IF(OR(E5519="",E5519="!!!",F5519="NEW"),"",INDEX(J$1:J5518,SUMPRODUCT(MAX(ROW(E$1:E5518)*(E5519=E$1:E5518)))))</f>
        <v> </v>
      </c>
      <c r="L5519" s="26"/>
    </row>
    <row r="5520" spans="1:12">
      <c r="A5520" s="20" t="s">
        <v>985</v>
      </c>
      <c r="B5520" s="27" t="s">
        <v>997</v>
      </c>
      <c r="E5520" s="21">
        <f>IF(D5520="?OLD","!!!","")</f>
        <v/>
      </c>
      <c r="F5520" s="22" t="str">
        <f>IF(OR(E5520="",E5520="!!!"),"",IF(NOT(ISNA(VLOOKUP(E5520,E$1:E5519,1,FALSE()))),"OLD",IF(AND(E5520&lt;&gt;"",E5520&lt;&gt;"!!!"),"NEW","")))</f>
        <v> </v>
      </c>
      <c r="G5520" s="23" t="str">
        <f>IF(OR(E5520="",E5520="!!!"),"",IF(OR(J5520=0,AND(J5520=1,K5520=1),AND(J5520=1,I5520="SBJ"),AND(J5520=1,I5520=0)),"?IN_FOCUS",IF(J5520&lt;=2,"?ACTIVATED",IF(J5520&lt;&gt;"","?FAMILIAR",IF(F5520="NEW",IF(ISNA(VLOOKUP(E5520,#REF!,1,FALSE())),"?TYPE_IDENTIFIABLE","?REFERENTIAL"),"_")))))</f>
        <v> </v>
      </c>
      <c r="H5520" s="24" t="str">
        <f>IF(J5520&lt;&gt;1,"",IF(I5520="SBJ","CB","?"))</f>
        <v> </v>
      </c>
      <c r="I5520" s="25" t="str">
        <f>IF(OR(E5520="",E5520="!!!",F5520="NEW"),"",INDEX(B5519:B$2,-1+SUMPRODUCT(MAX(ROW(E5519:E$2)*(E5520=E5519:E$2)))))</f>
        <v> </v>
      </c>
      <c r="J5520" s="25" t="str">
        <f>IF(OR(E5520="",E5520="!!!",F5520="NEW"),"",COUNTBLANK(OFFSET(A$1,,,SUMPRODUCT(MAX(ROW(E$2:E5520)*(E5520=E$2:E5520)))))-COUNTBLANK(OFFSET(A$1,,,SUMPRODUCT(MAX(ROW(E$1:E5519)*(E2=E$1:E5519))))))</f>
        <v> </v>
      </c>
      <c r="K5520" s="25" t="str">
        <f>IF(OR(E5520="",E5520="!!!",F5520="NEW"),"",INDEX(J$1:J5519,SUMPRODUCT(MAX(ROW(E$1:E5519)*(E5520=E$1:E5519)))))</f>
        <v> </v>
      </c>
      <c r="L5520" s="26"/>
    </row>
    <row r="5521" spans="1:12">
      <c r="A5521" s="20" t="s">
        <v>2479</v>
      </c>
      <c r="E5521" s="21">
        <f>IF(D5521="?OLD","!!!","")</f>
        <v/>
      </c>
      <c r="F5521" s="22" t="str">
        <f>IF(OR(E5521="",E5521="!!!"),"",IF(NOT(ISNA(VLOOKUP(E5521,E$1:E5520,1,FALSE()))),"OLD",IF(AND(E5521&lt;&gt;"",E5521&lt;&gt;"!!!"),"NEW","")))</f>
        <v> </v>
      </c>
      <c r="G5521" s="23" t="str">
        <f>IF(OR(E5521="",E5521="!!!"),"",IF(OR(J5521=0,AND(J5521=1,K5521=1),AND(J5521=1,I5521="SBJ"),AND(J5521=1,I5521=0)),"?IN_FOCUS",IF(J5521&lt;=2,"?ACTIVATED",IF(J5521&lt;&gt;"","?FAMILIAR",IF(F5521="NEW",IF(ISNA(VLOOKUP(E5521,#REF!,1,FALSE())),"?TYPE_IDENTIFIABLE","?REFERENTIAL"),"_")))))</f>
        <v> </v>
      </c>
      <c r="H5521" s="24" t="str">
        <f>IF(J5521&lt;&gt;1,"",IF(I5521="SBJ","CB","?"))</f>
        <v> </v>
      </c>
      <c r="I5521" s="25" t="str">
        <f>IF(OR(E5521="",E5521="!!!",F5521="NEW"),"",INDEX(B5520:B$2,-1+SUMPRODUCT(MAX(ROW(E5520:E$2)*(E5521=E5520:E$2)))))</f>
        <v> </v>
      </c>
      <c r="J5521" s="25" t="str">
        <f>IF(OR(E5521="",E5521="!!!",F5521="NEW"),"",COUNTBLANK(OFFSET(A$1,,,SUMPRODUCT(MAX(ROW(E$2:E5521)*(E5521=E$2:E5521)))))-COUNTBLANK(OFFSET(A$1,,,SUMPRODUCT(MAX(ROW(E$1:E5520)*(E2=E$1:E5520))))))</f>
        <v> </v>
      </c>
      <c r="K5521" s="25" t="str">
        <f>IF(OR(E5521="",E5521="!!!",F5521="NEW"),"",INDEX(J$1:J5520,SUMPRODUCT(MAX(ROW(E$1:E5520)*(E5521=E$1:E5520)))))</f>
        <v> </v>
      </c>
      <c r="L5521" s="26"/>
    </row>
    <row r="5522" spans="1:12">
      <c r="A5522" s="20" t="s">
        <v>1095</v>
      </c>
      <c r="E5522" s="21">
        <f>IF(D5522="?OLD","!!!","")</f>
        <v/>
      </c>
      <c r="F5522" s="22" t="str">
        <f>IF(OR(E5522="",E5522="!!!"),"",IF(NOT(ISNA(VLOOKUP(E5522,E$1:E5521,1,FALSE()))),"OLD",IF(AND(E5522&lt;&gt;"",E5522&lt;&gt;"!!!"),"NEW","")))</f>
        <v> </v>
      </c>
      <c r="G5522" s="23" t="str">
        <f>IF(OR(E5522="",E5522="!!!"),"",IF(OR(J5522=0,AND(J5522=1,K5522=1),AND(J5522=1,I5522="SBJ"),AND(J5522=1,I5522=0)),"?IN_FOCUS",IF(J5522&lt;=2,"?ACTIVATED",IF(J5522&lt;&gt;"","?FAMILIAR",IF(F5522="NEW",IF(ISNA(VLOOKUP(E5522,#REF!,1,FALSE())),"?TYPE_IDENTIFIABLE","?REFERENTIAL"),"_")))))</f>
        <v> </v>
      </c>
      <c r="H5522" s="24" t="str">
        <f>IF(J5522&lt;&gt;1,"",IF(I5522="SBJ","CB","?"))</f>
        <v> </v>
      </c>
      <c r="I5522" s="25" t="str">
        <f>IF(OR(E5522="",E5522="!!!",F5522="NEW"),"",INDEX(B5521:B$2,-1+SUMPRODUCT(MAX(ROW(E5521:E$2)*(E5522=E5521:E$2)))))</f>
        <v> </v>
      </c>
      <c r="J5522" s="25" t="str">
        <f>IF(OR(E5522="",E5522="!!!",F5522="NEW"),"",COUNTBLANK(OFFSET(A$1,,,SUMPRODUCT(MAX(ROW(E$2:E5522)*(E5522=E$2:E5522)))))-COUNTBLANK(OFFSET(A$1,,,SUMPRODUCT(MAX(ROW(E$1:E5521)*(E2=E$1:E5521))))))</f>
        <v> </v>
      </c>
      <c r="K5522" s="25" t="str">
        <f>IF(OR(E5522="",E5522="!!!",F5522="NEW"),"",INDEX(J$1:J5521,SUMPRODUCT(MAX(ROW(E$1:E5521)*(E5522=E$1:E5521)))))</f>
        <v> </v>
      </c>
      <c r="L5522" s="26"/>
    </row>
    <row r="5523" spans="1:12">
      <c r="A5523" s="20" t="s">
        <v>976</v>
      </c>
      <c r="B5523" s="27" t="s">
        <v>1000</v>
      </c>
      <c r="C5523" s="27" t="s">
        <v>1011</v>
      </c>
      <c r="D5523" s="27" t="s">
        <v>969</v>
      </c>
      <c r="E5523" s="21">
        <f>IF(D5523="?OLD","!!!","")</f>
        <v/>
      </c>
      <c r="F5523" s="22" t="str">
        <f>IF(OR(E5523="",E5523="!!!"),"",IF(NOT(ISNA(VLOOKUP(E5523,E$1:E5522,1,FALSE()))),"OLD",IF(AND(E5523&lt;&gt;"",E5523&lt;&gt;"!!!"),"NEW","")))</f>
        <v> </v>
      </c>
      <c r="G5523" s="23" t="str">
        <f>IF(OR(E5523="",E5523="!!!"),"",IF(OR(J5523=0,AND(J5523=1,K5523=1),AND(J5523=1,I5523="SBJ"),AND(J5523=1,I5523=0)),"?IN_FOCUS",IF(J5523&lt;=2,"?ACTIVATED",IF(J5523&lt;&gt;"","?FAMILIAR",IF(F5523="NEW",IF(ISNA(VLOOKUP(E5523,#REF!,1,FALSE())),"?TYPE_IDENTIFIABLE","?REFERENTIAL"),"_")))))</f>
        <v> </v>
      </c>
      <c r="H5523" s="24" t="str">
        <f>IF(J5523&lt;&gt;1,"",IF(I5523="SBJ","CB","?"))</f>
        <v> </v>
      </c>
      <c r="I5523" s="25" t="str">
        <f>IF(OR(E5523="",E5523="!!!",F5523="NEW"),"",INDEX(B5522:B$2,-1+SUMPRODUCT(MAX(ROW(E5522:E$2)*(E5523=E5522:E$2)))))</f>
        <v> </v>
      </c>
      <c r="J5523" s="25" t="str">
        <f>IF(OR(E5523="",E5523="!!!",F5523="NEW"),"",COUNTBLANK(OFFSET(A$1,,,SUMPRODUCT(MAX(ROW(E$2:E5523)*(E5523=E$2:E5523)))))-COUNTBLANK(OFFSET(A$1,,,SUMPRODUCT(MAX(ROW(E$1:E5522)*(E2=E$1:E5522))))))</f>
        <v> </v>
      </c>
      <c r="K5523" s="25" t="str">
        <f>IF(OR(E5523="",E5523="!!!",F5523="NEW"),"",INDEX(J$1:J5522,SUMPRODUCT(MAX(ROW(E$1:E5522)*(E5523=E$1:E5522)))))</f>
        <v> </v>
      </c>
      <c r="L5523" s="26"/>
    </row>
    <row r="5524" spans="1:12">
      <c r="A5524" s="20" t="s">
        <v>991</v>
      </c>
      <c r="E5524" s="21">
        <f>IF(D5524="?OLD","!!!","")</f>
        <v/>
      </c>
      <c r="F5524" s="22" t="str">
        <f>IF(OR(E5524="",E5524="!!!"),"",IF(NOT(ISNA(VLOOKUP(E5524,E$1:E5523,1,FALSE()))),"OLD",IF(AND(E5524&lt;&gt;"",E5524&lt;&gt;"!!!"),"NEW","")))</f>
        <v> </v>
      </c>
      <c r="G5524" s="23" t="str">
        <f>IF(OR(E5524="",E5524="!!!"),"",IF(OR(J5524=0,AND(J5524=1,K5524=1),AND(J5524=1,I5524="SBJ"),AND(J5524=1,I5524=0)),"?IN_FOCUS",IF(J5524&lt;=2,"?ACTIVATED",IF(J5524&lt;&gt;"","?FAMILIAR",IF(F5524="NEW",IF(ISNA(VLOOKUP(E5524,#REF!,1,FALSE())),"?TYPE_IDENTIFIABLE","?REFERENTIAL"),"_")))))</f>
        <v> </v>
      </c>
      <c r="H5524" s="24" t="str">
        <f>IF(J5524&lt;&gt;1,"",IF(I5524="SBJ","CB","?"))</f>
        <v> </v>
      </c>
      <c r="I5524" s="25" t="str">
        <f>IF(OR(E5524="",E5524="!!!",F5524="NEW"),"",INDEX(B5523:B$2,-1+SUMPRODUCT(MAX(ROW(E5523:E$2)*(E5524=E5523:E$2)))))</f>
        <v> </v>
      </c>
      <c r="J5524" s="25" t="str">
        <f>IF(OR(E5524="",E5524="!!!",F5524="NEW"),"",COUNTBLANK(OFFSET(A$1,,,SUMPRODUCT(MAX(ROW(E$2:E5524)*(E5524=E$2:E5524)))))-COUNTBLANK(OFFSET(A$1,,,SUMPRODUCT(MAX(ROW(E$1:E5523)*(E2=E$1:E5523))))))</f>
        <v> </v>
      </c>
      <c r="K5524" s="25" t="str">
        <f>IF(OR(E5524="",E5524="!!!",F5524="NEW"),"",INDEX(J$1:J5523,SUMPRODUCT(MAX(ROW(E$1:E5523)*(E5524=E$1:E5523)))))</f>
        <v> </v>
      </c>
      <c r="L5524" s="26"/>
    </row>
    <row r="5525" spans="1:12">
      <c r="A5525" s="20" t="s">
        <v>1177</v>
      </c>
      <c r="B5525" s="27" t="s">
        <v>1905</v>
      </c>
      <c r="C5525" s="27" t="s">
        <v>1011</v>
      </c>
      <c r="D5525" s="27" t="s">
        <v>969</v>
      </c>
      <c r="E5525" s="21">
        <f>IF(D5525="?OLD","!!!","")</f>
        <v/>
      </c>
      <c r="F5525" s="22" t="str">
        <f>IF(OR(E5525="",E5525="!!!"),"",IF(NOT(ISNA(VLOOKUP(E5525,E$1:E5524,1,FALSE()))),"OLD",IF(AND(E5525&lt;&gt;"",E5525&lt;&gt;"!!!"),"NEW","")))</f>
        <v> </v>
      </c>
      <c r="G5525" s="23" t="str">
        <f>IF(OR(E5525="",E5525="!!!"),"",IF(OR(J5525=0,AND(J5525=1,K5525=1),AND(J5525=1,I5525="SBJ"),AND(J5525=1,I5525=0)),"?IN_FOCUS",IF(J5525&lt;=2,"?ACTIVATED",IF(J5525&lt;&gt;"","?FAMILIAR",IF(F5525="NEW",IF(ISNA(VLOOKUP(E5525,#REF!,1,FALSE())),"?TYPE_IDENTIFIABLE","?REFERENTIAL"),"_")))))</f>
        <v> </v>
      </c>
      <c r="H5525" s="24" t="str">
        <f>IF(J5525&lt;&gt;1,"",IF(I5525="SBJ","CB","?"))</f>
        <v> </v>
      </c>
      <c r="I5525" s="25" t="str">
        <f>IF(OR(E5525="",E5525="!!!",F5525="NEW"),"",INDEX(B5524:B$2,-1+SUMPRODUCT(MAX(ROW(E5524:E$2)*(E5525=E5524:E$2)))))</f>
        <v> </v>
      </c>
      <c r="J5525" s="25" t="str">
        <f>IF(OR(E5525="",E5525="!!!",F5525="NEW"),"",COUNTBLANK(OFFSET(A$1,,,SUMPRODUCT(MAX(ROW(E$2:E5525)*(E5525=E$2:E5525)))))-COUNTBLANK(OFFSET(A$1,,,SUMPRODUCT(MAX(ROW(E$1:E5524)*(E2=E$1:E5524))))))</f>
        <v> </v>
      </c>
      <c r="K5525" s="25" t="str">
        <f>IF(OR(E5525="",E5525="!!!",F5525="NEW"),"",INDEX(J$1:J5524,SUMPRODUCT(MAX(ROW(E$1:E5524)*(E5525=E$1:E5524)))))</f>
        <v> </v>
      </c>
      <c r="L5525" s="26"/>
    </row>
    <row r="5526" spans="1:12">
      <c r="A5526" s="20" t="s">
        <v>1009</v>
      </c>
      <c r="B5526" s="27" t="s">
        <v>1588</v>
      </c>
      <c r="C5526" s="27" t="s">
        <v>1011</v>
      </c>
      <c r="D5526" s="27" t="s">
        <v>969</v>
      </c>
      <c r="E5526" s="21">
        <f>IF(D5526="?OLD","!!!","")</f>
        <v/>
      </c>
      <c r="F5526" s="22" t="str">
        <f>IF(OR(E5526="",E5526="!!!"),"",IF(NOT(ISNA(VLOOKUP(E5526,E$1:E5525,1,FALSE()))),"OLD",IF(AND(E5526&lt;&gt;"",E5526&lt;&gt;"!!!"),"NEW","")))</f>
        <v> </v>
      </c>
      <c r="G5526" s="23" t="str">
        <f>IF(OR(E5526="",E5526="!!!"),"",IF(OR(J5526=0,AND(J5526=1,K5526=1),AND(J5526=1,I5526="SBJ"),AND(J5526=1,I5526=0)),"?IN_FOCUS",IF(J5526&lt;=2,"?ACTIVATED",IF(J5526&lt;&gt;"","?FAMILIAR",IF(F5526="NEW",IF(ISNA(VLOOKUP(E5526,#REF!,1,FALSE())),"?TYPE_IDENTIFIABLE","?REFERENTIAL"),"_")))))</f>
        <v> </v>
      </c>
      <c r="H5526" s="24" t="str">
        <f>IF(J5526&lt;&gt;1,"",IF(I5526="SBJ","CB","?"))</f>
        <v> </v>
      </c>
      <c r="I5526" s="25" t="str">
        <f>IF(OR(E5526="",E5526="!!!",F5526="NEW"),"",INDEX(B5525:B$2,-1+SUMPRODUCT(MAX(ROW(E5525:E$2)*(E5526=E5525:E$2)))))</f>
        <v> </v>
      </c>
      <c r="J5526" s="25" t="str">
        <f>IF(OR(E5526="",E5526="!!!",F5526="NEW"),"",COUNTBLANK(OFFSET(A$1,,,SUMPRODUCT(MAX(ROW(E$2:E5526)*(E5526=E$2:E5526)))))-COUNTBLANK(OFFSET(A$1,,,SUMPRODUCT(MAX(ROW(E$1:E5525)*(E2=E$1:E5525))))))</f>
        <v> </v>
      </c>
      <c r="K5526" s="25" t="str">
        <f>IF(OR(E5526="",E5526="!!!",F5526="NEW"),"",INDEX(J$1:J5525,SUMPRODUCT(MAX(ROW(E$1:E5525)*(E5526=E$1:E5525)))))</f>
        <v> </v>
      </c>
      <c r="L5526" s="26"/>
    </row>
    <row r="5527" spans="1:12">
      <c r="A5527" s="20" t="s">
        <v>104</v>
      </c>
      <c r="E5527" s="21">
        <f>IF(D5527="?OLD","!!!","")</f>
        <v/>
      </c>
      <c r="F5527" s="22" t="str">
        <f>IF(OR(E5527="",E5527="!!!"),"",IF(NOT(ISNA(VLOOKUP(E5527,E$1:E5526,1,FALSE()))),"OLD",IF(AND(E5527&lt;&gt;"",E5527&lt;&gt;"!!!"),"NEW","")))</f>
        <v> </v>
      </c>
      <c r="G5527" s="23" t="str">
        <f>IF(OR(E5527="",E5527="!!!"),"",IF(OR(J5527=0,AND(J5527=1,K5527=1),AND(J5527=1,I5527="SBJ"),AND(J5527=1,I5527=0)),"?IN_FOCUS",IF(J5527&lt;=2,"?ACTIVATED",IF(J5527&lt;&gt;"","?FAMILIAR",IF(F5527="NEW",IF(ISNA(VLOOKUP(E5527,#REF!,1,FALSE())),"?TYPE_IDENTIFIABLE","?REFERENTIAL"),"_")))))</f>
        <v> </v>
      </c>
      <c r="H5527" s="24" t="str">
        <f>IF(J5527&lt;&gt;1,"",IF(I5527="SBJ","CB","?"))</f>
        <v> </v>
      </c>
      <c r="I5527" s="25" t="str">
        <f>IF(OR(E5527="",E5527="!!!",F5527="NEW"),"",INDEX(B5526:B$2,-1+SUMPRODUCT(MAX(ROW(E5526:E$2)*(E5527=E5526:E$2)))))</f>
        <v> </v>
      </c>
      <c r="J5527" s="25" t="str">
        <f>IF(OR(E5527="",E5527="!!!",F5527="NEW"),"",COUNTBLANK(OFFSET(A$1,,,SUMPRODUCT(MAX(ROW(E$2:E5527)*(E5527=E$2:E5527)))))-COUNTBLANK(OFFSET(A$1,,,SUMPRODUCT(MAX(ROW(E$1:E5526)*(E2=E$1:E5526))))))</f>
        <v> </v>
      </c>
      <c r="K5527" s="25" t="str">
        <f>IF(OR(E5527="",E5527="!!!",F5527="NEW"),"",INDEX(J$1:J5526,SUMPRODUCT(MAX(ROW(E$1:E5526)*(E5527=E$1:E5526)))))</f>
        <v> </v>
      </c>
      <c r="L5527" s="26"/>
    </row>
    <row r="5528" spans="1:12">
      <c r="A5528" s="20" t="s">
        <v>991</v>
      </c>
      <c r="E5528" s="21">
        <f>IF(D5528="?OLD","!!!","")</f>
        <v/>
      </c>
      <c r="F5528" s="22" t="str">
        <f>IF(OR(E5528="",E5528="!!!"),"",IF(NOT(ISNA(VLOOKUP(E5528,E$1:E5527,1,FALSE()))),"OLD",IF(AND(E5528&lt;&gt;"",E5528&lt;&gt;"!!!"),"NEW","")))</f>
        <v> </v>
      </c>
      <c r="G5528" s="23" t="str">
        <f>IF(OR(E5528="",E5528="!!!"),"",IF(OR(J5528=0,AND(J5528=1,K5528=1),AND(J5528=1,I5528="SBJ"),AND(J5528=1,I5528=0)),"?IN_FOCUS",IF(J5528&lt;=2,"?ACTIVATED",IF(J5528&lt;&gt;"","?FAMILIAR",IF(F5528="NEW",IF(ISNA(VLOOKUP(E5528,#REF!,1,FALSE())),"?TYPE_IDENTIFIABLE","?REFERENTIAL"),"_")))))</f>
        <v> </v>
      </c>
      <c r="H5528" s="24" t="str">
        <f>IF(J5528&lt;&gt;1,"",IF(I5528="SBJ","CB","?"))</f>
        <v> </v>
      </c>
      <c r="I5528" s="25" t="str">
        <f>IF(OR(E5528="",E5528="!!!",F5528="NEW"),"",INDEX(B5527:B$2,-1+SUMPRODUCT(MAX(ROW(E5527:E$2)*(E5528=E5527:E$2)))))</f>
        <v> </v>
      </c>
      <c r="J5528" s="25" t="str">
        <f>IF(OR(E5528="",E5528="!!!",F5528="NEW"),"",COUNTBLANK(OFFSET(A$1,,,SUMPRODUCT(MAX(ROW(E$2:E5528)*(E5528=E$2:E5528)))))-COUNTBLANK(OFFSET(A$1,,,SUMPRODUCT(MAX(ROW(E$1:E5527)*(E2=E$1:E5527))))))</f>
        <v> </v>
      </c>
      <c r="K5528" s="25" t="str">
        <f>IF(OR(E5528="",E5528="!!!",F5528="NEW"),"",INDEX(J$1:J5527,SUMPRODUCT(MAX(ROW(E$1:E5527)*(E5528=E$1:E5527)))))</f>
        <v> </v>
      </c>
      <c r="L5528" s="26"/>
    </row>
    <row r="5529" spans="1:12">
      <c r="A5529" s="20" t="s">
        <v>2480</v>
      </c>
      <c r="E5529" s="21">
        <f>IF(D5529="?OLD","!!!","")</f>
        <v/>
      </c>
      <c r="F5529" s="22" t="str">
        <f>IF(OR(E5529="",E5529="!!!"),"",IF(NOT(ISNA(VLOOKUP(E5529,E$1:E5528,1,FALSE()))),"OLD",IF(AND(E5529&lt;&gt;"",E5529&lt;&gt;"!!!"),"NEW","")))</f>
        <v> </v>
      </c>
      <c r="G5529" s="23" t="str">
        <f>IF(OR(E5529="",E5529="!!!"),"",IF(OR(J5529=0,AND(J5529=1,K5529=1),AND(J5529=1,I5529="SBJ"),AND(J5529=1,I5529=0)),"?IN_FOCUS",IF(J5529&lt;=2,"?ACTIVATED",IF(J5529&lt;&gt;"","?FAMILIAR",IF(F5529="NEW",IF(ISNA(VLOOKUP(E5529,#REF!,1,FALSE())),"?TYPE_IDENTIFIABLE","?REFERENTIAL"),"_")))))</f>
        <v> </v>
      </c>
      <c r="H5529" s="24" t="str">
        <f>IF(J5529&lt;&gt;1,"",IF(I5529="SBJ","CB","?"))</f>
        <v> </v>
      </c>
      <c r="I5529" s="25" t="str">
        <f>IF(OR(E5529="",E5529="!!!",F5529="NEW"),"",INDEX(B5528:B$2,-1+SUMPRODUCT(MAX(ROW(E5528:E$2)*(E5529=E5528:E$2)))))</f>
        <v> </v>
      </c>
      <c r="J5529" s="25" t="str">
        <f>IF(OR(E5529="",E5529="!!!",F5529="NEW"),"",COUNTBLANK(OFFSET(A$1,,,SUMPRODUCT(MAX(ROW(E$2:E5529)*(E5529=E$2:E5529)))))-COUNTBLANK(OFFSET(A$1,,,SUMPRODUCT(MAX(ROW(E$1:E5528)*(E2=E$1:E5528))))))</f>
        <v> </v>
      </c>
      <c r="K5529" s="25" t="str">
        <f>IF(OR(E5529="",E5529="!!!",F5529="NEW"),"",INDEX(J$1:J5528,SUMPRODUCT(MAX(ROW(E$1:E5528)*(E5529=E$1:E5528)))))</f>
        <v> </v>
      </c>
      <c r="L5529" s="26"/>
    </row>
    <row r="5530" spans="1:12">
      <c r="A5530" s="20" t="s">
        <v>462</v>
      </c>
      <c r="E5530" s="21">
        <f>IF(D5530="?OLD","!!!","")</f>
        <v/>
      </c>
      <c r="F5530" s="22" t="str">
        <f>IF(OR(E5530="",E5530="!!!"),"",IF(NOT(ISNA(VLOOKUP(E5530,E$1:E5529,1,FALSE()))),"OLD",IF(AND(E5530&lt;&gt;"",E5530&lt;&gt;"!!!"),"NEW","")))</f>
        <v> </v>
      </c>
      <c r="G5530" s="23" t="str">
        <f>IF(OR(E5530="",E5530="!!!"),"",IF(OR(J5530=0,AND(J5530=1,K5530=1),AND(J5530=1,I5530="SBJ"),AND(J5530=1,I5530=0)),"?IN_FOCUS",IF(J5530&lt;=2,"?ACTIVATED",IF(J5530&lt;&gt;"","?FAMILIAR",IF(F5530="NEW",IF(ISNA(VLOOKUP(E5530,#REF!,1,FALSE())),"?TYPE_IDENTIFIABLE","?REFERENTIAL"),"_")))))</f>
        <v> </v>
      </c>
      <c r="H5530" s="24" t="str">
        <f>IF(J5530&lt;&gt;1,"",IF(I5530="SBJ","CB","?"))</f>
        <v> </v>
      </c>
      <c r="I5530" s="25" t="str">
        <f>IF(OR(E5530="",E5530="!!!",F5530="NEW"),"",INDEX(B5529:B$2,-1+SUMPRODUCT(MAX(ROW(E5529:E$2)*(E5530=E5529:E$2)))))</f>
        <v> </v>
      </c>
      <c r="J5530" s="25" t="str">
        <f>IF(OR(E5530="",E5530="!!!",F5530="NEW"),"",COUNTBLANK(OFFSET(A$1,,,SUMPRODUCT(MAX(ROW(E$2:E5530)*(E5530=E$2:E5530)))))-COUNTBLANK(OFFSET(A$1,,,SUMPRODUCT(MAX(ROW(E$1:E5529)*(E2=E$1:E5529))))))</f>
        <v> </v>
      </c>
      <c r="K5530" s="25" t="str">
        <f>IF(OR(E5530="",E5530="!!!",F5530="NEW"),"",INDEX(J$1:J5529,SUMPRODUCT(MAX(ROW(E$1:E5529)*(E5530=E$1:E5529)))))</f>
        <v> </v>
      </c>
      <c r="L5530" s="26"/>
    </row>
    <row r="5531" spans="1:12">
      <c r="A5531" s="20" t="s">
        <v>1005</v>
      </c>
      <c r="E5531" s="21">
        <f>IF(D5531="?OLD","!!!","")</f>
        <v/>
      </c>
      <c r="F5531" s="22" t="str">
        <f>IF(OR(E5531="",E5531="!!!"),"",IF(NOT(ISNA(VLOOKUP(E5531,E$1:E5530,1,FALSE()))),"OLD",IF(AND(E5531&lt;&gt;"",E5531&lt;&gt;"!!!"),"NEW","")))</f>
        <v> </v>
      </c>
      <c r="G5531" s="23" t="str">
        <f>IF(OR(E5531="",E5531="!!!"),"",IF(OR(J5531=0,AND(J5531=1,K5531=1),AND(J5531=1,I5531="SBJ"),AND(J5531=1,I5531=0)),"?IN_FOCUS",IF(J5531&lt;=2,"?ACTIVATED",IF(J5531&lt;&gt;"","?FAMILIAR",IF(F5531="NEW",IF(ISNA(VLOOKUP(E5531,#REF!,1,FALSE())),"?TYPE_IDENTIFIABLE","?REFERENTIAL"),"_")))))</f>
        <v> </v>
      </c>
      <c r="H5531" s="24" t="str">
        <f>IF(J5531&lt;&gt;1,"",IF(I5531="SBJ","CB","?"))</f>
        <v> </v>
      </c>
      <c r="I5531" s="25" t="str">
        <f>IF(OR(E5531="",E5531="!!!",F5531="NEW"),"",INDEX(B5530:B$2,-1+SUMPRODUCT(MAX(ROW(E5530:E$2)*(E5531=E5530:E$2)))))</f>
        <v> </v>
      </c>
      <c r="J5531" s="25" t="str">
        <f>IF(OR(E5531="",E5531="!!!",F5531="NEW"),"",COUNTBLANK(OFFSET(A$1,,,SUMPRODUCT(MAX(ROW(E$2:E5531)*(E5531=E$2:E5531)))))-COUNTBLANK(OFFSET(A$1,,,SUMPRODUCT(MAX(ROW(E$1:E5530)*(E2=E$1:E5530))))))</f>
        <v> </v>
      </c>
      <c r="K5531" s="25" t="str">
        <f>IF(OR(E5531="",E5531="!!!",F5531="NEW"),"",INDEX(J$1:J5530,SUMPRODUCT(MAX(ROW(E$1:E5530)*(E5531=E$1:E5530)))))</f>
        <v> </v>
      </c>
      <c r="L5531" s="26"/>
    </row>
    <row r="5532" spans="1:12">
      <c r="A5532" s="20"/>
    </row>
    <row r="5533" spans="1:12">
      <c r="A5533" s="20" t="s">
        <v>2481</v>
      </c>
    </row>
    <row r="5534" spans="1:12">
      <c r="A5534" s="20" t="s">
        <v>1078</v>
      </c>
      <c r="B5534" s="27" t="s">
        <v>967</v>
      </c>
      <c r="C5534" s="27" t="s">
        <v>974</v>
      </c>
      <c r="E5534" s="21">
        <f>IF(D5534="?OLD","!!!","")</f>
        <v/>
      </c>
      <c r="F5534" s="22" t="str">
        <f>IF(OR(E5534="",E5534="!!!"),"",IF(NOT(ISNA(VLOOKUP(E5534,E$1:E5533,1,FALSE()))),"OLD",IF(AND(E5534&lt;&gt;"",E5534&lt;&gt;"!!!"),"NEW","")))</f>
        <v> </v>
      </c>
      <c r="G5534" s="23" t="str">
        <f>IF(OR(E5534="",E5534="!!!"),"",IF(OR(J5534=0,AND(J5534=1,K5534=1),AND(J5534=1,I5534="SBJ"),AND(J5534=1,I5534=0)),"?IN_FOCUS",IF(J5534&lt;=2,"?ACTIVATED",IF(J5534&lt;&gt;"","?FAMILIAR",IF(F5534="NEW",IF(ISNA(VLOOKUP(E5534,#REF!,1,FALSE())),"?TYPE_IDENTIFIABLE","?REFERENTIAL"),"_")))))</f>
        <v> </v>
      </c>
      <c r="H5534" s="24" t="str">
        <f>IF(J5534&lt;&gt;1,"",IF(I5534="SBJ","CB","?"))</f>
        <v> </v>
      </c>
      <c r="I5534" s="25" t="str">
        <f>IF(OR(E5534="",E5534="!!!",F5534="NEW"),"",INDEX(B5533:B$2,-1+SUMPRODUCT(MAX(ROW(E5533:E$2)*(E5534=E5533:E$2)))))</f>
        <v> </v>
      </c>
      <c r="J5534" s="25" t="str">
        <f>IF(OR(E5534="",E5534="!!!",F5534="NEW"),"",COUNTBLANK(OFFSET(A$1,,,SUMPRODUCT(MAX(ROW(E$2:E5534)*(E5534=E$2:E5534)))))-COUNTBLANK(OFFSET(A$1,,,SUMPRODUCT(MAX(ROW(E$1:E5533)*(E2=E$1:E5533))))))</f>
        <v> </v>
      </c>
      <c r="K5534" s="25" t="str">
        <f>IF(OR(E5534="",E5534="!!!",F5534="NEW"),"",INDEX(J$1:J5533,SUMPRODUCT(MAX(ROW(E$1:E5533)*(E5534=E$1:E5533)))))</f>
        <v> </v>
      </c>
      <c r="L5534" s="26"/>
    </row>
    <row r="5535" spans="1:12">
      <c r="A5535" s="20" t="s">
        <v>2482</v>
      </c>
      <c r="E5535" s="21">
        <f>IF(D5535="?OLD","!!!","")</f>
        <v/>
      </c>
      <c r="F5535" s="22" t="str">
        <f>IF(OR(E5535="",E5535="!!!"),"",IF(NOT(ISNA(VLOOKUP(E5535,E$1:E5534,1,FALSE()))),"OLD",IF(AND(E5535&lt;&gt;"",E5535&lt;&gt;"!!!"),"NEW","")))</f>
        <v> </v>
      </c>
      <c r="G5535" s="23" t="str">
        <f>IF(OR(E5535="",E5535="!!!"),"",IF(OR(J5535=0,AND(J5535=1,K5535=1),AND(J5535=1,I5535="SBJ"),AND(J5535=1,I5535=0)),"?IN_FOCUS",IF(J5535&lt;=2,"?ACTIVATED",IF(J5535&lt;&gt;"","?FAMILIAR",IF(F5535="NEW",IF(ISNA(VLOOKUP(E5535,#REF!,1,FALSE())),"?TYPE_IDENTIFIABLE","?REFERENTIAL"),"_")))))</f>
        <v> </v>
      </c>
      <c r="H5535" s="24" t="str">
        <f>IF(J5535&lt;&gt;1,"",IF(I5535="SBJ","CB","?"))</f>
        <v> </v>
      </c>
      <c r="I5535" s="25" t="str">
        <f>IF(OR(E5535="",E5535="!!!",F5535="NEW"),"",INDEX(B5534:B$2,-1+SUMPRODUCT(MAX(ROW(E5534:E$2)*(E5535=E5534:E$2)))))</f>
        <v> </v>
      </c>
      <c r="J5535" s="25" t="str">
        <f>IF(OR(E5535="",E5535="!!!",F5535="NEW"),"",COUNTBLANK(OFFSET(A$1,,,SUMPRODUCT(MAX(ROW(E$2:E5535)*(E5535=E$2:E5535)))))-COUNTBLANK(OFFSET(A$1,,,SUMPRODUCT(MAX(ROW(E$1:E5534)*(E2=E$1:E5534))))))</f>
        <v> </v>
      </c>
      <c r="K5535" s="25" t="str">
        <f>IF(OR(E5535="",E5535="!!!",F5535="NEW"),"",INDEX(J$1:J5534,SUMPRODUCT(MAX(ROW(E$1:E5534)*(E5535=E$1:E5534)))))</f>
        <v> </v>
      </c>
      <c r="L5535" s="26"/>
    </row>
    <row r="5536" spans="1:12">
      <c r="A5536" s="20" t="s">
        <v>991</v>
      </c>
      <c r="E5536" s="21">
        <f>IF(D5536="?OLD","!!!","")</f>
        <v/>
      </c>
      <c r="F5536" s="22" t="str">
        <f>IF(OR(E5536="",E5536="!!!"),"",IF(NOT(ISNA(VLOOKUP(E5536,E$1:E5535,1,FALSE()))),"OLD",IF(AND(E5536&lt;&gt;"",E5536&lt;&gt;"!!!"),"NEW","")))</f>
        <v> </v>
      </c>
      <c r="G5536" s="23" t="str">
        <f>IF(OR(E5536="",E5536="!!!"),"",IF(OR(J5536=0,AND(J5536=1,K5536=1),AND(J5536=1,I5536="SBJ"),AND(J5536=1,I5536=0)),"?IN_FOCUS",IF(J5536&lt;=2,"?ACTIVATED",IF(J5536&lt;&gt;"","?FAMILIAR",IF(F5536="NEW",IF(ISNA(VLOOKUP(E5536,#REF!,1,FALSE())),"?TYPE_IDENTIFIABLE","?REFERENTIAL"),"_")))))</f>
        <v> </v>
      </c>
      <c r="H5536" s="24" t="str">
        <f>IF(J5536&lt;&gt;1,"",IF(I5536="SBJ","CB","?"))</f>
        <v> </v>
      </c>
      <c r="I5536" s="25" t="str">
        <f>IF(OR(E5536="",E5536="!!!",F5536="NEW"),"",INDEX(B5535:B$2,-1+SUMPRODUCT(MAX(ROW(E5535:E$2)*(E5536=E5535:E$2)))))</f>
        <v> </v>
      </c>
      <c r="J5536" s="25" t="str">
        <f>IF(OR(E5536="",E5536="!!!",F5536="NEW"),"",COUNTBLANK(OFFSET(A$1,,,SUMPRODUCT(MAX(ROW(E$2:E5536)*(E5536=E$2:E5536)))))-COUNTBLANK(OFFSET(A$1,,,SUMPRODUCT(MAX(ROW(E$1:E5535)*(E2=E$1:E5535))))))</f>
        <v> </v>
      </c>
      <c r="K5536" s="25" t="str">
        <f>IF(OR(E5536="",E5536="!!!",F5536="NEW"),"",INDEX(J$1:J5535,SUMPRODUCT(MAX(ROW(E$1:E5535)*(E5536=E$1:E5535)))))</f>
        <v> </v>
      </c>
      <c r="L5536" s="26"/>
    </row>
    <row r="5537" spans="1:12">
      <c r="A5537" s="20" t="s">
        <v>867</v>
      </c>
      <c r="E5537" s="21">
        <f>IF(D5537="?OLD","!!!","")</f>
        <v/>
      </c>
      <c r="F5537" s="22" t="str">
        <f>IF(OR(E5537="",E5537="!!!"),"",IF(NOT(ISNA(VLOOKUP(E5537,E$1:E5536,1,FALSE()))),"OLD",IF(AND(E5537&lt;&gt;"",E5537&lt;&gt;"!!!"),"NEW","")))</f>
        <v> </v>
      </c>
      <c r="G5537" s="23" t="str">
        <f>IF(OR(E5537="",E5537="!!!"),"",IF(OR(J5537=0,AND(J5537=1,K5537=1),AND(J5537=1,I5537="SBJ"),AND(J5537=1,I5537=0)),"?IN_FOCUS",IF(J5537&lt;=2,"?ACTIVATED",IF(J5537&lt;&gt;"","?FAMILIAR",IF(F5537="NEW",IF(ISNA(VLOOKUP(E5537,#REF!,1,FALSE())),"?TYPE_IDENTIFIABLE","?REFERENTIAL"),"_")))))</f>
        <v> </v>
      </c>
      <c r="H5537" s="24" t="str">
        <f>IF(J5537&lt;&gt;1,"",IF(I5537="SBJ","CB","?"))</f>
        <v> </v>
      </c>
      <c r="I5537" s="25" t="str">
        <f>IF(OR(E5537="",E5537="!!!",F5537="NEW"),"",INDEX(B5536:B$2,-1+SUMPRODUCT(MAX(ROW(E5536:E$2)*(E5537=E5536:E$2)))))</f>
        <v> </v>
      </c>
      <c r="J5537" s="25" t="str">
        <f>IF(OR(E5537="",E5537="!!!",F5537="NEW"),"",COUNTBLANK(OFFSET(A$1,,,SUMPRODUCT(MAX(ROW(E$2:E5537)*(E5537=E$2:E5537)))))-COUNTBLANK(OFFSET(A$1,,,SUMPRODUCT(MAX(ROW(E$1:E5536)*(E2=E$1:E5536))))))</f>
        <v> </v>
      </c>
      <c r="K5537" s="25" t="str">
        <f>IF(OR(E5537="",E5537="!!!",F5537="NEW"),"",INDEX(J$1:J5536,SUMPRODUCT(MAX(ROW(E$1:E5536)*(E5537=E$1:E5536)))))</f>
        <v> </v>
      </c>
      <c r="L5537" s="26"/>
    </row>
    <row r="5538" spans="1:12">
      <c r="A5538" s="20" t="s">
        <v>1009</v>
      </c>
      <c r="B5538" s="27" t="s">
        <v>973</v>
      </c>
      <c r="C5538" s="27" t="s">
        <v>1011</v>
      </c>
      <c r="D5538" s="27" t="s">
        <v>969</v>
      </c>
      <c r="E5538" s="21">
        <f>IF(D5538="?OLD","!!!","")</f>
        <v/>
      </c>
      <c r="F5538" s="22" t="str">
        <f>IF(OR(E5538="",E5538="!!!"),"",IF(NOT(ISNA(VLOOKUP(E5538,E$1:E5537,1,FALSE()))),"OLD",IF(AND(E5538&lt;&gt;"",E5538&lt;&gt;"!!!"),"NEW","")))</f>
        <v> </v>
      </c>
      <c r="G5538" s="23" t="str">
        <f>IF(OR(E5538="",E5538="!!!"),"",IF(OR(J5538=0,AND(J5538=1,K5538=1),AND(J5538=1,I5538="SBJ"),AND(J5538=1,I5538=0)),"?IN_FOCUS",IF(J5538&lt;=2,"?ACTIVATED",IF(J5538&lt;&gt;"","?FAMILIAR",IF(F5538="NEW",IF(ISNA(VLOOKUP(E5538,#REF!,1,FALSE())),"?TYPE_IDENTIFIABLE","?REFERENTIAL"),"_")))))</f>
        <v> </v>
      </c>
      <c r="H5538" s="24" t="str">
        <f>IF(J5538&lt;&gt;1,"",IF(I5538="SBJ","CB","?"))</f>
        <v> </v>
      </c>
      <c r="I5538" s="25" t="str">
        <f>IF(OR(E5538="",E5538="!!!",F5538="NEW"),"",INDEX(B5537:B$2,-1+SUMPRODUCT(MAX(ROW(E5537:E$2)*(E5538=E5537:E$2)))))</f>
        <v> </v>
      </c>
      <c r="J5538" s="25" t="str">
        <f>IF(OR(E5538="",E5538="!!!",F5538="NEW"),"",COUNTBLANK(OFFSET(A$1,,,SUMPRODUCT(MAX(ROW(E$2:E5538)*(E5538=E$2:E5538)))))-COUNTBLANK(OFFSET(A$1,,,SUMPRODUCT(MAX(ROW(E$1:E5537)*(E2=E$1:E5537))))))</f>
        <v> </v>
      </c>
      <c r="K5538" s="25" t="str">
        <f>IF(OR(E5538="",E5538="!!!",F5538="NEW"),"",INDEX(J$1:J5537,SUMPRODUCT(MAX(ROW(E$1:E5537)*(E5538=E$1:E5537)))))</f>
        <v> </v>
      </c>
      <c r="L5538" s="26"/>
    </row>
    <row r="5539" spans="1:12">
      <c r="A5539" s="20" t="s">
        <v>1394</v>
      </c>
      <c r="E5539" s="21">
        <f>IF(D5539="?OLD","!!!","")</f>
        <v/>
      </c>
      <c r="F5539" s="22" t="str">
        <f>IF(OR(E5539="",E5539="!!!"),"",IF(NOT(ISNA(VLOOKUP(E5539,E$1:E5538,1,FALSE()))),"OLD",IF(AND(E5539&lt;&gt;"",E5539&lt;&gt;"!!!"),"NEW","")))</f>
        <v> </v>
      </c>
      <c r="G5539" s="23" t="str">
        <f>IF(OR(E5539="",E5539="!!!"),"",IF(OR(J5539=0,AND(J5539=1,K5539=1),AND(J5539=1,I5539="SBJ"),AND(J5539=1,I5539=0)),"?IN_FOCUS",IF(J5539&lt;=2,"?ACTIVATED",IF(J5539&lt;&gt;"","?FAMILIAR",IF(F5539="NEW",IF(ISNA(VLOOKUP(E5539,#REF!,1,FALSE())),"?TYPE_IDENTIFIABLE","?REFERENTIAL"),"_")))))</f>
        <v> </v>
      </c>
      <c r="H5539" s="24" t="str">
        <f>IF(J5539&lt;&gt;1,"",IF(I5539="SBJ","CB","?"))</f>
        <v> </v>
      </c>
      <c r="I5539" s="25" t="str">
        <f>IF(OR(E5539="",E5539="!!!",F5539="NEW"),"",INDEX(B5538:B$2,-1+SUMPRODUCT(MAX(ROW(E5538:E$2)*(E5539=E5538:E$2)))))</f>
        <v> </v>
      </c>
      <c r="J5539" s="25" t="str">
        <f>IF(OR(E5539="",E5539="!!!",F5539="NEW"),"",COUNTBLANK(OFFSET(A$1,,,SUMPRODUCT(MAX(ROW(E$2:E5539)*(E5539=E$2:E5539)))))-COUNTBLANK(OFFSET(A$1,,,SUMPRODUCT(MAX(ROW(E$1:E5538)*(E2=E$1:E5538))))))</f>
        <v> </v>
      </c>
      <c r="K5539" s="25" t="str">
        <f>IF(OR(E5539="",E5539="!!!",F5539="NEW"),"",INDEX(J$1:J5538,SUMPRODUCT(MAX(ROW(E$1:E5538)*(E5539=E$1:E5538)))))</f>
        <v> </v>
      </c>
      <c r="L5539" s="26"/>
    </row>
    <row r="5540" spans="1:12">
      <c r="A5540" s="20" t="s">
        <v>1005</v>
      </c>
      <c r="E5540" s="21">
        <f>IF(D5540="?OLD","!!!","")</f>
        <v/>
      </c>
      <c r="F5540" s="22" t="str">
        <f>IF(OR(E5540="",E5540="!!!"),"",IF(NOT(ISNA(VLOOKUP(E5540,E$1:E5539,1,FALSE()))),"OLD",IF(AND(E5540&lt;&gt;"",E5540&lt;&gt;"!!!"),"NEW","")))</f>
        <v> </v>
      </c>
      <c r="G5540" s="23" t="str">
        <f>IF(OR(E5540="",E5540="!!!"),"",IF(OR(J5540=0,AND(J5540=1,K5540=1),AND(J5540=1,I5540="SBJ"),AND(J5540=1,I5540=0)),"?IN_FOCUS",IF(J5540&lt;=2,"?ACTIVATED",IF(J5540&lt;&gt;"","?FAMILIAR",IF(F5540="NEW",IF(ISNA(VLOOKUP(E5540,#REF!,1,FALSE())),"?TYPE_IDENTIFIABLE","?REFERENTIAL"),"_")))))</f>
        <v> </v>
      </c>
      <c r="H5540" s="24" t="str">
        <f>IF(J5540&lt;&gt;1,"",IF(I5540="SBJ","CB","?"))</f>
        <v> </v>
      </c>
      <c r="I5540" s="25" t="str">
        <f>IF(OR(E5540="",E5540="!!!",F5540="NEW"),"",INDEX(B5539:B$2,-1+SUMPRODUCT(MAX(ROW(E5539:E$2)*(E5540=E5539:E$2)))))</f>
        <v> </v>
      </c>
      <c r="J5540" s="25" t="str">
        <f>IF(OR(E5540="",E5540="!!!",F5540="NEW"),"",COUNTBLANK(OFFSET(A$1,,,SUMPRODUCT(MAX(ROW(E$2:E5540)*(E5540=E$2:E5540)))))-COUNTBLANK(OFFSET(A$1,,,SUMPRODUCT(MAX(ROW(E$1:E5539)*(E2=E$1:E5539))))))</f>
        <v> </v>
      </c>
      <c r="K5540" s="25" t="str">
        <f>IF(OR(E5540="",E5540="!!!",F5540="NEW"),"",INDEX(J$1:J5539,SUMPRODUCT(MAX(ROW(E$1:E5539)*(E5540=E$1:E5539)))))</f>
        <v> </v>
      </c>
      <c r="L5540" s="26"/>
    </row>
    <row r="5541" spans="1:12">
      <c r="A5541" s="20"/>
    </row>
    <row r="5542" spans="1:12">
      <c r="A5542" s="20" t="s">
        <v>2483</v>
      </c>
    </row>
    <row r="5543" spans="1:12">
      <c r="A5543" s="20" t="s">
        <v>1182</v>
      </c>
      <c r="E5543" s="21">
        <f>IF(D5543="?OLD","!!!","")</f>
        <v/>
      </c>
      <c r="F5543" s="22" t="str">
        <f>IF(OR(E5543="",E5543="!!!"),"",IF(NOT(ISNA(VLOOKUP(E5543,E$1:E5542,1,FALSE()))),"OLD",IF(AND(E5543&lt;&gt;"",E5543&lt;&gt;"!!!"),"NEW","")))</f>
        <v> </v>
      </c>
      <c r="G5543" s="23" t="str">
        <f>IF(OR(E5543="",E5543="!!!"),"",IF(OR(J5543=0,AND(J5543=1,K5543=1),AND(J5543=1,I5543="SBJ"),AND(J5543=1,I5543=0)),"?IN_FOCUS",IF(J5543&lt;=2,"?ACTIVATED",IF(J5543&lt;&gt;"","?FAMILIAR",IF(F5543="NEW",IF(ISNA(VLOOKUP(E5543,#REF!,1,FALSE())),"?TYPE_IDENTIFIABLE","?REFERENTIAL"),"_")))))</f>
        <v> </v>
      </c>
      <c r="H5543" s="24" t="str">
        <f>IF(J5543&lt;&gt;1,"",IF(I5543="SBJ","CB","?"))</f>
        <v> </v>
      </c>
      <c r="I5543" s="25" t="str">
        <f>IF(OR(E5543="",E5543="!!!",F5543="NEW"),"",INDEX(B5542:B$2,-1+SUMPRODUCT(MAX(ROW(E5542:E$2)*(E5543=E5542:E$2)))))</f>
        <v> </v>
      </c>
      <c r="J5543" s="25" t="str">
        <f>IF(OR(E5543="",E5543="!!!",F5543="NEW"),"",COUNTBLANK(OFFSET(A$1,,,SUMPRODUCT(MAX(ROW(E$2:E5543)*(E5543=E$2:E5543)))))-COUNTBLANK(OFFSET(A$1,,,SUMPRODUCT(MAX(ROW(E$1:E5542)*(E2=E$1:E5542))))))</f>
        <v> </v>
      </c>
      <c r="K5543" s="25" t="str">
        <f>IF(OR(E5543="",E5543="!!!",F5543="NEW"),"",INDEX(J$1:J5542,SUMPRODUCT(MAX(ROW(E$1:E5542)*(E5543=E$1:E5542)))))</f>
        <v> </v>
      </c>
      <c r="L5543" s="26"/>
    </row>
    <row r="5544" spans="1:12">
      <c r="A5544" s="20" t="s">
        <v>1220</v>
      </c>
      <c r="B5544" s="27" t="s">
        <v>1010</v>
      </c>
      <c r="C5544" s="27" t="s">
        <v>1001</v>
      </c>
      <c r="E5544" s="21">
        <f>IF(D5544="?OLD","!!!","")</f>
        <v/>
      </c>
      <c r="F5544" s="22" t="str">
        <f>IF(OR(E5544="",E5544="!!!"),"",IF(NOT(ISNA(VLOOKUP(E5544,E$1:E5543,1,FALSE()))),"OLD",IF(AND(E5544&lt;&gt;"",E5544&lt;&gt;"!!!"),"NEW","")))</f>
        <v> </v>
      </c>
      <c r="G5544" s="23" t="str">
        <f>IF(OR(E5544="",E5544="!!!"),"",IF(OR(J5544=0,AND(J5544=1,K5544=1),AND(J5544=1,I5544="SBJ"),AND(J5544=1,I5544=0)),"?IN_FOCUS",IF(J5544&lt;=2,"?ACTIVATED",IF(J5544&lt;&gt;"","?FAMILIAR",IF(F5544="NEW",IF(ISNA(VLOOKUP(E5544,#REF!,1,FALSE())),"?TYPE_IDENTIFIABLE","?REFERENTIAL"),"_")))))</f>
        <v> </v>
      </c>
      <c r="H5544" s="24" t="str">
        <f>IF(J5544&lt;&gt;1,"",IF(I5544="SBJ","CB","?"))</f>
        <v> </v>
      </c>
      <c r="I5544" s="25" t="str">
        <f>IF(OR(E5544="",E5544="!!!",F5544="NEW"),"",INDEX(B5543:B$2,-1+SUMPRODUCT(MAX(ROW(E5543:E$2)*(E5544=E5543:E$2)))))</f>
        <v> </v>
      </c>
      <c r="J5544" s="25" t="str">
        <f>IF(OR(E5544="",E5544="!!!",F5544="NEW"),"",COUNTBLANK(OFFSET(A$1,,,SUMPRODUCT(MAX(ROW(E$2:E5544)*(E5544=E$2:E5544)))))-COUNTBLANK(OFFSET(A$1,,,SUMPRODUCT(MAX(ROW(E$1:E5543)*(E2=E$1:E5543))))))</f>
        <v> </v>
      </c>
      <c r="K5544" s="25" t="str">
        <f>IF(OR(E5544="",E5544="!!!",F5544="NEW"),"",INDEX(J$1:J5543,SUMPRODUCT(MAX(ROW(E$1:E5543)*(E5544=E$1:E5543)))))</f>
        <v> </v>
      </c>
      <c r="L5544" s="26"/>
    </row>
    <row r="5545" spans="1:12">
      <c r="A5545" s="20" t="s">
        <v>1213</v>
      </c>
      <c r="B5545" s="27" t="s">
        <v>1013</v>
      </c>
      <c r="E5545" s="21">
        <f>IF(D5545="?OLD","!!!","")</f>
        <v/>
      </c>
      <c r="F5545" s="22" t="str">
        <f>IF(OR(E5545="",E5545="!!!"),"",IF(NOT(ISNA(VLOOKUP(E5545,E$1:E5544,1,FALSE()))),"OLD",IF(AND(E5545&lt;&gt;"",E5545&lt;&gt;"!!!"),"NEW","")))</f>
        <v> </v>
      </c>
      <c r="G5545" s="23" t="str">
        <f>IF(OR(E5545="",E5545="!!!"),"",IF(OR(J5545=0,AND(J5545=1,K5545=1),AND(J5545=1,I5545="SBJ"),AND(J5545=1,I5545=0)),"?IN_FOCUS",IF(J5545&lt;=2,"?ACTIVATED",IF(J5545&lt;&gt;"","?FAMILIAR",IF(F5545="NEW",IF(ISNA(VLOOKUP(E5545,#REF!,1,FALSE())),"?TYPE_IDENTIFIABLE","?REFERENTIAL"),"_")))))</f>
        <v> </v>
      </c>
      <c r="H5545" s="24" t="str">
        <f>IF(J5545&lt;&gt;1,"",IF(I5545="SBJ","CB","?"))</f>
        <v> </v>
      </c>
      <c r="I5545" s="25" t="str">
        <f>IF(OR(E5545="",E5545="!!!",F5545="NEW"),"",INDEX(B5544:B$2,-1+SUMPRODUCT(MAX(ROW(E5544:E$2)*(E5545=E5544:E$2)))))</f>
        <v> </v>
      </c>
      <c r="J5545" s="25" t="str">
        <f>IF(OR(E5545="",E5545="!!!",F5545="NEW"),"",COUNTBLANK(OFFSET(A$1,,,SUMPRODUCT(MAX(ROW(E$2:E5545)*(E5545=E$2:E5545)))))-COUNTBLANK(OFFSET(A$1,,,SUMPRODUCT(MAX(ROW(E$1:E5544)*(E2=E$1:E5544))))))</f>
        <v> </v>
      </c>
      <c r="K5545" s="25" t="str">
        <f>IF(OR(E5545="",E5545="!!!",F5545="NEW"),"",INDEX(J$1:J5544,SUMPRODUCT(MAX(ROW(E$1:E5544)*(E5545=E$1:E5544)))))</f>
        <v> </v>
      </c>
      <c r="L5545" s="26"/>
    </row>
    <row r="5546" spans="1:12">
      <c r="A5546" s="20" t="s">
        <v>1475</v>
      </c>
      <c r="E5546" s="21">
        <f>IF(D5546="?OLD","!!!","")</f>
        <v/>
      </c>
      <c r="F5546" s="22" t="str">
        <f>IF(OR(E5546="",E5546="!!!"),"",IF(NOT(ISNA(VLOOKUP(E5546,E$1:E5545,1,FALSE()))),"OLD",IF(AND(E5546&lt;&gt;"",E5546&lt;&gt;"!!!"),"NEW","")))</f>
        <v> </v>
      </c>
      <c r="G5546" s="23" t="str">
        <f>IF(OR(E5546="",E5546="!!!"),"",IF(OR(J5546=0,AND(J5546=1,K5546=1),AND(J5546=1,I5546="SBJ"),AND(J5546=1,I5546=0)),"?IN_FOCUS",IF(J5546&lt;=2,"?ACTIVATED",IF(J5546&lt;&gt;"","?FAMILIAR",IF(F5546="NEW",IF(ISNA(VLOOKUP(E5546,#REF!,1,FALSE())),"?TYPE_IDENTIFIABLE","?REFERENTIAL"),"_")))))</f>
        <v> </v>
      </c>
      <c r="H5546" s="24" t="str">
        <f>IF(J5546&lt;&gt;1,"",IF(I5546="SBJ","CB","?"))</f>
        <v> </v>
      </c>
      <c r="I5546" s="25" t="str">
        <f>IF(OR(E5546="",E5546="!!!",F5546="NEW"),"",INDEX(B5545:B$2,-1+SUMPRODUCT(MAX(ROW(E5545:E$2)*(E5546=E5545:E$2)))))</f>
        <v> </v>
      </c>
      <c r="J5546" s="25" t="str">
        <f>IF(OR(E5546="",E5546="!!!",F5546="NEW"),"",COUNTBLANK(OFFSET(A$1,,,SUMPRODUCT(MAX(ROW(E$2:E5546)*(E5546=E$2:E5546)))))-COUNTBLANK(OFFSET(A$1,,,SUMPRODUCT(MAX(ROW(E$1:E5545)*(E2=E$1:E5545))))))</f>
        <v> </v>
      </c>
      <c r="K5546" s="25" t="str">
        <f>IF(OR(E5546="",E5546="!!!",F5546="NEW"),"",INDEX(J$1:J5545,SUMPRODUCT(MAX(ROW(E$1:E5545)*(E5546=E$1:E5545)))))</f>
        <v> </v>
      </c>
      <c r="L5546" s="26"/>
    </row>
    <row r="5547" spans="1:12">
      <c r="A5547" s="20" t="s">
        <v>1919</v>
      </c>
      <c r="B5547" s="27" t="s">
        <v>978</v>
      </c>
      <c r="C5547" s="27" t="s">
        <v>968</v>
      </c>
      <c r="D5547" s="27" t="s">
        <v>969</v>
      </c>
      <c r="E5547" s="21">
        <f>IF(D5547="?OLD","!!!","")</f>
        <v/>
      </c>
      <c r="F5547" s="22" t="str">
        <f>IF(OR(E5547="",E5547="!!!"),"",IF(NOT(ISNA(VLOOKUP(E5547,E$1:E5546,1,FALSE()))),"OLD",IF(AND(E5547&lt;&gt;"",E5547&lt;&gt;"!!!"),"NEW","")))</f>
        <v> </v>
      </c>
      <c r="G5547" s="23" t="str">
        <f>IF(OR(E5547="",E5547="!!!"),"",IF(OR(J5547=0,AND(J5547=1,K5547=1),AND(J5547=1,I5547="SBJ"),AND(J5547=1,I5547=0)),"?IN_FOCUS",IF(J5547&lt;=2,"?ACTIVATED",IF(J5547&lt;&gt;"","?FAMILIAR",IF(F5547="NEW",IF(ISNA(VLOOKUP(E5547,#REF!,1,FALSE())),"?TYPE_IDENTIFIABLE","?REFERENTIAL"),"_")))))</f>
        <v> </v>
      </c>
      <c r="H5547" s="24" t="str">
        <f>IF(J5547&lt;&gt;1,"",IF(I5547="SBJ","CB","?"))</f>
        <v> </v>
      </c>
      <c r="I5547" s="25" t="str">
        <f>IF(OR(E5547="",E5547="!!!",F5547="NEW"),"",INDEX(B5546:B$2,-1+SUMPRODUCT(MAX(ROW(E5546:E$2)*(E5547=E5546:E$2)))))</f>
        <v> </v>
      </c>
      <c r="J5547" s="25" t="str">
        <f>IF(OR(E5547="",E5547="!!!",F5547="NEW"),"",COUNTBLANK(OFFSET(A$1,,,SUMPRODUCT(MAX(ROW(E$2:E5547)*(E5547=E$2:E5547)))))-COUNTBLANK(OFFSET(A$1,,,SUMPRODUCT(MAX(ROW(E$1:E5546)*(E2=E$1:E5546))))))</f>
        <v> </v>
      </c>
      <c r="K5547" s="25" t="str">
        <f>IF(OR(E5547="",E5547="!!!",F5547="NEW"),"",INDEX(J$1:J5546,SUMPRODUCT(MAX(ROW(E$1:E5546)*(E5547=E$1:E5546)))))</f>
        <v> </v>
      </c>
      <c r="L5547" s="26"/>
    </row>
    <row r="5548" spans="1:12">
      <c r="A5548" s="20" t="s">
        <v>2484</v>
      </c>
      <c r="E5548" s="21">
        <f>IF(D5548="?OLD","!!!","")</f>
        <v/>
      </c>
      <c r="F5548" s="22" t="str">
        <f>IF(OR(E5548="",E5548="!!!"),"",IF(NOT(ISNA(VLOOKUP(E5548,E$1:E5547,1,FALSE()))),"OLD",IF(AND(E5548&lt;&gt;"",E5548&lt;&gt;"!!!"),"NEW","")))</f>
        <v> </v>
      </c>
      <c r="G5548" s="23" t="str">
        <f>IF(OR(E5548="",E5548="!!!"),"",IF(OR(J5548=0,AND(J5548=1,K5548=1),AND(J5548=1,I5548="SBJ"),AND(J5548=1,I5548=0)),"?IN_FOCUS",IF(J5548&lt;=2,"?ACTIVATED",IF(J5548&lt;&gt;"","?FAMILIAR",IF(F5548="NEW",IF(ISNA(VLOOKUP(E5548,#REF!,1,FALSE())),"?TYPE_IDENTIFIABLE","?REFERENTIAL"),"_")))))</f>
        <v> </v>
      </c>
      <c r="H5548" s="24" t="str">
        <f>IF(J5548&lt;&gt;1,"",IF(I5548="SBJ","CB","?"))</f>
        <v> </v>
      </c>
      <c r="I5548" s="25" t="str">
        <f>IF(OR(E5548="",E5548="!!!",F5548="NEW"),"",INDEX(B5547:B$2,-1+SUMPRODUCT(MAX(ROW(E5547:E$2)*(E5548=E5547:E$2)))))</f>
        <v> </v>
      </c>
      <c r="J5548" s="25" t="str">
        <f>IF(OR(E5548="",E5548="!!!",F5548="NEW"),"",COUNTBLANK(OFFSET(A$1,,,SUMPRODUCT(MAX(ROW(E$2:E5548)*(E5548=E$2:E5548)))))-COUNTBLANK(OFFSET(A$1,,,SUMPRODUCT(MAX(ROW(E$1:E5547)*(E2=E$1:E5547))))))</f>
        <v> </v>
      </c>
      <c r="K5548" s="25" t="str">
        <f>IF(OR(E5548="",E5548="!!!",F5548="NEW"),"",INDEX(J$1:J5547,SUMPRODUCT(MAX(ROW(E$1:E5547)*(E5548=E$1:E5547)))))</f>
        <v> </v>
      </c>
      <c r="L5548" s="26"/>
    </row>
    <row r="5549" spans="1:12">
      <c r="A5549" s="20" t="s">
        <v>991</v>
      </c>
      <c r="E5549" s="21">
        <f>IF(D5549="?OLD","!!!","")</f>
        <v/>
      </c>
      <c r="F5549" s="22" t="str">
        <f>IF(OR(E5549="",E5549="!!!"),"",IF(NOT(ISNA(VLOOKUP(E5549,E$1:E5548,1,FALSE()))),"OLD",IF(AND(E5549&lt;&gt;"",E5549&lt;&gt;"!!!"),"NEW","")))</f>
        <v> </v>
      </c>
      <c r="G5549" s="23" t="str">
        <f>IF(OR(E5549="",E5549="!!!"),"",IF(OR(J5549=0,AND(J5549=1,K5549=1),AND(J5549=1,I5549="SBJ"),AND(J5549=1,I5549=0)),"?IN_FOCUS",IF(J5549&lt;=2,"?ACTIVATED",IF(J5549&lt;&gt;"","?FAMILIAR",IF(F5549="NEW",IF(ISNA(VLOOKUP(E5549,#REF!,1,FALSE())),"?TYPE_IDENTIFIABLE","?REFERENTIAL"),"_")))))</f>
        <v> </v>
      </c>
      <c r="H5549" s="24" t="str">
        <f>IF(J5549&lt;&gt;1,"",IF(I5549="SBJ","CB","?"))</f>
        <v> </v>
      </c>
      <c r="I5549" s="25" t="str">
        <f>IF(OR(E5549="",E5549="!!!",F5549="NEW"),"",INDEX(B5548:B$2,-1+SUMPRODUCT(MAX(ROW(E5548:E$2)*(E5549=E5548:E$2)))))</f>
        <v> </v>
      </c>
      <c r="J5549" s="25" t="str">
        <f>IF(OR(E5549="",E5549="!!!",F5549="NEW"),"",COUNTBLANK(OFFSET(A$1,,,SUMPRODUCT(MAX(ROW(E$2:E5549)*(E5549=E$2:E5549)))))-COUNTBLANK(OFFSET(A$1,,,SUMPRODUCT(MAX(ROW(E$1:E5548)*(E2=E$1:E5548))))))</f>
        <v> </v>
      </c>
      <c r="K5549" s="25" t="str">
        <f>IF(OR(E5549="",E5549="!!!",F5549="NEW"),"",INDEX(J$1:J5548,SUMPRODUCT(MAX(ROW(E$1:E5548)*(E5549=E$1:E5548)))))</f>
        <v> </v>
      </c>
      <c r="L5549" s="26"/>
    </row>
    <row r="5550" spans="1:12">
      <c r="A5550" s="20" t="s">
        <v>871</v>
      </c>
      <c r="E5550" s="21">
        <f>IF(D5550="?OLD","!!!","")</f>
        <v/>
      </c>
      <c r="F5550" s="22" t="str">
        <f>IF(OR(E5550="",E5550="!!!"),"",IF(NOT(ISNA(VLOOKUP(E5550,E$1:E5549,1,FALSE()))),"OLD",IF(AND(E5550&lt;&gt;"",E5550&lt;&gt;"!!!"),"NEW","")))</f>
        <v> </v>
      </c>
      <c r="G5550" s="23" t="str">
        <f>IF(OR(E5550="",E5550="!!!"),"",IF(OR(J5550=0,AND(J5550=1,K5550=1),AND(J5550=1,I5550="SBJ"),AND(J5550=1,I5550=0)),"?IN_FOCUS",IF(J5550&lt;=2,"?ACTIVATED",IF(J5550&lt;&gt;"","?FAMILIAR",IF(F5550="NEW",IF(ISNA(VLOOKUP(E5550,#REF!,1,FALSE())),"?TYPE_IDENTIFIABLE","?REFERENTIAL"),"_")))))</f>
        <v> </v>
      </c>
      <c r="H5550" s="24" t="str">
        <f>IF(J5550&lt;&gt;1,"",IF(I5550="SBJ","CB","?"))</f>
        <v> </v>
      </c>
      <c r="I5550" s="25" t="str">
        <f>IF(OR(E5550="",E5550="!!!",F5550="NEW"),"",INDEX(B5549:B$2,-1+SUMPRODUCT(MAX(ROW(E5549:E$2)*(E5550=E5549:E$2)))))</f>
        <v> </v>
      </c>
      <c r="J5550" s="25" t="str">
        <f>IF(OR(E5550="",E5550="!!!",F5550="NEW"),"",COUNTBLANK(OFFSET(A$1,,,SUMPRODUCT(MAX(ROW(E$2:E5550)*(E5550=E$2:E5550)))))-COUNTBLANK(OFFSET(A$1,,,SUMPRODUCT(MAX(ROW(E$1:E5549)*(E2=E$1:E5549))))))</f>
        <v> </v>
      </c>
      <c r="K5550" s="25" t="str">
        <f>IF(OR(E5550="",E5550="!!!",F5550="NEW"),"",INDEX(J$1:J5549,SUMPRODUCT(MAX(ROW(E$1:E5549)*(E5550=E$1:E5549)))))</f>
        <v> </v>
      </c>
      <c r="L5550" s="26"/>
    </row>
    <row r="5551" spans="1:12">
      <c r="A5551" s="20" t="s">
        <v>1009</v>
      </c>
      <c r="B5551" s="27" t="s">
        <v>967</v>
      </c>
      <c r="C5551" s="27" t="s">
        <v>1011</v>
      </c>
      <c r="D5551" s="27" t="s">
        <v>969</v>
      </c>
      <c r="E5551" s="21">
        <f>IF(D5551="?OLD","!!!","")</f>
        <v/>
      </c>
      <c r="F5551" s="22" t="str">
        <f>IF(OR(E5551="",E5551="!!!"),"",IF(NOT(ISNA(VLOOKUP(E5551,E$1:E5550,1,FALSE()))),"OLD",IF(AND(E5551&lt;&gt;"",E5551&lt;&gt;"!!!"),"NEW","")))</f>
        <v> </v>
      </c>
      <c r="G5551" s="23" t="str">
        <f>IF(OR(E5551="",E5551="!!!"),"",IF(OR(J5551=0,AND(J5551=1,K5551=1),AND(J5551=1,I5551="SBJ"),AND(J5551=1,I5551=0)),"?IN_FOCUS",IF(J5551&lt;=2,"?ACTIVATED",IF(J5551&lt;&gt;"","?FAMILIAR",IF(F5551="NEW",IF(ISNA(VLOOKUP(E5551,#REF!,1,FALSE())),"?TYPE_IDENTIFIABLE","?REFERENTIAL"),"_")))))</f>
        <v> </v>
      </c>
      <c r="H5551" s="24" t="str">
        <f>IF(J5551&lt;&gt;1,"",IF(I5551="SBJ","CB","?"))</f>
        <v> </v>
      </c>
      <c r="I5551" s="25" t="str">
        <f>IF(OR(E5551="",E5551="!!!",F5551="NEW"),"",INDEX(B5550:B$2,-1+SUMPRODUCT(MAX(ROW(E5550:E$2)*(E5551=E5550:E$2)))))</f>
        <v> </v>
      </c>
      <c r="J5551" s="25" t="str">
        <f>IF(OR(E5551="",E5551="!!!",F5551="NEW"),"",COUNTBLANK(OFFSET(A$1,,,SUMPRODUCT(MAX(ROW(E$2:E5551)*(E5551=E$2:E5551)))))-COUNTBLANK(OFFSET(A$1,,,SUMPRODUCT(MAX(ROW(E$1:E5550)*(E2=E$1:E5550))))))</f>
        <v> </v>
      </c>
      <c r="K5551" s="25" t="str">
        <f>IF(OR(E5551="",E5551="!!!",F5551="NEW"),"",INDEX(J$1:J5550,SUMPRODUCT(MAX(ROW(E$1:E5550)*(E5551=E$1:E5550)))))</f>
        <v> </v>
      </c>
      <c r="L5551" s="26"/>
    </row>
    <row r="5552" spans="1:12">
      <c r="A5552" s="20" t="s">
        <v>1005</v>
      </c>
      <c r="E5552" s="21">
        <f>IF(D5552="?OLD","!!!","")</f>
        <v/>
      </c>
      <c r="F5552" s="22" t="str">
        <f>IF(OR(E5552="",E5552="!!!"),"",IF(NOT(ISNA(VLOOKUP(E5552,E$1:E5551,1,FALSE()))),"OLD",IF(AND(E5552&lt;&gt;"",E5552&lt;&gt;"!!!"),"NEW","")))</f>
        <v> </v>
      </c>
      <c r="G5552" s="23" t="str">
        <f>IF(OR(E5552="",E5552="!!!"),"",IF(OR(J5552=0,AND(J5552=1,K5552=1),AND(J5552=1,I5552="SBJ"),AND(J5552=1,I5552=0)),"?IN_FOCUS",IF(J5552&lt;=2,"?ACTIVATED",IF(J5552&lt;&gt;"","?FAMILIAR",IF(F5552="NEW",IF(ISNA(VLOOKUP(E5552,#REF!,1,FALSE())),"?TYPE_IDENTIFIABLE","?REFERENTIAL"),"_")))))</f>
        <v> </v>
      </c>
      <c r="H5552" s="24" t="str">
        <f>IF(J5552&lt;&gt;1,"",IF(I5552="SBJ","CB","?"))</f>
        <v> </v>
      </c>
      <c r="I5552" s="25" t="str">
        <f>IF(OR(E5552="",E5552="!!!",F5552="NEW"),"",INDEX(B5551:B$2,-1+SUMPRODUCT(MAX(ROW(E5551:E$2)*(E5552=E5551:E$2)))))</f>
        <v> </v>
      </c>
      <c r="J5552" s="25" t="str">
        <f>IF(OR(E5552="",E5552="!!!",F5552="NEW"),"",COUNTBLANK(OFFSET(A$1,,,SUMPRODUCT(MAX(ROW(E$2:E5552)*(E5552=E$2:E5552)))))-COUNTBLANK(OFFSET(A$1,,,SUMPRODUCT(MAX(ROW(E$1:E5551)*(E2=E$1:E5551))))))</f>
        <v> </v>
      </c>
      <c r="K5552" s="25" t="str">
        <f>IF(OR(E5552="",E5552="!!!",F5552="NEW"),"",INDEX(J$1:J5551,SUMPRODUCT(MAX(ROW(E$1:E5551)*(E5552=E$1:E5551)))))</f>
        <v> </v>
      </c>
      <c r="L5552" s="26"/>
    </row>
    <row r="5553" spans="1:12">
      <c r="A5553" s="20"/>
    </row>
    <row r="5554" spans="1:12">
      <c r="A5554" s="20" t="s">
        <v>2485</v>
      </c>
    </row>
    <row r="5555" spans="1:12">
      <c r="A5555" s="20" t="s">
        <v>1007</v>
      </c>
      <c r="E5555" s="21">
        <f>IF(D5555="?OLD","!!!","")</f>
        <v/>
      </c>
      <c r="F5555" s="22" t="str">
        <f>IF(OR(E5555="",E5555="!!!"),"",IF(NOT(ISNA(VLOOKUP(E5555,E$1:E5554,1,FALSE()))),"OLD",IF(AND(E5555&lt;&gt;"",E5555&lt;&gt;"!!!"),"NEW","")))</f>
        <v> </v>
      </c>
      <c r="G5555" s="23" t="str">
        <f>IF(OR(E5555="",E5555="!!!"),"",IF(OR(J5555=0,AND(J5555=1,K5555=1),AND(J5555=1,I5555="SBJ"),AND(J5555=1,I5555=0)),"?IN_FOCUS",IF(J5555&lt;=2,"?ACTIVATED",IF(J5555&lt;&gt;"","?FAMILIAR",IF(F5555="NEW",IF(ISNA(VLOOKUP(E5555,#REF!,1,FALSE())),"?TYPE_IDENTIFIABLE","?REFERENTIAL"),"_")))))</f>
        <v> </v>
      </c>
      <c r="H5555" s="24" t="str">
        <f>IF(J5555&lt;&gt;1,"",IF(I5555="SBJ","CB","?"))</f>
        <v> </v>
      </c>
      <c r="I5555" s="25" t="str">
        <f>IF(OR(E5555="",E5555="!!!",F5555="NEW"),"",INDEX(B5554:B$2,-1+SUMPRODUCT(MAX(ROW(E5554:E$2)*(E5555=E5554:E$2)))))</f>
        <v> </v>
      </c>
      <c r="J5555" s="25" t="str">
        <f>IF(OR(E5555="",E5555="!!!",F5555="NEW"),"",COUNTBLANK(OFFSET(A$1,,,SUMPRODUCT(MAX(ROW(E$2:E5555)*(E5555=E$2:E5555)))))-COUNTBLANK(OFFSET(A$1,,,SUMPRODUCT(MAX(ROW(E$1:E5554)*(E2=E$1:E5554))))))</f>
        <v> </v>
      </c>
      <c r="K5555" s="25" t="str">
        <f>IF(OR(E5555="",E5555="!!!",F5555="NEW"),"",INDEX(J$1:J5554,SUMPRODUCT(MAX(ROW(E$1:E5554)*(E5555=E$1:E5554)))))</f>
        <v> </v>
      </c>
      <c r="L5555" s="26"/>
    </row>
    <row r="5556" spans="1:12">
      <c r="A5556" s="20" t="s">
        <v>985</v>
      </c>
      <c r="E5556" s="21">
        <f>IF(D5556="?OLD","!!!","")</f>
        <v/>
      </c>
      <c r="F5556" s="22" t="str">
        <f>IF(OR(E5556="",E5556="!!!"),"",IF(NOT(ISNA(VLOOKUP(E5556,E$1:E5555,1,FALSE()))),"OLD",IF(AND(E5556&lt;&gt;"",E5556&lt;&gt;"!!!"),"NEW","")))</f>
        <v> </v>
      </c>
      <c r="G5556" s="23" t="str">
        <f>IF(OR(E5556="",E5556="!!!"),"",IF(OR(J5556=0,AND(J5556=1,K5556=1),AND(J5556=1,I5556="SBJ"),AND(J5556=1,I5556=0)),"?IN_FOCUS",IF(J5556&lt;=2,"?ACTIVATED",IF(J5556&lt;&gt;"","?FAMILIAR",IF(F5556="NEW",IF(ISNA(VLOOKUP(E5556,#REF!,1,FALSE())),"?TYPE_IDENTIFIABLE","?REFERENTIAL"),"_")))))</f>
        <v> </v>
      </c>
      <c r="H5556" s="24" t="str">
        <f>IF(J5556&lt;&gt;1,"",IF(I5556="SBJ","CB","?"))</f>
        <v> </v>
      </c>
      <c r="I5556" s="25" t="str">
        <f>IF(OR(E5556="",E5556="!!!",F5556="NEW"),"",INDEX(B5555:B$2,-1+SUMPRODUCT(MAX(ROW(E5555:E$2)*(E5556=E5555:E$2)))))</f>
        <v> </v>
      </c>
      <c r="J5556" s="25" t="str">
        <f>IF(OR(E5556="",E5556="!!!",F5556="NEW"),"",COUNTBLANK(OFFSET(A$1,,,SUMPRODUCT(MAX(ROW(E$2:E5556)*(E5556=E$2:E5556)))))-COUNTBLANK(OFFSET(A$1,,,SUMPRODUCT(MAX(ROW(E$1:E5555)*(E2=E$1:E5555))))))</f>
        <v> </v>
      </c>
      <c r="K5556" s="25" t="str">
        <f>IF(OR(E5556="",E5556="!!!",F5556="NEW"),"",INDEX(J$1:J5555,SUMPRODUCT(MAX(ROW(E$1:E5555)*(E5556=E$1:E5555)))))</f>
        <v> </v>
      </c>
      <c r="L5556" s="26"/>
    </row>
    <row r="5557" spans="1:12">
      <c r="A5557" s="20" t="s">
        <v>1111</v>
      </c>
      <c r="B5557" s="27" t="s">
        <v>967</v>
      </c>
      <c r="C5557" s="27" t="s">
        <v>979</v>
      </c>
      <c r="D5557" s="27" t="s">
        <v>969</v>
      </c>
      <c r="E5557" s="21">
        <f>IF(D5557="?OLD","!!!","")</f>
        <v/>
      </c>
      <c r="F5557" s="22" t="str">
        <f>IF(OR(E5557="",E5557="!!!"),"",IF(NOT(ISNA(VLOOKUP(E5557,E$1:E5556,1,FALSE()))),"OLD",IF(AND(E5557&lt;&gt;"",E5557&lt;&gt;"!!!"),"NEW","")))</f>
        <v> </v>
      </c>
      <c r="G5557" s="23" t="str">
        <f>IF(OR(E5557="",E5557="!!!"),"",IF(OR(J5557=0,AND(J5557=1,K5557=1),AND(J5557=1,I5557="SBJ"),AND(J5557=1,I5557=0)),"?IN_FOCUS",IF(J5557&lt;=2,"?ACTIVATED",IF(J5557&lt;&gt;"","?FAMILIAR",IF(F5557="NEW",IF(ISNA(VLOOKUP(E5557,#REF!,1,FALSE())),"?TYPE_IDENTIFIABLE","?REFERENTIAL"),"_")))))</f>
        <v> </v>
      </c>
      <c r="H5557" s="24" t="str">
        <f>IF(J5557&lt;&gt;1,"",IF(I5557="SBJ","CB","?"))</f>
        <v> </v>
      </c>
      <c r="I5557" s="25" t="str">
        <f>IF(OR(E5557="",E5557="!!!",F5557="NEW"),"",INDEX(B5556:B$2,-1+SUMPRODUCT(MAX(ROW(E5556:E$2)*(E5557=E5556:E$2)))))</f>
        <v> </v>
      </c>
      <c r="J5557" s="25" t="str">
        <f>IF(OR(E5557="",E5557="!!!",F5557="NEW"),"",COUNTBLANK(OFFSET(A$1,,,SUMPRODUCT(MAX(ROW(E$2:E5557)*(E5557=E$2:E5557)))))-COUNTBLANK(OFFSET(A$1,,,SUMPRODUCT(MAX(ROW(E$1:E5556)*(E2=E$1:E5556))))))</f>
        <v> </v>
      </c>
      <c r="K5557" s="25" t="str">
        <f>IF(OR(E5557="",E5557="!!!",F5557="NEW"),"",INDEX(J$1:J5556,SUMPRODUCT(MAX(ROW(E$1:E5556)*(E5557=E$1:E5556)))))</f>
        <v> </v>
      </c>
      <c r="L5557" s="26"/>
    </row>
    <row r="5558" spans="1:12">
      <c r="A5558" s="20" t="s">
        <v>991</v>
      </c>
      <c r="E5558" s="21">
        <f>IF(D5558="?OLD","!!!","")</f>
        <v/>
      </c>
      <c r="F5558" s="22" t="str">
        <f>IF(OR(E5558="",E5558="!!!"),"",IF(NOT(ISNA(VLOOKUP(E5558,E$1:E5557,1,FALSE()))),"OLD",IF(AND(E5558&lt;&gt;"",E5558&lt;&gt;"!!!"),"NEW","")))</f>
        <v> </v>
      </c>
      <c r="G5558" s="23" t="str">
        <f>IF(OR(E5558="",E5558="!!!"),"",IF(OR(J5558=0,AND(J5558=1,K5558=1),AND(J5558=1,I5558="SBJ"),AND(J5558=1,I5558=0)),"?IN_FOCUS",IF(J5558&lt;=2,"?ACTIVATED",IF(J5558&lt;&gt;"","?FAMILIAR",IF(F5558="NEW",IF(ISNA(VLOOKUP(E5558,#REF!,1,FALSE())),"?TYPE_IDENTIFIABLE","?REFERENTIAL"),"_")))))</f>
        <v> </v>
      </c>
      <c r="H5558" s="24" t="str">
        <f>IF(J5558&lt;&gt;1,"",IF(I5558="SBJ","CB","?"))</f>
        <v> </v>
      </c>
      <c r="I5558" s="25" t="str">
        <f>IF(OR(E5558="",E5558="!!!",F5558="NEW"),"",INDEX(B5557:B$2,-1+SUMPRODUCT(MAX(ROW(E5557:E$2)*(E5558=E5557:E$2)))))</f>
        <v> </v>
      </c>
      <c r="J5558" s="25" t="str">
        <f>IF(OR(E5558="",E5558="!!!",F5558="NEW"),"",COUNTBLANK(OFFSET(A$1,,,SUMPRODUCT(MAX(ROW(E$2:E5558)*(E5558=E$2:E5558)))))-COUNTBLANK(OFFSET(A$1,,,SUMPRODUCT(MAX(ROW(E$1:E5557)*(E2=E$1:E5557))))))</f>
        <v> </v>
      </c>
      <c r="K5558" s="25" t="str">
        <f>IF(OR(E5558="",E5558="!!!",F5558="NEW"),"",INDEX(J$1:J5557,SUMPRODUCT(MAX(ROW(E$1:E5557)*(E5558=E$1:E5557)))))</f>
        <v> </v>
      </c>
      <c r="L5558" s="26"/>
    </row>
    <row r="5559" spans="1:12">
      <c r="A5559" s="20" t="s">
        <v>2486</v>
      </c>
      <c r="B5559" s="27" t="s">
        <v>1031</v>
      </c>
      <c r="E5559" s="21">
        <f>IF(D5559="?OLD","!!!","")</f>
        <v/>
      </c>
      <c r="F5559" s="22" t="str">
        <f>IF(OR(E5559="",E5559="!!!"),"",IF(NOT(ISNA(VLOOKUP(E5559,E$1:E5558,1,FALSE()))),"OLD",IF(AND(E5559&lt;&gt;"",E5559&lt;&gt;"!!!"),"NEW","")))</f>
        <v> </v>
      </c>
      <c r="G5559" s="23" t="str">
        <f>IF(OR(E5559="",E5559="!!!"),"",IF(OR(J5559=0,AND(J5559=1,K5559=1),AND(J5559=1,I5559="SBJ"),AND(J5559=1,I5559=0)),"?IN_FOCUS",IF(J5559&lt;=2,"?ACTIVATED",IF(J5559&lt;&gt;"","?FAMILIAR",IF(F5559="NEW",IF(ISNA(VLOOKUP(E5559,#REF!,1,FALSE())),"?TYPE_IDENTIFIABLE","?REFERENTIAL"),"_")))))</f>
        <v> </v>
      </c>
      <c r="H5559" s="24" t="str">
        <f>IF(J5559&lt;&gt;1,"",IF(I5559="SBJ","CB","?"))</f>
        <v> </v>
      </c>
      <c r="I5559" s="25" t="str">
        <f>IF(OR(E5559="",E5559="!!!",F5559="NEW"),"",INDEX(B5558:B$2,-1+SUMPRODUCT(MAX(ROW(E5558:E$2)*(E5559=E5558:E$2)))))</f>
        <v> </v>
      </c>
      <c r="J5559" s="25" t="str">
        <f>IF(OR(E5559="",E5559="!!!",F5559="NEW"),"",COUNTBLANK(OFFSET(A$1,,,SUMPRODUCT(MAX(ROW(E$2:E5559)*(E5559=E$2:E5559)))))-COUNTBLANK(OFFSET(A$1,,,SUMPRODUCT(MAX(ROW(E$1:E5558)*(E2=E$1:E5558))))))</f>
        <v> </v>
      </c>
      <c r="K5559" s="25" t="str">
        <f>IF(OR(E5559="",E5559="!!!",F5559="NEW"),"",INDEX(J$1:J5558,SUMPRODUCT(MAX(ROW(E$1:E5558)*(E5559=E$1:E5558)))))</f>
        <v> </v>
      </c>
      <c r="L5559" s="26"/>
    </row>
    <row r="5560" spans="1:12">
      <c r="A5560" s="20" t="s">
        <v>1086</v>
      </c>
      <c r="B5560" s="27" t="s">
        <v>994</v>
      </c>
      <c r="C5560" s="27" t="s">
        <v>968</v>
      </c>
      <c r="D5560" s="27" t="s">
        <v>969</v>
      </c>
      <c r="E5560" s="21">
        <f>IF(D5560="?OLD","!!!","")</f>
        <v/>
      </c>
      <c r="F5560" s="22" t="str">
        <f>IF(OR(E5560="",E5560="!!!"),"",IF(NOT(ISNA(VLOOKUP(E5560,E$1:E5559,1,FALSE()))),"OLD",IF(AND(E5560&lt;&gt;"",E5560&lt;&gt;"!!!"),"NEW","")))</f>
        <v> </v>
      </c>
      <c r="G5560" s="23" t="str">
        <f>IF(OR(E5560="",E5560="!!!"),"",IF(OR(J5560=0,AND(J5560=1,K5560=1),AND(J5560=1,I5560="SBJ"),AND(J5560=1,I5560=0)),"?IN_FOCUS",IF(J5560&lt;=2,"?ACTIVATED",IF(J5560&lt;&gt;"","?FAMILIAR",IF(F5560="NEW",IF(ISNA(VLOOKUP(E5560,#REF!,1,FALSE())),"?TYPE_IDENTIFIABLE","?REFERENTIAL"),"_")))))</f>
        <v> </v>
      </c>
      <c r="H5560" s="24" t="str">
        <f>IF(J5560&lt;&gt;1,"",IF(I5560="SBJ","CB","?"))</f>
        <v> </v>
      </c>
      <c r="I5560" s="25" t="str">
        <f>IF(OR(E5560="",E5560="!!!",F5560="NEW"),"",INDEX(B5559:B$2,-1+SUMPRODUCT(MAX(ROW(E5559:E$2)*(E5560=E5559:E$2)))))</f>
        <v> </v>
      </c>
      <c r="J5560" s="25" t="str">
        <f>IF(OR(E5560="",E5560="!!!",F5560="NEW"),"",COUNTBLANK(OFFSET(A$1,,,SUMPRODUCT(MAX(ROW(E$2:E5560)*(E5560=E$2:E5560)))))-COUNTBLANK(OFFSET(A$1,,,SUMPRODUCT(MAX(ROW(E$1:E5559)*(E2=E$1:E5559))))))</f>
        <v> </v>
      </c>
      <c r="K5560" s="25" t="str">
        <f>IF(OR(E5560="",E5560="!!!",F5560="NEW"),"",INDEX(J$1:J5559,SUMPRODUCT(MAX(ROW(E$1:E5559)*(E5560=E$1:E5559)))))</f>
        <v> </v>
      </c>
      <c r="L5560" s="26"/>
    </row>
    <row r="5561" spans="1:12">
      <c r="A5561" s="20" t="s">
        <v>1520</v>
      </c>
      <c r="E5561" s="21">
        <f>IF(D5561="?OLD","!!!","")</f>
        <v/>
      </c>
      <c r="F5561" s="22" t="str">
        <f>IF(OR(E5561="",E5561="!!!"),"",IF(NOT(ISNA(VLOOKUP(E5561,E$1:E5560,1,FALSE()))),"OLD",IF(AND(E5561&lt;&gt;"",E5561&lt;&gt;"!!!"),"NEW","")))</f>
        <v> </v>
      </c>
      <c r="G5561" s="23" t="str">
        <f>IF(OR(E5561="",E5561="!!!"),"",IF(OR(J5561=0,AND(J5561=1,K5561=1),AND(J5561=1,I5561="SBJ"),AND(J5561=1,I5561=0)),"?IN_FOCUS",IF(J5561&lt;=2,"?ACTIVATED",IF(J5561&lt;&gt;"","?FAMILIAR",IF(F5561="NEW",IF(ISNA(VLOOKUP(E5561,#REF!,1,FALSE())),"?TYPE_IDENTIFIABLE","?REFERENTIAL"),"_")))))</f>
        <v> </v>
      </c>
      <c r="H5561" s="24" t="str">
        <f>IF(J5561&lt;&gt;1,"",IF(I5561="SBJ","CB","?"))</f>
        <v> </v>
      </c>
      <c r="I5561" s="25" t="str">
        <f>IF(OR(E5561="",E5561="!!!",F5561="NEW"),"",INDEX(B5560:B$2,-1+SUMPRODUCT(MAX(ROW(E5560:E$2)*(E5561=E5560:E$2)))))</f>
        <v> </v>
      </c>
      <c r="J5561" s="25" t="str">
        <f>IF(OR(E5561="",E5561="!!!",F5561="NEW"),"",COUNTBLANK(OFFSET(A$1,,,SUMPRODUCT(MAX(ROW(E$2:E5561)*(E5561=E$2:E5561)))))-COUNTBLANK(OFFSET(A$1,,,SUMPRODUCT(MAX(ROW(E$1:E5560)*(E2=E$1:E5560))))))</f>
        <v> </v>
      </c>
      <c r="K5561" s="25" t="str">
        <f>IF(OR(E5561="",E5561="!!!",F5561="NEW"),"",INDEX(J$1:J5560,SUMPRODUCT(MAX(ROW(E$1:E5560)*(E5561=E$1:E5560)))))</f>
        <v> </v>
      </c>
      <c r="L5561" s="26"/>
    </row>
    <row r="5562" spans="1:12">
      <c r="A5562" s="20" t="s">
        <v>1893</v>
      </c>
      <c r="E5562" s="21">
        <f>IF(D5562="?OLD","!!!","")</f>
        <v/>
      </c>
      <c r="F5562" s="22" t="str">
        <f>IF(OR(E5562="",E5562="!!!"),"",IF(NOT(ISNA(VLOOKUP(E5562,E$1:E5561,1,FALSE()))),"OLD",IF(AND(E5562&lt;&gt;"",E5562&lt;&gt;"!!!"),"NEW","")))</f>
        <v> </v>
      </c>
      <c r="G5562" s="23" t="str">
        <f>IF(OR(E5562="",E5562="!!!"),"",IF(OR(J5562=0,AND(J5562=1,K5562=1),AND(J5562=1,I5562="SBJ"),AND(J5562=1,I5562=0)),"?IN_FOCUS",IF(J5562&lt;=2,"?ACTIVATED",IF(J5562&lt;&gt;"","?FAMILIAR",IF(F5562="NEW",IF(ISNA(VLOOKUP(E5562,#REF!,1,FALSE())),"?TYPE_IDENTIFIABLE","?REFERENTIAL"),"_")))))</f>
        <v> </v>
      </c>
      <c r="H5562" s="24" t="str">
        <f>IF(J5562&lt;&gt;1,"",IF(I5562="SBJ","CB","?"))</f>
        <v> </v>
      </c>
      <c r="I5562" s="25" t="str">
        <f>IF(OR(E5562="",E5562="!!!",F5562="NEW"),"",INDEX(B5561:B$2,-1+SUMPRODUCT(MAX(ROW(E5561:E$2)*(E5562=E5561:E$2)))))</f>
        <v> </v>
      </c>
      <c r="J5562" s="25" t="str">
        <f>IF(OR(E5562="",E5562="!!!",F5562="NEW"),"",COUNTBLANK(OFFSET(A$1,,,SUMPRODUCT(MAX(ROW(E$2:E5562)*(E5562=E$2:E5562)))))-COUNTBLANK(OFFSET(A$1,,,SUMPRODUCT(MAX(ROW(E$1:E5561)*(E2=E$1:E5561))))))</f>
        <v> </v>
      </c>
      <c r="K5562" s="25" t="str">
        <f>IF(OR(E5562="",E5562="!!!",F5562="NEW"),"",INDEX(J$1:J5561,SUMPRODUCT(MAX(ROW(E$1:E5561)*(E5562=E$1:E5561)))))</f>
        <v> </v>
      </c>
      <c r="L5562" s="26"/>
    </row>
    <row r="5563" spans="1:12">
      <c r="A5563" s="20" t="s">
        <v>991</v>
      </c>
      <c r="E5563" s="21">
        <f>IF(D5563="?OLD","!!!","")</f>
        <v/>
      </c>
      <c r="F5563" s="22" t="str">
        <f>IF(OR(E5563="",E5563="!!!"),"",IF(NOT(ISNA(VLOOKUP(E5563,E$1:E5562,1,FALSE()))),"OLD",IF(AND(E5563&lt;&gt;"",E5563&lt;&gt;"!!!"),"NEW","")))</f>
        <v> </v>
      </c>
      <c r="G5563" s="23" t="str">
        <f>IF(OR(E5563="",E5563="!!!"),"",IF(OR(J5563=0,AND(J5563=1,K5563=1),AND(J5563=1,I5563="SBJ"),AND(J5563=1,I5563=0)),"?IN_FOCUS",IF(J5563&lt;=2,"?ACTIVATED",IF(J5563&lt;&gt;"","?FAMILIAR",IF(F5563="NEW",IF(ISNA(VLOOKUP(E5563,#REF!,1,FALSE())),"?TYPE_IDENTIFIABLE","?REFERENTIAL"),"_")))))</f>
        <v> </v>
      </c>
      <c r="H5563" s="24" t="str">
        <f>IF(J5563&lt;&gt;1,"",IF(I5563="SBJ","CB","?"))</f>
        <v> </v>
      </c>
      <c r="I5563" s="25" t="str">
        <f>IF(OR(E5563="",E5563="!!!",F5563="NEW"),"",INDEX(B5562:B$2,-1+SUMPRODUCT(MAX(ROW(E5562:E$2)*(E5563=E5562:E$2)))))</f>
        <v> </v>
      </c>
      <c r="J5563" s="25" t="str">
        <f>IF(OR(E5563="",E5563="!!!",F5563="NEW"),"",COUNTBLANK(OFFSET(A$1,,,SUMPRODUCT(MAX(ROW(E$2:E5563)*(E5563=E$2:E5563)))))-COUNTBLANK(OFFSET(A$1,,,SUMPRODUCT(MAX(ROW(E$1:E5562)*(E2=E$1:E5562))))))</f>
        <v> </v>
      </c>
      <c r="K5563" s="25" t="str">
        <f>IF(OR(E5563="",E5563="!!!",F5563="NEW"),"",INDEX(J$1:J5562,SUMPRODUCT(MAX(ROW(E$1:E5562)*(E5563=E$1:E5562)))))</f>
        <v> </v>
      </c>
      <c r="L5563" s="26"/>
    </row>
    <row r="5564" spans="1:12">
      <c r="A5564" s="20" t="s">
        <v>1195</v>
      </c>
      <c r="E5564" s="21">
        <f>IF(D5564="?OLD","!!!","")</f>
        <v/>
      </c>
      <c r="F5564" s="22" t="str">
        <f>IF(OR(E5564="",E5564="!!!"),"",IF(NOT(ISNA(VLOOKUP(E5564,E$1:E5563,1,FALSE()))),"OLD",IF(AND(E5564&lt;&gt;"",E5564&lt;&gt;"!!!"),"NEW","")))</f>
        <v> </v>
      </c>
      <c r="G5564" s="23" t="str">
        <f>IF(OR(E5564="",E5564="!!!"),"",IF(OR(J5564=0,AND(J5564=1,K5564=1),AND(J5564=1,I5564="SBJ"),AND(J5564=1,I5564=0)),"?IN_FOCUS",IF(J5564&lt;=2,"?ACTIVATED",IF(J5564&lt;&gt;"","?FAMILIAR",IF(F5564="NEW",IF(ISNA(VLOOKUP(E5564,#REF!,1,FALSE())),"?TYPE_IDENTIFIABLE","?REFERENTIAL"),"_")))))</f>
        <v> </v>
      </c>
      <c r="H5564" s="24" t="str">
        <f>IF(J5564&lt;&gt;1,"",IF(I5564="SBJ","CB","?"))</f>
        <v> </v>
      </c>
      <c r="I5564" s="25" t="str">
        <f>IF(OR(E5564="",E5564="!!!",F5564="NEW"),"",INDEX(B5563:B$2,-1+SUMPRODUCT(MAX(ROW(E5563:E$2)*(E5564=E5563:E$2)))))</f>
        <v> </v>
      </c>
      <c r="J5564" s="25" t="str">
        <f>IF(OR(E5564="",E5564="!!!",F5564="NEW"),"",COUNTBLANK(OFFSET(A$1,,,SUMPRODUCT(MAX(ROW(E$2:E5564)*(E5564=E$2:E5564)))))-COUNTBLANK(OFFSET(A$1,,,SUMPRODUCT(MAX(ROW(E$1:E5563)*(E2=E$1:E5563))))))</f>
        <v> </v>
      </c>
      <c r="K5564" s="25" t="str">
        <f>IF(OR(E5564="",E5564="!!!",F5564="NEW"),"",INDEX(J$1:J5563,SUMPRODUCT(MAX(ROW(E$1:E5563)*(E5564=E$1:E5563)))))</f>
        <v> </v>
      </c>
      <c r="L5564" s="26"/>
    </row>
    <row r="5565" spans="1:12">
      <c r="A5565" s="20" t="s">
        <v>2487</v>
      </c>
      <c r="B5565" s="27" t="s">
        <v>1053</v>
      </c>
      <c r="C5565" s="27" t="s">
        <v>1102</v>
      </c>
      <c r="D5565" s="27" t="s">
        <v>969</v>
      </c>
      <c r="E5565" s="21">
        <f>IF(D5565="?OLD","!!!","")</f>
        <v/>
      </c>
      <c r="F5565" s="22" t="str">
        <f>IF(OR(E5565="",E5565="!!!"),"",IF(NOT(ISNA(VLOOKUP(E5565,E$1:E5564,1,FALSE()))),"OLD",IF(AND(E5565&lt;&gt;"",E5565&lt;&gt;"!!!"),"NEW","")))</f>
        <v> </v>
      </c>
      <c r="G5565" s="23" t="str">
        <f>IF(OR(E5565="",E5565="!!!"),"",IF(OR(J5565=0,AND(J5565=1,K5565=1),AND(J5565=1,I5565="SBJ"),AND(J5565=1,I5565=0)),"?IN_FOCUS",IF(J5565&lt;=2,"?ACTIVATED",IF(J5565&lt;&gt;"","?FAMILIAR",IF(F5565="NEW",IF(ISNA(VLOOKUP(E5565,#REF!,1,FALSE())),"?TYPE_IDENTIFIABLE","?REFERENTIAL"),"_")))))</f>
        <v> </v>
      </c>
      <c r="H5565" s="24" t="str">
        <f>IF(J5565&lt;&gt;1,"",IF(I5565="SBJ","CB","?"))</f>
        <v> </v>
      </c>
      <c r="I5565" s="25" t="str">
        <f>IF(OR(E5565="",E5565="!!!",F5565="NEW"),"",INDEX(B5564:B$2,-1+SUMPRODUCT(MAX(ROW(E5564:E$2)*(E5565=E5564:E$2)))))</f>
        <v> </v>
      </c>
      <c r="J5565" s="25" t="str">
        <f>IF(OR(E5565="",E5565="!!!",F5565="NEW"),"",COUNTBLANK(OFFSET(A$1,,,SUMPRODUCT(MAX(ROW(E$2:E5565)*(E5565=E$2:E5565)))))-COUNTBLANK(OFFSET(A$1,,,SUMPRODUCT(MAX(ROW(E$1:E5564)*(E2=E$1:E5564))))))</f>
        <v> </v>
      </c>
      <c r="K5565" s="25" t="str">
        <f>IF(OR(E5565="",E5565="!!!",F5565="NEW"),"",INDEX(J$1:J5564,SUMPRODUCT(MAX(ROW(E$1:E5564)*(E5565=E$1:E5564)))))</f>
        <v> </v>
      </c>
      <c r="L5565" s="26"/>
    </row>
    <row r="5566" spans="1:12">
      <c r="A5566" s="20" t="s">
        <v>991</v>
      </c>
      <c r="E5566" s="21">
        <f>IF(D5566="?OLD","!!!","")</f>
        <v/>
      </c>
      <c r="F5566" s="22" t="str">
        <f>IF(OR(E5566="",E5566="!!!"),"",IF(NOT(ISNA(VLOOKUP(E5566,E$1:E5565,1,FALSE()))),"OLD",IF(AND(E5566&lt;&gt;"",E5566&lt;&gt;"!!!"),"NEW","")))</f>
        <v> </v>
      </c>
      <c r="G5566" s="23" t="str">
        <f>IF(OR(E5566="",E5566="!!!"),"",IF(OR(J5566=0,AND(J5566=1,K5566=1),AND(J5566=1,I5566="SBJ"),AND(J5566=1,I5566=0)),"?IN_FOCUS",IF(J5566&lt;=2,"?ACTIVATED",IF(J5566&lt;&gt;"","?FAMILIAR",IF(F5566="NEW",IF(ISNA(VLOOKUP(E5566,#REF!,1,FALSE())),"?TYPE_IDENTIFIABLE","?REFERENTIAL"),"_")))))</f>
        <v> </v>
      </c>
      <c r="H5566" s="24" t="str">
        <f>IF(J5566&lt;&gt;1,"",IF(I5566="SBJ","CB","?"))</f>
        <v> </v>
      </c>
      <c r="I5566" s="25" t="str">
        <f>IF(OR(E5566="",E5566="!!!",F5566="NEW"),"",INDEX(B5565:B$2,-1+SUMPRODUCT(MAX(ROW(E5565:E$2)*(E5566=E5565:E$2)))))</f>
        <v> </v>
      </c>
      <c r="J5566" s="25" t="str">
        <f>IF(OR(E5566="",E5566="!!!",F5566="NEW"),"",COUNTBLANK(OFFSET(A$1,,,SUMPRODUCT(MAX(ROW(E$2:E5566)*(E5566=E$2:E5566)))))-COUNTBLANK(OFFSET(A$1,,,SUMPRODUCT(MAX(ROW(E$1:E5565)*(E2=E$1:E5565))))))</f>
        <v> </v>
      </c>
      <c r="K5566" s="25" t="str">
        <f>IF(OR(E5566="",E5566="!!!",F5566="NEW"),"",INDEX(J$1:J5565,SUMPRODUCT(MAX(ROW(E$1:E5565)*(E5566=E$1:E5565)))))</f>
        <v> </v>
      </c>
      <c r="L5566" s="26"/>
    </row>
    <row r="5567" spans="1:12">
      <c r="A5567" s="20" t="s">
        <v>985</v>
      </c>
      <c r="B5567" s="27" t="s">
        <v>1010</v>
      </c>
      <c r="E5567" s="21">
        <f>IF(D5567="?OLD","!!!","")</f>
        <v/>
      </c>
      <c r="F5567" s="22" t="str">
        <f>IF(OR(E5567="",E5567="!!!"),"",IF(NOT(ISNA(VLOOKUP(E5567,E$1:E5566,1,FALSE()))),"OLD",IF(AND(E5567&lt;&gt;"",E5567&lt;&gt;"!!!"),"NEW","")))</f>
        <v> </v>
      </c>
      <c r="G5567" s="23" t="str">
        <f>IF(OR(E5567="",E5567="!!!"),"",IF(OR(J5567=0,AND(J5567=1,K5567=1),AND(J5567=1,I5567="SBJ"),AND(J5567=1,I5567=0)),"?IN_FOCUS",IF(J5567&lt;=2,"?ACTIVATED",IF(J5567&lt;&gt;"","?FAMILIAR",IF(F5567="NEW",IF(ISNA(VLOOKUP(E5567,#REF!,1,FALSE())),"?TYPE_IDENTIFIABLE","?REFERENTIAL"),"_")))))</f>
        <v> </v>
      </c>
      <c r="H5567" s="24" t="str">
        <f>IF(J5567&lt;&gt;1,"",IF(I5567="SBJ","CB","?"))</f>
        <v> </v>
      </c>
      <c r="I5567" s="25" t="str">
        <f>IF(OR(E5567="",E5567="!!!",F5567="NEW"),"",INDEX(B5566:B$2,-1+SUMPRODUCT(MAX(ROW(E5566:E$2)*(E5567=E5566:E$2)))))</f>
        <v> </v>
      </c>
      <c r="J5567" s="25" t="str">
        <f>IF(OR(E5567="",E5567="!!!",F5567="NEW"),"",COUNTBLANK(OFFSET(A$1,,,SUMPRODUCT(MAX(ROW(E$2:E5567)*(E5567=E$2:E5567)))))-COUNTBLANK(OFFSET(A$1,,,SUMPRODUCT(MAX(ROW(E$1:E5566)*(E2=E$1:E5566))))))</f>
        <v> </v>
      </c>
      <c r="K5567" s="25" t="str">
        <f>IF(OR(E5567="",E5567="!!!",F5567="NEW"),"",INDEX(J$1:J5566,SUMPRODUCT(MAX(ROW(E$1:E5566)*(E5567=E$1:E5566)))))</f>
        <v> </v>
      </c>
      <c r="L5567" s="26"/>
    </row>
    <row r="5568" spans="1:12">
      <c r="A5568" s="20" t="s">
        <v>985</v>
      </c>
      <c r="E5568" s="21">
        <f>IF(D5568="?OLD","!!!","")</f>
        <v/>
      </c>
      <c r="F5568" s="22" t="str">
        <f>IF(OR(E5568="",E5568="!!!"),"",IF(NOT(ISNA(VLOOKUP(E5568,E$1:E5567,1,FALSE()))),"OLD",IF(AND(E5568&lt;&gt;"",E5568&lt;&gt;"!!!"),"NEW","")))</f>
        <v> </v>
      </c>
      <c r="G5568" s="23" t="str">
        <f>IF(OR(E5568="",E5568="!!!"),"",IF(OR(J5568=0,AND(J5568=1,K5568=1),AND(J5568=1,I5568="SBJ"),AND(J5568=1,I5568=0)),"?IN_FOCUS",IF(J5568&lt;=2,"?ACTIVATED",IF(J5568&lt;&gt;"","?FAMILIAR",IF(F5568="NEW",IF(ISNA(VLOOKUP(E5568,#REF!,1,FALSE())),"?TYPE_IDENTIFIABLE","?REFERENTIAL"),"_")))))</f>
        <v> </v>
      </c>
      <c r="H5568" s="24" t="str">
        <f>IF(J5568&lt;&gt;1,"",IF(I5568="SBJ","CB","?"))</f>
        <v> </v>
      </c>
      <c r="I5568" s="25" t="str">
        <f>IF(OR(E5568="",E5568="!!!",F5568="NEW"),"",INDEX(B5567:B$2,-1+SUMPRODUCT(MAX(ROW(E5567:E$2)*(E5568=E5567:E$2)))))</f>
        <v> </v>
      </c>
      <c r="J5568" s="25" t="str">
        <f>IF(OR(E5568="",E5568="!!!",F5568="NEW"),"",COUNTBLANK(OFFSET(A$1,,,SUMPRODUCT(MAX(ROW(E$2:E5568)*(E5568=E$2:E5568)))))-COUNTBLANK(OFFSET(A$1,,,SUMPRODUCT(MAX(ROW(E$1:E5567)*(E2=E$1:E5567))))))</f>
        <v> </v>
      </c>
      <c r="K5568" s="25" t="str">
        <f>IF(OR(E5568="",E5568="!!!",F5568="NEW"),"",INDEX(J$1:J5567,SUMPRODUCT(MAX(ROW(E$1:E5567)*(E5568=E$1:E5567)))))</f>
        <v> </v>
      </c>
      <c r="L5568" s="26"/>
    </row>
    <row r="5569" spans="1:12">
      <c r="A5569" s="20" t="s">
        <v>2100</v>
      </c>
      <c r="B5569" s="27" t="s">
        <v>1013</v>
      </c>
      <c r="C5569" s="27" t="s">
        <v>979</v>
      </c>
      <c r="D5569" s="27" t="s">
        <v>969</v>
      </c>
      <c r="E5569" s="21">
        <f>IF(D5569="?OLD","!!!","")</f>
        <v/>
      </c>
      <c r="F5569" s="22" t="str">
        <f>IF(OR(E5569="",E5569="!!!"),"",IF(NOT(ISNA(VLOOKUP(E5569,E$1:E5568,1,FALSE()))),"OLD",IF(AND(E5569&lt;&gt;"",E5569&lt;&gt;"!!!"),"NEW","")))</f>
        <v> </v>
      </c>
      <c r="G5569" s="23" t="str">
        <f>IF(OR(E5569="",E5569="!!!"),"",IF(OR(J5569=0,AND(J5569=1,K5569=1),AND(J5569=1,I5569="SBJ"),AND(J5569=1,I5569=0)),"?IN_FOCUS",IF(J5569&lt;=2,"?ACTIVATED",IF(J5569&lt;&gt;"","?FAMILIAR",IF(F5569="NEW",IF(ISNA(VLOOKUP(E5569,#REF!,1,FALSE())),"?TYPE_IDENTIFIABLE","?REFERENTIAL"),"_")))))</f>
        <v> </v>
      </c>
      <c r="H5569" s="24" t="str">
        <f>IF(J5569&lt;&gt;1,"",IF(I5569="SBJ","CB","?"))</f>
        <v> </v>
      </c>
      <c r="I5569" s="25" t="str">
        <f>IF(OR(E5569="",E5569="!!!",F5569="NEW"),"",INDEX(B5568:B$2,-1+SUMPRODUCT(MAX(ROW(E5568:E$2)*(E5569=E5568:E$2)))))</f>
        <v> </v>
      </c>
      <c r="J5569" s="25" t="str">
        <f>IF(OR(E5569="",E5569="!!!",F5569="NEW"),"",COUNTBLANK(OFFSET(A$1,,,SUMPRODUCT(MAX(ROW(E$2:E5569)*(E5569=E$2:E5569)))))-COUNTBLANK(OFFSET(A$1,,,SUMPRODUCT(MAX(ROW(E$1:E5568)*(E2=E$1:E5568))))))</f>
        <v> </v>
      </c>
      <c r="K5569" s="25" t="str">
        <f>IF(OR(E5569="",E5569="!!!",F5569="NEW"),"",INDEX(J$1:J5568,SUMPRODUCT(MAX(ROW(E$1:E5568)*(E5569=E$1:E5568)))))</f>
        <v> </v>
      </c>
      <c r="L5569" s="26"/>
    </row>
    <row r="5570" spans="1:12">
      <c r="A5570" s="20" t="s">
        <v>2488</v>
      </c>
      <c r="E5570" s="21">
        <f>IF(D5570="?OLD","!!!","")</f>
        <v/>
      </c>
      <c r="F5570" s="22" t="str">
        <f>IF(OR(E5570="",E5570="!!!"),"",IF(NOT(ISNA(VLOOKUP(E5570,E$1:E5569,1,FALSE()))),"OLD",IF(AND(E5570&lt;&gt;"",E5570&lt;&gt;"!!!"),"NEW","")))</f>
        <v> </v>
      </c>
      <c r="G5570" s="23" t="str">
        <f>IF(OR(E5570="",E5570="!!!"),"",IF(OR(J5570=0,AND(J5570=1,K5570=1),AND(J5570=1,I5570="SBJ"),AND(J5570=1,I5570=0)),"?IN_FOCUS",IF(J5570&lt;=2,"?ACTIVATED",IF(J5570&lt;&gt;"","?FAMILIAR",IF(F5570="NEW",IF(ISNA(VLOOKUP(E5570,#REF!,1,FALSE())),"?TYPE_IDENTIFIABLE","?REFERENTIAL"),"_")))))</f>
        <v> </v>
      </c>
      <c r="H5570" s="24" t="str">
        <f>IF(J5570&lt;&gt;1,"",IF(I5570="SBJ","CB","?"))</f>
        <v> </v>
      </c>
      <c r="I5570" s="25" t="str">
        <f>IF(OR(E5570="",E5570="!!!",F5570="NEW"),"",INDEX(B5569:B$2,-1+SUMPRODUCT(MAX(ROW(E5569:E$2)*(E5570=E5569:E$2)))))</f>
        <v> </v>
      </c>
      <c r="J5570" s="25" t="str">
        <f>IF(OR(E5570="",E5570="!!!",F5570="NEW"),"",COUNTBLANK(OFFSET(A$1,,,SUMPRODUCT(MAX(ROW(E$2:E5570)*(E5570=E$2:E5570)))))-COUNTBLANK(OFFSET(A$1,,,SUMPRODUCT(MAX(ROW(E$1:E5569)*(E2=E$1:E5569))))))</f>
        <v> </v>
      </c>
      <c r="K5570" s="25" t="str">
        <f>IF(OR(E5570="",E5570="!!!",F5570="NEW"),"",INDEX(J$1:J5569,SUMPRODUCT(MAX(ROW(E$1:E5569)*(E5570=E$1:E5569)))))</f>
        <v> </v>
      </c>
      <c r="L5570" s="26"/>
    </row>
    <row r="5571" spans="1:12">
      <c r="A5571" s="20" t="s">
        <v>991</v>
      </c>
      <c r="E5571" s="21">
        <f>IF(D5571="?OLD","!!!","")</f>
        <v/>
      </c>
      <c r="F5571" s="22" t="str">
        <f>IF(OR(E5571="",E5571="!!!"),"",IF(NOT(ISNA(VLOOKUP(E5571,E$1:E5570,1,FALSE()))),"OLD",IF(AND(E5571&lt;&gt;"",E5571&lt;&gt;"!!!"),"NEW","")))</f>
        <v> </v>
      </c>
      <c r="G5571" s="23" t="str">
        <f>IF(OR(E5571="",E5571="!!!"),"",IF(OR(J5571=0,AND(J5571=1,K5571=1),AND(J5571=1,I5571="SBJ"),AND(J5571=1,I5571=0)),"?IN_FOCUS",IF(J5571&lt;=2,"?ACTIVATED",IF(J5571&lt;&gt;"","?FAMILIAR",IF(F5571="NEW",IF(ISNA(VLOOKUP(E5571,#REF!,1,FALSE())),"?TYPE_IDENTIFIABLE","?REFERENTIAL"),"_")))))</f>
        <v> </v>
      </c>
      <c r="H5571" s="24" t="str">
        <f>IF(J5571&lt;&gt;1,"",IF(I5571="SBJ","CB","?"))</f>
        <v> </v>
      </c>
      <c r="I5571" s="25" t="str">
        <f>IF(OR(E5571="",E5571="!!!",F5571="NEW"),"",INDEX(B5570:B$2,-1+SUMPRODUCT(MAX(ROW(E5570:E$2)*(E5571=E5570:E$2)))))</f>
        <v> </v>
      </c>
      <c r="J5571" s="25" t="str">
        <f>IF(OR(E5571="",E5571="!!!",F5571="NEW"),"",COUNTBLANK(OFFSET(A$1,,,SUMPRODUCT(MAX(ROW(E$2:E5571)*(E5571=E$2:E5571)))))-COUNTBLANK(OFFSET(A$1,,,SUMPRODUCT(MAX(ROW(E$1:E5570)*(E2=E$1:E5570))))))</f>
        <v> </v>
      </c>
      <c r="K5571" s="25" t="str">
        <f>IF(OR(E5571="",E5571="!!!",F5571="NEW"),"",INDEX(J$1:J5570,SUMPRODUCT(MAX(ROW(E$1:E5570)*(E5571=E$1:E5570)))))</f>
        <v> </v>
      </c>
      <c r="L5571" s="26"/>
    </row>
    <row r="5572" spans="1:12">
      <c r="A5572" s="20" t="s">
        <v>996</v>
      </c>
      <c r="E5572" s="21">
        <f>IF(D5572="?OLD","!!!","")</f>
        <v/>
      </c>
      <c r="F5572" s="22" t="str">
        <f>IF(OR(E5572="",E5572="!!!"),"",IF(NOT(ISNA(VLOOKUP(E5572,E$1:E5571,1,FALSE()))),"OLD",IF(AND(E5572&lt;&gt;"",E5572&lt;&gt;"!!!"),"NEW","")))</f>
        <v> </v>
      </c>
      <c r="G5572" s="23" t="str">
        <f>IF(OR(E5572="",E5572="!!!"),"",IF(OR(J5572=0,AND(J5572=1,K5572=1),AND(J5572=1,I5572="SBJ"),AND(J5572=1,I5572=0)),"?IN_FOCUS",IF(J5572&lt;=2,"?ACTIVATED",IF(J5572&lt;&gt;"","?FAMILIAR",IF(F5572="NEW",IF(ISNA(VLOOKUP(E5572,#REF!,1,FALSE())),"?TYPE_IDENTIFIABLE","?REFERENTIAL"),"_")))))</f>
        <v> </v>
      </c>
      <c r="H5572" s="24" t="str">
        <f>IF(J5572&lt;&gt;1,"",IF(I5572="SBJ","CB","?"))</f>
        <v> </v>
      </c>
      <c r="I5572" s="25" t="str">
        <f>IF(OR(E5572="",E5572="!!!",F5572="NEW"),"",INDEX(B5571:B$2,-1+SUMPRODUCT(MAX(ROW(E5571:E$2)*(E5572=E5571:E$2)))))</f>
        <v> </v>
      </c>
      <c r="J5572" s="25" t="str">
        <f>IF(OR(E5572="",E5572="!!!",F5572="NEW"),"",COUNTBLANK(OFFSET(A$1,,,SUMPRODUCT(MAX(ROW(E$2:E5572)*(E5572=E$2:E5572)))))-COUNTBLANK(OFFSET(A$1,,,SUMPRODUCT(MAX(ROW(E$1:E5571)*(E2=E$1:E5571))))))</f>
        <v> </v>
      </c>
      <c r="K5572" s="25" t="str">
        <f>IF(OR(E5572="",E5572="!!!",F5572="NEW"),"",INDEX(J$1:J5571,SUMPRODUCT(MAX(ROW(E$1:E5571)*(E5572=E$1:E5571)))))</f>
        <v> </v>
      </c>
      <c r="L5572" s="26"/>
    </row>
    <row r="5573" spans="1:12">
      <c r="A5573" s="20" t="s">
        <v>1009</v>
      </c>
      <c r="B5573" s="27" t="s">
        <v>994</v>
      </c>
      <c r="C5573" s="27" t="s">
        <v>1011</v>
      </c>
      <c r="D5573" s="27" t="s">
        <v>969</v>
      </c>
      <c r="E5573" s="21">
        <f>IF(D5573="?OLD","!!!","")</f>
        <v/>
      </c>
      <c r="F5573" s="22" t="str">
        <f>IF(OR(E5573="",E5573="!!!"),"",IF(NOT(ISNA(VLOOKUP(E5573,E$1:E5572,1,FALSE()))),"OLD",IF(AND(E5573&lt;&gt;"",E5573&lt;&gt;"!!!"),"NEW","")))</f>
        <v> </v>
      </c>
      <c r="G5573" s="23" t="str">
        <f>IF(OR(E5573="",E5573="!!!"),"",IF(OR(J5573=0,AND(J5573=1,K5573=1),AND(J5573=1,I5573="SBJ"),AND(J5573=1,I5573=0)),"?IN_FOCUS",IF(J5573&lt;=2,"?ACTIVATED",IF(J5573&lt;&gt;"","?FAMILIAR",IF(F5573="NEW",IF(ISNA(VLOOKUP(E5573,#REF!,1,FALSE())),"?TYPE_IDENTIFIABLE","?REFERENTIAL"),"_")))))</f>
        <v> </v>
      </c>
      <c r="H5573" s="24" t="str">
        <f>IF(J5573&lt;&gt;1,"",IF(I5573="SBJ","CB","?"))</f>
        <v> </v>
      </c>
      <c r="I5573" s="25" t="str">
        <f>IF(OR(E5573="",E5573="!!!",F5573="NEW"),"",INDEX(B5572:B$2,-1+SUMPRODUCT(MAX(ROW(E5572:E$2)*(E5573=E5572:E$2)))))</f>
        <v> </v>
      </c>
      <c r="J5573" s="25" t="str">
        <f>IF(OR(E5573="",E5573="!!!",F5573="NEW"),"",COUNTBLANK(OFFSET(A$1,,,SUMPRODUCT(MAX(ROW(E$2:E5573)*(E5573=E$2:E5573)))))-COUNTBLANK(OFFSET(A$1,,,SUMPRODUCT(MAX(ROW(E$1:E5572)*(E2=E$1:E5572))))))</f>
        <v> </v>
      </c>
      <c r="K5573" s="25" t="str">
        <f>IF(OR(E5573="",E5573="!!!",F5573="NEW"),"",INDEX(J$1:J5572,SUMPRODUCT(MAX(ROW(E$1:E5572)*(E5573=E$1:E5572)))))</f>
        <v> </v>
      </c>
      <c r="L5573" s="26"/>
    </row>
    <row r="5574" spans="1:12">
      <c r="A5574" s="20" t="s">
        <v>1280</v>
      </c>
      <c r="B5574" s="27" t="s">
        <v>1003</v>
      </c>
      <c r="C5574" s="27" t="s">
        <v>1102</v>
      </c>
      <c r="D5574" s="27" t="s">
        <v>969</v>
      </c>
      <c r="E5574" s="21">
        <f>IF(D5574="?OLD","!!!","")</f>
        <v/>
      </c>
      <c r="F5574" s="22" t="str">
        <f>IF(OR(E5574="",E5574="!!!"),"",IF(NOT(ISNA(VLOOKUP(E5574,E$1:E5573,1,FALSE()))),"OLD",IF(AND(E5574&lt;&gt;"",E5574&lt;&gt;"!!!"),"NEW","")))</f>
        <v> </v>
      </c>
      <c r="G5574" s="23" t="str">
        <f>IF(OR(E5574="",E5574="!!!"),"",IF(OR(J5574=0,AND(J5574=1,K5574=1),AND(J5574=1,I5574="SBJ"),AND(J5574=1,I5574=0)),"?IN_FOCUS",IF(J5574&lt;=2,"?ACTIVATED",IF(J5574&lt;&gt;"","?FAMILIAR",IF(F5574="NEW",IF(ISNA(VLOOKUP(E5574,#REF!,1,FALSE())),"?TYPE_IDENTIFIABLE","?REFERENTIAL"),"_")))))</f>
        <v> </v>
      </c>
      <c r="H5574" s="24" t="str">
        <f>IF(J5574&lt;&gt;1,"",IF(I5574="SBJ","CB","?"))</f>
        <v> </v>
      </c>
      <c r="I5574" s="25" t="str">
        <f>IF(OR(E5574="",E5574="!!!",F5574="NEW"),"",INDEX(B5573:B$2,-1+SUMPRODUCT(MAX(ROW(E5573:E$2)*(E5574=E5573:E$2)))))</f>
        <v> </v>
      </c>
      <c r="J5574" s="25" t="str">
        <f>IF(OR(E5574="",E5574="!!!",F5574="NEW"),"",COUNTBLANK(OFFSET(A$1,,,SUMPRODUCT(MAX(ROW(E$2:E5574)*(E5574=E$2:E5574)))))-COUNTBLANK(OFFSET(A$1,,,SUMPRODUCT(MAX(ROW(E$1:E5573)*(E2=E$1:E5573))))))</f>
        <v> </v>
      </c>
      <c r="K5574" s="25" t="str">
        <f>IF(OR(E5574="",E5574="!!!",F5574="NEW"),"",INDEX(J$1:J5573,SUMPRODUCT(MAX(ROW(E$1:E5573)*(E5574=E$1:E5573)))))</f>
        <v> </v>
      </c>
      <c r="L5574" s="26"/>
    </row>
    <row r="5575" spans="1:12">
      <c r="A5575" s="20" t="s">
        <v>1423</v>
      </c>
      <c r="B5575" s="27" t="s">
        <v>1031</v>
      </c>
      <c r="C5575" s="27" t="s">
        <v>1141</v>
      </c>
      <c r="D5575" s="27" t="s">
        <v>969</v>
      </c>
      <c r="E5575" s="21">
        <f>IF(D5575="?OLD","!!!","")</f>
        <v/>
      </c>
      <c r="F5575" s="22" t="str">
        <f>IF(OR(E5575="",E5575="!!!"),"",IF(NOT(ISNA(VLOOKUP(E5575,E$1:E5574,1,FALSE()))),"OLD",IF(AND(E5575&lt;&gt;"",E5575&lt;&gt;"!!!"),"NEW","")))</f>
        <v> </v>
      </c>
      <c r="G5575" s="23" t="str">
        <f>IF(OR(E5575="",E5575="!!!"),"",IF(OR(J5575=0,AND(J5575=1,K5575=1),AND(J5575=1,I5575="SBJ"),AND(J5575=1,I5575=0)),"?IN_FOCUS",IF(J5575&lt;=2,"?ACTIVATED",IF(J5575&lt;&gt;"","?FAMILIAR",IF(F5575="NEW",IF(ISNA(VLOOKUP(E5575,#REF!,1,FALSE())),"?TYPE_IDENTIFIABLE","?REFERENTIAL"),"_")))))</f>
        <v> </v>
      </c>
      <c r="H5575" s="24" t="str">
        <f>IF(J5575&lt;&gt;1,"",IF(I5575="SBJ","CB","?"))</f>
        <v> </v>
      </c>
      <c r="I5575" s="25" t="str">
        <f>IF(OR(E5575="",E5575="!!!",F5575="NEW"),"",INDEX(B5574:B$2,-1+SUMPRODUCT(MAX(ROW(E5574:E$2)*(E5575=E5574:E$2)))))</f>
        <v> </v>
      </c>
      <c r="J5575" s="25" t="str">
        <f>IF(OR(E5575="",E5575="!!!",F5575="NEW"),"",COUNTBLANK(OFFSET(A$1,,,SUMPRODUCT(MAX(ROW(E$2:E5575)*(E5575=E$2:E5575)))))-COUNTBLANK(OFFSET(A$1,,,SUMPRODUCT(MAX(ROW(E$1:E5574)*(E2=E$1:E5574))))))</f>
        <v> </v>
      </c>
      <c r="K5575" s="25" t="str">
        <f>IF(OR(E5575="",E5575="!!!",F5575="NEW"),"",INDEX(J$1:J5574,SUMPRODUCT(MAX(ROW(E$1:E5574)*(E5575=E$1:E5574)))))</f>
        <v> </v>
      </c>
      <c r="L5575" s="26"/>
    </row>
    <row r="5576" spans="1:12">
      <c r="A5576" s="20" t="s">
        <v>104</v>
      </c>
      <c r="E5576" s="21">
        <f>IF(D5576="?OLD","!!!","")</f>
        <v/>
      </c>
      <c r="F5576" s="22" t="str">
        <f>IF(OR(E5576="",E5576="!!!"),"",IF(NOT(ISNA(VLOOKUP(E5576,E$1:E5575,1,FALSE()))),"OLD",IF(AND(E5576&lt;&gt;"",E5576&lt;&gt;"!!!"),"NEW","")))</f>
        <v> </v>
      </c>
      <c r="G5576" s="23" t="str">
        <f>IF(OR(E5576="",E5576="!!!"),"",IF(OR(J5576=0,AND(J5576=1,K5576=1),AND(J5576=1,I5576="SBJ"),AND(J5576=1,I5576=0)),"?IN_FOCUS",IF(J5576&lt;=2,"?ACTIVATED",IF(J5576&lt;&gt;"","?FAMILIAR",IF(F5576="NEW",IF(ISNA(VLOOKUP(E5576,#REF!,1,FALSE())),"?TYPE_IDENTIFIABLE","?REFERENTIAL"),"_")))))</f>
        <v> </v>
      </c>
      <c r="H5576" s="24" t="str">
        <f>IF(J5576&lt;&gt;1,"",IF(I5576="SBJ","CB","?"))</f>
        <v> </v>
      </c>
      <c r="I5576" s="25" t="str">
        <f>IF(OR(E5576="",E5576="!!!",F5576="NEW"),"",INDEX(B5575:B$2,-1+SUMPRODUCT(MAX(ROW(E5575:E$2)*(E5576=E5575:E$2)))))</f>
        <v> </v>
      </c>
      <c r="J5576" s="25" t="str">
        <f>IF(OR(E5576="",E5576="!!!",F5576="NEW"),"",COUNTBLANK(OFFSET(A$1,,,SUMPRODUCT(MAX(ROW(E$2:E5576)*(E5576=E$2:E5576)))))-COUNTBLANK(OFFSET(A$1,,,SUMPRODUCT(MAX(ROW(E$1:E5575)*(E2=E$1:E5575))))))</f>
        <v> </v>
      </c>
      <c r="K5576" s="25" t="str">
        <f>IF(OR(E5576="",E5576="!!!",F5576="NEW"),"",INDEX(J$1:J5575,SUMPRODUCT(MAX(ROW(E$1:E5575)*(E5576=E$1:E5575)))))</f>
        <v> </v>
      </c>
      <c r="L5576" s="26"/>
    </row>
    <row r="5577" spans="1:12">
      <c r="A5577" s="20" t="s">
        <v>1005</v>
      </c>
      <c r="E5577" s="21">
        <f>IF(D5577="?OLD","!!!","")</f>
        <v/>
      </c>
      <c r="F5577" s="22" t="str">
        <f>IF(OR(E5577="",E5577="!!!"),"",IF(NOT(ISNA(VLOOKUP(E5577,E$1:E5576,1,FALSE()))),"OLD",IF(AND(E5577&lt;&gt;"",E5577&lt;&gt;"!!!"),"NEW","")))</f>
        <v> </v>
      </c>
      <c r="G5577" s="23" t="str">
        <f>IF(OR(E5577="",E5577="!!!"),"",IF(OR(J5577=0,AND(J5577=1,K5577=1),AND(J5577=1,I5577="SBJ"),AND(J5577=1,I5577=0)),"?IN_FOCUS",IF(J5577&lt;=2,"?ACTIVATED",IF(J5577&lt;&gt;"","?FAMILIAR",IF(F5577="NEW",IF(ISNA(VLOOKUP(E5577,#REF!,1,FALSE())),"?TYPE_IDENTIFIABLE","?REFERENTIAL"),"_")))))</f>
        <v> </v>
      </c>
      <c r="H5577" s="24" t="str">
        <f>IF(J5577&lt;&gt;1,"",IF(I5577="SBJ","CB","?"))</f>
        <v> </v>
      </c>
      <c r="I5577" s="25" t="str">
        <f>IF(OR(E5577="",E5577="!!!",F5577="NEW"),"",INDEX(B5576:B$2,-1+SUMPRODUCT(MAX(ROW(E5576:E$2)*(E5577=E5576:E$2)))))</f>
        <v> </v>
      </c>
      <c r="J5577" s="25" t="str">
        <f>IF(OR(E5577="",E5577="!!!",F5577="NEW"),"",COUNTBLANK(OFFSET(A$1,,,SUMPRODUCT(MAX(ROW(E$2:E5577)*(E5577=E$2:E5577)))))-COUNTBLANK(OFFSET(A$1,,,SUMPRODUCT(MAX(ROW(E$1:E5576)*(E2=E$1:E5576))))))</f>
        <v> </v>
      </c>
      <c r="K5577" s="25" t="str">
        <f>IF(OR(E5577="",E5577="!!!",F5577="NEW"),"",INDEX(J$1:J5576,SUMPRODUCT(MAX(ROW(E$1:E5576)*(E5577=E$1:E5576)))))</f>
        <v> </v>
      </c>
      <c r="L5577" s="26"/>
    </row>
    <row r="5578" spans="1:12">
      <c r="A5578" s="20"/>
    </row>
    <row r="5579" spans="1:12">
      <c r="A5579" s="20" t="s">
        <v>2489</v>
      </c>
    </row>
    <row r="5580" spans="1:12">
      <c r="A5580" s="20" t="s">
        <v>2490</v>
      </c>
      <c r="B5580" s="27" t="s">
        <v>967</v>
      </c>
      <c r="C5580" s="27" t="s">
        <v>1102</v>
      </c>
      <c r="D5580" s="27" t="s">
        <v>969</v>
      </c>
      <c r="E5580" s="21">
        <f>IF(D5580="?OLD","!!!","")</f>
        <v/>
      </c>
      <c r="F5580" s="22" t="str">
        <f>IF(OR(E5580="",E5580="!!!"),"",IF(NOT(ISNA(VLOOKUP(E5580,E$1:E5579,1,FALSE()))),"OLD",IF(AND(E5580&lt;&gt;"",E5580&lt;&gt;"!!!"),"NEW","")))</f>
        <v> </v>
      </c>
      <c r="G5580" s="23" t="str">
        <f>IF(OR(E5580="",E5580="!!!"),"",IF(OR(J5580=0,AND(J5580=1,K5580=1),AND(J5580=1,I5580="SBJ"),AND(J5580=1,I5580=0)),"?IN_FOCUS",IF(J5580&lt;=2,"?ACTIVATED",IF(J5580&lt;&gt;"","?FAMILIAR",IF(F5580="NEW",IF(ISNA(VLOOKUP(E5580,#REF!,1,FALSE())),"?TYPE_IDENTIFIABLE","?REFERENTIAL"),"_")))))</f>
        <v> </v>
      </c>
      <c r="H5580" s="24" t="str">
        <f>IF(J5580&lt;&gt;1,"",IF(I5580="SBJ","CB","?"))</f>
        <v> </v>
      </c>
      <c r="I5580" s="25" t="str">
        <f>IF(OR(E5580="",E5580="!!!",F5580="NEW"),"",INDEX(B5579:B$2,-1+SUMPRODUCT(MAX(ROW(E5579:E$2)*(E5580=E5579:E$2)))))</f>
        <v> </v>
      </c>
      <c r="J5580" s="25" t="str">
        <f>IF(OR(E5580="",E5580="!!!",F5580="NEW"),"",COUNTBLANK(OFFSET(A$1,,,SUMPRODUCT(MAX(ROW(E$2:E5580)*(E5580=E$2:E5580)))))-COUNTBLANK(OFFSET(A$1,,,SUMPRODUCT(MAX(ROW(E$1:E5579)*(E2=E$1:E5579))))))</f>
        <v> </v>
      </c>
      <c r="K5580" s="25" t="str">
        <f>IF(OR(E5580="",E5580="!!!",F5580="NEW"),"",INDEX(J$1:J5579,SUMPRODUCT(MAX(ROW(E$1:E5579)*(E5580=E$1:E5579)))))</f>
        <v> </v>
      </c>
      <c r="L5580" s="26"/>
    </row>
    <row r="5581" spans="1:12">
      <c r="A5581" s="20" t="s">
        <v>991</v>
      </c>
      <c r="E5581" s="21">
        <f>IF(D5581="?OLD","!!!","")</f>
        <v/>
      </c>
      <c r="F5581" s="22" t="str">
        <f>IF(OR(E5581="",E5581="!!!"),"",IF(NOT(ISNA(VLOOKUP(E5581,E$1:E5580,1,FALSE()))),"OLD",IF(AND(E5581&lt;&gt;"",E5581&lt;&gt;"!!!"),"NEW","")))</f>
        <v> </v>
      </c>
      <c r="G5581" s="23" t="str">
        <f>IF(OR(E5581="",E5581="!!!"),"",IF(OR(J5581=0,AND(J5581=1,K5581=1),AND(J5581=1,I5581="SBJ"),AND(J5581=1,I5581=0)),"?IN_FOCUS",IF(J5581&lt;=2,"?ACTIVATED",IF(J5581&lt;&gt;"","?FAMILIAR",IF(F5581="NEW",IF(ISNA(VLOOKUP(E5581,#REF!,1,FALSE())),"?TYPE_IDENTIFIABLE","?REFERENTIAL"),"_")))))</f>
        <v> </v>
      </c>
      <c r="H5581" s="24" t="str">
        <f>IF(J5581&lt;&gt;1,"",IF(I5581="SBJ","CB","?"))</f>
        <v> </v>
      </c>
      <c r="I5581" s="25" t="str">
        <f>IF(OR(E5581="",E5581="!!!",F5581="NEW"),"",INDEX(B5580:B$2,-1+SUMPRODUCT(MAX(ROW(E5580:E$2)*(E5581=E5580:E$2)))))</f>
        <v> </v>
      </c>
      <c r="J5581" s="25" t="str">
        <f>IF(OR(E5581="",E5581="!!!",F5581="NEW"),"",COUNTBLANK(OFFSET(A$1,,,SUMPRODUCT(MAX(ROW(E$2:E5581)*(E5581=E$2:E5581)))))-COUNTBLANK(OFFSET(A$1,,,SUMPRODUCT(MAX(ROW(E$1:E5580)*(E2=E$1:E5580))))))</f>
        <v> </v>
      </c>
      <c r="K5581" s="25" t="str">
        <f>IF(OR(E5581="",E5581="!!!",F5581="NEW"),"",INDEX(J$1:J5580,SUMPRODUCT(MAX(ROW(E$1:E5580)*(E5581=E$1:E5580)))))</f>
        <v> </v>
      </c>
      <c r="L5581" s="26"/>
    </row>
    <row r="5582" spans="1:12">
      <c r="A5582" s="20" t="s">
        <v>985</v>
      </c>
      <c r="B5582" s="27" t="s">
        <v>994</v>
      </c>
      <c r="E5582" s="21">
        <f>IF(D5582="?OLD","!!!","")</f>
        <v/>
      </c>
      <c r="F5582" s="22" t="str">
        <f>IF(OR(E5582="",E5582="!!!"),"",IF(NOT(ISNA(VLOOKUP(E5582,E$1:E5581,1,FALSE()))),"OLD",IF(AND(E5582&lt;&gt;"",E5582&lt;&gt;"!!!"),"NEW","")))</f>
        <v> </v>
      </c>
      <c r="G5582" s="23" t="str">
        <f>IF(OR(E5582="",E5582="!!!"),"",IF(OR(J5582=0,AND(J5582=1,K5582=1),AND(J5582=1,I5582="SBJ"),AND(J5582=1,I5582=0)),"?IN_FOCUS",IF(J5582&lt;=2,"?ACTIVATED",IF(J5582&lt;&gt;"","?FAMILIAR",IF(F5582="NEW",IF(ISNA(VLOOKUP(E5582,#REF!,1,FALSE())),"?TYPE_IDENTIFIABLE","?REFERENTIAL"),"_")))))</f>
        <v> </v>
      </c>
      <c r="H5582" s="24" t="str">
        <f>IF(J5582&lt;&gt;1,"",IF(I5582="SBJ","CB","?"))</f>
        <v> </v>
      </c>
      <c r="I5582" s="25" t="str">
        <f>IF(OR(E5582="",E5582="!!!",F5582="NEW"),"",INDEX(B5581:B$2,-1+SUMPRODUCT(MAX(ROW(E5581:E$2)*(E5582=E5581:E$2)))))</f>
        <v> </v>
      </c>
      <c r="J5582" s="25" t="str">
        <f>IF(OR(E5582="",E5582="!!!",F5582="NEW"),"",COUNTBLANK(OFFSET(A$1,,,SUMPRODUCT(MAX(ROW(E$2:E5582)*(E5582=E$2:E5582)))))-COUNTBLANK(OFFSET(A$1,,,SUMPRODUCT(MAX(ROW(E$1:E5581)*(E2=E$1:E5581))))))</f>
        <v> </v>
      </c>
      <c r="K5582" s="25" t="str">
        <f>IF(OR(E5582="",E5582="!!!",F5582="NEW"),"",INDEX(J$1:J5581,SUMPRODUCT(MAX(ROW(E$1:E5581)*(E5582=E$1:E5581)))))</f>
        <v> </v>
      </c>
      <c r="L5582" s="26"/>
    </row>
    <row r="5583" spans="1:12">
      <c r="A5583" s="20" t="s">
        <v>1230</v>
      </c>
      <c r="E5583" s="21">
        <f>IF(D5583="?OLD","!!!","")</f>
        <v/>
      </c>
      <c r="F5583" s="22" t="str">
        <f>IF(OR(E5583="",E5583="!!!"),"",IF(NOT(ISNA(VLOOKUP(E5583,E$1:E5582,1,FALSE()))),"OLD",IF(AND(E5583&lt;&gt;"",E5583&lt;&gt;"!!!"),"NEW","")))</f>
        <v> </v>
      </c>
      <c r="G5583" s="23" t="str">
        <f>IF(OR(E5583="",E5583="!!!"),"",IF(OR(J5583=0,AND(J5583=1,K5583=1),AND(J5583=1,I5583="SBJ"),AND(J5583=1,I5583=0)),"?IN_FOCUS",IF(J5583&lt;=2,"?ACTIVATED",IF(J5583&lt;&gt;"","?FAMILIAR",IF(F5583="NEW",IF(ISNA(VLOOKUP(E5583,#REF!,1,FALSE())),"?TYPE_IDENTIFIABLE","?REFERENTIAL"),"_")))))</f>
        <v> </v>
      </c>
      <c r="H5583" s="24" t="str">
        <f>IF(J5583&lt;&gt;1,"",IF(I5583="SBJ","CB","?"))</f>
        <v> </v>
      </c>
      <c r="I5583" s="25" t="str">
        <f>IF(OR(E5583="",E5583="!!!",F5583="NEW"),"",INDEX(B5582:B$2,-1+SUMPRODUCT(MAX(ROW(E5582:E$2)*(E5583=E5582:E$2)))))</f>
        <v> </v>
      </c>
      <c r="J5583" s="25" t="str">
        <f>IF(OR(E5583="",E5583="!!!",F5583="NEW"),"",COUNTBLANK(OFFSET(A$1,,,SUMPRODUCT(MAX(ROW(E$2:E5583)*(E5583=E$2:E5583)))))-COUNTBLANK(OFFSET(A$1,,,SUMPRODUCT(MAX(ROW(E$1:E5582)*(E2=E$1:E5582))))))</f>
        <v> </v>
      </c>
      <c r="K5583" s="25" t="str">
        <f>IF(OR(E5583="",E5583="!!!",F5583="NEW"),"",INDEX(J$1:J5582,SUMPRODUCT(MAX(ROW(E$1:E5582)*(E5583=E$1:E5582)))))</f>
        <v> </v>
      </c>
      <c r="L5583" s="26"/>
    </row>
    <row r="5584" spans="1:12">
      <c r="A5584" s="20" t="s">
        <v>1078</v>
      </c>
      <c r="B5584" s="27" t="s">
        <v>1031</v>
      </c>
      <c r="C5584" s="27" t="s">
        <v>1035</v>
      </c>
      <c r="E5584" s="21">
        <f>IF(D5584="?OLD","!!!","")</f>
        <v/>
      </c>
      <c r="F5584" s="22" t="str">
        <f>IF(OR(E5584="",E5584="!!!"),"",IF(NOT(ISNA(VLOOKUP(E5584,E$1:E5583,1,FALSE()))),"OLD",IF(AND(E5584&lt;&gt;"",E5584&lt;&gt;"!!!"),"NEW","")))</f>
        <v> </v>
      </c>
      <c r="G5584" s="23" t="str">
        <f>IF(OR(E5584="",E5584="!!!"),"",IF(OR(J5584=0,AND(J5584=1,K5584=1),AND(J5584=1,I5584="SBJ"),AND(J5584=1,I5584=0)),"?IN_FOCUS",IF(J5584&lt;=2,"?ACTIVATED",IF(J5584&lt;&gt;"","?FAMILIAR",IF(F5584="NEW",IF(ISNA(VLOOKUP(E5584,#REF!,1,FALSE())),"?TYPE_IDENTIFIABLE","?REFERENTIAL"),"_")))))</f>
        <v> </v>
      </c>
      <c r="H5584" s="24" t="str">
        <f>IF(J5584&lt;&gt;1,"",IF(I5584="SBJ","CB","?"))</f>
        <v> </v>
      </c>
      <c r="I5584" s="25" t="str">
        <f>IF(OR(E5584="",E5584="!!!",F5584="NEW"),"",INDEX(B5583:B$2,-1+SUMPRODUCT(MAX(ROW(E5583:E$2)*(E5584=E5583:E$2)))))</f>
        <v> </v>
      </c>
      <c r="J5584" s="25" t="str">
        <f>IF(OR(E5584="",E5584="!!!",F5584="NEW"),"",COUNTBLANK(OFFSET(A$1,,,SUMPRODUCT(MAX(ROW(E$2:E5584)*(E5584=E$2:E5584)))))-COUNTBLANK(OFFSET(A$1,,,SUMPRODUCT(MAX(ROW(E$1:E5583)*(E2=E$1:E5583))))))</f>
        <v> </v>
      </c>
      <c r="K5584" s="25" t="str">
        <f>IF(OR(E5584="",E5584="!!!",F5584="NEW"),"",INDEX(J$1:J5583,SUMPRODUCT(MAX(ROW(E$1:E5583)*(E5584=E$1:E5583)))))</f>
        <v> </v>
      </c>
      <c r="L5584" s="26"/>
    </row>
    <row r="5585" spans="1:12">
      <c r="A5585" s="20" t="s">
        <v>2488</v>
      </c>
      <c r="E5585" s="21">
        <f>IF(D5585="?OLD","!!!","")</f>
        <v/>
      </c>
      <c r="F5585" s="22" t="str">
        <f>IF(OR(E5585="",E5585="!!!"),"",IF(NOT(ISNA(VLOOKUP(E5585,E$1:E5584,1,FALSE()))),"OLD",IF(AND(E5585&lt;&gt;"",E5585&lt;&gt;"!!!"),"NEW","")))</f>
        <v> </v>
      </c>
      <c r="G5585" s="23" t="str">
        <f>IF(OR(E5585="",E5585="!!!"),"",IF(OR(J5585=0,AND(J5585=1,K5585=1),AND(J5585=1,I5585="SBJ"),AND(J5585=1,I5585=0)),"?IN_FOCUS",IF(J5585&lt;=2,"?ACTIVATED",IF(J5585&lt;&gt;"","?FAMILIAR",IF(F5585="NEW",IF(ISNA(VLOOKUP(E5585,#REF!,1,FALSE())),"?TYPE_IDENTIFIABLE","?REFERENTIAL"),"_")))))</f>
        <v> </v>
      </c>
      <c r="H5585" s="24" t="str">
        <f>IF(J5585&lt;&gt;1,"",IF(I5585="SBJ","CB","?"))</f>
        <v> </v>
      </c>
      <c r="I5585" s="25" t="str">
        <f>IF(OR(E5585="",E5585="!!!",F5585="NEW"),"",INDEX(B5584:B$2,-1+SUMPRODUCT(MAX(ROW(E5584:E$2)*(E5585=E5584:E$2)))))</f>
        <v> </v>
      </c>
      <c r="J5585" s="25" t="str">
        <f>IF(OR(E5585="",E5585="!!!",F5585="NEW"),"",COUNTBLANK(OFFSET(A$1,,,SUMPRODUCT(MAX(ROW(E$2:E5585)*(E5585=E$2:E5585)))))-COUNTBLANK(OFFSET(A$1,,,SUMPRODUCT(MAX(ROW(E$1:E5584)*(E2=E$1:E5584))))))</f>
        <v> </v>
      </c>
      <c r="K5585" s="25" t="str">
        <f>IF(OR(E5585="",E5585="!!!",F5585="NEW"),"",INDEX(J$1:J5584,SUMPRODUCT(MAX(ROW(E$1:E5584)*(E5585=E$1:E5584)))))</f>
        <v> </v>
      </c>
      <c r="L5585" s="26"/>
    </row>
    <row r="5586" spans="1:12">
      <c r="A5586" s="20" t="s">
        <v>1530</v>
      </c>
      <c r="E5586" s="21">
        <f>IF(D5586="?OLD","!!!","")</f>
        <v/>
      </c>
      <c r="F5586" s="22" t="str">
        <f>IF(OR(E5586="",E5586="!!!"),"",IF(NOT(ISNA(VLOOKUP(E5586,E$1:E5585,1,FALSE()))),"OLD",IF(AND(E5586&lt;&gt;"",E5586&lt;&gt;"!!!"),"NEW","")))</f>
        <v> </v>
      </c>
      <c r="G5586" s="23" t="str">
        <f>IF(OR(E5586="",E5586="!!!"),"",IF(OR(J5586=0,AND(J5586=1,K5586=1),AND(J5586=1,I5586="SBJ"),AND(J5586=1,I5586=0)),"?IN_FOCUS",IF(J5586&lt;=2,"?ACTIVATED",IF(J5586&lt;&gt;"","?FAMILIAR",IF(F5586="NEW",IF(ISNA(VLOOKUP(E5586,#REF!,1,FALSE())),"?TYPE_IDENTIFIABLE","?REFERENTIAL"),"_")))))</f>
        <v> </v>
      </c>
      <c r="H5586" s="24" t="str">
        <f>IF(J5586&lt;&gt;1,"",IF(I5586="SBJ","CB","?"))</f>
        <v> </v>
      </c>
      <c r="I5586" s="25" t="str">
        <f>IF(OR(E5586="",E5586="!!!",F5586="NEW"),"",INDEX(B5585:B$2,-1+SUMPRODUCT(MAX(ROW(E5585:E$2)*(E5586=E5585:E$2)))))</f>
        <v> </v>
      </c>
      <c r="J5586" s="25" t="str">
        <f>IF(OR(E5586="",E5586="!!!",F5586="NEW"),"",COUNTBLANK(OFFSET(A$1,,,SUMPRODUCT(MAX(ROW(E$2:E5586)*(E5586=E$2:E5586)))))-COUNTBLANK(OFFSET(A$1,,,SUMPRODUCT(MAX(ROW(E$1:E5585)*(E2=E$1:E5585))))))</f>
        <v> </v>
      </c>
      <c r="K5586" s="25" t="str">
        <f>IF(OR(E5586="",E5586="!!!",F5586="NEW"),"",INDEX(J$1:J5585,SUMPRODUCT(MAX(ROW(E$1:E5585)*(E5586=E$1:E5585)))))</f>
        <v> </v>
      </c>
      <c r="L5586" s="26"/>
    </row>
    <row r="5587" spans="1:12">
      <c r="A5587" s="20" t="s">
        <v>991</v>
      </c>
      <c r="E5587" s="21">
        <f>IF(D5587="?OLD","!!!","")</f>
        <v/>
      </c>
      <c r="F5587" s="22" t="str">
        <f>IF(OR(E5587="",E5587="!!!"),"",IF(NOT(ISNA(VLOOKUP(E5587,E$1:E5586,1,FALSE()))),"OLD",IF(AND(E5587&lt;&gt;"",E5587&lt;&gt;"!!!"),"NEW","")))</f>
        <v> </v>
      </c>
      <c r="G5587" s="23" t="str">
        <f>IF(OR(E5587="",E5587="!!!"),"",IF(OR(J5587=0,AND(J5587=1,K5587=1),AND(J5587=1,I5587="SBJ"),AND(J5587=1,I5587=0)),"?IN_FOCUS",IF(J5587&lt;=2,"?ACTIVATED",IF(J5587&lt;&gt;"","?FAMILIAR",IF(F5587="NEW",IF(ISNA(VLOOKUP(E5587,#REF!,1,FALSE())),"?TYPE_IDENTIFIABLE","?REFERENTIAL"),"_")))))</f>
        <v> </v>
      </c>
      <c r="H5587" s="24" t="str">
        <f>IF(J5587&lt;&gt;1,"",IF(I5587="SBJ","CB","?"))</f>
        <v> </v>
      </c>
      <c r="I5587" s="25" t="str">
        <f>IF(OR(E5587="",E5587="!!!",F5587="NEW"),"",INDEX(B5586:B$2,-1+SUMPRODUCT(MAX(ROW(E5586:E$2)*(E5587=E5586:E$2)))))</f>
        <v> </v>
      </c>
      <c r="J5587" s="25" t="str">
        <f>IF(OR(E5587="",E5587="!!!",F5587="NEW"),"",COUNTBLANK(OFFSET(A$1,,,SUMPRODUCT(MAX(ROW(E$2:E5587)*(E5587=E$2:E5587)))))-COUNTBLANK(OFFSET(A$1,,,SUMPRODUCT(MAX(ROW(E$1:E5586)*(E2=E$1:E5586))))))</f>
        <v> </v>
      </c>
      <c r="K5587" s="25" t="str">
        <f>IF(OR(E5587="",E5587="!!!",F5587="NEW"),"",INDEX(J$1:J5586,SUMPRODUCT(MAX(ROW(E$1:E5586)*(E5587=E$1:E5586)))))</f>
        <v> </v>
      </c>
      <c r="L5587" s="26"/>
    </row>
    <row r="5588" spans="1:12">
      <c r="A5588" s="20" t="s">
        <v>1195</v>
      </c>
      <c r="E5588" s="21">
        <f>IF(D5588="?OLD","!!!","")</f>
        <v/>
      </c>
      <c r="F5588" s="22" t="str">
        <f>IF(OR(E5588="",E5588="!!!"),"",IF(NOT(ISNA(VLOOKUP(E5588,E$1:E5587,1,FALSE()))),"OLD",IF(AND(E5588&lt;&gt;"",E5588&lt;&gt;"!!!"),"NEW","")))</f>
        <v> </v>
      </c>
      <c r="G5588" s="23" t="str">
        <f>IF(OR(E5588="",E5588="!!!"),"",IF(OR(J5588=0,AND(J5588=1,K5588=1),AND(J5588=1,I5588="SBJ"),AND(J5588=1,I5588=0)),"?IN_FOCUS",IF(J5588&lt;=2,"?ACTIVATED",IF(J5588&lt;&gt;"","?FAMILIAR",IF(F5588="NEW",IF(ISNA(VLOOKUP(E5588,#REF!,1,FALSE())),"?TYPE_IDENTIFIABLE","?REFERENTIAL"),"_")))))</f>
        <v> </v>
      </c>
      <c r="H5588" s="24" t="str">
        <f>IF(J5588&lt;&gt;1,"",IF(I5588="SBJ","CB","?"))</f>
        <v> </v>
      </c>
      <c r="I5588" s="25" t="str">
        <f>IF(OR(E5588="",E5588="!!!",F5588="NEW"),"",INDEX(B5587:B$2,-1+SUMPRODUCT(MAX(ROW(E5587:E$2)*(E5588=E5587:E$2)))))</f>
        <v> </v>
      </c>
      <c r="J5588" s="25" t="str">
        <f>IF(OR(E5588="",E5588="!!!",F5588="NEW"),"",COUNTBLANK(OFFSET(A$1,,,SUMPRODUCT(MAX(ROW(E$2:E5588)*(E5588=E$2:E5588)))))-COUNTBLANK(OFFSET(A$1,,,SUMPRODUCT(MAX(ROW(E$1:E5587)*(E2=E$1:E5587))))))</f>
        <v> </v>
      </c>
      <c r="K5588" s="25" t="str">
        <f>IF(OR(E5588="",E5588="!!!",F5588="NEW"),"",INDEX(J$1:J5587,SUMPRODUCT(MAX(ROW(E$1:E5587)*(E5588=E$1:E5587)))))</f>
        <v> </v>
      </c>
      <c r="L5588" s="26"/>
    </row>
    <row r="5589" spans="1:12">
      <c r="A5589" s="20" t="s">
        <v>2487</v>
      </c>
      <c r="B5589" s="27" t="s">
        <v>1053</v>
      </c>
      <c r="C5589" s="27" t="s">
        <v>1102</v>
      </c>
      <c r="D5589" s="27" t="s">
        <v>969</v>
      </c>
      <c r="E5589" s="21">
        <f>IF(D5589="?OLD","!!!","")</f>
        <v/>
      </c>
      <c r="F5589" s="22" t="str">
        <f>IF(OR(E5589="",E5589="!!!"),"",IF(NOT(ISNA(VLOOKUP(E5589,E$1:E5588,1,FALSE()))),"OLD",IF(AND(E5589&lt;&gt;"",E5589&lt;&gt;"!!!"),"NEW","")))</f>
        <v> </v>
      </c>
      <c r="G5589" s="23" t="str">
        <f>IF(OR(E5589="",E5589="!!!"),"",IF(OR(J5589=0,AND(J5589=1,K5589=1),AND(J5589=1,I5589="SBJ"),AND(J5589=1,I5589=0)),"?IN_FOCUS",IF(J5589&lt;=2,"?ACTIVATED",IF(J5589&lt;&gt;"","?FAMILIAR",IF(F5589="NEW",IF(ISNA(VLOOKUP(E5589,#REF!,1,FALSE())),"?TYPE_IDENTIFIABLE","?REFERENTIAL"),"_")))))</f>
        <v> </v>
      </c>
      <c r="H5589" s="24" t="str">
        <f>IF(J5589&lt;&gt;1,"",IF(I5589="SBJ","CB","?"))</f>
        <v> </v>
      </c>
      <c r="I5589" s="25" t="str">
        <f>IF(OR(E5589="",E5589="!!!",F5589="NEW"),"",INDEX(B5588:B$2,-1+SUMPRODUCT(MAX(ROW(E5588:E$2)*(E5589=E5588:E$2)))))</f>
        <v> </v>
      </c>
      <c r="J5589" s="25" t="str">
        <f>IF(OR(E5589="",E5589="!!!",F5589="NEW"),"",COUNTBLANK(OFFSET(A$1,,,SUMPRODUCT(MAX(ROW(E$2:E5589)*(E5589=E$2:E5589)))))-COUNTBLANK(OFFSET(A$1,,,SUMPRODUCT(MAX(ROW(E$1:E5588)*(E2=E$1:E5588))))))</f>
        <v> </v>
      </c>
      <c r="K5589" s="25" t="str">
        <f>IF(OR(E5589="",E5589="!!!",F5589="NEW"),"",INDEX(J$1:J5588,SUMPRODUCT(MAX(ROW(E$1:E5588)*(E5589=E$1:E5588)))))</f>
        <v> </v>
      </c>
      <c r="L5589" s="26"/>
    </row>
    <row r="5590" spans="1:12">
      <c r="A5590" s="20" t="s">
        <v>991</v>
      </c>
      <c r="E5590" s="21">
        <f>IF(D5590="?OLD","!!!","")</f>
        <v/>
      </c>
      <c r="F5590" s="22" t="str">
        <f>IF(OR(E5590="",E5590="!!!"),"",IF(NOT(ISNA(VLOOKUP(E5590,E$1:E5589,1,FALSE()))),"OLD",IF(AND(E5590&lt;&gt;"",E5590&lt;&gt;"!!!"),"NEW","")))</f>
        <v> </v>
      </c>
      <c r="G5590" s="23" t="str">
        <f>IF(OR(E5590="",E5590="!!!"),"",IF(OR(J5590=0,AND(J5590=1,K5590=1),AND(J5590=1,I5590="SBJ"),AND(J5590=1,I5590=0)),"?IN_FOCUS",IF(J5590&lt;=2,"?ACTIVATED",IF(J5590&lt;&gt;"","?FAMILIAR",IF(F5590="NEW",IF(ISNA(VLOOKUP(E5590,#REF!,1,FALSE())),"?TYPE_IDENTIFIABLE","?REFERENTIAL"),"_")))))</f>
        <v> </v>
      </c>
      <c r="H5590" s="24" t="str">
        <f>IF(J5590&lt;&gt;1,"",IF(I5590="SBJ","CB","?"))</f>
        <v> </v>
      </c>
      <c r="I5590" s="25" t="str">
        <f>IF(OR(E5590="",E5590="!!!",F5590="NEW"),"",INDEX(B5589:B$2,-1+SUMPRODUCT(MAX(ROW(E5589:E$2)*(E5590=E5589:E$2)))))</f>
        <v> </v>
      </c>
      <c r="J5590" s="25" t="str">
        <f>IF(OR(E5590="",E5590="!!!",F5590="NEW"),"",COUNTBLANK(OFFSET(A$1,,,SUMPRODUCT(MAX(ROW(E$2:E5590)*(E5590=E$2:E5590)))))-COUNTBLANK(OFFSET(A$1,,,SUMPRODUCT(MAX(ROW(E$1:E5589)*(E2=E$1:E5589))))))</f>
        <v> </v>
      </c>
      <c r="K5590" s="25" t="str">
        <f>IF(OR(E5590="",E5590="!!!",F5590="NEW"),"",INDEX(J$1:J5589,SUMPRODUCT(MAX(ROW(E$1:E5589)*(E5590=E$1:E5589)))))</f>
        <v> </v>
      </c>
      <c r="L5590" s="26"/>
    </row>
    <row r="5591" spans="1:12">
      <c r="A5591" s="20" t="s">
        <v>985</v>
      </c>
      <c r="E5591" s="21">
        <f>IF(D5591="?OLD","!!!","")</f>
        <v/>
      </c>
      <c r="F5591" s="22" t="str">
        <f>IF(OR(E5591="",E5591="!!!"),"",IF(NOT(ISNA(VLOOKUP(E5591,E$1:E5590,1,FALSE()))),"OLD",IF(AND(E5591&lt;&gt;"",E5591&lt;&gt;"!!!"),"NEW","")))</f>
        <v> </v>
      </c>
      <c r="G5591" s="23" t="str">
        <f>IF(OR(E5591="",E5591="!!!"),"",IF(OR(J5591=0,AND(J5591=1,K5591=1),AND(J5591=1,I5591="SBJ"),AND(J5591=1,I5591=0)),"?IN_FOCUS",IF(J5591&lt;=2,"?ACTIVATED",IF(J5591&lt;&gt;"","?FAMILIAR",IF(F5591="NEW",IF(ISNA(VLOOKUP(E5591,#REF!,1,FALSE())),"?TYPE_IDENTIFIABLE","?REFERENTIAL"),"_")))))</f>
        <v> </v>
      </c>
      <c r="H5591" s="24" t="str">
        <f>IF(J5591&lt;&gt;1,"",IF(I5591="SBJ","CB","?"))</f>
        <v> </v>
      </c>
      <c r="I5591" s="25" t="str">
        <f>IF(OR(E5591="",E5591="!!!",F5591="NEW"),"",INDEX(B5590:B$2,-1+SUMPRODUCT(MAX(ROW(E5590:E$2)*(E5591=E5590:E$2)))))</f>
        <v> </v>
      </c>
      <c r="J5591" s="25" t="str">
        <f>IF(OR(E5591="",E5591="!!!",F5591="NEW"),"",COUNTBLANK(OFFSET(A$1,,,SUMPRODUCT(MAX(ROW(E$2:E5591)*(E5591=E$2:E5591)))))-COUNTBLANK(OFFSET(A$1,,,SUMPRODUCT(MAX(ROW(E$1:E5590)*(E2=E$1:E5590))))))</f>
        <v> </v>
      </c>
      <c r="K5591" s="25" t="str">
        <f>IF(OR(E5591="",E5591="!!!",F5591="NEW"),"",INDEX(J$1:J5590,SUMPRODUCT(MAX(ROW(E$1:E5590)*(E5591=E$1:E5590)))))</f>
        <v> </v>
      </c>
      <c r="L5591" s="26"/>
    </row>
    <row r="5592" spans="1:12">
      <c r="A5592" s="20" t="s">
        <v>2472</v>
      </c>
      <c r="B5592" s="27" t="s">
        <v>1013</v>
      </c>
      <c r="C5592" s="27" t="s">
        <v>979</v>
      </c>
      <c r="D5592" s="27" t="s">
        <v>969</v>
      </c>
      <c r="E5592" s="21">
        <f>IF(D5592="?OLD","!!!","")</f>
        <v/>
      </c>
      <c r="F5592" s="22" t="str">
        <f>IF(OR(E5592="",E5592="!!!"),"",IF(NOT(ISNA(VLOOKUP(E5592,E$1:E5591,1,FALSE()))),"OLD",IF(AND(E5592&lt;&gt;"",E5592&lt;&gt;"!!!"),"NEW","")))</f>
        <v> </v>
      </c>
      <c r="G5592" s="23" t="str">
        <f>IF(OR(E5592="",E5592="!!!"),"",IF(OR(J5592=0,AND(J5592=1,K5592=1),AND(J5592=1,I5592="SBJ"),AND(J5592=1,I5592=0)),"?IN_FOCUS",IF(J5592&lt;=2,"?ACTIVATED",IF(J5592&lt;&gt;"","?FAMILIAR",IF(F5592="NEW",IF(ISNA(VLOOKUP(E5592,#REF!,1,FALSE())),"?TYPE_IDENTIFIABLE","?REFERENTIAL"),"_")))))</f>
        <v> </v>
      </c>
      <c r="H5592" s="24" t="str">
        <f>IF(J5592&lt;&gt;1,"",IF(I5592="SBJ","CB","?"))</f>
        <v> </v>
      </c>
      <c r="I5592" s="25" t="str">
        <f>IF(OR(E5592="",E5592="!!!",F5592="NEW"),"",INDEX(B5591:B$2,-1+SUMPRODUCT(MAX(ROW(E5591:E$2)*(E5592=E5591:E$2)))))</f>
        <v> </v>
      </c>
      <c r="J5592" s="25" t="str">
        <f>IF(OR(E5592="",E5592="!!!",F5592="NEW"),"",COUNTBLANK(OFFSET(A$1,,,SUMPRODUCT(MAX(ROW(E$2:E5592)*(E5592=E$2:E5592)))))-COUNTBLANK(OFFSET(A$1,,,SUMPRODUCT(MAX(ROW(E$1:E5591)*(E2=E$1:E5591))))))</f>
        <v> </v>
      </c>
      <c r="K5592" s="25" t="str">
        <f>IF(OR(E5592="",E5592="!!!",F5592="NEW"),"",INDEX(J$1:J5591,SUMPRODUCT(MAX(ROW(E$1:E5591)*(E5592=E$1:E5591)))))</f>
        <v> </v>
      </c>
      <c r="L5592" s="26"/>
    </row>
    <row r="5593" spans="1:12">
      <c r="A5593" s="20" t="s">
        <v>2491</v>
      </c>
      <c r="E5593" s="21">
        <f>IF(D5593="?OLD","!!!","")</f>
        <v/>
      </c>
      <c r="F5593" s="22" t="str">
        <f>IF(OR(E5593="",E5593="!!!"),"",IF(NOT(ISNA(VLOOKUP(E5593,E$1:E5592,1,FALSE()))),"OLD",IF(AND(E5593&lt;&gt;"",E5593&lt;&gt;"!!!"),"NEW","")))</f>
        <v> </v>
      </c>
      <c r="G5593" s="23" t="str">
        <f>IF(OR(E5593="",E5593="!!!"),"",IF(OR(J5593=0,AND(J5593=1,K5593=1),AND(J5593=1,I5593="SBJ"),AND(J5593=1,I5593=0)),"?IN_FOCUS",IF(J5593&lt;=2,"?ACTIVATED",IF(J5593&lt;&gt;"","?FAMILIAR",IF(F5593="NEW",IF(ISNA(VLOOKUP(E5593,#REF!,1,FALSE())),"?TYPE_IDENTIFIABLE","?REFERENTIAL"),"_")))))</f>
        <v> </v>
      </c>
      <c r="H5593" s="24" t="str">
        <f>IF(J5593&lt;&gt;1,"",IF(I5593="SBJ","CB","?"))</f>
        <v> </v>
      </c>
      <c r="I5593" s="25" t="str">
        <f>IF(OR(E5593="",E5593="!!!",F5593="NEW"),"",INDEX(B5592:B$2,-1+SUMPRODUCT(MAX(ROW(E5592:E$2)*(E5593=E5592:E$2)))))</f>
        <v> </v>
      </c>
      <c r="J5593" s="25" t="str">
        <f>IF(OR(E5593="",E5593="!!!",F5593="NEW"),"",COUNTBLANK(OFFSET(A$1,,,SUMPRODUCT(MAX(ROW(E$2:E5593)*(E5593=E$2:E5593)))))-COUNTBLANK(OFFSET(A$1,,,SUMPRODUCT(MAX(ROW(E$1:E5592)*(E2=E$1:E5592))))))</f>
        <v> </v>
      </c>
      <c r="K5593" s="25" t="str">
        <f>IF(OR(E5593="",E5593="!!!",F5593="NEW"),"",INDEX(J$1:J5592,SUMPRODUCT(MAX(ROW(E$1:E5592)*(E5593=E$1:E5592)))))</f>
        <v> </v>
      </c>
      <c r="L5593" s="26"/>
    </row>
    <row r="5594" spans="1:12">
      <c r="A5594" s="20" t="s">
        <v>1005</v>
      </c>
      <c r="E5594" s="21">
        <f>IF(D5594="?OLD","!!!","")</f>
        <v/>
      </c>
      <c r="F5594" s="22" t="str">
        <f>IF(OR(E5594="",E5594="!!!"),"",IF(NOT(ISNA(VLOOKUP(E5594,E$1:E5593,1,FALSE()))),"OLD",IF(AND(E5594&lt;&gt;"",E5594&lt;&gt;"!!!"),"NEW","")))</f>
        <v> </v>
      </c>
      <c r="G5594" s="23" t="str">
        <f>IF(OR(E5594="",E5594="!!!"),"",IF(OR(J5594=0,AND(J5594=1,K5594=1),AND(J5594=1,I5594="SBJ"),AND(J5594=1,I5594=0)),"?IN_FOCUS",IF(J5594&lt;=2,"?ACTIVATED",IF(J5594&lt;&gt;"","?FAMILIAR",IF(F5594="NEW",IF(ISNA(VLOOKUP(E5594,#REF!,1,FALSE())),"?TYPE_IDENTIFIABLE","?REFERENTIAL"),"_")))))</f>
        <v> </v>
      </c>
      <c r="H5594" s="24" t="str">
        <f>IF(J5594&lt;&gt;1,"",IF(I5594="SBJ","CB","?"))</f>
        <v> </v>
      </c>
      <c r="I5594" s="25" t="str">
        <f>IF(OR(E5594="",E5594="!!!",F5594="NEW"),"",INDEX(B5593:B$2,-1+SUMPRODUCT(MAX(ROW(E5593:E$2)*(E5594=E5593:E$2)))))</f>
        <v> </v>
      </c>
      <c r="J5594" s="25" t="str">
        <f>IF(OR(E5594="",E5594="!!!",F5594="NEW"),"",COUNTBLANK(OFFSET(A$1,,,SUMPRODUCT(MAX(ROW(E$2:E5594)*(E5594=E$2:E5594)))))-COUNTBLANK(OFFSET(A$1,,,SUMPRODUCT(MAX(ROW(E$1:E5593)*(E2=E$1:E5593))))))</f>
        <v> </v>
      </c>
      <c r="K5594" s="25" t="str">
        <f>IF(OR(E5594="",E5594="!!!",F5594="NEW"),"",INDEX(J$1:J5593,SUMPRODUCT(MAX(ROW(E$1:E5593)*(E5594=E$1:E5593)))))</f>
        <v> </v>
      </c>
      <c r="L5594" s="26"/>
    </row>
    <row r="5595" spans="1:12">
      <c r="A5595" s="20"/>
    </row>
    <row r="5596" spans="1:12">
      <c r="A5596" s="20" t="s">
        <v>1060</v>
      </c>
      <c r="E5596" s="21">
        <f>IF(D5596="?OLD","!!!","")</f>
        <v/>
      </c>
      <c r="F5596" s="22" t="str">
        <f>IF(OR(E5596="",E5596="!!!"),"",IF(NOT(ISNA(VLOOKUP(E5596,E$1:E5595,1,FALSE()))),"OLD",IF(AND(E5596&lt;&gt;"",E5596&lt;&gt;"!!!"),"NEW","")))</f>
        <v> </v>
      </c>
      <c r="G5596" s="23" t="str">
        <f>IF(OR(E5596="",E5596="!!!"),"",IF(OR(J5596=0,AND(J5596=1,K5596=1),AND(J5596=1,I5596="SBJ"),AND(J5596=1,I5596=0)),"?IN_FOCUS",IF(J5596&lt;=2,"?ACTIVATED",IF(J5596&lt;&gt;"","?FAMILIAR",IF(F5596="NEW",IF(ISNA(VLOOKUP(E5596,#REF!,1,FALSE())),"?TYPE_IDENTIFIABLE","?REFERENTIAL"),"_")))))</f>
        <v> </v>
      </c>
      <c r="H5596" s="24" t="str">
        <f>IF(J5596&lt;&gt;1,"",IF(I5596="SBJ","CB","?"))</f>
        <v> </v>
      </c>
      <c r="I5596" s="25" t="str">
        <f>IF(OR(E5596="",E5596="!!!",F5596="NEW"),"",INDEX(B5595:B$2,-1+SUMPRODUCT(MAX(ROW(E5595:E$2)*(E5596=E5595:E$2)))))</f>
        <v> </v>
      </c>
      <c r="J5596" s="25" t="str">
        <f>IF(OR(E5596="",E5596="!!!",F5596="NEW"),"",COUNTBLANK(OFFSET(A$1,,,SUMPRODUCT(MAX(ROW(E$2:E5596)*(E5596=E$2:E5596)))))-COUNTBLANK(OFFSET(A$1,,,SUMPRODUCT(MAX(ROW(E$1:E5595)*(E2=E$1:E5595))))))</f>
        <v> </v>
      </c>
      <c r="K5596" s="25" t="str">
        <f>IF(OR(E5596="",E5596="!!!",F5596="NEW"),"",INDEX(J$1:J5595,SUMPRODUCT(MAX(ROW(E$1:E5595)*(E5596=E$1:E5595)))))</f>
        <v> </v>
      </c>
      <c r="L5596" s="26"/>
    </row>
    <row r="5597" spans="1:12">
      <c r="A5597" s="20" t="s">
        <v>2492</v>
      </c>
    </row>
    <row r="5598" spans="1:12">
      <c r="A5598" s="20" t="s">
        <v>2155</v>
      </c>
      <c r="E5598" s="21">
        <f>IF(D5598="?OLD","!!!","")</f>
        <v/>
      </c>
      <c r="F5598" s="22" t="str">
        <f>IF(OR(E5598="",E5598="!!!"),"",IF(NOT(ISNA(VLOOKUP(E5598,E$1:E5597,1,FALSE()))),"OLD",IF(AND(E5598&lt;&gt;"",E5598&lt;&gt;"!!!"),"NEW","")))</f>
        <v> </v>
      </c>
      <c r="G5598" s="23" t="str">
        <f>IF(OR(E5598="",E5598="!!!"),"",IF(OR(J5598=0,AND(J5598=1,K5598=1),AND(J5598=1,I5598="SBJ"),AND(J5598=1,I5598=0)),"?IN_FOCUS",IF(J5598&lt;=2,"?ACTIVATED",IF(J5598&lt;&gt;"","?FAMILIAR",IF(F5598="NEW",IF(ISNA(VLOOKUP(E5598,#REF!,1,FALSE())),"?TYPE_IDENTIFIABLE","?REFERENTIAL"),"_")))))</f>
        <v> </v>
      </c>
      <c r="H5598" s="24" t="str">
        <f>IF(J5598&lt;&gt;1,"",IF(I5598="SBJ","CB","?"))</f>
        <v> </v>
      </c>
      <c r="I5598" s="25" t="str">
        <f>IF(OR(E5598="",E5598="!!!",F5598="NEW"),"",INDEX(B5597:B$2,-1+SUMPRODUCT(MAX(ROW(E5597:E$2)*(E5598=E5597:E$2)))))</f>
        <v> </v>
      </c>
      <c r="J5598" s="25" t="str">
        <f>IF(OR(E5598="",E5598="!!!",F5598="NEW"),"",COUNTBLANK(OFFSET(A$1,,,SUMPRODUCT(MAX(ROW(E$2:E5598)*(E5598=E$2:E5598)))))-COUNTBLANK(OFFSET(A$1,,,SUMPRODUCT(MAX(ROW(E$1:E5597)*(E2=E$1:E5597))))))</f>
        <v> </v>
      </c>
      <c r="K5598" s="25" t="str">
        <f>IF(OR(E5598="",E5598="!!!",F5598="NEW"),"",INDEX(J$1:J5597,SUMPRODUCT(MAX(ROW(E$1:E5597)*(E5598=E$1:E5597)))))</f>
        <v> </v>
      </c>
      <c r="L5598" s="26"/>
    </row>
    <row r="5599" spans="1:12">
      <c r="A5599" s="20" t="s">
        <v>1351</v>
      </c>
      <c r="E5599" s="21">
        <f>IF(D5599="?OLD","!!!","")</f>
        <v/>
      </c>
      <c r="F5599" s="22" t="str">
        <f>IF(OR(E5599="",E5599="!!!"),"",IF(NOT(ISNA(VLOOKUP(E5599,E$1:E5598,1,FALSE()))),"OLD",IF(AND(E5599&lt;&gt;"",E5599&lt;&gt;"!!!"),"NEW","")))</f>
        <v> </v>
      </c>
      <c r="G5599" s="23" t="str">
        <f>IF(OR(E5599="",E5599="!!!"),"",IF(OR(J5599=0,AND(J5599=1,K5599=1),AND(J5599=1,I5599="SBJ"),AND(J5599=1,I5599=0)),"?IN_FOCUS",IF(J5599&lt;=2,"?ACTIVATED",IF(J5599&lt;&gt;"","?FAMILIAR",IF(F5599="NEW",IF(ISNA(VLOOKUP(E5599,#REF!,1,FALSE())),"?TYPE_IDENTIFIABLE","?REFERENTIAL"),"_")))))</f>
        <v> </v>
      </c>
      <c r="H5599" s="24" t="str">
        <f>IF(J5599&lt;&gt;1,"",IF(I5599="SBJ","CB","?"))</f>
        <v> </v>
      </c>
      <c r="I5599" s="25" t="str">
        <f>IF(OR(E5599="",E5599="!!!",F5599="NEW"),"",INDEX(B5598:B$2,-1+SUMPRODUCT(MAX(ROW(E5598:E$2)*(E5599=E5598:E$2)))))</f>
        <v> </v>
      </c>
      <c r="J5599" s="25" t="str">
        <f>IF(OR(E5599="",E5599="!!!",F5599="NEW"),"",COUNTBLANK(OFFSET(A$1,,,SUMPRODUCT(MAX(ROW(E$2:E5599)*(E5599=E$2:E5599)))))-COUNTBLANK(OFFSET(A$1,,,SUMPRODUCT(MAX(ROW(E$1:E5598)*(E2=E$1:E5598))))))</f>
        <v> </v>
      </c>
      <c r="K5599" s="25" t="str">
        <f>IF(OR(E5599="",E5599="!!!",F5599="NEW"),"",INDEX(J$1:J5598,SUMPRODUCT(MAX(ROW(E$1:E5598)*(E5599=E$1:E5598)))))</f>
        <v> </v>
      </c>
      <c r="L5599" s="26"/>
    </row>
    <row r="5600" spans="1:12">
      <c r="A5600" s="20" t="s">
        <v>2029</v>
      </c>
      <c r="B5600" s="27" t="s">
        <v>967</v>
      </c>
      <c r="C5600" s="27" t="s">
        <v>1083</v>
      </c>
      <c r="D5600" s="27" t="s">
        <v>969</v>
      </c>
      <c r="E5600" s="21">
        <f>IF(D5600="?OLD","!!!","")</f>
        <v/>
      </c>
      <c r="F5600" s="22" t="str">
        <f>IF(OR(E5600="",E5600="!!!"),"",IF(NOT(ISNA(VLOOKUP(E5600,E$1:E5599,1,FALSE()))),"OLD",IF(AND(E5600&lt;&gt;"",E5600&lt;&gt;"!!!"),"NEW","")))</f>
        <v> </v>
      </c>
      <c r="G5600" s="23" t="str">
        <f>IF(OR(E5600="",E5600="!!!"),"",IF(OR(J5600=0,AND(J5600=1,K5600=1),AND(J5600=1,I5600="SBJ"),AND(J5600=1,I5600=0)),"?IN_FOCUS",IF(J5600&lt;=2,"?ACTIVATED",IF(J5600&lt;&gt;"","?FAMILIAR",IF(F5600="NEW",IF(ISNA(VLOOKUP(E5600,#REF!,1,FALSE())),"?TYPE_IDENTIFIABLE","?REFERENTIAL"),"_")))))</f>
        <v> </v>
      </c>
      <c r="H5600" s="24" t="str">
        <f>IF(J5600&lt;&gt;1,"",IF(I5600="SBJ","CB","?"))</f>
        <v> </v>
      </c>
      <c r="I5600" s="25" t="str">
        <f>IF(OR(E5600="",E5600="!!!",F5600="NEW"),"",INDEX(B5599:B$2,-1+SUMPRODUCT(MAX(ROW(E5599:E$2)*(E5600=E5599:E$2)))))</f>
        <v> </v>
      </c>
      <c r="J5600" s="25" t="str">
        <f>IF(OR(E5600="",E5600="!!!",F5600="NEW"),"",COUNTBLANK(OFFSET(A$1,,,SUMPRODUCT(MAX(ROW(E$2:E5600)*(E5600=E$2:E5600)))))-COUNTBLANK(OFFSET(A$1,,,SUMPRODUCT(MAX(ROW(E$1:E5599)*(E2=E$1:E5599))))))</f>
        <v> </v>
      </c>
      <c r="K5600" s="25" t="str">
        <f>IF(OR(E5600="",E5600="!!!",F5600="NEW"),"",INDEX(J$1:J5599,SUMPRODUCT(MAX(ROW(E$1:E5599)*(E5600=E$1:E5599)))))</f>
        <v> </v>
      </c>
      <c r="L5600" s="26"/>
    </row>
    <row r="5601" spans="1:12">
      <c r="A5601" s="20" t="s">
        <v>2030</v>
      </c>
      <c r="E5601" s="21">
        <f>IF(D5601="?OLD","!!!","")</f>
        <v/>
      </c>
      <c r="F5601" s="22" t="str">
        <f>IF(OR(E5601="",E5601="!!!"),"",IF(NOT(ISNA(VLOOKUP(E5601,E$1:E5600,1,FALSE()))),"OLD",IF(AND(E5601&lt;&gt;"",E5601&lt;&gt;"!!!"),"NEW","")))</f>
        <v> </v>
      </c>
      <c r="G5601" s="23" t="str">
        <f>IF(OR(E5601="",E5601="!!!"),"",IF(OR(J5601=0,AND(J5601=1,K5601=1),AND(J5601=1,I5601="SBJ"),AND(J5601=1,I5601=0)),"?IN_FOCUS",IF(J5601&lt;=2,"?ACTIVATED",IF(J5601&lt;&gt;"","?FAMILIAR",IF(F5601="NEW",IF(ISNA(VLOOKUP(E5601,#REF!,1,FALSE())),"?TYPE_IDENTIFIABLE","?REFERENTIAL"),"_")))))</f>
        <v> </v>
      </c>
      <c r="H5601" s="24" t="str">
        <f>IF(J5601&lt;&gt;1,"",IF(I5601="SBJ","CB","?"))</f>
        <v> </v>
      </c>
      <c r="I5601" s="25" t="str">
        <f>IF(OR(E5601="",E5601="!!!",F5601="NEW"),"",INDEX(B5600:B$2,-1+SUMPRODUCT(MAX(ROW(E5600:E$2)*(E5601=E5600:E$2)))))</f>
        <v> </v>
      </c>
      <c r="J5601" s="25" t="str">
        <f>IF(OR(E5601="",E5601="!!!",F5601="NEW"),"",COUNTBLANK(OFFSET(A$1,,,SUMPRODUCT(MAX(ROW(E$2:E5601)*(E5601=E$2:E5601)))))-COUNTBLANK(OFFSET(A$1,,,SUMPRODUCT(MAX(ROW(E$1:E5600)*(E2=E$1:E5600))))))</f>
        <v> </v>
      </c>
      <c r="K5601" s="25" t="str">
        <f>IF(OR(E5601="",E5601="!!!",F5601="NEW"),"",INDEX(J$1:J5600,SUMPRODUCT(MAX(ROW(E$1:E5600)*(E5601=E$1:E5600)))))</f>
        <v> </v>
      </c>
      <c r="L5601" s="26"/>
    </row>
    <row r="5602" spans="1:12">
      <c r="A5602" s="20" t="s">
        <v>999</v>
      </c>
      <c r="E5602" s="21">
        <f>IF(D5602="?OLD","!!!","")</f>
        <v/>
      </c>
      <c r="F5602" s="22" t="str">
        <f>IF(OR(E5602="",E5602="!!!"),"",IF(NOT(ISNA(VLOOKUP(E5602,E$1:E5601,1,FALSE()))),"OLD",IF(AND(E5602&lt;&gt;"",E5602&lt;&gt;"!!!"),"NEW","")))</f>
        <v> </v>
      </c>
      <c r="G5602" s="23" t="str">
        <f>IF(OR(E5602="",E5602="!!!"),"",IF(OR(J5602=0,AND(J5602=1,K5602=1),AND(J5602=1,I5602="SBJ"),AND(J5602=1,I5602=0)),"?IN_FOCUS",IF(J5602&lt;=2,"?ACTIVATED",IF(J5602&lt;&gt;"","?FAMILIAR",IF(F5602="NEW",IF(ISNA(VLOOKUP(E5602,#REF!,1,FALSE())),"?TYPE_IDENTIFIABLE","?REFERENTIAL"),"_")))))</f>
        <v> </v>
      </c>
      <c r="H5602" s="24" t="str">
        <f>IF(J5602&lt;&gt;1,"",IF(I5602="SBJ","CB","?"))</f>
        <v> </v>
      </c>
      <c r="I5602" s="25" t="str">
        <f>IF(OR(E5602="",E5602="!!!",F5602="NEW"),"",INDEX(B5601:B$2,-1+SUMPRODUCT(MAX(ROW(E5601:E$2)*(E5602=E5601:E$2)))))</f>
        <v> </v>
      </c>
      <c r="J5602" s="25" t="str">
        <f>IF(OR(E5602="",E5602="!!!",F5602="NEW"),"",COUNTBLANK(OFFSET(A$1,,,SUMPRODUCT(MAX(ROW(E$2:E5602)*(E5602=E$2:E5602)))))-COUNTBLANK(OFFSET(A$1,,,SUMPRODUCT(MAX(ROW(E$1:E5601)*(E2=E$1:E5601))))))</f>
        <v> </v>
      </c>
      <c r="K5602" s="25" t="str">
        <f>IF(OR(E5602="",E5602="!!!",F5602="NEW"),"",INDEX(J$1:J5601,SUMPRODUCT(MAX(ROW(E$1:E5601)*(E5602=E$1:E5601)))))</f>
        <v> </v>
      </c>
      <c r="L5602" s="26"/>
    </row>
    <row r="5603" spans="1:12">
      <c r="A5603" s="20" t="s">
        <v>1026</v>
      </c>
      <c r="B5603" s="27" t="s">
        <v>1053</v>
      </c>
      <c r="C5603" s="27" t="s">
        <v>968</v>
      </c>
      <c r="D5603" s="27" t="s">
        <v>969</v>
      </c>
      <c r="E5603" s="21">
        <f>IF(D5603="?OLD","!!!","")</f>
        <v/>
      </c>
      <c r="F5603" s="22" t="str">
        <f>IF(OR(E5603="",E5603="!!!"),"",IF(NOT(ISNA(VLOOKUP(E5603,E$1:E5602,1,FALSE()))),"OLD",IF(AND(E5603&lt;&gt;"",E5603&lt;&gt;"!!!"),"NEW","")))</f>
        <v> </v>
      </c>
      <c r="G5603" s="23" t="str">
        <f>IF(OR(E5603="",E5603="!!!"),"",IF(OR(J5603=0,AND(J5603=1,K5603=1),AND(J5603=1,I5603="SBJ"),AND(J5603=1,I5603=0)),"?IN_FOCUS",IF(J5603&lt;=2,"?ACTIVATED",IF(J5603&lt;&gt;"","?FAMILIAR",IF(F5603="NEW",IF(ISNA(VLOOKUP(E5603,#REF!,1,FALSE())),"?TYPE_IDENTIFIABLE","?REFERENTIAL"),"_")))))</f>
        <v> </v>
      </c>
      <c r="H5603" s="24" t="str">
        <f>IF(J5603&lt;&gt;1,"",IF(I5603="SBJ","CB","?"))</f>
        <v> </v>
      </c>
      <c r="I5603" s="25" t="str">
        <f>IF(OR(E5603="",E5603="!!!",F5603="NEW"),"",INDEX(B5602:B$2,-1+SUMPRODUCT(MAX(ROW(E5602:E$2)*(E5603=E5602:E$2)))))</f>
        <v> </v>
      </c>
      <c r="J5603" s="25" t="str">
        <f>IF(OR(E5603="",E5603="!!!",F5603="NEW"),"",COUNTBLANK(OFFSET(A$1,,,SUMPRODUCT(MAX(ROW(E$2:E5603)*(E5603=E$2:E5603)))))-COUNTBLANK(OFFSET(A$1,,,SUMPRODUCT(MAX(ROW(E$1:E5602)*(E2=E$1:E5602))))))</f>
        <v> </v>
      </c>
      <c r="K5603" s="25" t="str">
        <f>IF(OR(E5603="",E5603="!!!",F5603="NEW"),"",INDEX(J$1:J5602,SUMPRODUCT(MAX(ROW(E$1:E5602)*(E5603=E$1:E5602)))))</f>
        <v> </v>
      </c>
      <c r="L5603" s="26"/>
    </row>
    <row r="5604" spans="1:12">
      <c r="A5604" s="20" t="s">
        <v>1194</v>
      </c>
      <c r="E5604" s="21">
        <f>IF(D5604="?OLD","!!!","")</f>
        <v/>
      </c>
      <c r="F5604" s="22" t="str">
        <f>IF(OR(E5604="",E5604="!!!"),"",IF(NOT(ISNA(VLOOKUP(E5604,E$1:E5603,1,FALSE()))),"OLD",IF(AND(E5604&lt;&gt;"",E5604&lt;&gt;"!!!"),"NEW","")))</f>
        <v> </v>
      </c>
      <c r="G5604" s="23" t="str">
        <f>IF(OR(E5604="",E5604="!!!"),"",IF(OR(J5604=0,AND(J5604=1,K5604=1),AND(J5604=1,I5604="SBJ"),AND(J5604=1,I5604=0)),"?IN_FOCUS",IF(J5604&lt;=2,"?ACTIVATED",IF(J5604&lt;&gt;"","?FAMILIAR",IF(F5604="NEW",IF(ISNA(VLOOKUP(E5604,#REF!,1,FALSE())),"?TYPE_IDENTIFIABLE","?REFERENTIAL"),"_")))))</f>
        <v> </v>
      </c>
      <c r="H5604" s="24" t="str">
        <f>IF(J5604&lt;&gt;1,"",IF(I5604="SBJ","CB","?"))</f>
        <v> </v>
      </c>
      <c r="I5604" s="25" t="str">
        <f>IF(OR(E5604="",E5604="!!!",F5604="NEW"),"",INDEX(B5603:B$2,-1+SUMPRODUCT(MAX(ROW(E5603:E$2)*(E5604=E5603:E$2)))))</f>
        <v> </v>
      </c>
      <c r="J5604" s="25" t="str">
        <f>IF(OR(E5604="",E5604="!!!",F5604="NEW"),"",COUNTBLANK(OFFSET(A$1,,,SUMPRODUCT(MAX(ROW(E$2:E5604)*(E5604=E$2:E5604)))))-COUNTBLANK(OFFSET(A$1,,,SUMPRODUCT(MAX(ROW(E$1:E5603)*(E2=E$1:E5603))))))</f>
        <v> </v>
      </c>
      <c r="K5604" s="25" t="str">
        <f>IF(OR(E5604="",E5604="!!!",F5604="NEW"),"",INDEX(J$1:J5603,SUMPRODUCT(MAX(ROW(E$1:E5603)*(E5604=E$1:E5603)))))</f>
        <v> </v>
      </c>
      <c r="L5604" s="26"/>
    </row>
    <row r="5605" spans="1:12">
      <c r="A5605" s="20" t="s">
        <v>965</v>
      </c>
      <c r="E5605" s="21">
        <f>IF(D5605="?OLD","!!!","")</f>
        <v/>
      </c>
      <c r="F5605" s="22" t="str">
        <f>IF(OR(E5605="",E5605="!!!"),"",IF(NOT(ISNA(VLOOKUP(E5605,E$1:E5604,1,FALSE()))),"OLD",IF(AND(E5605&lt;&gt;"",E5605&lt;&gt;"!!!"),"NEW","")))</f>
        <v> </v>
      </c>
      <c r="G5605" s="23" t="str">
        <f>IF(OR(E5605="",E5605="!!!"),"",IF(OR(J5605=0,AND(J5605=1,K5605=1),AND(J5605=1,I5605="SBJ"),AND(J5605=1,I5605=0)),"?IN_FOCUS",IF(J5605&lt;=2,"?ACTIVATED",IF(J5605&lt;&gt;"","?FAMILIAR",IF(F5605="NEW",IF(ISNA(VLOOKUP(E5605,#REF!,1,FALSE())),"?TYPE_IDENTIFIABLE","?REFERENTIAL"),"_")))))</f>
        <v> </v>
      </c>
      <c r="H5605" s="24" t="str">
        <f>IF(J5605&lt;&gt;1,"",IF(I5605="SBJ","CB","?"))</f>
        <v> </v>
      </c>
      <c r="I5605" s="25" t="str">
        <f>IF(OR(E5605="",E5605="!!!",F5605="NEW"),"",INDEX(B5604:B$2,-1+SUMPRODUCT(MAX(ROW(E5604:E$2)*(E5605=E5604:E$2)))))</f>
        <v> </v>
      </c>
      <c r="J5605" s="25" t="str">
        <f>IF(OR(E5605="",E5605="!!!",F5605="NEW"),"",COUNTBLANK(OFFSET(A$1,,,SUMPRODUCT(MAX(ROW(E$2:E5605)*(E5605=E$2:E5605)))))-COUNTBLANK(OFFSET(A$1,,,SUMPRODUCT(MAX(ROW(E$1:E5604)*(E2=E$1:E5604))))))</f>
        <v> </v>
      </c>
      <c r="K5605" s="25" t="str">
        <f>IF(OR(E5605="",E5605="!!!",F5605="NEW"),"",INDEX(J$1:J5604,SUMPRODUCT(MAX(ROW(E$1:E5604)*(E5605=E$1:E5604)))))</f>
        <v> </v>
      </c>
      <c r="L5605" s="26"/>
    </row>
    <row r="5606" spans="1:12">
      <c r="A5606" s="20" t="s">
        <v>1182</v>
      </c>
      <c r="E5606" s="21">
        <f>IF(D5606="?OLD","!!!","")</f>
        <v/>
      </c>
      <c r="F5606" s="22" t="str">
        <f>IF(OR(E5606="",E5606="!!!"),"",IF(NOT(ISNA(VLOOKUP(E5606,E$1:E5605,1,FALSE()))),"OLD",IF(AND(E5606&lt;&gt;"",E5606&lt;&gt;"!!!"),"NEW","")))</f>
        <v> </v>
      </c>
      <c r="G5606" s="23" t="str">
        <f>IF(OR(E5606="",E5606="!!!"),"",IF(OR(J5606=0,AND(J5606=1,K5606=1),AND(J5606=1,I5606="SBJ"),AND(J5606=1,I5606=0)),"?IN_FOCUS",IF(J5606&lt;=2,"?ACTIVATED",IF(J5606&lt;&gt;"","?FAMILIAR",IF(F5606="NEW",IF(ISNA(VLOOKUP(E5606,#REF!,1,FALSE())),"?TYPE_IDENTIFIABLE","?REFERENTIAL"),"_")))))</f>
        <v> </v>
      </c>
      <c r="H5606" s="24" t="str">
        <f>IF(J5606&lt;&gt;1,"",IF(I5606="SBJ","CB","?"))</f>
        <v> </v>
      </c>
      <c r="I5606" s="25" t="str">
        <f>IF(OR(E5606="",E5606="!!!",F5606="NEW"),"",INDEX(B5605:B$2,-1+SUMPRODUCT(MAX(ROW(E5605:E$2)*(E5606=E5605:E$2)))))</f>
        <v> </v>
      </c>
      <c r="J5606" s="25" t="str">
        <f>IF(OR(E5606="",E5606="!!!",F5606="NEW"),"",COUNTBLANK(OFFSET(A$1,,,SUMPRODUCT(MAX(ROW(E$2:E5606)*(E5606=E$2:E5606)))))-COUNTBLANK(OFFSET(A$1,,,SUMPRODUCT(MAX(ROW(E$1:E5605)*(E2=E$1:E5605))))))</f>
        <v> </v>
      </c>
      <c r="K5606" s="25" t="str">
        <f>IF(OR(E5606="",E5606="!!!",F5606="NEW"),"",INDEX(J$1:J5605,SUMPRODUCT(MAX(ROW(E$1:E5605)*(E5606=E$1:E5605)))))</f>
        <v> </v>
      </c>
      <c r="L5606" s="26"/>
    </row>
    <row r="5607" spans="1:12">
      <c r="A5607" s="20" t="s">
        <v>993</v>
      </c>
      <c r="B5607" s="27" t="s">
        <v>994</v>
      </c>
      <c r="C5607" s="27" t="s">
        <v>968</v>
      </c>
      <c r="D5607" s="27" t="s">
        <v>969</v>
      </c>
      <c r="E5607" s="21">
        <f>IF(D5607="?OLD","!!!","")</f>
        <v/>
      </c>
      <c r="F5607" s="22" t="str">
        <f>IF(OR(E5607="",E5607="!!!"),"",IF(NOT(ISNA(VLOOKUP(E5607,E$1:E5606,1,FALSE()))),"OLD",IF(AND(E5607&lt;&gt;"",E5607&lt;&gt;"!!!"),"NEW","")))</f>
        <v> </v>
      </c>
      <c r="G5607" s="23" t="str">
        <f>IF(OR(E5607="",E5607="!!!"),"",IF(OR(J5607=0,AND(J5607=1,K5607=1),AND(J5607=1,I5607="SBJ"),AND(J5607=1,I5607=0)),"?IN_FOCUS",IF(J5607&lt;=2,"?ACTIVATED",IF(J5607&lt;&gt;"","?FAMILIAR",IF(F5607="NEW",IF(ISNA(VLOOKUP(E5607,#REF!,1,FALSE())),"?TYPE_IDENTIFIABLE","?REFERENTIAL"),"_")))))</f>
        <v> </v>
      </c>
      <c r="H5607" s="24" t="str">
        <f>IF(J5607&lt;&gt;1,"",IF(I5607="SBJ","CB","?"))</f>
        <v> </v>
      </c>
      <c r="I5607" s="25" t="str">
        <f>IF(OR(E5607="",E5607="!!!",F5607="NEW"),"",INDEX(B5606:B$2,-1+SUMPRODUCT(MAX(ROW(E5606:E$2)*(E5607=E5606:E$2)))))</f>
        <v> </v>
      </c>
      <c r="J5607" s="25" t="str">
        <f>IF(OR(E5607="",E5607="!!!",F5607="NEW"),"",COUNTBLANK(OFFSET(A$1,,,SUMPRODUCT(MAX(ROW(E$2:E5607)*(E5607=E$2:E5607)))))-COUNTBLANK(OFFSET(A$1,,,SUMPRODUCT(MAX(ROW(E$1:E5606)*(E2=E$1:E5606))))))</f>
        <v> </v>
      </c>
      <c r="K5607" s="25" t="str">
        <f>IF(OR(E5607="",E5607="!!!",F5607="NEW"),"",INDEX(J$1:J5606,SUMPRODUCT(MAX(ROW(E$1:E5606)*(E5607=E$1:E5606)))))</f>
        <v> </v>
      </c>
      <c r="L5607" s="26"/>
    </row>
    <row r="5608" spans="1:12">
      <c r="A5608" s="20" t="s">
        <v>1086</v>
      </c>
      <c r="B5608" s="27" t="s">
        <v>1031</v>
      </c>
      <c r="C5608" s="27" t="s">
        <v>968</v>
      </c>
      <c r="D5608" s="27" t="s">
        <v>969</v>
      </c>
      <c r="E5608" s="21">
        <f>IF(D5608="?OLD","!!!","")</f>
        <v/>
      </c>
      <c r="F5608" s="22" t="str">
        <f>IF(OR(E5608="",E5608="!!!"),"",IF(NOT(ISNA(VLOOKUP(E5608,E$1:E5607,1,FALSE()))),"OLD",IF(AND(E5608&lt;&gt;"",E5608&lt;&gt;"!!!"),"NEW","")))</f>
        <v> </v>
      </c>
      <c r="G5608" s="23" t="str">
        <f>IF(OR(E5608="",E5608="!!!"),"",IF(OR(J5608=0,AND(J5608=1,K5608=1),AND(J5608=1,I5608="SBJ"),AND(J5608=1,I5608=0)),"?IN_FOCUS",IF(J5608&lt;=2,"?ACTIVATED",IF(J5608&lt;&gt;"","?FAMILIAR",IF(F5608="NEW",IF(ISNA(VLOOKUP(E5608,#REF!,1,FALSE())),"?TYPE_IDENTIFIABLE","?REFERENTIAL"),"_")))))</f>
        <v> </v>
      </c>
      <c r="H5608" s="24" t="str">
        <f>IF(J5608&lt;&gt;1,"",IF(I5608="SBJ","CB","?"))</f>
        <v> </v>
      </c>
      <c r="I5608" s="25" t="str">
        <f>IF(OR(E5608="",E5608="!!!",F5608="NEW"),"",INDEX(B5607:B$2,-1+SUMPRODUCT(MAX(ROW(E5607:E$2)*(E5608=E5607:E$2)))))</f>
        <v> </v>
      </c>
      <c r="J5608" s="25" t="str">
        <f>IF(OR(E5608="",E5608="!!!",F5608="NEW"),"",COUNTBLANK(OFFSET(A$1,,,SUMPRODUCT(MAX(ROW(E$2:E5608)*(E5608=E$2:E5608)))))-COUNTBLANK(OFFSET(A$1,,,SUMPRODUCT(MAX(ROW(E$1:E5607)*(E2=E$1:E5607))))))</f>
        <v> </v>
      </c>
      <c r="K5608" s="25" t="str">
        <f>IF(OR(E5608="",E5608="!!!",F5608="NEW"),"",INDEX(J$1:J5607,SUMPRODUCT(MAX(ROW(E$1:E5607)*(E5608=E$1:E5607)))))</f>
        <v> </v>
      </c>
      <c r="L5608" s="26"/>
    </row>
    <row r="5609" spans="1:12">
      <c r="A5609" s="20" t="s">
        <v>2493</v>
      </c>
      <c r="E5609" s="21">
        <f>IF(D5609="?OLD","!!!","")</f>
        <v/>
      </c>
      <c r="F5609" s="22" t="str">
        <f>IF(OR(E5609="",E5609="!!!"),"",IF(NOT(ISNA(VLOOKUP(E5609,E$1:E5608,1,FALSE()))),"OLD",IF(AND(E5609&lt;&gt;"",E5609&lt;&gt;"!!!"),"NEW","")))</f>
        <v> </v>
      </c>
      <c r="G5609" s="23" t="str">
        <f>IF(OR(E5609="",E5609="!!!"),"",IF(OR(J5609=0,AND(J5609=1,K5609=1),AND(J5609=1,I5609="SBJ"),AND(J5609=1,I5609=0)),"?IN_FOCUS",IF(J5609&lt;=2,"?ACTIVATED",IF(J5609&lt;&gt;"","?FAMILIAR",IF(F5609="NEW",IF(ISNA(VLOOKUP(E5609,#REF!,1,FALSE())),"?TYPE_IDENTIFIABLE","?REFERENTIAL"),"_")))))</f>
        <v> </v>
      </c>
      <c r="H5609" s="24" t="str">
        <f>IF(J5609&lt;&gt;1,"",IF(I5609="SBJ","CB","?"))</f>
        <v> </v>
      </c>
      <c r="I5609" s="25" t="str">
        <f>IF(OR(E5609="",E5609="!!!",F5609="NEW"),"",INDEX(B5608:B$2,-1+SUMPRODUCT(MAX(ROW(E5608:E$2)*(E5609=E5608:E$2)))))</f>
        <v> </v>
      </c>
      <c r="J5609" s="25" t="str">
        <f>IF(OR(E5609="",E5609="!!!",F5609="NEW"),"",COUNTBLANK(OFFSET(A$1,,,SUMPRODUCT(MAX(ROW(E$2:E5609)*(E5609=E$2:E5609)))))-COUNTBLANK(OFFSET(A$1,,,SUMPRODUCT(MAX(ROW(E$1:E5608)*(E2=E$1:E5608))))))</f>
        <v> </v>
      </c>
      <c r="K5609" s="25" t="str">
        <f>IF(OR(E5609="",E5609="!!!",F5609="NEW"),"",INDEX(J$1:J5608,SUMPRODUCT(MAX(ROW(E$1:E5608)*(E5609=E$1:E5608)))))</f>
        <v> </v>
      </c>
      <c r="L5609" s="26"/>
    </row>
    <row r="5610" spans="1:12">
      <c r="A5610" s="20" t="s">
        <v>2053</v>
      </c>
      <c r="E5610" s="21">
        <f>IF(D5610="?OLD","!!!","")</f>
        <v/>
      </c>
      <c r="F5610" s="22" t="str">
        <f>IF(OR(E5610="",E5610="!!!"),"",IF(NOT(ISNA(VLOOKUP(E5610,E$1:E5609,1,FALSE()))),"OLD",IF(AND(E5610&lt;&gt;"",E5610&lt;&gt;"!!!"),"NEW","")))</f>
        <v> </v>
      </c>
      <c r="G5610" s="23" t="str">
        <f>IF(OR(E5610="",E5610="!!!"),"",IF(OR(J5610=0,AND(J5610=1,K5610=1),AND(J5610=1,I5610="SBJ"),AND(J5610=1,I5610=0)),"?IN_FOCUS",IF(J5610&lt;=2,"?ACTIVATED",IF(J5610&lt;&gt;"","?FAMILIAR",IF(F5610="NEW",IF(ISNA(VLOOKUP(E5610,#REF!,1,FALSE())),"?TYPE_IDENTIFIABLE","?REFERENTIAL"),"_")))))</f>
        <v> </v>
      </c>
      <c r="H5610" s="24" t="str">
        <f>IF(J5610&lt;&gt;1,"",IF(I5610="SBJ","CB","?"))</f>
        <v> </v>
      </c>
      <c r="I5610" s="25" t="str">
        <f>IF(OR(E5610="",E5610="!!!",F5610="NEW"),"",INDEX(B5609:B$2,-1+SUMPRODUCT(MAX(ROW(E5609:E$2)*(E5610=E5609:E$2)))))</f>
        <v> </v>
      </c>
      <c r="J5610" s="25" t="str">
        <f>IF(OR(E5610="",E5610="!!!",F5610="NEW"),"",COUNTBLANK(OFFSET(A$1,,,SUMPRODUCT(MAX(ROW(E$2:E5610)*(E5610=E$2:E5610)))))-COUNTBLANK(OFFSET(A$1,,,SUMPRODUCT(MAX(ROW(E$1:E5609)*(E2=E$1:E5609))))))</f>
        <v> </v>
      </c>
      <c r="K5610" s="25" t="str">
        <f>IF(OR(E5610="",E5610="!!!",F5610="NEW"),"",INDEX(J$1:J5609,SUMPRODUCT(MAX(ROW(E$1:E5609)*(E5610=E$1:E5609)))))</f>
        <v> </v>
      </c>
      <c r="L5610" s="26"/>
    </row>
    <row r="5611" spans="1:12">
      <c r="A5611" s="20" t="s">
        <v>1417</v>
      </c>
      <c r="E5611" s="21">
        <f>IF(D5611="?OLD","!!!","")</f>
        <v/>
      </c>
      <c r="F5611" s="22" t="str">
        <f>IF(OR(E5611="",E5611="!!!"),"",IF(NOT(ISNA(VLOOKUP(E5611,E$1:E5610,1,FALSE()))),"OLD",IF(AND(E5611&lt;&gt;"",E5611&lt;&gt;"!!!"),"NEW","")))</f>
        <v> </v>
      </c>
      <c r="G5611" s="23" t="str">
        <f>IF(OR(E5611="",E5611="!!!"),"",IF(OR(J5611=0,AND(J5611=1,K5611=1),AND(J5611=1,I5611="SBJ"),AND(J5611=1,I5611=0)),"?IN_FOCUS",IF(J5611&lt;=2,"?ACTIVATED",IF(J5611&lt;&gt;"","?FAMILIAR",IF(F5611="NEW",IF(ISNA(VLOOKUP(E5611,#REF!,1,FALSE())),"?TYPE_IDENTIFIABLE","?REFERENTIAL"),"_")))))</f>
        <v> </v>
      </c>
      <c r="H5611" s="24" t="str">
        <f>IF(J5611&lt;&gt;1,"",IF(I5611="SBJ","CB","?"))</f>
        <v> </v>
      </c>
      <c r="I5611" s="25" t="str">
        <f>IF(OR(E5611="",E5611="!!!",F5611="NEW"),"",INDEX(B5610:B$2,-1+SUMPRODUCT(MAX(ROW(E5610:E$2)*(E5611=E5610:E$2)))))</f>
        <v> </v>
      </c>
      <c r="J5611" s="25" t="str">
        <f>IF(OR(E5611="",E5611="!!!",F5611="NEW"),"",COUNTBLANK(OFFSET(A$1,,,SUMPRODUCT(MAX(ROW(E$2:E5611)*(E5611=E$2:E5611)))))-COUNTBLANK(OFFSET(A$1,,,SUMPRODUCT(MAX(ROW(E$1:E5610)*(E2=E$1:E5610))))))</f>
        <v> </v>
      </c>
      <c r="K5611" s="25" t="str">
        <f>IF(OR(E5611="",E5611="!!!",F5611="NEW"),"",INDEX(J$1:J5610,SUMPRODUCT(MAX(ROW(E$1:E5610)*(E5611=E$1:E5610)))))</f>
        <v> </v>
      </c>
      <c r="L5611" s="26"/>
    </row>
    <row r="5612" spans="1:12">
      <c r="A5612" s="20" t="s">
        <v>991</v>
      </c>
      <c r="E5612" s="21">
        <f>IF(D5612="?OLD","!!!","")</f>
        <v/>
      </c>
      <c r="F5612" s="22" t="str">
        <f>IF(OR(E5612="",E5612="!!!"),"",IF(NOT(ISNA(VLOOKUP(E5612,E$1:E5611,1,FALSE()))),"OLD",IF(AND(E5612&lt;&gt;"",E5612&lt;&gt;"!!!"),"NEW","")))</f>
        <v> </v>
      </c>
      <c r="G5612" s="23" t="str">
        <f>IF(OR(E5612="",E5612="!!!"),"",IF(OR(J5612=0,AND(J5612=1,K5612=1),AND(J5612=1,I5612="SBJ"),AND(J5612=1,I5612=0)),"?IN_FOCUS",IF(J5612&lt;=2,"?ACTIVATED",IF(J5612&lt;&gt;"","?FAMILIAR",IF(F5612="NEW",IF(ISNA(VLOOKUP(E5612,#REF!,1,FALSE())),"?TYPE_IDENTIFIABLE","?REFERENTIAL"),"_")))))</f>
        <v> </v>
      </c>
      <c r="H5612" s="24" t="str">
        <f>IF(J5612&lt;&gt;1,"",IF(I5612="SBJ","CB","?"))</f>
        <v> </v>
      </c>
      <c r="I5612" s="25" t="str">
        <f>IF(OR(E5612="",E5612="!!!",F5612="NEW"),"",INDEX(B5611:B$2,-1+SUMPRODUCT(MAX(ROW(E5611:E$2)*(E5612=E5611:E$2)))))</f>
        <v> </v>
      </c>
      <c r="J5612" s="25" t="str">
        <f>IF(OR(E5612="",E5612="!!!",F5612="NEW"),"",COUNTBLANK(OFFSET(A$1,,,SUMPRODUCT(MAX(ROW(E$2:E5612)*(E5612=E$2:E5612)))))-COUNTBLANK(OFFSET(A$1,,,SUMPRODUCT(MAX(ROW(E$1:E5611)*(E2=E$1:E5611))))))</f>
        <v> </v>
      </c>
      <c r="K5612" s="25" t="str">
        <f>IF(OR(E5612="",E5612="!!!",F5612="NEW"),"",INDEX(J$1:J5611,SUMPRODUCT(MAX(ROW(E$1:E5611)*(E5612=E$1:E5611)))))</f>
        <v> </v>
      </c>
      <c r="L5612" s="26"/>
    </row>
    <row r="5613" spans="1:12">
      <c r="A5613" s="20" t="s">
        <v>1113</v>
      </c>
      <c r="E5613" s="21">
        <f>IF(D5613="?OLD","!!!","")</f>
        <v/>
      </c>
      <c r="F5613" s="22" t="str">
        <f>IF(OR(E5613="",E5613="!!!"),"",IF(NOT(ISNA(VLOOKUP(E5613,E$1:E5612,1,FALSE()))),"OLD",IF(AND(E5613&lt;&gt;"",E5613&lt;&gt;"!!!"),"NEW","")))</f>
        <v> </v>
      </c>
      <c r="G5613" s="23" t="str">
        <f>IF(OR(E5613="",E5613="!!!"),"",IF(OR(J5613=0,AND(J5613=1,K5613=1),AND(J5613=1,I5613="SBJ"),AND(J5613=1,I5613=0)),"?IN_FOCUS",IF(J5613&lt;=2,"?ACTIVATED",IF(J5613&lt;&gt;"","?FAMILIAR",IF(F5613="NEW",IF(ISNA(VLOOKUP(E5613,#REF!,1,FALSE())),"?TYPE_IDENTIFIABLE","?REFERENTIAL"),"_")))))</f>
        <v> </v>
      </c>
      <c r="H5613" s="24" t="str">
        <f>IF(J5613&lt;&gt;1,"",IF(I5613="SBJ","CB","?"))</f>
        <v> </v>
      </c>
      <c r="I5613" s="25" t="str">
        <f>IF(OR(E5613="",E5613="!!!",F5613="NEW"),"",INDEX(B5612:B$2,-1+SUMPRODUCT(MAX(ROW(E5612:E$2)*(E5613=E5612:E$2)))))</f>
        <v> </v>
      </c>
      <c r="J5613" s="25" t="str">
        <f>IF(OR(E5613="",E5613="!!!",F5613="NEW"),"",COUNTBLANK(OFFSET(A$1,,,SUMPRODUCT(MAX(ROW(E$2:E5613)*(E5613=E$2:E5613)))))-COUNTBLANK(OFFSET(A$1,,,SUMPRODUCT(MAX(ROW(E$1:E5612)*(E2=E$1:E5612))))))</f>
        <v> </v>
      </c>
      <c r="K5613" s="25" t="str">
        <f>IF(OR(E5613="",E5613="!!!",F5613="NEW"),"",INDEX(J$1:J5612,SUMPRODUCT(MAX(ROW(E$1:E5612)*(E5613=E$1:E5612)))))</f>
        <v> </v>
      </c>
      <c r="L5613" s="26"/>
    </row>
    <row r="5614" spans="1:12">
      <c r="A5614" s="20" t="s">
        <v>993</v>
      </c>
      <c r="B5614" s="27" t="s">
        <v>1010</v>
      </c>
      <c r="C5614" s="27" t="s">
        <v>968</v>
      </c>
      <c r="D5614" s="27" t="s">
        <v>969</v>
      </c>
      <c r="E5614" s="21">
        <f>IF(D5614="?OLD","!!!","")</f>
        <v/>
      </c>
      <c r="F5614" s="22" t="str">
        <f>IF(OR(E5614="",E5614="!!!"),"",IF(NOT(ISNA(VLOOKUP(E5614,E$1:E5613,1,FALSE()))),"OLD",IF(AND(E5614&lt;&gt;"",E5614&lt;&gt;"!!!"),"NEW","")))</f>
        <v> </v>
      </c>
      <c r="G5614" s="23" t="str">
        <f>IF(OR(E5614="",E5614="!!!"),"",IF(OR(J5614=0,AND(J5614=1,K5614=1),AND(J5614=1,I5614="SBJ"),AND(J5614=1,I5614=0)),"?IN_FOCUS",IF(J5614&lt;=2,"?ACTIVATED",IF(J5614&lt;&gt;"","?FAMILIAR",IF(F5614="NEW",IF(ISNA(VLOOKUP(E5614,#REF!,1,FALSE())),"?TYPE_IDENTIFIABLE","?REFERENTIAL"),"_")))))</f>
        <v> </v>
      </c>
      <c r="H5614" s="24" t="str">
        <f>IF(J5614&lt;&gt;1,"",IF(I5614="SBJ","CB","?"))</f>
        <v> </v>
      </c>
      <c r="I5614" s="25" t="str">
        <f>IF(OR(E5614="",E5614="!!!",F5614="NEW"),"",INDEX(B5613:B$2,-1+SUMPRODUCT(MAX(ROW(E5613:E$2)*(E5614=E5613:E$2)))))</f>
        <v> </v>
      </c>
      <c r="J5614" s="25" t="str">
        <f>IF(OR(E5614="",E5614="!!!",F5614="NEW"),"",COUNTBLANK(OFFSET(A$1,,,SUMPRODUCT(MAX(ROW(E$2:E5614)*(E5614=E$2:E5614)))))-COUNTBLANK(OFFSET(A$1,,,SUMPRODUCT(MAX(ROW(E$1:E5613)*(E2=E$1:E5613))))))</f>
        <v> </v>
      </c>
      <c r="K5614" s="25" t="str">
        <f>IF(OR(E5614="",E5614="!!!",F5614="NEW"),"",INDEX(J$1:J5613,SUMPRODUCT(MAX(ROW(E$1:E5613)*(E5614=E$1:E5613)))))</f>
        <v> </v>
      </c>
      <c r="L5614" s="26"/>
    </row>
    <row r="5615" spans="1:12">
      <c r="A5615" s="20" t="s">
        <v>1086</v>
      </c>
      <c r="B5615" s="27" t="s">
        <v>1013</v>
      </c>
      <c r="C5615" s="27" t="s">
        <v>968</v>
      </c>
      <c r="D5615" s="27" t="s">
        <v>969</v>
      </c>
      <c r="E5615" s="21">
        <f>IF(D5615="?OLD","!!!","")</f>
        <v/>
      </c>
      <c r="F5615" s="22" t="str">
        <f>IF(OR(E5615="",E5615="!!!"),"",IF(NOT(ISNA(VLOOKUP(E5615,E$1:E5614,1,FALSE()))),"OLD",IF(AND(E5615&lt;&gt;"",E5615&lt;&gt;"!!!"),"NEW","")))</f>
        <v> </v>
      </c>
      <c r="G5615" s="23" t="str">
        <f>IF(OR(E5615="",E5615="!!!"),"",IF(OR(J5615=0,AND(J5615=1,K5615=1),AND(J5615=1,I5615="SBJ"),AND(J5615=1,I5615=0)),"?IN_FOCUS",IF(J5615&lt;=2,"?ACTIVATED",IF(J5615&lt;&gt;"","?FAMILIAR",IF(F5615="NEW",IF(ISNA(VLOOKUP(E5615,#REF!,1,FALSE())),"?TYPE_IDENTIFIABLE","?REFERENTIAL"),"_")))))</f>
        <v> </v>
      </c>
      <c r="H5615" s="24" t="str">
        <f>IF(J5615&lt;&gt;1,"",IF(I5615="SBJ","CB","?"))</f>
        <v> </v>
      </c>
      <c r="I5615" s="25" t="str">
        <f>IF(OR(E5615="",E5615="!!!",F5615="NEW"),"",INDEX(B5614:B$2,-1+SUMPRODUCT(MAX(ROW(E5614:E$2)*(E5615=E5614:E$2)))))</f>
        <v> </v>
      </c>
      <c r="J5615" s="25" t="str">
        <f>IF(OR(E5615="",E5615="!!!",F5615="NEW"),"",COUNTBLANK(OFFSET(A$1,,,SUMPRODUCT(MAX(ROW(E$2:E5615)*(E5615=E$2:E5615)))))-COUNTBLANK(OFFSET(A$1,,,SUMPRODUCT(MAX(ROW(E$1:E5614)*(E2=E$1:E5614))))))</f>
        <v> </v>
      </c>
      <c r="K5615" s="25" t="str">
        <f>IF(OR(E5615="",E5615="!!!",F5615="NEW"),"",INDEX(J$1:J5614,SUMPRODUCT(MAX(ROW(E$1:E5614)*(E5615=E$1:E5614)))))</f>
        <v> </v>
      </c>
      <c r="L5615" s="26"/>
    </row>
    <row r="5616" spans="1:12">
      <c r="A5616" s="20" t="s">
        <v>614</v>
      </c>
      <c r="E5616" s="21">
        <f>IF(D5616="?OLD","!!!","")</f>
        <v/>
      </c>
      <c r="F5616" s="22" t="str">
        <f>IF(OR(E5616="",E5616="!!!"),"",IF(NOT(ISNA(VLOOKUP(E5616,E$1:E5615,1,FALSE()))),"OLD",IF(AND(E5616&lt;&gt;"",E5616&lt;&gt;"!!!"),"NEW","")))</f>
        <v> </v>
      </c>
      <c r="G5616" s="23" t="str">
        <f>IF(OR(E5616="",E5616="!!!"),"",IF(OR(J5616=0,AND(J5616=1,K5616=1),AND(J5616=1,I5616="SBJ"),AND(J5616=1,I5616=0)),"?IN_FOCUS",IF(J5616&lt;=2,"?ACTIVATED",IF(J5616&lt;&gt;"","?FAMILIAR",IF(F5616="NEW",IF(ISNA(VLOOKUP(E5616,#REF!,1,FALSE())),"?TYPE_IDENTIFIABLE","?REFERENTIAL"),"_")))))</f>
        <v> </v>
      </c>
      <c r="H5616" s="24" t="str">
        <f>IF(J5616&lt;&gt;1,"",IF(I5616="SBJ","CB","?"))</f>
        <v> </v>
      </c>
      <c r="I5616" s="25" t="str">
        <f>IF(OR(E5616="",E5616="!!!",F5616="NEW"),"",INDEX(B5615:B$2,-1+SUMPRODUCT(MAX(ROW(E5615:E$2)*(E5616=E5615:E$2)))))</f>
        <v> </v>
      </c>
      <c r="J5616" s="25" t="str">
        <f>IF(OR(E5616="",E5616="!!!",F5616="NEW"),"",COUNTBLANK(OFFSET(A$1,,,SUMPRODUCT(MAX(ROW(E$2:E5616)*(E5616=E$2:E5616)))))-COUNTBLANK(OFFSET(A$1,,,SUMPRODUCT(MAX(ROW(E$1:E5615)*(E2=E$1:E5615))))))</f>
        <v> </v>
      </c>
      <c r="K5616" s="25" t="str">
        <f>IF(OR(E5616="",E5616="!!!",F5616="NEW"),"",INDEX(J$1:J5615,SUMPRODUCT(MAX(ROW(E$1:E5615)*(E5616=E$1:E5615)))))</f>
        <v> </v>
      </c>
      <c r="L5616" s="26"/>
    </row>
    <row r="5617" spans="1:12">
      <c r="A5617" s="20" t="s">
        <v>1021</v>
      </c>
      <c r="E5617" s="21">
        <f>IF(D5617="?OLD","!!!","")</f>
        <v/>
      </c>
      <c r="F5617" s="22" t="str">
        <f>IF(OR(E5617="",E5617="!!!"),"",IF(NOT(ISNA(VLOOKUP(E5617,E$1:E5616,1,FALSE()))),"OLD",IF(AND(E5617&lt;&gt;"",E5617&lt;&gt;"!!!"),"NEW","")))</f>
        <v> </v>
      </c>
      <c r="G5617" s="23" t="str">
        <f>IF(OR(E5617="",E5617="!!!"),"",IF(OR(J5617=0,AND(J5617=1,K5617=1),AND(J5617=1,I5617="SBJ"),AND(J5617=1,I5617=0)),"?IN_FOCUS",IF(J5617&lt;=2,"?ACTIVATED",IF(J5617&lt;&gt;"","?FAMILIAR",IF(F5617="NEW",IF(ISNA(VLOOKUP(E5617,#REF!,1,FALSE())),"?TYPE_IDENTIFIABLE","?REFERENTIAL"),"_")))))</f>
        <v> </v>
      </c>
      <c r="H5617" s="24" t="str">
        <f>IF(J5617&lt;&gt;1,"",IF(I5617="SBJ","CB","?"))</f>
        <v> </v>
      </c>
      <c r="I5617" s="25" t="str">
        <f>IF(OR(E5617="",E5617="!!!",F5617="NEW"),"",INDEX(B5616:B$2,-1+SUMPRODUCT(MAX(ROW(E5616:E$2)*(E5617=E5616:E$2)))))</f>
        <v> </v>
      </c>
      <c r="J5617" s="25" t="str">
        <f>IF(OR(E5617="",E5617="!!!",F5617="NEW"),"",COUNTBLANK(OFFSET(A$1,,,SUMPRODUCT(MAX(ROW(E$2:E5617)*(E5617=E$2:E5617)))))-COUNTBLANK(OFFSET(A$1,,,SUMPRODUCT(MAX(ROW(E$1:E5616)*(E2=E$1:E5616))))))</f>
        <v> </v>
      </c>
      <c r="K5617" s="25" t="str">
        <f>IF(OR(E5617="",E5617="!!!",F5617="NEW"),"",INDEX(J$1:J5616,SUMPRODUCT(MAX(ROW(E$1:E5616)*(E5617=E$1:E5616)))))</f>
        <v> </v>
      </c>
      <c r="L5617" s="26"/>
    </row>
    <row r="5618" spans="1:12">
      <c r="A5618" s="20" t="s">
        <v>1445</v>
      </c>
      <c r="E5618" s="21">
        <f>IF(D5618="?OLD","!!!","")</f>
        <v/>
      </c>
      <c r="F5618" s="22" t="str">
        <f>IF(OR(E5618="",E5618="!!!"),"",IF(NOT(ISNA(VLOOKUP(E5618,E$1:E5617,1,FALSE()))),"OLD",IF(AND(E5618&lt;&gt;"",E5618&lt;&gt;"!!!"),"NEW","")))</f>
        <v> </v>
      </c>
      <c r="G5618" s="23" t="str">
        <f>IF(OR(E5618="",E5618="!!!"),"",IF(OR(J5618=0,AND(J5618=1,K5618=1),AND(J5618=1,I5618="SBJ"),AND(J5618=1,I5618=0)),"?IN_FOCUS",IF(J5618&lt;=2,"?ACTIVATED",IF(J5618&lt;&gt;"","?FAMILIAR",IF(F5618="NEW",IF(ISNA(VLOOKUP(E5618,#REF!,1,FALSE())),"?TYPE_IDENTIFIABLE","?REFERENTIAL"),"_")))))</f>
        <v> </v>
      </c>
      <c r="H5618" s="24" t="str">
        <f>IF(J5618&lt;&gt;1,"",IF(I5618="SBJ","CB","?"))</f>
        <v> </v>
      </c>
      <c r="I5618" s="25" t="str">
        <f>IF(OR(E5618="",E5618="!!!",F5618="NEW"),"",INDEX(B5617:B$2,-1+SUMPRODUCT(MAX(ROW(E5617:E$2)*(E5618=E5617:E$2)))))</f>
        <v> </v>
      </c>
      <c r="J5618" s="25" t="str">
        <f>IF(OR(E5618="",E5618="!!!",F5618="NEW"),"",COUNTBLANK(OFFSET(A$1,,,SUMPRODUCT(MAX(ROW(E$2:E5618)*(E5618=E$2:E5618)))))-COUNTBLANK(OFFSET(A$1,,,SUMPRODUCT(MAX(ROW(E$1:E5617)*(E2=E$1:E5617))))))</f>
        <v> </v>
      </c>
      <c r="K5618" s="25" t="str">
        <f>IF(OR(E5618="",E5618="!!!",F5618="NEW"),"",INDEX(J$1:J5617,SUMPRODUCT(MAX(ROW(E$1:E5617)*(E5618=E$1:E5617)))))</f>
        <v> </v>
      </c>
      <c r="L5618" s="26"/>
    </row>
    <row r="5619" spans="1:12">
      <c r="A5619" s="20" t="s">
        <v>58</v>
      </c>
      <c r="E5619" s="21">
        <f>IF(D5619="?OLD","!!!","")</f>
        <v/>
      </c>
      <c r="F5619" s="22" t="str">
        <f>IF(OR(E5619="",E5619="!!!"),"",IF(NOT(ISNA(VLOOKUP(E5619,E$1:E5618,1,FALSE()))),"OLD",IF(AND(E5619&lt;&gt;"",E5619&lt;&gt;"!!!"),"NEW","")))</f>
        <v> </v>
      </c>
      <c r="G5619" s="23" t="str">
        <f>IF(OR(E5619="",E5619="!!!"),"",IF(OR(J5619=0,AND(J5619=1,K5619=1),AND(J5619=1,I5619="SBJ"),AND(J5619=1,I5619=0)),"?IN_FOCUS",IF(J5619&lt;=2,"?ACTIVATED",IF(J5619&lt;&gt;"","?FAMILIAR",IF(F5619="NEW",IF(ISNA(VLOOKUP(E5619,#REF!,1,FALSE())),"?TYPE_IDENTIFIABLE","?REFERENTIAL"),"_")))))</f>
        <v> </v>
      </c>
      <c r="H5619" s="24" t="str">
        <f>IF(J5619&lt;&gt;1,"",IF(I5619="SBJ","CB","?"))</f>
        <v> </v>
      </c>
      <c r="I5619" s="25" t="str">
        <f>IF(OR(E5619="",E5619="!!!",F5619="NEW"),"",INDEX(B5618:B$2,-1+SUMPRODUCT(MAX(ROW(E5618:E$2)*(E5619=E5618:E$2)))))</f>
        <v> </v>
      </c>
      <c r="J5619" s="25" t="str">
        <f>IF(OR(E5619="",E5619="!!!",F5619="NEW"),"",COUNTBLANK(OFFSET(A$1,,,SUMPRODUCT(MAX(ROW(E$2:E5619)*(E5619=E$2:E5619)))))-COUNTBLANK(OFFSET(A$1,,,SUMPRODUCT(MAX(ROW(E$1:E5618)*(E2=E$1:E5618))))))</f>
        <v> </v>
      </c>
      <c r="K5619" s="25" t="str">
        <f>IF(OR(E5619="",E5619="!!!",F5619="NEW"),"",INDEX(J$1:J5618,SUMPRODUCT(MAX(ROW(E$1:E5618)*(E5619=E$1:E5618)))))</f>
        <v> </v>
      </c>
      <c r="L5619" s="26"/>
    </row>
    <row r="5620" spans="1:12">
      <c r="A5620" s="20" t="s">
        <v>991</v>
      </c>
      <c r="E5620" s="21">
        <f>IF(D5620="?OLD","!!!","")</f>
        <v/>
      </c>
      <c r="F5620" s="22" t="str">
        <f>IF(OR(E5620="",E5620="!!!"),"",IF(NOT(ISNA(VLOOKUP(E5620,E$1:E5619,1,FALSE()))),"OLD",IF(AND(E5620&lt;&gt;"",E5620&lt;&gt;"!!!"),"NEW","")))</f>
        <v> </v>
      </c>
      <c r="G5620" s="23" t="str">
        <f>IF(OR(E5620="",E5620="!!!"),"",IF(OR(J5620=0,AND(J5620=1,K5620=1),AND(J5620=1,I5620="SBJ"),AND(J5620=1,I5620=0)),"?IN_FOCUS",IF(J5620&lt;=2,"?ACTIVATED",IF(J5620&lt;&gt;"","?FAMILIAR",IF(F5620="NEW",IF(ISNA(VLOOKUP(E5620,#REF!,1,FALSE())),"?TYPE_IDENTIFIABLE","?REFERENTIAL"),"_")))))</f>
        <v> </v>
      </c>
      <c r="H5620" s="24" t="str">
        <f>IF(J5620&lt;&gt;1,"",IF(I5620="SBJ","CB","?"))</f>
        <v> </v>
      </c>
      <c r="I5620" s="25" t="str">
        <f>IF(OR(E5620="",E5620="!!!",F5620="NEW"),"",INDEX(B5619:B$2,-1+SUMPRODUCT(MAX(ROW(E5619:E$2)*(E5620=E5619:E$2)))))</f>
        <v> </v>
      </c>
      <c r="J5620" s="25" t="str">
        <f>IF(OR(E5620="",E5620="!!!",F5620="NEW"),"",COUNTBLANK(OFFSET(A$1,,,SUMPRODUCT(MAX(ROW(E$2:E5620)*(E5620=E$2:E5620)))))-COUNTBLANK(OFFSET(A$1,,,SUMPRODUCT(MAX(ROW(E$1:E5619)*(E2=E$1:E5619))))))</f>
        <v> </v>
      </c>
      <c r="K5620" s="25" t="str">
        <f>IF(OR(E5620="",E5620="!!!",F5620="NEW"),"",INDEX(J$1:J5619,SUMPRODUCT(MAX(ROW(E$1:E5619)*(E5620=E$1:E5619)))))</f>
        <v> </v>
      </c>
      <c r="L5620" s="26"/>
    </row>
    <row r="5621" spans="1:12">
      <c r="A5621" s="20" t="s">
        <v>1240</v>
      </c>
      <c r="E5621" s="21">
        <f>IF(D5621="?OLD","!!!","")</f>
        <v/>
      </c>
      <c r="F5621" s="22" t="str">
        <f>IF(OR(E5621="",E5621="!!!"),"",IF(NOT(ISNA(VLOOKUP(E5621,E$1:E5620,1,FALSE()))),"OLD",IF(AND(E5621&lt;&gt;"",E5621&lt;&gt;"!!!"),"NEW","")))</f>
        <v> </v>
      </c>
      <c r="G5621" s="23" t="str">
        <f>IF(OR(E5621="",E5621="!!!"),"",IF(OR(J5621=0,AND(J5621=1,K5621=1),AND(J5621=1,I5621="SBJ"),AND(J5621=1,I5621=0)),"?IN_FOCUS",IF(J5621&lt;=2,"?ACTIVATED",IF(J5621&lt;&gt;"","?FAMILIAR",IF(F5621="NEW",IF(ISNA(VLOOKUP(E5621,#REF!,1,FALSE())),"?TYPE_IDENTIFIABLE","?REFERENTIAL"),"_")))))</f>
        <v> </v>
      </c>
      <c r="H5621" s="24" t="str">
        <f>IF(J5621&lt;&gt;1,"",IF(I5621="SBJ","CB","?"))</f>
        <v> </v>
      </c>
      <c r="I5621" s="25" t="str">
        <f>IF(OR(E5621="",E5621="!!!",F5621="NEW"),"",INDEX(B5620:B$2,-1+SUMPRODUCT(MAX(ROW(E5620:E$2)*(E5621=E5620:E$2)))))</f>
        <v> </v>
      </c>
      <c r="J5621" s="25" t="str">
        <f>IF(OR(E5621="",E5621="!!!",F5621="NEW"),"",COUNTBLANK(OFFSET(A$1,,,SUMPRODUCT(MAX(ROW(E$2:E5621)*(E5621=E$2:E5621)))))-COUNTBLANK(OFFSET(A$1,,,SUMPRODUCT(MAX(ROW(E$1:E5620)*(E2=E$1:E5620))))))</f>
        <v> </v>
      </c>
      <c r="K5621" s="25" t="str">
        <f>IF(OR(E5621="",E5621="!!!",F5621="NEW"),"",INDEX(J$1:J5620,SUMPRODUCT(MAX(ROW(E$1:E5620)*(E5621=E$1:E5620)))))</f>
        <v> </v>
      </c>
      <c r="L5621" s="26"/>
    </row>
    <row r="5622" spans="1:12">
      <c r="A5622" s="20" t="s">
        <v>1022</v>
      </c>
      <c r="E5622" s="21">
        <f>IF(D5622="?OLD","!!!","")</f>
        <v/>
      </c>
      <c r="F5622" s="22" t="str">
        <f>IF(OR(E5622="",E5622="!!!"),"",IF(NOT(ISNA(VLOOKUP(E5622,E$1:E5621,1,FALSE()))),"OLD",IF(AND(E5622&lt;&gt;"",E5622&lt;&gt;"!!!"),"NEW","")))</f>
        <v> </v>
      </c>
      <c r="G5622" s="23" t="str">
        <f>IF(OR(E5622="",E5622="!!!"),"",IF(OR(J5622=0,AND(J5622=1,K5622=1),AND(J5622=1,I5622="SBJ"),AND(J5622=1,I5622=0)),"?IN_FOCUS",IF(J5622&lt;=2,"?ACTIVATED",IF(J5622&lt;&gt;"","?FAMILIAR",IF(F5622="NEW",IF(ISNA(VLOOKUP(E5622,#REF!,1,FALSE())),"?TYPE_IDENTIFIABLE","?REFERENTIAL"),"_")))))</f>
        <v> </v>
      </c>
      <c r="H5622" s="24" t="str">
        <f>IF(J5622&lt;&gt;1,"",IF(I5622="SBJ","CB","?"))</f>
        <v> </v>
      </c>
      <c r="I5622" s="25" t="str">
        <f>IF(OR(E5622="",E5622="!!!",F5622="NEW"),"",INDEX(B5621:B$2,-1+SUMPRODUCT(MAX(ROW(E5621:E$2)*(E5622=E5621:E$2)))))</f>
        <v> </v>
      </c>
      <c r="J5622" s="25" t="str">
        <f>IF(OR(E5622="",E5622="!!!",F5622="NEW"),"",COUNTBLANK(OFFSET(A$1,,,SUMPRODUCT(MAX(ROW(E$2:E5622)*(E5622=E$2:E5622)))))-COUNTBLANK(OFFSET(A$1,,,SUMPRODUCT(MAX(ROW(E$1:E5621)*(E2=E$1:E5621))))))</f>
        <v> </v>
      </c>
      <c r="K5622" s="25" t="str">
        <f>IF(OR(E5622="",E5622="!!!",F5622="NEW"),"",INDEX(J$1:J5621,SUMPRODUCT(MAX(ROW(E$1:E5621)*(E5622=E$1:E5621)))))</f>
        <v> </v>
      </c>
      <c r="L5622" s="26"/>
    </row>
    <row r="5623" spans="1:12">
      <c r="A5623" s="20" t="s">
        <v>1055</v>
      </c>
      <c r="E5623" s="21">
        <f>IF(D5623="?OLD","!!!","")</f>
        <v/>
      </c>
      <c r="F5623" s="22" t="str">
        <f>IF(OR(E5623="",E5623="!!!"),"",IF(NOT(ISNA(VLOOKUP(E5623,E$1:E5622,1,FALSE()))),"OLD",IF(AND(E5623&lt;&gt;"",E5623&lt;&gt;"!!!"),"NEW","")))</f>
        <v> </v>
      </c>
      <c r="G5623" s="23" t="str">
        <f>IF(OR(E5623="",E5623="!!!"),"",IF(OR(J5623=0,AND(J5623=1,K5623=1),AND(J5623=1,I5623="SBJ"),AND(J5623=1,I5623=0)),"?IN_FOCUS",IF(J5623&lt;=2,"?ACTIVATED",IF(J5623&lt;&gt;"","?FAMILIAR",IF(F5623="NEW",IF(ISNA(VLOOKUP(E5623,#REF!,1,FALSE())),"?TYPE_IDENTIFIABLE","?REFERENTIAL"),"_")))))</f>
        <v> </v>
      </c>
      <c r="H5623" s="24" t="str">
        <f>IF(J5623&lt;&gt;1,"",IF(I5623="SBJ","CB","?"))</f>
        <v> </v>
      </c>
      <c r="I5623" s="25" t="str">
        <f>IF(OR(E5623="",E5623="!!!",F5623="NEW"),"",INDEX(B5622:B$2,-1+SUMPRODUCT(MAX(ROW(E5622:E$2)*(E5623=E5622:E$2)))))</f>
        <v> </v>
      </c>
      <c r="J5623" s="25" t="str">
        <f>IF(OR(E5623="",E5623="!!!",F5623="NEW"),"",COUNTBLANK(OFFSET(A$1,,,SUMPRODUCT(MAX(ROW(E$2:E5623)*(E5623=E$2:E5623)))))-COUNTBLANK(OFFSET(A$1,,,SUMPRODUCT(MAX(ROW(E$1:E5622)*(E2=E$1:E5622))))))</f>
        <v> </v>
      </c>
      <c r="K5623" s="25" t="str">
        <f>IF(OR(E5623="",E5623="!!!",F5623="NEW"),"",INDEX(J$1:J5622,SUMPRODUCT(MAX(ROW(E$1:E5622)*(E5623=E$1:E5622)))))</f>
        <v> </v>
      </c>
      <c r="L5623" s="26"/>
    </row>
    <row r="5624" spans="1:12">
      <c r="A5624" s="20" t="s">
        <v>1427</v>
      </c>
      <c r="B5624" s="27" t="s">
        <v>978</v>
      </c>
      <c r="C5624" s="27" t="s">
        <v>974</v>
      </c>
      <c r="E5624" s="21">
        <f>IF(D5624="?OLD","!!!","")</f>
        <v/>
      </c>
      <c r="F5624" s="22" t="str">
        <f>IF(OR(E5624="",E5624="!!!"),"",IF(NOT(ISNA(VLOOKUP(E5624,E$1:E5623,1,FALSE()))),"OLD",IF(AND(E5624&lt;&gt;"",E5624&lt;&gt;"!!!"),"NEW","")))</f>
        <v> </v>
      </c>
      <c r="G5624" s="23" t="str">
        <f>IF(OR(E5624="",E5624="!!!"),"",IF(OR(J5624=0,AND(J5624=1,K5624=1),AND(J5624=1,I5624="SBJ"),AND(J5624=1,I5624=0)),"?IN_FOCUS",IF(J5624&lt;=2,"?ACTIVATED",IF(J5624&lt;&gt;"","?FAMILIAR",IF(F5624="NEW",IF(ISNA(VLOOKUP(E5624,#REF!,1,FALSE())),"?TYPE_IDENTIFIABLE","?REFERENTIAL"),"_")))))</f>
        <v> </v>
      </c>
      <c r="H5624" s="24" t="str">
        <f>IF(J5624&lt;&gt;1,"",IF(I5624="SBJ","CB","?"))</f>
        <v> </v>
      </c>
      <c r="I5624" s="25" t="str">
        <f>IF(OR(E5624="",E5624="!!!",F5624="NEW"),"",INDEX(B5623:B$2,-1+SUMPRODUCT(MAX(ROW(E5623:E$2)*(E5624=E5623:E$2)))))</f>
        <v> </v>
      </c>
      <c r="J5624" s="25" t="str">
        <f>IF(OR(E5624="",E5624="!!!",F5624="NEW"),"",COUNTBLANK(OFFSET(A$1,,,SUMPRODUCT(MAX(ROW(E$2:E5624)*(E5624=E$2:E5624)))))-COUNTBLANK(OFFSET(A$1,,,SUMPRODUCT(MAX(ROW(E$1:E5623)*(E2=E$1:E5623))))))</f>
        <v> </v>
      </c>
      <c r="K5624" s="25" t="str">
        <f>IF(OR(E5624="",E5624="!!!",F5624="NEW"),"",INDEX(J$1:J5623,SUMPRODUCT(MAX(ROW(E$1:E5623)*(E5624=E$1:E5623)))))</f>
        <v> </v>
      </c>
      <c r="L5624" s="26"/>
    </row>
    <row r="5625" spans="1:12">
      <c r="A5625" s="20" t="s">
        <v>1369</v>
      </c>
      <c r="E5625" s="21">
        <f>IF(D5625="?OLD","!!!","")</f>
        <v/>
      </c>
      <c r="F5625" s="22" t="str">
        <f>IF(OR(E5625="",E5625="!!!"),"",IF(NOT(ISNA(VLOOKUP(E5625,E$1:E5624,1,FALSE()))),"OLD",IF(AND(E5625&lt;&gt;"",E5625&lt;&gt;"!!!"),"NEW","")))</f>
        <v> </v>
      </c>
      <c r="G5625" s="23" t="str">
        <f>IF(OR(E5625="",E5625="!!!"),"",IF(OR(J5625=0,AND(J5625=1,K5625=1),AND(J5625=1,I5625="SBJ"),AND(J5625=1,I5625=0)),"?IN_FOCUS",IF(J5625&lt;=2,"?ACTIVATED",IF(J5625&lt;&gt;"","?FAMILIAR",IF(F5625="NEW",IF(ISNA(VLOOKUP(E5625,#REF!,1,FALSE())),"?TYPE_IDENTIFIABLE","?REFERENTIAL"),"_")))))</f>
        <v> </v>
      </c>
      <c r="H5625" s="24" t="str">
        <f>IF(J5625&lt;&gt;1,"",IF(I5625="SBJ","CB","?"))</f>
        <v> </v>
      </c>
      <c r="I5625" s="25" t="str">
        <f>IF(OR(E5625="",E5625="!!!",F5625="NEW"),"",INDEX(B5624:B$2,-1+SUMPRODUCT(MAX(ROW(E5624:E$2)*(E5625=E5624:E$2)))))</f>
        <v> </v>
      </c>
      <c r="J5625" s="25" t="str">
        <f>IF(OR(E5625="",E5625="!!!",F5625="NEW"),"",COUNTBLANK(OFFSET(A$1,,,SUMPRODUCT(MAX(ROW(E$2:E5625)*(E5625=E$2:E5625)))))-COUNTBLANK(OFFSET(A$1,,,SUMPRODUCT(MAX(ROW(E$1:E5624)*(E2=E$1:E5624))))))</f>
        <v> </v>
      </c>
      <c r="K5625" s="25" t="str">
        <f>IF(OR(E5625="",E5625="!!!",F5625="NEW"),"",INDEX(J$1:J5624,SUMPRODUCT(MAX(ROW(E$1:E5624)*(E5625=E$1:E5624)))))</f>
        <v> </v>
      </c>
      <c r="L5625" s="26"/>
    </row>
    <row r="5626" spans="1:12">
      <c r="A5626" s="20" t="s">
        <v>993</v>
      </c>
      <c r="B5626" s="27" t="s">
        <v>1010</v>
      </c>
      <c r="C5626" s="27" t="s">
        <v>968</v>
      </c>
      <c r="D5626" s="27" t="s">
        <v>969</v>
      </c>
      <c r="E5626" s="21">
        <f>IF(D5626="?OLD","!!!","")</f>
        <v/>
      </c>
      <c r="F5626" s="22" t="str">
        <f>IF(OR(E5626="",E5626="!!!"),"",IF(NOT(ISNA(VLOOKUP(E5626,E$1:E5625,1,FALSE()))),"OLD",IF(AND(E5626&lt;&gt;"",E5626&lt;&gt;"!!!"),"NEW","")))</f>
        <v> </v>
      </c>
      <c r="G5626" s="23" t="str">
        <f>IF(OR(E5626="",E5626="!!!"),"",IF(OR(J5626=0,AND(J5626=1,K5626=1),AND(J5626=1,I5626="SBJ"),AND(J5626=1,I5626=0)),"?IN_FOCUS",IF(J5626&lt;=2,"?ACTIVATED",IF(J5626&lt;&gt;"","?FAMILIAR",IF(F5626="NEW",IF(ISNA(VLOOKUP(E5626,#REF!,1,FALSE())),"?TYPE_IDENTIFIABLE","?REFERENTIAL"),"_")))))</f>
        <v> </v>
      </c>
      <c r="H5626" s="24" t="str">
        <f>IF(J5626&lt;&gt;1,"",IF(I5626="SBJ","CB","?"))</f>
        <v> </v>
      </c>
      <c r="I5626" s="25" t="str">
        <f>IF(OR(E5626="",E5626="!!!",F5626="NEW"),"",INDEX(B5625:B$2,-1+SUMPRODUCT(MAX(ROW(E5625:E$2)*(E5626=E5625:E$2)))))</f>
        <v> </v>
      </c>
      <c r="J5626" s="25" t="str">
        <f>IF(OR(E5626="",E5626="!!!",F5626="NEW"),"",COUNTBLANK(OFFSET(A$1,,,SUMPRODUCT(MAX(ROW(E$2:E5626)*(E5626=E$2:E5626)))))-COUNTBLANK(OFFSET(A$1,,,SUMPRODUCT(MAX(ROW(E$1:E5625)*(E2=E$1:E5625))))))</f>
        <v> </v>
      </c>
      <c r="K5626" s="25" t="str">
        <f>IF(OR(E5626="",E5626="!!!",F5626="NEW"),"",INDEX(J$1:J5625,SUMPRODUCT(MAX(ROW(E$1:E5625)*(E5626=E$1:E5625)))))</f>
        <v> </v>
      </c>
      <c r="L5626" s="26"/>
    </row>
    <row r="5627" spans="1:12">
      <c r="A5627" s="20" t="s">
        <v>1471</v>
      </c>
      <c r="E5627" s="21">
        <f>IF(D5627="?OLD","!!!","")</f>
        <v/>
      </c>
      <c r="F5627" s="22" t="str">
        <f>IF(OR(E5627="",E5627="!!!"),"",IF(NOT(ISNA(VLOOKUP(E5627,E$1:E5626,1,FALSE()))),"OLD",IF(AND(E5627&lt;&gt;"",E5627&lt;&gt;"!!!"),"NEW","")))</f>
        <v> </v>
      </c>
      <c r="G5627" s="23" t="str">
        <f>IF(OR(E5627="",E5627="!!!"),"",IF(OR(J5627=0,AND(J5627=1,K5627=1),AND(J5627=1,I5627="SBJ"),AND(J5627=1,I5627=0)),"?IN_FOCUS",IF(J5627&lt;=2,"?ACTIVATED",IF(J5627&lt;&gt;"","?FAMILIAR",IF(F5627="NEW",IF(ISNA(VLOOKUP(E5627,#REF!,1,FALSE())),"?TYPE_IDENTIFIABLE","?REFERENTIAL"),"_")))))</f>
        <v> </v>
      </c>
      <c r="H5627" s="24" t="str">
        <f>IF(J5627&lt;&gt;1,"",IF(I5627="SBJ","CB","?"))</f>
        <v> </v>
      </c>
      <c r="I5627" s="25" t="str">
        <f>IF(OR(E5627="",E5627="!!!",F5627="NEW"),"",INDEX(B5626:B$2,-1+SUMPRODUCT(MAX(ROW(E5626:E$2)*(E5627=E5626:E$2)))))</f>
        <v> </v>
      </c>
      <c r="J5627" s="25" t="str">
        <f>IF(OR(E5627="",E5627="!!!",F5627="NEW"),"",COUNTBLANK(OFFSET(A$1,,,SUMPRODUCT(MAX(ROW(E$2:E5627)*(E5627=E$2:E5627)))))-COUNTBLANK(OFFSET(A$1,,,SUMPRODUCT(MAX(ROW(E$1:E5626)*(E2=E$1:E5626))))))</f>
        <v> </v>
      </c>
      <c r="K5627" s="25" t="str">
        <f>IF(OR(E5627="",E5627="!!!",F5627="NEW"),"",INDEX(J$1:J5626,SUMPRODUCT(MAX(ROW(E$1:E5626)*(E5627=E$1:E5626)))))</f>
        <v> </v>
      </c>
      <c r="L5627" s="26"/>
    </row>
    <row r="5628" spans="1:12">
      <c r="A5628" s="20" t="s">
        <v>991</v>
      </c>
      <c r="E5628" s="21">
        <f>IF(D5628="?OLD","!!!","")</f>
        <v/>
      </c>
      <c r="F5628" s="22" t="str">
        <f>IF(OR(E5628="",E5628="!!!"),"",IF(NOT(ISNA(VLOOKUP(E5628,E$1:E5627,1,FALSE()))),"OLD",IF(AND(E5628&lt;&gt;"",E5628&lt;&gt;"!!!"),"NEW","")))</f>
        <v> </v>
      </c>
      <c r="G5628" s="23" t="str">
        <f>IF(OR(E5628="",E5628="!!!"),"",IF(OR(J5628=0,AND(J5628=1,K5628=1),AND(J5628=1,I5628="SBJ"),AND(J5628=1,I5628=0)),"?IN_FOCUS",IF(J5628&lt;=2,"?ACTIVATED",IF(J5628&lt;&gt;"","?FAMILIAR",IF(F5628="NEW",IF(ISNA(VLOOKUP(E5628,#REF!,1,FALSE())),"?TYPE_IDENTIFIABLE","?REFERENTIAL"),"_")))))</f>
        <v> </v>
      </c>
      <c r="H5628" s="24" t="str">
        <f>IF(J5628&lt;&gt;1,"",IF(I5628="SBJ","CB","?"))</f>
        <v> </v>
      </c>
      <c r="I5628" s="25" t="str">
        <f>IF(OR(E5628="",E5628="!!!",F5628="NEW"),"",INDEX(B5627:B$2,-1+SUMPRODUCT(MAX(ROW(E5627:E$2)*(E5628=E5627:E$2)))))</f>
        <v> </v>
      </c>
      <c r="J5628" s="25" t="str">
        <f>IF(OR(E5628="",E5628="!!!",F5628="NEW"),"",COUNTBLANK(OFFSET(A$1,,,SUMPRODUCT(MAX(ROW(E$2:E5628)*(E5628=E$2:E5628)))))-COUNTBLANK(OFFSET(A$1,,,SUMPRODUCT(MAX(ROW(E$1:E5627)*(E2=E$1:E5627))))))</f>
        <v> </v>
      </c>
      <c r="K5628" s="25" t="str">
        <f>IF(OR(E5628="",E5628="!!!",F5628="NEW"),"",INDEX(J$1:J5627,SUMPRODUCT(MAX(ROW(E$1:E5627)*(E5628=E$1:E5627)))))</f>
        <v> </v>
      </c>
      <c r="L5628" s="26"/>
    </row>
    <row r="5629" spans="1:12">
      <c r="A5629" s="20" t="s">
        <v>996</v>
      </c>
      <c r="E5629" s="21">
        <f>IF(D5629="?OLD","!!!","")</f>
        <v/>
      </c>
      <c r="F5629" s="22" t="str">
        <f>IF(OR(E5629="",E5629="!!!"),"",IF(NOT(ISNA(VLOOKUP(E5629,E$1:E5628,1,FALSE()))),"OLD",IF(AND(E5629&lt;&gt;"",E5629&lt;&gt;"!!!"),"NEW","")))</f>
        <v> </v>
      </c>
      <c r="G5629" s="23" t="str">
        <f>IF(OR(E5629="",E5629="!!!"),"",IF(OR(J5629=0,AND(J5629=1,K5629=1),AND(J5629=1,I5629="SBJ"),AND(J5629=1,I5629=0)),"?IN_FOCUS",IF(J5629&lt;=2,"?ACTIVATED",IF(J5629&lt;&gt;"","?FAMILIAR",IF(F5629="NEW",IF(ISNA(VLOOKUP(E5629,#REF!,1,FALSE())),"?TYPE_IDENTIFIABLE","?REFERENTIAL"),"_")))))</f>
        <v> </v>
      </c>
      <c r="H5629" s="24" t="str">
        <f>IF(J5629&lt;&gt;1,"",IF(I5629="SBJ","CB","?"))</f>
        <v> </v>
      </c>
      <c r="I5629" s="25" t="str">
        <f>IF(OR(E5629="",E5629="!!!",F5629="NEW"),"",INDEX(B5628:B$2,-1+SUMPRODUCT(MAX(ROW(E5628:E$2)*(E5629=E5628:E$2)))))</f>
        <v> </v>
      </c>
      <c r="J5629" s="25" t="str">
        <f>IF(OR(E5629="",E5629="!!!",F5629="NEW"),"",COUNTBLANK(OFFSET(A$1,,,SUMPRODUCT(MAX(ROW(E$2:E5629)*(E5629=E$2:E5629)))))-COUNTBLANK(OFFSET(A$1,,,SUMPRODUCT(MAX(ROW(E$1:E5628)*(E2=E$1:E5628))))))</f>
        <v> </v>
      </c>
      <c r="K5629" s="25" t="str">
        <f>IF(OR(E5629="",E5629="!!!",F5629="NEW"),"",INDEX(J$1:J5628,SUMPRODUCT(MAX(ROW(E$1:E5628)*(E5629=E$1:E5628)))))</f>
        <v> </v>
      </c>
      <c r="L5629" s="26"/>
    </row>
    <row r="5630" spans="1:12">
      <c r="A5630" s="20" t="s">
        <v>993</v>
      </c>
      <c r="B5630" s="27" t="s">
        <v>994</v>
      </c>
      <c r="C5630" s="27" t="s">
        <v>968</v>
      </c>
      <c r="D5630" s="27" t="s">
        <v>969</v>
      </c>
      <c r="E5630" s="21">
        <f>IF(D5630="?OLD","!!!","")</f>
        <v/>
      </c>
      <c r="F5630" s="22" t="str">
        <f>IF(OR(E5630="",E5630="!!!"),"",IF(NOT(ISNA(VLOOKUP(E5630,E$1:E5629,1,FALSE()))),"OLD",IF(AND(E5630&lt;&gt;"",E5630&lt;&gt;"!!!"),"NEW","")))</f>
        <v> </v>
      </c>
      <c r="G5630" s="23" t="str">
        <f>IF(OR(E5630="",E5630="!!!"),"",IF(OR(J5630=0,AND(J5630=1,K5630=1),AND(J5630=1,I5630="SBJ"),AND(J5630=1,I5630=0)),"?IN_FOCUS",IF(J5630&lt;=2,"?ACTIVATED",IF(J5630&lt;&gt;"","?FAMILIAR",IF(F5630="NEW",IF(ISNA(VLOOKUP(E5630,#REF!,1,FALSE())),"?TYPE_IDENTIFIABLE","?REFERENTIAL"),"_")))))</f>
        <v> </v>
      </c>
      <c r="H5630" s="24" t="str">
        <f>IF(J5630&lt;&gt;1,"",IF(I5630="SBJ","CB","?"))</f>
        <v> </v>
      </c>
      <c r="I5630" s="25" t="str">
        <f>IF(OR(E5630="",E5630="!!!",F5630="NEW"),"",INDEX(B5629:B$2,-1+SUMPRODUCT(MAX(ROW(E5629:E$2)*(E5630=E5629:E$2)))))</f>
        <v> </v>
      </c>
      <c r="J5630" s="25" t="str">
        <f>IF(OR(E5630="",E5630="!!!",F5630="NEW"),"",COUNTBLANK(OFFSET(A$1,,,SUMPRODUCT(MAX(ROW(E$2:E5630)*(E5630=E$2:E5630)))))-COUNTBLANK(OFFSET(A$1,,,SUMPRODUCT(MAX(ROW(E$1:E5629)*(E2=E$1:E5629))))))</f>
        <v> </v>
      </c>
      <c r="K5630" s="25" t="str">
        <f>IF(OR(E5630="",E5630="!!!",F5630="NEW"),"",INDEX(J$1:J5629,SUMPRODUCT(MAX(ROW(E$1:E5629)*(E5630=E$1:E5629)))))</f>
        <v> </v>
      </c>
      <c r="L5630" s="26"/>
    </row>
    <row r="5631" spans="1:12">
      <c r="A5631" s="20" t="s">
        <v>1024</v>
      </c>
      <c r="B5631" s="27" t="s">
        <v>1031</v>
      </c>
      <c r="C5631" s="27" t="s">
        <v>1102</v>
      </c>
      <c r="D5631" s="27" t="s">
        <v>969</v>
      </c>
      <c r="E5631" s="21">
        <f>IF(D5631="?OLD","!!!","")</f>
        <v/>
      </c>
      <c r="F5631" s="22" t="str">
        <f>IF(OR(E5631="",E5631="!!!"),"",IF(NOT(ISNA(VLOOKUP(E5631,E$1:E5630,1,FALSE()))),"OLD",IF(AND(E5631&lt;&gt;"",E5631&lt;&gt;"!!!"),"NEW","")))</f>
        <v> </v>
      </c>
      <c r="G5631" s="23" t="str">
        <f>IF(OR(E5631="",E5631="!!!"),"",IF(OR(J5631=0,AND(J5631=1,K5631=1),AND(J5631=1,I5631="SBJ"),AND(J5631=1,I5631=0)),"?IN_FOCUS",IF(J5631&lt;=2,"?ACTIVATED",IF(J5631&lt;&gt;"","?FAMILIAR",IF(F5631="NEW",IF(ISNA(VLOOKUP(E5631,#REF!,1,FALSE())),"?TYPE_IDENTIFIABLE","?REFERENTIAL"),"_")))))</f>
        <v> </v>
      </c>
      <c r="H5631" s="24" t="str">
        <f>IF(J5631&lt;&gt;1,"",IF(I5631="SBJ","CB","?"))</f>
        <v> </v>
      </c>
      <c r="I5631" s="25" t="str">
        <f>IF(OR(E5631="",E5631="!!!",F5631="NEW"),"",INDEX(B5630:B$2,-1+SUMPRODUCT(MAX(ROW(E5630:E$2)*(E5631=E5630:E$2)))))</f>
        <v> </v>
      </c>
      <c r="J5631" s="25" t="str">
        <f>IF(OR(E5631="",E5631="!!!",F5631="NEW"),"",COUNTBLANK(OFFSET(A$1,,,SUMPRODUCT(MAX(ROW(E$2:E5631)*(E5631=E$2:E5631)))))-COUNTBLANK(OFFSET(A$1,,,SUMPRODUCT(MAX(ROW(E$1:E5630)*(E2=E$1:E5630))))))</f>
        <v> </v>
      </c>
      <c r="K5631" s="25" t="str">
        <f>IF(OR(E5631="",E5631="!!!",F5631="NEW"),"",INDEX(J$1:J5630,SUMPRODUCT(MAX(ROW(E$1:E5630)*(E5631=E$1:E5630)))))</f>
        <v> </v>
      </c>
      <c r="L5631" s="26"/>
    </row>
    <row r="5632" spans="1:12">
      <c r="A5632" s="20" t="s">
        <v>1226</v>
      </c>
      <c r="E5632" s="21">
        <f>IF(D5632="?OLD","!!!","")</f>
        <v/>
      </c>
      <c r="F5632" s="22" t="str">
        <f>IF(OR(E5632="",E5632="!!!"),"",IF(NOT(ISNA(VLOOKUP(E5632,E$1:E5631,1,FALSE()))),"OLD",IF(AND(E5632&lt;&gt;"",E5632&lt;&gt;"!!!"),"NEW","")))</f>
        <v> </v>
      </c>
      <c r="G5632" s="23" t="str">
        <f>IF(OR(E5632="",E5632="!!!"),"",IF(OR(J5632=0,AND(J5632=1,K5632=1),AND(J5632=1,I5632="SBJ"),AND(J5632=1,I5632=0)),"?IN_FOCUS",IF(J5632&lt;=2,"?ACTIVATED",IF(J5632&lt;&gt;"","?FAMILIAR",IF(F5632="NEW",IF(ISNA(VLOOKUP(E5632,#REF!,1,FALSE())),"?TYPE_IDENTIFIABLE","?REFERENTIAL"),"_")))))</f>
        <v> </v>
      </c>
      <c r="H5632" s="24" t="str">
        <f>IF(J5632&lt;&gt;1,"",IF(I5632="SBJ","CB","?"))</f>
        <v> </v>
      </c>
      <c r="I5632" s="25" t="str">
        <f>IF(OR(E5632="",E5632="!!!",F5632="NEW"),"",INDEX(B5631:B$2,-1+SUMPRODUCT(MAX(ROW(E5631:E$2)*(E5632=E5631:E$2)))))</f>
        <v> </v>
      </c>
      <c r="J5632" s="25" t="str">
        <f>IF(OR(E5632="",E5632="!!!",F5632="NEW"),"",COUNTBLANK(OFFSET(A$1,,,SUMPRODUCT(MAX(ROW(E$2:E5632)*(E5632=E$2:E5632)))))-COUNTBLANK(OFFSET(A$1,,,SUMPRODUCT(MAX(ROW(E$1:E5631)*(E2=E$1:E5631))))))</f>
        <v> </v>
      </c>
      <c r="K5632" s="25" t="str">
        <f>IF(OR(E5632="",E5632="!!!",F5632="NEW"),"",INDEX(J$1:J5631,SUMPRODUCT(MAX(ROW(E$1:E5631)*(E5632=E$1:E5631)))))</f>
        <v> </v>
      </c>
      <c r="L5632" s="26"/>
    </row>
    <row r="5633" spans="1:12">
      <c r="A5633" s="20" t="s">
        <v>1352</v>
      </c>
      <c r="E5633" s="21">
        <f>IF(D5633="?OLD","!!!","")</f>
        <v/>
      </c>
      <c r="F5633" s="22" t="str">
        <f>IF(OR(E5633="",E5633="!!!"),"",IF(NOT(ISNA(VLOOKUP(E5633,E$1:E5632,1,FALSE()))),"OLD",IF(AND(E5633&lt;&gt;"",E5633&lt;&gt;"!!!"),"NEW","")))</f>
        <v> </v>
      </c>
      <c r="G5633" s="23" t="str">
        <f>IF(OR(E5633="",E5633="!!!"),"",IF(OR(J5633=0,AND(J5633=1,K5633=1),AND(J5633=1,I5633="SBJ"),AND(J5633=1,I5633=0)),"?IN_FOCUS",IF(J5633&lt;=2,"?ACTIVATED",IF(J5633&lt;&gt;"","?FAMILIAR",IF(F5633="NEW",IF(ISNA(VLOOKUP(E5633,#REF!,1,FALSE())),"?TYPE_IDENTIFIABLE","?REFERENTIAL"),"_")))))</f>
        <v> </v>
      </c>
      <c r="H5633" s="24" t="str">
        <f>IF(J5633&lt;&gt;1,"",IF(I5633="SBJ","CB","?"))</f>
        <v> </v>
      </c>
      <c r="I5633" s="25" t="str">
        <f>IF(OR(E5633="",E5633="!!!",F5633="NEW"),"",INDEX(B5632:B$2,-1+SUMPRODUCT(MAX(ROW(E5632:E$2)*(E5633=E5632:E$2)))))</f>
        <v> </v>
      </c>
      <c r="J5633" s="25" t="str">
        <f>IF(OR(E5633="",E5633="!!!",F5633="NEW"),"",COUNTBLANK(OFFSET(A$1,,,SUMPRODUCT(MAX(ROW(E$2:E5633)*(E5633=E$2:E5633)))))-COUNTBLANK(OFFSET(A$1,,,SUMPRODUCT(MAX(ROW(E$1:E5632)*(E2=E$1:E5632))))))</f>
        <v> </v>
      </c>
      <c r="K5633" s="25" t="str">
        <f>IF(OR(E5633="",E5633="!!!",F5633="NEW"),"",INDEX(J$1:J5632,SUMPRODUCT(MAX(ROW(E$1:E5632)*(E5633=E$1:E5632)))))</f>
        <v> </v>
      </c>
      <c r="L5633" s="26"/>
    </row>
    <row r="5634" spans="1:12">
      <c r="A5634" s="20" t="s">
        <v>1005</v>
      </c>
      <c r="E5634" s="21">
        <f>IF(D5634="?OLD","!!!","")</f>
        <v/>
      </c>
      <c r="F5634" s="22" t="str">
        <f>IF(OR(E5634="",E5634="!!!"),"",IF(NOT(ISNA(VLOOKUP(E5634,E$1:E5633,1,FALSE()))),"OLD",IF(AND(E5634&lt;&gt;"",E5634&lt;&gt;"!!!"),"NEW","")))</f>
        <v> </v>
      </c>
      <c r="G5634" s="23" t="str">
        <f>IF(OR(E5634="",E5634="!!!"),"",IF(OR(J5634=0,AND(J5634=1,K5634=1),AND(J5634=1,I5634="SBJ"),AND(J5634=1,I5634=0)),"?IN_FOCUS",IF(J5634&lt;=2,"?ACTIVATED",IF(J5634&lt;&gt;"","?FAMILIAR",IF(F5634="NEW",IF(ISNA(VLOOKUP(E5634,#REF!,1,FALSE())),"?TYPE_IDENTIFIABLE","?REFERENTIAL"),"_")))))</f>
        <v> </v>
      </c>
      <c r="H5634" s="24" t="str">
        <f>IF(J5634&lt;&gt;1,"",IF(I5634="SBJ","CB","?"))</f>
        <v> </v>
      </c>
      <c r="I5634" s="25" t="str">
        <f>IF(OR(E5634="",E5634="!!!",F5634="NEW"),"",INDEX(B5633:B$2,-1+SUMPRODUCT(MAX(ROW(E5633:E$2)*(E5634=E5633:E$2)))))</f>
        <v> </v>
      </c>
      <c r="J5634" s="25" t="str">
        <f>IF(OR(E5634="",E5634="!!!",F5634="NEW"),"",COUNTBLANK(OFFSET(A$1,,,SUMPRODUCT(MAX(ROW(E$2:E5634)*(E5634=E$2:E5634)))))-COUNTBLANK(OFFSET(A$1,,,SUMPRODUCT(MAX(ROW(E$1:E5633)*(E2=E$1:E5633))))))</f>
        <v> </v>
      </c>
      <c r="K5634" s="25" t="str">
        <f>IF(OR(E5634="",E5634="!!!",F5634="NEW"),"",INDEX(J$1:J5633,SUMPRODUCT(MAX(ROW(E$1:E5633)*(E5634=E$1:E5633)))))</f>
        <v> </v>
      </c>
      <c r="L5634" s="26"/>
    </row>
    <row r="5635" spans="1:12">
      <c r="A5635" s="20"/>
    </row>
    <row r="5636" spans="1:12">
      <c r="A5636" s="20" t="s">
        <v>2494</v>
      </c>
    </row>
    <row r="5637" spans="1:12">
      <c r="A5637" s="20" t="s">
        <v>966</v>
      </c>
      <c r="B5637" s="27" t="s">
        <v>967</v>
      </c>
      <c r="C5637" s="27" t="s">
        <v>968</v>
      </c>
      <c r="D5637" s="27" t="s">
        <v>969</v>
      </c>
      <c r="E5637" s="21">
        <f>IF(D5637="?OLD","!!!","")</f>
        <v/>
      </c>
      <c r="F5637" s="22" t="str">
        <f>IF(OR(E5637="",E5637="!!!"),"",IF(NOT(ISNA(VLOOKUP(E5637,E$1:E5636,1,FALSE()))),"OLD",IF(AND(E5637&lt;&gt;"",E5637&lt;&gt;"!!!"),"NEW","")))</f>
        <v> </v>
      </c>
      <c r="G5637" s="23" t="str">
        <f>IF(OR(E5637="",E5637="!!!"),"",IF(OR(J5637=0,AND(J5637=1,K5637=1),AND(J5637=1,I5637="SBJ"),AND(J5637=1,I5637=0)),"?IN_FOCUS",IF(J5637&lt;=2,"?ACTIVATED",IF(J5637&lt;&gt;"","?FAMILIAR",IF(F5637="NEW",IF(ISNA(VLOOKUP(E5637,#REF!,1,FALSE())),"?TYPE_IDENTIFIABLE","?REFERENTIAL"),"_")))))</f>
        <v> </v>
      </c>
      <c r="H5637" s="24" t="str">
        <f>IF(J5637&lt;&gt;1,"",IF(I5637="SBJ","CB","?"))</f>
        <v> </v>
      </c>
      <c r="I5637" s="25" t="str">
        <f>IF(OR(E5637="",E5637="!!!",F5637="NEW"),"",INDEX(B5636:B$2,-1+SUMPRODUCT(MAX(ROW(E5636:E$2)*(E5637=E5636:E$2)))))</f>
        <v> </v>
      </c>
      <c r="J5637" s="25" t="str">
        <f>IF(OR(E5637="",E5637="!!!",F5637="NEW"),"",COUNTBLANK(OFFSET(A$1,,,SUMPRODUCT(MAX(ROW(E$2:E5637)*(E5637=E$2:E5637)))))-COUNTBLANK(OFFSET(A$1,,,SUMPRODUCT(MAX(ROW(E$1:E5636)*(E2=E$1:E5636))))))</f>
        <v> </v>
      </c>
      <c r="K5637" s="25" t="str">
        <f>IF(OR(E5637="",E5637="!!!",F5637="NEW"),"",INDEX(J$1:J5636,SUMPRODUCT(MAX(ROW(E$1:E5636)*(E5637=E$1:E5636)))))</f>
        <v> </v>
      </c>
      <c r="L5637" s="26"/>
    </row>
    <row r="5638" spans="1:12">
      <c r="A5638" s="20" t="s">
        <v>1369</v>
      </c>
      <c r="E5638" s="21">
        <f>IF(D5638="?OLD","!!!","")</f>
        <v/>
      </c>
      <c r="F5638" s="22" t="str">
        <f>IF(OR(E5638="",E5638="!!!"),"",IF(NOT(ISNA(VLOOKUP(E5638,E$1:E5637,1,FALSE()))),"OLD",IF(AND(E5638&lt;&gt;"",E5638&lt;&gt;"!!!"),"NEW","")))</f>
        <v> </v>
      </c>
      <c r="G5638" s="23" t="str">
        <f>IF(OR(E5638="",E5638="!!!"),"",IF(OR(J5638=0,AND(J5638=1,K5638=1),AND(J5638=1,I5638="SBJ"),AND(J5638=1,I5638=0)),"?IN_FOCUS",IF(J5638&lt;=2,"?ACTIVATED",IF(J5638&lt;&gt;"","?FAMILIAR",IF(F5638="NEW",IF(ISNA(VLOOKUP(E5638,#REF!,1,FALSE())),"?TYPE_IDENTIFIABLE","?REFERENTIAL"),"_")))))</f>
        <v> </v>
      </c>
      <c r="H5638" s="24" t="str">
        <f>IF(J5638&lt;&gt;1,"",IF(I5638="SBJ","CB","?"))</f>
        <v> </v>
      </c>
      <c r="I5638" s="25" t="str">
        <f>IF(OR(E5638="",E5638="!!!",F5638="NEW"),"",INDEX(B5637:B$2,-1+SUMPRODUCT(MAX(ROW(E5637:E$2)*(E5638=E5637:E$2)))))</f>
        <v> </v>
      </c>
      <c r="J5638" s="25" t="str">
        <f>IF(OR(E5638="",E5638="!!!",F5638="NEW"),"",COUNTBLANK(OFFSET(A$1,,,SUMPRODUCT(MAX(ROW(E$2:E5638)*(E5638=E$2:E5638)))))-COUNTBLANK(OFFSET(A$1,,,SUMPRODUCT(MAX(ROW(E$1:E5637)*(E2=E$1:E5637))))))</f>
        <v> </v>
      </c>
      <c r="K5638" s="25" t="str">
        <f>IF(OR(E5638="",E5638="!!!",F5638="NEW"),"",INDEX(J$1:J5637,SUMPRODUCT(MAX(ROW(E$1:E5637)*(E5638=E$1:E5637)))))</f>
        <v> </v>
      </c>
      <c r="L5638" s="26"/>
    </row>
    <row r="5639" spans="1:12">
      <c r="A5639" s="20" t="s">
        <v>2495</v>
      </c>
      <c r="E5639" s="21">
        <f>IF(D5639="?OLD","!!!","")</f>
        <v/>
      </c>
      <c r="F5639" s="22" t="str">
        <f>IF(OR(E5639="",E5639="!!!"),"",IF(NOT(ISNA(VLOOKUP(E5639,E$1:E5638,1,FALSE()))),"OLD",IF(AND(E5639&lt;&gt;"",E5639&lt;&gt;"!!!"),"NEW","")))</f>
        <v> </v>
      </c>
      <c r="G5639" s="23" t="str">
        <f>IF(OR(E5639="",E5639="!!!"),"",IF(OR(J5639=0,AND(J5639=1,K5639=1),AND(J5639=1,I5639="SBJ"),AND(J5639=1,I5639=0)),"?IN_FOCUS",IF(J5639&lt;=2,"?ACTIVATED",IF(J5639&lt;&gt;"","?FAMILIAR",IF(F5639="NEW",IF(ISNA(VLOOKUP(E5639,#REF!,1,FALSE())),"?TYPE_IDENTIFIABLE","?REFERENTIAL"),"_")))))</f>
        <v> </v>
      </c>
      <c r="H5639" s="24" t="str">
        <f>IF(J5639&lt;&gt;1,"",IF(I5639="SBJ","CB","?"))</f>
        <v> </v>
      </c>
      <c r="I5639" s="25" t="str">
        <f>IF(OR(E5639="",E5639="!!!",F5639="NEW"),"",INDEX(B5638:B$2,-1+SUMPRODUCT(MAX(ROW(E5638:E$2)*(E5639=E5638:E$2)))))</f>
        <v> </v>
      </c>
      <c r="J5639" s="25" t="str">
        <f>IF(OR(E5639="",E5639="!!!",F5639="NEW"),"",COUNTBLANK(OFFSET(A$1,,,SUMPRODUCT(MAX(ROW(E$2:E5639)*(E5639=E$2:E5639)))))-COUNTBLANK(OFFSET(A$1,,,SUMPRODUCT(MAX(ROW(E$1:E5638)*(E2=E$1:E5638))))))</f>
        <v> </v>
      </c>
      <c r="K5639" s="25" t="str">
        <f>IF(OR(E5639="",E5639="!!!",F5639="NEW"),"",INDEX(J$1:J5638,SUMPRODUCT(MAX(ROW(E$1:E5638)*(E5639=E$1:E5638)))))</f>
        <v> </v>
      </c>
      <c r="L5639" s="26"/>
    </row>
    <row r="5640" spans="1:12">
      <c r="A5640" s="20" t="s">
        <v>991</v>
      </c>
      <c r="E5640" s="21">
        <f>IF(D5640="?OLD","!!!","")</f>
        <v/>
      </c>
      <c r="F5640" s="22" t="str">
        <f>IF(OR(E5640="",E5640="!!!"),"",IF(NOT(ISNA(VLOOKUP(E5640,E$1:E5639,1,FALSE()))),"OLD",IF(AND(E5640&lt;&gt;"",E5640&lt;&gt;"!!!"),"NEW","")))</f>
        <v> </v>
      </c>
      <c r="G5640" s="23" t="str">
        <f>IF(OR(E5640="",E5640="!!!"),"",IF(OR(J5640=0,AND(J5640=1,K5640=1),AND(J5640=1,I5640="SBJ"),AND(J5640=1,I5640=0)),"?IN_FOCUS",IF(J5640&lt;=2,"?ACTIVATED",IF(J5640&lt;&gt;"","?FAMILIAR",IF(F5640="NEW",IF(ISNA(VLOOKUP(E5640,#REF!,1,FALSE())),"?TYPE_IDENTIFIABLE","?REFERENTIAL"),"_")))))</f>
        <v> </v>
      </c>
      <c r="H5640" s="24" t="str">
        <f>IF(J5640&lt;&gt;1,"",IF(I5640="SBJ","CB","?"))</f>
        <v> </v>
      </c>
      <c r="I5640" s="25" t="str">
        <f>IF(OR(E5640="",E5640="!!!",F5640="NEW"),"",INDEX(B5639:B$2,-1+SUMPRODUCT(MAX(ROW(E5639:E$2)*(E5640=E5639:E$2)))))</f>
        <v> </v>
      </c>
      <c r="J5640" s="25" t="str">
        <f>IF(OR(E5640="",E5640="!!!",F5640="NEW"),"",COUNTBLANK(OFFSET(A$1,,,SUMPRODUCT(MAX(ROW(E$2:E5640)*(E5640=E$2:E5640)))))-COUNTBLANK(OFFSET(A$1,,,SUMPRODUCT(MAX(ROW(E$1:E5639)*(E2=E$1:E5639))))))</f>
        <v> </v>
      </c>
      <c r="K5640" s="25" t="str">
        <f>IF(OR(E5640="",E5640="!!!",F5640="NEW"),"",INDEX(J$1:J5639,SUMPRODUCT(MAX(ROW(E$1:E5639)*(E5640=E$1:E5639)))))</f>
        <v> </v>
      </c>
      <c r="L5640" s="26"/>
    </row>
    <row r="5641" spans="1:12">
      <c r="A5641" s="20" t="s">
        <v>159</v>
      </c>
      <c r="E5641" s="21">
        <f>IF(D5641="?OLD","!!!","")</f>
        <v/>
      </c>
      <c r="F5641" s="22" t="str">
        <f>IF(OR(E5641="",E5641="!!!"),"",IF(NOT(ISNA(VLOOKUP(E5641,E$1:E5640,1,FALSE()))),"OLD",IF(AND(E5641&lt;&gt;"",E5641&lt;&gt;"!!!"),"NEW","")))</f>
        <v> </v>
      </c>
      <c r="G5641" s="23" t="str">
        <f>IF(OR(E5641="",E5641="!!!"),"",IF(OR(J5641=0,AND(J5641=1,K5641=1),AND(J5641=1,I5641="SBJ"),AND(J5641=1,I5641=0)),"?IN_FOCUS",IF(J5641&lt;=2,"?ACTIVATED",IF(J5641&lt;&gt;"","?FAMILIAR",IF(F5641="NEW",IF(ISNA(VLOOKUP(E5641,#REF!,1,FALSE())),"?TYPE_IDENTIFIABLE","?REFERENTIAL"),"_")))))</f>
        <v> </v>
      </c>
      <c r="H5641" s="24" t="str">
        <f>IF(J5641&lt;&gt;1,"",IF(I5641="SBJ","CB","?"))</f>
        <v> </v>
      </c>
      <c r="I5641" s="25" t="str">
        <f>IF(OR(E5641="",E5641="!!!",F5641="NEW"),"",INDEX(B5640:B$2,-1+SUMPRODUCT(MAX(ROW(E5640:E$2)*(E5641=E5640:E$2)))))</f>
        <v> </v>
      </c>
      <c r="J5641" s="25" t="str">
        <f>IF(OR(E5641="",E5641="!!!",F5641="NEW"),"",COUNTBLANK(OFFSET(A$1,,,SUMPRODUCT(MAX(ROW(E$2:E5641)*(E5641=E$2:E5641)))))-COUNTBLANK(OFFSET(A$1,,,SUMPRODUCT(MAX(ROW(E$1:E5640)*(E2=E$1:E5640))))))</f>
        <v> </v>
      </c>
      <c r="K5641" s="25" t="str">
        <f>IF(OR(E5641="",E5641="!!!",F5641="NEW"),"",INDEX(J$1:J5640,SUMPRODUCT(MAX(ROW(E$1:E5640)*(E5641=E$1:E5640)))))</f>
        <v> </v>
      </c>
      <c r="L5641" s="26"/>
    </row>
    <row r="5642" spans="1:12">
      <c r="A5642" s="20" t="s">
        <v>1783</v>
      </c>
      <c r="B5642" s="27" t="s">
        <v>1053</v>
      </c>
      <c r="C5642" s="27" t="s">
        <v>1123</v>
      </c>
      <c r="E5642" s="21">
        <f>IF(D5642="?OLD","!!!","")</f>
        <v/>
      </c>
      <c r="F5642" s="22" t="str">
        <f>IF(OR(E5642="",E5642="!!!"),"",IF(NOT(ISNA(VLOOKUP(E5642,E$1:E5641,1,FALSE()))),"OLD",IF(AND(E5642&lt;&gt;"",E5642&lt;&gt;"!!!"),"NEW","")))</f>
        <v> </v>
      </c>
      <c r="G5642" s="23" t="str">
        <f>IF(OR(E5642="",E5642="!!!"),"",IF(OR(J5642=0,AND(J5642=1,K5642=1),AND(J5642=1,I5642="SBJ"),AND(J5642=1,I5642=0)),"?IN_FOCUS",IF(J5642&lt;=2,"?ACTIVATED",IF(J5642&lt;&gt;"","?FAMILIAR",IF(F5642="NEW",IF(ISNA(VLOOKUP(E5642,#REF!,1,FALSE())),"?TYPE_IDENTIFIABLE","?REFERENTIAL"),"_")))))</f>
        <v> </v>
      </c>
      <c r="H5642" s="24" t="str">
        <f>IF(J5642&lt;&gt;1,"",IF(I5642="SBJ","CB","?"))</f>
        <v> </v>
      </c>
      <c r="I5642" s="25" t="str">
        <f>IF(OR(E5642="",E5642="!!!",F5642="NEW"),"",INDEX(B5641:B$2,-1+SUMPRODUCT(MAX(ROW(E5641:E$2)*(E5642=E5641:E$2)))))</f>
        <v> </v>
      </c>
      <c r="J5642" s="25" t="str">
        <f>IF(OR(E5642="",E5642="!!!",F5642="NEW"),"",COUNTBLANK(OFFSET(A$1,,,SUMPRODUCT(MAX(ROW(E$2:E5642)*(E5642=E$2:E5642)))))-COUNTBLANK(OFFSET(A$1,,,SUMPRODUCT(MAX(ROW(E$1:E5641)*(E2=E$1:E5641))))))</f>
        <v> </v>
      </c>
      <c r="K5642" s="25" t="str">
        <f>IF(OR(E5642="",E5642="!!!",F5642="NEW"),"",INDEX(J$1:J5641,SUMPRODUCT(MAX(ROW(E$1:E5641)*(E5642=E$1:E5641)))))</f>
        <v> </v>
      </c>
      <c r="L5642" s="26"/>
    </row>
    <row r="5643" spans="1:12">
      <c r="A5643" s="20" t="s">
        <v>975</v>
      </c>
      <c r="E5643" s="21">
        <f>IF(D5643="?OLD","!!!","")</f>
        <v/>
      </c>
      <c r="F5643" s="22" t="str">
        <f>IF(OR(E5643="",E5643="!!!"),"",IF(NOT(ISNA(VLOOKUP(E5643,E$1:E5642,1,FALSE()))),"OLD",IF(AND(E5643&lt;&gt;"",E5643&lt;&gt;"!!!"),"NEW","")))</f>
        <v> </v>
      </c>
      <c r="G5643" s="23" t="str">
        <f>IF(OR(E5643="",E5643="!!!"),"",IF(OR(J5643=0,AND(J5643=1,K5643=1),AND(J5643=1,I5643="SBJ"),AND(J5643=1,I5643=0)),"?IN_FOCUS",IF(J5643&lt;=2,"?ACTIVATED",IF(J5643&lt;&gt;"","?FAMILIAR",IF(F5643="NEW",IF(ISNA(VLOOKUP(E5643,#REF!,1,FALSE())),"?TYPE_IDENTIFIABLE","?REFERENTIAL"),"_")))))</f>
        <v> </v>
      </c>
      <c r="H5643" s="24" t="str">
        <f>IF(J5643&lt;&gt;1,"",IF(I5643="SBJ","CB","?"))</f>
        <v> </v>
      </c>
      <c r="I5643" s="25" t="str">
        <f>IF(OR(E5643="",E5643="!!!",F5643="NEW"),"",INDEX(B5642:B$2,-1+SUMPRODUCT(MAX(ROW(E5642:E$2)*(E5643=E5642:E$2)))))</f>
        <v> </v>
      </c>
      <c r="J5643" s="25" t="str">
        <f>IF(OR(E5643="",E5643="!!!",F5643="NEW"),"",COUNTBLANK(OFFSET(A$1,,,SUMPRODUCT(MAX(ROW(E$2:E5643)*(E5643=E$2:E5643)))))-COUNTBLANK(OFFSET(A$1,,,SUMPRODUCT(MAX(ROW(E$1:E5642)*(E2=E$1:E5642))))))</f>
        <v> </v>
      </c>
      <c r="K5643" s="25" t="str">
        <f>IF(OR(E5643="",E5643="!!!",F5643="NEW"),"",INDEX(J$1:J5642,SUMPRODUCT(MAX(ROW(E$1:E5642)*(E5643=E$1:E5642)))))</f>
        <v> </v>
      </c>
      <c r="L5643" s="26"/>
    </row>
    <row r="5644" spans="1:12">
      <c r="A5644" s="20" t="s">
        <v>1043</v>
      </c>
      <c r="E5644" s="21">
        <f>IF(D5644="?OLD","!!!","")</f>
        <v/>
      </c>
      <c r="F5644" s="22" t="str">
        <f>IF(OR(E5644="",E5644="!!!"),"",IF(NOT(ISNA(VLOOKUP(E5644,E$1:E5643,1,FALSE()))),"OLD",IF(AND(E5644&lt;&gt;"",E5644&lt;&gt;"!!!"),"NEW","")))</f>
        <v> </v>
      </c>
      <c r="G5644" s="23" t="str">
        <f>IF(OR(E5644="",E5644="!!!"),"",IF(OR(J5644=0,AND(J5644=1,K5644=1),AND(J5644=1,I5644="SBJ"),AND(J5644=1,I5644=0)),"?IN_FOCUS",IF(J5644&lt;=2,"?ACTIVATED",IF(J5644&lt;&gt;"","?FAMILIAR",IF(F5644="NEW",IF(ISNA(VLOOKUP(E5644,#REF!,1,FALSE())),"?TYPE_IDENTIFIABLE","?REFERENTIAL"),"_")))))</f>
        <v> </v>
      </c>
      <c r="H5644" s="24" t="str">
        <f>IF(J5644&lt;&gt;1,"",IF(I5644="SBJ","CB","?"))</f>
        <v> </v>
      </c>
      <c r="I5644" s="25" t="str">
        <f>IF(OR(E5644="",E5644="!!!",F5644="NEW"),"",INDEX(B5643:B$2,-1+SUMPRODUCT(MAX(ROW(E5643:E$2)*(E5644=E5643:E$2)))))</f>
        <v> </v>
      </c>
      <c r="J5644" s="25" t="str">
        <f>IF(OR(E5644="",E5644="!!!",F5644="NEW"),"",COUNTBLANK(OFFSET(A$1,,,SUMPRODUCT(MAX(ROW(E$2:E5644)*(E5644=E$2:E5644)))))-COUNTBLANK(OFFSET(A$1,,,SUMPRODUCT(MAX(ROW(E$1:E5643)*(E2=E$1:E5643))))))</f>
        <v> </v>
      </c>
      <c r="K5644" s="25" t="str">
        <f>IF(OR(E5644="",E5644="!!!",F5644="NEW"),"",INDEX(J$1:J5643,SUMPRODUCT(MAX(ROW(E$1:E5643)*(E5644=E$1:E5643)))))</f>
        <v> </v>
      </c>
      <c r="L5644" s="26"/>
    </row>
    <row r="5645" spans="1:12">
      <c r="A5645" s="20" t="s">
        <v>2496</v>
      </c>
      <c r="B5645" s="27" t="s">
        <v>1053</v>
      </c>
      <c r="C5645" s="27" t="s">
        <v>979</v>
      </c>
      <c r="D5645" s="27" t="s">
        <v>969</v>
      </c>
      <c r="E5645" s="21">
        <f>IF(D5645="?OLD","!!!","")</f>
        <v/>
      </c>
      <c r="F5645" s="22" t="str">
        <f>IF(OR(E5645="",E5645="!!!"),"",IF(NOT(ISNA(VLOOKUP(E5645,E$1:E5644,1,FALSE()))),"OLD",IF(AND(E5645&lt;&gt;"",E5645&lt;&gt;"!!!"),"NEW","")))</f>
        <v> </v>
      </c>
      <c r="G5645" s="23" t="str">
        <f>IF(OR(E5645="",E5645="!!!"),"",IF(OR(J5645=0,AND(J5645=1,K5645=1),AND(J5645=1,I5645="SBJ"),AND(J5645=1,I5645=0)),"?IN_FOCUS",IF(J5645&lt;=2,"?ACTIVATED",IF(J5645&lt;&gt;"","?FAMILIAR",IF(F5645="NEW",IF(ISNA(VLOOKUP(E5645,#REF!,1,FALSE())),"?TYPE_IDENTIFIABLE","?REFERENTIAL"),"_")))))</f>
        <v> </v>
      </c>
      <c r="H5645" s="24" t="str">
        <f>IF(J5645&lt;&gt;1,"",IF(I5645="SBJ","CB","?"))</f>
        <v> </v>
      </c>
      <c r="I5645" s="25" t="str">
        <f>IF(OR(E5645="",E5645="!!!",F5645="NEW"),"",INDEX(B5644:B$2,-1+SUMPRODUCT(MAX(ROW(E5644:E$2)*(E5645=E5644:E$2)))))</f>
        <v> </v>
      </c>
      <c r="J5645" s="25" t="str">
        <f>IF(OR(E5645="",E5645="!!!",F5645="NEW"),"",COUNTBLANK(OFFSET(A$1,,,SUMPRODUCT(MAX(ROW(E$2:E5645)*(E5645=E$2:E5645)))))-COUNTBLANK(OFFSET(A$1,,,SUMPRODUCT(MAX(ROW(E$1:E5644)*(E2=E$1:E5644))))))</f>
        <v> </v>
      </c>
      <c r="K5645" s="25" t="str">
        <f>IF(OR(E5645="",E5645="!!!",F5645="NEW"),"",INDEX(J$1:J5644,SUMPRODUCT(MAX(ROW(E$1:E5644)*(E5645=E$1:E5644)))))</f>
        <v> </v>
      </c>
      <c r="L5645" s="26"/>
    </row>
    <row r="5646" spans="1:12">
      <c r="A5646" s="20" t="s">
        <v>2283</v>
      </c>
      <c r="E5646" s="21">
        <f>IF(D5646="?OLD","!!!","")</f>
        <v/>
      </c>
      <c r="F5646" s="22" t="str">
        <f>IF(OR(E5646="",E5646="!!!"),"",IF(NOT(ISNA(VLOOKUP(E5646,E$1:E5645,1,FALSE()))),"OLD",IF(AND(E5646&lt;&gt;"",E5646&lt;&gt;"!!!"),"NEW","")))</f>
        <v> </v>
      </c>
      <c r="G5646" s="23" t="str">
        <f>IF(OR(E5646="",E5646="!!!"),"",IF(OR(J5646=0,AND(J5646=1,K5646=1),AND(J5646=1,I5646="SBJ"),AND(J5646=1,I5646=0)),"?IN_FOCUS",IF(J5646&lt;=2,"?ACTIVATED",IF(J5646&lt;&gt;"","?FAMILIAR",IF(F5646="NEW",IF(ISNA(VLOOKUP(E5646,#REF!,1,FALSE())),"?TYPE_IDENTIFIABLE","?REFERENTIAL"),"_")))))</f>
        <v> </v>
      </c>
      <c r="H5646" s="24" t="str">
        <f>IF(J5646&lt;&gt;1,"",IF(I5646="SBJ","CB","?"))</f>
        <v> </v>
      </c>
      <c r="I5646" s="25" t="str">
        <f>IF(OR(E5646="",E5646="!!!",F5646="NEW"),"",INDEX(B5645:B$2,-1+SUMPRODUCT(MAX(ROW(E5645:E$2)*(E5646=E5645:E$2)))))</f>
        <v> </v>
      </c>
      <c r="J5646" s="25" t="str">
        <f>IF(OR(E5646="",E5646="!!!",F5646="NEW"),"",COUNTBLANK(OFFSET(A$1,,,SUMPRODUCT(MAX(ROW(E$2:E5646)*(E5646=E$2:E5646)))))-COUNTBLANK(OFFSET(A$1,,,SUMPRODUCT(MAX(ROW(E$1:E5645)*(E2=E$1:E5645))))))</f>
        <v> </v>
      </c>
      <c r="K5646" s="25" t="str">
        <f>IF(OR(E5646="",E5646="!!!",F5646="NEW"),"",INDEX(J$1:J5645,SUMPRODUCT(MAX(ROW(E$1:E5645)*(E5646=E$1:E5645)))))</f>
        <v> </v>
      </c>
      <c r="L5646" s="26"/>
    </row>
    <row r="5647" spans="1:12">
      <c r="A5647" s="20" t="s">
        <v>999</v>
      </c>
      <c r="E5647" s="21">
        <f>IF(D5647="?OLD","!!!","")</f>
        <v/>
      </c>
      <c r="F5647" s="22" t="str">
        <f>IF(OR(E5647="",E5647="!!!"),"",IF(NOT(ISNA(VLOOKUP(E5647,E$1:E5646,1,FALSE()))),"OLD",IF(AND(E5647&lt;&gt;"",E5647&lt;&gt;"!!!"),"NEW","")))</f>
        <v> </v>
      </c>
      <c r="G5647" s="23" t="str">
        <f>IF(OR(E5647="",E5647="!!!"),"",IF(OR(J5647=0,AND(J5647=1,K5647=1),AND(J5647=1,I5647="SBJ"),AND(J5647=1,I5647=0)),"?IN_FOCUS",IF(J5647&lt;=2,"?ACTIVATED",IF(J5647&lt;&gt;"","?FAMILIAR",IF(F5647="NEW",IF(ISNA(VLOOKUP(E5647,#REF!,1,FALSE())),"?TYPE_IDENTIFIABLE","?REFERENTIAL"),"_")))))</f>
        <v> </v>
      </c>
      <c r="H5647" s="24" t="str">
        <f>IF(J5647&lt;&gt;1,"",IF(I5647="SBJ","CB","?"))</f>
        <v> </v>
      </c>
      <c r="I5647" s="25" t="str">
        <f>IF(OR(E5647="",E5647="!!!",F5647="NEW"),"",INDEX(B5646:B$2,-1+SUMPRODUCT(MAX(ROW(E5646:E$2)*(E5647=E5646:E$2)))))</f>
        <v> </v>
      </c>
      <c r="J5647" s="25" t="str">
        <f>IF(OR(E5647="",E5647="!!!",F5647="NEW"),"",COUNTBLANK(OFFSET(A$1,,,SUMPRODUCT(MAX(ROW(E$2:E5647)*(E5647=E$2:E5647)))))-COUNTBLANK(OFFSET(A$1,,,SUMPRODUCT(MAX(ROW(E$1:E5646)*(E2=E$1:E5646))))))</f>
        <v> </v>
      </c>
      <c r="K5647" s="25" t="str">
        <f>IF(OR(E5647="",E5647="!!!",F5647="NEW"),"",INDEX(J$1:J5646,SUMPRODUCT(MAX(ROW(E$1:E5646)*(E5647=E$1:E5646)))))</f>
        <v> </v>
      </c>
      <c r="L5647" s="26"/>
    </row>
    <row r="5648" spans="1:12">
      <c r="A5648" s="20" t="s">
        <v>37</v>
      </c>
      <c r="E5648" s="21">
        <f>IF(D5648="?OLD","!!!","")</f>
        <v/>
      </c>
      <c r="F5648" s="22" t="str">
        <f>IF(OR(E5648="",E5648="!!!"),"",IF(NOT(ISNA(VLOOKUP(E5648,E$1:E5647,1,FALSE()))),"OLD",IF(AND(E5648&lt;&gt;"",E5648&lt;&gt;"!!!"),"NEW","")))</f>
        <v> </v>
      </c>
      <c r="G5648" s="23" t="str">
        <f>IF(OR(E5648="",E5648="!!!"),"",IF(OR(J5648=0,AND(J5648=1,K5648=1),AND(J5648=1,I5648="SBJ"),AND(J5648=1,I5648=0)),"?IN_FOCUS",IF(J5648&lt;=2,"?ACTIVATED",IF(J5648&lt;&gt;"","?FAMILIAR",IF(F5648="NEW",IF(ISNA(VLOOKUP(E5648,#REF!,1,FALSE())),"?TYPE_IDENTIFIABLE","?REFERENTIAL"),"_")))))</f>
        <v> </v>
      </c>
      <c r="H5648" s="24" t="str">
        <f>IF(J5648&lt;&gt;1,"",IF(I5648="SBJ","CB","?"))</f>
        <v> </v>
      </c>
      <c r="I5648" s="25" t="str">
        <f>IF(OR(E5648="",E5648="!!!",F5648="NEW"),"",INDEX(B5647:B$2,-1+SUMPRODUCT(MAX(ROW(E5647:E$2)*(E5648=E5647:E$2)))))</f>
        <v> </v>
      </c>
      <c r="J5648" s="25" t="str">
        <f>IF(OR(E5648="",E5648="!!!",F5648="NEW"),"",COUNTBLANK(OFFSET(A$1,,,SUMPRODUCT(MAX(ROW(E$2:E5648)*(E5648=E$2:E5648)))))-COUNTBLANK(OFFSET(A$1,,,SUMPRODUCT(MAX(ROW(E$1:E5647)*(E2=E$1:E5647))))))</f>
        <v> </v>
      </c>
      <c r="K5648" s="25" t="str">
        <f>IF(OR(E5648="",E5648="!!!",F5648="NEW"),"",INDEX(J$1:J5647,SUMPRODUCT(MAX(ROW(E$1:E5647)*(E5648=E$1:E5647)))))</f>
        <v> </v>
      </c>
      <c r="L5648" s="26"/>
    </row>
    <row r="5649" spans="1:12">
      <c r="A5649" s="20" t="s">
        <v>1005</v>
      </c>
      <c r="E5649" s="21">
        <f>IF(D5649="?OLD","!!!","")</f>
        <v/>
      </c>
      <c r="F5649" s="22" t="str">
        <f>IF(OR(E5649="",E5649="!!!"),"",IF(NOT(ISNA(VLOOKUP(E5649,E$1:E5648,1,FALSE()))),"OLD",IF(AND(E5649&lt;&gt;"",E5649&lt;&gt;"!!!"),"NEW","")))</f>
        <v> </v>
      </c>
      <c r="G5649" s="23" t="str">
        <f>IF(OR(E5649="",E5649="!!!"),"",IF(OR(J5649=0,AND(J5649=1,K5649=1),AND(J5649=1,I5649="SBJ"),AND(J5649=1,I5649=0)),"?IN_FOCUS",IF(J5649&lt;=2,"?ACTIVATED",IF(J5649&lt;&gt;"","?FAMILIAR",IF(F5649="NEW",IF(ISNA(VLOOKUP(E5649,#REF!,1,FALSE())),"?TYPE_IDENTIFIABLE","?REFERENTIAL"),"_")))))</f>
        <v> </v>
      </c>
      <c r="H5649" s="24" t="str">
        <f>IF(J5649&lt;&gt;1,"",IF(I5649="SBJ","CB","?"))</f>
        <v> </v>
      </c>
      <c r="I5649" s="25" t="str">
        <f>IF(OR(E5649="",E5649="!!!",F5649="NEW"),"",INDEX(B5648:B$2,-1+SUMPRODUCT(MAX(ROW(E5648:E$2)*(E5649=E5648:E$2)))))</f>
        <v> </v>
      </c>
      <c r="J5649" s="25" t="str">
        <f>IF(OR(E5649="",E5649="!!!",F5649="NEW"),"",COUNTBLANK(OFFSET(A$1,,,SUMPRODUCT(MAX(ROW(E$2:E5649)*(E5649=E$2:E5649)))))-COUNTBLANK(OFFSET(A$1,,,SUMPRODUCT(MAX(ROW(E$1:E5648)*(E2=E$1:E5648))))))</f>
        <v> </v>
      </c>
      <c r="K5649" s="25" t="str">
        <f>IF(OR(E5649="",E5649="!!!",F5649="NEW"),"",INDEX(J$1:J5648,SUMPRODUCT(MAX(ROW(E$1:E5648)*(E5649=E$1:E5648)))))</f>
        <v> </v>
      </c>
      <c r="L5649" s="26"/>
    </row>
    <row r="5650" spans="1:12">
      <c r="A5650" s="20"/>
    </row>
    <row r="5651" spans="1:12">
      <c r="A5651" s="20" t="s">
        <v>1060</v>
      </c>
      <c r="E5651" s="21">
        <f>IF(D5651="?OLD","!!!","")</f>
        <v/>
      </c>
      <c r="F5651" s="22" t="str">
        <f>IF(OR(E5651="",E5651="!!!"),"",IF(NOT(ISNA(VLOOKUP(E5651,E$1:E5650,1,FALSE()))),"OLD",IF(AND(E5651&lt;&gt;"",E5651&lt;&gt;"!!!"),"NEW","")))</f>
        <v> </v>
      </c>
      <c r="G5651" s="23" t="str">
        <f>IF(OR(E5651="",E5651="!!!"),"",IF(OR(J5651=0,AND(J5651=1,K5651=1),AND(J5651=1,I5651="SBJ"),AND(J5651=1,I5651=0)),"?IN_FOCUS",IF(J5651&lt;=2,"?ACTIVATED",IF(J5651&lt;&gt;"","?FAMILIAR",IF(F5651="NEW",IF(ISNA(VLOOKUP(E5651,#REF!,1,FALSE())),"?TYPE_IDENTIFIABLE","?REFERENTIAL"),"_")))))</f>
        <v> </v>
      </c>
      <c r="H5651" s="24" t="str">
        <f>IF(J5651&lt;&gt;1,"",IF(I5651="SBJ","CB","?"))</f>
        <v> </v>
      </c>
      <c r="I5651" s="25" t="str">
        <f>IF(OR(E5651="",E5651="!!!",F5651="NEW"),"",INDEX(B5650:B$2,-1+SUMPRODUCT(MAX(ROW(E5650:E$2)*(E5651=E5650:E$2)))))</f>
        <v> </v>
      </c>
      <c r="J5651" s="25" t="str">
        <f>IF(OR(E5651="",E5651="!!!",F5651="NEW"),"",COUNTBLANK(OFFSET(A$1,,,SUMPRODUCT(MAX(ROW(E$2:E5651)*(E5651=E$2:E5651)))))-COUNTBLANK(OFFSET(A$1,,,SUMPRODUCT(MAX(ROW(E$1:E5650)*(E2=E$1:E5650))))))</f>
        <v> </v>
      </c>
      <c r="K5651" s="25" t="str">
        <f>IF(OR(E5651="",E5651="!!!",F5651="NEW"),"",INDEX(J$1:J5650,SUMPRODUCT(MAX(ROW(E$1:E5650)*(E5651=E$1:E5650)))))</f>
        <v> </v>
      </c>
      <c r="L5651" s="26"/>
    </row>
    <row r="5652" spans="1:12">
      <c r="A5652" s="20" t="s">
        <v>2497</v>
      </c>
    </row>
    <row r="5653" spans="1:12">
      <c r="A5653" s="20" t="s">
        <v>1251</v>
      </c>
      <c r="B5653" s="27" t="s">
        <v>967</v>
      </c>
      <c r="C5653" s="27" t="s">
        <v>968</v>
      </c>
      <c r="D5653" s="27" t="s">
        <v>969</v>
      </c>
      <c r="E5653" s="21">
        <f>IF(D5653="?OLD","!!!","")</f>
        <v/>
      </c>
      <c r="F5653" s="22" t="str">
        <f>IF(OR(E5653="",E5653="!!!"),"",IF(NOT(ISNA(VLOOKUP(E5653,E$1:E5652,1,FALSE()))),"OLD",IF(AND(E5653&lt;&gt;"",E5653&lt;&gt;"!!!"),"NEW","")))</f>
        <v> </v>
      </c>
      <c r="G5653" s="23" t="str">
        <f>IF(OR(E5653="",E5653="!!!"),"",IF(OR(J5653=0,AND(J5653=1,K5653=1),AND(J5653=1,I5653="SBJ"),AND(J5653=1,I5653=0)),"?IN_FOCUS",IF(J5653&lt;=2,"?ACTIVATED",IF(J5653&lt;&gt;"","?FAMILIAR",IF(F5653="NEW",IF(ISNA(VLOOKUP(E5653,#REF!,1,FALSE())),"?TYPE_IDENTIFIABLE","?REFERENTIAL"),"_")))))</f>
        <v> </v>
      </c>
      <c r="H5653" s="24" t="str">
        <f>IF(J5653&lt;&gt;1,"",IF(I5653="SBJ","CB","?"))</f>
        <v> </v>
      </c>
      <c r="I5653" s="25" t="str">
        <f>IF(OR(E5653="",E5653="!!!",F5653="NEW"),"",INDEX(B5652:B$2,-1+SUMPRODUCT(MAX(ROW(E5652:E$2)*(E5653=E5652:E$2)))))</f>
        <v> </v>
      </c>
      <c r="J5653" s="25" t="str">
        <f>IF(OR(E5653="",E5653="!!!",F5653="NEW"),"",COUNTBLANK(OFFSET(A$1,,,SUMPRODUCT(MAX(ROW(E$2:E5653)*(E5653=E$2:E5653)))))-COUNTBLANK(OFFSET(A$1,,,SUMPRODUCT(MAX(ROW(E$1:E5652)*(E2=E$1:E5652))))))</f>
        <v> </v>
      </c>
      <c r="K5653" s="25" t="str">
        <f>IF(OR(E5653="",E5653="!!!",F5653="NEW"),"",INDEX(J$1:J5652,SUMPRODUCT(MAX(ROW(E$1:E5652)*(E5653=E$1:E5652)))))</f>
        <v> </v>
      </c>
      <c r="L5653" s="26"/>
    </row>
    <row r="5654" spans="1:12">
      <c r="A5654" s="20" t="s">
        <v>2498</v>
      </c>
      <c r="E5654" s="21">
        <f>IF(D5654="?OLD","!!!","")</f>
        <v/>
      </c>
      <c r="F5654" s="22" t="str">
        <f>IF(OR(E5654="",E5654="!!!"),"",IF(NOT(ISNA(VLOOKUP(E5654,E$1:E5653,1,FALSE()))),"OLD",IF(AND(E5654&lt;&gt;"",E5654&lt;&gt;"!!!"),"NEW","")))</f>
        <v> </v>
      </c>
      <c r="G5654" s="23" t="str">
        <f>IF(OR(E5654="",E5654="!!!"),"",IF(OR(J5654=0,AND(J5654=1,K5654=1),AND(J5654=1,I5654="SBJ"),AND(J5654=1,I5654=0)),"?IN_FOCUS",IF(J5654&lt;=2,"?ACTIVATED",IF(J5654&lt;&gt;"","?FAMILIAR",IF(F5654="NEW",IF(ISNA(VLOOKUP(E5654,#REF!,1,FALSE())),"?TYPE_IDENTIFIABLE","?REFERENTIAL"),"_")))))</f>
        <v> </v>
      </c>
      <c r="H5654" s="24" t="str">
        <f>IF(J5654&lt;&gt;1,"",IF(I5654="SBJ","CB","?"))</f>
        <v> </v>
      </c>
      <c r="I5654" s="25" t="str">
        <f>IF(OR(E5654="",E5654="!!!",F5654="NEW"),"",INDEX(B5653:B$2,-1+SUMPRODUCT(MAX(ROW(E5653:E$2)*(E5654=E5653:E$2)))))</f>
        <v> </v>
      </c>
      <c r="J5654" s="25" t="str">
        <f>IF(OR(E5654="",E5654="!!!",F5654="NEW"),"",COUNTBLANK(OFFSET(A$1,,,SUMPRODUCT(MAX(ROW(E$2:E5654)*(E5654=E$2:E5654)))))-COUNTBLANK(OFFSET(A$1,,,SUMPRODUCT(MAX(ROW(E$1:E5653)*(E2=E$1:E5653))))))</f>
        <v> </v>
      </c>
      <c r="K5654" s="25" t="str">
        <f>IF(OR(E5654="",E5654="!!!",F5654="NEW"),"",INDEX(J$1:J5653,SUMPRODUCT(MAX(ROW(E$1:E5653)*(E5654=E$1:E5653)))))</f>
        <v> </v>
      </c>
      <c r="L5654" s="26"/>
    </row>
    <row r="5655" spans="1:12">
      <c r="A5655" s="20" t="s">
        <v>1107</v>
      </c>
      <c r="B5655" s="27" t="s">
        <v>973</v>
      </c>
      <c r="C5655" s="27" t="s">
        <v>968</v>
      </c>
      <c r="D5655" s="27" t="s">
        <v>969</v>
      </c>
      <c r="E5655" s="21">
        <f>IF(D5655="?OLD","!!!","")</f>
        <v/>
      </c>
      <c r="F5655" s="22" t="str">
        <f>IF(OR(E5655="",E5655="!!!"),"",IF(NOT(ISNA(VLOOKUP(E5655,E$1:E5654,1,FALSE()))),"OLD",IF(AND(E5655&lt;&gt;"",E5655&lt;&gt;"!!!"),"NEW","")))</f>
        <v> </v>
      </c>
      <c r="G5655" s="23" t="str">
        <f>IF(OR(E5655="",E5655="!!!"),"",IF(OR(J5655=0,AND(J5655=1,K5655=1),AND(J5655=1,I5655="SBJ"),AND(J5655=1,I5655=0)),"?IN_FOCUS",IF(J5655&lt;=2,"?ACTIVATED",IF(J5655&lt;&gt;"","?FAMILIAR",IF(F5655="NEW",IF(ISNA(VLOOKUP(E5655,#REF!,1,FALSE())),"?TYPE_IDENTIFIABLE","?REFERENTIAL"),"_")))))</f>
        <v> </v>
      </c>
      <c r="H5655" s="24" t="str">
        <f>IF(J5655&lt;&gt;1,"",IF(I5655="SBJ","CB","?"))</f>
        <v> </v>
      </c>
      <c r="I5655" s="25" t="str">
        <f>IF(OR(E5655="",E5655="!!!",F5655="NEW"),"",INDEX(B5654:B$2,-1+SUMPRODUCT(MAX(ROW(E5654:E$2)*(E5655=E5654:E$2)))))</f>
        <v> </v>
      </c>
      <c r="J5655" s="25" t="str">
        <f>IF(OR(E5655="",E5655="!!!",F5655="NEW"),"",COUNTBLANK(OFFSET(A$1,,,SUMPRODUCT(MAX(ROW(E$2:E5655)*(E5655=E$2:E5655)))))-COUNTBLANK(OFFSET(A$1,,,SUMPRODUCT(MAX(ROW(E$1:E5654)*(E2=E$1:E5654))))))</f>
        <v> </v>
      </c>
      <c r="K5655" s="25" t="str">
        <f>IF(OR(E5655="",E5655="!!!",F5655="NEW"),"",INDEX(J$1:J5654,SUMPRODUCT(MAX(ROW(E$1:E5654)*(E5655=E$1:E5654)))))</f>
        <v> </v>
      </c>
      <c r="L5655" s="26"/>
    </row>
    <row r="5656" spans="1:12">
      <c r="A5656" s="20" t="s">
        <v>1445</v>
      </c>
      <c r="E5656" s="21">
        <f>IF(D5656="?OLD","!!!","")</f>
        <v/>
      </c>
      <c r="F5656" s="22" t="str">
        <f>IF(OR(E5656="",E5656="!!!"),"",IF(NOT(ISNA(VLOOKUP(E5656,E$1:E5655,1,FALSE()))),"OLD",IF(AND(E5656&lt;&gt;"",E5656&lt;&gt;"!!!"),"NEW","")))</f>
        <v> </v>
      </c>
      <c r="G5656" s="23" t="str">
        <f>IF(OR(E5656="",E5656="!!!"),"",IF(OR(J5656=0,AND(J5656=1,K5656=1),AND(J5656=1,I5656="SBJ"),AND(J5656=1,I5656=0)),"?IN_FOCUS",IF(J5656&lt;=2,"?ACTIVATED",IF(J5656&lt;&gt;"","?FAMILIAR",IF(F5656="NEW",IF(ISNA(VLOOKUP(E5656,#REF!,1,FALSE())),"?TYPE_IDENTIFIABLE","?REFERENTIAL"),"_")))))</f>
        <v> </v>
      </c>
      <c r="H5656" s="24" t="str">
        <f>IF(J5656&lt;&gt;1,"",IF(I5656="SBJ","CB","?"))</f>
        <v> </v>
      </c>
      <c r="I5656" s="25" t="str">
        <f>IF(OR(E5656="",E5656="!!!",F5656="NEW"),"",INDEX(B5655:B$2,-1+SUMPRODUCT(MAX(ROW(E5655:E$2)*(E5656=E5655:E$2)))))</f>
        <v> </v>
      </c>
      <c r="J5656" s="25" t="str">
        <f>IF(OR(E5656="",E5656="!!!",F5656="NEW"),"",COUNTBLANK(OFFSET(A$1,,,SUMPRODUCT(MAX(ROW(E$2:E5656)*(E5656=E$2:E5656)))))-COUNTBLANK(OFFSET(A$1,,,SUMPRODUCT(MAX(ROW(E$1:E5655)*(E2=E$1:E5655))))))</f>
        <v> </v>
      </c>
      <c r="K5656" s="25" t="str">
        <f>IF(OR(E5656="",E5656="!!!",F5656="NEW"),"",INDEX(J$1:J5655,SUMPRODUCT(MAX(ROW(E$1:E5655)*(E5656=E$1:E5655)))))</f>
        <v> </v>
      </c>
      <c r="L5656" s="26"/>
    </row>
    <row r="5657" spans="1:12">
      <c r="A5657" s="20" t="s">
        <v>1179</v>
      </c>
      <c r="B5657" s="27" t="s">
        <v>978</v>
      </c>
      <c r="C5657" s="27" t="s">
        <v>1011</v>
      </c>
      <c r="D5657" s="27" t="s">
        <v>969</v>
      </c>
      <c r="E5657" s="21">
        <f>IF(D5657="?OLD","!!!","")</f>
        <v/>
      </c>
      <c r="F5657" s="22" t="str">
        <f>IF(OR(E5657="",E5657="!!!"),"",IF(NOT(ISNA(VLOOKUP(E5657,E$1:E5656,1,FALSE()))),"OLD",IF(AND(E5657&lt;&gt;"",E5657&lt;&gt;"!!!"),"NEW","")))</f>
        <v> </v>
      </c>
      <c r="G5657" s="23" t="str">
        <f>IF(OR(E5657="",E5657="!!!"),"",IF(OR(J5657=0,AND(J5657=1,K5657=1),AND(J5657=1,I5657="SBJ"),AND(J5657=1,I5657=0)),"?IN_FOCUS",IF(J5657&lt;=2,"?ACTIVATED",IF(J5657&lt;&gt;"","?FAMILIAR",IF(F5657="NEW",IF(ISNA(VLOOKUP(E5657,#REF!,1,FALSE())),"?TYPE_IDENTIFIABLE","?REFERENTIAL"),"_")))))</f>
        <v> </v>
      </c>
      <c r="H5657" s="24" t="str">
        <f>IF(J5657&lt;&gt;1,"",IF(I5657="SBJ","CB","?"))</f>
        <v> </v>
      </c>
      <c r="I5657" s="25" t="str">
        <f>IF(OR(E5657="",E5657="!!!",F5657="NEW"),"",INDEX(B5656:B$2,-1+SUMPRODUCT(MAX(ROW(E5656:E$2)*(E5657=E5656:E$2)))))</f>
        <v> </v>
      </c>
      <c r="J5657" s="25" t="str">
        <f>IF(OR(E5657="",E5657="!!!",F5657="NEW"),"",COUNTBLANK(OFFSET(A$1,,,SUMPRODUCT(MAX(ROW(E$2:E5657)*(E5657=E$2:E5657)))))-COUNTBLANK(OFFSET(A$1,,,SUMPRODUCT(MAX(ROW(E$1:E5656)*(E2=E$1:E5656))))))</f>
        <v> </v>
      </c>
      <c r="K5657" s="25" t="str">
        <f>IF(OR(E5657="",E5657="!!!",F5657="NEW"),"",INDEX(J$1:J5656,SUMPRODUCT(MAX(ROW(E$1:E5656)*(E5657=E$1:E5656)))))</f>
        <v> </v>
      </c>
      <c r="L5657" s="26"/>
    </row>
    <row r="5658" spans="1:12">
      <c r="A5658" s="20" t="s">
        <v>1032</v>
      </c>
      <c r="E5658" s="21">
        <f>IF(D5658="?OLD","!!!","")</f>
        <v/>
      </c>
      <c r="F5658" s="22" t="str">
        <f>IF(OR(E5658="",E5658="!!!"),"",IF(NOT(ISNA(VLOOKUP(E5658,E$1:E5657,1,FALSE()))),"OLD",IF(AND(E5658&lt;&gt;"",E5658&lt;&gt;"!!!"),"NEW","")))</f>
        <v> </v>
      </c>
      <c r="G5658" s="23" t="str">
        <f>IF(OR(E5658="",E5658="!!!"),"",IF(OR(J5658=0,AND(J5658=1,K5658=1),AND(J5658=1,I5658="SBJ"),AND(J5658=1,I5658=0)),"?IN_FOCUS",IF(J5658&lt;=2,"?ACTIVATED",IF(J5658&lt;&gt;"","?FAMILIAR",IF(F5658="NEW",IF(ISNA(VLOOKUP(E5658,#REF!,1,FALSE())),"?TYPE_IDENTIFIABLE","?REFERENTIAL"),"_")))))</f>
        <v> </v>
      </c>
      <c r="H5658" s="24" t="str">
        <f>IF(J5658&lt;&gt;1,"",IF(I5658="SBJ","CB","?"))</f>
        <v> </v>
      </c>
      <c r="I5658" s="25" t="str">
        <f>IF(OR(E5658="",E5658="!!!",F5658="NEW"),"",INDEX(B5657:B$2,-1+SUMPRODUCT(MAX(ROW(E5657:E$2)*(E5658=E5657:E$2)))))</f>
        <v> </v>
      </c>
      <c r="J5658" s="25" t="str">
        <f>IF(OR(E5658="",E5658="!!!",F5658="NEW"),"",COUNTBLANK(OFFSET(A$1,,,SUMPRODUCT(MAX(ROW(E$2:E5658)*(E5658=E$2:E5658)))))-COUNTBLANK(OFFSET(A$1,,,SUMPRODUCT(MAX(ROW(E$1:E5657)*(E2=E$1:E5657))))))</f>
        <v> </v>
      </c>
      <c r="K5658" s="25" t="str">
        <f>IF(OR(E5658="",E5658="!!!",F5658="NEW"),"",INDEX(J$1:J5657,SUMPRODUCT(MAX(ROW(E$1:E5657)*(E5658=E$1:E5657)))))</f>
        <v> </v>
      </c>
      <c r="L5658" s="26"/>
    </row>
    <row r="5659" spans="1:12">
      <c r="A5659" s="20" t="s">
        <v>1489</v>
      </c>
      <c r="B5659" s="27" t="s">
        <v>1053</v>
      </c>
      <c r="C5659" s="27" t="s">
        <v>1123</v>
      </c>
      <c r="E5659" s="21">
        <f>IF(D5659="?OLD","!!!","")</f>
        <v/>
      </c>
      <c r="F5659" s="22" t="str">
        <f>IF(OR(E5659="",E5659="!!!"),"",IF(NOT(ISNA(VLOOKUP(E5659,E$1:E5658,1,FALSE()))),"OLD",IF(AND(E5659&lt;&gt;"",E5659&lt;&gt;"!!!"),"NEW","")))</f>
        <v> </v>
      </c>
      <c r="G5659" s="23" t="str">
        <f>IF(OR(E5659="",E5659="!!!"),"",IF(OR(J5659=0,AND(J5659=1,K5659=1),AND(J5659=1,I5659="SBJ"),AND(J5659=1,I5659=0)),"?IN_FOCUS",IF(J5659&lt;=2,"?ACTIVATED",IF(J5659&lt;&gt;"","?FAMILIAR",IF(F5659="NEW",IF(ISNA(VLOOKUP(E5659,#REF!,1,FALSE())),"?TYPE_IDENTIFIABLE","?REFERENTIAL"),"_")))))</f>
        <v> </v>
      </c>
      <c r="H5659" s="24" t="str">
        <f>IF(J5659&lt;&gt;1,"",IF(I5659="SBJ","CB","?"))</f>
        <v> </v>
      </c>
      <c r="I5659" s="25" t="str">
        <f>IF(OR(E5659="",E5659="!!!",F5659="NEW"),"",INDEX(B5658:B$2,-1+SUMPRODUCT(MAX(ROW(E5658:E$2)*(E5659=E5658:E$2)))))</f>
        <v> </v>
      </c>
      <c r="J5659" s="25" t="str">
        <f>IF(OR(E5659="",E5659="!!!",F5659="NEW"),"",COUNTBLANK(OFFSET(A$1,,,SUMPRODUCT(MAX(ROW(E$2:E5659)*(E5659=E$2:E5659)))))-COUNTBLANK(OFFSET(A$1,,,SUMPRODUCT(MAX(ROW(E$1:E5658)*(E2=E$1:E5658))))))</f>
        <v> </v>
      </c>
      <c r="K5659" s="25" t="str">
        <f>IF(OR(E5659="",E5659="!!!",F5659="NEW"),"",INDEX(J$1:J5658,SUMPRODUCT(MAX(ROW(E$1:E5658)*(E5659=E$1:E5658)))))</f>
        <v> </v>
      </c>
      <c r="L5659" s="26"/>
    </row>
    <row r="5660" spans="1:12">
      <c r="A5660" s="20" t="s">
        <v>991</v>
      </c>
      <c r="E5660" s="21">
        <f>IF(D5660="?OLD","!!!","")</f>
        <v/>
      </c>
      <c r="F5660" s="22" t="str">
        <f>IF(OR(E5660="",E5660="!!!"),"",IF(NOT(ISNA(VLOOKUP(E5660,E$1:E5659,1,FALSE()))),"OLD",IF(AND(E5660&lt;&gt;"",E5660&lt;&gt;"!!!"),"NEW","")))</f>
        <v> </v>
      </c>
      <c r="G5660" s="23" t="str">
        <f>IF(OR(E5660="",E5660="!!!"),"",IF(OR(J5660=0,AND(J5660=1,K5660=1),AND(J5660=1,I5660="SBJ"),AND(J5660=1,I5660=0)),"?IN_FOCUS",IF(J5660&lt;=2,"?ACTIVATED",IF(J5660&lt;&gt;"","?FAMILIAR",IF(F5660="NEW",IF(ISNA(VLOOKUP(E5660,#REF!,1,FALSE())),"?TYPE_IDENTIFIABLE","?REFERENTIAL"),"_")))))</f>
        <v> </v>
      </c>
      <c r="H5660" s="24" t="str">
        <f>IF(J5660&lt;&gt;1,"",IF(I5660="SBJ","CB","?"))</f>
        <v> </v>
      </c>
      <c r="I5660" s="25" t="str">
        <f>IF(OR(E5660="",E5660="!!!",F5660="NEW"),"",INDEX(B5659:B$2,-1+SUMPRODUCT(MAX(ROW(E5659:E$2)*(E5660=E5659:E$2)))))</f>
        <v> </v>
      </c>
      <c r="J5660" s="25" t="str">
        <f>IF(OR(E5660="",E5660="!!!",F5660="NEW"),"",COUNTBLANK(OFFSET(A$1,,,SUMPRODUCT(MAX(ROW(E$2:E5660)*(E5660=E$2:E5660)))))-COUNTBLANK(OFFSET(A$1,,,SUMPRODUCT(MAX(ROW(E$1:E5659)*(E2=E$1:E5659))))))</f>
        <v> </v>
      </c>
      <c r="K5660" s="25" t="str">
        <f>IF(OR(E5660="",E5660="!!!",F5660="NEW"),"",INDEX(J$1:J5659,SUMPRODUCT(MAX(ROW(E$1:E5659)*(E5660=E$1:E5659)))))</f>
        <v> </v>
      </c>
      <c r="L5660" s="26"/>
    </row>
    <row r="5661" spans="1:12">
      <c r="A5661" s="20" t="s">
        <v>980</v>
      </c>
      <c r="E5661" s="21">
        <f>IF(D5661="?OLD","!!!","")</f>
        <v/>
      </c>
      <c r="F5661" s="22" t="str">
        <f>IF(OR(E5661="",E5661="!!!"),"",IF(NOT(ISNA(VLOOKUP(E5661,E$1:E5660,1,FALSE()))),"OLD",IF(AND(E5661&lt;&gt;"",E5661&lt;&gt;"!!!"),"NEW","")))</f>
        <v> </v>
      </c>
      <c r="G5661" s="23" t="str">
        <f>IF(OR(E5661="",E5661="!!!"),"",IF(OR(J5661=0,AND(J5661=1,K5661=1),AND(J5661=1,I5661="SBJ"),AND(J5661=1,I5661=0)),"?IN_FOCUS",IF(J5661&lt;=2,"?ACTIVATED",IF(J5661&lt;&gt;"","?FAMILIAR",IF(F5661="NEW",IF(ISNA(VLOOKUP(E5661,#REF!,1,FALSE())),"?TYPE_IDENTIFIABLE","?REFERENTIAL"),"_")))))</f>
        <v> </v>
      </c>
      <c r="H5661" s="24" t="str">
        <f>IF(J5661&lt;&gt;1,"",IF(I5661="SBJ","CB","?"))</f>
        <v> </v>
      </c>
      <c r="I5661" s="25" t="str">
        <f>IF(OR(E5661="",E5661="!!!",F5661="NEW"),"",INDEX(B5660:B$2,-1+SUMPRODUCT(MAX(ROW(E5660:E$2)*(E5661=E5660:E$2)))))</f>
        <v> </v>
      </c>
      <c r="J5661" s="25" t="str">
        <f>IF(OR(E5661="",E5661="!!!",F5661="NEW"),"",COUNTBLANK(OFFSET(A$1,,,SUMPRODUCT(MAX(ROW(E$2:E5661)*(E5661=E$2:E5661)))))-COUNTBLANK(OFFSET(A$1,,,SUMPRODUCT(MAX(ROW(E$1:E5660)*(E2=E$1:E5660))))))</f>
        <v> </v>
      </c>
      <c r="K5661" s="25" t="str">
        <f>IF(OR(E5661="",E5661="!!!",F5661="NEW"),"",INDEX(J$1:J5660,SUMPRODUCT(MAX(ROW(E$1:E5660)*(E5661=E$1:E5660)))))</f>
        <v> </v>
      </c>
      <c r="L5661" s="26"/>
    </row>
    <row r="5662" spans="1:12">
      <c r="A5662" s="20" t="s">
        <v>1033</v>
      </c>
      <c r="B5662" s="27" t="s">
        <v>982</v>
      </c>
      <c r="C5662" s="27" t="s">
        <v>988</v>
      </c>
      <c r="D5662" s="27" t="s">
        <v>969</v>
      </c>
      <c r="E5662" s="21">
        <f>IF(D5662="?OLD","!!!","")</f>
        <v/>
      </c>
      <c r="F5662" s="22" t="str">
        <f>IF(OR(E5662="",E5662="!!!"),"",IF(NOT(ISNA(VLOOKUP(E5662,E$1:E5661,1,FALSE()))),"OLD",IF(AND(E5662&lt;&gt;"",E5662&lt;&gt;"!!!"),"NEW","")))</f>
        <v> </v>
      </c>
      <c r="G5662" s="23" t="str">
        <f>IF(OR(E5662="",E5662="!!!"),"",IF(OR(J5662=0,AND(J5662=1,K5662=1),AND(J5662=1,I5662="SBJ"),AND(J5662=1,I5662=0)),"?IN_FOCUS",IF(J5662&lt;=2,"?ACTIVATED",IF(J5662&lt;&gt;"","?FAMILIAR",IF(F5662="NEW",IF(ISNA(VLOOKUP(E5662,#REF!,1,FALSE())),"?TYPE_IDENTIFIABLE","?REFERENTIAL"),"_")))))</f>
        <v> </v>
      </c>
      <c r="H5662" s="24" t="str">
        <f>IF(J5662&lt;&gt;1,"",IF(I5662="SBJ","CB","?"))</f>
        <v> </v>
      </c>
      <c r="I5662" s="25" t="str">
        <f>IF(OR(E5662="",E5662="!!!",F5662="NEW"),"",INDEX(B5661:B$2,-1+SUMPRODUCT(MAX(ROW(E5661:E$2)*(E5662=E5661:E$2)))))</f>
        <v> </v>
      </c>
      <c r="J5662" s="25" t="str">
        <f>IF(OR(E5662="",E5662="!!!",F5662="NEW"),"",COUNTBLANK(OFFSET(A$1,,,SUMPRODUCT(MAX(ROW(E$2:E5662)*(E5662=E$2:E5662)))))-COUNTBLANK(OFFSET(A$1,,,SUMPRODUCT(MAX(ROW(E$1:E5661)*(E2=E$1:E5661))))))</f>
        <v> </v>
      </c>
      <c r="K5662" s="25" t="str">
        <f>IF(OR(E5662="",E5662="!!!",F5662="NEW"),"",INDEX(J$1:J5661,SUMPRODUCT(MAX(ROW(E$1:E5661)*(E5662=E$1:E5661)))))</f>
        <v> </v>
      </c>
      <c r="L5662" s="26"/>
    </row>
    <row r="5663" spans="1:12">
      <c r="A5663" s="20" t="s">
        <v>1128</v>
      </c>
      <c r="B5663" s="27" t="s">
        <v>1010</v>
      </c>
      <c r="C5663" s="27" t="s">
        <v>974</v>
      </c>
      <c r="E5663" s="21">
        <f>IF(D5663="?OLD","!!!","")</f>
        <v/>
      </c>
      <c r="F5663" s="22" t="str">
        <f>IF(OR(E5663="",E5663="!!!"),"",IF(NOT(ISNA(VLOOKUP(E5663,E$1:E5662,1,FALSE()))),"OLD",IF(AND(E5663&lt;&gt;"",E5663&lt;&gt;"!!!"),"NEW","")))</f>
        <v> </v>
      </c>
      <c r="G5663" s="23" t="str">
        <f>IF(OR(E5663="",E5663="!!!"),"",IF(OR(J5663=0,AND(J5663=1,K5663=1),AND(J5663=1,I5663="SBJ"),AND(J5663=1,I5663=0)),"?IN_FOCUS",IF(J5663&lt;=2,"?ACTIVATED",IF(J5663&lt;&gt;"","?FAMILIAR",IF(F5663="NEW",IF(ISNA(VLOOKUP(E5663,#REF!,1,FALSE())),"?TYPE_IDENTIFIABLE","?REFERENTIAL"),"_")))))</f>
        <v> </v>
      </c>
      <c r="H5663" s="24" t="str">
        <f>IF(J5663&lt;&gt;1,"",IF(I5663="SBJ","CB","?"))</f>
        <v> </v>
      </c>
      <c r="I5663" s="25" t="str">
        <f>IF(OR(E5663="",E5663="!!!",F5663="NEW"),"",INDEX(B5662:B$2,-1+SUMPRODUCT(MAX(ROW(E5662:E$2)*(E5663=E5662:E$2)))))</f>
        <v> </v>
      </c>
      <c r="J5663" s="25" t="str">
        <f>IF(OR(E5663="",E5663="!!!",F5663="NEW"),"",COUNTBLANK(OFFSET(A$1,,,SUMPRODUCT(MAX(ROW(E$2:E5663)*(E5663=E$2:E5663)))))-COUNTBLANK(OFFSET(A$1,,,SUMPRODUCT(MAX(ROW(E$1:E5662)*(E2=E$1:E5662))))))</f>
        <v> </v>
      </c>
      <c r="K5663" s="25" t="str">
        <f>IF(OR(E5663="",E5663="!!!",F5663="NEW"),"",INDEX(J$1:J5662,SUMPRODUCT(MAX(ROW(E$1:E5662)*(E5663=E$1:E5662)))))</f>
        <v> </v>
      </c>
      <c r="L5663" s="26"/>
    </row>
    <row r="5664" spans="1:12">
      <c r="A5664" s="20" t="s">
        <v>999</v>
      </c>
      <c r="B5664" s="27" t="s">
        <v>1003</v>
      </c>
      <c r="C5664" s="27" t="s">
        <v>1001</v>
      </c>
      <c r="E5664" s="21">
        <f>IF(D5664="?OLD","!!!","")</f>
        <v/>
      </c>
      <c r="F5664" s="22" t="str">
        <f>IF(OR(E5664="",E5664="!!!"),"",IF(NOT(ISNA(VLOOKUP(E5664,E$1:E5663,1,FALSE()))),"OLD",IF(AND(E5664&lt;&gt;"",E5664&lt;&gt;"!!!"),"NEW","")))</f>
        <v> </v>
      </c>
      <c r="G5664" s="23" t="str">
        <f>IF(OR(E5664="",E5664="!!!"),"",IF(OR(J5664=0,AND(J5664=1,K5664=1),AND(J5664=1,I5664="SBJ"),AND(J5664=1,I5664=0)),"?IN_FOCUS",IF(J5664&lt;=2,"?ACTIVATED",IF(J5664&lt;&gt;"","?FAMILIAR",IF(F5664="NEW",IF(ISNA(VLOOKUP(E5664,#REF!,1,FALSE())),"?TYPE_IDENTIFIABLE","?REFERENTIAL"),"_")))))</f>
        <v> </v>
      </c>
      <c r="H5664" s="24" t="str">
        <f>IF(J5664&lt;&gt;1,"",IF(I5664="SBJ","CB","?"))</f>
        <v> </v>
      </c>
      <c r="I5664" s="25" t="str">
        <f>IF(OR(E5664="",E5664="!!!",F5664="NEW"),"",INDEX(B5663:B$2,-1+SUMPRODUCT(MAX(ROW(E5663:E$2)*(E5664=E5663:E$2)))))</f>
        <v> </v>
      </c>
      <c r="J5664" s="25" t="str">
        <f>IF(OR(E5664="",E5664="!!!",F5664="NEW"),"",COUNTBLANK(OFFSET(A$1,,,SUMPRODUCT(MAX(ROW(E$2:E5664)*(E5664=E$2:E5664)))))-COUNTBLANK(OFFSET(A$1,,,SUMPRODUCT(MAX(ROW(E$1:E5663)*(E2=E$1:E5663))))))</f>
        <v> </v>
      </c>
      <c r="K5664" s="25" t="str">
        <f>IF(OR(E5664="",E5664="!!!",F5664="NEW"),"",INDEX(J$1:J5663,SUMPRODUCT(MAX(ROW(E$1:E5663)*(E5664=E$1:E5663)))))</f>
        <v> </v>
      </c>
      <c r="L5664" s="26"/>
    </row>
    <row r="5665" spans="1:12">
      <c r="A5665" s="20" t="s">
        <v>1191</v>
      </c>
      <c r="E5665" s="21">
        <f>IF(D5665="?OLD","!!!","")</f>
        <v/>
      </c>
      <c r="F5665" s="22" t="str">
        <f>IF(OR(E5665="",E5665="!!!"),"",IF(NOT(ISNA(VLOOKUP(E5665,E$1:E5664,1,FALSE()))),"OLD",IF(AND(E5665&lt;&gt;"",E5665&lt;&gt;"!!!"),"NEW","")))</f>
        <v> </v>
      </c>
      <c r="G5665" s="23" t="str">
        <f>IF(OR(E5665="",E5665="!!!"),"",IF(OR(J5665=0,AND(J5665=1,K5665=1),AND(J5665=1,I5665="SBJ"),AND(J5665=1,I5665=0)),"?IN_FOCUS",IF(J5665&lt;=2,"?ACTIVATED",IF(J5665&lt;&gt;"","?FAMILIAR",IF(F5665="NEW",IF(ISNA(VLOOKUP(E5665,#REF!,1,FALSE())),"?TYPE_IDENTIFIABLE","?REFERENTIAL"),"_")))))</f>
        <v> </v>
      </c>
      <c r="H5665" s="24" t="str">
        <f>IF(J5665&lt;&gt;1,"",IF(I5665="SBJ","CB","?"))</f>
        <v> </v>
      </c>
      <c r="I5665" s="25" t="str">
        <f>IF(OR(E5665="",E5665="!!!",F5665="NEW"),"",INDEX(B5664:B$2,-1+SUMPRODUCT(MAX(ROW(E5664:E$2)*(E5665=E5664:E$2)))))</f>
        <v> </v>
      </c>
      <c r="J5665" s="25" t="str">
        <f>IF(OR(E5665="",E5665="!!!",F5665="NEW"),"",COUNTBLANK(OFFSET(A$1,,,SUMPRODUCT(MAX(ROW(E$2:E5665)*(E5665=E$2:E5665)))))-COUNTBLANK(OFFSET(A$1,,,SUMPRODUCT(MAX(ROW(E$1:E5664)*(E2=E$1:E5664))))))</f>
        <v> </v>
      </c>
      <c r="K5665" s="25" t="str">
        <f>IF(OR(E5665="",E5665="!!!",F5665="NEW"),"",INDEX(J$1:J5664,SUMPRODUCT(MAX(ROW(E$1:E5664)*(E5665=E$1:E5664)))))</f>
        <v> </v>
      </c>
      <c r="L5665" s="26"/>
    </row>
    <row r="5666" spans="1:12">
      <c r="A5666" s="20" t="s">
        <v>1642</v>
      </c>
      <c r="B5666" s="27" t="s">
        <v>982</v>
      </c>
      <c r="C5666" s="27" t="s">
        <v>1035</v>
      </c>
      <c r="E5666" s="21">
        <f>IF(D5666="?OLD","!!!","")</f>
        <v/>
      </c>
      <c r="F5666" s="22" t="str">
        <f>IF(OR(E5666="",E5666="!!!"),"",IF(NOT(ISNA(VLOOKUP(E5666,E$1:E5665,1,FALSE()))),"OLD",IF(AND(E5666&lt;&gt;"",E5666&lt;&gt;"!!!"),"NEW","")))</f>
        <v> </v>
      </c>
      <c r="G5666" s="23" t="str">
        <f>IF(OR(E5666="",E5666="!!!"),"",IF(OR(J5666=0,AND(J5666=1,K5666=1),AND(J5666=1,I5666="SBJ"),AND(J5666=1,I5666=0)),"?IN_FOCUS",IF(J5666&lt;=2,"?ACTIVATED",IF(J5666&lt;&gt;"","?FAMILIAR",IF(F5666="NEW",IF(ISNA(VLOOKUP(E5666,#REF!,1,FALSE())),"?TYPE_IDENTIFIABLE","?REFERENTIAL"),"_")))))</f>
        <v> </v>
      </c>
      <c r="H5666" s="24" t="str">
        <f>IF(J5666&lt;&gt;1,"",IF(I5666="SBJ","CB","?"))</f>
        <v> </v>
      </c>
      <c r="I5666" s="25" t="str">
        <f>IF(OR(E5666="",E5666="!!!",F5666="NEW"),"",INDEX(B5665:B$2,-1+SUMPRODUCT(MAX(ROW(E5665:E$2)*(E5666=E5665:E$2)))))</f>
        <v> </v>
      </c>
      <c r="J5666" s="25" t="str">
        <f>IF(OR(E5666="",E5666="!!!",F5666="NEW"),"",COUNTBLANK(OFFSET(A$1,,,SUMPRODUCT(MAX(ROW(E$2:E5666)*(E5666=E$2:E5666)))))-COUNTBLANK(OFFSET(A$1,,,SUMPRODUCT(MAX(ROW(E$1:E5665)*(E2=E$1:E5665))))))</f>
        <v> </v>
      </c>
      <c r="K5666" s="25" t="str">
        <f>IF(OR(E5666="",E5666="!!!",F5666="NEW"),"",INDEX(J$1:J5665,SUMPRODUCT(MAX(ROW(E$1:E5665)*(E5666=E$1:E5665)))))</f>
        <v> </v>
      </c>
      <c r="L5666" s="26"/>
    </row>
    <row r="5667" spans="1:12">
      <c r="A5667" s="20" t="s">
        <v>980</v>
      </c>
      <c r="E5667" s="21">
        <f>IF(D5667="?OLD","!!!","")</f>
        <v/>
      </c>
      <c r="F5667" s="22" t="str">
        <f>IF(OR(E5667="",E5667="!!!"),"",IF(NOT(ISNA(VLOOKUP(E5667,E$1:E5666,1,FALSE()))),"OLD",IF(AND(E5667&lt;&gt;"",E5667&lt;&gt;"!!!"),"NEW","")))</f>
        <v> </v>
      </c>
      <c r="G5667" s="23" t="str">
        <f>IF(OR(E5667="",E5667="!!!"),"",IF(OR(J5667=0,AND(J5667=1,K5667=1),AND(J5667=1,I5667="SBJ"),AND(J5667=1,I5667=0)),"?IN_FOCUS",IF(J5667&lt;=2,"?ACTIVATED",IF(J5667&lt;&gt;"","?FAMILIAR",IF(F5667="NEW",IF(ISNA(VLOOKUP(E5667,#REF!,1,FALSE())),"?TYPE_IDENTIFIABLE","?REFERENTIAL"),"_")))))</f>
        <v> </v>
      </c>
      <c r="H5667" s="24" t="str">
        <f>IF(J5667&lt;&gt;1,"",IF(I5667="SBJ","CB","?"))</f>
        <v> </v>
      </c>
      <c r="I5667" s="25" t="str">
        <f>IF(OR(E5667="",E5667="!!!",F5667="NEW"),"",INDEX(B5666:B$2,-1+SUMPRODUCT(MAX(ROW(E5666:E$2)*(E5667=E5666:E$2)))))</f>
        <v> </v>
      </c>
      <c r="J5667" s="25" t="str">
        <f>IF(OR(E5667="",E5667="!!!",F5667="NEW"),"",COUNTBLANK(OFFSET(A$1,,,SUMPRODUCT(MAX(ROW(E$2:E5667)*(E5667=E$2:E5667)))))-COUNTBLANK(OFFSET(A$1,,,SUMPRODUCT(MAX(ROW(E$1:E5666)*(E2=E$1:E5666))))))</f>
        <v> </v>
      </c>
      <c r="K5667" s="25" t="str">
        <f>IF(OR(E5667="",E5667="!!!",F5667="NEW"),"",INDEX(J$1:J5666,SUMPRODUCT(MAX(ROW(E$1:E5666)*(E5667=E$1:E5666)))))</f>
        <v> </v>
      </c>
      <c r="L5667" s="26"/>
    </row>
    <row r="5668" spans="1:12">
      <c r="A5668" s="20" t="s">
        <v>1191</v>
      </c>
      <c r="E5668" s="21">
        <f>IF(D5668="?OLD","!!!","")</f>
        <v/>
      </c>
      <c r="F5668" s="22" t="str">
        <f>IF(OR(E5668="",E5668="!!!"),"",IF(NOT(ISNA(VLOOKUP(E5668,E$1:E5667,1,FALSE()))),"OLD",IF(AND(E5668&lt;&gt;"",E5668&lt;&gt;"!!!"),"NEW","")))</f>
        <v> </v>
      </c>
      <c r="G5668" s="23" t="str">
        <f>IF(OR(E5668="",E5668="!!!"),"",IF(OR(J5668=0,AND(J5668=1,K5668=1),AND(J5668=1,I5668="SBJ"),AND(J5668=1,I5668=0)),"?IN_FOCUS",IF(J5668&lt;=2,"?ACTIVATED",IF(J5668&lt;&gt;"","?FAMILIAR",IF(F5668="NEW",IF(ISNA(VLOOKUP(E5668,#REF!,1,FALSE())),"?TYPE_IDENTIFIABLE","?REFERENTIAL"),"_")))))</f>
        <v> </v>
      </c>
      <c r="H5668" s="24" t="str">
        <f>IF(J5668&lt;&gt;1,"",IF(I5668="SBJ","CB","?"))</f>
        <v> </v>
      </c>
      <c r="I5668" s="25" t="str">
        <f>IF(OR(E5668="",E5668="!!!",F5668="NEW"),"",INDEX(B5667:B$2,-1+SUMPRODUCT(MAX(ROW(E5667:E$2)*(E5668=E5667:E$2)))))</f>
        <v> </v>
      </c>
      <c r="J5668" s="25" t="str">
        <f>IF(OR(E5668="",E5668="!!!",F5668="NEW"),"",COUNTBLANK(OFFSET(A$1,,,SUMPRODUCT(MAX(ROW(E$2:E5668)*(E5668=E$2:E5668)))))-COUNTBLANK(OFFSET(A$1,,,SUMPRODUCT(MAX(ROW(E$1:E5667)*(E2=E$1:E5667))))))</f>
        <v> </v>
      </c>
      <c r="K5668" s="25" t="str">
        <f>IF(OR(E5668="",E5668="!!!",F5668="NEW"),"",INDEX(J$1:J5667,SUMPRODUCT(MAX(ROW(E$1:E5667)*(E5668=E$1:E5667)))))</f>
        <v> </v>
      </c>
      <c r="L5668" s="26"/>
    </row>
    <row r="5669" spans="1:12">
      <c r="A5669" s="20" t="s">
        <v>2499</v>
      </c>
      <c r="B5669" s="27" t="s">
        <v>1003</v>
      </c>
      <c r="C5669" s="27" t="s">
        <v>1035</v>
      </c>
      <c r="E5669" s="21">
        <f>IF(D5669="?OLD","!!!","")</f>
        <v/>
      </c>
      <c r="F5669" s="22" t="str">
        <f>IF(OR(E5669="",E5669="!!!"),"",IF(NOT(ISNA(VLOOKUP(E5669,E$1:E5668,1,FALSE()))),"OLD",IF(AND(E5669&lt;&gt;"",E5669&lt;&gt;"!!!"),"NEW","")))</f>
        <v> </v>
      </c>
      <c r="G5669" s="23" t="str">
        <f>IF(OR(E5669="",E5669="!!!"),"",IF(OR(J5669=0,AND(J5669=1,K5669=1),AND(J5669=1,I5669="SBJ"),AND(J5669=1,I5669=0)),"?IN_FOCUS",IF(J5669&lt;=2,"?ACTIVATED",IF(J5669&lt;&gt;"","?FAMILIAR",IF(F5669="NEW",IF(ISNA(VLOOKUP(E5669,#REF!,1,FALSE())),"?TYPE_IDENTIFIABLE","?REFERENTIAL"),"_")))))</f>
        <v> </v>
      </c>
      <c r="H5669" s="24" t="str">
        <f>IF(J5669&lt;&gt;1,"",IF(I5669="SBJ","CB","?"))</f>
        <v> </v>
      </c>
      <c r="I5669" s="25" t="str">
        <f>IF(OR(E5669="",E5669="!!!",F5669="NEW"),"",INDEX(B5668:B$2,-1+SUMPRODUCT(MAX(ROW(E5668:E$2)*(E5669=E5668:E$2)))))</f>
        <v> </v>
      </c>
      <c r="J5669" s="25" t="str">
        <f>IF(OR(E5669="",E5669="!!!",F5669="NEW"),"",COUNTBLANK(OFFSET(A$1,,,SUMPRODUCT(MAX(ROW(E$2:E5669)*(E5669=E$2:E5669)))))-COUNTBLANK(OFFSET(A$1,,,SUMPRODUCT(MAX(ROW(E$1:E5668)*(E2=E$1:E5668))))))</f>
        <v> </v>
      </c>
      <c r="K5669" s="25" t="str">
        <f>IF(OR(E5669="",E5669="!!!",F5669="NEW"),"",INDEX(J$1:J5668,SUMPRODUCT(MAX(ROW(E$1:E5668)*(E5669=E$1:E5668)))))</f>
        <v> </v>
      </c>
      <c r="L5669" s="26"/>
    </row>
    <row r="5670" spans="1:12">
      <c r="A5670" s="20" t="s">
        <v>1178</v>
      </c>
      <c r="E5670" s="21">
        <f>IF(D5670="?OLD","!!!","")</f>
        <v/>
      </c>
      <c r="F5670" s="22" t="str">
        <f>IF(OR(E5670="",E5670="!!!"),"",IF(NOT(ISNA(VLOOKUP(E5670,E$1:E5669,1,FALSE()))),"OLD",IF(AND(E5670&lt;&gt;"",E5670&lt;&gt;"!!!"),"NEW","")))</f>
        <v> </v>
      </c>
      <c r="G5670" s="23" t="str">
        <f>IF(OR(E5670="",E5670="!!!"),"",IF(OR(J5670=0,AND(J5670=1,K5670=1),AND(J5670=1,I5670="SBJ"),AND(J5670=1,I5670=0)),"?IN_FOCUS",IF(J5670&lt;=2,"?ACTIVATED",IF(J5670&lt;&gt;"","?FAMILIAR",IF(F5670="NEW",IF(ISNA(VLOOKUP(E5670,#REF!,1,FALSE())),"?TYPE_IDENTIFIABLE","?REFERENTIAL"),"_")))))</f>
        <v> </v>
      </c>
      <c r="H5670" s="24" t="str">
        <f>IF(J5670&lt;&gt;1,"",IF(I5670="SBJ","CB","?"))</f>
        <v> </v>
      </c>
      <c r="I5670" s="25" t="str">
        <f>IF(OR(E5670="",E5670="!!!",F5670="NEW"),"",INDEX(B5669:B$2,-1+SUMPRODUCT(MAX(ROW(E5669:E$2)*(E5670=E5669:E$2)))))</f>
        <v> </v>
      </c>
      <c r="J5670" s="25" t="str">
        <f>IF(OR(E5670="",E5670="!!!",F5670="NEW"),"",COUNTBLANK(OFFSET(A$1,,,SUMPRODUCT(MAX(ROW(E$2:E5670)*(E5670=E$2:E5670)))))-COUNTBLANK(OFFSET(A$1,,,SUMPRODUCT(MAX(ROW(E$1:E5669)*(E2=E$1:E5669))))))</f>
        <v> </v>
      </c>
      <c r="K5670" s="25" t="str">
        <f>IF(OR(E5670="",E5670="!!!",F5670="NEW"),"",INDEX(J$1:J5669,SUMPRODUCT(MAX(ROW(E$1:E5669)*(E5670=E$1:E5669)))))</f>
        <v> </v>
      </c>
      <c r="L5670" s="26"/>
    </row>
    <row r="5671" spans="1:12">
      <c r="A5671" s="20" t="s">
        <v>1445</v>
      </c>
      <c r="E5671" s="21">
        <f>IF(D5671="?OLD","!!!","")</f>
        <v/>
      </c>
      <c r="F5671" s="22" t="str">
        <f>IF(OR(E5671="",E5671="!!!"),"",IF(NOT(ISNA(VLOOKUP(E5671,E$1:E5670,1,FALSE()))),"OLD",IF(AND(E5671&lt;&gt;"",E5671&lt;&gt;"!!!"),"NEW","")))</f>
        <v> </v>
      </c>
      <c r="G5671" s="23" t="str">
        <f>IF(OR(E5671="",E5671="!!!"),"",IF(OR(J5671=0,AND(J5671=1,K5671=1),AND(J5671=1,I5671="SBJ"),AND(J5671=1,I5671=0)),"?IN_FOCUS",IF(J5671&lt;=2,"?ACTIVATED",IF(J5671&lt;&gt;"","?FAMILIAR",IF(F5671="NEW",IF(ISNA(VLOOKUP(E5671,#REF!,1,FALSE())),"?TYPE_IDENTIFIABLE","?REFERENTIAL"),"_")))))</f>
        <v> </v>
      </c>
      <c r="H5671" s="24" t="str">
        <f>IF(J5671&lt;&gt;1,"",IF(I5671="SBJ","CB","?"))</f>
        <v> </v>
      </c>
      <c r="I5671" s="25" t="str">
        <f>IF(OR(E5671="",E5671="!!!",F5671="NEW"),"",INDEX(B5670:B$2,-1+SUMPRODUCT(MAX(ROW(E5670:E$2)*(E5671=E5670:E$2)))))</f>
        <v> </v>
      </c>
      <c r="J5671" s="25" t="str">
        <f>IF(OR(E5671="",E5671="!!!",F5671="NEW"),"",COUNTBLANK(OFFSET(A$1,,,SUMPRODUCT(MAX(ROW(E$2:E5671)*(E5671=E$2:E5671)))))-COUNTBLANK(OFFSET(A$1,,,SUMPRODUCT(MAX(ROW(E$1:E5670)*(E2=E$1:E5670))))))</f>
        <v> </v>
      </c>
      <c r="K5671" s="25" t="str">
        <f>IF(OR(E5671="",E5671="!!!",F5671="NEW"),"",INDEX(J$1:J5670,SUMPRODUCT(MAX(ROW(E$1:E5670)*(E5671=E$1:E5670)))))</f>
        <v> </v>
      </c>
      <c r="L5671" s="26"/>
    </row>
    <row r="5672" spans="1:12">
      <c r="A5672" s="20" t="s">
        <v>2500</v>
      </c>
      <c r="E5672" s="21">
        <f>IF(D5672="?OLD","!!!","")</f>
        <v/>
      </c>
      <c r="F5672" s="22" t="str">
        <f>IF(OR(E5672="",E5672="!!!"),"",IF(NOT(ISNA(VLOOKUP(E5672,E$1:E5671,1,FALSE()))),"OLD",IF(AND(E5672&lt;&gt;"",E5672&lt;&gt;"!!!"),"NEW","")))</f>
        <v> </v>
      </c>
      <c r="G5672" s="23" t="str">
        <f>IF(OR(E5672="",E5672="!!!"),"",IF(OR(J5672=0,AND(J5672=1,K5672=1),AND(J5672=1,I5672="SBJ"),AND(J5672=1,I5672=0)),"?IN_FOCUS",IF(J5672&lt;=2,"?ACTIVATED",IF(J5672&lt;&gt;"","?FAMILIAR",IF(F5672="NEW",IF(ISNA(VLOOKUP(E5672,#REF!,1,FALSE())),"?TYPE_IDENTIFIABLE","?REFERENTIAL"),"_")))))</f>
        <v> </v>
      </c>
      <c r="H5672" s="24" t="str">
        <f>IF(J5672&lt;&gt;1,"",IF(I5672="SBJ","CB","?"))</f>
        <v> </v>
      </c>
      <c r="I5672" s="25" t="str">
        <f>IF(OR(E5672="",E5672="!!!",F5672="NEW"),"",INDEX(B5671:B$2,-1+SUMPRODUCT(MAX(ROW(E5671:E$2)*(E5672=E5671:E$2)))))</f>
        <v> </v>
      </c>
      <c r="J5672" s="25" t="str">
        <f>IF(OR(E5672="",E5672="!!!",F5672="NEW"),"",COUNTBLANK(OFFSET(A$1,,,SUMPRODUCT(MAX(ROW(E$2:E5672)*(E5672=E$2:E5672)))))-COUNTBLANK(OFFSET(A$1,,,SUMPRODUCT(MAX(ROW(E$1:E5671)*(E2=E$1:E5671))))))</f>
        <v> </v>
      </c>
      <c r="K5672" s="25" t="str">
        <f>IF(OR(E5672="",E5672="!!!",F5672="NEW"),"",INDEX(J$1:J5671,SUMPRODUCT(MAX(ROW(E$1:E5671)*(E5672=E$1:E5671)))))</f>
        <v> </v>
      </c>
      <c r="L5672" s="26"/>
    </row>
    <row r="5673" spans="1:12">
      <c r="A5673" s="20" t="s">
        <v>1108</v>
      </c>
      <c r="E5673" s="21">
        <f>IF(D5673="?OLD","!!!","")</f>
        <v/>
      </c>
      <c r="F5673" s="22" t="str">
        <f>IF(OR(E5673="",E5673="!!!"),"",IF(NOT(ISNA(VLOOKUP(E5673,E$1:E5672,1,FALSE()))),"OLD",IF(AND(E5673&lt;&gt;"",E5673&lt;&gt;"!!!"),"NEW","")))</f>
        <v> </v>
      </c>
      <c r="G5673" s="23" t="str">
        <f>IF(OR(E5673="",E5673="!!!"),"",IF(OR(J5673=0,AND(J5673=1,K5673=1),AND(J5673=1,I5673="SBJ"),AND(J5673=1,I5673=0)),"?IN_FOCUS",IF(J5673&lt;=2,"?ACTIVATED",IF(J5673&lt;&gt;"","?FAMILIAR",IF(F5673="NEW",IF(ISNA(VLOOKUP(E5673,#REF!,1,FALSE())),"?TYPE_IDENTIFIABLE","?REFERENTIAL"),"_")))))</f>
        <v> </v>
      </c>
      <c r="H5673" s="24" t="str">
        <f>IF(J5673&lt;&gt;1,"",IF(I5673="SBJ","CB","?"))</f>
        <v> </v>
      </c>
      <c r="I5673" s="25" t="str">
        <f>IF(OR(E5673="",E5673="!!!",F5673="NEW"),"",INDEX(B5672:B$2,-1+SUMPRODUCT(MAX(ROW(E5672:E$2)*(E5673=E5672:E$2)))))</f>
        <v> </v>
      </c>
      <c r="J5673" s="25" t="str">
        <f>IF(OR(E5673="",E5673="!!!",F5673="NEW"),"",COUNTBLANK(OFFSET(A$1,,,SUMPRODUCT(MAX(ROW(E$2:E5673)*(E5673=E$2:E5673)))))-COUNTBLANK(OFFSET(A$1,,,SUMPRODUCT(MAX(ROW(E$1:E5672)*(E2=E$1:E5672))))))</f>
        <v> </v>
      </c>
      <c r="K5673" s="25" t="str">
        <f>IF(OR(E5673="",E5673="!!!",F5673="NEW"),"",INDEX(J$1:J5672,SUMPRODUCT(MAX(ROW(E$1:E5672)*(E5673=E$1:E5672)))))</f>
        <v> </v>
      </c>
      <c r="L5673" s="26"/>
    </row>
    <row r="5674" spans="1:12">
      <c r="A5674" s="20" t="s">
        <v>1107</v>
      </c>
      <c r="B5674" s="27" t="s">
        <v>978</v>
      </c>
      <c r="C5674" s="27" t="s">
        <v>968</v>
      </c>
      <c r="D5674" s="27" t="s">
        <v>969</v>
      </c>
      <c r="E5674" s="21">
        <f>IF(D5674="?OLD","!!!","")</f>
        <v/>
      </c>
      <c r="F5674" s="22" t="str">
        <f>IF(OR(E5674="",E5674="!!!"),"",IF(NOT(ISNA(VLOOKUP(E5674,E$1:E5673,1,FALSE()))),"OLD",IF(AND(E5674&lt;&gt;"",E5674&lt;&gt;"!!!"),"NEW","")))</f>
        <v> </v>
      </c>
      <c r="G5674" s="23" t="str">
        <f>IF(OR(E5674="",E5674="!!!"),"",IF(OR(J5674=0,AND(J5674=1,K5674=1),AND(J5674=1,I5674="SBJ"),AND(J5674=1,I5674=0)),"?IN_FOCUS",IF(J5674&lt;=2,"?ACTIVATED",IF(J5674&lt;&gt;"","?FAMILIAR",IF(F5674="NEW",IF(ISNA(VLOOKUP(E5674,#REF!,1,FALSE())),"?TYPE_IDENTIFIABLE","?REFERENTIAL"),"_")))))</f>
        <v> </v>
      </c>
      <c r="H5674" s="24" t="str">
        <f>IF(J5674&lt;&gt;1,"",IF(I5674="SBJ","CB","?"))</f>
        <v> </v>
      </c>
      <c r="I5674" s="25" t="str">
        <f>IF(OR(E5674="",E5674="!!!",F5674="NEW"),"",INDEX(B5673:B$2,-1+SUMPRODUCT(MAX(ROW(E5673:E$2)*(E5674=E5673:E$2)))))</f>
        <v> </v>
      </c>
      <c r="J5674" s="25" t="str">
        <f>IF(OR(E5674="",E5674="!!!",F5674="NEW"),"",COUNTBLANK(OFFSET(A$1,,,SUMPRODUCT(MAX(ROW(E$2:E5674)*(E5674=E$2:E5674)))))-COUNTBLANK(OFFSET(A$1,,,SUMPRODUCT(MAX(ROW(E$1:E5673)*(E2=E$1:E5673))))))</f>
        <v> </v>
      </c>
      <c r="K5674" s="25" t="str">
        <f>IF(OR(E5674="",E5674="!!!",F5674="NEW"),"",INDEX(J$1:J5673,SUMPRODUCT(MAX(ROW(E$1:E5673)*(E5674=E$1:E5673)))))</f>
        <v> </v>
      </c>
      <c r="L5674" s="26"/>
    </row>
    <row r="5675" spans="1:12">
      <c r="A5675" s="20" t="s">
        <v>991</v>
      </c>
      <c r="E5675" s="21">
        <f>IF(D5675="?OLD","!!!","")</f>
        <v/>
      </c>
      <c r="F5675" s="22" t="str">
        <f>IF(OR(E5675="",E5675="!!!"),"",IF(NOT(ISNA(VLOOKUP(E5675,E$1:E5674,1,FALSE()))),"OLD",IF(AND(E5675&lt;&gt;"",E5675&lt;&gt;"!!!"),"NEW","")))</f>
        <v> </v>
      </c>
      <c r="G5675" s="23" t="str">
        <f>IF(OR(E5675="",E5675="!!!"),"",IF(OR(J5675=0,AND(J5675=1,K5675=1),AND(J5675=1,I5675="SBJ"),AND(J5675=1,I5675=0)),"?IN_FOCUS",IF(J5675&lt;=2,"?ACTIVATED",IF(J5675&lt;&gt;"","?FAMILIAR",IF(F5675="NEW",IF(ISNA(VLOOKUP(E5675,#REF!,1,FALSE())),"?TYPE_IDENTIFIABLE","?REFERENTIAL"),"_")))))</f>
        <v> </v>
      </c>
      <c r="H5675" s="24" t="str">
        <f>IF(J5675&lt;&gt;1,"",IF(I5675="SBJ","CB","?"))</f>
        <v> </v>
      </c>
      <c r="I5675" s="25" t="str">
        <f>IF(OR(E5675="",E5675="!!!",F5675="NEW"),"",INDEX(B5674:B$2,-1+SUMPRODUCT(MAX(ROW(E5674:E$2)*(E5675=E5674:E$2)))))</f>
        <v> </v>
      </c>
      <c r="J5675" s="25" t="str">
        <f>IF(OR(E5675="",E5675="!!!",F5675="NEW"),"",COUNTBLANK(OFFSET(A$1,,,SUMPRODUCT(MAX(ROW(E$2:E5675)*(E5675=E$2:E5675)))))-COUNTBLANK(OFFSET(A$1,,,SUMPRODUCT(MAX(ROW(E$1:E5674)*(E2=E$1:E5674))))))</f>
        <v> </v>
      </c>
      <c r="K5675" s="25" t="str">
        <f>IF(OR(E5675="",E5675="!!!",F5675="NEW"),"",INDEX(J$1:J5674,SUMPRODUCT(MAX(ROW(E$1:E5674)*(E5675=E$1:E5674)))))</f>
        <v> </v>
      </c>
      <c r="L5675" s="26"/>
    </row>
    <row r="5676" spans="1:12">
      <c r="A5676" s="20" t="s">
        <v>980</v>
      </c>
      <c r="E5676" s="21">
        <f>IF(D5676="?OLD","!!!","")</f>
        <v/>
      </c>
      <c r="F5676" s="22" t="str">
        <f>IF(OR(E5676="",E5676="!!!"),"",IF(NOT(ISNA(VLOOKUP(E5676,E$1:E5675,1,FALSE()))),"OLD",IF(AND(E5676&lt;&gt;"",E5676&lt;&gt;"!!!"),"NEW","")))</f>
        <v> </v>
      </c>
      <c r="G5676" s="23" t="str">
        <f>IF(OR(E5676="",E5676="!!!"),"",IF(OR(J5676=0,AND(J5676=1,K5676=1),AND(J5676=1,I5676="SBJ"),AND(J5676=1,I5676=0)),"?IN_FOCUS",IF(J5676&lt;=2,"?ACTIVATED",IF(J5676&lt;&gt;"","?FAMILIAR",IF(F5676="NEW",IF(ISNA(VLOOKUP(E5676,#REF!,1,FALSE())),"?TYPE_IDENTIFIABLE","?REFERENTIAL"),"_")))))</f>
        <v> </v>
      </c>
      <c r="H5676" s="24" t="str">
        <f>IF(J5676&lt;&gt;1,"",IF(I5676="SBJ","CB","?"))</f>
        <v> </v>
      </c>
      <c r="I5676" s="25" t="str">
        <f>IF(OR(E5676="",E5676="!!!",F5676="NEW"),"",INDEX(B5675:B$2,-1+SUMPRODUCT(MAX(ROW(E5675:E$2)*(E5676=E5675:E$2)))))</f>
        <v> </v>
      </c>
      <c r="J5676" s="25" t="str">
        <f>IF(OR(E5676="",E5676="!!!",F5676="NEW"),"",COUNTBLANK(OFFSET(A$1,,,SUMPRODUCT(MAX(ROW(E$2:E5676)*(E5676=E$2:E5676)))))-COUNTBLANK(OFFSET(A$1,,,SUMPRODUCT(MAX(ROW(E$1:E5675)*(E2=E$1:E5675))))))</f>
        <v> </v>
      </c>
      <c r="K5676" s="25" t="str">
        <f>IF(OR(E5676="",E5676="!!!",F5676="NEW"),"",INDEX(J$1:J5675,SUMPRODUCT(MAX(ROW(E$1:E5675)*(E5676=E$1:E5675)))))</f>
        <v> </v>
      </c>
      <c r="L5676" s="26"/>
    </row>
    <row r="5677" spans="1:12">
      <c r="A5677" s="20" t="s">
        <v>1009</v>
      </c>
      <c r="B5677" s="27" t="s">
        <v>1010</v>
      </c>
      <c r="C5677" s="27" t="s">
        <v>1011</v>
      </c>
      <c r="D5677" s="27" t="s">
        <v>969</v>
      </c>
      <c r="E5677" s="21">
        <f>IF(D5677="?OLD","!!!","")</f>
        <v/>
      </c>
      <c r="F5677" s="22" t="str">
        <f>IF(OR(E5677="",E5677="!!!"),"",IF(NOT(ISNA(VLOOKUP(E5677,E$1:E5676,1,FALSE()))),"OLD",IF(AND(E5677&lt;&gt;"",E5677&lt;&gt;"!!!"),"NEW","")))</f>
        <v> </v>
      </c>
      <c r="G5677" s="23" t="str">
        <f>IF(OR(E5677="",E5677="!!!"),"",IF(OR(J5677=0,AND(J5677=1,K5677=1),AND(J5677=1,I5677="SBJ"),AND(J5677=1,I5677=0)),"?IN_FOCUS",IF(J5677&lt;=2,"?ACTIVATED",IF(J5677&lt;&gt;"","?FAMILIAR",IF(F5677="NEW",IF(ISNA(VLOOKUP(E5677,#REF!,1,FALSE())),"?TYPE_IDENTIFIABLE","?REFERENTIAL"),"_")))))</f>
        <v> </v>
      </c>
      <c r="H5677" s="24" t="str">
        <f>IF(J5677&lt;&gt;1,"",IF(I5677="SBJ","CB","?"))</f>
        <v> </v>
      </c>
      <c r="I5677" s="25" t="str">
        <f>IF(OR(E5677="",E5677="!!!",F5677="NEW"),"",INDEX(B5676:B$2,-1+SUMPRODUCT(MAX(ROW(E5676:E$2)*(E5677=E5676:E$2)))))</f>
        <v> </v>
      </c>
      <c r="J5677" s="25" t="str">
        <f>IF(OR(E5677="",E5677="!!!",F5677="NEW"),"",COUNTBLANK(OFFSET(A$1,,,SUMPRODUCT(MAX(ROW(E$2:E5677)*(E5677=E$2:E5677)))))-COUNTBLANK(OFFSET(A$1,,,SUMPRODUCT(MAX(ROW(E$1:E5676)*(E2=E$1:E5676))))))</f>
        <v> </v>
      </c>
      <c r="K5677" s="25" t="str">
        <f>IF(OR(E5677="",E5677="!!!",F5677="NEW"),"",INDEX(J$1:J5676,SUMPRODUCT(MAX(ROW(E$1:E5676)*(E5677=E$1:E5676)))))</f>
        <v> </v>
      </c>
      <c r="L5677" s="26"/>
    </row>
    <row r="5678" spans="1:12">
      <c r="A5678" s="20" t="s">
        <v>1218</v>
      </c>
      <c r="E5678" s="21">
        <f>IF(D5678="?OLD","!!!","")</f>
        <v/>
      </c>
      <c r="F5678" s="22" t="str">
        <f>IF(OR(E5678="",E5678="!!!"),"",IF(NOT(ISNA(VLOOKUP(E5678,E$1:E5677,1,FALSE()))),"OLD",IF(AND(E5678&lt;&gt;"",E5678&lt;&gt;"!!!"),"NEW","")))</f>
        <v> </v>
      </c>
      <c r="G5678" s="23" t="str">
        <f>IF(OR(E5678="",E5678="!!!"),"",IF(OR(J5678=0,AND(J5678=1,K5678=1),AND(J5678=1,I5678="SBJ"),AND(J5678=1,I5678=0)),"?IN_FOCUS",IF(J5678&lt;=2,"?ACTIVATED",IF(J5678&lt;&gt;"","?FAMILIAR",IF(F5678="NEW",IF(ISNA(VLOOKUP(E5678,#REF!,1,FALSE())),"?TYPE_IDENTIFIABLE","?REFERENTIAL"),"_")))))</f>
        <v> </v>
      </c>
      <c r="H5678" s="24" t="str">
        <f>IF(J5678&lt;&gt;1,"",IF(I5678="SBJ","CB","?"))</f>
        <v> </v>
      </c>
      <c r="I5678" s="25" t="str">
        <f>IF(OR(E5678="",E5678="!!!",F5678="NEW"),"",INDEX(B5677:B$2,-1+SUMPRODUCT(MAX(ROW(E5677:E$2)*(E5678=E5677:E$2)))))</f>
        <v> </v>
      </c>
      <c r="J5678" s="25" t="str">
        <f>IF(OR(E5678="",E5678="!!!",F5678="NEW"),"",COUNTBLANK(OFFSET(A$1,,,SUMPRODUCT(MAX(ROW(E$2:E5678)*(E5678=E$2:E5678)))))-COUNTBLANK(OFFSET(A$1,,,SUMPRODUCT(MAX(ROW(E$1:E5677)*(E2=E$1:E5677))))))</f>
        <v> </v>
      </c>
      <c r="K5678" s="25" t="str">
        <f>IF(OR(E5678="",E5678="!!!",F5678="NEW"),"",INDEX(J$1:J5677,SUMPRODUCT(MAX(ROW(E$1:E5677)*(E5678=E$1:E5677)))))</f>
        <v> </v>
      </c>
      <c r="L5678" s="26"/>
    </row>
    <row r="5679" spans="1:12">
      <c r="A5679" s="20" t="s">
        <v>1086</v>
      </c>
      <c r="B5679" s="27" t="s">
        <v>994</v>
      </c>
      <c r="C5679" s="27" t="s">
        <v>968</v>
      </c>
      <c r="D5679" s="27" t="s">
        <v>969</v>
      </c>
      <c r="E5679" s="21">
        <f>IF(D5679="?OLD","!!!","")</f>
        <v/>
      </c>
      <c r="F5679" s="22" t="str">
        <f>IF(OR(E5679="",E5679="!!!"),"",IF(NOT(ISNA(VLOOKUP(E5679,E$1:E5678,1,FALSE()))),"OLD",IF(AND(E5679&lt;&gt;"",E5679&lt;&gt;"!!!"),"NEW","")))</f>
        <v> </v>
      </c>
      <c r="G5679" s="23" t="str">
        <f>IF(OR(E5679="",E5679="!!!"),"",IF(OR(J5679=0,AND(J5679=1,K5679=1),AND(J5679=1,I5679="SBJ"),AND(J5679=1,I5679=0)),"?IN_FOCUS",IF(J5679&lt;=2,"?ACTIVATED",IF(J5679&lt;&gt;"","?FAMILIAR",IF(F5679="NEW",IF(ISNA(VLOOKUP(E5679,#REF!,1,FALSE())),"?TYPE_IDENTIFIABLE","?REFERENTIAL"),"_")))))</f>
        <v> </v>
      </c>
      <c r="H5679" s="24" t="str">
        <f>IF(J5679&lt;&gt;1,"",IF(I5679="SBJ","CB","?"))</f>
        <v> </v>
      </c>
      <c r="I5679" s="25" t="str">
        <f>IF(OR(E5679="",E5679="!!!",F5679="NEW"),"",INDEX(B5678:B$2,-1+SUMPRODUCT(MAX(ROW(E5678:E$2)*(E5679=E5678:E$2)))))</f>
        <v> </v>
      </c>
      <c r="J5679" s="25" t="str">
        <f>IF(OR(E5679="",E5679="!!!",F5679="NEW"),"",COUNTBLANK(OFFSET(A$1,,,SUMPRODUCT(MAX(ROW(E$2:E5679)*(E5679=E$2:E5679)))))-COUNTBLANK(OFFSET(A$1,,,SUMPRODUCT(MAX(ROW(E$1:E5678)*(E2=E$1:E5678))))))</f>
        <v> </v>
      </c>
      <c r="K5679" s="25" t="str">
        <f>IF(OR(E5679="",E5679="!!!",F5679="NEW"),"",INDEX(J$1:J5678,SUMPRODUCT(MAX(ROW(E$1:E5678)*(E5679=E$1:E5678)))))</f>
        <v> </v>
      </c>
      <c r="L5679" s="26"/>
    </row>
    <row r="5680" spans="1:12">
      <c r="A5680" s="20" t="s">
        <v>1067</v>
      </c>
      <c r="E5680" s="21">
        <f>IF(D5680="?OLD","!!!","")</f>
        <v/>
      </c>
      <c r="F5680" s="22" t="str">
        <f>IF(OR(E5680="",E5680="!!!"),"",IF(NOT(ISNA(VLOOKUP(E5680,E$1:E5679,1,FALSE()))),"OLD",IF(AND(E5680&lt;&gt;"",E5680&lt;&gt;"!!!"),"NEW","")))</f>
        <v> </v>
      </c>
      <c r="G5680" s="23" t="str">
        <f>IF(OR(E5680="",E5680="!!!"),"",IF(OR(J5680=0,AND(J5680=1,K5680=1),AND(J5680=1,I5680="SBJ"),AND(J5680=1,I5680=0)),"?IN_FOCUS",IF(J5680&lt;=2,"?ACTIVATED",IF(J5680&lt;&gt;"","?FAMILIAR",IF(F5680="NEW",IF(ISNA(VLOOKUP(E5680,#REF!,1,FALSE())),"?TYPE_IDENTIFIABLE","?REFERENTIAL"),"_")))))</f>
        <v> </v>
      </c>
      <c r="H5680" s="24" t="str">
        <f>IF(J5680&lt;&gt;1,"",IF(I5680="SBJ","CB","?"))</f>
        <v> </v>
      </c>
      <c r="I5680" s="25" t="str">
        <f>IF(OR(E5680="",E5680="!!!",F5680="NEW"),"",INDEX(B5679:B$2,-1+SUMPRODUCT(MAX(ROW(E5679:E$2)*(E5680=E5679:E$2)))))</f>
        <v> </v>
      </c>
      <c r="J5680" s="25" t="str">
        <f>IF(OR(E5680="",E5680="!!!",F5680="NEW"),"",COUNTBLANK(OFFSET(A$1,,,SUMPRODUCT(MAX(ROW(E$2:E5680)*(E5680=E$2:E5680)))))-COUNTBLANK(OFFSET(A$1,,,SUMPRODUCT(MAX(ROW(E$1:E5679)*(E2=E$1:E5679))))))</f>
        <v> </v>
      </c>
      <c r="K5680" s="25" t="str">
        <f>IF(OR(E5680="",E5680="!!!",F5680="NEW"),"",INDEX(J$1:J5679,SUMPRODUCT(MAX(ROW(E$1:E5679)*(E5680=E$1:E5679)))))</f>
        <v> </v>
      </c>
      <c r="L5680" s="26"/>
    </row>
    <row r="5681" spans="1:12">
      <c r="A5681" s="20" t="s">
        <v>37</v>
      </c>
      <c r="E5681" s="21">
        <f>IF(D5681="?OLD","!!!","")</f>
        <v/>
      </c>
      <c r="F5681" s="22" t="str">
        <f>IF(OR(E5681="",E5681="!!!"),"",IF(NOT(ISNA(VLOOKUP(E5681,E$1:E5680,1,FALSE()))),"OLD",IF(AND(E5681&lt;&gt;"",E5681&lt;&gt;"!!!"),"NEW","")))</f>
        <v> </v>
      </c>
      <c r="G5681" s="23" t="str">
        <f>IF(OR(E5681="",E5681="!!!"),"",IF(OR(J5681=0,AND(J5681=1,K5681=1),AND(J5681=1,I5681="SBJ"),AND(J5681=1,I5681=0)),"?IN_FOCUS",IF(J5681&lt;=2,"?ACTIVATED",IF(J5681&lt;&gt;"","?FAMILIAR",IF(F5681="NEW",IF(ISNA(VLOOKUP(E5681,#REF!,1,FALSE())),"?TYPE_IDENTIFIABLE","?REFERENTIAL"),"_")))))</f>
        <v> </v>
      </c>
      <c r="H5681" s="24" t="str">
        <f>IF(J5681&lt;&gt;1,"",IF(I5681="SBJ","CB","?"))</f>
        <v> </v>
      </c>
      <c r="I5681" s="25" t="str">
        <f>IF(OR(E5681="",E5681="!!!",F5681="NEW"),"",INDEX(B5680:B$2,-1+SUMPRODUCT(MAX(ROW(E5680:E$2)*(E5681=E5680:E$2)))))</f>
        <v> </v>
      </c>
      <c r="J5681" s="25" t="str">
        <f>IF(OR(E5681="",E5681="!!!",F5681="NEW"),"",COUNTBLANK(OFFSET(A$1,,,SUMPRODUCT(MAX(ROW(E$2:E5681)*(E5681=E$2:E5681)))))-COUNTBLANK(OFFSET(A$1,,,SUMPRODUCT(MAX(ROW(E$1:E5680)*(E2=E$1:E5680))))))</f>
        <v> </v>
      </c>
      <c r="K5681" s="25" t="str">
        <f>IF(OR(E5681="",E5681="!!!",F5681="NEW"),"",INDEX(J$1:J5680,SUMPRODUCT(MAX(ROW(E$1:E5680)*(E5681=E$1:E5680)))))</f>
        <v> </v>
      </c>
      <c r="L5681" s="26"/>
    </row>
    <row r="5682" spans="1:12">
      <c r="A5682" s="20" t="s">
        <v>1005</v>
      </c>
      <c r="E5682" s="21">
        <f>IF(D5682="?OLD","!!!","")</f>
        <v/>
      </c>
      <c r="F5682" s="22" t="str">
        <f>IF(OR(E5682="",E5682="!!!"),"",IF(NOT(ISNA(VLOOKUP(E5682,E$1:E5681,1,FALSE()))),"OLD",IF(AND(E5682&lt;&gt;"",E5682&lt;&gt;"!!!"),"NEW","")))</f>
        <v> </v>
      </c>
      <c r="G5682" s="23" t="str">
        <f>IF(OR(E5682="",E5682="!!!"),"",IF(OR(J5682=0,AND(J5682=1,K5682=1),AND(J5682=1,I5682="SBJ"),AND(J5682=1,I5682=0)),"?IN_FOCUS",IF(J5682&lt;=2,"?ACTIVATED",IF(J5682&lt;&gt;"","?FAMILIAR",IF(F5682="NEW",IF(ISNA(VLOOKUP(E5682,#REF!,1,FALSE())),"?TYPE_IDENTIFIABLE","?REFERENTIAL"),"_")))))</f>
        <v> </v>
      </c>
      <c r="H5682" s="24" t="str">
        <f>IF(J5682&lt;&gt;1,"",IF(I5682="SBJ","CB","?"))</f>
        <v> </v>
      </c>
      <c r="I5682" s="25" t="str">
        <f>IF(OR(E5682="",E5682="!!!",F5682="NEW"),"",INDEX(B5681:B$2,-1+SUMPRODUCT(MAX(ROW(E5681:E$2)*(E5682=E5681:E$2)))))</f>
        <v> </v>
      </c>
      <c r="J5682" s="25" t="str">
        <f>IF(OR(E5682="",E5682="!!!",F5682="NEW"),"",COUNTBLANK(OFFSET(A$1,,,SUMPRODUCT(MAX(ROW(E$2:E5682)*(E5682=E$2:E5682)))))-COUNTBLANK(OFFSET(A$1,,,SUMPRODUCT(MAX(ROW(E$1:E5681)*(E2=E$1:E5681))))))</f>
        <v> </v>
      </c>
      <c r="K5682" s="25" t="str">
        <f>IF(OR(E5682="",E5682="!!!",F5682="NEW"),"",INDEX(J$1:J5681,SUMPRODUCT(MAX(ROW(E$1:E5681)*(E5682=E$1:E5681)))))</f>
        <v> </v>
      </c>
      <c r="L5682" s="26"/>
    </row>
    <row r="5683" spans="1:12">
      <c r="A5683" s="20" t="s">
        <v>965</v>
      </c>
      <c r="E5683" s="21">
        <f>IF(D5683="?OLD","!!!","")</f>
        <v/>
      </c>
      <c r="F5683" s="22" t="str">
        <f>IF(OR(E5683="",E5683="!!!"),"",IF(NOT(ISNA(VLOOKUP(E5683,E$1:E5682,1,FALSE()))),"OLD",IF(AND(E5683&lt;&gt;"",E5683&lt;&gt;"!!!"),"NEW","")))</f>
        <v> </v>
      </c>
      <c r="G5683" s="23" t="str">
        <f>IF(OR(E5683="",E5683="!!!"),"",IF(OR(J5683=0,AND(J5683=1,K5683=1),AND(J5683=1,I5683="SBJ"),AND(J5683=1,I5683=0)),"?IN_FOCUS",IF(J5683&lt;=2,"?ACTIVATED",IF(J5683&lt;&gt;"","?FAMILIAR",IF(F5683="NEW",IF(ISNA(VLOOKUP(E5683,#REF!,1,FALSE())),"?TYPE_IDENTIFIABLE","?REFERENTIAL"),"_")))))</f>
        <v> </v>
      </c>
      <c r="H5683" s="24" t="str">
        <f>IF(J5683&lt;&gt;1,"",IF(I5683="SBJ","CB","?"))</f>
        <v> </v>
      </c>
      <c r="I5683" s="25" t="str">
        <f>IF(OR(E5683="",E5683="!!!",F5683="NEW"),"",INDEX(B5682:B$2,-1+SUMPRODUCT(MAX(ROW(E5682:E$2)*(E5683=E5682:E$2)))))</f>
        <v> </v>
      </c>
      <c r="J5683" s="25" t="str">
        <f>IF(OR(E5683="",E5683="!!!",F5683="NEW"),"",COUNTBLANK(OFFSET(A$1,,,SUMPRODUCT(MAX(ROW(E$2:E5683)*(E5683=E$2:E5683)))))-COUNTBLANK(OFFSET(A$1,,,SUMPRODUCT(MAX(ROW(E$1:E5682)*(E2=E$1:E5682))))))</f>
        <v> </v>
      </c>
      <c r="K5683" s="25" t="str">
        <f>IF(OR(E5683="",E5683="!!!",F5683="NEW"),"",INDEX(J$1:J5682,SUMPRODUCT(MAX(ROW(E$1:E5682)*(E5683=E$1:E5682)))))</f>
        <v> </v>
      </c>
      <c r="L5683" s="26"/>
    </row>
    <row r="5684" spans="1:12">
      <c r="A5684" s="20"/>
    </row>
    <row r="5685" spans="1:12">
      <c r="A5685" s="20" t="s">
        <v>1060</v>
      </c>
      <c r="E5685" s="21">
        <f>IF(D5685="?OLD","!!!","")</f>
        <v/>
      </c>
      <c r="F5685" s="22" t="str">
        <f>IF(OR(E5685="",E5685="!!!"),"",IF(NOT(ISNA(VLOOKUP(E5685,E$1:E5684,1,FALSE()))),"OLD",IF(AND(E5685&lt;&gt;"",E5685&lt;&gt;"!!!"),"NEW","")))</f>
        <v> </v>
      </c>
      <c r="G5685" s="23" t="str">
        <f>IF(OR(E5685="",E5685="!!!"),"",IF(OR(J5685=0,AND(J5685=1,K5685=1),AND(J5685=1,I5685="SBJ"),AND(J5685=1,I5685=0)),"?IN_FOCUS",IF(J5685&lt;=2,"?ACTIVATED",IF(J5685&lt;&gt;"","?FAMILIAR",IF(F5685="NEW",IF(ISNA(VLOOKUP(E5685,#REF!,1,FALSE())),"?TYPE_IDENTIFIABLE","?REFERENTIAL"),"_")))))</f>
        <v> </v>
      </c>
      <c r="H5685" s="24" t="str">
        <f>IF(J5685&lt;&gt;1,"",IF(I5685="SBJ","CB","?"))</f>
        <v> </v>
      </c>
      <c r="I5685" s="25" t="str">
        <f>IF(OR(E5685="",E5685="!!!",F5685="NEW"),"",INDEX(B5684:B$2,-1+SUMPRODUCT(MAX(ROW(E5684:E$2)*(E5685=E5684:E$2)))))</f>
        <v> </v>
      </c>
      <c r="J5685" s="25" t="str">
        <f>IF(OR(E5685="",E5685="!!!",F5685="NEW"),"",COUNTBLANK(OFFSET(A$1,,,SUMPRODUCT(MAX(ROW(E$2:E5685)*(E5685=E$2:E5685)))))-COUNTBLANK(OFFSET(A$1,,,SUMPRODUCT(MAX(ROW(E$1:E5684)*(E2=E$1:E5684))))))</f>
        <v> </v>
      </c>
      <c r="K5685" s="25" t="str">
        <f>IF(OR(E5685="",E5685="!!!",F5685="NEW"),"",INDEX(J$1:J5684,SUMPRODUCT(MAX(ROW(E$1:E5684)*(E5685=E$1:E5684)))))</f>
        <v> </v>
      </c>
      <c r="L5685" s="26"/>
    </row>
    <row r="5686" spans="1:12">
      <c r="A5686" s="20" t="s">
        <v>2501</v>
      </c>
    </row>
    <row r="5687" spans="1:12">
      <c r="A5687" s="20" t="s">
        <v>1007</v>
      </c>
      <c r="E5687" s="21">
        <f>IF(D5687="?OLD","!!!","")</f>
        <v/>
      </c>
      <c r="F5687" s="22" t="str">
        <f>IF(OR(E5687="",E5687="!!!"),"",IF(NOT(ISNA(VLOOKUP(E5687,E$1:E5686,1,FALSE()))),"OLD",IF(AND(E5687&lt;&gt;"",E5687&lt;&gt;"!!!"),"NEW","")))</f>
        <v> </v>
      </c>
      <c r="G5687" s="23" t="str">
        <f>IF(OR(E5687="",E5687="!!!"),"",IF(OR(J5687=0,AND(J5687=1,K5687=1),AND(J5687=1,I5687="SBJ"),AND(J5687=1,I5687=0)),"?IN_FOCUS",IF(J5687&lt;=2,"?ACTIVATED",IF(J5687&lt;&gt;"","?FAMILIAR",IF(F5687="NEW",IF(ISNA(VLOOKUP(E5687,#REF!,1,FALSE())),"?TYPE_IDENTIFIABLE","?REFERENTIAL"),"_")))))</f>
        <v> </v>
      </c>
      <c r="H5687" s="24" t="str">
        <f>IF(J5687&lt;&gt;1,"",IF(I5687="SBJ","CB","?"))</f>
        <v> </v>
      </c>
      <c r="I5687" s="25" t="str">
        <f>IF(OR(E5687="",E5687="!!!",F5687="NEW"),"",INDEX(B5686:B$2,-1+SUMPRODUCT(MAX(ROW(E5686:E$2)*(E5687=E5686:E$2)))))</f>
        <v> </v>
      </c>
      <c r="J5687" s="25" t="str">
        <f>IF(OR(E5687="",E5687="!!!",F5687="NEW"),"",COUNTBLANK(OFFSET(A$1,,,SUMPRODUCT(MAX(ROW(E$2:E5687)*(E5687=E$2:E5687)))))-COUNTBLANK(OFFSET(A$1,,,SUMPRODUCT(MAX(ROW(E$1:E5686)*(E2=E$1:E5686))))))</f>
        <v> </v>
      </c>
      <c r="K5687" s="25" t="str">
        <f>IF(OR(E5687="",E5687="!!!",F5687="NEW"),"",INDEX(J$1:J5686,SUMPRODUCT(MAX(ROW(E$1:E5686)*(E5687=E$1:E5686)))))</f>
        <v> </v>
      </c>
      <c r="L5687" s="26"/>
    </row>
    <row r="5688" spans="1:12">
      <c r="A5688" s="20" t="s">
        <v>1650</v>
      </c>
      <c r="B5688" s="27" t="s">
        <v>967</v>
      </c>
      <c r="C5688" s="27" t="s">
        <v>1083</v>
      </c>
      <c r="D5688" s="27" t="s">
        <v>969</v>
      </c>
      <c r="E5688" s="21">
        <f>IF(D5688="?OLD","!!!","")</f>
        <v/>
      </c>
      <c r="F5688" s="22" t="str">
        <f>IF(OR(E5688="",E5688="!!!"),"",IF(NOT(ISNA(VLOOKUP(E5688,E$1:E5687,1,FALSE()))),"OLD",IF(AND(E5688&lt;&gt;"",E5688&lt;&gt;"!!!"),"NEW","")))</f>
        <v> </v>
      </c>
      <c r="G5688" s="23" t="str">
        <f>IF(OR(E5688="",E5688="!!!"),"",IF(OR(J5688=0,AND(J5688=1,K5688=1),AND(J5688=1,I5688="SBJ"),AND(J5688=1,I5688=0)),"?IN_FOCUS",IF(J5688&lt;=2,"?ACTIVATED",IF(J5688&lt;&gt;"","?FAMILIAR",IF(F5688="NEW",IF(ISNA(VLOOKUP(E5688,#REF!,1,FALSE())),"?TYPE_IDENTIFIABLE","?REFERENTIAL"),"_")))))</f>
        <v> </v>
      </c>
      <c r="H5688" s="24" t="str">
        <f>IF(J5688&lt;&gt;1,"",IF(I5688="SBJ","CB","?"))</f>
        <v> </v>
      </c>
      <c r="I5688" s="25" t="str">
        <f>IF(OR(E5688="",E5688="!!!",F5688="NEW"),"",INDEX(B5687:B$2,-1+SUMPRODUCT(MAX(ROW(E5687:E$2)*(E5688=E5687:E$2)))))</f>
        <v> </v>
      </c>
      <c r="J5688" s="25" t="str">
        <f>IF(OR(E5688="",E5688="!!!",F5688="NEW"),"",COUNTBLANK(OFFSET(A$1,,,SUMPRODUCT(MAX(ROW(E$2:E5688)*(E5688=E$2:E5688)))))-COUNTBLANK(OFFSET(A$1,,,SUMPRODUCT(MAX(ROW(E$1:E5687)*(E2=E$1:E5687))))))</f>
        <v> </v>
      </c>
      <c r="K5688" s="25" t="str">
        <f>IF(OR(E5688="",E5688="!!!",F5688="NEW"),"",INDEX(J$1:J5687,SUMPRODUCT(MAX(ROW(E$1:E5687)*(E5688=E$1:E5687)))))</f>
        <v> </v>
      </c>
      <c r="L5688" s="26"/>
    </row>
    <row r="5689" spans="1:12">
      <c r="A5689" s="20" t="s">
        <v>1651</v>
      </c>
      <c r="E5689" s="21">
        <f>IF(D5689="?OLD","!!!","")</f>
        <v/>
      </c>
      <c r="F5689" s="22" t="str">
        <f>IF(OR(E5689="",E5689="!!!"),"",IF(NOT(ISNA(VLOOKUP(E5689,E$1:E5688,1,FALSE()))),"OLD",IF(AND(E5689&lt;&gt;"",E5689&lt;&gt;"!!!"),"NEW","")))</f>
        <v> </v>
      </c>
      <c r="G5689" s="23" t="str">
        <f>IF(OR(E5689="",E5689="!!!"),"",IF(OR(J5689=0,AND(J5689=1,K5689=1),AND(J5689=1,I5689="SBJ"),AND(J5689=1,I5689=0)),"?IN_FOCUS",IF(J5689&lt;=2,"?ACTIVATED",IF(J5689&lt;&gt;"","?FAMILIAR",IF(F5689="NEW",IF(ISNA(VLOOKUP(E5689,#REF!,1,FALSE())),"?TYPE_IDENTIFIABLE","?REFERENTIAL"),"_")))))</f>
        <v> </v>
      </c>
      <c r="H5689" s="24" t="str">
        <f>IF(J5689&lt;&gt;1,"",IF(I5689="SBJ","CB","?"))</f>
        <v> </v>
      </c>
      <c r="I5689" s="25" t="str">
        <f>IF(OR(E5689="",E5689="!!!",F5689="NEW"),"",INDEX(B5688:B$2,-1+SUMPRODUCT(MAX(ROW(E5688:E$2)*(E5689=E5688:E$2)))))</f>
        <v> </v>
      </c>
      <c r="J5689" s="25" t="str">
        <f>IF(OR(E5689="",E5689="!!!",F5689="NEW"),"",COUNTBLANK(OFFSET(A$1,,,SUMPRODUCT(MAX(ROW(E$2:E5689)*(E5689=E$2:E5689)))))-COUNTBLANK(OFFSET(A$1,,,SUMPRODUCT(MAX(ROW(E$1:E5688)*(E2=E$1:E5688))))))</f>
        <v> </v>
      </c>
      <c r="K5689" s="25" t="str">
        <f>IF(OR(E5689="",E5689="!!!",F5689="NEW"),"",INDEX(J$1:J5688,SUMPRODUCT(MAX(ROW(E$1:E5688)*(E5689=E$1:E5688)))))</f>
        <v> </v>
      </c>
      <c r="L5689" s="26"/>
    </row>
    <row r="5690" spans="1:12">
      <c r="A5690" s="20" t="s">
        <v>1351</v>
      </c>
      <c r="E5690" s="21">
        <f>IF(D5690="?OLD","!!!","")</f>
        <v/>
      </c>
      <c r="F5690" s="22" t="str">
        <f>IF(OR(E5690="",E5690="!!!"),"",IF(NOT(ISNA(VLOOKUP(E5690,E$1:E5689,1,FALSE()))),"OLD",IF(AND(E5690&lt;&gt;"",E5690&lt;&gt;"!!!"),"NEW","")))</f>
        <v> </v>
      </c>
      <c r="G5690" s="23" t="str">
        <f>IF(OR(E5690="",E5690="!!!"),"",IF(OR(J5690=0,AND(J5690=1,K5690=1),AND(J5690=1,I5690="SBJ"),AND(J5690=1,I5690=0)),"?IN_FOCUS",IF(J5690&lt;=2,"?ACTIVATED",IF(J5690&lt;&gt;"","?FAMILIAR",IF(F5690="NEW",IF(ISNA(VLOOKUP(E5690,#REF!,1,FALSE())),"?TYPE_IDENTIFIABLE","?REFERENTIAL"),"_")))))</f>
        <v> </v>
      </c>
      <c r="H5690" s="24" t="str">
        <f>IF(J5690&lt;&gt;1,"",IF(I5690="SBJ","CB","?"))</f>
        <v> </v>
      </c>
      <c r="I5690" s="25" t="str">
        <f>IF(OR(E5690="",E5690="!!!",F5690="NEW"),"",INDEX(B5689:B$2,-1+SUMPRODUCT(MAX(ROW(E5689:E$2)*(E5690=E5689:E$2)))))</f>
        <v> </v>
      </c>
      <c r="J5690" s="25" t="str">
        <f>IF(OR(E5690="",E5690="!!!",F5690="NEW"),"",COUNTBLANK(OFFSET(A$1,,,SUMPRODUCT(MAX(ROW(E$2:E5690)*(E5690=E$2:E5690)))))-COUNTBLANK(OFFSET(A$1,,,SUMPRODUCT(MAX(ROW(E$1:E5689)*(E2=E$1:E5689))))))</f>
        <v> </v>
      </c>
      <c r="K5690" s="25" t="str">
        <f>IF(OR(E5690="",E5690="!!!",F5690="NEW"),"",INDEX(J$1:J5689,SUMPRODUCT(MAX(ROW(E$1:E5689)*(E5690=E$1:E5689)))))</f>
        <v> </v>
      </c>
      <c r="L5690" s="26"/>
    </row>
    <row r="5691" spans="1:12">
      <c r="A5691" s="20" t="s">
        <v>1194</v>
      </c>
      <c r="E5691" s="21">
        <f>IF(D5691="?OLD","!!!","")</f>
        <v/>
      </c>
      <c r="F5691" s="22" t="str">
        <f>IF(OR(E5691="",E5691="!!!"),"",IF(NOT(ISNA(VLOOKUP(E5691,E$1:E5690,1,FALSE()))),"OLD",IF(AND(E5691&lt;&gt;"",E5691&lt;&gt;"!!!"),"NEW","")))</f>
        <v> </v>
      </c>
      <c r="G5691" s="23" t="str">
        <f>IF(OR(E5691="",E5691="!!!"),"",IF(OR(J5691=0,AND(J5691=1,K5691=1),AND(J5691=1,I5691="SBJ"),AND(J5691=1,I5691=0)),"?IN_FOCUS",IF(J5691&lt;=2,"?ACTIVATED",IF(J5691&lt;&gt;"","?FAMILIAR",IF(F5691="NEW",IF(ISNA(VLOOKUP(E5691,#REF!,1,FALSE())),"?TYPE_IDENTIFIABLE","?REFERENTIAL"),"_")))))</f>
        <v> </v>
      </c>
      <c r="H5691" s="24" t="str">
        <f>IF(J5691&lt;&gt;1,"",IF(I5691="SBJ","CB","?"))</f>
        <v> </v>
      </c>
      <c r="I5691" s="25" t="str">
        <f>IF(OR(E5691="",E5691="!!!",F5691="NEW"),"",INDEX(B5690:B$2,-1+SUMPRODUCT(MAX(ROW(E5690:E$2)*(E5691=E5690:E$2)))))</f>
        <v> </v>
      </c>
      <c r="J5691" s="25" t="str">
        <f>IF(OR(E5691="",E5691="!!!",F5691="NEW"),"",COUNTBLANK(OFFSET(A$1,,,SUMPRODUCT(MAX(ROW(E$2:E5691)*(E5691=E$2:E5691)))))-COUNTBLANK(OFFSET(A$1,,,SUMPRODUCT(MAX(ROW(E$1:E5690)*(E2=E$1:E5690))))))</f>
        <v> </v>
      </c>
      <c r="K5691" s="25" t="str">
        <f>IF(OR(E5691="",E5691="!!!",F5691="NEW"),"",INDEX(J$1:J5690,SUMPRODUCT(MAX(ROW(E$1:E5690)*(E5691=E$1:E5690)))))</f>
        <v> </v>
      </c>
      <c r="L5691" s="26"/>
    </row>
    <row r="5692" spans="1:12">
      <c r="A5692" s="20" t="s">
        <v>965</v>
      </c>
      <c r="E5692" s="21">
        <f>IF(D5692="?OLD","!!!","")</f>
        <v/>
      </c>
      <c r="F5692" s="22" t="str">
        <f>IF(OR(E5692="",E5692="!!!"),"",IF(NOT(ISNA(VLOOKUP(E5692,E$1:E5691,1,FALSE()))),"OLD",IF(AND(E5692&lt;&gt;"",E5692&lt;&gt;"!!!"),"NEW","")))</f>
        <v> </v>
      </c>
      <c r="G5692" s="23" t="str">
        <f>IF(OR(E5692="",E5692="!!!"),"",IF(OR(J5692=0,AND(J5692=1,K5692=1),AND(J5692=1,I5692="SBJ"),AND(J5692=1,I5692=0)),"?IN_FOCUS",IF(J5692&lt;=2,"?ACTIVATED",IF(J5692&lt;&gt;"","?FAMILIAR",IF(F5692="NEW",IF(ISNA(VLOOKUP(E5692,#REF!,1,FALSE())),"?TYPE_IDENTIFIABLE","?REFERENTIAL"),"_")))))</f>
        <v> </v>
      </c>
      <c r="H5692" s="24" t="str">
        <f>IF(J5692&lt;&gt;1,"",IF(I5692="SBJ","CB","?"))</f>
        <v> </v>
      </c>
      <c r="I5692" s="25" t="str">
        <f>IF(OR(E5692="",E5692="!!!",F5692="NEW"),"",INDEX(B5691:B$2,-1+SUMPRODUCT(MAX(ROW(E5691:E$2)*(E5692=E5691:E$2)))))</f>
        <v> </v>
      </c>
      <c r="J5692" s="25" t="str">
        <f>IF(OR(E5692="",E5692="!!!",F5692="NEW"),"",COUNTBLANK(OFFSET(A$1,,,SUMPRODUCT(MAX(ROW(E$2:E5692)*(E5692=E$2:E5692)))))-COUNTBLANK(OFFSET(A$1,,,SUMPRODUCT(MAX(ROW(E$1:E5691)*(E2=E$1:E5691))))))</f>
        <v> </v>
      </c>
      <c r="K5692" s="25" t="str">
        <f>IF(OR(E5692="",E5692="!!!",F5692="NEW"),"",INDEX(J$1:J5691,SUMPRODUCT(MAX(ROW(E$1:E5691)*(E5692=E$1:E5691)))))</f>
        <v> </v>
      </c>
      <c r="L5692" s="26"/>
    </row>
    <row r="5693" spans="1:12">
      <c r="A5693" s="20" t="s">
        <v>966</v>
      </c>
      <c r="B5693" s="27" t="s">
        <v>994</v>
      </c>
      <c r="C5693" s="27" t="s">
        <v>968</v>
      </c>
      <c r="D5693" s="27" t="s">
        <v>969</v>
      </c>
      <c r="E5693" s="21">
        <f>IF(D5693="?OLD","!!!","")</f>
        <v/>
      </c>
      <c r="F5693" s="22" t="str">
        <f>IF(OR(E5693="",E5693="!!!"),"",IF(NOT(ISNA(VLOOKUP(E5693,E$1:E5692,1,FALSE()))),"OLD",IF(AND(E5693&lt;&gt;"",E5693&lt;&gt;"!!!"),"NEW","")))</f>
        <v> </v>
      </c>
      <c r="G5693" s="23" t="str">
        <f>IF(OR(E5693="",E5693="!!!"),"",IF(OR(J5693=0,AND(J5693=1,K5693=1),AND(J5693=1,I5693="SBJ"),AND(J5693=1,I5693=0)),"?IN_FOCUS",IF(J5693&lt;=2,"?ACTIVATED",IF(J5693&lt;&gt;"","?FAMILIAR",IF(F5693="NEW",IF(ISNA(VLOOKUP(E5693,#REF!,1,FALSE())),"?TYPE_IDENTIFIABLE","?REFERENTIAL"),"_")))))</f>
        <v> </v>
      </c>
      <c r="H5693" s="24" t="str">
        <f>IF(J5693&lt;&gt;1,"",IF(I5693="SBJ","CB","?"))</f>
        <v> </v>
      </c>
      <c r="I5693" s="25" t="str">
        <f>IF(OR(E5693="",E5693="!!!",F5693="NEW"),"",INDEX(B5692:B$2,-1+SUMPRODUCT(MAX(ROW(E5692:E$2)*(E5693=E5692:E$2)))))</f>
        <v> </v>
      </c>
      <c r="J5693" s="25" t="str">
        <f>IF(OR(E5693="",E5693="!!!",F5693="NEW"),"",COUNTBLANK(OFFSET(A$1,,,SUMPRODUCT(MAX(ROW(E$2:E5693)*(E5693=E$2:E5693)))))-COUNTBLANK(OFFSET(A$1,,,SUMPRODUCT(MAX(ROW(E$1:E5692)*(E2=E$1:E5692))))))</f>
        <v> </v>
      </c>
      <c r="K5693" s="25" t="str">
        <f>IF(OR(E5693="",E5693="!!!",F5693="NEW"),"",INDEX(J$1:J5692,SUMPRODUCT(MAX(ROW(E$1:E5692)*(E5693=E$1:E5692)))))</f>
        <v> </v>
      </c>
      <c r="L5693" s="26"/>
    </row>
    <row r="5694" spans="1:12">
      <c r="A5694" s="20" t="s">
        <v>2502</v>
      </c>
      <c r="E5694" s="21">
        <f>IF(D5694="?OLD","!!!","")</f>
        <v/>
      </c>
      <c r="F5694" s="22" t="str">
        <f>IF(OR(E5694="",E5694="!!!"),"",IF(NOT(ISNA(VLOOKUP(E5694,E$1:E5693,1,FALSE()))),"OLD",IF(AND(E5694&lt;&gt;"",E5694&lt;&gt;"!!!"),"NEW","")))</f>
        <v> </v>
      </c>
      <c r="G5694" s="23" t="str">
        <f>IF(OR(E5694="",E5694="!!!"),"",IF(OR(J5694=0,AND(J5694=1,K5694=1),AND(J5694=1,I5694="SBJ"),AND(J5694=1,I5694=0)),"?IN_FOCUS",IF(J5694&lt;=2,"?ACTIVATED",IF(J5694&lt;&gt;"","?FAMILIAR",IF(F5694="NEW",IF(ISNA(VLOOKUP(E5694,#REF!,1,FALSE())),"?TYPE_IDENTIFIABLE","?REFERENTIAL"),"_")))))</f>
        <v> </v>
      </c>
      <c r="H5694" s="24" t="str">
        <f>IF(J5694&lt;&gt;1,"",IF(I5694="SBJ","CB","?"))</f>
        <v> </v>
      </c>
      <c r="I5694" s="25" t="str">
        <f>IF(OR(E5694="",E5694="!!!",F5694="NEW"),"",INDEX(B5693:B$2,-1+SUMPRODUCT(MAX(ROW(E5693:E$2)*(E5694=E5693:E$2)))))</f>
        <v> </v>
      </c>
      <c r="J5694" s="25" t="str">
        <f>IF(OR(E5694="",E5694="!!!",F5694="NEW"),"",COUNTBLANK(OFFSET(A$1,,,SUMPRODUCT(MAX(ROW(E$2:E5694)*(E5694=E$2:E5694)))))-COUNTBLANK(OFFSET(A$1,,,SUMPRODUCT(MAX(ROW(E$1:E5693)*(E2=E$1:E5693))))))</f>
        <v> </v>
      </c>
      <c r="K5694" s="25" t="str">
        <f>IF(OR(E5694="",E5694="!!!",F5694="NEW"),"",INDEX(J$1:J5693,SUMPRODUCT(MAX(ROW(E$1:E5693)*(E5694=E$1:E5693)))))</f>
        <v> </v>
      </c>
      <c r="L5694" s="26"/>
    </row>
    <row r="5695" spans="1:12">
      <c r="A5695" s="20" t="s">
        <v>2503</v>
      </c>
      <c r="E5695" s="21">
        <f>IF(D5695="?OLD","!!!","")</f>
        <v/>
      </c>
      <c r="F5695" s="22" t="str">
        <f>IF(OR(E5695="",E5695="!!!"),"",IF(NOT(ISNA(VLOOKUP(E5695,E$1:E5694,1,FALSE()))),"OLD",IF(AND(E5695&lt;&gt;"",E5695&lt;&gt;"!!!"),"NEW","")))</f>
        <v> </v>
      </c>
      <c r="G5695" s="23" t="str">
        <f>IF(OR(E5695="",E5695="!!!"),"",IF(OR(J5695=0,AND(J5695=1,K5695=1),AND(J5695=1,I5695="SBJ"),AND(J5695=1,I5695=0)),"?IN_FOCUS",IF(J5695&lt;=2,"?ACTIVATED",IF(J5695&lt;&gt;"","?FAMILIAR",IF(F5695="NEW",IF(ISNA(VLOOKUP(E5695,#REF!,1,FALSE())),"?TYPE_IDENTIFIABLE","?REFERENTIAL"),"_")))))</f>
        <v> </v>
      </c>
      <c r="H5695" s="24" t="str">
        <f>IF(J5695&lt;&gt;1,"",IF(I5695="SBJ","CB","?"))</f>
        <v> </v>
      </c>
      <c r="I5695" s="25" t="str">
        <f>IF(OR(E5695="",E5695="!!!",F5695="NEW"),"",INDEX(B5694:B$2,-1+SUMPRODUCT(MAX(ROW(E5694:E$2)*(E5695=E5694:E$2)))))</f>
        <v> </v>
      </c>
      <c r="J5695" s="25" t="str">
        <f>IF(OR(E5695="",E5695="!!!",F5695="NEW"),"",COUNTBLANK(OFFSET(A$1,,,SUMPRODUCT(MAX(ROW(E$2:E5695)*(E5695=E$2:E5695)))))-COUNTBLANK(OFFSET(A$1,,,SUMPRODUCT(MAX(ROW(E$1:E5694)*(E2=E$1:E5694))))))</f>
        <v> </v>
      </c>
      <c r="K5695" s="25" t="str">
        <f>IF(OR(E5695="",E5695="!!!",F5695="NEW"),"",INDEX(J$1:J5694,SUMPRODUCT(MAX(ROW(E$1:E5694)*(E5695=E$1:E5694)))))</f>
        <v> </v>
      </c>
      <c r="L5695" s="26"/>
    </row>
    <row r="5696" spans="1:12">
      <c r="A5696" s="20" t="s">
        <v>975</v>
      </c>
      <c r="E5696" s="21">
        <f>IF(D5696="?OLD","!!!","")</f>
        <v/>
      </c>
      <c r="F5696" s="22" t="str">
        <f>IF(OR(E5696="",E5696="!!!"),"",IF(NOT(ISNA(VLOOKUP(E5696,E$1:E5695,1,FALSE()))),"OLD",IF(AND(E5696&lt;&gt;"",E5696&lt;&gt;"!!!"),"NEW","")))</f>
        <v> </v>
      </c>
      <c r="G5696" s="23" t="str">
        <f>IF(OR(E5696="",E5696="!!!"),"",IF(OR(J5696=0,AND(J5696=1,K5696=1),AND(J5696=1,I5696="SBJ"),AND(J5696=1,I5696=0)),"?IN_FOCUS",IF(J5696&lt;=2,"?ACTIVATED",IF(J5696&lt;&gt;"","?FAMILIAR",IF(F5696="NEW",IF(ISNA(VLOOKUP(E5696,#REF!,1,FALSE())),"?TYPE_IDENTIFIABLE","?REFERENTIAL"),"_")))))</f>
        <v> </v>
      </c>
      <c r="H5696" s="24" t="str">
        <f>IF(J5696&lt;&gt;1,"",IF(I5696="SBJ","CB","?"))</f>
        <v> </v>
      </c>
      <c r="I5696" s="25" t="str">
        <f>IF(OR(E5696="",E5696="!!!",F5696="NEW"),"",INDEX(B5695:B$2,-1+SUMPRODUCT(MAX(ROW(E5695:E$2)*(E5696=E5695:E$2)))))</f>
        <v> </v>
      </c>
      <c r="J5696" s="25" t="str">
        <f>IF(OR(E5696="",E5696="!!!",F5696="NEW"),"",COUNTBLANK(OFFSET(A$1,,,SUMPRODUCT(MAX(ROW(E$2:E5696)*(E5696=E$2:E5696)))))-COUNTBLANK(OFFSET(A$1,,,SUMPRODUCT(MAX(ROW(E$1:E5695)*(E2=E$1:E5695))))))</f>
        <v> </v>
      </c>
      <c r="K5696" s="25" t="str">
        <f>IF(OR(E5696="",E5696="!!!",F5696="NEW"),"",INDEX(J$1:J5695,SUMPRODUCT(MAX(ROW(E$1:E5695)*(E5696=E$1:E5695)))))</f>
        <v> </v>
      </c>
      <c r="L5696" s="26"/>
    </row>
    <row r="5697" spans="1:12">
      <c r="A5697" s="20" t="s">
        <v>1809</v>
      </c>
      <c r="E5697" s="21">
        <f>IF(D5697="?OLD","!!!","")</f>
        <v/>
      </c>
      <c r="F5697" s="22" t="str">
        <f>IF(OR(E5697="",E5697="!!!"),"",IF(NOT(ISNA(VLOOKUP(E5697,E$1:E5696,1,FALSE()))),"OLD",IF(AND(E5697&lt;&gt;"",E5697&lt;&gt;"!!!"),"NEW","")))</f>
        <v> </v>
      </c>
      <c r="G5697" s="23" t="str">
        <f>IF(OR(E5697="",E5697="!!!"),"",IF(OR(J5697=0,AND(J5697=1,K5697=1),AND(J5697=1,I5697="SBJ"),AND(J5697=1,I5697=0)),"?IN_FOCUS",IF(J5697&lt;=2,"?ACTIVATED",IF(J5697&lt;&gt;"","?FAMILIAR",IF(F5697="NEW",IF(ISNA(VLOOKUP(E5697,#REF!,1,FALSE())),"?TYPE_IDENTIFIABLE","?REFERENTIAL"),"_")))))</f>
        <v> </v>
      </c>
      <c r="H5697" s="24" t="str">
        <f>IF(J5697&lt;&gt;1,"",IF(I5697="SBJ","CB","?"))</f>
        <v> </v>
      </c>
      <c r="I5697" s="25" t="str">
        <f>IF(OR(E5697="",E5697="!!!",F5697="NEW"),"",INDEX(B5696:B$2,-1+SUMPRODUCT(MAX(ROW(E5696:E$2)*(E5697=E5696:E$2)))))</f>
        <v> </v>
      </c>
      <c r="J5697" s="25" t="str">
        <f>IF(OR(E5697="",E5697="!!!",F5697="NEW"),"",COUNTBLANK(OFFSET(A$1,,,SUMPRODUCT(MAX(ROW(E$2:E5697)*(E5697=E$2:E5697)))))-COUNTBLANK(OFFSET(A$1,,,SUMPRODUCT(MAX(ROW(E$1:E5696)*(E2=E$1:E5696))))))</f>
        <v> </v>
      </c>
      <c r="K5697" s="25" t="str">
        <f>IF(OR(E5697="",E5697="!!!",F5697="NEW"),"",INDEX(J$1:J5696,SUMPRODUCT(MAX(ROW(E$1:E5696)*(E5697=E$1:E5696)))))</f>
        <v> </v>
      </c>
      <c r="L5697" s="26"/>
    </row>
    <row r="5698" spans="1:12">
      <c r="A5698" s="20" t="s">
        <v>2504</v>
      </c>
      <c r="B5698" s="27" t="s">
        <v>1053</v>
      </c>
      <c r="C5698" s="27" t="s">
        <v>1083</v>
      </c>
      <c r="D5698" s="27" t="s">
        <v>969</v>
      </c>
      <c r="E5698" s="21">
        <f>IF(D5698="?OLD","!!!","")</f>
        <v/>
      </c>
      <c r="F5698" s="22" t="str">
        <f>IF(OR(E5698="",E5698="!!!"),"",IF(NOT(ISNA(VLOOKUP(E5698,E$1:E5697,1,FALSE()))),"OLD",IF(AND(E5698&lt;&gt;"",E5698&lt;&gt;"!!!"),"NEW","")))</f>
        <v> </v>
      </c>
      <c r="G5698" s="23" t="str">
        <f>IF(OR(E5698="",E5698="!!!"),"",IF(OR(J5698=0,AND(J5698=1,K5698=1),AND(J5698=1,I5698="SBJ"),AND(J5698=1,I5698=0)),"?IN_FOCUS",IF(J5698&lt;=2,"?ACTIVATED",IF(J5698&lt;&gt;"","?FAMILIAR",IF(F5698="NEW",IF(ISNA(VLOOKUP(E5698,#REF!,1,FALSE())),"?TYPE_IDENTIFIABLE","?REFERENTIAL"),"_")))))</f>
        <v> </v>
      </c>
      <c r="H5698" s="24" t="str">
        <f>IF(J5698&lt;&gt;1,"",IF(I5698="SBJ","CB","?"))</f>
        <v> </v>
      </c>
      <c r="I5698" s="25" t="str">
        <f>IF(OR(E5698="",E5698="!!!",F5698="NEW"),"",INDEX(B5697:B$2,-1+SUMPRODUCT(MAX(ROW(E5697:E$2)*(E5698=E5697:E$2)))))</f>
        <v> </v>
      </c>
      <c r="J5698" s="25" t="str">
        <f>IF(OR(E5698="",E5698="!!!",F5698="NEW"),"",COUNTBLANK(OFFSET(A$1,,,SUMPRODUCT(MAX(ROW(E$2:E5698)*(E5698=E$2:E5698)))))-COUNTBLANK(OFFSET(A$1,,,SUMPRODUCT(MAX(ROW(E$1:E5697)*(E2=E$1:E5697))))))</f>
        <v> </v>
      </c>
      <c r="K5698" s="25" t="str">
        <f>IF(OR(E5698="",E5698="!!!",F5698="NEW"),"",INDEX(J$1:J5697,SUMPRODUCT(MAX(ROW(E$1:E5697)*(E5698=E$1:E5697)))))</f>
        <v> </v>
      </c>
      <c r="L5698" s="26"/>
    </row>
    <row r="5699" spans="1:12">
      <c r="A5699" s="20" t="s">
        <v>12</v>
      </c>
      <c r="E5699" s="21">
        <f>IF(D5699="?OLD","!!!","")</f>
        <v/>
      </c>
      <c r="F5699" s="22" t="str">
        <f>IF(OR(E5699="",E5699="!!!"),"",IF(NOT(ISNA(VLOOKUP(E5699,E$1:E5698,1,FALSE()))),"OLD",IF(AND(E5699&lt;&gt;"",E5699&lt;&gt;"!!!"),"NEW","")))</f>
        <v> </v>
      </c>
      <c r="G5699" s="23" t="str">
        <f>IF(OR(E5699="",E5699="!!!"),"",IF(OR(J5699=0,AND(J5699=1,K5699=1),AND(J5699=1,I5699="SBJ"),AND(J5699=1,I5699=0)),"?IN_FOCUS",IF(J5699&lt;=2,"?ACTIVATED",IF(J5699&lt;&gt;"","?FAMILIAR",IF(F5699="NEW",IF(ISNA(VLOOKUP(E5699,#REF!,1,FALSE())),"?TYPE_IDENTIFIABLE","?REFERENTIAL"),"_")))))</f>
        <v> </v>
      </c>
      <c r="H5699" s="24" t="str">
        <f>IF(J5699&lt;&gt;1,"",IF(I5699="SBJ","CB","?"))</f>
        <v> </v>
      </c>
      <c r="I5699" s="25" t="str">
        <f>IF(OR(E5699="",E5699="!!!",F5699="NEW"),"",INDEX(B5698:B$2,-1+SUMPRODUCT(MAX(ROW(E5698:E$2)*(E5699=E5698:E$2)))))</f>
        <v> </v>
      </c>
      <c r="J5699" s="25" t="str">
        <f>IF(OR(E5699="",E5699="!!!",F5699="NEW"),"",COUNTBLANK(OFFSET(A$1,,,SUMPRODUCT(MAX(ROW(E$2:E5699)*(E5699=E$2:E5699)))))-COUNTBLANK(OFFSET(A$1,,,SUMPRODUCT(MAX(ROW(E$1:E5698)*(E2=E$1:E5698))))))</f>
        <v> </v>
      </c>
      <c r="K5699" s="25" t="str">
        <f>IF(OR(E5699="",E5699="!!!",F5699="NEW"),"",INDEX(J$1:J5698,SUMPRODUCT(MAX(ROW(E$1:E5698)*(E5699=E$1:E5698)))))</f>
        <v> </v>
      </c>
      <c r="L5699" s="26"/>
    </row>
    <row r="5700" spans="1:12">
      <c r="A5700" s="20" t="s">
        <v>2496</v>
      </c>
      <c r="E5700" s="21">
        <f>IF(D5700="?OLD","!!!","")</f>
        <v/>
      </c>
      <c r="F5700" s="22" t="str">
        <f>IF(OR(E5700="",E5700="!!!"),"",IF(NOT(ISNA(VLOOKUP(E5700,E$1:E5699,1,FALSE()))),"OLD",IF(AND(E5700&lt;&gt;"",E5700&lt;&gt;"!!!"),"NEW","")))</f>
        <v> </v>
      </c>
      <c r="G5700" s="23" t="str">
        <f>IF(OR(E5700="",E5700="!!!"),"",IF(OR(J5700=0,AND(J5700=1,K5700=1),AND(J5700=1,I5700="SBJ"),AND(J5700=1,I5700=0)),"?IN_FOCUS",IF(J5700&lt;=2,"?ACTIVATED",IF(J5700&lt;&gt;"","?FAMILIAR",IF(F5700="NEW",IF(ISNA(VLOOKUP(E5700,#REF!,1,FALSE())),"?TYPE_IDENTIFIABLE","?REFERENTIAL"),"_")))))</f>
        <v> </v>
      </c>
      <c r="H5700" s="24" t="str">
        <f>IF(J5700&lt;&gt;1,"",IF(I5700="SBJ","CB","?"))</f>
        <v> </v>
      </c>
      <c r="I5700" s="25" t="str">
        <f>IF(OR(E5700="",E5700="!!!",F5700="NEW"),"",INDEX(B5699:B$2,-1+SUMPRODUCT(MAX(ROW(E5699:E$2)*(E5700=E5699:E$2)))))</f>
        <v> </v>
      </c>
      <c r="J5700" s="25" t="str">
        <f>IF(OR(E5700="",E5700="!!!",F5700="NEW"),"",COUNTBLANK(OFFSET(A$1,,,SUMPRODUCT(MAX(ROW(E$2:E5700)*(E5700=E$2:E5700)))))-COUNTBLANK(OFFSET(A$1,,,SUMPRODUCT(MAX(ROW(E$1:E5699)*(E2=E$1:E5699))))))</f>
        <v> </v>
      </c>
      <c r="K5700" s="25" t="str">
        <f>IF(OR(E5700="",E5700="!!!",F5700="NEW"),"",INDEX(J$1:J5699,SUMPRODUCT(MAX(ROW(E$1:E5699)*(E5700=E$1:E5699)))))</f>
        <v> </v>
      </c>
      <c r="L5700" s="26"/>
    </row>
    <row r="5701" spans="1:12">
      <c r="A5701" s="20" t="s">
        <v>991</v>
      </c>
      <c r="E5701" s="21">
        <f>IF(D5701="?OLD","!!!","")</f>
        <v/>
      </c>
      <c r="F5701" s="22" t="str">
        <f>IF(OR(E5701="",E5701="!!!"),"",IF(NOT(ISNA(VLOOKUP(E5701,E$1:E5700,1,FALSE()))),"OLD",IF(AND(E5701&lt;&gt;"",E5701&lt;&gt;"!!!"),"NEW","")))</f>
        <v> </v>
      </c>
      <c r="G5701" s="23" t="str">
        <f>IF(OR(E5701="",E5701="!!!"),"",IF(OR(J5701=0,AND(J5701=1,K5701=1),AND(J5701=1,I5701="SBJ"),AND(J5701=1,I5701=0)),"?IN_FOCUS",IF(J5701&lt;=2,"?ACTIVATED",IF(J5701&lt;&gt;"","?FAMILIAR",IF(F5701="NEW",IF(ISNA(VLOOKUP(E5701,#REF!,1,FALSE())),"?TYPE_IDENTIFIABLE","?REFERENTIAL"),"_")))))</f>
        <v> </v>
      </c>
      <c r="H5701" s="24" t="str">
        <f>IF(J5701&lt;&gt;1,"",IF(I5701="SBJ","CB","?"))</f>
        <v> </v>
      </c>
      <c r="I5701" s="25" t="str">
        <f>IF(OR(E5701="",E5701="!!!",F5701="NEW"),"",INDEX(B5700:B$2,-1+SUMPRODUCT(MAX(ROW(E5700:E$2)*(E5701=E5700:E$2)))))</f>
        <v> </v>
      </c>
      <c r="J5701" s="25" t="str">
        <f>IF(OR(E5701="",E5701="!!!",F5701="NEW"),"",COUNTBLANK(OFFSET(A$1,,,SUMPRODUCT(MAX(ROW(E$2:E5701)*(E5701=E$2:E5701)))))-COUNTBLANK(OFFSET(A$1,,,SUMPRODUCT(MAX(ROW(E$1:E5700)*(E2=E$1:E5700))))))</f>
        <v> </v>
      </c>
      <c r="K5701" s="25" t="str">
        <f>IF(OR(E5701="",E5701="!!!",F5701="NEW"),"",INDEX(J$1:J5700,SUMPRODUCT(MAX(ROW(E$1:E5700)*(E5701=E$1:E5700)))))</f>
        <v> </v>
      </c>
      <c r="L5701" s="26"/>
    </row>
    <row r="5702" spans="1:12">
      <c r="A5702" s="20" t="s">
        <v>980</v>
      </c>
      <c r="E5702" s="21">
        <f>IF(D5702="?OLD","!!!","")</f>
        <v/>
      </c>
      <c r="F5702" s="22" t="str">
        <f>IF(OR(E5702="",E5702="!!!"),"",IF(NOT(ISNA(VLOOKUP(E5702,E$1:E5701,1,FALSE()))),"OLD",IF(AND(E5702&lt;&gt;"",E5702&lt;&gt;"!!!"),"NEW","")))</f>
        <v> </v>
      </c>
      <c r="G5702" s="23" t="str">
        <f>IF(OR(E5702="",E5702="!!!"),"",IF(OR(J5702=0,AND(J5702=1,K5702=1),AND(J5702=1,I5702="SBJ"),AND(J5702=1,I5702=0)),"?IN_FOCUS",IF(J5702&lt;=2,"?ACTIVATED",IF(J5702&lt;&gt;"","?FAMILIAR",IF(F5702="NEW",IF(ISNA(VLOOKUP(E5702,#REF!,1,FALSE())),"?TYPE_IDENTIFIABLE","?REFERENTIAL"),"_")))))</f>
        <v> </v>
      </c>
      <c r="H5702" s="24" t="str">
        <f>IF(J5702&lt;&gt;1,"",IF(I5702="SBJ","CB","?"))</f>
        <v> </v>
      </c>
      <c r="I5702" s="25" t="str">
        <f>IF(OR(E5702="",E5702="!!!",F5702="NEW"),"",INDEX(B5701:B$2,-1+SUMPRODUCT(MAX(ROW(E5701:E$2)*(E5702=E5701:E$2)))))</f>
        <v> </v>
      </c>
      <c r="J5702" s="25" t="str">
        <f>IF(OR(E5702="",E5702="!!!",F5702="NEW"),"",COUNTBLANK(OFFSET(A$1,,,SUMPRODUCT(MAX(ROW(E$2:E5702)*(E5702=E$2:E5702)))))-COUNTBLANK(OFFSET(A$1,,,SUMPRODUCT(MAX(ROW(E$1:E5701)*(E2=E$1:E5701))))))</f>
        <v> </v>
      </c>
      <c r="K5702" s="25" t="str">
        <f>IF(OR(E5702="",E5702="!!!",F5702="NEW"),"",INDEX(J$1:J5701,SUMPRODUCT(MAX(ROW(E$1:E5701)*(E5702=E$1:E5701)))))</f>
        <v> </v>
      </c>
      <c r="L5702" s="26"/>
    </row>
    <row r="5703" spans="1:12">
      <c r="A5703" s="20" t="s">
        <v>993</v>
      </c>
      <c r="B5703" s="27" t="s">
        <v>1010</v>
      </c>
      <c r="C5703" s="27" t="s">
        <v>968</v>
      </c>
      <c r="D5703" s="27" t="s">
        <v>969</v>
      </c>
      <c r="E5703" s="21">
        <f>IF(D5703="?OLD","!!!","")</f>
        <v/>
      </c>
      <c r="F5703" s="22" t="str">
        <f>IF(OR(E5703="",E5703="!!!"),"",IF(NOT(ISNA(VLOOKUP(E5703,E$1:E5702,1,FALSE()))),"OLD",IF(AND(E5703&lt;&gt;"",E5703&lt;&gt;"!!!"),"NEW","")))</f>
        <v> </v>
      </c>
      <c r="G5703" s="23" t="str">
        <f>IF(OR(E5703="",E5703="!!!"),"",IF(OR(J5703=0,AND(J5703=1,K5703=1),AND(J5703=1,I5703="SBJ"),AND(J5703=1,I5703=0)),"?IN_FOCUS",IF(J5703&lt;=2,"?ACTIVATED",IF(J5703&lt;&gt;"","?FAMILIAR",IF(F5703="NEW",IF(ISNA(VLOOKUP(E5703,#REF!,1,FALSE())),"?TYPE_IDENTIFIABLE","?REFERENTIAL"),"_")))))</f>
        <v> </v>
      </c>
      <c r="H5703" s="24" t="str">
        <f>IF(J5703&lt;&gt;1,"",IF(I5703="SBJ","CB","?"))</f>
        <v> </v>
      </c>
      <c r="I5703" s="25" t="str">
        <f>IF(OR(E5703="",E5703="!!!",F5703="NEW"),"",INDEX(B5702:B$2,-1+SUMPRODUCT(MAX(ROW(E5702:E$2)*(E5703=E5702:E$2)))))</f>
        <v> </v>
      </c>
      <c r="J5703" s="25" t="str">
        <f>IF(OR(E5703="",E5703="!!!",F5703="NEW"),"",COUNTBLANK(OFFSET(A$1,,,SUMPRODUCT(MAX(ROW(E$2:E5703)*(E5703=E$2:E5703)))))-COUNTBLANK(OFFSET(A$1,,,SUMPRODUCT(MAX(ROW(E$1:E5702)*(E2=E$1:E5702))))))</f>
        <v> </v>
      </c>
      <c r="K5703" s="25" t="str">
        <f>IF(OR(E5703="",E5703="!!!",F5703="NEW"),"",INDEX(J$1:J5702,SUMPRODUCT(MAX(ROW(E$1:E5702)*(E5703=E$1:E5702)))))</f>
        <v> </v>
      </c>
      <c r="L5703" s="26"/>
    </row>
    <row r="5704" spans="1:12">
      <c r="A5704" s="20" t="s">
        <v>2505</v>
      </c>
      <c r="E5704" s="21">
        <f>IF(D5704="?OLD","!!!","")</f>
        <v/>
      </c>
      <c r="F5704" s="22" t="str">
        <f>IF(OR(E5704="",E5704="!!!"),"",IF(NOT(ISNA(VLOOKUP(E5704,E$1:E5703,1,FALSE()))),"OLD",IF(AND(E5704&lt;&gt;"",E5704&lt;&gt;"!!!"),"NEW","")))</f>
        <v> </v>
      </c>
      <c r="G5704" s="23" t="str">
        <f>IF(OR(E5704="",E5704="!!!"),"",IF(OR(J5704=0,AND(J5704=1,K5704=1),AND(J5704=1,I5704="SBJ"),AND(J5704=1,I5704=0)),"?IN_FOCUS",IF(J5704&lt;=2,"?ACTIVATED",IF(J5704&lt;&gt;"","?FAMILIAR",IF(F5704="NEW",IF(ISNA(VLOOKUP(E5704,#REF!,1,FALSE())),"?TYPE_IDENTIFIABLE","?REFERENTIAL"),"_")))))</f>
        <v> </v>
      </c>
      <c r="H5704" s="24" t="str">
        <f>IF(J5704&lt;&gt;1,"",IF(I5704="SBJ","CB","?"))</f>
        <v> </v>
      </c>
      <c r="I5704" s="25" t="str">
        <f>IF(OR(E5704="",E5704="!!!",F5704="NEW"),"",INDEX(B5703:B$2,-1+SUMPRODUCT(MAX(ROW(E5703:E$2)*(E5704=E5703:E$2)))))</f>
        <v> </v>
      </c>
      <c r="J5704" s="25" t="str">
        <f>IF(OR(E5704="",E5704="!!!",F5704="NEW"),"",COUNTBLANK(OFFSET(A$1,,,SUMPRODUCT(MAX(ROW(E$2:E5704)*(E5704=E$2:E5704)))))-COUNTBLANK(OFFSET(A$1,,,SUMPRODUCT(MAX(ROW(E$1:E5703)*(E2=E$1:E5703))))))</f>
        <v> </v>
      </c>
      <c r="K5704" s="25" t="str">
        <f>IF(OR(E5704="",E5704="!!!",F5704="NEW"),"",INDEX(J$1:J5703,SUMPRODUCT(MAX(ROW(E$1:E5703)*(E5704=E$1:E5703)))))</f>
        <v> </v>
      </c>
      <c r="L5704" s="26"/>
    </row>
    <row r="5705" spans="1:12">
      <c r="A5705" s="20" t="s">
        <v>980</v>
      </c>
      <c r="E5705" s="21">
        <f>IF(D5705="?OLD","!!!","")</f>
        <v/>
      </c>
      <c r="F5705" s="22" t="str">
        <f>IF(OR(E5705="",E5705="!!!"),"",IF(NOT(ISNA(VLOOKUP(E5705,E$1:E5704,1,FALSE()))),"OLD",IF(AND(E5705&lt;&gt;"",E5705&lt;&gt;"!!!"),"NEW","")))</f>
        <v> </v>
      </c>
      <c r="G5705" s="23" t="str">
        <f>IF(OR(E5705="",E5705="!!!"),"",IF(OR(J5705=0,AND(J5705=1,K5705=1),AND(J5705=1,I5705="SBJ"),AND(J5705=1,I5705=0)),"?IN_FOCUS",IF(J5705&lt;=2,"?ACTIVATED",IF(J5705&lt;&gt;"","?FAMILIAR",IF(F5705="NEW",IF(ISNA(VLOOKUP(E5705,#REF!,1,FALSE())),"?TYPE_IDENTIFIABLE","?REFERENTIAL"),"_")))))</f>
        <v> </v>
      </c>
      <c r="H5705" s="24" t="str">
        <f>IF(J5705&lt;&gt;1,"",IF(I5705="SBJ","CB","?"))</f>
        <v> </v>
      </c>
      <c r="I5705" s="25" t="str">
        <f>IF(OR(E5705="",E5705="!!!",F5705="NEW"),"",INDEX(B5704:B$2,-1+SUMPRODUCT(MAX(ROW(E5704:E$2)*(E5705=E5704:E$2)))))</f>
        <v> </v>
      </c>
      <c r="J5705" s="25" t="str">
        <f>IF(OR(E5705="",E5705="!!!",F5705="NEW"),"",COUNTBLANK(OFFSET(A$1,,,SUMPRODUCT(MAX(ROW(E$2:E5705)*(E5705=E$2:E5705)))))-COUNTBLANK(OFFSET(A$1,,,SUMPRODUCT(MAX(ROW(E$1:E5704)*(E2=E$1:E5704))))))</f>
        <v> </v>
      </c>
      <c r="K5705" s="25" t="str">
        <f>IF(OR(E5705="",E5705="!!!",F5705="NEW"),"",INDEX(J$1:J5704,SUMPRODUCT(MAX(ROW(E$1:E5704)*(E5705=E$1:E5704)))))</f>
        <v> </v>
      </c>
      <c r="L5705" s="26"/>
    </row>
    <row r="5706" spans="1:12">
      <c r="A5706" s="20" t="s">
        <v>2505</v>
      </c>
      <c r="E5706" s="21">
        <f>IF(D5706="?OLD","!!!","")</f>
        <v/>
      </c>
      <c r="F5706" s="22" t="str">
        <f>IF(OR(E5706="",E5706="!!!"),"",IF(NOT(ISNA(VLOOKUP(E5706,E$1:E5705,1,FALSE()))),"OLD",IF(AND(E5706&lt;&gt;"",E5706&lt;&gt;"!!!"),"NEW","")))</f>
        <v> </v>
      </c>
      <c r="G5706" s="23" t="str">
        <f>IF(OR(E5706="",E5706="!!!"),"",IF(OR(J5706=0,AND(J5706=1,K5706=1),AND(J5706=1,I5706="SBJ"),AND(J5706=1,I5706=0)),"?IN_FOCUS",IF(J5706&lt;=2,"?ACTIVATED",IF(J5706&lt;&gt;"","?FAMILIAR",IF(F5706="NEW",IF(ISNA(VLOOKUP(E5706,#REF!,1,FALSE())),"?TYPE_IDENTIFIABLE","?REFERENTIAL"),"_")))))</f>
        <v> </v>
      </c>
      <c r="H5706" s="24" t="str">
        <f>IF(J5706&lt;&gt;1,"",IF(I5706="SBJ","CB","?"))</f>
        <v> </v>
      </c>
      <c r="I5706" s="25" t="str">
        <f>IF(OR(E5706="",E5706="!!!",F5706="NEW"),"",INDEX(B5705:B$2,-1+SUMPRODUCT(MAX(ROW(E5705:E$2)*(E5706=E5705:E$2)))))</f>
        <v> </v>
      </c>
      <c r="J5706" s="25" t="str">
        <f>IF(OR(E5706="",E5706="!!!",F5706="NEW"),"",COUNTBLANK(OFFSET(A$1,,,SUMPRODUCT(MAX(ROW(E$2:E5706)*(E5706=E$2:E5706)))))-COUNTBLANK(OFFSET(A$1,,,SUMPRODUCT(MAX(ROW(E$1:E5705)*(E2=E$1:E5705))))))</f>
        <v> </v>
      </c>
      <c r="K5706" s="25" t="str">
        <f>IF(OR(E5706="",E5706="!!!",F5706="NEW"),"",INDEX(J$1:J5705,SUMPRODUCT(MAX(ROW(E$1:E5705)*(E5706=E$1:E5705)))))</f>
        <v> </v>
      </c>
      <c r="L5706" s="26"/>
    </row>
    <row r="5707" spans="1:12">
      <c r="A5707" s="20" t="s">
        <v>980</v>
      </c>
      <c r="E5707" s="21">
        <f>IF(D5707="?OLD","!!!","")</f>
        <v/>
      </c>
      <c r="F5707" s="22" t="str">
        <f>IF(OR(E5707="",E5707="!!!"),"",IF(NOT(ISNA(VLOOKUP(E5707,E$1:E5706,1,FALSE()))),"OLD",IF(AND(E5707&lt;&gt;"",E5707&lt;&gt;"!!!"),"NEW","")))</f>
        <v> </v>
      </c>
      <c r="G5707" s="23" t="str">
        <f>IF(OR(E5707="",E5707="!!!"),"",IF(OR(J5707=0,AND(J5707=1,K5707=1),AND(J5707=1,I5707="SBJ"),AND(J5707=1,I5707=0)),"?IN_FOCUS",IF(J5707&lt;=2,"?ACTIVATED",IF(J5707&lt;&gt;"","?FAMILIAR",IF(F5707="NEW",IF(ISNA(VLOOKUP(E5707,#REF!,1,FALSE())),"?TYPE_IDENTIFIABLE","?REFERENTIAL"),"_")))))</f>
        <v> </v>
      </c>
      <c r="H5707" s="24" t="str">
        <f>IF(J5707&lt;&gt;1,"",IF(I5707="SBJ","CB","?"))</f>
        <v> </v>
      </c>
      <c r="I5707" s="25" t="str">
        <f>IF(OR(E5707="",E5707="!!!",F5707="NEW"),"",INDEX(B5706:B$2,-1+SUMPRODUCT(MAX(ROW(E5706:E$2)*(E5707=E5706:E$2)))))</f>
        <v> </v>
      </c>
      <c r="J5707" s="25" t="str">
        <f>IF(OR(E5707="",E5707="!!!",F5707="NEW"),"",COUNTBLANK(OFFSET(A$1,,,SUMPRODUCT(MAX(ROW(E$2:E5707)*(E5707=E$2:E5707)))))-COUNTBLANK(OFFSET(A$1,,,SUMPRODUCT(MAX(ROW(E$1:E5706)*(E2=E$1:E5706))))))</f>
        <v> </v>
      </c>
      <c r="K5707" s="25" t="str">
        <f>IF(OR(E5707="",E5707="!!!",F5707="NEW"),"",INDEX(J$1:J5706,SUMPRODUCT(MAX(ROW(E$1:E5706)*(E5707=E$1:E5706)))))</f>
        <v> </v>
      </c>
      <c r="L5707" s="26"/>
    </row>
    <row r="5708" spans="1:12">
      <c r="A5708" s="20" t="s">
        <v>2505</v>
      </c>
      <c r="E5708" s="21">
        <f>IF(D5708="?OLD","!!!","")</f>
        <v/>
      </c>
      <c r="F5708" s="22" t="str">
        <f>IF(OR(E5708="",E5708="!!!"),"",IF(NOT(ISNA(VLOOKUP(E5708,E$1:E5707,1,FALSE()))),"OLD",IF(AND(E5708&lt;&gt;"",E5708&lt;&gt;"!!!"),"NEW","")))</f>
        <v> </v>
      </c>
      <c r="G5708" s="23" t="str">
        <f>IF(OR(E5708="",E5708="!!!"),"",IF(OR(J5708=0,AND(J5708=1,K5708=1),AND(J5708=1,I5708="SBJ"),AND(J5708=1,I5708=0)),"?IN_FOCUS",IF(J5708&lt;=2,"?ACTIVATED",IF(J5708&lt;&gt;"","?FAMILIAR",IF(F5708="NEW",IF(ISNA(VLOOKUP(E5708,#REF!,1,FALSE())),"?TYPE_IDENTIFIABLE","?REFERENTIAL"),"_")))))</f>
        <v> </v>
      </c>
      <c r="H5708" s="24" t="str">
        <f>IF(J5708&lt;&gt;1,"",IF(I5708="SBJ","CB","?"))</f>
        <v> </v>
      </c>
      <c r="I5708" s="25" t="str">
        <f>IF(OR(E5708="",E5708="!!!",F5708="NEW"),"",INDEX(B5707:B$2,-1+SUMPRODUCT(MAX(ROW(E5707:E$2)*(E5708=E5707:E$2)))))</f>
        <v> </v>
      </c>
      <c r="J5708" s="25" t="str">
        <f>IF(OR(E5708="",E5708="!!!",F5708="NEW"),"",COUNTBLANK(OFFSET(A$1,,,SUMPRODUCT(MAX(ROW(E$2:E5708)*(E5708=E$2:E5708)))))-COUNTBLANK(OFFSET(A$1,,,SUMPRODUCT(MAX(ROW(E$1:E5707)*(E2=E$1:E5707))))))</f>
        <v> </v>
      </c>
      <c r="K5708" s="25" t="str">
        <f>IF(OR(E5708="",E5708="!!!",F5708="NEW"),"",INDEX(J$1:J5707,SUMPRODUCT(MAX(ROW(E$1:E5707)*(E5708=E$1:E5707)))))</f>
        <v> </v>
      </c>
      <c r="L5708" s="26"/>
    </row>
    <row r="5709" spans="1:12">
      <c r="A5709" s="20" t="s">
        <v>991</v>
      </c>
      <c r="E5709" s="21">
        <f>IF(D5709="?OLD","!!!","")</f>
        <v/>
      </c>
      <c r="F5709" s="22" t="str">
        <f>IF(OR(E5709="",E5709="!!!"),"",IF(NOT(ISNA(VLOOKUP(E5709,E$1:E5708,1,FALSE()))),"OLD",IF(AND(E5709&lt;&gt;"",E5709&lt;&gt;"!!!"),"NEW","")))</f>
        <v> </v>
      </c>
      <c r="G5709" s="23" t="str">
        <f>IF(OR(E5709="",E5709="!!!"),"",IF(OR(J5709=0,AND(J5709=1,K5709=1),AND(J5709=1,I5709="SBJ"),AND(J5709=1,I5709=0)),"?IN_FOCUS",IF(J5709&lt;=2,"?ACTIVATED",IF(J5709&lt;&gt;"","?FAMILIAR",IF(F5709="NEW",IF(ISNA(VLOOKUP(E5709,#REF!,1,FALSE())),"?TYPE_IDENTIFIABLE","?REFERENTIAL"),"_")))))</f>
        <v> </v>
      </c>
      <c r="H5709" s="24" t="str">
        <f>IF(J5709&lt;&gt;1,"",IF(I5709="SBJ","CB","?"))</f>
        <v> </v>
      </c>
      <c r="I5709" s="25" t="str">
        <f>IF(OR(E5709="",E5709="!!!",F5709="NEW"),"",INDEX(B5708:B$2,-1+SUMPRODUCT(MAX(ROW(E5708:E$2)*(E5709=E5708:E$2)))))</f>
        <v> </v>
      </c>
      <c r="J5709" s="25" t="str">
        <f>IF(OR(E5709="",E5709="!!!",F5709="NEW"),"",COUNTBLANK(OFFSET(A$1,,,SUMPRODUCT(MAX(ROW(E$2:E5709)*(E5709=E$2:E5709)))))-COUNTBLANK(OFFSET(A$1,,,SUMPRODUCT(MAX(ROW(E$1:E5708)*(E2=E$1:E5708))))))</f>
        <v> </v>
      </c>
      <c r="K5709" s="25" t="str">
        <f>IF(OR(E5709="",E5709="!!!",F5709="NEW"),"",INDEX(J$1:J5708,SUMPRODUCT(MAX(ROW(E$1:E5708)*(E5709=E$1:E5708)))))</f>
        <v> </v>
      </c>
      <c r="L5709" s="26"/>
    </row>
    <row r="5710" spans="1:12">
      <c r="A5710" s="20" t="s">
        <v>980</v>
      </c>
      <c r="E5710" s="21">
        <f>IF(D5710="?OLD","!!!","")</f>
        <v/>
      </c>
      <c r="F5710" s="22" t="str">
        <f>IF(OR(E5710="",E5710="!!!"),"",IF(NOT(ISNA(VLOOKUP(E5710,E$1:E5709,1,FALSE()))),"OLD",IF(AND(E5710&lt;&gt;"",E5710&lt;&gt;"!!!"),"NEW","")))</f>
        <v> </v>
      </c>
      <c r="G5710" s="23" t="str">
        <f>IF(OR(E5710="",E5710="!!!"),"",IF(OR(J5710=0,AND(J5710=1,K5710=1),AND(J5710=1,I5710="SBJ"),AND(J5710=1,I5710=0)),"?IN_FOCUS",IF(J5710&lt;=2,"?ACTIVATED",IF(J5710&lt;&gt;"","?FAMILIAR",IF(F5710="NEW",IF(ISNA(VLOOKUP(E5710,#REF!,1,FALSE())),"?TYPE_IDENTIFIABLE","?REFERENTIAL"),"_")))))</f>
        <v> </v>
      </c>
      <c r="H5710" s="24" t="str">
        <f>IF(J5710&lt;&gt;1,"",IF(I5710="SBJ","CB","?"))</f>
        <v> </v>
      </c>
      <c r="I5710" s="25" t="str">
        <f>IF(OR(E5710="",E5710="!!!",F5710="NEW"),"",INDEX(B5709:B$2,-1+SUMPRODUCT(MAX(ROW(E5709:E$2)*(E5710=E5709:E$2)))))</f>
        <v> </v>
      </c>
      <c r="J5710" s="25" t="str">
        <f>IF(OR(E5710="",E5710="!!!",F5710="NEW"),"",COUNTBLANK(OFFSET(A$1,,,SUMPRODUCT(MAX(ROW(E$2:E5710)*(E5710=E$2:E5710)))))-COUNTBLANK(OFFSET(A$1,,,SUMPRODUCT(MAX(ROW(E$1:E5709)*(E2=E$1:E5709))))))</f>
        <v> </v>
      </c>
      <c r="K5710" s="25" t="str">
        <f>IF(OR(E5710="",E5710="!!!",F5710="NEW"),"",INDEX(J$1:J5709,SUMPRODUCT(MAX(ROW(E$1:E5709)*(E5710=E$1:E5709)))))</f>
        <v> </v>
      </c>
      <c r="L5710" s="26"/>
    </row>
    <row r="5711" spans="1:12">
      <c r="A5711" s="20" t="s">
        <v>985</v>
      </c>
      <c r="E5711" s="21">
        <f>IF(D5711="?OLD","!!!","")</f>
        <v/>
      </c>
      <c r="F5711" s="22" t="str">
        <f>IF(OR(E5711="",E5711="!!!"),"",IF(NOT(ISNA(VLOOKUP(E5711,E$1:E5710,1,FALSE()))),"OLD",IF(AND(E5711&lt;&gt;"",E5711&lt;&gt;"!!!"),"NEW","")))</f>
        <v> </v>
      </c>
      <c r="G5711" s="23" t="str">
        <f>IF(OR(E5711="",E5711="!!!"),"",IF(OR(J5711=0,AND(J5711=1,K5711=1),AND(J5711=1,I5711="SBJ"),AND(J5711=1,I5711=0)),"?IN_FOCUS",IF(J5711&lt;=2,"?ACTIVATED",IF(J5711&lt;&gt;"","?FAMILIAR",IF(F5711="NEW",IF(ISNA(VLOOKUP(E5711,#REF!,1,FALSE())),"?TYPE_IDENTIFIABLE","?REFERENTIAL"),"_")))))</f>
        <v> </v>
      </c>
      <c r="H5711" s="24" t="str">
        <f>IF(J5711&lt;&gt;1,"",IF(I5711="SBJ","CB","?"))</f>
        <v> </v>
      </c>
      <c r="I5711" s="25" t="str">
        <f>IF(OR(E5711="",E5711="!!!",F5711="NEW"),"",INDEX(B5710:B$2,-1+SUMPRODUCT(MAX(ROW(E5710:E$2)*(E5711=E5710:E$2)))))</f>
        <v> </v>
      </c>
      <c r="J5711" s="25" t="str">
        <f>IF(OR(E5711="",E5711="!!!",F5711="NEW"),"",COUNTBLANK(OFFSET(A$1,,,SUMPRODUCT(MAX(ROW(E$2:E5711)*(E5711=E$2:E5711)))))-COUNTBLANK(OFFSET(A$1,,,SUMPRODUCT(MAX(ROW(E$1:E5710)*(E2=E$1:E5710))))))</f>
        <v> </v>
      </c>
      <c r="K5711" s="25" t="str">
        <f>IF(OR(E5711="",E5711="!!!",F5711="NEW"),"",INDEX(J$1:J5710,SUMPRODUCT(MAX(ROW(E$1:E5710)*(E5711=E$1:E5710)))))</f>
        <v> </v>
      </c>
      <c r="L5711" s="26"/>
    </row>
    <row r="5712" spans="1:12">
      <c r="A5712" s="20" t="s">
        <v>1111</v>
      </c>
      <c r="B5712" s="27" t="s">
        <v>994</v>
      </c>
      <c r="C5712" s="27" t="s">
        <v>979</v>
      </c>
      <c r="D5712" s="27" t="s">
        <v>969</v>
      </c>
      <c r="E5712" s="21">
        <f>IF(D5712="?OLD","!!!","")</f>
        <v/>
      </c>
      <c r="F5712" s="22" t="str">
        <f>IF(OR(E5712="",E5712="!!!"),"",IF(NOT(ISNA(VLOOKUP(E5712,E$1:E5711,1,FALSE()))),"OLD",IF(AND(E5712&lt;&gt;"",E5712&lt;&gt;"!!!"),"NEW","")))</f>
        <v> </v>
      </c>
      <c r="G5712" s="23" t="str">
        <f>IF(OR(E5712="",E5712="!!!"),"",IF(OR(J5712=0,AND(J5712=1,K5712=1),AND(J5712=1,I5712="SBJ"),AND(J5712=1,I5712=0)),"?IN_FOCUS",IF(J5712&lt;=2,"?ACTIVATED",IF(J5712&lt;&gt;"","?FAMILIAR",IF(F5712="NEW",IF(ISNA(VLOOKUP(E5712,#REF!,1,FALSE())),"?TYPE_IDENTIFIABLE","?REFERENTIAL"),"_")))))</f>
        <v> </v>
      </c>
      <c r="H5712" s="24" t="str">
        <f>IF(J5712&lt;&gt;1,"",IF(I5712="SBJ","CB","?"))</f>
        <v> </v>
      </c>
      <c r="I5712" s="25" t="str">
        <f>IF(OR(E5712="",E5712="!!!",F5712="NEW"),"",INDEX(B5711:B$2,-1+SUMPRODUCT(MAX(ROW(E5711:E$2)*(E5712=E5711:E$2)))))</f>
        <v> </v>
      </c>
      <c r="J5712" s="25" t="str">
        <f>IF(OR(E5712="",E5712="!!!",F5712="NEW"),"",COUNTBLANK(OFFSET(A$1,,,SUMPRODUCT(MAX(ROW(E$2:E5712)*(E5712=E$2:E5712)))))-COUNTBLANK(OFFSET(A$1,,,SUMPRODUCT(MAX(ROW(E$1:E5711)*(E2=E$1:E5711))))))</f>
        <v> </v>
      </c>
      <c r="K5712" s="25" t="str">
        <f>IF(OR(E5712="",E5712="!!!",F5712="NEW"),"",INDEX(J$1:J5711,SUMPRODUCT(MAX(ROW(E$1:E5711)*(E5712=E$1:E5711)))))</f>
        <v> </v>
      </c>
      <c r="L5712" s="26"/>
    </row>
    <row r="5713" spans="1:12">
      <c r="A5713" s="20" t="s">
        <v>991</v>
      </c>
      <c r="E5713" s="21">
        <f>IF(D5713="?OLD","!!!","")</f>
        <v/>
      </c>
      <c r="F5713" s="22" t="str">
        <f>IF(OR(E5713="",E5713="!!!"),"",IF(NOT(ISNA(VLOOKUP(E5713,E$1:E5712,1,FALSE()))),"OLD",IF(AND(E5713&lt;&gt;"",E5713&lt;&gt;"!!!"),"NEW","")))</f>
        <v> </v>
      </c>
      <c r="G5713" s="23" t="str">
        <f>IF(OR(E5713="",E5713="!!!"),"",IF(OR(J5713=0,AND(J5713=1,K5713=1),AND(J5713=1,I5713="SBJ"),AND(J5713=1,I5713=0)),"?IN_FOCUS",IF(J5713&lt;=2,"?ACTIVATED",IF(J5713&lt;&gt;"","?FAMILIAR",IF(F5713="NEW",IF(ISNA(VLOOKUP(E5713,#REF!,1,FALSE())),"?TYPE_IDENTIFIABLE","?REFERENTIAL"),"_")))))</f>
        <v> </v>
      </c>
      <c r="H5713" s="24" t="str">
        <f>IF(J5713&lt;&gt;1,"",IF(I5713="SBJ","CB","?"))</f>
        <v> </v>
      </c>
      <c r="I5713" s="25" t="str">
        <f>IF(OR(E5713="",E5713="!!!",F5713="NEW"),"",INDEX(B5712:B$2,-1+SUMPRODUCT(MAX(ROW(E5712:E$2)*(E5713=E5712:E$2)))))</f>
        <v> </v>
      </c>
      <c r="J5713" s="25" t="str">
        <f>IF(OR(E5713="",E5713="!!!",F5713="NEW"),"",COUNTBLANK(OFFSET(A$1,,,SUMPRODUCT(MAX(ROW(E$2:E5713)*(E5713=E$2:E5713)))))-COUNTBLANK(OFFSET(A$1,,,SUMPRODUCT(MAX(ROW(E$1:E5712)*(E2=E$1:E5712))))))</f>
        <v> </v>
      </c>
      <c r="K5713" s="25" t="str">
        <f>IF(OR(E5713="",E5713="!!!",F5713="NEW"),"",INDEX(J$1:J5712,SUMPRODUCT(MAX(ROW(E$1:E5712)*(E5713=E$1:E5712)))))</f>
        <v> </v>
      </c>
      <c r="L5713" s="26"/>
    </row>
    <row r="5714" spans="1:12">
      <c r="A5714" s="20" t="s">
        <v>1037</v>
      </c>
      <c r="E5714" s="21">
        <f>IF(D5714="?OLD","!!!","")</f>
        <v/>
      </c>
      <c r="F5714" s="22" t="str">
        <f>IF(OR(E5714="",E5714="!!!"),"",IF(NOT(ISNA(VLOOKUP(E5714,E$1:E5713,1,FALSE()))),"OLD",IF(AND(E5714&lt;&gt;"",E5714&lt;&gt;"!!!"),"NEW","")))</f>
        <v> </v>
      </c>
      <c r="G5714" s="23" t="str">
        <f>IF(OR(E5714="",E5714="!!!"),"",IF(OR(J5714=0,AND(J5714=1,K5714=1),AND(J5714=1,I5714="SBJ"),AND(J5714=1,I5714=0)),"?IN_FOCUS",IF(J5714&lt;=2,"?ACTIVATED",IF(J5714&lt;&gt;"","?FAMILIAR",IF(F5714="NEW",IF(ISNA(VLOOKUP(E5714,#REF!,1,FALSE())),"?TYPE_IDENTIFIABLE","?REFERENTIAL"),"_")))))</f>
        <v> </v>
      </c>
      <c r="H5714" s="24" t="str">
        <f>IF(J5714&lt;&gt;1,"",IF(I5714="SBJ","CB","?"))</f>
        <v> </v>
      </c>
      <c r="I5714" s="25" t="str">
        <f>IF(OR(E5714="",E5714="!!!",F5714="NEW"),"",INDEX(B5713:B$2,-1+SUMPRODUCT(MAX(ROW(E5713:E$2)*(E5714=E5713:E$2)))))</f>
        <v> </v>
      </c>
      <c r="J5714" s="25" t="str">
        <f>IF(OR(E5714="",E5714="!!!",F5714="NEW"),"",COUNTBLANK(OFFSET(A$1,,,SUMPRODUCT(MAX(ROW(E$2:E5714)*(E5714=E$2:E5714)))))-COUNTBLANK(OFFSET(A$1,,,SUMPRODUCT(MAX(ROW(E$1:E5713)*(E2=E$1:E5713))))))</f>
        <v> </v>
      </c>
      <c r="K5714" s="25" t="str">
        <f>IF(OR(E5714="",E5714="!!!",F5714="NEW"),"",INDEX(J$1:J5713,SUMPRODUCT(MAX(ROW(E$1:E5713)*(E5714=E$1:E5713)))))</f>
        <v> </v>
      </c>
      <c r="L5714" s="26"/>
    </row>
    <row r="5715" spans="1:12">
      <c r="A5715" s="20" t="s">
        <v>2486</v>
      </c>
      <c r="E5715" s="21">
        <f>IF(D5715="?OLD","!!!","")</f>
        <v/>
      </c>
      <c r="F5715" s="22" t="str">
        <f>IF(OR(E5715="",E5715="!!!"),"",IF(NOT(ISNA(VLOOKUP(E5715,E$1:E5714,1,FALSE()))),"OLD",IF(AND(E5715&lt;&gt;"",E5715&lt;&gt;"!!!"),"NEW","")))</f>
        <v> </v>
      </c>
      <c r="G5715" s="23" t="str">
        <f>IF(OR(E5715="",E5715="!!!"),"",IF(OR(J5715=0,AND(J5715=1,K5715=1),AND(J5715=1,I5715="SBJ"),AND(J5715=1,I5715=0)),"?IN_FOCUS",IF(J5715&lt;=2,"?ACTIVATED",IF(J5715&lt;&gt;"","?FAMILIAR",IF(F5715="NEW",IF(ISNA(VLOOKUP(E5715,#REF!,1,FALSE())),"?TYPE_IDENTIFIABLE","?REFERENTIAL"),"_")))))</f>
        <v> </v>
      </c>
      <c r="H5715" s="24" t="str">
        <f>IF(J5715&lt;&gt;1,"",IF(I5715="SBJ","CB","?"))</f>
        <v> </v>
      </c>
      <c r="I5715" s="25" t="str">
        <f>IF(OR(E5715="",E5715="!!!",F5715="NEW"),"",INDEX(B5714:B$2,-1+SUMPRODUCT(MAX(ROW(E5714:E$2)*(E5715=E5714:E$2)))))</f>
        <v> </v>
      </c>
      <c r="J5715" s="25" t="str">
        <f>IF(OR(E5715="",E5715="!!!",F5715="NEW"),"",COUNTBLANK(OFFSET(A$1,,,SUMPRODUCT(MAX(ROW(E$2:E5715)*(E5715=E$2:E5715)))))-COUNTBLANK(OFFSET(A$1,,,SUMPRODUCT(MAX(ROW(E$1:E5714)*(E2=E$1:E5714))))))</f>
        <v> </v>
      </c>
      <c r="K5715" s="25" t="str">
        <f>IF(OR(E5715="",E5715="!!!",F5715="NEW"),"",INDEX(J$1:J5714,SUMPRODUCT(MAX(ROW(E$1:E5714)*(E5715=E$1:E5714)))))</f>
        <v> </v>
      </c>
      <c r="L5715" s="26"/>
    </row>
    <row r="5716" spans="1:12">
      <c r="A5716" s="20" t="s">
        <v>993</v>
      </c>
      <c r="B5716" s="27" t="s">
        <v>1588</v>
      </c>
      <c r="C5716" s="27" t="s">
        <v>968</v>
      </c>
      <c r="D5716" s="27" t="s">
        <v>969</v>
      </c>
      <c r="E5716" s="21">
        <f>IF(D5716="?OLD","!!!","")</f>
        <v/>
      </c>
      <c r="F5716" s="22" t="str">
        <f>IF(OR(E5716="",E5716="!!!"),"",IF(NOT(ISNA(VLOOKUP(E5716,E$1:E5715,1,FALSE()))),"OLD",IF(AND(E5716&lt;&gt;"",E5716&lt;&gt;"!!!"),"NEW","")))</f>
        <v> </v>
      </c>
      <c r="G5716" s="23" t="str">
        <f>IF(OR(E5716="",E5716="!!!"),"",IF(OR(J5716=0,AND(J5716=1,K5716=1),AND(J5716=1,I5716="SBJ"),AND(J5716=1,I5716=0)),"?IN_FOCUS",IF(J5716&lt;=2,"?ACTIVATED",IF(J5716&lt;&gt;"","?FAMILIAR",IF(F5716="NEW",IF(ISNA(VLOOKUP(E5716,#REF!,1,FALSE())),"?TYPE_IDENTIFIABLE","?REFERENTIAL"),"_")))))</f>
        <v> </v>
      </c>
      <c r="H5716" s="24" t="str">
        <f>IF(J5716&lt;&gt;1,"",IF(I5716="SBJ","CB","?"))</f>
        <v> </v>
      </c>
      <c r="I5716" s="25" t="str">
        <f>IF(OR(E5716="",E5716="!!!",F5716="NEW"),"",INDEX(B5715:B$2,-1+SUMPRODUCT(MAX(ROW(E5715:E$2)*(E5716=E5715:E$2)))))</f>
        <v> </v>
      </c>
      <c r="J5716" s="25" t="str">
        <f>IF(OR(E5716="",E5716="!!!",F5716="NEW"),"",COUNTBLANK(OFFSET(A$1,,,SUMPRODUCT(MAX(ROW(E$2:E5716)*(E5716=E$2:E5716)))))-COUNTBLANK(OFFSET(A$1,,,SUMPRODUCT(MAX(ROW(E$1:E5715)*(E2=E$1:E5715))))))</f>
        <v> </v>
      </c>
      <c r="K5716" s="25" t="str">
        <f>IF(OR(E5716="",E5716="!!!",F5716="NEW"),"",INDEX(J$1:J5715,SUMPRODUCT(MAX(ROW(E$1:E5715)*(E5716=E$1:E5715)))))</f>
        <v> </v>
      </c>
      <c r="L5716" s="26"/>
    </row>
    <row r="5717" spans="1:12">
      <c r="A5717" s="20" t="s">
        <v>999</v>
      </c>
      <c r="E5717" s="21">
        <f>IF(D5717="?OLD","!!!","")</f>
        <v/>
      </c>
      <c r="F5717" s="22" t="str">
        <f>IF(OR(E5717="",E5717="!!!"),"",IF(NOT(ISNA(VLOOKUP(E5717,E$1:E5716,1,FALSE()))),"OLD",IF(AND(E5717&lt;&gt;"",E5717&lt;&gt;"!!!"),"NEW","")))</f>
        <v> </v>
      </c>
      <c r="G5717" s="23" t="str">
        <f>IF(OR(E5717="",E5717="!!!"),"",IF(OR(J5717=0,AND(J5717=1,K5717=1),AND(J5717=1,I5717="SBJ"),AND(J5717=1,I5717=0)),"?IN_FOCUS",IF(J5717&lt;=2,"?ACTIVATED",IF(J5717&lt;&gt;"","?FAMILIAR",IF(F5717="NEW",IF(ISNA(VLOOKUP(E5717,#REF!,1,FALSE())),"?TYPE_IDENTIFIABLE","?REFERENTIAL"),"_")))))</f>
        <v> </v>
      </c>
      <c r="H5717" s="24" t="str">
        <f>IF(J5717&lt;&gt;1,"",IF(I5717="SBJ","CB","?"))</f>
        <v> </v>
      </c>
      <c r="I5717" s="25" t="str">
        <f>IF(OR(E5717="",E5717="!!!",F5717="NEW"),"",INDEX(B5716:B$2,-1+SUMPRODUCT(MAX(ROW(E5716:E$2)*(E5717=E5716:E$2)))))</f>
        <v> </v>
      </c>
      <c r="J5717" s="25" t="str">
        <f>IF(OR(E5717="",E5717="!!!",F5717="NEW"),"",COUNTBLANK(OFFSET(A$1,,,SUMPRODUCT(MAX(ROW(E$2:E5717)*(E5717=E$2:E5717)))))-COUNTBLANK(OFFSET(A$1,,,SUMPRODUCT(MAX(ROW(E$1:E5716)*(E2=E$1:E5716))))))</f>
        <v> </v>
      </c>
      <c r="K5717" s="25" t="str">
        <f>IF(OR(E5717="",E5717="!!!",F5717="NEW"),"",INDEX(J$1:J5716,SUMPRODUCT(MAX(ROW(E$1:E5716)*(E5717=E$1:E5716)))))</f>
        <v> </v>
      </c>
      <c r="L5717" s="26"/>
    </row>
    <row r="5718" spans="1:12">
      <c r="A5718" s="20" t="s">
        <v>136</v>
      </c>
      <c r="E5718" s="21">
        <f>IF(D5718="?OLD","!!!","")</f>
        <v/>
      </c>
      <c r="F5718" s="22" t="str">
        <f>IF(OR(E5718="",E5718="!!!"),"",IF(NOT(ISNA(VLOOKUP(E5718,E$1:E5717,1,FALSE()))),"OLD",IF(AND(E5718&lt;&gt;"",E5718&lt;&gt;"!!!"),"NEW","")))</f>
        <v> </v>
      </c>
      <c r="G5718" s="23" t="str">
        <f>IF(OR(E5718="",E5718="!!!"),"",IF(OR(J5718=0,AND(J5718=1,K5718=1),AND(J5718=1,I5718="SBJ"),AND(J5718=1,I5718=0)),"?IN_FOCUS",IF(J5718&lt;=2,"?ACTIVATED",IF(J5718&lt;&gt;"","?FAMILIAR",IF(F5718="NEW",IF(ISNA(VLOOKUP(E5718,#REF!,1,FALSE())),"?TYPE_IDENTIFIABLE","?REFERENTIAL"),"_")))))</f>
        <v> </v>
      </c>
      <c r="H5718" s="24" t="str">
        <f>IF(J5718&lt;&gt;1,"",IF(I5718="SBJ","CB","?"))</f>
        <v> </v>
      </c>
      <c r="I5718" s="25" t="str">
        <f>IF(OR(E5718="",E5718="!!!",F5718="NEW"),"",INDEX(B5717:B$2,-1+SUMPRODUCT(MAX(ROW(E5717:E$2)*(E5718=E5717:E$2)))))</f>
        <v> </v>
      </c>
      <c r="J5718" s="25" t="str">
        <f>IF(OR(E5718="",E5718="!!!",F5718="NEW"),"",COUNTBLANK(OFFSET(A$1,,,SUMPRODUCT(MAX(ROW(E$2:E5718)*(E5718=E$2:E5718)))))-COUNTBLANK(OFFSET(A$1,,,SUMPRODUCT(MAX(ROW(E$1:E5717)*(E2=E$1:E5717))))))</f>
        <v> </v>
      </c>
      <c r="K5718" s="25" t="str">
        <f>IF(OR(E5718="",E5718="!!!",F5718="NEW"),"",INDEX(J$1:J5717,SUMPRODUCT(MAX(ROW(E$1:E5717)*(E5718=E$1:E5717)))))</f>
        <v> </v>
      </c>
      <c r="L5718" s="26"/>
    </row>
    <row r="5719" spans="1:12">
      <c r="A5719" s="20" t="s">
        <v>1278</v>
      </c>
      <c r="E5719" s="21">
        <f>IF(D5719="?OLD","!!!","")</f>
        <v/>
      </c>
      <c r="F5719" s="22" t="str">
        <f>IF(OR(E5719="",E5719="!!!"),"",IF(NOT(ISNA(VLOOKUP(E5719,E$1:E5718,1,FALSE()))),"OLD",IF(AND(E5719&lt;&gt;"",E5719&lt;&gt;"!!!"),"NEW","")))</f>
        <v> </v>
      </c>
      <c r="G5719" s="23" t="str">
        <f>IF(OR(E5719="",E5719="!!!"),"",IF(OR(J5719=0,AND(J5719=1,K5719=1),AND(J5719=1,I5719="SBJ"),AND(J5719=1,I5719=0)),"?IN_FOCUS",IF(J5719&lt;=2,"?ACTIVATED",IF(J5719&lt;&gt;"","?FAMILIAR",IF(F5719="NEW",IF(ISNA(VLOOKUP(E5719,#REF!,1,FALSE())),"?TYPE_IDENTIFIABLE","?REFERENTIAL"),"_")))))</f>
        <v> </v>
      </c>
      <c r="H5719" s="24" t="str">
        <f>IF(J5719&lt;&gt;1,"",IF(I5719="SBJ","CB","?"))</f>
        <v> </v>
      </c>
      <c r="I5719" s="25" t="str">
        <f>IF(OR(E5719="",E5719="!!!",F5719="NEW"),"",INDEX(B5718:B$2,-1+SUMPRODUCT(MAX(ROW(E5718:E$2)*(E5719=E5718:E$2)))))</f>
        <v> </v>
      </c>
      <c r="J5719" s="25" t="str">
        <f>IF(OR(E5719="",E5719="!!!",F5719="NEW"),"",COUNTBLANK(OFFSET(A$1,,,SUMPRODUCT(MAX(ROW(E$2:E5719)*(E5719=E$2:E5719)))))-COUNTBLANK(OFFSET(A$1,,,SUMPRODUCT(MAX(ROW(E$1:E5718)*(E2=E$1:E5718))))))</f>
        <v> </v>
      </c>
      <c r="K5719" s="25" t="str">
        <f>IF(OR(E5719="",E5719="!!!",F5719="NEW"),"",INDEX(J$1:J5718,SUMPRODUCT(MAX(ROW(E$1:E5718)*(E5719=E$1:E5718)))))</f>
        <v> </v>
      </c>
      <c r="L5719" s="26"/>
    </row>
    <row r="5720" spans="1:12">
      <c r="A5720" s="20" t="s">
        <v>991</v>
      </c>
      <c r="E5720" s="21">
        <f>IF(D5720="?OLD","!!!","")</f>
        <v/>
      </c>
      <c r="F5720" s="22" t="str">
        <f>IF(OR(E5720="",E5720="!!!"),"",IF(NOT(ISNA(VLOOKUP(E5720,E$1:E5719,1,FALSE()))),"OLD",IF(AND(E5720&lt;&gt;"",E5720&lt;&gt;"!!!"),"NEW","")))</f>
        <v> </v>
      </c>
      <c r="G5720" s="23" t="str">
        <f>IF(OR(E5720="",E5720="!!!"),"",IF(OR(J5720=0,AND(J5720=1,K5720=1),AND(J5720=1,I5720="SBJ"),AND(J5720=1,I5720=0)),"?IN_FOCUS",IF(J5720&lt;=2,"?ACTIVATED",IF(J5720&lt;&gt;"","?FAMILIAR",IF(F5720="NEW",IF(ISNA(VLOOKUP(E5720,#REF!,1,FALSE())),"?TYPE_IDENTIFIABLE","?REFERENTIAL"),"_")))))</f>
        <v> </v>
      </c>
      <c r="H5720" s="24" t="str">
        <f>IF(J5720&lt;&gt;1,"",IF(I5720="SBJ","CB","?"))</f>
        <v> </v>
      </c>
      <c r="I5720" s="25" t="str">
        <f>IF(OR(E5720="",E5720="!!!",F5720="NEW"),"",INDEX(B5719:B$2,-1+SUMPRODUCT(MAX(ROW(E5719:E$2)*(E5720=E5719:E$2)))))</f>
        <v> </v>
      </c>
      <c r="J5720" s="25" t="str">
        <f>IF(OR(E5720="",E5720="!!!",F5720="NEW"),"",COUNTBLANK(OFFSET(A$1,,,SUMPRODUCT(MAX(ROW(E$2:E5720)*(E5720=E$2:E5720)))))-COUNTBLANK(OFFSET(A$1,,,SUMPRODUCT(MAX(ROW(E$1:E5719)*(E2=E$1:E5719))))))</f>
        <v> </v>
      </c>
      <c r="K5720" s="25" t="str">
        <f>IF(OR(E5720="",E5720="!!!",F5720="NEW"),"",INDEX(J$1:J5719,SUMPRODUCT(MAX(ROW(E$1:E5719)*(E5720=E$1:E5719)))))</f>
        <v> </v>
      </c>
      <c r="L5720" s="26"/>
    </row>
    <row r="5721" spans="1:12">
      <c r="A5721" s="20" t="s">
        <v>1883</v>
      </c>
      <c r="E5721" s="21">
        <f>IF(D5721="?OLD","!!!","")</f>
        <v/>
      </c>
      <c r="F5721" s="22" t="str">
        <f>IF(OR(E5721="",E5721="!!!"),"",IF(NOT(ISNA(VLOOKUP(E5721,E$1:E5720,1,FALSE()))),"OLD",IF(AND(E5721&lt;&gt;"",E5721&lt;&gt;"!!!"),"NEW","")))</f>
        <v> </v>
      </c>
      <c r="G5721" s="23" t="str">
        <f>IF(OR(E5721="",E5721="!!!"),"",IF(OR(J5721=0,AND(J5721=1,K5721=1),AND(J5721=1,I5721="SBJ"),AND(J5721=1,I5721=0)),"?IN_FOCUS",IF(J5721&lt;=2,"?ACTIVATED",IF(J5721&lt;&gt;"","?FAMILIAR",IF(F5721="NEW",IF(ISNA(VLOOKUP(E5721,#REF!,1,FALSE())),"?TYPE_IDENTIFIABLE","?REFERENTIAL"),"_")))))</f>
        <v> </v>
      </c>
      <c r="H5721" s="24" t="str">
        <f>IF(J5721&lt;&gt;1,"",IF(I5721="SBJ","CB","?"))</f>
        <v> </v>
      </c>
      <c r="I5721" s="25" t="str">
        <f>IF(OR(E5721="",E5721="!!!",F5721="NEW"),"",INDEX(B5720:B$2,-1+SUMPRODUCT(MAX(ROW(E5720:E$2)*(E5721=E5720:E$2)))))</f>
        <v> </v>
      </c>
      <c r="J5721" s="25" t="str">
        <f>IF(OR(E5721="",E5721="!!!",F5721="NEW"),"",COUNTBLANK(OFFSET(A$1,,,SUMPRODUCT(MAX(ROW(E$2:E5721)*(E5721=E$2:E5721)))))-COUNTBLANK(OFFSET(A$1,,,SUMPRODUCT(MAX(ROW(E$1:E5720)*(E2=E$1:E5720))))))</f>
        <v> </v>
      </c>
      <c r="K5721" s="25" t="str">
        <f>IF(OR(E5721="",E5721="!!!",F5721="NEW"),"",INDEX(J$1:J5720,SUMPRODUCT(MAX(ROW(E$1:E5720)*(E5721=E$1:E5720)))))</f>
        <v> </v>
      </c>
      <c r="L5721" s="26"/>
    </row>
    <row r="5722" spans="1:12">
      <c r="A5722" s="20" t="s">
        <v>1021</v>
      </c>
      <c r="E5722" s="21">
        <f>IF(D5722="?OLD","!!!","")</f>
        <v/>
      </c>
      <c r="F5722" s="22" t="str">
        <f>IF(OR(E5722="",E5722="!!!"),"",IF(NOT(ISNA(VLOOKUP(E5722,E$1:E5721,1,FALSE()))),"OLD",IF(AND(E5722&lt;&gt;"",E5722&lt;&gt;"!!!"),"NEW","")))</f>
        <v> </v>
      </c>
      <c r="G5722" s="23" t="str">
        <f>IF(OR(E5722="",E5722="!!!"),"",IF(OR(J5722=0,AND(J5722=1,K5722=1),AND(J5722=1,I5722="SBJ"),AND(J5722=1,I5722=0)),"?IN_FOCUS",IF(J5722&lt;=2,"?ACTIVATED",IF(J5722&lt;&gt;"","?FAMILIAR",IF(F5722="NEW",IF(ISNA(VLOOKUP(E5722,#REF!,1,FALSE())),"?TYPE_IDENTIFIABLE","?REFERENTIAL"),"_")))))</f>
        <v> </v>
      </c>
      <c r="H5722" s="24" t="str">
        <f>IF(J5722&lt;&gt;1,"",IF(I5722="SBJ","CB","?"))</f>
        <v> </v>
      </c>
      <c r="I5722" s="25" t="str">
        <f>IF(OR(E5722="",E5722="!!!",F5722="NEW"),"",INDEX(B5721:B$2,-1+SUMPRODUCT(MAX(ROW(E5721:E$2)*(E5722=E5721:E$2)))))</f>
        <v> </v>
      </c>
      <c r="J5722" s="25" t="str">
        <f>IF(OR(E5722="",E5722="!!!",F5722="NEW"),"",COUNTBLANK(OFFSET(A$1,,,SUMPRODUCT(MAX(ROW(E$2:E5722)*(E5722=E$2:E5722)))))-COUNTBLANK(OFFSET(A$1,,,SUMPRODUCT(MAX(ROW(E$1:E5721)*(E2=E$1:E5721))))))</f>
        <v> </v>
      </c>
      <c r="K5722" s="25" t="str">
        <f>IF(OR(E5722="",E5722="!!!",F5722="NEW"),"",INDEX(J$1:J5721,SUMPRODUCT(MAX(ROW(E$1:E5721)*(E5722=E$1:E5721)))))</f>
        <v> </v>
      </c>
      <c r="L5722" s="26"/>
    </row>
    <row r="5723" spans="1:12">
      <c r="A5723" s="20" t="s">
        <v>1624</v>
      </c>
      <c r="E5723" s="21">
        <f>IF(D5723="?OLD","!!!","")</f>
        <v/>
      </c>
      <c r="F5723" s="22" t="str">
        <f>IF(OR(E5723="",E5723="!!!"),"",IF(NOT(ISNA(VLOOKUP(E5723,E$1:E5722,1,FALSE()))),"OLD",IF(AND(E5723&lt;&gt;"",E5723&lt;&gt;"!!!"),"NEW","")))</f>
        <v> </v>
      </c>
      <c r="G5723" s="23" t="str">
        <f>IF(OR(E5723="",E5723="!!!"),"",IF(OR(J5723=0,AND(J5723=1,K5723=1),AND(J5723=1,I5723="SBJ"),AND(J5723=1,I5723=0)),"?IN_FOCUS",IF(J5723&lt;=2,"?ACTIVATED",IF(J5723&lt;&gt;"","?FAMILIAR",IF(F5723="NEW",IF(ISNA(VLOOKUP(E5723,#REF!,1,FALSE())),"?TYPE_IDENTIFIABLE","?REFERENTIAL"),"_")))))</f>
        <v> </v>
      </c>
      <c r="H5723" s="24" t="str">
        <f>IF(J5723&lt;&gt;1,"",IF(I5723="SBJ","CB","?"))</f>
        <v> </v>
      </c>
      <c r="I5723" s="25" t="str">
        <f>IF(OR(E5723="",E5723="!!!",F5723="NEW"),"",INDEX(B5722:B$2,-1+SUMPRODUCT(MAX(ROW(E5722:E$2)*(E5723=E5722:E$2)))))</f>
        <v> </v>
      </c>
      <c r="J5723" s="25" t="str">
        <f>IF(OR(E5723="",E5723="!!!",F5723="NEW"),"",COUNTBLANK(OFFSET(A$1,,,SUMPRODUCT(MAX(ROW(E$2:E5723)*(E5723=E$2:E5723)))))-COUNTBLANK(OFFSET(A$1,,,SUMPRODUCT(MAX(ROW(E$1:E5722)*(E2=E$1:E5722))))))</f>
        <v> </v>
      </c>
      <c r="K5723" s="25" t="str">
        <f>IF(OR(E5723="",E5723="!!!",F5723="NEW"),"",INDEX(J$1:J5722,SUMPRODUCT(MAX(ROW(E$1:E5722)*(E5723=E$1:E5722)))))</f>
        <v> </v>
      </c>
      <c r="L5723" s="26"/>
    </row>
    <row r="5724" spans="1:12">
      <c r="A5724" s="20" t="s">
        <v>2506</v>
      </c>
      <c r="E5724" s="21">
        <f>IF(D5724="?OLD","!!!","")</f>
        <v/>
      </c>
      <c r="F5724" s="22" t="str">
        <f>IF(OR(E5724="",E5724="!!!"),"",IF(NOT(ISNA(VLOOKUP(E5724,E$1:E5723,1,FALSE()))),"OLD",IF(AND(E5724&lt;&gt;"",E5724&lt;&gt;"!!!"),"NEW","")))</f>
        <v> </v>
      </c>
      <c r="G5724" s="23" t="str">
        <f>IF(OR(E5724="",E5724="!!!"),"",IF(OR(J5724=0,AND(J5724=1,K5724=1),AND(J5724=1,I5724="SBJ"),AND(J5724=1,I5724=0)),"?IN_FOCUS",IF(J5724&lt;=2,"?ACTIVATED",IF(J5724&lt;&gt;"","?FAMILIAR",IF(F5724="NEW",IF(ISNA(VLOOKUP(E5724,#REF!,1,FALSE())),"?TYPE_IDENTIFIABLE","?REFERENTIAL"),"_")))))</f>
        <v> </v>
      </c>
      <c r="H5724" s="24" t="str">
        <f>IF(J5724&lt;&gt;1,"",IF(I5724="SBJ","CB","?"))</f>
        <v> </v>
      </c>
      <c r="I5724" s="25" t="str">
        <f>IF(OR(E5724="",E5724="!!!",F5724="NEW"),"",INDEX(B5723:B$2,-1+SUMPRODUCT(MAX(ROW(E5723:E$2)*(E5724=E5723:E$2)))))</f>
        <v> </v>
      </c>
      <c r="J5724" s="25" t="str">
        <f>IF(OR(E5724="",E5724="!!!",F5724="NEW"),"",COUNTBLANK(OFFSET(A$1,,,SUMPRODUCT(MAX(ROW(E$2:E5724)*(E5724=E$2:E5724)))))-COUNTBLANK(OFFSET(A$1,,,SUMPRODUCT(MAX(ROW(E$1:E5723)*(E2=E$1:E5723))))))</f>
        <v> </v>
      </c>
      <c r="K5724" s="25" t="str">
        <f>IF(OR(E5724="",E5724="!!!",F5724="NEW"),"",INDEX(J$1:J5723,SUMPRODUCT(MAX(ROW(E$1:E5723)*(E5724=E$1:E5723)))))</f>
        <v> </v>
      </c>
      <c r="L5724" s="26"/>
    </row>
    <row r="5725" spans="1:12">
      <c r="A5725" s="20" t="s">
        <v>991</v>
      </c>
      <c r="E5725" s="21">
        <f>IF(D5725="?OLD","!!!","")</f>
        <v/>
      </c>
      <c r="F5725" s="22" t="str">
        <f>IF(OR(E5725="",E5725="!!!"),"",IF(NOT(ISNA(VLOOKUP(E5725,E$1:E5724,1,FALSE()))),"OLD",IF(AND(E5725&lt;&gt;"",E5725&lt;&gt;"!!!"),"NEW","")))</f>
        <v> </v>
      </c>
      <c r="G5725" s="23" t="str">
        <f>IF(OR(E5725="",E5725="!!!"),"",IF(OR(J5725=0,AND(J5725=1,K5725=1),AND(J5725=1,I5725="SBJ"),AND(J5725=1,I5725=0)),"?IN_FOCUS",IF(J5725&lt;=2,"?ACTIVATED",IF(J5725&lt;&gt;"","?FAMILIAR",IF(F5725="NEW",IF(ISNA(VLOOKUP(E5725,#REF!,1,FALSE())),"?TYPE_IDENTIFIABLE","?REFERENTIAL"),"_")))))</f>
        <v> </v>
      </c>
      <c r="H5725" s="24" t="str">
        <f>IF(J5725&lt;&gt;1,"",IF(I5725="SBJ","CB","?"))</f>
        <v> </v>
      </c>
      <c r="I5725" s="25" t="str">
        <f>IF(OR(E5725="",E5725="!!!",F5725="NEW"),"",INDEX(B5724:B$2,-1+SUMPRODUCT(MAX(ROW(E5724:E$2)*(E5725=E5724:E$2)))))</f>
        <v> </v>
      </c>
      <c r="J5725" s="25" t="str">
        <f>IF(OR(E5725="",E5725="!!!",F5725="NEW"),"",COUNTBLANK(OFFSET(A$1,,,SUMPRODUCT(MAX(ROW(E$2:E5725)*(E5725=E$2:E5725)))))-COUNTBLANK(OFFSET(A$1,,,SUMPRODUCT(MAX(ROW(E$1:E5724)*(E2=E$1:E5724))))))</f>
        <v> </v>
      </c>
      <c r="K5725" s="25" t="str">
        <f>IF(OR(E5725="",E5725="!!!",F5725="NEW"),"",INDEX(J$1:J5724,SUMPRODUCT(MAX(ROW(E$1:E5724)*(E5725=E$1:E5724)))))</f>
        <v> </v>
      </c>
      <c r="L5725" s="26"/>
    </row>
    <row r="5726" spans="1:12">
      <c r="A5726" s="20" t="s">
        <v>980</v>
      </c>
      <c r="E5726" s="21">
        <f>IF(D5726="?OLD","!!!","")</f>
        <v/>
      </c>
      <c r="F5726" s="22" t="str">
        <f>IF(OR(E5726="",E5726="!!!"),"",IF(NOT(ISNA(VLOOKUP(E5726,E$1:E5725,1,FALSE()))),"OLD",IF(AND(E5726&lt;&gt;"",E5726&lt;&gt;"!!!"),"NEW","")))</f>
        <v> </v>
      </c>
      <c r="G5726" s="23" t="str">
        <f>IF(OR(E5726="",E5726="!!!"),"",IF(OR(J5726=0,AND(J5726=1,K5726=1),AND(J5726=1,I5726="SBJ"),AND(J5726=1,I5726=0)),"?IN_FOCUS",IF(J5726&lt;=2,"?ACTIVATED",IF(J5726&lt;&gt;"","?FAMILIAR",IF(F5726="NEW",IF(ISNA(VLOOKUP(E5726,#REF!,1,FALSE())),"?TYPE_IDENTIFIABLE","?REFERENTIAL"),"_")))))</f>
        <v> </v>
      </c>
      <c r="H5726" s="24" t="str">
        <f>IF(J5726&lt;&gt;1,"",IF(I5726="SBJ","CB","?"))</f>
        <v> </v>
      </c>
      <c r="I5726" s="25" t="str">
        <f>IF(OR(E5726="",E5726="!!!",F5726="NEW"),"",INDEX(B5725:B$2,-1+SUMPRODUCT(MAX(ROW(E5725:E$2)*(E5726=E5725:E$2)))))</f>
        <v> </v>
      </c>
      <c r="J5726" s="25" t="str">
        <f>IF(OR(E5726="",E5726="!!!",F5726="NEW"),"",COUNTBLANK(OFFSET(A$1,,,SUMPRODUCT(MAX(ROW(E$2:E5726)*(E5726=E$2:E5726)))))-COUNTBLANK(OFFSET(A$1,,,SUMPRODUCT(MAX(ROW(E$1:E5725)*(E2=E$1:E5725))))))</f>
        <v> </v>
      </c>
      <c r="K5726" s="25" t="str">
        <f>IF(OR(E5726="",E5726="!!!",F5726="NEW"),"",INDEX(J$1:J5725,SUMPRODUCT(MAX(ROW(E$1:E5725)*(E5726=E$1:E5725)))))</f>
        <v> </v>
      </c>
      <c r="L5726" s="26"/>
    </row>
    <row r="5727" spans="1:12">
      <c r="A5727" s="20" t="s">
        <v>993</v>
      </c>
      <c r="B5727" s="27" t="s">
        <v>1010</v>
      </c>
      <c r="C5727" s="27" t="s">
        <v>968</v>
      </c>
      <c r="D5727" s="27" t="s">
        <v>969</v>
      </c>
      <c r="E5727" s="21">
        <f>IF(D5727="?OLD","!!!","")</f>
        <v/>
      </c>
      <c r="F5727" s="22" t="str">
        <f>IF(OR(E5727="",E5727="!!!"),"",IF(NOT(ISNA(VLOOKUP(E5727,E$1:E5726,1,FALSE()))),"OLD",IF(AND(E5727&lt;&gt;"",E5727&lt;&gt;"!!!"),"NEW","")))</f>
        <v> </v>
      </c>
      <c r="G5727" s="23" t="str">
        <f>IF(OR(E5727="",E5727="!!!"),"",IF(OR(J5727=0,AND(J5727=1,K5727=1),AND(J5727=1,I5727="SBJ"),AND(J5727=1,I5727=0)),"?IN_FOCUS",IF(J5727&lt;=2,"?ACTIVATED",IF(J5727&lt;&gt;"","?FAMILIAR",IF(F5727="NEW",IF(ISNA(VLOOKUP(E5727,#REF!,1,FALSE())),"?TYPE_IDENTIFIABLE","?REFERENTIAL"),"_")))))</f>
        <v> </v>
      </c>
      <c r="H5727" s="24" t="str">
        <f>IF(J5727&lt;&gt;1,"",IF(I5727="SBJ","CB","?"))</f>
        <v> </v>
      </c>
      <c r="I5727" s="25" t="str">
        <f>IF(OR(E5727="",E5727="!!!",F5727="NEW"),"",INDEX(B5726:B$2,-1+SUMPRODUCT(MAX(ROW(E5726:E$2)*(E5727=E5726:E$2)))))</f>
        <v> </v>
      </c>
      <c r="J5727" s="25" t="str">
        <f>IF(OR(E5727="",E5727="!!!",F5727="NEW"),"",COUNTBLANK(OFFSET(A$1,,,SUMPRODUCT(MAX(ROW(E$2:E5727)*(E5727=E$2:E5727)))))-COUNTBLANK(OFFSET(A$1,,,SUMPRODUCT(MAX(ROW(E$1:E5726)*(E2=E$1:E5726))))))</f>
        <v> </v>
      </c>
      <c r="K5727" s="25" t="str">
        <f>IF(OR(E5727="",E5727="!!!",F5727="NEW"),"",INDEX(J$1:J5726,SUMPRODUCT(MAX(ROW(E$1:E5726)*(E5727=E$1:E5726)))))</f>
        <v> </v>
      </c>
      <c r="L5727" s="26"/>
    </row>
    <row r="5728" spans="1:12">
      <c r="A5728" s="20" t="s">
        <v>1193</v>
      </c>
      <c r="E5728" s="21">
        <f>IF(D5728="?OLD","!!!","")</f>
        <v/>
      </c>
      <c r="F5728" s="22" t="str">
        <f>IF(OR(E5728="",E5728="!!!"),"",IF(NOT(ISNA(VLOOKUP(E5728,E$1:E5727,1,FALSE()))),"OLD",IF(AND(E5728&lt;&gt;"",E5728&lt;&gt;"!!!"),"NEW","")))</f>
        <v> </v>
      </c>
      <c r="G5728" s="23" t="str">
        <f>IF(OR(E5728="",E5728="!!!"),"",IF(OR(J5728=0,AND(J5728=1,K5728=1),AND(J5728=1,I5728="SBJ"),AND(J5728=1,I5728=0)),"?IN_FOCUS",IF(J5728&lt;=2,"?ACTIVATED",IF(J5728&lt;&gt;"","?FAMILIAR",IF(F5728="NEW",IF(ISNA(VLOOKUP(E5728,#REF!,1,FALSE())),"?TYPE_IDENTIFIABLE","?REFERENTIAL"),"_")))))</f>
        <v> </v>
      </c>
      <c r="H5728" s="24" t="str">
        <f>IF(J5728&lt;&gt;1,"",IF(I5728="SBJ","CB","?"))</f>
        <v> </v>
      </c>
      <c r="I5728" s="25" t="str">
        <f>IF(OR(E5728="",E5728="!!!",F5728="NEW"),"",INDEX(B5727:B$2,-1+SUMPRODUCT(MAX(ROW(E5727:E$2)*(E5728=E5727:E$2)))))</f>
        <v> </v>
      </c>
      <c r="J5728" s="25" t="str">
        <f>IF(OR(E5728="",E5728="!!!",F5728="NEW"),"",COUNTBLANK(OFFSET(A$1,,,SUMPRODUCT(MAX(ROW(E$2:E5728)*(E5728=E$2:E5728)))))-COUNTBLANK(OFFSET(A$1,,,SUMPRODUCT(MAX(ROW(E$1:E5727)*(E2=E$1:E5727))))))</f>
        <v> </v>
      </c>
      <c r="K5728" s="25" t="str">
        <f>IF(OR(E5728="",E5728="!!!",F5728="NEW"),"",INDEX(J$1:J5727,SUMPRODUCT(MAX(ROW(E$1:E5727)*(E5728=E$1:E5727)))))</f>
        <v> </v>
      </c>
      <c r="L5728" s="26"/>
    </row>
    <row r="5729" spans="1:12">
      <c r="A5729" s="20" t="s">
        <v>1194</v>
      </c>
      <c r="E5729" s="21">
        <f>IF(D5729="?OLD","!!!","")</f>
        <v/>
      </c>
      <c r="F5729" s="22" t="str">
        <f>IF(OR(E5729="",E5729="!!!"),"",IF(NOT(ISNA(VLOOKUP(E5729,E$1:E5728,1,FALSE()))),"OLD",IF(AND(E5729&lt;&gt;"",E5729&lt;&gt;"!!!"),"NEW","")))</f>
        <v> </v>
      </c>
      <c r="G5729" s="23" t="str">
        <f>IF(OR(E5729="",E5729="!!!"),"",IF(OR(J5729=0,AND(J5729=1,K5729=1),AND(J5729=1,I5729="SBJ"),AND(J5729=1,I5729=0)),"?IN_FOCUS",IF(J5729&lt;=2,"?ACTIVATED",IF(J5729&lt;&gt;"","?FAMILIAR",IF(F5729="NEW",IF(ISNA(VLOOKUP(E5729,#REF!,1,FALSE())),"?TYPE_IDENTIFIABLE","?REFERENTIAL"),"_")))))</f>
        <v> </v>
      </c>
      <c r="H5729" s="24" t="str">
        <f>IF(J5729&lt;&gt;1,"",IF(I5729="SBJ","CB","?"))</f>
        <v> </v>
      </c>
      <c r="I5729" s="25" t="str">
        <f>IF(OR(E5729="",E5729="!!!",F5729="NEW"),"",INDEX(B5728:B$2,-1+SUMPRODUCT(MAX(ROW(E5728:E$2)*(E5729=E5728:E$2)))))</f>
        <v> </v>
      </c>
      <c r="J5729" s="25" t="str">
        <f>IF(OR(E5729="",E5729="!!!",F5729="NEW"),"",COUNTBLANK(OFFSET(A$1,,,SUMPRODUCT(MAX(ROW(E$2:E5729)*(E5729=E$2:E5729)))))-COUNTBLANK(OFFSET(A$1,,,SUMPRODUCT(MAX(ROW(E$1:E5728)*(E2=E$1:E5728))))))</f>
        <v> </v>
      </c>
      <c r="K5729" s="25" t="str">
        <f>IF(OR(E5729="",E5729="!!!",F5729="NEW"),"",INDEX(J$1:J5728,SUMPRODUCT(MAX(ROW(E$1:E5728)*(E5729=E$1:E5728)))))</f>
        <v> </v>
      </c>
      <c r="L5729" s="26"/>
    </row>
    <row r="5730" spans="1:12">
      <c r="A5730" s="20" t="s">
        <v>971</v>
      </c>
      <c r="E5730" s="21">
        <f>IF(D5730="?OLD","!!!","")</f>
        <v/>
      </c>
      <c r="F5730" s="22" t="str">
        <f>IF(OR(E5730="",E5730="!!!"),"",IF(NOT(ISNA(VLOOKUP(E5730,E$1:E5729,1,FALSE()))),"OLD",IF(AND(E5730&lt;&gt;"",E5730&lt;&gt;"!!!"),"NEW","")))</f>
        <v> </v>
      </c>
      <c r="G5730" s="23" t="str">
        <f>IF(OR(E5730="",E5730="!!!"),"",IF(OR(J5730=0,AND(J5730=1,K5730=1),AND(J5730=1,I5730="SBJ"),AND(J5730=1,I5730=0)),"?IN_FOCUS",IF(J5730&lt;=2,"?ACTIVATED",IF(J5730&lt;&gt;"","?FAMILIAR",IF(F5730="NEW",IF(ISNA(VLOOKUP(E5730,#REF!,1,FALSE())),"?TYPE_IDENTIFIABLE","?REFERENTIAL"),"_")))))</f>
        <v> </v>
      </c>
      <c r="H5730" s="24" t="str">
        <f>IF(J5730&lt;&gt;1,"",IF(I5730="SBJ","CB","?"))</f>
        <v> </v>
      </c>
      <c r="I5730" s="25" t="str">
        <f>IF(OR(E5730="",E5730="!!!",F5730="NEW"),"",INDEX(B5729:B$2,-1+SUMPRODUCT(MAX(ROW(E5729:E$2)*(E5730=E5729:E$2)))))</f>
        <v> </v>
      </c>
      <c r="J5730" s="25" t="str">
        <f>IF(OR(E5730="",E5730="!!!",F5730="NEW"),"",COUNTBLANK(OFFSET(A$1,,,SUMPRODUCT(MAX(ROW(E$2:E5730)*(E5730=E$2:E5730)))))-COUNTBLANK(OFFSET(A$1,,,SUMPRODUCT(MAX(ROW(E$1:E5729)*(E2=E$1:E5729))))))</f>
        <v> </v>
      </c>
      <c r="K5730" s="25" t="str">
        <f>IF(OR(E5730="",E5730="!!!",F5730="NEW"),"",INDEX(J$1:J5729,SUMPRODUCT(MAX(ROW(E$1:E5729)*(E5730=E$1:E5729)))))</f>
        <v> </v>
      </c>
      <c r="L5730" s="26"/>
    </row>
    <row r="5731" spans="1:12">
      <c r="A5731" s="20" t="s">
        <v>1163</v>
      </c>
      <c r="B5731" s="27" t="s">
        <v>1003</v>
      </c>
      <c r="C5731" s="27" t="s">
        <v>1102</v>
      </c>
      <c r="D5731" s="27" t="s">
        <v>969</v>
      </c>
      <c r="E5731" s="21">
        <f>IF(D5731="?OLD","!!!","")</f>
        <v/>
      </c>
      <c r="F5731" s="22" t="str">
        <f>IF(OR(E5731="",E5731="!!!"),"",IF(NOT(ISNA(VLOOKUP(E5731,E$1:E5730,1,FALSE()))),"OLD",IF(AND(E5731&lt;&gt;"",E5731&lt;&gt;"!!!"),"NEW","")))</f>
        <v> </v>
      </c>
      <c r="G5731" s="23" t="str">
        <f>IF(OR(E5731="",E5731="!!!"),"",IF(OR(J5731=0,AND(J5731=1,K5731=1),AND(J5731=1,I5731="SBJ"),AND(J5731=1,I5731=0)),"?IN_FOCUS",IF(J5731&lt;=2,"?ACTIVATED",IF(J5731&lt;&gt;"","?FAMILIAR",IF(F5731="NEW",IF(ISNA(VLOOKUP(E5731,#REF!,1,FALSE())),"?TYPE_IDENTIFIABLE","?REFERENTIAL"),"_")))))</f>
        <v> </v>
      </c>
      <c r="H5731" s="24" t="str">
        <f>IF(J5731&lt;&gt;1,"",IF(I5731="SBJ","CB","?"))</f>
        <v> </v>
      </c>
      <c r="I5731" s="25" t="str">
        <f>IF(OR(E5731="",E5731="!!!",F5731="NEW"),"",INDEX(B5730:B$2,-1+SUMPRODUCT(MAX(ROW(E5730:E$2)*(E5731=E5730:E$2)))))</f>
        <v> </v>
      </c>
      <c r="J5731" s="25" t="str">
        <f>IF(OR(E5731="",E5731="!!!",F5731="NEW"),"",COUNTBLANK(OFFSET(A$1,,,SUMPRODUCT(MAX(ROW(E$2:E5731)*(E5731=E$2:E5731)))))-COUNTBLANK(OFFSET(A$1,,,SUMPRODUCT(MAX(ROW(E$1:E5730)*(E2=E$1:E5730))))))</f>
        <v> </v>
      </c>
      <c r="K5731" s="25" t="str">
        <f>IF(OR(E5731="",E5731="!!!",F5731="NEW"),"",INDEX(J$1:J5730,SUMPRODUCT(MAX(ROW(E$1:E5730)*(E5731=E$1:E5730)))))</f>
        <v> </v>
      </c>
      <c r="L5731" s="26"/>
    </row>
    <row r="5732" spans="1:12">
      <c r="A5732" s="20" t="s">
        <v>1097</v>
      </c>
      <c r="E5732" s="21">
        <f>IF(D5732="?OLD","!!!","")</f>
        <v/>
      </c>
      <c r="F5732" s="22" t="str">
        <f>IF(OR(E5732="",E5732="!!!"),"",IF(NOT(ISNA(VLOOKUP(E5732,E$1:E5731,1,FALSE()))),"OLD",IF(AND(E5732&lt;&gt;"",E5732&lt;&gt;"!!!"),"NEW","")))</f>
        <v> </v>
      </c>
      <c r="G5732" s="23" t="str">
        <f>IF(OR(E5732="",E5732="!!!"),"",IF(OR(J5732=0,AND(J5732=1,K5732=1),AND(J5732=1,I5732="SBJ"),AND(J5732=1,I5732=0)),"?IN_FOCUS",IF(J5732&lt;=2,"?ACTIVATED",IF(J5732&lt;&gt;"","?FAMILIAR",IF(F5732="NEW",IF(ISNA(VLOOKUP(E5732,#REF!,1,FALSE())),"?TYPE_IDENTIFIABLE","?REFERENTIAL"),"_")))))</f>
        <v> </v>
      </c>
      <c r="H5732" s="24" t="str">
        <f>IF(J5732&lt;&gt;1,"",IF(I5732="SBJ","CB","?"))</f>
        <v> </v>
      </c>
      <c r="I5732" s="25" t="str">
        <f>IF(OR(E5732="",E5732="!!!",F5732="NEW"),"",INDEX(B5731:B$2,-1+SUMPRODUCT(MAX(ROW(E5731:E$2)*(E5732=E5731:E$2)))))</f>
        <v> </v>
      </c>
      <c r="J5732" s="25" t="str">
        <f>IF(OR(E5732="",E5732="!!!",F5732="NEW"),"",COUNTBLANK(OFFSET(A$1,,,SUMPRODUCT(MAX(ROW(E$2:E5732)*(E5732=E$2:E5732)))))-COUNTBLANK(OFFSET(A$1,,,SUMPRODUCT(MAX(ROW(E$1:E5731)*(E2=E$1:E5731))))))</f>
        <v> </v>
      </c>
      <c r="K5732" s="25" t="str">
        <f>IF(OR(E5732="",E5732="!!!",F5732="NEW"),"",INDEX(J$1:J5731,SUMPRODUCT(MAX(ROW(E$1:E5731)*(E5732=E$1:E5731)))))</f>
        <v> </v>
      </c>
      <c r="L5732" s="26"/>
    </row>
    <row r="5733" spans="1:12">
      <c r="A5733" s="20" t="s">
        <v>1021</v>
      </c>
      <c r="E5733" s="21">
        <f>IF(D5733="?OLD","!!!","")</f>
        <v/>
      </c>
      <c r="F5733" s="22" t="str">
        <f>IF(OR(E5733="",E5733="!!!"),"",IF(NOT(ISNA(VLOOKUP(E5733,E$1:E5732,1,FALSE()))),"OLD",IF(AND(E5733&lt;&gt;"",E5733&lt;&gt;"!!!"),"NEW","")))</f>
        <v> </v>
      </c>
      <c r="G5733" s="23" t="str">
        <f>IF(OR(E5733="",E5733="!!!"),"",IF(OR(J5733=0,AND(J5733=1,K5733=1),AND(J5733=1,I5733="SBJ"),AND(J5733=1,I5733=0)),"?IN_FOCUS",IF(J5733&lt;=2,"?ACTIVATED",IF(J5733&lt;&gt;"","?FAMILIAR",IF(F5733="NEW",IF(ISNA(VLOOKUP(E5733,#REF!,1,FALSE())),"?TYPE_IDENTIFIABLE","?REFERENTIAL"),"_")))))</f>
        <v> </v>
      </c>
      <c r="H5733" s="24" t="str">
        <f>IF(J5733&lt;&gt;1,"",IF(I5733="SBJ","CB","?"))</f>
        <v> </v>
      </c>
      <c r="I5733" s="25" t="str">
        <f>IF(OR(E5733="",E5733="!!!",F5733="NEW"),"",INDEX(B5732:B$2,-1+SUMPRODUCT(MAX(ROW(E5732:E$2)*(E5733=E5732:E$2)))))</f>
        <v> </v>
      </c>
      <c r="J5733" s="25" t="str">
        <f>IF(OR(E5733="",E5733="!!!",F5733="NEW"),"",COUNTBLANK(OFFSET(A$1,,,SUMPRODUCT(MAX(ROW(E$2:E5733)*(E5733=E$2:E5733)))))-COUNTBLANK(OFFSET(A$1,,,SUMPRODUCT(MAX(ROW(E$1:E5732)*(E2=E$1:E5732))))))</f>
        <v> </v>
      </c>
      <c r="K5733" s="25" t="str">
        <f>IF(OR(E5733="",E5733="!!!",F5733="NEW"),"",INDEX(J$1:J5732,SUMPRODUCT(MAX(ROW(E$1:E5732)*(E5733=E$1:E5732)))))</f>
        <v> </v>
      </c>
      <c r="L5733" s="26"/>
    </row>
    <row r="5734" spans="1:12">
      <c r="A5734" s="20" t="s">
        <v>1624</v>
      </c>
      <c r="E5734" s="21">
        <f>IF(D5734="?OLD","!!!","")</f>
        <v/>
      </c>
      <c r="F5734" s="22" t="str">
        <f>IF(OR(E5734="",E5734="!!!"),"",IF(NOT(ISNA(VLOOKUP(E5734,E$1:E5733,1,FALSE()))),"OLD",IF(AND(E5734&lt;&gt;"",E5734&lt;&gt;"!!!"),"NEW","")))</f>
        <v> </v>
      </c>
      <c r="G5734" s="23" t="str">
        <f>IF(OR(E5734="",E5734="!!!"),"",IF(OR(J5734=0,AND(J5734=1,K5734=1),AND(J5734=1,I5734="SBJ"),AND(J5734=1,I5734=0)),"?IN_FOCUS",IF(J5734&lt;=2,"?ACTIVATED",IF(J5734&lt;&gt;"","?FAMILIAR",IF(F5734="NEW",IF(ISNA(VLOOKUP(E5734,#REF!,1,FALSE())),"?TYPE_IDENTIFIABLE","?REFERENTIAL"),"_")))))</f>
        <v> </v>
      </c>
      <c r="H5734" s="24" t="str">
        <f>IF(J5734&lt;&gt;1,"",IF(I5734="SBJ","CB","?"))</f>
        <v> </v>
      </c>
      <c r="I5734" s="25" t="str">
        <f>IF(OR(E5734="",E5734="!!!",F5734="NEW"),"",INDEX(B5733:B$2,-1+SUMPRODUCT(MAX(ROW(E5733:E$2)*(E5734=E5733:E$2)))))</f>
        <v> </v>
      </c>
      <c r="J5734" s="25" t="str">
        <f>IF(OR(E5734="",E5734="!!!",F5734="NEW"),"",COUNTBLANK(OFFSET(A$1,,,SUMPRODUCT(MAX(ROW(E$2:E5734)*(E5734=E$2:E5734)))))-COUNTBLANK(OFFSET(A$1,,,SUMPRODUCT(MAX(ROW(E$1:E5733)*(E2=E$1:E5733))))))</f>
        <v> </v>
      </c>
      <c r="K5734" s="25" t="str">
        <f>IF(OR(E5734="",E5734="!!!",F5734="NEW"),"",INDEX(J$1:J5733,SUMPRODUCT(MAX(ROW(E$1:E5733)*(E5734=E$1:E5733)))))</f>
        <v> </v>
      </c>
      <c r="L5734" s="26"/>
    </row>
    <row r="5735" spans="1:12">
      <c r="A5735" s="20" t="s">
        <v>2507</v>
      </c>
      <c r="E5735" s="21">
        <f>IF(D5735="?OLD","!!!","")</f>
        <v/>
      </c>
      <c r="F5735" s="22" t="str">
        <f>IF(OR(E5735="",E5735="!!!"),"",IF(NOT(ISNA(VLOOKUP(E5735,E$1:E5734,1,FALSE()))),"OLD",IF(AND(E5735&lt;&gt;"",E5735&lt;&gt;"!!!"),"NEW","")))</f>
        <v> </v>
      </c>
      <c r="G5735" s="23" t="str">
        <f>IF(OR(E5735="",E5735="!!!"),"",IF(OR(J5735=0,AND(J5735=1,K5735=1),AND(J5735=1,I5735="SBJ"),AND(J5735=1,I5735=0)),"?IN_FOCUS",IF(J5735&lt;=2,"?ACTIVATED",IF(J5735&lt;&gt;"","?FAMILIAR",IF(F5735="NEW",IF(ISNA(VLOOKUP(E5735,#REF!,1,FALSE())),"?TYPE_IDENTIFIABLE","?REFERENTIAL"),"_")))))</f>
        <v> </v>
      </c>
      <c r="H5735" s="24" t="str">
        <f>IF(J5735&lt;&gt;1,"",IF(I5735="SBJ","CB","?"))</f>
        <v> </v>
      </c>
      <c r="I5735" s="25" t="str">
        <f>IF(OR(E5735="",E5735="!!!",F5735="NEW"),"",INDEX(B5734:B$2,-1+SUMPRODUCT(MAX(ROW(E5734:E$2)*(E5735=E5734:E$2)))))</f>
        <v> </v>
      </c>
      <c r="J5735" s="25" t="str">
        <f>IF(OR(E5735="",E5735="!!!",F5735="NEW"),"",COUNTBLANK(OFFSET(A$1,,,SUMPRODUCT(MAX(ROW(E$2:E5735)*(E5735=E$2:E5735)))))-COUNTBLANK(OFFSET(A$1,,,SUMPRODUCT(MAX(ROW(E$1:E5734)*(E2=E$1:E5734))))))</f>
        <v> </v>
      </c>
      <c r="K5735" s="25" t="str">
        <f>IF(OR(E5735="",E5735="!!!",F5735="NEW"),"",INDEX(J$1:J5734,SUMPRODUCT(MAX(ROW(E$1:E5734)*(E5735=E$1:E5734)))))</f>
        <v> </v>
      </c>
      <c r="L5735" s="26"/>
    </row>
    <row r="5736" spans="1:12">
      <c r="A5736" s="20" t="s">
        <v>1285</v>
      </c>
      <c r="E5736" s="21">
        <f>IF(D5736="?OLD","!!!","")</f>
        <v/>
      </c>
      <c r="F5736" s="22" t="str">
        <f>IF(OR(E5736="",E5736="!!!"),"",IF(NOT(ISNA(VLOOKUP(E5736,E$1:E5735,1,FALSE()))),"OLD",IF(AND(E5736&lt;&gt;"",E5736&lt;&gt;"!!!"),"NEW","")))</f>
        <v> </v>
      </c>
      <c r="G5736" s="23" t="str">
        <f>IF(OR(E5736="",E5736="!!!"),"",IF(OR(J5736=0,AND(J5736=1,K5736=1),AND(J5736=1,I5736="SBJ"),AND(J5736=1,I5736=0)),"?IN_FOCUS",IF(J5736&lt;=2,"?ACTIVATED",IF(J5736&lt;&gt;"","?FAMILIAR",IF(F5736="NEW",IF(ISNA(VLOOKUP(E5736,#REF!,1,FALSE())),"?TYPE_IDENTIFIABLE","?REFERENTIAL"),"_")))))</f>
        <v> </v>
      </c>
      <c r="H5736" s="24" t="str">
        <f>IF(J5736&lt;&gt;1,"",IF(I5736="SBJ","CB","?"))</f>
        <v> </v>
      </c>
      <c r="I5736" s="25" t="str">
        <f>IF(OR(E5736="",E5736="!!!",F5736="NEW"),"",INDEX(B5735:B$2,-1+SUMPRODUCT(MAX(ROW(E5735:E$2)*(E5736=E5735:E$2)))))</f>
        <v> </v>
      </c>
      <c r="J5736" s="25" t="str">
        <f>IF(OR(E5736="",E5736="!!!",F5736="NEW"),"",COUNTBLANK(OFFSET(A$1,,,SUMPRODUCT(MAX(ROW(E$2:E5736)*(E5736=E$2:E5736)))))-COUNTBLANK(OFFSET(A$1,,,SUMPRODUCT(MAX(ROW(E$1:E5735)*(E2=E$1:E5735))))))</f>
        <v> </v>
      </c>
      <c r="K5736" s="25" t="str">
        <f>IF(OR(E5736="",E5736="!!!",F5736="NEW"),"",INDEX(J$1:J5735,SUMPRODUCT(MAX(ROW(E$1:E5735)*(E5736=E$1:E5735)))))</f>
        <v> </v>
      </c>
      <c r="L5736" s="26"/>
    </row>
    <row r="5737" spans="1:12">
      <c r="A5737" s="20" t="s">
        <v>2508</v>
      </c>
      <c r="E5737" s="21">
        <f>IF(D5737="?OLD","!!!","")</f>
        <v/>
      </c>
      <c r="F5737" s="22" t="str">
        <f>IF(OR(E5737="",E5737="!!!"),"",IF(NOT(ISNA(VLOOKUP(E5737,E$1:E5736,1,FALSE()))),"OLD",IF(AND(E5737&lt;&gt;"",E5737&lt;&gt;"!!!"),"NEW","")))</f>
        <v> </v>
      </c>
      <c r="G5737" s="23" t="str">
        <f>IF(OR(E5737="",E5737="!!!"),"",IF(OR(J5737=0,AND(J5737=1,K5737=1),AND(J5737=1,I5737="SBJ"),AND(J5737=1,I5737=0)),"?IN_FOCUS",IF(J5737&lt;=2,"?ACTIVATED",IF(J5737&lt;&gt;"","?FAMILIAR",IF(F5737="NEW",IF(ISNA(VLOOKUP(E5737,#REF!,1,FALSE())),"?TYPE_IDENTIFIABLE","?REFERENTIAL"),"_")))))</f>
        <v> </v>
      </c>
      <c r="H5737" s="24" t="str">
        <f>IF(J5737&lt;&gt;1,"",IF(I5737="SBJ","CB","?"))</f>
        <v> </v>
      </c>
      <c r="I5737" s="25" t="str">
        <f>IF(OR(E5737="",E5737="!!!",F5737="NEW"),"",INDEX(B5736:B$2,-1+SUMPRODUCT(MAX(ROW(E5736:E$2)*(E5737=E5736:E$2)))))</f>
        <v> </v>
      </c>
      <c r="J5737" s="25" t="str">
        <f>IF(OR(E5737="",E5737="!!!",F5737="NEW"),"",COUNTBLANK(OFFSET(A$1,,,SUMPRODUCT(MAX(ROW(E$2:E5737)*(E5737=E$2:E5737)))))-COUNTBLANK(OFFSET(A$1,,,SUMPRODUCT(MAX(ROW(E$1:E5736)*(E2=E$1:E5736))))))</f>
        <v> </v>
      </c>
      <c r="K5737" s="25" t="str">
        <f>IF(OR(E5737="",E5737="!!!",F5737="NEW"),"",INDEX(J$1:J5736,SUMPRODUCT(MAX(ROW(E$1:E5736)*(E5737=E$1:E5736)))))</f>
        <v> </v>
      </c>
      <c r="L5737" s="26"/>
    </row>
    <row r="5738" spans="1:12">
      <c r="A5738" s="20" t="s">
        <v>1095</v>
      </c>
      <c r="E5738" s="21">
        <f>IF(D5738="?OLD","!!!","")</f>
        <v/>
      </c>
      <c r="F5738" s="22" t="str">
        <f>IF(OR(E5738="",E5738="!!!"),"",IF(NOT(ISNA(VLOOKUP(E5738,E$1:E5737,1,FALSE()))),"OLD",IF(AND(E5738&lt;&gt;"",E5738&lt;&gt;"!!!"),"NEW","")))</f>
        <v> </v>
      </c>
      <c r="G5738" s="23" t="str">
        <f>IF(OR(E5738="",E5738="!!!"),"",IF(OR(J5738=0,AND(J5738=1,K5738=1),AND(J5738=1,I5738="SBJ"),AND(J5738=1,I5738=0)),"?IN_FOCUS",IF(J5738&lt;=2,"?ACTIVATED",IF(J5738&lt;&gt;"","?FAMILIAR",IF(F5738="NEW",IF(ISNA(VLOOKUP(E5738,#REF!,1,FALSE())),"?TYPE_IDENTIFIABLE","?REFERENTIAL"),"_")))))</f>
        <v> </v>
      </c>
      <c r="H5738" s="24" t="str">
        <f>IF(J5738&lt;&gt;1,"",IF(I5738="SBJ","CB","?"))</f>
        <v> </v>
      </c>
      <c r="I5738" s="25" t="str">
        <f>IF(OR(E5738="",E5738="!!!",F5738="NEW"),"",INDEX(B5737:B$2,-1+SUMPRODUCT(MAX(ROW(E5737:E$2)*(E5738=E5737:E$2)))))</f>
        <v> </v>
      </c>
      <c r="J5738" s="25" t="str">
        <f>IF(OR(E5738="",E5738="!!!",F5738="NEW"),"",COUNTBLANK(OFFSET(A$1,,,SUMPRODUCT(MAX(ROW(E$2:E5738)*(E5738=E$2:E5738)))))-COUNTBLANK(OFFSET(A$1,,,SUMPRODUCT(MAX(ROW(E$1:E5737)*(E2=E$1:E5737))))))</f>
        <v> </v>
      </c>
      <c r="K5738" s="25" t="str">
        <f>IF(OR(E5738="",E5738="!!!",F5738="NEW"),"",INDEX(J$1:J5737,SUMPRODUCT(MAX(ROW(E$1:E5737)*(E5738=E$1:E5737)))))</f>
        <v> </v>
      </c>
      <c r="L5738" s="26"/>
    </row>
    <row r="5739" spans="1:12">
      <c r="A5739" s="20" t="s">
        <v>1919</v>
      </c>
      <c r="B5739" s="27" t="s">
        <v>1003</v>
      </c>
      <c r="C5739" s="27" t="s">
        <v>968</v>
      </c>
      <c r="D5739" s="27" t="s">
        <v>969</v>
      </c>
      <c r="E5739" s="21">
        <f>IF(D5739="?OLD","!!!","")</f>
        <v/>
      </c>
      <c r="F5739" s="22" t="str">
        <f>IF(OR(E5739="",E5739="!!!"),"",IF(NOT(ISNA(VLOOKUP(E5739,E$1:E5738,1,FALSE()))),"OLD",IF(AND(E5739&lt;&gt;"",E5739&lt;&gt;"!!!"),"NEW","")))</f>
        <v> </v>
      </c>
      <c r="G5739" s="23" t="str">
        <f>IF(OR(E5739="",E5739="!!!"),"",IF(OR(J5739=0,AND(J5739=1,K5739=1),AND(J5739=1,I5739="SBJ"),AND(J5739=1,I5739=0)),"?IN_FOCUS",IF(J5739&lt;=2,"?ACTIVATED",IF(J5739&lt;&gt;"","?FAMILIAR",IF(F5739="NEW",IF(ISNA(VLOOKUP(E5739,#REF!,1,FALSE())),"?TYPE_IDENTIFIABLE","?REFERENTIAL"),"_")))))</f>
        <v> </v>
      </c>
      <c r="H5739" s="24" t="str">
        <f>IF(J5739&lt;&gt;1,"",IF(I5739="SBJ","CB","?"))</f>
        <v> </v>
      </c>
      <c r="I5739" s="25" t="str">
        <f>IF(OR(E5739="",E5739="!!!",F5739="NEW"),"",INDEX(B5738:B$2,-1+SUMPRODUCT(MAX(ROW(E5738:E$2)*(E5739=E5738:E$2)))))</f>
        <v> </v>
      </c>
      <c r="J5739" s="25" t="str">
        <f>IF(OR(E5739="",E5739="!!!",F5739="NEW"),"",COUNTBLANK(OFFSET(A$1,,,SUMPRODUCT(MAX(ROW(E$2:E5739)*(E5739=E$2:E5739)))))-COUNTBLANK(OFFSET(A$1,,,SUMPRODUCT(MAX(ROW(E$1:E5738)*(E2=E$1:E5738))))))</f>
        <v> </v>
      </c>
      <c r="K5739" s="25" t="str">
        <f>IF(OR(E5739="",E5739="!!!",F5739="NEW"),"",INDEX(J$1:J5738,SUMPRODUCT(MAX(ROW(E$1:E5738)*(E5739=E$1:E5738)))))</f>
        <v> </v>
      </c>
      <c r="L5739" s="26"/>
    </row>
    <row r="5740" spans="1:12">
      <c r="A5740" s="20" t="s">
        <v>1005</v>
      </c>
      <c r="E5740" s="21">
        <f>IF(D5740="?OLD","!!!","")</f>
        <v/>
      </c>
      <c r="F5740" s="22" t="str">
        <f>IF(OR(E5740="",E5740="!!!"),"",IF(NOT(ISNA(VLOOKUP(E5740,E$1:E5739,1,FALSE()))),"OLD",IF(AND(E5740&lt;&gt;"",E5740&lt;&gt;"!!!"),"NEW","")))</f>
        <v> </v>
      </c>
      <c r="G5740" s="23" t="str">
        <f>IF(OR(E5740="",E5740="!!!"),"",IF(OR(J5740=0,AND(J5740=1,K5740=1),AND(J5740=1,I5740="SBJ"),AND(J5740=1,I5740=0)),"?IN_FOCUS",IF(J5740&lt;=2,"?ACTIVATED",IF(J5740&lt;&gt;"","?FAMILIAR",IF(F5740="NEW",IF(ISNA(VLOOKUP(E5740,#REF!,1,FALSE())),"?TYPE_IDENTIFIABLE","?REFERENTIAL"),"_")))))</f>
        <v> </v>
      </c>
      <c r="H5740" s="24" t="str">
        <f>IF(J5740&lt;&gt;1,"",IF(I5740="SBJ","CB","?"))</f>
        <v> </v>
      </c>
      <c r="I5740" s="25" t="str">
        <f>IF(OR(E5740="",E5740="!!!",F5740="NEW"),"",INDEX(B5739:B$2,-1+SUMPRODUCT(MAX(ROW(E5739:E$2)*(E5740=E5739:E$2)))))</f>
        <v> </v>
      </c>
      <c r="J5740" s="25" t="str">
        <f>IF(OR(E5740="",E5740="!!!",F5740="NEW"),"",COUNTBLANK(OFFSET(A$1,,,SUMPRODUCT(MAX(ROW(E$2:E5740)*(E5740=E$2:E5740)))))-COUNTBLANK(OFFSET(A$1,,,SUMPRODUCT(MAX(ROW(E$1:E5739)*(E2=E$1:E5739))))))</f>
        <v> </v>
      </c>
      <c r="K5740" s="25" t="str">
        <f>IF(OR(E5740="",E5740="!!!",F5740="NEW"),"",INDEX(J$1:J5739,SUMPRODUCT(MAX(ROW(E$1:E5739)*(E5740=E$1:E5739)))))</f>
        <v> </v>
      </c>
      <c r="L5740" s="26"/>
    </row>
    <row r="5741" spans="1:12">
      <c r="A5741" s="20" t="s">
        <v>971</v>
      </c>
      <c r="E5741" s="21">
        <f>IF(D5741="?OLD","!!!","")</f>
        <v/>
      </c>
      <c r="F5741" s="22" t="str">
        <f>IF(OR(E5741="",E5741="!!!"),"",IF(NOT(ISNA(VLOOKUP(E5741,E$1:E5740,1,FALSE()))),"OLD",IF(AND(E5741&lt;&gt;"",E5741&lt;&gt;"!!!"),"NEW","")))</f>
        <v> </v>
      </c>
      <c r="G5741" s="23" t="str">
        <f>IF(OR(E5741="",E5741="!!!"),"",IF(OR(J5741=0,AND(J5741=1,K5741=1),AND(J5741=1,I5741="SBJ"),AND(J5741=1,I5741=0)),"?IN_FOCUS",IF(J5741&lt;=2,"?ACTIVATED",IF(J5741&lt;&gt;"","?FAMILIAR",IF(F5741="NEW",IF(ISNA(VLOOKUP(E5741,#REF!,1,FALSE())),"?TYPE_IDENTIFIABLE","?REFERENTIAL"),"_")))))</f>
        <v> </v>
      </c>
      <c r="H5741" s="24" t="str">
        <f>IF(J5741&lt;&gt;1,"",IF(I5741="SBJ","CB","?"))</f>
        <v> </v>
      </c>
      <c r="I5741" s="25" t="str">
        <f>IF(OR(E5741="",E5741="!!!",F5741="NEW"),"",INDEX(B5740:B$2,-1+SUMPRODUCT(MAX(ROW(E5740:E$2)*(E5741=E5740:E$2)))))</f>
        <v> </v>
      </c>
      <c r="J5741" s="25" t="str">
        <f>IF(OR(E5741="",E5741="!!!",F5741="NEW"),"",COUNTBLANK(OFFSET(A$1,,,SUMPRODUCT(MAX(ROW(E$2:E5741)*(E5741=E$2:E5741)))))-COUNTBLANK(OFFSET(A$1,,,SUMPRODUCT(MAX(ROW(E$1:E5740)*(E2=E$1:E5740))))))</f>
        <v> </v>
      </c>
      <c r="K5741" s="25" t="str">
        <f>IF(OR(E5741="",E5741="!!!",F5741="NEW"),"",INDEX(J$1:J5740,SUMPRODUCT(MAX(ROW(E$1:E5740)*(E5741=E$1:E5740)))))</f>
        <v> </v>
      </c>
      <c r="L5741" s="26"/>
    </row>
    <row r="5742" spans="1:12">
      <c r="A5742" s="20"/>
    </row>
    <row r="5743" spans="1:12">
      <c r="A5743" s="20" t="s">
        <v>2509</v>
      </c>
    </row>
    <row r="5744" spans="1:12">
      <c r="A5744" s="20" t="s">
        <v>1007</v>
      </c>
      <c r="E5744" s="21">
        <f>IF(D5744="?OLD","!!!","")</f>
        <v/>
      </c>
      <c r="F5744" s="22" t="str">
        <f>IF(OR(E5744="",E5744="!!!"),"",IF(NOT(ISNA(VLOOKUP(E5744,E$1:E5743,1,FALSE()))),"OLD",IF(AND(E5744&lt;&gt;"",E5744&lt;&gt;"!!!"),"NEW","")))</f>
        <v> </v>
      </c>
      <c r="G5744" s="23" t="str">
        <f>IF(OR(E5744="",E5744="!!!"),"",IF(OR(J5744=0,AND(J5744=1,K5744=1),AND(J5744=1,I5744="SBJ"),AND(J5744=1,I5744=0)),"?IN_FOCUS",IF(J5744&lt;=2,"?ACTIVATED",IF(J5744&lt;&gt;"","?FAMILIAR",IF(F5744="NEW",IF(ISNA(VLOOKUP(E5744,#REF!,1,FALSE())),"?TYPE_IDENTIFIABLE","?REFERENTIAL"),"_")))))</f>
        <v> </v>
      </c>
      <c r="H5744" s="24" t="str">
        <f>IF(J5744&lt;&gt;1,"",IF(I5744="SBJ","CB","?"))</f>
        <v> </v>
      </c>
      <c r="I5744" s="25" t="str">
        <f>IF(OR(E5744="",E5744="!!!",F5744="NEW"),"",INDEX(B5743:B$2,-1+SUMPRODUCT(MAX(ROW(E5743:E$2)*(E5744=E5743:E$2)))))</f>
        <v> </v>
      </c>
      <c r="J5744" s="25" t="str">
        <f>IF(OR(E5744="",E5744="!!!",F5744="NEW"),"",COUNTBLANK(OFFSET(A$1,,,SUMPRODUCT(MAX(ROW(E$2:E5744)*(E5744=E$2:E5744)))))-COUNTBLANK(OFFSET(A$1,,,SUMPRODUCT(MAX(ROW(E$1:E5743)*(E2=E$1:E5743))))))</f>
        <v> </v>
      </c>
      <c r="K5744" s="25" t="str">
        <f>IF(OR(E5744="",E5744="!!!",F5744="NEW"),"",INDEX(J$1:J5743,SUMPRODUCT(MAX(ROW(E$1:E5743)*(E5744=E$1:E5743)))))</f>
        <v> </v>
      </c>
      <c r="L5744" s="26"/>
    </row>
    <row r="5745" spans="1:12">
      <c r="A5745" s="20" t="s">
        <v>1041</v>
      </c>
      <c r="E5745" s="21">
        <f>IF(D5745="?OLD","!!!","")</f>
        <v/>
      </c>
      <c r="F5745" s="22" t="str">
        <f>IF(OR(E5745="",E5745="!!!"),"",IF(NOT(ISNA(VLOOKUP(E5745,E$1:E5744,1,FALSE()))),"OLD",IF(AND(E5745&lt;&gt;"",E5745&lt;&gt;"!!!"),"NEW","")))</f>
        <v> </v>
      </c>
      <c r="G5745" s="23" t="str">
        <f>IF(OR(E5745="",E5745="!!!"),"",IF(OR(J5745=0,AND(J5745=1,K5745=1),AND(J5745=1,I5745="SBJ"),AND(J5745=1,I5745=0)),"?IN_FOCUS",IF(J5745&lt;=2,"?ACTIVATED",IF(J5745&lt;&gt;"","?FAMILIAR",IF(F5745="NEW",IF(ISNA(VLOOKUP(E5745,#REF!,1,FALSE())),"?TYPE_IDENTIFIABLE","?REFERENTIAL"),"_")))))</f>
        <v> </v>
      </c>
      <c r="H5745" s="24" t="str">
        <f>IF(J5745&lt;&gt;1,"",IF(I5745="SBJ","CB","?"))</f>
        <v> </v>
      </c>
      <c r="I5745" s="25" t="str">
        <f>IF(OR(E5745="",E5745="!!!",F5745="NEW"),"",INDEX(B5744:B$2,-1+SUMPRODUCT(MAX(ROW(E5744:E$2)*(E5745=E5744:E$2)))))</f>
        <v> </v>
      </c>
      <c r="J5745" s="25" t="str">
        <f>IF(OR(E5745="",E5745="!!!",F5745="NEW"),"",COUNTBLANK(OFFSET(A$1,,,SUMPRODUCT(MAX(ROW(E$2:E5745)*(E5745=E$2:E5745)))))-COUNTBLANK(OFFSET(A$1,,,SUMPRODUCT(MAX(ROW(E$1:E5744)*(E2=E$1:E5744))))))</f>
        <v> </v>
      </c>
      <c r="K5745" s="25" t="str">
        <f>IF(OR(E5745="",E5745="!!!",F5745="NEW"),"",INDEX(J$1:J5744,SUMPRODUCT(MAX(ROW(E$1:E5744)*(E5745=E$1:E5744)))))</f>
        <v> </v>
      </c>
      <c r="L5745" s="26"/>
    </row>
    <row r="5746" spans="1:12">
      <c r="A5746" s="20" t="s">
        <v>2510</v>
      </c>
      <c r="E5746" s="21">
        <f>IF(D5746="?OLD","!!!","")</f>
        <v/>
      </c>
      <c r="F5746" s="22" t="str">
        <f>IF(OR(E5746="",E5746="!!!"),"",IF(NOT(ISNA(VLOOKUP(E5746,E$1:E5745,1,FALSE()))),"OLD",IF(AND(E5746&lt;&gt;"",E5746&lt;&gt;"!!!"),"NEW","")))</f>
        <v> </v>
      </c>
      <c r="G5746" s="23" t="str">
        <f>IF(OR(E5746="",E5746="!!!"),"",IF(OR(J5746=0,AND(J5746=1,K5746=1),AND(J5746=1,I5746="SBJ"),AND(J5746=1,I5746=0)),"?IN_FOCUS",IF(J5746&lt;=2,"?ACTIVATED",IF(J5746&lt;&gt;"","?FAMILIAR",IF(F5746="NEW",IF(ISNA(VLOOKUP(E5746,#REF!,1,FALSE())),"?TYPE_IDENTIFIABLE","?REFERENTIAL"),"_")))))</f>
        <v> </v>
      </c>
      <c r="H5746" s="24" t="str">
        <f>IF(J5746&lt;&gt;1,"",IF(I5746="SBJ","CB","?"))</f>
        <v> </v>
      </c>
      <c r="I5746" s="25" t="str">
        <f>IF(OR(E5746="",E5746="!!!",F5746="NEW"),"",INDEX(B5745:B$2,-1+SUMPRODUCT(MAX(ROW(E5745:E$2)*(E5746=E5745:E$2)))))</f>
        <v> </v>
      </c>
      <c r="J5746" s="25" t="str">
        <f>IF(OR(E5746="",E5746="!!!",F5746="NEW"),"",COUNTBLANK(OFFSET(A$1,,,SUMPRODUCT(MAX(ROW(E$2:E5746)*(E5746=E$2:E5746)))))-COUNTBLANK(OFFSET(A$1,,,SUMPRODUCT(MAX(ROW(E$1:E5745)*(E2=E$1:E5745))))))</f>
        <v> </v>
      </c>
      <c r="K5746" s="25" t="str">
        <f>IF(OR(E5746="",E5746="!!!",F5746="NEW"),"",INDEX(J$1:J5745,SUMPRODUCT(MAX(ROW(E$1:E5745)*(E5746=E$1:E5745)))))</f>
        <v> </v>
      </c>
      <c r="L5746" s="26"/>
    </row>
    <row r="5747" spans="1:12">
      <c r="A5747" s="20" t="s">
        <v>993</v>
      </c>
      <c r="B5747" s="27" t="s">
        <v>967</v>
      </c>
      <c r="C5747" s="27" t="s">
        <v>968</v>
      </c>
      <c r="D5747" s="27" t="s">
        <v>969</v>
      </c>
      <c r="E5747" s="21">
        <f>IF(D5747="?OLD","!!!","")</f>
        <v/>
      </c>
      <c r="F5747" s="22" t="str">
        <f>IF(OR(E5747="",E5747="!!!"),"",IF(NOT(ISNA(VLOOKUP(E5747,E$1:E5746,1,FALSE()))),"OLD",IF(AND(E5747&lt;&gt;"",E5747&lt;&gt;"!!!"),"NEW","")))</f>
        <v> </v>
      </c>
      <c r="G5747" s="23" t="str">
        <f>IF(OR(E5747="",E5747="!!!"),"",IF(OR(J5747=0,AND(J5747=1,K5747=1),AND(J5747=1,I5747="SBJ"),AND(J5747=1,I5747=0)),"?IN_FOCUS",IF(J5747&lt;=2,"?ACTIVATED",IF(J5747&lt;&gt;"","?FAMILIAR",IF(F5747="NEW",IF(ISNA(VLOOKUP(E5747,#REF!,1,FALSE())),"?TYPE_IDENTIFIABLE","?REFERENTIAL"),"_")))))</f>
        <v> </v>
      </c>
      <c r="H5747" s="24" t="str">
        <f>IF(J5747&lt;&gt;1,"",IF(I5747="SBJ","CB","?"))</f>
        <v> </v>
      </c>
      <c r="I5747" s="25" t="str">
        <f>IF(OR(E5747="",E5747="!!!",F5747="NEW"),"",INDEX(B5746:B$2,-1+SUMPRODUCT(MAX(ROW(E5746:E$2)*(E5747=E5746:E$2)))))</f>
        <v> </v>
      </c>
      <c r="J5747" s="25" t="str">
        <f>IF(OR(E5747="",E5747="!!!",F5747="NEW"),"",COUNTBLANK(OFFSET(A$1,,,SUMPRODUCT(MAX(ROW(E$2:E5747)*(E5747=E$2:E5747)))))-COUNTBLANK(OFFSET(A$1,,,SUMPRODUCT(MAX(ROW(E$1:E5746)*(E2=E$1:E5746))))))</f>
        <v> </v>
      </c>
      <c r="K5747" s="25" t="str">
        <f>IF(OR(E5747="",E5747="!!!",F5747="NEW"),"",INDEX(J$1:J5746,SUMPRODUCT(MAX(ROW(E$1:E5746)*(E5747=E$1:E5746)))))</f>
        <v> </v>
      </c>
      <c r="L5747" s="26"/>
    </row>
    <row r="5748" spans="1:12">
      <c r="A5748" s="20" t="s">
        <v>991</v>
      </c>
      <c r="E5748" s="21">
        <f>IF(D5748="?OLD","!!!","")</f>
        <v/>
      </c>
      <c r="F5748" s="22" t="str">
        <f>IF(OR(E5748="",E5748="!!!"),"",IF(NOT(ISNA(VLOOKUP(E5748,E$1:E5747,1,FALSE()))),"OLD",IF(AND(E5748&lt;&gt;"",E5748&lt;&gt;"!!!"),"NEW","")))</f>
        <v> </v>
      </c>
      <c r="G5748" s="23" t="str">
        <f>IF(OR(E5748="",E5748="!!!"),"",IF(OR(J5748=0,AND(J5748=1,K5748=1),AND(J5748=1,I5748="SBJ"),AND(J5748=1,I5748=0)),"?IN_FOCUS",IF(J5748&lt;=2,"?ACTIVATED",IF(J5748&lt;&gt;"","?FAMILIAR",IF(F5748="NEW",IF(ISNA(VLOOKUP(E5748,#REF!,1,FALSE())),"?TYPE_IDENTIFIABLE","?REFERENTIAL"),"_")))))</f>
        <v> </v>
      </c>
      <c r="H5748" s="24" t="str">
        <f>IF(J5748&lt;&gt;1,"",IF(I5748="SBJ","CB","?"))</f>
        <v> </v>
      </c>
      <c r="I5748" s="25" t="str">
        <f>IF(OR(E5748="",E5748="!!!",F5748="NEW"),"",INDEX(B5747:B$2,-1+SUMPRODUCT(MAX(ROW(E5747:E$2)*(E5748=E5747:E$2)))))</f>
        <v> </v>
      </c>
      <c r="J5748" s="25" t="str">
        <f>IF(OR(E5748="",E5748="!!!",F5748="NEW"),"",COUNTBLANK(OFFSET(A$1,,,SUMPRODUCT(MAX(ROW(E$2:E5748)*(E5748=E$2:E5748)))))-COUNTBLANK(OFFSET(A$1,,,SUMPRODUCT(MAX(ROW(E$1:E5747)*(E2=E$1:E5747))))))</f>
        <v> </v>
      </c>
      <c r="K5748" s="25" t="str">
        <f>IF(OR(E5748="",E5748="!!!",F5748="NEW"),"",INDEX(J$1:J5747,SUMPRODUCT(MAX(ROW(E$1:E5747)*(E5748=E$1:E5747)))))</f>
        <v> </v>
      </c>
      <c r="L5748" s="26"/>
    </row>
    <row r="5749" spans="1:12">
      <c r="A5749" s="20" t="s">
        <v>996</v>
      </c>
      <c r="E5749" s="21">
        <f>IF(D5749="?OLD","!!!","")</f>
        <v/>
      </c>
      <c r="F5749" s="22" t="str">
        <f>IF(OR(E5749="",E5749="!!!"),"",IF(NOT(ISNA(VLOOKUP(E5749,E$1:E5748,1,FALSE()))),"OLD",IF(AND(E5749&lt;&gt;"",E5749&lt;&gt;"!!!"),"NEW","")))</f>
        <v> </v>
      </c>
      <c r="G5749" s="23" t="str">
        <f>IF(OR(E5749="",E5749="!!!"),"",IF(OR(J5749=0,AND(J5749=1,K5749=1),AND(J5749=1,I5749="SBJ"),AND(J5749=1,I5749=0)),"?IN_FOCUS",IF(J5749&lt;=2,"?ACTIVATED",IF(J5749&lt;&gt;"","?FAMILIAR",IF(F5749="NEW",IF(ISNA(VLOOKUP(E5749,#REF!,1,FALSE())),"?TYPE_IDENTIFIABLE","?REFERENTIAL"),"_")))))</f>
        <v> </v>
      </c>
      <c r="H5749" s="24" t="str">
        <f>IF(J5749&lt;&gt;1,"",IF(I5749="SBJ","CB","?"))</f>
        <v> </v>
      </c>
      <c r="I5749" s="25" t="str">
        <f>IF(OR(E5749="",E5749="!!!",F5749="NEW"),"",INDEX(B5748:B$2,-1+SUMPRODUCT(MAX(ROW(E5748:E$2)*(E5749=E5748:E$2)))))</f>
        <v> </v>
      </c>
      <c r="J5749" s="25" t="str">
        <f>IF(OR(E5749="",E5749="!!!",F5749="NEW"),"",COUNTBLANK(OFFSET(A$1,,,SUMPRODUCT(MAX(ROW(E$2:E5749)*(E5749=E$2:E5749)))))-COUNTBLANK(OFFSET(A$1,,,SUMPRODUCT(MAX(ROW(E$1:E5748)*(E2=E$1:E5748))))))</f>
        <v> </v>
      </c>
      <c r="K5749" s="25" t="str">
        <f>IF(OR(E5749="",E5749="!!!",F5749="NEW"),"",INDEX(J$1:J5748,SUMPRODUCT(MAX(ROW(E$1:E5748)*(E5749=E$1:E5748)))))</f>
        <v> </v>
      </c>
      <c r="L5749" s="26"/>
    </row>
    <row r="5750" spans="1:12">
      <c r="A5750" s="20" t="s">
        <v>1009</v>
      </c>
      <c r="B5750" s="27" t="s">
        <v>1010</v>
      </c>
      <c r="C5750" s="27" t="s">
        <v>1011</v>
      </c>
      <c r="D5750" s="27" t="s">
        <v>969</v>
      </c>
      <c r="E5750" s="21">
        <f>IF(D5750="?OLD","!!!","")</f>
        <v/>
      </c>
      <c r="F5750" s="22" t="str">
        <f>IF(OR(E5750="",E5750="!!!"),"",IF(NOT(ISNA(VLOOKUP(E5750,E$1:E5749,1,FALSE()))),"OLD",IF(AND(E5750&lt;&gt;"",E5750&lt;&gt;"!!!"),"NEW","")))</f>
        <v> </v>
      </c>
      <c r="G5750" s="23" t="str">
        <f>IF(OR(E5750="",E5750="!!!"),"",IF(OR(J5750=0,AND(J5750=1,K5750=1),AND(J5750=1,I5750="SBJ"),AND(J5750=1,I5750=0)),"?IN_FOCUS",IF(J5750&lt;=2,"?ACTIVATED",IF(J5750&lt;&gt;"","?FAMILIAR",IF(F5750="NEW",IF(ISNA(VLOOKUP(E5750,#REF!,1,FALSE())),"?TYPE_IDENTIFIABLE","?REFERENTIAL"),"_")))))</f>
        <v> </v>
      </c>
      <c r="H5750" s="24" t="str">
        <f>IF(J5750&lt;&gt;1,"",IF(I5750="SBJ","CB","?"))</f>
        <v> </v>
      </c>
      <c r="I5750" s="25" t="str">
        <f>IF(OR(E5750="",E5750="!!!",F5750="NEW"),"",INDEX(B5749:B$2,-1+SUMPRODUCT(MAX(ROW(E5749:E$2)*(E5750=E5749:E$2)))))</f>
        <v> </v>
      </c>
      <c r="J5750" s="25" t="str">
        <f>IF(OR(E5750="",E5750="!!!",F5750="NEW"),"",COUNTBLANK(OFFSET(A$1,,,SUMPRODUCT(MAX(ROW(E$2:E5750)*(E5750=E$2:E5750)))))-COUNTBLANK(OFFSET(A$1,,,SUMPRODUCT(MAX(ROW(E$1:E5749)*(E2=E$1:E5749))))))</f>
        <v> </v>
      </c>
      <c r="K5750" s="25" t="str">
        <f>IF(OR(E5750="",E5750="!!!",F5750="NEW"),"",INDEX(J$1:J5749,SUMPRODUCT(MAX(ROW(E$1:E5749)*(E5750=E$1:E5749)))))</f>
        <v> </v>
      </c>
      <c r="L5750" s="26"/>
    </row>
    <row r="5751" spans="1:12">
      <c r="A5751" s="20" t="s">
        <v>1021</v>
      </c>
      <c r="E5751" s="21">
        <f>IF(D5751="?OLD","!!!","")</f>
        <v/>
      </c>
      <c r="F5751" s="22" t="str">
        <f>IF(OR(E5751="",E5751="!!!"),"",IF(NOT(ISNA(VLOOKUP(E5751,E$1:E5750,1,FALSE()))),"OLD",IF(AND(E5751&lt;&gt;"",E5751&lt;&gt;"!!!"),"NEW","")))</f>
        <v> </v>
      </c>
      <c r="G5751" s="23" t="str">
        <f>IF(OR(E5751="",E5751="!!!"),"",IF(OR(J5751=0,AND(J5751=1,K5751=1),AND(J5751=1,I5751="SBJ"),AND(J5751=1,I5751=0)),"?IN_FOCUS",IF(J5751&lt;=2,"?ACTIVATED",IF(J5751&lt;&gt;"","?FAMILIAR",IF(F5751="NEW",IF(ISNA(VLOOKUP(E5751,#REF!,1,FALSE())),"?TYPE_IDENTIFIABLE","?REFERENTIAL"),"_")))))</f>
        <v> </v>
      </c>
      <c r="H5751" s="24" t="str">
        <f>IF(J5751&lt;&gt;1,"",IF(I5751="SBJ","CB","?"))</f>
        <v> </v>
      </c>
      <c r="I5751" s="25" t="str">
        <f>IF(OR(E5751="",E5751="!!!",F5751="NEW"),"",INDEX(B5750:B$2,-1+SUMPRODUCT(MAX(ROW(E5750:E$2)*(E5751=E5750:E$2)))))</f>
        <v> </v>
      </c>
      <c r="J5751" s="25" t="str">
        <f>IF(OR(E5751="",E5751="!!!",F5751="NEW"),"",COUNTBLANK(OFFSET(A$1,,,SUMPRODUCT(MAX(ROW(E$2:E5751)*(E5751=E$2:E5751)))))-COUNTBLANK(OFFSET(A$1,,,SUMPRODUCT(MAX(ROW(E$1:E5750)*(E2=E$1:E5750))))))</f>
        <v> </v>
      </c>
      <c r="K5751" s="25" t="str">
        <f>IF(OR(E5751="",E5751="!!!",F5751="NEW"),"",INDEX(J$1:J5750,SUMPRODUCT(MAX(ROW(E$1:E5750)*(E5751=E$1:E5750)))))</f>
        <v> </v>
      </c>
      <c r="L5751" s="26"/>
    </row>
    <row r="5752" spans="1:12">
      <c r="A5752" s="20" t="s">
        <v>1158</v>
      </c>
      <c r="E5752" s="21">
        <f>IF(D5752="?OLD","!!!","")</f>
        <v/>
      </c>
      <c r="F5752" s="22" t="str">
        <f>IF(OR(E5752="",E5752="!!!"),"",IF(NOT(ISNA(VLOOKUP(E5752,E$1:E5751,1,FALSE()))),"OLD",IF(AND(E5752&lt;&gt;"",E5752&lt;&gt;"!!!"),"NEW","")))</f>
        <v> </v>
      </c>
      <c r="G5752" s="23" t="str">
        <f>IF(OR(E5752="",E5752="!!!"),"",IF(OR(J5752=0,AND(J5752=1,K5752=1),AND(J5752=1,I5752="SBJ"),AND(J5752=1,I5752=0)),"?IN_FOCUS",IF(J5752&lt;=2,"?ACTIVATED",IF(J5752&lt;&gt;"","?FAMILIAR",IF(F5752="NEW",IF(ISNA(VLOOKUP(E5752,#REF!,1,FALSE())),"?TYPE_IDENTIFIABLE","?REFERENTIAL"),"_")))))</f>
        <v> </v>
      </c>
      <c r="H5752" s="24" t="str">
        <f>IF(J5752&lt;&gt;1,"",IF(I5752="SBJ","CB","?"))</f>
        <v> </v>
      </c>
      <c r="I5752" s="25" t="str">
        <f>IF(OR(E5752="",E5752="!!!",F5752="NEW"),"",INDEX(B5751:B$2,-1+SUMPRODUCT(MAX(ROW(E5751:E$2)*(E5752=E5751:E$2)))))</f>
        <v> </v>
      </c>
      <c r="J5752" s="25" t="str">
        <f>IF(OR(E5752="",E5752="!!!",F5752="NEW"),"",COUNTBLANK(OFFSET(A$1,,,SUMPRODUCT(MAX(ROW(E$2:E5752)*(E5752=E$2:E5752)))))-COUNTBLANK(OFFSET(A$1,,,SUMPRODUCT(MAX(ROW(E$1:E5751)*(E2=E$1:E5751))))))</f>
        <v> </v>
      </c>
      <c r="K5752" s="25" t="str">
        <f>IF(OR(E5752="",E5752="!!!",F5752="NEW"),"",INDEX(J$1:J5751,SUMPRODUCT(MAX(ROW(E$1:E5751)*(E5752=E$1:E5751)))))</f>
        <v> </v>
      </c>
      <c r="L5752" s="26"/>
    </row>
    <row r="5753" spans="1:12">
      <c r="A5753" s="20" t="s">
        <v>58</v>
      </c>
      <c r="E5753" s="21">
        <f>IF(D5753="?OLD","!!!","")</f>
        <v/>
      </c>
      <c r="F5753" s="22" t="str">
        <f>IF(OR(E5753="",E5753="!!!"),"",IF(NOT(ISNA(VLOOKUP(E5753,E$1:E5752,1,FALSE()))),"OLD",IF(AND(E5753&lt;&gt;"",E5753&lt;&gt;"!!!"),"NEW","")))</f>
        <v> </v>
      </c>
      <c r="G5753" s="23" t="str">
        <f>IF(OR(E5753="",E5753="!!!"),"",IF(OR(J5753=0,AND(J5753=1,K5753=1),AND(J5753=1,I5753="SBJ"),AND(J5753=1,I5753=0)),"?IN_FOCUS",IF(J5753&lt;=2,"?ACTIVATED",IF(J5753&lt;&gt;"","?FAMILIAR",IF(F5753="NEW",IF(ISNA(VLOOKUP(E5753,#REF!,1,FALSE())),"?TYPE_IDENTIFIABLE","?REFERENTIAL"),"_")))))</f>
        <v> </v>
      </c>
      <c r="H5753" s="24" t="str">
        <f>IF(J5753&lt;&gt;1,"",IF(I5753="SBJ","CB","?"))</f>
        <v> </v>
      </c>
      <c r="I5753" s="25" t="str">
        <f>IF(OR(E5753="",E5753="!!!",F5753="NEW"),"",INDEX(B5752:B$2,-1+SUMPRODUCT(MAX(ROW(E5752:E$2)*(E5753=E5752:E$2)))))</f>
        <v> </v>
      </c>
      <c r="J5753" s="25" t="str">
        <f>IF(OR(E5753="",E5753="!!!",F5753="NEW"),"",COUNTBLANK(OFFSET(A$1,,,SUMPRODUCT(MAX(ROW(E$2:E5753)*(E5753=E$2:E5753)))))-COUNTBLANK(OFFSET(A$1,,,SUMPRODUCT(MAX(ROW(E$1:E5752)*(E2=E$1:E5752))))))</f>
        <v> </v>
      </c>
      <c r="K5753" s="25" t="str">
        <f>IF(OR(E5753="",E5753="!!!",F5753="NEW"),"",INDEX(J$1:J5752,SUMPRODUCT(MAX(ROW(E$1:E5752)*(E5753=E$1:E5752)))))</f>
        <v> </v>
      </c>
      <c r="L5753" s="26"/>
    </row>
    <row r="5754" spans="1:12">
      <c r="A5754" s="20" t="s">
        <v>2340</v>
      </c>
      <c r="E5754" s="21">
        <f>IF(D5754="?OLD","!!!","")</f>
        <v/>
      </c>
      <c r="F5754" s="22" t="str">
        <f>IF(OR(E5754="",E5754="!!!"),"",IF(NOT(ISNA(VLOOKUP(E5754,E$1:E5753,1,FALSE()))),"OLD",IF(AND(E5754&lt;&gt;"",E5754&lt;&gt;"!!!"),"NEW","")))</f>
        <v> </v>
      </c>
      <c r="G5754" s="23" t="str">
        <f>IF(OR(E5754="",E5754="!!!"),"",IF(OR(J5754=0,AND(J5754=1,K5754=1),AND(J5754=1,I5754="SBJ"),AND(J5754=1,I5754=0)),"?IN_FOCUS",IF(J5754&lt;=2,"?ACTIVATED",IF(J5754&lt;&gt;"","?FAMILIAR",IF(F5754="NEW",IF(ISNA(VLOOKUP(E5754,#REF!,1,FALSE())),"?TYPE_IDENTIFIABLE","?REFERENTIAL"),"_")))))</f>
        <v> </v>
      </c>
      <c r="H5754" s="24" t="str">
        <f>IF(J5754&lt;&gt;1,"",IF(I5754="SBJ","CB","?"))</f>
        <v> </v>
      </c>
      <c r="I5754" s="25" t="str">
        <f>IF(OR(E5754="",E5754="!!!",F5754="NEW"),"",INDEX(B5753:B$2,-1+SUMPRODUCT(MAX(ROW(E5753:E$2)*(E5754=E5753:E$2)))))</f>
        <v> </v>
      </c>
      <c r="J5754" s="25" t="str">
        <f>IF(OR(E5754="",E5754="!!!",F5754="NEW"),"",COUNTBLANK(OFFSET(A$1,,,SUMPRODUCT(MAX(ROW(E$2:E5754)*(E5754=E$2:E5754)))))-COUNTBLANK(OFFSET(A$1,,,SUMPRODUCT(MAX(ROW(E$1:E5753)*(E2=E$1:E5753))))))</f>
        <v> </v>
      </c>
      <c r="K5754" s="25" t="str">
        <f>IF(OR(E5754="",E5754="!!!",F5754="NEW"),"",INDEX(J$1:J5753,SUMPRODUCT(MAX(ROW(E$1:E5753)*(E5754=E$1:E5753)))))</f>
        <v> </v>
      </c>
      <c r="L5754" s="26"/>
    </row>
    <row r="5755" spans="1:12">
      <c r="A5755" s="20" t="s">
        <v>1046</v>
      </c>
      <c r="E5755" s="21">
        <f>IF(D5755="?OLD","!!!","")</f>
        <v/>
      </c>
      <c r="F5755" s="22" t="str">
        <f>IF(OR(E5755="",E5755="!!!"),"",IF(NOT(ISNA(VLOOKUP(E5755,E$1:E5754,1,FALSE()))),"OLD",IF(AND(E5755&lt;&gt;"",E5755&lt;&gt;"!!!"),"NEW","")))</f>
        <v> </v>
      </c>
      <c r="G5755" s="23" t="str">
        <f>IF(OR(E5755="",E5755="!!!"),"",IF(OR(J5755=0,AND(J5755=1,K5755=1),AND(J5755=1,I5755="SBJ"),AND(J5755=1,I5755=0)),"?IN_FOCUS",IF(J5755&lt;=2,"?ACTIVATED",IF(J5755&lt;&gt;"","?FAMILIAR",IF(F5755="NEW",IF(ISNA(VLOOKUP(E5755,#REF!,1,FALSE())),"?TYPE_IDENTIFIABLE","?REFERENTIAL"),"_")))))</f>
        <v> </v>
      </c>
      <c r="H5755" s="24" t="str">
        <f>IF(J5755&lt;&gt;1,"",IF(I5755="SBJ","CB","?"))</f>
        <v> </v>
      </c>
      <c r="I5755" s="25" t="str">
        <f>IF(OR(E5755="",E5755="!!!",F5755="NEW"),"",INDEX(B5754:B$2,-1+SUMPRODUCT(MAX(ROW(E5754:E$2)*(E5755=E5754:E$2)))))</f>
        <v> </v>
      </c>
      <c r="J5755" s="25" t="str">
        <f>IF(OR(E5755="",E5755="!!!",F5755="NEW"),"",COUNTBLANK(OFFSET(A$1,,,SUMPRODUCT(MAX(ROW(E$2:E5755)*(E5755=E$2:E5755)))))-COUNTBLANK(OFFSET(A$1,,,SUMPRODUCT(MAX(ROW(E$1:E5754)*(E2=E$1:E5754))))))</f>
        <v> </v>
      </c>
      <c r="K5755" s="25" t="str">
        <f>IF(OR(E5755="",E5755="!!!",F5755="NEW"),"",INDEX(J$1:J5754,SUMPRODUCT(MAX(ROW(E$1:E5754)*(E5755=E$1:E5754)))))</f>
        <v> </v>
      </c>
      <c r="L5755" s="26"/>
    </row>
    <row r="5756" spans="1:12">
      <c r="A5756" s="20" t="s">
        <v>1139</v>
      </c>
      <c r="B5756" s="27" t="s">
        <v>1003</v>
      </c>
      <c r="C5756" s="27" t="s">
        <v>1102</v>
      </c>
      <c r="D5756" s="27" t="s">
        <v>969</v>
      </c>
      <c r="E5756" s="21">
        <f>IF(D5756="?OLD","!!!","")</f>
        <v/>
      </c>
      <c r="F5756" s="22" t="str">
        <f>IF(OR(E5756="",E5756="!!!"),"",IF(NOT(ISNA(VLOOKUP(E5756,E$1:E5755,1,FALSE()))),"OLD",IF(AND(E5756&lt;&gt;"",E5756&lt;&gt;"!!!"),"NEW","")))</f>
        <v> </v>
      </c>
      <c r="G5756" s="23" t="str">
        <f>IF(OR(E5756="",E5756="!!!"),"",IF(OR(J5756=0,AND(J5756=1,K5756=1),AND(J5756=1,I5756="SBJ"),AND(J5756=1,I5756=0)),"?IN_FOCUS",IF(J5756&lt;=2,"?ACTIVATED",IF(J5756&lt;&gt;"","?FAMILIAR",IF(F5756="NEW",IF(ISNA(VLOOKUP(E5756,#REF!,1,FALSE())),"?TYPE_IDENTIFIABLE","?REFERENTIAL"),"_")))))</f>
        <v> </v>
      </c>
      <c r="H5756" s="24" t="str">
        <f>IF(J5756&lt;&gt;1,"",IF(I5756="SBJ","CB","?"))</f>
        <v> </v>
      </c>
      <c r="I5756" s="25" t="str">
        <f>IF(OR(E5756="",E5756="!!!",F5756="NEW"),"",INDEX(B5755:B$2,-1+SUMPRODUCT(MAX(ROW(E5755:E$2)*(E5756=E5755:E$2)))))</f>
        <v> </v>
      </c>
      <c r="J5756" s="25" t="str">
        <f>IF(OR(E5756="",E5756="!!!",F5756="NEW"),"",COUNTBLANK(OFFSET(A$1,,,SUMPRODUCT(MAX(ROW(E$2:E5756)*(E5756=E$2:E5756)))))-COUNTBLANK(OFFSET(A$1,,,SUMPRODUCT(MAX(ROW(E$1:E5755)*(E2=E$1:E5755))))))</f>
        <v> </v>
      </c>
      <c r="K5756" s="25" t="str">
        <f>IF(OR(E5756="",E5756="!!!",F5756="NEW"),"",INDEX(J$1:J5755,SUMPRODUCT(MAX(ROW(E$1:E5755)*(E5756=E$1:E5755)))))</f>
        <v> </v>
      </c>
      <c r="L5756" s="26"/>
    </row>
    <row r="5757" spans="1:12">
      <c r="A5757" s="20" t="s">
        <v>1808</v>
      </c>
      <c r="B5757" s="27" t="s">
        <v>1003</v>
      </c>
      <c r="C5757" s="27" t="s">
        <v>1001</v>
      </c>
      <c r="E5757" s="21">
        <f>IF(D5757="?OLD","!!!","")</f>
        <v/>
      </c>
      <c r="F5757" s="22" t="str">
        <f>IF(OR(E5757="",E5757="!!!"),"",IF(NOT(ISNA(VLOOKUP(E5757,E$1:E5756,1,FALSE()))),"OLD",IF(AND(E5757&lt;&gt;"",E5757&lt;&gt;"!!!"),"NEW","")))</f>
        <v> </v>
      </c>
      <c r="G5757" s="23" t="str">
        <f>IF(OR(E5757="",E5757="!!!"),"",IF(OR(J5757=0,AND(J5757=1,K5757=1),AND(J5757=1,I5757="SBJ"),AND(J5757=1,I5757=0)),"?IN_FOCUS",IF(J5757&lt;=2,"?ACTIVATED",IF(J5757&lt;&gt;"","?FAMILIAR",IF(F5757="NEW",IF(ISNA(VLOOKUP(E5757,#REF!,1,FALSE())),"?TYPE_IDENTIFIABLE","?REFERENTIAL"),"_")))))</f>
        <v> </v>
      </c>
      <c r="H5757" s="24" t="str">
        <f>IF(J5757&lt;&gt;1,"",IF(I5757="SBJ","CB","?"))</f>
        <v> </v>
      </c>
      <c r="I5757" s="25" t="str">
        <f>IF(OR(E5757="",E5757="!!!",F5757="NEW"),"",INDEX(B5756:B$2,-1+SUMPRODUCT(MAX(ROW(E5756:E$2)*(E5757=E5756:E$2)))))</f>
        <v> </v>
      </c>
      <c r="J5757" s="25" t="str">
        <f>IF(OR(E5757="",E5757="!!!",F5757="NEW"),"",COUNTBLANK(OFFSET(A$1,,,SUMPRODUCT(MAX(ROW(E$2:E5757)*(E5757=E$2:E5757)))))-COUNTBLANK(OFFSET(A$1,,,SUMPRODUCT(MAX(ROW(E$1:E5756)*(E2=E$1:E5756))))))</f>
        <v> </v>
      </c>
      <c r="K5757" s="25" t="str">
        <f>IF(OR(E5757="",E5757="!!!",F5757="NEW"),"",INDEX(J$1:J5756,SUMPRODUCT(MAX(ROW(E$1:E5756)*(E5757=E$1:E5756)))))</f>
        <v> </v>
      </c>
      <c r="L5757" s="26"/>
    </row>
    <row r="5758" spans="1:12">
      <c r="A5758" s="20" t="s">
        <v>1896</v>
      </c>
      <c r="B5758" s="27" t="s">
        <v>982</v>
      </c>
      <c r="C5758" s="27" t="s">
        <v>1141</v>
      </c>
      <c r="D5758" s="27" t="s">
        <v>969</v>
      </c>
      <c r="E5758" s="21">
        <f>IF(D5758="?OLD","!!!","")</f>
        <v/>
      </c>
      <c r="F5758" s="22" t="str">
        <f>IF(OR(E5758="",E5758="!!!"),"",IF(NOT(ISNA(VLOOKUP(E5758,E$1:E5757,1,FALSE()))),"OLD",IF(AND(E5758&lt;&gt;"",E5758&lt;&gt;"!!!"),"NEW","")))</f>
        <v> </v>
      </c>
      <c r="G5758" s="23" t="str">
        <f>IF(OR(E5758="",E5758="!!!"),"",IF(OR(J5758=0,AND(J5758=1,K5758=1),AND(J5758=1,I5758="SBJ"),AND(J5758=1,I5758=0)),"?IN_FOCUS",IF(J5758&lt;=2,"?ACTIVATED",IF(J5758&lt;&gt;"","?FAMILIAR",IF(F5758="NEW",IF(ISNA(VLOOKUP(E5758,#REF!,1,FALSE())),"?TYPE_IDENTIFIABLE","?REFERENTIAL"),"_")))))</f>
        <v> </v>
      </c>
      <c r="H5758" s="24" t="str">
        <f>IF(J5758&lt;&gt;1,"",IF(I5758="SBJ","CB","?"))</f>
        <v> </v>
      </c>
      <c r="I5758" s="25" t="str">
        <f>IF(OR(E5758="",E5758="!!!",F5758="NEW"),"",INDEX(B5757:B$2,-1+SUMPRODUCT(MAX(ROW(E5757:E$2)*(E5758=E5757:E$2)))))</f>
        <v> </v>
      </c>
      <c r="J5758" s="25" t="str">
        <f>IF(OR(E5758="",E5758="!!!",F5758="NEW"),"",COUNTBLANK(OFFSET(A$1,,,SUMPRODUCT(MAX(ROW(E$2:E5758)*(E5758=E$2:E5758)))))-COUNTBLANK(OFFSET(A$1,,,SUMPRODUCT(MAX(ROW(E$1:E5757)*(E2=E$1:E5757))))))</f>
        <v> </v>
      </c>
      <c r="K5758" s="25" t="str">
        <f>IF(OR(E5758="",E5758="!!!",F5758="NEW"),"",INDEX(J$1:J5757,SUMPRODUCT(MAX(ROW(E$1:E5757)*(E5758=E$1:E5757)))))</f>
        <v> </v>
      </c>
      <c r="L5758" s="26"/>
    </row>
    <row r="5759" spans="1:12">
      <c r="A5759" s="20" t="s">
        <v>2511</v>
      </c>
      <c r="B5759" s="27" t="s">
        <v>978</v>
      </c>
      <c r="C5759" s="27" t="s">
        <v>1083</v>
      </c>
      <c r="D5759" s="27" t="s">
        <v>969</v>
      </c>
      <c r="E5759" s="21">
        <f>IF(D5759="?OLD","!!!","")</f>
        <v/>
      </c>
      <c r="F5759" s="22" t="str">
        <f>IF(OR(E5759="",E5759="!!!"),"",IF(NOT(ISNA(VLOOKUP(E5759,E$1:E5758,1,FALSE()))),"OLD",IF(AND(E5759&lt;&gt;"",E5759&lt;&gt;"!!!"),"NEW","")))</f>
        <v> </v>
      </c>
      <c r="G5759" s="23" t="str">
        <f>IF(OR(E5759="",E5759="!!!"),"",IF(OR(J5759=0,AND(J5759=1,K5759=1),AND(J5759=1,I5759="SBJ"),AND(J5759=1,I5759=0)),"?IN_FOCUS",IF(J5759&lt;=2,"?ACTIVATED",IF(J5759&lt;&gt;"","?FAMILIAR",IF(F5759="NEW",IF(ISNA(VLOOKUP(E5759,#REF!,1,FALSE())),"?TYPE_IDENTIFIABLE","?REFERENTIAL"),"_")))))</f>
        <v> </v>
      </c>
      <c r="H5759" s="24" t="str">
        <f>IF(J5759&lt;&gt;1,"",IF(I5759="SBJ","CB","?"))</f>
        <v> </v>
      </c>
      <c r="I5759" s="25" t="str">
        <f>IF(OR(E5759="",E5759="!!!",F5759="NEW"),"",INDEX(B5758:B$2,-1+SUMPRODUCT(MAX(ROW(E5758:E$2)*(E5759=E5758:E$2)))))</f>
        <v> </v>
      </c>
      <c r="J5759" s="25" t="str">
        <f>IF(OR(E5759="",E5759="!!!",F5759="NEW"),"",COUNTBLANK(OFFSET(A$1,,,SUMPRODUCT(MAX(ROW(E$2:E5759)*(E5759=E$2:E5759)))))-COUNTBLANK(OFFSET(A$1,,,SUMPRODUCT(MAX(ROW(E$1:E5758)*(E2=E$1:E5758))))))</f>
        <v> </v>
      </c>
      <c r="K5759" s="25" t="str">
        <f>IF(OR(E5759="",E5759="!!!",F5759="NEW"),"",INDEX(J$1:J5758,SUMPRODUCT(MAX(ROW(E$1:E5758)*(E5759=E$1:E5758)))))</f>
        <v> </v>
      </c>
      <c r="L5759" s="26"/>
    </row>
    <row r="5760" spans="1:12">
      <c r="A5760" s="20" t="s">
        <v>2512</v>
      </c>
      <c r="E5760" s="21">
        <f>IF(D5760="?OLD","!!!","")</f>
        <v/>
      </c>
      <c r="F5760" s="22" t="str">
        <f>IF(OR(E5760="",E5760="!!!"),"",IF(NOT(ISNA(VLOOKUP(E5760,E$1:E5759,1,FALSE()))),"OLD",IF(AND(E5760&lt;&gt;"",E5760&lt;&gt;"!!!"),"NEW","")))</f>
        <v> </v>
      </c>
      <c r="G5760" s="23" t="str">
        <f>IF(OR(E5760="",E5760="!!!"),"",IF(OR(J5760=0,AND(J5760=1,K5760=1),AND(J5760=1,I5760="SBJ"),AND(J5760=1,I5760=0)),"?IN_FOCUS",IF(J5760&lt;=2,"?ACTIVATED",IF(J5760&lt;&gt;"","?FAMILIAR",IF(F5760="NEW",IF(ISNA(VLOOKUP(E5760,#REF!,1,FALSE())),"?TYPE_IDENTIFIABLE","?REFERENTIAL"),"_")))))</f>
        <v> </v>
      </c>
      <c r="H5760" s="24" t="str">
        <f>IF(J5760&lt;&gt;1,"",IF(I5760="SBJ","CB","?"))</f>
        <v> </v>
      </c>
      <c r="I5760" s="25" t="str">
        <f>IF(OR(E5760="",E5760="!!!",F5760="NEW"),"",INDEX(B5759:B$2,-1+SUMPRODUCT(MAX(ROW(E5759:E$2)*(E5760=E5759:E$2)))))</f>
        <v> </v>
      </c>
      <c r="J5760" s="25" t="str">
        <f>IF(OR(E5760="",E5760="!!!",F5760="NEW"),"",COUNTBLANK(OFFSET(A$1,,,SUMPRODUCT(MAX(ROW(E$2:E5760)*(E5760=E$2:E5760)))))-COUNTBLANK(OFFSET(A$1,,,SUMPRODUCT(MAX(ROW(E$1:E5759)*(E2=E$1:E5759))))))</f>
        <v> </v>
      </c>
      <c r="K5760" s="25" t="str">
        <f>IF(OR(E5760="",E5760="!!!",F5760="NEW"),"",INDEX(J$1:J5759,SUMPRODUCT(MAX(ROW(E$1:E5759)*(E5760=E$1:E5759)))))</f>
        <v> </v>
      </c>
      <c r="L5760" s="26"/>
    </row>
    <row r="5761" spans="1:12">
      <c r="A5761" s="20" t="s">
        <v>1005</v>
      </c>
      <c r="E5761" s="21">
        <f>IF(D5761="?OLD","!!!","")</f>
        <v/>
      </c>
      <c r="F5761" s="22" t="str">
        <f>IF(OR(E5761="",E5761="!!!"),"",IF(NOT(ISNA(VLOOKUP(E5761,E$1:E5760,1,FALSE()))),"OLD",IF(AND(E5761&lt;&gt;"",E5761&lt;&gt;"!!!"),"NEW","")))</f>
        <v> </v>
      </c>
      <c r="G5761" s="23" t="str">
        <f>IF(OR(E5761="",E5761="!!!"),"",IF(OR(J5761=0,AND(J5761=1,K5761=1),AND(J5761=1,I5761="SBJ"),AND(J5761=1,I5761=0)),"?IN_FOCUS",IF(J5761&lt;=2,"?ACTIVATED",IF(J5761&lt;&gt;"","?FAMILIAR",IF(F5761="NEW",IF(ISNA(VLOOKUP(E5761,#REF!,1,FALSE())),"?TYPE_IDENTIFIABLE","?REFERENTIAL"),"_")))))</f>
        <v> </v>
      </c>
      <c r="H5761" s="24" t="str">
        <f>IF(J5761&lt;&gt;1,"",IF(I5761="SBJ","CB","?"))</f>
        <v> </v>
      </c>
      <c r="I5761" s="25" t="str">
        <f>IF(OR(E5761="",E5761="!!!",F5761="NEW"),"",INDEX(B5760:B$2,-1+SUMPRODUCT(MAX(ROW(E5760:E$2)*(E5761=E5760:E$2)))))</f>
        <v> </v>
      </c>
      <c r="J5761" s="25" t="str">
        <f>IF(OR(E5761="",E5761="!!!",F5761="NEW"),"",COUNTBLANK(OFFSET(A$1,,,SUMPRODUCT(MAX(ROW(E$2:E5761)*(E5761=E$2:E5761)))))-COUNTBLANK(OFFSET(A$1,,,SUMPRODUCT(MAX(ROW(E$1:E5760)*(E2=E$1:E5760))))))</f>
        <v> </v>
      </c>
      <c r="K5761" s="25" t="str">
        <f>IF(OR(E5761="",E5761="!!!",F5761="NEW"),"",INDEX(J$1:J5760,SUMPRODUCT(MAX(ROW(E$1:E5760)*(E5761=E$1:E5760)))))</f>
        <v> </v>
      </c>
      <c r="L5761" s="26"/>
    </row>
    <row r="5762" spans="1:12">
      <c r="A5762" s="20"/>
    </row>
    <row r="5763" spans="1:12">
      <c r="A5763" s="20" t="s">
        <v>2513</v>
      </c>
    </row>
    <row r="5764" spans="1:12">
      <c r="A5764" s="20" t="s">
        <v>1251</v>
      </c>
      <c r="B5764" s="27" t="s">
        <v>967</v>
      </c>
      <c r="C5764" s="27" t="s">
        <v>968</v>
      </c>
      <c r="D5764" s="27" t="s">
        <v>969</v>
      </c>
      <c r="E5764" s="21">
        <f>IF(D5764="?OLD","!!!","")</f>
        <v/>
      </c>
      <c r="F5764" s="22" t="str">
        <f>IF(OR(E5764="",E5764="!!!"),"",IF(NOT(ISNA(VLOOKUP(E5764,E$1:E5763,1,FALSE()))),"OLD",IF(AND(E5764&lt;&gt;"",E5764&lt;&gt;"!!!"),"NEW","")))</f>
        <v> </v>
      </c>
      <c r="G5764" s="23" t="str">
        <f>IF(OR(E5764="",E5764="!!!"),"",IF(OR(J5764=0,AND(J5764=1,K5764=1),AND(J5764=1,I5764="SBJ"),AND(J5764=1,I5764=0)),"?IN_FOCUS",IF(J5764&lt;=2,"?ACTIVATED",IF(J5764&lt;&gt;"","?FAMILIAR",IF(F5764="NEW",IF(ISNA(VLOOKUP(E5764,#REF!,1,FALSE())),"?TYPE_IDENTIFIABLE","?REFERENTIAL"),"_")))))</f>
        <v> </v>
      </c>
      <c r="H5764" s="24" t="str">
        <f>IF(J5764&lt;&gt;1,"",IF(I5764="SBJ","CB","?"))</f>
        <v> </v>
      </c>
      <c r="I5764" s="25" t="str">
        <f>IF(OR(E5764="",E5764="!!!",F5764="NEW"),"",INDEX(B5763:B$2,-1+SUMPRODUCT(MAX(ROW(E5763:E$2)*(E5764=E5763:E$2)))))</f>
        <v> </v>
      </c>
      <c r="J5764" s="25" t="str">
        <f>IF(OR(E5764="",E5764="!!!",F5764="NEW"),"",COUNTBLANK(OFFSET(A$1,,,SUMPRODUCT(MAX(ROW(E$2:E5764)*(E5764=E$2:E5764)))))-COUNTBLANK(OFFSET(A$1,,,SUMPRODUCT(MAX(ROW(E$1:E5763)*(E2=E$1:E5763))))))</f>
        <v> </v>
      </c>
      <c r="K5764" s="25" t="str">
        <f>IF(OR(E5764="",E5764="!!!",F5764="NEW"),"",INDEX(J$1:J5763,SUMPRODUCT(MAX(ROW(E$1:E5763)*(E5764=E$1:E5763)))))</f>
        <v> </v>
      </c>
      <c r="L5764" s="26"/>
    </row>
    <row r="5765" spans="1:12">
      <c r="A5765" s="20" t="s">
        <v>1047</v>
      </c>
      <c r="E5765" s="21">
        <f>IF(D5765="?OLD","!!!","")</f>
        <v/>
      </c>
      <c r="F5765" s="22" t="str">
        <f>IF(OR(E5765="",E5765="!!!"),"",IF(NOT(ISNA(VLOOKUP(E5765,E$1:E5764,1,FALSE()))),"OLD",IF(AND(E5765&lt;&gt;"",E5765&lt;&gt;"!!!"),"NEW","")))</f>
        <v> </v>
      </c>
      <c r="G5765" s="23" t="str">
        <f>IF(OR(E5765="",E5765="!!!"),"",IF(OR(J5765=0,AND(J5765=1,K5765=1),AND(J5765=1,I5765="SBJ"),AND(J5765=1,I5765=0)),"?IN_FOCUS",IF(J5765&lt;=2,"?ACTIVATED",IF(J5765&lt;&gt;"","?FAMILIAR",IF(F5765="NEW",IF(ISNA(VLOOKUP(E5765,#REF!,1,FALSE())),"?TYPE_IDENTIFIABLE","?REFERENTIAL"),"_")))))</f>
        <v> </v>
      </c>
      <c r="H5765" s="24" t="str">
        <f>IF(J5765&lt;&gt;1,"",IF(I5765="SBJ","CB","?"))</f>
        <v> </v>
      </c>
      <c r="I5765" s="25" t="str">
        <f>IF(OR(E5765="",E5765="!!!",F5765="NEW"),"",INDEX(B5764:B$2,-1+SUMPRODUCT(MAX(ROW(E5764:E$2)*(E5765=E5764:E$2)))))</f>
        <v> </v>
      </c>
      <c r="J5765" s="25" t="str">
        <f>IF(OR(E5765="",E5765="!!!",F5765="NEW"),"",COUNTBLANK(OFFSET(A$1,,,SUMPRODUCT(MAX(ROW(E$2:E5765)*(E5765=E$2:E5765)))))-COUNTBLANK(OFFSET(A$1,,,SUMPRODUCT(MAX(ROW(E$1:E5764)*(E2=E$1:E5764))))))</f>
        <v> </v>
      </c>
      <c r="K5765" s="25" t="str">
        <f>IF(OR(E5765="",E5765="!!!",F5765="NEW"),"",INDEX(J$1:J5764,SUMPRODUCT(MAX(ROW(E$1:E5764)*(E5765=E$1:E5764)))))</f>
        <v> </v>
      </c>
      <c r="L5765" s="26"/>
    </row>
    <row r="5766" spans="1:12">
      <c r="A5766" s="20" t="s">
        <v>1305</v>
      </c>
      <c r="E5766" s="21">
        <f>IF(D5766="?OLD","!!!","")</f>
        <v/>
      </c>
      <c r="F5766" s="22" t="str">
        <f>IF(OR(E5766="",E5766="!!!"),"",IF(NOT(ISNA(VLOOKUP(E5766,E$1:E5765,1,FALSE()))),"OLD",IF(AND(E5766&lt;&gt;"",E5766&lt;&gt;"!!!"),"NEW","")))</f>
        <v> </v>
      </c>
      <c r="G5766" s="23" t="str">
        <f>IF(OR(E5766="",E5766="!!!"),"",IF(OR(J5766=0,AND(J5766=1,K5766=1),AND(J5766=1,I5766="SBJ"),AND(J5766=1,I5766=0)),"?IN_FOCUS",IF(J5766&lt;=2,"?ACTIVATED",IF(J5766&lt;&gt;"","?FAMILIAR",IF(F5766="NEW",IF(ISNA(VLOOKUP(E5766,#REF!,1,FALSE())),"?TYPE_IDENTIFIABLE","?REFERENTIAL"),"_")))))</f>
        <v> </v>
      </c>
      <c r="H5766" s="24" t="str">
        <f>IF(J5766&lt;&gt;1,"",IF(I5766="SBJ","CB","?"))</f>
        <v> </v>
      </c>
      <c r="I5766" s="25" t="str">
        <f>IF(OR(E5766="",E5766="!!!",F5766="NEW"),"",INDEX(B5765:B$2,-1+SUMPRODUCT(MAX(ROW(E5765:E$2)*(E5766=E5765:E$2)))))</f>
        <v> </v>
      </c>
      <c r="J5766" s="25" t="str">
        <f>IF(OR(E5766="",E5766="!!!",F5766="NEW"),"",COUNTBLANK(OFFSET(A$1,,,SUMPRODUCT(MAX(ROW(E$2:E5766)*(E5766=E$2:E5766)))))-COUNTBLANK(OFFSET(A$1,,,SUMPRODUCT(MAX(ROW(E$1:E5765)*(E2=E$1:E5765))))))</f>
        <v> </v>
      </c>
      <c r="K5766" s="25" t="str">
        <f>IF(OR(E5766="",E5766="!!!",F5766="NEW"),"",INDEX(J$1:J5765,SUMPRODUCT(MAX(ROW(E$1:E5765)*(E5766=E$1:E5765)))))</f>
        <v> </v>
      </c>
      <c r="L5766" s="26"/>
    </row>
    <row r="5767" spans="1:12">
      <c r="A5767" s="20" t="s">
        <v>1016</v>
      </c>
      <c r="E5767" s="21">
        <f>IF(D5767="?OLD","!!!","")</f>
        <v/>
      </c>
      <c r="F5767" s="22" t="str">
        <f>IF(OR(E5767="",E5767="!!!"),"",IF(NOT(ISNA(VLOOKUP(E5767,E$1:E5766,1,FALSE()))),"OLD",IF(AND(E5767&lt;&gt;"",E5767&lt;&gt;"!!!"),"NEW","")))</f>
        <v> </v>
      </c>
      <c r="G5767" s="23" t="str">
        <f>IF(OR(E5767="",E5767="!!!"),"",IF(OR(J5767=0,AND(J5767=1,K5767=1),AND(J5767=1,I5767="SBJ"),AND(J5767=1,I5767=0)),"?IN_FOCUS",IF(J5767&lt;=2,"?ACTIVATED",IF(J5767&lt;&gt;"","?FAMILIAR",IF(F5767="NEW",IF(ISNA(VLOOKUP(E5767,#REF!,1,FALSE())),"?TYPE_IDENTIFIABLE","?REFERENTIAL"),"_")))))</f>
        <v> </v>
      </c>
      <c r="H5767" s="24" t="str">
        <f>IF(J5767&lt;&gt;1,"",IF(I5767="SBJ","CB","?"))</f>
        <v> </v>
      </c>
      <c r="I5767" s="25" t="str">
        <f>IF(OR(E5767="",E5767="!!!",F5767="NEW"),"",INDEX(B5766:B$2,-1+SUMPRODUCT(MAX(ROW(E5766:E$2)*(E5767=E5766:E$2)))))</f>
        <v> </v>
      </c>
      <c r="J5767" s="25" t="str">
        <f>IF(OR(E5767="",E5767="!!!",F5767="NEW"),"",COUNTBLANK(OFFSET(A$1,,,SUMPRODUCT(MAX(ROW(E$2:E5767)*(E5767=E$2:E5767)))))-COUNTBLANK(OFFSET(A$1,,,SUMPRODUCT(MAX(ROW(E$1:E5766)*(E2=E$1:E5766))))))</f>
        <v> </v>
      </c>
      <c r="K5767" s="25" t="str">
        <f>IF(OR(E5767="",E5767="!!!",F5767="NEW"),"",INDEX(J$1:J5766,SUMPRODUCT(MAX(ROW(E$1:E5766)*(E5767=E$1:E5766)))))</f>
        <v> </v>
      </c>
      <c r="L5767" s="26"/>
    </row>
    <row r="5768" spans="1:12">
      <c r="A5768" s="20" t="s">
        <v>2514</v>
      </c>
      <c r="B5768" s="27" t="s">
        <v>1053</v>
      </c>
      <c r="C5768" s="27" t="s">
        <v>1018</v>
      </c>
      <c r="E5768" s="21">
        <f>IF(D5768="?OLD","!!!","")</f>
        <v/>
      </c>
      <c r="F5768" s="22" t="str">
        <f>IF(OR(E5768="",E5768="!!!"),"",IF(NOT(ISNA(VLOOKUP(E5768,E$1:E5767,1,FALSE()))),"OLD",IF(AND(E5768&lt;&gt;"",E5768&lt;&gt;"!!!"),"NEW","")))</f>
        <v> </v>
      </c>
      <c r="G5768" s="23" t="str">
        <f>IF(OR(E5768="",E5768="!!!"),"",IF(OR(J5768=0,AND(J5768=1,K5768=1),AND(J5768=1,I5768="SBJ"),AND(J5768=1,I5768=0)),"?IN_FOCUS",IF(J5768&lt;=2,"?ACTIVATED",IF(J5768&lt;&gt;"","?FAMILIAR",IF(F5768="NEW",IF(ISNA(VLOOKUP(E5768,#REF!,1,FALSE())),"?TYPE_IDENTIFIABLE","?REFERENTIAL"),"_")))))</f>
        <v> </v>
      </c>
      <c r="H5768" s="24" t="str">
        <f>IF(J5768&lt;&gt;1,"",IF(I5768="SBJ","CB","?"))</f>
        <v> </v>
      </c>
      <c r="I5768" s="25" t="str">
        <f>IF(OR(E5768="",E5768="!!!",F5768="NEW"),"",INDEX(B5767:B$2,-1+SUMPRODUCT(MAX(ROW(E5767:E$2)*(E5768=E5767:E$2)))))</f>
        <v> </v>
      </c>
      <c r="J5768" s="25" t="str">
        <f>IF(OR(E5768="",E5768="!!!",F5768="NEW"),"",COUNTBLANK(OFFSET(A$1,,,SUMPRODUCT(MAX(ROW(E$2:E5768)*(E5768=E$2:E5768)))))-COUNTBLANK(OFFSET(A$1,,,SUMPRODUCT(MAX(ROW(E$1:E5767)*(E2=E$1:E5767))))))</f>
        <v> </v>
      </c>
      <c r="K5768" s="25" t="str">
        <f>IF(OR(E5768="",E5768="!!!",F5768="NEW"),"",INDEX(J$1:J5767,SUMPRODUCT(MAX(ROW(E$1:E5767)*(E5768=E$1:E5767)))))</f>
        <v> </v>
      </c>
      <c r="L5768" s="26"/>
    </row>
    <row r="5769" spans="1:12">
      <c r="A5769" s="20" t="s">
        <v>991</v>
      </c>
      <c r="E5769" s="21">
        <f>IF(D5769="?OLD","!!!","")</f>
        <v/>
      </c>
      <c r="F5769" s="22" t="str">
        <f>IF(OR(E5769="",E5769="!!!"),"",IF(NOT(ISNA(VLOOKUP(E5769,E$1:E5768,1,FALSE()))),"OLD",IF(AND(E5769&lt;&gt;"",E5769&lt;&gt;"!!!"),"NEW","")))</f>
        <v> </v>
      </c>
      <c r="G5769" s="23" t="str">
        <f>IF(OR(E5769="",E5769="!!!"),"",IF(OR(J5769=0,AND(J5769=1,K5769=1),AND(J5769=1,I5769="SBJ"),AND(J5769=1,I5769=0)),"?IN_FOCUS",IF(J5769&lt;=2,"?ACTIVATED",IF(J5769&lt;&gt;"","?FAMILIAR",IF(F5769="NEW",IF(ISNA(VLOOKUP(E5769,#REF!,1,FALSE())),"?TYPE_IDENTIFIABLE","?REFERENTIAL"),"_")))))</f>
        <v> </v>
      </c>
      <c r="H5769" s="24" t="str">
        <f>IF(J5769&lt;&gt;1,"",IF(I5769="SBJ","CB","?"))</f>
        <v> </v>
      </c>
      <c r="I5769" s="25" t="str">
        <f>IF(OR(E5769="",E5769="!!!",F5769="NEW"),"",INDEX(B5768:B$2,-1+SUMPRODUCT(MAX(ROW(E5768:E$2)*(E5769=E5768:E$2)))))</f>
        <v> </v>
      </c>
      <c r="J5769" s="25" t="str">
        <f>IF(OR(E5769="",E5769="!!!",F5769="NEW"),"",COUNTBLANK(OFFSET(A$1,,,SUMPRODUCT(MAX(ROW(E$2:E5769)*(E5769=E$2:E5769)))))-COUNTBLANK(OFFSET(A$1,,,SUMPRODUCT(MAX(ROW(E$1:E5768)*(E2=E$1:E5768))))))</f>
        <v> </v>
      </c>
      <c r="K5769" s="25" t="str">
        <f>IF(OR(E5769="",E5769="!!!",F5769="NEW"),"",INDEX(J$1:J5768,SUMPRODUCT(MAX(ROW(E$1:E5768)*(E5769=E$1:E5768)))))</f>
        <v> </v>
      </c>
      <c r="L5769" s="26"/>
    </row>
    <row r="5770" spans="1:12">
      <c r="A5770" s="20" t="s">
        <v>1999</v>
      </c>
      <c r="E5770" s="21">
        <f>IF(D5770="?OLD","!!!","")</f>
        <v/>
      </c>
      <c r="F5770" s="22" t="str">
        <f>IF(OR(E5770="",E5770="!!!"),"",IF(NOT(ISNA(VLOOKUP(E5770,E$1:E5769,1,FALSE()))),"OLD",IF(AND(E5770&lt;&gt;"",E5770&lt;&gt;"!!!"),"NEW","")))</f>
        <v> </v>
      </c>
      <c r="G5770" s="23" t="str">
        <f>IF(OR(E5770="",E5770="!!!"),"",IF(OR(J5770=0,AND(J5770=1,K5770=1),AND(J5770=1,I5770="SBJ"),AND(J5770=1,I5770=0)),"?IN_FOCUS",IF(J5770&lt;=2,"?ACTIVATED",IF(J5770&lt;&gt;"","?FAMILIAR",IF(F5770="NEW",IF(ISNA(VLOOKUP(E5770,#REF!,1,FALSE())),"?TYPE_IDENTIFIABLE","?REFERENTIAL"),"_")))))</f>
        <v> </v>
      </c>
      <c r="H5770" s="24" t="str">
        <f>IF(J5770&lt;&gt;1,"",IF(I5770="SBJ","CB","?"))</f>
        <v> </v>
      </c>
      <c r="I5770" s="25" t="str">
        <f>IF(OR(E5770="",E5770="!!!",F5770="NEW"),"",INDEX(B5769:B$2,-1+SUMPRODUCT(MAX(ROW(E5769:E$2)*(E5770=E5769:E$2)))))</f>
        <v> </v>
      </c>
      <c r="J5770" s="25" t="str">
        <f>IF(OR(E5770="",E5770="!!!",F5770="NEW"),"",COUNTBLANK(OFFSET(A$1,,,SUMPRODUCT(MAX(ROW(E$2:E5770)*(E5770=E$2:E5770)))))-COUNTBLANK(OFFSET(A$1,,,SUMPRODUCT(MAX(ROW(E$1:E5769)*(E2=E$1:E5769))))))</f>
        <v> </v>
      </c>
      <c r="K5770" s="25" t="str">
        <f>IF(OR(E5770="",E5770="!!!",F5770="NEW"),"",INDEX(J$1:J5769,SUMPRODUCT(MAX(ROW(E$1:E5769)*(E5770=E$1:E5769)))))</f>
        <v> </v>
      </c>
      <c r="L5770" s="26"/>
    </row>
    <row r="5771" spans="1:12">
      <c r="A5771" s="20" t="s">
        <v>993</v>
      </c>
      <c r="B5771" s="27" t="s">
        <v>1010</v>
      </c>
      <c r="C5771" s="27" t="s">
        <v>968</v>
      </c>
      <c r="D5771" s="27" t="s">
        <v>969</v>
      </c>
      <c r="E5771" s="21">
        <f>IF(D5771="?OLD","!!!","")</f>
        <v/>
      </c>
      <c r="F5771" s="22" t="str">
        <f>IF(OR(E5771="",E5771="!!!"),"",IF(NOT(ISNA(VLOOKUP(E5771,E$1:E5770,1,FALSE()))),"OLD",IF(AND(E5771&lt;&gt;"",E5771&lt;&gt;"!!!"),"NEW","")))</f>
        <v> </v>
      </c>
      <c r="G5771" s="23" t="str">
        <f>IF(OR(E5771="",E5771="!!!"),"",IF(OR(J5771=0,AND(J5771=1,K5771=1),AND(J5771=1,I5771="SBJ"),AND(J5771=1,I5771=0)),"?IN_FOCUS",IF(J5771&lt;=2,"?ACTIVATED",IF(J5771&lt;&gt;"","?FAMILIAR",IF(F5771="NEW",IF(ISNA(VLOOKUP(E5771,#REF!,1,FALSE())),"?TYPE_IDENTIFIABLE","?REFERENTIAL"),"_")))))</f>
        <v> </v>
      </c>
      <c r="H5771" s="24" t="str">
        <f>IF(J5771&lt;&gt;1,"",IF(I5771="SBJ","CB","?"))</f>
        <v> </v>
      </c>
      <c r="I5771" s="25" t="str">
        <f>IF(OR(E5771="",E5771="!!!",F5771="NEW"),"",INDEX(B5770:B$2,-1+SUMPRODUCT(MAX(ROW(E5770:E$2)*(E5771=E5770:E$2)))))</f>
        <v> </v>
      </c>
      <c r="J5771" s="25" t="str">
        <f>IF(OR(E5771="",E5771="!!!",F5771="NEW"),"",COUNTBLANK(OFFSET(A$1,,,SUMPRODUCT(MAX(ROW(E$2:E5771)*(E5771=E$2:E5771)))))-COUNTBLANK(OFFSET(A$1,,,SUMPRODUCT(MAX(ROW(E$1:E5770)*(E2=E$1:E5770))))))</f>
        <v> </v>
      </c>
      <c r="K5771" s="25" t="str">
        <f>IF(OR(E5771="",E5771="!!!",F5771="NEW"),"",INDEX(J$1:J5770,SUMPRODUCT(MAX(ROW(E$1:E5770)*(E5771=E$1:E5770)))))</f>
        <v> </v>
      </c>
      <c r="L5771" s="26"/>
    </row>
    <row r="5772" spans="1:12">
      <c r="A5772" s="20" t="s">
        <v>1844</v>
      </c>
      <c r="B5772" s="27" t="s">
        <v>982</v>
      </c>
      <c r="C5772" s="27" t="s">
        <v>1011</v>
      </c>
      <c r="D5772" s="27" t="s">
        <v>969</v>
      </c>
      <c r="E5772" s="21">
        <f>IF(D5772="?OLD","!!!","")</f>
        <v/>
      </c>
      <c r="F5772" s="22" t="str">
        <f>IF(OR(E5772="",E5772="!!!"),"",IF(NOT(ISNA(VLOOKUP(E5772,E$1:E5771,1,FALSE()))),"OLD",IF(AND(E5772&lt;&gt;"",E5772&lt;&gt;"!!!"),"NEW","")))</f>
        <v> </v>
      </c>
      <c r="G5772" s="23" t="str">
        <f>IF(OR(E5772="",E5772="!!!"),"",IF(OR(J5772=0,AND(J5772=1,K5772=1),AND(J5772=1,I5772="SBJ"),AND(J5772=1,I5772=0)),"?IN_FOCUS",IF(J5772&lt;=2,"?ACTIVATED",IF(J5772&lt;&gt;"","?FAMILIAR",IF(F5772="NEW",IF(ISNA(VLOOKUP(E5772,#REF!,1,FALSE())),"?TYPE_IDENTIFIABLE","?REFERENTIAL"),"_")))))</f>
        <v> </v>
      </c>
      <c r="H5772" s="24" t="str">
        <f>IF(J5772&lt;&gt;1,"",IF(I5772="SBJ","CB","?"))</f>
        <v> </v>
      </c>
      <c r="I5772" s="25" t="str">
        <f>IF(OR(E5772="",E5772="!!!",F5772="NEW"),"",INDEX(B5771:B$2,-1+SUMPRODUCT(MAX(ROW(E5771:E$2)*(E5772=E5771:E$2)))))</f>
        <v> </v>
      </c>
      <c r="J5772" s="25" t="str">
        <f>IF(OR(E5772="",E5772="!!!",F5772="NEW"),"",COUNTBLANK(OFFSET(A$1,,,SUMPRODUCT(MAX(ROW(E$2:E5772)*(E5772=E$2:E5772)))))-COUNTBLANK(OFFSET(A$1,,,SUMPRODUCT(MAX(ROW(E$1:E5771)*(E2=E$1:E5771))))))</f>
        <v> </v>
      </c>
      <c r="K5772" s="25" t="str">
        <f>IF(OR(E5772="",E5772="!!!",F5772="NEW"),"",INDEX(J$1:J5771,SUMPRODUCT(MAX(ROW(E$1:E5771)*(E5772=E$1:E5771)))))</f>
        <v> </v>
      </c>
      <c r="L5772" s="26"/>
    </row>
    <row r="5773" spans="1:12">
      <c r="A5773" s="20" t="s">
        <v>2504</v>
      </c>
      <c r="B5773" s="27" t="s">
        <v>1013</v>
      </c>
      <c r="C5773" s="27" t="s">
        <v>1123</v>
      </c>
      <c r="E5773" s="21">
        <f>IF(D5773="?OLD","!!!","")</f>
        <v/>
      </c>
      <c r="F5773" s="22" t="str">
        <f>IF(OR(E5773="",E5773="!!!"),"",IF(NOT(ISNA(VLOOKUP(E5773,E$1:E5772,1,FALSE()))),"OLD",IF(AND(E5773&lt;&gt;"",E5773&lt;&gt;"!!!"),"NEW","")))</f>
        <v> </v>
      </c>
      <c r="G5773" s="23" t="str">
        <f>IF(OR(E5773="",E5773="!!!"),"",IF(OR(J5773=0,AND(J5773=1,K5773=1),AND(J5773=1,I5773="SBJ"),AND(J5773=1,I5773=0)),"?IN_FOCUS",IF(J5773&lt;=2,"?ACTIVATED",IF(J5773&lt;&gt;"","?FAMILIAR",IF(F5773="NEW",IF(ISNA(VLOOKUP(E5773,#REF!,1,FALSE())),"?TYPE_IDENTIFIABLE","?REFERENTIAL"),"_")))))</f>
        <v> </v>
      </c>
      <c r="H5773" s="24" t="str">
        <f>IF(J5773&lt;&gt;1,"",IF(I5773="SBJ","CB","?"))</f>
        <v> </v>
      </c>
      <c r="I5773" s="25" t="str">
        <f>IF(OR(E5773="",E5773="!!!",F5773="NEW"),"",INDEX(B5772:B$2,-1+SUMPRODUCT(MAX(ROW(E5772:E$2)*(E5773=E5772:E$2)))))</f>
        <v> </v>
      </c>
      <c r="J5773" s="25" t="str">
        <f>IF(OR(E5773="",E5773="!!!",F5773="NEW"),"",COUNTBLANK(OFFSET(A$1,,,SUMPRODUCT(MAX(ROW(E$2:E5773)*(E5773=E$2:E5773)))))-COUNTBLANK(OFFSET(A$1,,,SUMPRODUCT(MAX(ROW(E$1:E5772)*(E2=E$1:E5772))))))</f>
        <v> </v>
      </c>
      <c r="K5773" s="25" t="str">
        <f>IF(OR(E5773="",E5773="!!!",F5773="NEW"),"",INDEX(J$1:J5772,SUMPRODUCT(MAX(ROW(E$1:E5772)*(E5773=E$1:E5772)))))</f>
        <v> </v>
      </c>
      <c r="L5773" s="26"/>
    </row>
    <row r="5774" spans="1:12">
      <c r="A5774" s="20" t="s">
        <v>1278</v>
      </c>
      <c r="E5774" s="21">
        <f>IF(D5774="?OLD","!!!","")</f>
        <v/>
      </c>
      <c r="F5774" s="22" t="str">
        <f>IF(OR(E5774="",E5774="!!!"),"",IF(NOT(ISNA(VLOOKUP(E5774,E$1:E5773,1,FALSE()))),"OLD",IF(AND(E5774&lt;&gt;"",E5774&lt;&gt;"!!!"),"NEW","")))</f>
        <v> </v>
      </c>
      <c r="G5774" s="23" t="str">
        <f>IF(OR(E5774="",E5774="!!!"),"",IF(OR(J5774=0,AND(J5774=1,K5774=1),AND(J5774=1,I5774="SBJ"),AND(J5774=1,I5774=0)),"?IN_FOCUS",IF(J5774&lt;=2,"?ACTIVATED",IF(J5774&lt;&gt;"","?FAMILIAR",IF(F5774="NEW",IF(ISNA(VLOOKUP(E5774,#REF!,1,FALSE())),"?TYPE_IDENTIFIABLE","?REFERENTIAL"),"_")))))</f>
        <v> </v>
      </c>
      <c r="H5774" s="24" t="str">
        <f>IF(J5774&lt;&gt;1,"",IF(I5774="SBJ","CB","?"))</f>
        <v> </v>
      </c>
      <c r="I5774" s="25" t="str">
        <f>IF(OR(E5774="",E5774="!!!",F5774="NEW"),"",INDEX(B5773:B$2,-1+SUMPRODUCT(MAX(ROW(E5773:E$2)*(E5774=E5773:E$2)))))</f>
        <v> </v>
      </c>
      <c r="J5774" s="25" t="str">
        <f>IF(OR(E5774="",E5774="!!!",F5774="NEW"),"",COUNTBLANK(OFFSET(A$1,,,SUMPRODUCT(MAX(ROW(E$2:E5774)*(E5774=E$2:E5774)))))-COUNTBLANK(OFFSET(A$1,,,SUMPRODUCT(MAX(ROW(E$1:E5773)*(E2=E$1:E5773))))))</f>
        <v> </v>
      </c>
      <c r="K5774" s="25" t="str">
        <f>IF(OR(E5774="",E5774="!!!",F5774="NEW"),"",INDEX(J$1:J5773,SUMPRODUCT(MAX(ROW(E$1:E5773)*(E5774=E$1:E5773)))))</f>
        <v> </v>
      </c>
      <c r="L5774" s="26"/>
    </row>
    <row r="5775" spans="1:12">
      <c r="A5775" s="20" t="s">
        <v>980</v>
      </c>
      <c r="E5775" s="21">
        <f>IF(D5775="?OLD","!!!","")</f>
        <v/>
      </c>
      <c r="F5775" s="22" t="str">
        <f>IF(OR(E5775="",E5775="!!!"),"",IF(NOT(ISNA(VLOOKUP(E5775,E$1:E5774,1,FALSE()))),"OLD",IF(AND(E5775&lt;&gt;"",E5775&lt;&gt;"!!!"),"NEW","")))</f>
        <v> </v>
      </c>
      <c r="G5775" s="23" t="str">
        <f>IF(OR(E5775="",E5775="!!!"),"",IF(OR(J5775=0,AND(J5775=1,K5775=1),AND(J5775=1,I5775="SBJ"),AND(J5775=1,I5775=0)),"?IN_FOCUS",IF(J5775&lt;=2,"?ACTIVATED",IF(J5775&lt;&gt;"","?FAMILIAR",IF(F5775="NEW",IF(ISNA(VLOOKUP(E5775,#REF!,1,FALSE())),"?TYPE_IDENTIFIABLE","?REFERENTIAL"),"_")))))</f>
        <v> </v>
      </c>
      <c r="H5775" s="24" t="str">
        <f>IF(J5775&lt;&gt;1,"",IF(I5775="SBJ","CB","?"))</f>
        <v> </v>
      </c>
      <c r="I5775" s="25" t="str">
        <f>IF(OR(E5775="",E5775="!!!",F5775="NEW"),"",INDEX(B5774:B$2,-1+SUMPRODUCT(MAX(ROW(E5774:E$2)*(E5775=E5774:E$2)))))</f>
        <v> </v>
      </c>
      <c r="J5775" s="25" t="str">
        <f>IF(OR(E5775="",E5775="!!!",F5775="NEW"),"",COUNTBLANK(OFFSET(A$1,,,SUMPRODUCT(MAX(ROW(E$2:E5775)*(E5775=E$2:E5775)))))-COUNTBLANK(OFFSET(A$1,,,SUMPRODUCT(MAX(ROW(E$1:E5774)*(E2=E$1:E5774))))))</f>
        <v> </v>
      </c>
      <c r="K5775" s="25" t="str">
        <f>IF(OR(E5775="",E5775="!!!",F5775="NEW"),"",INDEX(J$1:J5774,SUMPRODUCT(MAX(ROW(E$1:E5774)*(E5775=E$1:E5774)))))</f>
        <v> </v>
      </c>
      <c r="L5775" s="26"/>
    </row>
    <row r="5776" spans="1:12">
      <c r="A5776" s="20" t="s">
        <v>1021</v>
      </c>
      <c r="E5776" s="21">
        <f>IF(D5776="?OLD","!!!","")</f>
        <v/>
      </c>
      <c r="F5776" s="22" t="str">
        <f>IF(OR(E5776="",E5776="!!!"),"",IF(NOT(ISNA(VLOOKUP(E5776,E$1:E5775,1,FALSE()))),"OLD",IF(AND(E5776&lt;&gt;"",E5776&lt;&gt;"!!!"),"NEW","")))</f>
        <v> </v>
      </c>
      <c r="G5776" s="23" t="str">
        <f>IF(OR(E5776="",E5776="!!!"),"",IF(OR(J5776=0,AND(J5776=1,K5776=1),AND(J5776=1,I5776="SBJ"),AND(J5776=1,I5776=0)),"?IN_FOCUS",IF(J5776&lt;=2,"?ACTIVATED",IF(J5776&lt;&gt;"","?FAMILIAR",IF(F5776="NEW",IF(ISNA(VLOOKUP(E5776,#REF!,1,FALSE())),"?TYPE_IDENTIFIABLE","?REFERENTIAL"),"_")))))</f>
        <v> </v>
      </c>
      <c r="H5776" s="24" t="str">
        <f>IF(J5776&lt;&gt;1,"",IF(I5776="SBJ","CB","?"))</f>
        <v> </v>
      </c>
      <c r="I5776" s="25" t="str">
        <f>IF(OR(E5776="",E5776="!!!",F5776="NEW"),"",INDEX(B5775:B$2,-1+SUMPRODUCT(MAX(ROW(E5775:E$2)*(E5776=E5775:E$2)))))</f>
        <v> </v>
      </c>
      <c r="J5776" s="25" t="str">
        <f>IF(OR(E5776="",E5776="!!!",F5776="NEW"),"",COUNTBLANK(OFFSET(A$1,,,SUMPRODUCT(MAX(ROW(E$2:E5776)*(E5776=E$2:E5776)))))-COUNTBLANK(OFFSET(A$1,,,SUMPRODUCT(MAX(ROW(E$1:E5775)*(E2=E$1:E5775))))))</f>
        <v> </v>
      </c>
      <c r="K5776" s="25" t="str">
        <f>IF(OR(E5776="",E5776="!!!",F5776="NEW"),"",INDEX(J$1:J5775,SUMPRODUCT(MAX(ROW(E$1:E5775)*(E5776=E$1:E5775)))))</f>
        <v> </v>
      </c>
      <c r="L5776" s="26"/>
    </row>
    <row r="5777" spans="1:12">
      <c r="A5777" s="20" t="s">
        <v>49</v>
      </c>
      <c r="E5777" s="21">
        <f>IF(D5777="?OLD","!!!","")</f>
        <v/>
      </c>
      <c r="F5777" s="22" t="str">
        <f>IF(OR(E5777="",E5777="!!!"),"",IF(NOT(ISNA(VLOOKUP(E5777,E$1:E5776,1,FALSE()))),"OLD",IF(AND(E5777&lt;&gt;"",E5777&lt;&gt;"!!!"),"NEW","")))</f>
        <v> </v>
      </c>
      <c r="G5777" s="23" t="str">
        <f>IF(OR(E5777="",E5777="!!!"),"",IF(OR(J5777=0,AND(J5777=1,K5777=1),AND(J5777=1,I5777="SBJ"),AND(J5777=1,I5777=0)),"?IN_FOCUS",IF(J5777&lt;=2,"?ACTIVATED",IF(J5777&lt;&gt;"","?FAMILIAR",IF(F5777="NEW",IF(ISNA(VLOOKUP(E5777,#REF!,1,FALSE())),"?TYPE_IDENTIFIABLE","?REFERENTIAL"),"_")))))</f>
        <v> </v>
      </c>
      <c r="H5777" s="24" t="str">
        <f>IF(J5777&lt;&gt;1,"",IF(I5777="SBJ","CB","?"))</f>
        <v> </v>
      </c>
      <c r="I5777" s="25" t="str">
        <f>IF(OR(E5777="",E5777="!!!",F5777="NEW"),"",INDEX(B5776:B$2,-1+SUMPRODUCT(MAX(ROW(E5776:E$2)*(E5777=E5776:E$2)))))</f>
        <v> </v>
      </c>
      <c r="J5777" s="25" t="str">
        <f>IF(OR(E5777="",E5777="!!!",F5777="NEW"),"",COUNTBLANK(OFFSET(A$1,,,SUMPRODUCT(MAX(ROW(E$2:E5777)*(E5777=E$2:E5777)))))-COUNTBLANK(OFFSET(A$1,,,SUMPRODUCT(MAX(ROW(E$1:E5776)*(E2=E$1:E5776))))))</f>
        <v> </v>
      </c>
      <c r="K5777" s="25" t="str">
        <f>IF(OR(E5777="",E5777="!!!",F5777="NEW"),"",INDEX(J$1:J5776,SUMPRODUCT(MAX(ROW(E$1:E5776)*(E5777=E$1:E5776)))))</f>
        <v> </v>
      </c>
      <c r="L5777" s="26"/>
    </row>
    <row r="5778" spans="1:12">
      <c r="A5778" s="20" t="s">
        <v>1113</v>
      </c>
      <c r="E5778" s="21">
        <f>IF(D5778="?OLD","!!!","")</f>
        <v/>
      </c>
      <c r="F5778" s="22" t="str">
        <f>IF(OR(E5778="",E5778="!!!"),"",IF(NOT(ISNA(VLOOKUP(E5778,E$1:E5777,1,FALSE()))),"OLD",IF(AND(E5778&lt;&gt;"",E5778&lt;&gt;"!!!"),"NEW","")))</f>
        <v> </v>
      </c>
      <c r="G5778" s="23" t="str">
        <f>IF(OR(E5778="",E5778="!!!"),"",IF(OR(J5778=0,AND(J5778=1,K5778=1),AND(J5778=1,I5778="SBJ"),AND(J5778=1,I5778=0)),"?IN_FOCUS",IF(J5778&lt;=2,"?ACTIVATED",IF(J5778&lt;&gt;"","?FAMILIAR",IF(F5778="NEW",IF(ISNA(VLOOKUP(E5778,#REF!,1,FALSE())),"?TYPE_IDENTIFIABLE","?REFERENTIAL"),"_")))))</f>
        <v> </v>
      </c>
      <c r="H5778" s="24" t="str">
        <f>IF(J5778&lt;&gt;1,"",IF(I5778="SBJ","CB","?"))</f>
        <v> </v>
      </c>
      <c r="I5778" s="25" t="str">
        <f>IF(OR(E5778="",E5778="!!!",F5778="NEW"),"",INDEX(B5777:B$2,-1+SUMPRODUCT(MAX(ROW(E5777:E$2)*(E5778=E5777:E$2)))))</f>
        <v> </v>
      </c>
      <c r="J5778" s="25" t="str">
        <f>IF(OR(E5778="",E5778="!!!",F5778="NEW"),"",COUNTBLANK(OFFSET(A$1,,,SUMPRODUCT(MAX(ROW(E$2:E5778)*(E5778=E$2:E5778)))))-COUNTBLANK(OFFSET(A$1,,,SUMPRODUCT(MAX(ROW(E$1:E5777)*(E2=E$1:E5777))))))</f>
        <v> </v>
      </c>
      <c r="K5778" s="25" t="str">
        <f>IF(OR(E5778="",E5778="!!!",F5778="NEW"),"",INDEX(J$1:J5777,SUMPRODUCT(MAX(ROW(E$1:E5777)*(E5778=E$1:E5777)))))</f>
        <v> </v>
      </c>
      <c r="L5778" s="26"/>
    </row>
    <row r="5779" spans="1:12">
      <c r="A5779" s="20" t="s">
        <v>991</v>
      </c>
      <c r="E5779" s="21">
        <f>IF(D5779="?OLD","!!!","")</f>
        <v/>
      </c>
      <c r="F5779" s="22" t="str">
        <f>IF(OR(E5779="",E5779="!!!"),"",IF(NOT(ISNA(VLOOKUP(E5779,E$1:E5778,1,FALSE()))),"OLD",IF(AND(E5779&lt;&gt;"",E5779&lt;&gt;"!!!"),"NEW","")))</f>
        <v> </v>
      </c>
      <c r="G5779" s="23" t="str">
        <f>IF(OR(E5779="",E5779="!!!"),"",IF(OR(J5779=0,AND(J5779=1,K5779=1),AND(J5779=1,I5779="SBJ"),AND(J5779=1,I5779=0)),"?IN_FOCUS",IF(J5779&lt;=2,"?ACTIVATED",IF(J5779&lt;&gt;"","?FAMILIAR",IF(F5779="NEW",IF(ISNA(VLOOKUP(E5779,#REF!,1,FALSE())),"?TYPE_IDENTIFIABLE","?REFERENTIAL"),"_")))))</f>
        <v> </v>
      </c>
      <c r="H5779" s="24" t="str">
        <f>IF(J5779&lt;&gt;1,"",IF(I5779="SBJ","CB","?"))</f>
        <v> </v>
      </c>
      <c r="I5779" s="25" t="str">
        <f>IF(OR(E5779="",E5779="!!!",F5779="NEW"),"",INDEX(B5778:B$2,-1+SUMPRODUCT(MAX(ROW(E5778:E$2)*(E5779=E5778:E$2)))))</f>
        <v> </v>
      </c>
      <c r="J5779" s="25" t="str">
        <f>IF(OR(E5779="",E5779="!!!",F5779="NEW"),"",COUNTBLANK(OFFSET(A$1,,,SUMPRODUCT(MAX(ROW(E$2:E5779)*(E5779=E$2:E5779)))))-COUNTBLANK(OFFSET(A$1,,,SUMPRODUCT(MAX(ROW(E$1:E5778)*(E2=E$1:E5778))))))</f>
        <v> </v>
      </c>
      <c r="K5779" s="25" t="str">
        <f>IF(OR(E5779="",E5779="!!!",F5779="NEW"),"",INDEX(J$1:J5778,SUMPRODUCT(MAX(ROW(E$1:E5778)*(E5779=E$1:E5778)))))</f>
        <v> </v>
      </c>
      <c r="L5779" s="26"/>
    </row>
    <row r="5780" spans="1:12">
      <c r="A5780" s="20" t="s">
        <v>1240</v>
      </c>
      <c r="E5780" s="21">
        <f>IF(D5780="?OLD","!!!","")</f>
        <v/>
      </c>
      <c r="F5780" s="22" t="str">
        <f>IF(OR(E5780="",E5780="!!!"),"",IF(NOT(ISNA(VLOOKUP(E5780,E$1:E5779,1,FALSE()))),"OLD",IF(AND(E5780&lt;&gt;"",E5780&lt;&gt;"!!!"),"NEW","")))</f>
        <v> </v>
      </c>
      <c r="G5780" s="23" t="str">
        <f>IF(OR(E5780="",E5780="!!!"),"",IF(OR(J5780=0,AND(J5780=1,K5780=1),AND(J5780=1,I5780="SBJ"),AND(J5780=1,I5780=0)),"?IN_FOCUS",IF(J5780&lt;=2,"?ACTIVATED",IF(J5780&lt;&gt;"","?FAMILIAR",IF(F5780="NEW",IF(ISNA(VLOOKUP(E5780,#REF!,1,FALSE())),"?TYPE_IDENTIFIABLE","?REFERENTIAL"),"_")))))</f>
        <v> </v>
      </c>
      <c r="H5780" s="24" t="str">
        <f>IF(J5780&lt;&gt;1,"",IF(I5780="SBJ","CB","?"))</f>
        <v> </v>
      </c>
      <c r="I5780" s="25" t="str">
        <f>IF(OR(E5780="",E5780="!!!",F5780="NEW"),"",INDEX(B5779:B$2,-1+SUMPRODUCT(MAX(ROW(E5779:E$2)*(E5780=E5779:E$2)))))</f>
        <v> </v>
      </c>
      <c r="J5780" s="25" t="str">
        <f>IF(OR(E5780="",E5780="!!!",F5780="NEW"),"",COUNTBLANK(OFFSET(A$1,,,SUMPRODUCT(MAX(ROW(E$2:E5780)*(E5780=E$2:E5780)))))-COUNTBLANK(OFFSET(A$1,,,SUMPRODUCT(MAX(ROW(E$1:E5779)*(E2=E$1:E5779))))))</f>
        <v> </v>
      </c>
      <c r="K5780" s="25" t="str">
        <f>IF(OR(E5780="",E5780="!!!",F5780="NEW"),"",INDEX(J$1:J5779,SUMPRODUCT(MAX(ROW(E$1:E5779)*(E5780=E$1:E5779)))))</f>
        <v> </v>
      </c>
      <c r="L5780" s="26"/>
    </row>
    <row r="5781" spans="1:12">
      <c r="A5781" s="20" t="s">
        <v>985</v>
      </c>
      <c r="E5781" s="21">
        <f>IF(D5781="?OLD","!!!","")</f>
        <v/>
      </c>
      <c r="F5781" s="22" t="str">
        <f>IF(OR(E5781="",E5781="!!!"),"",IF(NOT(ISNA(VLOOKUP(E5781,E$1:E5780,1,FALSE()))),"OLD",IF(AND(E5781&lt;&gt;"",E5781&lt;&gt;"!!!"),"NEW","")))</f>
        <v> </v>
      </c>
      <c r="G5781" s="23" t="str">
        <f>IF(OR(E5781="",E5781="!!!"),"",IF(OR(J5781=0,AND(J5781=1,K5781=1),AND(J5781=1,I5781="SBJ"),AND(J5781=1,I5781=0)),"?IN_FOCUS",IF(J5781&lt;=2,"?ACTIVATED",IF(J5781&lt;&gt;"","?FAMILIAR",IF(F5781="NEW",IF(ISNA(VLOOKUP(E5781,#REF!,1,FALSE())),"?TYPE_IDENTIFIABLE","?REFERENTIAL"),"_")))))</f>
        <v> </v>
      </c>
      <c r="H5781" s="24" t="str">
        <f>IF(J5781&lt;&gt;1,"",IF(I5781="SBJ","CB","?"))</f>
        <v> </v>
      </c>
      <c r="I5781" s="25" t="str">
        <f>IF(OR(E5781="",E5781="!!!",F5781="NEW"),"",INDEX(B5780:B$2,-1+SUMPRODUCT(MAX(ROW(E5780:E$2)*(E5781=E5780:E$2)))))</f>
        <v> </v>
      </c>
      <c r="J5781" s="25" t="str">
        <f>IF(OR(E5781="",E5781="!!!",F5781="NEW"),"",COUNTBLANK(OFFSET(A$1,,,SUMPRODUCT(MAX(ROW(E$2:E5781)*(E5781=E$2:E5781)))))-COUNTBLANK(OFFSET(A$1,,,SUMPRODUCT(MAX(ROW(E$1:E5780)*(E2=E$1:E5780))))))</f>
        <v> </v>
      </c>
      <c r="K5781" s="25" t="str">
        <f>IF(OR(E5781="",E5781="!!!",F5781="NEW"),"",INDEX(J$1:J5780,SUMPRODUCT(MAX(ROW(E$1:E5780)*(E5781=E$1:E5780)))))</f>
        <v> </v>
      </c>
      <c r="L5781" s="26"/>
    </row>
    <row r="5782" spans="1:12">
      <c r="A5782" s="20" t="s">
        <v>2100</v>
      </c>
      <c r="B5782" s="27" t="s">
        <v>1013</v>
      </c>
      <c r="C5782" s="27" t="s">
        <v>979</v>
      </c>
      <c r="D5782" s="27" t="s">
        <v>969</v>
      </c>
      <c r="E5782" s="21">
        <f>IF(D5782="?OLD","!!!","")</f>
        <v/>
      </c>
      <c r="F5782" s="22" t="str">
        <f>IF(OR(E5782="",E5782="!!!"),"",IF(NOT(ISNA(VLOOKUP(E5782,E$1:E5781,1,FALSE()))),"OLD",IF(AND(E5782&lt;&gt;"",E5782&lt;&gt;"!!!"),"NEW","")))</f>
        <v> </v>
      </c>
      <c r="G5782" s="23" t="str">
        <f>IF(OR(E5782="",E5782="!!!"),"",IF(OR(J5782=0,AND(J5782=1,K5782=1),AND(J5782=1,I5782="SBJ"),AND(J5782=1,I5782=0)),"?IN_FOCUS",IF(J5782&lt;=2,"?ACTIVATED",IF(J5782&lt;&gt;"","?FAMILIAR",IF(F5782="NEW",IF(ISNA(VLOOKUP(E5782,#REF!,1,FALSE())),"?TYPE_IDENTIFIABLE","?REFERENTIAL"),"_")))))</f>
        <v> </v>
      </c>
      <c r="H5782" s="24" t="str">
        <f>IF(J5782&lt;&gt;1,"",IF(I5782="SBJ","CB","?"))</f>
        <v> </v>
      </c>
      <c r="I5782" s="25" t="str">
        <f>IF(OR(E5782="",E5782="!!!",F5782="NEW"),"",INDEX(B5781:B$2,-1+SUMPRODUCT(MAX(ROW(E5781:E$2)*(E5782=E5781:E$2)))))</f>
        <v> </v>
      </c>
      <c r="J5782" s="25" t="str">
        <f>IF(OR(E5782="",E5782="!!!",F5782="NEW"),"",COUNTBLANK(OFFSET(A$1,,,SUMPRODUCT(MAX(ROW(E$2:E5782)*(E5782=E$2:E5782)))))-COUNTBLANK(OFFSET(A$1,,,SUMPRODUCT(MAX(ROW(E$1:E5781)*(E2=E$1:E5781))))))</f>
        <v> </v>
      </c>
      <c r="K5782" s="25" t="str">
        <f>IF(OR(E5782="",E5782="!!!",F5782="NEW"),"",INDEX(J$1:J5781,SUMPRODUCT(MAX(ROW(E$1:E5781)*(E5782=E$1:E5781)))))</f>
        <v> </v>
      </c>
      <c r="L5782" s="26"/>
    </row>
    <row r="5783" spans="1:12">
      <c r="A5783" s="20" t="s">
        <v>2488</v>
      </c>
      <c r="E5783" s="21">
        <f>IF(D5783="?OLD","!!!","")</f>
        <v/>
      </c>
      <c r="F5783" s="22" t="str">
        <f>IF(OR(E5783="",E5783="!!!"),"",IF(NOT(ISNA(VLOOKUP(E5783,E$1:E5782,1,FALSE()))),"OLD",IF(AND(E5783&lt;&gt;"",E5783&lt;&gt;"!!!"),"NEW","")))</f>
        <v> </v>
      </c>
      <c r="G5783" s="23" t="str">
        <f>IF(OR(E5783="",E5783="!!!"),"",IF(OR(J5783=0,AND(J5783=1,K5783=1),AND(J5783=1,I5783="SBJ"),AND(J5783=1,I5783=0)),"?IN_FOCUS",IF(J5783&lt;=2,"?ACTIVATED",IF(J5783&lt;&gt;"","?FAMILIAR",IF(F5783="NEW",IF(ISNA(VLOOKUP(E5783,#REF!,1,FALSE())),"?TYPE_IDENTIFIABLE","?REFERENTIAL"),"_")))))</f>
        <v> </v>
      </c>
      <c r="H5783" s="24" t="str">
        <f>IF(J5783&lt;&gt;1,"",IF(I5783="SBJ","CB","?"))</f>
        <v> </v>
      </c>
      <c r="I5783" s="25" t="str">
        <f>IF(OR(E5783="",E5783="!!!",F5783="NEW"),"",INDEX(B5782:B$2,-1+SUMPRODUCT(MAX(ROW(E5782:E$2)*(E5783=E5782:E$2)))))</f>
        <v> </v>
      </c>
      <c r="J5783" s="25" t="str">
        <f>IF(OR(E5783="",E5783="!!!",F5783="NEW"),"",COUNTBLANK(OFFSET(A$1,,,SUMPRODUCT(MAX(ROW(E$2:E5783)*(E5783=E$2:E5783)))))-COUNTBLANK(OFFSET(A$1,,,SUMPRODUCT(MAX(ROW(E$1:E5782)*(E2=E$1:E5782))))))</f>
        <v> </v>
      </c>
      <c r="K5783" s="25" t="str">
        <f>IF(OR(E5783="",E5783="!!!",F5783="NEW"),"",INDEX(J$1:J5782,SUMPRODUCT(MAX(ROW(E$1:E5782)*(E5783=E$1:E5782)))))</f>
        <v> </v>
      </c>
      <c r="L5783" s="26"/>
    </row>
    <row r="5784" spans="1:12">
      <c r="A5784" s="20" t="s">
        <v>1085</v>
      </c>
      <c r="E5784" s="21">
        <f>IF(D5784="?OLD","!!!","")</f>
        <v/>
      </c>
      <c r="F5784" s="22" t="str">
        <f>IF(OR(E5784="",E5784="!!!"),"",IF(NOT(ISNA(VLOOKUP(E5784,E$1:E5783,1,FALSE()))),"OLD",IF(AND(E5784&lt;&gt;"",E5784&lt;&gt;"!!!"),"NEW","")))</f>
        <v> </v>
      </c>
      <c r="G5784" s="23" t="str">
        <f>IF(OR(E5784="",E5784="!!!"),"",IF(OR(J5784=0,AND(J5784=1,K5784=1),AND(J5784=1,I5784="SBJ"),AND(J5784=1,I5784=0)),"?IN_FOCUS",IF(J5784&lt;=2,"?ACTIVATED",IF(J5784&lt;&gt;"","?FAMILIAR",IF(F5784="NEW",IF(ISNA(VLOOKUP(E5784,#REF!,1,FALSE())),"?TYPE_IDENTIFIABLE","?REFERENTIAL"),"_")))))</f>
        <v> </v>
      </c>
      <c r="H5784" s="24" t="str">
        <f>IF(J5784&lt;&gt;1,"",IF(I5784="SBJ","CB","?"))</f>
        <v> </v>
      </c>
      <c r="I5784" s="25" t="str">
        <f>IF(OR(E5784="",E5784="!!!",F5784="NEW"),"",INDEX(B5783:B$2,-1+SUMPRODUCT(MAX(ROW(E5783:E$2)*(E5784=E5783:E$2)))))</f>
        <v> </v>
      </c>
      <c r="J5784" s="25" t="str">
        <f>IF(OR(E5784="",E5784="!!!",F5784="NEW"),"",COUNTBLANK(OFFSET(A$1,,,SUMPRODUCT(MAX(ROW(E$2:E5784)*(E5784=E$2:E5784)))))-COUNTBLANK(OFFSET(A$1,,,SUMPRODUCT(MAX(ROW(E$1:E5783)*(E2=E$1:E5783))))))</f>
        <v> </v>
      </c>
      <c r="K5784" s="25" t="str">
        <f>IF(OR(E5784="",E5784="!!!",F5784="NEW"),"",INDEX(J$1:J5783,SUMPRODUCT(MAX(ROW(E$1:E5783)*(E5784=E$1:E5783)))))</f>
        <v> </v>
      </c>
      <c r="L5784" s="26"/>
    </row>
    <row r="5785" spans="1:12">
      <c r="A5785" s="20" t="s">
        <v>991</v>
      </c>
      <c r="E5785" s="21">
        <f>IF(D5785="?OLD","!!!","")</f>
        <v/>
      </c>
      <c r="F5785" s="22" t="str">
        <f>IF(OR(E5785="",E5785="!!!"),"",IF(NOT(ISNA(VLOOKUP(E5785,E$1:E5784,1,FALSE()))),"OLD",IF(AND(E5785&lt;&gt;"",E5785&lt;&gt;"!!!"),"NEW","")))</f>
        <v> </v>
      </c>
      <c r="G5785" s="23" t="str">
        <f>IF(OR(E5785="",E5785="!!!"),"",IF(OR(J5785=0,AND(J5785=1,K5785=1),AND(J5785=1,I5785="SBJ"),AND(J5785=1,I5785=0)),"?IN_FOCUS",IF(J5785&lt;=2,"?ACTIVATED",IF(J5785&lt;&gt;"","?FAMILIAR",IF(F5785="NEW",IF(ISNA(VLOOKUP(E5785,#REF!,1,FALSE())),"?TYPE_IDENTIFIABLE","?REFERENTIAL"),"_")))))</f>
        <v> </v>
      </c>
      <c r="H5785" s="24" t="str">
        <f>IF(J5785&lt;&gt;1,"",IF(I5785="SBJ","CB","?"))</f>
        <v> </v>
      </c>
      <c r="I5785" s="25" t="str">
        <f>IF(OR(E5785="",E5785="!!!",F5785="NEW"),"",INDEX(B5784:B$2,-1+SUMPRODUCT(MAX(ROW(E5784:E$2)*(E5785=E5784:E$2)))))</f>
        <v> </v>
      </c>
      <c r="J5785" s="25" t="str">
        <f>IF(OR(E5785="",E5785="!!!",F5785="NEW"),"",COUNTBLANK(OFFSET(A$1,,,SUMPRODUCT(MAX(ROW(E$2:E5785)*(E5785=E$2:E5785)))))-COUNTBLANK(OFFSET(A$1,,,SUMPRODUCT(MAX(ROW(E$1:E5784)*(E2=E$1:E5784))))))</f>
        <v> </v>
      </c>
      <c r="K5785" s="25" t="str">
        <f>IF(OR(E5785="",E5785="!!!",F5785="NEW"),"",INDEX(J$1:J5784,SUMPRODUCT(MAX(ROW(E$1:E5784)*(E5785=E$1:E5784)))))</f>
        <v> </v>
      </c>
      <c r="L5785" s="26"/>
    </row>
    <row r="5786" spans="1:12">
      <c r="A5786" s="20" t="s">
        <v>996</v>
      </c>
      <c r="E5786" s="21">
        <f>IF(D5786="?OLD","!!!","")</f>
        <v/>
      </c>
      <c r="F5786" s="22" t="str">
        <f>IF(OR(E5786="",E5786="!!!"),"",IF(NOT(ISNA(VLOOKUP(E5786,E$1:E5785,1,FALSE()))),"OLD",IF(AND(E5786&lt;&gt;"",E5786&lt;&gt;"!!!"),"NEW","")))</f>
        <v> </v>
      </c>
      <c r="G5786" s="23" t="str">
        <f>IF(OR(E5786="",E5786="!!!"),"",IF(OR(J5786=0,AND(J5786=1,K5786=1),AND(J5786=1,I5786="SBJ"),AND(J5786=1,I5786=0)),"?IN_FOCUS",IF(J5786&lt;=2,"?ACTIVATED",IF(J5786&lt;&gt;"","?FAMILIAR",IF(F5786="NEW",IF(ISNA(VLOOKUP(E5786,#REF!,1,FALSE())),"?TYPE_IDENTIFIABLE","?REFERENTIAL"),"_")))))</f>
        <v> </v>
      </c>
      <c r="H5786" s="24" t="str">
        <f>IF(J5786&lt;&gt;1,"",IF(I5786="SBJ","CB","?"))</f>
        <v> </v>
      </c>
      <c r="I5786" s="25" t="str">
        <f>IF(OR(E5786="",E5786="!!!",F5786="NEW"),"",INDEX(B5785:B$2,-1+SUMPRODUCT(MAX(ROW(E5785:E$2)*(E5786=E5785:E$2)))))</f>
        <v> </v>
      </c>
      <c r="J5786" s="25" t="str">
        <f>IF(OR(E5786="",E5786="!!!",F5786="NEW"),"",COUNTBLANK(OFFSET(A$1,,,SUMPRODUCT(MAX(ROW(E$2:E5786)*(E5786=E$2:E5786)))))-COUNTBLANK(OFFSET(A$1,,,SUMPRODUCT(MAX(ROW(E$1:E5785)*(E2=E$1:E5785))))))</f>
        <v> </v>
      </c>
      <c r="K5786" s="25" t="str">
        <f>IF(OR(E5786="",E5786="!!!",F5786="NEW"),"",INDEX(J$1:J5785,SUMPRODUCT(MAX(ROW(E$1:E5785)*(E5786=E$1:E5785)))))</f>
        <v> </v>
      </c>
      <c r="L5786" s="26"/>
    </row>
    <row r="5787" spans="1:12">
      <c r="A5787" s="20" t="s">
        <v>1009</v>
      </c>
      <c r="B5787" s="27" t="s">
        <v>994</v>
      </c>
      <c r="C5787" s="27" t="s">
        <v>1011</v>
      </c>
      <c r="D5787" s="27" t="s">
        <v>969</v>
      </c>
      <c r="E5787" s="21">
        <f>IF(D5787="?OLD","!!!","")</f>
        <v/>
      </c>
      <c r="F5787" s="22" t="str">
        <f>IF(OR(E5787="",E5787="!!!"),"",IF(NOT(ISNA(VLOOKUP(E5787,E$1:E5786,1,FALSE()))),"OLD",IF(AND(E5787&lt;&gt;"",E5787&lt;&gt;"!!!"),"NEW","")))</f>
        <v> </v>
      </c>
      <c r="G5787" s="23" t="str">
        <f>IF(OR(E5787="",E5787="!!!"),"",IF(OR(J5787=0,AND(J5787=1,K5787=1),AND(J5787=1,I5787="SBJ"),AND(J5787=1,I5787=0)),"?IN_FOCUS",IF(J5787&lt;=2,"?ACTIVATED",IF(J5787&lt;&gt;"","?FAMILIAR",IF(F5787="NEW",IF(ISNA(VLOOKUP(E5787,#REF!,1,FALSE())),"?TYPE_IDENTIFIABLE","?REFERENTIAL"),"_")))))</f>
        <v> </v>
      </c>
      <c r="H5787" s="24" t="str">
        <f>IF(J5787&lt;&gt;1,"",IF(I5787="SBJ","CB","?"))</f>
        <v> </v>
      </c>
      <c r="I5787" s="25" t="str">
        <f>IF(OR(E5787="",E5787="!!!",F5787="NEW"),"",INDEX(B5786:B$2,-1+SUMPRODUCT(MAX(ROW(E5786:E$2)*(E5787=E5786:E$2)))))</f>
        <v> </v>
      </c>
      <c r="J5787" s="25" t="str">
        <f>IF(OR(E5787="",E5787="!!!",F5787="NEW"),"",COUNTBLANK(OFFSET(A$1,,,SUMPRODUCT(MAX(ROW(E$2:E5787)*(E5787=E$2:E5787)))))-COUNTBLANK(OFFSET(A$1,,,SUMPRODUCT(MAX(ROW(E$1:E5786)*(E2=E$1:E5786))))))</f>
        <v> </v>
      </c>
      <c r="K5787" s="25" t="str">
        <f>IF(OR(E5787="",E5787="!!!",F5787="NEW"),"",INDEX(J$1:J5786,SUMPRODUCT(MAX(ROW(E$1:E5786)*(E5787=E$1:E5786)))))</f>
        <v> </v>
      </c>
      <c r="L5787" s="26"/>
    </row>
    <row r="5788" spans="1:12">
      <c r="A5788" s="20" t="s">
        <v>1086</v>
      </c>
      <c r="B5788" s="27" t="s">
        <v>1031</v>
      </c>
      <c r="C5788" s="27" t="s">
        <v>968</v>
      </c>
      <c r="D5788" s="27" t="s">
        <v>969</v>
      </c>
      <c r="E5788" s="21">
        <f>IF(D5788="?OLD","!!!","")</f>
        <v/>
      </c>
      <c r="F5788" s="22" t="str">
        <f>IF(OR(E5788="",E5788="!!!"),"",IF(NOT(ISNA(VLOOKUP(E5788,E$1:E5787,1,FALSE()))),"OLD",IF(AND(E5788&lt;&gt;"",E5788&lt;&gt;"!!!"),"NEW","")))</f>
        <v> </v>
      </c>
      <c r="G5788" s="23" t="str">
        <f>IF(OR(E5788="",E5788="!!!"),"",IF(OR(J5788=0,AND(J5788=1,K5788=1),AND(J5788=1,I5788="SBJ"),AND(J5788=1,I5788=0)),"?IN_FOCUS",IF(J5788&lt;=2,"?ACTIVATED",IF(J5788&lt;&gt;"","?FAMILIAR",IF(F5788="NEW",IF(ISNA(VLOOKUP(E5788,#REF!,1,FALSE())),"?TYPE_IDENTIFIABLE","?REFERENTIAL"),"_")))))</f>
        <v> </v>
      </c>
      <c r="H5788" s="24" t="str">
        <f>IF(J5788&lt;&gt;1,"",IF(I5788="SBJ","CB","?"))</f>
        <v> </v>
      </c>
      <c r="I5788" s="25" t="str">
        <f>IF(OR(E5788="",E5788="!!!",F5788="NEW"),"",INDEX(B5787:B$2,-1+SUMPRODUCT(MAX(ROW(E5787:E$2)*(E5788=E5787:E$2)))))</f>
        <v> </v>
      </c>
      <c r="J5788" s="25" t="str">
        <f>IF(OR(E5788="",E5788="!!!",F5788="NEW"),"",COUNTBLANK(OFFSET(A$1,,,SUMPRODUCT(MAX(ROW(E$2:E5788)*(E5788=E$2:E5788)))))-COUNTBLANK(OFFSET(A$1,,,SUMPRODUCT(MAX(ROW(E$1:E5787)*(E2=E$1:E5787))))))</f>
        <v> </v>
      </c>
      <c r="K5788" s="25" t="str">
        <f>IF(OR(E5788="",E5788="!!!",F5788="NEW"),"",INDEX(J$1:J5787,SUMPRODUCT(MAX(ROW(E$1:E5787)*(E5788=E$1:E5787)))))</f>
        <v> </v>
      </c>
      <c r="L5788" s="26"/>
    </row>
    <row r="5789" spans="1:12">
      <c r="A5789" s="20" t="s">
        <v>1547</v>
      </c>
      <c r="E5789" s="21">
        <f>IF(D5789="?OLD","!!!","")</f>
        <v/>
      </c>
      <c r="F5789" s="22" t="str">
        <f>IF(OR(E5789="",E5789="!!!"),"",IF(NOT(ISNA(VLOOKUP(E5789,E$1:E5788,1,FALSE()))),"OLD",IF(AND(E5789&lt;&gt;"",E5789&lt;&gt;"!!!"),"NEW","")))</f>
        <v> </v>
      </c>
      <c r="G5789" s="23" t="str">
        <f>IF(OR(E5789="",E5789="!!!"),"",IF(OR(J5789=0,AND(J5789=1,K5789=1),AND(J5789=1,I5789="SBJ"),AND(J5789=1,I5789=0)),"?IN_FOCUS",IF(J5789&lt;=2,"?ACTIVATED",IF(J5789&lt;&gt;"","?FAMILIAR",IF(F5789="NEW",IF(ISNA(VLOOKUP(E5789,#REF!,1,FALSE())),"?TYPE_IDENTIFIABLE","?REFERENTIAL"),"_")))))</f>
        <v> </v>
      </c>
      <c r="H5789" s="24" t="str">
        <f>IF(J5789&lt;&gt;1,"",IF(I5789="SBJ","CB","?"))</f>
        <v> </v>
      </c>
      <c r="I5789" s="25" t="str">
        <f>IF(OR(E5789="",E5789="!!!",F5789="NEW"),"",INDEX(B5788:B$2,-1+SUMPRODUCT(MAX(ROW(E5788:E$2)*(E5789=E5788:E$2)))))</f>
        <v> </v>
      </c>
      <c r="J5789" s="25" t="str">
        <f>IF(OR(E5789="",E5789="!!!",F5789="NEW"),"",COUNTBLANK(OFFSET(A$1,,,SUMPRODUCT(MAX(ROW(E$2:E5789)*(E5789=E$2:E5789)))))-COUNTBLANK(OFFSET(A$1,,,SUMPRODUCT(MAX(ROW(E$1:E5788)*(E2=E$1:E5788))))))</f>
        <v> </v>
      </c>
      <c r="K5789" s="25" t="str">
        <f>IF(OR(E5789="",E5789="!!!",F5789="NEW"),"",INDEX(J$1:J5788,SUMPRODUCT(MAX(ROW(E$1:E5788)*(E5789=E$1:E5788)))))</f>
        <v> </v>
      </c>
      <c r="L5789" s="26"/>
    </row>
    <row r="5790" spans="1:12">
      <c r="A5790" s="20" t="s">
        <v>980</v>
      </c>
      <c r="E5790" s="21">
        <f>IF(D5790="?OLD","!!!","")</f>
        <v/>
      </c>
      <c r="F5790" s="22" t="str">
        <f>IF(OR(E5790="",E5790="!!!"),"",IF(NOT(ISNA(VLOOKUP(E5790,E$1:E5789,1,FALSE()))),"OLD",IF(AND(E5790&lt;&gt;"",E5790&lt;&gt;"!!!"),"NEW","")))</f>
        <v> </v>
      </c>
      <c r="G5790" s="23" t="str">
        <f>IF(OR(E5790="",E5790="!!!"),"",IF(OR(J5790=0,AND(J5790=1,K5790=1),AND(J5790=1,I5790="SBJ"),AND(J5790=1,I5790=0)),"?IN_FOCUS",IF(J5790&lt;=2,"?ACTIVATED",IF(J5790&lt;&gt;"","?FAMILIAR",IF(F5790="NEW",IF(ISNA(VLOOKUP(E5790,#REF!,1,FALSE())),"?TYPE_IDENTIFIABLE","?REFERENTIAL"),"_")))))</f>
        <v> </v>
      </c>
      <c r="H5790" s="24" t="str">
        <f>IF(J5790&lt;&gt;1,"",IF(I5790="SBJ","CB","?"))</f>
        <v> </v>
      </c>
      <c r="I5790" s="25" t="str">
        <f>IF(OR(E5790="",E5790="!!!",F5790="NEW"),"",INDEX(B5789:B$2,-1+SUMPRODUCT(MAX(ROW(E5789:E$2)*(E5790=E5789:E$2)))))</f>
        <v> </v>
      </c>
      <c r="J5790" s="25" t="str">
        <f>IF(OR(E5790="",E5790="!!!",F5790="NEW"),"",COUNTBLANK(OFFSET(A$1,,,SUMPRODUCT(MAX(ROW(E$2:E5790)*(E5790=E$2:E5790)))))-COUNTBLANK(OFFSET(A$1,,,SUMPRODUCT(MAX(ROW(E$1:E5789)*(E2=E$1:E5789))))))</f>
        <v> </v>
      </c>
      <c r="K5790" s="25" t="str">
        <f>IF(OR(E5790="",E5790="!!!",F5790="NEW"),"",INDEX(J$1:J5789,SUMPRODUCT(MAX(ROW(E$1:E5789)*(E5790=E$1:E5789)))))</f>
        <v> </v>
      </c>
      <c r="L5790" s="26"/>
    </row>
    <row r="5791" spans="1:12">
      <c r="A5791" s="20" t="s">
        <v>1024</v>
      </c>
      <c r="B5791" s="27" t="s">
        <v>1198</v>
      </c>
      <c r="C5791" s="27" t="s">
        <v>1011</v>
      </c>
      <c r="D5791" s="27" t="s">
        <v>969</v>
      </c>
      <c r="E5791" s="21">
        <f>IF(D5791="?OLD","!!!","")</f>
        <v/>
      </c>
      <c r="F5791" s="22" t="str">
        <f>IF(OR(E5791="",E5791="!!!"),"",IF(NOT(ISNA(VLOOKUP(E5791,E$1:E5790,1,FALSE()))),"OLD",IF(AND(E5791&lt;&gt;"",E5791&lt;&gt;"!!!"),"NEW","")))</f>
        <v> </v>
      </c>
      <c r="G5791" s="23" t="str">
        <f>IF(OR(E5791="",E5791="!!!"),"",IF(OR(J5791=0,AND(J5791=1,K5791=1),AND(J5791=1,I5791="SBJ"),AND(J5791=1,I5791=0)),"?IN_FOCUS",IF(J5791&lt;=2,"?ACTIVATED",IF(J5791&lt;&gt;"","?FAMILIAR",IF(F5791="NEW",IF(ISNA(VLOOKUP(E5791,#REF!,1,FALSE())),"?TYPE_IDENTIFIABLE","?REFERENTIAL"),"_")))))</f>
        <v> </v>
      </c>
      <c r="H5791" s="24" t="str">
        <f>IF(J5791&lt;&gt;1,"",IF(I5791="SBJ","CB","?"))</f>
        <v> </v>
      </c>
      <c r="I5791" s="25" t="str">
        <f>IF(OR(E5791="",E5791="!!!",F5791="NEW"),"",INDEX(B5790:B$2,-1+SUMPRODUCT(MAX(ROW(E5790:E$2)*(E5791=E5790:E$2)))))</f>
        <v> </v>
      </c>
      <c r="J5791" s="25" t="str">
        <f>IF(OR(E5791="",E5791="!!!",F5791="NEW"),"",COUNTBLANK(OFFSET(A$1,,,SUMPRODUCT(MAX(ROW(E$2:E5791)*(E5791=E$2:E5791)))))-COUNTBLANK(OFFSET(A$1,,,SUMPRODUCT(MAX(ROW(E$1:E5790)*(E2=E$1:E5790))))))</f>
        <v> </v>
      </c>
      <c r="K5791" s="25" t="str">
        <f>IF(OR(E5791="",E5791="!!!",F5791="NEW"),"",INDEX(J$1:J5790,SUMPRODUCT(MAX(ROW(E$1:E5790)*(E5791=E$1:E5790)))))</f>
        <v> </v>
      </c>
      <c r="L5791" s="26"/>
    </row>
    <row r="5792" spans="1:12">
      <c r="A5792" s="20" t="s">
        <v>1009</v>
      </c>
      <c r="B5792" s="27" t="s">
        <v>997</v>
      </c>
      <c r="C5792" s="27" t="s">
        <v>1011</v>
      </c>
      <c r="D5792" s="27" t="s">
        <v>969</v>
      </c>
      <c r="E5792" s="21">
        <f>IF(D5792="?OLD","!!!","")</f>
        <v/>
      </c>
      <c r="F5792" s="22" t="str">
        <f>IF(OR(E5792="",E5792="!!!"),"",IF(NOT(ISNA(VLOOKUP(E5792,E$1:E5791,1,FALSE()))),"OLD",IF(AND(E5792&lt;&gt;"",E5792&lt;&gt;"!!!"),"NEW","")))</f>
        <v> </v>
      </c>
      <c r="G5792" s="23" t="str">
        <f>IF(OR(E5792="",E5792="!!!"),"",IF(OR(J5792=0,AND(J5792=1,K5792=1),AND(J5792=1,I5792="SBJ"),AND(J5792=1,I5792=0)),"?IN_FOCUS",IF(J5792&lt;=2,"?ACTIVATED",IF(J5792&lt;&gt;"","?FAMILIAR",IF(F5792="NEW",IF(ISNA(VLOOKUP(E5792,#REF!,1,FALSE())),"?TYPE_IDENTIFIABLE","?REFERENTIAL"),"_")))))</f>
        <v> </v>
      </c>
      <c r="H5792" s="24" t="str">
        <f>IF(J5792&lt;&gt;1,"",IF(I5792="SBJ","CB","?"))</f>
        <v> </v>
      </c>
      <c r="I5792" s="25" t="str">
        <f>IF(OR(E5792="",E5792="!!!",F5792="NEW"),"",INDEX(B5791:B$2,-1+SUMPRODUCT(MAX(ROW(E5791:E$2)*(E5792=E5791:E$2)))))</f>
        <v> </v>
      </c>
      <c r="J5792" s="25" t="str">
        <f>IF(OR(E5792="",E5792="!!!",F5792="NEW"),"",COUNTBLANK(OFFSET(A$1,,,SUMPRODUCT(MAX(ROW(E$2:E5792)*(E5792=E$2:E5792)))))-COUNTBLANK(OFFSET(A$1,,,SUMPRODUCT(MAX(ROW(E$1:E5791)*(E2=E$1:E5791))))))</f>
        <v> </v>
      </c>
      <c r="K5792" s="25" t="str">
        <f>IF(OR(E5792="",E5792="!!!",F5792="NEW"),"",INDEX(J$1:J5791,SUMPRODUCT(MAX(ROW(E$1:E5791)*(E5792=E$1:E5791)))))</f>
        <v> </v>
      </c>
      <c r="L5792" s="26"/>
    </row>
    <row r="5793" spans="1:12">
      <c r="A5793" s="20" t="s">
        <v>49</v>
      </c>
      <c r="E5793" s="21">
        <f>IF(D5793="?OLD","!!!","")</f>
        <v/>
      </c>
      <c r="F5793" s="22" t="str">
        <f>IF(OR(E5793="",E5793="!!!"),"",IF(NOT(ISNA(VLOOKUP(E5793,E$1:E5792,1,FALSE()))),"OLD",IF(AND(E5793&lt;&gt;"",E5793&lt;&gt;"!!!"),"NEW","")))</f>
        <v> </v>
      </c>
      <c r="G5793" s="23" t="str">
        <f>IF(OR(E5793="",E5793="!!!"),"",IF(OR(J5793=0,AND(J5793=1,K5793=1),AND(J5793=1,I5793="SBJ"),AND(J5793=1,I5793=0)),"?IN_FOCUS",IF(J5793&lt;=2,"?ACTIVATED",IF(J5793&lt;&gt;"","?FAMILIAR",IF(F5793="NEW",IF(ISNA(VLOOKUP(E5793,#REF!,1,FALSE())),"?TYPE_IDENTIFIABLE","?REFERENTIAL"),"_")))))</f>
        <v> </v>
      </c>
      <c r="H5793" s="24" t="str">
        <f>IF(J5793&lt;&gt;1,"",IF(I5793="SBJ","CB","?"))</f>
        <v> </v>
      </c>
      <c r="I5793" s="25" t="str">
        <f>IF(OR(E5793="",E5793="!!!",F5793="NEW"),"",INDEX(B5792:B$2,-1+SUMPRODUCT(MAX(ROW(E5792:E$2)*(E5793=E5792:E$2)))))</f>
        <v> </v>
      </c>
      <c r="J5793" s="25" t="str">
        <f>IF(OR(E5793="",E5793="!!!",F5793="NEW"),"",COUNTBLANK(OFFSET(A$1,,,SUMPRODUCT(MAX(ROW(E$2:E5793)*(E5793=E$2:E5793)))))-COUNTBLANK(OFFSET(A$1,,,SUMPRODUCT(MAX(ROW(E$1:E5792)*(E2=E$1:E5792))))))</f>
        <v> </v>
      </c>
      <c r="K5793" s="25" t="str">
        <f>IF(OR(E5793="",E5793="!!!",F5793="NEW"),"",INDEX(J$1:J5792,SUMPRODUCT(MAX(ROW(E$1:E5792)*(E5793=E$1:E5792)))))</f>
        <v> </v>
      </c>
      <c r="L5793" s="26"/>
    </row>
    <row r="5794" spans="1:12">
      <c r="A5794" s="20" t="s">
        <v>2340</v>
      </c>
      <c r="E5794" s="21">
        <f>IF(D5794="?OLD","!!!","")</f>
        <v/>
      </c>
      <c r="F5794" s="22" t="str">
        <f>IF(OR(E5794="",E5794="!!!"),"",IF(NOT(ISNA(VLOOKUP(E5794,E$1:E5793,1,FALSE()))),"OLD",IF(AND(E5794&lt;&gt;"",E5794&lt;&gt;"!!!"),"NEW","")))</f>
        <v> </v>
      </c>
      <c r="G5794" s="23" t="str">
        <f>IF(OR(E5794="",E5794="!!!"),"",IF(OR(J5794=0,AND(J5794=1,K5794=1),AND(J5794=1,I5794="SBJ"),AND(J5794=1,I5794=0)),"?IN_FOCUS",IF(J5794&lt;=2,"?ACTIVATED",IF(J5794&lt;&gt;"","?FAMILIAR",IF(F5794="NEW",IF(ISNA(VLOOKUP(E5794,#REF!,1,FALSE())),"?TYPE_IDENTIFIABLE","?REFERENTIAL"),"_")))))</f>
        <v> </v>
      </c>
      <c r="H5794" s="24" t="str">
        <f>IF(J5794&lt;&gt;1,"",IF(I5794="SBJ","CB","?"))</f>
        <v> </v>
      </c>
      <c r="I5794" s="25" t="str">
        <f>IF(OR(E5794="",E5794="!!!",F5794="NEW"),"",INDEX(B5793:B$2,-1+SUMPRODUCT(MAX(ROW(E5793:E$2)*(E5794=E5793:E$2)))))</f>
        <v> </v>
      </c>
      <c r="J5794" s="25" t="str">
        <f>IF(OR(E5794="",E5794="!!!",F5794="NEW"),"",COUNTBLANK(OFFSET(A$1,,,SUMPRODUCT(MAX(ROW(E$2:E5794)*(E5794=E$2:E5794)))))-COUNTBLANK(OFFSET(A$1,,,SUMPRODUCT(MAX(ROW(E$1:E5793)*(E2=E$1:E5793))))))</f>
        <v> </v>
      </c>
      <c r="K5794" s="25" t="str">
        <f>IF(OR(E5794="",E5794="!!!",F5794="NEW"),"",INDEX(J$1:J5793,SUMPRODUCT(MAX(ROW(E$1:E5793)*(E5794=E$1:E5793)))))</f>
        <v> </v>
      </c>
      <c r="L5794" s="26"/>
    </row>
    <row r="5795" spans="1:12">
      <c r="A5795" s="20" t="s">
        <v>1005</v>
      </c>
      <c r="E5795" s="21">
        <f>IF(D5795="?OLD","!!!","")</f>
        <v/>
      </c>
      <c r="F5795" s="22" t="str">
        <f>IF(OR(E5795="",E5795="!!!"),"",IF(NOT(ISNA(VLOOKUP(E5795,E$1:E5794,1,FALSE()))),"OLD",IF(AND(E5795&lt;&gt;"",E5795&lt;&gt;"!!!"),"NEW","")))</f>
        <v> </v>
      </c>
      <c r="G5795" s="23" t="str">
        <f>IF(OR(E5795="",E5795="!!!"),"",IF(OR(J5795=0,AND(J5795=1,K5795=1),AND(J5795=1,I5795="SBJ"),AND(J5795=1,I5795=0)),"?IN_FOCUS",IF(J5795&lt;=2,"?ACTIVATED",IF(J5795&lt;&gt;"","?FAMILIAR",IF(F5795="NEW",IF(ISNA(VLOOKUP(E5795,#REF!,1,FALSE())),"?TYPE_IDENTIFIABLE","?REFERENTIAL"),"_")))))</f>
        <v> </v>
      </c>
      <c r="H5795" s="24" t="str">
        <f>IF(J5795&lt;&gt;1,"",IF(I5795="SBJ","CB","?"))</f>
        <v> </v>
      </c>
      <c r="I5795" s="25" t="str">
        <f>IF(OR(E5795="",E5795="!!!",F5795="NEW"),"",INDEX(B5794:B$2,-1+SUMPRODUCT(MAX(ROW(E5794:E$2)*(E5795=E5794:E$2)))))</f>
        <v> </v>
      </c>
      <c r="J5795" s="25" t="str">
        <f>IF(OR(E5795="",E5795="!!!",F5795="NEW"),"",COUNTBLANK(OFFSET(A$1,,,SUMPRODUCT(MAX(ROW(E$2:E5795)*(E5795=E$2:E5795)))))-COUNTBLANK(OFFSET(A$1,,,SUMPRODUCT(MAX(ROW(E$1:E5794)*(E2=E$1:E5794))))))</f>
        <v> </v>
      </c>
      <c r="K5795" s="25" t="str">
        <f>IF(OR(E5795="",E5795="!!!",F5795="NEW"),"",INDEX(J$1:J5794,SUMPRODUCT(MAX(ROW(E$1:E5794)*(E5795=E$1:E5794)))))</f>
        <v> </v>
      </c>
      <c r="L5795" s="26"/>
    </row>
    <row r="5796" spans="1:12">
      <c r="A5796" s="20"/>
    </row>
    <row r="5797" spans="1:12">
      <c r="A5797" s="20" t="s">
        <v>2515</v>
      </c>
    </row>
    <row r="5798" spans="1:12">
      <c r="A5798" s="20" t="s">
        <v>1456</v>
      </c>
      <c r="B5798" s="27" t="s">
        <v>978</v>
      </c>
      <c r="C5798" s="27" t="s">
        <v>988</v>
      </c>
      <c r="D5798" s="27" t="s">
        <v>969</v>
      </c>
      <c r="E5798" s="21">
        <f>IF(D5798="?OLD","!!!","")</f>
        <v/>
      </c>
      <c r="F5798" s="22" t="str">
        <f>IF(OR(E5798="",E5798="!!!"),"",IF(NOT(ISNA(VLOOKUP(E5798,E$1:E5797,1,FALSE()))),"OLD",IF(AND(E5798&lt;&gt;"",E5798&lt;&gt;"!!!"),"NEW","")))</f>
        <v> </v>
      </c>
      <c r="G5798" s="23" t="str">
        <f>IF(OR(E5798="",E5798="!!!"),"",IF(OR(J5798=0,AND(J5798=1,K5798=1),AND(J5798=1,I5798="SBJ"),AND(J5798=1,I5798=0)),"?IN_FOCUS",IF(J5798&lt;=2,"?ACTIVATED",IF(J5798&lt;&gt;"","?FAMILIAR",IF(F5798="NEW",IF(ISNA(VLOOKUP(E5798,#REF!,1,FALSE())),"?TYPE_IDENTIFIABLE","?REFERENTIAL"),"_")))))</f>
        <v> </v>
      </c>
      <c r="H5798" s="24" t="str">
        <f>IF(J5798&lt;&gt;1,"",IF(I5798="SBJ","CB","?"))</f>
        <v> </v>
      </c>
      <c r="I5798" s="25" t="str">
        <f>IF(OR(E5798="",E5798="!!!",F5798="NEW"),"",INDEX(B5797:B$2,-1+SUMPRODUCT(MAX(ROW(E5797:E$2)*(E5798=E5797:E$2)))))</f>
        <v> </v>
      </c>
      <c r="J5798" s="25" t="str">
        <f>IF(OR(E5798="",E5798="!!!",F5798="NEW"),"",COUNTBLANK(OFFSET(A$1,,,SUMPRODUCT(MAX(ROW(E$2:E5798)*(E5798=E$2:E5798)))))-COUNTBLANK(OFFSET(A$1,,,SUMPRODUCT(MAX(ROW(E$1:E5797)*(E2=E$1:E5797))))))</f>
        <v> </v>
      </c>
      <c r="K5798" s="25" t="str">
        <f>IF(OR(E5798="",E5798="!!!",F5798="NEW"),"",INDEX(J$1:J5797,SUMPRODUCT(MAX(ROW(E$1:E5797)*(E5798=E$1:E5797)))))</f>
        <v> </v>
      </c>
      <c r="L5798" s="26"/>
    </row>
    <row r="5799" spans="1:12">
      <c r="A5799" s="20" t="s">
        <v>2516</v>
      </c>
      <c r="B5799" s="27" t="s">
        <v>967</v>
      </c>
      <c r="C5799" s="27" t="s">
        <v>974</v>
      </c>
      <c r="E5799" s="21">
        <f>IF(D5799="?OLD","!!!","")</f>
        <v/>
      </c>
      <c r="F5799" s="22" t="str">
        <f>IF(OR(E5799="",E5799="!!!"),"",IF(NOT(ISNA(VLOOKUP(E5799,E$1:E5798,1,FALSE()))),"OLD",IF(AND(E5799&lt;&gt;"",E5799&lt;&gt;"!!!"),"NEW","")))</f>
        <v> </v>
      </c>
      <c r="G5799" s="23" t="str">
        <f>IF(OR(E5799="",E5799="!!!"),"",IF(OR(J5799=0,AND(J5799=1,K5799=1),AND(J5799=1,I5799="SBJ"),AND(J5799=1,I5799=0)),"?IN_FOCUS",IF(J5799&lt;=2,"?ACTIVATED",IF(J5799&lt;&gt;"","?FAMILIAR",IF(F5799="NEW",IF(ISNA(VLOOKUP(E5799,#REF!,1,FALSE())),"?TYPE_IDENTIFIABLE","?REFERENTIAL"),"_")))))</f>
        <v> </v>
      </c>
      <c r="H5799" s="24" t="str">
        <f>IF(J5799&lt;&gt;1,"",IF(I5799="SBJ","CB","?"))</f>
        <v> </v>
      </c>
      <c r="I5799" s="25" t="str">
        <f>IF(OR(E5799="",E5799="!!!",F5799="NEW"),"",INDEX(B5798:B$2,-1+SUMPRODUCT(MAX(ROW(E5798:E$2)*(E5799=E5798:E$2)))))</f>
        <v> </v>
      </c>
      <c r="J5799" s="25" t="str">
        <f>IF(OR(E5799="",E5799="!!!",F5799="NEW"),"",COUNTBLANK(OFFSET(A$1,,,SUMPRODUCT(MAX(ROW(E$2:E5799)*(E5799=E$2:E5799)))))-COUNTBLANK(OFFSET(A$1,,,SUMPRODUCT(MAX(ROW(E$1:E5798)*(E2=E$1:E5798))))))</f>
        <v> </v>
      </c>
      <c r="K5799" s="25" t="str">
        <f>IF(OR(E5799="",E5799="!!!",F5799="NEW"),"",INDEX(J$1:J5798,SUMPRODUCT(MAX(ROW(E$1:E5798)*(E5799=E$1:E5798)))))</f>
        <v> </v>
      </c>
      <c r="L5799" s="26"/>
    </row>
    <row r="5800" spans="1:12">
      <c r="A5800" s="20" t="s">
        <v>1195</v>
      </c>
      <c r="E5800" s="21">
        <f>IF(D5800="?OLD","!!!","")</f>
        <v/>
      </c>
      <c r="F5800" s="22" t="str">
        <f>IF(OR(E5800="",E5800="!!!"),"",IF(NOT(ISNA(VLOOKUP(E5800,E$1:E5799,1,FALSE()))),"OLD",IF(AND(E5800&lt;&gt;"",E5800&lt;&gt;"!!!"),"NEW","")))</f>
        <v> </v>
      </c>
      <c r="G5800" s="23" t="str">
        <f>IF(OR(E5800="",E5800="!!!"),"",IF(OR(J5800=0,AND(J5800=1,K5800=1),AND(J5800=1,I5800="SBJ"),AND(J5800=1,I5800=0)),"?IN_FOCUS",IF(J5800&lt;=2,"?ACTIVATED",IF(J5800&lt;&gt;"","?FAMILIAR",IF(F5800="NEW",IF(ISNA(VLOOKUP(E5800,#REF!,1,FALSE())),"?TYPE_IDENTIFIABLE","?REFERENTIAL"),"_")))))</f>
        <v> </v>
      </c>
      <c r="H5800" s="24" t="str">
        <f>IF(J5800&lt;&gt;1,"",IF(I5800="SBJ","CB","?"))</f>
        <v> </v>
      </c>
      <c r="I5800" s="25" t="str">
        <f>IF(OR(E5800="",E5800="!!!",F5800="NEW"),"",INDEX(B5799:B$2,-1+SUMPRODUCT(MAX(ROW(E5799:E$2)*(E5800=E5799:E$2)))))</f>
        <v> </v>
      </c>
      <c r="J5800" s="25" t="str">
        <f>IF(OR(E5800="",E5800="!!!",F5800="NEW"),"",COUNTBLANK(OFFSET(A$1,,,SUMPRODUCT(MAX(ROW(E$2:E5800)*(E5800=E$2:E5800)))))-COUNTBLANK(OFFSET(A$1,,,SUMPRODUCT(MAX(ROW(E$1:E5799)*(E2=E$1:E5799))))))</f>
        <v> </v>
      </c>
      <c r="K5800" s="25" t="str">
        <f>IF(OR(E5800="",E5800="!!!",F5800="NEW"),"",INDEX(J$1:J5799,SUMPRODUCT(MAX(ROW(E$1:E5799)*(E5800=E$1:E5799)))))</f>
        <v> </v>
      </c>
      <c r="L5800" s="26"/>
    </row>
    <row r="5801" spans="1:12">
      <c r="A5801" s="20" t="s">
        <v>2517</v>
      </c>
      <c r="B5801" s="27" t="s">
        <v>1053</v>
      </c>
      <c r="C5801" s="27" t="s">
        <v>988</v>
      </c>
      <c r="D5801" s="27" t="s">
        <v>969</v>
      </c>
      <c r="E5801" s="21">
        <f>IF(D5801="?OLD","!!!","")</f>
        <v/>
      </c>
      <c r="F5801" s="22" t="str">
        <f>IF(OR(E5801="",E5801="!!!"),"",IF(NOT(ISNA(VLOOKUP(E5801,E$1:E5800,1,FALSE()))),"OLD",IF(AND(E5801&lt;&gt;"",E5801&lt;&gt;"!!!"),"NEW","")))</f>
        <v> </v>
      </c>
      <c r="G5801" s="23" t="str">
        <f>IF(OR(E5801="",E5801="!!!"),"",IF(OR(J5801=0,AND(J5801=1,K5801=1),AND(J5801=1,I5801="SBJ"),AND(J5801=1,I5801=0)),"?IN_FOCUS",IF(J5801&lt;=2,"?ACTIVATED",IF(J5801&lt;&gt;"","?FAMILIAR",IF(F5801="NEW",IF(ISNA(VLOOKUP(E5801,#REF!,1,FALSE())),"?TYPE_IDENTIFIABLE","?REFERENTIAL"),"_")))))</f>
        <v> </v>
      </c>
      <c r="H5801" s="24" t="str">
        <f>IF(J5801&lt;&gt;1,"",IF(I5801="SBJ","CB","?"))</f>
        <v> </v>
      </c>
      <c r="I5801" s="25" t="str">
        <f>IF(OR(E5801="",E5801="!!!",F5801="NEW"),"",INDEX(B5800:B$2,-1+SUMPRODUCT(MAX(ROW(E5800:E$2)*(E5801=E5800:E$2)))))</f>
        <v> </v>
      </c>
      <c r="J5801" s="25" t="str">
        <f>IF(OR(E5801="",E5801="!!!",F5801="NEW"),"",COUNTBLANK(OFFSET(A$1,,,SUMPRODUCT(MAX(ROW(E$2:E5801)*(E5801=E$2:E5801)))))-COUNTBLANK(OFFSET(A$1,,,SUMPRODUCT(MAX(ROW(E$1:E5800)*(E2=E$1:E5800))))))</f>
        <v> </v>
      </c>
      <c r="K5801" s="25" t="str">
        <f>IF(OR(E5801="",E5801="!!!",F5801="NEW"),"",INDEX(J$1:J5800,SUMPRODUCT(MAX(ROW(E$1:E5800)*(E5801=E$1:E5800)))))</f>
        <v> </v>
      </c>
      <c r="L5801" s="26"/>
    </row>
    <row r="5802" spans="1:12">
      <c r="A5802" s="20" t="s">
        <v>2518</v>
      </c>
      <c r="E5802" s="21">
        <f>IF(D5802="?OLD","!!!","")</f>
        <v/>
      </c>
      <c r="F5802" s="22" t="str">
        <f>IF(OR(E5802="",E5802="!!!"),"",IF(NOT(ISNA(VLOOKUP(E5802,E$1:E5801,1,FALSE()))),"OLD",IF(AND(E5802&lt;&gt;"",E5802&lt;&gt;"!!!"),"NEW","")))</f>
        <v> </v>
      </c>
      <c r="G5802" s="23" t="str">
        <f>IF(OR(E5802="",E5802="!!!"),"",IF(OR(J5802=0,AND(J5802=1,K5802=1),AND(J5802=1,I5802="SBJ"),AND(J5802=1,I5802=0)),"?IN_FOCUS",IF(J5802&lt;=2,"?ACTIVATED",IF(J5802&lt;&gt;"","?FAMILIAR",IF(F5802="NEW",IF(ISNA(VLOOKUP(E5802,#REF!,1,FALSE())),"?TYPE_IDENTIFIABLE","?REFERENTIAL"),"_")))))</f>
        <v> </v>
      </c>
      <c r="H5802" s="24" t="str">
        <f>IF(J5802&lt;&gt;1,"",IF(I5802="SBJ","CB","?"))</f>
        <v> </v>
      </c>
      <c r="I5802" s="25" t="str">
        <f>IF(OR(E5802="",E5802="!!!",F5802="NEW"),"",INDEX(B5801:B$2,-1+SUMPRODUCT(MAX(ROW(E5801:E$2)*(E5802=E5801:E$2)))))</f>
        <v> </v>
      </c>
      <c r="J5802" s="25" t="str">
        <f>IF(OR(E5802="",E5802="!!!",F5802="NEW"),"",COUNTBLANK(OFFSET(A$1,,,SUMPRODUCT(MAX(ROW(E$2:E5802)*(E5802=E$2:E5802)))))-COUNTBLANK(OFFSET(A$1,,,SUMPRODUCT(MAX(ROW(E$1:E5801)*(E2=E$1:E5801))))))</f>
        <v> </v>
      </c>
      <c r="K5802" s="25" t="str">
        <f>IF(OR(E5802="",E5802="!!!",F5802="NEW"),"",INDEX(J$1:J5801,SUMPRODUCT(MAX(ROW(E$1:E5801)*(E5802=E$1:E5801)))))</f>
        <v> </v>
      </c>
      <c r="L5802" s="26"/>
    </row>
    <row r="5803" spans="1:12">
      <c r="A5803" s="20" t="s">
        <v>2519</v>
      </c>
      <c r="B5803" s="27" t="s">
        <v>1053</v>
      </c>
      <c r="C5803" s="27" t="s">
        <v>974</v>
      </c>
      <c r="E5803" s="21">
        <f>IF(D5803="?OLD","!!!","")</f>
        <v/>
      </c>
      <c r="F5803" s="22" t="str">
        <f>IF(OR(E5803="",E5803="!!!"),"",IF(NOT(ISNA(VLOOKUP(E5803,E$1:E5802,1,FALSE()))),"OLD",IF(AND(E5803&lt;&gt;"",E5803&lt;&gt;"!!!"),"NEW","")))</f>
        <v> </v>
      </c>
      <c r="G5803" s="23" t="str">
        <f>IF(OR(E5803="",E5803="!!!"),"",IF(OR(J5803=0,AND(J5803=1,K5803=1),AND(J5803=1,I5803="SBJ"),AND(J5803=1,I5803=0)),"?IN_FOCUS",IF(J5803&lt;=2,"?ACTIVATED",IF(J5803&lt;&gt;"","?FAMILIAR",IF(F5803="NEW",IF(ISNA(VLOOKUP(E5803,#REF!,1,FALSE())),"?TYPE_IDENTIFIABLE","?REFERENTIAL"),"_")))))</f>
        <v> </v>
      </c>
      <c r="H5803" s="24" t="str">
        <f>IF(J5803&lt;&gt;1,"",IF(I5803="SBJ","CB","?"))</f>
        <v> </v>
      </c>
      <c r="I5803" s="25" t="str">
        <f>IF(OR(E5803="",E5803="!!!",F5803="NEW"),"",INDEX(B5802:B$2,-1+SUMPRODUCT(MAX(ROW(E5802:E$2)*(E5803=E5802:E$2)))))</f>
        <v> </v>
      </c>
      <c r="J5803" s="25" t="str">
        <f>IF(OR(E5803="",E5803="!!!",F5803="NEW"),"",COUNTBLANK(OFFSET(A$1,,,SUMPRODUCT(MAX(ROW(E$2:E5803)*(E5803=E$2:E5803)))))-COUNTBLANK(OFFSET(A$1,,,SUMPRODUCT(MAX(ROW(E$1:E5802)*(E2=E$1:E5802))))))</f>
        <v> </v>
      </c>
      <c r="K5803" s="25" t="str">
        <f>IF(OR(E5803="",E5803="!!!",F5803="NEW"),"",INDEX(J$1:J5802,SUMPRODUCT(MAX(ROW(E$1:E5802)*(E5803=E$1:E5802)))))</f>
        <v> </v>
      </c>
      <c r="L5803" s="26"/>
    </row>
    <row r="5804" spans="1:12">
      <c r="A5804" s="20" t="s">
        <v>1005</v>
      </c>
      <c r="E5804" s="21">
        <f>IF(D5804="?OLD","!!!","")</f>
        <v/>
      </c>
      <c r="F5804" s="22" t="str">
        <f>IF(OR(E5804="",E5804="!!!"),"",IF(NOT(ISNA(VLOOKUP(E5804,E$1:E5803,1,FALSE()))),"OLD",IF(AND(E5804&lt;&gt;"",E5804&lt;&gt;"!!!"),"NEW","")))</f>
        <v> </v>
      </c>
      <c r="G5804" s="23" t="str">
        <f>IF(OR(E5804="",E5804="!!!"),"",IF(OR(J5804=0,AND(J5804=1,K5804=1),AND(J5804=1,I5804="SBJ"),AND(J5804=1,I5804=0)),"?IN_FOCUS",IF(J5804&lt;=2,"?ACTIVATED",IF(J5804&lt;&gt;"","?FAMILIAR",IF(F5804="NEW",IF(ISNA(VLOOKUP(E5804,#REF!,1,FALSE())),"?TYPE_IDENTIFIABLE","?REFERENTIAL"),"_")))))</f>
        <v> </v>
      </c>
      <c r="H5804" s="24" t="str">
        <f>IF(J5804&lt;&gt;1,"",IF(I5804="SBJ","CB","?"))</f>
        <v> </v>
      </c>
      <c r="I5804" s="25" t="str">
        <f>IF(OR(E5804="",E5804="!!!",F5804="NEW"),"",INDEX(B5803:B$2,-1+SUMPRODUCT(MAX(ROW(E5803:E$2)*(E5804=E5803:E$2)))))</f>
        <v> </v>
      </c>
      <c r="J5804" s="25" t="str">
        <f>IF(OR(E5804="",E5804="!!!",F5804="NEW"),"",COUNTBLANK(OFFSET(A$1,,,SUMPRODUCT(MAX(ROW(E$2:E5804)*(E5804=E$2:E5804)))))-COUNTBLANK(OFFSET(A$1,,,SUMPRODUCT(MAX(ROW(E$1:E5803)*(E2=E$1:E5803))))))</f>
        <v> </v>
      </c>
      <c r="K5804" s="25" t="str">
        <f>IF(OR(E5804="",E5804="!!!",F5804="NEW"),"",INDEX(J$1:J5803,SUMPRODUCT(MAX(ROW(E$1:E5803)*(E5804=E$1:E5803)))))</f>
        <v> </v>
      </c>
      <c r="L5804" s="26"/>
    </row>
    <row r="5805" spans="1:12">
      <c r="A5805" s="20"/>
    </row>
    <row r="5806" spans="1:12">
      <c r="A5806" s="20" t="s">
        <v>1060</v>
      </c>
      <c r="E5806" s="21">
        <f>IF(D5806="?OLD","!!!","")</f>
        <v/>
      </c>
      <c r="F5806" s="22" t="str">
        <f>IF(OR(E5806="",E5806="!!!"),"",IF(NOT(ISNA(VLOOKUP(E5806,E$1:E5805,1,FALSE()))),"OLD",IF(AND(E5806&lt;&gt;"",E5806&lt;&gt;"!!!"),"NEW","")))</f>
        <v> </v>
      </c>
      <c r="G5806" s="23" t="str">
        <f>IF(OR(E5806="",E5806="!!!"),"",IF(OR(J5806=0,AND(J5806=1,K5806=1),AND(J5806=1,I5806="SBJ"),AND(J5806=1,I5806=0)),"?IN_FOCUS",IF(J5806&lt;=2,"?ACTIVATED",IF(J5806&lt;&gt;"","?FAMILIAR",IF(F5806="NEW",IF(ISNA(VLOOKUP(E5806,#REF!,1,FALSE())),"?TYPE_IDENTIFIABLE","?REFERENTIAL"),"_")))))</f>
        <v> </v>
      </c>
      <c r="H5806" s="24" t="str">
        <f>IF(J5806&lt;&gt;1,"",IF(I5806="SBJ","CB","?"))</f>
        <v> </v>
      </c>
      <c r="I5806" s="25" t="str">
        <f>IF(OR(E5806="",E5806="!!!",F5806="NEW"),"",INDEX(B5805:B$2,-1+SUMPRODUCT(MAX(ROW(E5805:E$2)*(E5806=E5805:E$2)))))</f>
        <v> </v>
      </c>
      <c r="J5806" s="25" t="str">
        <f>IF(OR(E5806="",E5806="!!!",F5806="NEW"),"",COUNTBLANK(OFFSET(A$1,,,SUMPRODUCT(MAX(ROW(E$2:E5806)*(E5806=E$2:E5806)))))-COUNTBLANK(OFFSET(A$1,,,SUMPRODUCT(MAX(ROW(E$1:E5805)*(E2=E$1:E5805))))))</f>
        <v> </v>
      </c>
      <c r="K5806" s="25" t="str">
        <f>IF(OR(E5806="",E5806="!!!",F5806="NEW"),"",INDEX(J$1:J5805,SUMPRODUCT(MAX(ROW(E$1:E5805)*(E5806=E$1:E5805)))))</f>
        <v> </v>
      </c>
      <c r="L5806" s="26"/>
    </row>
    <row r="5807" spans="1:12">
      <c r="A5807" s="20" t="s">
        <v>2520</v>
      </c>
    </row>
    <row r="5808" spans="1:12">
      <c r="A5808" s="20" t="s">
        <v>1251</v>
      </c>
      <c r="B5808" s="27" t="s">
        <v>967</v>
      </c>
      <c r="C5808" s="27" t="s">
        <v>968</v>
      </c>
      <c r="D5808" s="27" t="s">
        <v>969</v>
      </c>
      <c r="E5808" s="21">
        <f>IF(D5808="?OLD","!!!","")</f>
        <v/>
      </c>
      <c r="F5808" s="22" t="str">
        <f>IF(OR(E5808="",E5808="!!!"),"",IF(NOT(ISNA(VLOOKUP(E5808,E$1:E5807,1,FALSE()))),"OLD",IF(AND(E5808&lt;&gt;"",E5808&lt;&gt;"!!!"),"NEW","")))</f>
        <v> </v>
      </c>
      <c r="G5808" s="23" t="str">
        <f>IF(OR(E5808="",E5808="!!!"),"",IF(OR(J5808=0,AND(J5808=1,K5808=1),AND(J5808=1,I5808="SBJ"),AND(J5808=1,I5808=0)),"?IN_FOCUS",IF(J5808&lt;=2,"?ACTIVATED",IF(J5808&lt;&gt;"","?FAMILIAR",IF(F5808="NEW",IF(ISNA(VLOOKUP(E5808,#REF!,1,FALSE())),"?TYPE_IDENTIFIABLE","?REFERENTIAL"),"_")))))</f>
        <v> </v>
      </c>
      <c r="H5808" s="24" t="str">
        <f>IF(J5808&lt;&gt;1,"",IF(I5808="SBJ","CB","?"))</f>
        <v> </v>
      </c>
      <c r="I5808" s="25" t="str">
        <f>IF(OR(E5808="",E5808="!!!",F5808="NEW"),"",INDEX(B5807:B$2,-1+SUMPRODUCT(MAX(ROW(E5807:E$2)*(E5808=E5807:E$2)))))</f>
        <v> </v>
      </c>
      <c r="J5808" s="25" t="str">
        <f>IF(OR(E5808="",E5808="!!!",F5808="NEW"),"",COUNTBLANK(OFFSET(A$1,,,SUMPRODUCT(MAX(ROW(E$2:E5808)*(E5808=E$2:E5808)))))-COUNTBLANK(OFFSET(A$1,,,SUMPRODUCT(MAX(ROW(E$1:E5807)*(E2=E$1:E5807))))))</f>
        <v> </v>
      </c>
      <c r="K5808" s="25" t="str">
        <f>IF(OR(E5808="",E5808="!!!",F5808="NEW"),"",INDEX(J$1:J5807,SUMPRODUCT(MAX(ROW(E$1:E5807)*(E5808=E$1:E5807)))))</f>
        <v> </v>
      </c>
      <c r="L5808" s="26"/>
    </row>
    <row r="5809" spans="1:12">
      <c r="A5809" s="20" t="s">
        <v>2174</v>
      </c>
      <c r="E5809" s="21">
        <f>IF(D5809="?OLD","!!!","")</f>
        <v/>
      </c>
      <c r="F5809" s="22" t="str">
        <f>IF(OR(E5809="",E5809="!!!"),"",IF(NOT(ISNA(VLOOKUP(E5809,E$1:E5808,1,FALSE()))),"OLD",IF(AND(E5809&lt;&gt;"",E5809&lt;&gt;"!!!"),"NEW","")))</f>
        <v> </v>
      </c>
      <c r="G5809" s="23" t="str">
        <f>IF(OR(E5809="",E5809="!!!"),"",IF(OR(J5809=0,AND(J5809=1,K5809=1),AND(J5809=1,I5809="SBJ"),AND(J5809=1,I5809=0)),"?IN_FOCUS",IF(J5809&lt;=2,"?ACTIVATED",IF(J5809&lt;&gt;"","?FAMILIAR",IF(F5809="NEW",IF(ISNA(VLOOKUP(E5809,#REF!,1,FALSE())),"?TYPE_IDENTIFIABLE","?REFERENTIAL"),"_")))))</f>
        <v> </v>
      </c>
      <c r="H5809" s="24" t="str">
        <f>IF(J5809&lt;&gt;1,"",IF(I5809="SBJ","CB","?"))</f>
        <v> </v>
      </c>
      <c r="I5809" s="25" t="str">
        <f>IF(OR(E5809="",E5809="!!!",F5809="NEW"),"",INDEX(B5808:B$2,-1+SUMPRODUCT(MAX(ROW(E5808:E$2)*(E5809=E5808:E$2)))))</f>
        <v> </v>
      </c>
      <c r="J5809" s="25" t="str">
        <f>IF(OR(E5809="",E5809="!!!",F5809="NEW"),"",COUNTBLANK(OFFSET(A$1,,,SUMPRODUCT(MAX(ROW(E$2:E5809)*(E5809=E$2:E5809)))))-COUNTBLANK(OFFSET(A$1,,,SUMPRODUCT(MAX(ROW(E$1:E5808)*(E2=E$1:E5808))))))</f>
        <v> </v>
      </c>
      <c r="K5809" s="25" t="str">
        <f>IF(OR(E5809="",E5809="!!!",F5809="NEW"),"",INDEX(J$1:J5808,SUMPRODUCT(MAX(ROW(E$1:E5808)*(E5809=E$1:E5808)))))</f>
        <v> </v>
      </c>
      <c r="L5809" s="26"/>
    </row>
    <row r="5810" spans="1:12">
      <c r="A5810" s="20" t="s">
        <v>1213</v>
      </c>
      <c r="B5810" s="27" t="s">
        <v>973</v>
      </c>
      <c r="E5810" s="21">
        <f>IF(D5810="?OLD","!!!","")</f>
        <v/>
      </c>
      <c r="F5810" s="22" t="str">
        <f>IF(OR(E5810="",E5810="!!!"),"",IF(NOT(ISNA(VLOOKUP(E5810,E$1:E5809,1,FALSE()))),"OLD",IF(AND(E5810&lt;&gt;"",E5810&lt;&gt;"!!!"),"NEW","")))</f>
        <v> </v>
      </c>
      <c r="G5810" s="23" t="str">
        <f>IF(OR(E5810="",E5810="!!!"),"",IF(OR(J5810=0,AND(J5810=1,K5810=1),AND(J5810=1,I5810="SBJ"),AND(J5810=1,I5810=0)),"?IN_FOCUS",IF(J5810&lt;=2,"?ACTIVATED",IF(J5810&lt;&gt;"","?FAMILIAR",IF(F5810="NEW",IF(ISNA(VLOOKUP(E5810,#REF!,1,FALSE())),"?TYPE_IDENTIFIABLE","?REFERENTIAL"),"_")))))</f>
        <v> </v>
      </c>
      <c r="H5810" s="24" t="str">
        <f>IF(J5810&lt;&gt;1,"",IF(I5810="SBJ","CB","?"))</f>
        <v> </v>
      </c>
      <c r="I5810" s="25" t="str">
        <f>IF(OR(E5810="",E5810="!!!",F5810="NEW"),"",INDEX(B5809:B$2,-1+SUMPRODUCT(MAX(ROW(E5809:E$2)*(E5810=E5809:E$2)))))</f>
        <v> </v>
      </c>
      <c r="J5810" s="25" t="str">
        <f>IF(OR(E5810="",E5810="!!!",F5810="NEW"),"",COUNTBLANK(OFFSET(A$1,,,SUMPRODUCT(MAX(ROW(E$2:E5810)*(E5810=E$2:E5810)))))-COUNTBLANK(OFFSET(A$1,,,SUMPRODUCT(MAX(ROW(E$1:E5809)*(E2=E$1:E5809))))))</f>
        <v> </v>
      </c>
      <c r="K5810" s="25" t="str">
        <f>IF(OR(E5810="",E5810="!!!",F5810="NEW"),"",INDEX(J$1:J5809,SUMPRODUCT(MAX(ROW(E$1:E5809)*(E5810=E$1:E5809)))))</f>
        <v> </v>
      </c>
      <c r="L5810" s="26"/>
    </row>
    <row r="5811" spans="1:12">
      <c r="A5811" s="20" t="s">
        <v>991</v>
      </c>
      <c r="E5811" s="21">
        <f>IF(D5811="?OLD","!!!","")</f>
        <v/>
      </c>
      <c r="F5811" s="22" t="str">
        <f>IF(OR(E5811="",E5811="!!!"),"",IF(NOT(ISNA(VLOOKUP(E5811,E$1:E5810,1,FALSE()))),"OLD",IF(AND(E5811&lt;&gt;"",E5811&lt;&gt;"!!!"),"NEW","")))</f>
        <v> </v>
      </c>
      <c r="G5811" s="23" t="str">
        <f>IF(OR(E5811="",E5811="!!!"),"",IF(OR(J5811=0,AND(J5811=1,K5811=1),AND(J5811=1,I5811="SBJ"),AND(J5811=1,I5811=0)),"?IN_FOCUS",IF(J5811&lt;=2,"?ACTIVATED",IF(J5811&lt;&gt;"","?FAMILIAR",IF(F5811="NEW",IF(ISNA(VLOOKUP(E5811,#REF!,1,FALSE())),"?TYPE_IDENTIFIABLE","?REFERENTIAL"),"_")))))</f>
        <v> </v>
      </c>
      <c r="H5811" s="24" t="str">
        <f>IF(J5811&lt;&gt;1,"",IF(I5811="SBJ","CB","?"))</f>
        <v> </v>
      </c>
      <c r="I5811" s="25" t="str">
        <f>IF(OR(E5811="",E5811="!!!",F5811="NEW"),"",INDEX(B5810:B$2,-1+SUMPRODUCT(MAX(ROW(E5810:E$2)*(E5811=E5810:E$2)))))</f>
        <v> </v>
      </c>
      <c r="J5811" s="25" t="str">
        <f>IF(OR(E5811="",E5811="!!!",F5811="NEW"),"",COUNTBLANK(OFFSET(A$1,,,SUMPRODUCT(MAX(ROW(E$2:E5811)*(E5811=E$2:E5811)))))-COUNTBLANK(OFFSET(A$1,,,SUMPRODUCT(MAX(ROW(E$1:E5810)*(E2=E$1:E5810))))))</f>
        <v> </v>
      </c>
      <c r="K5811" s="25" t="str">
        <f>IF(OR(E5811="",E5811="!!!",F5811="NEW"),"",INDEX(J$1:J5810,SUMPRODUCT(MAX(ROW(E$1:E5810)*(E5811=E$1:E5810)))))</f>
        <v> </v>
      </c>
      <c r="L5811" s="26"/>
    </row>
    <row r="5812" spans="1:12">
      <c r="A5812" s="20" t="s">
        <v>996</v>
      </c>
      <c r="E5812" s="21">
        <f>IF(D5812="?OLD","!!!","")</f>
        <v/>
      </c>
      <c r="F5812" s="22" t="str">
        <f>IF(OR(E5812="",E5812="!!!"),"",IF(NOT(ISNA(VLOOKUP(E5812,E$1:E5811,1,FALSE()))),"OLD",IF(AND(E5812&lt;&gt;"",E5812&lt;&gt;"!!!"),"NEW","")))</f>
        <v> </v>
      </c>
      <c r="G5812" s="23" t="str">
        <f>IF(OR(E5812="",E5812="!!!"),"",IF(OR(J5812=0,AND(J5812=1,K5812=1),AND(J5812=1,I5812="SBJ"),AND(J5812=1,I5812=0)),"?IN_FOCUS",IF(J5812&lt;=2,"?ACTIVATED",IF(J5812&lt;&gt;"","?FAMILIAR",IF(F5812="NEW",IF(ISNA(VLOOKUP(E5812,#REF!,1,FALSE())),"?TYPE_IDENTIFIABLE","?REFERENTIAL"),"_")))))</f>
        <v> </v>
      </c>
      <c r="H5812" s="24" t="str">
        <f>IF(J5812&lt;&gt;1,"",IF(I5812="SBJ","CB","?"))</f>
        <v> </v>
      </c>
      <c r="I5812" s="25" t="str">
        <f>IF(OR(E5812="",E5812="!!!",F5812="NEW"),"",INDEX(B5811:B$2,-1+SUMPRODUCT(MAX(ROW(E5811:E$2)*(E5812=E5811:E$2)))))</f>
        <v> </v>
      </c>
      <c r="J5812" s="25" t="str">
        <f>IF(OR(E5812="",E5812="!!!",F5812="NEW"),"",COUNTBLANK(OFFSET(A$1,,,SUMPRODUCT(MAX(ROW(E$2:E5812)*(E5812=E$2:E5812)))))-COUNTBLANK(OFFSET(A$1,,,SUMPRODUCT(MAX(ROW(E$1:E5811)*(E2=E$1:E5811))))))</f>
        <v> </v>
      </c>
      <c r="K5812" s="25" t="str">
        <f>IF(OR(E5812="",E5812="!!!",F5812="NEW"),"",INDEX(J$1:J5811,SUMPRODUCT(MAX(ROW(E$1:E5811)*(E5812=E$1:E5811)))))</f>
        <v> </v>
      </c>
      <c r="L5812" s="26"/>
    </row>
    <row r="5813" spans="1:12">
      <c r="A5813" s="20" t="s">
        <v>993</v>
      </c>
      <c r="B5813" s="27" t="s">
        <v>1010</v>
      </c>
      <c r="C5813" s="27" t="s">
        <v>968</v>
      </c>
      <c r="D5813" s="27" t="s">
        <v>969</v>
      </c>
      <c r="E5813" s="21">
        <f>IF(D5813="?OLD","!!!","")</f>
        <v/>
      </c>
      <c r="F5813" s="22" t="str">
        <f>IF(OR(E5813="",E5813="!!!"),"",IF(NOT(ISNA(VLOOKUP(E5813,E$1:E5812,1,FALSE()))),"OLD",IF(AND(E5813&lt;&gt;"",E5813&lt;&gt;"!!!"),"NEW","")))</f>
        <v> </v>
      </c>
      <c r="G5813" s="23" t="str">
        <f>IF(OR(E5813="",E5813="!!!"),"",IF(OR(J5813=0,AND(J5813=1,K5813=1),AND(J5813=1,I5813="SBJ"),AND(J5813=1,I5813=0)),"?IN_FOCUS",IF(J5813&lt;=2,"?ACTIVATED",IF(J5813&lt;&gt;"","?FAMILIAR",IF(F5813="NEW",IF(ISNA(VLOOKUP(E5813,#REF!,1,FALSE())),"?TYPE_IDENTIFIABLE","?REFERENTIAL"),"_")))))</f>
        <v> </v>
      </c>
      <c r="H5813" s="24" t="str">
        <f>IF(J5813&lt;&gt;1,"",IF(I5813="SBJ","CB","?"))</f>
        <v> </v>
      </c>
      <c r="I5813" s="25" t="str">
        <f>IF(OR(E5813="",E5813="!!!",F5813="NEW"),"",INDEX(B5812:B$2,-1+SUMPRODUCT(MAX(ROW(E5812:E$2)*(E5813=E5812:E$2)))))</f>
        <v> </v>
      </c>
      <c r="J5813" s="25" t="str">
        <f>IF(OR(E5813="",E5813="!!!",F5813="NEW"),"",COUNTBLANK(OFFSET(A$1,,,SUMPRODUCT(MAX(ROW(E$2:E5813)*(E5813=E$2:E5813)))))-COUNTBLANK(OFFSET(A$1,,,SUMPRODUCT(MAX(ROW(E$1:E5812)*(E2=E$1:E5812))))))</f>
        <v> </v>
      </c>
      <c r="K5813" s="25" t="str">
        <f>IF(OR(E5813="",E5813="!!!",F5813="NEW"),"",INDEX(J$1:J5812,SUMPRODUCT(MAX(ROW(E$1:E5812)*(E5813=E$1:E5812)))))</f>
        <v> </v>
      </c>
      <c r="L5813" s="26"/>
    </row>
    <row r="5814" spans="1:12">
      <c r="A5814" s="20" t="s">
        <v>2521</v>
      </c>
      <c r="E5814" s="21">
        <f>IF(D5814="?OLD","!!!","")</f>
        <v/>
      </c>
      <c r="F5814" s="22" t="str">
        <f>IF(OR(E5814="",E5814="!!!"),"",IF(NOT(ISNA(VLOOKUP(E5814,E$1:E5813,1,FALSE()))),"OLD",IF(AND(E5814&lt;&gt;"",E5814&lt;&gt;"!!!"),"NEW","")))</f>
        <v> </v>
      </c>
      <c r="G5814" s="23" t="str">
        <f>IF(OR(E5814="",E5814="!!!"),"",IF(OR(J5814=0,AND(J5814=1,K5814=1),AND(J5814=1,I5814="SBJ"),AND(J5814=1,I5814=0)),"?IN_FOCUS",IF(J5814&lt;=2,"?ACTIVATED",IF(J5814&lt;&gt;"","?FAMILIAR",IF(F5814="NEW",IF(ISNA(VLOOKUP(E5814,#REF!,1,FALSE())),"?TYPE_IDENTIFIABLE","?REFERENTIAL"),"_")))))</f>
        <v> </v>
      </c>
      <c r="H5814" s="24" t="str">
        <f>IF(J5814&lt;&gt;1,"",IF(I5814="SBJ","CB","?"))</f>
        <v> </v>
      </c>
      <c r="I5814" s="25" t="str">
        <f>IF(OR(E5814="",E5814="!!!",F5814="NEW"),"",INDEX(B5813:B$2,-1+SUMPRODUCT(MAX(ROW(E5813:E$2)*(E5814=E5813:E$2)))))</f>
        <v> </v>
      </c>
      <c r="J5814" s="25" t="str">
        <f>IF(OR(E5814="",E5814="!!!",F5814="NEW"),"",COUNTBLANK(OFFSET(A$1,,,SUMPRODUCT(MAX(ROW(E$2:E5814)*(E5814=E$2:E5814)))))-COUNTBLANK(OFFSET(A$1,,,SUMPRODUCT(MAX(ROW(E$1:E5813)*(E2=E$1:E5813))))))</f>
        <v> </v>
      </c>
      <c r="K5814" s="25" t="str">
        <f>IF(OR(E5814="",E5814="!!!",F5814="NEW"),"",INDEX(J$1:J5813,SUMPRODUCT(MAX(ROW(E$1:E5813)*(E5814=E$1:E5813)))))</f>
        <v> </v>
      </c>
      <c r="L5814" s="26"/>
    </row>
    <row r="5815" spans="1:12">
      <c r="A5815" s="20" t="s">
        <v>1352</v>
      </c>
      <c r="E5815" s="21">
        <f>IF(D5815="?OLD","!!!","")</f>
        <v/>
      </c>
      <c r="F5815" s="22" t="str">
        <f>IF(OR(E5815="",E5815="!!!"),"",IF(NOT(ISNA(VLOOKUP(E5815,E$1:E5814,1,FALSE()))),"OLD",IF(AND(E5815&lt;&gt;"",E5815&lt;&gt;"!!!"),"NEW","")))</f>
        <v> </v>
      </c>
      <c r="G5815" s="23" t="str">
        <f>IF(OR(E5815="",E5815="!!!"),"",IF(OR(J5815=0,AND(J5815=1,K5815=1),AND(J5815=1,I5815="SBJ"),AND(J5815=1,I5815=0)),"?IN_FOCUS",IF(J5815&lt;=2,"?ACTIVATED",IF(J5815&lt;&gt;"","?FAMILIAR",IF(F5815="NEW",IF(ISNA(VLOOKUP(E5815,#REF!,1,FALSE())),"?TYPE_IDENTIFIABLE","?REFERENTIAL"),"_")))))</f>
        <v> </v>
      </c>
      <c r="H5815" s="24" t="str">
        <f>IF(J5815&lt;&gt;1,"",IF(I5815="SBJ","CB","?"))</f>
        <v> </v>
      </c>
      <c r="I5815" s="25" t="str">
        <f>IF(OR(E5815="",E5815="!!!",F5815="NEW"),"",INDEX(B5814:B$2,-1+SUMPRODUCT(MAX(ROW(E5814:E$2)*(E5815=E5814:E$2)))))</f>
        <v> </v>
      </c>
      <c r="J5815" s="25" t="str">
        <f>IF(OR(E5815="",E5815="!!!",F5815="NEW"),"",COUNTBLANK(OFFSET(A$1,,,SUMPRODUCT(MAX(ROW(E$2:E5815)*(E5815=E$2:E5815)))))-COUNTBLANK(OFFSET(A$1,,,SUMPRODUCT(MAX(ROW(E$1:E5814)*(E2=E$1:E5814))))))</f>
        <v> </v>
      </c>
      <c r="K5815" s="25" t="str">
        <f>IF(OR(E5815="",E5815="!!!",F5815="NEW"),"",INDEX(J$1:J5814,SUMPRODUCT(MAX(ROW(E$1:E5814)*(E5815=E$1:E5814)))))</f>
        <v> </v>
      </c>
      <c r="L5815" s="26"/>
    </row>
    <row r="5816" spans="1:12">
      <c r="A5816" s="20" t="s">
        <v>991</v>
      </c>
      <c r="E5816" s="21">
        <f>IF(D5816="?OLD","!!!","")</f>
        <v/>
      </c>
      <c r="F5816" s="22" t="str">
        <f>IF(OR(E5816="",E5816="!!!"),"",IF(NOT(ISNA(VLOOKUP(E5816,E$1:E5815,1,FALSE()))),"OLD",IF(AND(E5816&lt;&gt;"",E5816&lt;&gt;"!!!"),"NEW","")))</f>
        <v> </v>
      </c>
      <c r="G5816" s="23" t="str">
        <f>IF(OR(E5816="",E5816="!!!"),"",IF(OR(J5816=0,AND(J5816=1,K5816=1),AND(J5816=1,I5816="SBJ"),AND(J5816=1,I5816=0)),"?IN_FOCUS",IF(J5816&lt;=2,"?ACTIVATED",IF(J5816&lt;&gt;"","?FAMILIAR",IF(F5816="NEW",IF(ISNA(VLOOKUP(E5816,#REF!,1,FALSE())),"?TYPE_IDENTIFIABLE","?REFERENTIAL"),"_")))))</f>
        <v> </v>
      </c>
      <c r="H5816" s="24" t="str">
        <f>IF(J5816&lt;&gt;1,"",IF(I5816="SBJ","CB","?"))</f>
        <v> </v>
      </c>
      <c r="I5816" s="25" t="str">
        <f>IF(OR(E5816="",E5816="!!!",F5816="NEW"),"",INDEX(B5815:B$2,-1+SUMPRODUCT(MAX(ROW(E5815:E$2)*(E5816=E5815:E$2)))))</f>
        <v> </v>
      </c>
      <c r="J5816" s="25" t="str">
        <f>IF(OR(E5816="",E5816="!!!",F5816="NEW"),"",COUNTBLANK(OFFSET(A$1,,,SUMPRODUCT(MAX(ROW(E$2:E5816)*(E5816=E$2:E5816)))))-COUNTBLANK(OFFSET(A$1,,,SUMPRODUCT(MAX(ROW(E$1:E5815)*(E2=E$1:E5815))))))</f>
        <v> </v>
      </c>
      <c r="K5816" s="25" t="str">
        <f>IF(OR(E5816="",E5816="!!!",F5816="NEW"),"",INDEX(J$1:J5815,SUMPRODUCT(MAX(ROW(E$1:E5815)*(E5816=E$1:E5815)))))</f>
        <v> </v>
      </c>
      <c r="L5816" s="26"/>
    </row>
    <row r="5817" spans="1:12">
      <c r="A5817" s="20" t="s">
        <v>1888</v>
      </c>
      <c r="B5817" s="27" t="s">
        <v>1031</v>
      </c>
      <c r="C5817" s="27" t="s">
        <v>1001</v>
      </c>
      <c r="E5817" s="21">
        <f>IF(D5817="?OLD","!!!","")</f>
        <v/>
      </c>
      <c r="F5817" s="22" t="str">
        <f>IF(OR(E5817="",E5817="!!!"),"",IF(NOT(ISNA(VLOOKUP(E5817,E$1:E5816,1,FALSE()))),"OLD",IF(AND(E5817&lt;&gt;"",E5817&lt;&gt;"!!!"),"NEW","")))</f>
        <v> </v>
      </c>
      <c r="G5817" s="23" t="str">
        <f>IF(OR(E5817="",E5817="!!!"),"",IF(OR(J5817=0,AND(J5817=1,K5817=1),AND(J5817=1,I5817="SBJ"),AND(J5817=1,I5817=0)),"?IN_FOCUS",IF(J5817&lt;=2,"?ACTIVATED",IF(J5817&lt;&gt;"","?FAMILIAR",IF(F5817="NEW",IF(ISNA(VLOOKUP(E5817,#REF!,1,FALSE())),"?TYPE_IDENTIFIABLE","?REFERENTIAL"),"_")))))</f>
        <v> </v>
      </c>
      <c r="H5817" s="24" t="str">
        <f>IF(J5817&lt;&gt;1,"",IF(I5817="SBJ","CB","?"))</f>
        <v> </v>
      </c>
      <c r="I5817" s="25" t="str">
        <f>IF(OR(E5817="",E5817="!!!",F5817="NEW"),"",INDEX(B5816:B$2,-1+SUMPRODUCT(MAX(ROW(E5816:E$2)*(E5817=E5816:E$2)))))</f>
        <v> </v>
      </c>
      <c r="J5817" s="25" t="str">
        <f>IF(OR(E5817="",E5817="!!!",F5817="NEW"),"",COUNTBLANK(OFFSET(A$1,,,SUMPRODUCT(MAX(ROW(E$2:E5817)*(E5817=E$2:E5817)))))-COUNTBLANK(OFFSET(A$1,,,SUMPRODUCT(MAX(ROW(E$1:E5816)*(E2=E$1:E5816))))))</f>
        <v> </v>
      </c>
      <c r="K5817" s="25" t="str">
        <f>IF(OR(E5817="",E5817="!!!",F5817="NEW"),"",INDEX(J$1:J5816,SUMPRODUCT(MAX(ROW(E$1:E5816)*(E5817=E$1:E5816)))))</f>
        <v> </v>
      </c>
      <c r="L5817" s="26"/>
    </row>
    <row r="5818" spans="1:12">
      <c r="A5818" s="20" t="s">
        <v>999</v>
      </c>
      <c r="E5818" s="21">
        <f>IF(D5818="?OLD","!!!","")</f>
        <v/>
      </c>
      <c r="F5818" s="22" t="str">
        <f>IF(OR(E5818="",E5818="!!!"),"",IF(NOT(ISNA(VLOOKUP(E5818,E$1:E5817,1,FALSE()))),"OLD",IF(AND(E5818&lt;&gt;"",E5818&lt;&gt;"!!!"),"NEW","")))</f>
        <v> </v>
      </c>
      <c r="G5818" s="23" t="str">
        <f>IF(OR(E5818="",E5818="!!!"),"",IF(OR(J5818=0,AND(J5818=1,K5818=1),AND(J5818=1,I5818="SBJ"),AND(J5818=1,I5818=0)),"?IN_FOCUS",IF(J5818&lt;=2,"?ACTIVATED",IF(J5818&lt;&gt;"","?FAMILIAR",IF(F5818="NEW",IF(ISNA(VLOOKUP(E5818,#REF!,1,FALSE())),"?TYPE_IDENTIFIABLE","?REFERENTIAL"),"_")))))</f>
        <v> </v>
      </c>
      <c r="H5818" s="24" t="str">
        <f>IF(J5818&lt;&gt;1,"",IF(I5818="SBJ","CB","?"))</f>
        <v> </v>
      </c>
      <c r="I5818" s="25" t="str">
        <f>IF(OR(E5818="",E5818="!!!",F5818="NEW"),"",INDEX(B5817:B$2,-1+SUMPRODUCT(MAX(ROW(E5817:E$2)*(E5818=E5817:E$2)))))</f>
        <v> </v>
      </c>
      <c r="J5818" s="25" t="str">
        <f>IF(OR(E5818="",E5818="!!!",F5818="NEW"),"",COUNTBLANK(OFFSET(A$1,,,SUMPRODUCT(MAX(ROW(E$2:E5818)*(E5818=E$2:E5818)))))-COUNTBLANK(OFFSET(A$1,,,SUMPRODUCT(MAX(ROW(E$1:E5817)*(E2=E$1:E5817))))))</f>
        <v> </v>
      </c>
      <c r="K5818" s="25" t="str">
        <f>IF(OR(E5818="",E5818="!!!",F5818="NEW"),"",INDEX(J$1:J5817,SUMPRODUCT(MAX(ROW(E$1:E5817)*(E5818=E$1:E5817)))))</f>
        <v> </v>
      </c>
      <c r="L5818" s="26"/>
    </row>
    <row r="5819" spans="1:12">
      <c r="A5819" s="20" t="s">
        <v>150</v>
      </c>
      <c r="E5819" s="21">
        <f>IF(D5819="?OLD","!!!","")</f>
        <v/>
      </c>
      <c r="F5819" s="22" t="str">
        <f>IF(OR(E5819="",E5819="!!!"),"",IF(NOT(ISNA(VLOOKUP(E5819,E$1:E5818,1,FALSE()))),"OLD",IF(AND(E5819&lt;&gt;"",E5819&lt;&gt;"!!!"),"NEW","")))</f>
        <v> </v>
      </c>
      <c r="G5819" s="23" t="str">
        <f>IF(OR(E5819="",E5819="!!!"),"",IF(OR(J5819=0,AND(J5819=1,K5819=1),AND(J5819=1,I5819="SBJ"),AND(J5819=1,I5819=0)),"?IN_FOCUS",IF(J5819&lt;=2,"?ACTIVATED",IF(J5819&lt;&gt;"","?FAMILIAR",IF(F5819="NEW",IF(ISNA(VLOOKUP(E5819,#REF!,1,FALSE())),"?TYPE_IDENTIFIABLE","?REFERENTIAL"),"_")))))</f>
        <v> </v>
      </c>
      <c r="H5819" s="24" t="str">
        <f>IF(J5819&lt;&gt;1,"",IF(I5819="SBJ","CB","?"))</f>
        <v> </v>
      </c>
      <c r="I5819" s="25" t="str">
        <f>IF(OR(E5819="",E5819="!!!",F5819="NEW"),"",INDEX(B5818:B$2,-1+SUMPRODUCT(MAX(ROW(E5818:E$2)*(E5819=E5818:E$2)))))</f>
        <v> </v>
      </c>
      <c r="J5819" s="25" t="str">
        <f>IF(OR(E5819="",E5819="!!!",F5819="NEW"),"",COUNTBLANK(OFFSET(A$1,,,SUMPRODUCT(MAX(ROW(E$2:E5819)*(E5819=E$2:E5819)))))-COUNTBLANK(OFFSET(A$1,,,SUMPRODUCT(MAX(ROW(E$1:E5818)*(E2=E$1:E5818))))))</f>
        <v> </v>
      </c>
      <c r="K5819" s="25" t="str">
        <f>IF(OR(E5819="",E5819="!!!",F5819="NEW"),"",INDEX(J$1:J5818,SUMPRODUCT(MAX(ROW(E$1:E5818)*(E5819=E$1:E5818)))))</f>
        <v> </v>
      </c>
      <c r="L5819" s="26"/>
    </row>
    <row r="5820" spans="1:12">
      <c r="A5820" s="20" t="s">
        <v>991</v>
      </c>
      <c r="E5820" s="21">
        <f>IF(D5820="?OLD","!!!","")</f>
        <v/>
      </c>
      <c r="F5820" s="22" t="str">
        <f>IF(OR(E5820="",E5820="!!!"),"",IF(NOT(ISNA(VLOOKUP(E5820,E$1:E5819,1,FALSE()))),"OLD",IF(AND(E5820&lt;&gt;"",E5820&lt;&gt;"!!!"),"NEW","")))</f>
        <v> </v>
      </c>
      <c r="G5820" s="23" t="str">
        <f>IF(OR(E5820="",E5820="!!!"),"",IF(OR(J5820=0,AND(J5820=1,K5820=1),AND(J5820=1,I5820="SBJ"),AND(J5820=1,I5820=0)),"?IN_FOCUS",IF(J5820&lt;=2,"?ACTIVATED",IF(J5820&lt;&gt;"","?FAMILIAR",IF(F5820="NEW",IF(ISNA(VLOOKUP(E5820,#REF!,1,FALSE())),"?TYPE_IDENTIFIABLE","?REFERENTIAL"),"_")))))</f>
        <v> </v>
      </c>
      <c r="H5820" s="24" t="str">
        <f>IF(J5820&lt;&gt;1,"",IF(I5820="SBJ","CB","?"))</f>
        <v> </v>
      </c>
      <c r="I5820" s="25" t="str">
        <f>IF(OR(E5820="",E5820="!!!",F5820="NEW"),"",INDEX(B5819:B$2,-1+SUMPRODUCT(MAX(ROW(E5819:E$2)*(E5820=E5819:E$2)))))</f>
        <v> </v>
      </c>
      <c r="J5820" s="25" t="str">
        <f>IF(OR(E5820="",E5820="!!!",F5820="NEW"),"",COUNTBLANK(OFFSET(A$1,,,SUMPRODUCT(MAX(ROW(E$2:E5820)*(E5820=E$2:E5820)))))-COUNTBLANK(OFFSET(A$1,,,SUMPRODUCT(MAX(ROW(E$1:E5819)*(E2=E$1:E5819))))))</f>
        <v> </v>
      </c>
      <c r="K5820" s="25" t="str">
        <f>IF(OR(E5820="",E5820="!!!",F5820="NEW"),"",INDEX(J$1:J5819,SUMPRODUCT(MAX(ROW(E$1:E5819)*(E5820=E$1:E5819)))))</f>
        <v> </v>
      </c>
      <c r="L5820" s="26"/>
    </row>
    <row r="5821" spans="1:12">
      <c r="A5821" s="20" t="s">
        <v>1177</v>
      </c>
      <c r="B5821" s="27" t="s">
        <v>1013</v>
      </c>
      <c r="C5821" s="27" t="s">
        <v>1011</v>
      </c>
      <c r="D5821" s="27" t="s">
        <v>969</v>
      </c>
      <c r="E5821" s="21">
        <f>IF(D5821="?OLD","!!!","")</f>
        <v/>
      </c>
      <c r="F5821" s="22" t="str">
        <f>IF(OR(E5821="",E5821="!!!"),"",IF(NOT(ISNA(VLOOKUP(E5821,E$1:E5820,1,FALSE()))),"OLD",IF(AND(E5821&lt;&gt;"",E5821&lt;&gt;"!!!"),"NEW","")))</f>
        <v> </v>
      </c>
      <c r="G5821" s="23" t="str">
        <f>IF(OR(E5821="",E5821="!!!"),"",IF(OR(J5821=0,AND(J5821=1,K5821=1),AND(J5821=1,I5821="SBJ"),AND(J5821=1,I5821=0)),"?IN_FOCUS",IF(J5821&lt;=2,"?ACTIVATED",IF(J5821&lt;&gt;"","?FAMILIAR",IF(F5821="NEW",IF(ISNA(VLOOKUP(E5821,#REF!,1,FALSE())),"?TYPE_IDENTIFIABLE","?REFERENTIAL"),"_")))))</f>
        <v> </v>
      </c>
      <c r="H5821" s="24" t="str">
        <f>IF(J5821&lt;&gt;1,"",IF(I5821="SBJ","CB","?"))</f>
        <v> </v>
      </c>
      <c r="I5821" s="25" t="str">
        <f>IF(OR(E5821="",E5821="!!!",F5821="NEW"),"",INDEX(B5820:B$2,-1+SUMPRODUCT(MAX(ROW(E5820:E$2)*(E5821=E5820:E$2)))))</f>
        <v> </v>
      </c>
      <c r="J5821" s="25" t="str">
        <f>IF(OR(E5821="",E5821="!!!",F5821="NEW"),"",COUNTBLANK(OFFSET(A$1,,,SUMPRODUCT(MAX(ROW(E$2:E5821)*(E5821=E$2:E5821)))))-COUNTBLANK(OFFSET(A$1,,,SUMPRODUCT(MAX(ROW(E$1:E5820)*(E2=E$1:E5820))))))</f>
        <v> </v>
      </c>
      <c r="K5821" s="25" t="str">
        <f>IF(OR(E5821="",E5821="!!!",F5821="NEW"),"",INDEX(J$1:J5820,SUMPRODUCT(MAX(ROW(E$1:E5820)*(E5821=E$1:E5820)))))</f>
        <v> </v>
      </c>
      <c r="L5821" s="26"/>
    </row>
    <row r="5822" spans="1:12">
      <c r="A5822" s="20" t="s">
        <v>993</v>
      </c>
      <c r="B5822" s="27" t="s">
        <v>1010</v>
      </c>
      <c r="C5822" s="27" t="s">
        <v>968</v>
      </c>
      <c r="D5822" s="27" t="s">
        <v>969</v>
      </c>
      <c r="E5822" s="21">
        <f>IF(D5822="?OLD","!!!","")</f>
        <v/>
      </c>
      <c r="F5822" s="22" t="str">
        <f>IF(OR(E5822="",E5822="!!!"),"",IF(NOT(ISNA(VLOOKUP(E5822,E$1:E5821,1,FALSE()))),"OLD",IF(AND(E5822&lt;&gt;"",E5822&lt;&gt;"!!!"),"NEW","")))</f>
        <v> </v>
      </c>
      <c r="G5822" s="23" t="str">
        <f>IF(OR(E5822="",E5822="!!!"),"",IF(OR(J5822=0,AND(J5822=1,K5822=1),AND(J5822=1,I5822="SBJ"),AND(J5822=1,I5822=0)),"?IN_FOCUS",IF(J5822&lt;=2,"?ACTIVATED",IF(J5822&lt;&gt;"","?FAMILIAR",IF(F5822="NEW",IF(ISNA(VLOOKUP(E5822,#REF!,1,FALSE())),"?TYPE_IDENTIFIABLE","?REFERENTIAL"),"_")))))</f>
        <v> </v>
      </c>
      <c r="H5822" s="24" t="str">
        <f>IF(J5822&lt;&gt;1,"",IF(I5822="SBJ","CB","?"))</f>
        <v> </v>
      </c>
      <c r="I5822" s="25" t="str">
        <f>IF(OR(E5822="",E5822="!!!",F5822="NEW"),"",INDEX(B5821:B$2,-1+SUMPRODUCT(MAX(ROW(E5821:E$2)*(E5822=E5821:E$2)))))</f>
        <v> </v>
      </c>
      <c r="J5822" s="25" t="str">
        <f>IF(OR(E5822="",E5822="!!!",F5822="NEW"),"",COUNTBLANK(OFFSET(A$1,,,SUMPRODUCT(MAX(ROW(E$2:E5822)*(E5822=E$2:E5822)))))-COUNTBLANK(OFFSET(A$1,,,SUMPRODUCT(MAX(ROW(E$1:E5821)*(E2=E$1:E5821))))))</f>
        <v> </v>
      </c>
      <c r="K5822" s="25" t="str">
        <f>IF(OR(E5822="",E5822="!!!",F5822="NEW"),"",INDEX(J$1:J5821,SUMPRODUCT(MAX(ROW(E$1:E5821)*(E5822=E$1:E5821)))))</f>
        <v> </v>
      </c>
      <c r="L5822" s="26"/>
    </row>
    <row r="5823" spans="1:12">
      <c r="A5823" s="20" t="s">
        <v>2098</v>
      </c>
      <c r="E5823" s="21">
        <f>IF(D5823="?OLD","!!!","")</f>
        <v/>
      </c>
      <c r="F5823" s="22" t="str">
        <f>IF(OR(E5823="",E5823="!!!"),"",IF(NOT(ISNA(VLOOKUP(E5823,E$1:E5822,1,FALSE()))),"OLD",IF(AND(E5823&lt;&gt;"",E5823&lt;&gt;"!!!"),"NEW","")))</f>
        <v> </v>
      </c>
      <c r="G5823" s="23" t="str">
        <f>IF(OR(E5823="",E5823="!!!"),"",IF(OR(J5823=0,AND(J5823=1,K5823=1),AND(J5823=1,I5823="SBJ"),AND(J5823=1,I5823=0)),"?IN_FOCUS",IF(J5823&lt;=2,"?ACTIVATED",IF(J5823&lt;&gt;"","?FAMILIAR",IF(F5823="NEW",IF(ISNA(VLOOKUP(E5823,#REF!,1,FALSE())),"?TYPE_IDENTIFIABLE","?REFERENTIAL"),"_")))))</f>
        <v> </v>
      </c>
      <c r="H5823" s="24" t="str">
        <f>IF(J5823&lt;&gt;1,"",IF(I5823="SBJ","CB","?"))</f>
        <v> </v>
      </c>
      <c r="I5823" s="25" t="str">
        <f>IF(OR(E5823="",E5823="!!!",F5823="NEW"),"",INDEX(B5822:B$2,-1+SUMPRODUCT(MAX(ROW(E5822:E$2)*(E5823=E5822:E$2)))))</f>
        <v> </v>
      </c>
      <c r="J5823" s="25" t="str">
        <f>IF(OR(E5823="",E5823="!!!",F5823="NEW"),"",COUNTBLANK(OFFSET(A$1,,,SUMPRODUCT(MAX(ROW(E$2:E5823)*(E5823=E$2:E5823)))))-COUNTBLANK(OFFSET(A$1,,,SUMPRODUCT(MAX(ROW(E$1:E5822)*(E2=E$1:E5822))))))</f>
        <v> </v>
      </c>
      <c r="K5823" s="25" t="str">
        <f>IF(OR(E5823="",E5823="!!!",F5823="NEW"),"",INDEX(J$1:J5822,SUMPRODUCT(MAX(ROW(E$1:E5822)*(E5823=E$1:E5822)))))</f>
        <v> </v>
      </c>
      <c r="L5823" s="26"/>
    </row>
    <row r="5824" spans="1:12">
      <c r="A5824" s="20" t="s">
        <v>1005</v>
      </c>
      <c r="E5824" s="21">
        <f>IF(D5824="?OLD","!!!","")</f>
        <v/>
      </c>
      <c r="F5824" s="22" t="str">
        <f>IF(OR(E5824="",E5824="!!!"),"",IF(NOT(ISNA(VLOOKUP(E5824,E$1:E5823,1,FALSE()))),"OLD",IF(AND(E5824&lt;&gt;"",E5824&lt;&gt;"!!!"),"NEW","")))</f>
        <v> </v>
      </c>
      <c r="G5824" s="23" t="str">
        <f>IF(OR(E5824="",E5824="!!!"),"",IF(OR(J5824=0,AND(J5824=1,K5824=1),AND(J5824=1,I5824="SBJ"),AND(J5824=1,I5824=0)),"?IN_FOCUS",IF(J5824&lt;=2,"?ACTIVATED",IF(J5824&lt;&gt;"","?FAMILIAR",IF(F5824="NEW",IF(ISNA(VLOOKUP(E5824,#REF!,1,FALSE())),"?TYPE_IDENTIFIABLE","?REFERENTIAL"),"_")))))</f>
        <v> </v>
      </c>
      <c r="H5824" s="24" t="str">
        <f>IF(J5824&lt;&gt;1,"",IF(I5824="SBJ","CB","?"))</f>
        <v> </v>
      </c>
      <c r="I5824" s="25" t="str">
        <f>IF(OR(E5824="",E5824="!!!",F5824="NEW"),"",INDEX(B5823:B$2,-1+SUMPRODUCT(MAX(ROW(E5823:E$2)*(E5824=E5823:E$2)))))</f>
        <v> </v>
      </c>
      <c r="J5824" s="25" t="str">
        <f>IF(OR(E5824="",E5824="!!!",F5824="NEW"),"",COUNTBLANK(OFFSET(A$1,,,SUMPRODUCT(MAX(ROW(E$2:E5824)*(E5824=E$2:E5824)))))-COUNTBLANK(OFFSET(A$1,,,SUMPRODUCT(MAX(ROW(E$1:E5823)*(E2=E$1:E5823))))))</f>
        <v> </v>
      </c>
      <c r="K5824" s="25" t="str">
        <f>IF(OR(E5824="",E5824="!!!",F5824="NEW"),"",INDEX(J$1:J5823,SUMPRODUCT(MAX(ROW(E$1:E5823)*(E5824=E$1:E5823)))))</f>
        <v> </v>
      </c>
      <c r="L5824" s="26"/>
    </row>
    <row r="5825" spans="1:12">
      <c r="A5825" s="20" t="s">
        <v>965</v>
      </c>
      <c r="E5825" s="21">
        <f>IF(D5825="?OLD","!!!","")</f>
        <v/>
      </c>
      <c r="F5825" s="22" t="str">
        <f>IF(OR(E5825="",E5825="!!!"),"",IF(NOT(ISNA(VLOOKUP(E5825,E$1:E5824,1,FALSE()))),"OLD",IF(AND(E5825&lt;&gt;"",E5825&lt;&gt;"!!!"),"NEW","")))</f>
        <v> </v>
      </c>
      <c r="G5825" s="23" t="str">
        <f>IF(OR(E5825="",E5825="!!!"),"",IF(OR(J5825=0,AND(J5825=1,K5825=1),AND(J5825=1,I5825="SBJ"),AND(J5825=1,I5825=0)),"?IN_FOCUS",IF(J5825&lt;=2,"?ACTIVATED",IF(J5825&lt;&gt;"","?FAMILIAR",IF(F5825="NEW",IF(ISNA(VLOOKUP(E5825,#REF!,1,FALSE())),"?TYPE_IDENTIFIABLE","?REFERENTIAL"),"_")))))</f>
        <v> </v>
      </c>
      <c r="H5825" s="24" t="str">
        <f>IF(J5825&lt;&gt;1,"",IF(I5825="SBJ","CB","?"))</f>
        <v> </v>
      </c>
      <c r="I5825" s="25" t="str">
        <f>IF(OR(E5825="",E5825="!!!",F5825="NEW"),"",INDEX(B5824:B$2,-1+SUMPRODUCT(MAX(ROW(E5824:E$2)*(E5825=E5824:E$2)))))</f>
        <v> </v>
      </c>
      <c r="J5825" s="25" t="str">
        <f>IF(OR(E5825="",E5825="!!!",F5825="NEW"),"",COUNTBLANK(OFFSET(A$1,,,SUMPRODUCT(MAX(ROW(E$2:E5825)*(E5825=E$2:E5825)))))-COUNTBLANK(OFFSET(A$1,,,SUMPRODUCT(MAX(ROW(E$1:E5824)*(E2=E$1:E5824))))))</f>
        <v> </v>
      </c>
      <c r="K5825" s="25" t="str">
        <f>IF(OR(E5825="",E5825="!!!",F5825="NEW"),"",INDEX(J$1:J5824,SUMPRODUCT(MAX(ROW(E$1:E5824)*(E5825=E$1:E5824)))))</f>
        <v> </v>
      </c>
      <c r="L5825" s="26"/>
    </row>
    <row r="5826" spans="1:12">
      <c r="A5826" s="20"/>
    </row>
    <row r="5827" spans="1:12">
      <c r="A5827" s="20" t="s">
        <v>2522</v>
      </c>
    </row>
    <row r="5828" spans="1:12">
      <c r="A5828" s="20" t="s">
        <v>1093</v>
      </c>
      <c r="E5828" s="21">
        <f>IF(D5828="?OLD","!!!","")</f>
        <v/>
      </c>
      <c r="F5828" s="22" t="str">
        <f>IF(OR(E5828="",E5828="!!!"),"",IF(NOT(ISNA(VLOOKUP(E5828,E$1:E5827,1,FALSE()))),"OLD",IF(AND(E5828&lt;&gt;"",E5828&lt;&gt;"!!!"),"NEW","")))</f>
        <v> </v>
      </c>
      <c r="G5828" s="23" t="str">
        <f>IF(OR(E5828="",E5828="!!!"),"",IF(OR(J5828=0,AND(J5828=1,K5828=1),AND(J5828=1,I5828="SBJ"),AND(J5828=1,I5828=0)),"?IN_FOCUS",IF(J5828&lt;=2,"?ACTIVATED",IF(J5828&lt;&gt;"","?FAMILIAR",IF(F5828="NEW",IF(ISNA(VLOOKUP(E5828,#REF!,1,FALSE())),"?TYPE_IDENTIFIABLE","?REFERENTIAL"),"_")))))</f>
        <v> </v>
      </c>
      <c r="H5828" s="24" t="str">
        <f>IF(J5828&lt;&gt;1,"",IF(I5828="SBJ","CB","?"))</f>
        <v> </v>
      </c>
      <c r="I5828" s="25" t="str">
        <f>IF(OR(E5828="",E5828="!!!",F5828="NEW"),"",INDEX(B5827:B$2,-1+SUMPRODUCT(MAX(ROW(E5827:E$2)*(E5828=E5827:E$2)))))</f>
        <v> </v>
      </c>
      <c r="J5828" s="25" t="str">
        <f>IF(OR(E5828="",E5828="!!!",F5828="NEW"),"",COUNTBLANK(OFFSET(A$1,,,SUMPRODUCT(MAX(ROW(E$2:E5828)*(E5828=E$2:E5828)))))-COUNTBLANK(OFFSET(A$1,,,SUMPRODUCT(MAX(ROW(E$1:E5827)*(E2=E$1:E5827))))))</f>
        <v> </v>
      </c>
      <c r="K5828" s="25" t="str">
        <f>IF(OR(E5828="",E5828="!!!",F5828="NEW"),"",INDEX(J$1:J5827,SUMPRODUCT(MAX(ROW(E$1:E5827)*(E5828=E$1:E5827)))))</f>
        <v> </v>
      </c>
      <c r="L5828" s="26"/>
    </row>
    <row r="5829" spans="1:12">
      <c r="A5829" s="20" t="s">
        <v>1733</v>
      </c>
      <c r="E5829" s="21">
        <f>IF(D5829="?OLD","!!!","")</f>
        <v/>
      </c>
      <c r="F5829" s="22" t="str">
        <f>IF(OR(E5829="",E5829="!!!"),"",IF(NOT(ISNA(VLOOKUP(E5829,E$1:E5828,1,FALSE()))),"OLD",IF(AND(E5829&lt;&gt;"",E5829&lt;&gt;"!!!"),"NEW","")))</f>
        <v> </v>
      </c>
      <c r="G5829" s="23" t="str">
        <f>IF(OR(E5829="",E5829="!!!"),"",IF(OR(J5829=0,AND(J5829=1,K5829=1),AND(J5829=1,I5829="SBJ"),AND(J5829=1,I5829=0)),"?IN_FOCUS",IF(J5829&lt;=2,"?ACTIVATED",IF(J5829&lt;&gt;"","?FAMILIAR",IF(F5829="NEW",IF(ISNA(VLOOKUP(E5829,#REF!,1,FALSE())),"?TYPE_IDENTIFIABLE","?REFERENTIAL"),"_")))))</f>
        <v> </v>
      </c>
      <c r="H5829" s="24" t="str">
        <f>IF(J5829&lt;&gt;1,"",IF(I5829="SBJ","CB","?"))</f>
        <v> </v>
      </c>
      <c r="I5829" s="25" t="str">
        <f>IF(OR(E5829="",E5829="!!!",F5829="NEW"),"",INDEX(B5828:B$2,-1+SUMPRODUCT(MAX(ROW(E5828:E$2)*(E5829=E5828:E$2)))))</f>
        <v> </v>
      </c>
      <c r="J5829" s="25" t="str">
        <f>IF(OR(E5829="",E5829="!!!",F5829="NEW"),"",COUNTBLANK(OFFSET(A$1,,,SUMPRODUCT(MAX(ROW(E$2:E5829)*(E5829=E$2:E5829)))))-COUNTBLANK(OFFSET(A$1,,,SUMPRODUCT(MAX(ROW(E$1:E5828)*(E2=E$1:E5828))))))</f>
        <v> </v>
      </c>
      <c r="K5829" s="25" t="str">
        <f>IF(OR(E5829="",E5829="!!!",F5829="NEW"),"",INDEX(J$1:J5828,SUMPRODUCT(MAX(ROW(E$1:E5828)*(E5829=E$1:E5828)))))</f>
        <v> </v>
      </c>
      <c r="L5829" s="26"/>
    </row>
    <row r="5830" spans="1:12">
      <c r="A5830" s="20" t="s">
        <v>1078</v>
      </c>
      <c r="B5830" s="27" t="s">
        <v>967</v>
      </c>
      <c r="C5830" s="27" t="s">
        <v>979</v>
      </c>
      <c r="D5830" s="27" t="s">
        <v>969</v>
      </c>
      <c r="E5830" s="21">
        <f>IF(D5830="?OLD","!!!","")</f>
        <v/>
      </c>
      <c r="F5830" s="22" t="str">
        <f>IF(OR(E5830="",E5830="!!!"),"",IF(NOT(ISNA(VLOOKUP(E5830,E$1:E5829,1,FALSE()))),"OLD",IF(AND(E5830&lt;&gt;"",E5830&lt;&gt;"!!!"),"NEW","")))</f>
        <v> </v>
      </c>
      <c r="G5830" s="23" t="str">
        <f>IF(OR(E5830="",E5830="!!!"),"",IF(OR(J5830=0,AND(J5830=1,K5830=1),AND(J5830=1,I5830="SBJ"),AND(J5830=1,I5830=0)),"?IN_FOCUS",IF(J5830&lt;=2,"?ACTIVATED",IF(J5830&lt;&gt;"","?FAMILIAR",IF(F5830="NEW",IF(ISNA(VLOOKUP(E5830,#REF!,1,FALSE())),"?TYPE_IDENTIFIABLE","?REFERENTIAL"),"_")))))</f>
        <v> </v>
      </c>
      <c r="H5830" s="24" t="str">
        <f>IF(J5830&lt;&gt;1,"",IF(I5830="SBJ","CB","?"))</f>
        <v> </v>
      </c>
      <c r="I5830" s="25" t="str">
        <f>IF(OR(E5830="",E5830="!!!",F5830="NEW"),"",INDEX(B5829:B$2,-1+SUMPRODUCT(MAX(ROW(E5829:E$2)*(E5830=E5829:E$2)))))</f>
        <v> </v>
      </c>
      <c r="J5830" s="25" t="str">
        <f>IF(OR(E5830="",E5830="!!!",F5830="NEW"),"",COUNTBLANK(OFFSET(A$1,,,SUMPRODUCT(MAX(ROW(E$2:E5830)*(E5830=E$2:E5830)))))-COUNTBLANK(OFFSET(A$1,,,SUMPRODUCT(MAX(ROW(E$1:E5829)*(E2=E$1:E5829))))))</f>
        <v> </v>
      </c>
      <c r="K5830" s="25" t="str">
        <f>IF(OR(E5830="",E5830="!!!",F5830="NEW"),"",INDEX(J$1:J5829,SUMPRODUCT(MAX(ROW(E$1:E5829)*(E5830=E$1:E5829)))))</f>
        <v> </v>
      </c>
      <c r="L5830" s="26"/>
    </row>
    <row r="5831" spans="1:12">
      <c r="A5831" s="20" t="s">
        <v>999</v>
      </c>
      <c r="E5831" s="21">
        <f>IF(D5831="?OLD","!!!","")</f>
        <v/>
      </c>
      <c r="F5831" s="22" t="str">
        <f>IF(OR(E5831="",E5831="!!!"),"",IF(NOT(ISNA(VLOOKUP(E5831,E$1:E5830,1,FALSE()))),"OLD",IF(AND(E5831&lt;&gt;"",E5831&lt;&gt;"!!!"),"NEW","")))</f>
        <v> </v>
      </c>
      <c r="G5831" s="23" t="str">
        <f>IF(OR(E5831="",E5831="!!!"),"",IF(OR(J5831=0,AND(J5831=1,K5831=1),AND(J5831=1,I5831="SBJ"),AND(J5831=1,I5831=0)),"?IN_FOCUS",IF(J5831&lt;=2,"?ACTIVATED",IF(J5831&lt;&gt;"","?FAMILIAR",IF(F5831="NEW",IF(ISNA(VLOOKUP(E5831,#REF!,1,FALSE())),"?TYPE_IDENTIFIABLE","?REFERENTIAL"),"_")))))</f>
        <v> </v>
      </c>
      <c r="H5831" s="24" t="str">
        <f>IF(J5831&lt;&gt;1,"",IF(I5831="SBJ","CB","?"))</f>
        <v> </v>
      </c>
      <c r="I5831" s="25" t="str">
        <f>IF(OR(E5831="",E5831="!!!",F5831="NEW"),"",INDEX(B5830:B$2,-1+SUMPRODUCT(MAX(ROW(E5830:E$2)*(E5831=E5830:E$2)))))</f>
        <v> </v>
      </c>
      <c r="J5831" s="25" t="str">
        <f>IF(OR(E5831="",E5831="!!!",F5831="NEW"),"",COUNTBLANK(OFFSET(A$1,,,SUMPRODUCT(MAX(ROW(E$2:E5831)*(E5831=E$2:E5831)))))-COUNTBLANK(OFFSET(A$1,,,SUMPRODUCT(MAX(ROW(E$1:E5830)*(E2=E$1:E5830))))))</f>
        <v> </v>
      </c>
      <c r="K5831" s="25" t="str">
        <f>IF(OR(E5831="",E5831="!!!",F5831="NEW"),"",INDEX(J$1:J5830,SUMPRODUCT(MAX(ROW(E$1:E5830)*(E5831=E$1:E5830)))))</f>
        <v> </v>
      </c>
      <c r="L5831" s="26"/>
    </row>
    <row r="5832" spans="1:12">
      <c r="A5832" s="20" t="s">
        <v>2523</v>
      </c>
      <c r="E5832" s="21">
        <f>IF(D5832="?OLD","!!!","")</f>
        <v/>
      </c>
      <c r="F5832" s="22" t="str">
        <f>IF(OR(E5832="",E5832="!!!"),"",IF(NOT(ISNA(VLOOKUP(E5832,E$1:E5831,1,FALSE()))),"OLD",IF(AND(E5832&lt;&gt;"",E5832&lt;&gt;"!!!"),"NEW","")))</f>
        <v> </v>
      </c>
      <c r="G5832" s="23" t="str">
        <f>IF(OR(E5832="",E5832="!!!"),"",IF(OR(J5832=0,AND(J5832=1,K5832=1),AND(J5832=1,I5832="SBJ"),AND(J5832=1,I5832=0)),"?IN_FOCUS",IF(J5832&lt;=2,"?ACTIVATED",IF(J5832&lt;&gt;"","?FAMILIAR",IF(F5832="NEW",IF(ISNA(VLOOKUP(E5832,#REF!,1,FALSE())),"?TYPE_IDENTIFIABLE","?REFERENTIAL"),"_")))))</f>
        <v> </v>
      </c>
      <c r="H5832" s="24" t="str">
        <f>IF(J5832&lt;&gt;1,"",IF(I5832="SBJ","CB","?"))</f>
        <v> </v>
      </c>
      <c r="I5832" s="25" t="str">
        <f>IF(OR(E5832="",E5832="!!!",F5832="NEW"),"",INDEX(B5831:B$2,-1+SUMPRODUCT(MAX(ROW(E5831:E$2)*(E5832=E5831:E$2)))))</f>
        <v> </v>
      </c>
      <c r="J5832" s="25" t="str">
        <f>IF(OR(E5832="",E5832="!!!",F5832="NEW"),"",COUNTBLANK(OFFSET(A$1,,,SUMPRODUCT(MAX(ROW(E$2:E5832)*(E5832=E$2:E5832)))))-COUNTBLANK(OFFSET(A$1,,,SUMPRODUCT(MAX(ROW(E$1:E5831)*(E2=E$1:E5831))))))</f>
        <v> </v>
      </c>
      <c r="K5832" s="25" t="str">
        <f>IF(OR(E5832="",E5832="!!!",F5832="NEW"),"",INDEX(J$1:J5831,SUMPRODUCT(MAX(ROW(E$1:E5831)*(E5832=E$1:E5831)))))</f>
        <v> </v>
      </c>
      <c r="L5832" s="26"/>
    </row>
    <row r="5833" spans="1:12">
      <c r="A5833" s="20" t="s">
        <v>991</v>
      </c>
      <c r="E5833" s="21">
        <f>IF(D5833="?OLD","!!!","")</f>
        <v/>
      </c>
      <c r="F5833" s="22" t="str">
        <f>IF(OR(E5833="",E5833="!!!"),"",IF(NOT(ISNA(VLOOKUP(E5833,E$1:E5832,1,FALSE()))),"OLD",IF(AND(E5833&lt;&gt;"",E5833&lt;&gt;"!!!"),"NEW","")))</f>
        <v> </v>
      </c>
      <c r="G5833" s="23" t="str">
        <f>IF(OR(E5833="",E5833="!!!"),"",IF(OR(J5833=0,AND(J5833=1,K5833=1),AND(J5833=1,I5833="SBJ"),AND(J5833=1,I5833=0)),"?IN_FOCUS",IF(J5833&lt;=2,"?ACTIVATED",IF(J5833&lt;&gt;"","?FAMILIAR",IF(F5833="NEW",IF(ISNA(VLOOKUP(E5833,#REF!,1,FALSE())),"?TYPE_IDENTIFIABLE","?REFERENTIAL"),"_")))))</f>
        <v> </v>
      </c>
      <c r="H5833" s="24" t="str">
        <f>IF(J5833&lt;&gt;1,"",IF(I5833="SBJ","CB","?"))</f>
        <v> </v>
      </c>
      <c r="I5833" s="25" t="str">
        <f>IF(OR(E5833="",E5833="!!!",F5833="NEW"),"",INDEX(B5832:B$2,-1+SUMPRODUCT(MAX(ROW(E5832:E$2)*(E5833=E5832:E$2)))))</f>
        <v> </v>
      </c>
      <c r="J5833" s="25" t="str">
        <f>IF(OR(E5833="",E5833="!!!",F5833="NEW"),"",COUNTBLANK(OFFSET(A$1,,,SUMPRODUCT(MAX(ROW(E$2:E5833)*(E5833=E$2:E5833)))))-COUNTBLANK(OFFSET(A$1,,,SUMPRODUCT(MAX(ROW(E$1:E5832)*(E2=E$1:E5832))))))</f>
        <v> </v>
      </c>
      <c r="K5833" s="25" t="str">
        <f>IF(OR(E5833="",E5833="!!!",F5833="NEW"),"",INDEX(J$1:J5832,SUMPRODUCT(MAX(ROW(E$1:E5832)*(E5833=E$1:E5832)))))</f>
        <v> </v>
      </c>
      <c r="L5833" s="26"/>
    </row>
    <row r="5834" spans="1:12">
      <c r="A5834" s="20" t="s">
        <v>2524</v>
      </c>
      <c r="E5834" s="21">
        <f>IF(D5834="?OLD","!!!","")</f>
        <v/>
      </c>
      <c r="F5834" s="22" t="str">
        <f>IF(OR(E5834="",E5834="!!!"),"",IF(NOT(ISNA(VLOOKUP(E5834,E$1:E5833,1,FALSE()))),"OLD",IF(AND(E5834&lt;&gt;"",E5834&lt;&gt;"!!!"),"NEW","")))</f>
        <v> </v>
      </c>
      <c r="G5834" s="23" t="str">
        <f>IF(OR(E5834="",E5834="!!!"),"",IF(OR(J5834=0,AND(J5834=1,K5834=1),AND(J5834=1,I5834="SBJ"),AND(J5834=1,I5834=0)),"?IN_FOCUS",IF(J5834&lt;=2,"?ACTIVATED",IF(J5834&lt;&gt;"","?FAMILIAR",IF(F5834="NEW",IF(ISNA(VLOOKUP(E5834,#REF!,1,FALSE())),"?TYPE_IDENTIFIABLE","?REFERENTIAL"),"_")))))</f>
        <v> </v>
      </c>
      <c r="H5834" s="24" t="str">
        <f>IF(J5834&lt;&gt;1,"",IF(I5834="SBJ","CB","?"))</f>
        <v> </v>
      </c>
      <c r="I5834" s="25" t="str">
        <f>IF(OR(E5834="",E5834="!!!",F5834="NEW"),"",INDEX(B5833:B$2,-1+SUMPRODUCT(MAX(ROW(E5833:E$2)*(E5834=E5833:E$2)))))</f>
        <v> </v>
      </c>
      <c r="J5834" s="25" t="str">
        <f>IF(OR(E5834="",E5834="!!!",F5834="NEW"),"",COUNTBLANK(OFFSET(A$1,,,SUMPRODUCT(MAX(ROW(E$2:E5834)*(E5834=E$2:E5834)))))-COUNTBLANK(OFFSET(A$1,,,SUMPRODUCT(MAX(ROW(E$1:E5833)*(E2=E$1:E5833))))))</f>
        <v> </v>
      </c>
      <c r="K5834" s="25" t="str">
        <f>IF(OR(E5834="",E5834="!!!",F5834="NEW"),"",INDEX(J$1:J5833,SUMPRODUCT(MAX(ROW(E$1:E5833)*(E5834=E$1:E5833)))))</f>
        <v> </v>
      </c>
      <c r="L5834" s="26"/>
    </row>
    <row r="5835" spans="1:12">
      <c r="A5835" s="20" t="s">
        <v>1832</v>
      </c>
      <c r="B5835" s="27" t="s">
        <v>978</v>
      </c>
      <c r="C5835" s="27" t="s">
        <v>1011</v>
      </c>
      <c r="D5835" s="27" t="s">
        <v>969</v>
      </c>
      <c r="E5835" s="21">
        <f>IF(D5835="?OLD","!!!","")</f>
        <v/>
      </c>
      <c r="F5835" s="22" t="str">
        <f>IF(OR(E5835="",E5835="!!!"),"",IF(NOT(ISNA(VLOOKUP(E5835,E$1:E5834,1,FALSE()))),"OLD",IF(AND(E5835&lt;&gt;"",E5835&lt;&gt;"!!!"),"NEW","")))</f>
        <v> </v>
      </c>
      <c r="G5835" s="23" t="str">
        <f>IF(OR(E5835="",E5835="!!!"),"",IF(OR(J5835=0,AND(J5835=1,K5835=1),AND(J5835=1,I5835="SBJ"),AND(J5835=1,I5835=0)),"?IN_FOCUS",IF(J5835&lt;=2,"?ACTIVATED",IF(J5835&lt;&gt;"","?FAMILIAR",IF(F5835="NEW",IF(ISNA(VLOOKUP(E5835,#REF!,1,FALSE())),"?TYPE_IDENTIFIABLE","?REFERENTIAL"),"_")))))</f>
        <v> </v>
      </c>
      <c r="H5835" s="24" t="str">
        <f>IF(J5835&lt;&gt;1,"",IF(I5835="SBJ","CB","?"))</f>
        <v> </v>
      </c>
      <c r="I5835" s="25" t="str">
        <f>IF(OR(E5835="",E5835="!!!",F5835="NEW"),"",INDEX(B5834:B$2,-1+SUMPRODUCT(MAX(ROW(E5834:E$2)*(E5835=E5834:E$2)))))</f>
        <v> </v>
      </c>
      <c r="J5835" s="25" t="str">
        <f>IF(OR(E5835="",E5835="!!!",F5835="NEW"),"",COUNTBLANK(OFFSET(A$1,,,SUMPRODUCT(MAX(ROW(E$2:E5835)*(E5835=E$2:E5835)))))-COUNTBLANK(OFFSET(A$1,,,SUMPRODUCT(MAX(ROW(E$1:E5834)*(E2=E$1:E5834))))))</f>
        <v> </v>
      </c>
      <c r="K5835" s="25" t="str">
        <f>IF(OR(E5835="",E5835="!!!",F5835="NEW"),"",INDEX(J$1:J5834,SUMPRODUCT(MAX(ROW(E$1:E5834)*(E5835=E$1:E5834)))))</f>
        <v> </v>
      </c>
      <c r="L5835" s="26"/>
    </row>
    <row r="5836" spans="1:12">
      <c r="A5836" s="20" t="s">
        <v>2525</v>
      </c>
      <c r="B5836" s="27" t="s">
        <v>973</v>
      </c>
      <c r="C5836" s="27" t="s">
        <v>1123</v>
      </c>
      <c r="E5836" s="21">
        <f>IF(D5836="?OLD","!!!","")</f>
        <v/>
      </c>
      <c r="F5836" s="22" t="str">
        <f>IF(OR(E5836="",E5836="!!!"),"",IF(NOT(ISNA(VLOOKUP(E5836,E$1:E5835,1,FALSE()))),"OLD",IF(AND(E5836&lt;&gt;"",E5836&lt;&gt;"!!!"),"NEW","")))</f>
        <v> </v>
      </c>
      <c r="G5836" s="23" t="str">
        <f>IF(OR(E5836="",E5836="!!!"),"",IF(OR(J5836=0,AND(J5836=1,K5836=1),AND(J5836=1,I5836="SBJ"),AND(J5836=1,I5836=0)),"?IN_FOCUS",IF(J5836&lt;=2,"?ACTIVATED",IF(J5836&lt;&gt;"","?FAMILIAR",IF(F5836="NEW",IF(ISNA(VLOOKUP(E5836,#REF!,1,FALSE())),"?TYPE_IDENTIFIABLE","?REFERENTIAL"),"_")))))</f>
        <v> </v>
      </c>
      <c r="H5836" s="24" t="str">
        <f>IF(J5836&lt;&gt;1,"",IF(I5836="SBJ","CB","?"))</f>
        <v> </v>
      </c>
      <c r="I5836" s="25" t="str">
        <f>IF(OR(E5836="",E5836="!!!",F5836="NEW"),"",INDEX(B5835:B$2,-1+SUMPRODUCT(MAX(ROW(E5835:E$2)*(E5836=E5835:E$2)))))</f>
        <v> </v>
      </c>
      <c r="J5836" s="25" t="str">
        <f>IF(OR(E5836="",E5836="!!!",F5836="NEW"),"",COUNTBLANK(OFFSET(A$1,,,SUMPRODUCT(MAX(ROW(E$2:E5836)*(E5836=E$2:E5836)))))-COUNTBLANK(OFFSET(A$1,,,SUMPRODUCT(MAX(ROW(E$1:E5835)*(E2=E$1:E5835))))))</f>
        <v> </v>
      </c>
      <c r="K5836" s="25" t="str">
        <f>IF(OR(E5836="",E5836="!!!",F5836="NEW"),"",INDEX(J$1:J5835,SUMPRODUCT(MAX(ROW(E$1:E5835)*(E5836=E$1:E5835)))))</f>
        <v> </v>
      </c>
      <c r="L5836" s="26"/>
    </row>
    <row r="5837" spans="1:12">
      <c r="A5837" s="20" t="s">
        <v>991</v>
      </c>
      <c r="E5837" s="21">
        <f>IF(D5837="?OLD","!!!","")</f>
        <v/>
      </c>
      <c r="F5837" s="22" t="str">
        <f>IF(OR(E5837="",E5837="!!!"),"",IF(NOT(ISNA(VLOOKUP(E5837,E$1:E5836,1,FALSE()))),"OLD",IF(AND(E5837&lt;&gt;"",E5837&lt;&gt;"!!!"),"NEW","")))</f>
        <v> </v>
      </c>
      <c r="G5837" s="23" t="str">
        <f>IF(OR(E5837="",E5837="!!!"),"",IF(OR(J5837=0,AND(J5837=1,K5837=1),AND(J5837=1,I5837="SBJ"),AND(J5837=1,I5837=0)),"?IN_FOCUS",IF(J5837&lt;=2,"?ACTIVATED",IF(J5837&lt;&gt;"","?FAMILIAR",IF(F5837="NEW",IF(ISNA(VLOOKUP(E5837,#REF!,1,FALSE())),"?TYPE_IDENTIFIABLE","?REFERENTIAL"),"_")))))</f>
        <v> </v>
      </c>
      <c r="H5837" s="24" t="str">
        <f>IF(J5837&lt;&gt;1,"",IF(I5837="SBJ","CB","?"))</f>
        <v> </v>
      </c>
      <c r="I5837" s="25" t="str">
        <f>IF(OR(E5837="",E5837="!!!",F5837="NEW"),"",INDEX(B5836:B$2,-1+SUMPRODUCT(MAX(ROW(E5836:E$2)*(E5837=E5836:E$2)))))</f>
        <v> </v>
      </c>
      <c r="J5837" s="25" t="str">
        <f>IF(OR(E5837="",E5837="!!!",F5837="NEW"),"",COUNTBLANK(OFFSET(A$1,,,SUMPRODUCT(MAX(ROW(E$2:E5837)*(E5837=E$2:E5837)))))-COUNTBLANK(OFFSET(A$1,,,SUMPRODUCT(MAX(ROW(E$1:E5836)*(E2=E$1:E5836))))))</f>
        <v> </v>
      </c>
      <c r="K5837" s="25" t="str">
        <f>IF(OR(E5837="",E5837="!!!",F5837="NEW"),"",INDEX(J$1:J5836,SUMPRODUCT(MAX(ROW(E$1:E5836)*(E5837=E$1:E5836)))))</f>
        <v> </v>
      </c>
      <c r="L5837" s="26"/>
    </row>
    <row r="5838" spans="1:12">
      <c r="A5838" s="20" t="s">
        <v>1240</v>
      </c>
      <c r="E5838" s="21">
        <f>IF(D5838="?OLD","!!!","")</f>
        <v/>
      </c>
      <c r="F5838" s="22" t="str">
        <f>IF(OR(E5838="",E5838="!!!"),"",IF(NOT(ISNA(VLOOKUP(E5838,E$1:E5837,1,FALSE()))),"OLD",IF(AND(E5838&lt;&gt;"",E5838&lt;&gt;"!!!"),"NEW","")))</f>
        <v> </v>
      </c>
      <c r="G5838" s="23" t="str">
        <f>IF(OR(E5838="",E5838="!!!"),"",IF(OR(J5838=0,AND(J5838=1,K5838=1),AND(J5838=1,I5838="SBJ"),AND(J5838=1,I5838=0)),"?IN_FOCUS",IF(J5838&lt;=2,"?ACTIVATED",IF(J5838&lt;&gt;"","?FAMILIAR",IF(F5838="NEW",IF(ISNA(VLOOKUP(E5838,#REF!,1,FALSE())),"?TYPE_IDENTIFIABLE","?REFERENTIAL"),"_")))))</f>
        <v> </v>
      </c>
      <c r="H5838" s="24" t="str">
        <f>IF(J5838&lt;&gt;1,"",IF(I5838="SBJ","CB","?"))</f>
        <v> </v>
      </c>
      <c r="I5838" s="25" t="str">
        <f>IF(OR(E5838="",E5838="!!!",F5838="NEW"),"",INDEX(B5837:B$2,-1+SUMPRODUCT(MAX(ROW(E5837:E$2)*(E5838=E5837:E$2)))))</f>
        <v> </v>
      </c>
      <c r="J5838" s="25" t="str">
        <f>IF(OR(E5838="",E5838="!!!",F5838="NEW"),"",COUNTBLANK(OFFSET(A$1,,,SUMPRODUCT(MAX(ROW(E$2:E5838)*(E5838=E$2:E5838)))))-COUNTBLANK(OFFSET(A$1,,,SUMPRODUCT(MAX(ROW(E$1:E5837)*(E2=E$1:E5837))))))</f>
        <v> </v>
      </c>
      <c r="K5838" s="25" t="str">
        <f>IF(OR(E5838="",E5838="!!!",F5838="NEW"),"",INDEX(J$1:J5837,SUMPRODUCT(MAX(ROW(E$1:E5837)*(E5838=E$1:E5837)))))</f>
        <v> </v>
      </c>
      <c r="L5838" s="26"/>
    </row>
    <row r="5839" spans="1:12">
      <c r="A5839" s="20" t="s">
        <v>1086</v>
      </c>
      <c r="B5839" s="27" t="s">
        <v>1010</v>
      </c>
      <c r="C5839" s="27" t="s">
        <v>968</v>
      </c>
      <c r="D5839" s="27" t="s">
        <v>969</v>
      </c>
      <c r="E5839" s="21">
        <f>IF(D5839="?OLD","!!!","")</f>
        <v/>
      </c>
      <c r="F5839" s="22" t="str">
        <f>IF(OR(E5839="",E5839="!!!"),"",IF(NOT(ISNA(VLOOKUP(E5839,E$1:E5838,1,FALSE()))),"OLD",IF(AND(E5839&lt;&gt;"",E5839&lt;&gt;"!!!"),"NEW","")))</f>
        <v> </v>
      </c>
      <c r="G5839" s="23" t="str">
        <f>IF(OR(E5839="",E5839="!!!"),"",IF(OR(J5839=0,AND(J5839=1,K5839=1),AND(J5839=1,I5839="SBJ"),AND(J5839=1,I5839=0)),"?IN_FOCUS",IF(J5839&lt;=2,"?ACTIVATED",IF(J5839&lt;&gt;"","?FAMILIAR",IF(F5839="NEW",IF(ISNA(VLOOKUP(E5839,#REF!,1,FALSE())),"?TYPE_IDENTIFIABLE","?REFERENTIAL"),"_")))))</f>
        <v> </v>
      </c>
      <c r="H5839" s="24" t="str">
        <f>IF(J5839&lt;&gt;1,"",IF(I5839="SBJ","CB","?"))</f>
        <v> </v>
      </c>
      <c r="I5839" s="25" t="str">
        <f>IF(OR(E5839="",E5839="!!!",F5839="NEW"),"",INDEX(B5838:B$2,-1+SUMPRODUCT(MAX(ROW(E5838:E$2)*(E5839=E5838:E$2)))))</f>
        <v> </v>
      </c>
      <c r="J5839" s="25" t="str">
        <f>IF(OR(E5839="",E5839="!!!",F5839="NEW"),"",COUNTBLANK(OFFSET(A$1,,,SUMPRODUCT(MAX(ROW(E$2:E5839)*(E5839=E$2:E5839)))))-COUNTBLANK(OFFSET(A$1,,,SUMPRODUCT(MAX(ROW(E$1:E5838)*(E2=E$1:E5838))))))</f>
        <v> </v>
      </c>
      <c r="K5839" s="25" t="str">
        <f>IF(OR(E5839="",E5839="!!!",F5839="NEW"),"",INDEX(J$1:J5838,SUMPRODUCT(MAX(ROW(E$1:E5838)*(E5839=E$1:E5838)))))</f>
        <v> </v>
      </c>
      <c r="L5839" s="26"/>
    </row>
    <row r="5840" spans="1:12">
      <c r="A5840" s="20" t="s">
        <v>1454</v>
      </c>
      <c r="E5840" s="21">
        <f>IF(D5840="?OLD","!!!","")</f>
        <v/>
      </c>
      <c r="F5840" s="22" t="str">
        <f>IF(OR(E5840="",E5840="!!!"),"",IF(NOT(ISNA(VLOOKUP(E5840,E$1:E5839,1,FALSE()))),"OLD",IF(AND(E5840&lt;&gt;"",E5840&lt;&gt;"!!!"),"NEW","")))</f>
        <v> </v>
      </c>
      <c r="G5840" s="23" t="str">
        <f>IF(OR(E5840="",E5840="!!!"),"",IF(OR(J5840=0,AND(J5840=1,K5840=1),AND(J5840=1,I5840="SBJ"),AND(J5840=1,I5840=0)),"?IN_FOCUS",IF(J5840&lt;=2,"?ACTIVATED",IF(J5840&lt;&gt;"","?FAMILIAR",IF(F5840="NEW",IF(ISNA(VLOOKUP(E5840,#REF!,1,FALSE())),"?TYPE_IDENTIFIABLE","?REFERENTIAL"),"_")))))</f>
        <v> </v>
      </c>
      <c r="H5840" s="24" t="str">
        <f>IF(J5840&lt;&gt;1,"",IF(I5840="SBJ","CB","?"))</f>
        <v> </v>
      </c>
      <c r="I5840" s="25" t="str">
        <f>IF(OR(E5840="",E5840="!!!",F5840="NEW"),"",INDEX(B5839:B$2,-1+SUMPRODUCT(MAX(ROW(E5839:E$2)*(E5840=E5839:E$2)))))</f>
        <v> </v>
      </c>
      <c r="J5840" s="25" t="str">
        <f>IF(OR(E5840="",E5840="!!!",F5840="NEW"),"",COUNTBLANK(OFFSET(A$1,,,SUMPRODUCT(MAX(ROW(E$2:E5840)*(E5840=E$2:E5840)))))-COUNTBLANK(OFFSET(A$1,,,SUMPRODUCT(MAX(ROW(E$1:E5839)*(E2=E$1:E5839))))))</f>
        <v> </v>
      </c>
      <c r="K5840" s="25" t="str">
        <f>IF(OR(E5840="",E5840="!!!",F5840="NEW"),"",INDEX(J$1:J5839,SUMPRODUCT(MAX(ROW(E$1:E5839)*(E5840=E$1:E5839)))))</f>
        <v> </v>
      </c>
      <c r="L5840" s="26"/>
    </row>
    <row r="5841" spans="1:12">
      <c r="A5841" s="20" t="s">
        <v>985</v>
      </c>
      <c r="E5841" s="21">
        <f>IF(D5841="?OLD","!!!","")</f>
        <v/>
      </c>
      <c r="F5841" s="22" t="str">
        <f>IF(OR(E5841="",E5841="!!!"),"",IF(NOT(ISNA(VLOOKUP(E5841,E$1:E5840,1,FALSE()))),"OLD",IF(AND(E5841&lt;&gt;"",E5841&lt;&gt;"!!!"),"NEW","")))</f>
        <v> </v>
      </c>
      <c r="G5841" s="23" t="str">
        <f>IF(OR(E5841="",E5841="!!!"),"",IF(OR(J5841=0,AND(J5841=1,K5841=1),AND(J5841=1,I5841="SBJ"),AND(J5841=1,I5841=0)),"?IN_FOCUS",IF(J5841&lt;=2,"?ACTIVATED",IF(J5841&lt;&gt;"","?FAMILIAR",IF(F5841="NEW",IF(ISNA(VLOOKUP(E5841,#REF!,1,FALSE())),"?TYPE_IDENTIFIABLE","?REFERENTIAL"),"_")))))</f>
        <v> </v>
      </c>
      <c r="H5841" s="24" t="str">
        <f>IF(J5841&lt;&gt;1,"",IF(I5841="SBJ","CB","?"))</f>
        <v> </v>
      </c>
      <c r="I5841" s="25" t="str">
        <f>IF(OR(E5841="",E5841="!!!",F5841="NEW"),"",INDEX(B5840:B$2,-1+SUMPRODUCT(MAX(ROW(E5840:E$2)*(E5841=E5840:E$2)))))</f>
        <v> </v>
      </c>
      <c r="J5841" s="25" t="str">
        <f>IF(OR(E5841="",E5841="!!!",F5841="NEW"),"",COUNTBLANK(OFFSET(A$1,,,SUMPRODUCT(MAX(ROW(E$2:E5841)*(E5841=E$2:E5841)))))-COUNTBLANK(OFFSET(A$1,,,SUMPRODUCT(MAX(ROW(E$1:E5840)*(E2=E$1:E5840))))))</f>
        <v> </v>
      </c>
      <c r="K5841" s="25" t="str">
        <f>IF(OR(E5841="",E5841="!!!",F5841="NEW"),"",INDEX(J$1:J5840,SUMPRODUCT(MAX(ROW(E$1:E5840)*(E5841=E$1:E5840)))))</f>
        <v> </v>
      </c>
      <c r="L5841" s="26"/>
    </row>
    <row r="5842" spans="1:12">
      <c r="A5842" s="20" t="s">
        <v>2526</v>
      </c>
      <c r="B5842" s="27" t="s">
        <v>1053</v>
      </c>
      <c r="C5842" s="27" t="s">
        <v>979</v>
      </c>
      <c r="D5842" s="27" t="s">
        <v>969</v>
      </c>
      <c r="E5842" s="21">
        <f>IF(D5842="?OLD","!!!","")</f>
        <v/>
      </c>
      <c r="F5842" s="22" t="str">
        <f>IF(OR(E5842="",E5842="!!!"),"",IF(NOT(ISNA(VLOOKUP(E5842,E$1:E5841,1,FALSE()))),"OLD",IF(AND(E5842&lt;&gt;"",E5842&lt;&gt;"!!!"),"NEW","")))</f>
        <v> </v>
      </c>
      <c r="G5842" s="23" t="str">
        <f>IF(OR(E5842="",E5842="!!!"),"",IF(OR(J5842=0,AND(J5842=1,K5842=1),AND(J5842=1,I5842="SBJ"),AND(J5842=1,I5842=0)),"?IN_FOCUS",IF(J5842&lt;=2,"?ACTIVATED",IF(J5842&lt;&gt;"","?FAMILIAR",IF(F5842="NEW",IF(ISNA(VLOOKUP(E5842,#REF!,1,FALSE())),"?TYPE_IDENTIFIABLE","?REFERENTIAL"),"_")))))</f>
        <v> </v>
      </c>
      <c r="H5842" s="24" t="str">
        <f>IF(J5842&lt;&gt;1,"",IF(I5842="SBJ","CB","?"))</f>
        <v> </v>
      </c>
      <c r="I5842" s="25" t="str">
        <f>IF(OR(E5842="",E5842="!!!",F5842="NEW"),"",INDEX(B5841:B$2,-1+SUMPRODUCT(MAX(ROW(E5841:E$2)*(E5842=E5841:E$2)))))</f>
        <v> </v>
      </c>
      <c r="J5842" s="25" t="str">
        <f>IF(OR(E5842="",E5842="!!!",F5842="NEW"),"",COUNTBLANK(OFFSET(A$1,,,SUMPRODUCT(MAX(ROW(E$2:E5842)*(E5842=E$2:E5842)))))-COUNTBLANK(OFFSET(A$1,,,SUMPRODUCT(MAX(ROW(E$1:E5841)*(E2=E$1:E5841))))))</f>
        <v> </v>
      </c>
      <c r="K5842" s="25" t="str">
        <f>IF(OR(E5842="",E5842="!!!",F5842="NEW"),"",INDEX(J$1:J5841,SUMPRODUCT(MAX(ROW(E$1:E5841)*(E5842=E$1:E5841)))))</f>
        <v> </v>
      </c>
      <c r="L5842" s="26"/>
    </row>
    <row r="5843" spans="1:12">
      <c r="A5843" s="20" t="s">
        <v>1022</v>
      </c>
      <c r="E5843" s="21">
        <f>IF(D5843="?OLD","!!!","")</f>
        <v/>
      </c>
      <c r="F5843" s="22" t="str">
        <f>IF(OR(E5843="",E5843="!!!"),"",IF(NOT(ISNA(VLOOKUP(E5843,E$1:E5842,1,FALSE()))),"OLD",IF(AND(E5843&lt;&gt;"",E5843&lt;&gt;"!!!"),"NEW","")))</f>
        <v> </v>
      </c>
      <c r="G5843" s="23" t="str">
        <f>IF(OR(E5843="",E5843="!!!"),"",IF(OR(J5843=0,AND(J5843=1,K5843=1),AND(J5843=1,I5843="SBJ"),AND(J5843=1,I5843=0)),"?IN_FOCUS",IF(J5843&lt;=2,"?ACTIVATED",IF(J5843&lt;&gt;"","?FAMILIAR",IF(F5843="NEW",IF(ISNA(VLOOKUP(E5843,#REF!,1,FALSE())),"?TYPE_IDENTIFIABLE","?REFERENTIAL"),"_")))))</f>
        <v> </v>
      </c>
      <c r="H5843" s="24" t="str">
        <f>IF(J5843&lt;&gt;1,"",IF(I5843="SBJ","CB","?"))</f>
        <v> </v>
      </c>
      <c r="I5843" s="25" t="str">
        <f>IF(OR(E5843="",E5843="!!!",F5843="NEW"),"",INDEX(B5842:B$2,-1+SUMPRODUCT(MAX(ROW(E5842:E$2)*(E5843=E5842:E$2)))))</f>
        <v> </v>
      </c>
      <c r="J5843" s="25" t="str">
        <f>IF(OR(E5843="",E5843="!!!",F5843="NEW"),"",COUNTBLANK(OFFSET(A$1,,,SUMPRODUCT(MAX(ROW(E$2:E5843)*(E5843=E$2:E5843)))))-COUNTBLANK(OFFSET(A$1,,,SUMPRODUCT(MAX(ROW(E$1:E5842)*(E2=E$1:E5842))))))</f>
        <v> </v>
      </c>
      <c r="K5843" s="25" t="str">
        <f>IF(OR(E5843="",E5843="!!!",F5843="NEW"),"",INDEX(J$1:J5842,SUMPRODUCT(MAX(ROW(E$1:E5842)*(E5843=E$1:E5842)))))</f>
        <v> </v>
      </c>
      <c r="L5843" s="26"/>
    </row>
    <row r="5844" spans="1:12">
      <c r="A5844" s="20" t="s">
        <v>1110</v>
      </c>
      <c r="E5844" s="21">
        <f>IF(D5844="?OLD","!!!","")</f>
        <v/>
      </c>
      <c r="F5844" s="22" t="str">
        <f>IF(OR(E5844="",E5844="!!!"),"",IF(NOT(ISNA(VLOOKUP(E5844,E$1:E5843,1,FALSE()))),"OLD",IF(AND(E5844&lt;&gt;"",E5844&lt;&gt;"!!!"),"NEW","")))</f>
        <v> </v>
      </c>
      <c r="G5844" s="23" t="str">
        <f>IF(OR(E5844="",E5844="!!!"),"",IF(OR(J5844=0,AND(J5844=1,K5844=1),AND(J5844=1,I5844="SBJ"),AND(J5844=1,I5844=0)),"?IN_FOCUS",IF(J5844&lt;=2,"?ACTIVATED",IF(J5844&lt;&gt;"","?FAMILIAR",IF(F5844="NEW",IF(ISNA(VLOOKUP(E5844,#REF!,1,FALSE())),"?TYPE_IDENTIFIABLE","?REFERENTIAL"),"_")))))</f>
        <v> </v>
      </c>
      <c r="H5844" s="24" t="str">
        <f>IF(J5844&lt;&gt;1,"",IF(I5844="SBJ","CB","?"))</f>
        <v> </v>
      </c>
      <c r="I5844" s="25" t="str">
        <f>IF(OR(E5844="",E5844="!!!",F5844="NEW"),"",INDEX(B5843:B$2,-1+SUMPRODUCT(MAX(ROW(E5843:E$2)*(E5844=E5843:E$2)))))</f>
        <v> </v>
      </c>
      <c r="J5844" s="25" t="str">
        <f>IF(OR(E5844="",E5844="!!!",F5844="NEW"),"",COUNTBLANK(OFFSET(A$1,,,SUMPRODUCT(MAX(ROW(E$2:E5844)*(E5844=E$2:E5844)))))-COUNTBLANK(OFFSET(A$1,,,SUMPRODUCT(MAX(ROW(E$1:E5843)*(E2=E$1:E5843))))))</f>
        <v> </v>
      </c>
      <c r="K5844" s="25" t="str">
        <f>IF(OR(E5844="",E5844="!!!",F5844="NEW"),"",INDEX(J$1:J5843,SUMPRODUCT(MAX(ROW(E$1:E5843)*(E5844=E$1:E5843)))))</f>
        <v> </v>
      </c>
      <c r="L5844" s="26"/>
    </row>
    <row r="5845" spans="1:12">
      <c r="A5845" s="20" t="s">
        <v>2525</v>
      </c>
      <c r="B5845" s="27" t="s">
        <v>978</v>
      </c>
      <c r="C5845" s="27" t="s">
        <v>1018</v>
      </c>
      <c r="E5845" s="21">
        <f>IF(D5845="?OLD","!!!","")</f>
        <v/>
      </c>
      <c r="F5845" s="22" t="str">
        <f>IF(OR(E5845="",E5845="!!!"),"",IF(NOT(ISNA(VLOOKUP(E5845,E$1:E5844,1,FALSE()))),"OLD",IF(AND(E5845&lt;&gt;"",E5845&lt;&gt;"!!!"),"NEW","")))</f>
        <v> </v>
      </c>
      <c r="G5845" s="23" t="str">
        <f>IF(OR(E5845="",E5845="!!!"),"",IF(OR(J5845=0,AND(J5845=1,K5845=1),AND(J5845=1,I5845="SBJ"),AND(J5845=1,I5845=0)),"?IN_FOCUS",IF(J5845&lt;=2,"?ACTIVATED",IF(J5845&lt;&gt;"","?FAMILIAR",IF(F5845="NEW",IF(ISNA(VLOOKUP(E5845,#REF!,1,FALSE())),"?TYPE_IDENTIFIABLE","?REFERENTIAL"),"_")))))</f>
        <v> </v>
      </c>
      <c r="H5845" s="24" t="str">
        <f>IF(J5845&lt;&gt;1,"",IF(I5845="SBJ","CB","?"))</f>
        <v> </v>
      </c>
      <c r="I5845" s="25" t="str">
        <f>IF(OR(E5845="",E5845="!!!",F5845="NEW"),"",INDEX(B5844:B$2,-1+SUMPRODUCT(MAX(ROW(E5844:E$2)*(E5845=E5844:E$2)))))</f>
        <v> </v>
      </c>
      <c r="J5845" s="25" t="str">
        <f>IF(OR(E5845="",E5845="!!!",F5845="NEW"),"",COUNTBLANK(OFFSET(A$1,,,SUMPRODUCT(MAX(ROW(E$2:E5845)*(E5845=E$2:E5845)))))-COUNTBLANK(OFFSET(A$1,,,SUMPRODUCT(MAX(ROW(E$1:E5844)*(E2=E$1:E5844))))))</f>
        <v> </v>
      </c>
      <c r="K5845" s="25" t="str">
        <f>IF(OR(E5845="",E5845="!!!",F5845="NEW"),"",INDEX(J$1:J5844,SUMPRODUCT(MAX(ROW(E$1:E5844)*(E5845=E$1:E5844)))))</f>
        <v> </v>
      </c>
      <c r="L5845" s="26"/>
    </row>
    <row r="5846" spans="1:12">
      <c r="A5846" s="20" t="s">
        <v>980</v>
      </c>
      <c r="E5846" s="21">
        <f>IF(D5846="?OLD","!!!","")</f>
        <v/>
      </c>
      <c r="F5846" s="22" t="str">
        <f>IF(OR(E5846="",E5846="!!!"),"",IF(NOT(ISNA(VLOOKUP(E5846,E$1:E5845,1,FALSE()))),"OLD",IF(AND(E5846&lt;&gt;"",E5846&lt;&gt;"!!!"),"NEW","")))</f>
        <v> </v>
      </c>
      <c r="G5846" s="23" t="str">
        <f>IF(OR(E5846="",E5846="!!!"),"",IF(OR(J5846=0,AND(J5846=1,K5846=1),AND(J5846=1,I5846="SBJ"),AND(J5846=1,I5846=0)),"?IN_FOCUS",IF(J5846&lt;=2,"?ACTIVATED",IF(J5846&lt;&gt;"","?FAMILIAR",IF(F5846="NEW",IF(ISNA(VLOOKUP(E5846,#REF!,1,FALSE())),"?TYPE_IDENTIFIABLE","?REFERENTIAL"),"_")))))</f>
        <v> </v>
      </c>
      <c r="H5846" s="24" t="str">
        <f>IF(J5846&lt;&gt;1,"",IF(I5846="SBJ","CB","?"))</f>
        <v> </v>
      </c>
      <c r="I5846" s="25" t="str">
        <f>IF(OR(E5846="",E5846="!!!",F5846="NEW"),"",INDEX(B5845:B$2,-1+SUMPRODUCT(MAX(ROW(E5845:E$2)*(E5846=E5845:E$2)))))</f>
        <v> </v>
      </c>
      <c r="J5846" s="25" t="str">
        <f>IF(OR(E5846="",E5846="!!!",F5846="NEW"),"",COUNTBLANK(OFFSET(A$1,,,SUMPRODUCT(MAX(ROW(E$2:E5846)*(E5846=E$2:E5846)))))-COUNTBLANK(OFFSET(A$1,,,SUMPRODUCT(MAX(ROW(E$1:E5845)*(E2=E$1:E5845))))))</f>
        <v> </v>
      </c>
      <c r="K5846" s="25" t="str">
        <f>IF(OR(E5846="",E5846="!!!",F5846="NEW"),"",INDEX(J$1:J5845,SUMPRODUCT(MAX(ROW(E$1:E5845)*(E5846=E$1:E5845)))))</f>
        <v> </v>
      </c>
      <c r="L5846" s="26"/>
    </row>
    <row r="5847" spans="1:12">
      <c r="A5847" s="20" t="s">
        <v>2467</v>
      </c>
      <c r="E5847" s="21">
        <f>IF(D5847="?OLD","!!!","")</f>
        <v/>
      </c>
      <c r="F5847" s="22" t="str">
        <f>IF(OR(E5847="",E5847="!!!"),"",IF(NOT(ISNA(VLOOKUP(E5847,E$1:E5846,1,FALSE()))),"OLD",IF(AND(E5847&lt;&gt;"",E5847&lt;&gt;"!!!"),"NEW","")))</f>
        <v> </v>
      </c>
      <c r="G5847" s="23" t="str">
        <f>IF(OR(E5847="",E5847="!!!"),"",IF(OR(J5847=0,AND(J5847=1,K5847=1),AND(J5847=1,I5847="SBJ"),AND(J5847=1,I5847=0)),"?IN_FOCUS",IF(J5847&lt;=2,"?ACTIVATED",IF(J5847&lt;&gt;"","?FAMILIAR",IF(F5847="NEW",IF(ISNA(VLOOKUP(E5847,#REF!,1,FALSE())),"?TYPE_IDENTIFIABLE","?REFERENTIAL"),"_")))))</f>
        <v> </v>
      </c>
      <c r="H5847" s="24" t="str">
        <f>IF(J5847&lt;&gt;1,"",IF(I5847="SBJ","CB","?"))</f>
        <v> </v>
      </c>
      <c r="I5847" s="25" t="str">
        <f>IF(OR(E5847="",E5847="!!!",F5847="NEW"),"",INDEX(B5846:B$2,-1+SUMPRODUCT(MAX(ROW(E5846:E$2)*(E5847=E5846:E$2)))))</f>
        <v> </v>
      </c>
      <c r="J5847" s="25" t="str">
        <f>IF(OR(E5847="",E5847="!!!",F5847="NEW"),"",COUNTBLANK(OFFSET(A$1,,,SUMPRODUCT(MAX(ROW(E$2:E5847)*(E5847=E$2:E5847)))))-COUNTBLANK(OFFSET(A$1,,,SUMPRODUCT(MAX(ROW(E$1:E5846)*(E2=E$1:E5846))))))</f>
        <v> </v>
      </c>
      <c r="K5847" s="25" t="str">
        <f>IF(OR(E5847="",E5847="!!!",F5847="NEW"),"",INDEX(J$1:J5846,SUMPRODUCT(MAX(ROW(E$1:E5846)*(E5847=E$1:E5846)))))</f>
        <v> </v>
      </c>
      <c r="L5847" s="26"/>
    </row>
    <row r="5848" spans="1:12">
      <c r="A5848" s="20" t="s">
        <v>1038</v>
      </c>
      <c r="E5848" s="21">
        <f>IF(D5848="?OLD","!!!","")</f>
        <v/>
      </c>
      <c r="F5848" s="22" t="str">
        <f>IF(OR(E5848="",E5848="!!!"),"",IF(NOT(ISNA(VLOOKUP(E5848,E$1:E5847,1,FALSE()))),"OLD",IF(AND(E5848&lt;&gt;"",E5848&lt;&gt;"!!!"),"NEW","")))</f>
        <v> </v>
      </c>
      <c r="G5848" s="23" t="str">
        <f>IF(OR(E5848="",E5848="!!!"),"",IF(OR(J5848=0,AND(J5848=1,K5848=1),AND(J5848=1,I5848="SBJ"),AND(J5848=1,I5848=0)),"?IN_FOCUS",IF(J5848&lt;=2,"?ACTIVATED",IF(J5848&lt;&gt;"","?FAMILIAR",IF(F5848="NEW",IF(ISNA(VLOOKUP(E5848,#REF!,1,FALSE())),"?TYPE_IDENTIFIABLE","?REFERENTIAL"),"_")))))</f>
        <v> </v>
      </c>
      <c r="H5848" s="24" t="str">
        <f>IF(J5848&lt;&gt;1,"",IF(I5848="SBJ","CB","?"))</f>
        <v> </v>
      </c>
      <c r="I5848" s="25" t="str">
        <f>IF(OR(E5848="",E5848="!!!",F5848="NEW"),"",INDEX(B5847:B$2,-1+SUMPRODUCT(MAX(ROW(E5847:E$2)*(E5848=E5847:E$2)))))</f>
        <v> </v>
      </c>
      <c r="J5848" s="25" t="str">
        <f>IF(OR(E5848="",E5848="!!!",F5848="NEW"),"",COUNTBLANK(OFFSET(A$1,,,SUMPRODUCT(MAX(ROW(E$2:E5848)*(E5848=E$2:E5848)))))-COUNTBLANK(OFFSET(A$1,,,SUMPRODUCT(MAX(ROW(E$1:E5847)*(E2=E$1:E5847))))))</f>
        <v> </v>
      </c>
      <c r="K5848" s="25" t="str">
        <f>IF(OR(E5848="",E5848="!!!",F5848="NEW"),"",INDEX(J$1:J5847,SUMPRODUCT(MAX(ROW(E$1:E5847)*(E5848=E$1:E5847)))))</f>
        <v> </v>
      </c>
      <c r="L5848" s="26"/>
    </row>
    <row r="5849" spans="1:12">
      <c r="A5849" s="20" t="s">
        <v>2525</v>
      </c>
      <c r="B5849" s="27" t="s">
        <v>1198</v>
      </c>
      <c r="C5849" s="27" t="s">
        <v>979</v>
      </c>
      <c r="D5849" s="27" t="s">
        <v>969</v>
      </c>
      <c r="E5849" s="21">
        <f>IF(D5849="?OLD","!!!","")</f>
        <v/>
      </c>
      <c r="F5849" s="22" t="str">
        <f>IF(OR(E5849="",E5849="!!!"),"",IF(NOT(ISNA(VLOOKUP(E5849,E$1:E5848,1,FALSE()))),"OLD",IF(AND(E5849&lt;&gt;"",E5849&lt;&gt;"!!!"),"NEW","")))</f>
        <v> </v>
      </c>
      <c r="G5849" s="23" t="str">
        <f>IF(OR(E5849="",E5849="!!!"),"",IF(OR(J5849=0,AND(J5849=1,K5849=1),AND(J5849=1,I5849="SBJ"),AND(J5849=1,I5849=0)),"?IN_FOCUS",IF(J5849&lt;=2,"?ACTIVATED",IF(J5849&lt;&gt;"","?FAMILIAR",IF(F5849="NEW",IF(ISNA(VLOOKUP(E5849,#REF!,1,FALSE())),"?TYPE_IDENTIFIABLE","?REFERENTIAL"),"_")))))</f>
        <v> </v>
      </c>
      <c r="H5849" s="24" t="str">
        <f>IF(J5849&lt;&gt;1,"",IF(I5849="SBJ","CB","?"))</f>
        <v> </v>
      </c>
      <c r="I5849" s="25" t="str">
        <f>IF(OR(E5849="",E5849="!!!",F5849="NEW"),"",INDEX(B5848:B$2,-1+SUMPRODUCT(MAX(ROW(E5848:E$2)*(E5849=E5848:E$2)))))</f>
        <v> </v>
      </c>
      <c r="J5849" s="25" t="str">
        <f>IF(OR(E5849="",E5849="!!!",F5849="NEW"),"",COUNTBLANK(OFFSET(A$1,,,SUMPRODUCT(MAX(ROW(E$2:E5849)*(E5849=E$2:E5849)))))-COUNTBLANK(OFFSET(A$1,,,SUMPRODUCT(MAX(ROW(E$1:E5848)*(E2=E$1:E5848))))))</f>
        <v> </v>
      </c>
      <c r="K5849" s="25" t="str">
        <f>IF(OR(E5849="",E5849="!!!",F5849="NEW"),"",INDEX(J$1:J5848,SUMPRODUCT(MAX(ROW(E$1:E5848)*(E5849=E$1:E5848)))))</f>
        <v> </v>
      </c>
      <c r="L5849" s="26"/>
    </row>
    <row r="5850" spans="1:12">
      <c r="A5850" s="20" t="s">
        <v>1105</v>
      </c>
      <c r="E5850" s="21">
        <f>IF(D5850="?OLD","!!!","")</f>
        <v/>
      </c>
      <c r="F5850" s="22" t="str">
        <f>IF(OR(E5850="",E5850="!!!"),"",IF(NOT(ISNA(VLOOKUP(E5850,E$1:E5849,1,FALSE()))),"OLD",IF(AND(E5850&lt;&gt;"",E5850&lt;&gt;"!!!"),"NEW","")))</f>
        <v> </v>
      </c>
      <c r="G5850" s="23" t="str">
        <f>IF(OR(E5850="",E5850="!!!"),"",IF(OR(J5850=0,AND(J5850=1,K5850=1),AND(J5850=1,I5850="SBJ"),AND(J5850=1,I5850=0)),"?IN_FOCUS",IF(J5850&lt;=2,"?ACTIVATED",IF(J5850&lt;&gt;"","?FAMILIAR",IF(F5850="NEW",IF(ISNA(VLOOKUP(E5850,#REF!,1,FALSE())),"?TYPE_IDENTIFIABLE","?REFERENTIAL"),"_")))))</f>
        <v> </v>
      </c>
      <c r="H5850" s="24" t="str">
        <f>IF(J5850&lt;&gt;1,"",IF(I5850="SBJ","CB","?"))</f>
        <v> </v>
      </c>
      <c r="I5850" s="25" t="str">
        <f>IF(OR(E5850="",E5850="!!!",F5850="NEW"),"",INDEX(B5849:B$2,-1+SUMPRODUCT(MAX(ROW(E5849:E$2)*(E5850=E5849:E$2)))))</f>
        <v> </v>
      </c>
      <c r="J5850" s="25" t="str">
        <f>IF(OR(E5850="",E5850="!!!",F5850="NEW"),"",COUNTBLANK(OFFSET(A$1,,,SUMPRODUCT(MAX(ROW(E$2:E5850)*(E5850=E$2:E5850)))))-COUNTBLANK(OFFSET(A$1,,,SUMPRODUCT(MAX(ROW(E$1:E5849)*(E2=E$1:E5849))))))</f>
        <v> </v>
      </c>
      <c r="K5850" s="25" t="str">
        <f>IF(OR(E5850="",E5850="!!!",F5850="NEW"),"",INDEX(J$1:J5849,SUMPRODUCT(MAX(ROW(E$1:E5849)*(E5850=E$1:E5849)))))</f>
        <v> </v>
      </c>
      <c r="L5850" s="26"/>
    </row>
    <row r="5851" spans="1:12">
      <c r="A5851" s="20" t="s">
        <v>2527</v>
      </c>
      <c r="E5851" s="21">
        <f>IF(D5851="?OLD","!!!","")</f>
        <v/>
      </c>
      <c r="F5851" s="22" t="str">
        <f>IF(OR(E5851="",E5851="!!!"),"",IF(NOT(ISNA(VLOOKUP(E5851,E$1:E5850,1,FALSE()))),"OLD",IF(AND(E5851&lt;&gt;"",E5851&lt;&gt;"!!!"),"NEW","")))</f>
        <v> </v>
      </c>
      <c r="G5851" s="23" t="str">
        <f>IF(OR(E5851="",E5851="!!!"),"",IF(OR(J5851=0,AND(J5851=1,K5851=1),AND(J5851=1,I5851="SBJ"),AND(J5851=1,I5851=0)),"?IN_FOCUS",IF(J5851&lt;=2,"?ACTIVATED",IF(J5851&lt;&gt;"","?FAMILIAR",IF(F5851="NEW",IF(ISNA(VLOOKUP(E5851,#REF!,1,FALSE())),"?TYPE_IDENTIFIABLE","?REFERENTIAL"),"_")))))</f>
        <v> </v>
      </c>
      <c r="H5851" s="24" t="str">
        <f>IF(J5851&lt;&gt;1,"",IF(I5851="SBJ","CB","?"))</f>
        <v> </v>
      </c>
      <c r="I5851" s="25" t="str">
        <f>IF(OR(E5851="",E5851="!!!",F5851="NEW"),"",INDEX(B5850:B$2,-1+SUMPRODUCT(MAX(ROW(E5850:E$2)*(E5851=E5850:E$2)))))</f>
        <v> </v>
      </c>
      <c r="J5851" s="25" t="str">
        <f>IF(OR(E5851="",E5851="!!!",F5851="NEW"),"",COUNTBLANK(OFFSET(A$1,,,SUMPRODUCT(MAX(ROW(E$2:E5851)*(E5851=E$2:E5851)))))-COUNTBLANK(OFFSET(A$1,,,SUMPRODUCT(MAX(ROW(E$1:E5850)*(E2=E$1:E5850))))))</f>
        <v> </v>
      </c>
      <c r="K5851" s="25" t="str">
        <f>IF(OR(E5851="",E5851="!!!",F5851="NEW"),"",INDEX(J$1:J5850,SUMPRODUCT(MAX(ROW(E$1:E5850)*(E5851=E$1:E5850)))))</f>
        <v> </v>
      </c>
      <c r="L5851" s="26"/>
    </row>
    <row r="5852" spans="1:12">
      <c r="A5852" s="20" t="s">
        <v>2528</v>
      </c>
      <c r="B5852" s="27" t="s">
        <v>1198</v>
      </c>
      <c r="C5852" s="27" t="s">
        <v>1011</v>
      </c>
      <c r="D5852" s="27" t="s">
        <v>969</v>
      </c>
      <c r="E5852" s="21">
        <f>IF(D5852="?OLD","!!!","")</f>
        <v/>
      </c>
      <c r="F5852" s="22" t="str">
        <f>IF(OR(E5852="",E5852="!!!"),"",IF(NOT(ISNA(VLOOKUP(E5852,E$1:E5851,1,FALSE()))),"OLD",IF(AND(E5852&lt;&gt;"",E5852&lt;&gt;"!!!"),"NEW","")))</f>
        <v> </v>
      </c>
      <c r="G5852" s="23" t="str">
        <f>IF(OR(E5852="",E5852="!!!"),"",IF(OR(J5852=0,AND(J5852=1,K5852=1),AND(J5852=1,I5852="SBJ"),AND(J5852=1,I5852=0)),"?IN_FOCUS",IF(J5852&lt;=2,"?ACTIVATED",IF(J5852&lt;&gt;"","?FAMILIAR",IF(F5852="NEW",IF(ISNA(VLOOKUP(E5852,#REF!,1,FALSE())),"?TYPE_IDENTIFIABLE","?REFERENTIAL"),"_")))))</f>
        <v> </v>
      </c>
      <c r="H5852" s="24" t="str">
        <f>IF(J5852&lt;&gt;1,"",IF(I5852="SBJ","CB","?"))</f>
        <v> </v>
      </c>
      <c r="I5852" s="25" t="str">
        <f>IF(OR(E5852="",E5852="!!!",F5852="NEW"),"",INDEX(B5851:B$2,-1+SUMPRODUCT(MAX(ROW(E5851:E$2)*(E5852=E5851:E$2)))))</f>
        <v> </v>
      </c>
      <c r="J5852" s="25" t="str">
        <f>IF(OR(E5852="",E5852="!!!",F5852="NEW"),"",COUNTBLANK(OFFSET(A$1,,,SUMPRODUCT(MAX(ROW(E$2:E5852)*(E5852=E$2:E5852)))))-COUNTBLANK(OFFSET(A$1,,,SUMPRODUCT(MAX(ROW(E$1:E5851)*(E2=E$1:E5851))))))</f>
        <v> </v>
      </c>
      <c r="K5852" s="25" t="str">
        <f>IF(OR(E5852="",E5852="!!!",F5852="NEW"),"",INDEX(J$1:J5851,SUMPRODUCT(MAX(ROW(E$1:E5851)*(E5852=E$1:E5851)))))</f>
        <v> </v>
      </c>
      <c r="L5852" s="26"/>
    </row>
    <row r="5853" spans="1:12">
      <c r="A5853" s="20" t="s">
        <v>58</v>
      </c>
      <c r="E5853" s="21">
        <f>IF(D5853="?OLD","!!!","")</f>
        <v/>
      </c>
      <c r="F5853" s="22" t="str">
        <f>IF(OR(E5853="",E5853="!!!"),"",IF(NOT(ISNA(VLOOKUP(E5853,E$1:E5852,1,FALSE()))),"OLD",IF(AND(E5853&lt;&gt;"",E5853&lt;&gt;"!!!"),"NEW","")))</f>
        <v> </v>
      </c>
      <c r="G5853" s="23" t="str">
        <f>IF(OR(E5853="",E5853="!!!"),"",IF(OR(J5853=0,AND(J5853=1,K5853=1),AND(J5853=1,I5853="SBJ"),AND(J5853=1,I5853=0)),"?IN_FOCUS",IF(J5853&lt;=2,"?ACTIVATED",IF(J5853&lt;&gt;"","?FAMILIAR",IF(F5853="NEW",IF(ISNA(VLOOKUP(E5853,#REF!,1,FALSE())),"?TYPE_IDENTIFIABLE","?REFERENTIAL"),"_")))))</f>
        <v> </v>
      </c>
      <c r="H5853" s="24" t="str">
        <f>IF(J5853&lt;&gt;1,"",IF(I5853="SBJ","CB","?"))</f>
        <v> </v>
      </c>
      <c r="I5853" s="25" t="str">
        <f>IF(OR(E5853="",E5853="!!!",F5853="NEW"),"",INDEX(B5852:B$2,-1+SUMPRODUCT(MAX(ROW(E5852:E$2)*(E5853=E5852:E$2)))))</f>
        <v> </v>
      </c>
      <c r="J5853" s="25" t="str">
        <f>IF(OR(E5853="",E5853="!!!",F5853="NEW"),"",COUNTBLANK(OFFSET(A$1,,,SUMPRODUCT(MAX(ROW(E$2:E5853)*(E5853=E$2:E5853)))))-COUNTBLANK(OFFSET(A$1,,,SUMPRODUCT(MAX(ROW(E$1:E5852)*(E2=E$1:E5852))))))</f>
        <v> </v>
      </c>
      <c r="K5853" s="25" t="str">
        <f>IF(OR(E5853="",E5853="!!!",F5853="NEW"),"",INDEX(J$1:J5852,SUMPRODUCT(MAX(ROW(E$1:E5852)*(E5853=E$1:E5852)))))</f>
        <v> </v>
      </c>
      <c r="L5853" s="26"/>
    </row>
    <row r="5854" spans="1:12">
      <c r="A5854" s="20" t="s">
        <v>1005</v>
      </c>
      <c r="E5854" s="21">
        <f>IF(D5854="?OLD","!!!","")</f>
        <v/>
      </c>
      <c r="F5854" s="22" t="str">
        <f>IF(OR(E5854="",E5854="!!!"),"",IF(NOT(ISNA(VLOOKUP(E5854,E$1:E5853,1,FALSE()))),"OLD",IF(AND(E5854&lt;&gt;"",E5854&lt;&gt;"!!!"),"NEW","")))</f>
        <v> </v>
      </c>
      <c r="G5854" s="23" t="str">
        <f>IF(OR(E5854="",E5854="!!!"),"",IF(OR(J5854=0,AND(J5854=1,K5854=1),AND(J5854=1,I5854="SBJ"),AND(J5854=1,I5854=0)),"?IN_FOCUS",IF(J5854&lt;=2,"?ACTIVATED",IF(J5854&lt;&gt;"","?FAMILIAR",IF(F5854="NEW",IF(ISNA(VLOOKUP(E5854,#REF!,1,FALSE())),"?TYPE_IDENTIFIABLE","?REFERENTIAL"),"_")))))</f>
        <v> </v>
      </c>
      <c r="H5854" s="24" t="str">
        <f>IF(J5854&lt;&gt;1,"",IF(I5854="SBJ","CB","?"))</f>
        <v> </v>
      </c>
      <c r="I5854" s="25" t="str">
        <f>IF(OR(E5854="",E5854="!!!",F5854="NEW"),"",INDEX(B5853:B$2,-1+SUMPRODUCT(MAX(ROW(E5853:E$2)*(E5854=E5853:E$2)))))</f>
        <v> </v>
      </c>
      <c r="J5854" s="25" t="str">
        <f>IF(OR(E5854="",E5854="!!!",F5854="NEW"),"",COUNTBLANK(OFFSET(A$1,,,SUMPRODUCT(MAX(ROW(E$2:E5854)*(E5854=E$2:E5854)))))-COUNTBLANK(OFFSET(A$1,,,SUMPRODUCT(MAX(ROW(E$1:E5853)*(E2=E$1:E5853))))))</f>
        <v> </v>
      </c>
      <c r="K5854" s="25" t="str">
        <f>IF(OR(E5854="",E5854="!!!",F5854="NEW"),"",INDEX(J$1:J5853,SUMPRODUCT(MAX(ROW(E$1:E5853)*(E5854=E$1:E5853)))))</f>
        <v> </v>
      </c>
      <c r="L5854" s="26"/>
    </row>
    <row r="5855" spans="1:12">
      <c r="A5855" s="20"/>
    </row>
    <row r="5856" spans="1:12">
      <c r="A5856" s="20" t="s">
        <v>2529</v>
      </c>
    </row>
    <row r="5857" spans="1:12">
      <c r="A5857" s="20" t="s">
        <v>1251</v>
      </c>
      <c r="B5857" s="27" t="s">
        <v>967</v>
      </c>
      <c r="C5857" s="27" t="s">
        <v>968</v>
      </c>
      <c r="D5857" s="27" t="s">
        <v>969</v>
      </c>
      <c r="E5857" s="21">
        <f>IF(D5857="?OLD","!!!","")</f>
        <v/>
      </c>
      <c r="F5857" s="22" t="str">
        <f>IF(OR(E5857="",E5857="!!!"),"",IF(NOT(ISNA(VLOOKUP(E5857,E$1:E5856,1,FALSE()))),"OLD",IF(AND(E5857&lt;&gt;"",E5857&lt;&gt;"!!!"),"NEW","")))</f>
        <v> </v>
      </c>
      <c r="G5857" s="23" t="str">
        <f>IF(OR(E5857="",E5857="!!!"),"",IF(OR(J5857=0,AND(J5857=1,K5857=1),AND(J5857=1,I5857="SBJ"),AND(J5857=1,I5857=0)),"?IN_FOCUS",IF(J5857&lt;=2,"?ACTIVATED",IF(J5857&lt;&gt;"","?FAMILIAR",IF(F5857="NEW",IF(ISNA(VLOOKUP(E5857,#REF!,1,FALSE())),"?TYPE_IDENTIFIABLE","?REFERENTIAL"),"_")))))</f>
        <v> </v>
      </c>
      <c r="H5857" s="24" t="str">
        <f>IF(J5857&lt;&gt;1,"",IF(I5857="SBJ","CB","?"))</f>
        <v> </v>
      </c>
      <c r="I5857" s="25" t="str">
        <f>IF(OR(E5857="",E5857="!!!",F5857="NEW"),"",INDEX(B5856:B$2,-1+SUMPRODUCT(MAX(ROW(E5856:E$2)*(E5857=E5856:E$2)))))</f>
        <v> </v>
      </c>
      <c r="J5857" s="25" t="str">
        <f>IF(OR(E5857="",E5857="!!!",F5857="NEW"),"",COUNTBLANK(OFFSET(A$1,,,SUMPRODUCT(MAX(ROW(E$2:E5857)*(E5857=E$2:E5857)))))-COUNTBLANK(OFFSET(A$1,,,SUMPRODUCT(MAX(ROW(E$1:E5856)*(E2=E$1:E5856))))))</f>
        <v> </v>
      </c>
      <c r="K5857" s="25" t="str">
        <f>IF(OR(E5857="",E5857="!!!",F5857="NEW"),"",INDEX(J$1:J5856,SUMPRODUCT(MAX(ROW(E$1:E5856)*(E5857=E$1:E5856)))))</f>
        <v> </v>
      </c>
      <c r="L5857" s="26"/>
    </row>
    <row r="5858" spans="1:12">
      <c r="A5858" s="20" t="s">
        <v>1893</v>
      </c>
      <c r="E5858" s="21">
        <f>IF(D5858="?OLD","!!!","")</f>
        <v/>
      </c>
      <c r="F5858" s="22" t="str">
        <f>IF(OR(E5858="",E5858="!!!"),"",IF(NOT(ISNA(VLOOKUP(E5858,E$1:E5857,1,FALSE()))),"OLD",IF(AND(E5858&lt;&gt;"",E5858&lt;&gt;"!!!"),"NEW","")))</f>
        <v> </v>
      </c>
      <c r="G5858" s="23" t="str">
        <f>IF(OR(E5858="",E5858="!!!"),"",IF(OR(J5858=0,AND(J5858=1,K5858=1),AND(J5858=1,I5858="SBJ"),AND(J5858=1,I5858=0)),"?IN_FOCUS",IF(J5858&lt;=2,"?ACTIVATED",IF(J5858&lt;&gt;"","?FAMILIAR",IF(F5858="NEW",IF(ISNA(VLOOKUP(E5858,#REF!,1,FALSE())),"?TYPE_IDENTIFIABLE","?REFERENTIAL"),"_")))))</f>
        <v> </v>
      </c>
      <c r="H5858" s="24" t="str">
        <f>IF(J5858&lt;&gt;1,"",IF(I5858="SBJ","CB","?"))</f>
        <v> </v>
      </c>
      <c r="I5858" s="25" t="str">
        <f>IF(OR(E5858="",E5858="!!!",F5858="NEW"),"",INDEX(B5857:B$2,-1+SUMPRODUCT(MAX(ROW(E5857:E$2)*(E5858=E5857:E$2)))))</f>
        <v> </v>
      </c>
      <c r="J5858" s="25" t="str">
        <f>IF(OR(E5858="",E5858="!!!",F5858="NEW"),"",COUNTBLANK(OFFSET(A$1,,,SUMPRODUCT(MAX(ROW(E$2:E5858)*(E5858=E$2:E5858)))))-COUNTBLANK(OFFSET(A$1,,,SUMPRODUCT(MAX(ROW(E$1:E5857)*(E2=E$1:E5857))))))</f>
        <v> </v>
      </c>
      <c r="K5858" s="25" t="str">
        <f>IF(OR(E5858="",E5858="!!!",F5858="NEW"),"",INDEX(J$1:J5857,SUMPRODUCT(MAX(ROW(E$1:E5857)*(E5858=E$1:E5857)))))</f>
        <v> </v>
      </c>
      <c r="L5858" s="26"/>
    </row>
    <row r="5859" spans="1:12">
      <c r="A5859" s="20" t="s">
        <v>1021</v>
      </c>
      <c r="E5859" s="21">
        <f>IF(D5859="?OLD","!!!","")</f>
        <v/>
      </c>
      <c r="F5859" s="22" t="str">
        <f>IF(OR(E5859="",E5859="!!!"),"",IF(NOT(ISNA(VLOOKUP(E5859,E$1:E5858,1,FALSE()))),"OLD",IF(AND(E5859&lt;&gt;"",E5859&lt;&gt;"!!!"),"NEW","")))</f>
        <v> </v>
      </c>
      <c r="G5859" s="23" t="str">
        <f>IF(OR(E5859="",E5859="!!!"),"",IF(OR(J5859=0,AND(J5859=1,K5859=1),AND(J5859=1,I5859="SBJ"),AND(J5859=1,I5859=0)),"?IN_FOCUS",IF(J5859&lt;=2,"?ACTIVATED",IF(J5859&lt;&gt;"","?FAMILIAR",IF(F5859="NEW",IF(ISNA(VLOOKUP(E5859,#REF!,1,FALSE())),"?TYPE_IDENTIFIABLE","?REFERENTIAL"),"_")))))</f>
        <v> </v>
      </c>
      <c r="H5859" s="24" t="str">
        <f>IF(J5859&lt;&gt;1,"",IF(I5859="SBJ","CB","?"))</f>
        <v> </v>
      </c>
      <c r="I5859" s="25" t="str">
        <f>IF(OR(E5859="",E5859="!!!",F5859="NEW"),"",INDEX(B5858:B$2,-1+SUMPRODUCT(MAX(ROW(E5858:E$2)*(E5859=E5858:E$2)))))</f>
        <v> </v>
      </c>
      <c r="J5859" s="25" t="str">
        <f>IF(OR(E5859="",E5859="!!!",F5859="NEW"),"",COUNTBLANK(OFFSET(A$1,,,SUMPRODUCT(MAX(ROW(E$2:E5859)*(E5859=E$2:E5859)))))-COUNTBLANK(OFFSET(A$1,,,SUMPRODUCT(MAX(ROW(E$1:E5858)*(E2=E$1:E5858))))))</f>
        <v> </v>
      </c>
      <c r="K5859" s="25" t="str">
        <f>IF(OR(E5859="",E5859="!!!",F5859="NEW"),"",INDEX(J$1:J5858,SUMPRODUCT(MAX(ROW(E$1:E5858)*(E5859=E$1:E5858)))))</f>
        <v> </v>
      </c>
      <c r="L5859" s="26"/>
    </row>
    <row r="5860" spans="1:12">
      <c r="A5860" s="20" t="s">
        <v>1445</v>
      </c>
      <c r="E5860" s="21">
        <f>IF(D5860="?OLD","!!!","")</f>
        <v/>
      </c>
      <c r="F5860" s="22" t="str">
        <f>IF(OR(E5860="",E5860="!!!"),"",IF(NOT(ISNA(VLOOKUP(E5860,E$1:E5859,1,FALSE()))),"OLD",IF(AND(E5860&lt;&gt;"",E5860&lt;&gt;"!!!"),"NEW","")))</f>
        <v> </v>
      </c>
      <c r="G5860" s="23" t="str">
        <f>IF(OR(E5860="",E5860="!!!"),"",IF(OR(J5860=0,AND(J5860=1,K5860=1),AND(J5860=1,I5860="SBJ"),AND(J5860=1,I5860=0)),"?IN_FOCUS",IF(J5860&lt;=2,"?ACTIVATED",IF(J5860&lt;&gt;"","?FAMILIAR",IF(F5860="NEW",IF(ISNA(VLOOKUP(E5860,#REF!,1,FALSE())),"?TYPE_IDENTIFIABLE","?REFERENTIAL"),"_")))))</f>
        <v> </v>
      </c>
      <c r="H5860" s="24" t="str">
        <f>IF(J5860&lt;&gt;1,"",IF(I5860="SBJ","CB","?"))</f>
        <v> </v>
      </c>
      <c r="I5860" s="25" t="str">
        <f>IF(OR(E5860="",E5860="!!!",F5860="NEW"),"",INDEX(B5859:B$2,-1+SUMPRODUCT(MAX(ROW(E5859:E$2)*(E5860=E5859:E$2)))))</f>
        <v> </v>
      </c>
      <c r="J5860" s="25" t="str">
        <f>IF(OR(E5860="",E5860="!!!",F5860="NEW"),"",COUNTBLANK(OFFSET(A$1,,,SUMPRODUCT(MAX(ROW(E$2:E5860)*(E5860=E$2:E5860)))))-COUNTBLANK(OFFSET(A$1,,,SUMPRODUCT(MAX(ROW(E$1:E5859)*(E2=E$1:E5859))))))</f>
        <v> </v>
      </c>
      <c r="K5860" s="25" t="str">
        <f>IF(OR(E5860="",E5860="!!!",F5860="NEW"),"",INDEX(J$1:J5859,SUMPRODUCT(MAX(ROW(E$1:E5859)*(E5860=E$1:E5859)))))</f>
        <v> </v>
      </c>
      <c r="L5860" s="26"/>
    </row>
    <row r="5861" spans="1:12">
      <c r="A5861" s="20" t="s">
        <v>1624</v>
      </c>
      <c r="E5861" s="21">
        <f>IF(D5861="?OLD","!!!","")</f>
        <v/>
      </c>
      <c r="F5861" s="22" t="str">
        <f>IF(OR(E5861="",E5861="!!!"),"",IF(NOT(ISNA(VLOOKUP(E5861,E$1:E5860,1,FALSE()))),"OLD",IF(AND(E5861&lt;&gt;"",E5861&lt;&gt;"!!!"),"NEW","")))</f>
        <v> </v>
      </c>
      <c r="G5861" s="23" t="str">
        <f>IF(OR(E5861="",E5861="!!!"),"",IF(OR(J5861=0,AND(J5861=1,K5861=1),AND(J5861=1,I5861="SBJ"),AND(J5861=1,I5861=0)),"?IN_FOCUS",IF(J5861&lt;=2,"?ACTIVATED",IF(J5861&lt;&gt;"","?FAMILIAR",IF(F5861="NEW",IF(ISNA(VLOOKUP(E5861,#REF!,1,FALSE())),"?TYPE_IDENTIFIABLE","?REFERENTIAL"),"_")))))</f>
        <v> </v>
      </c>
      <c r="H5861" s="24" t="str">
        <f>IF(J5861&lt;&gt;1,"",IF(I5861="SBJ","CB","?"))</f>
        <v> </v>
      </c>
      <c r="I5861" s="25" t="str">
        <f>IF(OR(E5861="",E5861="!!!",F5861="NEW"),"",INDEX(B5860:B$2,-1+SUMPRODUCT(MAX(ROW(E5860:E$2)*(E5861=E5860:E$2)))))</f>
        <v> </v>
      </c>
      <c r="J5861" s="25" t="str">
        <f>IF(OR(E5861="",E5861="!!!",F5861="NEW"),"",COUNTBLANK(OFFSET(A$1,,,SUMPRODUCT(MAX(ROW(E$2:E5861)*(E5861=E$2:E5861)))))-COUNTBLANK(OFFSET(A$1,,,SUMPRODUCT(MAX(ROW(E$1:E5860)*(E2=E$1:E5860))))))</f>
        <v> </v>
      </c>
      <c r="K5861" s="25" t="str">
        <f>IF(OR(E5861="",E5861="!!!",F5861="NEW"),"",INDEX(J$1:J5860,SUMPRODUCT(MAX(ROW(E$1:E5860)*(E5861=E$1:E5860)))))</f>
        <v> </v>
      </c>
      <c r="L5861" s="26"/>
    </row>
    <row r="5862" spans="1:12">
      <c r="A5862" s="20" t="s">
        <v>2530</v>
      </c>
      <c r="B5862" s="27" t="s">
        <v>1010</v>
      </c>
      <c r="C5862" s="27" t="s">
        <v>1234</v>
      </c>
      <c r="D5862" s="27" t="s">
        <v>969</v>
      </c>
      <c r="E5862" s="21">
        <f>IF(D5862="?OLD","!!!","")</f>
        <v/>
      </c>
      <c r="F5862" s="22" t="str">
        <f>IF(OR(E5862="",E5862="!!!"),"",IF(NOT(ISNA(VLOOKUP(E5862,E$1:E5861,1,FALSE()))),"OLD",IF(AND(E5862&lt;&gt;"",E5862&lt;&gt;"!!!"),"NEW","")))</f>
        <v> </v>
      </c>
      <c r="G5862" s="23" t="str">
        <f>IF(OR(E5862="",E5862="!!!"),"",IF(OR(J5862=0,AND(J5862=1,K5862=1),AND(J5862=1,I5862="SBJ"),AND(J5862=1,I5862=0)),"?IN_FOCUS",IF(J5862&lt;=2,"?ACTIVATED",IF(J5862&lt;&gt;"","?FAMILIAR",IF(F5862="NEW",IF(ISNA(VLOOKUP(E5862,#REF!,1,FALSE())),"?TYPE_IDENTIFIABLE","?REFERENTIAL"),"_")))))</f>
        <v> </v>
      </c>
      <c r="H5862" s="24" t="str">
        <f>IF(J5862&lt;&gt;1,"",IF(I5862="SBJ","CB","?"))</f>
        <v> </v>
      </c>
      <c r="I5862" s="25" t="str">
        <f>IF(OR(E5862="",E5862="!!!",F5862="NEW"),"",INDEX(B5861:B$2,-1+SUMPRODUCT(MAX(ROW(E5861:E$2)*(E5862=E5861:E$2)))))</f>
        <v> </v>
      </c>
      <c r="J5862" s="25" t="str">
        <f>IF(OR(E5862="",E5862="!!!",F5862="NEW"),"",COUNTBLANK(OFFSET(A$1,,,SUMPRODUCT(MAX(ROW(E$2:E5862)*(E5862=E$2:E5862)))))-COUNTBLANK(OFFSET(A$1,,,SUMPRODUCT(MAX(ROW(E$1:E5861)*(E2=E$1:E5861))))))</f>
        <v> </v>
      </c>
      <c r="K5862" s="25" t="str">
        <f>IF(OR(E5862="",E5862="!!!",F5862="NEW"),"",INDEX(J$1:J5861,SUMPRODUCT(MAX(ROW(E$1:E5861)*(E5862=E$1:E5861)))))</f>
        <v> </v>
      </c>
      <c r="L5862" s="26"/>
    </row>
    <row r="5863" spans="1:12">
      <c r="A5863" s="20" t="s">
        <v>991</v>
      </c>
      <c r="E5863" s="21">
        <f>IF(D5863="?OLD","!!!","")</f>
        <v/>
      </c>
      <c r="F5863" s="22" t="str">
        <f>IF(OR(E5863="",E5863="!!!"),"",IF(NOT(ISNA(VLOOKUP(E5863,E$1:E5862,1,FALSE()))),"OLD",IF(AND(E5863&lt;&gt;"",E5863&lt;&gt;"!!!"),"NEW","")))</f>
        <v> </v>
      </c>
      <c r="G5863" s="23" t="str">
        <f>IF(OR(E5863="",E5863="!!!"),"",IF(OR(J5863=0,AND(J5863=1,K5863=1),AND(J5863=1,I5863="SBJ"),AND(J5863=1,I5863=0)),"?IN_FOCUS",IF(J5863&lt;=2,"?ACTIVATED",IF(J5863&lt;&gt;"","?FAMILIAR",IF(F5863="NEW",IF(ISNA(VLOOKUP(E5863,#REF!,1,FALSE())),"?TYPE_IDENTIFIABLE","?REFERENTIAL"),"_")))))</f>
        <v> </v>
      </c>
      <c r="H5863" s="24" t="str">
        <f>IF(J5863&lt;&gt;1,"",IF(I5863="SBJ","CB","?"))</f>
        <v> </v>
      </c>
      <c r="I5863" s="25" t="str">
        <f>IF(OR(E5863="",E5863="!!!",F5863="NEW"),"",INDEX(B5862:B$2,-1+SUMPRODUCT(MAX(ROW(E5862:E$2)*(E5863=E5862:E$2)))))</f>
        <v> </v>
      </c>
      <c r="J5863" s="25" t="str">
        <f>IF(OR(E5863="",E5863="!!!",F5863="NEW"),"",COUNTBLANK(OFFSET(A$1,,,SUMPRODUCT(MAX(ROW(E$2:E5863)*(E5863=E$2:E5863)))))-COUNTBLANK(OFFSET(A$1,,,SUMPRODUCT(MAX(ROW(E$1:E5862)*(E2=E$1:E5862))))))</f>
        <v> </v>
      </c>
      <c r="K5863" s="25" t="str">
        <f>IF(OR(E5863="",E5863="!!!",F5863="NEW"),"",INDEX(J$1:J5862,SUMPRODUCT(MAX(ROW(E$1:E5862)*(E5863=E$1:E5862)))))</f>
        <v> </v>
      </c>
      <c r="L5863" s="26"/>
    </row>
    <row r="5864" spans="1:12">
      <c r="A5864" s="20" t="s">
        <v>1110</v>
      </c>
      <c r="E5864" s="21">
        <f>IF(D5864="?OLD","!!!","")</f>
        <v/>
      </c>
      <c r="F5864" s="22" t="str">
        <f>IF(OR(E5864="",E5864="!!!"),"",IF(NOT(ISNA(VLOOKUP(E5864,E$1:E5863,1,FALSE()))),"OLD",IF(AND(E5864&lt;&gt;"",E5864&lt;&gt;"!!!"),"NEW","")))</f>
        <v> </v>
      </c>
      <c r="G5864" s="23" t="str">
        <f>IF(OR(E5864="",E5864="!!!"),"",IF(OR(J5864=0,AND(J5864=1,K5864=1),AND(J5864=1,I5864="SBJ"),AND(J5864=1,I5864=0)),"?IN_FOCUS",IF(J5864&lt;=2,"?ACTIVATED",IF(J5864&lt;&gt;"","?FAMILIAR",IF(F5864="NEW",IF(ISNA(VLOOKUP(E5864,#REF!,1,FALSE())),"?TYPE_IDENTIFIABLE","?REFERENTIAL"),"_")))))</f>
        <v> </v>
      </c>
      <c r="H5864" s="24" t="str">
        <f>IF(J5864&lt;&gt;1,"",IF(I5864="SBJ","CB","?"))</f>
        <v> </v>
      </c>
      <c r="I5864" s="25" t="str">
        <f>IF(OR(E5864="",E5864="!!!",F5864="NEW"),"",INDEX(B5863:B$2,-1+SUMPRODUCT(MAX(ROW(E5863:E$2)*(E5864=E5863:E$2)))))</f>
        <v> </v>
      </c>
      <c r="J5864" s="25" t="str">
        <f>IF(OR(E5864="",E5864="!!!",F5864="NEW"),"",COUNTBLANK(OFFSET(A$1,,,SUMPRODUCT(MAX(ROW(E$2:E5864)*(E5864=E$2:E5864)))))-COUNTBLANK(OFFSET(A$1,,,SUMPRODUCT(MAX(ROW(E$1:E5863)*(E2=E$1:E5863))))))</f>
        <v> </v>
      </c>
      <c r="K5864" s="25" t="str">
        <f>IF(OR(E5864="",E5864="!!!",F5864="NEW"),"",INDEX(J$1:J5863,SUMPRODUCT(MAX(ROW(E$1:E5863)*(E5864=E$1:E5863)))))</f>
        <v> </v>
      </c>
      <c r="L5864" s="26"/>
    </row>
    <row r="5865" spans="1:12">
      <c r="A5865" s="20" t="s">
        <v>2531</v>
      </c>
      <c r="E5865" s="21">
        <f>IF(D5865="?OLD","!!!","")</f>
        <v/>
      </c>
      <c r="F5865" s="22" t="str">
        <f>IF(OR(E5865="",E5865="!!!"),"",IF(NOT(ISNA(VLOOKUP(E5865,E$1:E5864,1,FALSE()))),"OLD",IF(AND(E5865&lt;&gt;"",E5865&lt;&gt;"!!!"),"NEW","")))</f>
        <v> </v>
      </c>
      <c r="G5865" s="23" t="str">
        <f>IF(OR(E5865="",E5865="!!!"),"",IF(OR(J5865=0,AND(J5865=1,K5865=1),AND(J5865=1,I5865="SBJ"),AND(J5865=1,I5865=0)),"?IN_FOCUS",IF(J5865&lt;=2,"?ACTIVATED",IF(J5865&lt;&gt;"","?FAMILIAR",IF(F5865="NEW",IF(ISNA(VLOOKUP(E5865,#REF!,1,FALSE())),"?TYPE_IDENTIFIABLE","?REFERENTIAL"),"_")))))</f>
        <v> </v>
      </c>
      <c r="H5865" s="24" t="str">
        <f>IF(J5865&lt;&gt;1,"",IF(I5865="SBJ","CB","?"))</f>
        <v> </v>
      </c>
      <c r="I5865" s="25" t="str">
        <f>IF(OR(E5865="",E5865="!!!",F5865="NEW"),"",INDEX(B5864:B$2,-1+SUMPRODUCT(MAX(ROW(E5864:E$2)*(E5865=E5864:E$2)))))</f>
        <v> </v>
      </c>
      <c r="J5865" s="25" t="str">
        <f>IF(OR(E5865="",E5865="!!!",F5865="NEW"),"",COUNTBLANK(OFFSET(A$1,,,SUMPRODUCT(MAX(ROW(E$2:E5865)*(E5865=E$2:E5865)))))-COUNTBLANK(OFFSET(A$1,,,SUMPRODUCT(MAX(ROW(E$1:E5864)*(E2=E$1:E5864))))))</f>
        <v> </v>
      </c>
      <c r="K5865" s="25" t="str">
        <f>IF(OR(E5865="",E5865="!!!",F5865="NEW"),"",INDEX(J$1:J5864,SUMPRODUCT(MAX(ROW(E$1:E5864)*(E5865=E$1:E5864)))))</f>
        <v> </v>
      </c>
      <c r="L5865" s="26"/>
    </row>
    <row r="5866" spans="1:12">
      <c r="A5866" s="20" t="s">
        <v>1833</v>
      </c>
      <c r="B5866" s="27" t="s">
        <v>1013</v>
      </c>
      <c r="C5866" s="27" t="s">
        <v>1018</v>
      </c>
      <c r="E5866" s="21">
        <f>IF(D5866="?OLD","!!!","")</f>
        <v/>
      </c>
      <c r="F5866" s="22" t="str">
        <f>IF(OR(E5866="",E5866="!!!"),"",IF(NOT(ISNA(VLOOKUP(E5866,E$1:E5865,1,FALSE()))),"OLD",IF(AND(E5866&lt;&gt;"",E5866&lt;&gt;"!!!"),"NEW","")))</f>
        <v> </v>
      </c>
      <c r="G5866" s="23" t="str">
        <f>IF(OR(E5866="",E5866="!!!"),"",IF(OR(J5866=0,AND(J5866=1,K5866=1),AND(J5866=1,I5866="SBJ"),AND(J5866=1,I5866=0)),"?IN_FOCUS",IF(J5866&lt;=2,"?ACTIVATED",IF(J5866&lt;&gt;"","?FAMILIAR",IF(F5866="NEW",IF(ISNA(VLOOKUP(E5866,#REF!,1,FALSE())),"?TYPE_IDENTIFIABLE","?REFERENTIAL"),"_")))))</f>
        <v> </v>
      </c>
      <c r="H5866" s="24" t="str">
        <f>IF(J5866&lt;&gt;1,"",IF(I5866="SBJ","CB","?"))</f>
        <v> </v>
      </c>
      <c r="I5866" s="25" t="str">
        <f>IF(OR(E5866="",E5866="!!!",F5866="NEW"),"",INDEX(B5865:B$2,-1+SUMPRODUCT(MAX(ROW(E5865:E$2)*(E5866=E5865:E$2)))))</f>
        <v> </v>
      </c>
      <c r="J5866" s="25" t="str">
        <f>IF(OR(E5866="",E5866="!!!",F5866="NEW"),"",COUNTBLANK(OFFSET(A$1,,,SUMPRODUCT(MAX(ROW(E$2:E5866)*(E5866=E$2:E5866)))))-COUNTBLANK(OFFSET(A$1,,,SUMPRODUCT(MAX(ROW(E$1:E5865)*(E2=E$1:E5865))))))</f>
        <v> </v>
      </c>
      <c r="K5866" s="25" t="str">
        <f>IF(OR(E5866="",E5866="!!!",F5866="NEW"),"",INDEX(J$1:J5865,SUMPRODUCT(MAX(ROW(E$1:E5865)*(E5866=E$1:E5865)))))</f>
        <v> </v>
      </c>
      <c r="L5866" s="26"/>
    </row>
    <row r="5867" spans="1:12">
      <c r="A5867" s="20" t="s">
        <v>999</v>
      </c>
      <c r="E5867" s="21">
        <f>IF(D5867="?OLD","!!!","")</f>
        <v/>
      </c>
      <c r="F5867" s="22" t="str">
        <f>IF(OR(E5867="",E5867="!!!"),"",IF(NOT(ISNA(VLOOKUP(E5867,E$1:E5866,1,FALSE()))),"OLD",IF(AND(E5867&lt;&gt;"",E5867&lt;&gt;"!!!"),"NEW","")))</f>
        <v> </v>
      </c>
      <c r="G5867" s="23" t="str">
        <f>IF(OR(E5867="",E5867="!!!"),"",IF(OR(J5867=0,AND(J5867=1,K5867=1),AND(J5867=1,I5867="SBJ"),AND(J5867=1,I5867=0)),"?IN_FOCUS",IF(J5867&lt;=2,"?ACTIVATED",IF(J5867&lt;&gt;"","?FAMILIAR",IF(F5867="NEW",IF(ISNA(VLOOKUP(E5867,#REF!,1,FALSE())),"?TYPE_IDENTIFIABLE","?REFERENTIAL"),"_")))))</f>
        <v> </v>
      </c>
      <c r="H5867" s="24" t="str">
        <f>IF(J5867&lt;&gt;1,"",IF(I5867="SBJ","CB","?"))</f>
        <v> </v>
      </c>
      <c r="I5867" s="25" t="str">
        <f>IF(OR(E5867="",E5867="!!!",F5867="NEW"),"",INDEX(B5866:B$2,-1+SUMPRODUCT(MAX(ROW(E5866:E$2)*(E5867=E5866:E$2)))))</f>
        <v> </v>
      </c>
      <c r="J5867" s="25" t="str">
        <f>IF(OR(E5867="",E5867="!!!",F5867="NEW"),"",COUNTBLANK(OFFSET(A$1,,,SUMPRODUCT(MAX(ROW(E$2:E5867)*(E5867=E$2:E5867)))))-COUNTBLANK(OFFSET(A$1,,,SUMPRODUCT(MAX(ROW(E$1:E5866)*(E2=E$1:E5866))))))</f>
        <v> </v>
      </c>
      <c r="K5867" s="25" t="str">
        <f>IF(OR(E5867="",E5867="!!!",F5867="NEW"),"",INDEX(J$1:J5866,SUMPRODUCT(MAX(ROW(E$1:E5866)*(E5867=E$1:E5866)))))</f>
        <v> </v>
      </c>
      <c r="L5867" s="26"/>
    </row>
    <row r="5868" spans="1:12">
      <c r="A5868" s="20" t="s">
        <v>635</v>
      </c>
      <c r="E5868" s="21">
        <f>IF(D5868="?OLD","!!!","")</f>
        <v/>
      </c>
      <c r="F5868" s="22" t="str">
        <f>IF(OR(E5868="",E5868="!!!"),"",IF(NOT(ISNA(VLOOKUP(E5868,E$1:E5867,1,FALSE()))),"OLD",IF(AND(E5868&lt;&gt;"",E5868&lt;&gt;"!!!"),"NEW","")))</f>
        <v> </v>
      </c>
      <c r="G5868" s="23" t="str">
        <f>IF(OR(E5868="",E5868="!!!"),"",IF(OR(J5868=0,AND(J5868=1,K5868=1),AND(J5868=1,I5868="SBJ"),AND(J5868=1,I5868=0)),"?IN_FOCUS",IF(J5868&lt;=2,"?ACTIVATED",IF(J5868&lt;&gt;"","?FAMILIAR",IF(F5868="NEW",IF(ISNA(VLOOKUP(E5868,#REF!,1,FALSE())),"?TYPE_IDENTIFIABLE","?REFERENTIAL"),"_")))))</f>
        <v> </v>
      </c>
      <c r="H5868" s="24" t="str">
        <f>IF(J5868&lt;&gt;1,"",IF(I5868="SBJ","CB","?"))</f>
        <v> </v>
      </c>
      <c r="I5868" s="25" t="str">
        <f>IF(OR(E5868="",E5868="!!!",F5868="NEW"),"",INDEX(B5867:B$2,-1+SUMPRODUCT(MAX(ROW(E5867:E$2)*(E5868=E5867:E$2)))))</f>
        <v> </v>
      </c>
      <c r="J5868" s="25" t="str">
        <f>IF(OR(E5868="",E5868="!!!",F5868="NEW"),"",COUNTBLANK(OFFSET(A$1,,,SUMPRODUCT(MAX(ROW(E$2:E5868)*(E5868=E$2:E5868)))))-COUNTBLANK(OFFSET(A$1,,,SUMPRODUCT(MAX(ROW(E$1:E5867)*(E2=E$1:E5867))))))</f>
        <v> </v>
      </c>
      <c r="K5868" s="25" t="str">
        <f>IF(OR(E5868="",E5868="!!!",F5868="NEW"),"",INDEX(J$1:J5867,SUMPRODUCT(MAX(ROW(E$1:E5867)*(E5868=E$1:E5867)))))</f>
        <v> </v>
      </c>
      <c r="L5868" s="26"/>
    </row>
    <row r="5869" spans="1:12">
      <c r="A5869" s="20" t="s">
        <v>980</v>
      </c>
      <c r="E5869" s="21">
        <f>IF(D5869="?OLD","!!!","")</f>
        <v/>
      </c>
      <c r="F5869" s="22" t="str">
        <f>IF(OR(E5869="",E5869="!!!"),"",IF(NOT(ISNA(VLOOKUP(E5869,E$1:E5868,1,FALSE()))),"OLD",IF(AND(E5869&lt;&gt;"",E5869&lt;&gt;"!!!"),"NEW","")))</f>
        <v> </v>
      </c>
      <c r="G5869" s="23" t="str">
        <f>IF(OR(E5869="",E5869="!!!"),"",IF(OR(J5869=0,AND(J5869=1,K5869=1),AND(J5869=1,I5869="SBJ"),AND(J5869=1,I5869=0)),"?IN_FOCUS",IF(J5869&lt;=2,"?ACTIVATED",IF(J5869&lt;&gt;"","?FAMILIAR",IF(F5869="NEW",IF(ISNA(VLOOKUP(E5869,#REF!,1,FALSE())),"?TYPE_IDENTIFIABLE","?REFERENTIAL"),"_")))))</f>
        <v> </v>
      </c>
      <c r="H5869" s="24" t="str">
        <f>IF(J5869&lt;&gt;1,"",IF(I5869="SBJ","CB","?"))</f>
        <v> </v>
      </c>
      <c r="I5869" s="25" t="str">
        <f>IF(OR(E5869="",E5869="!!!",F5869="NEW"),"",INDEX(B5868:B$2,-1+SUMPRODUCT(MAX(ROW(E5868:E$2)*(E5869=E5868:E$2)))))</f>
        <v> </v>
      </c>
      <c r="J5869" s="25" t="str">
        <f>IF(OR(E5869="",E5869="!!!",F5869="NEW"),"",COUNTBLANK(OFFSET(A$1,,,SUMPRODUCT(MAX(ROW(E$2:E5869)*(E5869=E$2:E5869)))))-COUNTBLANK(OFFSET(A$1,,,SUMPRODUCT(MAX(ROW(E$1:E5868)*(E2=E$1:E5868))))))</f>
        <v> </v>
      </c>
      <c r="K5869" s="25" t="str">
        <f>IF(OR(E5869="",E5869="!!!",F5869="NEW"),"",INDEX(J$1:J5868,SUMPRODUCT(MAX(ROW(E$1:E5868)*(E5869=E$1:E5868)))))</f>
        <v> </v>
      </c>
      <c r="L5869" s="26"/>
    </row>
    <row r="5870" spans="1:12">
      <c r="A5870" s="20" t="s">
        <v>999</v>
      </c>
      <c r="E5870" s="21">
        <f>IF(D5870="?OLD","!!!","")</f>
        <v/>
      </c>
      <c r="F5870" s="22" t="str">
        <f>IF(OR(E5870="",E5870="!!!"),"",IF(NOT(ISNA(VLOOKUP(E5870,E$1:E5869,1,FALSE()))),"OLD",IF(AND(E5870&lt;&gt;"",E5870&lt;&gt;"!!!"),"NEW","")))</f>
        <v> </v>
      </c>
      <c r="G5870" s="23" t="str">
        <f>IF(OR(E5870="",E5870="!!!"),"",IF(OR(J5870=0,AND(J5870=1,K5870=1),AND(J5870=1,I5870="SBJ"),AND(J5870=1,I5870=0)),"?IN_FOCUS",IF(J5870&lt;=2,"?ACTIVATED",IF(J5870&lt;&gt;"","?FAMILIAR",IF(F5870="NEW",IF(ISNA(VLOOKUP(E5870,#REF!,1,FALSE())),"?TYPE_IDENTIFIABLE","?REFERENTIAL"),"_")))))</f>
        <v> </v>
      </c>
      <c r="H5870" s="24" t="str">
        <f>IF(J5870&lt;&gt;1,"",IF(I5870="SBJ","CB","?"))</f>
        <v> </v>
      </c>
      <c r="I5870" s="25" t="str">
        <f>IF(OR(E5870="",E5870="!!!",F5870="NEW"),"",INDEX(B5869:B$2,-1+SUMPRODUCT(MAX(ROW(E5869:E$2)*(E5870=E5869:E$2)))))</f>
        <v> </v>
      </c>
      <c r="J5870" s="25" t="str">
        <f>IF(OR(E5870="",E5870="!!!",F5870="NEW"),"",COUNTBLANK(OFFSET(A$1,,,SUMPRODUCT(MAX(ROW(E$2:E5870)*(E5870=E$2:E5870)))))-COUNTBLANK(OFFSET(A$1,,,SUMPRODUCT(MAX(ROW(E$1:E5869)*(E2=E$1:E5869))))))</f>
        <v> </v>
      </c>
      <c r="K5870" s="25" t="str">
        <f>IF(OR(E5870="",E5870="!!!",F5870="NEW"),"",INDEX(J$1:J5869,SUMPRODUCT(MAX(ROW(E$1:E5869)*(E5870=E$1:E5869)))))</f>
        <v> </v>
      </c>
      <c r="L5870" s="26"/>
    </row>
    <row r="5871" spans="1:12">
      <c r="A5871" s="20" t="s">
        <v>2532</v>
      </c>
      <c r="E5871" s="21">
        <f>IF(D5871="?OLD","!!!","")</f>
        <v/>
      </c>
      <c r="F5871" s="22" t="str">
        <f>IF(OR(E5871="",E5871="!!!"),"",IF(NOT(ISNA(VLOOKUP(E5871,E$1:E5870,1,FALSE()))),"OLD",IF(AND(E5871&lt;&gt;"",E5871&lt;&gt;"!!!"),"NEW","")))</f>
        <v> </v>
      </c>
      <c r="G5871" s="23" t="str">
        <f>IF(OR(E5871="",E5871="!!!"),"",IF(OR(J5871=0,AND(J5871=1,K5871=1),AND(J5871=1,I5871="SBJ"),AND(J5871=1,I5871=0)),"?IN_FOCUS",IF(J5871&lt;=2,"?ACTIVATED",IF(J5871&lt;&gt;"","?FAMILIAR",IF(F5871="NEW",IF(ISNA(VLOOKUP(E5871,#REF!,1,FALSE())),"?TYPE_IDENTIFIABLE","?REFERENTIAL"),"_")))))</f>
        <v> </v>
      </c>
      <c r="H5871" s="24" t="str">
        <f>IF(J5871&lt;&gt;1,"",IF(I5871="SBJ","CB","?"))</f>
        <v> </v>
      </c>
      <c r="I5871" s="25" t="str">
        <f>IF(OR(E5871="",E5871="!!!",F5871="NEW"),"",INDEX(B5870:B$2,-1+SUMPRODUCT(MAX(ROW(E5870:E$2)*(E5871=E5870:E$2)))))</f>
        <v> </v>
      </c>
      <c r="J5871" s="25" t="str">
        <f>IF(OR(E5871="",E5871="!!!",F5871="NEW"),"",COUNTBLANK(OFFSET(A$1,,,SUMPRODUCT(MAX(ROW(E$2:E5871)*(E5871=E$2:E5871)))))-COUNTBLANK(OFFSET(A$1,,,SUMPRODUCT(MAX(ROW(E$1:E5870)*(E2=E$1:E5870))))))</f>
        <v> </v>
      </c>
      <c r="K5871" s="25" t="str">
        <f>IF(OR(E5871="",E5871="!!!",F5871="NEW"),"",INDEX(J$1:J5870,SUMPRODUCT(MAX(ROW(E$1:E5870)*(E5871=E$1:E5870)))))</f>
        <v> </v>
      </c>
      <c r="L5871" s="26"/>
    </row>
    <row r="5872" spans="1:12">
      <c r="A5872" s="20" t="s">
        <v>991</v>
      </c>
      <c r="E5872" s="21">
        <f>IF(D5872="?OLD","!!!","")</f>
        <v/>
      </c>
      <c r="F5872" s="22" t="str">
        <f>IF(OR(E5872="",E5872="!!!"),"",IF(NOT(ISNA(VLOOKUP(E5872,E$1:E5871,1,FALSE()))),"OLD",IF(AND(E5872&lt;&gt;"",E5872&lt;&gt;"!!!"),"NEW","")))</f>
        <v> </v>
      </c>
      <c r="G5872" s="23" t="str">
        <f>IF(OR(E5872="",E5872="!!!"),"",IF(OR(J5872=0,AND(J5872=1,K5872=1),AND(J5872=1,I5872="SBJ"),AND(J5872=1,I5872=0)),"?IN_FOCUS",IF(J5872&lt;=2,"?ACTIVATED",IF(J5872&lt;&gt;"","?FAMILIAR",IF(F5872="NEW",IF(ISNA(VLOOKUP(E5872,#REF!,1,FALSE())),"?TYPE_IDENTIFIABLE","?REFERENTIAL"),"_")))))</f>
        <v> </v>
      </c>
      <c r="H5872" s="24" t="str">
        <f>IF(J5872&lt;&gt;1,"",IF(I5872="SBJ","CB","?"))</f>
        <v> </v>
      </c>
      <c r="I5872" s="25" t="str">
        <f>IF(OR(E5872="",E5872="!!!",F5872="NEW"),"",INDEX(B5871:B$2,-1+SUMPRODUCT(MAX(ROW(E5871:E$2)*(E5872=E5871:E$2)))))</f>
        <v> </v>
      </c>
      <c r="J5872" s="25" t="str">
        <f>IF(OR(E5872="",E5872="!!!",F5872="NEW"),"",COUNTBLANK(OFFSET(A$1,,,SUMPRODUCT(MAX(ROW(E$2:E5872)*(E5872=E$2:E5872)))))-COUNTBLANK(OFFSET(A$1,,,SUMPRODUCT(MAX(ROW(E$1:E5871)*(E2=E$1:E5871))))))</f>
        <v> </v>
      </c>
      <c r="K5872" s="25" t="str">
        <f>IF(OR(E5872="",E5872="!!!",F5872="NEW"),"",INDEX(J$1:J5871,SUMPRODUCT(MAX(ROW(E$1:E5871)*(E5872=E$1:E5871)))))</f>
        <v> </v>
      </c>
      <c r="L5872" s="26"/>
    </row>
    <row r="5873" spans="1:12">
      <c r="A5873" s="20" t="s">
        <v>996</v>
      </c>
      <c r="E5873" s="21">
        <f>IF(D5873="?OLD","!!!","")</f>
        <v/>
      </c>
      <c r="F5873" s="22" t="str">
        <f>IF(OR(E5873="",E5873="!!!"),"",IF(NOT(ISNA(VLOOKUP(E5873,E$1:E5872,1,FALSE()))),"OLD",IF(AND(E5873&lt;&gt;"",E5873&lt;&gt;"!!!"),"NEW","")))</f>
        <v> </v>
      </c>
      <c r="G5873" s="23" t="str">
        <f>IF(OR(E5873="",E5873="!!!"),"",IF(OR(J5873=0,AND(J5873=1,K5873=1),AND(J5873=1,I5873="SBJ"),AND(J5873=1,I5873=0)),"?IN_FOCUS",IF(J5873&lt;=2,"?ACTIVATED",IF(J5873&lt;&gt;"","?FAMILIAR",IF(F5873="NEW",IF(ISNA(VLOOKUP(E5873,#REF!,1,FALSE())),"?TYPE_IDENTIFIABLE","?REFERENTIAL"),"_")))))</f>
        <v> </v>
      </c>
      <c r="H5873" s="24" t="str">
        <f>IF(J5873&lt;&gt;1,"",IF(I5873="SBJ","CB","?"))</f>
        <v> </v>
      </c>
      <c r="I5873" s="25" t="str">
        <f>IF(OR(E5873="",E5873="!!!",F5873="NEW"),"",INDEX(B5872:B$2,-1+SUMPRODUCT(MAX(ROW(E5872:E$2)*(E5873=E5872:E$2)))))</f>
        <v> </v>
      </c>
      <c r="J5873" s="25" t="str">
        <f>IF(OR(E5873="",E5873="!!!",F5873="NEW"),"",COUNTBLANK(OFFSET(A$1,,,SUMPRODUCT(MAX(ROW(E$2:E5873)*(E5873=E$2:E5873)))))-COUNTBLANK(OFFSET(A$1,,,SUMPRODUCT(MAX(ROW(E$1:E5872)*(E2=E$1:E5872))))))</f>
        <v> </v>
      </c>
      <c r="K5873" s="25" t="str">
        <f>IF(OR(E5873="",E5873="!!!",F5873="NEW"),"",INDEX(J$1:J5872,SUMPRODUCT(MAX(ROW(E$1:E5872)*(E5873=E$1:E5872)))))</f>
        <v> </v>
      </c>
      <c r="L5873" s="26"/>
    </row>
    <row r="5874" spans="1:12">
      <c r="A5874" s="20" t="s">
        <v>2533</v>
      </c>
      <c r="B5874" s="27" t="s">
        <v>1003</v>
      </c>
      <c r="C5874" s="27" t="s">
        <v>988</v>
      </c>
      <c r="D5874" s="27" t="s">
        <v>969</v>
      </c>
      <c r="E5874" s="21">
        <f>IF(D5874="?OLD","!!!","")</f>
        <v/>
      </c>
      <c r="F5874" s="22" t="str">
        <f>IF(OR(E5874="",E5874="!!!"),"",IF(NOT(ISNA(VLOOKUP(E5874,E$1:E5873,1,FALSE()))),"OLD",IF(AND(E5874&lt;&gt;"",E5874&lt;&gt;"!!!"),"NEW","")))</f>
        <v> </v>
      </c>
      <c r="G5874" s="23" t="str">
        <f>IF(OR(E5874="",E5874="!!!"),"",IF(OR(J5874=0,AND(J5874=1,K5874=1),AND(J5874=1,I5874="SBJ"),AND(J5874=1,I5874=0)),"?IN_FOCUS",IF(J5874&lt;=2,"?ACTIVATED",IF(J5874&lt;&gt;"","?FAMILIAR",IF(F5874="NEW",IF(ISNA(VLOOKUP(E5874,#REF!,1,FALSE())),"?TYPE_IDENTIFIABLE","?REFERENTIAL"),"_")))))</f>
        <v> </v>
      </c>
      <c r="H5874" s="24" t="str">
        <f>IF(J5874&lt;&gt;1,"",IF(I5874="SBJ","CB","?"))</f>
        <v> </v>
      </c>
      <c r="I5874" s="25" t="str">
        <f>IF(OR(E5874="",E5874="!!!",F5874="NEW"),"",INDEX(B5873:B$2,-1+SUMPRODUCT(MAX(ROW(E5873:E$2)*(E5874=E5873:E$2)))))</f>
        <v> </v>
      </c>
      <c r="J5874" s="25" t="str">
        <f>IF(OR(E5874="",E5874="!!!",F5874="NEW"),"",COUNTBLANK(OFFSET(A$1,,,SUMPRODUCT(MAX(ROW(E$2:E5874)*(E5874=E$2:E5874)))))-COUNTBLANK(OFFSET(A$1,,,SUMPRODUCT(MAX(ROW(E$1:E5873)*(E2=E$1:E5873))))))</f>
        <v> </v>
      </c>
      <c r="K5874" s="25" t="str">
        <f>IF(OR(E5874="",E5874="!!!",F5874="NEW"),"",INDEX(J$1:J5873,SUMPRODUCT(MAX(ROW(E$1:E5873)*(E5874=E$1:E5873)))))</f>
        <v> </v>
      </c>
      <c r="L5874" s="26"/>
    </row>
    <row r="5875" spans="1:12">
      <c r="A5875" s="20" t="s">
        <v>1078</v>
      </c>
      <c r="B5875" s="27" t="s">
        <v>994</v>
      </c>
      <c r="C5875" s="27" t="s">
        <v>974</v>
      </c>
      <c r="E5875" s="21">
        <f>IF(D5875="?OLD","!!!","")</f>
        <v/>
      </c>
      <c r="F5875" s="22" t="str">
        <f>IF(OR(E5875="",E5875="!!!"),"",IF(NOT(ISNA(VLOOKUP(E5875,E$1:E5874,1,FALSE()))),"OLD",IF(AND(E5875&lt;&gt;"",E5875&lt;&gt;"!!!"),"NEW","")))</f>
        <v> </v>
      </c>
      <c r="G5875" s="23" t="str">
        <f>IF(OR(E5875="",E5875="!!!"),"",IF(OR(J5875=0,AND(J5875=1,K5875=1),AND(J5875=1,I5875="SBJ"),AND(J5875=1,I5875=0)),"?IN_FOCUS",IF(J5875&lt;=2,"?ACTIVATED",IF(J5875&lt;&gt;"","?FAMILIAR",IF(F5875="NEW",IF(ISNA(VLOOKUP(E5875,#REF!,1,FALSE())),"?TYPE_IDENTIFIABLE","?REFERENTIAL"),"_")))))</f>
        <v> </v>
      </c>
      <c r="H5875" s="24" t="str">
        <f>IF(J5875&lt;&gt;1,"",IF(I5875="SBJ","CB","?"))</f>
        <v> </v>
      </c>
      <c r="I5875" s="25" t="str">
        <f>IF(OR(E5875="",E5875="!!!",F5875="NEW"),"",INDEX(B5874:B$2,-1+SUMPRODUCT(MAX(ROW(E5874:E$2)*(E5875=E5874:E$2)))))</f>
        <v> </v>
      </c>
      <c r="J5875" s="25" t="str">
        <f>IF(OR(E5875="",E5875="!!!",F5875="NEW"),"",COUNTBLANK(OFFSET(A$1,,,SUMPRODUCT(MAX(ROW(E$2:E5875)*(E5875=E$2:E5875)))))-COUNTBLANK(OFFSET(A$1,,,SUMPRODUCT(MAX(ROW(E$1:E5874)*(E2=E$1:E5874))))))</f>
        <v> </v>
      </c>
      <c r="K5875" s="25" t="str">
        <f>IF(OR(E5875="",E5875="!!!",F5875="NEW"),"",INDEX(J$1:J5874,SUMPRODUCT(MAX(ROW(E$1:E5874)*(E5875=E$1:E5874)))))</f>
        <v> </v>
      </c>
      <c r="L5875" s="26"/>
    </row>
    <row r="5876" spans="1:12">
      <c r="A5876" s="20" t="s">
        <v>1016</v>
      </c>
      <c r="E5876" s="21">
        <f>IF(D5876="?OLD","!!!","")</f>
        <v/>
      </c>
      <c r="F5876" s="22" t="str">
        <f>IF(OR(E5876="",E5876="!!!"),"",IF(NOT(ISNA(VLOOKUP(E5876,E$1:E5875,1,FALSE()))),"OLD",IF(AND(E5876&lt;&gt;"",E5876&lt;&gt;"!!!"),"NEW","")))</f>
        <v> </v>
      </c>
      <c r="G5876" s="23" t="str">
        <f>IF(OR(E5876="",E5876="!!!"),"",IF(OR(J5876=0,AND(J5876=1,K5876=1),AND(J5876=1,I5876="SBJ"),AND(J5876=1,I5876=0)),"?IN_FOCUS",IF(J5876&lt;=2,"?ACTIVATED",IF(J5876&lt;&gt;"","?FAMILIAR",IF(F5876="NEW",IF(ISNA(VLOOKUP(E5876,#REF!,1,FALSE())),"?TYPE_IDENTIFIABLE","?REFERENTIAL"),"_")))))</f>
        <v> </v>
      </c>
      <c r="H5876" s="24" t="str">
        <f>IF(J5876&lt;&gt;1,"",IF(I5876="SBJ","CB","?"))</f>
        <v> </v>
      </c>
      <c r="I5876" s="25" t="str">
        <f>IF(OR(E5876="",E5876="!!!",F5876="NEW"),"",INDEX(B5875:B$2,-1+SUMPRODUCT(MAX(ROW(E5875:E$2)*(E5876=E5875:E$2)))))</f>
        <v> </v>
      </c>
      <c r="J5876" s="25" t="str">
        <f>IF(OR(E5876="",E5876="!!!",F5876="NEW"),"",COUNTBLANK(OFFSET(A$1,,,SUMPRODUCT(MAX(ROW(E$2:E5876)*(E5876=E$2:E5876)))))-COUNTBLANK(OFFSET(A$1,,,SUMPRODUCT(MAX(ROW(E$1:E5875)*(E2=E$1:E5875))))))</f>
        <v> </v>
      </c>
      <c r="K5876" s="25" t="str">
        <f>IF(OR(E5876="",E5876="!!!",F5876="NEW"),"",INDEX(J$1:J5875,SUMPRODUCT(MAX(ROW(E$1:E5875)*(E5876=E$1:E5875)))))</f>
        <v> </v>
      </c>
      <c r="L5876" s="26"/>
    </row>
    <row r="5877" spans="1:12">
      <c r="A5877" s="20" t="s">
        <v>2534</v>
      </c>
      <c r="E5877" s="21">
        <f>IF(D5877="?OLD","!!!","")</f>
        <v/>
      </c>
      <c r="F5877" s="22" t="str">
        <f>IF(OR(E5877="",E5877="!!!"),"",IF(NOT(ISNA(VLOOKUP(E5877,E$1:E5876,1,FALSE()))),"OLD",IF(AND(E5877&lt;&gt;"",E5877&lt;&gt;"!!!"),"NEW","")))</f>
        <v> </v>
      </c>
      <c r="G5877" s="23" t="str">
        <f>IF(OR(E5877="",E5877="!!!"),"",IF(OR(J5877=0,AND(J5877=1,K5877=1),AND(J5877=1,I5877="SBJ"),AND(J5877=1,I5877=0)),"?IN_FOCUS",IF(J5877&lt;=2,"?ACTIVATED",IF(J5877&lt;&gt;"","?FAMILIAR",IF(F5877="NEW",IF(ISNA(VLOOKUP(E5877,#REF!,1,FALSE())),"?TYPE_IDENTIFIABLE","?REFERENTIAL"),"_")))))</f>
        <v> </v>
      </c>
      <c r="H5877" s="24" t="str">
        <f>IF(J5877&lt;&gt;1,"",IF(I5877="SBJ","CB","?"))</f>
        <v> </v>
      </c>
      <c r="I5877" s="25" t="str">
        <f>IF(OR(E5877="",E5877="!!!",F5877="NEW"),"",INDEX(B5876:B$2,-1+SUMPRODUCT(MAX(ROW(E5876:E$2)*(E5877=E5876:E$2)))))</f>
        <v> </v>
      </c>
      <c r="J5877" s="25" t="str">
        <f>IF(OR(E5877="",E5877="!!!",F5877="NEW"),"",COUNTBLANK(OFFSET(A$1,,,SUMPRODUCT(MAX(ROW(E$2:E5877)*(E5877=E$2:E5877)))))-COUNTBLANK(OFFSET(A$1,,,SUMPRODUCT(MAX(ROW(E$1:E5876)*(E2=E$1:E5876))))))</f>
        <v> </v>
      </c>
      <c r="K5877" s="25" t="str">
        <f>IF(OR(E5877="",E5877="!!!",F5877="NEW"),"",INDEX(J$1:J5876,SUMPRODUCT(MAX(ROW(E$1:E5876)*(E5877=E$1:E5876)))))</f>
        <v> </v>
      </c>
      <c r="L5877" s="26"/>
    </row>
    <row r="5878" spans="1:12">
      <c r="A5878" s="20" t="s">
        <v>2535</v>
      </c>
      <c r="B5878" s="27" t="s">
        <v>1031</v>
      </c>
      <c r="C5878" s="27" t="s">
        <v>1018</v>
      </c>
      <c r="E5878" s="21">
        <f>IF(D5878="?OLD","!!!","")</f>
        <v/>
      </c>
      <c r="F5878" s="22" t="str">
        <f>IF(OR(E5878="",E5878="!!!"),"",IF(NOT(ISNA(VLOOKUP(E5878,E$1:E5877,1,FALSE()))),"OLD",IF(AND(E5878&lt;&gt;"",E5878&lt;&gt;"!!!"),"NEW","")))</f>
        <v> </v>
      </c>
      <c r="G5878" s="23" t="str">
        <f>IF(OR(E5878="",E5878="!!!"),"",IF(OR(J5878=0,AND(J5878=1,K5878=1),AND(J5878=1,I5878="SBJ"),AND(J5878=1,I5878=0)),"?IN_FOCUS",IF(J5878&lt;=2,"?ACTIVATED",IF(J5878&lt;&gt;"","?FAMILIAR",IF(F5878="NEW",IF(ISNA(VLOOKUP(E5878,#REF!,1,FALSE())),"?TYPE_IDENTIFIABLE","?REFERENTIAL"),"_")))))</f>
        <v> </v>
      </c>
      <c r="H5878" s="24" t="str">
        <f>IF(J5878&lt;&gt;1,"",IF(I5878="SBJ","CB","?"))</f>
        <v> </v>
      </c>
      <c r="I5878" s="25" t="str">
        <f>IF(OR(E5878="",E5878="!!!",F5878="NEW"),"",INDEX(B5877:B$2,-1+SUMPRODUCT(MAX(ROW(E5877:E$2)*(E5878=E5877:E$2)))))</f>
        <v> </v>
      </c>
      <c r="J5878" s="25" t="str">
        <f>IF(OR(E5878="",E5878="!!!",F5878="NEW"),"",COUNTBLANK(OFFSET(A$1,,,SUMPRODUCT(MAX(ROW(E$2:E5878)*(E5878=E$2:E5878)))))-COUNTBLANK(OFFSET(A$1,,,SUMPRODUCT(MAX(ROW(E$1:E5877)*(E2=E$1:E5877))))))</f>
        <v> </v>
      </c>
      <c r="K5878" s="25" t="str">
        <f>IF(OR(E5878="",E5878="!!!",F5878="NEW"),"",INDEX(J$1:J5877,SUMPRODUCT(MAX(ROW(E$1:E5877)*(E5878=E$1:E5877)))))</f>
        <v> </v>
      </c>
      <c r="L5878" s="26"/>
    </row>
    <row r="5879" spans="1:12">
      <c r="A5879" s="20" t="s">
        <v>1768</v>
      </c>
      <c r="E5879" s="21">
        <f>IF(D5879="?OLD","!!!","")</f>
        <v/>
      </c>
      <c r="F5879" s="22" t="str">
        <f>IF(OR(E5879="",E5879="!!!"),"",IF(NOT(ISNA(VLOOKUP(E5879,E$1:E5878,1,FALSE()))),"OLD",IF(AND(E5879&lt;&gt;"",E5879&lt;&gt;"!!!"),"NEW","")))</f>
        <v> </v>
      </c>
      <c r="G5879" s="23" t="str">
        <f>IF(OR(E5879="",E5879="!!!"),"",IF(OR(J5879=0,AND(J5879=1,K5879=1),AND(J5879=1,I5879="SBJ"),AND(J5879=1,I5879=0)),"?IN_FOCUS",IF(J5879&lt;=2,"?ACTIVATED",IF(J5879&lt;&gt;"","?FAMILIAR",IF(F5879="NEW",IF(ISNA(VLOOKUP(E5879,#REF!,1,FALSE())),"?TYPE_IDENTIFIABLE","?REFERENTIAL"),"_")))))</f>
        <v> </v>
      </c>
      <c r="H5879" s="24" t="str">
        <f>IF(J5879&lt;&gt;1,"",IF(I5879="SBJ","CB","?"))</f>
        <v> </v>
      </c>
      <c r="I5879" s="25" t="str">
        <f>IF(OR(E5879="",E5879="!!!",F5879="NEW"),"",INDEX(B5878:B$2,-1+SUMPRODUCT(MAX(ROW(E5878:E$2)*(E5879=E5878:E$2)))))</f>
        <v> </v>
      </c>
      <c r="J5879" s="25" t="str">
        <f>IF(OR(E5879="",E5879="!!!",F5879="NEW"),"",COUNTBLANK(OFFSET(A$1,,,SUMPRODUCT(MAX(ROW(E$2:E5879)*(E5879=E$2:E5879)))))-COUNTBLANK(OFFSET(A$1,,,SUMPRODUCT(MAX(ROW(E$1:E5878)*(E2=E$1:E5878))))))</f>
        <v> </v>
      </c>
      <c r="K5879" s="25" t="str">
        <f>IF(OR(E5879="",E5879="!!!",F5879="NEW"),"",INDEX(J$1:J5878,SUMPRODUCT(MAX(ROW(E$1:E5878)*(E5879=E$1:E5878)))))</f>
        <v> </v>
      </c>
      <c r="L5879" s="26"/>
    </row>
    <row r="5880" spans="1:12">
      <c r="A5880" s="20" t="s">
        <v>1005</v>
      </c>
      <c r="E5880" s="21">
        <f>IF(D5880="?OLD","!!!","")</f>
        <v/>
      </c>
      <c r="F5880" s="22" t="str">
        <f>IF(OR(E5880="",E5880="!!!"),"",IF(NOT(ISNA(VLOOKUP(E5880,E$1:E5879,1,FALSE()))),"OLD",IF(AND(E5880&lt;&gt;"",E5880&lt;&gt;"!!!"),"NEW","")))</f>
        <v> </v>
      </c>
      <c r="G5880" s="23" t="str">
        <f>IF(OR(E5880="",E5880="!!!"),"",IF(OR(J5880=0,AND(J5880=1,K5880=1),AND(J5880=1,I5880="SBJ"),AND(J5880=1,I5880=0)),"?IN_FOCUS",IF(J5880&lt;=2,"?ACTIVATED",IF(J5880&lt;&gt;"","?FAMILIAR",IF(F5880="NEW",IF(ISNA(VLOOKUP(E5880,#REF!,1,FALSE())),"?TYPE_IDENTIFIABLE","?REFERENTIAL"),"_")))))</f>
        <v> </v>
      </c>
      <c r="H5880" s="24" t="str">
        <f>IF(J5880&lt;&gt;1,"",IF(I5880="SBJ","CB","?"))</f>
        <v> </v>
      </c>
      <c r="I5880" s="25" t="str">
        <f>IF(OR(E5880="",E5880="!!!",F5880="NEW"),"",INDEX(B5879:B$2,-1+SUMPRODUCT(MAX(ROW(E5879:E$2)*(E5880=E5879:E$2)))))</f>
        <v> </v>
      </c>
      <c r="J5880" s="25" t="str">
        <f>IF(OR(E5880="",E5880="!!!",F5880="NEW"),"",COUNTBLANK(OFFSET(A$1,,,SUMPRODUCT(MAX(ROW(E$2:E5880)*(E5880=E$2:E5880)))))-COUNTBLANK(OFFSET(A$1,,,SUMPRODUCT(MAX(ROW(E$1:E5879)*(E2=E$1:E5879))))))</f>
        <v> </v>
      </c>
      <c r="K5880" s="25" t="str">
        <f>IF(OR(E5880="",E5880="!!!",F5880="NEW"),"",INDEX(J$1:J5879,SUMPRODUCT(MAX(ROW(E$1:E5879)*(E5880=E$1:E5879)))))</f>
        <v> </v>
      </c>
      <c r="L5880" s="26"/>
    </row>
    <row r="5881" spans="1:12">
      <c r="A5881" s="20"/>
    </row>
    <row r="5882" spans="1:12">
      <c r="A5882" s="20" t="s">
        <v>1060</v>
      </c>
      <c r="E5882" s="21">
        <f>IF(D5882="?OLD","!!!","")</f>
        <v/>
      </c>
      <c r="F5882" s="22" t="str">
        <f>IF(OR(E5882="",E5882="!!!"),"",IF(NOT(ISNA(VLOOKUP(E5882,E$1:E5881,1,FALSE()))),"OLD",IF(AND(E5882&lt;&gt;"",E5882&lt;&gt;"!!!"),"NEW","")))</f>
        <v> </v>
      </c>
      <c r="G5882" s="23" t="str">
        <f>IF(OR(E5882="",E5882="!!!"),"",IF(OR(J5882=0,AND(J5882=1,K5882=1),AND(J5882=1,I5882="SBJ"),AND(J5882=1,I5882=0)),"?IN_FOCUS",IF(J5882&lt;=2,"?ACTIVATED",IF(J5882&lt;&gt;"","?FAMILIAR",IF(F5882="NEW",IF(ISNA(VLOOKUP(E5882,#REF!,1,FALSE())),"?TYPE_IDENTIFIABLE","?REFERENTIAL"),"_")))))</f>
        <v> </v>
      </c>
      <c r="H5882" s="24" t="str">
        <f>IF(J5882&lt;&gt;1,"",IF(I5882="SBJ","CB","?"))</f>
        <v> </v>
      </c>
      <c r="I5882" s="25" t="str">
        <f>IF(OR(E5882="",E5882="!!!",F5882="NEW"),"",INDEX(B5881:B$2,-1+SUMPRODUCT(MAX(ROW(E5881:E$2)*(E5882=E5881:E$2)))))</f>
        <v> </v>
      </c>
      <c r="J5882" s="25" t="str">
        <f>IF(OR(E5882="",E5882="!!!",F5882="NEW"),"",COUNTBLANK(OFFSET(A$1,,,SUMPRODUCT(MAX(ROW(E$2:E5882)*(E5882=E$2:E5882)))))-COUNTBLANK(OFFSET(A$1,,,SUMPRODUCT(MAX(ROW(E$1:E5881)*(E2=E$1:E5881))))))</f>
        <v> </v>
      </c>
      <c r="K5882" s="25" t="str">
        <f>IF(OR(E5882="",E5882="!!!",F5882="NEW"),"",INDEX(J$1:J5881,SUMPRODUCT(MAX(ROW(E$1:E5881)*(E5882=E$1:E5881)))))</f>
        <v> </v>
      </c>
      <c r="L5882" s="26"/>
    </row>
    <row r="5883" spans="1:12">
      <c r="A5883" s="20" t="s">
        <v>2536</v>
      </c>
    </row>
    <row r="5884" spans="1:12">
      <c r="A5884" s="20" t="s">
        <v>1251</v>
      </c>
      <c r="B5884" s="27" t="s">
        <v>967</v>
      </c>
      <c r="C5884" s="27" t="s">
        <v>968</v>
      </c>
      <c r="D5884" s="27" t="s">
        <v>969</v>
      </c>
      <c r="E5884" s="21">
        <f>IF(D5884="?OLD","!!!","")</f>
        <v/>
      </c>
      <c r="F5884" s="22" t="str">
        <f>IF(OR(E5884="",E5884="!!!"),"",IF(NOT(ISNA(VLOOKUP(E5884,E$1:E5883,1,FALSE()))),"OLD",IF(AND(E5884&lt;&gt;"",E5884&lt;&gt;"!!!"),"NEW","")))</f>
        <v> </v>
      </c>
      <c r="G5884" s="23" t="str">
        <f>IF(OR(E5884="",E5884="!!!"),"",IF(OR(J5884=0,AND(J5884=1,K5884=1),AND(J5884=1,I5884="SBJ"),AND(J5884=1,I5884=0)),"?IN_FOCUS",IF(J5884&lt;=2,"?ACTIVATED",IF(J5884&lt;&gt;"","?FAMILIAR",IF(F5884="NEW",IF(ISNA(VLOOKUP(E5884,#REF!,1,FALSE())),"?TYPE_IDENTIFIABLE","?REFERENTIAL"),"_")))))</f>
        <v> </v>
      </c>
      <c r="H5884" s="24" t="str">
        <f>IF(J5884&lt;&gt;1,"",IF(I5884="SBJ","CB","?"))</f>
        <v> </v>
      </c>
      <c r="I5884" s="25" t="str">
        <f>IF(OR(E5884="",E5884="!!!",F5884="NEW"),"",INDEX(B5883:B$2,-1+SUMPRODUCT(MAX(ROW(E5883:E$2)*(E5884=E5883:E$2)))))</f>
        <v> </v>
      </c>
      <c r="J5884" s="25" t="str">
        <f>IF(OR(E5884="",E5884="!!!",F5884="NEW"),"",COUNTBLANK(OFFSET(A$1,,,SUMPRODUCT(MAX(ROW(E$2:E5884)*(E5884=E$2:E5884)))))-COUNTBLANK(OFFSET(A$1,,,SUMPRODUCT(MAX(ROW(E$1:E5883)*(E2=E$1:E5883))))))</f>
        <v> </v>
      </c>
      <c r="K5884" s="25" t="str">
        <f>IF(OR(E5884="",E5884="!!!",F5884="NEW"),"",INDEX(J$1:J5883,SUMPRODUCT(MAX(ROW(E$1:E5883)*(E5884=E$1:E5883)))))</f>
        <v> </v>
      </c>
      <c r="L5884" s="26"/>
    </row>
    <row r="5885" spans="1:12">
      <c r="A5885" s="20" t="s">
        <v>1893</v>
      </c>
      <c r="E5885" s="21">
        <f>IF(D5885="?OLD","!!!","")</f>
        <v/>
      </c>
      <c r="F5885" s="22" t="str">
        <f>IF(OR(E5885="",E5885="!!!"),"",IF(NOT(ISNA(VLOOKUP(E5885,E$1:E5884,1,FALSE()))),"OLD",IF(AND(E5885&lt;&gt;"",E5885&lt;&gt;"!!!"),"NEW","")))</f>
        <v> </v>
      </c>
      <c r="G5885" s="23" t="str">
        <f>IF(OR(E5885="",E5885="!!!"),"",IF(OR(J5885=0,AND(J5885=1,K5885=1),AND(J5885=1,I5885="SBJ"),AND(J5885=1,I5885=0)),"?IN_FOCUS",IF(J5885&lt;=2,"?ACTIVATED",IF(J5885&lt;&gt;"","?FAMILIAR",IF(F5885="NEW",IF(ISNA(VLOOKUP(E5885,#REF!,1,FALSE())),"?TYPE_IDENTIFIABLE","?REFERENTIAL"),"_")))))</f>
        <v> </v>
      </c>
      <c r="H5885" s="24" t="str">
        <f>IF(J5885&lt;&gt;1,"",IF(I5885="SBJ","CB","?"))</f>
        <v> </v>
      </c>
      <c r="I5885" s="25" t="str">
        <f>IF(OR(E5885="",E5885="!!!",F5885="NEW"),"",INDEX(B5884:B$2,-1+SUMPRODUCT(MAX(ROW(E5884:E$2)*(E5885=E5884:E$2)))))</f>
        <v> </v>
      </c>
      <c r="J5885" s="25" t="str">
        <f>IF(OR(E5885="",E5885="!!!",F5885="NEW"),"",COUNTBLANK(OFFSET(A$1,,,SUMPRODUCT(MAX(ROW(E$2:E5885)*(E5885=E$2:E5885)))))-COUNTBLANK(OFFSET(A$1,,,SUMPRODUCT(MAX(ROW(E$1:E5884)*(E2=E$1:E5884))))))</f>
        <v> </v>
      </c>
      <c r="K5885" s="25" t="str">
        <f>IF(OR(E5885="",E5885="!!!",F5885="NEW"),"",INDEX(J$1:J5884,SUMPRODUCT(MAX(ROW(E$1:E5884)*(E5885=E$1:E5884)))))</f>
        <v> </v>
      </c>
      <c r="L5885" s="26"/>
    </row>
    <row r="5886" spans="1:12">
      <c r="A5886" s="20" t="s">
        <v>2530</v>
      </c>
      <c r="E5886" s="21">
        <f>IF(D5886="?OLD","!!!","")</f>
        <v/>
      </c>
      <c r="F5886" s="22" t="str">
        <f>IF(OR(E5886="",E5886="!!!"),"",IF(NOT(ISNA(VLOOKUP(E5886,E$1:E5885,1,FALSE()))),"OLD",IF(AND(E5886&lt;&gt;"",E5886&lt;&gt;"!!!"),"NEW","")))</f>
        <v> </v>
      </c>
      <c r="G5886" s="23" t="str">
        <f>IF(OR(E5886="",E5886="!!!"),"",IF(OR(J5886=0,AND(J5886=1,K5886=1),AND(J5886=1,I5886="SBJ"),AND(J5886=1,I5886=0)),"?IN_FOCUS",IF(J5886&lt;=2,"?ACTIVATED",IF(J5886&lt;&gt;"","?FAMILIAR",IF(F5886="NEW",IF(ISNA(VLOOKUP(E5886,#REF!,1,FALSE())),"?TYPE_IDENTIFIABLE","?REFERENTIAL"),"_")))))</f>
        <v> </v>
      </c>
      <c r="H5886" s="24" t="str">
        <f>IF(J5886&lt;&gt;1,"",IF(I5886="SBJ","CB","?"))</f>
        <v> </v>
      </c>
      <c r="I5886" s="25" t="str">
        <f>IF(OR(E5886="",E5886="!!!",F5886="NEW"),"",INDEX(B5885:B$2,-1+SUMPRODUCT(MAX(ROW(E5885:E$2)*(E5886=E5885:E$2)))))</f>
        <v> </v>
      </c>
      <c r="J5886" s="25" t="str">
        <f>IF(OR(E5886="",E5886="!!!",F5886="NEW"),"",COUNTBLANK(OFFSET(A$1,,,SUMPRODUCT(MAX(ROW(E$2:E5886)*(E5886=E$2:E5886)))))-COUNTBLANK(OFFSET(A$1,,,SUMPRODUCT(MAX(ROW(E$1:E5885)*(E2=E$1:E5885))))))</f>
        <v> </v>
      </c>
      <c r="K5886" s="25" t="str">
        <f>IF(OR(E5886="",E5886="!!!",F5886="NEW"),"",INDEX(J$1:J5885,SUMPRODUCT(MAX(ROW(E$1:E5885)*(E5886=E$1:E5885)))))</f>
        <v> </v>
      </c>
      <c r="L5886" s="26"/>
    </row>
    <row r="5887" spans="1:12">
      <c r="A5887" s="20" t="s">
        <v>991</v>
      </c>
      <c r="E5887" s="21">
        <f>IF(D5887="?OLD","!!!","")</f>
        <v/>
      </c>
      <c r="F5887" s="22" t="str">
        <f>IF(OR(E5887="",E5887="!!!"),"",IF(NOT(ISNA(VLOOKUP(E5887,E$1:E5886,1,FALSE()))),"OLD",IF(AND(E5887&lt;&gt;"",E5887&lt;&gt;"!!!"),"NEW","")))</f>
        <v> </v>
      </c>
      <c r="G5887" s="23" t="str">
        <f>IF(OR(E5887="",E5887="!!!"),"",IF(OR(J5887=0,AND(J5887=1,K5887=1),AND(J5887=1,I5887="SBJ"),AND(J5887=1,I5887=0)),"?IN_FOCUS",IF(J5887&lt;=2,"?ACTIVATED",IF(J5887&lt;&gt;"","?FAMILIAR",IF(F5887="NEW",IF(ISNA(VLOOKUP(E5887,#REF!,1,FALSE())),"?TYPE_IDENTIFIABLE","?REFERENTIAL"),"_")))))</f>
        <v> </v>
      </c>
      <c r="H5887" s="24" t="str">
        <f>IF(J5887&lt;&gt;1,"",IF(I5887="SBJ","CB","?"))</f>
        <v> </v>
      </c>
      <c r="I5887" s="25" t="str">
        <f>IF(OR(E5887="",E5887="!!!",F5887="NEW"),"",INDEX(B5886:B$2,-1+SUMPRODUCT(MAX(ROW(E5886:E$2)*(E5887=E5886:E$2)))))</f>
        <v> </v>
      </c>
      <c r="J5887" s="25" t="str">
        <f>IF(OR(E5887="",E5887="!!!",F5887="NEW"),"",COUNTBLANK(OFFSET(A$1,,,SUMPRODUCT(MAX(ROW(E$2:E5887)*(E5887=E$2:E5887)))))-COUNTBLANK(OFFSET(A$1,,,SUMPRODUCT(MAX(ROW(E$1:E5886)*(E2=E$1:E5886))))))</f>
        <v> </v>
      </c>
      <c r="K5887" s="25" t="str">
        <f>IF(OR(E5887="",E5887="!!!",F5887="NEW"),"",INDEX(J$1:J5886,SUMPRODUCT(MAX(ROW(E$1:E5886)*(E5887=E$1:E5886)))))</f>
        <v> </v>
      </c>
      <c r="L5887" s="26"/>
    </row>
    <row r="5888" spans="1:12">
      <c r="A5888" s="20" t="s">
        <v>1139</v>
      </c>
      <c r="B5888" s="27" t="s">
        <v>982</v>
      </c>
      <c r="C5888" s="27" t="s">
        <v>1102</v>
      </c>
      <c r="D5888" s="27" t="s">
        <v>969</v>
      </c>
      <c r="E5888" s="21">
        <f>IF(D5888="?OLD","!!!","")</f>
        <v/>
      </c>
      <c r="F5888" s="22" t="str">
        <f>IF(OR(E5888="",E5888="!!!"),"",IF(NOT(ISNA(VLOOKUP(E5888,E$1:E5887,1,FALSE()))),"OLD",IF(AND(E5888&lt;&gt;"",E5888&lt;&gt;"!!!"),"NEW","")))</f>
        <v> </v>
      </c>
      <c r="G5888" s="23" t="str">
        <f>IF(OR(E5888="",E5888="!!!"),"",IF(OR(J5888=0,AND(J5888=1,K5888=1),AND(J5888=1,I5888="SBJ"),AND(J5888=1,I5888=0)),"?IN_FOCUS",IF(J5888&lt;=2,"?ACTIVATED",IF(J5888&lt;&gt;"","?FAMILIAR",IF(F5888="NEW",IF(ISNA(VLOOKUP(E5888,#REF!,1,FALSE())),"?TYPE_IDENTIFIABLE","?REFERENTIAL"),"_")))))</f>
        <v> </v>
      </c>
      <c r="H5888" s="24" t="str">
        <f>IF(J5888&lt;&gt;1,"",IF(I5888="SBJ","CB","?"))</f>
        <v> </v>
      </c>
      <c r="I5888" s="25" t="str">
        <f>IF(OR(E5888="",E5888="!!!",F5888="NEW"),"",INDEX(B5887:B$2,-1+SUMPRODUCT(MAX(ROW(E5887:E$2)*(E5888=E5887:E$2)))))</f>
        <v> </v>
      </c>
      <c r="J5888" s="25" t="str">
        <f>IF(OR(E5888="",E5888="!!!",F5888="NEW"),"",COUNTBLANK(OFFSET(A$1,,,SUMPRODUCT(MAX(ROW(E$2:E5888)*(E5888=E$2:E5888)))))-COUNTBLANK(OFFSET(A$1,,,SUMPRODUCT(MAX(ROW(E$1:E5887)*(E2=E$1:E5887))))))</f>
        <v> </v>
      </c>
      <c r="K5888" s="25" t="str">
        <f>IF(OR(E5888="",E5888="!!!",F5888="NEW"),"",INDEX(J$1:J5887,SUMPRODUCT(MAX(ROW(E$1:E5887)*(E5888=E$1:E5887)))))</f>
        <v> </v>
      </c>
      <c r="L5888" s="26"/>
    </row>
    <row r="5889" spans="1:12">
      <c r="A5889" s="20" t="s">
        <v>2537</v>
      </c>
      <c r="B5889" s="27" t="s">
        <v>1013</v>
      </c>
      <c r="C5889" s="27" t="s">
        <v>1141</v>
      </c>
      <c r="D5889" s="27" t="s">
        <v>969</v>
      </c>
      <c r="E5889" s="21">
        <f>IF(D5889="?OLD","!!!","")</f>
        <v/>
      </c>
      <c r="F5889" s="22" t="str">
        <f>IF(OR(E5889="",E5889="!!!"),"",IF(NOT(ISNA(VLOOKUP(E5889,E$1:E5888,1,FALSE()))),"OLD",IF(AND(E5889&lt;&gt;"",E5889&lt;&gt;"!!!"),"NEW","")))</f>
        <v> </v>
      </c>
      <c r="G5889" s="23" t="str">
        <f>IF(OR(E5889="",E5889="!!!"),"",IF(OR(J5889=0,AND(J5889=1,K5889=1),AND(J5889=1,I5889="SBJ"),AND(J5889=1,I5889=0)),"?IN_FOCUS",IF(J5889&lt;=2,"?ACTIVATED",IF(J5889&lt;&gt;"","?FAMILIAR",IF(F5889="NEW",IF(ISNA(VLOOKUP(E5889,#REF!,1,FALSE())),"?TYPE_IDENTIFIABLE","?REFERENTIAL"),"_")))))</f>
        <v> </v>
      </c>
      <c r="H5889" s="24" t="str">
        <f>IF(J5889&lt;&gt;1,"",IF(I5889="SBJ","CB","?"))</f>
        <v> </v>
      </c>
      <c r="I5889" s="25" t="str">
        <f>IF(OR(E5889="",E5889="!!!",F5889="NEW"),"",INDEX(B5888:B$2,-1+SUMPRODUCT(MAX(ROW(E5888:E$2)*(E5889=E5888:E$2)))))</f>
        <v> </v>
      </c>
      <c r="J5889" s="25" t="str">
        <f>IF(OR(E5889="",E5889="!!!",F5889="NEW"),"",COUNTBLANK(OFFSET(A$1,,,SUMPRODUCT(MAX(ROW(E$2:E5889)*(E5889=E$2:E5889)))))-COUNTBLANK(OFFSET(A$1,,,SUMPRODUCT(MAX(ROW(E$1:E5888)*(E2=E$1:E5888))))))</f>
        <v> </v>
      </c>
      <c r="K5889" s="25" t="str">
        <f>IF(OR(E5889="",E5889="!!!",F5889="NEW"),"",INDEX(J$1:J5888,SUMPRODUCT(MAX(ROW(E$1:E5888)*(E5889=E$1:E5888)))))</f>
        <v> </v>
      </c>
      <c r="L5889" s="26"/>
    </row>
    <row r="5890" spans="1:12">
      <c r="A5890" s="20" t="s">
        <v>999</v>
      </c>
      <c r="E5890" s="21">
        <f>IF(D5890="?OLD","!!!","")</f>
        <v/>
      </c>
      <c r="F5890" s="22" t="str">
        <f>IF(OR(E5890="",E5890="!!!"),"",IF(NOT(ISNA(VLOOKUP(E5890,E$1:E5889,1,FALSE()))),"OLD",IF(AND(E5890&lt;&gt;"",E5890&lt;&gt;"!!!"),"NEW","")))</f>
        <v> </v>
      </c>
      <c r="G5890" s="23" t="str">
        <f>IF(OR(E5890="",E5890="!!!"),"",IF(OR(J5890=0,AND(J5890=1,K5890=1),AND(J5890=1,I5890="SBJ"),AND(J5890=1,I5890=0)),"?IN_FOCUS",IF(J5890&lt;=2,"?ACTIVATED",IF(J5890&lt;&gt;"","?FAMILIAR",IF(F5890="NEW",IF(ISNA(VLOOKUP(E5890,#REF!,1,FALSE())),"?TYPE_IDENTIFIABLE","?REFERENTIAL"),"_")))))</f>
        <v> </v>
      </c>
      <c r="H5890" s="24" t="str">
        <f>IF(J5890&lt;&gt;1,"",IF(I5890="SBJ","CB","?"))</f>
        <v> </v>
      </c>
      <c r="I5890" s="25" t="str">
        <f>IF(OR(E5890="",E5890="!!!",F5890="NEW"),"",INDEX(B5889:B$2,-1+SUMPRODUCT(MAX(ROW(E5889:E$2)*(E5890=E5889:E$2)))))</f>
        <v> </v>
      </c>
      <c r="J5890" s="25" t="str">
        <f>IF(OR(E5890="",E5890="!!!",F5890="NEW"),"",COUNTBLANK(OFFSET(A$1,,,SUMPRODUCT(MAX(ROW(E$2:E5890)*(E5890=E$2:E5890)))))-COUNTBLANK(OFFSET(A$1,,,SUMPRODUCT(MAX(ROW(E$1:E5889)*(E2=E$1:E5889))))))</f>
        <v> </v>
      </c>
      <c r="K5890" s="25" t="str">
        <f>IF(OR(E5890="",E5890="!!!",F5890="NEW"),"",INDEX(J$1:J5889,SUMPRODUCT(MAX(ROW(E$1:E5889)*(E5890=E$1:E5889)))))</f>
        <v> </v>
      </c>
      <c r="L5890" s="26"/>
    </row>
    <row r="5891" spans="1:12">
      <c r="A5891" s="20" t="s">
        <v>650</v>
      </c>
      <c r="E5891" s="21">
        <f>IF(D5891="?OLD","!!!","")</f>
        <v/>
      </c>
      <c r="F5891" s="22" t="str">
        <f>IF(OR(E5891="",E5891="!!!"),"",IF(NOT(ISNA(VLOOKUP(E5891,E$1:E5890,1,FALSE()))),"OLD",IF(AND(E5891&lt;&gt;"",E5891&lt;&gt;"!!!"),"NEW","")))</f>
        <v> </v>
      </c>
      <c r="G5891" s="23" t="str">
        <f>IF(OR(E5891="",E5891="!!!"),"",IF(OR(J5891=0,AND(J5891=1,K5891=1),AND(J5891=1,I5891="SBJ"),AND(J5891=1,I5891=0)),"?IN_FOCUS",IF(J5891&lt;=2,"?ACTIVATED",IF(J5891&lt;&gt;"","?FAMILIAR",IF(F5891="NEW",IF(ISNA(VLOOKUP(E5891,#REF!,1,FALSE())),"?TYPE_IDENTIFIABLE","?REFERENTIAL"),"_")))))</f>
        <v> </v>
      </c>
      <c r="H5891" s="24" t="str">
        <f>IF(J5891&lt;&gt;1,"",IF(I5891="SBJ","CB","?"))</f>
        <v> </v>
      </c>
      <c r="I5891" s="25" t="str">
        <f>IF(OR(E5891="",E5891="!!!",F5891="NEW"),"",INDEX(B5890:B$2,-1+SUMPRODUCT(MAX(ROW(E5890:E$2)*(E5891=E5890:E$2)))))</f>
        <v> </v>
      </c>
      <c r="J5891" s="25" t="str">
        <f>IF(OR(E5891="",E5891="!!!",F5891="NEW"),"",COUNTBLANK(OFFSET(A$1,,,SUMPRODUCT(MAX(ROW(E$2:E5891)*(E5891=E$2:E5891)))))-COUNTBLANK(OFFSET(A$1,,,SUMPRODUCT(MAX(ROW(E$1:E5890)*(E2=E$1:E5890))))))</f>
        <v> </v>
      </c>
      <c r="K5891" s="25" t="str">
        <f>IF(OR(E5891="",E5891="!!!",F5891="NEW"),"",INDEX(J$1:J5890,SUMPRODUCT(MAX(ROW(E$1:E5890)*(E5891=E$1:E5890)))))</f>
        <v> </v>
      </c>
      <c r="L5891" s="26"/>
    </row>
    <row r="5892" spans="1:12">
      <c r="A5892" s="20" t="s">
        <v>991</v>
      </c>
      <c r="E5892" s="21">
        <f>IF(D5892="?OLD","!!!","")</f>
        <v/>
      </c>
      <c r="F5892" s="22" t="str">
        <f>IF(OR(E5892="",E5892="!!!"),"",IF(NOT(ISNA(VLOOKUP(E5892,E$1:E5891,1,FALSE()))),"OLD",IF(AND(E5892&lt;&gt;"",E5892&lt;&gt;"!!!"),"NEW","")))</f>
        <v> </v>
      </c>
      <c r="G5892" s="23" t="str">
        <f>IF(OR(E5892="",E5892="!!!"),"",IF(OR(J5892=0,AND(J5892=1,K5892=1),AND(J5892=1,I5892="SBJ"),AND(J5892=1,I5892=0)),"?IN_FOCUS",IF(J5892&lt;=2,"?ACTIVATED",IF(J5892&lt;&gt;"","?FAMILIAR",IF(F5892="NEW",IF(ISNA(VLOOKUP(E5892,#REF!,1,FALSE())),"?TYPE_IDENTIFIABLE","?REFERENTIAL"),"_")))))</f>
        <v> </v>
      </c>
      <c r="H5892" s="24" t="str">
        <f>IF(J5892&lt;&gt;1,"",IF(I5892="SBJ","CB","?"))</f>
        <v> </v>
      </c>
      <c r="I5892" s="25" t="str">
        <f>IF(OR(E5892="",E5892="!!!",F5892="NEW"),"",INDEX(B5891:B$2,-1+SUMPRODUCT(MAX(ROW(E5891:E$2)*(E5892=E5891:E$2)))))</f>
        <v> </v>
      </c>
      <c r="J5892" s="25" t="str">
        <f>IF(OR(E5892="",E5892="!!!",F5892="NEW"),"",COUNTBLANK(OFFSET(A$1,,,SUMPRODUCT(MAX(ROW(E$2:E5892)*(E5892=E$2:E5892)))))-COUNTBLANK(OFFSET(A$1,,,SUMPRODUCT(MAX(ROW(E$1:E5891)*(E2=E$1:E5891))))))</f>
        <v> </v>
      </c>
      <c r="K5892" s="25" t="str">
        <f>IF(OR(E5892="",E5892="!!!",F5892="NEW"),"",INDEX(J$1:J5891,SUMPRODUCT(MAX(ROW(E$1:E5891)*(E5892=E$1:E5891)))))</f>
        <v> </v>
      </c>
      <c r="L5892" s="26"/>
    </row>
    <row r="5893" spans="1:12">
      <c r="A5893" s="20" t="s">
        <v>1114</v>
      </c>
      <c r="E5893" s="21">
        <f>IF(D5893="?OLD","!!!","")</f>
        <v/>
      </c>
      <c r="F5893" s="22" t="str">
        <f>IF(OR(E5893="",E5893="!!!"),"",IF(NOT(ISNA(VLOOKUP(E5893,E$1:E5892,1,FALSE()))),"OLD",IF(AND(E5893&lt;&gt;"",E5893&lt;&gt;"!!!"),"NEW","")))</f>
        <v> </v>
      </c>
      <c r="G5893" s="23" t="str">
        <f>IF(OR(E5893="",E5893="!!!"),"",IF(OR(J5893=0,AND(J5893=1,K5893=1),AND(J5893=1,I5893="SBJ"),AND(J5893=1,I5893=0)),"?IN_FOCUS",IF(J5893&lt;=2,"?ACTIVATED",IF(J5893&lt;&gt;"","?FAMILIAR",IF(F5893="NEW",IF(ISNA(VLOOKUP(E5893,#REF!,1,FALSE())),"?TYPE_IDENTIFIABLE","?REFERENTIAL"),"_")))))</f>
        <v> </v>
      </c>
      <c r="H5893" s="24" t="str">
        <f>IF(J5893&lt;&gt;1,"",IF(I5893="SBJ","CB","?"))</f>
        <v> </v>
      </c>
      <c r="I5893" s="25" t="str">
        <f>IF(OR(E5893="",E5893="!!!",F5893="NEW"),"",INDEX(B5892:B$2,-1+SUMPRODUCT(MAX(ROW(E5892:E$2)*(E5893=E5892:E$2)))))</f>
        <v> </v>
      </c>
      <c r="J5893" s="25" t="str">
        <f>IF(OR(E5893="",E5893="!!!",F5893="NEW"),"",COUNTBLANK(OFFSET(A$1,,,SUMPRODUCT(MAX(ROW(E$2:E5893)*(E5893=E$2:E5893)))))-COUNTBLANK(OFFSET(A$1,,,SUMPRODUCT(MAX(ROW(E$1:E5892)*(E2=E$1:E5892))))))</f>
        <v> </v>
      </c>
      <c r="K5893" s="25" t="str">
        <f>IF(OR(E5893="",E5893="!!!",F5893="NEW"),"",INDEX(J$1:J5892,SUMPRODUCT(MAX(ROW(E$1:E5892)*(E5893=E$1:E5892)))))</f>
        <v> </v>
      </c>
      <c r="L5893" s="26"/>
    </row>
    <row r="5894" spans="1:12">
      <c r="A5894" s="20" t="s">
        <v>1009</v>
      </c>
      <c r="B5894" s="27" t="s">
        <v>1010</v>
      </c>
      <c r="C5894" s="27" t="s">
        <v>1011</v>
      </c>
      <c r="D5894" s="27" t="s">
        <v>969</v>
      </c>
      <c r="E5894" s="21">
        <f>IF(D5894="?OLD","!!!","")</f>
        <v/>
      </c>
      <c r="F5894" s="22" t="str">
        <f>IF(OR(E5894="",E5894="!!!"),"",IF(NOT(ISNA(VLOOKUP(E5894,E$1:E5893,1,FALSE()))),"OLD",IF(AND(E5894&lt;&gt;"",E5894&lt;&gt;"!!!"),"NEW","")))</f>
        <v> </v>
      </c>
      <c r="G5894" s="23" t="str">
        <f>IF(OR(E5894="",E5894="!!!"),"",IF(OR(J5894=0,AND(J5894=1,K5894=1),AND(J5894=1,I5894="SBJ"),AND(J5894=1,I5894=0)),"?IN_FOCUS",IF(J5894&lt;=2,"?ACTIVATED",IF(J5894&lt;&gt;"","?FAMILIAR",IF(F5894="NEW",IF(ISNA(VLOOKUP(E5894,#REF!,1,FALSE())),"?TYPE_IDENTIFIABLE","?REFERENTIAL"),"_")))))</f>
        <v> </v>
      </c>
      <c r="H5894" s="24" t="str">
        <f>IF(J5894&lt;&gt;1,"",IF(I5894="SBJ","CB","?"))</f>
        <v> </v>
      </c>
      <c r="I5894" s="25" t="str">
        <f>IF(OR(E5894="",E5894="!!!",F5894="NEW"),"",INDEX(B5893:B$2,-1+SUMPRODUCT(MAX(ROW(E5893:E$2)*(E5894=E5893:E$2)))))</f>
        <v> </v>
      </c>
      <c r="J5894" s="25" t="str">
        <f>IF(OR(E5894="",E5894="!!!",F5894="NEW"),"",COUNTBLANK(OFFSET(A$1,,,SUMPRODUCT(MAX(ROW(E$2:E5894)*(E5894=E$2:E5894)))))-COUNTBLANK(OFFSET(A$1,,,SUMPRODUCT(MAX(ROW(E$1:E5893)*(E2=E$1:E5893))))))</f>
        <v> </v>
      </c>
      <c r="K5894" s="25" t="str">
        <f>IF(OR(E5894="",E5894="!!!",F5894="NEW"),"",INDEX(J$1:J5893,SUMPRODUCT(MAX(ROW(E$1:E5893)*(E5894=E$1:E5893)))))</f>
        <v> </v>
      </c>
      <c r="L5894" s="26"/>
    </row>
    <row r="5895" spans="1:12">
      <c r="A5895" s="20" t="s">
        <v>2538</v>
      </c>
      <c r="E5895" s="21">
        <f>IF(D5895="?OLD","!!!","")</f>
        <v/>
      </c>
      <c r="F5895" s="22" t="str">
        <f>IF(OR(E5895="",E5895="!!!"),"",IF(NOT(ISNA(VLOOKUP(E5895,E$1:E5894,1,FALSE()))),"OLD",IF(AND(E5895&lt;&gt;"",E5895&lt;&gt;"!!!"),"NEW","")))</f>
        <v> </v>
      </c>
      <c r="G5895" s="23" t="str">
        <f>IF(OR(E5895="",E5895="!!!"),"",IF(OR(J5895=0,AND(J5895=1,K5895=1),AND(J5895=1,I5895="SBJ"),AND(J5895=1,I5895=0)),"?IN_FOCUS",IF(J5895&lt;=2,"?ACTIVATED",IF(J5895&lt;&gt;"","?FAMILIAR",IF(F5895="NEW",IF(ISNA(VLOOKUP(E5895,#REF!,1,FALSE())),"?TYPE_IDENTIFIABLE","?REFERENTIAL"),"_")))))</f>
        <v> </v>
      </c>
      <c r="H5895" s="24" t="str">
        <f>IF(J5895&lt;&gt;1,"",IF(I5895="SBJ","CB","?"))</f>
        <v> </v>
      </c>
      <c r="I5895" s="25" t="str">
        <f>IF(OR(E5895="",E5895="!!!",F5895="NEW"),"",INDEX(B5894:B$2,-1+SUMPRODUCT(MAX(ROW(E5894:E$2)*(E5895=E5894:E$2)))))</f>
        <v> </v>
      </c>
      <c r="J5895" s="25" t="str">
        <f>IF(OR(E5895="",E5895="!!!",F5895="NEW"),"",COUNTBLANK(OFFSET(A$1,,,SUMPRODUCT(MAX(ROW(E$2:E5895)*(E5895=E$2:E5895)))))-COUNTBLANK(OFFSET(A$1,,,SUMPRODUCT(MAX(ROW(E$1:E5894)*(E2=E$1:E5894))))))</f>
        <v> </v>
      </c>
      <c r="K5895" s="25" t="str">
        <f>IF(OR(E5895="",E5895="!!!",F5895="NEW"),"",INDEX(J$1:J5894,SUMPRODUCT(MAX(ROW(E$1:E5894)*(E5895=E$1:E5894)))))</f>
        <v> </v>
      </c>
      <c r="L5895" s="26"/>
    </row>
    <row r="5896" spans="1:12">
      <c r="A5896" s="20" t="s">
        <v>665</v>
      </c>
      <c r="E5896" s="21">
        <f>IF(D5896="?OLD","!!!","")</f>
        <v/>
      </c>
      <c r="F5896" s="22" t="str">
        <f>IF(OR(E5896="",E5896="!!!"),"",IF(NOT(ISNA(VLOOKUP(E5896,E$1:E5895,1,FALSE()))),"OLD",IF(AND(E5896&lt;&gt;"",E5896&lt;&gt;"!!!"),"NEW","")))</f>
        <v> </v>
      </c>
      <c r="G5896" s="23" t="str">
        <f>IF(OR(E5896="",E5896="!!!"),"",IF(OR(J5896=0,AND(J5896=1,K5896=1),AND(J5896=1,I5896="SBJ"),AND(J5896=1,I5896=0)),"?IN_FOCUS",IF(J5896&lt;=2,"?ACTIVATED",IF(J5896&lt;&gt;"","?FAMILIAR",IF(F5896="NEW",IF(ISNA(VLOOKUP(E5896,#REF!,1,FALSE())),"?TYPE_IDENTIFIABLE","?REFERENTIAL"),"_")))))</f>
        <v> </v>
      </c>
      <c r="H5896" s="24" t="str">
        <f>IF(J5896&lt;&gt;1,"",IF(I5896="SBJ","CB","?"))</f>
        <v> </v>
      </c>
      <c r="I5896" s="25" t="str">
        <f>IF(OR(E5896="",E5896="!!!",F5896="NEW"),"",INDEX(B5895:B$2,-1+SUMPRODUCT(MAX(ROW(E5895:E$2)*(E5896=E5895:E$2)))))</f>
        <v> </v>
      </c>
      <c r="J5896" s="25" t="str">
        <f>IF(OR(E5896="",E5896="!!!",F5896="NEW"),"",COUNTBLANK(OFFSET(A$1,,,SUMPRODUCT(MAX(ROW(E$2:E5896)*(E5896=E$2:E5896)))))-COUNTBLANK(OFFSET(A$1,,,SUMPRODUCT(MAX(ROW(E$1:E5895)*(E2=E$1:E5895))))))</f>
        <v> </v>
      </c>
      <c r="K5896" s="25" t="str">
        <f>IF(OR(E5896="",E5896="!!!",F5896="NEW"),"",INDEX(J$1:J5895,SUMPRODUCT(MAX(ROW(E$1:E5895)*(E5896=E$1:E5895)))))</f>
        <v> </v>
      </c>
      <c r="L5896" s="26"/>
    </row>
    <row r="5897" spans="1:12">
      <c r="A5897" s="20" t="s">
        <v>991</v>
      </c>
      <c r="E5897" s="21">
        <f>IF(D5897="?OLD","!!!","")</f>
        <v/>
      </c>
      <c r="F5897" s="22" t="str">
        <f>IF(OR(E5897="",E5897="!!!"),"",IF(NOT(ISNA(VLOOKUP(E5897,E$1:E5896,1,FALSE()))),"OLD",IF(AND(E5897&lt;&gt;"",E5897&lt;&gt;"!!!"),"NEW","")))</f>
        <v> </v>
      </c>
      <c r="G5897" s="23" t="str">
        <f>IF(OR(E5897="",E5897="!!!"),"",IF(OR(J5897=0,AND(J5897=1,K5897=1),AND(J5897=1,I5897="SBJ"),AND(J5897=1,I5897=0)),"?IN_FOCUS",IF(J5897&lt;=2,"?ACTIVATED",IF(J5897&lt;&gt;"","?FAMILIAR",IF(F5897="NEW",IF(ISNA(VLOOKUP(E5897,#REF!,1,FALSE())),"?TYPE_IDENTIFIABLE","?REFERENTIAL"),"_")))))</f>
        <v> </v>
      </c>
      <c r="H5897" s="24" t="str">
        <f>IF(J5897&lt;&gt;1,"",IF(I5897="SBJ","CB","?"))</f>
        <v> </v>
      </c>
      <c r="I5897" s="25" t="str">
        <f>IF(OR(E5897="",E5897="!!!",F5897="NEW"),"",INDEX(B5896:B$2,-1+SUMPRODUCT(MAX(ROW(E5896:E$2)*(E5897=E5896:E$2)))))</f>
        <v> </v>
      </c>
      <c r="J5897" s="25" t="str">
        <f>IF(OR(E5897="",E5897="!!!",F5897="NEW"),"",COUNTBLANK(OFFSET(A$1,,,SUMPRODUCT(MAX(ROW(E$2:E5897)*(E5897=E$2:E5897)))))-COUNTBLANK(OFFSET(A$1,,,SUMPRODUCT(MAX(ROW(E$1:E5896)*(E2=E$1:E5896))))))</f>
        <v> </v>
      </c>
      <c r="K5897" s="25" t="str">
        <f>IF(OR(E5897="",E5897="!!!",F5897="NEW"),"",INDEX(J$1:J5896,SUMPRODUCT(MAX(ROW(E$1:E5896)*(E5897=E$1:E5896)))))</f>
        <v> </v>
      </c>
      <c r="L5897" s="26"/>
    </row>
    <row r="5898" spans="1:12">
      <c r="A5898" s="20" t="s">
        <v>980</v>
      </c>
      <c r="E5898" s="21">
        <f>IF(D5898="?OLD","!!!","")</f>
        <v/>
      </c>
      <c r="F5898" s="22" t="str">
        <f>IF(OR(E5898="",E5898="!!!"),"",IF(NOT(ISNA(VLOOKUP(E5898,E$1:E5897,1,FALSE()))),"OLD",IF(AND(E5898&lt;&gt;"",E5898&lt;&gt;"!!!"),"NEW","")))</f>
        <v> </v>
      </c>
      <c r="G5898" s="23" t="str">
        <f>IF(OR(E5898="",E5898="!!!"),"",IF(OR(J5898=0,AND(J5898=1,K5898=1),AND(J5898=1,I5898="SBJ"),AND(J5898=1,I5898=0)),"?IN_FOCUS",IF(J5898&lt;=2,"?ACTIVATED",IF(J5898&lt;&gt;"","?FAMILIAR",IF(F5898="NEW",IF(ISNA(VLOOKUP(E5898,#REF!,1,FALSE())),"?TYPE_IDENTIFIABLE","?REFERENTIAL"),"_")))))</f>
        <v> </v>
      </c>
      <c r="H5898" s="24" t="str">
        <f>IF(J5898&lt;&gt;1,"",IF(I5898="SBJ","CB","?"))</f>
        <v> </v>
      </c>
      <c r="I5898" s="25" t="str">
        <f>IF(OR(E5898="",E5898="!!!",F5898="NEW"),"",INDEX(B5897:B$2,-1+SUMPRODUCT(MAX(ROW(E5897:E$2)*(E5898=E5897:E$2)))))</f>
        <v> </v>
      </c>
      <c r="J5898" s="25" t="str">
        <f>IF(OR(E5898="",E5898="!!!",F5898="NEW"),"",COUNTBLANK(OFFSET(A$1,,,SUMPRODUCT(MAX(ROW(E$2:E5898)*(E5898=E$2:E5898)))))-COUNTBLANK(OFFSET(A$1,,,SUMPRODUCT(MAX(ROW(E$1:E5897)*(E2=E$1:E5897))))))</f>
        <v> </v>
      </c>
      <c r="K5898" s="25" t="str">
        <f>IF(OR(E5898="",E5898="!!!",F5898="NEW"),"",INDEX(J$1:J5897,SUMPRODUCT(MAX(ROW(E$1:E5897)*(E5898=E$1:E5897)))))</f>
        <v> </v>
      </c>
      <c r="L5898" s="26"/>
    </row>
    <row r="5899" spans="1:12">
      <c r="A5899" s="20" t="s">
        <v>999</v>
      </c>
      <c r="E5899" s="21">
        <f>IF(D5899="?OLD","!!!","")</f>
        <v/>
      </c>
      <c r="F5899" s="22" t="str">
        <f>IF(OR(E5899="",E5899="!!!"),"",IF(NOT(ISNA(VLOOKUP(E5899,E$1:E5898,1,FALSE()))),"OLD",IF(AND(E5899&lt;&gt;"",E5899&lt;&gt;"!!!"),"NEW","")))</f>
        <v> </v>
      </c>
      <c r="G5899" s="23" t="str">
        <f>IF(OR(E5899="",E5899="!!!"),"",IF(OR(J5899=0,AND(J5899=1,K5899=1),AND(J5899=1,I5899="SBJ"),AND(J5899=1,I5899=0)),"?IN_FOCUS",IF(J5899&lt;=2,"?ACTIVATED",IF(J5899&lt;&gt;"","?FAMILIAR",IF(F5899="NEW",IF(ISNA(VLOOKUP(E5899,#REF!,1,FALSE())),"?TYPE_IDENTIFIABLE","?REFERENTIAL"),"_")))))</f>
        <v> </v>
      </c>
      <c r="H5899" s="24" t="str">
        <f>IF(J5899&lt;&gt;1,"",IF(I5899="SBJ","CB","?"))</f>
        <v> </v>
      </c>
      <c r="I5899" s="25" t="str">
        <f>IF(OR(E5899="",E5899="!!!",F5899="NEW"),"",INDEX(B5898:B$2,-1+SUMPRODUCT(MAX(ROW(E5898:E$2)*(E5899=E5898:E$2)))))</f>
        <v> </v>
      </c>
      <c r="J5899" s="25" t="str">
        <f>IF(OR(E5899="",E5899="!!!",F5899="NEW"),"",COUNTBLANK(OFFSET(A$1,,,SUMPRODUCT(MAX(ROW(E$2:E5899)*(E5899=E$2:E5899)))))-COUNTBLANK(OFFSET(A$1,,,SUMPRODUCT(MAX(ROW(E$1:E5898)*(E2=E$1:E5898))))))</f>
        <v> </v>
      </c>
      <c r="K5899" s="25" t="str">
        <f>IF(OR(E5899="",E5899="!!!",F5899="NEW"),"",INDEX(J$1:J5898,SUMPRODUCT(MAX(ROW(E$1:E5898)*(E5899=E$1:E5898)))))</f>
        <v> </v>
      </c>
      <c r="L5899" s="26"/>
    </row>
    <row r="5900" spans="1:12">
      <c r="A5900" s="20" t="s">
        <v>241</v>
      </c>
      <c r="E5900" s="21">
        <f>IF(D5900="?OLD","!!!","")</f>
        <v/>
      </c>
      <c r="F5900" s="22" t="str">
        <f>IF(OR(E5900="",E5900="!!!"),"",IF(NOT(ISNA(VLOOKUP(E5900,E$1:E5899,1,FALSE()))),"OLD",IF(AND(E5900&lt;&gt;"",E5900&lt;&gt;"!!!"),"NEW","")))</f>
        <v> </v>
      </c>
      <c r="G5900" s="23" t="str">
        <f>IF(OR(E5900="",E5900="!!!"),"",IF(OR(J5900=0,AND(J5900=1,K5900=1),AND(J5900=1,I5900="SBJ"),AND(J5900=1,I5900=0)),"?IN_FOCUS",IF(J5900&lt;=2,"?ACTIVATED",IF(J5900&lt;&gt;"","?FAMILIAR",IF(F5900="NEW",IF(ISNA(VLOOKUP(E5900,#REF!,1,FALSE())),"?TYPE_IDENTIFIABLE","?REFERENTIAL"),"_")))))</f>
        <v> </v>
      </c>
      <c r="H5900" s="24" t="str">
        <f>IF(J5900&lt;&gt;1,"",IF(I5900="SBJ","CB","?"))</f>
        <v> </v>
      </c>
      <c r="I5900" s="25" t="str">
        <f>IF(OR(E5900="",E5900="!!!",F5900="NEW"),"",INDEX(B5899:B$2,-1+SUMPRODUCT(MAX(ROW(E5899:E$2)*(E5900=E5899:E$2)))))</f>
        <v> </v>
      </c>
      <c r="J5900" s="25" t="str">
        <f>IF(OR(E5900="",E5900="!!!",F5900="NEW"),"",COUNTBLANK(OFFSET(A$1,,,SUMPRODUCT(MAX(ROW(E$2:E5900)*(E5900=E$2:E5900)))))-COUNTBLANK(OFFSET(A$1,,,SUMPRODUCT(MAX(ROW(E$1:E5899)*(E2=E$1:E5899))))))</f>
        <v> </v>
      </c>
      <c r="K5900" s="25" t="str">
        <f>IF(OR(E5900="",E5900="!!!",F5900="NEW"),"",INDEX(J$1:J5899,SUMPRODUCT(MAX(ROW(E$1:E5899)*(E5900=E$1:E5899)))))</f>
        <v> </v>
      </c>
      <c r="L5900" s="26"/>
    </row>
    <row r="5901" spans="1:12">
      <c r="A5901" s="20" t="s">
        <v>1194</v>
      </c>
      <c r="E5901" s="21">
        <f>IF(D5901="?OLD","!!!","")</f>
        <v/>
      </c>
      <c r="F5901" s="22" t="str">
        <f>IF(OR(E5901="",E5901="!!!"),"",IF(NOT(ISNA(VLOOKUP(E5901,E$1:E5900,1,FALSE()))),"OLD",IF(AND(E5901&lt;&gt;"",E5901&lt;&gt;"!!!"),"NEW","")))</f>
        <v> </v>
      </c>
      <c r="G5901" s="23" t="str">
        <f>IF(OR(E5901="",E5901="!!!"),"",IF(OR(J5901=0,AND(J5901=1,K5901=1),AND(J5901=1,I5901="SBJ"),AND(J5901=1,I5901=0)),"?IN_FOCUS",IF(J5901&lt;=2,"?ACTIVATED",IF(J5901&lt;&gt;"","?FAMILIAR",IF(F5901="NEW",IF(ISNA(VLOOKUP(E5901,#REF!,1,FALSE())),"?TYPE_IDENTIFIABLE","?REFERENTIAL"),"_")))))</f>
        <v> </v>
      </c>
      <c r="H5901" s="24" t="str">
        <f>IF(J5901&lt;&gt;1,"",IF(I5901="SBJ","CB","?"))</f>
        <v> </v>
      </c>
      <c r="I5901" s="25" t="str">
        <f>IF(OR(E5901="",E5901="!!!",F5901="NEW"),"",INDEX(B5900:B$2,-1+SUMPRODUCT(MAX(ROW(E5900:E$2)*(E5901=E5900:E$2)))))</f>
        <v> </v>
      </c>
      <c r="J5901" s="25" t="str">
        <f>IF(OR(E5901="",E5901="!!!",F5901="NEW"),"",COUNTBLANK(OFFSET(A$1,,,SUMPRODUCT(MAX(ROW(E$2:E5901)*(E5901=E$2:E5901)))))-COUNTBLANK(OFFSET(A$1,,,SUMPRODUCT(MAX(ROW(E$1:E5900)*(E2=E$1:E5900))))))</f>
        <v> </v>
      </c>
      <c r="K5901" s="25" t="str">
        <f>IF(OR(E5901="",E5901="!!!",F5901="NEW"),"",INDEX(J$1:J5900,SUMPRODUCT(MAX(ROW(E$1:E5900)*(E5901=E$1:E5900)))))</f>
        <v> </v>
      </c>
      <c r="L5901" s="26"/>
    </row>
    <row r="5902" spans="1:12">
      <c r="A5902" s="20" t="s">
        <v>965</v>
      </c>
      <c r="E5902" s="21">
        <f>IF(D5902="?OLD","!!!","")</f>
        <v/>
      </c>
      <c r="F5902" s="22" t="str">
        <f>IF(OR(E5902="",E5902="!!!"),"",IF(NOT(ISNA(VLOOKUP(E5902,E$1:E5901,1,FALSE()))),"OLD",IF(AND(E5902&lt;&gt;"",E5902&lt;&gt;"!!!"),"NEW","")))</f>
        <v> </v>
      </c>
      <c r="G5902" s="23" t="str">
        <f>IF(OR(E5902="",E5902="!!!"),"",IF(OR(J5902=0,AND(J5902=1,K5902=1),AND(J5902=1,I5902="SBJ"),AND(J5902=1,I5902=0)),"?IN_FOCUS",IF(J5902&lt;=2,"?ACTIVATED",IF(J5902&lt;&gt;"","?FAMILIAR",IF(F5902="NEW",IF(ISNA(VLOOKUP(E5902,#REF!,1,FALSE())),"?TYPE_IDENTIFIABLE","?REFERENTIAL"),"_")))))</f>
        <v> </v>
      </c>
      <c r="H5902" s="24" t="str">
        <f>IF(J5902&lt;&gt;1,"",IF(I5902="SBJ","CB","?"))</f>
        <v> </v>
      </c>
      <c r="I5902" s="25" t="str">
        <f>IF(OR(E5902="",E5902="!!!",F5902="NEW"),"",INDEX(B5901:B$2,-1+SUMPRODUCT(MAX(ROW(E5901:E$2)*(E5902=E5901:E$2)))))</f>
        <v> </v>
      </c>
      <c r="J5902" s="25" t="str">
        <f>IF(OR(E5902="",E5902="!!!",F5902="NEW"),"",COUNTBLANK(OFFSET(A$1,,,SUMPRODUCT(MAX(ROW(E$2:E5902)*(E5902=E$2:E5902)))))-COUNTBLANK(OFFSET(A$1,,,SUMPRODUCT(MAX(ROW(E$1:E5901)*(E2=E$1:E5901))))))</f>
        <v> </v>
      </c>
      <c r="K5902" s="25" t="str">
        <f>IF(OR(E5902="",E5902="!!!",F5902="NEW"),"",INDEX(J$1:J5901,SUMPRODUCT(MAX(ROW(E$1:E5901)*(E5902=E$1:E5901)))))</f>
        <v> </v>
      </c>
      <c r="L5902" s="26"/>
    </row>
    <row r="5903" spans="1:12">
      <c r="A5903" s="20" t="s">
        <v>1163</v>
      </c>
      <c r="B5903" s="27" t="s">
        <v>1010</v>
      </c>
      <c r="C5903" s="27" t="s">
        <v>1102</v>
      </c>
      <c r="D5903" s="27" t="s">
        <v>969</v>
      </c>
      <c r="E5903" s="21">
        <f>IF(D5903="?OLD","!!!","")</f>
        <v/>
      </c>
      <c r="F5903" s="22" t="str">
        <f>IF(OR(E5903="",E5903="!!!"),"",IF(NOT(ISNA(VLOOKUP(E5903,E$1:E5902,1,FALSE()))),"OLD",IF(AND(E5903&lt;&gt;"",E5903&lt;&gt;"!!!"),"NEW","")))</f>
        <v> </v>
      </c>
      <c r="G5903" s="23" t="str">
        <f>IF(OR(E5903="",E5903="!!!"),"",IF(OR(J5903=0,AND(J5903=1,K5903=1),AND(J5903=1,I5903="SBJ"),AND(J5903=1,I5903=0)),"?IN_FOCUS",IF(J5903&lt;=2,"?ACTIVATED",IF(J5903&lt;&gt;"","?FAMILIAR",IF(F5903="NEW",IF(ISNA(VLOOKUP(E5903,#REF!,1,FALSE())),"?TYPE_IDENTIFIABLE","?REFERENTIAL"),"_")))))</f>
        <v> </v>
      </c>
      <c r="H5903" s="24" t="str">
        <f>IF(J5903&lt;&gt;1,"",IF(I5903="SBJ","CB","?"))</f>
        <v> </v>
      </c>
      <c r="I5903" s="25" t="str">
        <f>IF(OR(E5903="",E5903="!!!",F5903="NEW"),"",INDEX(B5902:B$2,-1+SUMPRODUCT(MAX(ROW(E5902:E$2)*(E5903=E5902:E$2)))))</f>
        <v> </v>
      </c>
      <c r="J5903" s="25" t="str">
        <f>IF(OR(E5903="",E5903="!!!",F5903="NEW"),"",COUNTBLANK(OFFSET(A$1,,,SUMPRODUCT(MAX(ROW(E$2:E5903)*(E5903=E$2:E5903)))))-COUNTBLANK(OFFSET(A$1,,,SUMPRODUCT(MAX(ROW(E$1:E5902)*(E2=E$1:E5902))))))</f>
        <v> </v>
      </c>
      <c r="K5903" s="25" t="str">
        <f>IF(OR(E5903="",E5903="!!!",F5903="NEW"),"",INDEX(J$1:J5902,SUMPRODUCT(MAX(ROW(E$1:E5902)*(E5903=E$1:E5902)))))</f>
        <v> </v>
      </c>
      <c r="L5903" s="26"/>
    </row>
    <row r="5904" spans="1:12">
      <c r="A5904" s="20" t="s">
        <v>1218</v>
      </c>
      <c r="E5904" s="21">
        <f>IF(D5904="?OLD","!!!","")</f>
        <v/>
      </c>
      <c r="F5904" s="22" t="str">
        <f>IF(OR(E5904="",E5904="!!!"),"",IF(NOT(ISNA(VLOOKUP(E5904,E$1:E5903,1,FALSE()))),"OLD",IF(AND(E5904&lt;&gt;"",E5904&lt;&gt;"!!!"),"NEW","")))</f>
        <v> </v>
      </c>
      <c r="G5904" s="23" t="str">
        <f>IF(OR(E5904="",E5904="!!!"),"",IF(OR(J5904=0,AND(J5904=1,K5904=1),AND(J5904=1,I5904="SBJ"),AND(J5904=1,I5904=0)),"?IN_FOCUS",IF(J5904&lt;=2,"?ACTIVATED",IF(J5904&lt;&gt;"","?FAMILIAR",IF(F5904="NEW",IF(ISNA(VLOOKUP(E5904,#REF!,1,FALSE())),"?TYPE_IDENTIFIABLE","?REFERENTIAL"),"_")))))</f>
        <v> </v>
      </c>
      <c r="H5904" s="24" t="str">
        <f>IF(J5904&lt;&gt;1,"",IF(I5904="SBJ","CB","?"))</f>
        <v> </v>
      </c>
      <c r="I5904" s="25" t="str">
        <f>IF(OR(E5904="",E5904="!!!",F5904="NEW"),"",INDEX(B5903:B$2,-1+SUMPRODUCT(MAX(ROW(E5903:E$2)*(E5904=E5903:E$2)))))</f>
        <v> </v>
      </c>
      <c r="J5904" s="25" t="str">
        <f>IF(OR(E5904="",E5904="!!!",F5904="NEW"),"",COUNTBLANK(OFFSET(A$1,,,SUMPRODUCT(MAX(ROW(E$2:E5904)*(E5904=E$2:E5904)))))-COUNTBLANK(OFFSET(A$1,,,SUMPRODUCT(MAX(ROW(E$1:E5903)*(E2=E$1:E5903))))))</f>
        <v> </v>
      </c>
      <c r="K5904" s="25" t="str">
        <f>IF(OR(E5904="",E5904="!!!",F5904="NEW"),"",INDEX(J$1:J5903,SUMPRODUCT(MAX(ROW(E$1:E5903)*(E5904=E$1:E5903)))))</f>
        <v> </v>
      </c>
      <c r="L5904" s="26"/>
    </row>
    <row r="5905" spans="1:12">
      <c r="A5905" s="20" t="s">
        <v>985</v>
      </c>
      <c r="E5905" s="21">
        <f>IF(D5905="?OLD","!!!","")</f>
        <v/>
      </c>
      <c r="F5905" s="22" t="str">
        <f>IF(OR(E5905="",E5905="!!!"),"",IF(NOT(ISNA(VLOOKUP(E5905,E$1:E5904,1,FALSE()))),"OLD",IF(AND(E5905&lt;&gt;"",E5905&lt;&gt;"!!!"),"NEW","")))</f>
        <v> </v>
      </c>
      <c r="G5905" s="23" t="str">
        <f>IF(OR(E5905="",E5905="!!!"),"",IF(OR(J5905=0,AND(J5905=1,K5905=1),AND(J5905=1,I5905="SBJ"),AND(J5905=1,I5905=0)),"?IN_FOCUS",IF(J5905&lt;=2,"?ACTIVATED",IF(J5905&lt;&gt;"","?FAMILIAR",IF(F5905="NEW",IF(ISNA(VLOOKUP(E5905,#REF!,1,FALSE())),"?TYPE_IDENTIFIABLE","?REFERENTIAL"),"_")))))</f>
        <v> </v>
      </c>
      <c r="H5905" s="24" t="str">
        <f>IF(J5905&lt;&gt;1,"",IF(I5905="SBJ","CB","?"))</f>
        <v> </v>
      </c>
      <c r="I5905" s="25" t="str">
        <f>IF(OR(E5905="",E5905="!!!",F5905="NEW"),"",INDEX(B5904:B$2,-1+SUMPRODUCT(MAX(ROW(E5904:E$2)*(E5905=E5904:E$2)))))</f>
        <v> </v>
      </c>
      <c r="J5905" s="25" t="str">
        <f>IF(OR(E5905="",E5905="!!!",F5905="NEW"),"",COUNTBLANK(OFFSET(A$1,,,SUMPRODUCT(MAX(ROW(E$2:E5905)*(E5905=E$2:E5905)))))-COUNTBLANK(OFFSET(A$1,,,SUMPRODUCT(MAX(ROW(E$1:E5904)*(E2=E$1:E5904))))))</f>
        <v> </v>
      </c>
      <c r="K5905" s="25" t="str">
        <f>IF(OR(E5905="",E5905="!!!",F5905="NEW"),"",INDEX(J$1:J5904,SUMPRODUCT(MAX(ROW(E$1:E5904)*(E5905=E$1:E5904)))))</f>
        <v> </v>
      </c>
      <c r="L5905" s="26"/>
    </row>
    <row r="5906" spans="1:12">
      <c r="A5906" s="20" t="s">
        <v>2539</v>
      </c>
      <c r="B5906" s="27" t="s">
        <v>978</v>
      </c>
      <c r="C5906" s="27" t="s">
        <v>979</v>
      </c>
      <c r="D5906" s="27" t="s">
        <v>969</v>
      </c>
      <c r="E5906" s="21">
        <f>IF(D5906="?OLD","!!!","")</f>
        <v/>
      </c>
      <c r="F5906" s="22" t="str">
        <f>IF(OR(E5906="",E5906="!!!"),"",IF(NOT(ISNA(VLOOKUP(E5906,E$1:E5905,1,FALSE()))),"OLD",IF(AND(E5906&lt;&gt;"",E5906&lt;&gt;"!!!"),"NEW","")))</f>
        <v> </v>
      </c>
      <c r="G5906" s="23" t="str">
        <f>IF(OR(E5906="",E5906="!!!"),"",IF(OR(J5906=0,AND(J5906=1,K5906=1),AND(J5906=1,I5906="SBJ"),AND(J5906=1,I5906=0)),"?IN_FOCUS",IF(J5906&lt;=2,"?ACTIVATED",IF(J5906&lt;&gt;"","?FAMILIAR",IF(F5906="NEW",IF(ISNA(VLOOKUP(E5906,#REF!,1,FALSE())),"?TYPE_IDENTIFIABLE","?REFERENTIAL"),"_")))))</f>
        <v> </v>
      </c>
      <c r="H5906" s="24" t="str">
        <f>IF(J5906&lt;&gt;1,"",IF(I5906="SBJ","CB","?"))</f>
        <v> </v>
      </c>
      <c r="I5906" s="25" t="str">
        <f>IF(OR(E5906="",E5906="!!!",F5906="NEW"),"",INDEX(B5905:B$2,-1+SUMPRODUCT(MAX(ROW(E5905:E$2)*(E5906=E5905:E$2)))))</f>
        <v> </v>
      </c>
      <c r="J5906" s="25" t="str">
        <f>IF(OR(E5906="",E5906="!!!",F5906="NEW"),"",COUNTBLANK(OFFSET(A$1,,,SUMPRODUCT(MAX(ROW(E$2:E5906)*(E5906=E$2:E5906)))))-COUNTBLANK(OFFSET(A$1,,,SUMPRODUCT(MAX(ROW(E$1:E5905)*(E2=E$1:E5905))))))</f>
        <v> </v>
      </c>
      <c r="K5906" s="25" t="str">
        <f>IF(OR(E5906="",E5906="!!!",F5906="NEW"),"",INDEX(J$1:J5905,SUMPRODUCT(MAX(ROW(E$1:E5905)*(E5906=E$1:E5905)))))</f>
        <v> </v>
      </c>
      <c r="L5906" s="26"/>
    </row>
    <row r="5907" spans="1:12">
      <c r="A5907" s="20" t="s">
        <v>991</v>
      </c>
      <c r="E5907" s="21">
        <f>IF(D5907="?OLD","!!!","")</f>
        <v/>
      </c>
      <c r="F5907" s="22" t="str">
        <f>IF(OR(E5907="",E5907="!!!"),"",IF(NOT(ISNA(VLOOKUP(E5907,E$1:E5906,1,FALSE()))),"OLD",IF(AND(E5907&lt;&gt;"",E5907&lt;&gt;"!!!"),"NEW","")))</f>
        <v> </v>
      </c>
      <c r="G5907" s="23" t="str">
        <f>IF(OR(E5907="",E5907="!!!"),"",IF(OR(J5907=0,AND(J5907=1,K5907=1),AND(J5907=1,I5907="SBJ"),AND(J5907=1,I5907=0)),"?IN_FOCUS",IF(J5907&lt;=2,"?ACTIVATED",IF(J5907&lt;&gt;"","?FAMILIAR",IF(F5907="NEW",IF(ISNA(VLOOKUP(E5907,#REF!,1,FALSE())),"?TYPE_IDENTIFIABLE","?REFERENTIAL"),"_")))))</f>
        <v> </v>
      </c>
      <c r="H5907" s="24" t="str">
        <f>IF(J5907&lt;&gt;1,"",IF(I5907="SBJ","CB","?"))</f>
        <v> </v>
      </c>
      <c r="I5907" s="25" t="str">
        <f>IF(OR(E5907="",E5907="!!!",F5907="NEW"),"",INDEX(B5906:B$2,-1+SUMPRODUCT(MAX(ROW(E5906:E$2)*(E5907=E5906:E$2)))))</f>
        <v> </v>
      </c>
      <c r="J5907" s="25" t="str">
        <f>IF(OR(E5907="",E5907="!!!",F5907="NEW"),"",COUNTBLANK(OFFSET(A$1,,,SUMPRODUCT(MAX(ROW(E$2:E5907)*(E5907=E$2:E5907)))))-COUNTBLANK(OFFSET(A$1,,,SUMPRODUCT(MAX(ROW(E$1:E5906)*(E2=E$1:E5906))))))</f>
        <v> </v>
      </c>
      <c r="K5907" s="25" t="str">
        <f>IF(OR(E5907="",E5907="!!!",F5907="NEW"),"",INDEX(J$1:J5906,SUMPRODUCT(MAX(ROW(E$1:E5906)*(E5907=E$1:E5906)))))</f>
        <v> </v>
      </c>
      <c r="L5907" s="26"/>
    </row>
    <row r="5908" spans="1:12">
      <c r="A5908" s="20" t="s">
        <v>1240</v>
      </c>
      <c r="E5908" s="21">
        <f>IF(D5908="?OLD","!!!","")</f>
        <v/>
      </c>
      <c r="F5908" s="22" t="str">
        <f>IF(OR(E5908="",E5908="!!!"),"",IF(NOT(ISNA(VLOOKUP(E5908,E$1:E5907,1,FALSE()))),"OLD",IF(AND(E5908&lt;&gt;"",E5908&lt;&gt;"!!!"),"NEW","")))</f>
        <v> </v>
      </c>
      <c r="G5908" s="23" t="str">
        <f>IF(OR(E5908="",E5908="!!!"),"",IF(OR(J5908=0,AND(J5908=1,K5908=1),AND(J5908=1,I5908="SBJ"),AND(J5908=1,I5908=0)),"?IN_FOCUS",IF(J5908&lt;=2,"?ACTIVATED",IF(J5908&lt;&gt;"","?FAMILIAR",IF(F5908="NEW",IF(ISNA(VLOOKUP(E5908,#REF!,1,FALSE())),"?TYPE_IDENTIFIABLE","?REFERENTIAL"),"_")))))</f>
        <v> </v>
      </c>
      <c r="H5908" s="24" t="str">
        <f>IF(J5908&lt;&gt;1,"",IF(I5908="SBJ","CB","?"))</f>
        <v> </v>
      </c>
      <c r="I5908" s="25" t="str">
        <f>IF(OR(E5908="",E5908="!!!",F5908="NEW"),"",INDEX(B5907:B$2,-1+SUMPRODUCT(MAX(ROW(E5907:E$2)*(E5908=E5907:E$2)))))</f>
        <v> </v>
      </c>
      <c r="J5908" s="25" t="str">
        <f>IF(OR(E5908="",E5908="!!!",F5908="NEW"),"",COUNTBLANK(OFFSET(A$1,,,SUMPRODUCT(MAX(ROW(E$2:E5908)*(E5908=E$2:E5908)))))-COUNTBLANK(OFFSET(A$1,,,SUMPRODUCT(MAX(ROW(E$1:E5907)*(E2=E$1:E5907))))))</f>
        <v> </v>
      </c>
      <c r="K5908" s="25" t="str">
        <f>IF(OR(E5908="",E5908="!!!",F5908="NEW"),"",INDEX(J$1:J5907,SUMPRODUCT(MAX(ROW(E$1:E5907)*(E5908=E$1:E5907)))))</f>
        <v> </v>
      </c>
      <c r="L5908" s="26"/>
    </row>
    <row r="5909" spans="1:12">
      <c r="A5909" s="20" t="s">
        <v>2540</v>
      </c>
      <c r="E5909" s="21">
        <f>IF(D5909="?OLD","!!!","")</f>
        <v/>
      </c>
      <c r="F5909" s="22" t="str">
        <f>IF(OR(E5909="",E5909="!!!"),"",IF(NOT(ISNA(VLOOKUP(E5909,E$1:E5908,1,FALSE()))),"OLD",IF(AND(E5909&lt;&gt;"",E5909&lt;&gt;"!!!"),"NEW","")))</f>
        <v> </v>
      </c>
      <c r="G5909" s="23" t="str">
        <f>IF(OR(E5909="",E5909="!!!"),"",IF(OR(J5909=0,AND(J5909=1,K5909=1),AND(J5909=1,I5909="SBJ"),AND(J5909=1,I5909=0)),"?IN_FOCUS",IF(J5909&lt;=2,"?ACTIVATED",IF(J5909&lt;&gt;"","?FAMILIAR",IF(F5909="NEW",IF(ISNA(VLOOKUP(E5909,#REF!,1,FALSE())),"?TYPE_IDENTIFIABLE","?REFERENTIAL"),"_")))))</f>
        <v> </v>
      </c>
      <c r="H5909" s="24" t="str">
        <f>IF(J5909&lt;&gt;1,"",IF(I5909="SBJ","CB","?"))</f>
        <v> </v>
      </c>
      <c r="I5909" s="25" t="str">
        <f>IF(OR(E5909="",E5909="!!!",F5909="NEW"),"",INDEX(B5908:B$2,-1+SUMPRODUCT(MAX(ROW(E5908:E$2)*(E5909=E5908:E$2)))))</f>
        <v> </v>
      </c>
      <c r="J5909" s="25" t="str">
        <f>IF(OR(E5909="",E5909="!!!",F5909="NEW"),"",COUNTBLANK(OFFSET(A$1,,,SUMPRODUCT(MAX(ROW(E$2:E5909)*(E5909=E$2:E5909)))))-COUNTBLANK(OFFSET(A$1,,,SUMPRODUCT(MAX(ROW(E$1:E5908)*(E2=E$1:E5908))))))</f>
        <v> </v>
      </c>
      <c r="K5909" s="25" t="str">
        <f>IF(OR(E5909="",E5909="!!!",F5909="NEW"),"",INDEX(J$1:J5908,SUMPRODUCT(MAX(ROW(E$1:E5908)*(E5909=E$1:E5908)))))</f>
        <v> </v>
      </c>
      <c r="L5909" s="26"/>
    </row>
    <row r="5910" spans="1:12">
      <c r="A5910" s="20" t="s">
        <v>1962</v>
      </c>
      <c r="E5910" s="21">
        <f>IF(D5910="?OLD","!!!","")</f>
        <v/>
      </c>
      <c r="F5910" s="22" t="str">
        <f>IF(OR(E5910="",E5910="!!!"),"",IF(NOT(ISNA(VLOOKUP(E5910,E$1:E5909,1,FALSE()))),"OLD",IF(AND(E5910&lt;&gt;"",E5910&lt;&gt;"!!!"),"NEW","")))</f>
        <v> </v>
      </c>
      <c r="G5910" s="23" t="str">
        <f>IF(OR(E5910="",E5910="!!!"),"",IF(OR(J5910=0,AND(J5910=1,K5910=1),AND(J5910=1,I5910="SBJ"),AND(J5910=1,I5910=0)),"?IN_FOCUS",IF(J5910&lt;=2,"?ACTIVATED",IF(J5910&lt;&gt;"","?FAMILIAR",IF(F5910="NEW",IF(ISNA(VLOOKUP(E5910,#REF!,1,FALSE())),"?TYPE_IDENTIFIABLE","?REFERENTIAL"),"_")))))</f>
        <v> </v>
      </c>
      <c r="H5910" s="24" t="str">
        <f>IF(J5910&lt;&gt;1,"",IF(I5910="SBJ","CB","?"))</f>
        <v> </v>
      </c>
      <c r="I5910" s="25" t="str">
        <f>IF(OR(E5910="",E5910="!!!",F5910="NEW"),"",INDEX(B5909:B$2,-1+SUMPRODUCT(MAX(ROW(E5909:E$2)*(E5910=E5909:E$2)))))</f>
        <v> </v>
      </c>
      <c r="J5910" s="25" t="str">
        <f>IF(OR(E5910="",E5910="!!!",F5910="NEW"),"",COUNTBLANK(OFFSET(A$1,,,SUMPRODUCT(MAX(ROW(E$2:E5910)*(E5910=E$2:E5910)))))-COUNTBLANK(OFFSET(A$1,,,SUMPRODUCT(MAX(ROW(E$1:E5909)*(E2=E$1:E5909))))))</f>
        <v> </v>
      </c>
      <c r="K5910" s="25" t="str">
        <f>IF(OR(E5910="",E5910="!!!",F5910="NEW"),"",INDEX(J$1:J5909,SUMPRODUCT(MAX(ROW(E$1:E5909)*(E5910=E$1:E5909)))))</f>
        <v> </v>
      </c>
      <c r="L5910" s="26"/>
    </row>
    <row r="5911" spans="1:12">
      <c r="A5911" s="20" t="s">
        <v>993</v>
      </c>
      <c r="B5911" s="27" t="s">
        <v>997</v>
      </c>
      <c r="C5911" s="27" t="s">
        <v>968</v>
      </c>
      <c r="D5911" s="27" t="s">
        <v>969</v>
      </c>
      <c r="E5911" s="21">
        <f>IF(D5911="?OLD","!!!","")</f>
        <v/>
      </c>
      <c r="F5911" s="22" t="str">
        <f>IF(OR(E5911="",E5911="!!!"),"",IF(NOT(ISNA(VLOOKUP(E5911,E$1:E5910,1,FALSE()))),"OLD",IF(AND(E5911&lt;&gt;"",E5911&lt;&gt;"!!!"),"NEW","")))</f>
        <v> </v>
      </c>
      <c r="G5911" s="23" t="str">
        <f>IF(OR(E5911="",E5911="!!!"),"",IF(OR(J5911=0,AND(J5911=1,K5911=1),AND(J5911=1,I5911="SBJ"),AND(J5911=1,I5911=0)),"?IN_FOCUS",IF(J5911&lt;=2,"?ACTIVATED",IF(J5911&lt;&gt;"","?FAMILIAR",IF(F5911="NEW",IF(ISNA(VLOOKUP(E5911,#REF!,1,FALSE())),"?TYPE_IDENTIFIABLE","?REFERENTIAL"),"_")))))</f>
        <v> </v>
      </c>
      <c r="H5911" s="24" t="str">
        <f>IF(J5911&lt;&gt;1,"",IF(I5911="SBJ","CB","?"))</f>
        <v> </v>
      </c>
      <c r="I5911" s="25" t="str">
        <f>IF(OR(E5911="",E5911="!!!",F5911="NEW"),"",INDEX(B5910:B$2,-1+SUMPRODUCT(MAX(ROW(E5910:E$2)*(E5911=E5910:E$2)))))</f>
        <v> </v>
      </c>
      <c r="J5911" s="25" t="str">
        <f>IF(OR(E5911="",E5911="!!!",F5911="NEW"),"",COUNTBLANK(OFFSET(A$1,,,SUMPRODUCT(MAX(ROW(E$2:E5911)*(E5911=E$2:E5911)))))-COUNTBLANK(OFFSET(A$1,,,SUMPRODUCT(MAX(ROW(E$1:E5910)*(E2=E$1:E5910))))))</f>
        <v> </v>
      </c>
      <c r="K5911" s="25" t="str">
        <f>IF(OR(E5911="",E5911="!!!",F5911="NEW"),"",INDEX(J$1:J5910,SUMPRODUCT(MAX(ROW(E$1:E5910)*(E5911=E$1:E5910)))))</f>
        <v> </v>
      </c>
      <c r="L5911" s="26"/>
    </row>
    <row r="5912" spans="1:12">
      <c r="A5912" s="20" t="s">
        <v>1357</v>
      </c>
      <c r="B5912" s="27" t="s">
        <v>1198</v>
      </c>
      <c r="C5912" s="27" t="s">
        <v>1011</v>
      </c>
      <c r="D5912" s="27" t="s">
        <v>969</v>
      </c>
      <c r="E5912" s="21">
        <f>IF(D5912="?OLD","!!!","")</f>
        <v/>
      </c>
      <c r="F5912" s="22" t="str">
        <f>IF(OR(E5912="",E5912="!!!"),"",IF(NOT(ISNA(VLOOKUP(E5912,E$1:E5911,1,FALSE()))),"OLD",IF(AND(E5912&lt;&gt;"",E5912&lt;&gt;"!!!"),"NEW","")))</f>
        <v> </v>
      </c>
      <c r="G5912" s="23" t="str">
        <f>IF(OR(E5912="",E5912="!!!"),"",IF(OR(J5912=0,AND(J5912=1,K5912=1),AND(J5912=1,I5912="SBJ"),AND(J5912=1,I5912=0)),"?IN_FOCUS",IF(J5912&lt;=2,"?ACTIVATED",IF(J5912&lt;&gt;"","?FAMILIAR",IF(F5912="NEW",IF(ISNA(VLOOKUP(E5912,#REF!,1,FALSE())),"?TYPE_IDENTIFIABLE","?REFERENTIAL"),"_")))))</f>
        <v> </v>
      </c>
      <c r="H5912" s="24" t="str">
        <f>IF(J5912&lt;&gt;1,"",IF(I5912="SBJ","CB","?"))</f>
        <v> </v>
      </c>
      <c r="I5912" s="25" t="str">
        <f>IF(OR(E5912="",E5912="!!!",F5912="NEW"),"",INDEX(B5911:B$2,-1+SUMPRODUCT(MAX(ROW(E5911:E$2)*(E5912=E5911:E$2)))))</f>
        <v> </v>
      </c>
      <c r="J5912" s="25" t="str">
        <f>IF(OR(E5912="",E5912="!!!",F5912="NEW"),"",COUNTBLANK(OFFSET(A$1,,,SUMPRODUCT(MAX(ROW(E$2:E5912)*(E5912=E$2:E5912)))))-COUNTBLANK(OFFSET(A$1,,,SUMPRODUCT(MAX(ROW(E$1:E5911)*(E2=E$1:E5911))))))</f>
        <v> </v>
      </c>
      <c r="K5912" s="25" t="str">
        <f>IF(OR(E5912="",E5912="!!!",F5912="NEW"),"",INDEX(J$1:J5911,SUMPRODUCT(MAX(ROW(E$1:E5911)*(E5912=E$1:E5911)))))</f>
        <v> </v>
      </c>
      <c r="L5912" s="26"/>
    </row>
    <row r="5913" spans="1:12">
      <c r="A5913" s="20" t="s">
        <v>921</v>
      </c>
      <c r="E5913" s="21">
        <f>IF(D5913="?OLD","!!!","")</f>
        <v/>
      </c>
      <c r="F5913" s="22" t="str">
        <f>IF(OR(E5913="",E5913="!!!"),"",IF(NOT(ISNA(VLOOKUP(E5913,E$1:E5912,1,FALSE()))),"OLD",IF(AND(E5913&lt;&gt;"",E5913&lt;&gt;"!!!"),"NEW","")))</f>
        <v> </v>
      </c>
      <c r="G5913" s="23" t="str">
        <f>IF(OR(E5913="",E5913="!!!"),"",IF(OR(J5913=0,AND(J5913=1,K5913=1),AND(J5913=1,I5913="SBJ"),AND(J5913=1,I5913=0)),"?IN_FOCUS",IF(J5913&lt;=2,"?ACTIVATED",IF(J5913&lt;&gt;"","?FAMILIAR",IF(F5913="NEW",IF(ISNA(VLOOKUP(E5913,#REF!,1,FALSE())),"?TYPE_IDENTIFIABLE","?REFERENTIAL"),"_")))))</f>
        <v> </v>
      </c>
      <c r="H5913" s="24" t="str">
        <f>IF(J5913&lt;&gt;1,"",IF(I5913="SBJ","CB","?"))</f>
        <v> </v>
      </c>
      <c r="I5913" s="25" t="str">
        <f>IF(OR(E5913="",E5913="!!!",F5913="NEW"),"",INDEX(B5912:B$2,-1+SUMPRODUCT(MAX(ROW(E5912:E$2)*(E5913=E5912:E$2)))))</f>
        <v> </v>
      </c>
      <c r="J5913" s="25" t="str">
        <f>IF(OR(E5913="",E5913="!!!",F5913="NEW"),"",COUNTBLANK(OFFSET(A$1,,,SUMPRODUCT(MAX(ROW(E$2:E5913)*(E5913=E$2:E5913)))))-COUNTBLANK(OFFSET(A$1,,,SUMPRODUCT(MAX(ROW(E$1:E5912)*(E2=E$1:E5912))))))</f>
        <v> </v>
      </c>
      <c r="K5913" s="25" t="str">
        <f>IF(OR(E5913="",E5913="!!!",F5913="NEW"),"",INDEX(J$1:J5912,SUMPRODUCT(MAX(ROW(E$1:E5912)*(E5913=E$1:E5912)))))</f>
        <v> </v>
      </c>
      <c r="L5913" s="26"/>
    </row>
    <row r="5914" spans="1:12">
      <c r="A5914" s="20" t="s">
        <v>1005</v>
      </c>
      <c r="E5914" s="21">
        <f>IF(D5914="?OLD","!!!","")</f>
        <v/>
      </c>
      <c r="F5914" s="22" t="str">
        <f>IF(OR(E5914="",E5914="!!!"),"",IF(NOT(ISNA(VLOOKUP(E5914,E$1:E5913,1,FALSE()))),"OLD",IF(AND(E5914&lt;&gt;"",E5914&lt;&gt;"!!!"),"NEW","")))</f>
        <v> </v>
      </c>
      <c r="G5914" s="23" t="str">
        <f>IF(OR(E5914="",E5914="!!!"),"",IF(OR(J5914=0,AND(J5914=1,K5914=1),AND(J5914=1,I5914="SBJ"),AND(J5914=1,I5914=0)),"?IN_FOCUS",IF(J5914&lt;=2,"?ACTIVATED",IF(J5914&lt;&gt;"","?FAMILIAR",IF(F5914="NEW",IF(ISNA(VLOOKUP(E5914,#REF!,1,FALSE())),"?TYPE_IDENTIFIABLE","?REFERENTIAL"),"_")))))</f>
        <v> </v>
      </c>
      <c r="H5914" s="24" t="str">
        <f>IF(J5914&lt;&gt;1,"",IF(I5914="SBJ","CB","?"))</f>
        <v> </v>
      </c>
      <c r="I5914" s="25" t="str">
        <f>IF(OR(E5914="",E5914="!!!",F5914="NEW"),"",INDEX(B5913:B$2,-1+SUMPRODUCT(MAX(ROW(E5913:E$2)*(E5914=E5913:E$2)))))</f>
        <v> </v>
      </c>
      <c r="J5914" s="25" t="str">
        <f>IF(OR(E5914="",E5914="!!!",F5914="NEW"),"",COUNTBLANK(OFFSET(A$1,,,SUMPRODUCT(MAX(ROW(E$2:E5914)*(E5914=E$2:E5914)))))-COUNTBLANK(OFFSET(A$1,,,SUMPRODUCT(MAX(ROW(E$1:E5913)*(E2=E$1:E5913))))))</f>
        <v> </v>
      </c>
      <c r="K5914" s="25" t="str">
        <f>IF(OR(E5914="",E5914="!!!",F5914="NEW"),"",INDEX(J$1:J5913,SUMPRODUCT(MAX(ROW(E$1:E5913)*(E5914=E$1:E5913)))))</f>
        <v> </v>
      </c>
      <c r="L5914" s="26"/>
    </row>
    <row r="5915" spans="1:12">
      <c r="A5915" s="20" t="s">
        <v>965</v>
      </c>
      <c r="E5915" s="21">
        <f>IF(D5915="?OLD","!!!","")</f>
        <v/>
      </c>
      <c r="F5915" s="22" t="str">
        <f>IF(OR(E5915="",E5915="!!!"),"",IF(NOT(ISNA(VLOOKUP(E5915,E$1:E5914,1,FALSE()))),"OLD",IF(AND(E5915&lt;&gt;"",E5915&lt;&gt;"!!!"),"NEW","")))</f>
        <v> </v>
      </c>
      <c r="G5915" s="23" t="str">
        <f>IF(OR(E5915="",E5915="!!!"),"",IF(OR(J5915=0,AND(J5915=1,K5915=1),AND(J5915=1,I5915="SBJ"),AND(J5915=1,I5915=0)),"?IN_FOCUS",IF(J5915&lt;=2,"?ACTIVATED",IF(J5915&lt;&gt;"","?FAMILIAR",IF(F5915="NEW",IF(ISNA(VLOOKUP(E5915,#REF!,1,FALSE())),"?TYPE_IDENTIFIABLE","?REFERENTIAL"),"_")))))</f>
        <v> </v>
      </c>
      <c r="H5915" s="24" t="str">
        <f>IF(J5915&lt;&gt;1,"",IF(I5915="SBJ","CB","?"))</f>
        <v> </v>
      </c>
      <c r="I5915" s="25" t="str">
        <f>IF(OR(E5915="",E5915="!!!",F5915="NEW"),"",INDEX(B5914:B$2,-1+SUMPRODUCT(MAX(ROW(E5914:E$2)*(E5915=E5914:E$2)))))</f>
        <v> </v>
      </c>
      <c r="J5915" s="25" t="str">
        <f>IF(OR(E5915="",E5915="!!!",F5915="NEW"),"",COUNTBLANK(OFFSET(A$1,,,SUMPRODUCT(MAX(ROW(E$2:E5915)*(E5915=E$2:E5915)))))-COUNTBLANK(OFFSET(A$1,,,SUMPRODUCT(MAX(ROW(E$1:E5914)*(E2=E$1:E5914))))))</f>
        <v> </v>
      </c>
      <c r="K5915" s="25" t="str">
        <f>IF(OR(E5915="",E5915="!!!",F5915="NEW"),"",INDEX(J$1:J5914,SUMPRODUCT(MAX(ROW(E$1:E5914)*(E5915=E$1:E5914)))))</f>
        <v> </v>
      </c>
      <c r="L5915" s="26"/>
    </row>
    <row r="5916" spans="1:12">
      <c r="A5916" s="20"/>
    </row>
    <row r="5917" spans="1:12">
      <c r="A5917" s="20" t="s">
        <v>2541</v>
      </c>
    </row>
    <row r="5918" spans="1:12">
      <c r="A5918" s="20" t="s">
        <v>966</v>
      </c>
      <c r="B5918" s="27" t="s">
        <v>967</v>
      </c>
      <c r="C5918" s="27" t="s">
        <v>968</v>
      </c>
      <c r="D5918" s="27" t="s">
        <v>969</v>
      </c>
      <c r="E5918" s="21">
        <f>IF(D5918="?OLD","!!!","")</f>
        <v/>
      </c>
      <c r="F5918" s="22" t="str">
        <f>IF(OR(E5918="",E5918="!!!"),"",IF(NOT(ISNA(VLOOKUP(E5918,E$1:E5917,1,FALSE()))),"OLD",IF(AND(E5918&lt;&gt;"",E5918&lt;&gt;"!!!"),"NEW","")))</f>
        <v> </v>
      </c>
      <c r="G5918" s="23" t="str">
        <f>IF(OR(E5918="",E5918="!!!"),"",IF(OR(J5918=0,AND(J5918=1,K5918=1),AND(J5918=1,I5918="SBJ"),AND(J5918=1,I5918=0)),"?IN_FOCUS",IF(J5918&lt;=2,"?ACTIVATED",IF(J5918&lt;&gt;"","?FAMILIAR",IF(F5918="NEW",IF(ISNA(VLOOKUP(E5918,#REF!,1,FALSE())),"?TYPE_IDENTIFIABLE","?REFERENTIAL"),"_")))))</f>
        <v> </v>
      </c>
      <c r="H5918" s="24" t="str">
        <f>IF(J5918&lt;&gt;1,"",IF(I5918="SBJ","CB","?"))</f>
        <v> </v>
      </c>
      <c r="I5918" s="25" t="str">
        <f>IF(OR(E5918="",E5918="!!!",F5918="NEW"),"",INDEX(B5917:B$2,-1+SUMPRODUCT(MAX(ROW(E5917:E$2)*(E5918=E5917:E$2)))))</f>
        <v> </v>
      </c>
      <c r="J5918" s="25" t="str">
        <f>IF(OR(E5918="",E5918="!!!",F5918="NEW"),"",COUNTBLANK(OFFSET(A$1,,,SUMPRODUCT(MAX(ROW(E$2:E5918)*(E5918=E$2:E5918)))))-COUNTBLANK(OFFSET(A$1,,,SUMPRODUCT(MAX(ROW(E$1:E5917)*(E2=E$1:E5917))))))</f>
        <v> </v>
      </c>
      <c r="K5918" s="25" t="str">
        <f>IF(OR(E5918="",E5918="!!!",F5918="NEW"),"",INDEX(J$1:J5917,SUMPRODUCT(MAX(ROW(E$1:E5917)*(E5918=E$1:E5917)))))</f>
        <v> </v>
      </c>
      <c r="L5918" s="26"/>
    </row>
    <row r="5919" spans="1:12">
      <c r="A5919" s="20" t="s">
        <v>1352</v>
      </c>
      <c r="E5919" s="21">
        <f>IF(D5919="?OLD","!!!","")</f>
        <v/>
      </c>
      <c r="F5919" s="22" t="str">
        <f>IF(OR(E5919="",E5919="!!!"),"",IF(NOT(ISNA(VLOOKUP(E5919,E$1:E5918,1,FALSE()))),"OLD",IF(AND(E5919&lt;&gt;"",E5919&lt;&gt;"!!!"),"NEW","")))</f>
        <v> </v>
      </c>
      <c r="G5919" s="23" t="str">
        <f>IF(OR(E5919="",E5919="!!!"),"",IF(OR(J5919=0,AND(J5919=1,K5919=1),AND(J5919=1,I5919="SBJ"),AND(J5919=1,I5919=0)),"?IN_FOCUS",IF(J5919&lt;=2,"?ACTIVATED",IF(J5919&lt;&gt;"","?FAMILIAR",IF(F5919="NEW",IF(ISNA(VLOOKUP(E5919,#REF!,1,FALSE())),"?TYPE_IDENTIFIABLE","?REFERENTIAL"),"_")))))</f>
        <v> </v>
      </c>
      <c r="H5919" s="24" t="str">
        <f>IF(J5919&lt;&gt;1,"",IF(I5919="SBJ","CB","?"))</f>
        <v> </v>
      </c>
      <c r="I5919" s="25" t="str">
        <f>IF(OR(E5919="",E5919="!!!",F5919="NEW"),"",INDEX(B5918:B$2,-1+SUMPRODUCT(MAX(ROW(E5918:E$2)*(E5919=E5918:E$2)))))</f>
        <v> </v>
      </c>
      <c r="J5919" s="25" t="str">
        <f>IF(OR(E5919="",E5919="!!!",F5919="NEW"),"",COUNTBLANK(OFFSET(A$1,,,SUMPRODUCT(MAX(ROW(E$2:E5919)*(E5919=E$2:E5919)))))-COUNTBLANK(OFFSET(A$1,,,SUMPRODUCT(MAX(ROW(E$1:E5918)*(E2=E$1:E5918))))))</f>
        <v> </v>
      </c>
      <c r="K5919" s="25" t="str">
        <f>IF(OR(E5919="",E5919="!!!",F5919="NEW"),"",INDEX(J$1:J5918,SUMPRODUCT(MAX(ROW(E$1:E5918)*(E5919=E$1:E5918)))))</f>
        <v> </v>
      </c>
      <c r="L5919" s="26"/>
    </row>
    <row r="5920" spans="1:12">
      <c r="A5920" s="20" t="s">
        <v>1225</v>
      </c>
      <c r="E5920" s="21">
        <f>IF(D5920="?OLD","!!!","")</f>
        <v/>
      </c>
      <c r="F5920" s="22" t="str">
        <f>IF(OR(E5920="",E5920="!!!"),"",IF(NOT(ISNA(VLOOKUP(E5920,E$1:E5919,1,FALSE()))),"OLD",IF(AND(E5920&lt;&gt;"",E5920&lt;&gt;"!!!"),"NEW","")))</f>
        <v> </v>
      </c>
      <c r="G5920" s="23" t="str">
        <f>IF(OR(E5920="",E5920="!!!"),"",IF(OR(J5920=0,AND(J5920=1,K5920=1),AND(J5920=1,I5920="SBJ"),AND(J5920=1,I5920=0)),"?IN_FOCUS",IF(J5920&lt;=2,"?ACTIVATED",IF(J5920&lt;&gt;"","?FAMILIAR",IF(F5920="NEW",IF(ISNA(VLOOKUP(E5920,#REF!,1,FALSE())),"?TYPE_IDENTIFIABLE","?REFERENTIAL"),"_")))))</f>
        <v> </v>
      </c>
      <c r="H5920" s="24" t="str">
        <f>IF(J5920&lt;&gt;1,"",IF(I5920="SBJ","CB","?"))</f>
        <v> </v>
      </c>
      <c r="I5920" s="25" t="str">
        <f>IF(OR(E5920="",E5920="!!!",F5920="NEW"),"",INDEX(B5919:B$2,-1+SUMPRODUCT(MAX(ROW(E5919:E$2)*(E5920=E5919:E$2)))))</f>
        <v> </v>
      </c>
      <c r="J5920" s="25" t="str">
        <f>IF(OR(E5920="",E5920="!!!",F5920="NEW"),"",COUNTBLANK(OFFSET(A$1,,,SUMPRODUCT(MAX(ROW(E$2:E5920)*(E5920=E$2:E5920)))))-COUNTBLANK(OFFSET(A$1,,,SUMPRODUCT(MAX(ROW(E$1:E5919)*(E2=E$1:E5919))))))</f>
        <v> </v>
      </c>
      <c r="K5920" s="25" t="str">
        <f>IF(OR(E5920="",E5920="!!!",F5920="NEW"),"",INDEX(J$1:J5919,SUMPRODUCT(MAX(ROW(E$1:E5919)*(E5920=E$1:E5919)))))</f>
        <v> </v>
      </c>
      <c r="L5920" s="26"/>
    </row>
    <row r="5921" spans="1:12">
      <c r="A5921" s="20" t="s">
        <v>2108</v>
      </c>
      <c r="E5921" s="21">
        <f>IF(D5921="?OLD","!!!","")</f>
        <v/>
      </c>
      <c r="F5921" s="22" t="str">
        <f>IF(OR(E5921="",E5921="!!!"),"",IF(NOT(ISNA(VLOOKUP(E5921,E$1:E5920,1,FALSE()))),"OLD",IF(AND(E5921&lt;&gt;"",E5921&lt;&gt;"!!!"),"NEW","")))</f>
        <v> </v>
      </c>
      <c r="G5921" s="23" t="str">
        <f>IF(OR(E5921="",E5921="!!!"),"",IF(OR(J5921=0,AND(J5921=1,K5921=1),AND(J5921=1,I5921="SBJ"),AND(J5921=1,I5921=0)),"?IN_FOCUS",IF(J5921&lt;=2,"?ACTIVATED",IF(J5921&lt;&gt;"","?FAMILIAR",IF(F5921="NEW",IF(ISNA(VLOOKUP(E5921,#REF!,1,FALSE())),"?TYPE_IDENTIFIABLE","?REFERENTIAL"),"_")))))</f>
        <v> </v>
      </c>
      <c r="H5921" s="24" t="str">
        <f>IF(J5921&lt;&gt;1,"",IF(I5921="SBJ","CB","?"))</f>
        <v> </v>
      </c>
      <c r="I5921" s="25" t="str">
        <f>IF(OR(E5921="",E5921="!!!",F5921="NEW"),"",INDEX(B5920:B$2,-1+SUMPRODUCT(MAX(ROW(E5920:E$2)*(E5921=E5920:E$2)))))</f>
        <v> </v>
      </c>
      <c r="J5921" s="25" t="str">
        <f>IF(OR(E5921="",E5921="!!!",F5921="NEW"),"",COUNTBLANK(OFFSET(A$1,,,SUMPRODUCT(MAX(ROW(E$2:E5921)*(E5921=E$2:E5921)))))-COUNTBLANK(OFFSET(A$1,,,SUMPRODUCT(MAX(ROW(E$1:E5920)*(E2=E$1:E5920))))))</f>
        <v> </v>
      </c>
      <c r="K5921" s="25" t="str">
        <f>IF(OR(E5921="",E5921="!!!",F5921="NEW"),"",INDEX(J$1:J5920,SUMPRODUCT(MAX(ROW(E$1:E5920)*(E5921=E$1:E5920)))))</f>
        <v> </v>
      </c>
      <c r="L5921" s="26"/>
    </row>
    <row r="5922" spans="1:12">
      <c r="A5922" s="20" t="s">
        <v>1733</v>
      </c>
      <c r="E5922" s="21">
        <f>IF(D5922="?OLD","!!!","")</f>
        <v/>
      </c>
      <c r="F5922" s="22" t="str">
        <f>IF(OR(E5922="",E5922="!!!"),"",IF(NOT(ISNA(VLOOKUP(E5922,E$1:E5921,1,FALSE()))),"OLD",IF(AND(E5922&lt;&gt;"",E5922&lt;&gt;"!!!"),"NEW","")))</f>
        <v> </v>
      </c>
      <c r="G5922" s="23" t="str">
        <f>IF(OR(E5922="",E5922="!!!"),"",IF(OR(J5922=0,AND(J5922=1,K5922=1),AND(J5922=1,I5922="SBJ"),AND(J5922=1,I5922=0)),"?IN_FOCUS",IF(J5922&lt;=2,"?ACTIVATED",IF(J5922&lt;&gt;"","?FAMILIAR",IF(F5922="NEW",IF(ISNA(VLOOKUP(E5922,#REF!,1,FALSE())),"?TYPE_IDENTIFIABLE","?REFERENTIAL"),"_")))))</f>
        <v> </v>
      </c>
      <c r="H5922" s="24" t="str">
        <f>IF(J5922&lt;&gt;1,"",IF(I5922="SBJ","CB","?"))</f>
        <v> </v>
      </c>
      <c r="I5922" s="25" t="str">
        <f>IF(OR(E5922="",E5922="!!!",F5922="NEW"),"",INDEX(B5921:B$2,-1+SUMPRODUCT(MAX(ROW(E5921:E$2)*(E5922=E5921:E$2)))))</f>
        <v> </v>
      </c>
      <c r="J5922" s="25" t="str">
        <f>IF(OR(E5922="",E5922="!!!",F5922="NEW"),"",COUNTBLANK(OFFSET(A$1,,,SUMPRODUCT(MAX(ROW(E$2:E5922)*(E5922=E$2:E5922)))))-COUNTBLANK(OFFSET(A$1,,,SUMPRODUCT(MAX(ROW(E$1:E5921)*(E2=E$1:E5921))))))</f>
        <v> </v>
      </c>
      <c r="K5922" s="25" t="str">
        <f>IF(OR(E5922="",E5922="!!!",F5922="NEW"),"",INDEX(J$1:J5921,SUMPRODUCT(MAX(ROW(E$1:E5921)*(E5922=E$1:E5921)))))</f>
        <v> </v>
      </c>
      <c r="L5922" s="26"/>
    </row>
    <row r="5923" spans="1:12">
      <c r="A5923" s="20" t="s">
        <v>1078</v>
      </c>
      <c r="B5923" s="27" t="s">
        <v>1053</v>
      </c>
      <c r="C5923" s="27" t="s">
        <v>1035</v>
      </c>
      <c r="E5923" s="21">
        <f>IF(D5923="?OLD","!!!","")</f>
        <v/>
      </c>
      <c r="F5923" s="22" t="str">
        <f>IF(OR(E5923="",E5923="!!!"),"",IF(NOT(ISNA(VLOOKUP(E5923,E$1:E5922,1,FALSE()))),"OLD",IF(AND(E5923&lt;&gt;"",E5923&lt;&gt;"!!!"),"NEW","")))</f>
        <v> </v>
      </c>
      <c r="G5923" s="23" t="str">
        <f>IF(OR(E5923="",E5923="!!!"),"",IF(OR(J5923=0,AND(J5923=1,K5923=1),AND(J5923=1,I5923="SBJ"),AND(J5923=1,I5923=0)),"?IN_FOCUS",IF(J5923&lt;=2,"?ACTIVATED",IF(J5923&lt;&gt;"","?FAMILIAR",IF(F5923="NEW",IF(ISNA(VLOOKUP(E5923,#REF!,1,FALSE())),"?TYPE_IDENTIFIABLE","?REFERENTIAL"),"_")))))</f>
        <v> </v>
      </c>
      <c r="H5923" s="24" t="str">
        <f>IF(J5923&lt;&gt;1,"",IF(I5923="SBJ","CB","?"))</f>
        <v> </v>
      </c>
      <c r="I5923" s="25" t="str">
        <f>IF(OR(E5923="",E5923="!!!",F5923="NEW"),"",INDEX(B5922:B$2,-1+SUMPRODUCT(MAX(ROW(E5922:E$2)*(E5923=E5922:E$2)))))</f>
        <v> </v>
      </c>
      <c r="J5923" s="25" t="str">
        <f>IF(OR(E5923="",E5923="!!!",F5923="NEW"),"",COUNTBLANK(OFFSET(A$1,,,SUMPRODUCT(MAX(ROW(E$2:E5923)*(E5923=E$2:E5923)))))-COUNTBLANK(OFFSET(A$1,,,SUMPRODUCT(MAX(ROW(E$1:E5922)*(E2=E$1:E5922))))))</f>
        <v> </v>
      </c>
      <c r="K5923" s="25" t="str">
        <f>IF(OR(E5923="",E5923="!!!",F5923="NEW"),"",INDEX(J$1:J5922,SUMPRODUCT(MAX(ROW(E$1:E5922)*(E5923=E$1:E5922)))))</f>
        <v> </v>
      </c>
      <c r="L5923" s="26"/>
    </row>
    <row r="5924" spans="1:12">
      <c r="A5924" s="20" t="s">
        <v>2521</v>
      </c>
      <c r="E5924" s="21">
        <f>IF(D5924="?OLD","!!!","")</f>
        <v/>
      </c>
      <c r="F5924" s="22" t="str">
        <f>IF(OR(E5924="",E5924="!!!"),"",IF(NOT(ISNA(VLOOKUP(E5924,E$1:E5923,1,FALSE()))),"OLD",IF(AND(E5924&lt;&gt;"",E5924&lt;&gt;"!!!"),"NEW","")))</f>
        <v> </v>
      </c>
      <c r="G5924" s="23" t="str">
        <f>IF(OR(E5924="",E5924="!!!"),"",IF(OR(J5924=0,AND(J5924=1,K5924=1),AND(J5924=1,I5924="SBJ"),AND(J5924=1,I5924=0)),"?IN_FOCUS",IF(J5924&lt;=2,"?ACTIVATED",IF(J5924&lt;&gt;"","?FAMILIAR",IF(F5924="NEW",IF(ISNA(VLOOKUP(E5924,#REF!,1,FALSE())),"?TYPE_IDENTIFIABLE","?REFERENTIAL"),"_")))))</f>
        <v> </v>
      </c>
      <c r="H5924" s="24" t="str">
        <f>IF(J5924&lt;&gt;1,"",IF(I5924="SBJ","CB","?"))</f>
        <v> </v>
      </c>
      <c r="I5924" s="25" t="str">
        <f>IF(OR(E5924="",E5924="!!!",F5924="NEW"),"",INDEX(B5923:B$2,-1+SUMPRODUCT(MAX(ROW(E5923:E$2)*(E5924=E5923:E$2)))))</f>
        <v> </v>
      </c>
      <c r="J5924" s="25" t="str">
        <f>IF(OR(E5924="",E5924="!!!",F5924="NEW"),"",COUNTBLANK(OFFSET(A$1,,,SUMPRODUCT(MAX(ROW(E$2:E5924)*(E5924=E$2:E5924)))))-COUNTBLANK(OFFSET(A$1,,,SUMPRODUCT(MAX(ROW(E$1:E5923)*(E2=E$1:E5923))))))</f>
        <v> </v>
      </c>
      <c r="K5924" s="25" t="str">
        <f>IF(OR(E5924="",E5924="!!!",F5924="NEW"),"",INDEX(J$1:J5923,SUMPRODUCT(MAX(ROW(E$1:E5923)*(E5924=E$1:E5923)))))</f>
        <v> </v>
      </c>
      <c r="L5924" s="26"/>
    </row>
    <row r="5925" spans="1:12">
      <c r="A5925" s="20" t="s">
        <v>991</v>
      </c>
      <c r="E5925" s="21">
        <f>IF(D5925="?OLD","!!!","")</f>
        <v/>
      </c>
      <c r="F5925" s="22" t="str">
        <f>IF(OR(E5925="",E5925="!!!"),"",IF(NOT(ISNA(VLOOKUP(E5925,E$1:E5924,1,FALSE()))),"OLD",IF(AND(E5925&lt;&gt;"",E5925&lt;&gt;"!!!"),"NEW","")))</f>
        <v> </v>
      </c>
      <c r="G5925" s="23" t="str">
        <f>IF(OR(E5925="",E5925="!!!"),"",IF(OR(J5925=0,AND(J5925=1,K5925=1),AND(J5925=1,I5925="SBJ"),AND(J5925=1,I5925=0)),"?IN_FOCUS",IF(J5925&lt;=2,"?ACTIVATED",IF(J5925&lt;&gt;"","?FAMILIAR",IF(F5925="NEW",IF(ISNA(VLOOKUP(E5925,#REF!,1,FALSE())),"?TYPE_IDENTIFIABLE","?REFERENTIAL"),"_")))))</f>
        <v> </v>
      </c>
      <c r="H5925" s="24" t="str">
        <f>IF(J5925&lt;&gt;1,"",IF(I5925="SBJ","CB","?"))</f>
        <v> </v>
      </c>
      <c r="I5925" s="25" t="str">
        <f>IF(OR(E5925="",E5925="!!!",F5925="NEW"),"",INDEX(B5924:B$2,-1+SUMPRODUCT(MAX(ROW(E5924:E$2)*(E5925=E5924:E$2)))))</f>
        <v> </v>
      </c>
      <c r="J5925" s="25" t="str">
        <f>IF(OR(E5925="",E5925="!!!",F5925="NEW"),"",COUNTBLANK(OFFSET(A$1,,,SUMPRODUCT(MAX(ROW(E$2:E5925)*(E5925=E$2:E5925)))))-COUNTBLANK(OFFSET(A$1,,,SUMPRODUCT(MAX(ROW(E$1:E5924)*(E2=E$1:E5924))))))</f>
        <v> </v>
      </c>
      <c r="K5925" s="25" t="str">
        <f>IF(OR(E5925="",E5925="!!!",F5925="NEW"),"",INDEX(J$1:J5924,SUMPRODUCT(MAX(ROW(E$1:E5924)*(E5925=E$1:E5924)))))</f>
        <v> </v>
      </c>
      <c r="L5925" s="26"/>
    </row>
    <row r="5926" spans="1:12">
      <c r="A5926" s="20" t="s">
        <v>1432</v>
      </c>
      <c r="B5926" s="27" t="s">
        <v>1010</v>
      </c>
      <c r="C5926" s="27" t="s">
        <v>1011</v>
      </c>
      <c r="D5926" s="27" t="s">
        <v>969</v>
      </c>
      <c r="E5926" s="21">
        <f>IF(D5926="?OLD","!!!","")</f>
        <v/>
      </c>
      <c r="F5926" s="22" t="str">
        <f>IF(OR(E5926="",E5926="!!!"),"",IF(NOT(ISNA(VLOOKUP(E5926,E$1:E5925,1,FALSE()))),"OLD",IF(AND(E5926&lt;&gt;"",E5926&lt;&gt;"!!!"),"NEW","")))</f>
        <v> </v>
      </c>
      <c r="G5926" s="23" t="str">
        <f>IF(OR(E5926="",E5926="!!!"),"",IF(OR(J5926=0,AND(J5926=1,K5926=1),AND(J5926=1,I5926="SBJ"),AND(J5926=1,I5926=0)),"?IN_FOCUS",IF(J5926&lt;=2,"?ACTIVATED",IF(J5926&lt;&gt;"","?FAMILIAR",IF(F5926="NEW",IF(ISNA(VLOOKUP(E5926,#REF!,1,FALSE())),"?TYPE_IDENTIFIABLE","?REFERENTIAL"),"_")))))</f>
        <v> </v>
      </c>
      <c r="H5926" s="24" t="str">
        <f>IF(J5926&lt;&gt;1,"",IF(I5926="SBJ","CB","?"))</f>
        <v> </v>
      </c>
      <c r="I5926" s="25" t="str">
        <f>IF(OR(E5926="",E5926="!!!",F5926="NEW"),"",INDEX(B5925:B$2,-1+SUMPRODUCT(MAX(ROW(E5925:E$2)*(E5926=E5925:E$2)))))</f>
        <v> </v>
      </c>
      <c r="J5926" s="25" t="str">
        <f>IF(OR(E5926="",E5926="!!!",F5926="NEW"),"",COUNTBLANK(OFFSET(A$1,,,SUMPRODUCT(MAX(ROW(E$2:E5926)*(E5926=E$2:E5926)))))-COUNTBLANK(OFFSET(A$1,,,SUMPRODUCT(MAX(ROW(E$1:E5925)*(E2=E$1:E5925))))))</f>
        <v> </v>
      </c>
      <c r="K5926" s="25" t="str">
        <f>IF(OR(E5926="",E5926="!!!",F5926="NEW"),"",INDEX(J$1:J5925,SUMPRODUCT(MAX(ROW(E$1:E5925)*(E5926=E$1:E5925)))))</f>
        <v> </v>
      </c>
      <c r="L5926" s="26"/>
    </row>
    <row r="5927" spans="1:12">
      <c r="A5927" s="20" t="s">
        <v>2542</v>
      </c>
      <c r="E5927" s="21">
        <f>IF(D5927="?OLD","!!!","")</f>
        <v/>
      </c>
      <c r="F5927" s="22" t="str">
        <f>IF(OR(E5927="",E5927="!!!"),"",IF(NOT(ISNA(VLOOKUP(E5927,E$1:E5926,1,FALSE()))),"OLD",IF(AND(E5927&lt;&gt;"",E5927&lt;&gt;"!!!"),"NEW","")))</f>
        <v> </v>
      </c>
      <c r="G5927" s="23" t="str">
        <f>IF(OR(E5927="",E5927="!!!"),"",IF(OR(J5927=0,AND(J5927=1,K5927=1),AND(J5927=1,I5927="SBJ"),AND(J5927=1,I5927=0)),"?IN_FOCUS",IF(J5927&lt;=2,"?ACTIVATED",IF(J5927&lt;&gt;"","?FAMILIAR",IF(F5927="NEW",IF(ISNA(VLOOKUP(E5927,#REF!,1,FALSE())),"?TYPE_IDENTIFIABLE","?REFERENTIAL"),"_")))))</f>
        <v> </v>
      </c>
      <c r="H5927" s="24" t="str">
        <f>IF(J5927&lt;&gt;1,"",IF(I5927="SBJ","CB","?"))</f>
        <v> </v>
      </c>
      <c r="I5927" s="25" t="str">
        <f>IF(OR(E5927="",E5927="!!!",F5927="NEW"),"",INDEX(B5926:B$2,-1+SUMPRODUCT(MAX(ROW(E5926:E$2)*(E5927=E5926:E$2)))))</f>
        <v> </v>
      </c>
      <c r="J5927" s="25" t="str">
        <f>IF(OR(E5927="",E5927="!!!",F5927="NEW"),"",COUNTBLANK(OFFSET(A$1,,,SUMPRODUCT(MAX(ROW(E$2:E5927)*(E5927=E$2:E5927)))))-COUNTBLANK(OFFSET(A$1,,,SUMPRODUCT(MAX(ROW(E$1:E5926)*(E2=E$1:E5926))))))</f>
        <v> </v>
      </c>
      <c r="K5927" s="25" t="str">
        <f>IF(OR(E5927="",E5927="!!!",F5927="NEW"),"",INDEX(J$1:J5926,SUMPRODUCT(MAX(ROW(E$1:E5926)*(E5927=E$1:E5926)))))</f>
        <v> </v>
      </c>
      <c r="L5927" s="26"/>
    </row>
    <row r="5928" spans="1:12">
      <c r="A5928" s="20" t="s">
        <v>1016</v>
      </c>
      <c r="E5928" s="21">
        <f>IF(D5928="?OLD","!!!","")</f>
        <v/>
      </c>
      <c r="F5928" s="22" t="str">
        <f>IF(OR(E5928="",E5928="!!!"),"",IF(NOT(ISNA(VLOOKUP(E5928,E$1:E5927,1,FALSE()))),"OLD",IF(AND(E5928&lt;&gt;"",E5928&lt;&gt;"!!!"),"NEW","")))</f>
        <v> </v>
      </c>
      <c r="G5928" s="23" t="str">
        <f>IF(OR(E5928="",E5928="!!!"),"",IF(OR(J5928=0,AND(J5928=1,K5928=1),AND(J5928=1,I5928="SBJ"),AND(J5928=1,I5928=0)),"?IN_FOCUS",IF(J5928&lt;=2,"?ACTIVATED",IF(J5928&lt;&gt;"","?FAMILIAR",IF(F5928="NEW",IF(ISNA(VLOOKUP(E5928,#REF!,1,FALSE())),"?TYPE_IDENTIFIABLE","?REFERENTIAL"),"_")))))</f>
        <v> </v>
      </c>
      <c r="H5928" s="24" t="str">
        <f>IF(J5928&lt;&gt;1,"",IF(I5928="SBJ","CB","?"))</f>
        <v> </v>
      </c>
      <c r="I5928" s="25" t="str">
        <f>IF(OR(E5928="",E5928="!!!",F5928="NEW"),"",INDEX(B5927:B$2,-1+SUMPRODUCT(MAX(ROW(E5927:E$2)*(E5928=E5927:E$2)))))</f>
        <v> </v>
      </c>
      <c r="J5928" s="25" t="str">
        <f>IF(OR(E5928="",E5928="!!!",F5928="NEW"),"",COUNTBLANK(OFFSET(A$1,,,SUMPRODUCT(MAX(ROW(E$2:E5928)*(E5928=E$2:E5928)))))-COUNTBLANK(OFFSET(A$1,,,SUMPRODUCT(MAX(ROW(E$1:E5927)*(E2=E$1:E5927))))))</f>
        <v> </v>
      </c>
      <c r="K5928" s="25" t="str">
        <f>IF(OR(E5928="",E5928="!!!",F5928="NEW"),"",INDEX(J$1:J5927,SUMPRODUCT(MAX(ROW(E$1:E5927)*(E5928=E$1:E5927)))))</f>
        <v> </v>
      </c>
      <c r="L5928" s="26"/>
    </row>
    <row r="5929" spans="1:12">
      <c r="A5929" s="20" t="s">
        <v>2543</v>
      </c>
      <c r="B5929" s="27" t="s">
        <v>1013</v>
      </c>
      <c r="C5929" s="27" t="s">
        <v>1018</v>
      </c>
      <c r="E5929" s="21">
        <f>IF(D5929="?OLD","!!!","")</f>
        <v/>
      </c>
      <c r="F5929" s="22" t="str">
        <f>IF(OR(E5929="",E5929="!!!"),"",IF(NOT(ISNA(VLOOKUP(E5929,E$1:E5928,1,FALSE()))),"OLD",IF(AND(E5929&lt;&gt;"",E5929&lt;&gt;"!!!"),"NEW","")))</f>
        <v> </v>
      </c>
      <c r="G5929" s="23" t="str">
        <f>IF(OR(E5929="",E5929="!!!"),"",IF(OR(J5929=0,AND(J5929=1,K5929=1),AND(J5929=1,I5929="SBJ"),AND(J5929=1,I5929=0)),"?IN_FOCUS",IF(J5929&lt;=2,"?ACTIVATED",IF(J5929&lt;&gt;"","?FAMILIAR",IF(F5929="NEW",IF(ISNA(VLOOKUP(E5929,#REF!,1,FALSE())),"?TYPE_IDENTIFIABLE","?REFERENTIAL"),"_")))))</f>
        <v> </v>
      </c>
      <c r="H5929" s="24" t="str">
        <f>IF(J5929&lt;&gt;1,"",IF(I5929="SBJ","CB","?"))</f>
        <v> </v>
      </c>
      <c r="I5929" s="25" t="str">
        <f>IF(OR(E5929="",E5929="!!!",F5929="NEW"),"",INDEX(B5928:B$2,-1+SUMPRODUCT(MAX(ROW(E5928:E$2)*(E5929=E5928:E$2)))))</f>
        <v> </v>
      </c>
      <c r="J5929" s="25" t="str">
        <f>IF(OR(E5929="",E5929="!!!",F5929="NEW"),"",COUNTBLANK(OFFSET(A$1,,,SUMPRODUCT(MAX(ROW(E$2:E5929)*(E5929=E$2:E5929)))))-COUNTBLANK(OFFSET(A$1,,,SUMPRODUCT(MAX(ROW(E$1:E5928)*(E2=E$1:E5928))))))</f>
        <v> </v>
      </c>
      <c r="K5929" s="25" t="str">
        <f>IF(OR(E5929="",E5929="!!!",F5929="NEW"),"",INDEX(J$1:J5928,SUMPRODUCT(MAX(ROW(E$1:E5928)*(E5929=E$1:E5928)))))</f>
        <v> </v>
      </c>
      <c r="L5929" s="26"/>
    </row>
    <row r="5930" spans="1:12">
      <c r="A5930" s="20" t="s">
        <v>37</v>
      </c>
      <c r="E5930" s="21">
        <f>IF(D5930="?OLD","!!!","")</f>
        <v/>
      </c>
      <c r="F5930" s="22" t="str">
        <f>IF(OR(E5930="",E5930="!!!"),"",IF(NOT(ISNA(VLOOKUP(E5930,E$1:E5929,1,FALSE()))),"OLD",IF(AND(E5930&lt;&gt;"",E5930&lt;&gt;"!!!"),"NEW","")))</f>
        <v> </v>
      </c>
      <c r="G5930" s="23" t="str">
        <f>IF(OR(E5930="",E5930="!!!"),"",IF(OR(J5930=0,AND(J5930=1,K5930=1),AND(J5930=1,I5930="SBJ"),AND(J5930=1,I5930=0)),"?IN_FOCUS",IF(J5930&lt;=2,"?ACTIVATED",IF(J5930&lt;&gt;"","?FAMILIAR",IF(F5930="NEW",IF(ISNA(VLOOKUP(E5930,#REF!,1,FALSE())),"?TYPE_IDENTIFIABLE","?REFERENTIAL"),"_")))))</f>
        <v> </v>
      </c>
      <c r="H5930" s="24" t="str">
        <f>IF(J5930&lt;&gt;1,"",IF(I5930="SBJ","CB","?"))</f>
        <v> </v>
      </c>
      <c r="I5930" s="25" t="str">
        <f>IF(OR(E5930="",E5930="!!!",F5930="NEW"),"",INDEX(B5929:B$2,-1+SUMPRODUCT(MAX(ROW(E5929:E$2)*(E5930=E5929:E$2)))))</f>
        <v> </v>
      </c>
      <c r="J5930" s="25" t="str">
        <f>IF(OR(E5930="",E5930="!!!",F5930="NEW"),"",COUNTBLANK(OFFSET(A$1,,,SUMPRODUCT(MAX(ROW(E$2:E5930)*(E5930=E$2:E5930)))))-COUNTBLANK(OFFSET(A$1,,,SUMPRODUCT(MAX(ROW(E$1:E5929)*(E2=E$1:E5929))))))</f>
        <v> </v>
      </c>
      <c r="K5930" s="25" t="str">
        <f>IF(OR(E5930="",E5930="!!!",F5930="NEW"),"",INDEX(J$1:J5929,SUMPRODUCT(MAX(ROW(E$1:E5929)*(E5930=E$1:E5929)))))</f>
        <v> </v>
      </c>
      <c r="L5930" s="26"/>
    </row>
    <row r="5931" spans="1:12">
      <c r="A5931" s="20" t="s">
        <v>1454</v>
      </c>
      <c r="E5931" s="21">
        <f>IF(D5931="?OLD","!!!","")</f>
        <v/>
      </c>
      <c r="F5931" s="22" t="str">
        <f>IF(OR(E5931="",E5931="!!!"),"",IF(NOT(ISNA(VLOOKUP(E5931,E$1:E5930,1,FALSE()))),"OLD",IF(AND(E5931&lt;&gt;"",E5931&lt;&gt;"!!!"),"NEW","")))</f>
        <v> </v>
      </c>
      <c r="G5931" s="23" t="str">
        <f>IF(OR(E5931="",E5931="!!!"),"",IF(OR(J5931=0,AND(J5931=1,K5931=1),AND(J5931=1,I5931="SBJ"),AND(J5931=1,I5931=0)),"?IN_FOCUS",IF(J5931&lt;=2,"?ACTIVATED",IF(J5931&lt;&gt;"","?FAMILIAR",IF(F5931="NEW",IF(ISNA(VLOOKUP(E5931,#REF!,1,FALSE())),"?TYPE_IDENTIFIABLE","?REFERENTIAL"),"_")))))</f>
        <v> </v>
      </c>
      <c r="H5931" s="24" t="str">
        <f>IF(J5931&lt;&gt;1,"",IF(I5931="SBJ","CB","?"))</f>
        <v> </v>
      </c>
      <c r="I5931" s="25" t="str">
        <f>IF(OR(E5931="",E5931="!!!",F5931="NEW"),"",INDEX(B5930:B$2,-1+SUMPRODUCT(MAX(ROW(E5930:E$2)*(E5931=E5930:E$2)))))</f>
        <v> </v>
      </c>
      <c r="J5931" s="25" t="str">
        <f>IF(OR(E5931="",E5931="!!!",F5931="NEW"),"",COUNTBLANK(OFFSET(A$1,,,SUMPRODUCT(MAX(ROW(E$2:E5931)*(E5931=E$2:E5931)))))-COUNTBLANK(OFFSET(A$1,,,SUMPRODUCT(MAX(ROW(E$1:E5930)*(E2=E$1:E5930))))))</f>
        <v> </v>
      </c>
      <c r="K5931" s="25" t="str">
        <f>IF(OR(E5931="",E5931="!!!",F5931="NEW"),"",INDEX(J$1:J5930,SUMPRODUCT(MAX(ROW(E$1:E5930)*(E5931=E$1:E5930)))))</f>
        <v> </v>
      </c>
      <c r="L5931" s="26"/>
    </row>
    <row r="5932" spans="1:12">
      <c r="A5932" s="20" t="s">
        <v>991</v>
      </c>
      <c r="E5932" s="21">
        <f>IF(D5932="?OLD","!!!","")</f>
        <v/>
      </c>
      <c r="F5932" s="22" t="str">
        <f>IF(OR(E5932="",E5932="!!!"),"",IF(NOT(ISNA(VLOOKUP(E5932,E$1:E5931,1,FALSE()))),"OLD",IF(AND(E5932&lt;&gt;"",E5932&lt;&gt;"!!!"),"NEW","")))</f>
        <v> </v>
      </c>
      <c r="G5932" s="23" t="str">
        <f>IF(OR(E5932="",E5932="!!!"),"",IF(OR(J5932=0,AND(J5932=1,K5932=1),AND(J5932=1,I5932="SBJ"),AND(J5932=1,I5932=0)),"?IN_FOCUS",IF(J5932&lt;=2,"?ACTIVATED",IF(J5932&lt;&gt;"","?FAMILIAR",IF(F5932="NEW",IF(ISNA(VLOOKUP(E5932,#REF!,1,FALSE())),"?TYPE_IDENTIFIABLE","?REFERENTIAL"),"_")))))</f>
        <v> </v>
      </c>
      <c r="H5932" s="24" t="str">
        <f>IF(J5932&lt;&gt;1,"",IF(I5932="SBJ","CB","?"))</f>
        <v> </v>
      </c>
      <c r="I5932" s="25" t="str">
        <f>IF(OR(E5932="",E5932="!!!",F5932="NEW"),"",INDEX(B5931:B$2,-1+SUMPRODUCT(MAX(ROW(E5931:E$2)*(E5932=E5931:E$2)))))</f>
        <v> </v>
      </c>
      <c r="J5932" s="25" t="str">
        <f>IF(OR(E5932="",E5932="!!!",F5932="NEW"),"",COUNTBLANK(OFFSET(A$1,,,SUMPRODUCT(MAX(ROW(E$2:E5932)*(E5932=E$2:E5932)))))-COUNTBLANK(OFFSET(A$1,,,SUMPRODUCT(MAX(ROW(E$1:E5931)*(E2=E$1:E5931))))))</f>
        <v> </v>
      </c>
      <c r="K5932" s="25" t="str">
        <f>IF(OR(E5932="",E5932="!!!",F5932="NEW"),"",INDEX(J$1:J5931,SUMPRODUCT(MAX(ROW(E$1:E5931)*(E5932=E$1:E5931)))))</f>
        <v> </v>
      </c>
      <c r="L5932" s="26"/>
    </row>
    <row r="5933" spans="1:12">
      <c r="A5933" s="20" t="s">
        <v>1214</v>
      </c>
      <c r="E5933" s="21">
        <f>IF(D5933="?OLD","!!!","")</f>
        <v/>
      </c>
      <c r="F5933" s="22" t="str">
        <f>IF(OR(E5933="",E5933="!!!"),"",IF(NOT(ISNA(VLOOKUP(E5933,E$1:E5932,1,FALSE()))),"OLD",IF(AND(E5933&lt;&gt;"",E5933&lt;&gt;"!!!"),"NEW","")))</f>
        <v> </v>
      </c>
      <c r="G5933" s="23" t="str">
        <f>IF(OR(E5933="",E5933="!!!"),"",IF(OR(J5933=0,AND(J5933=1,K5933=1),AND(J5933=1,I5933="SBJ"),AND(J5933=1,I5933=0)),"?IN_FOCUS",IF(J5933&lt;=2,"?ACTIVATED",IF(J5933&lt;&gt;"","?FAMILIAR",IF(F5933="NEW",IF(ISNA(VLOOKUP(E5933,#REF!,1,FALSE())),"?TYPE_IDENTIFIABLE","?REFERENTIAL"),"_")))))</f>
        <v> </v>
      </c>
      <c r="H5933" s="24" t="str">
        <f>IF(J5933&lt;&gt;1,"",IF(I5933="SBJ","CB","?"))</f>
        <v> </v>
      </c>
      <c r="I5933" s="25" t="str">
        <f>IF(OR(E5933="",E5933="!!!",F5933="NEW"),"",INDEX(B5932:B$2,-1+SUMPRODUCT(MAX(ROW(E5932:E$2)*(E5933=E5932:E$2)))))</f>
        <v> </v>
      </c>
      <c r="J5933" s="25" t="str">
        <f>IF(OR(E5933="",E5933="!!!",F5933="NEW"),"",COUNTBLANK(OFFSET(A$1,,,SUMPRODUCT(MAX(ROW(E$2:E5933)*(E5933=E$2:E5933)))))-COUNTBLANK(OFFSET(A$1,,,SUMPRODUCT(MAX(ROW(E$1:E5932)*(E2=E$1:E5932))))))</f>
        <v> </v>
      </c>
      <c r="K5933" s="25" t="str">
        <f>IF(OR(E5933="",E5933="!!!",F5933="NEW"),"",INDEX(J$1:J5932,SUMPRODUCT(MAX(ROW(E$1:E5932)*(E5933=E$1:E5932)))))</f>
        <v> </v>
      </c>
      <c r="L5933" s="26"/>
    </row>
    <row r="5934" spans="1:12">
      <c r="A5934" s="20" t="s">
        <v>1009</v>
      </c>
      <c r="B5934" s="27" t="s">
        <v>994</v>
      </c>
      <c r="C5934" s="27" t="s">
        <v>1011</v>
      </c>
      <c r="D5934" s="27" t="s">
        <v>969</v>
      </c>
      <c r="E5934" s="21">
        <f>IF(D5934="?OLD","!!!","")</f>
        <v/>
      </c>
      <c r="F5934" s="22" t="str">
        <f>IF(OR(E5934="",E5934="!!!"),"",IF(NOT(ISNA(VLOOKUP(E5934,E$1:E5933,1,FALSE()))),"OLD",IF(AND(E5934&lt;&gt;"",E5934&lt;&gt;"!!!"),"NEW","")))</f>
        <v> </v>
      </c>
      <c r="G5934" s="23" t="str">
        <f>IF(OR(E5934="",E5934="!!!"),"",IF(OR(J5934=0,AND(J5934=1,K5934=1),AND(J5934=1,I5934="SBJ"),AND(J5934=1,I5934=0)),"?IN_FOCUS",IF(J5934&lt;=2,"?ACTIVATED",IF(J5934&lt;&gt;"","?FAMILIAR",IF(F5934="NEW",IF(ISNA(VLOOKUP(E5934,#REF!,1,FALSE())),"?TYPE_IDENTIFIABLE","?REFERENTIAL"),"_")))))</f>
        <v> </v>
      </c>
      <c r="H5934" s="24" t="str">
        <f>IF(J5934&lt;&gt;1,"",IF(I5934="SBJ","CB","?"))</f>
        <v> </v>
      </c>
      <c r="I5934" s="25" t="str">
        <f>IF(OR(E5934="",E5934="!!!",F5934="NEW"),"",INDEX(B5933:B$2,-1+SUMPRODUCT(MAX(ROW(E5933:E$2)*(E5934=E5933:E$2)))))</f>
        <v> </v>
      </c>
      <c r="J5934" s="25" t="str">
        <f>IF(OR(E5934="",E5934="!!!",F5934="NEW"),"",COUNTBLANK(OFFSET(A$1,,,SUMPRODUCT(MAX(ROW(E$2:E5934)*(E5934=E$2:E5934)))))-COUNTBLANK(OFFSET(A$1,,,SUMPRODUCT(MAX(ROW(E$1:E5933)*(E2=E$1:E5933))))))</f>
        <v> </v>
      </c>
      <c r="K5934" s="25" t="str">
        <f>IF(OR(E5934="",E5934="!!!",F5934="NEW"),"",INDEX(J$1:J5933,SUMPRODUCT(MAX(ROW(E$1:E5933)*(E5934=E$1:E5933)))))</f>
        <v> </v>
      </c>
      <c r="L5934" s="26"/>
    </row>
    <row r="5935" spans="1:12">
      <c r="A5935" s="20" t="s">
        <v>2544</v>
      </c>
      <c r="E5935" s="21">
        <f>IF(D5935="?OLD","!!!","")</f>
        <v/>
      </c>
      <c r="F5935" s="22" t="str">
        <f>IF(OR(E5935="",E5935="!!!"),"",IF(NOT(ISNA(VLOOKUP(E5935,E$1:E5934,1,FALSE()))),"OLD",IF(AND(E5935&lt;&gt;"",E5935&lt;&gt;"!!!"),"NEW","")))</f>
        <v> </v>
      </c>
      <c r="G5935" s="23" t="str">
        <f>IF(OR(E5935="",E5935="!!!"),"",IF(OR(J5935=0,AND(J5935=1,K5935=1),AND(J5935=1,I5935="SBJ"),AND(J5935=1,I5935=0)),"?IN_FOCUS",IF(J5935&lt;=2,"?ACTIVATED",IF(J5935&lt;&gt;"","?FAMILIAR",IF(F5935="NEW",IF(ISNA(VLOOKUP(E5935,#REF!,1,FALSE())),"?TYPE_IDENTIFIABLE","?REFERENTIAL"),"_")))))</f>
        <v> </v>
      </c>
      <c r="H5935" s="24" t="str">
        <f>IF(J5935&lt;&gt;1,"",IF(I5935="SBJ","CB","?"))</f>
        <v> </v>
      </c>
      <c r="I5935" s="25" t="str">
        <f>IF(OR(E5935="",E5935="!!!",F5935="NEW"),"",INDEX(B5934:B$2,-1+SUMPRODUCT(MAX(ROW(E5934:E$2)*(E5935=E5934:E$2)))))</f>
        <v> </v>
      </c>
      <c r="J5935" s="25" t="str">
        <f>IF(OR(E5935="",E5935="!!!",F5935="NEW"),"",COUNTBLANK(OFFSET(A$1,,,SUMPRODUCT(MAX(ROW(E$2:E5935)*(E5935=E$2:E5935)))))-COUNTBLANK(OFFSET(A$1,,,SUMPRODUCT(MAX(ROW(E$1:E5934)*(E2=E$1:E5934))))))</f>
        <v> </v>
      </c>
      <c r="K5935" s="25" t="str">
        <f>IF(OR(E5935="",E5935="!!!",F5935="NEW"),"",INDEX(J$1:J5934,SUMPRODUCT(MAX(ROW(E$1:E5934)*(E5935=E$1:E5934)))))</f>
        <v> </v>
      </c>
      <c r="L5935" s="26"/>
    </row>
    <row r="5936" spans="1:12">
      <c r="A5936" s="20" t="s">
        <v>37</v>
      </c>
      <c r="E5936" s="21">
        <f>IF(D5936="?OLD","!!!","")</f>
        <v/>
      </c>
      <c r="F5936" s="22" t="str">
        <f>IF(OR(E5936="",E5936="!!!"),"",IF(NOT(ISNA(VLOOKUP(E5936,E$1:E5935,1,FALSE()))),"OLD",IF(AND(E5936&lt;&gt;"",E5936&lt;&gt;"!!!"),"NEW","")))</f>
        <v> </v>
      </c>
      <c r="G5936" s="23" t="str">
        <f>IF(OR(E5936="",E5936="!!!"),"",IF(OR(J5936=0,AND(J5936=1,K5936=1),AND(J5936=1,I5936="SBJ"),AND(J5936=1,I5936=0)),"?IN_FOCUS",IF(J5936&lt;=2,"?ACTIVATED",IF(J5936&lt;&gt;"","?FAMILIAR",IF(F5936="NEW",IF(ISNA(VLOOKUP(E5936,#REF!,1,FALSE())),"?TYPE_IDENTIFIABLE","?REFERENTIAL"),"_")))))</f>
        <v> </v>
      </c>
      <c r="H5936" s="24" t="str">
        <f>IF(J5936&lt;&gt;1,"",IF(I5936="SBJ","CB","?"))</f>
        <v> </v>
      </c>
      <c r="I5936" s="25" t="str">
        <f>IF(OR(E5936="",E5936="!!!",F5936="NEW"),"",INDEX(B5935:B$2,-1+SUMPRODUCT(MAX(ROW(E5935:E$2)*(E5936=E5935:E$2)))))</f>
        <v> </v>
      </c>
      <c r="J5936" s="25" t="str">
        <f>IF(OR(E5936="",E5936="!!!",F5936="NEW"),"",COUNTBLANK(OFFSET(A$1,,,SUMPRODUCT(MAX(ROW(E$2:E5936)*(E5936=E$2:E5936)))))-COUNTBLANK(OFFSET(A$1,,,SUMPRODUCT(MAX(ROW(E$1:E5935)*(E2=E$1:E5935))))))</f>
        <v> </v>
      </c>
      <c r="K5936" s="25" t="str">
        <f>IF(OR(E5936="",E5936="!!!",F5936="NEW"),"",INDEX(J$1:J5935,SUMPRODUCT(MAX(ROW(E$1:E5935)*(E5936=E$1:E5935)))))</f>
        <v> </v>
      </c>
      <c r="L5936" s="26"/>
    </row>
    <row r="5937" spans="1:12">
      <c r="A5937" s="20" t="s">
        <v>1454</v>
      </c>
      <c r="E5937" s="21">
        <f>IF(D5937="?OLD","!!!","")</f>
        <v/>
      </c>
      <c r="F5937" s="22" t="str">
        <f>IF(OR(E5937="",E5937="!!!"),"",IF(NOT(ISNA(VLOOKUP(E5937,E$1:E5936,1,FALSE()))),"OLD",IF(AND(E5937&lt;&gt;"",E5937&lt;&gt;"!!!"),"NEW","")))</f>
        <v> </v>
      </c>
      <c r="G5937" s="23" t="str">
        <f>IF(OR(E5937="",E5937="!!!"),"",IF(OR(J5937=0,AND(J5937=1,K5937=1),AND(J5937=1,I5937="SBJ"),AND(J5937=1,I5937=0)),"?IN_FOCUS",IF(J5937&lt;=2,"?ACTIVATED",IF(J5937&lt;&gt;"","?FAMILIAR",IF(F5937="NEW",IF(ISNA(VLOOKUP(E5937,#REF!,1,FALSE())),"?TYPE_IDENTIFIABLE","?REFERENTIAL"),"_")))))</f>
        <v> </v>
      </c>
      <c r="H5937" s="24" t="str">
        <f>IF(J5937&lt;&gt;1,"",IF(I5937="SBJ","CB","?"))</f>
        <v> </v>
      </c>
      <c r="I5937" s="25" t="str">
        <f>IF(OR(E5937="",E5937="!!!",F5937="NEW"),"",INDEX(B5936:B$2,-1+SUMPRODUCT(MAX(ROW(E5936:E$2)*(E5937=E5936:E$2)))))</f>
        <v> </v>
      </c>
      <c r="J5937" s="25" t="str">
        <f>IF(OR(E5937="",E5937="!!!",F5937="NEW"),"",COUNTBLANK(OFFSET(A$1,,,SUMPRODUCT(MAX(ROW(E$2:E5937)*(E5937=E$2:E5937)))))-COUNTBLANK(OFFSET(A$1,,,SUMPRODUCT(MAX(ROW(E$1:E5936)*(E2=E$1:E5936))))))</f>
        <v> </v>
      </c>
      <c r="K5937" s="25" t="str">
        <f>IF(OR(E5937="",E5937="!!!",F5937="NEW"),"",INDEX(J$1:J5936,SUMPRODUCT(MAX(ROW(E$1:E5936)*(E5937=E$1:E5936)))))</f>
        <v> </v>
      </c>
      <c r="L5937" s="26"/>
    </row>
    <row r="5938" spans="1:12">
      <c r="A5938" s="20" t="s">
        <v>1046</v>
      </c>
      <c r="E5938" s="21">
        <f>IF(D5938="?OLD","!!!","")</f>
        <v/>
      </c>
      <c r="F5938" s="22" t="str">
        <f>IF(OR(E5938="",E5938="!!!"),"",IF(NOT(ISNA(VLOOKUP(E5938,E$1:E5937,1,FALSE()))),"OLD",IF(AND(E5938&lt;&gt;"",E5938&lt;&gt;"!!!"),"NEW","")))</f>
        <v> </v>
      </c>
      <c r="G5938" s="23" t="str">
        <f>IF(OR(E5938="",E5938="!!!"),"",IF(OR(J5938=0,AND(J5938=1,K5938=1),AND(J5938=1,I5938="SBJ"),AND(J5938=1,I5938=0)),"?IN_FOCUS",IF(J5938&lt;=2,"?ACTIVATED",IF(J5938&lt;&gt;"","?FAMILIAR",IF(F5938="NEW",IF(ISNA(VLOOKUP(E5938,#REF!,1,FALSE())),"?TYPE_IDENTIFIABLE","?REFERENTIAL"),"_")))))</f>
        <v> </v>
      </c>
      <c r="H5938" s="24" t="str">
        <f>IF(J5938&lt;&gt;1,"",IF(I5938="SBJ","CB","?"))</f>
        <v> </v>
      </c>
      <c r="I5938" s="25" t="str">
        <f>IF(OR(E5938="",E5938="!!!",F5938="NEW"),"",INDEX(B5937:B$2,-1+SUMPRODUCT(MAX(ROW(E5937:E$2)*(E5938=E5937:E$2)))))</f>
        <v> </v>
      </c>
      <c r="J5938" s="25" t="str">
        <f>IF(OR(E5938="",E5938="!!!",F5938="NEW"),"",COUNTBLANK(OFFSET(A$1,,,SUMPRODUCT(MAX(ROW(E$2:E5938)*(E5938=E$2:E5938)))))-COUNTBLANK(OFFSET(A$1,,,SUMPRODUCT(MAX(ROW(E$1:E5937)*(E2=E$1:E5937))))))</f>
        <v> </v>
      </c>
      <c r="K5938" s="25" t="str">
        <f>IF(OR(E5938="",E5938="!!!",F5938="NEW"),"",INDEX(J$1:J5937,SUMPRODUCT(MAX(ROW(E$1:E5937)*(E5938=E$1:E5937)))))</f>
        <v> </v>
      </c>
      <c r="L5938" s="26"/>
    </row>
    <row r="5939" spans="1:12">
      <c r="A5939" s="20" t="s">
        <v>2545</v>
      </c>
      <c r="B5939" s="27" t="s">
        <v>978</v>
      </c>
      <c r="C5939" s="27" t="s">
        <v>974</v>
      </c>
      <c r="E5939" s="21">
        <f>IF(D5939="?OLD","!!!","")</f>
        <v/>
      </c>
      <c r="F5939" s="22" t="str">
        <f>IF(OR(E5939="",E5939="!!!"),"",IF(NOT(ISNA(VLOOKUP(E5939,E$1:E5938,1,FALSE()))),"OLD",IF(AND(E5939&lt;&gt;"",E5939&lt;&gt;"!!!"),"NEW","")))</f>
        <v> </v>
      </c>
      <c r="G5939" s="23" t="str">
        <f>IF(OR(E5939="",E5939="!!!"),"",IF(OR(J5939=0,AND(J5939=1,K5939=1),AND(J5939=1,I5939="SBJ"),AND(J5939=1,I5939=0)),"?IN_FOCUS",IF(J5939&lt;=2,"?ACTIVATED",IF(J5939&lt;&gt;"","?FAMILIAR",IF(F5939="NEW",IF(ISNA(VLOOKUP(E5939,#REF!,1,FALSE())),"?TYPE_IDENTIFIABLE","?REFERENTIAL"),"_")))))</f>
        <v> </v>
      </c>
      <c r="H5939" s="24" t="str">
        <f>IF(J5939&lt;&gt;1,"",IF(I5939="SBJ","CB","?"))</f>
        <v> </v>
      </c>
      <c r="I5939" s="25" t="str">
        <f>IF(OR(E5939="",E5939="!!!",F5939="NEW"),"",INDEX(B5938:B$2,-1+SUMPRODUCT(MAX(ROW(E5938:E$2)*(E5939=E5938:E$2)))))</f>
        <v> </v>
      </c>
      <c r="J5939" s="25" t="str">
        <f>IF(OR(E5939="",E5939="!!!",F5939="NEW"),"",COUNTBLANK(OFFSET(A$1,,,SUMPRODUCT(MAX(ROW(E$2:E5939)*(E5939=E$2:E5939)))))-COUNTBLANK(OFFSET(A$1,,,SUMPRODUCT(MAX(ROW(E$1:E5938)*(E2=E$1:E5938))))))</f>
        <v> </v>
      </c>
      <c r="K5939" s="25" t="str">
        <f>IF(OR(E5939="",E5939="!!!",F5939="NEW"),"",INDEX(J$1:J5938,SUMPRODUCT(MAX(ROW(E$1:E5938)*(E5939=E$1:E5938)))))</f>
        <v> </v>
      </c>
      <c r="L5939" s="26"/>
    </row>
    <row r="5940" spans="1:12">
      <c r="A5940" s="20" t="s">
        <v>991</v>
      </c>
      <c r="E5940" s="21">
        <f>IF(D5940="?OLD","!!!","")</f>
        <v/>
      </c>
      <c r="F5940" s="22" t="str">
        <f>IF(OR(E5940="",E5940="!!!"),"",IF(NOT(ISNA(VLOOKUP(E5940,E$1:E5939,1,FALSE()))),"OLD",IF(AND(E5940&lt;&gt;"",E5940&lt;&gt;"!!!"),"NEW","")))</f>
        <v> </v>
      </c>
      <c r="G5940" s="23" t="str">
        <f>IF(OR(E5940="",E5940="!!!"),"",IF(OR(J5940=0,AND(J5940=1,K5940=1),AND(J5940=1,I5940="SBJ"),AND(J5940=1,I5940=0)),"?IN_FOCUS",IF(J5940&lt;=2,"?ACTIVATED",IF(J5940&lt;&gt;"","?FAMILIAR",IF(F5940="NEW",IF(ISNA(VLOOKUP(E5940,#REF!,1,FALSE())),"?TYPE_IDENTIFIABLE","?REFERENTIAL"),"_")))))</f>
        <v> </v>
      </c>
      <c r="H5940" s="24" t="str">
        <f>IF(J5940&lt;&gt;1,"",IF(I5940="SBJ","CB","?"))</f>
        <v> </v>
      </c>
      <c r="I5940" s="25" t="str">
        <f>IF(OR(E5940="",E5940="!!!",F5940="NEW"),"",INDEX(B5939:B$2,-1+SUMPRODUCT(MAX(ROW(E5939:E$2)*(E5940=E5939:E$2)))))</f>
        <v> </v>
      </c>
      <c r="J5940" s="25" t="str">
        <f>IF(OR(E5940="",E5940="!!!",F5940="NEW"),"",COUNTBLANK(OFFSET(A$1,,,SUMPRODUCT(MAX(ROW(E$2:E5940)*(E5940=E$2:E5940)))))-COUNTBLANK(OFFSET(A$1,,,SUMPRODUCT(MAX(ROW(E$1:E5939)*(E2=E$1:E5939))))))</f>
        <v> </v>
      </c>
      <c r="K5940" s="25" t="str">
        <f>IF(OR(E5940="",E5940="!!!",F5940="NEW"),"",INDEX(J$1:J5939,SUMPRODUCT(MAX(ROW(E$1:E5939)*(E5940=E$1:E5939)))))</f>
        <v> </v>
      </c>
      <c r="L5940" s="26"/>
    </row>
    <row r="5941" spans="1:12">
      <c r="A5941" s="20" t="s">
        <v>980</v>
      </c>
      <c r="E5941" s="21">
        <f>IF(D5941="?OLD","!!!","")</f>
        <v/>
      </c>
      <c r="F5941" s="22" t="str">
        <f>IF(OR(E5941="",E5941="!!!"),"",IF(NOT(ISNA(VLOOKUP(E5941,E$1:E5940,1,FALSE()))),"OLD",IF(AND(E5941&lt;&gt;"",E5941&lt;&gt;"!!!"),"NEW","")))</f>
        <v> </v>
      </c>
      <c r="G5941" s="23" t="str">
        <f>IF(OR(E5941="",E5941="!!!"),"",IF(OR(J5941=0,AND(J5941=1,K5941=1),AND(J5941=1,I5941="SBJ"),AND(J5941=1,I5941=0)),"?IN_FOCUS",IF(J5941&lt;=2,"?ACTIVATED",IF(J5941&lt;&gt;"","?FAMILIAR",IF(F5941="NEW",IF(ISNA(VLOOKUP(E5941,#REF!,1,FALSE())),"?TYPE_IDENTIFIABLE","?REFERENTIAL"),"_")))))</f>
        <v> </v>
      </c>
      <c r="H5941" s="24" t="str">
        <f>IF(J5941&lt;&gt;1,"",IF(I5941="SBJ","CB","?"))</f>
        <v> </v>
      </c>
      <c r="I5941" s="25" t="str">
        <f>IF(OR(E5941="",E5941="!!!",F5941="NEW"),"",INDEX(B5940:B$2,-1+SUMPRODUCT(MAX(ROW(E5940:E$2)*(E5941=E5940:E$2)))))</f>
        <v> </v>
      </c>
      <c r="J5941" s="25" t="str">
        <f>IF(OR(E5941="",E5941="!!!",F5941="NEW"),"",COUNTBLANK(OFFSET(A$1,,,SUMPRODUCT(MAX(ROW(E$2:E5941)*(E5941=E$2:E5941)))))-COUNTBLANK(OFFSET(A$1,,,SUMPRODUCT(MAX(ROW(E$1:E5940)*(E2=E$1:E5940))))))</f>
        <v> </v>
      </c>
      <c r="K5941" s="25" t="str">
        <f>IF(OR(E5941="",E5941="!!!",F5941="NEW"),"",INDEX(J$1:J5940,SUMPRODUCT(MAX(ROW(E$1:E5940)*(E5941=E$1:E5940)))))</f>
        <v> </v>
      </c>
      <c r="L5941" s="26"/>
    </row>
    <row r="5942" spans="1:12">
      <c r="A5942" s="20" t="s">
        <v>993</v>
      </c>
      <c r="B5942" s="27" t="s">
        <v>994</v>
      </c>
      <c r="C5942" s="27" t="s">
        <v>968</v>
      </c>
      <c r="D5942" s="27" t="s">
        <v>969</v>
      </c>
      <c r="E5942" s="21">
        <f>IF(D5942="?OLD","!!!","")</f>
        <v/>
      </c>
      <c r="F5942" s="22" t="str">
        <f>IF(OR(E5942="",E5942="!!!"),"",IF(NOT(ISNA(VLOOKUP(E5942,E$1:E5941,1,FALSE()))),"OLD",IF(AND(E5942&lt;&gt;"",E5942&lt;&gt;"!!!"),"NEW","")))</f>
        <v> </v>
      </c>
      <c r="G5942" s="23" t="str">
        <f>IF(OR(E5942="",E5942="!!!"),"",IF(OR(J5942=0,AND(J5942=1,K5942=1),AND(J5942=1,I5942="SBJ"),AND(J5942=1,I5942=0)),"?IN_FOCUS",IF(J5942&lt;=2,"?ACTIVATED",IF(J5942&lt;&gt;"","?FAMILIAR",IF(F5942="NEW",IF(ISNA(VLOOKUP(E5942,#REF!,1,FALSE())),"?TYPE_IDENTIFIABLE","?REFERENTIAL"),"_")))))</f>
        <v> </v>
      </c>
      <c r="H5942" s="24" t="str">
        <f>IF(J5942&lt;&gt;1,"",IF(I5942="SBJ","CB","?"))</f>
        <v> </v>
      </c>
      <c r="I5942" s="25" t="str">
        <f>IF(OR(E5942="",E5942="!!!",F5942="NEW"),"",INDEX(B5941:B$2,-1+SUMPRODUCT(MAX(ROW(E5941:E$2)*(E5942=E5941:E$2)))))</f>
        <v> </v>
      </c>
      <c r="J5942" s="25" t="str">
        <f>IF(OR(E5942="",E5942="!!!",F5942="NEW"),"",COUNTBLANK(OFFSET(A$1,,,SUMPRODUCT(MAX(ROW(E$2:E5942)*(E5942=E$2:E5942)))))-COUNTBLANK(OFFSET(A$1,,,SUMPRODUCT(MAX(ROW(E$1:E5941)*(E2=E$1:E5941))))))</f>
        <v> </v>
      </c>
      <c r="K5942" s="25" t="str">
        <f>IF(OR(E5942="",E5942="!!!",F5942="NEW"),"",INDEX(J$1:J5941,SUMPRODUCT(MAX(ROW(E$1:E5941)*(E5942=E$1:E5941)))))</f>
        <v> </v>
      </c>
      <c r="L5942" s="26"/>
    </row>
    <row r="5943" spans="1:12">
      <c r="A5943" s="20" t="s">
        <v>2546</v>
      </c>
      <c r="E5943" s="21">
        <f>IF(D5943="?OLD","!!!","")</f>
        <v/>
      </c>
      <c r="F5943" s="22" t="str">
        <f>IF(OR(E5943="",E5943="!!!"),"",IF(NOT(ISNA(VLOOKUP(E5943,E$1:E5942,1,FALSE()))),"OLD",IF(AND(E5943&lt;&gt;"",E5943&lt;&gt;"!!!"),"NEW","")))</f>
        <v> </v>
      </c>
      <c r="G5943" s="23" t="str">
        <f>IF(OR(E5943="",E5943="!!!"),"",IF(OR(J5943=0,AND(J5943=1,K5943=1),AND(J5943=1,I5943="SBJ"),AND(J5943=1,I5943=0)),"?IN_FOCUS",IF(J5943&lt;=2,"?ACTIVATED",IF(J5943&lt;&gt;"","?FAMILIAR",IF(F5943="NEW",IF(ISNA(VLOOKUP(E5943,#REF!,1,FALSE())),"?TYPE_IDENTIFIABLE","?REFERENTIAL"),"_")))))</f>
        <v> </v>
      </c>
      <c r="H5943" s="24" t="str">
        <f>IF(J5943&lt;&gt;1,"",IF(I5943="SBJ","CB","?"))</f>
        <v> </v>
      </c>
      <c r="I5943" s="25" t="str">
        <f>IF(OR(E5943="",E5943="!!!",F5943="NEW"),"",INDEX(B5942:B$2,-1+SUMPRODUCT(MAX(ROW(E5942:E$2)*(E5943=E5942:E$2)))))</f>
        <v> </v>
      </c>
      <c r="J5943" s="25" t="str">
        <f>IF(OR(E5943="",E5943="!!!",F5943="NEW"),"",COUNTBLANK(OFFSET(A$1,,,SUMPRODUCT(MAX(ROW(E$2:E5943)*(E5943=E$2:E5943)))))-COUNTBLANK(OFFSET(A$1,,,SUMPRODUCT(MAX(ROW(E$1:E5942)*(E2=E$1:E5942))))))</f>
        <v> </v>
      </c>
      <c r="K5943" s="25" t="str">
        <f>IF(OR(E5943="",E5943="!!!",F5943="NEW"),"",INDEX(J$1:J5942,SUMPRODUCT(MAX(ROW(E$1:E5942)*(E5943=E$1:E5942)))))</f>
        <v> </v>
      </c>
      <c r="L5943" s="26"/>
    </row>
    <row r="5944" spans="1:12">
      <c r="A5944" s="20" t="s">
        <v>991</v>
      </c>
      <c r="E5944" s="21">
        <f>IF(D5944="?OLD","!!!","")</f>
        <v/>
      </c>
      <c r="F5944" s="22" t="str">
        <f>IF(OR(E5944="",E5944="!!!"),"",IF(NOT(ISNA(VLOOKUP(E5944,E$1:E5943,1,FALSE()))),"OLD",IF(AND(E5944&lt;&gt;"",E5944&lt;&gt;"!!!"),"NEW","")))</f>
        <v> </v>
      </c>
      <c r="G5944" s="23" t="str">
        <f>IF(OR(E5944="",E5944="!!!"),"",IF(OR(J5944=0,AND(J5944=1,K5944=1),AND(J5944=1,I5944="SBJ"),AND(J5944=1,I5944=0)),"?IN_FOCUS",IF(J5944&lt;=2,"?ACTIVATED",IF(J5944&lt;&gt;"","?FAMILIAR",IF(F5944="NEW",IF(ISNA(VLOOKUP(E5944,#REF!,1,FALSE())),"?TYPE_IDENTIFIABLE","?REFERENTIAL"),"_")))))</f>
        <v> </v>
      </c>
      <c r="H5944" s="24" t="str">
        <f>IF(J5944&lt;&gt;1,"",IF(I5944="SBJ","CB","?"))</f>
        <v> </v>
      </c>
      <c r="I5944" s="25" t="str">
        <f>IF(OR(E5944="",E5944="!!!",F5944="NEW"),"",INDEX(B5943:B$2,-1+SUMPRODUCT(MAX(ROW(E5943:E$2)*(E5944=E5943:E$2)))))</f>
        <v> </v>
      </c>
      <c r="J5944" s="25" t="str">
        <f>IF(OR(E5944="",E5944="!!!",F5944="NEW"),"",COUNTBLANK(OFFSET(A$1,,,SUMPRODUCT(MAX(ROW(E$2:E5944)*(E5944=E$2:E5944)))))-COUNTBLANK(OFFSET(A$1,,,SUMPRODUCT(MAX(ROW(E$1:E5943)*(E2=E$1:E5943))))))</f>
        <v> </v>
      </c>
      <c r="K5944" s="25" t="str">
        <f>IF(OR(E5944="",E5944="!!!",F5944="NEW"),"",INDEX(J$1:J5943,SUMPRODUCT(MAX(ROW(E$1:E5943)*(E5944=E$1:E5943)))))</f>
        <v> </v>
      </c>
      <c r="L5944" s="26"/>
    </row>
    <row r="5945" spans="1:12">
      <c r="A5945" s="20" t="s">
        <v>996</v>
      </c>
      <c r="E5945" s="21">
        <f>IF(D5945="?OLD","!!!","")</f>
        <v/>
      </c>
      <c r="F5945" s="22" t="str">
        <f>IF(OR(E5945="",E5945="!!!"),"",IF(NOT(ISNA(VLOOKUP(E5945,E$1:E5944,1,FALSE()))),"OLD",IF(AND(E5945&lt;&gt;"",E5945&lt;&gt;"!!!"),"NEW","")))</f>
        <v> </v>
      </c>
      <c r="G5945" s="23" t="str">
        <f>IF(OR(E5945="",E5945="!!!"),"",IF(OR(J5945=0,AND(J5945=1,K5945=1),AND(J5945=1,I5945="SBJ"),AND(J5945=1,I5945=0)),"?IN_FOCUS",IF(J5945&lt;=2,"?ACTIVATED",IF(J5945&lt;&gt;"","?FAMILIAR",IF(F5945="NEW",IF(ISNA(VLOOKUP(E5945,#REF!,1,FALSE())),"?TYPE_IDENTIFIABLE","?REFERENTIAL"),"_")))))</f>
        <v> </v>
      </c>
      <c r="H5945" s="24" t="str">
        <f>IF(J5945&lt;&gt;1,"",IF(I5945="SBJ","CB","?"))</f>
        <v> </v>
      </c>
      <c r="I5945" s="25" t="str">
        <f>IF(OR(E5945="",E5945="!!!",F5945="NEW"),"",INDEX(B5944:B$2,-1+SUMPRODUCT(MAX(ROW(E5944:E$2)*(E5945=E5944:E$2)))))</f>
        <v> </v>
      </c>
      <c r="J5945" s="25" t="str">
        <f>IF(OR(E5945="",E5945="!!!",F5945="NEW"),"",COUNTBLANK(OFFSET(A$1,,,SUMPRODUCT(MAX(ROW(E$2:E5945)*(E5945=E$2:E5945)))))-COUNTBLANK(OFFSET(A$1,,,SUMPRODUCT(MAX(ROW(E$1:E5944)*(E2=E$1:E5944))))))</f>
        <v> </v>
      </c>
      <c r="K5945" s="25" t="str">
        <f>IF(OR(E5945="",E5945="!!!",F5945="NEW"),"",INDEX(J$1:J5944,SUMPRODUCT(MAX(ROW(E$1:E5944)*(E5945=E$1:E5944)))))</f>
        <v> </v>
      </c>
      <c r="L5945" s="26"/>
    </row>
    <row r="5946" spans="1:12">
      <c r="A5946" s="20" t="s">
        <v>1139</v>
      </c>
      <c r="B5946" s="27" t="s">
        <v>1003</v>
      </c>
      <c r="C5946" s="27" t="s">
        <v>1102</v>
      </c>
      <c r="D5946" s="27" t="s">
        <v>969</v>
      </c>
      <c r="E5946" s="21">
        <f>IF(D5946="?OLD","!!!","")</f>
        <v/>
      </c>
      <c r="F5946" s="22" t="str">
        <f>IF(OR(E5946="",E5946="!!!"),"",IF(NOT(ISNA(VLOOKUP(E5946,E$1:E5945,1,FALSE()))),"OLD",IF(AND(E5946&lt;&gt;"",E5946&lt;&gt;"!!!"),"NEW","")))</f>
        <v> </v>
      </c>
      <c r="G5946" s="23" t="str">
        <f>IF(OR(E5946="",E5946="!!!"),"",IF(OR(J5946=0,AND(J5946=1,K5946=1),AND(J5946=1,I5946="SBJ"),AND(J5946=1,I5946=0)),"?IN_FOCUS",IF(J5946&lt;=2,"?ACTIVATED",IF(J5946&lt;&gt;"","?FAMILIAR",IF(F5946="NEW",IF(ISNA(VLOOKUP(E5946,#REF!,1,FALSE())),"?TYPE_IDENTIFIABLE","?REFERENTIAL"),"_")))))</f>
        <v> </v>
      </c>
      <c r="H5946" s="24" t="str">
        <f>IF(J5946&lt;&gt;1,"",IF(I5946="SBJ","CB","?"))</f>
        <v> </v>
      </c>
      <c r="I5946" s="25" t="str">
        <f>IF(OR(E5946="",E5946="!!!",F5946="NEW"),"",INDEX(B5945:B$2,-1+SUMPRODUCT(MAX(ROW(E5945:E$2)*(E5946=E5945:E$2)))))</f>
        <v> </v>
      </c>
      <c r="J5946" s="25" t="str">
        <f>IF(OR(E5946="",E5946="!!!",F5946="NEW"),"",COUNTBLANK(OFFSET(A$1,,,SUMPRODUCT(MAX(ROW(E$2:E5946)*(E5946=E$2:E5946)))))-COUNTBLANK(OFFSET(A$1,,,SUMPRODUCT(MAX(ROW(E$1:E5945)*(E2=E$1:E5945))))))</f>
        <v> </v>
      </c>
      <c r="K5946" s="25" t="str">
        <f>IF(OR(E5946="",E5946="!!!",F5946="NEW"),"",INDEX(J$1:J5945,SUMPRODUCT(MAX(ROW(E$1:E5945)*(E5946=E$1:E5945)))))</f>
        <v> </v>
      </c>
      <c r="L5946" s="26"/>
    </row>
    <row r="5947" spans="1:12">
      <c r="A5947" s="20" t="s">
        <v>1645</v>
      </c>
      <c r="B5947" s="27" t="s">
        <v>994</v>
      </c>
      <c r="C5947" s="27" t="s">
        <v>1141</v>
      </c>
      <c r="D5947" s="27" t="s">
        <v>969</v>
      </c>
      <c r="E5947" s="21">
        <f>IF(D5947="?OLD","!!!","")</f>
        <v/>
      </c>
      <c r="F5947" s="22" t="str">
        <f>IF(OR(E5947="",E5947="!!!"),"",IF(NOT(ISNA(VLOOKUP(E5947,E$1:E5946,1,FALSE()))),"OLD",IF(AND(E5947&lt;&gt;"",E5947&lt;&gt;"!!!"),"NEW","")))</f>
        <v> </v>
      </c>
      <c r="G5947" s="23" t="str">
        <f>IF(OR(E5947="",E5947="!!!"),"",IF(OR(J5947=0,AND(J5947=1,K5947=1),AND(J5947=1,I5947="SBJ"),AND(J5947=1,I5947=0)),"?IN_FOCUS",IF(J5947&lt;=2,"?ACTIVATED",IF(J5947&lt;&gt;"","?FAMILIAR",IF(F5947="NEW",IF(ISNA(VLOOKUP(E5947,#REF!,1,FALSE())),"?TYPE_IDENTIFIABLE","?REFERENTIAL"),"_")))))</f>
        <v> </v>
      </c>
      <c r="H5947" s="24" t="str">
        <f>IF(J5947&lt;&gt;1,"",IF(I5947="SBJ","CB","?"))</f>
        <v> </v>
      </c>
      <c r="I5947" s="25" t="str">
        <f>IF(OR(E5947="",E5947="!!!",F5947="NEW"),"",INDEX(B5946:B$2,-1+SUMPRODUCT(MAX(ROW(E5946:E$2)*(E5947=E5946:E$2)))))</f>
        <v> </v>
      </c>
      <c r="J5947" s="25" t="str">
        <f>IF(OR(E5947="",E5947="!!!",F5947="NEW"),"",COUNTBLANK(OFFSET(A$1,,,SUMPRODUCT(MAX(ROW(E$2:E5947)*(E5947=E$2:E5947)))))-COUNTBLANK(OFFSET(A$1,,,SUMPRODUCT(MAX(ROW(E$1:E5946)*(E2=E$1:E5946))))))</f>
        <v> </v>
      </c>
      <c r="K5947" s="25" t="str">
        <f>IF(OR(E5947="",E5947="!!!",F5947="NEW"),"",INDEX(J$1:J5946,SUMPRODUCT(MAX(ROW(E$1:E5946)*(E5947=E$1:E5946)))))</f>
        <v> </v>
      </c>
      <c r="L5947" s="26"/>
    </row>
    <row r="5948" spans="1:12">
      <c r="A5948" s="20" t="s">
        <v>1026</v>
      </c>
      <c r="B5948" s="27" t="s">
        <v>1031</v>
      </c>
      <c r="C5948" s="27" t="s">
        <v>968</v>
      </c>
      <c r="D5948" s="27" t="s">
        <v>969</v>
      </c>
      <c r="E5948" s="21">
        <f>IF(D5948="?OLD","!!!","")</f>
        <v/>
      </c>
      <c r="F5948" s="22" t="str">
        <f>IF(OR(E5948="",E5948="!!!"),"",IF(NOT(ISNA(VLOOKUP(E5948,E$1:E5947,1,FALSE()))),"OLD",IF(AND(E5948&lt;&gt;"",E5948&lt;&gt;"!!!"),"NEW","")))</f>
        <v> </v>
      </c>
      <c r="G5948" s="23" t="str">
        <f>IF(OR(E5948="",E5948="!!!"),"",IF(OR(J5948=0,AND(J5948=1,K5948=1),AND(J5948=1,I5948="SBJ"),AND(J5948=1,I5948=0)),"?IN_FOCUS",IF(J5948&lt;=2,"?ACTIVATED",IF(J5948&lt;&gt;"","?FAMILIAR",IF(F5948="NEW",IF(ISNA(VLOOKUP(E5948,#REF!,1,FALSE())),"?TYPE_IDENTIFIABLE","?REFERENTIAL"),"_")))))</f>
        <v> </v>
      </c>
      <c r="H5948" s="24" t="str">
        <f>IF(J5948&lt;&gt;1,"",IF(I5948="SBJ","CB","?"))</f>
        <v> </v>
      </c>
      <c r="I5948" s="25" t="str">
        <f>IF(OR(E5948="",E5948="!!!",F5948="NEW"),"",INDEX(B5947:B$2,-1+SUMPRODUCT(MAX(ROW(E5947:E$2)*(E5948=E5947:E$2)))))</f>
        <v> </v>
      </c>
      <c r="J5948" s="25" t="str">
        <f>IF(OR(E5948="",E5948="!!!",F5948="NEW"),"",COUNTBLANK(OFFSET(A$1,,,SUMPRODUCT(MAX(ROW(E$2:E5948)*(E5948=E$2:E5948)))))-COUNTBLANK(OFFSET(A$1,,,SUMPRODUCT(MAX(ROW(E$1:E5947)*(E2=E$1:E5947))))))</f>
        <v> </v>
      </c>
      <c r="K5948" s="25" t="str">
        <f>IF(OR(E5948="",E5948="!!!",F5948="NEW"),"",INDEX(J$1:J5947,SUMPRODUCT(MAX(ROW(E$1:E5947)*(E5948=E$1:E5947)))))</f>
        <v> </v>
      </c>
      <c r="L5948" s="26"/>
    </row>
    <row r="5949" spans="1:12">
      <c r="A5949" s="20" t="s">
        <v>2547</v>
      </c>
      <c r="E5949" s="21">
        <f>IF(D5949="?OLD","!!!","")</f>
        <v/>
      </c>
      <c r="F5949" s="22" t="str">
        <f>IF(OR(E5949="",E5949="!!!"),"",IF(NOT(ISNA(VLOOKUP(E5949,E$1:E5948,1,FALSE()))),"OLD",IF(AND(E5949&lt;&gt;"",E5949&lt;&gt;"!!!"),"NEW","")))</f>
        <v> </v>
      </c>
      <c r="G5949" s="23" t="str">
        <f>IF(OR(E5949="",E5949="!!!"),"",IF(OR(J5949=0,AND(J5949=1,K5949=1),AND(J5949=1,I5949="SBJ"),AND(J5949=1,I5949=0)),"?IN_FOCUS",IF(J5949&lt;=2,"?ACTIVATED",IF(J5949&lt;&gt;"","?FAMILIAR",IF(F5949="NEW",IF(ISNA(VLOOKUP(E5949,#REF!,1,FALSE())),"?TYPE_IDENTIFIABLE","?REFERENTIAL"),"_")))))</f>
        <v> </v>
      </c>
      <c r="H5949" s="24" t="str">
        <f>IF(J5949&lt;&gt;1,"",IF(I5949="SBJ","CB","?"))</f>
        <v> </v>
      </c>
      <c r="I5949" s="25" t="str">
        <f>IF(OR(E5949="",E5949="!!!",F5949="NEW"),"",INDEX(B5948:B$2,-1+SUMPRODUCT(MAX(ROW(E5948:E$2)*(E5949=E5948:E$2)))))</f>
        <v> </v>
      </c>
      <c r="J5949" s="25" t="str">
        <f>IF(OR(E5949="",E5949="!!!",F5949="NEW"),"",COUNTBLANK(OFFSET(A$1,,,SUMPRODUCT(MAX(ROW(E$2:E5949)*(E5949=E$2:E5949)))))-COUNTBLANK(OFFSET(A$1,,,SUMPRODUCT(MAX(ROW(E$1:E5948)*(E2=E$1:E5948))))))</f>
        <v> </v>
      </c>
      <c r="K5949" s="25" t="str">
        <f>IF(OR(E5949="",E5949="!!!",F5949="NEW"),"",INDEX(J$1:J5948,SUMPRODUCT(MAX(ROW(E$1:E5948)*(E5949=E$1:E5948)))))</f>
        <v> </v>
      </c>
      <c r="L5949" s="26"/>
    </row>
    <row r="5950" spans="1:12">
      <c r="A5950" s="20" t="s">
        <v>991</v>
      </c>
      <c r="E5950" s="21">
        <f>IF(D5950="?OLD","!!!","")</f>
        <v/>
      </c>
      <c r="F5950" s="22" t="str">
        <f>IF(OR(E5950="",E5950="!!!"),"",IF(NOT(ISNA(VLOOKUP(E5950,E$1:E5949,1,FALSE()))),"OLD",IF(AND(E5950&lt;&gt;"",E5950&lt;&gt;"!!!"),"NEW","")))</f>
        <v> </v>
      </c>
      <c r="G5950" s="23" t="str">
        <f>IF(OR(E5950="",E5950="!!!"),"",IF(OR(J5950=0,AND(J5950=1,K5950=1),AND(J5950=1,I5950="SBJ"),AND(J5950=1,I5950=0)),"?IN_FOCUS",IF(J5950&lt;=2,"?ACTIVATED",IF(J5950&lt;&gt;"","?FAMILIAR",IF(F5950="NEW",IF(ISNA(VLOOKUP(E5950,#REF!,1,FALSE())),"?TYPE_IDENTIFIABLE","?REFERENTIAL"),"_")))))</f>
        <v> </v>
      </c>
      <c r="H5950" s="24" t="str">
        <f>IF(J5950&lt;&gt;1,"",IF(I5950="SBJ","CB","?"))</f>
        <v> </v>
      </c>
      <c r="I5950" s="25" t="str">
        <f>IF(OR(E5950="",E5950="!!!",F5950="NEW"),"",INDEX(B5949:B$2,-1+SUMPRODUCT(MAX(ROW(E5949:E$2)*(E5950=E5949:E$2)))))</f>
        <v> </v>
      </c>
      <c r="J5950" s="25" t="str">
        <f>IF(OR(E5950="",E5950="!!!",F5950="NEW"),"",COUNTBLANK(OFFSET(A$1,,,SUMPRODUCT(MAX(ROW(E$2:E5950)*(E5950=E$2:E5950)))))-COUNTBLANK(OFFSET(A$1,,,SUMPRODUCT(MAX(ROW(E$1:E5949)*(E2=E$1:E5949))))))</f>
        <v> </v>
      </c>
      <c r="K5950" s="25" t="str">
        <f>IF(OR(E5950="",E5950="!!!",F5950="NEW"),"",INDEX(J$1:J5949,SUMPRODUCT(MAX(ROW(E$1:E5949)*(E5950=E$1:E5949)))))</f>
        <v> </v>
      </c>
      <c r="L5950" s="26"/>
    </row>
    <row r="5951" spans="1:12">
      <c r="A5951" s="20" t="s">
        <v>2548</v>
      </c>
      <c r="E5951" s="21">
        <f>IF(D5951="?OLD","!!!","")</f>
        <v/>
      </c>
      <c r="F5951" s="22" t="str">
        <f>IF(OR(E5951="",E5951="!!!"),"",IF(NOT(ISNA(VLOOKUP(E5951,E$1:E5950,1,FALSE()))),"OLD",IF(AND(E5951&lt;&gt;"",E5951&lt;&gt;"!!!"),"NEW","")))</f>
        <v> </v>
      </c>
      <c r="G5951" s="23" t="str">
        <f>IF(OR(E5951="",E5951="!!!"),"",IF(OR(J5951=0,AND(J5951=1,K5951=1),AND(J5951=1,I5951="SBJ"),AND(J5951=1,I5951=0)),"?IN_FOCUS",IF(J5951&lt;=2,"?ACTIVATED",IF(J5951&lt;&gt;"","?FAMILIAR",IF(F5951="NEW",IF(ISNA(VLOOKUP(E5951,#REF!,1,FALSE())),"?TYPE_IDENTIFIABLE","?REFERENTIAL"),"_")))))</f>
        <v> </v>
      </c>
      <c r="H5951" s="24" t="str">
        <f>IF(J5951&lt;&gt;1,"",IF(I5951="SBJ","CB","?"))</f>
        <v> </v>
      </c>
      <c r="I5951" s="25" t="str">
        <f>IF(OR(E5951="",E5951="!!!",F5951="NEW"),"",INDEX(B5950:B$2,-1+SUMPRODUCT(MAX(ROW(E5950:E$2)*(E5951=E5950:E$2)))))</f>
        <v> </v>
      </c>
      <c r="J5951" s="25" t="str">
        <f>IF(OR(E5951="",E5951="!!!",F5951="NEW"),"",COUNTBLANK(OFFSET(A$1,,,SUMPRODUCT(MAX(ROW(E$2:E5951)*(E5951=E$2:E5951)))))-COUNTBLANK(OFFSET(A$1,,,SUMPRODUCT(MAX(ROW(E$1:E5950)*(E2=E$1:E5950))))))</f>
        <v> </v>
      </c>
      <c r="K5951" s="25" t="str">
        <f>IF(OR(E5951="",E5951="!!!",F5951="NEW"),"",INDEX(J$1:J5950,SUMPRODUCT(MAX(ROW(E$1:E5950)*(E5951=E$1:E5950)))))</f>
        <v> </v>
      </c>
      <c r="L5951" s="26"/>
    </row>
    <row r="5952" spans="1:12">
      <c r="A5952" s="20" t="s">
        <v>2549</v>
      </c>
      <c r="B5952" s="27" t="s">
        <v>1198</v>
      </c>
      <c r="C5952" s="27" t="s">
        <v>974</v>
      </c>
      <c r="E5952" s="21">
        <f>IF(D5952="?OLD","!!!","")</f>
        <v/>
      </c>
      <c r="F5952" s="22" t="str">
        <f>IF(OR(E5952="",E5952="!!!"),"",IF(NOT(ISNA(VLOOKUP(E5952,E$1:E5951,1,FALSE()))),"OLD",IF(AND(E5952&lt;&gt;"",E5952&lt;&gt;"!!!"),"NEW","")))</f>
        <v> </v>
      </c>
      <c r="G5952" s="23" t="str">
        <f>IF(OR(E5952="",E5952="!!!"),"",IF(OR(J5952=0,AND(J5952=1,K5952=1),AND(J5952=1,I5952="SBJ"),AND(J5952=1,I5952=0)),"?IN_FOCUS",IF(J5952&lt;=2,"?ACTIVATED",IF(J5952&lt;&gt;"","?FAMILIAR",IF(F5952="NEW",IF(ISNA(VLOOKUP(E5952,#REF!,1,FALSE())),"?TYPE_IDENTIFIABLE","?REFERENTIAL"),"_")))))</f>
        <v> </v>
      </c>
      <c r="H5952" s="24" t="str">
        <f>IF(J5952&lt;&gt;1,"",IF(I5952="SBJ","CB","?"))</f>
        <v> </v>
      </c>
      <c r="I5952" s="25" t="str">
        <f>IF(OR(E5952="",E5952="!!!",F5952="NEW"),"",INDEX(B5951:B$2,-1+SUMPRODUCT(MAX(ROW(E5951:E$2)*(E5952=E5951:E$2)))))</f>
        <v> </v>
      </c>
      <c r="J5952" s="25" t="str">
        <f>IF(OR(E5952="",E5952="!!!",F5952="NEW"),"",COUNTBLANK(OFFSET(A$1,,,SUMPRODUCT(MAX(ROW(E$2:E5952)*(E5952=E$2:E5952)))))-COUNTBLANK(OFFSET(A$1,,,SUMPRODUCT(MAX(ROW(E$1:E5951)*(E2=E$1:E5951))))))</f>
        <v> </v>
      </c>
      <c r="K5952" s="25" t="str">
        <f>IF(OR(E5952="",E5952="!!!",F5952="NEW"),"",INDEX(J$1:J5951,SUMPRODUCT(MAX(ROW(E$1:E5951)*(E5952=E$1:E5951)))))</f>
        <v> </v>
      </c>
      <c r="L5952" s="26"/>
    </row>
    <row r="5953" spans="1:12">
      <c r="A5953" s="20" t="s">
        <v>2550</v>
      </c>
      <c r="E5953" s="21">
        <f>IF(D5953="?OLD","!!!","")</f>
        <v/>
      </c>
      <c r="F5953" s="22" t="str">
        <f>IF(OR(E5953="",E5953="!!!"),"",IF(NOT(ISNA(VLOOKUP(E5953,E$1:E5952,1,FALSE()))),"OLD",IF(AND(E5953&lt;&gt;"",E5953&lt;&gt;"!!!"),"NEW","")))</f>
        <v> </v>
      </c>
      <c r="G5953" s="23" t="str">
        <f>IF(OR(E5953="",E5953="!!!"),"",IF(OR(J5953=0,AND(J5953=1,K5953=1),AND(J5953=1,I5953="SBJ"),AND(J5953=1,I5953=0)),"?IN_FOCUS",IF(J5953&lt;=2,"?ACTIVATED",IF(J5953&lt;&gt;"","?FAMILIAR",IF(F5953="NEW",IF(ISNA(VLOOKUP(E5953,#REF!,1,FALSE())),"?TYPE_IDENTIFIABLE","?REFERENTIAL"),"_")))))</f>
        <v> </v>
      </c>
      <c r="H5953" s="24" t="str">
        <f>IF(J5953&lt;&gt;1,"",IF(I5953="SBJ","CB","?"))</f>
        <v> </v>
      </c>
      <c r="I5953" s="25" t="str">
        <f>IF(OR(E5953="",E5953="!!!",F5953="NEW"),"",INDEX(B5952:B$2,-1+SUMPRODUCT(MAX(ROW(E5952:E$2)*(E5953=E5952:E$2)))))</f>
        <v> </v>
      </c>
      <c r="J5953" s="25" t="str">
        <f>IF(OR(E5953="",E5953="!!!",F5953="NEW"),"",COUNTBLANK(OFFSET(A$1,,,SUMPRODUCT(MAX(ROW(E$2:E5953)*(E5953=E$2:E5953)))))-COUNTBLANK(OFFSET(A$1,,,SUMPRODUCT(MAX(ROW(E$1:E5952)*(E2=E$1:E5952))))))</f>
        <v> </v>
      </c>
      <c r="K5953" s="25" t="str">
        <f>IF(OR(E5953="",E5953="!!!",F5953="NEW"),"",INDEX(J$1:J5952,SUMPRODUCT(MAX(ROW(E$1:E5952)*(E5953=E$1:E5952)))))</f>
        <v> </v>
      </c>
      <c r="L5953" s="26"/>
    </row>
    <row r="5954" spans="1:12">
      <c r="A5954" s="20" t="s">
        <v>999</v>
      </c>
      <c r="E5954" s="21">
        <f>IF(D5954="?OLD","!!!","")</f>
        <v/>
      </c>
      <c r="F5954" s="22" t="str">
        <f>IF(OR(E5954="",E5954="!!!"),"",IF(NOT(ISNA(VLOOKUP(E5954,E$1:E5953,1,FALSE()))),"OLD",IF(AND(E5954&lt;&gt;"",E5954&lt;&gt;"!!!"),"NEW","")))</f>
        <v> </v>
      </c>
      <c r="G5954" s="23" t="str">
        <f>IF(OR(E5954="",E5954="!!!"),"",IF(OR(J5954=0,AND(J5954=1,K5954=1),AND(J5954=1,I5954="SBJ"),AND(J5954=1,I5954=0)),"?IN_FOCUS",IF(J5954&lt;=2,"?ACTIVATED",IF(J5954&lt;&gt;"","?FAMILIAR",IF(F5954="NEW",IF(ISNA(VLOOKUP(E5954,#REF!,1,FALSE())),"?TYPE_IDENTIFIABLE","?REFERENTIAL"),"_")))))</f>
        <v> </v>
      </c>
      <c r="H5954" s="24" t="str">
        <f>IF(J5954&lt;&gt;1,"",IF(I5954="SBJ","CB","?"))</f>
        <v> </v>
      </c>
      <c r="I5954" s="25" t="str">
        <f>IF(OR(E5954="",E5954="!!!",F5954="NEW"),"",INDEX(B5953:B$2,-1+SUMPRODUCT(MAX(ROW(E5953:E$2)*(E5954=E5953:E$2)))))</f>
        <v> </v>
      </c>
      <c r="J5954" s="25" t="str">
        <f>IF(OR(E5954="",E5954="!!!",F5954="NEW"),"",COUNTBLANK(OFFSET(A$1,,,SUMPRODUCT(MAX(ROW(E$2:E5954)*(E5954=E$2:E5954)))))-COUNTBLANK(OFFSET(A$1,,,SUMPRODUCT(MAX(ROW(E$1:E5953)*(E2=E$1:E5953))))))</f>
        <v> </v>
      </c>
      <c r="K5954" s="25" t="str">
        <f>IF(OR(E5954="",E5954="!!!",F5954="NEW"),"",INDEX(J$1:J5953,SUMPRODUCT(MAX(ROW(E$1:E5953)*(E5954=E$1:E5953)))))</f>
        <v> </v>
      </c>
      <c r="L5954" s="26"/>
    </row>
    <row r="5955" spans="1:12">
      <c r="A5955" s="20" t="s">
        <v>2372</v>
      </c>
      <c r="E5955" s="21">
        <f>IF(D5955="?OLD","!!!","")</f>
        <v/>
      </c>
      <c r="F5955" s="22" t="str">
        <f>IF(OR(E5955="",E5955="!!!"),"",IF(NOT(ISNA(VLOOKUP(E5955,E$1:E5954,1,FALSE()))),"OLD",IF(AND(E5955&lt;&gt;"",E5955&lt;&gt;"!!!"),"NEW","")))</f>
        <v> </v>
      </c>
      <c r="G5955" s="23" t="str">
        <f>IF(OR(E5955="",E5955="!!!"),"",IF(OR(J5955=0,AND(J5955=1,K5955=1),AND(J5955=1,I5955="SBJ"),AND(J5955=1,I5955=0)),"?IN_FOCUS",IF(J5955&lt;=2,"?ACTIVATED",IF(J5955&lt;&gt;"","?FAMILIAR",IF(F5955="NEW",IF(ISNA(VLOOKUP(E5955,#REF!,1,FALSE())),"?TYPE_IDENTIFIABLE","?REFERENTIAL"),"_")))))</f>
        <v> </v>
      </c>
      <c r="H5955" s="24" t="str">
        <f>IF(J5955&lt;&gt;1,"",IF(I5955="SBJ","CB","?"))</f>
        <v> </v>
      </c>
      <c r="I5955" s="25" t="str">
        <f>IF(OR(E5955="",E5955="!!!",F5955="NEW"),"",INDEX(B5954:B$2,-1+SUMPRODUCT(MAX(ROW(E5954:E$2)*(E5955=E5954:E$2)))))</f>
        <v> </v>
      </c>
      <c r="J5955" s="25" t="str">
        <f>IF(OR(E5955="",E5955="!!!",F5955="NEW"),"",COUNTBLANK(OFFSET(A$1,,,SUMPRODUCT(MAX(ROW(E$2:E5955)*(E5955=E$2:E5955)))))-COUNTBLANK(OFFSET(A$1,,,SUMPRODUCT(MAX(ROW(E$1:E5954)*(E2=E$1:E5954))))))</f>
        <v> </v>
      </c>
      <c r="K5955" s="25" t="str">
        <f>IF(OR(E5955="",E5955="!!!",F5955="NEW"),"",INDEX(J$1:J5954,SUMPRODUCT(MAX(ROW(E$1:E5954)*(E5955=E$1:E5954)))))</f>
        <v> </v>
      </c>
      <c r="L5955" s="26"/>
    </row>
    <row r="5956" spans="1:12">
      <c r="A5956" s="20" t="s">
        <v>1005</v>
      </c>
      <c r="E5956" s="21">
        <f>IF(D5956="?OLD","!!!","")</f>
        <v/>
      </c>
      <c r="F5956" s="22" t="str">
        <f>IF(OR(E5956="",E5956="!!!"),"",IF(NOT(ISNA(VLOOKUP(E5956,E$1:E5955,1,FALSE()))),"OLD",IF(AND(E5956&lt;&gt;"",E5956&lt;&gt;"!!!"),"NEW","")))</f>
        <v> </v>
      </c>
      <c r="G5956" s="23" t="str">
        <f>IF(OR(E5956="",E5956="!!!"),"",IF(OR(J5956=0,AND(J5956=1,K5956=1),AND(J5956=1,I5956="SBJ"),AND(J5956=1,I5956=0)),"?IN_FOCUS",IF(J5956&lt;=2,"?ACTIVATED",IF(J5956&lt;&gt;"","?FAMILIAR",IF(F5956="NEW",IF(ISNA(VLOOKUP(E5956,#REF!,1,FALSE())),"?TYPE_IDENTIFIABLE","?REFERENTIAL"),"_")))))</f>
        <v> </v>
      </c>
      <c r="H5956" s="24" t="str">
        <f>IF(J5956&lt;&gt;1,"",IF(I5956="SBJ","CB","?"))</f>
        <v> </v>
      </c>
      <c r="I5956" s="25" t="str">
        <f>IF(OR(E5956="",E5956="!!!",F5956="NEW"),"",INDEX(B5955:B$2,-1+SUMPRODUCT(MAX(ROW(E5955:E$2)*(E5956=E5955:E$2)))))</f>
        <v> </v>
      </c>
      <c r="J5956" s="25" t="str">
        <f>IF(OR(E5956="",E5956="!!!",F5956="NEW"),"",COUNTBLANK(OFFSET(A$1,,,SUMPRODUCT(MAX(ROW(E$2:E5956)*(E5956=E$2:E5956)))))-COUNTBLANK(OFFSET(A$1,,,SUMPRODUCT(MAX(ROW(E$1:E5955)*(E2=E$1:E5955))))))</f>
        <v> </v>
      </c>
      <c r="K5956" s="25" t="str">
        <f>IF(OR(E5956="",E5956="!!!",F5956="NEW"),"",INDEX(J$1:J5955,SUMPRODUCT(MAX(ROW(E$1:E5955)*(E5956=E$1:E5955)))))</f>
        <v> </v>
      </c>
      <c r="L5956" s="26"/>
    </row>
    <row r="5957" spans="1:12">
      <c r="A5957" s="20"/>
    </row>
    <row r="5958" spans="1:12">
      <c r="A5958" s="20" t="s">
        <v>2551</v>
      </c>
    </row>
    <row r="5959" spans="1:12">
      <c r="A5959" s="20" t="s">
        <v>1163</v>
      </c>
      <c r="E5959" s="21">
        <f>IF(D5959="?OLD","!!!","")</f>
        <v/>
      </c>
      <c r="F5959" s="22" t="str">
        <f>IF(OR(E5959="",E5959="!!!"),"",IF(NOT(ISNA(VLOOKUP(E5959,E$1:E5958,1,FALSE()))),"OLD",IF(AND(E5959&lt;&gt;"",E5959&lt;&gt;"!!!"),"NEW","")))</f>
        <v> </v>
      </c>
      <c r="G5959" s="23" t="str">
        <f>IF(OR(E5959="",E5959="!!!"),"",IF(OR(J5959=0,AND(J5959=1,K5959=1),AND(J5959=1,I5959="SBJ"),AND(J5959=1,I5959=0)),"?IN_FOCUS",IF(J5959&lt;=2,"?ACTIVATED",IF(J5959&lt;&gt;"","?FAMILIAR",IF(F5959="NEW",IF(ISNA(VLOOKUP(E5959,#REF!,1,FALSE())),"?TYPE_IDENTIFIABLE","?REFERENTIAL"),"_")))))</f>
        <v> </v>
      </c>
      <c r="H5959" s="24" t="str">
        <f>IF(J5959&lt;&gt;1,"",IF(I5959="SBJ","CB","?"))</f>
        <v> </v>
      </c>
      <c r="I5959" s="25" t="str">
        <f>IF(OR(E5959="",E5959="!!!",F5959="NEW"),"",INDEX(B5958:B$2,-1+SUMPRODUCT(MAX(ROW(E5958:E$2)*(E5959=E5958:E$2)))))</f>
        <v> </v>
      </c>
      <c r="J5959" s="25" t="str">
        <f>IF(OR(E5959="",E5959="!!!",F5959="NEW"),"",COUNTBLANK(OFFSET(A$1,,,SUMPRODUCT(MAX(ROW(E$2:E5959)*(E5959=E$2:E5959)))))-COUNTBLANK(OFFSET(A$1,,,SUMPRODUCT(MAX(ROW(E$1:E5958)*(E2=E$1:E5958))))))</f>
        <v> </v>
      </c>
      <c r="K5959" s="25" t="str">
        <f>IF(OR(E5959="",E5959="!!!",F5959="NEW"),"",INDEX(J$1:J5958,SUMPRODUCT(MAX(ROW(E$1:E5958)*(E5959=E$1:E5958)))))</f>
        <v> </v>
      </c>
      <c r="L5959" s="26"/>
    </row>
    <row r="5960" spans="1:12">
      <c r="A5960" s="20" t="s">
        <v>1164</v>
      </c>
      <c r="B5960" s="27" t="s">
        <v>967</v>
      </c>
      <c r="C5960" s="27" t="s">
        <v>979</v>
      </c>
      <c r="D5960" s="27" t="s">
        <v>969</v>
      </c>
      <c r="E5960" s="21">
        <f>IF(D5960="?OLD","!!!","")</f>
        <v/>
      </c>
      <c r="F5960" s="22" t="str">
        <f>IF(OR(E5960="",E5960="!!!"),"",IF(NOT(ISNA(VLOOKUP(E5960,E$1:E5959,1,FALSE()))),"OLD",IF(AND(E5960&lt;&gt;"",E5960&lt;&gt;"!!!"),"NEW","")))</f>
        <v> </v>
      </c>
      <c r="G5960" s="23" t="str">
        <f>IF(OR(E5960="",E5960="!!!"),"",IF(OR(J5960=0,AND(J5960=1,K5960=1),AND(J5960=1,I5960="SBJ"),AND(J5960=1,I5960=0)),"?IN_FOCUS",IF(J5960&lt;=2,"?ACTIVATED",IF(J5960&lt;&gt;"","?FAMILIAR",IF(F5960="NEW",IF(ISNA(VLOOKUP(E5960,#REF!,1,FALSE())),"?TYPE_IDENTIFIABLE","?REFERENTIAL"),"_")))))</f>
        <v> </v>
      </c>
      <c r="H5960" s="24" t="str">
        <f>IF(J5960&lt;&gt;1,"",IF(I5960="SBJ","CB","?"))</f>
        <v> </v>
      </c>
      <c r="I5960" s="25" t="str">
        <f>IF(OR(E5960="",E5960="!!!",F5960="NEW"),"",INDEX(B5959:B$2,-1+SUMPRODUCT(MAX(ROW(E5959:E$2)*(E5960=E5959:E$2)))))</f>
        <v> </v>
      </c>
      <c r="J5960" s="25" t="str">
        <f>IF(OR(E5960="",E5960="!!!",F5960="NEW"),"",COUNTBLANK(OFFSET(A$1,,,SUMPRODUCT(MAX(ROW(E$2:E5960)*(E5960=E$2:E5960)))))-COUNTBLANK(OFFSET(A$1,,,SUMPRODUCT(MAX(ROW(E$1:E5959)*(E2=E$1:E5959))))))</f>
        <v> </v>
      </c>
      <c r="K5960" s="25" t="str">
        <f>IF(OR(E5960="",E5960="!!!",F5960="NEW"),"",INDEX(J$1:J5959,SUMPRODUCT(MAX(ROW(E$1:E5959)*(E5960=E$1:E5959)))))</f>
        <v> </v>
      </c>
      <c r="L5960" s="26"/>
    </row>
    <row r="5961" spans="1:12">
      <c r="A5961" s="20" t="s">
        <v>1095</v>
      </c>
      <c r="E5961" s="21">
        <f>IF(D5961="?OLD","!!!","")</f>
        <v/>
      </c>
      <c r="F5961" s="22" t="str">
        <f>IF(OR(E5961="",E5961="!!!"),"",IF(NOT(ISNA(VLOOKUP(E5961,E$1:E5960,1,FALSE()))),"OLD",IF(AND(E5961&lt;&gt;"",E5961&lt;&gt;"!!!"),"NEW","")))</f>
        <v> </v>
      </c>
      <c r="G5961" s="23" t="str">
        <f>IF(OR(E5961="",E5961="!!!"),"",IF(OR(J5961=0,AND(J5961=1,K5961=1),AND(J5961=1,I5961="SBJ"),AND(J5961=1,I5961=0)),"?IN_FOCUS",IF(J5961&lt;=2,"?ACTIVATED",IF(J5961&lt;&gt;"","?FAMILIAR",IF(F5961="NEW",IF(ISNA(VLOOKUP(E5961,#REF!,1,FALSE())),"?TYPE_IDENTIFIABLE","?REFERENTIAL"),"_")))))</f>
        <v> </v>
      </c>
      <c r="H5961" s="24" t="str">
        <f>IF(J5961&lt;&gt;1,"",IF(I5961="SBJ","CB","?"))</f>
        <v> </v>
      </c>
      <c r="I5961" s="25" t="str">
        <f>IF(OR(E5961="",E5961="!!!",F5961="NEW"),"",INDEX(B5960:B$2,-1+SUMPRODUCT(MAX(ROW(E5960:E$2)*(E5961=E5960:E$2)))))</f>
        <v> </v>
      </c>
      <c r="J5961" s="25" t="str">
        <f>IF(OR(E5961="",E5961="!!!",F5961="NEW"),"",COUNTBLANK(OFFSET(A$1,,,SUMPRODUCT(MAX(ROW(E$2:E5961)*(E5961=E$2:E5961)))))-COUNTBLANK(OFFSET(A$1,,,SUMPRODUCT(MAX(ROW(E$1:E5960)*(E2=E$1:E5960))))))</f>
        <v> </v>
      </c>
      <c r="K5961" s="25" t="str">
        <f>IF(OR(E5961="",E5961="!!!",F5961="NEW"),"",INDEX(J$1:J5960,SUMPRODUCT(MAX(ROW(E$1:E5960)*(E5961=E$1:E5960)))))</f>
        <v> </v>
      </c>
      <c r="L5961" s="26"/>
    </row>
    <row r="5962" spans="1:12">
      <c r="A5962" s="20" t="s">
        <v>1078</v>
      </c>
      <c r="B5962" s="27" t="s">
        <v>978</v>
      </c>
      <c r="C5962" s="27" t="s">
        <v>974</v>
      </c>
      <c r="E5962" s="21">
        <f>IF(D5962="?OLD","!!!","")</f>
        <v/>
      </c>
      <c r="F5962" s="22" t="str">
        <f>IF(OR(E5962="",E5962="!!!"),"",IF(NOT(ISNA(VLOOKUP(E5962,E$1:E5961,1,FALSE()))),"OLD",IF(AND(E5962&lt;&gt;"",E5962&lt;&gt;"!!!"),"NEW","")))</f>
        <v> </v>
      </c>
      <c r="G5962" s="23" t="str">
        <f>IF(OR(E5962="",E5962="!!!"),"",IF(OR(J5962=0,AND(J5962=1,K5962=1),AND(J5962=1,I5962="SBJ"),AND(J5962=1,I5962=0)),"?IN_FOCUS",IF(J5962&lt;=2,"?ACTIVATED",IF(J5962&lt;&gt;"","?FAMILIAR",IF(F5962="NEW",IF(ISNA(VLOOKUP(E5962,#REF!,1,FALSE())),"?TYPE_IDENTIFIABLE","?REFERENTIAL"),"_")))))</f>
        <v> </v>
      </c>
      <c r="H5962" s="24" t="str">
        <f>IF(J5962&lt;&gt;1,"",IF(I5962="SBJ","CB","?"))</f>
        <v> </v>
      </c>
      <c r="I5962" s="25" t="str">
        <f>IF(OR(E5962="",E5962="!!!",F5962="NEW"),"",INDEX(B5961:B$2,-1+SUMPRODUCT(MAX(ROW(E5961:E$2)*(E5962=E5961:E$2)))))</f>
        <v> </v>
      </c>
      <c r="J5962" s="25" t="str">
        <f>IF(OR(E5962="",E5962="!!!",F5962="NEW"),"",COUNTBLANK(OFFSET(A$1,,,SUMPRODUCT(MAX(ROW(E$2:E5962)*(E5962=E$2:E5962)))))-COUNTBLANK(OFFSET(A$1,,,SUMPRODUCT(MAX(ROW(E$1:E5961)*(E2=E$1:E5961))))))</f>
        <v> </v>
      </c>
      <c r="K5962" s="25" t="str">
        <f>IF(OR(E5962="",E5962="!!!",F5962="NEW"),"",INDEX(J$1:J5961,SUMPRODUCT(MAX(ROW(E$1:E5961)*(E5962=E$1:E5961)))))</f>
        <v> </v>
      </c>
      <c r="L5962" s="26"/>
    </row>
    <row r="5963" spans="1:12">
      <c r="A5963" s="20" t="s">
        <v>1097</v>
      </c>
      <c r="E5963" s="21">
        <f>IF(D5963="?OLD","!!!","")</f>
        <v/>
      </c>
      <c r="F5963" s="22" t="str">
        <f>IF(OR(E5963="",E5963="!!!"),"",IF(NOT(ISNA(VLOOKUP(E5963,E$1:E5962,1,FALSE()))),"OLD",IF(AND(E5963&lt;&gt;"",E5963&lt;&gt;"!!!"),"NEW","")))</f>
        <v> </v>
      </c>
      <c r="G5963" s="23" t="str">
        <f>IF(OR(E5963="",E5963="!!!"),"",IF(OR(J5963=0,AND(J5963=1,K5963=1),AND(J5963=1,I5963="SBJ"),AND(J5963=1,I5963=0)),"?IN_FOCUS",IF(J5963&lt;=2,"?ACTIVATED",IF(J5963&lt;&gt;"","?FAMILIAR",IF(F5963="NEW",IF(ISNA(VLOOKUP(E5963,#REF!,1,FALSE())),"?TYPE_IDENTIFIABLE","?REFERENTIAL"),"_")))))</f>
        <v> </v>
      </c>
      <c r="H5963" s="24" t="str">
        <f>IF(J5963&lt;&gt;1,"",IF(I5963="SBJ","CB","?"))</f>
        <v> </v>
      </c>
      <c r="I5963" s="25" t="str">
        <f>IF(OR(E5963="",E5963="!!!",F5963="NEW"),"",INDEX(B5962:B$2,-1+SUMPRODUCT(MAX(ROW(E5962:E$2)*(E5963=E5962:E$2)))))</f>
        <v> </v>
      </c>
      <c r="J5963" s="25" t="str">
        <f>IF(OR(E5963="",E5963="!!!",F5963="NEW"),"",COUNTBLANK(OFFSET(A$1,,,SUMPRODUCT(MAX(ROW(E$2:E5963)*(E5963=E$2:E5963)))))-COUNTBLANK(OFFSET(A$1,,,SUMPRODUCT(MAX(ROW(E$1:E5962)*(E2=E$1:E5962))))))</f>
        <v> </v>
      </c>
      <c r="K5963" s="25" t="str">
        <f>IF(OR(E5963="",E5963="!!!",F5963="NEW"),"",INDEX(J$1:J5962,SUMPRODUCT(MAX(ROW(E$1:E5962)*(E5963=E$1:E5962)))))</f>
        <v> </v>
      </c>
      <c r="L5963" s="26"/>
    </row>
    <row r="5964" spans="1:12">
      <c r="A5964" s="20" t="s">
        <v>1021</v>
      </c>
      <c r="E5964" s="21">
        <f>IF(D5964="?OLD","!!!","")</f>
        <v/>
      </c>
      <c r="F5964" s="22" t="str">
        <f>IF(OR(E5964="",E5964="!!!"),"",IF(NOT(ISNA(VLOOKUP(E5964,E$1:E5963,1,FALSE()))),"OLD",IF(AND(E5964&lt;&gt;"",E5964&lt;&gt;"!!!"),"NEW","")))</f>
        <v> </v>
      </c>
      <c r="G5964" s="23" t="str">
        <f>IF(OR(E5964="",E5964="!!!"),"",IF(OR(J5964=0,AND(J5964=1,K5964=1),AND(J5964=1,I5964="SBJ"),AND(J5964=1,I5964=0)),"?IN_FOCUS",IF(J5964&lt;=2,"?ACTIVATED",IF(J5964&lt;&gt;"","?FAMILIAR",IF(F5964="NEW",IF(ISNA(VLOOKUP(E5964,#REF!,1,FALSE())),"?TYPE_IDENTIFIABLE","?REFERENTIAL"),"_")))))</f>
        <v> </v>
      </c>
      <c r="H5964" s="24" t="str">
        <f>IF(J5964&lt;&gt;1,"",IF(I5964="SBJ","CB","?"))</f>
        <v> </v>
      </c>
      <c r="I5964" s="25" t="str">
        <f>IF(OR(E5964="",E5964="!!!",F5964="NEW"),"",INDEX(B5963:B$2,-1+SUMPRODUCT(MAX(ROW(E5963:E$2)*(E5964=E5963:E$2)))))</f>
        <v> </v>
      </c>
      <c r="J5964" s="25" t="str">
        <f>IF(OR(E5964="",E5964="!!!",F5964="NEW"),"",COUNTBLANK(OFFSET(A$1,,,SUMPRODUCT(MAX(ROW(E$2:E5964)*(E5964=E$2:E5964)))))-COUNTBLANK(OFFSET(A$1,,,SUMPRODUCT(MAX(ROW(E$1:E5963)*(E2=E$1:E5963))))))</f>
        <v> </v>
      </c>
      <c r="K5964" s="25" t="str">
        <f>IF(OR(E5964="",E5964="!!!",F5964="NEW"),"",INDEX(J$1:J5963,SUMPRODUCT(MAX(ROW(E$1:E5963)*(E5964=E$1:E5963)))))</f>
        <v> </v>
      </c>
      <c r="L5964" s="26"/>
    </row>
    <row r="5965" spans="1:12">
      <c r="A5965" s="20" t="s">
        <v>1165</v>
      </c>
      <c r="B5965" s="27" t="s">
        <v>1053</v>
      </c>
      <c r="C5965" s="27" t="s">
        <v>974</v>
      </c>
      <c r="E5965" s="21">
        <f>IF(D5965="?OLD","!!!","")</f>
        <v/>
      </c>
      <c r="F5965" s="22" t="str">
        <f>IF(OR(E5965="",E5965="!!!"),"",IF(NOT(ISNA(VLOOKUP(E5965,E$1:E5964,1,FALSE()))),"OLD",IF(AND(E5965&lt;&gt;"",E5965&lt;&gt;"!!!"),"NEW","")))</f>
        <v> </v>
      </c>
      <c r="G5965" s="23" t="str">
        <f>IF(OR(E5965="",E5965="!!!"),"",IF(OR(J5965=0,AND(J5965=1,K5965=1),AND(J5965=1,I5965="SBJ"),AND(J5965=1,I5965=0)),"?IN_FOCUS",IF(J5965&lt;=2,"?ACTIVATED",IF(J5965&lt;&gt;"","?FAMILIAR",IF(F5965="NEW",IF(ISNA(VLOOKUP(E5965,#REF!,1,FALSE())),"?TYPE_IDENTIFIABLE","?REFERENTIAL"),"_")))))</f>
        <v> </v>
      </c>
      <c r="H5965" s="24" t="str">
        <f>IF(J5965&lt;&gt;1,"",IF(I5965="SBJ","CB","?"))</f>
        <v> </v>
      </c>
      <c r="I5965" s="25" t="str">
        <f>IF(OR(E5965="",E5965="!!!",F5965="NEW"),"",INDEX(B5964:B$2,-1+SUMPRODUCT(MAX(ROW(E5964:E$2)*(E5965=E5964:E$2)))))</f>
        <v> </v>
      </c>
      <c r="J5965" s="25" t="str">
        <f>IF(OR(E5965="",E5965="!!!",F5965="NEW"),"",COUNTBLANK(OFFSET(A$1,,,SUMPRODUCT(MAX(ROW(E$2:E5965)*(E5965=E$2:E5965)))))-COUNTBLANK(OFFSET(A$1,,,SUMPRODUCT(MAX(ROW(E$1:E5964)*(E2=E$1:E5964))))))</f>
        <v> </v>
      </c>
      <c r="K5965" s="25" t="str">
        <f>IF(OR(E5965="",E5965="!!!",F5965="NEW"),"",INDEX(J$1:J5964,SUMPRODUCT(MAX(ROW(E$1:E5964)*(E5965=E$1:E5964)))))</f>
        <v> </v>
      </c>
      <c r="L5965" s="26"/>
    </row>
    <row r="5966" spans="1:12">
      <c r="A5966" s="20" t="s">
        <v>991</v>
      </c>
      <c r="E5966" s="21">
        <f>IF(D5966="?OLD","!!!","")</f>
        <v/>
      </c>
      <c r="F5966" s="22" t="str">
        <f>IF(OR(E5966="",E5966="!!!"),"",IF(NOT(ISNA(VLOOKUP(E5966,E$1:E5965,1,FALSE()))),"OLD",IF(AND(E5966&lt;&gt;"",E5966&lt;&gt;"!!!"),"NEW","")))</f>
        <v> </v>
      </c>
      <c r="G5966" s="23" t="str">
        <f>IF(OR(E5966="",E5966="!!!"),"",IF(OR(J5966=0,AND(J5966=1,K5966=1),AND(J5966=1,I5966="SBJ"),AND(J5966=1,I5966=0)),"?IN_FOCUS",IF(J5966&lt;=2,"?ACTIVATED",IF(J5966&lt;&gt;"","?FAMILIAR",IF(F5966="NEW",IF(ISNA(VLOOKUP(E5966,#REF!,1,FALSE())),"?TYPE_IDENTIFIABLE","?REFERENTIAL"),"_")))))</f>
        <v> </v>
      </c>
      <c r="H5966" s="24" t="str">
        <f>IF(J5966&lt;&gt;1,"",IF(I5966="SBJ","CB","?"))</f>
        <v> </v>
      </c>
      <c r="I5966" s="25" t="str">
        <f>IF(OR(E5966="",E5966="!!!",F5966="NEW"),"",INDEX(B5965:B$2,-1+SUMPRODUCT(MAX(ROW(E5965:E$2)*(E5966=E5965:E$2)))))</f>
        <v> </v>
      </c>
      <c r="J5966" s="25" t="str">
        <f>IF(OR(E5966="",E5966="!!!",F5966="NEW"),"",COUNTBLANK(OFFSET(A$1,,,SUMPRODUCT(MAX(ROW(E$2:E5966)*(E5966=E$2:E5966)))))-COUNTBLANK(OFFSET(A$1,,,SUMPRODUCT(MAX(ROW(E$1:E5965)*(E2=E$1:E5965))))))</f>
        <v> </v>
      </c>
      <c r="K5966" s="25" t="str">
        <f>IF(OR(E5966="",E5966="!!!",F5966="NEW"),"",INDEX(J$1:J5965,SUMPRODUCT(MAX(ROW(E$1:E5965)*(E5966=E$1:E5965)))))</f>
        <v> </v>
      </c>
      <c r="L5966" s="26"/>
    </row>
    <row r="5967" spans="1:12">
      <c r="A5967" s="20" t="s">
        <v>1166</v>
      </c>
      <c r="E5967" s="21">
        <f>IF(D5967="?OLD","!!!","")</f>
        <v/>
      </c>
      <c r="F5967" s="22" t="str">
        <f>IF(OR(E5967="",E5967="!!!"),"",IF(NOT(ISNA(VLOOKUP(E5967,E$1:E5966,1,FALSE()))),"OLD",IF(AND(E5967&lt;&gt;"",E5967&lt;&gt;"!!!"),"NEW","")))</f>
        <v> </v>
      </c>
      <c r="G5967" s="23" t="str">
        <f>IF(OR(E5967="",E5967="!!!"),"",IF(OR(J5967=0,AND(J5967=1,K5967=1),AND(J5967=1,I5967="SBJ"),AND(J5967=1,I5967=0)),"?IN_FOCUS",IF(J5967&lt;=2,"?ACTIVATED",IF(J5967&lt;&gt;"","?FAMILIAR",IF(F5967="NEW",IF(ISNA(VLOOKUP(E5967,#REF!,1,FALSE())),"?TYPE_IDENTIFIABLE","?REFERENTIAL"),"_")))))</f>
        <v> </v>
      </c>
      <c r="H5967" s="24" t="str">
        <f>IF(J5967&lt;&gt;1,"",IF(I5967="SBJ","CB","?"))</f>
        <v> </v>
      </c>
      <c r="I5967" s="25" t="str">
        <f>IF(OR(E5967="",E5967="!!!",F5967="NEW"),"",INDEX(B5966:B$2,-1+SUMPRODUCT(MAX(ROW(E5966:E$2)*(E5967=E5966:E$2)))))</f>
        <v> </v>
      </c>
      <c r="J5967" s="25" t="str">
        <f>IF(OR(E5967="",E5967="!!!",F5967="NEW"),"",COUNTBLANK(OFFSET(A$1,,,SUMPRODUCT(MAX(ROW(E$2:E5967)*(E5967=E$2:E5967)))))-COUNTBLANK(OFFSET(A$1,,,SUMPRODUCT(MAX(ROW(E$1:E5966)*(E2=E$1:E5966))))))</f>
        <v> </v>
      </c>
      <c r="K5967" s="25" t="str">
        <f>IF(OR(E5967="",E5967="!!!",F5967="NEW"),"",INDEX(J$1:J5966,SUMPRODUCT(MAX(ROW(E$1:E5966)*(E5967=E$1:E5966)))))</f>
        <v> </v>
      </c>
      <c r="L5967" s="26"/>
    </row>
    <row r="5968" spans="1:12">
      <c r="A5968" s="20" t="s">
        <v>1167</v>
      </c>
      <c r="B5968" s="27" t="s">
        <v>1053</v>
      </c>
      <c r="C5968" s="27" t="s">
        <v>974</v>
      </c>
      <c r="E5968" s="21">
        <f>IF(D5968="?OLD","!!!","")</f>
        <v/>
      </c>
      <c r="F5968" s="22" t="str">
        <f>IF(OR(E5968="",E5968="!!!"),"",IF(NOT(ISNA(VLOOKUP(E5968,E$1:E5967,1,FALSE()))),"OLD",IF(AND(E5968&lt;&gt;"",E5968&lt;&gt;"!!!"),"NEW","")))</f>
        <v> </v>
      </c>
      <c r="G5968" s="23" t="str">
        <f>IF(OR(E5968="",E5968="!!!"),"",IF(OR(J5968=0,AND(J5968=1,K5968=1),AND(J5968=1,I5968="SBJ"),AND(J5968=1,I5968=0)),"?IN_FOCUS",IF(J5968&lt;=2,"?ACTIVATED",IF(J5968&lt;&gt;"","?FAMILIAR",IF(F5968="NEW",IF(ISNA(VLOOKUP(E5968,#REF!,1,FALSE())),"?TYPE_IDENTIFIABLE","?REFERENTIAL"),"_")))))</f>
        <v> </v>
      </c>
      <c r="H5968" s="24" t="str">
        <f>IF(J5968&lt;&gt;1,"",IF(I5968="SBJ","CB","?"))</f>
        <v> </v>
      </c>
      <c r="I5968" s="25" t="str">
        <f>IF(OR(E5968="",E5968="!!!",F5968="NEW"),"",INDEX(B5967:B$2,-1+SUMPRODUCT(MAX(ROW(E5967:E$2)*(E5968=E5967:E$2)))))</f>
        <v> </v>
      </c>
      <c r="J5968" s="25" t="str">
        <f>IF(OR(E5968="",E5968="!!!",F5968="NEW"),"",COUNTBLANK(OFFSET(A$1,,,SUMPRODUCT(MAX(ROW(E$2:E5968)*(E5968=E$2:E5968)))))-COUNTBLANK(OFFSET(A$1,,,SUMPRODUCT(MAX(ROW(E$1:E5967)*(E2=E$1:E5967))))))</f>
        <v> </v>
      </c>
      <c r="K5968" s="25" t="str">
        <f>IF(OR(E5968="",E5968="!!!",F5968="NEW"),"",INDEX(J$1:J5967,SUMPRODUCT(MAX(ROW(E$1:E5967)*(E5968=E$1:E5967)))))</f>
        <v> </v>
      </c>
      <c r="L5968" s="26"/>
    </row>
    <row r="5969" spans="1:12">
      <c r="A5969" s="20" t="s">
        <v>991</v>
      </c>
      <c r="E5969" s="21">
        <f>IF(D5969="?OLD","!!!","")</f>
        <v/>
      </c>
      <c r="F5969" s="22" t="str">
        <f>IF(OR(E5969="",E5969="!!!"),"",IF(NOT(ISNA(VLOOKUP(E5969,E$1:E5968,1,FALSE()))),"OLD",IF(AND(E5969&lt;&gt;"",E5969&lt;&gt;"!!!"),"NEW","")))</f>
        <v> </v>
      </c>
      <c r="G5969" s="23" t="str">
        <f>IF(OR(E5969="",E5969="!!!"),"",IF(OR(J5969=0,AND(J5969=1,K5969=1),AND(J5969=1,I5969="SBJ"),AND(J5969=1,I5969=0)),"?IN_FOCUS",IF(J5969&lt;=2,"?ACTIVATED",IF(J5969&lt;&gt;"","?FAMILIAR",IF(F5969="NEW",IF(ISNA(VLOOKUP(E5969,#REF!,1,FALSE())),"?TYPE_IDENTIFIABLE","?REFERENTIAL"),"_")))))</f>
        <v> </v>
      </c>
      <c r="H5969" s="24" t="str">
        <f>IF(J5969&lt;&gt;1,"",IF(I5969="SBJ","CB","?"))</f>
        <v> </v>
      </c>
      <c r="I5969" s="25" t="str">
        <f>IF(OR(E5969="",E5969="!!!",F5969="NEW"),"",INDEX(B5968:B$2,-1+SUMPRODUCT(MAX(ROW(E5968:E$2)*(E5969=E5968:E$2)))))</f>
        <v> </v>
      </c>
      <c r="J5969" s="25" t="str">
        <f>IF(OR(E5969="",E5969="!!!",F5969="NEW"),"",COUNTBLANK(OFFSET(A$1,,,SUMPRODUCT(MAX(ROW(E$2:E5969)*(E5969=E$2:E5969)))))-COUNTBLANK(OFFSET(A$1,,,SUMPRODUCT(MAX(ROW(E$1:E5968)*(E2=E$1:E5968))))))</f>
        <v> </v>
      </c>
      <c r="K5969" s="25" t="str">
        <f>IF(OR(E5969="",E5969="!!!",F5969="NEW"),"",INDEX(J$1:J5968,SUMPRODUCT(MAX(ROW(E$1:E5968)*(E5969=E$1:E5968)))))</f>
        <v> </v>
      </c>
      <c r="L5969" s="26"/>
    </row>
    <row r="5970" spans="1:12">
      <c r="A5970" s="20" t="s">
        <v>980</v>
      </c>
      <c r="E5970" s="21">
        <f>IF(D5970="?OLD","!!!","")</f>
        <v/>
      </c>
      <c r="F5970" s="22" t="str">
        <f>IF(OR(E5970="",E5970="!!!"),"",IF(NOT(ISNA(VLOOKUP(E5970,E$1:E5969,1,FALSE()))),"OLD",IF(AND(E5970&lt;&gt;"",E5970&lt;&gt;"!!!"),"NEW","")))</f>
        <v> </v>
      </c>
      <c r="G5970" s="23" t="str">
        <f>IF(OR(E5970="",E5970="!!!"),"",IF(OR(J5970=0,AND(J5970=1,K5970=1),AND(J5970=1,I5970="SBJ"),AND(J5970=1,I5970=0)),"?IN_FOCUS",IF(J5970&lt;=2,"?ACTIVATED",IF(J5970&lt;&gt;"","?FAMILIAR",IF(F5970="NEW",IF(ISNA(VLOOKUP(E5970,#REF!,1,FALSE())),"?TYPE_IDENTIFIABLE","?REFERENTIAL"),"_")))))</f>
        <v> </v>
      </c>
      <c r="H5970" s="24" t="str">
        <f>IF(J5970&lt;&gt;1,"",IF(I5970="SBJ","CB","?"))</f>
        <v> </v>
      </c>
      <c r="I5970" s="25" t="str">
        <f>IF(OR(E5970="",E5970="!!!",F5970="NEW"),"",INDEX(B5969:B$2,-1+SUMPRODUCT(MAX(ROW(E5969:E$2)*(E5970=E5969:E$2)))))</f>
        <v> </v>
      </c>
      <c r="J5970" s="25" t="str">
        <f>IF(OR(E5970="",E5970="!!!",F5970="NEW"),"",COUNTBLANK(OFFSET(A$1,,,SUMPRODUCT(MAX(ROW(E$2:E5970)*(E5970=E$2:E5970)))))-COUNTBLANK(OFFSET(A$1,,,SUMPRODUCT(MAX(ROW(E$1:E5969)*(E2=E$1:E5969))))))</f>
        <v> </v>
      </c>
      <c r="K5970" s="25" t="str">
        <f>IF(OR(E5970="",E5970="!!!",F5970="NEW"),"",INDEX(J$1:J5969,SUMPRODUCT(MAX(ROW(E$1:E5969)*(E5970=E$1:E5969)))))</f>
        <v> </v>
      </c>
      <c r="L5970" s="26"/>
    </row>
    <row r="5971" spans="1:12">
      <c r="A5971" s="20" t="s">
        <v>1924</v>
      </c>
      <c r="E5971" s="21">
        <f>IF(D5971="?OLD","!!!","")</f>
        <v/>
      </c>
      <c r="F5971" s="22" t="str">
        <f>IF(OR(E5971="",E5971="!!!"),"",IF(NOT(ISNA(VLOOKUP(E5971,E$1:E5970,1,FALSE()))),"OLD",IF(AND(E5971&lt;&gt;"",E5971&lt;&gt;"!!!"),"NEW","")))</f>
        <v> </v>
      </c>
      <c r="G5971" s="23" t="str">
        <f>IF(OR(E5971="",E5971="!!!"),"",IF(OR(J5971=0,AND(J5971=1,K5971=1),AND(J5971=1,I5971="SBJ"),AND(J5971=1,I5971=0)),"?IN_FOCUS",IF(J5971&lt;=2,"?ACTIVATED",IF(J5971&lt;&gt;"","?FAMILIAR",IF(F5971="NEW",IF(ISNA(VLOOKUP(E5971,#REF!,1,FALSE())),"?TYPE_IDENTIFIABLE","?REFERENTIAL"),"_")))))</f>
        <v> </v>
      </c>
      <c r="H5971" s="24" t="str">
        <f>IF(J5971&lt;&gt;1,"",IF(I5971="SBJ","CB","?"))</f>
        <v> </v>
      </c>
      <c r="I5971" s="25" t="str">
        <f>IF(OR(E5971="",E5971="!!!",F5971="NEW"),"",INDEX(B5970:B$2,-1+SUMPRODUCT(MAX(ROW(E5970:E$2)*(E5971=E5970:E$2)))))</f>
        <v> </v>
      </c>
      <c r="J5971" s="25" t="str">
        <f>IF(OR(E5971="",E5971="!!!",F5971="NEW"),"",COUNTBLANK(OFFSET(A$1,,,SUMPRODUCT(MAX(ROW(E$2:E5971)*(E5971=E$2:E5971)))))-COUNTBLANK(OFFSET(A$1,,,SUMPRODUCT(MAX(ROW(E$1:E5970)*(E2=E$1:E5970))))))</f>
        <v> </v>
      </c>
      <c r="K5971" s="25" t="str">
        <f>IF(OR(E5971="",E5971="!!!",F5971="NEW"),"",INDEX(J$1:J5970,SUMPRODUCT(MAX(ROW(E$1:E5970)*(E5971=E$1:E5970)))))</f>
        <v> </v>
      </c>
      <c r="L5971" s="26"/>
    </row>
    <row r="5972" spans="1:12">
      <c r="A5972" s="20" t="s">
        <v>1097</v>
      </c>
      <c r="E5972" s="21">
        <f>IF(D5972="?OLD","!!!","")</f>
        <v/>
      </c>
      <c r="F5972" s="22" t="str">
        <f>IF(OR(E5972="",E5972="!!!"),"",IF(NOT(ISNA(VLOOKUP(E5972,E$1:E5971,1,FALSE()))),"OLD",IF(AND(E5972&lt;&gt;"",E5972&lt;&gt;"!!!"),"NEW","")))</f>
        <v> </v>
      </c>
      <c r="G5972" s="23" t="str">
        <f>IF(OR(E5972="",E5972="!!!"),"",IF(OR(J5972=0,AND(J5972=1,K5972=1),AND(J5972=1,I5972="SBJ"),AND(J5972=1,I5972=0)),"?IN_FOCUS",IF(J5972&lt;=2,"?ACTIVATED",IF(J5972&lt;&gt;"","?FAMILIAR",IF(F5972="NEW",IF(ISNA(VLOOKUP(E5972,#REF!,1,FALSE())),"?TYPE_IDENTIFIABLE","?REFERENTIAL"),"_")))))</f>
        <v> </v>
      </c>
      <c r="H5972" s="24" t="str">
        <f>IF(J5972&lt;&gt;1,"",IF(I5972="SBJ","CB","?"))</f>
        <v> </v>
      </c>
      <c r="I5972" s="25" t="str">
        <f>IF(OR(E5972="",E5972="!!!",F5972="NEW"),"",INDEX(B5971:B$2,-1+SUMPRODUCT(MAX(ROW(E5971:E$2)*(E5972=E5971:E$2)))))</f>
        <v> </v>
      </c>
      <c r="J5972" s="25" t="str">
        <f>IF(OR(E5972="",E5972="!!!",F5972="NEW"),"",COUNTBLANK(OFFSET(A$1,,,SUMPRODUCT(MAX(ROW(E$2:E5972)*(E5972=E$2:E5972)))))-COUNTBLANK(OFFSET(A$1,,,SUMPRODUCT(MAX(ROW(E$1:E5971)*(E2=E$1:E5971))))))</f>
        <v> </v>
      </c>
      <c r="K5972" s="25" t="str">
        <f>IF(OR(E5972="",E5972="!!!",F5972="NEW"),"",INDEX(J$1:J5971,SUMPRODUCT(MAX(ROW(E$1:E5971)*(E5972=E$1:E5971)))))</f>
        <v> </v>
      </c>
      <c r="L5972" s="26"/>
    </row>
    <row r="5973" spans="1:12">
      <c r="A5973" s="20" t="s">
        <v>1273</v>
      </c>
      <c r="B5973" s="27" t="s">
        <v>982</v>
      </c>
      <c r="C5973" s="27" t="s">
        <v>988</v>
      </c>
      <c r="D5973" s="27" t="s">
        <v>969</v>
      </c>
      <c r="E5973" s="21">
        <f>IF(D5973="?OLD","!!!","")</f>
        <v/>
      </c>
      <c r="F5973" s="22" t="str">
        <f>IF(OR(E5973="",E5973="!!!"),"",IF(NOT(ISNA(VLOOKUP(E5973,E$1:E5972,1,FALSE()))),"OLD",IF(AND(E5973&lt;&gt;"",E5973&lt;&gt;"!!!"),"NEW","")))</f>
        <v> </v>
      </c>
      <c r="G5973" s="23" t="str">
        <f>IF(OR(E5973="",E5973="!!!"),"",IF(OR(J5973=0,AND(J5973=1,K5973=1),AND(J5973=1,I5973="SBJ"),AND(J5973=1,I5973=0)),"?IN_FOCUS",IF(J5973&lt;=2,"?ACTIVATED",IF(J5973&lt;&gt;"","?FAMILIAR",IF(F5973="NEW",IF(ISNA(VLOOKUP(E5973,#REF!,1,FALSE())),"?TYPE_IDENTIFIABLE","?REFERENTIAL"),"_")))))</f>
        <v> </v>
      </c>
      <c r="H5973" s="24" t="str">
        <f>IF(J5973&lt;&gt;1,"",IF(I5973="SBJ","CB","?"))</f>
        <v> </v>
      </c>
      <c r="I5973" s="25" t="str">
        <f>IF(OR(E5973="",E5973="!!!",F5973="NEW"),"",INDEX(B5972:B$2,-1+SUMPRODUCT(MAX(ROW(E5972:E$2)*(E5973=E5972:E$2)))))</f>
        <v> </v>
      </c>
      <c r="J5973" s="25" t="str">
        <f>IF(OR(E5973="",E5973="!!!",F5973="NEW"),"",COUNTBLANK(OFFSET(A$1,,,SUMPRODUCT(MAX(ROW(E$2:E5973)*(E5973=E$2:E5973)))))-COUNTBLANK(OFFSET(A$1,,,SUMPRODUCT(MAX(ROW(E$1:E5972)*(E2=E$1:E5972))))))</f>
        <v> </v>
      </c>
      <c r="K5973" s="25" t="str">
        <f>IF(OR(E5973="",E5973="!!!",F5973="NEW"),"",INDEX(J$1:J5972,SUMPRODUCT(MAX(ROW(E$1:E5972)*(E5973=E$1:E5972)))))</f>
        <v> </v>
      </c>
      <c r="L5973" s="26"/>
    </row>
    <row r="5974" spans="1:12">
      <c r="A5974" s="20" t="s">
        <v>1307</v>
      </c>
      <c r="B5974" s="27" t="s">
        <v>1010</v>
      </c>
      <c r="C5974" s="27" t="s">
        <v>974</v>
      </c>
      <c r="E5974" s="21">
        <f>IF(D5974="?OLD","!!!","")</f>
        <v/>
      </c>
      <c r="F5974" s="22" t="str">
        <f>IF(OR(E5974="",E5974="!!!"),"",IF(NOT(ISNA(VLOOKUP(E5974,E$1:E5973,1,FALSE()))),"OLD",IF(AND(E5974&lt;&gt;"",E5974&lt;&gt;"!!!"),"NEW","")))</f>
        <v> </v>
      </c>
      <c r="G5974" s="23" t="str">
        <f>IF(OR(E5974="",E5974="!!!"),"",IF(OR(J5974=0,AND(J5974=1,K5974=1),AND(J5974=1,I5974="SBJ"),AND(J5974=1,I5974=0)),"?IN_FOCUS",IF(J5974&lt;=2,"?ACTIVATED",IF(J5974&lt;&gt;"","?FAMILIAR",IF(F5974="NEW",IF(ISNA(VLOOKUP(E5974,#REF!,1,FALSE())),"?TYPE_IDENTIFIABLE","?REFERENTIAL"),"_")))))</f>
        <v> </v>
      </c>
      <c r="H5974" s="24" t="str">
        <f>IF(J5974&lt;&gt;1,"",IF(I5974="SBJ","CB","?"))</f>
        <v> </v>
      </c>
      <c r="I5974" s="25" t="str">
        <f>IF(OR(E5974="",E5974="!!!",F5974="NEW"),"",INDEX(B5973:B$2,-1+SUMPRODUCT(MAX(ROW(E5973:E$2)*(E5974=E5973:E$2)))))</f>
        <v> </v>
      </c>
      <c r="J5974" s="25" t="str">
        <f>IF(OR(E5974="",E5974="!!!",F5974="NEW"),"",COUNTBLANK(OFFSET(A$1,,,SUMPRODUCT(MAX(ROW(E$2:E5974)*(E5974=E$2:E5974)))))-COUNTBLANK(OFFSET(A$1,,,SUMPRODUCT(MAX(ROW(E$1:E5973)*(E2=E$1:E5973))))))</f>
        <v> </v>
      </c>
      <c r="K5974" s="25" t="str">
        <f>IF(OR(E5974="",E5974="!!!",F5974="NEW"),"",INDEX(J$1:J5973,SUMPRODUCT(MAX(ROW(E$1:E5973)*(E5974=E$1:E5973)))))</f>
        <v> </v>
      </c>
      <c r="L5974" s="26"/>
    </row>
    <row r="5975" spans="1:12">
      <c r="A5975" s="20" t="s">
        <v>2552</v>
      </c>
      <c r="E5975" s="21">
        <f>IF(D5975="?OLD","!!!","")</f>
        <v/>
      </c>
      <c r="F5975" s="22" t="str">
        <f>IF(OR(E5975="",E5975="!!!"),"",IF(NOT(ISNA(VLOOKUP(E5975,E$1:E5974,1,FALSE()))),"OLD",IF(AND(E5975&lt;&gt;"",E5975&lt;&gt;"!!!"),"NEW","")))</f>
        <v> </v>
      </c>
      <c r="G5975" s="23" t="str">
        <f>IF(OR(E5975="",E5975="!!!"),"",IF(OR(J5975=0,AND(J5975=1,K5975=1),AND(J5975=1,I5975="SBJ"),AND(J5975=1,I5975=0)),"?IN_FOCUS",IF(J5975&lt;=2,"?ACTIVATED",IF(J5975&lt;&gt;"","?FAMILIAR",IF(F5975="NEW",IF(ISNA(VLOOKUP(E5975,#REF!,1,FALSE())),"?TYPE_IDENTIFIABLE","?REFERENTIAL"),"_")))))</f>
        <v> </v>
      </c>
      <c r="H5975" s="24" t="str">
        <f>IF(J5975&lt;&gt;1,"",IF(I5975="SBJ","CB","?"))</f>
        <v> </v>
      </c>
      <c r="I5975" s="25" t="str">
        <f>IF(OR(E5975="",E5975="!!!",F5975="NEW"),"",INDEX(B5974:B$2,-1+SUMPRODUCT(MAX(ROW(E5974:E$2)*(E5975=E5974:E$2)))))</f>
        <v> </v>
      </c>
      <c r="J5975" s="25" t="str">
        <f>IF(OR(E5975="",E5975="!!!",F5975="NEW"),"",COUNTBLANK(OFFSET(A$1,,,SUMPRODUCT(MAX(ROW(E$2:E5975)*(E5975=E$2:E5975)))))-COUNTBLANK(OFFSET(A$1,,,SUMPRODUCT(MAX(ROW(E$1:E5974)*(E2=E$1:E5974))))))</f>
        <v> </v>
      </c>
      <c r="K5975" s="25" t="str">
        <f>IF(OR(E5975="",E5975="!!!",F5975="NEW"),"",INDEX(J$1:J5974,SUMPRODUCT(MAX(ROW(E$1:E5974)*(E5975=E$1:E5974)))))</f>
        <v> </v>
      </c>
      <c r="L5975" s="26"/>
    </row>
    <row r="5976" spans="1:12">
      <c r="A5976" s="20" t="s">
        <v>991</v>
      </c>
      <c r="E5976" s="21">
        <f>IF(D5976="?OLD","!!!","")</f>
        <v/>
      </c>
      <c r="F5976" s="22" t="str">
        <f>IF(OR(E5976="",E5976="!!!"),"",IF(NOT(ISNA(VLOOKUP(E5976,E$1:E5975,1,FALSE()))),"OLD",IF(AND(E5976&lt;&gt;"",E5976&lt;&gt;"!!!"),"NEW","")))</f>
        <v> </v>
      </c>
      <c r="G5976" s="23" t="str">
        <f>IF(OR(E5976="",E5976="!!!"),"",IF(OR(J5976=0,AND(J5976=1,K5976=1),AND(J5976=1,I5976="SBJ"),AND(J5976=1,I5976=0)),"?IN_FOCUS",IF(J5976&lt;=2,"?ACTIVATED",IF(J5976&lt;&gt;"","?FAMILIAR",IF(F5976="NEW",IF(ISNA(VLOOKUP(E5976,#REF!,1,FALSE())),"?TYPE_IDENTIFIABLE","?REFERENTIAL"),"_")))))</f>
        <v> </v>
      </c>
      <c r="H5976" s="24" t="str">
        <f>IF(J5976&lt;&gt;1,"",IF(I5976="SBJ","CB","?"))</f>
        <v> </v>
      </c>
      <c r="I5976" s="25" t="str">
        <f>IF(OR(E5976="",E5976="!!!",F5976="NEW"),"",INDEX(B5975:B$2,-1+SUMPRODUCT(MAX(ROW(E5975:E$2)*(E5976=E5975:E$2)))))</f>
        <v> </v>
      </c>
      <c r="J5976" s="25" t="str">
        <f>IF(OR(E5976="",E5976="!!!",F5976="NEW"),"",COUNTBLANK(OFFSET(A$1,,,SUMPRODUCT(MAX(ROW(E$2:E5976)*(E5976=E$2:E5976)))))-COUNTBLANK(OFFSET(A$1,,,SUMPRODUCT(MAX(ROW(E$1:E5975)*(E2=E$1:E5975))))))</f>
        <v> </v>
      </c>
      <c r="K5976" s="25" t="str">
        <f>IF(OR(E5976="",E5976="!!!",F5976="NEW"),"",INDEX(J$1:J5975,SUMPRODUCT(MAX(ROW(E$1:E5975)*(E5976=E$1:E5975)))))</f>
        <v> </v>
      </c>
      <c r="L5976" s="26"/>
    </row>
    <row r="5977" spans="1:12">
      <c r="A5977" s="20" t="s">
        <v>2467</v>
      </c>
      <c r="E5977" s="21">
        <f>IF(D5977="?OLD","!!!","")</f>
        <v/>
      </c>
      <c r="F5977" s="22" t="str">
        <f>IF(OR(E5977="",E5977="!!!"),"",IF(NOT(ISNA(VLOOKUP(E5977,E$1:E5976,1,FALSE()))),"OLD",IF(AND(E5977&lt;&gt;"",E5977&lt;&gt;"!!!"),"NEW","")))</f>
        <v> </v>
      </c>
      <c r="G5977" s="23" t="str">
        <f>IF(OR(E5977="",E5977="!!!"),"",IF(OR(J5977=0,AND(J5977=1,K5977=1),AND(J5977=1,I5977="SBJ"),AND(J5977=1,I5977=0)),"?IN_FOCUS",IF(J5977&lt;=2,"?ACTIVATED",IF(J5977&lt;&gt;"","?FAMILIAR",IF(F5977="NEW",IF(ISNA(VLOOKUP(E5977,#REF!,1,FALSE())),"?TYPE_IDENTIFIABLE","?REFERENTIAL"),"_")))))</f>
        <v> </v>
      </c>
      <c r="H5977" s="24" t="str">
        <f>IF(J5977&lt;&gt;1,"",IF(I5977="SBJ","CB","?"))</f>
        <v> </v>
      </c>
      <c r="I5977" s="25" t="str">
        <f>IF(OR(E5977="",E5977="!!!",F5977="NEW"),"",INDEX(B5976:B$2,-1+SUMPRODUCT(MAX(ROW(E5976:E$2)*(E5977=E5976:E$2)))))</f>
        <v> </v>
      </c>
      <c r="J5977" s="25" t="str">
        <f>IF(OR(E5977="",E5977="!!!",F5977="NEW"),"",COUNTBLANK(OFFSET(A$1,,,SUMPRODUCT(MAX(ROW(E$2:E5977)*(E5977=E$2:E5977)))))-COUNTBLANK(OFFSET(A$1,,,SUMPRODUCT(MAX(ROW(E$1:E5976)*(E2=E$1:E5976))))))</f>
        <v> </v>
      </c>
      <c r="K5977" s="25" t="str">
        <f>IF(OR(E5977="",E5977="!!!",F5977="NEW"),"",INDEX(J$1:J5976,SUMPRODUCT(MAX(ROW(E$1:E5976)*(E5977=E$1:E5976)))))</f>
        <v> </v>
      </c>
      <c r="L5977" s="26"/>
    </row>
    <row r="5978" spans="1:12">
      <c r="A5978" s="20" t="s">
        <v>1151</v>
      </c>
      <c r="E5978" s="21">
        <f>IF(D5978="?OLD","!!!","")</f>
        <v/>
      </c>
      <c r="F5978" s="22" t="str">
        <f>IF(OR(E5978="",E5978="!!!"),"",IF(NOT(ISNA(VLOOKUP(E5978,E$1:E5977,1,FALSE()))),"OLD",IF(AND(E5978&lt;&gt;"",E5978&lt;&gt;"!!!"),"NEW","")))</f>
        <v> </v>
      </c>
      <c r="G5978" s="23" t="str">
        <f>IF(OR(E5978="",E5978="!!!"),"",IF(OR(J5978=0,AND(J5978=1,K5978=1),AND(J5978=1,I5978="SBJ"),AND(J5978=1,I5978=0)),"?IN_FOCUS",IF(J5978&lt;=2,"?ACTIVATED",IF(J5978&lt;&gt;"","?FAMILIAR",IF(F5978="NEW",IF(ISNA(VLOOKUP(E5978,#REF!,1,FALSE())),"?TYPE_IDENTIFIABLE","?REFERENTIAL"),"_")))))</f>
        <v> </v>
      </c>
      <c r="H5978" s="24" t="str">
        <f>IF(J5978&lt;&gt;1,"",IF(I5978="SBJ","CB","?"))</f>
        <v> </v>
      </c>
      <c r="I5978" s="25" t="str">
        <f>IF(OR(E5978="",E5978="!!!",F5978="NEW"),"",INDEX(B5977:B$2,-1+SUMPRODUCT(MAX(ROW(E5977:E$2)*(E5978=E5977:E$2)))))</f>
        <v> </v>
      </c>
      <c r="J5978" s="25" t="str">
        <f>IF(OR(E5978="",E5978="!!!",F5978="NEW"),"",COUNTBLANK(OFFSET(A$1,,,SUMPRODUCT(MAX(ROW(E$2:E5978)*(E5978=E$2:E5978)))))-COUNTBLANK(OFFSET(A$1,,,SUMPRODUCT(MAX(ROW(E$1:E5977)*(E2=E$1:E5977))))))</f>
        <v> </v>
      </c>
      <c r="K5978" s="25" t="str">
        <f>IF(OR(E5978="",E5978="!!!",F5978="NEW"),"",INDEX(J$1:J5977,SUMPRODUCT(MAX(ROW(E$1:E5977)*(E5978=E$1:E5977)))))</f>
        <v> </v>
      </c>
      <c r="L5978" s="26"/>
    </row>
    <row r="5979" spans="1:12">
      <c r="A5979" s="20" t="s">
        <v>1038</v>
      </c>
      <c r="E5979" s="21">
        <f>IF(D5979="?OLD","!!!","")</f>
        <v/>
      </c>
      <c r="F5979" s="22" t="str">
        <f>IF(OR(E5979="",E5979="!!!"),"",IF(NOT(ISNA(VLOOKUP(E5979,E$1:E5978,1,FALSE()))),"OLD",IF(AND(E5979&lt;&gt;"",E5979&lt;&gt;"!!!"),"NEW","")))</f>
        <v> </v>
      </c>
      <c r="G5979" s="23" t="str">
        <f>IF(OR(E5979="",E5979="!!!"),"",IF(OR(J5979=0,AND(J5979=1,K5979=1),AND(J5979=1,I5979="SBJ"),AND(J5979=1,I5979=0)),"?IN_FOCUS",IF(J5979&lt;=2,"?ACTIVATED",IF(J5979&lt;&gt;"","?FAMILIAR",IF(F5979="NEW",IF(ISNA(VLOOKUP(E5979,#REF!,1,FALSE())),"?TYPE_IDENTIFIABLE","?REFERENTIAL"),"_")))))</f>
        <v> </v>
      </c>
      <c r="H5979" s="24" t="str">
        <f>IF(J5979&lt;&gt;1,"",IF(I5979="SBJ","CB","?"))</f>
        <v> </v>
      </c>
      <c r="I5979" s="25" t="str">
        <f>IF(OR(E5979="",E5979="!!!",F5979="NEW"),"",INDEX(B5978:B$2,-1+SUMPRODUCT(MAX(ROW(E5978:E$2)*(E5979=E5978:E$2)))))</f>
        <v> </v>
      </c>
      <c r="J5979" s="25" t="str">
        <f>IF(OR(E5979="",E5979="!!!",F5979="NEW"),"",COUNTBLANK(OFFSET(A$1,,,SUMPRODUCT(MAX(ROW(E$2:E5979)*(E5979=E$2:E5979)))))-COUNTBLANK(OFFSET(A$1,,,SUMPRODUCT(MAX(ROW(E$1:E5978)*(E2=E$1:E5978))))))</f>
        <v> </v>
      </c>
      <c r="K5979" s="25" t="str">
        <f>IF(OR(E5979="",E5979="!!!",F5979="NEW"),"",INDEX(J$1:J5978,SUMPRODUCT(MAX(ROW(E$1:E5978)*(E5979=E$1:E5978)))))</f>
        <v> </v>
      </c>
      <c r="L5979" s="26"/>
    </row>
    <row r="5980" spans="1:12">
      <c r="A5980" s="20" t="s">
        <v>2553</v>
      </c>
      <c r="B5980" s="27" t="s">
        <v>978</v>
      </c>
      <c r="C5980" s="27" t="s">
        <v>979</v>
      </c>
      <c r="D5980" s="27" t="s">
        <v>969</v>
      </c>
      <c r="E5980" s="21">
        <f>IF(D5980="?OLD","!!!","")</f>
        <v/>
      </c>
      <c r="F5980" s="22" t="str">
        <f>IF(OR(E5980="",E5980="!!!"),"",IF(NOT(ISNA(VLOOKUP(E5980,E$1:E5979,1,FALSE()))),"OLD",IF(AND(E5980&lt;&gt;"",E5980&lt;&gt;"!!!"),"NEW","")))</f>
        <v> </v>
      </c>
      <c r="G5980" s="23" t="str">
        <f>IF(OR(E5980="",E5980="!!!"),"",IF(OR(J5980=0,AND(J5980=1,K5980=1),AND(J5980=1,I5980="SBJ"),AND(J5980=1,I5980=0)),"?IN_FOCUS",IF(J5980&lt;=2,"?ACTIVATED",IF(J5980&lt;&gt;"","?FAMILIAR",IF(F5980="NEW",IF(ISNA(VLOOKUP(E5980,#REF!,1,FALSE())),"?TYPE_IDENTIFIABLE","?REFERENTIAL"),"_")))))</f>
        <v> </v>
      </c>
      <c r="H5980" s="24" t="str">
        <f>IF(J5980&lt;&gt;1,"",IF(I5980="SBJ","CB","?"))</f>
        <v> </v>
      </c>
      <c r="I5980" s="25" t="str">
        <f>IF(OR(E5980="",E5980="!!!",F5980="NEW"),"",INDEX(B5979:B$2,-1+SUMPRODUCT(MAX(ROW(E5979:E$2)*(E5980=E5979:E$2)))))</f>
        <v> </v>
      </c>
      <c r="J5980" s="25" t="str">
        <f>IF(OR(E5980="",E5980="!!!",F5980="NEW"),"",COUNTBLANK(OFFSET(A$1,,,SUMPRODUCT(MAX(ROW(E$2:E5980)*(E5980=E$2:E5980)))))-COUNTBLANK(OFFSET(A$1,,,SUMPRODUCT(MAX(ROW(E$1:E5979)*(E2=E$1:E5979))))))</f>
        <v> </v>
      </c>
      <c r="K5980" s="25" t="str">
        <f>IF(OR(E5980="",E5980="!!!",F5980="NEW"),"",INDEX(J$1:J5979,SUMPRODUCT(MAX(ROW(E$1:E5979)*(E5980=E$1:E5979)))))</f>
        <v> </v>
      </c>
      <c r="L5980" s="26"/>
    </row>
    <row r="5981" spans="1:12">
      <c r="A5981" s="20" t="s">
        <v>991</v>
      </c>
      <c r="E5981" s="21">
        <f>IF(D5981="?OLD","!!!","")</f>
        <v/>
      </c>
      <c r="F5981" s="22" t="str">
        <f>IF(OR(E5981="",E5981="!!!"),"",IF(NOT(ISNA(VLOOKUP(E5981,E$1:E5980,1,FALSE()))),"OLD",IF(AND(E5981&lt;&gt;"",E5981&lt;&gt;"!!!"),"NEW","")))</f>
        <v> </v>
      </c>
      <c r="G5981" s="23" t="str">
        <f>IF(OR(E5981="",E5981="!!!"),"",IF(OR(J5981=0,AND(J5981=1,K5981=1),AND(J5981=1,I5981="SBJ"),AND(J5981=1,I5981=0)),"?IN_FOCUS",IF(J5981&lt;=2,"?ACTIVATED",IF(J5981&lt;&gt;"","?FAMILIAR",IF(F5981="NEW",IF(ISNA(VLOOKUP(E5981,#REF!,1,FALSE())),"?TYPE_IDENTIFIABLE","?REFERENTIAL"),"_")))))</f>
        <v> </v>
      </c>
      <c r="H5981" s="24" t="str">
        <f>IF(J5981&lt;&gt;1,"",IF(I5981="SBJ","CB","?"))</f>
        <v> </v>
      </c>
      <c r="I5981" s="25" t="str">
        <f>IF(OR(E5981="",E5981="!!!",F5981="NEW"),"",INDEX(B5980:B$2,-1+SUMPRODUCT(MAX(ROW(E5980:E$2)*(E5981=E5980:E$2)))))</f>
        <v> </v>
      </c>
      <c r="J5981" s="25" t="str">
        <f>IF(OR(E5981="",E5981="!!!",F5981="NEW"),"",COUNTBLANK(OFFSET(A$1,,,SUMPRODUCT(MAX(ROW(E$2:E5981)*(E5981=E$2:E5981)))))-COUNTBLANK(OFFSET(A$1,,,SUMPRODUCT(MAX(ROW(E$1:E5980)*(E2=E$1:E5980))))))</f>
        <v> </v>
      </c>
      <c r="K5981" s="25" t="str">
        <f>IF(OR(E5981="",E5981="!!!",F5981="NEW"),"",INDEX(J$1:J5980,SUMPRODUCT(MAX(ROW(E$1:E5980)*(E5981=E$1:E5980)))))</f>
        <v> </v>
      </c>
      <c r="L5981" s="26"/>
    </row>
    <row r="5982" spans="1:12">
      <c r="A5982" s="20" t="s">
        <v>1151</v>
      </c>
      <c r="E5982" s="21">
        <f>IF(D5982="?OLD","!!!","")</f>
        <v/>
      </c>
      <c r="F5982" s="22" t="str">
        <f>IF(OR(E5982="",E5982="!!!"),"",IF(NOT(ISNA(VLOOKUP(E5982,E$1:E5981,1,FALSE()))),"OLD",IF(AND(E5982&lt;&gt;"",E5982&lt;&gt;"!!!"),"NEW","")))</f>
        <v> </v>
      </c>
      <c r="G5982" s="23" t="str">
        <f>IF(OR(E5982="",E5982="!!!"),"",IF(OR(J5982=0,AND(J5982=1,K5982=1),AND(J5982=1,I5982="SBJ"),AND(J5982=1,I5982=0)),"?IN_FOCUS",IF(J5982&lt;=2,"?ACTIVATED",IF(J5982&lt;&gt;"","?FAMILIAR",IF(F5982="NEW",IF(ISNA(VLOOKUP(E5982,#REF!,1,FALSE())),"?TYPE_IDENTIFIABLE","?REFERENTIAL"),"_")))))</f>
        <v> </v>
      </c>
      <c r="H5982" s="24" t="str">
        <f>IF(J5982&lt;&gt;1,"",IF(I5982="SBJ","CB","?"))</f>
        <v> </v>
      </c>
      <c r="I5982" s="25" t="str">
        <f>IF(OR(E5982="",E5982="!!!",F5982="NEW"),"",INDEX(B5981:B$2,-1+SUMPRODUCT(MAX(ROW(E5981:E$2)*(E5982=E5981:E$2)))))</f>
        <v> </v>
      </c>
      <c r="J5982" s="25" t="str">
        <f>IF(OR(E5982="",E5982="!!!",F5982="NEW"),"",COUNTBLANK(OFFSET(A$1,,,SUMPRODUCT(MAX(ROW(E$2:E5982)*(E5982=E$2:E5982)))))-COUNTBLANK(OFFSET(A$1,,,SUMPRODUCT(MAX(ROW(E$1:E5981)*(E2=E$1:E5981))))))</f>
        <v> </v>
      </c>
      <c r="K5982" s="25" t="str">
        <f>IF(OR(E5982="",E5982="!!!",F5982="NEW"),"",INDEX(J$1:J5981,SUMPRODUCT(MAX(ROW(E$1:E5981)*(E5982=E$1:E5981)))))</f>
        <v> </v>
      </c>
      <c r="L5982" s="26"/>
    </row>
    <row r="5983" spans="1:12">
      <c r="A5983" s="20" t="s">
        <v>2486</v>
      </c>
      <c r="E5983" s="21">
        <f>IF(D5983="?OLD","!!!","")</f>
        <v/>
      </c>
      <c r="F5983" s="22" t="str">
        <f>IF(OR(E5983="",E5983="!!!"),"",IF(NOT(ISNA(VLOOKUP(E5983,E$1:E5982,1,FALSE()))),"OLD",IF(AND(E5983&lt;&gt;"",E5983&lt;&gt;"!!!"),"NEW","")))</f>
        <v> </v>
      </c>
      <c r="G5983" s="23" t="str">
        <f>IF(OR(E5983="",E5983="!!!"),"",IF(OR(J5983=0,AND(J5983=1,K5983=1),AND(J5983=1,I5983="SBJ"),AND(J5983=1,I5983=0)),"?IN_FOCUS",IF(J5983&lt;=2,"?ACTIVATED",IF(J5983&lt;&gt;"","?FAMILIAR",IF(F5983="NEW",IF(ISNA(VLOOKUP(E5983,#REF!,1,FALSE())),"?TYPE_IDENTIFIABLE","?REFERENTIAL"),"_")))))</f>
        <v> </v>
      </c>
      <c r="H5983" s="24" t="str">
        <f>IF(J5983&lt;&gt;1,"",IF(I5983="SBJ","CB","?"))</f>
        <v> </v>
      </c>
      <c r="I5983" s="25" t="str">
        <f>IF(OR(E5983="",E5983="!!!",F5983="NEW"),"",INDEX(B5982:B$2,-1+SUMPRODUCT(MAX(ROW(E5982:E$2)*(E5983=E5982:E$2)))))</f>
        <v> </v>
      </c>
      <c r="J5983" s="25" t="str">
        <f>IF(OR(E5983="",E5983="!!!",F5983="NEW"),"",COUNTBLANK(OFFSET(A$1,,,SUMPRODUCT(MAX(ROW(E$2:E5983)*(E5983=E$2:E5983)))))-COUNTBLANK(OFFSET(A$1,,,SUMPRODUCT(MAX(ROW(E$1:E5982)*(E2=E$1:E5982))))))</f>
        <v> </v>
      </c>
      <c r="K5983" s="25" t="str">
        <f>IF(OR(E5983="",E5983="!!!",F5983="NEW"),"",INDEX(J$1:J5982,SUMPRODUCT(MAX(ROW(E$1:E5982)*(E5983=E$1:E5982)))))</f>
        <v> </v>
      </c>
      <c r="L5983" s="26"/>
    </row>
    <row r="5984" spans="1:12">
      <c r="A5984" s="20" t="s">
        <v>993</v>
      </c>
      <c r="B5984" s="27" t="s">
        <v>1010</v>
      </c>
      <c r="C5984" s="27" t="s">
        <v>968</v>
      </c>
      <c r="D5984" s="27" t="s">
        <v>969</v>
      </c>
      <c r="E5984" s="21">
        <f>IF(D5984="?OLD","!!!","")</f>
        <v/>
      </c>
      <c r="F5984" s="22" t="str">
        <f>IF(OR(E5984="",E5984="!!!"),"",IF(NOT(ISNA(VLOOKUP(E5984,E$1:E5983,1,FALSE()))),"OLD",IF(AND(E5984&lt;&gt;"",E5984&lt;&gt;"!!!"),"NEW","")))</f>
        <v> </v>
      </c>
      <c r="G5984" s="23" t="str">
        <f>IF(OR(E5984="",E5984="!!!"),"",IF(OR(J5984=0,AND(J5984=1,K5984=1),AND(J5984=1,I5984="SBJ"),AND(J5984=1,I5984=0)),"?IN_FOCUS",IF(J5984&lt;=2,"?ACTIVATED",IF(J5984&lt;&gt;"","?FAMILIAR",IF(F5984="NEW",IF(ISNA(VLOOKUP(E5984,#REF!,1,FALSE())),"?TYPE_IDENTIFIABLE","?REFERENTIAL"),"_")))))</f>
        <v> </v>
      </c>
      <c r="H5984" s="24" t="str">
        <f>IF(J5984&lt;&gt;1,"",IF(I5984="SBJ","CB","?"))</f>
        <v> </v>
      </c>
      <c r="I5984" s="25" t="str">
        <f>IF(OR(E5984="",E5984="!!!",F5984="NEW"),"",INDEX(B5983:B$2,-1+SUMPRODUCT(MAX(ROW(E5983:E$2)*(E5984=E5983:E$2)))))</f>
        <v> </v>
      </c>
      <c r="J5984" s="25" t="str">
        <f>IF(OR(E5984="",E5984="!!!",F5984="NEW"),"",COUNTBLANK(OFFSET(A$1,,,SUMPRODUCT(MAX(ROW(E$2:E5984)*(E5984=E$2:E5984)))))-COUNTBLANK(OFFSET(A$1,,,SUMPRODUCT(MAX(ROW(E$1:E5983)*(E2=E$1:E5983))))))</f>
        <v> </v>
      </c>
      <c r="K5984" s="25" t="str">
        <f>IF(OR(E5984="",E5984="!!!",F5984="NEW"),"",INDEX(J$1:J5983,SUMPRODUCT(MAX(ROW(E$1:E5983)*(E5984=E$1:E5983)))))</f>
        <v> </v>
      </c>
      <c r="L5984" s="26"/>
    </row>
    <row r="5985" spans="1:12">
      <c r="A5985" s="20" t="s">
        <v>1517</v>
      </c>
      <c r="E5985" s="21">
        <f>IF(D5985="?OLD","!!!","")</f>
        <v/>
      </c>
      <c r="F5985" s="22" t="str">
        <f>IF(OR(E5985="",E5985="!!!"),"",IF(NOT(ISNA(VLOOKUP(E5985,E$1:E5984,1,FALSE()))),"OLD",IF(AND(E5985&lt;&gt;"",E5985&lt;&gt;"!!!"),"NEW","")))</f>
        <v> </v>
      </c>
      <c r="G5985" s="23" t="str">
        <f>IF(OR(E5985="",E5985="!!!"),"",IF(OR(J5985=0,AND(J5985=1,K5985=1),AND(J5985=1,I5985="SBJ"),AND(J5985=1,I5985=0)),"?IN_FOCUS",IF(J5985&lt;=2,"?ACTIVATED",IF(J5985&lt;&gt;"","?FAMILIAR",IF(F5985="NEW",IF(ISNA(VLOOKUP(E5985,#REF!,1,FALSE())),"?TYPE_IDENTIFIABLE","?REFERENTIAL"),"_")))))</f>
        <v> </v>
      </c>
      <c r="H5985" s="24" t="str">
        <f>IF(J5985&lt;&gt;1,"",IF(I5985="SBJ","CB","?"))</f>
        <v> </v>
      </c>
      <c r="I5985" s="25" t="str">
        <f>IF(OR(E5985="",E5985="!!!",F5985="NEW"),"",INDEX(B5984:B$2,-1+SUMPRODUCT(MAX(ROW(E5984:E$2)*(E5985=E5984:E$2)))))</f>
        <v> </v>
      </c>
      <c r="J5985" s="25" t="str">
        <f>IF(OR(E5985="",E5985="!!!",F5985="NEW"),"",COUNTBLANK(OFFSET(A$1,,,SUMPRODUCT(MAX(ROW(E$2:E5985)*(E5985=E$2:E5985)))))-COUNTBLANK(OFFSET(A$1,,,SUMPRODUCT(MAX(ROW(E$1:E5984)*(E2=E$1:E5984))))))</f>
        <v> </v>
      </c>
      <c r="K5985" s="25" t="str">
        <f>IF(OR(E5985="",E5985="!!!",F5985="NEW"),"",INDEX(J$1:J5984,SUMPRODUCT(MAX(ROW(E$1:E5984)*(E5985=E$1:E5984)))))</f>
        <v> </v>
      </c>
      <c r="L5985" s="26"/>
    </row>
    <row r="5986" spans="1:12">
      <c r="A5986" s="20" t="s">
        <v>1369</v>
      </c>
      <c r="E5986" s="21">
        <f>IF(D5986="?OLD","!!!","")</f>
        <v/>
      </c>
      <c r="F5986" s="22" t="str">
        <f>IF(OR(E5986="",E5986="!!!"),"",IF(NOT(ISNA(VLOOKUP(E5986,E$1:E5985,1,FALSE()))),"OLD",IF(AND(E5986&lt;&gt;"",E5986&lt;&gt;"!!!"),"NEW","")))</f>
        <v> </v>
      </c>
      <c r="G5986" s="23" t="str">
        <f>IF(OR(E5986="",E5986="!!!"),"",IF(OR(J5986=0,AND(J5986=1,K5986=1),AND(J5986=1,I5986="SBJ"),AND(J5986=1,I5986=0)),"?IN_FOCUS",IF(J5986&lt;=2,"?ACTIVATED",IF(J5986&lt;&gt;"","?FAMILIAR",IF(F5986="NEW",IF(ISNA(VLOOKUP(E5986,#REF!,1,FALSE())),"?TYPE_IDENTIFIABLE","?REFERENTIAL"),"_")))))</f>
        <v> </v>
      </c>
      <c r="H5986" s="24" t="str">
        <f>IF(J5986&lt;&gt;1,"",IF(I5986="SBJ","CB","?"))</f>
        <v> </v>
      </c>
      <c r="I5986" s="25" t="str">
        <f>IF(OR(E5986="",E5986="!!!",F5986="NEW"),"",INDEX(B5985:B$2,-1+SUMPRODUCT(MAX(ROW(E5985:E$2)*(E5986=E5985:E$2)))))</f>
        <v> </v>
      </c>
      <c r="J5986" s="25" t="str">
        <f>IF(OR(E5986="",E5986="!!!",F5986="NEW"),"",COUNTBLANK(OFFSET(A$1,,,SUMPRODUCT(MAX(ROW(E$2:E5986)*(E5986=E$2:E5986)))))-COUNTBLANK(OFFSET(A$1,,,SUMPRODUCT(MAX(ROW(E$1:E5985)*(E2=E$1:E5985))))))</f>
        <v> </v>
      </c>
      <c r="K5986" s="25" t="str">
        <f>IF(OR(E5986="",E5986="!!!",F5986="NEW"),"",INDEX(J$1:J5985,SUMPRODUCT(MAX(ROW(E$1:E5985)*(E5986=E$1:E5985)))))</f>
        <v> </v>
      </c>
      <c r="L5986" s="26"/>
    </row>
    <row r="5987" spans="1:12">
      <c r="A5987" s="20" t="s">
        <v>1005</v>
      </c>
      <c r="E5987" s="21">
        <f>IF(D5987="?OLD","!!!","")</f>
        <v/>
      </c>
      <c r="F5987" s="22" t="str">
        <f>IF(OR(E5987="",E5987="!!!"),"",IF(NOT(ISNA(VLOOKUP(E5987,E$1:E5986,1,FALSE()))),"OLD",IF(AND(E5987&lt;&gt;"",E5987&lt;&gt;"!!!"),"NEW","")))</f>
        <v> </v>
      </c>
      <c r="G5987" s="23" t="str">
        <f>IF(OR(E5987="",E5987="!!!"),"",IF(OR(J5987=0,AND(J5987=1,K5987=1),AND(J5987=1,I5987="SBJ"),AND(J5987=1,I5987=0)),"?IN_FOCUS",IF(J5987&lt;=2,"?ACTIVATED",IF(J5987&lt;&gt;"","?FAMILIAR",IF(F5987="NEW",IF(ISNA(VLOOKUP(E5987,#REF!,1,FALSE())),"?TYPE_IDENTIFIABLE","?REFERENTIAL"),"_")))))</f>
        <v> </v>
      </c>
      <c r="H5987" s="24" t="str">
        <f>IF(J5987&lt;&gt;1,"",IF(I5987="SBJ","CB","?"))</f>
        <v> </v>
      </c>
      <c r="I5987" s="25" t="str">
        <f>IF(OR(E5987="",E5987="!!!",F5987="NEW"),"",INDEX(B5986:B$2,-1+SUMPRODUCT(MAX(ROW(E5986:E$2)*(E5987=E5986:E$2)))))</f>
        <v> </v>
      </c>
      <c r="J5987" s="25" t="str">
        <f>IF(OR(E5987="",E5987="!!!",F5987="NEW"),"",COUNTBLANK(OFFSET(A$1,,,SUMPRODUCT(MAX(ROW(E$2:E5987)*(E5987=E$2:E5987)))))-COUNTBLANK(OFFSET(A$1,,,SUMPRODUCT(MAX(ROW(E$1:E5986)*(E2=E$1:E5986))))))</f>
        <v> </v>
      </c>
      <c r="K5987" s="25" t="str">
        <f>IF(OR(E5987="",E5987="!!!",F5987="NEW"),"",INDEX(J$1:J5986,SUMPRODUCT(MAX(ROW(E$1:E5986)*(E5987=E$1:E5986)))))</f>
        <v> </v>
      </c>
      <c r="L5987" s="26"/>
    </row>
    <row r="5988" spans="1:12">
      <c r="A5988" s="20"/>
    </row>
    <row r="5989" spans="1:12">
      <c r="A5989" s="20" t="s">
        <v>2554</v>
      </c>
    </row>
    <row r="5990" spans="1:12">
      <c r="A5990" s="20" t="s">
        <v>966</v>
      </c>
      <c r="B5990" s="27" t="s">
        <v>967</v>
      </c>
      <c r="C5990" s="27" t="s">
        <v>968</v>
      </c>
      <c r="D5990" s="27" t="s">
        <v>969</v>
      </c>
      <c r="E5990" s="21">
        <f>IF(D5990="?OLD","!!!","")</f>
        <v/>
      </c>
      <c r="F5990" s="22" t="str">
        <f>IF(OR(E5990="",E5990="!!!"),"",IF(NOT(ISNA(VLOOKUP(E5990,E$1:E5989,1,FALSE()))),"OLD",IF(AND(E5990&lt;&gt;"",E5990&lt;&gt;"!!!"),"NEW","")))</f>
        <v> </v>
      </c>
      <c r="G5990" s="23" t="str">
        <f>IF(OR(E5990="",E5990="!!!"),"",IF(OR(J5990=0,AND(J5990=1,K5990=1),AND(J5990=1,I5990="SBJ"),AND(J5990=1,I5990=0)),"?IN_FOCUS",IF(J5990&lt;=2,"?ACTIVATED",IF(J5990&lt;&gt;"","?FAMILIAR",IF(F5990="NEW",IF(ISNA(VLOOKUP(E5990,#REF!,1,FALSE())),"?TYPE_IDENTIFIABLE","?REFERENTIAL"),"_")))))</f>
        <v> </v>
      </c>
      <c r="H5990" s="24" t="str">
        <f>IF(J5990&lt;&gt;1,"",IF(I5990="SBJ","CB","?"))</f>
        <v> </v>
      </c>
      <c r="I5990" s="25" t="str">
        <f>IF(OR(E5990="",E5990="!!!",F5990="NEW"),"",INDEX(B5989:B$2,-1+SUMPRODUCT(MAX(ROW(E5989:E$2)*(E5990=E5989:E$2)))))</f>
        <v> </v>
      </c>
      <c r="J5990" s="25" t="str">
        <f>IF(OR(E5990="",E5990="!!!",F5990="NEW"),"",COUNTBLANK(OFFSET(A$1,,,SUMPRODUCT(MAX(ROW(E$2:E5990)*(E5990=E$2:E5990)))))-COUNTBLANK(OFFSET(A$1,,,SUMPRODUCT(MAX(ROW(E$1:E5989)*(E2=E$1:E5989))))))</f>
        <v> </v>
      </c>
      <c r="K5990" s="25" t="str">
        <f>IF(OR(E5990="",E5990="!!!",F5990="NEW"),"",INDEX(J$1:J5989,SUMPRODUCT(MAX(ROW(E$1:E5989)*(E5990=E$1:E5989)))))</f>
        <v> </v>
      </c>
      <c r="L5990" s="26"/>
    </row>
    <row r="5991" spans="1:12">
      <c r="A5991" s="20" t="s">
        <v>995</v>
      </c>
      <c r="E5991" s="21">
        <f>IF(D5991="?OLD","!!!","")</f>
        <v/>
      </c>
      <c r="F5991" s="22" t="str">
        <f>IF(OR(E5991="",E5991="!!!"),"",IF(NOT(ISNA(VLOOKUP(E5991,E$1:E5990,1,FALSE()))),"OLD",IF(AND(E5991&lt;&gt;"",E5991&lt;&gt;"!!!"),"NEW","")))</f>
        <v> </v>
      </c>
      <c r="G5991" s="23" t="str">
        <f>IF(OR(E5991="",E5991="!!!"),"",IF(OR(J5991=0,AND(J5991=1,K5991=1),AND(J5991=1,I5991="SBJ"),AND(J5991=1,I5991=0)),"?IN_FOCUS",IF(J5991&lt;=2,"?ACTIVATED",IF(J5991&lt;&gt;"","?FAMILIAR",IF(F5991="NEW",IF(ISNA(VLOOKUP(E5991,#REF!,1,FALSE())),"?TYPE_IDENTIFIABLE","?REFERENTIAL"),"_")))))</f>
        <v> </v>
      </c>
      <c r="H5991" s="24" t="str">
        <f>IF(J5991&lt;&gt;1,"",IF(I5991="SBJ","CB","?"))</f>
        <v> </v>
      </c>
      <c r="I5991" s="25" t="str">
        <f>IF(OR(E5991="",E5991="!!!",F5991="NEW"),"",INDEX(B5990:B$2,-1+SUMPRODUCT(MAX(ROW(E5990:E$2)*(E5991=E5990:E$2)))))</f>
        <v> </v>
      </c>
      <c r="J5991" s="25" t="str">
        <f>IF(OR(E5991="",E5991="!!!",F5991="NEW"),"",COUNTBLANK(OFFSET(A$1,,,SUMPRODUCT(MAX(ROW(E$2:E5991)*(E5991=E$2:E5991)))))-COUNTBLANK(OFFSET(A$1,,,SUMPRODUCT(MAX(ROW(E$1:E5990)*(E2=E$1:E5990))))))</f>
        <v> </v>
      </c>
      <c r="K5991" s="25" t="str">
        <f>IF(OR(E5991="",E5991="!!!",F5991="NEW"),"",INDEX(J$1:J5990,SUMPRODUCT(MAX(ROW(E$1:E5990)*(E5991=E$1:E5990)))))</f>
        <v> </v>
      </c>
      <c r="L5991" s="26"/>
    </row>
    <row r="5992" spans="1:12">
      <c r="A5992" s="20" t="s">
        <v>1280</v>
      </c>
      <c r="B5992" s="27" t="s">
        <v>978</v>
      </c>
      <c r="C5992" s="27" t="s">
        <v>1102</v>
      </c>
      <c r="D5992" s="27" t="s">
        <v>969</v>
      </c>
      <c r="E5992" s="21">
        <f>IF(D5992="?OLD","!!!","")</f>
        <v/>
      </c>
      <c r="F5992" s="22" t="str">
        <f>IF(OR(E5992="",E5992="!!!"),"",IF(NOT(ISNA(VLOOKUP(E5992,E$1:E5991,1,FALSE()))),"OLD",IF(AND(E5992&lt;&gt;"",E5992&lt;&gt;"!!!"),"NEW","")))</f>
        <v> </v>
      </c>
      <c r="G5992" s="23" t="str">
        <f>IF(OR(E5992="",E5992="!!!"),"",IF(OR(J5992=0,AND(J5992=1,K5992=1),AND(J5992=1,I5992="SBJ"),AND(J5992=1,I5992=0)),"?IN_FOCUS",IF(J5992&lt;=2,"?ACTIVATED",IF(J5992&lt;&gt;"","?FAMILIAR",IF(F5992="NEW",IF(ISNA(VLOOKUP(E5992,#REF!,1,FALSE())),"?TYPE_IDENTIFIABLE","?REFERENTIAL"),"_")))))</f>
        <v> </v>
      </c>
      <c r="H5992" s="24" t="str">
        <f>IF(J5992&lt;&gt;1,"",IF(I5992="SBJ","CB","?"))</f>
        <v> </v>
      </c>
      <c r="I5992" s="25" t="str">
        <f>IF(OR(E5992="",E5992="!!!",F5992="NEW"),"",INDEX(B5991:B$2,-1+SUMPRODUCT(MAX(ROW(E5991:E$2)*(E5992=E5991:E$2)))))</f>
        <v> </v>
      </c>
      <c r="J5992" s="25" t="str">
        <f>IF(OR(E5992="",E5992="!!!",F5992="NEW"),"",COUNTBLANK(OFFSET(A$1,,,SUMPRODUCT(MAX(ROW(E$2:E5992)*(E5992=E$2:E5992)))))-COUNTBLANK(OFFSET(A$1,,,SUMPRODUCT(MAX(ROW(E$1:E5991)*(E2=E$1:E5991))))))</f>
        <v> </v>
      </c>
      <c r="K5992" s="25" t="str">
        <f>IF(OR(E5992="",E5992="!!!",F5992="NEW"),"",INDEX(J$1:J5991,SUMPRODUCT(MAX(ROW(E$1:E5991)*(E5992=E$1:E5991)))))</f>
        <v> </v>
      </c>
      <c r="L5992" s="26"/>
    </row>
    <row r="5993" spans="1:12">
      <c r="A5993" s="20" t="s">
        <v>972</v>
      </c>
      <c r="B5993" s="27" t="s">
        <v>973</v>
      </c>
      <c r="C5993" s="27" t="s">
        <v>1141</v>
      </c>
      <c r="D5993" s="27" t="s">
        <v>969</v>
      </c>
      <c r="E5993" s="21">
        <f>IF(D5993="?OLD","!!!","")</f>
        <v/>
      </c>
      <c r="F5993" s="22" t="str">
        <f>IF(OR(E5993="",E5993="!!!"),"",IF(NOT(ISNA(VLOOKUP(E5993,E$1:E5992,1,FALSE()))),"OLD",IF(AND(E5993&lt;&gt;"",E5993&lt;&gt;"!!!"),"NEW","")))</f>
        <v> </v>
      </c>
      <c r="G5993" s="23" t="str">
        <f>IF(OR(E5993="",E5993="!!!"),"",IF(OR(J5993=0,AND(J5993=1,K5993=1),AND(J5993=1,I5993="SBJ"),AND(J5993=1,I5993=0)),"?IN_FOCUS",IF(J5993&lt;=2,"?ACTIVATED",IF(J5993&lt;&gt;"","?FAMILIAR",IF(F5993="NEW",IF(ISNA(VLOOKUP(E5993,#REF!,1,FALSE())),"?TYPE_IDENTIFIABLE","?REFERENTIAL"),"_")))))</f>
        <v> </v>
      </c>
      <c r="H5993" s="24" t="str">
        <f>IF(J5993&lt;&gt;1,"",IF(I5993="SBJ","CB","?"))</f>
        <v> </v>
      </c>
      <c r="I5993" s="25" t="str">
        <f>IF(OR(E5993="",E5993="!!!",F5993="NEW"),"",INDEX(B5992:B$2,-1+SUMPRODUCT(MAX(ROW(E5992:E$2)*(E5993=E5992:E$2)))))</f>
        <v> </v>
      </c>
      <c r="J5993" s="25" t="str">
        <f>IF(OR(E5993="",E5993="!!!",F5993="NEW"),"",COUNTBLANK(OFFSET(A$1,,,SUMPRODUCT(MAX(ROW(E$2:E5993)*(E5993=E$2:E5993)))))-COUNTBLANK(OFFSET(A$1,,,SUMPRODUCT(MAX(ROW(E$1:E5992)*(E2=E$1:E5992))))))</f>
        <v> </v>
      </c>
      <c r="K5993" s="25" t="str">
        <f>IF(OR(E5993="",E5993="!!!",F5993="NEW"),"",INDEX(J$1:J5992,SUMPRODUCT(MAX(ROW(E$1:E5992)*(E5993=E$1:E5992)))))</f>
        <v> </v>
      </c>
      <c r="L5993" s="26"/>
    </row>
    <row r="5994" spans="1:12">
      <c r="A5994" s="20" t="s">
        <v>975</v>
      </c>
      <c r="E5994" s="21">
        <f>IF(D5994="?OLD","!!!","")</f>
        <v/>
      </c>
      <c r="F5994" s="22" t="str">
        <f>IF(OR(E5994="",E5994="!!!"),"",IF(NOT(ISNA(VLOOKUP(E5994,E$1:E5993,1,FALSE()))),"OLD",IF(AND(E5994&lt;&gt;"",E5994&lt;&gt;"!!!"),"NEW","")))</f>
        <v> </v>
      </c>
      <c r="G5994" s="23" t="str">
        <f>IF(OR(E5994="",E5994="!!!"),"",IF(OR(J5994=0,AND(J5994=1,K5994=1),AND(J5994=1,I5994="SBJ"),AND(J5994=1,I5994=0)),"?IN_FOCUS",IF(J5994&lt;=2,"?ACTIVATED",IF(J5994&lt;&gt;"","?FAMILIAR",IF(F5994="NEW",IF(ISNA(VLOOKUP(E5994,#REF!,1,FALSE())),"?TYPE_IDENTIFIABLE","?REFERENTIAL"),"_")))))</f>
        <v> </v>
      </c>
      <c r="H5994" s="24" t="str">
        <f>IF(J5994&lt;&gt;1,"",IF(I5994="SBJ","CB","?"))</f>
        <v> </v>
      </c>
      <c r="I5994" s="25" t="str">
        <f>IF(OR(E5994="",E5994="!!!",F5994="NEW"),"",INDEX(B5993:B$2,-1+SUMPRODUCT(MAX(ROW(E5993:E$2)*(E5994=E5993:E$2)))))</f>
        <v> </v>
      </c>
      <c r="J5994" s="25" t="str">
        <f>IF(OR(E5994="",E5994="!!!",F5994="NEW"),"",COUNTBLANK(OFFSET(A$1,,,SUMPRODUCT(MAX(ROW(E$2:E5994)*(E5994=E$2:E5994)))))-COUNTBLANK(OFFSET(A$1,,,SUMPRODUCT(MAX(ROW(E$1:E5993)*(E2=E$1:E5993))))))</f>
        <v> </v>
      </c>
      <c r="K5994" s="25" t="str">
        <f>IF(OR(E5994="",E5994="!!!",F5994="NEW"),"",INDEX(J$1:J5993,SUMPRODUCT(MAX(ROW(E$1:E5993)*(E5994=E$1:E5993)))))</f>
        <v> </v>
      </c>
      <c r="L5994" s="26"/>
    </row>
    <row r="5995" spans="1:12">
      <c r="A5995" s="20" t="s">
        <v>987</v>
      </c>
      <c r="B5995" s="27" t="s">
        <v>978</v>
      </c>
      <c r="C5995" s="27" t="s">
        <v>988</v>
      </c>
      <c r="D5995" s="27" t="s">
        <v>969</v>
      </c>
      <c r="E5995" s="21">
        <f>IF(D5995="?OLD","!!!","")</f>
        <v/>
      </c>
      <c r="F5995" s="22" t="str">
        <f>IF(OR(E5995="",E5995="!!!"),"",IF(NOT(ISNA(VLOOKUP(E5995,E$1:E5994,1,FALSE()))),"OLD",IF(AND(E5995&lt;&gt;"",E5995&lt;&gt;"!!!"),"NEW","")))</f>
        <v> </v>
      </c>
      <c r="G5995" s="23" t="str">
        <f>IF(OR(E5995="",E5995="!!!"),"",IF(OR(J5995=0,AND(J5995=1,K5995=1),AND(J5995=1,I5995="SBJ"),AND(J5995=1,I5995=0)),"?IN_FOCUS",IF(J5995&lt;=2,"?ACTIVATED",IF(J5995&lt;&gt;"","?FAMILIAR",IF(F5995="NEW",IF(ISNA(VLOOKUP(E5995,#REF!,1,FALSE())),"?TYPE_IDENTIFIABLE","?REFERENTIAL"),"_")))))</f>
        <v> </v>
      </c>
      <c r="H5995" s="24" t="str">
        <f>IF(J5995&lt;&gt;1,"",IF(I5995="SBJ","CB","?"))</f>
        <v> </v>
      </c>
      <c r="I5995" s="25" t="str">
        <f>IF(OR(E5995="",E5995="!!!",F5995="NEW"),"",INDEX(B5994:B$2,-1+SUMPRODUCT(MAX(ROW(E5994:E$2)*(E5995=E5994:E$2)))))</f>
        <v> </v>
      </c>
      <c r="J5995" s="25" t="str">
        <f>IF(OR(E5995="",E5995="!!!",F5995="NEW"),"",COUNTBLANK(OFFSET(A$1,,,SUMPRODUCT(MAX(ROW(E$2:E5995)*(E5995=E$2:E5995)))))-COUNTBLANK(OFFSET(A$1,,,SUMPRODUCT(MAX(ROW(E$1:E5994)*(E2=E$1:E5994))))))</f>
        <v> </v>
      </c>
      <c r="K5995" s="25" t="str">
        <f>IF(OR(E5995="",E5995="!!!",F5995="NEW"),"",INDEX(J$1:J5994,SUMPRODUCT(MAX(ROW(E$1:E5994)*(E5995=E$1:E5994)))))</f>
        <v> </v>
      </c>
      <c r="L5995" s="26"/>
    </row>
    <row r="5996" spans="1:12">
      <c r="A5996" s="20" t="s">
        <v>977</v>
      </c>
      <c r="B5996" s="27" t="s">
        <v>1053</v>
      </c>
      <c r="C5996" s="27" t="s">
        <v>974</v>
      </c>
      <c r="E5996" s="21">
        <f>IF(D5996="?OLD","!!!","")</f>
        <v/>
      </c>
      <c r="F5996" s="22" t="str">
        <f>IF(OR(E5996="",E5996="!!!"),"",IF(NOT(ISNA(VLOOKUP(E5996,E$1:E5995,1,FALSE()))),"OLD",IF(AND(E5996&lt;&gt;"",E5996&lt;&gt;"!!!"),"NEW","")))</f>
        <v> </v>
      </c>
      <c r="G5996" s="23" t="str">
        <f>IF(OR(E5996="",E5996="!!!"),"",IF(OR(J5996=0,AND(J5996=1,K5996=1),AND(J5996=1,I5996="SBJ"),AND(J5996=1,I5996=0)),"?IN_FOCUS",IF(J5996&lt;=2,"?ACTIVATED",IF(J5996&lt;&gt;"","?FAMILIAR",IF(F5996="NEW",IF(ISNA(VLOOKUP(E5996,#REF!,1,FALSE())),"?TYPE_IDENTIFIABLE","?REFERENTIAL"),"_")))))</f>
        <v> </v>
      </c>
      <c r="H5996" s="24" t="str">
        <f>IF(J5996&lt;&gt;1,"",IF(I5996="SBJ","CB","?"))</f>
        <v> </v>
      </c>
      <c r="I5996" s="25" t="str">
        <f>IF(OR(E5996="",E5996="!!!",F5996="NEW"),"",INDEX(B5995:B$2,-1+SUMPRODUCT(MAX(ROW(E5995:E$2)*(E5996=E5995:E$2)))))</f>
        <v> </v>
      </c>
      <c r="J5996" s="25" t="str">
        <f>IF(OR(E5996="",E5996="!!!",F5996="NEW"),"",COUNTBLANK(OFFSET(A$1,,,SUMPRODUCT(MAX(ROW(E$2:E5996)*(E5996=E$2:E5996)))))-COUNTBLANK(OFFSET(A$1,,,SUMPRODUCT(MAX(ROW(E$1:E5995)*(E2=E$1:E5995))))))</f>
        <v> </v>
      </c>
      <c r="K5996" s="25" t="str">
        <f>IF(OR(E5996="",E5996="!!!",F5996="NEW"),"",INDEX(J$1:J5995,SUMPRODUCT(MAX(ROW(E$1:E5995)*(E5996=E$1:E5995)))))</f>
        <v> </v>
      </c>
      <c r="L5996" s="26"/>
    </row>
    <row r="5997" spans="1:12">
      <c r="A5997" s="20" t="s">
        <v>980</v>
      </c>
      <c r="E5997" s="21">
        <f>IF(D5997="?OLD","!!!","")</f>
        <v/>
      </c>
      <c r="F5997" s="22" t="str">
        <f>IF(OR(E5997="",E5997="!!!"),"",IF(NOT(ISNA(VLOOKUP(E5997,E$1:E5996,1,FALSE()))),"OLD",IF(AND(E5997&lt;&gt;"",E5997&lt;&gt;"!!!"),"NEW","")))</f>
        <v> </v>
      </c>
      <c r="G5997" s="23" t="str">
        <f>IF(OR(E5997="",E5997="!!!"),"",IF(OR(J5997=0,AND(J5997=1,K5997=1),AND(J5997=1,I5997="SBJ"),AND(J5997=1,I5997=0)),"?IN_FOCUS",IF(J5997&lt;=2,"?ACTIVATED",IF(J5997&lt;&gt;"","?FAMILIAR",IF(F5997="NEW",IF(ISNA(VLOOKUP(E5997,#REF!,1,FALSE())),"?TYPE_IDENTIFIABLE","?REFERENTIAL"),"_")))))</f>
        <v> </v>
      </c>
      <c r="H5997" s="24" t="str">
        <f>IF(J5997&lt;&gt;1,"",IF(I5997="SBJ","CB","?"))</f>
        <v> </v>
      </c>
      <c r="I5997" s="25" t="str">
        <f>IF(OR(E5997="",E5997="!!!",F5997="NEW"),"",INDEX(B5996:B$2,-1+SUMPRODUCT(MAX(ROW(E5996:E$2)*(E5997=E5996:E$2)))))</f>
        <v> </v>
      </c>
      <c r="J5997" s="25" t="str">
        <f>IF(OR(E5997="",E5997="!!!",F5997="NEW"),"",COUNTBLANK(OFFSET(A$1,,,SUMPRODUCT(MAX(ROW(E$2:E5997)*(E5997=E$2:E5997)))))-COUNTBLANK(OFFSET(A$1,,,SUMPRODUCT(MAX(ROW(E$1:E5996)*(E2=E$1:E5996))))))</f>
        <v> </v>
      </c>
      <c r="K5997" s="25" t="str">
        <f>IF(OR(E5997="",E5997="!!!",F5997="NEW"),"",INDEX(J$1:J5996,SUMPRODUCT(MAX(ROW(E$1:E5996)*(E5997=E$1:E5996)))))</f>
        <v> </v>
      </c>
      <c r="L5997" s="26"/>
    </row>
    <row r="5998" spans="1:12">
      <c r="A5998" s="20" t="s">
        <v>1636</v>
      </c>
      <c r="E5998" s="21">
        <f>IF(D5998="?OLD","!!!","")</f>
        <v/>
      </c>
      <c r="F5998" s="22" t="str">
        <f>IF(OR(E5998="",E5998="!!!"),"",IF(NOT(ISNA(VLOOKUP(E5998,E$1:E5997,1,FALSE()))),"OLD",IF(AND(E5998&lt;&gt;"",E5998&lt;&gt;"!!!"),"NEW","")))</f>
        <v> </v>
      </c>
      <c r="G5998" s="23" t="str">
        <f>IF(OR(E5998="",E5998="!!!"),"",IF(OR(J5998=0,AND(J5998=1,K5998=1),AND(J5998=1,I5998="SBJ"),AND(J5998=1,I5998=0)),"?IN_FOCUS",IF(J5998&lt;=2,"?ACTIVATED",IF(J5998&lt;&gt;"","?FAMILIAR",IF(F5998="NEW",IF(ISNA(VLOOKUP(E5998,#REF!,1,FALSE())),"?TYPE_IDENTIFIABLE","?REFERENTIAL"),"_")))))</f>
        <v> </v>
      </c>
      <c r="H5998" s="24" t="str">
        <f>IF(J5998&lt;&gt;1,"",IF(I5998="SBJ","CB","?"))</f>
        <v> </v>
      </c>
      <c r="I5998" s="25" t="str">
        <f>IF(OR(E5998="",E5998="!!!",F5998="NEW"),"",INDEX(B5997:B$2,-1+SUMPRODUCT(MAX(ROW(E5997:E$2)*(E5998=E5997:E$2)))))</f>
        <v> </v>
      </c>
      <c r="J5998" s="25" t="str">
        <f>IF(OR(E5998="",E5998="!!!",F5998="NEW"),"",COUNTBLANK(OFFSET(A$1,,,SUMPRODUCT(MAX(ROW(E$2:E5998)*(E5998=E$2:E5998)))))-COUNTBLANK(OFFSET(A$1,,,SUMPRODUCT(MAX(ROW(E$1:E5997)*(E2=E$1:E5997))))))</f>
        <v> </v>
      </c>
      <c r="K5998" s="25" t="str">
        <f>IF(OR(E5998="",E5998="!!!",F5998="NEW"),"",INDEX(J$1:J5997,SUMPRODUCT(MAX(ROW(E$1:E5997)*(E5998=E$1:E5997)))))</f>
        <v> </v>
      </c>
      <c r="L5998" s="26"/>
    </row>
    <row r="5999" spans="1:12">
      <c r="A5999" s="20" t="s">
        <v>2555</v>
      </c>
      <c r="E5999" s="21">
        <f>IF(D5999="?OLD","!!!","")</f>
        <v/>
      </c>
      <c r="F5999" s="22" t="str">
        <f>IF(OR(E5999="",E5999="!!!"),"",IF(NOT(ISNA(VLOOKUP(E5999,E$1:E5998,1,FALSE()))),"OLD",IF(AND(E5999&lt;&gt;"",E5999&lt;&gt;"!!!"),"NEW","")))</f>
        <v> </v>
      </c>
      <c r="G5999" s="23" t="str">
        <f>IF(OR(E5999="",E5999="!!!"),"",IF(OR(J5999=0,AND(J5999=1,K5999=1),AND(J5999=1,I5999="SBJ"),AND(J5999=1,I5999=0)),"?IN_FOCUS",IF(J5999&lt;=2,"?ACTIVATED",IF(J5999&lt;&gt;"","?FAMILIAR",IF(F5999="NEW",IF(ISNA(VLOOKUP(E5999,#REF!,1,FALSE())),"?TYPE_IDENTIFIABLE","?REFERENTIAL"),"_")))))</f>
        <v> </v>
      </c>
      <c r="H5999" s="24" t="str">
        <f>IF(J5999&lt;&gt;1,"",IF(I5999="SBJ","CB","?"))</f>
        <v> </v>
      </c>
      <c r="I5999" s="25" t="str">
        <f>IF(OR(E5999="",E5999="!!!",F5999="NEW"),"",INDEX(B5998:B$2,-1+SUMPRODUCT(MAX(ROW(E5998:E$2)*(E5999=E5998:E$2)))))</f>
        <v> </v>
      </c>
      <c r="J5999" s="25" t="str">
        <f>IF(OR(E5999="",E5999="!!!",F5999="NEW"),"",COUNTBLANK(OFFSET(A$1,,,SUMPRODUCT(MAX(ROW(E$2:E5999)*(E5999=E$2:E5999)))))-COUNTBLANK(OFFSET(A$1,,,SUMPRODUCT(MAX(ROW(E$1:E5998)*(E2=E$1:E5998))))))</f>
        <v> </v>
      </c>
      <c r="K5999" s="25" t="str">
        <f>IF(OR(E5999="",E5999="!!!",F5999="NEW"),"",INDEX(J$1:J5998,SUMPRODUCT(MAX(ROW(E$1:E5998)*(E5999=E$1:E5998)))))</f>
        <v> </v>
      </c>
      <c r="L5999" s="26"/>
    </row>
    <row r="6000" spans="1:12">
      <c r="A6000" s="20" t="s">
        <v>976</v>
      </c>
      <c r="E6000" s="21">
        <f>IF(D6000="?OLD","!!!","")</f>
        <v/>
      </c>
      <c r="F6000" s="22" t="str">
        <f>IF(OR(E6000="",E6000="!!!"),"",IF(NOT(ISNA(VLOOKUP(E6000,E$1:E5999,1,FALSE()))),"OLD",IF(AND(E6000&lt;&gt;"",E6000&lt;&gt;"!!!"),"NEW","")))</f>
        <v> </v>
      </c>
      <c r="G6000" s="23" t="str">
        <f>IF(OR(E6000="",E6000="!!!"),"",IF(OR(J6000=0,AND(J6000=1,K6000=1),AND(J6000=1,I6000="SBJ"),AND(J6000=1,I6000=0)),"?IN_FOCUS",IF(J6000&lt;=2,"?ACTIVATED",IF(J6000&lt;&gt;"","?FAMILIAR",IF(F6000="NEW",IF(ISNA(VLOOKUP(E6000,#REF!,1,FALSE())),"?TYPE_IDENTIFIABLE","?REFERENTIAL"),"_")))))</f>
        <v> </v>
      </c>
      <c r="H6000" s="24" t="str">
        <f>IF(J6000&lt;&gt;1,"",IF(I6000="SBJ","CB","?"))</f>
        <v> </v>
      </c>
      <c r="I6000" s="25" t="str">
        <f>IF(OR(E6000="",E6000="!!!",F6000="NEW"),"",INDEX(B5999:B$2,-1+SUMPRODUCT(MAX(ROW(E5999:E$2)*(E6000=E5999:E$2)))))</f>
        <v> </v>
      </c>
      <c r="J6000" s="25" t="str">
        <f>IF(OR(E6000="",E6000="!!!",F6000="NEW"),"",COUNTBLANK(OFFSET(A$1,,,SUMPRODUCT(MAX(ROW(E$2:E6000)*(E6000=E$2:E6000)))))-COUNTBLANK(OFFSET(A$1,,,SUMPRODUCT(MAX(ROW(E$1:E5999)*(E2=E$1:E5999))))))</f>
        <v> </v>
      </c>
      <c r="K6000" s="25" t="str">
        <f>IF(OR(E6000="",E6000="!!!",F6000="NEW"),"",INDEX(J$1:J5999,SUMPRODUCT(MAX(ROW(E$1:E5999)*(E6000=E$1:E5999)))))</f>
        <v> </v>
      </c>
      <c r="L6000" s="26"/>
    </row>
    <row r="6001" spans="1:12">
      <c r="A6001" s="20" t="s">
        <v>2556</v>
      </c>
      <c r="B6001" s="27" t="s">
        <v>978</v>
      </c>
      <c r="C6001" s="27" t="s">
        <v>979</v>
      </c>
      <c r="D6001" s="27" t="s">
        <v>969</v>
      </c>
      <c r="E6001" s="21">
        <f>IF(D6001="?OLD","!!!","")</f>
        <v/>
      </c>
      <c r="F6001" s="22" t="str">
        <f>IF(OR(E6001="",E6001="!!!"),"",IF(NOT(ISNA(VLOOKUP(E6001,E$1:E6000,1,FALSE()))),"OLD",IF(AND(E6001&lt;&gt;"",E6001&lt;&gt;"!!!"),"NEW","")))</f>
        <v> </v>
      </c>
      <c r="G6001" s="23" t="str">
        <f>IF(OR(E6001="",E6001="!!!"),"",IF(OR(J6001=0,AND(J6001=1,K6001=1),AND(J6001=1,I6001="SBJ"),AND(J6001=1,I6001=0)),"?IN_FOCUS",IF(J6001&lt;=2,"?ACTIVATED",IF(J6001&lt;&gt;"","?FAMILIAR",IF(F6001="NEW",IF(ISNA(VLOOKUP(E6001,#REF!,1,FALSE())),"?TYPE_IDENTIFIABLE","?REFERENTIAL"),"_")))))</f>
        <v> </v>
      </c>
      <c r="H6001" s="24" t="str">
        <f>IF(J6001&lt;&gt;1,"",IF(I6001="SBJ","CB","?"))</f>
        <v> </v>
      </c>
      <c r="I6001" s="25" t="str">
        <f>IF(OR(E6001="",E6001="!!!",F6001="NEW"),"",INDEX(B6000:B$2,-1+SUMPRODUCT(MAX(ROW(E6000:E$2)*(E6001=E6000:E$2)))))</f>
        <v> </v>
      </c>
      <c r="J6001" s="25" t="str">
        <f>IF(OR(E6001="",E6001="!!!",F6001="NEW"),"",COUNTBLANK(OFFSET(A$1,,,SUMPRODUCT(MAX(ROW(E$2:E6001)*(E6001=E$2:E6001)))))-COUNTBLANK(OFFSET(A$1,,,SUMPRODUCT(MAX(ROW(E$1:E6000)*(E2=E$1:E6000))))))</f>
        <v> </v>
      </c>
      <c r="K6001" s="25" t="str">
        <f>IF(OR(E6001="",E6001="!!!",F6001="NEW"),"",INDEX(J$1:J6000,SUMPRODUCT(MAX(ROW(E$1:E6000)*(E6001=E$1:E6000)))))</f>
        <v> </v>
      </c>
      <c r="L6001" s="26"/>
    </row>
    <row r="6002" spans="1:12">
      <c r="A6002" s="20" t="s">
        <v>1151</v>
      </c>
      <c r="E6002" s="21">
        <f>IF(D6002="?OLD","!!!","")</f>
        <v/>
      </c>
      <c r="F6002" s="22" t="str">
        <f>IF(OR(E6002="",E6002="!!!"),"",IF(NOT(ISNA(VLOOKUP(E6002,E$1:E6001,1,FALSE()))),"OLD",IF(AND(E6002&lt;&gt;"",E6002&lt;&gt;"!!!"),"NEW","")))</f>
        <v> </v>
      </c>
      <c r="G6002" s="23" t="str">
        <f>IF(OR(E6002="",E6002="!!!"),"",IF(OR(J6002=0,AND(J6002=1,K6002=1),AND(J6002=1,I6002="SBJ"),AND(J6002=1,I6002=0)),"?IN_FOCUS",IF(J6002&lt;=2,"?ACTIVATED",IF(J6002&lt;&gt;"","?FAMILIAR",IF(F6002="NEW",IF(ISNA(VLOOKUP(E6002,#REF!,1,FALSE())),"?TYPE_IDENTIFIABLE","?REFERENTIAL"),"_")))))</f>
        <v> </v>
      </c>
      <c r="H6002" s="24" t="str">
        <f>IF(J6002&lt;&gt;1,"",IF(I6002="SBJ","CB","?"))</f>
        <v> </v>
      </c>
      <c r="I6002" s="25" t="str">
        <f>IF(OR(E6002="",E6002="!!!",F6002="NEW"),"",INDEX(B6001:B$2,-1+SUMPRODUCT(MAX(ROW(E6001:E$2)*(E6002=E6001:E$2)))))</f>
        <v> </v>
      </c>
      <c r="J6002" s="25" t="str">
        <f>IF(OR(E6002="",E6002="!!!",F6002="NEW"),"",COUNTBLANK(OFFSET(A$1,,,SUMPRODUCT(MAX(ROW(E$2:E6002)*(E6002=E$2:E6002)))))-COUNTBLANK(OFFSET(A$1,,,SUMPRODUCT(MAX(ROW(E$1:E6001)*(E2=E$1:E6001))))))</f>
        <v> </v>
      </c>
      <c r="K6002" s="25" t="str">
        <f>IF(OR(E6002="",E6002="!!!",F6002="NEW"),"",INDEX(J$1:J6001,SUMPRODUCT(MAX(ROW(E$1:E6001)*(E6002=E$1:E6001)))))</f>
        <v> </v>
      </c>
      <c r="L6002" s="26"/>
    </row>
    <row r="6003" spans="1:12">
      <c r="A6003" s="20" t="s">
        <v>976</v>
      </c>
      <c r="E6003" s="21">
        <f>IF(D6003="?OLD","!!!","")</f>
        <v/>
      </c>
      <c r="F6003" s="22" t="str">
        <f>IF(OR(E6003="",E6003="!!!"),"",IF(NOT(ISNA(VLOOKUP(E6003,E$1:E6002,1,FALSE()))),"OLD",IF(AND(E6003&lt;&gt;"",E6003&lt;&gt;"!!!"),"NEW","")))</f>
        <v> </v>
      </c>
      <c r="G6003" s="23" t="str">
        <f>IF(OR(E6003="",E6003="!!!"),"",IF(OR(J6003=0,AND(J6003=1,K6003=1),AND(J6003=1,I6003="SBJ"),AND(J6003=1,I6003=0)),"?IN_FOCUS",IF(J6003&lt;=2,"?ACTIVATED",IF(J6003&lt;&gt;"","?FAMILIAR",IF(F6003="NEW",IF(ISNA(VLOOKUP(E6003,#REF!,1,FALSE())),"?TYPE_IDENTIFIABLE","?REFERENTIAL"),"_")))))</f>
        <v> </v>
      </c>
      <c r="H6003" s="24" t="str">
        <f>IF(J6003&lt;&gt;1,"",IF(I6003="SBJ","CB","?"))</f>
        <v> </v>
      </c>
      <c r="I6003" s="25" t="str">
        <f>IF(OR(E6003="",E6003="!!!",F6003="NEW"),"",INDEX(B6002:B$2,-1+SUMPRODUCT(MAX(ROW(E6002:E$2)*(E6003=E6002:E$2)))))</f>
        <v> </v>
      </c>
      <c r="J6003" s="25" t="str">
        <f>IF(OR(E6003="",E6003="!!!",F6003="NEW"),"",COUNTBLANK(OFFSET(A$1,,,SUMPRODUCT(MAX(ROW(E$2:E6003)*(E6003=E$2:E6003)))))-COUNTBLANK(OFFSET(A$1,,,SUMPRODUCT(MAX(ROW(E$1:E6002)*(E2=E$1:E6002))))))</f>
        <v> </v>
      </c>
      <c r="K6003" s="25" t="str">
        <f>IF(OR(E6003="",E6003="!!!",F6003="NEW"),"",INDEX(J$1:J6002,SUMPRODUCT(MAX(ROW(E$1:E6002)*(E6003=E$1:E6002)))))</f>
        <v> </v>
      </c>
      <c r="L6003" s="26"/>
    </row>
    <row r="6004" spans="1:12">
      <c r="A6004" s="20" t="s">
        <v>2557</v>
      </c>
      <c r="B6004" s="27" t="s">
        <v>978</v>
      </c>
      <c r="C6004" s="27" t="s">
        <v>979</v>
      </c>
      <c r="D6004" s="27" t="s">
        <v>969</v>
      </c>
      <c r="E6004" s="21">
        <f>IF(D6004="?OLD","!!!","")</f>
        <v/>
      </c>
      <c r="F6004" s="22" t="str">
        <f>IF(OR(E6004="",E6004="!!!"),"",IF(NOT(ISNA(VLOOKUP(E6004,E$1:E6003,1,FALSE()))),"OLD",IF(AND(E6004&lt;&gt;"",E6004&lt;&gt;"!!!"),"NEW","")))</f>
        <v> </v>
      </c>
      <c r="G6004" s="23" t="str">
        <f>IF(OR(E6004="",E6004="!!!"),"",IF(OR(J6004=0,AND(J6004=1,K6004=1),AND(J6004=1,I6004="SBJ"),AND(J6004=1,I6004=0)),"?IN_FOCUS",IF(J6004&lt;=2,"?ACTIVATED",IF(J6004&lt;&gt;"","?FAMILIAR",IF(F6004="NEW",IF(ISNA(VLOOKUP(E6004,#REF!,1,FALSE())),"?TYPE_IDENTIFIABLE","?REFERENTIAL"),"_")))))</f>
        <v> </v>
      </c>
      <c r="H6004" s="24" t="str">
        <f>IF(J6004&lt;&gt;1,"",IF(I6004="SBJ","CB","?"))</f>
        <v> </v>
      </c>
      <c r="I6004" s="25" t="str">
        <f>IF(OR(E6004="",E6004="!!!",F6004="NEW"),"",INDEX(B6003:B$2,-1+SUMPRODUCT(MAX(ROW(E6003:E$2)*(E6004=E6003:E$2)))))</f>
        <v> </v>
      </c>
      <c r="J6004" s="25" t="str">
        <f>IF(OR(E6004="",E6004="!!!",F6004="NEW"),"",COUNTBLANK(OFFSET(A$1,,,SUMPRODUCT(MAX(ROW(E$2:E6004)*(E6004=E$2:E6004)))))-COUNTBLANK(OFFSET(A$1,,,SUMPRODUCT(MAX(ROW(E$1:E6003)*(E2=E$1:E6003))))))</f>
        <v> </v>
      </c>
      <c r="K6004" s="25" t="str">
        <f>IF(OR(E6004="",E6004="!!!",F6004="NEW"),"",INDEX(J$1:J6003,SUMPRODUCT(MAX(ROW(E$1:E6003)*(E6004=E$1:E6003)))))</f>
        <v> </v>
      </c>
      <c r="L6004" s="26"/>
    </row>
    <row r="6005" spans="1:12">
      <c r="A6005" s="20" t="s">
        <v>1043</v>
      </c>
      <c r="E6005" s="21">
        <f>IF(D6005="?OLD","!!!","")</f>
        <v/>
      </c>
      <c r="F6005" s="22" t="str">
        <f>IF(OR(E6005="",E6005="!!!"),"",IF(NOT(ISNA(VLOOKUP(E6005,E$1:E6004,1,FALSE()))),"OLD",IF(AND(E6005&lt;&gt;"",E6005&lt;&gt;"!!!"),"NEW","")))</f>
        <v> </v>
      </c>
      <c r="G6005" s="23" t="str">
        <f>IF(OR(E6005="",E6005="!!!"),"",IF(OR(J6005=0,AND(J6005=1,K6005=1),AND(J6005=1,I6005="SBJ"),AND(J6005=1,I6005=0)),"?IN_FOCUS",IF(J6005&lt;=2,"?ACTIVATED",IF(J6005&lt;&gt;"","?FAMILIAR",IF(F6005="NEW",IF(ISNA(VLOOKUP(E6005,#REF!,1,FALSE())),"?TYPE_IDENTIFIABLE","?REFERENTIAL"),"_")))))</f>
        <v> </v>
      </c>
      <c r="H6005" s="24" t="str">
        <f>IF(J6005&lt;&gt;1,"",IF(I6005="SBJ","CB","?"))</f>
        <v> </v>
      </c>
      <c r="I6005" s="25" t="str">
        <f>IF(OR(E6005="",E6005="!!!",F6005="NEW"),"",INDEX(B6004:B$2,-1+SUMPRODUCT(MAX(ROW(E6004:E$2)*(E6005=E6004:E$2)))))</f>
        <v> </v>
      </c>
      <c r="J6005" s="25" t="str">
        <f>IF(OR(E6005="",E6005="!!!",F6005="NEW"),"",COUNTBLANK(OFFSET(A$1,,,SUMPRODUCT(MAX(ROW(E$2:E6005)*(E6005=E$2:E6005)))))-COUNTBLANK(OFFSET(A$1,,,SUMPRODUCT(MAX(ROW(E$1:E6004)*(E2=E$1:E6004))))))</f>
        <v> </v>
      </c>
      <c r="K6005" s="25" t="str">
        <f>IF(OR(E6005="",E6005="!!!",F6005="NEW"),"",INDEX(J$1:J6004,SUMPRODUCT(MAX(ROW(E$1:E6004)*(E6005=E$1:E6004)))))</f>
        <v> </v>
      </c>
      <c r="L6005" s="26"/>
    </row>
    <row r="6006" spans="1:12">
      <c r="A6006" s="20" t="s">
        <v>1074</v>
      </c>
      <c r="B6006" s="27" t="s">
        <v>982</v>
      </c>
      <c r="C6006" s="27" t="s">
        <v>979</v>
      </c>
      <c r="D6006" s="27" t="s">
        <v>969</v>
      </c>
      <c r="E6006" s="21">
        <f>IF(D6006="?OLD","!!!","")</f>
        <v/>
      </c>
      <c r="F6006" s="22" t="str">
        <f>IF(OR(E6006="",E6006="!!!"),"",IF(NOT(ISNA(VLOOKUP(E6006,E$1:E6005,1,FALSE()))),"OLD",IF(AND(E6006&lt;&gt;"",E6006&lt;&gt;"!!!"),"NEW","")))</f>
        <v> </v>
      </c>
      <c r="G6006" s="23" t="str">
        <f>IF(OR(E6006="",E6006="!!!"),"",IF(OR(J6006=0,AND(J6006=1,K6006=1),AND(J6006=1,I6006="SBJ"),AND(J6006=1,I6006=0)),"?IN_FOCUS",IF(J6006&lt;=2,"?ACTIVATED",IF(J6006&lt;&gt;"","?FAMILIAR",IF(F6006="NEW",IF(ISNA(VLOOKUP(E6006,#REF!,1,FALSE())),"?TYPE_IDENTIFIABLE","?REFERENTIAL"),"_")))))</f>
        <v> </v>
      </c>
      <c r="H6006" s="24" t="str">
        <f>IF(J6006&lt;&gt;1,"",IF(I6006="SBJ","CB","?"))</f>
        <v> </v>
      </c>
      <c r="I6006" s="25" t="str">
        <f>IF(OR(E6006="",E6006="!!!",F6006="NEW"),"",INDEX(B6005:B$2,-1+SUMPRODUCT(MAX(ROW(E6005:E$2)*(E6006=E6005:E$2)))))</f>
        <v> </v>
      </c>
      <c r="J6006" s="25" t="str">
        <f>IF(OR(E6006="",E6006="!!!",F6006="NEW"),"",COUNTBLANK(OFFSET(A$1,,,SUMPRODUCT(MAX(ROW(E$2:E6006)*(E6006=E$2:E6006)))))-COUNTBLANK(OFFSET(A$1,,,SUMPRODUCT(MAX(ROW(E$1:E6005)*(E2=E$1:E6005))))))</f>
        <v> </v>
      </c>
      <c r="K6006" s="25" t="str">
        <f>IF(OR(E6006="",E6006="!!!",F6006="NEW"),"",INDEX(J$1:J6005,SUMPRODUCT(MAX(ROW(E$1:E6005)*(E6006=E$1:E6005)))))</f>
        <v> </v>
      </c>
      <c r="L6006" s="26"/>
    </row>
    <row r="6007" spans="1:12">
      <c r="A6007" s="20" t="s">
        <v>991</v>
      </c>
      <c r="E6007" s="21">
        <f>IF(D6007="?OLD","!!!","")</f>
        <v/>
      </c>
      <c r="F6007" s="22" t="str">
        <f>IF(OR(E6007="",E6007="!!!"),"",IF(NOT(ISNA(VLOOKUP(E6007,E$1:E6006,1,FALSE()))),"OLD",IF(AND(E6007&lt;&gt;"",E6007&lt;&gt;"!!!"),"NEW","")))</f>
        <v> </v>
      </c>
      <c r="G6007" s="23" t="str">
        <f>IF(OR(E6007="",E6007="!!!"),"",IF(OR(J6007=0,AND(J6007=1,K6007=1),AND(J6007=1,I6007="SBJ"),AND(J6007=1,I6007=0)),"?IN_FOCUS",IF(J6007&lt;=2,"?ACTIVATED",IF(J6007&lt;&gt;"","?FAMILIAR",IF(F6007="NEW",IF(ISNA(VLOOKUP(E6007,#REF!,1,FALSE())),"?TYPE_IDENTIFIABLE","?REFERENTIAL"),"_")))))</f>
        <v> </v>
      </c>
      <c r="H6007" s="24" t="str">
        <f>IF(J6007&lt;&gt;1,"",IF(I6007="SBJ","CB","?"))</f>
        <v> </v>
      </c>
      <c r="I6007" s="25" t="str">
        <f>IF(OR(E6007="",E6007="!!!",F6007="NEW"),"",INDEX(B6006:B$2,-1+SUMPRODUCT(MAX(ROW(E6006:E$2)*(E6007=E6006:E$2)))))</f>
        <v> </v>
      </c>
      <c r="J6007" s="25" t="str">
        <f>IF(OR(E6007="",E6007="!!!",F6007="NEW"),"",COUNTBLANK(OFFSET(A$1,,,SUMPRODUCT(MAX(ROW(E$2:E6007)*(E6007=E$2:E6007)))))-COUNTBLANK(OFFSET(A$1,,,SUMPRODUCT(MAX(ROW(E$1:E6006)*(E2=E$1:E6006))))))</f>
        <v> </v>
      </c>
      <c r="K6007" s="25" t="str">
        <f>IF(OR(E6007="",E6007="!!!",F6007="NEW"),"",INDEX(J$1:J6006,SUMPRODUCT(MAX(ROW(E$1:E6006)*(E6007=E$1:E6006)))))</f>
        <v> </v>
      </c>
      <c r="L6007" s="26"/>
    </row>
    <row r="6008" spans="1:12">
      <c r="A6008" s="20" t="s">
        <v>980</v>
      </c>
      <c r="E6008" s="21">
        <f>IF(D6008="?OLD","!!!","")</f>
        <v/>
      </c>
      <c r="F6008" s="22" t="str">
        <f>IF(OR(E6008="",E6008="!!!"),"",IF(NOT(ISNA(VLOOKUP(E6008,E$1:E6007,1,FALSE()))),"OLD",IF(AND(E6008&lt;&gt;"",E6008&lt;&gt;"!!!"),"NEW","")))</f>
        <v> </v>
      </c>
      <c r="G6008" s="23" t="str">
        <f>IF(OR(E6008="",E6008="!!!"),"",IF(OR(J6008=0,AND(J6008=1,K6008=1),AND(J6008=1,I6008="SBJ"),AND(J6008=1,I6008=0)),"?IN_FOCUS",IF(J6008&lt;=2,"?ACTIVATED",IF(J6008&lt;&gt;"","?FAMILIAR",IF(F6008="NEW",IF(ISNA(VLOOKUP(E6008,#REF!,1,FALSE())),"?TYPE_IDENTIFIABLE","?REFERENTIAL"),"_")))))</f>
        <v> </v>
      </c>
      <c r="H6008" s="24" t="str">
        <f>IF(J6008&lt;&gt;1,"",IF(I6008="SBJ","CB","?"))</f>
        <v> </v>
      </c>
      <c r="I6008" s="25" t="str">
        <f>IF(OR(E6008="",E6008="!!!",F6008="NEW"),"",INDEX(B6007:B$2,-1+SUMPRODUCT(MAX(ROW(E6007:E$2)*(E6008=E6007:E$2)))))</f>
        <v> </v>
      </c>
      <c r="J6008" s="25" t="str">
        <f>IF(OR(E6008="",E6008="!!!",F6008="NEW"),"",COUNTBLANK(OFFSET(A$1,,,SUMPRODUCT(MAX(ROW(E$2:E6008)*(E6008=E$2:E6008)))))-COUNTBLANK(OFFSET(A$1,,,SUMPRODUCT(MAX(ROW(E$1:E6007)*(E2=E$1:E6007))))))</f>
        <v> </v>
      </c>
      <c r="K6008" s="25" t="str">
        <f>IF(OR(E6008="",E6008="!!!",F6008="NEW"),"",INDEX(J$1:J6007,SUMPRODUCT(MAX(ROW(E$1:E6007)*(E6008=E$1:E6007)))))</f>
        <v> </v>
      </c>
      <c r="L6008" s="26"/>
    </row>
    <row r="6009" spans="1:12">
      <c r="A6009" s="20" t="s">
        <v>993</v>
      </c>
      <c r="B6009" s="27" t="s">
        <v>1010</v>
      </c>
      <c r="C6009" s="27" t="s">
        <v>968</v>
      </c>
      <c r="D6009" s="27" t="s">
        <v>969</v>
      </c>
      <c r="E6009" s="21">
        <f>IF(D6009="?OLD","!!!","")</f>
        <v/>
      </c>
      <c r="F6009" s="22" t="str">
        <f>IF(OR(E6009="",E6009="!!!"),"",IF(NOT(ISNA(VLOOKUP(E6009,E$1:E6008,1,FALSE()))),"OLD",IF(AND(E6009&lt;&gt;"",E6009&lt;&gt;"!!!"),"NEW","")))</f>
        <v> </v>
      </c>
      <c r="G6009" s="23" t="str">
        <f>IF(OR(E6009="",E6009="!!!"),"",IF(OR(J6009=0,AND(J6009=1,K6009=1),AND(J6009=1,I6009="SBJ"),AND(J6009=1,I6009=0)),"?IN_FOCUS",IF(J6009&lt;=2,"?ACTIVATED",IF(J6009&lt;&gt;"","?FAMILIAR",IF(F6009="NEW",IF(ISNA(VLOOKUP(E6009,#REF!,1,FALSE())),"?TYPE_IDENTIFIABLE","?REFERENTIAL"),"_")))))</f>
        <v> </v>
      </c>
      <c r="H6009" s="24" t="str">
        <f>IF(J6009&lt;&gt;1,"",IF(I6009="SBJ","CB","?"))</f>
        <v> </v>
      </c>
      <c r="I6009" s="25" t="str">
        <f>IF(OR(E6009="",E6009="!!!",F6009="NEW"),"",INDEX(B6008:B$2,-1+SUMPRODUCT(MAX(ROW(E6008:E$2)*(E6009=E6008:E$2)))))</f>
        <v> </v>
      </c>
      <c r="J6009" s="25" t="str">
        <f>IF(OR(E6009="",E6009="!!!",F6009="NEW"),"",COUNTBLANK(OFFSET(A$1,,,SUMPRODUCT(MAX(ROW(E$2:E6009)*(E6009=E$2:E6009)))))-COUNTBLANK(OFFSET(A$1,,,SUMPRODUCT(MAX(ROW(E$1:E6008)*(E2=E$1:E6008))))))</f>
        <v> </v>
      </c>
      <c r="K6009" s="25" t="str">
        <f>IF(OR(E6009="",E6009="!!!",F6009="NEW"),"",INDEX(J$1:J6008,SUMPRODUCT(MAX(ROW(E$1:E6008)*(E6009=E$1:E6008)))))</f>
        <v> </v>
      </c>
      <c r="L6009" s="26"/>
    </row>
    <row r="6010" spans="1:12">
      <c r="A6010" s="20" t="s">
        <v>2558</v>
      </c>
      <c r="E6010" s="21">
        <f>IF(D6010="?OLD","!!!","")</f>
        <v/>
      </c>
      <c r="F6010" s="22" t="str">
        <f>IF(OR(E6010="",E6010="!!!"),"",IF(NOT(ISNA(VLOOKUP(E6010,E$1:E6009,1,FALSE()))),"OLD",IF(AND(E6010&lt;&gt;"",E6010&lt;&gt;"!!!"),"NEW","")))</f>
        <v> </v>
      </c>
      <c r="G6010" s="23" t="str">
        <f>IF(OR(E6010="",E6010="!!!"),"",IF(OR(J6010=0,AND(J6010=1,K6010=1),AND(J6010=1,I6010="SBJ"),AND(J6010=1,I6010=0)),"?IN_FOCUS",IF(J6010&lt;=2,"?ACTIVATED",IF(J6010&lt;&gt;"","?FAMILIAR",IF(F6010="NEW",IF(ISNA(VLOOKUP(E6010,#REF!,1,FALSE())),"?TYPE_IDENTIFIABLE","?REFERENTIAL"),"_")))))</f>
        <v> </v>
      </c>
      <c r="H6010" s="24" t="str">
        <f>IF(J6010&lt;&gt;1,"",IF(I6010="SBJ","CB","?"))</f>
        <v> </v>
      </c>
      <c r="I6010" s="25" t="str">
        <f>IF(OR(E6010="",E6010="!!!",F6010="NEW"),"",INDEX(B6009:B$2,-1+SUMPRODUCT(MAX(ROW(E6009:E$2)*(E6010=E6009:E$2)))))</f>
        <v> </v>
      </c>
      <c r="J6010" s="25" t="str">
        <f>IF(OR(E6010="",E6010="!!!",F6010="NEW"),"",COUNTBLANK(OFFSET(A$1,,,SUMPRODUCT(MAX(ROW(E$2:E6010)*(E6010=E$2:E6010)))))-COUNTBLANK(OFFSET(A$1,,,SUMPRODUCT(MAX(ROW(E$1:E6009)*(E2=E$1:E6009))))))</f>
        <v> </v>
      </c>
      <c r="K6010" s="25" t="str">
        <f>IF(OR(E6010="",E6010="!!!",F6010="NEW"),"",INDEX(J$1:J6009,SUMPRODUCT(MAX(ROW(E$1:E6009)*(E6010=E$1:E6009)))))</f>
        <v> </v>
      </c>
      <c r="L6010" s="26"/>
    </row>
    <row r="6011" spans="1:12">
      <c r="A6011" s="20" t="s">
        <v>1357</v>
      </c>
      <c r="E6011" s="21">
        <f>IF(D6011="?OLD","!!!","")</f>
        <v/>
      </c>
      <c r="F6011" s="22" t="str">
        <f>IF(OR(E6011="",E6011="!!!"),"",IF(NOT(ISNA(VLOOKUP(E6011,E$1:E6010,1,FALSE()))),"OLD",IF(AND(E6011&lt;&gt;"",E6011&lt;&gt;"!!!"),"NEW","")))</f>
        <v> </v>
      </c>
      <c r="G6011" s="23" t="str">
        <f>IF(OR(E6011="",E6011="!!!"),"",IF(OR(J6011=0,AND(J6011=1,K6011=1),AND(J6011=1,I6011="SBJ"),AND(J6011=1,I6011=0)),"?IN_FOCUS",IF(J6011&lt;=2,"?ACTIVATED",IF(J6011&lt;&gt;"","?FAMILIAR",IF(F6011="NEW",IF(ISNA(VLOOKUP(E6011,#REF!,1,FALSE())),"?TYPE_IDENTIFIABLE","?REFERENTIAL"),"_")))))</f>
        <v> </v>
      </c>
      <c r="H6011" s="24" t="str">
        <f>IF(J6011&lt;&gt;1,"",IF(I6011="SBJ","CB","?"))</f>
        <v> </v>
      </c>
      <c r="I6011" s="25" t="str">
        <f>IF(OR(E6011="",E6011="!!!",F6011="NEW"),"",INDEX(B6010:B$2,-1+SUMPRODUCT(MAX(ROW(E6010:E$2)*(E6011=E6010:E$2)))))</f>
        <v> </v>
      </c>
      <c r="J6011" s="25" t="str">
        <f>IF(OR(E6011="",E6011="!!!",F6011="NEW"),"",COUNTBLANK(OFFSET(A$1,,,SUMPRODUCT(MAX(ROW(E$2:E6011)*(E6011=E$2:E6011)))))-COUNTBLANK(OFFSET(A$1,,,SUMPRODUCT(MAX(ROW(E$1:E6010)*(E2=E$1:E6010))))))</f>
        <v> </v>
      </c>
      <c r="K6011" s="25" t="str">
        <f>IF(OR(E6011="",E6011="!!!",F6011="NEW"),"",INDEX(J$1:J6010,SUMPRODUCT(MAX(ROW(E$1:E6010)*(E6011=E$1:E6010)))))</f>
        <v> </v>
      </c>
      <c r="L6011" s="26"/>
    </row>
    <row r="6012" spans="1:12">
      <c r="A6012" s="20" t="s">
        <v>975</v>
      </c>
      <c r="E6012" s="21">
        <f>IF(D6012="?OLD","!!!","")</f>
        <v/>
      </c>
      <c r="F6012" s="22" t="str">
        <f>IF(OR(E6012="",E6012="!!!"),"",IF(NOT(ISNA(VLOOKUP(E6012,E$1:E6011,1,FALSE()))),"OLD",IF(AND(E6012&lt;&gt;"",E6012&lt;&gt;"!!!"),"NEW","")))</f>
        <v> </v>
      </c>
      <c r="G6012" s="23" t="str">
        <f>IF(OR(E6012="",E6012="!!!"),"",IF(OR(J6012=0,AND(J6012=1,K6012=1),AND(J6012=1,I6012="SBJ"),AND(J6012=1,I6012=0)),"?IN_FOCUS",IF(J6012&lt;=2,"?ACTIVATED",IF(J6012&lt;&gt;"","?FAMILIAR",IF(F6012="NEW",IF(ISNA(VLOOKUP(E6012,#REF!,1,FALSE())),"?TYPE_IDENTIFIABLE","?REFERENTIAL"),"_")))))</f>
        <v> </v>
      </c>
      <c r="H6012" s="24" t="str">
        <f>IF(J6012&lt;&gt;1,"",IF(I6012="SBJ","CB","?"))</f>
        <v> </v>
      </c>
      <c r="I6012" s="25" t="str">
        <f>IF(OR(E6012="",E6012="!!!",F6012="NEW"),"",INDEX(B6011:B$2,-1+SUMPRODUCT(MAX(ROW(E6011:E$2)*(E6012=E6011:E$2)))))</f>
        <v> </v>
      </c>
      <c r="J6012" s="25" t="str">
        <f>IF(OR(E6012="",E6012="!!!",F6012="NEW"),"",COUNTBLANK(OFFSET(A$1,,,SUMPRODUCT(MAX(ROW(E$2:E6012)*(E6012=E$2:E6012)))))-COUNTBLANK(OFFSET(A$1,,,SUMPRODUCT(MAX(ROW(E$1:E6011)*(E2=E$1:E6011))))))</f>
        <v> </v>
      </c>
      <c r="K6012" s="25" t="str">
        <f>IF(OR(E6012="",E6012="!!!",F6012="NEW"),"",INDEX(J$1:J6011,SUMPRODUCT(MAX(ROW(E$1:E6011)*(E6012=E$1:E6011)))))</f>
        <v> </v>
      </c>
      <c r="L6012" s="26"/>
    </row>
    <row r="6013" spans="1:12">
      <c r="A6013" s="20" t="s">
        <v>1026</v>
      </c>
      <c r="B6013" s="27" t="s">
        <v>978</v>
      </c>
      <c r="C6013" s="27" t="s">
        <v>968</v>
      </c>
      <c r="D6013" s="27" t="s">
        <v>969</v>
      </c>
      <c r="E6013" s="21">
        <f>IF(D6013="?OLD","!!!","")</f>
        <v/>
      </c>
      <c r="F6013" s="22" t="str">
        <f>IF(OR(E6013="",E6013="!!!"),"",IF(NOT(ISNA(VLOOKUP(E6013,E$1:E6012,1,FALSE()))),"OLD",IF(AND(E6013&lt;&gt;"",E6013&lt;&gt;"!!!"),"NEW","")))</f>
        <v> </v>
      </c>
      <c r="G6013" s="23" t="str">
        <f>IF(OR(E6013="",E6013="!!!"),"",IF(OR(J6013=0,AND(J6013=1,K6013=1),AND(J6013=1,I6013="SBJ"),AND(J6013=1,I6013=0)),"?IN_FOCUS",IF(J6013&lt;=2,"?ACTIVATED",IF(J6013&lt;&gt;"","?FAMILIAR",IF(F6013="NEW",IF(ISNA(VLOOKUP(E6013,#REF!,1,FALSE())),"?TYPE_IDENTIFIABLE","?REFERENTIAL"),"_")))))</f>
        <v> </v>
      </c>
      <c r="H6013" s="24" t="str">
        <f>IF(J6013&lt;&gt;1,"",IF(I6013="SBJ","CB","?"))</f>
        <v> </v>
      </c>
      <c r="I6013" s="25" t="str">
        <f>IF(OR(E6013="",E6013="!!!",F6013="NEW"),"",INDEX(B6012:B$2,-1+SUMPRODUCT(MAX(ROW(E6012:E$2)*(E6013=E6012:E$2)))))</f>
        <v> </v>
      </c>
      <c r="J6013" s="25" t="str">
        <f>IF(OR(E6013="",E6013="!!!",F6013="NEW"),"",COUNTBLANK(OFFSET(A$1,,,SUMPRODUCT(MAX(ROW(E$2:E6013)*(E6013=E$2:E6013)))))-COUNTBLANK(OFFSET(A$1,,,SUMPRODUCT(MAX(ROW(E$1:E6012)*(E2=E$1:E6012))))))</f>
        <v> </v>
      </c>
      <c r="K6013" s="25" t="str">
        <f>IF(OR(E6013="",E6013="!!!",F6013="NEW"),"",INDEX(J$1:J6012,SUMPRODUCT(MAX(ROW(E$1:E6012)*(E6013=E$1:E6012)))))</f>
        <v> </v>
      </c>
      <c r="L6013" s="26"/>
    </row>
    <row r="6014" spans="1:12">
      <c r="A6014" s="20" t="s">
        <v>1105</v>
      </c>
      <c r="E6014" s="21">
        <f>IF(D6014="?OLD","!!!","")</f>
        <v/>
      </c>
      <c r="F6014" s="22" t="str">
        <f>IF(OR(E6014="",E6014="!!!"),"",IF(NOT(ISNA(VLOOKUP(E6014,E$1:E6013,1,FALSE()))),"OLD",IF(AND(E6014&lt;&gt;"",E6014&lt;&gt;"!!!"),"NEW","")))</f>
        <v> </v>
      </c>
      <c r="G6014" s="23" t="str">
        <f>IF(OR(E6014="",E6014="!!!"),"",IF(OR(J6014=0,AND(J6014=1,K6014=1),AND(J6014=1,I6014="SBJ"),AND(J6014=1,I6014=0)),"?IN_FOCUS",IF(J6014&lt;=2,"?ACTIVATED",IF(J6014&lt;&gt;"","?FAMILIAR",IF(F6014="NEW",IF(ISNA(VLOOKUP(E6014,#REF!,1,FALSE())),"?TYPE_IDENTIFIABLE","?REFERENTIAL"),"_")))))</f>
        <v> </v>
      </c>
      <c r="H6014" s="24" t="str">
        <f>IF(J6014&lt;&gt;1,"",IF(I6014="SBJ","CB","?"))</f>
        <v> </v>
      </c>
      <c r="I6014" s="25" t="str">
        <f>IF(OR(E6014="",E6014="!!!",F6014="NEW"),"",INDEX(B6013:B$2,-1+SUMPRODUCT(MAX(ROW(E6013:E$2)*(E6014=E6013:E$2)))))</f>
        <v> </v>
      </c>
      <c r="J6014" s="25" t="str">
        <f>IF(OR(E6014="",E6014="!!!",F6014="NEW"),"",COUNTBLANK(OFFSET(A$1,,,SUMPRODUCT(MAX(ROW(E$2:E6014)*(E6014=E$2:E6014)))))-COUNTBLANK(OFFSET(A$1,,,SUMPRODUCT(MAX(ROW(E$1:E6013)*(E2=E$1:E6013))))))</f>
        <v> </v>
      </c>
      <c r="K6014" s="25" t="str">
        <f>IF(OR(E6014="",E6014="!!!",F6014="NEW"),"",INDEX(J$1:J6013,SUMPRODUCT(MAX(ROW(E$1:E6013)*(E6014=E$1:E6013)))))</f>
        <v> </v>
      </c>
      <c r="L6014" s="26"/>
    </row>
    <row r="6015" spans="1:12">
      <c r="A6015" s="20" t="s">
        <v>991</v>
      </c>
      <c r="E6015" s="21">
        <f>IF(D6015="?OLD","!!!","")</f>
        <v/>
      </c>
      <c r="F6015" s="22" t="str">
        <f>IF(OR(E6015="",E6015="!!!"),"",IF(NOT(ISNA(VLOOKUP(E6015,E$1:E6014,1,FALSE()))),"OLD",IF(AND(E6015&lt;&gt;"",E6015&lt;&gt;"!!!"),"NEW","")))</f>
        <v> </v>
      </c>
      <c r="G6015" s="23" t="str">
        <f>IF(OR(E6015="",E6015="!!!"),"",IF(OR(J6015=0,AND(J6015=1,K6015=1),AND(J6015=1,I6015="SBJ"),AND(J6015=1,I6015=0)),"?IN_FOCUS",IF(J6015&lt;=2,"?ACTIVATED",IF(J6015&lt;&gt;"","?FAMILIAR",IF(F6015="NEW",IF(ISNA(VLOOKUP(E6015,#REF!,1,FALSE())),"?TYPE_IDENTIFIABLE","?REFERENTIAL"),"_")))))</f>
        <v> </v>
      </c>
      <c r="H6015" s="24" t="str">
        <f>IF(J6015&lt;&gt;1,"",IF(I6015="SBJ","CB","?"))</f>
        <v> </v>
      </c>
      <c r="I6015" s="25" t="str">
        <f>IF(OR(E6015="",E6015="!!!",F6015="NEW"),"",INDEX(B6014:B$2,-1+SUMPRODUCT(MAX(ROW(E6014:E$2)*(E6015=E6014:E$2)))))</f>
        <v> </v>
      </c>
      <c r="J6015" s="25" t="str">
        <f>IF(OR(E6015="",E6015="!!!",F6015="NEW"),"",COUNTBLANK(OFFSET(A$1,,,SUMPRODUCT(MAX(ROW(E$2:E6015)*(E6015=E$2:E6015)))))-COUNTBLANK(OFFSET(A$1,,,SUMPRODUCT(MAX(ROW(E$1:E6014)*(E2=E$1:E6014))))))</f>
        <v> </v>
      </c>
      <c r="K6015" s="25" t="str">
        <f>IF(OR(E6015="",E6015="!!!",F6015="NEW"),"",INDEX(J$1:J6014,SUMPRODUCT(MAX(ROW(E$1:E6014)*(E6015=E$1:E6014)))))</f>
        <v> </v>
      </c>
      <c r="L6015" s="26"/>
    </row>
    <row r="6016" spans="1:12">
      <c r="A6016" s="20" t="s">
        <v>1024</v>
      </c>
      <c r="E6016" s="21">
        <f>IF(D6016="?OLD","!!!","")</f>
        <v/>
      </c>
      <c r="F6016" s="22" t="str">
        <f>IF(OR(E6016="",E6016="!!!"),"",IF(NOT(ISNA(VLOOKUP(E6016,E$1:E6015,1,FALSE()))),"OLD",IF(AND(E6016&lt;&gt;"",E6016&lt;&gt;"!!!"),"NEW","")))</f>
        <v> </v>
      </c>
      <c r="G6016" s="23" t="str">
        <f>IF(OR(E6016="",E6016="!!!"),"",IF(OR(J6016=0,AND(J6016=1,K6016=1),AND(J6016=1,I6016="SBJ"),AND(J6016=1,I6016=0)),"?IN_FOCUS",IF(J6016&lt;=2,"?ACTIVATED",IF(J6016&lt;&gt;"","?FAMILIAR",IF(F6016="NEW",IF(ISNA(VLOOKUP(E6016,#REF!,1,FALSE())),"?TYPE_IDENTIFIABLE","?REFERENTIAL"),"_")))))</f>
        <v> </v>
      </c>
      <c r="H6016" s="24" t="str">
        <f>IF(J6016&lt;&gt;1,"",IF(I6016="SBJ","CB","?"))</f>
        <v> </v>
      </c>
      <c r="I6016" s="25" t="str">
        <f>IF(OR(E6016="",E6016="!!!",F6016="NEW"),"",INDEX(B6015:B$2,-1+SUMPRODUCT(MAX(ROW(E6015:E$2)*(E6016=E6015:E$2)))))</f>
        <v> </v>
      </c>
      <c r="J6016" s="25" t="str">
        <f>IF(OR(E6016="",E6016="!!!",F6016="NEW"),"",COUNTBLANK(OFFSET(A$1,,,SUMPRODUCT(MAX(ROW(E$2:E6016)*(E6016=E$2:E6016)))))-COUNTBLANK(OFFSET(A$1,,,SUMPRODUCT(MAX(ROW(E$1:E6015)*(E2=E$1:E6015))))))</f>
        <v> </v>
      </c>
      <c r="K6016" s="25" t="str">
        <f>IF(OR(E6016="",E6016="!!!",F6016="NEW"),"",INDEX(J$1:J6015,SUMPRODUCT(MAX(ROW(E$1:E6015)*(E6016=E$1:E6015)))))</f>
        <v> </v>
      </c>
      <c r="L6016" s="26"/>
    </row>
    <row r="6017" spans="1:12">
      <c r="A6017" s="20" t="s">
        <v>993</v>
      </c>
      <c r="B6017" s="27" t="s">
        <v>1010</v>
      </c>
      <c r="C6017" s="27" t="s">
        <v>968</v>
      </c>
      <c r="D6017" s="27" t="s">
        <v>969</v>
      </c>
      <c r="E6017" s="21">
        <f>IF(D6017="?OLD","!!!","")</f>
        <v/>
      </c>
      <c r="F6017" s="22" t="str">
        <f>IF(OR(E6017="",E6017="!!!"),"",IF(NOT(ISNA(VLOOKUP(E6017,E$1:E6016,1,FALSE()))),"OLD",IF(AND(E6017&lt;&gt;"",E6017&lt;&gt;"!!!"),"NEW","")))</f>
        <v> </v>
      </c>
      <c r="G6017" s="23" t="str">
        <f>IF(OR(E6017="",E6017="!!!"),"",IF(OR(J6017=0,AND(J6017=1,K6017=1),AND(J6017=1,I6017="SBJ"),AND(J6017=1,I6017=0)),"?IN_FOCUS",IF(J6017&lt;=2,"?ACTIVATED",IF(J6017&lt;&gt;"","?FAMILIAR",IF(F6017="NEW",IF(ISNA(VLOOKUP(E6017,#REF!,1,FALSE())),"?TYPE_IDENTIFIABLE","?REFERENTIAL"),"_")))))</f>
        <v> </v>
      </c>
      <c r="H6017" s="24" t="str">
        <f>IF(J6017&lt;&gt;1,"",IF(I6017="SBJ","CB","?"))</f>
        <v> </v>
      </c>
      <c r="I6017" s="25" t="str">
        <f>IF(OR(E6017="",E6017="!!!",F6017="NEW"),"",INDEX(B6016:B$2,-1+SUMPRODUCT(MAX(ROW(E6016:E$2)*(E6017=E6016:E$2)))))</f>
        <v> </v>
      </c>
      <c r="J6017" s="25" t="str">
        <f>IF(OR(E6017="",E6017="!!!",F6017="NEW"),"",COUNTBLANK(OFFSET(A$1,,,SUMPRODUCT(MAX(ROW(E$2:E6017)*(E6017=E$2:E6017)))))-COUNTBLANK(OFFSET(A$1,,,SUMPRODUCT(MAX(ROW(E$1:E6016)*(E2=E$1:E6016))))))</f>
        <v> </v>
      </c>
      <c r="K6017" s="25" t="str">
        <f>IF(OR(E6017="",E6017="!!!",F6017="NEW"),"",INDEX(J$1:J6016,SUMPRODUCT(MAX(ROW(E$1:E6016)*(E6017=E$1:E6016)))))</f>
        <v> </v>
      </c>
      <c r="L6017" s="26"/>
    </row>
    <row r="6018" spans="1:12">
      <c r="A6018" s="20" t="s">
        <v>1016</v>
      </c>
      <c r="E6018" s="21">
        <f>IF(D6018="?OLD","!!!","")</f>
        <v/>
      </c>
      <c r="F6018" s="22" t="str">
        <f>IF(OR(E6018="",E6018="!!!"),"",IF(NOT(ISNA(VLOOKUP(E6018,E$1:E6017,1,FALSE()))),"OLD",IF(AND(E6018&lt;&gt;"",E6018&lt;&gt;"!!!"),"NEW","")))</f>
        <v> </v>
      </c>
      <c r="G6018" s="23" t="str">
        <f>IF(OR(E6018="",E6018="!!!"),"",IF(OR(J6018=0,AND(J6018=1,K6018=1),AND(J6018=1,I6018="SBJ"),AND(J6018=1,I6018=0)),"?IN_FOCUS",IF(J6018&lt;=2,"?ACTIVATED",IF(J6018&lt;&gt;"","?FAMILIAR",IF(F6018="NEW",IF(ISNA(VLOOKUP(E6018,#REF!,1,FALSE())),"?TYPE_IDENTIFIABLE","?REFERENTIAL"),"_")))))</f>
        <v> </v>
      </c>
      <c r="H6018" s="24" t="str">
        <f>IF(J6018&lt;&gt;1,"",IF(I6018="SBJ","CB","?"))</f>
        <v> </v>
      </c>
      <c r="I6018" s="25" t="str">
        <f>IF(OR(E6018="",E6018="!!!",F6018="NEW"),"",INDEX(B6017:B$2,-1+SUMPRODUCT(MAX(ROW(E6017:E$2)*(E6018=E6017:E$2)))))</f>
        <v> </v>
      </c>
      <c r="J6018" s="25" t="str">
        <f>IF(OR(E6018="",E6018="!!!",F6018="NEW"),"",COUNTBLANK(OFFSET(A$1,,,SUMPRODUCT(MAX(ROW(E$2:E6018)*(E6018=E$2:E6018)))))-COUNTBLANK(OFFSET(A$1,,,SUMPRODUCT(MAX(ROW(E$1:E6017)*(E2=E$1:E6017))))))</f>
        <v> </v>
      </c>
      <c r="K6018" s="25" t="str">
        <f>IF(OR(E6018="",E6018="!!!",F6018="NEW"),"",INDEX(J$1:J6017,SUMPRODUCT(MAX(ROW(E$1:E6017)*(E6018=E$1:E6017)))))</f>
        <v> </v>
      </c>
      <c r="L6018" s="26"/>
    </row>
    <row r="6019" spans="1:12">
      <c r="A6019" s="20" t="s">
        <v>1034</v>
      </c>
      <c r="B6019" s="27" t="s">
        <v>1013</v>
      </c>
      <c r="C6019" s="27" t="s">
        <v>1018</v>
      </c>
      <c r="E6019" s="21">
        <f>IF(D6019="?OLD","!!!","")</f>
        <v/>
      </c>
      <c r="F6019" s="22" t="str">
        <f>IF(OR(E6019="",E6019="!!!"),"",IF(NOT(ISNA(VLOOKUP(E6019,E$1:E6018,1,FALSE()))),"OLD",IF(AND(E6019&lt;&gt;"",E6019&lt;&gt;"!!!"),"NEW","")))</f>
        <v> </v>
      </c>
      <c r="G6019" s="23" t="str">
        <f>IF(OR(E6019="",E6019="!!!"),"",IF(OR(J6019=0,AND(J6019=1,K6019=1),AND(J6019=1,I6019="SBJ"),AND(J6019=1,I6019=0)),"?IN_FOCUS",IF(J6019&lt;=2,"?ACTIVATED",IF(J6019&lt;&gt;"","?FAMILIAR",IF(F6019="NEW",IF(ISNA(VLOOKUP(E6019,#REF!,1,FALSE())),"?TYPE_IDENTIFIABLE","?REFERENTIAL"),"_")))))</f>
        <v> </v>
      </c>
      <c r="H6019" s="24" t="str">
        <f>IF(J6019&lt;&gt;1,"",IF(I6019="SBJ","CB","?"))</f>
        <v> </v>
      </c>
      <c r="I6019" s="25" t="str">
        <f>IF(OR(E6019="",E6019="!!!",F6019="NEW"),"",INDEX(B6018:B$2,-1+SUMPRODUCT(MAX(ROW(E6018:E$2)*(E6019=E6018:E$2)))))</f>
        <v> </v>
      </c>
      <c r="J6019" s="25" t="str">
        <f>IF(OR(E6019="",E6019="!!!",F6019="NEW"),"",COUNTBLANK(OFFSET(A$1,,,SUMPRODUCT(MAX(ROW(E$2:E6019)*(E6019=E$2:E6019)))))-COUNTBLANK(OFFSET(A$1,,,SUMPRODUCT(MAX(ROW(E$1:E6018)*(E2=E$1:E6018))))))</f>
        <v> </v>
      </c>
      <c r="K6019" s="25" t="str">
        <f>IF(OR(E6019="",E6019="!!!",F6019="NEW"),"",INDEX(J$1:J6018,SUMPRODUCT(MAX(ROW(E$1:E6018)*(E6019=E$1:E6018)))))</f>
        <v> </v>
      </c>
      <c r="L6019" s="26"/>
    </row>
    <row r="6020" spans="1:12">
      <c r="A6020" s="20" t="s">
        <v>2559</v>
      </c>
      <c r="E6020" s="21">
        <f>IF(D6020="?OLD","!!!","")</f>
        <v/>
      </c>
      <c r="F6020" s="22" t="str">
        <f>IF(OR(E6020="",E6020="!!!"),"",IF(NOT(ISNA(VLOOKUP(E6020,E$1:E6019,1,FALSE()))),"OLD",IF(AND(E6020&lt;&gt;"",E6020&lt;&gt;"!!!"),"NEW","")))</f>
        <v> </v>
      </c>
      <c r="G6020" s="23" t="str">
        <f>IF(OR(E6020="",E6020="!!!"),"",IF(OR(J6020=0,AND(J6020=1,K6020=1),AND(J6020=1,I6020="SBJ"),AND(J6020=1,I6020=0)),"?IN_FOCUS",IF(J6020&lt;=2,"?ACTIVATED",IF(J6020&lt;&gt;"","?FAMILIAR",IF(F6020="NEW",IF(ISNA(VLOOKUP(E6020,#REF!,1,FALSE())),"?TYPE_IDENTIFIABLE","?REFERENTIAL"),"_")))))</f>
        <v> </v>
      </c>
      <c r="H6020" s="24" t="str">
        <f>IF(J6020&lt;&gt;1,"",IF(I6020="SBJ","CB","?"))</f>
        <v> </v>
      </c>
      <c r="I6020" s="25" t="str">
        <f>IF(OR(E6020="",E6020="!!!",F6020="NEW"),"",INDEX(B6019:B$2,-1+SUMPRODUCT(MAX(ROW(E6019:E$2)*(E6020=E6019:E$2)))))</f>
        <v> </v>
      </c>
      <c r="J6020" s="25" t="str">
        <f>IF(OR(E6020="",E6020="!!!",F6020="NEW"),"",COUNTBLANK(OFFSET(A$1,,,SUMPRODUCT(MAX(ROW(E$2:E6020)*(E6020=E$2:E6020)))))-COUNTBLANK(OFFSET(A$1,,,SUMPRODUCT(MAX(ROW(E$1:E6019)*(E2=E$1:E6019))))))</f>
        <v> </v>
      </c>
      <c r="K6020" s="25" t="str">
        <f>IF(OR(E6020="",E6020="!!!",F6020="NEW"),"",INDEX(J$1:J6019,SUMPRODUCT(MAX(ROW(E$1:E6019)*(E6020=E$1:E6019)))))</f>
        <v> </v>
      </c>
      <c r="L6020" s="26"/>
    </row>
    <row r="6021" spans="1:12">
      <c r="A6021" s="20" t="s">
        <v>1417</v>
      </c>
      <c r="E6021" s="21">
        <f>IF(D6021="?OLD","!!!","")</f>
        <v/>
      </c>
      <c r="F6021" s="22" t="str">
        <f>IF(OR(E6021="",E6021="!!!"),"",IF(NOT(ISNA(VLOOKUP(E6021,E$1:E6020,1,FALSE()))),"OLD",IF(AND(E6021&lt;&gt;"",E6021&lt;&gt;"!!!"),"NEW","")))</f>
        <v> </v>
      </c>
      <c r="G6021" s="23" t="str">
        <f>IF(OR(E6021="",E6021="!!!"),"",IF(OR(J6021=0,AND(J6021=1,K6021=1),AND(J6021=1,I6021="SBJ"),AND(J6021=1,I6021=0)),"?IN_FOCUS",IF(J6021&lt;=2,"?ACTIVATED",IF(J6021&lt;&gt;"","?FAMILIAR",IF(F6021="NEW",IF(ISNA(VLOOKUP(E6021,#REF!,1,FALSE())),"?TYPE_IDENTIFIABLE","?REFERENTIAL"),"_")))))</f>
        <v> </v>
      </c>
      <c r="H6021" s="24" t="str">
        <f>IF(J6021&lt;&gt;1,"",IF(I6021="SBJ","CB","?"))</f>
        <v> </v>
      </c>
      <c r="I6021" s="25" t="str">
        <f>IF(OR(E6021="",E6021="!!!",F6021="NEW"),"",INDEX(B6020:B$2,-1+SUMPRODUCT(MAX(ROW(E6020:E$2)*(E6021=E6020:E$2)))))</f>
        <v> </v>
      </c>
      <c r="J6021" s="25" t="str">
        <f>IF(OR(E6021="",E6021="!!!",F6021="NEW"),"",COUNTBLANK(OFFSET(A$1,,,SUMPRODUCT(MAX(ROW(E$2:E6021)*(E6021=E$2:E6021)))))-COUNTBLANK(OFFSET(A$1,,,SUMPRODUCT(MAX(ROW(E$1:E6020)*(E2=E$1:E6020))))))</f>
        <v> </v>
      </c>
      <c r="K6021" s="25" t="str">
        <f>IF(OR(E6021="",E6021="!!!",F6021="NEW"),"",INDEX(J$1:J6020,SUMPRODUCT(MAX(ROW(E$1:E6020)*(E6021=E$1:E6020)))))</f>
        <v> </v>
      </c>
      <c r="L6021" s="26"/>
    </row>
    <row r="6022" spans="1:12">
      <c r="A6022" s="20" t="s">
        <v>991</v>
      </c>
      <c r="E6022" s="21">
        <f>IF(D6022="?OLD","!!!","")</f>
        <v/>
      </c>
      <c r="F6022" s="22" t="str">
        <f>IF(OR(E6022="",E6022="!!!"),"",IF(NOT(ISNA(VLOOKUP(E6022,E$1:E6021,1,FALSE()))),"OLD",IF(AND(E6022&lt;&gt;"",E6022&lt;&gt;"!!!"),"NEW","")))</f>
        <v> </v>
      </c>
      <c r="G6022" s="23" t="str">
        <f>IF(OR(E6022="",E6022="!!!"),"",IF(OR(J6022=0,AND(J6022=1,K6022=1),AND(J6022=1,I6022="SBJ"),AND(J6022=1,I6022=0)),"?IN_FOCUS",IF(J6022&lt;=2,"?ACTIVATED",IF(J6022&lt;&gt;"","?FAMILIAR",IF(F6022="NEW",IF(ISNA(VLOOKUP(E6022,#REF!,1,FALSE())),"?TYPE_IDENTIFIABLE","?REFERENTIAL"),"_")))))</f>
        <v> </v>
      </c>
      <c r="H6022" s="24" t="str">
        <f>IF(J6022&lt;&gt;1,"",IF(I6022="SBJ","CB","?"))</f>
        <v> </v>
      </c>
      <c r="I6022" s="25" t="str">
        <f>IF(OR(E6022="",E6022="!!!",F6022="NEW"),"",INDEX(B6021:B$2,-1+SUMPRODUCT(MAX(ROW(E6021:E$2)*(E6022=E6021:E$2)))))</f>
        <v> </v>
      </c>
      <c r="J6022" s="25" t="str">
        <f>IF(OR(E6022="",E6022="!!!",F6022="NEW"),"",COUNTBLANK(OFFSET(A$1,,,SUMPRODUCT(MAX(ROW(E$2:E6022)*(E6022=E$2:E6022)))))-COUNTBLANK(OFFSET(A$1,,,SUMPRODUCT(MAX(ROW(E$1:E6021)*(E2=E$1:E6021))))))</f>
        <v> </v>
      </c>
      <c r="K6022" s="25" t="str">
        <f>IF(OR(E6022="",E6022="!!!",F6022="NEW"),"",INDEX(J$1:J6021,SUMPRODUCT(MAX(ROW(E$1:E6021)*(E6022=E$1:E6021)))))</f>
        <v> </v>
      </c>
      <c r="L6022" s="26"/>
    </row>
    <row r="6023" spans="1:12">
      <c r="A6023" s="20" t="s">
        <v>1177</v>
      </c>
      <c r="B6023" s="27" t="s">
        <v>1013</v>
      </c>
      <c r="C6023" s="27" t="s">
        <v>1011</v>
      </c>
      <c r="D6023" s="27" t="s">
        <v>969</v>
      </c>
      <c r="E6023" s="21">
        <f>IF(D6023="?OLD","!!!","")</f>
        <v/>
      </c>
      <c r="F6023" s="22" t="str">
        <f>IF(OR(E6023="",E6023="!!!"),"",IF(NOT(ISNA(VLOOKUP(E6023,E$1:E6022,1,FALSE()))),"OLD",IF(AND(E6023&lt;&gt;"",E6023&lt;&gt;"!!!"),"NEW","")))</f>
        <v> </v>
      </c>
      <c r="G6023" s="23" t="str">
        <f>IF(OR(E6023="",E6023="!!!"),"",IF(OR(J6023=0,AND(J6023=1,K6023=1),AND(J6023=1,I6023="SBJ"),AND(J6023=1,I6023=0)),"?IN_FOCUS",IF(J6023&lt;=2,"?ACTIVATED",IF(J6023&lt;&gt;"","?FAMILIAR",IF(F6023="NEW",IF(ISNA(VLOOKUP(E6023,#REF!,1,FALSE())),"?TYPE_IDENTIFIABLE","?REFERENTIAL"),"_")))))</f>
        <v> </v>
      </c>
      <c r="H6023" s="24" t="str">
        <f>IF(J6023&lt;&gt;1,"",IF(I6023="SBJ","CB","?"))</f>
        <v> </v>
      </c>
      <c r="I6023" s="25" t="str">
        <f>IF(OR(E6023="",E6023="!!!",F6023="NEW"),"",INDEX(B6022:B$2,-1+SUMPRODUCT(MAX(ROW(E6022:E$2)*(E6023=E6022:E$2)))))</f>
        <v> </v>
      </c>
      <c r="J6023" s="25" t="str">
        <f>IF(OR(E6023="",E6023="!!!",F6023="NEW"),"",COUNTBLANK(OFFSET(A$1,,,SUMPRODUCT(MAX(ROW(E$2:E6023)*(E6023=E$2:E6023)))))-COUNTBLANK(OFFSET(A$1,,,SUMPRODUCT(MAX(ROW(E$1:E6022)*(E2=E$1:E6022))))))</f>
        <v> </v>
      </c>
      <c r="K6023" s="25" t="str">
        <f>IF(OR(E6023="",E6023="!!!",F6023="NEW"),"",INDEX(J$1:J6022,SUMPRODUCT(MAX(ROW(E$1:E6022)*(E6023=E$1:E6022)))))</f>
        <v> </v>
      </c>
      <c r="L6023" s="26"/>
    </row>
    <row r="6024" spans="1:12">
      <c r="A6024" s="20" t="s">
        <v>993</v>
      </c>
      <c r="B6024" s="27" t="s">
        <v>1010</v>
      </c>
      <c r="C6024" s="27" t="s">
        <v>968</v>
      </c>
      <c r="D6024" s="27" t="s">
        <v>969</v>
      </c>
      <c r="E6024" s="21">
        <f>IF(D6024="?OLD","!!!","")</f>
        <v/>
      </c>
      <c r="F6024" s="22" t="str">
        <f>IF(OR(E6024="",E6024="!!!"),"",IF(NOT(ISNA(VLOOKUP(E6024,E$1:E6023,1,FALSE()))),"OLD",IF(AND(E6024&lt;&gt;"",E6024&lt;&gt;"!!!"),"NEW","")))</f>
        <v> </v>
      </c>
      <c r="G6024" s="23" t="str">
        <f>IF(OR(E6024="",E6024="!!!"),"",IF(OR(J6024=0,AND(J6024=1,K6024=1),AND(J6024=1,I6024="SBJ"),AND(J6024=1,I6024=0)),"?IN_FOCUS",IF(J6024&lt;=2,"?ACTIVATED",IF(J6024&lt;&gt;"","?FAMILIAR",IF(F6024="NEW",IF(ISNA(VLOOKUP(E6024,#REF!,1,FALSE())),"?TYPE_IDENTIFIABLE","?REFERENTIAL"),"_")))))</f>
        <v> </v>
      </c>
      <c r="H6024" s="24" t="str">
        <f>IF(J6024&lt;&gt;1,"",IF(I6024="SBJ","CB","?"))</f>
        <v> </v>
      </c>
      <c r="I6024" s="25" t="str">
        <f>IF(OR(E6024="",E6024="!!!",F6024="NEW"),"",INDEX(B6023:B$2,-1+SUMPRODUCT(MAX(ROW(E6023:E$2)*(E6024=E6023:E$2)))))</f>
        <v> </v>
      </c>
      <c r="J6024" s="25" t="str">
        <f>IF(OR(E6024="",E6024="!!!",F6024="NEW"),"",COUNTBLANK(OFFSET(A$1,,,SUMPRODUCT(MAX(ROW(E$2:E6024)*(E6024=E$2:E6024)))))-COUNTBLANK(OFFSET(A$1,,,SUMPRODUCT(MAX(ROW(E$1:E6023)*(E2=E$1:E6023))))))</f>
        <v> </v>
      </c>
      <c r="K6024" s="25" t="str">
        <f>IF(OR(E6024="",E6024="!!!",F6024="NEW"),"",INDEX(J$1:J6023,SUMPRODUCT(MAX(ROW(E$1:E6023)*(E6024=E$1:E6023)))))</f>
        <v> </v>
      </c>
      <c r="L6024" s="26"/>
    </row>
    <row r="6025" spans="1:12">
      <c r="A6025" s="20" t="s">
        <v>992</v>
      </c>
      <c r="E6025" s="21">
        <f>IF(D6025="?OLD","!!!","")</f>
        <v/>
      </c>
      <c r="F6025" s="22" t="str">
        <f>IF(OR(E6025="",E6025="!!!"),"",IF(NOT(ISNA(VLOOKUP(E6025,E$1:E6024,1,FALSE()))),"OLD",IF(AND(E6025&lt;&gt;"",E6025&lt;&gt;"!!!"),"NEW","")))</f>
        <v> </v>
      </c>
      <c r="G6025" s="23" t="str">
        <f>IF(OR(E6025="",E6025="!!!"),"",IF(OR(J6025=0,AND(J6025=1,K6025=1),AND(J6025=1,I6025="SBJ"),AND(J6025=1,I6025=0)),"?IN_FOCUS",IF(J6025&lt;=2,"?ACTIVATED",IF(J6025&lt;&gt;"","?FAMILIAR",IF(F6025="NEW",IF(ISNA(VLOOKUP(E6025,#REF!,1,FALSE())),"?TYPE_IDENTIFIABLE","?REFERENTIAL"),"_")))))</f>
        <v> </v>
      </c>
      <c r="H6025" s="24" t="str">
        <f>IF(J6025&lt;&gt;1,"",IF(I6025="SBJ","CB","?"))</f>
        <v> </v>
      </c>
      <c r="I6025" s="25" t="str">
        <f>IF(OR(E6025="",E6025="!!!",F6025="NEW"),"",INDEX(B6024:B$2,-1+SUMPRODUCT(MAX(ROW(E6024:E$2)*(E6025=E6024:E$2)))))</f>
        <v> </v>
      </c>
      <c r="J6025" s="25" t="str">
        <f>IF(OR(E6025="",E6025="!!!",F6025="NEW"),"",COUNTBLANK(OFFSET(A$1,,,SUMPRODUCT(MAX(ROW(E$2:E6025)*(E6025=E$2:E6025)))))-COUNTBLANK(OFFSET(A$1,,,SUMPRODUCT(MAX(ROW(E$1:E6024)*(E2=E$1:E6024))))))</f>
        <v> </v>
      </c>
      <c r="K6025" s="25" t="str">
        <f>IF(OR(E6025="",E6025="!!!",F6025="NEW"),"",INDEX(J$1:J6024,SUMPRODUCT(MAX(ROW(E$1:E6024)*(E6025=E$1:E6024)))))</f>
        <v> </v>
      </c>
      <c r="L6025" s="26"/>
    </row>
    <row r="6026" spans="1:12">
      <c r="A6026" s="20" t="s">
        <v>999</v>
      </c>
      <c r="B6026" s="27" t="s">
        <v>982</v>
      </c>
      <c r="C6026" s="27" t="s">
        <v>1001</v>
      </c>
      <c r="E6026" s="21">
        <f>IF(D6026="?OLD","!!!","")</f>
        <v/>
      </c>
      <c r="F6026" s="22" t="str">
        <f>IF(OR(E6026="",E6026="!!!"),"",IF(NOT(ISNA(VLOOKUP(E6026,E$1:E6025,1,FALSE()))),"OLD",IF(AND(E6026&lt;&gt;"",E6026&lt;&gt;"!!!"),"NEW","")))</f>
        <v> </v>
      </c>
      <c r="G6026" s="23" t="str">
        <f>IF(OR(E6026="",E6026="!!!"),"",IF(OR(J6026=0,AND(J6026=1,K6026=1),AND(J6026=1,I6026="SBJ"),AND(J6026=1,I6026=0)),"?IN_FOCUS",IF(J6026&lt;=2,"?ACTIVATED",IF(J6026&lt;&gt;"","?FAMILIAR",IF(F6026="NEW",IF(ISNA(VLOOKUP(E6026,#REF!,1,FALSE())),"?TYPE_IDENTIFIABLE","?REFERENTIAL"),"_")))))</f>
        <v> </v>
      </c>
      <c r="H6026" s="24" t="str">
        <f>IF(J6026&lt;&gt;1,"",IF(I6026="SBJ","CB","?"))</f>
        <v> </v>
      </c>
      <c r="I6026" s="25" t="str">
        <f>IF(OR(E6026="",E6026="!!!",F6026="NEW"),"",INDEX(B6025:B$2,-1+SUMPRODUCT(MAX(ROW(E6025:E$2)*(E6026=E6025:E$2)))))</f>
        <v> </v>
      </c>
      <c r="J6026" s="25" t="str">
        <f>IF(OR(E6026="",E6026="!!!",F6026="NEW"),"",COUNTBLANK(OFFSET(A$1,,,SUMPRODUCT(MAX(ROW(E$2:E6026)*(E6026=E$2:E6026)))))-COUNTBLANK(OFFSET(A$1,,,SUMPRODUCT(MAX(ROW(E$1:E6025)*(E2=E$1:E6025))))))</f>
        <v> </v>
      </c>
      <c r="K6026" s="25" t="str">
        <f>IF(OR(E6026="",E6026="!!!",F6026="NEW"),"",INDEX(J$1:J6025,SUMPRODUCT(MAX(ROW(E$1:E6025)*(E6026=E$1:E6025)))))</f>
        <v> </v>
      </c>
      <c r="L6026" s="26"/>
    </row>
    <row r="6027" spans="1:12">
      <c r="A6027" s="20" t="s">
        <v>976</v>
      </c>
      <c r="E6027" s="21">
        <f>IF(D6027="?OLD","!!!","")</f>
        <v/>
      </c>
      <c r="F6027" s="22" t="str">
        <f>IF(OR(E6027="",E6027="!!!"),"",IF(NOT(ISNA(VLOOKUP(E6027,E$1:E6026,1,FALSE()))),"OLD",IF(AND(E6027&lt;&gt;"",E6027&lt;&gt;"!!!"),"NEW","")))</f>
        <v> </v>
      </c>
      <c r="G6027" s="23" t="str">
        <f>IF(OR(E6027="",E6027="!!!"),"",IF(OR(J6027=0,AND(J6027=1,K6027=1),AND(J6027=1,I6027="SBJ"),AND(J6027=1,I6027=0)),"?IN_FOCUS",IF(J6027&lt;=2,"?ACTIVATED",IF(J6027&lt;&gt;"","?FAMILIAR",IF(F6027="NEW",IF(ISNA(VLOOKUP(E6027,#REF!,1,FALSE())),"?TYPE_IDENTIFIABLE","?REFERENTIAL"),"_")))))</f>
        <v> </v>
      </c>
      <c r="H6027" s="24" t="str">
        <f>IF(J6027&lt;&gt;1,"",IF(I6027="SBJ","CB","?"))</f>
        <v> </v>
      </c>
      <c r="I6027" s="25" t="str">
        <f>IF(OR(E6027="",E6027="!!!",F6027="NEW"),"",INDEX(B6026:B$2,-1+SUMPRODUCT(MAX(ROW(E6026:E$2)*(E6027=E6026:E$2)))))</f>
        <v> </v>
      </c>
      <c r="J6027" s="25" t="str">
        <f>IF(OR(E6027="",E6027="!!!",F6027="NEW"),"",COUNTBLANK(OFFSET(A$1,,,SUMPRODUCT(MAX(ROW(E$2:E6027)*(E6027=E$2:E6027)))))-COUNTBLANK(OFFSET(A$1,,,SUMPRODUCT(MAX(ROW(E$1:E6026)*(E2=E$1:E6026))))))</f>
        <v> </v>
      </c>
      <c r="K6027" s="25" t="str">
        <f>IF(OR(E6027="",E6027="!!!",F6027="NEW"),"",INDEX(J$1:J6026,SUMPRODUCT(MAX(ROW(E$1:E6026)*(E6027=E$1:E6026)))))</f>
        <v> </v>
      </c>
      <c r="L6027" s="26"/>
    </row>
    <row r="6028" spans="1:12">
      <c r="A6028" s="20" t="s">
        <v>1360</v>
      </c>
      <c r="B6028" s="27" t="s">
        <v>978</v>
      </c>
      <c r="C6028" s="27" t="s">
        <v>979</v>
      </c>
      <c r="D6028" s="27" t="s">
        <v>969</v>
      </c>
      <c r="E6028" s="21">
        <f>IF(D6028="?OLD","!!!","")</f>
        <v/>
      </c>
      <c r="F6028" s="22" t="str">
        <f>IF(OR(E6028="",E6028="!!!"),"",IF(NOT(ISNA(VLOOKUP(E6028,E$1:E6027,1,FALSE()))),"OLD",IF(AND(E6028&lt;&gt;"",E6028&lt;&gt;"!!!"),"NEW","")))</f>
        <v> </v>
      </c>
      <c r="G6028" s="23" t="str">
        <f>IF(OR(E6028="",E6028="!!!"),"",IF(OR(J6028=0,AND(J6028=1,K6028=1),AND(J6028=1,I6028="SBJ"),AND(J6028=1,I6028=0)),"?IN_FOCUS",IF(J6028&lt;=2,"?ACTIVATED",IF(J6028&lt;&gt;"","?FAMILIAR",IF(F6028="NEW",IF(ISNA(VLOOKUP(E6028,#REF!,1,FALSE())),"?TYPE_IDENTIFIABLE","?REFERENTIAL"),"_")))))</f>
        <v> </v>
      </c>
      <c r="H6028" s="24" t="str">
        <f>IF(J6028&lt;&gt;1,"",IF(I6028="SBJ","CB","?"))</f>
        <v> </v>
      </c>
      <c r="I6028" s="25" t="str">
        <f>IF(OR(E6028="",E6028="!!!",F6028="NEW"),"",INDEX(B6027:B$2,-1+SUMPRODUCT(MAX(ROW(E6027:E$2)*(E6028=E6027:E$2)))))</f>
        <v> </v>
      </c>
      <c r="J6028" s="25" t="str">
        <f>IF(OR(E6028="",E6028="!!!",F6028="NEW"),"",COUNTBLANK(OFFSET(A$1,,,SUMPRODUCT(MAX(ROW(E$2:E6028)*(E6028=E$2:E6028)))))-COUNTBLANK(OFFSET(A$1,,,SUMPRODUCT(MAX(ROW(E$1:E6027)*(E2=E$1:E6027))))))</f>
        <v> </v>
      </c>
      <c r="K6028" s="25" t="str">
        <f>IF(OR(E6028="",E6028="!!!",F6028="NEW"),"",INDEX(J$1:J6027,SUMPRODUCT(MAX(ROW(E$1:E6027)*(E6028=E$1:E6027)))))</f>
        <v> </v>
      </c>
      <c r="L6028" s="26"/>
    </row>
    <row r="6029" spans="1:12">
      <c r="A6029" s="20" t="s">
        <v>1475</v>
      </c>
      <c r="E6029" s="21">
        <f>IF(D6029="?OLD","!!!","")</f>
        <v/>
      </c>
      <c r="F6029" s="22" t="str">
        <f>IF(OR(E6029="",E6029="!!!"),"",IF(NOT(ISNA(VLOOKUP(E6029,E$1:E6028,1,FALSE()))),"OLD",IF(AND(E6029&lt;&gt;"",E6029&lt;&gt;"!!!"),"NEW","")))</f>
        <v> </v>
      </c>
      <c r="G6029" s="23" t="str">
        <f>IF(OR(E6029="",E6029="!!!"),"",IF(OR(J6029=0,AND(J6029=1,K6029=1),AND(J6029=1,I6029="SBJ"),AND(J6029=1,I6029=0)),"?IN_FOCUS",IF(J6029&lt;=2,"?ACTIVATED",IF(J6029&lt;&gt;"","?FAMILIAR",IF(F6029="NEW",IF(ISNA(VLOOKUP(E6029,#REF!,1,FALSE())),"?TYPE_IDENTIFIABLE","?REFERENTIAL"),"_")))))</f>
        <v> </v>
      </c>
      <c r="H6029" s="24" t="str">
        <f>IF(J6029&lt;&gt;1,"",IF(I6029="SBJ","CB","?"))</f>
        <v> </v>
      </c>
      <c r="I6029" s="25" t="str">
        <f>IF(OR(E6029="",E6029="!!!",F6029="NEW"),"",INDEX(B6028:B$2,-1+SUMPRODUCT(MAX(ROW(E6028:E$2)*(E6029=E6028:E$2)))))</f>
        <v> </v>
      </c>
      <c r="J6029" s="25" t="str">
        <f>IF(OR(E6029="",E6029="!!!",F6029="NEW"),"",COUNTBLANK(OFFSET(A$1,,,SUMPRODUCT(MAX(ROW(E$2:E6029)*(E6029=E$2:E6029)))))-COUNTBLANK(OFFSET(A$1,,,SUMPRODUCT(MAX(ROW(E$1:E6028)*(E2=E$1:E6028))))))</f>
        <v> </v>
      </c>
      <c r="K6029" s="25" t="str">
        <f>IF(OR(E6029="",E6029="!!!",F6029="NEW"),"",INDEX(J$1:J6028,SUMPRODUCT(MAX(ROW(E$1:E6028)*(E6029=E$1:E6028)))))</f>
        <v> </v>
      </c>
      <c r="L6029" s="26"/>
    </row>
    <row r="6030" spans="1:12">
      <c r="A6030" s="20" t="s">
        <v>87</v>
      </c>
      <c r="E6030" s="21">
        <f>IF(D6030="?OLD","!!!","")</f>
        <v/>
      </c>
      <c r="F6030" s="22" t="str">
        <f>IF(OR(E6030="",E6030="!!!"),"",IF(NOT(ISNA(VLOOKUP(E6030,E$1:E6029,1,FALSE()))),"OLD",IF(AND(E6030&lt;&gt;"",E6030&lt;&gt;"!!!"),"NEW","")))</f>
        <v> </v>
      </c>
      <c r="G6030" s="23" t="str">
        <f>IF(OR(E6030="",E6030="!!!"),"",IF(OR(J6030=0,AND(J6030=1,K6030=1),AND(J6030=1,I6030="SBJ"),AND(J6030=1,I6030=0)),"?IN_FOCUS",IF(J6030&lt;=2,"?ACTIVATED",IF(J6030&lt;&gt;"","?FAMILIAR",IF(F6030="NEW",IF(ISNA(VLOOKUP(E6030,#REF!,1,FALSE())),"?TYPE_IDENTIFIABLE","?REFERENTIAL"),"_")))))</f>
        <v> </v>
      </c>
      <c r="H6030" s="24" t="str">
        <f>IF(J6030&lt;&gt;1,"",IF(I6030="SBJ","CB","?"))</f>
        <v> </v>
      </c>
      <c r="I6030" s="25" t="str">
        <f>IF(OR(E6030="",E6030="!!!",F6030="NEW"),"",INDEX(B6029:B$2,-1+SUMPRODUCT(MAX(ROW(E6029:E$2)*(E6030=E6029:E$2)))))</f>
        <v> </v>
      </c>
      <c r="J6030" s="25" t="str">
        <f>IF(OR(E6030="",E6030="!!!",F6030="NEW"),"",COUNTBLANK(OFFSET(A$1,,,SUMPRODUCT(MAX(ROW(E$2:E6030)*(E6030=E$2:E6030)))))-COUNTBLANK(OFFSET(A$1,,,SUMPRODUCT(MAX(ROW(E$1:E6029)*(E2=E$1:E6029))))))</f>
        <v> </v>
      </c>
      <c r="K6030" s="25" t="str">
        <f>IF(OR(E6030="",E6030="!!!",F6030="NEW"),"",INDEX(J$1:J6029,SUMPRODUCT(MAX(ROW(E$1:E6029)*(E6030=E$1:E6029)))))</f>
        <v> </v>
      </c>
      <c r="L6030" s="26"/>
    </row>
    <row r="6031" spans="1:12">
      <c r="A6031" s="20" t="s">
        <v>1133</v>
      </c>
      <c r="B6031" s="27" t="s">
        <v>978</v>
      </c>
      <c r="C6031" s="27" t="s">
        <v>1123</v>
      </c>
      <c r="E6031" s="21">
        <f>IF(D6031="?OLD","!!!","")</f>
        <v/>
      </c>
      <c r="F6031" s="22" t="str">
        <f>IF(OR(E6031="",E6031="!!!"),"",IF(NOT(ISNA(VLOOKUP(E6031,E$1:E6030,1,FALSE()))),"OLD",IF(AND(E6031&lt;&gt;"",E6031&lt;&gt;"!!!"),"NEW","")))</f>
        <v> </v>
      </c>
      <c r="G6031" s="23" t="str">
        <f>IF(OR(E6031="",E6031="!!!"),"",IF(OR(J6031=0,AND(J6031=1,K6031=1),AND(J6031=1,I6031="SBJ"),AND(J6031=1,I6031=0)),"?IN_FOCUS",IF(J6031&lt;=2,"?ACTIVATED",IF(J6031&lt;&gt;"","?FAMILIAR",IF(F6031="NEW",IF(ISNA(VLOOKUP(E6031,#REF!,1,FALSE())),"?TYPE_IDENTIFIABLE","?REFERENTIAL"),"_")))))</f>
        <v> </v>
      </c>
      <c r="H6031" s="24" t="str">
        <f>IF(J6031&lt;&gt;1,"",IF(I6031="SBJ","CB","?"))</f>
        <v> </v>
      </c>
      <c r="I6031" s="25" t="str">
        <f>IF(OR(E6031="",E6031="!!!",F6031="NEW"),"",INDEX(B6030:B$2,-1+SUMPRODUCT(MAX(ROW(E6030:E$2)*(E6031=E6030:E$2)))))</f>
        <v> </v>
      </c>
      <c r="J6031" s="25" t="str">
        <f>IF(OR(E6031="",E6031="!!!",F6031="NEW"),"",COUNTBLANK(OFFSET(A$1,,,SUMPRODUCT(MAX(ROW(E$2:E6031)*(E6031=E$2:E6031)))))-COUNTBLANK(OFFSET(A$1,,,SUMPRODUCT(MAX(ROW(E$1:E6030)*(E2=E$1:E6030))))))</f>
        <v> </v>
      </c>
      <c r="K6031" s="25" t="str">
        <f>IF(OR(E6031="",E6031="!!!",F6031="NEW"),"",INDEX(J$1:J6030,SUMPRODUCT(MAX(ROW(E$1:E6030)*(E6031=E$1:E6030)))))</f>
        <v> </v>
      </c>
      <c r="L6031" s="26"/>
    </row>
    <row r="6032" spans="1:12">
      <c r="A6032" s="20" t="s">
        <v>1828</v>
      </c>
      <c r="E6032" s="21">
        <f>IF(D6032="?OLD","!!!","")</f>
        <v/>
      </c>
      <c r="F6032" s="22" t="str">
        <f>IF(OR(E6032="",E6032="!!!"),"",IF(NOT(ISNA(VLOOKUP(E6032,E$1:E6031,1,FALSE()))),"OLD",IF(AND(E6032&lt;&gt;"",E6032&lt;&gt;"!!!"),"NEW","")))</f>
        <v> </v>
      </c>
      <c r="G6032" s="23" t="str">
        <f>IF(OR(E6032="",E6032="!!!"),"",IF(OR(J6032=0,AND(J6032=1,K6032=1),AND(J6032=1,I6032="SBJ"),AND(J6032=1,I6032=0)),"?IN_FOCUS",IF(J6032&lt;=2,"?ACTIVATED",IF(J6032&lt;&gt;"","?FAMILIAR",IF(F6032="NEW",IF(ISNA(VLOOKUP(E6032,#REF!,1,FALSE())),"?TYPE_IDENTIFIABLE","?REFERENTIAL"),"_")))))</f>
        <v> </v>
      </c>
      <c r="H6032" s="24" t="str">
        <f>IF(J6032&lt;&gt;1,"",IF(I6032="SBJ","CB","?"))</f>
        <v> </v>
      </c>
      <c r="I6032" s="25" t="str">
        <f>IF(OR(E6032="",E6032="!!!",F6032="NEW"),"",INDEX(B6031:B$2,-1+SUMPRODUCT(MAX(ROW(E6031:E$2)*(E6032=E6031:E$2)))))</f>
        <v> </v>
      </c>
      <c r="J6032" s="25" t="str">
        <f>IF(OR(E6032="",E6032="!!!",F6032="NEW"),"",COUNTBLANK(OFFSET(A$1,,,SUMPRODUCT(MAX(ROW(E$2:E6032)*(E6032=E$2:E6032)))))-COUNTBLANK(OFFSET(A$1,,,SUMPRODUCT(MAX(ROW(E$1:E6031)*(E2=E$1:E6031))))))</f>
        <v> </v>
      </c>
      <c r="K6032" s="25" t="str">
        <f>IF(OR(E6032="",E6032="!!!",F6032="NEW"),"",INDEX(J$1:J6031,SUMPRODUCT(MAX(ROW(E$1:E6031)*(E6032=E$1:E6031)))))</f>
        <v> </v>
      </c>
      <c r="L6032" s="26"/>
    </row>
    <row r="6033" spans="1:12">
      <c r="A6033" s="20" t="s">
        <v>2560</v>
      </c>
      <c r="E6033" s="21">
        <f>IF(D6033="?OLD","!!!","")</f>
        <v/>
      </c>
      <c r="F6033" s="22" t="str">
        <f>IF(OR(E6033="",E6033="!!!"),"",IF(NOT(ISNA(VLOOKUP(E6033,E$1:E6032,1,FALSE()))),"OLD",IF(AND(E6033&lt;&gt;"",E6033&lt;&gt;"!!!"),"NEW","")))</f>
        <v> </v>
      </c>
      <c r="G6033" s="23" t="str">
        <f>IF(OR(E6033="",E6033="!!!"),"",IF(OR(J6033=0,AND(J6033=1,K6033=1),AND(J6033=1,I6033="SBJ"),AND(J6033=1,I6033=0)),"?IN_FOCUS",IF(J6033&lt;=2,"?ACTIVATED",IF(J6033&lt;&gt;"","?FAMILIAR",IF(F6033="NEW",IF(ISNA(VLOOKUP(E6033,#REF!,1,FALSE())),"?TYPE_IDENTIFIABLE","?REFERENTIAL"),"_")))))</f>
        <v> </v>
      </c>
      <c r="H6033" s="24" t="str">
        <f>IF(J6033&lt;&gt;1,"",IF(I6033="SBJ","CB","?"))</f>
        <v> </v>
      </c>
      <c r="I6033" s="25" t="str">
        <f>IF(OR(E6033="",E6033="!!!",F6033="NEW"),"",INDEX(B6032:B$2,-1+SUMPRODUCT(MAX(ROW(E6032:E$2)*(E6033=E6032:E$2)))))</f>
        <v> </v>
      </c>
      <c r="J6033" s="25" t="str">
        <f>IF(OR(E6033="",E6033="!!!",F6033="NEW"),"",COUNTBLANK(OFFSET(A$1,,,SUMPRODUCT(MAX(ROW(E$2:E6033)*(E6033=E$2:E6033)))))-COUNTBLANK(OFFSET(A$1,,,SUMPRODUCT(MAX(ROW(E$1:E6032)*(E2=E$1:E6032))))))</f>
        <v> </v>
      </c>
      <c r="K6033" s="25" t="str">
        <f>IF(OR(E6033="",E6033="!!!",F6033="NEW"),"",INDEX(J$1:J6032,SUMPRODUCT(MAX(ROW(E$1:E6032)*(E6033=E$1:E6032)))))</f>
        <v> </v>
      </c>
      <c r="L6033" s="26"/>
    </row>
    <row r="6034" spans="1:12">
      <c r="A6034" s="20" t="s">
        <v>1278</v>
      </c>
      <c r="E6034" s="21">
        <f>IF(D6034="?OLD","!!!","")</f>
        <v/>
      </c>
      <c r="F6034" s="22" t="str">
        <f>IF(OR(E6034="",E6034="!!!"),"",IF(NOT(ISNA(VLOOKUP(E6034,E$1:E6033,1,FALSE()))),"OLD",IF(AND(E6034&lt;&gt;"",E6034&lt;&gt;"!!!"),"NEW","")))</f>
        <v> </v>
      </c>
      <c r="G6034" s="23" t="str">
        <f>IF(OR(E6034="",E6034="!!!"),"",IF(OR(J6034=0,AND(J6034=1,K6034=1),AND(J6034=1,I6034="SBJ"),AND(J6034=1,I6034=0)),"?IN_FOCUS",IF(J6034&lt;=2,"?ACTIVATED",IF(J6034&lt;&gt;"","?FAMILIAR",IF(F6034="NEW",IF(ISNA(VLOOKUP(E6034,#REF!,1,FALSE())),"?TYPE_IDENTIFIABLE","?REFERENTIAL"),"_")))))</f>
        <v> </v>
      </c>
      <c r="H6034" s="24" t="str">
        <f>IF(J6034&lt;&gt;1,"",IF(I6034="SBJ","CB","?"))</f>
        <v> </v>
      </c>
      <c r="I6034" s="25" t="str">
        <f>IF(OR(E6034="",E6034="!!!",F6034="NEW"),"",INDEX(B6033:B$2,-1+SUMPRODUCT(MAX(ROW(E6033:E$2)*(E6034=E6033:E$2)))))</f>
        <v> </v>
      </c>
      <c r="J6034" s="25" t="str">
        <f>IF(OR(E6034="",E6034="!!!",F6034="NEW"),"",COUNTBLANK(OFFSET(A$1,,,SUMPRODUCT(MAX(ROW(E$2:E6034)*(E6034=E$2:E6034)))))-COUNTBLANK(OFFSET(A$1,,,SUMPRODUCT(MAX(ROW(E$1:E6033)*(E2=E$1:E6033))))))</f>
        <v> </v>
      </c>
      <c r="K6034" s="25" t="str">
        <f>IF(OR(E6034="",E6034="!!!",F6034="NEW"),"",INDEX(J$1:J6033,SUMPRODUCT(MAX(ROW(E$1:E6033)*(E6034=E$1:E6033)))))</f>
        <v> </v>
      </c>
      <c r="L6034" s="26"/>
    </row>
    <row r="6035" spans="1:12">
      <c r="A6035" s="20" t="s">
        <v>991</v>
      </c>
      <c r="E6035" s="21">
        <f>IF(D6035="?OLD","!!!","")</f>
        <v/>
      </c>
      <c r="F6035" s="22" t="str">
        <f>IF(OR(E6035="",E6035="!!!"),"",IF(NOT(ISNA(VLOOKUP(E6035,E$1:E6034,1,FALSE()))),"OLD",IF(AND(E6035&lt;&gt;"",E6035&lt;&gt;"!!!"),"NEW","")))</f>
        <v> </v>
      </c>
      <c r="G6035" s="23" t="str">
        <f>IF(OR(E6035="",E6035="!!!"),"",IF(OR(J6035=0,AND(J6035=1,K6035=1),AND(J6035=1,I6035="SBJ"),AND(J6035=1,I6035=0)),"?IN_FOCUS",IF(J6035&lt;=2,"?ACTIVATED",IF(J6035&lt;&gt;"","?FAMILIAR",IF(F6035="NEW",IF(ISNA(VLOOKUP(E6035,#REF!,1,FALSE())),"?TYPE_IDENTIFIABLE","?REFERENTIAL"),"_")))))</f>
        <v> </v>
      </c>
      <c r="H6035" s="24" t="str">
        <f>IF(J6035&lt;&gt;1,"",IF(I6035="SBJ","CB","?"))</f>
        <v> </v>
      </c>
      <c r="I6035" s="25" t="str">
        <f>IF(OR(E6035="",E6035="!!!",F6035="NEW"),"",INDEX(B6034:B$2,-1+SUMPRODUCT(MAX(ROW(E6034:E$2)*(E6035=E6034:E$2)))))</f>
        <v> </v>
      </c>
      <c r="J6035" s="25" t="str">
        <f>IF(OR(E6035="",E6035="!!!",F6035="NEW"),"",COUNTBLANK(OFFSET(A$1,,,SUMPRODUCT(MAX(ROW(E$2:E6035)*(E6035=E$2:E6035)))))-COUNTBLANK(OFFSET(A$1,,,SUMPRODUCT(MAX(ROW(E$1:E6034)*(E2=E$1:E6034))))))</f>
        <v> </v>
      </c>
      <c r="K6035" s="25" t="str">
        <f>IF(OR(E6035="",E6035="!!!",F6035="NEW"),"",INDEX(J$1:J6034,SUMPRODUCT(MAX(ROW(E$1:E6034)*(E6035=E$1:E6034)))))</f>
        <v> </v>
      </c>
      <c r="L6035" s="26"/>
    </row>
    <row r="6036" spans="1:12">
      <c r="A6036" s="20" t="s">
        <v>1046</v>
      </c>
      <c r="E6036" s="21">
        <f>IF(D6036="?OLD","!!!","")</f>
        <v/>
      </c>
      <c r="F6036" s="22" t="str">
        <f>IF(OR(E6036="",E6036="!!!"),"",IF(NOT(ISNA(VLOOKUP(E6036,E$1:E6035,1,FALSE()))),"OLD",IF(AND(E6036&lt;&gt;"",E6036&lt;&gt;"!!!"),"NEW","")))</f>
        <v> </v>
      </c>
      <c r="G6036" s="23" t="str">
        <f>IF(OR(E6036="",E6036="!!!"),"",IF(OR(J6036=0,AND(J6036=1,K6036=1),AND(J6036=1,I6036="SBJ"),AND(J6036=1,I6036=0)),"?IN_FOCUS",IF(J6036&lt;=2,"?ACTIVATED",IF(J6036&lt;&gt;"","?FAMILIAR",IF(F6036="NEW",IF(ISNA(VLOOKUP(E6036,#REF!,1,FALSE())),"?TYPE_IDENTIFIABLE","?REFERENTIAL"),"_")))))</f>
        <v> </v>
      </c>
      <c r="H6036" s="24" t="str">
        <f>IF(J6036&lt;&gt;1,"",IF(I6036="SBJ","CB","?"))</f>
        <v> </v>
      </c>
      <c r="I6036" s="25" t="str">
        <f>IF(OR(E6036="",E6036="!!!",F6036="NEW"),"",INDEX(B6035:B$2,-1+SUMPRODUCT(MAX(ROW(E6035:E$2)*(E6036=E6035:E$2)))))</f>
        <v> </v>
      </c>
      <c r="J6036" s="25" t="str">
        <f>IF(OR(E6036="",E6036="!!!",F6036="NEW"),"",COUNTBLANK(OFFSET(A$1,,,SUMPRODUCT(MAX(ROW(E$2:E6036)*(E6036=E$2:E6036)))))-COUNTBLANK(OFFSET(A$1,,,SUMPRODUCT(MAX(ROW(E$1:E6035)*(E2=E$1:E6035))))))</f>
        <v> </v>
      </c>
      <c r="K6036" s="25" t="str">
        <f>IF(OR(E6036="",E6036="!!!",F6036="NEW"),"",INDEX(J$1:J6035,SUMPRODUCT(MAX(ROW(E$1:E6035)*(E6036=E$1:E6035)))))</f>
        <v> </v>
      </c>
      <c r="L6036" s="26"/>
    </row>
    <row r="6037" spans="1:12">
      <c r="A6037" s="20" t="s">
        <v>985</v>
      </c>
      <c r="E6037" s="21">
        <f>IF(D6037="?OLD","!!!","")</f>
        <v/>
      </c>
      <c r="F6037" s="22" t="str">
        <f>IF(OR(E6037="",E6037="!!!"),"",IF(NOT(ISNA(VLOOKUP(E6037,E$1:E6036,1,FALSE()))),"OLD",IF(AND(E6037&lt;&gt;"",E6037&lt;&gt;"!!!"),"NEW","")))</f>
        <v> </v>
      </c>
      <c r="G6037" s="23" t="str">
        <f>IF(OR(E6037="",E6037="!!!"),"",IF(OR(J6037=0,AND(J6037=1,K6037=1),AND(J6037=1,I6037="SBJ"),AND(J6037=1,I6037=0)),"?IN_FOCUS",IF(J6037&lt;=2,"?ACTIVATED",IF(J6037&lt;&gt;"","?FAMILIAR",IF(F6037="NEW",IF(ISNA(VLOOKUP(E6037,#REF!,1,FALSE())),"?TYPE_IDENTIFIABLE","?REFERENTIAL"),"_")))))</f>
        <v> </v>
      </c>
      <c r="H6037" s="24" t="str">
        <f>IF(J6037&lt;&gt;1,"",IF(I6037="SBJ","CB","?"))</f>
        <v> </v>
      </c>
      <c r="I6037" s="25" t="str">
        <f>IF(OR(E6037="",E6037="!!!",F6037="NEW"),"",INDEX(B6036:B$2,-1+SUMPRODUCT(MAX(ROW(E6036:E$2)*(E6037=E6036:E$2)))))</f>
        <v> </v>
      </c>
      <c r="J6037" s="25" t="str">
        <f>IF(OR(E6037="",E6037="!!!",F6037="NEW"),"",COUNTBLANK(OFFSET(A$1,,,SUMPRODUCT(MAX(ROW(E$2:E6037)*(E6037=E$2:E6037)))))-COUNTBLANK(OFFSET(A$1,,,SUMPRODUCT(MAX(ROW(E$1:E6036)*(E2=E$1:E6036))))))</f>
        <v> </v>
      </c>
      <c r="K6037" s="25" t="str">
        <f>IF(OR(E6037="",E6037="!!!",F6037="NEW"),"",INDEX(J$1:J6036,SUMPRODUCT(MAX(ROW(E$1:E6036)*(E6037=E$1:E6036)))))</f>
        <v> </v>
      </c>
      <c r="L6037" s="26"/>
    </row>
    <row r="6038" spans="1:12">
      <c r="A6038" s="20" t="s">
        <v>2539</v>
      </c>
      <c r="B6038" s="27" t="s">
        <v>1010</v>
      </c>
      <c r="C6038" s="27" t="s">
        <v>979</v>
      </c>
      <c r="D6038" s="27" t="s">
        <v>969</v>
      </c>
      <c r="E6038" s="21">
        <f>IF(D6038="?OLD","!!!","")</f>
        <v/>
      </c>
      <c r="F6038" s="22" t="str">
        <f>IF(OR(E6038="",E6038="!!!"),"",IF(NOT(ISNA(VLOOKUP(E6038,E$1:E6037,1,FALSE()))),"OLD",IF(AND(E6038&lt;&gt;"",E6038&lt;&gt;"!!!"),"NEW","")))</f>
        <v> </v>
      </c>
      <c r="G6038" s="23" t="str">
        <f>IF(OR(E6038="",E6038="!!!"),"",IF(OR(J6038=0,AND(J6038=1,K6038=1),AND(J6038=1,I6038="SBJ"),AND(J6038=1,I6038=0)),"?IN_FOCUS",IF(J6038&lt;=2,"?ACTIVATED",IF(J6038&lt;&gt;"","?FAMILIAR",IF(F6038="NEW",IF(ISNA(VLOOKUP(E6038,#REF!,1,FALSE())),"?TYPE_IDENTIFIABLE","?REFERENTIAL"),"_")))))</f>
        <v> </v>
      </c>
      <c r="H6038" s="24" t="str">
        <f>IF(J6038&lt;&gt;1,"",IF(I6038="SBJ","CB","?"))</f>
        <v> </v>
      </c>
      <c r="I6038" s="25" t="str">
        <f>IF(OR(E6038="",E6038="!!!",F6038="NEW"),"",INDEX(B6037:B$2,-1+SUMPRODUCT(MAX(ROW(E6037:E$2)*(E6038=E6037:E$2)))))</f>
        <v> </v>
      </c>
      <c r="J6038" s="25" t="str">
        <f>IF(OR(E6038="",E6038="!!!",F6038="NEW"),"",COUNTBLANK(OFFSET(A$1,,,SUMPRODUCT(MAX(ROW(E$2:E6038)*(E6038=E$2:E6038)))))-COUNTBLANK(OFFSET(A$1,,,SUMPRODUCT(MAX(ROW(E$1:E6037)*(E2=E$1:E6037))))))</f>
        <v> </v>
      </c>
      <c r="K6038" s="25" t="str">
        <f>IF(OR(E6038="",E6038="!!!",F6038="NEW"),"",INDEX(J$1:J6037,SUMPRODUCT(MAX(ROW(E$1:E6037)*(E6038=E$1:E6037)))))</f>
        <v> </v>
      </c>
      <c r="L6038" s="26"/>
    </row>
    <row r="6039" spans="1:12">
      <c r="A6039" s="20" t="s">
        <v>1026</v>
      </c>
      <c r="B6039" s="27" t="s">
        <v>1013</v>
      </c>
      <c r="C6039" s="27" t="s">
        <v>968</v>
      </c>
      <c r="D6039" s="27" t="s">
        <v>969</v>
      </c>
      <c r="E6039" s="21">
        <f>IF(D6039="?OLD","!!!","")</f>
        <v/>
      </c>
      <c r="F6039" s="22" t="str">
        <f>IF(OR(E6039="",E6039="!!!"),"",IF(NOT(ISNA(VLOOKUP(E6039,E$1:E6038,1,FALSE()))),"OLD",IF(AND(E6039&lt;&gt;"",E6039&lt;&gt;"!!!"),"NEW","")))</f>
        <v> </v>
      </c>
      <c r="G6039" s="23" t="str">
        <f>IF(OR(E6039="",E6039="!!!"),"",IF(OR(J6039=0,AND(J6039=1,K6039=1),AND(J6039=1,I6039="SBJ"),AND(J6039=1,I6039=0)),"?IN_FOCUS",IF(J6039&lt;=2,"?ACTIVATED",IF(J6039&lt;&gt;"","?FAMILIAR",IF(F6039="NEW",IF(ISNA(VLOOKUP(E6039,#REF!,1,FALSE())),"?TYPE_IDENTIFIABLE","?REFERENTIAL"),"_")))))</f>
        <v> </v>
      </c>
      <c r="H6039" s="24" t="str">
        <f>IF(J6039&lt;&gt;1,"",IF(I6039="SBJ","CB","?"))</f>
        <v> </v>
      </c>
      <c r="I6039" s="25" t="str">
        <f>IF(OR(E6039="",E6039="!!!",F6039="NEW"),"",INDEX(B6038:B$2,-1+SUMPRODUCT(MAX(ROW(E6038:E$2)*(E6039=E6038:E$2)))))</f>
        <v> </v>
      </c>
      <c r="J6039" s="25" t="str">
        <f>IF(OR(E6039="",E6039="!!!",F6039="NEW"),"",COUNTBLANK(OFFSET(A$1,,,SUMPRODUCT(MAX(ROW(E$2:E6039)*(E6039=E$2:E6039)))))-COUNTBLANK(OFFSET(A$1,,,SUMPRODUCT(MAX(ROW(E$1:E6038)*(E2=E$1:E6038))))))</f>
        <v> </v>
      </c>
      <c r="K6039" s="25" t="str">
        <f>IF(OR(E6039="",E6039="!!!",F6039="NEW"),"",INDEX(J$1:J6038,SUMPRODUCT(MAX(ROW(E$1:E6038)*(E6039=E$1:E6038)))))</f>
        <v> </v>
      </c>
      <c r="L6039" s="26"/>
    </row>
    <row r="6040" spans="1:12">
      <c r="A6040" s="20" t="s">
        <v>1110</v>
      </c>
      <c r="E6040" s="21">
        <f>IF(D6040="?OLD","!!!","")</f>
        <v/>
      </c>
      <c r="F6040" s="22" t="str">
        <f>IF(OR(E6040="",E6040="!!!"),"",IF(NOT(ISNA(VLOOKUP(E6040,E$1:E6039,1,FALSE()))),"OLD",IF(AND(E6040&lt;&gt;"",E6040&lt;&gt;"!!!"),"NEW","")))</f>
        <v> </v>
      </c>
      <c r="G6040" s="23" t="str">
        <f>IF(OR(E6040="",E6040="!!!"),"",IF(OR(J6040=0,AND(J6040=1,K6040=1),AND(J6040=1,I6040="SBJ"),AND(J6040=1,I6040=0)),"?IN_FOCUS",IF(J6040&lt;=2,"?ACTIVATED",IF(J6040&lt;&gt;"","?FAMILIAR",IF(F6040="NEW",IF(ISNA(VLOOKUP(E6040,#REF!,1,FALSE())),"?TYPE_IDENTIFIABLE","?REFERENTIAL"),"_")))))</f>
        <v> </v>
      </c>
      <c r="H6040" s="24" t="str">
        <f>IF(J6040&lt;&gt;1,"",IF(I6040="SBJ","CB","?"))</f>
        <v> </v>
      </c>
      <c r="I6040" s="25" t="str">
        <f>IF(OR(E6040="",E6040="!!!",F6040="NEW"),"",INDEX(B6039:B$2,-1+SUMPRODUCT(MAX(ROW(E6039:E$2)*(E6040=E6039:E$2)))))</f>
        <v> </v>
      </c>
      <c r="J6040" s="25" t="str">
        <f>IF(OR(E6040="",E6040="!!!",F6040="NEW"),"",COUNTBLANK(OFFSET(A$1,,,SUMPRODUCT(MAX(ROW(E$2:E6040)*(E6040=E$2:E6040)))))-COUNTBLANK(OFFSET(A$1,,,SUMPRODUCT(MAX(ROW(E$1:E6039)*(E2=E$1:E6039))))))</f>
        <v> </v>
      </c>
      <c r="K6040" s="25" t="str">
        <f>IF(OR(E6040="",E6040="!!!",F6040="NEW"),"",INDEX(J$1:J6039,SUMPRODUCT(MAX(ROW(E$1:E6039)*(E6040=E$1:E6039)))))</f>
        <v> </v>
      </c>
      <c r="L6040" s="26"/>
    </row>
    <row r="6041" spans="1:12">
      <c r="A6041" s="20" t="s">
        <v>2561</v>
      </c>
      <c r="B6041" s="27" t="s">
        <v>1013</v>
      </c>
      <c r="C6041" s="27" t="s">
        <v>1018</v>
      </c>
      <c r="E6041" s="21">
        <f>IF(D6041="?OLD","!!!","")</f>
        <v/>
      </c>
      <c r="F6041" s="22" t="str">
        <f>IF(OR(E6041="",E6041="!!!"),"",IF(NOT(ISNA(VLOOKUP(E6041,E$1:E6040,1,FALSE()))),"OLD",IF(AND(E6041&lt;&gt;"",E6041&lt;&gt;"!!!"),"NEW","")))</f>
        <v> </v>
      </c>
      <c r="G6041" s="23" t="str">
        <f>IF(OR(E6041="",E6041="!!!"),"",IF(OR(J6041=0,AND(J6041=1,K6041=1),AND(J6041=1,I6041="SBJ"),AND(J6041=1,I6041=0)),"?IN_FOCUS",IF(J6041&lt;=2,"?ACTIVATED",IF(J6041&lt;&gt;"","?FAMILIAR",IF(F6041="NEW",IF(ISNA(VLOOKUP(E6041,#REF!,1,FALSE())),"?TYPE_IDENTIFIABLE","?REFERENTIAL"),"_")))))</f>
        <v> </v>
      </c>
      <c r="H6041" s="24" t="str">
        <f>IF(J6041&lt;&gt;1,"",IF(I6041="SBJ","CB","?"))</f>
        <v> </v>
      </c>
      <c r="I6041" s="25" t="str">
        <f>IF(OR(E6041="",E6041="!!!",F6041="NEW"),"",INDEX(B6040:B$2,-1+SUMPRODUCT(MAX(ROW(E6040:E$2)*(E6041=E6040:E$2)))))</f>
        <v> </v>
      </c>
      <c r="J6041" s="25" t="str">
        <f>IF(OR(E6041="",E6041="!!!",F6041="NEW"),"",COUNTBLANK(OFFSET(A$1,,,SUMPRODUCT(MAX(ROW(E$2:E6041)*(E6041=E$2:E6041)))))-COUNTBLANK(OFFSET(A$1,,,SUMPRODUCT(MAX(ROW(E$1:E6040)*(E2=E$1:E6040))))))</f>
        <v> </v>
      </c>
      <c r="K6041" s="25" t="str">
        <f>IF(OR(E6041="",E6041="!!!",F6041="NEW"),"",INDEX(J$1:J6040,SUMPRODUCT(MAX(ROW(E$1:E6040)*(E6041=E$1:E6040)))))</f>
        <v> </v>
      </c>
      <c r="L6041" s="26"/>
    </row>
    <row r="6042" spans="1:12">
      <c r="A6042" s="20" t="s">
        <v>2562</v>
      </c>
      <c r="E6042" s="21">
        <f>IF(D6042="?OLD","!!!","")</f>
        <v/>
      </c>
      <c r="F6042" s="22" t="str">
        <f>IF(OR(E6042="",E6042="!!!"),"",IF(NOT(ISNA(VLOOKUP(E6042,E$1:E6041,1,FALSE()))),"OLD",IF(AND(E6042&lt;&gt;"",E6042&lt;&gt;"!!!"),"NEW","")))</f>
        <v> </v>
      </c>
      <c r="G6042" s="23" t="str">
        <f>IF(OR(E6042="",E6042="!!!"),"",IF(OR(J6042=0,AND(J6042=1,K6042=1),AND(J6042=1,I6042="SBJ"),AND(J6042=1,I6042=0)),"?IN_FOCUS",IF(J6042&lt;=2,"?ACTIVATED",IF(J6042&lt;&gt;"","?FAMILIAR",IF(F6042="NEW",IF(ISNA(VLOOKUP(E6042,#REF!,1,FALSE())),"?TYPE_IDENTIFIABLE","?REFERENTIAL"),"_")))))</f>
        <v> </v>
      </c>
      <c r="H6042" s="24" t="str">
        <f>IF(J6042&lt;&gt;1,"",IF(I6042="SBJ","CB","?"))</f>
        <v> </v>
      </c>
      <c r="I6042" s="25" t="str">
        <f>IF(OR(E6042="",E6042="!!!",F6042="NEW"),"",INDEX(B6041:B$2,-1+SUMPRODUCT(MAX(ROW(E6041:E$2)*(E6042=E6041:E$2)))))</f>
        <v> </v>
      </c>
      <c r="J6042" s="25" t="str">
        <f>IF(OR(E6042="",E6042="!!!",F6042="NEW"),"",COUNTBLANK(OFFSET(A$1,,,SUMPRODUCT(MAX(ROW(E$2:E6042)*(E6042=E$2:E6042)))))-COUNTBLANK(OFFSET(A$1,,,SUMPRODUCT(MAX(ROW(E$1:E6041)*(E2=E$1:E6041))))))</f>
        <v> </v>
      </c>
      <c r="K6042" s="25" t="str">
        <f>IF(OR(E6042="",E6042="!!!",F6042="NEW"),"",INDEX(J$1:J6041,SUMPRODUCT(MAX(ROW(E$1:E6041)*(E6042=E$1:E6041)))))</f>
        <v> </v>
      </c>
      <c r="L6042" s="26"/>
    </row>
    <row r="6043" spans="1:12">
      <c r="A6043" s="20" t="s">
        <v>1005</v>
      </c>
      <c r="E6043" s="21">
        <f>IF(D6043="?OLD","!!!","")</f>
        <v/>
      </c>
      <c r="F6043" s="22" t="str">
        <f>IF(OR(E6043="",E6043="!!!"),"",IF(NOT(ISNA(VLOOKUP(E6043,E$1:E6042,1,FALSE()))),"OLD",IF(AND(E6043&lt;&gt;"",E6043&lt;&gt;"!!!"),"NEW","")))</f>
        <v> </v>
      </c>
      <c r="G6043" s="23" t="str">
        <f>IF(OR(E6043="",E6043="!!!"),"",IF(OR(J6043=0,AND(J6043=1,K6043=1),AND(J6043=1,I6043="SBJ"),AND(J6043=1,I6043=0)),"?IN_FOCUS",IF(J6043&lt;=2,"?ACTIVATED",IF(J6043&lt;&gt;"","?FAMILIAR",IF(F6043="NEW",IF(ISNA(VLOOKUP(E6043,#REF!,1,FALSE())),"?TYPE_IDENTIFIABLE","?REFERENTIAL"),"_")))))</f>
        <v> </v>
      </c>
      <c r="H6043" s="24" t="str">
        <f>IF(J6043&lt;&gt;1,"",IF(I6043="SBJ","CB","?"))</f>
        <v> </v>
      </c>
      <c r="I6043" s="25" t="str">
        <f>IF(OR(E6043="",E6043="!!!",F6043="NEW"),"",INDEX(B6042:B$2,-1+SUMPRODUCT(MAX(ROW(E6042:E$2)*(E6043=E6042:E$2)))))</f>
        <v> </v>
      </c>
      <c r="J6043" s="25" t="str">
        <f>IF(OR(E6043="",E6043="!!!",F6043="NEW"),"",COUNTBLANK(OFFSET(A$1,,,SUMPRODUCT(MAX(ROW(E$2:E6043)*(E6043=E$2:E6043)))))-COUNTBLANK(OFFSET(A$1,,,SUMPRODUCT(MAX(ROW(E$1:E6042)*(E2=E$1:E6042))))))</f>
        <v> </v>
      </c>
      <c r="K6043" s="25" t="str">
        <f>IF(OR(E6043="",E6043="!!!",F6043="NEW"),"",INDEX(J$1:J6042,SUMPRODUCT(MAX(ROW(E$1:E6042)*(E6043=E$1:E6042)))))</f>
        <v> </v>
      </c>
      <c r="L6043" s="26"/>
    </row>
    <row r="6044" spans="1:12">
      <c r="A6044" s="20"/>
    </row>
    <row r="6045" spans="1:12">
      <c r="A6045" s="20" t="s">
        <v>2563</v>
      </c>
    </row>
    <row r="6046" spans="1:12">
      <c r="A6046" s="20" t="s">
        <v>2564</v>
      </c>
      <c r="E6046" s="21">
        <f>IF(D6046="?OLD","!!!","")</f>
        <v/>
      </c>
      <c r="F6046" s="22" t="str">
        <f>IF(OR(E6046="",E6046="!!!"),"",IF(NOT(ISNA(VLOOKUP(E6046,E$1:E6045,1,FALSE()))),"OLD",IF(AND(E6046&lt;&gt;"",E6046&lt;&gt;"!!!"),"NEW","")))</f>
        <v> </v>
      </c>
      <c r="G6046" s="23" t="str">
        <f>IF(OR(E6046="",E6046="!!!"),"",IF(OR(J6046=0,AND(J6046=1,K6046=1),AND(J6046=1,I6046="SBJ"),AND(J6046=1,I6046=0)),"?IN_FOCUS",IF(J6046&lt;=2,"?ACTIVATED",IF(J6046&lt;&gt;"","?FAMILIAR",IF(F6046="NEW",IF(ISNA(VLOOKUP(E6046,#REF!,1,FALSE())),"?TYPE_IDENTIFIABLE","?REFERENTIAL"),"_")))))</f>
        <v> </v>
      </c>
      <c r="H6046" s="24" t="str">
        <f>IF(J6046&lt;&gt;1,"",IF(I6046="SBJ","CB","?"))</f>
        <v> </v>
      </c>
      <c r="I6046" s="25" t="str">
        <f>IF(OR(E6046="",E6046="!!!",F6046="NEW"),"",INDEX(B6045:B$2,-1+SUMPRODUCT(MAX(ROW(E6045:E$2)*(E6046=E6045:E$2)))))</f>
        <v> </v>
      </c>
      <c r="J6046" s="25" t="str">
        <f>IF(OR(E6046="",E6046="!!!",F6046="NEW"),"",COUNTBLANK(OFFSET(A$1,,,SUMPRODUCT(MAX(ROW(E$2:E6046)*(E6046=E$2:E6046)))))-COUNTBLANK(OFFSET(A$1,,,SUMPRODUCT(MAX(ROW(E$1:E6045)*(E2=E$1:E6045))))))</f>
        <v> </v>
      </c>
      <c r="K6046" s="25" t="str">
        <f>IF(OR(E6046="",E6046="!!!",F6046="NEW"),"",INDEX(J$1:J6045,SUMPRODUCT(MAX(ROW(E$1:E6045)*(E6046=E$1:E6045)))))</f>
        <v> </v>
      </c>
      <c r="L6046" s="26"/>
    </row>
    <row r="6047" spans="1:12">
      <c r="A6047" s="20" t="s">
        <v>993</v>
      </c>
      <c r="B6047" s="27" t="s">
        <v>1010</v>
      </c>
      <c r="C6047" s="27" t="s">
        <v>968</v>
      </c>
      <c r="D6047" s="27" t="s">
        <v>969</v>
      </c>
      <c r="E6047" s="21">
        <f>IF(D6047="?OLD","!!!","")</f>
        <v/>
      </c>
      <c r="F6047" s="22" t="str">
        <f>IF(OR(E6047="",E6047="!!!"),"",IF(NOT(ISNA(VLOOKUP(E6047,E$1:E6046,1,FALSE()))),"OLD",IF(AND(E6047&lt;&gt;"",E6047&lt;&gt;"!!!"),"NEW","")))</f>
        <v> </v>
      </c>
      <c r="G6047" s="23" t="str">
        <f>IF(OR(E6047="",E6047="!!!"),"",IF(OR(J6047=0,AND(J6047=1,K6047=1),AND(J6047=1,I6047="SBJ"),AND(J6047=1,I6047=0)),"?IN_FOCUS",IF(J6047&lt;=2,"?ACTIVATED",IF(J6047&lt;&gt;"","?FAMILIAR",IF(F6047="NEW",IF(ISNA(VLOOKUP(E6047,#REF!,1,FALSE())),"?TYPE_IDENTIFIABLE","?REFERENTIAL"),"_")))))</f>
        <v> </v>
      </c>
      <c r="H6047" s="24" t="str">
        <f>IF(J6047&lt;&gt;1,"",IF(I6047="SBJ","CB","?"))</f>
        <v> </v>
      </c>
      <c r="I6047" s="25" t="str">
        <f>IF(OR(E6047="",E6047="!!!",F6047="NEW"),"",INDEX(B6046:B$2,-1+SUMPRODUCT(MAX(ROW(E6046:E$2)*(E6047=E6046:E$2)))))</f>
        <v> </v>
      </c>
      <c r="J6047" s="25" t="str">
        <f>IF(OR(E6047="",E6047="!!!",F6047="NEW"),"",COUNTBLANK(OFFSET(A$1,,,SUMPRODUCT(MAX(ROW(E$2:E6047)*(E6047=E$2:E6047)))))-COUNTBLANK(OFFSET(A$1,,,SUMPRODUCT(MAX(ROW(E$1:E6046)*(E2=E$1:E6046))))))</f>
        <v> </v>
      </c>
      <c r="K6047" s="25" t="str">
        <f>IF(OR(E6047="",E6047="!!!",F6047="NEW"),"",INDEX(J$1:J6046,SUMPRODUCT(MAX(ROW(E$1:E6046)*(E6047=E$1:E6046)))))</f>
        <v> </v>
      </c>
      <c r="L6047" s="26"/>
    </row>
    <row r="6048" spans="1:12">
      <c r="A6048" s="20" t="s">
        <v>1086</v>
      </c>
      <c r="B6048" s="27" t="s">
        <v>1013</v>
      </c>
      <c r="C6048" s="27" t="s">
        <v>968</v>
      </c>
      <c r="D6048" s="27" t="s">
        <v>969</v>
      </c>
      <c r="E6048" s="21">
        <f>IF(D6048="?OLD","!!!","")</f>
        <v/>
      </c>
      <c r="F6048" s="22" t="str">
        <f>IF(OR(E6048="",E6048="!!!"),"",IF(NOT(ISNA(VLOOKUP(E6048,E$1:E6047,1,FALSE()))),"OLD",IF(AND(E6048&lt;&gt;"",E6048&lt;&gt;"!!!"),"NEW","")))</f>
        <v> </v>
      </c>
      <c r="G6048" s="23" t="str">
        <f>IF(OR(E6048="",E6048="!!!"),"",IF(OR(J6048=0,AND(J6048=1,K6048=1),AND(J6048=1,I6048="SBJ"),AND(J6048=1,I6048=0)),"?IN_FOCUS",IF(J6048&lt;=2,"?ACTIVATED",IF(J6048&lt;&gt;"","?FAMILIAR",IF(F6048="NEW",IF(ISNA(VLOOKUP(E6048,#REF!,1,FALSE())),"?TYPE_IDENTIFIABLE","?REFERENTIAL"),"_")))))</f>
        <v> </v>
      </c>
      <c r="H6048" s="24" t="str">
        <f>IF(J6048&lt;&gt;1,"",IF(I6048="SBJ","CB","?"))</f>
        <v> </v>
      </c>
      <c r="I6048" s="25" t="str">
        <f>IF(OR(E6048="",E6048="!!!",F6048="NEW"),"",INDEX(B6047:B$2,-1+SUMPRODUCT(MAX(ROW(E6047:E$2)*(E6048=E6047:E$2)))))</f>
        <v> </v>
      </c>
      <c r="J6048" s="25" t="str">
        <f>IF(OR(E6048="",E6048="!!!",F6048="NEW"),"",COUNTBLANK(OFFSET(A$1,,,SUMPRODUCT(MAX(ROW(E$2:E6048)*(E6048=E$2:E6048)))))-COUNTBLANK(OFFSET(A$1,,,SUMPRODUCT(MAX(ROW(E$1:E6047)*(E2=E$1:E6047))))))</f>
        <v> </v>
      </c>
      <c r="K6048" s="25" t="str">
        <f>IF(OR(E6048="",E6048="!!!",F6048="NEW"),"",INDEX(J$1:J6047,SUMPRODUCT(MAX(ROW(E$1:E6047)*(E6048=E$1:E6047)))))</f>
        <v> </v>
      </c>
      <c r="L6048" s="26"/>
    </row>
    <row r="6049" spans="1:12">
      <c r="A6049" s="20" t="s">
        <v>2565</v>
      </c>
      <c r="E6049" s="21">
        <f>IF(D6049="?OLD","!!!","")</f>
        <v/>
      </c>
      <c r="F6049" s="22" t="str">
        <f>IF(OR(E6049="",E6049="!!!"),"",IF(NOT(ISNA(VLOOKUP(E6049,E$1:E6048,1,FALSE()))),"OLD",IF(AND(E6049&lt;&gt;"",E6049&lt;&gt;"!!!"),"NEW","")))</f>
        <v> </v>
      </c>
      <c r="G6049" s="23" t="str">
        <f>IF(OR(E6049="",E6049="!!!"),"",IF(OR(J6049=0,AND(J6049=1,K6049=1),AND(J6049=1,I6049="SBJ"),AND(J6049=1,I6049=0)),"?IN_FOCUS",IF(J6049&lt;=2,"?ACTIVATED",IF(J6049&lt;&gt;"","?FAMILIAR",IF(F6049="NEW",IF(ISNA(VLOOKUP(E6049,#REF!,1,FALSE())),"?TYPE_IDENTIFIABLE","?REFERENTIAL"),"_")))))</f>
        <v> </v>
      </c>
      <c r="H6049" s="24" t="str">
        <f>IF(J6049&lt;&gt;1,"",IF(I6049="SBJ","CB","?"))</f>
        <v> </v>
      </c>
      <c r="I6049" s="25" t="str">
        <f>IF(OR(E6049="",E6049="!!!",F6049="NEW"),"",INDEX(B6048:B$2,-1+SUMPRODUCT(MAX(ROW(E6048:E$2)*(E6049=E6048:E$2)))))</f>
        <v> </v>
      </c>
      <c r="J6049" s="25" t="str">
        <f>IF(OR(E6049="",E6049="!!!",F6049="NEW"),"",COUNTBLANK(OFFSET(A$1,,,SUMPRODUCT(MAX(ROW(E$2:E6049)*(E6049=E$2:E6049)))))-COUNTBLANK(OFFSET(A$1,,,SUMPRODUCT(MAX(ROW(E$1:E6048)*(E2=E$1:E6048))))))</f>
        <v> </v>
      </c>
      <c r="K6049" s="25" t="str">
        <f>IF(OR(E6049="",E6049="!!!",F6049="NEW"),"",INDEX(J$1:J6048,SUMPRODUCT(MAX(ROW(E$1:E6048)*(E6049=E$1:E6048)))))</f>
        <v> </v>
      </c>
      <c r="L6049" s="26"/>
    </row>
    <row r="6050" spans="1:12">
      <c r="A6050" s="20" t="s">
        <v>991</v>
      </c>
      <c r="E6050" s="21">
        <f>IF(D6050="?OLD","!!!","")</f>
        <v/>
      </c>
      <c r="F6050" s="22" t="str">
        <f>IF(OR(E6050="",E6050="!!!"),"",IF(NOT(ISNA(VLOOKUP(E6050,E$1:E6049,1,FALSE()))),"OLD",IF(AND(E6050&lt;&gt;"",E6050&lt;&gt;"!!!"),"NEW","")))</f>
        <v> </v>
      </c>
      <c r="G6050" s="23" t="str">
        <f>IF(OR(E6050="",E6050="!!!"),"",IF(OR(J6050=0,AND(J6050=1,K6050=1),AND(J6050=1,I6050="SBJ"),AND(J6050=1,I6050=0)),"?IN_FOCUS",IF(J6050&lt;=2,"?ACTIVATED",IF(J6050&lt;&gt;"","?FAMILIAR",IF(F6050="NEW",IF(ISNA(VLOOKUP(E6050,#REF!,1,FALSE())),"?TYPE_IDENTIFIABLE","?REFERENTIAL"),"_")))))</f>
        <v> </v>
      </c>
      <c r="H6050" s="24" t="str">
        <f>IF(J6050&lt;&gt;1,"",IF(I6050="SBJ","CB","?"))</f>
        <v> </v>
      </c>
      <c r="I6050" s="25" t="str">
        <f>IF(OR(E6050="",E6050="!!!",F6050="NEW"),"",INDEX(B6049:B$2,-1+SUMPRODUCT(MAX(ROW(E6049:E$2)*(E6050=E6049:E$2)))))</f>
        <v> </v>
      </c>
      <c r="J6050" s="25" t="str">
        <f>IF(OR(E6050="",E6050="!!!",F6050="NEW"),"",COUNTBLANK(OFFSET(A$1,,,SUMPRODUCT(MAX(ROW(E$2:E6050)*(E6050=E$2:E6050)))))-COUNTBLANK(OFFSET(A$1,,,SUMPRODUCT(MAX(ROW(E$1:E6049)*(E2=E$1:E6049))))))</f>
        <v> </v>
      </c>
      <c r="K6050" s="25" t="str">
        <f>IF(OR(E6050="",E6050="!!!",F6050="NEW"),"",INDEX(J$1:J6049,SUMPRODUCT(MAX(ROW(E$1:E6049)*(E6050=E$1:E6049)))))</f>
        <v> </v>
      </c>
      <c r="L6050" s="26"/>
    </row>
    <row r="6051" spans="1:12">
      <c r="A6051" s="20" t="s">
        <v>1262</v>
      </c>
      <c r="E6051" s="21">
        <f>IF(D6051="?OLD","!!!","")</f>
        <v/>
      </c>
      <c r="F6051" s="22" t="str">
        <f>IF(OR(E6051="",E6051="!!!"),"",IF(NOT(ISNA(VLOOKUP(E6051,E$1:E6050,1,FALSE()))),"OLD",IF(AND(E6051&lt;&gt;"",E6051&lt;&gt;"!!!"),"NEW","")))</f>
        <v> </v>
      </c>
      <c r="G6051" s="23" t="str">
        <f>IF(OR(E6051="",E6051="!!!"),"",IF(OR(J6051=0,AND(J6051=1,K6051=1),AND(J6051=1,I6051="SBJ"),AND(J6051=1,I6051=0)),"?IN_FOCUS",IF(J6051&lt;=2,"?ACTIVATED",IF(J6051&lt;&gt;"","?FAMILIAR",IF(F6051="NEW",IF(ISNA(VLOOKUP(E6051,#REF!,1,FALSE())),"?TYPE_IDENTIFIABLE","?REFERENTIAL"),"_")))))</f>
        <v> </v>
      </c>
      <c r="H6051" s="24" t="str">
        <f>IF(J6051&lt;&gt;1,"",IF(I6051="SBJ","CB","?"))</f>
        <v> </v>
      </c>
      <c r="I6051" s="25" t="str">
        <f>IF(OR(E6051="",E6051="!!!",F6051="NEW"),"",INDEX(B6050:B$2,-1+SUMPRODUCT(MAX(ROW(E6050:E$2)*(E6051=E6050:E$2)))))</f>
        <v> </v>
      </c>
      <c r="J6051" s="25" t="str">
        <f>IF(OR(E6051="",E6051="!!!",F6051="NEW"),"",COUNTBLANK(OFFSET(A$1,,,SUMPRODUCT(MAX(ROW(E$2:E6051)*(E6051=E$2:E6051)))))-COUNTBLANK(OFFSET(A$1,,,SUMPRODUCT(MAX(ROW(E$1:E6050)*(E2=E$1:E6050))))))</f>
        <v> </v>
      </c>
      <c r="K6051" s="25" t="str">
        <f>IF(OR(E6051="",E6051="!!!",F6051="NEW"),"",INDEX(J$1:J6050,SUMPRODUCT(MAX(ROW(E$1:E6050)*(E6051=E$1:E6050)))))</f>
        <v> </v>
      </c>
      <c r="L6051" s="26"/>
    </row>
    <row r="6052" spans="1:12">
      <c r="A6052" s="20" t="s">
        <v>999</v>
      </c>
      <c r="E6052" s="21">
        <f>IF(D6052="?OLD","!!!","")</f>
        <v/>
      </c>
      <c r="F6052" s="22" t="str">
        <f>IF(OR(E6052="",E6052="!!!"),"",IF(NOT(ISNA(VLOOKUP(E6052,E$1:E6051,1,FALSE()))),"OLD",IF(AND(E6052&lt;&gt;"",E6052&lt;&gt;"!!!"),"NEW","")))</f>
        <v> </v>
      </c>
      <c r="G6052" s="23" t="str">
        <f>IF(OR(E6052="",E6052="!!!"),"",IF(OR(J6052=0,AND(J6052=1,K6052=1),AND(J6052=1,I6052="SBJ"),AND(J6052=1,I6052=0)),"?IN_FOCUS",IF(J6052&lt;=2,"?ACTIVATED",IF(J6052&lt;&gt;"","?FAMILIAR",IF(F6052="NEW",IF(ISNA(VLOOKUP(E6052,#REF!,1,FALSE())),"?TYPE_IDENTIFIABLE","?REFERENTIAL"),"_")))))</f>
        <v> </v>
      </c>
      <c r="H6052" s="24" t="str">
        <f>IF(J6052&lt;&gt;1,"",IF(I6052="SBJ","CB","?"))</f>
        <v> </v>
      </c>
      <c r="I6052" s="25" t="str">
        <f>IF(OR(E6052="",E6052="!!!",F6052="NEW"),"",INDEX(B6051:B$2,-1+SUMPRODUCT(MAX(ROW(E6051:E$2)*(E6052=E6051:E$2)))))</f>
        <v> </v>
      </c>
      <c r="J6052" s="25" t="str">
        <f>IF(OR(E6052="",E6052="!!!",F6052="NEW"),"",COUNTBLANK(OFFSET(A$1,,,SUMPRODUCT(MAX(ROW(E$2:E6052)*(E6052=E$2:E6052)))))-COUNTBLANK(OFFSET(A$1,,,SUMPRODUCT(MAX(ROW(E$1:E6051)*(E2=E$1:E6051))))))</f>
        <v> </v>
      </c>
      <c r="K6052" s="25" t="str">
        <f>IF(OR(E6052="",E6052="!!!",F6052="NEW"),"",INDEX(J$1:J6051,SUMPRODUCT(MAX(ROW(E$1:E6051)*(E6052=E$1:E6051)))))</f>
        <v> </v>
      </c>
      <c r="L6052" s="26"/>
    </row>
    <row r="6053" spans="1:12">
      <c r="A6053" s="20" t="s">
        <v>37</v>
      </c>
      <c r="E6053" s="21">
        <f>IF(D6053="?OLD","!!!","")</f>
        <v/>
      </c>
      <c r="F6053" s="22" t="str">
        <f>IF(OR(E6053="",E6053="!!!"),"",IF(NOT(ISNA(VLOOKUP(E6053,E$1:E6052,1,FALSE()))),"OLD",IF(AND(E6053&lt;&gt;"",E6053&lt;&gt;"!!!"),"NEW","")))</f>
        <v> </v>
      </c>
      <c r="G6053" s="23" t="str">
        <f>IF(OR(E6053="",E6053="!!!"),"",IF(OR(J6053=0,AND(J6053=1,K6053=1),AND(J6053=1,I6053="SBJ"),AND(J6053=1,I6053=0)),"?IN_FOCUS",IF(J6053&lt;=2,"?ACTIVATED",IF(J6053&lt;&gt;"","?FAMILIAR",IF(F6053="NEW",IF(ISNA(VLOOKUP(E6053,#REF!,1,FALSE())),"?TYPE_IDENTIFIABLE","?REFERENTIAL"),"_")))))</f>
        <v> </v>
      </c>
      <c r="H6053" s="24" t="str">
        <f>IF(J6053&lt;&gt;1,"",IF(I6053="SBJ","CB","?"))</f>
        <v> </v>
      </c>
      <c r="I6053" s="25" t="str">
        <f>IF(OR(E6053="",E6053="!!!",F6053="NEW"),"",INDEX(B6052:B$2,-1+SUMPRODUCT(MAX(ROW(E6052:E$2)*(E6053=E6052:E$2)))))</f>
        <v> </v>
      </c>
      <c r="J6053" s="25" t="str">
        <f>IF(OR(E6053="",E6053="!!!",F6053="NEW"),"",COUNTBLANK(OFFSET(A$1,,,SUMPRODUCT(MAX(ROW(E$2:E6053)*(E6053=E$2:E6053)))))-COUNTBLANK(OFFSET(A$1,,,SUMPRODUCT(MAX(ROW(E$1:E6052)*(E2=E$1:E6052))))))</f>
        <v> </v>
      </c>
      <c r="K6053" s="25" t="str">
        <f>IF(OR(E6053="",E6053="!!!",F6053="NEW"),"",INDEX(J$1:J6052,SUMPRODUCT(MAX(ROW(E$1:E6052)*(E6053=E$1:E6052)))))</f>
        <v> </v>
      </c>
      <c r="L6053" s="26"/>
    </row>
    <row r="6054" spans="1:12">
      <c r="A6054" s="20" t="s">
        <v>980</v>
      </c>
      <c r="E6054" s="21">
        <f>IF(D6054="?OLD","!!!","")</f>
        <v/>
      </c>
      <c r="F6054" s="22" t="str">
        <f>IF(OR(E6054="",E6054="!!!"),"",IF(NOT(ISNA(VLOOKUP(E6054,E$1:E6053,1,FALSE()))),"OLD",IF(AND(E6054&lt;&gt;"",E6054&lt;&gt;"!!!"),"NEW","")))</f>
        <v> </v>
      </c>
      <c r="G6054" s="23" t="str">
        <f>IF(OR(E6054="",E6054="!!!"),"",IF(OR(J6054=0,AND(J6054=1,K6054=1),AND(J6054=1,I6054="SBJ"),AND(J6054=1,I6054=0)),"?IN_FOCUS",IF(J6054&lt;=2,"?ACTIVATED",IF(J6054&lt;&gt;"","?FAMILIAR",IF(F6054="NEW",IF(ISNA(VLOOKUP(E6054,#REF!,1,FALSE())),"?TYPE_IDENTIFIABLE","?REFERENTIAL"),"_")))))</f>
        <v> </v>
      </c>
      <c r="H6054" s="24" t="str">
        <f>IF(J6054&lt;&gt;1,"",IF(I6054="SBJ","CB","?"))</f>
        <v> </v>
      </c>
      <c r="I6054" s="25" t="str">
        <f>IF(OR(E6054="",E6054="!!!",F6054="NEW"),"",INDEX(B6053:B$2,-1+SUMPRODUCT(MAX(ROW(E6053:E$2)*(E6054=E6053:E$2)))))</f>
        <v> </v>
      </c>
      <c r="J6054" s="25" t="str">
        <f>IF(OR(E6054="",E6054="!!!",F6054="NEW"),"",COUNTBLANK(OFFSET(A$1,,,SUMPRODUCT(MAX(ROW(E$2:E6054)*(E6054=E$2:E6054)))))-COUNTBLANK(OFFSET(A$1,,,SUMPRODUCT(MAX(ROW(E$1:E6053)*(E2=E$1:E6053))))))</f>
        <v> </v>
      </c>
      <c r="K6054" s="25" t="str">
        <f>IF(OR(E6054="",E6054="!!!",F6054="NEW"),"",INDEX(J$1:J6053,SUMPRODUCT(MAX(ROW(E$1:E6053)*(E6054=E$1:E6053)))))</f>
        <v> </v>
      </c>
      <c r="L6054" s="26"/>
    </row>
    <row r="6055" spans="1:12">
      <c r="A6055" s="20" t="s">
        <v>1086</v>
      </c>
      <c r="B6055" s="27" t="s">
        <v>1031</v>
      </c>
      <c r="C6055" s="27" t="s">
        <v>968</v>
      </c>
      <c r="D6055" s="27" t="s">
        <v>969</v>
      </c>
      <c r="E6055" s="21">
        <f>IF(D6055="?OLD","!!!","")</f>
        <v/>
      </c>
      <c r="F6055" s="22" t="str">
        <f>IF(OR(E6055="",E6055="!!!"),"",IF(NOT(ISNA(VLOOKUP(E6055,E$1:E6054,1,FALSE()))),"OLD",IF(AND(E6055&lt;&gt;"",E6055&lt;&gt;"!!!"),"NEW","")))</f>
        <v> </v>
      </c>
      <c r="G6055" s="23" t="str">
        <f>IF(OR(E6055="",E6055="!!!"),"",IF(OR(J6055=0,AND(J6055=1,K6055=1),AND(J6055=1,I6055="SBJ"),AND(J6055=1,I6055=0)),"?IN_FOCUS",IF(J6055&lt;=2,"?ACTIVATED",IF(J6055&lt;&gt;"","?FAMILIAR",IF(F6055="NEW",IF(ISNA(VLOOKUP(E6055,#REF!,1,FALSE())),"?TYPE_IDENTIFIABLE","?REFERENTIAL"),"_")))))</f>
        <v> </v>
      </c>
      <c r="H6055" s="24" t="str">
        <f>IF(J6055&lt;&gt;1,"",IF(I6055="SBJ","CB","?"))</f>
        <v> </v>
      </c>
      <c r="I6055" s="25" t="str">
        <f>IF(OR(E6055="",E6055="!!!",F6055="NEW"),"",INDEX(B6054:B$2,-1+SUMPRODUCT(MAX(ROW(E6054:E$2)*(E6055=E6054:E$2)))))</f>
        <v> </v>
      </c>
      <c r="J6055" s="25" t="str">
        <f>IF(OR(E6055="",E6055="!!!",F6055="NEW"),"",COUNTBLANK(OFFSET(A$1,,,SUMPRODUCT(MAX(ROW(E$2:E6055)*(E6055=E$2:E6055)))))-COUNTBLANK(OFFSET(A$1,,,SUMPRODUCT(MAX(ROW(E$1:E6054)*(E2=E$1:E6054))))))</f>
        <v> </v>
      </c>
      <c r="K6055" s="25" t="str">
        <f>IF(OR(E6055="",E6055="!!!",F6055="NEW"),"",INDEX(J$1:J6054,SUMPRODUCT(MAX(ROW(E$1:E6054)*(E6055=E$1:E6054)))))</f>
        <v> </v>
      </c>
      <c r="L6055" s="26"/>
    </row>
    <row r="6056" spans="1:12">
      <c r="A6056" s="20" t="s">
        <v>2566</v>
      </c>
      <c r="E6056" s="21">
        <f>IF(D6056="?OLD","!!!","")</f>
        <v/>
      </c>
      <c r="F6056" s="22" t="str">
        <f>IF(OR(E6056="",E6056="!!!"),"",IF(NOT(ISNA(VLOOKUP(E6056,E$1:E6055,1,FALSE()))),"OLD",IF(AND(E6056&lt;&gt;"",E6056&lt;&gt;"!!!"),"NEW","")))</f>
        <v> </v>
      </c>
      <c r="G6056" s="23" t="str">
        <f>IF(OR(E6056="",E6056="!!!"),"",IF(OR(J6056=0,AND(J6056=1,K6056=1),AND(J6056=1,I6056="SBJ"),AND(J6056=1,I6056=0)),"?IN_FOCUS",IF(J6056&lt;=2,"?ACTIVATED",IF(J6056&lt;&gt;"","?FAMILIAR",IF(F6056="NEW",IF(ISNA(VLOOKUP(E6056,#REF!,1,FALSE())),"?TYPE_IDENTIFIABLE","?REFERENTIAL"),"_")))))</f>
        <v> </v>
      </c>
      <c r="H6056" s="24" t="str">
        <f>IF(J6056&lt;&gt;1,"",IF(I6056="SBJ","CB","?"))</f>
        <v> </v>
      </c>
      <c r="I6056" s="25" t="str">
        <f>IF(OR(E6056="",E6056="!!!",F6056="NEW"),"",INDEX(B6055:B$2,-1+SUMPRODUCT(MAX(ROW(E6055:E$2)*(E6056=E6055:E$2)))))</f>
        <v> </v>
      </c>
      <c r="J6056" s="25" t="str">
        <f>IF(OR(E6056="",E6056="!!!",F6056="NEW"),"",COUNTBLANK(OFFSET(A$1,,,SUMPRODUCT(MAX(ROW(E$2:E6056)*(E6056=E$2:E6056)))))-COUNTBLANK(OFFSET(A$1,,,SUMPRODUCT(MAX(ROW(E$1:E6055)*(E2=E$1:E6055))))))</f>
        <v> </v>
      </c>
      <c r="K6056" s="25" t="str">
        <f>IF(OR(E6056="",E6056="!!!",F6056="NEW"),"",INDEX(J$1:J6055,SUMPRODUCT(MAX(ROW(E$1:E6055)*(E6056=E$1:E6055)))))</f>
        <v> </v>
      </c>
      <c r="L6056" s="26"/>
    </row>
    <row r="6057" spans="1:12">
      <c r="A6057" s="20" t="s">
        <v>1113</v>
      </c>
      <c r="E6057" s="21">
        <f>IF(D6057="?OLD","!!!","")</f>
        <v/>
      </c>
      <c r="F6057" s="22" t="str">
        <f>IF(OR(E6057="",E6057="!!!"),"",IF(NOT(ISNA(VLOOKUP(E6057,E$1:E6056,1,FALSE()))),"OLD",IF(AND(E6057&lt;&gt;"",E6057&lt;&gt;"!!!"),"NEW","")))</f>
        <v> </v>
      </c>
      <c r="G6057" s="23" t="str">
        <f>IF(OR(E6057="",E6057="!!!"),"",IF(OR(J6057=0,AND(J6057=1,K6057=1),AND(J6057=1,I6057="SBJ"),AND(J6057=1,I6057=0)),"?IN_FOCUS",IF(J6057&lt;=2,"?ACTIVATED",IF(J6057&lt;&gt;"","?FAMILIAR",IF(F6057="NEW",IF(ISNA(VLOOKUP(E6057,#REF!,1,FALSE())),"?TYPE_IDENTIFIABLE","?REFERENTIAL"),"_")))))</f>
        <v> </v>
      </c>
      <c r="H6057" s="24" t="str">
        <f>IF(J6057&lt;&gt;1,"",IF(I6057="SBJ","CB","?"))</f>
        <v> </v>
      </c>
      <c r="I6057" s="25" t="str">
        <f>IF(OR(E6057="",E6057="!!!",F6057="NEW"),"",INDEX(B6056:B$2,-1+SUMPRODUCT(MAX(ROW(E6056:E$2)*(E6057=E6056:E$2)))))</f>
        <v> </v>
      </c>
      <c r="J6057" s="25" t="str">
        <f>IF(OR(E6057="",E6057="!!!",F6057="NEW"),"",COUNTBLANK(OFFSET(A$1,,,SUMPRODUCT(MAX(ROW(E$2:E6057)*(E6057=E$2:E6057)))))-COUNTBLANK(OFFSET(A$1,,,SUMPRODUCT(MAX(ROW(E$1:E6056)*(E2=E$1:E6056))))))</f>
        <v> </v>
      </c>
      <c r="K6057" s="25" t="str">
        <f>IF(OR(E6057="",E6057="!!!",F6057="NEW"),"",INDEX(J$1:J6056,SUMPRODUCT(MAX(ROW(E$1:E6056)*(E6057=E$1:E6056)))))</f>
        <v> </v>
      </c>
      <c r="L6057" s="26"/>
    </row>
    <row r="6058" spans="1:12">
      <c r="A6058" s="20" t="s">
        <v>991</v>
      </c>
      <c r="E6058" s="21">
        <f>IF(D6058="?OLD","!!!","")</f>
        <v/>
      </c>
      <c r="F6058" s="22" t="str">
        <f>IF(OR(E6058="",E6058="!!!"),"",IF(NOT(ISNA(VLOOKUP(E6058,E$1:E6057,1,FALSE()))),"OLD",IF(AND(E6058&lt;&gt;"",E6058&lt;&gt;"!!!"),"NEW","")))</f>
        <v> </v>
      </c>
      <c r="G6058" s="23" t="str">
        <f>IF(OR(E6058="",E6058="!!!"),"",IF(OR(J6058=0,AND(J6058=1,K6058=1),AND(J6058=1,I6058="SBJ"),AND(J6058=1,I6058=0)),"?IN_FOCUS",IF(J6058&lt;=2,"?ACTIVATED",IF(J6058&lt;&gt;"","?FAMILIAR",IF(F6058="NEW",IF(ISNA(VLOOKUP(E6058,#REF!,1,FALSE())),"?TYPE_IDENTIFIABLE","?REFERENTIAL"),"_")))))</f>
        <v> </v>
      </c>
      <c r="H6058" s="24" t="str">
        <f>IF(J6058&lt;&gt;1,"",IF(I6058="SBJ","CB","?"))</f>
        <v> </v>
      </c>
      <c r="I6058" s="25" t="str">
        <f>IF(OR(E6058="",E6058="!!!",F6058="NEW"),"",INDEX(B6057:B$2,-1+SUMPRODUCT(MAX(ROW(E6057:E$2)*(E6058=E6057:E$2)))))</f>
        <v> </v>
      </c>
      <c r="J6058" s="25" t="str">
        <f>IF(OR(E6058="",E6058="!!!",F6058="NEW"),"",COUNTBLANK(OFFSET(A$1,,,SUMPRODUCT(MAX(ROW(E$2:E6058)*(E6058=E$2:E6058)))))-COUNTBLANK(OFFSET(A$1,,,SUMPRODUCT(MAX(ROW(E$1:E6057)*(E2=E$1:E6057))))))</f>
        <v> </v>
      </c>
      <c r="K6058" s="25" t="str">
        <f>IF(OR(E6058="",E6058="!!!",F6058="NEW"),"",INDEX(J$1:J6057,SUMPRODUCT(MAX(ROW(E$1:E6057)*(E6058=E$1:E6057)))))</f>
        <v> </v>
      </c>
      <c r="L6058" s="26"/>
    </row>
    <row r="6059" spans="1:12">
      <c r="A6059" s="20" t="s">
        <v>998</v>
      </c>
      <c r="E6059" s="21">
        <f>IF(D6059="?OLD","!!!","")</f>
        <v/>
      </c>
      <c r="F6059" s="22" t="str">
        <f>IF(OR(E6059="",E6059="!!!"),"",IF(NOT(ISNA(VLOOKUP(E6059,E$1:E6058,1,FALSE()))),"OLD",IF(AND(E6059&lt;&gt;"",E6059&lt;&gt;"!!!"),"NEW","")))</f>
        <v> </v>
      </c>
      <c r="G6059" s="23" t="str">
        <f>IF(OR(E6059="",E6059="!!!"),"",IF(OR(J6059=0,AND(J6059=1,K6059=1),AND(J6059=1,I6059="SBJ"),AND(J6059=1,I6059=0)),"?IN_FOCUS",IF(J6059&lt;=2,"?ACTIVATED",IF(J6059&lt;&gt;"","?FAMILIAR",IF(F6059="NEW",IF(ISNA(VLOOKUP(E6059,#REF!,1,FALSE())),"?TYPE_IDENTIFIABLE","?REFERENTIAL"),"_")))))</f>
        <v> </v>
      </c>
      <c r="H6059" s="24" t="str">
        <f>IF(J6059&lt;&gt;1,"",IF(I6059="SBJ","CB","?"))</f>
        <v> </v>
      </c>
      <c r="I6059" s="25" t="str">
        <f>IF(OR(E6059="",E6059="!!!",F6059="NEW"),"",INDEX(B6058:B$2,-1+SUMPRODUCT(MAX(ROW(E6058:E$2)*(E6059=E6058:E$2)))))</f>
        <v> </v>
      </c>
      <c r="J6059" s="25" t="str">
        <f>IF(OR(E6059="",E6059="!!!",F6059="NEW"),"",COUNTBLANK(OFFSET(A$1,,,SUMPRODUCT(MAX(ROW(E$2:E6059)*(E6059=E$2:E6059)))))-COUNTBLANK(OFFSET(A$1,,,SUMPRODUCT(MAX(ROW(E$1:E6058)*(E2=E$1:E6058))))))</f>
        <v> </v>
      </c>
      <c r="K6059" s="25" t="str">
        <f>IF(OR(E6059="",E6059="!!!",F6059="NEW"),"",INDEX(J$1:J6058,SUMPRODUCT(MAX(ROW(E$1:E6058)*(E6059=E$1:E6058)))))</f>
        <v> </v>
      </c>
      <c r="L6059" s="26"/>
    </row>
    <row r="6060" spans="1:12">
      <c r="A6060" s="20" t="s">
        <v>1262</v>
      </c>
      <c r="E6060" s="21">
        <f>IF(D6060="?OLD","!!!","")</f>
        <v/>
      </c>
      <c r="F6060" s="22" t="str">
        <f>IF(OR(E6060="",E6060="!!!"),"",IF(NOT(ISNA(VLOOKUP(E6060,E$1:E6059,1,FALSE()))),"OLD",IF(AND(E6060&lt;&gt;"",E6060&lt;&gt;"!!!"),"NEW","")))</f>
        <v> </v>
      </c>
      <c r="G6060" s="23" t="str">
        <f>IF(OR(E6060="",E6060="!!!"),"",IF(OR(J6060=0,AND(J6060=1,K6060=1),AND(J6060=1,I6060="SBJ"),AND(J6060=1,I6060=0)),"?IN_FOCUS",IF(J6060&lt;=2,"?ACTIVATED",IF(J6060&lt;&gt;"","?FAMILIAR",IF(F6060="NEW",IF(ISNA(VLOOKUP(E6060,#REF!,1,FALSE())),"?TYPE_IDENTIFIABLE","?REFERENTIAL"),"_")))))</f>
        <v> </v>
      </c>
      <c r="H6060" s="24" t="str">
        <f>IF(J6060&lt;&gt;1,"",IF(I6060="SBJ","CB","?"))</f>
        <v> </v>
      </c>
      <c r="I6060" s="25" t="str">
        <f>IF(OR(E6060="",E6060="!!!",F6060="NEW"),"",INDEX(B6059:B$2,-1+SUMPRODUCT(MAX(ROW(E6059:E$2)*(E6060=E6059:E$2)))))</f>
        <v> </v>
      </c>
      <c r="J6060" s="25" t="str">
        <f>IF(OR(E6060="",E6060="!!!",F6060="NEW"),"",COUNTBLANK(OFFSET(A$1,,,SUMPRODUCT(MAX(ROW(E$2:E6060)*(E6060=E$2:E6060)))))-COUNTBLANK(OFFSET(A$1,,,SUMPRODUCT(MAX(ROW(E$1:E6059)*(E2=E$1:E6059))))))</f>
        <v> </v>
      </c>
      <c r="K6060" s="25" t="str">
        <f>IF(OR(E6060="",E6060="!!!",F6060="NEW"),"",INDEX(J$1:J6059,SUMPRODUCT(MAX(ROW(E$1:E6059)*(E6060=E$1:E6059)))))</f>
        <v> </v>
      </c>
      <c r="L6060" s="26"/>
    </row>
    <row r="6061" spans="1:12">
      <c r="A6061" s="20" t="s">
        <v>999</v>
      </c>
      <c r="E6061" s="21">
        <f>IF(D6061="?OLD","!!!","")</f>
        <v/>
      </c>
      <c r="F6061" s="22" t="str">
        <f>IF(OR(E6061="",E6061="!!!"),"",IF(NOT(ISNA(VLOOKUP(E6061,E$1:E6060,1,FALSE()))),"OLD",IF(AND(E6061&lt;&gt;"",E6061&lt;&gt;"!!!"),"NEW","")))</f>
        <v> </v>
      </c>
      <c r="G6061" s="23" t="str">
        <f>IF(OR(E6061="",E6061="!!!"),"",IF(OR(J6061=0,AND(J6061=1,K6061=1),AND(J6061=1,I6061="SBJ"),AND(J6061=1,I6061=0)),"?IN_FOCUS",IF(J6061&lt;=2,"?ACTIVATED",IF(J6061&lt;&gt;"","?FAMILIAR",IF(F6061="NEW",IF(ISNA(VLOOKUP(E6061,#REF!,1,FALSE())),"?TYPE_IDENTIFIABLE","?REFERENTIAL"),"_")))))</f>
        <v> </v>
      </c>
      <c r="H6061" s="24" t="str">
        <f>IF(J6061&lt;&gt;1,"",IF(I6061="SBJ","CB","?"))</f>
        <v> </v>
      </c>
      <c r="I6061" s="25" t="str">
        <f>IF(OR(E6061="",E6061="!!!",F6061="NEW"),"",INDEX(B6060:B$2,-1+SUMPRODUCT(MAX(ROW(E6060:E$2)*(E6061=E6060:E$2)))))</f>
        <v> </v>
      </c>
      <c r="J6061" s="25" t="str">
        <f>IF(OR(E6061="",E6061="!!!",F6061="NEW"),"",COUNTBLANK(OFFSET(A$1,,,SUMPRODUCT(MAX(ROW(E$2:E6061)*(E6061=E$2:E6061)))))-COUNTBLANK(OFFSET(A$1,,,SUMPRODUCT(MAX(ROW(E$1:E6060)*(E2=E$1:E6060))))))</f>
        <v> </v>
      </c>
      <c r="K6061" s="25" t="str">
        <f>IF(OR(E6061="",E6061="!!!",F6061="NEW"),"",INDEX(J$1:J6060,SUMPRODUCT(MAX(ROW(E$1:E6060)*(E6061=E$1:E6060)))))</f>
        <v> </v>
      </c>
      <c r="L6061" s="26"/>
    </row>
    <row r="6062" spans="1:12">
      <c r="A6062" s="20" t="s">
        <v>462</v>
      </c>
      <c r="E6062" s="21">
        <f>IF(D6062="?OLD","!!!","")</f>
        <v/>
      </c>
      <c r="F6062" s="22" t="str">
        <f>IF(OR(E6062="",E6062="!!!"),"",IF(NOT(ISNA(VLOOKUP(E6062,E$1:E6061,1,FALSE()))),"OLD",IF(AND(E6062&lt;&gt;"",E6062&lt;&gt;"!!!"),"NEW","")))</f>
        <v> </v>
      </c>
      <c r="G6062" s="23" t="str">
        <f>IF(OR(E6062="",E6062="!!!"),"",IF(OR(J6062=0,AND(J6062=1,K6062=1),AND(J6062=1,I6062="SBJ"),AND(J6062=1,I6062=0)),"?IN_FOCUS",IF(J6062&lt;=2,"?ACTIVATED",IF(J6062&lt;&gt;"","?FAMILIAR",IF(F6062="NEW",IF(ISNA(VLOOKUP(E6062,#REF!,1,FALSE())),"?TYPE_IDENTIFIABLE","?REFERENTIAL"),"_")))))</f>
        <v> </v>
      </c>
      <c r="H6062" s="24" t="str">
        <f>IF(J6062&lt;&gt;1,"",IF(I6062="SBJ","CB","?"))</f>
        <v> </v>
      </c>
      <c r="I6062" s="25" t="str">
        <f>IF(OR(E6062="",E6062="!!!",F6062="NEW"),"",INDEX(B6061:B$2,-1+SUMPRODUCT(MAX(ROW(E6061:E$2)*(E6062=E6061:E$2)))))</f>
        <v> </v>
      </c>
      <c r="J6062" s="25" t="str">
        <f>IF(OR(E6062="",E6062="!!!",F6062="NEW"),"",COUNTBLANK(OFFSET(A$1,,,SUMPRODUCT(MAX(ROW(E$2:E6062)*(E6062=E$2:E6062)))))-COUNTBLANK(OFFSET(A$1,,,SUMPRODUCT(MAX(ROW(E$1:E6061)*(E2=E$1:E6061))))))</f>
        <v> </v>
      </c>
      <c r="K6062" s="25" t="str">
        <f>IF(OR(E6062="",E6062="!!!",F6062="NEW"),"",INDEX(J$1:J6061,SUMPRODUCT(MAX(ROW(E$1:E6061)*(E6062=E$1:E6061)))))</f>
        <v> </v>
      </c>
      <c r="L6062" s="26"/>
    </row>
    <row r="6063" spans="1:12">
      <c r="A6063" s="20" t="s">
        <v>991</v>
      </c>
      <c r="E6063" s="21">
        <f>IF(D6063="?OLD","!!!","")</f>
        <v/>
      </c>
      <c r="F6063" s="22" t="str">
        <f>IF(OR(E6063="",E6063="!!!"),"",IF(NOT(ISNA(VLOOKUP(E6063,E$1:E6062,1,FALSE()))),"OLD",IF(AND(E6063&lt;&gt;"",E6063&lt;&gt;"!!!"),"NEW","")))</f>
        <v> </v>
      </c>
      <c r="G6063" s="23" t="str">
        <f>IF(OR(E6063="",E6063="!!!"),"",IF(OR(J6063=0,AND(J6063=1,K6063=1),AND(J6063=1,I6063="SBJ"),AND(J6063=1,I6063=0)),"?IN_FOCUS",IF(J6063&lt;=2,"?ACTIVATED",IF(J6063&lt;&gt;"","?FAMILIAR",IF(F6063="NEW",IF(ISNA(VLOOKUP(E6063,#REF!,1,FALSE())),"?TYPE_IDENTIFIABLE","?REFERENTIAL"),"_")))))</f>
        <v> </v>
      </c>
      <c r="H6063" s="24" t="str">
        <f>IF(J6063&lt;&gt;1,"",IF(I6063="SBJ","CB","?"))</f>
        <v> </v>
      </c>
      <c r="I6063" s="25" t="str">
        <f>IF(OR(E6063="",E6063="!!!",F6063="NEW"),"",INDEX(B6062:B$2,-1+SUMPRODUCT(MAX(ROW(E6062:E$2)*(E6063=E6062:E$2)))))</f>
        <v> </v>
      </c>
      <c r="J6063" s="25" t="str">
        <f>IF(OR(E6063="",E6063="!!!",F6063="NEW"),"",COUNTBLANK(OFFSET(A$1,,,SUMPRODUCT(MAX(ROW(E$2:E6063)*(E6063=E$2:E6063)))))-COUNTBLANK(OFFSET(A$1,,,SUMPRODUCT(MAX(ROW(E$1:E6062)*(E2=E$1:E6062))))))</f>
        <v> </v>
      </c>
      <c r="K6063" s="25" t="str">
        <f>IF(OR(E6063="",E6063="!!!",F6063="NEW"),"",INDEX(J$1:J6062,SUMPRODUCT(MAX(ROW(E$1:E6062)*(E6063=E$1:E6062)))))</f>
        <v> </v>
      </c>
      <c r="L6063" s="26"/>
    </row>
    <row r="6064" spans="1:12">
      <c r="A6064" s="20" t="s">
        <v>1352</v>
      </c>
      <c r="E6064" s="21">
        <f>IF(D6064="?OLD","!!!","")</f>
        <v/>
      </c>
      <c r="F6064" s="22" t="str">
        <f>IF(OR(E6064="",E6064="!!!"),"",IF(NOT(ISNA(VLOOKUP(E6064,E$1:E6063,1,FALSE()))),"OLD",IF(AND(E6064&lt;&gt;"",E6064&lt;&gt;"!!!"),"NEW","")))</f>
        <v> </v>
      </c>
      <c r="G6064" s="23" t="str">
        <f>IF(OR(E6064="",E6064="!!!"),"",IF(OR(J6064=0,AND(J6064=1,K6064=1),AND(J6064=1,I6064="SBJ"),AND(J6064=1,I6064=0)),"?IN_FOCUS",IF(J6064&lt;=2,"?ACTIVATED",IF(J6064&lt;&gt;"","?FAMILIAR",IF(F6064="NEW",IF(ISNA(VLOOKUP(E6064,#REF!,1,FALSE())),"?TYPE_IDENTIFIABLE","?REFERENTIAL"),"_")))))</f>
        <v> </v>
      </c>
      <c r="H6064" s="24" t="str">
        <f>IF(J6064&lt;&gt;1,"",IF(I6064="SBJ","CB","?"))</f>
        <v> </v>
      </c>
      <c r="I6064" s="25" t="str">
        <f>IF(OR(E6064="",E6064="!!!",F6064="NEW"),"",INDEX(B6063:B$2,-1+SUMPRODUCT(MAX(ROW(E6063:E$2)*(E6064=E6063:E$2)))))</f>
        <v> </v>
      </c>
      <c r="J6064" s="25" t="str">
        <f>IF(OR(E6064="",E6064="!!!",F6064="NEW"),"",COUNTBLANK(OFFSET(A$1,,,SUMPRODUCT(MAX(ROW(E$2:E6064)*(E6064=E$2:E6064)))))-COUNTBLANK(OFFSET(A$1,,,SUMPRODUCT(MAX(ROW(E$1:E6063)*(E2=E$1:E6063))))))</f>
        <v> </v>
      </c>
      <c r="K6064" s="25" t="str">
        <f>IF(OR(E6064="",E6064="!!!",F6064="NEW"),"",INDEX(J$1:J6063,SUMPRODUCT(MAX(ROW(E$1:E6063)*(E6064=E$1:E6063)))))</f>
        <v> </v>
      </c>
      <c r="L6064" s="26"/>
    </row>
    <row r="6065" spans="1:12">
      <c r="A6065" s="20" t="s">
        <v>993</v>
      </c>
      <c r="B6065" s="27" t="s">
        <v>967</v>
      </c>
      <c r="C6065" s="27" t="s">
        <v>968</v>
      </c>
      <c r="D6065" s="27" t="s">
        <v>969</v>
      </c>
      <c r="E6065" s="21">
        <f>IF(D6065="?OLD","!!!","")</f>
        <v/>
      </c>
      <c r="F6065" s="22" t="str">
        <f>IF(OR(E6065="",E6065="!!!"),"",IF(NOT(ISNA(VLOOKUP(E6065,E$1:E6064,1,FALSE()))),"OLD",IF(AND(E6065&lt;&gt;"",E6065&lt;&gt;"!!!"),"NEW","")))</f>
        <v> </v>
      </c>
      <c r="G6065" s="23" t="str">
        <f>IF(OR(E6065="",E6065="!!!"),"",IF(OR(J6065=0,AND(J6065=1,K6065=1),AND(J6065=1,I6065="SBJ"),AND(J6065=1,I6065=0)),"?IN_FOCUS",IF(J6065&lt;=2,"?ACTIVATED",IF(J6065&lt;&gt;"","?FAMILIAR",IF(F6065="NEW",IF(ISNA(VLOOKUP(E6065,#REF!,1,FALSE())),"?TYPE_IDENTIFIABLE","?REFERENTIAL"),"_")))))</f>
        <v> </v>
      </c>
      <c r="H6065" s="24" t="str">
        <f>IF(J6065&lt;&gt;1,"",IF(I6065="SBJ","CB","?"))</f>
        <v> </v>
      </c>
      <c r="I6065" s="25" t="str">
        <f>IF(OR(E6065="",E6065="!!!",F6065="NEW"),"",INDEX(B6064:B$2,-1+SUMPRODUCT(MAX(ROW(E6064:E$2)*(E6065=E6064:E$2)))))</f>
        <v> </v>
      </c>
      <c r="J6065" s="25" t="str">
        <f>IF(OR(E6065="",E6065="!!!",F6065="NEW"),"",COUNTBLANK(OFFSET(A$1,,,SUMPRODUCT(MAX(ROW(E$2:E6065)*(E6065=E$2:E6065)))))-COUNTBLANK(OFFSET(A$1,,,SUMPRODUCT(MAX(ROW(E$1:E6064)*(E2=E$1:E6064))))))</f>
        <v> </v>
      </c>
      <c r="K6065" s="25" t="str">
        <f>IF(OR(E6065="",E6065="!!!",F6065="NEW"),"",INDEX(J$1:J6064,SUMPRODUCT(MAX(ROW(E$1:E6064)*(E6065=E$1:E6064)))))</f>
        <v> </v>
      </c>
      <c r="L6065" s="26"/>
    </row>
    <row r="6066" spans="1:12">
      <c r="A6066" s="20" t="s">
        <v>1110</v>
      </c>
      <c r="E6066" s="21">
        <f>IF(D6066="?OLD","!!!","")</f>
        <v/>
      </c>
      <c r="F6066" s="22" t="str">
        <f>IF(OR(E6066="",E6066="!!!"),"",IF(NOT(ISNA(VLOOKUP(E6066,E$1:E6065,1,FALSE()))),"OLD",IF(AND(E6066&lt;&gt;"",E6066&lt;&gt;"!!!"),"NEW","")))</f>
        <v> </v>
      </c>
      <c r="G6066" s="23" t="str">
        <f>IF(OR(E6066="",E6066="!!!"),"",IF(OR(J6066=0,AND(J6066=1,K6066=1),AND(J6066=1,I6066="SBJ"),AND(J6066=1,I6066=0)),"?IN_FOCUS",IF(J6066&lt;=2,"?ACTIVATED",IF(J6066&lt;&gt;"","?FAMILIAR",IF(F6066="NEW",IF(ISNA(VLOOKUP(E6066,#REF!,1,FALSE())),"?TYPE_IDENTIFIABLE","?REFERENTIAL"),"_")))))</f>
        <v> </v>
      </c>
      <c r="H6066" s="24" t="str">
        <f>IF(J6066&lt;&gt;1,"",IF(I6066="SBJ","CB","?"))</f>
        <v> </v>
      </c>
      <c r="I6066" s="25" t="str">
        <f>IF(OR(E6066="",E6066="!!!",F6066="NEW"),"",INDEX(B6065:B$2,-1+SUMPRODUCT(MAX(ROW(E6065:E$2)*(E6066=E6065:E$2)))))</f>
        <v> </v>
      </c>
      <c r="J6066" s="25" t="str">
        <f>IF(OR(E6066="",E6066="!!!",F6066="NEW"),"",COUNTBLANK(OFFSET(A$1,,,SUMPRODUCT(MAX(ROW(E$2:E6066)*(E6066=E$2:E6066)))))-COUNTBLANK(OFFSET(A$1,,,SUMPRODUCT(MAX(ROW(E$1:E6065)*(E2=E$1:E6065))))))</f>
        <v> </v>
      </c>
      <c r="K6066" s="25" t="str">
        <f>IF(OR(E6066="",E6066="!!!",F6066="NEW"),"",INDEX(J$1:J6065,SUMPRODUCT(MAX(ROW(E$1:E6065)*(E6066=E$1:E6065)))))</f>
        <v> </v>
      </c>
      <c r="L6066" s="26"/>
    </row>
    <row r="6067" spans="1:12">
      <c r="A6067" s="20" t="s">
        <v>1245</v>
      </c>
      <c r="B6067" s="27" t="s">
        <v>973</v>
      </c>
      <c r="C6067" s="27" t="s">
        <v>1018</v>
      </c>
      <c r="E6067" s="21">
        <f>IF(D6067="?OLD","!!!","")</f>
        <v/>
      </c>
      <c r="F6067" s="22" t="str">
        <f>IF(OR(E6067="",E6067="!!!"),"",IF(NOT(ISNA(VLOOKUP(E6067,E$1:E6066,1,FALSE()))),"OLD",IF(AND(E6067&lt;&gt;"",E6067&lt;&gt;"!!!"),"NEW","")))</f>
        <v> </v>
      </c>
      <c r="G6067" s="23" t="str">
        <f>IF(OR(E6067="",E6067="!!!"),"",IF(OR(J6067=0,AND(J6067=1,K6067=1),AND(J6067=1,I6067="SBJ"),AND(J6067=1,I6067=0)),"?IN_FOCUS",IF(J6067&lt;=2,"?ACTIVATED",IF(J6067&lt;&gt;"","?FAMILIAR",IF(F6067="NEW",IF(ISNA(VLOOKUP(E6067,#REF!,1,FALSE())),"?TYPE_IDENTIFIABLE","?REFERENTIAL"),"_")))))</f>
        <v> </v>
      </c>
      <c r="H6067" s="24" t="str">
        <f>IF(J6067&lt;&gt;1,"",IF(I6067="SBJ","CB","?"))</f>
        <v> </v>
      </c>
      <c r="I6067" s="25" t="str">
        <f>IF(OR(E6067="",E6067="!!!",F6067="NEW"),"",INDEX(B6066:B$2,-1+SUMPRODUCT(MAX(ROW(E6066:E$2)*(E6067=E6066:E$2)))))</f>
        <v> </v>
      </c>
      <c r="J6067" s="25" t="str">
        <f>IF(OR(E6067="",E6067="!!!",F6067="NEW"),"",COUNTBLANK(OFFSET(A$1,,,SUMPRODUCT(MAX(ROW(E$2:E6067)*(E6067=E$2:E6067)))))-COUNTBLANK(OFFSET(A$1,,,SUMPRODUCT(MAX(ROW(E$1:E6066)*(E2=E$1:E6066))))))</f>
        <v> </v>
      </c>
      <c r="K6067" s="25" t="str">
        <f>IF(OR(E6067="",E6067="!!!",F6067="NEW"),"",INDEX(J$1:J6066,SUMPRODUCT(MAX(ROW(E$1:E6066)*(E6067=E$1:E6066)))))</f>
        <v> </v>
      </c>
      <c r="L6067" s="26"/>
    </row>
    <row r="6068" spans="1:12">
      <c r="A6068" s="20" t="s">
        <v>1937</v>
      </c>
      <c r="E6068" s="21">
        <f>IF(D6068="?OLD","!!!","")</f>
        <v/>
      </c>
      <c r="F6068" s="22" t="str">
        <f>IF(OR(E6068="",E6068="!!!"),"",IF(NOT(ISNA(VLOOKUP(E6068,E$1:E6067,1,FALSE()))),"OLD",IF(AND(E6068&lt;&gt;"",E6068&lt;&gt;"!!!"),"NEW","")))</f>
        <v> </v>
      </c>
      <c r="G6068" s="23" t="str">
        <f>IF(OR(E6068="",E6068="!!!"),"",IF(OR(J6068=0,AND(J6068=1,K6068=1),AND(J6068=1,I6068="SBJ"),AND(J6068=1,I6068=0)),"?IN_FOCUS",IF(J6068&lt;=2,"?ACTIVATED",IF(J6068&lt;&gt;"","?FAMILIAR",IF(F6068="NEW",IF(ISNA(VLOOKUP(E6068,#REF!,1,FALSE())),"?TYPE_IDENTIFIABLE","?REFERENTIAL"),"_")))))</f>
        <v> </v>
      </c>
      <c r="H6068" s="24" t="str">
        <f>IF(J6068&lt;&gt;1,"",IF(I6068="SBJ","CB","?"))</f>
        <v> </v>
      </c>
      <c r="I6068" s="25" t="str">
        <f>IF(OR(E6068="",E6068="!!!",F6068="NEW"),"",INDEX(B6067:B$2,-1+SUMPRODUCT(MAX(ROW(E6067:E$2)*(E6068=E6067:E$2)))))</f>
        <v> </v>
      </c>
      <c r="J6068" s="25" t="str">
        <f>IF(OR(E6068="",E6068="!!!",F6068="NEW"),"",COUNTBLANK(OFFSET(A$1,,,SUMPRODUCT(MAX(ROW(E$2:E6068)*(E6068=E$2:E6068)))))-COUNTBLANK(OFFSET(A$1,,,SUMPRODUCT(MAX(ROW(E$1:E6067)*(E2=E$1:E6067))))))</f>
        <v> </v>
      </c>
      <c r="K6068" s="25" t="str">
        <f>IF(OR(E6068="",E6068="!!!",F6068="NEW"),"",INDEX(J$1:J6067,SUMPRODUCT(MAX(ROW(E$1:E6067)*(E6068=E$1:E6067)))))</f>
        <v> </v>
      </c>
      <c r="L6068" s="26"/>
    </row>
    <row r="6069" spans="1:12">
      <c r="A6069" s="20" t="s">
        <v>991</v>
      </c>
      <c r="E6069" s="21">
        <f>IF(D6069="?OLD","!!!","")</f>
        <v/>
      </c>
      <c r="F6069" s="22" t="str">
        <f>IF(OR(E6069="",E6069="!!!"),"",IF(NOT(ISNA(VLOOKUP(E6069,E$1:E6068,1,FALSE()))),"OLD",IF(AND(E6069&lt;&gt;"",E6069&lt;&gt;"!!!"),"NEW","")))</f>
        <v> </v>
      </c>
      <c r="G6069" s="23" t="str">
        <f>IF(OR(E6069="",E6069="!!!"),"",IF(OR(J6069=0,AND(J6069=1,K6069=1),AND(J6069=1,I6069="SBJ"),AND(J6069=1,I6069=0)),"?IN_FOCUS",IF(J6069&lt;=2,"?ACTIVATED",IF(J6069&lt;&gt;"","?FAMILIAR",IF(F6069="NEW",IF(ISNA(VLOOKUP(E6069,#REF!,1,FALSE())),"?TYPE_IDENTIFIABLE","?REFERENTIAL"),"_")))))</f>
        <v> </v>
      </c>
      <c r="H6069" s="24" t="str">
        <f>IF(J6069&lt;&gt;1,"",IF(I6069="SBJ","CB","?"))</f>
        <v> </v>
      </c>
      <c r="I6069" s="25" t="str">
        <f>IF(OR(E6069="",E6069="!!!",F6069="NEW"),"",INDEX(B6068:B$2,-1+SUMPRODUCT(MAX(ROW(E6068:E$2)*(E6069=E6068:E$2)))))</f>
        <v> </v>
      </c>
      <c r="J6069" s="25" t="str">
        <f>IF(OR(E6069="",E6069="!!!",F6069="NEW"),"",COUNTBLANK(OFFSET(A$1,,,SUMPRODUCT(MAX(ROW(E$2:E6069)*(E6069=E$2:E6069)))))-COUNTBLANK(OFFSET(A$1,,,SUMPRODUCT(MAX(ROW(E$1:E6068)*(E2=E$1:E6068))))))</f>
        <v> </v>
      </c>
      <c r="K6069" s="25" t="str">
        <f>IF(OR(E6069="",E6069="!!!",F6069="NEW"),"",INDEX(J$1:J6068,SUMPRODUCT(MAX(ROW(E$1:E6068)*(E6069=E$1:E6068)))))</f>
        <v> </v>
      </c>
      <c r="L6069" s="26"/>
    </row>
    <row r="6070" spans="1:12">
      <c r="A6070" s="20" t="s">
        <v>1033</v>
      </c>
      <c r="B6070" s="27" t="s">
        <v>982</v>
      </c>
      <c r="C6070" s="27" t="s">
        <v>988</v>
      </c>
      <c r="D6070" s="27" t="s">
        <v>969</v>
      </c>
      <c r="E6070" s="21">
        <f>IF(D6070="?OLD","!!!","")</f>
        <v/>
      </c>
      <c r="F6070" s="22" t="str">
        <f>IF(OR(E6070="",E6070="!!!"),"",IF(NOT(ISNA(VLOOKUP(E6070,E$1:E6069,1,FALSE()))),"OLD",IF(AND(E6070&lt;&gt;"",E6070&lt;&gt;"!!!"),"NEW","")))</f>
        <v> </v>
      </c>
      <c r="G6070" s="23" t="str">
        <f>IF(OR(E6070="",E6070="!!!"),"",IF(OR(J6070=0,AND(J6070=1,K6070=1),AND(J6070=1,I6070="SBJ"),AND(J6070=1,I6070=0)),"?IN_FOCUS",IF(J6070&lt;=2,"?ACTIVATED",IF(J6070&lt;&gt;"","?FAMILIAR",IF(F6070="NEW",IF(ISNA(VLOOKUP(E6070,#REF!,1,FALSE())),"?TYPE_IDENTIFIABLE","?REFERENTIAL"),"_")))))</f>
        <v> </v>
      </c>
      <c r="H6070" s="24" t="str">
        <f>IF(J6070&lt;&gt;1,"",IF(I6070="SBJ","CB","?"))</f>
        <v> </v>
      </c>
      <c r="I6070" s="25" t="str">
        <f>IF(OR(E6070="",E6070="!!!",F6070="NEW"),"",INDEX(B6069:B$2,-1+SUMPRODUCT(MAX(ROW(E6069:E$2)*(E6070=E6069:E$2)))))</f>
        <v> </v>
      </c>
      <c r="J6070" s="25" t="str">
        <f>IF(OR(E6070="",E6070="!!!",F6070="NEW"),"",COUNTBLANK(OFFSET(A$1,,,SUMPRODUCT(MAX(ROW(E$2:E6070)*(E6070=E$2:E6070)))))-COUNTBLANK(OFFSET(A$1,,,SUMPRODUCT(MAX(ROW(E$1:E6069)*(E2=E$1:E6069))))))</f>
        <v> </v>
      </c>
      <c r="K6070" s="25" t="str">
        <f>IF(OR(E6070="",E6070="!!!",F6070="NEW"),"",INDEX(J$1:J6069,SUMPRODUCT(MAX(ROW(E$1:E6069)*(E6070=E$1:E6069)))))</f>
        <v> </v>
      </c>
      <c r="L6070" s="26"/>
    </row>
    <row r="6071" spans="1:12">
      <c r="A6071" s="20" t="s">
        <v>1078</v>
      </c>
      <c r="B6071" s="27" t="s">
        <v>1013</v>
      </c>
      <c r="C6071" s="27" t="s">
        <v>974</v>
      </c>
      <c r="E6071" s="21">
        <f>IF(D6071="?OLD","!!!","")</f>
        <v/>
      </c>
      <c r="F6071" s="22" t="str">
        <f>IF(OR(E6071="",E6071="!!!"),"",IF(NOT(ISNA(VLOOKUP(E6071,E$1:E6070,1,FALSE()))),"OLD",IF(AND(E6071&lt;&gt;"",E6071&lt;&gt;"!!!"),"NEW","")))</f>
        <v> </v>
      </c>
      <c r="G6071" s="23" t="str">
        <f>IF(OR(E6071="",E6071="!!!"),"",IF(OR(J6071=0,AND(J6071=1,K6071=1),AND(J6071=1,I6071="SBJ"),AND(J6071=1,I6071=0)),"?IN_FOCUS",IF(J6071&lt;=2,"?ACTIVATED",IF(J6071&lt;&gt;"","?FAMILIAR",IF(F6071="NEW",IF(ISNA(VLOOKUP(E6071,#REF!,1,FALSE())),"?TYPE_IDENTIFIABLE","?REFERENTIAL"),"_")))))</f>
        <v> </v>
      </c>
      <c r="H6071" s="24" t="str">
        <f>IF(J6071&lt;&gt;1,"",IF(I6071="SBJ","CB","?"))</f>
        <v> </v>
      </c>
      <c r="I6071" s="25" t="str">
        <f>IF(OR(E6071="",E6071="!!!",F6071="NEW"),"",INDEX(B6070:B$2,-1+SUMPRODUCT(MAX(ROW(E6070:E$2)*(E6071=E6070:E$2)))))</f>
        <v> </v>
      </c>
      <c r="J6071" s="25" t="str">
        <f>IF(OR(E6071="",E6071="!!!",F6071="NEW"),"",COUNTBLANK(OFFSET(A$1,,,SUMPRODUCT(MAX(ROW(E$2:E6071)*(E6071=E$2:E6071)))))-COUNTBLANK(OFFSET(A$1,,,SUMPRODUCT(MAX(ROW(E$1:E6070)*(E2=E$1:E6070))))))</f>
        <v> </v>
      </c>
      <c r="K6071" s="25" t="str">
        <f>IF(OR(E6071="",E6071="!!!",F6071="NEW"),"",INDEX(J$1:J6070,SUMPRODUCT(MAX(ROW(E$1:E6070)*(E6071=E$1:E6070)))))</f>
        <v> </v>
      </c>
      <c r="L6071" s="26"/>
    </row>
    <row r="6072" spans="1:12">
      <c r="A6072" s="20" t="s">
        <v>999</v>
      </c>
      <c r="E6072" s="21">
        <f>IF(D6072="?OLD","!!!","")</f>
        <v/>
      </c>
      <c r="F6072" s="22" t="str">
        <f>IF(OR(E6072="",E6072="!!!"),"",IF(NOT(ISNA(VLOOKUP(E6072,E$1:E6071,1,FALSE()))),"OLD",IF(AND(E6072&lt;&gt;"",E6072&lt;&gt;"!!!"),"NEW","")))</f>
        <v> </v>
      </c>
      <c r="G6072" s="23" t="str">
        <f>IF(OR(E6072="",E6072="!!!"),"",IF(OR(J6072=0,AND(J6072=1,K6072=1),AND(J6072=1,I6072="SBJ"),AND(J6072=1,I6072=0)),"?IN_FOCUS",IF(J6072&lt;=2,"?ACTIVATED",IF(J6072&lt;&gt;"","?FAMILIAR",IF(F6072="NEW",IF(ISNA(VLOOKUP(E6072,#REF!,1,FALSE())),"?TYPE_IDENTIFIABLE","?REFERENTIAL"),"_")))))</f>
        <v> </v>
      </c>
      <c r="H6072" s="24" t="str">
        <f>IF(J6072&lt;&gt;1,"",IF(I6072="SBJ","CB","?"))</f>
        <v> </v>
      </c>
      <c r="I6072" s="25" t="str">
        <f>IF(OR(E6072="",E6072="!!!",F6072="NEW"),"",INDEX(B6071:B$2,-1+SUMPRODUCT(MAX(ROW(E6071:E$2)*(E6072=E6071:E$2)))))</f>
        <v> </v>
      </c>
      <c r="J6072" s="25" t="str">
        <f>IF(OR(E6072="",E6072="!!!",F6072="NEW"),"",COUNTBLANK(OFFSET(A$1,,,SUMPRODUCT(MAX(ROW(E$2:E6072)*(E6072=E$2:E6072)))))-COUNTBLANK(OFFSET(A$1,,,SUMPRODUCT(MAX(ROW(E$1:E6071)*(E2=E$1:E6071))))))</f>
        <v> </v>
      </c>
      <c r="K6072" s="25" t="str">
        <f>IF(OR(E6072="",E6072="!!!",F6072="NEW"),"",INDEX(J$1:J6071,SUMPRODUCT(MAX(ROW(E$1:E6071)*(E6072=E$1:E6071)))))</f>
        <v> </v>
      </c>
      <c r="L6072" s="26"/>
    </row>
    <row r="6073" spans="1:12">
      <c r="A6073" s="20" t="s">
        <v>935</v>
      </c>
      <c r="E6073" s="21">
        <f>IF(D6073="?OLD","!!!","")</f>
        <v/>
      </c>
      <c r="F6073" s="22" t="str">
        <f>IF(OR(E6073="",E6073="!!!"),"",IF(NOT(ISNA(VLOOKUP(E6073,E$1:E6072,1,FALSE()))),"OLD",IF(AND(E6073&lt;&gt;"",E6073&lt;&gt;"!!!"),"NEW","")))</f>
        <v> </v>
      </c>
      <c r="G6073" s="23" t="str">
        <f>IF(OR(E6073="",E6073="!!!"),"",IF(OR(J6073=0,AND(J6073=1,K6073=1),AND(J6073=1,I6073="SBJ"),AND(J6073=1,I6073=0)),"?IN_FOCUS",IF(J6073&lt;=2,"?ACTIVATED",IF(J6073&lt;&gt;"","?FAMILIAR",IF(F6073="NEW",IF(ISNA(VLOOKUP(E6073,#REF!,1,FALSE())),"?TYPE_IDENTIFIABLE","?REFERENTIAL"),"_")))))</f>
        <v> </v>
      </c>
      <c r="H6073" s="24" t="str">
        <f>IF(J6073&lt;&gt;1,"",IF(I6073="SBJ","CB","?"))</f>
        <v> </v>
      </c>
      <c r="I6073" s="25" t="str">
        <f>IF(OR(E6073="",E6073="!!!",F6073="NEW"),"",INDEX(B6072:B$2,-1+SUMPRODUCT(MAX(ROW(E6072:E$2)*(E6073=E6072:E$2)))))</f>
        <v> </v>
      </c>
      <c r="J6073" s="25" t="str">
        <f>IF(OR(E6073="",E6073="!!!",F6073="NEW"),"",COUNTBLANK(OFFSET(A$1,,,SUMPRODUCT(MAX(ROW(E$2:E6073)*(E6073=E$2:E6073)))))-COUNTBLANK(OFFSET(A$1,,,SUMPRODUCT(MAX(ROW(E$1:E6072)*(E2=E$1:E6072))))))</f>
        <v> </v>
      </c>
      <c r="K6073" s="25" t="str">
        <f>IF(OR(E6073="",E6073="!!!",F6073="NEW"),"",INDEX(J$1:J6072,SUMPRODUCT(MAX(ROW(E$1:E6072)*(E6073=E$1:E6072)))))</f>
        <v> </v>
      </c>
      <c r="L6073" s="26"/>
    </row>
    <row r="6074" spans="1:12">
      <c r="A6074" s="20" t="s">
        <v>1005</v>
      </c>
      <c r="E6074" s="21">
        <f>IF(D6074="?OLD","!!!","")</f>
        <v/>
      </c>
      <c r="F6074" s="22" t="str">
        <f>IF(OR(E6074="",E6074="!!!"),"",IF(NOT(ISNA(VLOOKUP(E6074,E$1:E6073,1,FALSE()))),"OLD",IF(AND(E6074&lt;&gt;"",E6074&lt;&gt;"!!!"),"NEW","")))</f>
        <v> </v>
      </c>
      <c r="G6074" s="23" t="str">
        <f>IF(OR(E6074="",E6074="!!!"),"",IF(OR(J6074=0,AND(J6074=1,K6074=1),AND(J6074=1,I6074="SBJ"),AND(J6074=1,I6074=0)),"?IN_FOCUS",IF(J6074&lt;=2,"?ACTIVATED",IF(J6074&lt;&gt;"","?FAMILIAR",IF(F6074="NEW",IF(ISNA(VLOOKUP(E6074,#REF!,1,FALSE())),"?TYPE_IDENTIFIABLE","?REFERENTIAL"),"_")))))</f>
        <v> </v>
      </c>
      <c r="H6074" s="24" t="str">
        <f>IF(J6074&lt;&gt;1,"",IF(I6074="SBJ","CB","?"))</f>
        <v> </v>
      </c>
      <c r="I6074" s="25" t="str">
        <f>IF(OR(E6074="",E6074="!!!",F6074="NEW"),"",INDEX(B6073:B$2,-1+SUMPRODUCT(MAX(ROW(E6073:E$2)*(E6074=E6073:E$2)))))</f>
        <v> </v>
      </c>
      <c r="J6074" s="25" t="str">
        <f>IF(OR(E6074="",E6074="!!!",F6074="NEW"),"",COUNTBLANK(OFFSET(A$1,,,SUMPRODUCT(MAX(ROW(E$2:E6074)*(E6074=E$2:E6074)))))-COUNTBLANK(OFFSET(A$1,,,SUMPRODUCT(MAX(ROW(E$1:E6073)*(E2=E$1:E6073))))))</f>
        <v> </v>
      </c>
      <c r="K6074" s="25" t="str">
        <f>IF(OR(E6074="",E6074="!!!",F6074="NEW"),"",INDEX(J$1:J6073,SUMPRODUCT(MAX(ROW(E$1:E6073)*(E6074=E$1:E6073)))))</f>
        <v> </v>
      </c>
      <c r="L6074" s="26"/>
    </row>
    <row r="6075" spans="1:12">
      <c r="A6075" s="20"/>
    </row>
    <row r="6076" spans="1:12">
      <c r="A6076" s="20" t="s">
        <v>2567</v>
      </c>
    </row>
    <row r="6077" spans="1:12">
      <c r="A6077" s="20" t="s">
        <v>966</v>
      </c>
      <c r="B6077" s="27" t="s">
        <v>967</v>
      </c>
      <c r="C6077" s="27" t="s">
        <v>968</v>
      </c>
      <c r="D6077" s="27" t="s">
        <v>969</v>
      </c>
      <c r="E6077" s="21">
        <f>IF(D6077="?OLD","!!!","")</f>
        <v/>
      </c>
      <c r="F6077" s="22" t="str">
        <f>IF(OR(E6077="",E6077="!!!"),"",IF(NOT(ISNA(VLOOKUP(E6077,E$1:E6076,1,FALSE()))),"OLD",IF(AND(E6077&lt;&gt;"",E6077&lt;&gt;"!!!"),"NEW","")))</f>
        <v> </v>
      </c>
      <c r="G6077" s="23" t="str">
        <f>IF(OR(E6077="",E6077="!!!"),"",IF(OR(J6077=0,AND(J6077=1,K6077=1),AND(J6077=1,I6077="SBJ"),AND(J6077=1,I6077=0)),"?IN_FOCUS",IF(J6077&lt;=2,"?ACTIVATED",IF(J6077&lt;&gt;"","?FAMILIAR",IF(F6077="NEW",IF(ISNA(VLOOKUP(E6077,#REF!,1,FALSE())),"?TYPE_IDENTIFIABLE","?REFERENTIAL"),"_")))))</f>
        <v> </v>
      </c>
      <c r="H6077" s="24" t="str">
        <f>IF(J6077&lt;&gt;1,"",IF(I6077="SBJ","CB","?"))</f>
        <v> </v>
      </c>
      <c r="I6077" s="25" t="str">
        <f>IF(OR(E6077="",E6077="!!!",F6077="NEW"),"",INDEX(B6076:B$2,-1+SUMPRODUCT(MAX(ROW(E6076:E$2)*(E6077=E6076:E$2)))))</f>
        <v> </v>
      </c>
      <c r="J6077" s="25" t="str">
        <f>IF(OR(E6077="",E6077="!!!",F6077="NEW"),"",COUNTBLANK(OFFSET(A$1,,,SUMPRODUCT(MAX(ROW(E$2:E6077)*(E6077=E$2:E6077)))))-COUNTBLANK(OFFSET(A$1,,,SUMPRODUCT(MAX(ROW(E$1:E6076)*(E2=E$1:E6076))))))</f>
        <v> </v>
      </c>
      <c r="K6077" s="25" t="str">
        <f>IF(OR(E6077="",E6077="!!!",F6077="NEW"),"",INDEX(J$1:J6076,SUMPRODUCT(MAX(ROW(E$1:E6076)*(E6077=E$1:E6076)))))</f>
        <v> </v>
      </c>
      <c r="L6077" s="26"/>
    </row>
    <row r="6078" spans="1:12">
      <c r="A6078" s="20" t="s">
        <v>1717</v>
      </c>
      <c r="E6078" s="21">
        <f>IF(D6078="?OLD","!!!","")</f>
        <v/>
      </c>
      <c r="F6078" s="22" t="str">
        <f>IF(OR(E6078="",E6078="!!!"),"",IF(NOT(ISNA(VLOOKUP(E6078,E$1:E6077,1,FALSE()))),"OLD",IF(AND(E6078&lt;&gt;"",E6078&lt;&gt;"!!!"),"NEW","")))</f>
        <v> </v>
      </c>
      <c r="G6078" s="23" t="str">
        <f>IF(OR(E6078="",E6078="!!!"),"",IF(OR(J6078=0,AND(J6078=1,K6078=1),AND(J6078=1,I6078="SBJ"),AND(J6078=1,I6078=0)),"?IN_FOCUS",IF(J6078&lt;=2,"?ACTIVATED",IF(J6078&lt;&gt;"","?FAMILIAR",IF(F6078="NEW",IF(ISNA(VLOOKUP(E6078,#REF!,1,FALSE())),"?TYPE_IDENTIFIABLE","?REFERENTIAL"),"_")))))</f>
        <v> </v>
      </c>
      <c r="H6078" s="24" t="str">
        <f>IF(J6078&lt;&gt;1,"",IF(I6078="SBJ","CB","?"))</f>
        <v> </v>
      </c>
      <c r="I6078" s="25" t="str">
        <f>IF(OR(E6078="",E6078="!!!",F6078="NEW"),"",INDEX(B6077:B$2,-1+SUMPRODUCT(MAX(ROW(E6077:E$2)*(E6078=E6077:E$2)))))</f>
        <v> </v>
      </c>
      <c r="J6078" s="25" t="str">
        <f>IF(OR(E6078="",E6078="!!!",F6078="NEW"),"",COUNTBLANK(OFFSET(A$1,,,SUMPRODUCT(MAX(ROW(E$2:E6078)*(E6078=E$2:E6078)))))-COUNTBLANK(OFFSET(A$1,,,SUMPRODUCT(MAX(ROW(E$1:E6077)*(E2=E$1:E6077))))))</f>
        <v> </v>
      </c>
      <c r="K6078" s="25" t="str">
        <f>IF(OR(E6078="",E6078="!!!",F6078="NEW"),"",INDEX(J$1:J6077,SUMPRODUCT(MAX(ROW(E$1:E6077)*(E6078=E$1:E6077)))))</f>
        <v> </v>
      </c>
      <c r="L6078" s="26"/>
    </row>
    <row r="6079" spans="1:12">
      <c r="A6079" s="20" t="s">
        <v>1009</v>
      </c>
      <c r="B6079" s="27" t="s">
        <v>973</v>
      </c>
      <c r="C6079" s="27" t="s">
        <v>1011</v>
      </c>
      <c r="D6079" s="27" t="s">
        <v>969</v>
      </c>
      <c r="E6079" s="21">
        <f>IF(D6079="?OLD","!!!","")</f>
        <v/>
      </c>
      <c r="F6079" s="22" t="str">
        <f>IF(OR(E6079="",E6079="!!!"),"",IF(NOT(ISNA(VLOOKUP(E6079,E$1:E6078,1,FALSE()))),"OLD",IF(AND(E6079&lt;&gt;"",E6079&lt;&gt;"!!!"),"NEW","")))</f>
        <v> </v>
      </c>
      <c r="G6079" s="23" t="str">
        <f>IF(OR(E6079="",E6079="!!!"),"",IF(OR(J6079=0,AND(J6079=1,K6079=1),AND(J6079=1,I6079="SBJ"),AND(J6079=1,I6079=0)),"?IN_FOCUS",IF(J6079&lt;=2,"?ACTIVATED",IF(J6079&lt;&gt;"","?FAMILIAR",IF(F6079="NEW",IF(ISNA(VLOOKUP(E6079,#REF!,1,FALSE())),"?TYPE_IDENTIFIABLE","?REFERENTIAL"),"_")))))</f>
        <v> </v>
      </c>
      <c r="H6079" s="24" t="str">
        <f>IF(J6079&lt;&gt;1,"",IF(I6079="SBJ","CB","?"))</f>
        <v> </v>
      </c>
      <c r="I6079" s="25" t="str">
        <f>IF(OR(E6079="",E6079="!!!",F6079="NEW"),"",INDEX(B6078:B$2,-1+SUMPRODUCT(MAX(ROW(E6078:E$2)*(E6079=E6078:E$2)))))</f>
        <v> </v>
      </c>
      <c r="J6079" s="25" t="str">
        <f>IF(OR(E6079="",E6079="!!!",F6079="NEW"),"",COUNTBLANK(OFFSET(A$1,,,SUMPRODUCT(MAX(ROW(E$2:E6079)*(E6079=E$2:E6079)))))-COUNTBLANK(OFFSET(A$1,,,SUMPRODUCT(MAX(ROW(E$1:E6078)*(E2=E$1:E6078))))))</f>
        <v> </v>
      </c>
      <c r="K6079" s="25" t="str">
        <f>IF(OR(E6079="",E6079="!!!",F6079="NEW"),"",INDEX(J$1:J6078,SUMPRODUCT(MAX(ROW(E$1:E6078)*(E6079=E$1:E6078)))))</f>
        <v> </v>
      </c>
      <c r="L6079" s="26"/>
    </row>
    <row r="6080" spans="1:12">
      <c r="A6080" s="20" t="s">
        <v>991</v>
      </c>
      <c r="E6080" s="21">
        <f>IF(D6080="?OLD","!!!","")</f>
        <v/>
      </c>
      <c r="F6080" s="22" t="str">
        <f>IF(OR(E6080="",E6080="!!!"),"",IF(NOT(ISNA(VLOOKUP(E6080,E$1:E6079,1,FALSE()))),"OLD",IF(AND(E6080&lt;&gt;"",E6080&lt;&gt;"!!!"),"NEW","")))</f>
        <v> </v>
      </c>
      <c r="G6080" s="23" t="str">
        <f>IF(OR(E6080="",E6080="!!!"),"",IF(OR(J6080=0,AND(J6080=1,K6080=1),AND(J6080=1,I6080="SBJ"),AND(J6080=1,I6080=0)),"?IN_FOCUS",IF(J6080&lt;=2,"?ACTIVATED",IF(J6080&lt;&gt;"","?FAMILIAR",IF(F6080="NEW",IF(ISNA(VLOOKUP(E6080,#REF!,1,FALSE())),"?TYPE_IDENTIFIABLE","?REFERENTIAL"),"_")))))</f>
        <v> </v>
      </c>
      <c r="H6080" s="24" t="str">
        <f>IF(J6080&lt;&gt;1,"",IF(I6080="SBJ","CB","?"))</f>
        <v> </v>
      </c>
      <c r="I6080" s="25" t="str">
        <f>IF(OR(E6080="",E6080="!!!",F6080="NEW"),"",INDEX(B6079:B$2,-1+SUMPRODUCT(MAX(ROW(E6079:E$2)*(E6080=E6079:E$2)))))</f>
        <v> </v>
      </c>
      <c r="J6080" s="25" t="str">
        <f>IF(OR(E6080="",E6080="!!!",F6080="NEW"),"",COUNTBLANK(OFFSET(A$1,,,SUMPRODUCT(MAX(ROW(E$2:E6080)*(E6080=E$2:E6080)))))-COUNTBLANK(OFFSET(A$1,,,SUMPRODUCT(MAX(ROW(E$1:E6079)*(E2=E$1:E6079))))))</f>
        <v> </v>
      </c>
      <c r="K6080" s="25" t="str">
        <f>IF(OR(E6080="",E6080="!!!",F6080="NEW"),"",INDEX(J$1:J6079,SUMPRODUCT(MAX(ROW(E$1:E6079)*(E6080=E$1:E6079)))))</f>
        <v> </v>
      </c>
      <c r="L6080" s="26"/>
    </row>
    <row r="6081" spans="1:12">
      <c r="A6081" s="20" t="s">
        <v>1322</v>
      </c>
      <c r="E6081" s="21">
        <f>IF(D6081="?OLD","!!!","")</f>
        <v/>
      </c>
      <c r="F6081" s="22" t="str">
        <f>IF(OR(E6081="",E6081="!!!"),"",IF(NOT(ISNA(VLOOKUP(E6081,E$1:E6080,1,FALSE()))),"OLD",IF(AND(E6081&lt;&gt;"",E6081&lt;&gt;"!!!"),"NEW","")))</f>
        <v> </v>
      </c>
      <c r="G6081" s="23" t="str">
        <f>IF(OR(E6081="",E6081="!!!"),"",IF(OR(J6081=0,AND(J6081=1,K6081=1),AND(J6081=1,I6081="SBJ"),AND(J6081=1,I6081=0)),"?IN_FOCUS",IF(J6081&lt;=2,"?ACTIVATED",IF(J6081&lt;&gt;"","?FAMILIAR",IF(F6081="NEW",IF(ISNA(VLOOKUP(E6081,#REF!,1,FALSE())),"?TYPE_IDENTIFIABLE","?REFERENTIAL"),"_")))))</f>
        <v> </v>
      </c>
      <c r="H6081" s="24" t="str">
        <f>IF(J6081&lt;&gt;1,"",IF(I6081="SBJ","CB","?"))</f>
        <v> </v>
      </c>
      <c r="I6081" s="25" t="str">
        <f>IF(OR(E6081="",E6081="!!!",F6081="NEW"),"",INDEX(B6080:B$2,-1+SUMPRODUCT(MAX(ROW(E6080:E$2)*(E6081=E6080:E$2)))))</f>
        <v> </v>
      </c>
      <c r="J6081" s="25" t="str">
        <f>IF(OR(E6081="",E6081="!!!",F6081="NEW"),"",COUNTBLANK(OFFSET(A$1,,,SUMPRODUCT(MAX(ROW(E$2:E6081)*(E6081=E$2:E6081)))))-COUNTBLANK(OFFSET(A$1,,,SUMPRODUCT(MAX(ROW(E$1:E6080)*(E2=E$1:E6080))))))</f>
        <v> </v>
      </c>
      <c r="K6081" s="25" t="str">
        <f>IF(OR(E6081="",E6081="!!!",F6081="NEW"),"",INDEX(J$1:J6080,SUMPRODUCT(MAX(ROW(E$1:E6080)*(E6081=E$1:E6080)))))</f>
        <v> </v>
      </c>
      <c r="L6081" s="26"/>
    </row>
    <row r="6082" spans="1:12">
      <c r="A6082" s="20" t="s">
        <v>1009</v>
      </c>
      <c r="B6082" s="27" t="s">
        <v>1010</v>
      </c>
      <c r="C6082" s="27" t="s">
        <v>1011</v>
      </c>
      <c r="D6082" s="27" t="s">
        <v>969</v>
      </c>
      <c r="E6082" s="21">
        <f>IF(D6082="?OLD","!!!","")</f>
        <v/>
      </c>
      <c r="F6082" s="22" t="str">
        <f>IF(OR(E6082="",E6082="!!!"),"",IF(NOT(ISNA(VLOOKUP(E6082,E$1:E6081,1,FALSE()))),"OLD",IF(AND(E6082&lt;&gt;"",E6082&lt;&gt;"!!!"),"NEW","")))</f>
        <v> </v>
      </c>
      <c r="G6082" s="23" t="str">
        <f>IF(OR(E6082="",E6082="!!!"),"",IF(OR(J6082=0,AND(J6082=1,K6082=1),AND(J6082=1,I6082="SBJ"),AND(J6082=1,I6082=0)),"?IN_FOCUS",IF(J6082&lt;=2,"?ACTIVATED",IF(J6082&lt;&gt;"","?FAMILIAR",IF(F6082="NEW",IF(ISNA(VLOOKUP(E6082,#REF!,1,FALSE())),"?TYPE_IDENTIFIABLE","?REFERENTIAL"),"_")))))</f>
        <v> </v>
      </c>
      <c r="H6082" s="24" t="str">
        <f>IF(J6082&lt;&gt;1,"",IF(I6082="SBJ","CB","?"))</f>
        <v> </v>
      </c>
      <c r="I6082" s="25" t="str">
        <f>IF(OR(E6082="",E6082="!!!",F6082="NEW"),"",INDEX(B6081:B$2,-1+SUMPRODUCT(MAX(ROW(E6081:E$2)*(E6082=E6081:E$2)))))</f>
        <v> </v>
      </c>
      <c r="J6082" s="25" t="str">
        <f>IF(OR(E6082="",E6082="!!!",F6082="NEW"),"",COUNTBLANK(OFFSET(A$1,,,SUMPRODUCT(MAX(ROW(E$2:E6082)*(E6082=E$2:E6082)))))-COUNTBLANK(OFFSET(A$1,,,SUMPRODUCT(MAX(ROW(E$1:E6081)*(E2=E$1:E6081))))))</f>
        <v> </v>
      </c>
      <c r="K6082" s="25" t="str">
        <f>IF(OR(E6082="",E6082="!!!",F6082="NEW"),"",INDEX(J$1:J6081,SUMPRODUCT(MAX(ROW(E$1:E6081)*(E6082=E$1:E6081)))))</f>
        <v> </v>
      </c>
      <c r="L6082" s="26"/>
    </row>
    <row r="6083" spans="1:12">
      <c r="A6083" s="20" t="s">
        <v>1107</v>
      </c>
      <c r="B6083" s="27" t="s">
        <v>1013</v>
      </c>
      <c r="C6083" s="27" t="s">
        <v>968</v>
      </c>
      <c r="D6083" s="27" t="s">
        <v>969</v>
      </c>
      <c r="E6083" s="21">
        <f>IF(D6083="?OLD","!!!","")</f>
        <v/>
      </c>
      <c r="F6083" s="22" t="str">
        <f>IF(OR(E6083="",E6083="!!!"),"",IF(NOT(ISNA(VLOOKUP(E6083,E$1:E6082,1,FALSE()))),"OLD",IF(AND(E6083&lt;&gt;"",E6083&lt;&gt;"!!!"),"NEW","")))</f>
        <v> </v>
      </c>
      <c r="G6083" s="23" t="str">
        <f>IF(OR(E6083="",E6083="!!!"),"",IF(OR(J6083=0,AND(J6083=1,K6083=1),AND(J6083=1,I6083="SBJ"),AND(J6083=1,I6083=0)),"?IN_FOCUS",IF(J6083&lt;=2,"?ACTIVATED",IF(J6083&lt;&gt;"","?FAMILIAR",IF(F6083="NEW",IF(ISNA(VLOOKUP(E6083,#REF!,1,FALSE())),"?TYPE_IDENTIFIABLE","?REFERENTIAL"),"_")))))</f>
        <v> </v>
      </c>
      <c r="H6083" s="24" t="str">
        <f>IF(J6083&lt;&gt;1,"",IF(I6083="SBJ","CB","?"))</f>
        <v> </v>
      </c>
      <c r="I6083" s="25" t="str">
        <f>IF(OR(E6083="",E6083="!!!",F6083="NEW"),"",INDEX(B6082:B$2,-1+SUMPRODUCT(MAX(ROW(E6082:E$2)*(E6083=E6082:E$2)))))</f>
        <v> </v>
      </c>
      <c r="J6083" s="25" t="str">
        <f>IF(OR(E6083="",E6083="!!!",F6083="NEW"),"",COUNTBLANK(OFFSET(A$1,,,SUMPRODUCT(MAX(ROW(E$2:E6083)*(E6083=E$2:E6083)))))-COUNTBLANK(OFFSET(A$1,,,SUMPRODUCT(MAX(ROW(E$1:E6082)*(E2=E$1:E6082))))))</f>
        <v> </v>
      </c>
      <c r="K6083" s="25" t="str">
        <f>IF(OR(E6083="",E6083="!!!",F6083="NEW"),"",INDEX(J$1:J6082,SUMPRODUCT(MAX(ROW(E$1:E6082)*(E6083=E$1:E6082)))))</f>
        <v> </v>
      </c>
      <c r="L6083" s="26"/>
    </row>
    <row r="6084" spans="1:12">
      <c r="A6084" s="20" t="s">
        <v>2568</v>
      </c>
      <c r="E6084" s="21">
        <f>IF(D6084="?OLD","!!!","")</f>
        <v/>
      </c>
      <c r="F6084" s="22" t="str">
        <f>IF(OR(E6084="",E6084="!!!"),"",IF(NOT(ISNA(VLOOKUP(E6084,E$1:E6083,1,FALSE()))),"OLD",IF(AND(E6084&lt;&gt;"",E6084&lt;&gt;"!!!"),"NEW","")))</f>
        <v> </v>
      </c>
      <c r="G6084" s="23" t="str">
        <f>IF(OR(E6084="",E6084="!!!"),"",IF(OR(J6084=0,AND(J6084=1,K6084=1),AND(J6084=1,I6084="SBJ"),AND(J6084=1,I6084=0)),"?IN_FOCUS",IF(J6084&lt;=2,"?ACTIVATED",IF(J6084&lt;&gt;"","?FAMILIAR",IF(F6084="NEW",IF(ISNA(VLOOKUP(E6084,#REF!,1,FALSE())),"?TYPE_IDENTIFIABLE","?REFERENTIAL"),"_")))))</f>
        <v> </v>
      </c>
      <c r="H6084" s="24" t="str">
        <f>IF(J6084&lt;&gt;1,"",IF(I6084="SBJ","CB","?"))</f>
        <v> </v>
      </c>
      <c r="I6084" s="25" t="str">
        <f>IF(OR(E6084="",E6084="!!!",F6084="NEW"),"",INDEX(B6083:B$2,-1+SUMPRODUCT(MAX(ROW(E6083:E$2)*(E6084=E6083:E$2)))))</f>
        <v> </v>
      </c>
      <c r="J6084" s="25" t="str">
        <f>IF(OR(E6084="",E6084="!!!",F6084="NEW"),"",COUNTBLANK(OFFSET(A$1,,,SUMPRODUCT(MAX(ROW(E$2:E6084)*(E6084=E$2:E6084)))))-COUNTBLANK(OFFSET(A$1,,,SUMPRODUCT(MAX(ROW(E$1:E6083)*(E2=E$1:E6083))))))</f>
        <v> </v>
      </c>
      <c r="K6084" s="25" t="str">
        <f>IF(OR(E6084="",E6084="!!!",F6084="NEW"),"",INDEX(J$1:J6083,SUMPRODUCT(MAX(ROW(E$1:E6083)*(E6084=E$1:E6083)))))</f>
        <v> </v>
      </c>
      <c r="L6084" s="26"/>
    </row>
    <row r="6085" spans="1:12">
      <c r="A6085" s="20" t="s">
        <v>1282</v>
      </c>
      <c r="E6085" s="21">
        <f>IF(D6085="?OLD","!!!","")</f>
        <v/>
      </c>
      <c r="F6085" s="22" t="str">
        <f>IF(OR(E6085="",E6085="!!!"),"",IF(NOT(ISNA(VLOOKUP(E6085,E$1:E6084,1,FALSE()))),"OLD",IF(AND(E6085&lt;&gt;"",E6085&lt;&gt;"!!!"),"NEW","")))</f>
        <v> </v>
      </c>
      <c r="G6085" s="23" t="str">
        <f>IF(OR(E6085="",E6085="!!!"),"",IF(OR(J6085=0,AND(J6085=1,K6085=1),AND(J6085=1,I6085="SBJ"),AND(J6085=1,I6085=0)),"?IN_FOCUS",IF(J6085&lt;=2,"?ACTIVATED",IF(J6085&lt;&gt;"","?FAMILIAR",IF(F6085="NEW",IF(ISNA(VLOOKUP(E6085,#REF!,1,FALSE())),"?TYPE_IDENTIFIABLE","?REFERENTIAL"),"_")))))</f>
        <v> </v>
      </c>
      <c r="H6085" s="24" t="str">
        <f>IF(J6085&lt;&gt;1,"",IF(I6085="SBJ","CB","?"))</f>
        <v> </v>
      </c>
      <c r="I6085" s="25" t="str">
        <f>IF(OR(E6085="",E6085="!!!",F6085="NEW"),"",INDEX(B6084:B$2,-1+SUMPRODUCT(MAX(ROW(E6084:E$2)*(E6085=E6084:E$2)))))</f>
        <v> </v>
      </c>
      <c r="J6085" s="25" t="str">
        <f>IF(OR(E6085="",E6085="!!!",F6085="NEW"),"",COUNTBLANK(OFFSET(A$1,,,SUMPRODUCT(MAX(ROW(E$2:E6085)*(E6085=E$2:E6085)))))-COUNTBLANK(OFFSET(A$1,,,SUMPRODUCT(MAX(ROW(E$1:E6084)*(E2=E$1:E6084))))))</f>
        <v> </v>
      </c>
      <c r="K6085" s="25" t="str">
        <f>IF(OR(E6085="",E6085="!!!",F6085="NEW"),"",INDEX(J$1:J6084,SUMPRODUCT(MAX(ROW(E$1:E6084)*(E6085=E$1:E6084)))))</f>
        <v> </v>
      </c>
      <c r="L6085" s="26"/>
    </row>
    <row r="6086" spans="1:12">
      <c r="A6086" s="20" t="s">
        <v>991</v>
      </c>
      <c r="E6086" s="21">
        <f>IF(D6086="?OLD","!!!","")</f>
        <v/>
      </c>
      <c r="F6086" s="22" t="str">
        <f>IF(OR(E6086="",E6086="!!!"),"",IF(NOT(ISNA(VLOOKUP(E6086,E$1:E6085,1,FALSE()))),"OLD",IF(AND(E6086&lt;&gt;"",E6086&lt;&gt;"!!!"),"NEW","")))</f>
        <v> </v>
      </c>
      <c r="G6086" s="23" t="str">
        <f>IF(OR(E6086="",E6086="!!!"),"",IF(OR(J6086=0,AND(J6086=1,K6086=1),AND(J6086=1,I6086="SBJ"),AND(J6086=1,I6086=0)),"?IN_FOCUS",IF(J6086&lt;=2,"?ACTIVATED",IF(J6086&lt;&gt;"","?FAMILIAR",IF(F6086="NEW",IF(ISNA(VLOOKUP(E6086,#REF!,1,FALSE())),"?TYPE_IDENTIFIABLE","?REFERENTIAL"),"_")))))</f>
        <v> </v>
      </c>
      <c r="H6086" s="24" t="str">
        <f>IF(J6086&lt;&gt;1,"",IF(I6086="SBJ","CB","?"))</f>
        <v> </v>
      </c>
      <c r="I6086" s="25" t="str">
        <f>IF(OR(E6086="",E6086="!!!",F6086="NEW"),"",INDEX(B6085:B$2,-1+SUMPRODUCT(MAX(ROW(E6085:E$2)*(E6086=E6085:E$2)))))</f>
        <v> </v>
      </c>
      <c r="J6086" s="25" t="str">
        <f>IF(OR(E6086="",E6086="!!!",F6086="NEW"),"",COUNTBLANK(OFFSET(A$1,,,SUMPRODUCT(MAX(ROW(E$2:E6086)*(E6086=E$2:E6086)))))-COUNTBLANK(OFFSET(A$1,,,SUMPRODUCT(MAX(ROW(E$1:E6085)*(E2=E$1:E6085))))))</f>
        <v> </v>
      </c>
      <c r="K6086" s="25" t="str">
        <f>IF(OR(E6086="",E6086="!!!",F6086="NEW"),"",INDEX(J$1:J6085,SUMPRODUCT(MAX(ROW(E$1:E6085)*(E6086=E$1:E6085)))))</f>
        <v> </v>
      </c>
      <c r="L6086" s="26"/>
    </row>
    <row r="6087" spans="1:12">
      <c r="A6087" s="20" t="s">
        <v>2569</v>
      </c>
      <c r="B6087" s="27" t="s">
        <v>1031</v>
      </c>
      <c r="C6087" s="27" t="s">
        <v>974</v>
      </c>
      <c r="E6087" s="21">
        <f>IF(D6087="?OLD","!!!","")</f>
        <v/>
      </c>
      <c r="F6087" s="22" t="str">
        <f>IF(OR(E6087="",E6087="!!!"),"",IF(NOT(ISNA(VLOOKUP(E6087,E$1:E6086,1,FALSE()))),"OLD",IF(AND(E6087&lt;&gt;"",E6087&lt;&gt;"!!!"),"NEW","")))</f>
        <v> </v>
      </c>
      <c r="G6087" s="23" t="str">
        <f>IF(OR(E6087="",E6087="!!!"),"",IF(OR(J6087=0,AND(J6087=1,K6087=1),AND(J6087=1,I6087="SBJ"),AND(J6087=1,I6087=0)),"?IN_FOCUS",IF(J6087&lt;=2,"?ACTIVATED",IF(J6087&lt;&gt;"","?FAMILIAR",IF(F6087="NEW",IF(ISNA(VLOOKUP(E6087,#REF!,1,FALSE())),"?TYPE_IDENTIFIABLE","?REFERENTIAL"),"_")))))</f>
        <v> </v>
      </c>
      <c r="H6087" s="24" t="str">
        <f>IF(J6087&lt;&gt;1,"",IF(I6087="SBJ","CB","?"))</f>
        <v> </v>
      </c>
      <c r="I6087" s="25" t="str">
        <f>IF(OR(E6087="",E6087="!!!",F6087="NEW"),"",INDEX(B6086:B$2,-1+SUMPRODUCT(MAX(ROW(E6086:E$2)*(E6087=E6086:E$2)))))</f>
        <v> </v>
      </c>
      <c r="J6087" s="25" t="str">
        <f>IF(OR(E6087="",E6087="!!!",F6087="NEW"),"",COUNTBLANK(OFFSET(A$1,,,SUMPRODUCT(MAX(ROW(E$2:E6087)*(E6087=E$2:E6087)))))-COUNTBLANK(OFFSET(A$1,,,SUMPRODUCT(MAX(ROW(E$1:E6086)*(E2=E$1:E6086))))))</f>
        <v> </v>
      </c>
      <c r="K6087" s="25" t="str">
        <f>IF(OR(E6087="",E6087="!!!",F6087="NEW"),"",INDEX(J$1:J6086,SUMPRODUCT(MAX(ROW(E$1:E6086)*(E6087=E$1:E6086)))))</f>
        <v> </v>
      </c>
      <c r="L6087" s="26"/>
    </row>
    <row r="6088" spans="1:12">
      <c r="A6088" s="20" t="s">
        <v>999</v>
      </c>
      <c r="E6088" s="21">
        <f>IF(D6088="?OLD","!!!","")</f>
        <v/>
      </c>
      <c r="F6088" s="22" t="str">
        <f>IF(OR(E6088="",E6088="!!!"),"",IF(NOT(ISNA(VLOOKUP(E6088,E$1:E6087,1,FALSE()))),"OLD",IF(AND(E6088&lt;&gt;"",E6088&lt;&gt;"!!!"),"NEW","")))</f>
        <v> </v>
      </c>
      <c r="G6088" s="23" t="str">
        <f>IF(OR(E6088="",E6088="!!!"),"",IF(OR(J6088=0,AND(J6088=1,K6088=1),AND(J6088=1,I6088="SBJ"),AND(J6088=1,I6088=0)),"?IN_FOCUS",IF(J6088&lt;=2,"?ACTIVATED",IF(J6088&lt;&gt;"","?FAMILIAR",IF(F6088="NEW",IF(ISNA(VLOOKUP(E6088,#REF!,1,FALSE())),"?TYPE_IDENTIFIABLE","?REFERENTIAL"),"_")))))</f>
        <v> </v>
      </c>
      <c r="H6088" s="24" t="str">
        <f>IF(J6088&lt;&gt;1,"",IF(I6088="SBJ","CB","?"))</f>
        <v> </v>
      </c>
      <c r="I6088" s="25" t="str">
        <f>IF(OR(E6088="",E6088="!!!",F6088="NEW"),"",INDEX(B6087:B$2,-1+SUMPRODUCT(MAX(ROW(E6087:E$2)*(E6088=E6087:E$2)))))</f>
        <v> </v>
      </c>
      <c r="J6088" s="25" t="str">
        <f>IF(OR(E6088="",E6088="!!!",F6088="NEW"),"",COUNTBLANK(OFFSET(A$1,,,SUMPRODUCT(MAX(ROW(E$2:E6088)*(E6088=E$2:E6088)))))-COUNTBLANK(OFFSET(A$1,,,SUMPRODUCT(MAX(ROW(E$1:E6087)*(E2=E$1:E6087))))))</f>
        <v> </v>
      </c>
      <c r="K6088" s="25" t="str">
        <f>IF(OR(E6088="",E6088="!!!",F6088="NEW"),"",INDEX(J$1:J6087,SUMPRODUCT(MAX(ROW(E$1:E6087)*(E6088=E$1:E6087)))))</f>
        <v> </v>
      </c>
      <c r="L6088" s="26"/>
    </row>
    <row r="6089" spans="1:12">
      <c r="A6089" s="20" t="s">
        <v>635</v>
      </c>
      <c r="E6089" s="21">
        <f>IF(D6089="?OLD","!!!","")</f>
        <v/>
      </c>
      <c r="F6089" s="22" t="str">
        <f>IF(OR(E6089="",E6089="!!!"),"",IF(NOT(ISNA(VLOOKUP(E6089,E$1:E6088,1,FALSE()))),"OLD",IF(AND(E6089&lt;&gt;"",E6089&lt;&gt;"!!!"),"NEW","")))</f>
        <v> </v>
      </c>
      <c r="G6089" s="23" t="str">
        <f>IF(OR(E6089="",E6089="!!!"),"",IF(OR(J6089=0,AND(J6089=1,K6089=1),AND(J6089=1,I6089="SBJ"),AND(J6089=1,I6089=0)),"?IN_FOCUS",IF(J6089&lt;=2,"?ACTIVATED",IF(J6089&lt;&gt;"","?FAMILIAR",IF(F6089="NEW",IF(ISNA(VLOOKUP(E6089,#REF!,1,FALSE())),"?TYPE_IDENTIFIABLE","?REFERENTIAL"),"_")))))</f>
        <v> </v>
      </c>
      <c r="H6089" s="24" t="str">
        <f>IF(J6089&lt;&gt;1,"",IF(I6089="SBJ","CB","?"))</f>
        <v> </v>
      </c>
      <c r="I6089" s="25" t="str">
        <f>IF(OR(E6089="",E6089="!!!",F6089="NEW"),"",INDEX(B6088:B$2,-1+SUMPRODUCT(MAX(ROW(E6088:E$2)*(E6089=E6088:E$2)))))</f>
        <v> </v>
      </c>
      <c r="J6089" s="25" t="str">
        <f>IF(OR(E6089="",E6089="!!!",F6089="NEW"),"",COUNTBLANK(OFFSET(A$1,,,SUMPRODUCT(MAX(ROW(E$2:E6089)*(E6089=E$2:E6089)))))-COUNTBLANK(OFFSET(A$1,,,SUMPRODUCT(MAX(ROW(E$1:E6088)*(E2=E$1:E6088))))))</f>
        <v> </v>
      </c>
      <c r="K6089" s="25" t="str">
        <f>IF(OR(E6089="",E6089="!!!",F6089="NEW"),"",INDEX(J$1:J6088,SUMPRODUCT(MAX(ROW(E$1:E6088)*(E6089=E$1:E6088)))))</f>
        <v> </v>
      </c>
      <c r="L6089" s="26"/>
    </row>
    <row r="6090" spans="1:12">
      <c r="A6090" s="20" t="s">
        <v>980</v>
      </c>
      <c r="E6090" s="21">
        <f>IF(D6090="?OLD","!!!","")</f>
        <v/>
      </c>
      <c r="F6090" s="22" t="str">
        <f>IF(OR(E6090="",E6090="!!!"),"",IF(NOT(ISNA(VLOOKUP(E6090,E$1:E6089,1,FALSE()))),"OLD",IF(AND(E6090&lt;&gt;"",E6090&lt;&gt;"!!!"),"NEW","")))</f>
        <v> </v>
      </c>
      <c r="G6090" s="23" t="str">
        <f>IF(OR(E6090="",E6090="!!!"),"",IF(OR(J6090=0,AND(J6090=1,K6090=1),AND(J6090=1,I6090="SBJ"),AND(J6090=1,I6090=0)),"?IN_FOCUS",IF(J6090&lt;=2,"?ACTIVATED",IF(J6090&lt;&gt;"","?FAMILIAR",IF(F6090="NEW",IF(ISNA(VLOOKUP(E6090,#REF!,1,FALSE())),"?TYPE_IDENTIFIABLE","?REFERENTIAL"),"_")))))</f>
        <v> </v>
      </c>
      <c r="H6090" s="24" t="str">
        <f>IF(J6090&lt;&gt;1,"",IF(I6090="SBJ","CB","?"))</f>
        <v> </v>
      </c>
      <c r="I6090" s="25" t="str">
        <f>IF(OR(E6090="",E6090="!!!",F6090="NEW"),"",INDEX(B6089:B$2,-1+SUMPRODUCT(MAX(ROW(E6089:E$2)*(E6090=E6089:E$2)))))</f>
        <v> </v>
      </c>
      <c r="J6090" s="25" t="str">
        <f>IF(OR(E6090="",E6090="!!!",F6090="NEW"),"",COUNTBLANK(OFFSET(A$1,,,SUMPRODUCT(MAX(ROW(E$2:E6090)*(E6090=E$2:E6090)))))-COUNTBLANK(OFFSET(A$1,,,SUMPRODUCT(MAX(ROW(E$1:E6089)*(E2=E$1:E6089))))))</f>
        <v> </v>
      </c>
      <c r="K6090" s="25" t="str">
        <f>IF(OR(E6090="",E6090="!!!",F6090="NEW"),"",INDEX(J$1:J6089,SUMPRODUCT(MAX(ROW(E$1:E6089)*(E6090=E$1:E6089)))))</f>
        <v> </v>
      </c>
      <c r="L6090" s="26"/>
    </row>
    <row r="6091" spans="1:12">
      <c r="A6091" s="20" t="s">
        <v>1107</v>
      </c>
      <c r="B6091" s="27" t="s">
        <v>1013</v>
      </c>
      <c r="C6091" s="27" t="s">
        <v>968</v>
      </c>
      <c r="D6091" s="27" t="s">
        <v>969</v>
      </c>
      <c r="E6091" s="21">
        <f>IF(D6091="?OLD","!!!","")</f>
        <v/>
      </c>
      <c r="F6091" s="22" t="str">
        <f>IF(OR(E6091="",E6091="!!!"),"",IF(NOT(ISNA(VLOOKUP(E6091,E$1:E6090,1,FALSE()))),"OLD",IF(AND(E6091&lt;&gt;"",E6091&lt;&gt;"!!!"),"NEW","")))</f>
        <v> </v>
      </c>
      <c r="G6091" s="23" t="str">
        <f>IF(OR(E6091="",E6091="!!!"),"",IF(OR(J6091=0,AND(J6091=1,K6091=1),AND(J6091=1,I6091="SBJ"),AND(J6091=1,I6091=0)),"?IN_FOCUS",IF(J6091&lt;=2,"?ACTIVATED",IF(J6091&lt;&gt;"","?FAMILIAR",IF(F6091="NEW",IF(ISNA(VLOOKUP(E6091,#REF!,1,FALSE())),"?TYPE_IDENTIFIABLE","?REFERENTIAL"),"_")))))</f>
        <v> </v>
      </c>
      <c r="H6091" s="24" t="str">
        <f>IF(J6091&lt;&gt;1,"",IF(I6091="SBJ","CB","?"))</f>
        <v> </v>
      </c>
      <c r="I6091" s="25" t="str">
        <f>IF(OR(E6091="",E6091="!!!",F6091="NEW"),"",INDEX(B6090:B$2,-1+SUMPRODUCT(MAX(ROW(E6090:E$2)*(E6091=E6090:E$2)))))</f>
        <v> </v>
      </c>
      <c r="J6091" s="25" t="str">
        <f>IF(OR(E6091="",E6091="!!!",F6091="NEW"),"",COUNTBLANK(OFFSET(A$1,,,SUMPRODUCT(MAX(ROW(E$2:E6091)*(E6091=E$2:E6091)))))-COUNTBLANK(OFFSET(A$1,,,SUMPRODUCT(MAX(ROW(E$1:E6090)*(E2=E$1:E6090))))))</f>
        <v> </v>
      </c>
      <c r="K6091" s="25" t="str">
        <f>IF(OR(E6091="",E6091="!!!",F6091="NEW"),"",INDEX(J$1:J6090,SUMPRODUCT(MAX(ROW(E$1:E6090)*(E6091=E$1:E6090)))))</f>
        <v> </v>
      </c>
      <c r="L6091" s="26"/>
    </row>
    <row r="6092" spans="1:12">
      <c r="A6092" s="20" t="s">
        <v>1151</v>
      </c>
      <c r="E6092" s="21">
        <f>IF(D6092="?OLD","!!!","")</f>
        <v/>
      </c>
      <c r="F6092" s="22" t="str">
        <f>IF(OR(E6092="",E6092="!!!"),"",IF(NOT(ISNA(VLOOKUP(E6092,E$1:E6091,1,FALSE()))),"OLD",IF(AND(E6092&lt;&gt;"",E6092&lt;&gt;"!!!"),"NEW","")))</f>
        <v> </v>
      </c>
      <c r="G6092" s="23" t="str">
        <f>IF(OR(E6092="",E6092="!!!"),"",IF(OR(J6092=0,AND(J6092=1,K6092=1),AND(J6092=1,I6092="SBJ"),AND(J6092=1,I6092=0)),"?IN_FOCUS",IF(J6092&lt;=2,"?ACTIVATED",IF(J6092&lt;&gt;"","?FAMILIAR",IF(F6092="NEW",IF(ISNA(VLOOKUP(E6092,#REF!,1,FALSE())),"?TYPE_IDENTIFIABLE","?REFERENTIAL"),"_")))))</f>
        <v> </v>
      </c>
      <c r="H6092" s="24" t="str">
        <f>IF(J6092&lt;&gt;1,"",IF(I6092="SBJ","CB","?"))</f>
        <v> </v>
      </c>
      <c r="I6092" s="25" t="str">
        <f>IF(OR(E6092="",E6092="!!!",F6092="NEW"),"",INDEX(B6091:B$2,-1+SUMPRODUCT(MAX(ROW(E6091:E$2)*(E6092=E6091:E$2)))))</f>
        <v> </v>
      </c>
      <c r="J6092" s="25" t="str">
        <f>IF(OR(E6092="",E6092="!!!",F6092="NEW"),"",COUNTBLANK(OFFSET(A$1,,,SUMPRODUCT(MAX(ROW(E$2:E6092)*(E6092=E$2:E6092)))))-COUNTBLANK(OFFSET(A$1,,,SUMPRODUCT(MAX(ROW(E$1:E6091)*(E2=E$1:E6091))))))</f>
        <v> </v>
      </c>
      <c r="K6092" s="25" t="str">
        <f>IF(OR(E6092="",E6092="!!!",F6092="NEW"),"",INDEX(J$1:J6091,SUMPRODUCT(MAX(ROW(E$1:E6091)*(E6092=E$1:E6091)))))</f>
        <v> </v>
      </c>
      <c r="L6092" s="26"/>
    </row>
    <row r="6093" spans="1:12">
      <c r="A6093" s="20" t="s">
        <v>1009</v>
      </c>
      <c r="B6093" s="27" t="s">
        <v>978</v>
      </c>
      <c r="C6093" s="27" t="s">
        <v>1011</v>
      </c>
      <c r="D6093" s="27" t="s">
        <v>969</v>
      </c>
      <c r="E6093" s="21">
        <f>IF(D6093="?OLD","!!!","")</f>
        <v/>
      </c>
      <c r="F6093" s="22" t="str">
        <f>IF(OR(E6093="",E6093="!!!"),"",IF(NOT(ISNA(VLOOKUP(E6093,E$1:E6092,1,FALSE()))),"OLD",IF(AND(E6093&lt;&gt;"",E6093&lt;&gt;"!!!"),"NEW","")))</f>
        <v> </v>
      </c>
      <c r="G6093" s="23" t="str">
        <f>IF(OR(E6093="",E6093="!!!"),"",IF(OR(J6093=0,AND(J6093=1,K6093=1),AND(J6093=1,I6093="SBJ"),AND(J6093=1,I6093=0)),"?IN_FOCUS",IF(J6093&lt;=2,"?ACTIVATED",IF(J6093&lt;&gt;"","?FAMILIAR",IF(F6093="NEW",IF(ISNA(VLOOKUP(E6093,#REF!,1,FALSE())),"?TYPE_IDENTIFIABLE","?REFERENTIAL"),"_")))))</f>
        <v> </v>
      </c>
      <c r="H6093" s="24" t="str">
        <f>IF(J6093&lt;&gt;1,"",IF(I6093="SBJ","CB","?"))</f>
        <v> </v>
      </c>
      <c r="I6093" s="25" t="str">
        <f>IF(OR(E6093="",E6093="!!!",F6093="NEW"),"",INDEX(B6092:B$2,-1+SUMPRODUCT(MAX(ROW(E6092:E$2)*(E6093=E6092:E$2)))))</f>
        <v> </v>
      </c>
      <c r="J6093" s="25" t="str">
        <f>IF(OR(E6093="",E6093="!!!",F6093="NEW"),"",COUNTBLANK(OFFSET(A$1,,,SUMPRODUCT(MAX(ROW(E$2:E6093)*(E6093=E$2:E6093)))))-COUNTBLANK(OFFSET(A$1,,,SUMPRODUCT(MAX(ROW(E$1:E6092)*(E2=E$1:E6092))))))</f>
        <v> </v>
      </c>
      <c r="K6093" s="25" t="str">
        <f>IF(OR(E6093="",E6093="!!!",F6093="NEW"),"",INDEX(J$1:J6092,SUMPRODUCT(MAX(ROW(E$1:E6092)*(E6093=E$1:E6092)))))</f>
        <v> </v>
      </c>
      <c r="L6093" s="26"/>
    </row>
    <row r="6094" spans="1:12">
      <c r="A6094" s="20" t="s">
        <v>999</v>
      </c>
      <c r="E6094" s="21">
        <f>IF(D6094="?OLD","!!!","")</f>
        <v/>
      </c>
      <c r="F6094" s="22" t="str">
        <f>IF(OR(E6094="",E6094="!!!"),"",IF(NOT(ISNA(VLOOKUP(E6094,E$1:E6093,1,FALSE()))),"OLD",IF(AND(E6094&lt;&gt;"",E6094&lt;&gt;"!!!"),"NEW","")))</f>
        <v> </v>
      </c>
      <c r="G6094" s="23" t="str">
        <f>IF(OR(E6094="",E6094="!!!"),"",IF(OR(J6094=0,AND(J6094=1,K6094=1),AND(J6094=1,I6094="SBJ"),AND(J6094=1,I6094=0)),"?IN_FOCUS",IF(J6094&lt;=2,"?ACTIVATED",IF(J6094&lt;&gt;"","?FAMILIAR",IF(F6094="NEW",IF(ISNA(VLOOKUP(E6094,#REF!,1,FALSE())),"?TYPE_IDENTIFIABLE","?REFERENTIAL"),"_")))))</f>
        <v> </v>
      </c>
      <c r="H6094" s="24" t="str">
        <f>IF(J6094&lt;&gt;1,"",IF(I6094="SBJ","CB","?"))</f>
        <v> </v>
      </c>
      <c r="I6094" s="25" t="str">
        <f>IF(OR(E6094="",E6094="!!!",F6094="NEW"),"",INDEX(B6093:B$2,-1+SUMPRODUCT(MAX(ROW(E6093:E$2)*(E6094=E6093:E$2)))))</f>
        <v> </v>
      </c>
      <c r="J6094" s="25" t="str">
        <f>IF(OR(E6094="",E6094="!!!",F6094="NEW"),"",COUNTBLANK(OFFSET(A$1,,,SUMPRODUCT(MAX(ROW(E$2:E6094)*(E6094=E$2:E6094)))))-COUNTBLANK(OFFSET(A$1,,,SUMPRODUCT(MAX(ROW(E$1:E6093)*(E2=E$1:E6093))))))</f>
        <v> </v>
      </c>
      <c r="K6094" s="25" t="str">
        <f>IF(OR(E6094="",E6094="!!!",F6094="NEW"),"",INDEX(J$1:J6093,SUMPRODUCT(MAX(ROW(E$1:E6093)*(E6094=E$1:E6093)))))</f>
        <v> </v>
      </c>
      <c r="L6094" s="26"/>
    </row>
    <row r="6095" spans="1:12">
      <c r="A6095" s="20" t="s">
        <v>939</v>
      </c>
      <c r="E6095" s="21">
        <f>IF(D6095="?OLD","!!!","")</f>
        <v/>
      </c>
      <c r="F6095" s="22" t="str">
        <f>IF(OR(E6095="",E6095="!!!"),"",IF(NOT(ISNA(VLOOKUP(E6095,E$1:E6094,1,FALSE()))),"OLD",IF(AND(E6095&lt;&gt;"",E6095&lt;&gt;"!!!"),"NEW","")))</f>
        <v> </v>
      </c>
      <c r="G6095" s="23" t="str">
        <f>IF(OR(E6095="",E6095="!!!"),"",IF(OR(J6095=0,AND(J6095=1,K6095=1),AND(J6095=1,I6095="SBJ"),AND(J6095=1,I6095=0)),"?IN_FOCUS",IF(J6095&lt;=2,"?ACTIVATED",IF(J6095&lt;&gt;"","?FAMILIAR",IF(F6095="NEW",IF(ISNA(VLOOKUP(E6095,#REF!,1,FALSE())),"?TYPE_IDENTIFIABLE","?REFERENTIAL"),"_")))))</f>
        <v> </v>
      </c>
      <c r="H6095" s="24" t="str">
        <f>IF(J6095&lt;&gt;1,"",IF(I6095="SBJ","CB","?"))</f>
        <v> </v>
      </c>
      <c r="I6095" s="25" t="str">
        <f>IF(OR(E6095="",E6095="!!!",F6095="NEW"),"",INDEX(B6094:B$2,-1+SUMPRODUCT(MAX(ROW(E6094:E$2)*(E6095=E6094:E$2)))))</f>
        <v> </v>
      </c>
      <c r="J6095" s="25" t="str">
        <f>IF(OR(E6095="",E6095="!!!",F6095="NEW"),"",COUNTBLANK(OFFSET(A$1,,,SUMPRODUCT(MAX(ROW(E$2:E6095)*(E6095=E$2:E6095)))))-COUNTBLANK(OFFSET(A$1,,,SUMPRODUCT(MAX(ROW(E$1:E6094)*(E2=E$1:E6094))))))</f>
        <v> </v>
      </c>
      <c r="K6095" s="25" t="str">
        <f>IF(OR(E6095="",E6095="!!!",F6095="NEW"),"",INDEX(J$1:J6094,SUMPRODUCT(MAX(ROW(E$1:E6094)*(E6095=E$1:E6094)))))</f>
        <v> </v>
      </c>
      <c r="L6095" s="26"/>
    </row>
    <row r="6096" spans="1:12">
      <c r="A6096" s="20" t="s">
        <v>1005</v>
      </c>
      <c r="E6096" s="21">
        <f>IF(D6096="?OLD","!!!","")</f>
        <v/>
      </c>
      <c r="F6096" s="22" t="str">
        <f>IF(OR(E6096="",E6096="!!!"),"",IF(NOT(ISNA(VLOOKUP(E6096,E$1:E6095,1,FALSE()))),"OLD",IF(AND(E6096&lt;&gt;"",E6096&lt;&gt;"!!!"),"NEW","")))</f>
        <v> </v>
      </c>
      <c r="G6096" s="23" t="str">
        <f>IF(OR(E6096="",E6096="!!!"),"",IF(OR(J6096=0,AND(J6096=1,K6096=1),AND(J6096=1,I6096="SBJ"),AND(J6096=1,I6096=0)),"?IN_FOCUS",IF(J6096&lt;=2,"?ACTIVATED",IF(J6096&lt;&gt;"","?FAMILIAR",IF(F6096="NEW",IF(ISNA(VLOOKUP(E6096,#REF!,1,FALSE())),"?TYPE_IDENTIFIABLE","?REFERENTIAL"),"_")))))</f>
        <v> </v>
      </c>
      <c r="H6096" s="24" t="str">
        <f>IF(J6096&lt;&gt;1,"",IF(I6096="SBJ","CB","?"))</f>
        <v> </v>
      </c>
      <c r="I6096" s="25" t="str">
        <f>IF(OR(E6096="",E6096="!!!",F6096="NEW"),"",INDEX(B6095:B$2,-1+SUMPRODUCT(MAX(ROW(E6095:E$2)*(E6096=E6095:E$2)))))</f>
        <v> </v>
      </c>
      <c r="J6096" s="25" t="str">
        <f>IF(OR(E6096="",E6096="!!!",F6096="NEW"),"",COUNTBLANK(OFFSET(A$1,,,SUMPRODUCT(MAX(ROW(E$2:E6096)*(E6096=E$2:E6096)))))-COUNTBLANK(OFFSET(A$1,,,SUMPRODUCT(MAX(ROW(E$1:E6095)*(E2=E$1:E6095))))))</f>
        <v> </v>
      </c>
      <c r="K6096" s="25" t="str">
        <f>IF(OR(E6096="",E6096="!!!",F6096="NEW"),"",INDEX(J$1:J6095,SUMPRODUCT(MAX(ROW(E$1:E6095)*(E6096=E$1:E6095)))))</f>
        <v> </v>
      </c>
      <c r="L6096" s="26"/>
    </row>
    <row r="6097" spans="1:12">
      <c r="A6097" s="20"/>
    </row>
    <row r="6098" spans="1:12">
      <c r="A6098" s="20" t="s">
        <v>2570</v>
      </c>
    </row>
    <row r="6099" spans="1:12">
      <c r="A6099" s="20" t="s">
        <v>1585</v>
      </c>
      <c r="E6099" s="21">
        <f>IF(D6099="?OLD","!!!","")</f>
        <v/>
      </c>
      <c r="F6099" s="22" t="str">
        <f>IF(OR(E6099="",E6099="!!!"),"",IF(NOT(ISNA(VLOOKUP(E6099,E$1:E6098,1,FALSE()))),"OLD",IF(AND(E6099&lt;&gt;"",E6099&lt;&gt;"!!!"),"NEW","")))</f>
        <v> </v>
      </c>
      <c r="G6099" s="23" t="str">
        <f>IF(OR(E6099="",E6099="!!!"),"",IF(OR(J6099=0,AND(J6099=1,K6099=1),AND(J6099=1,I6099="SBJ"),AND(J6099=1,I6099=0)),"?IN_FOCUS",IF(J6099&lt;=2,"?ACTIVATED",IF(J6099&lt;&gt;"","?FAMILIAR",IF(F6099="NEW",IF(ISNA(VLOOKUP(E6099,#REF!,1,FALSE())),"?TYPE_IDENTIFIABLE","?REFERENTIAL"),"_")))))</f>
        <v> </v>
      </c>
      <c r="H6099" s="24" t="str">
        <f>IF(J6099&lt;&gt;1,"",IF(I6099="SBJ","CB","?"))</f>
        <v> </v>
      </c>
      <c r="I6099" s="25" t="str">
        <f>IF(OR(E6099="",E6099="!!!",F6099="NEW"),"",INDEX(B6098:B$2,-1+SUMPRODUCT(MAX(ROW(E6098:E$2)*(E6099=E6098:E$2)))))</f>
        <v> </v>
      </c>
      <c r="J6099" s="25" t="str">
        <f>IF(OR(E6099="",E6099="!!!",F6099="NEW"),"",COUNTBLANK(OFFSET(A$1,,,SUMPRODUCT(MAX(ROW(E$2:E6099)*(E6099=E$2:E6099)))))-COUNTBLANK(OFFSET(A$1,,,SUMPRODUCT(MAX(ROW(E$1:E6098)*(E2=E$1:E6098))))))</f>
        <v> </v>
      </c>
      <c r="K6099" s="25" t="str">
        <f>IF(OR(E6099="",E6099="!!!",F6099="NEW"),"",INDEX(J$1:J6098,SUMPRODUCT(MAX(ROW(E$1:E6098)*(E6099=E$1:E6098)))))</f>
        <v> </v>
      </c>
      <c r="L6099" s="26"/>
    </row>
    <row r="6100" spans="1:12">
      <c r="A6100" s="20" t="s">
        <v>993</v>
      </c>
      <c r="B6100" s="27" t="s">
        <v>994</v>
      </c>
      <c r="C6100" s="27" t="s">
        <v>968</v>
      </c>
      <c r="D6100" s="27" t="s">
        <v>969</v>
      </c>
      <c r="E6100" s="21">
        <f>IF(D6100="?OLD","!!!","")</f>
        <v/>
      </c>
      <c r="F6100" s="22" t="str">
        <f>IF(OR(E6100="",E6100="!!!"),"",IF(NOT(ISNA(VLOOKUP(E6100,E$1:E6099,1,FALSE()))),"OLD",IF(AND(E6100&lt;&gt;"",E6100&lt;&gt;"!!!"),"NEW","")))</f>
        <v> </v>
      </c>
      <c r="G6100" s="23" t="str">
        <f>IF(OR(E6100="",E6100="!!!"),"",IF(OR(J6100=0,AND(J6100=1,K6100=1),AND(J6100=1,I6100="SBJ"),AND(J6100=1,I6100=0)),"?IN_FOCUS",IF(J6100&lt;=2,"?ACTIVATED",IF(J6100&lt;&gt;"","?FAMILIAR",IF(F6100="NEW",IF(ISNA(VLOOKUP(E6100,#REF!,1,FALSE())),"?TYPE_IDENTIFIABLE","?REFERENTIAL"),"_")))))</f>
        <v> </v>
      </c>
      <c r="H6100" s="24" t="str">
        <f>IF(J6100&lt;&gt;1,"",IF(I6100="SBJ","CB","?"))</f>
        <v> </v>
      </c>
      <c r="I6100" s="25" t="str">
        <f>IF(OR(E6100="",E6100="!!!",F6100="NEW"),"",INDEX(B6099:B$2,-1+SUMPRODUCT(MAX(ROW(E6099:E$2)*(E6100=E6099:E$2)))))</f>
        <v> </v>
      </c>
      <c r="J6100" s="25" t="str">
        <f>IF(OR(E6100="",E6100="!!!",F6100="NEW"),"",COUNTBLANK(OFFSET(A$1,,,SUMPRODUCT(MAX(ROW(E$2:E6100)*(E6100=E$2:E6100)))))-COUNTBLANK(OFFSET(A$1,,,SUMPRODUCT(MAX(ROW(E$1:E6099)*(E2=E$1:E6099))))))</f>
        <v> </v>
      </c>
      <c r="K6100" s="25" t="str">
        <f>IF(OR(E6100="",E6100="!!!",F6100="NEW"),"",INDEX(J$1:J6099,SUMPRODUCT(MAX(ROW(E$1:E6099)*(E6100=E$1:E6099)))))</f>
        <v> </v>
      </c>
      <c r="L6100" s="26"/>
    </row>
    <row r="6101" spans="1:12">
      <c r="A6101" s="20" t="s">
        <v>2571</v>
      </c>
      <c r="B6101" s="27" t="s">
        <v>978</v>
      </c>
      <c r="C6101" s="27" t="s">
        <v>1011</v>
      </c>
      <c r="D6101" s="27" t="s">
        <v>969</v>
      </c>
      <c r="E6101" s="21">
        <f>IF(D6101="?OLD","!!!","")</f>
        <v/>
      </c>
      <c r="F6101" s="22" t="str">
        <f>IF(OR(E6101="",E6101="!!!"),"",IF(NOT(ISNA(VLOOKUP(E6101,E$1:E6100,1,FALSE()))),"OLD",IF(AND(E6101&lt;&gt;"",E6101&lt;&gt;"!!!"),"NEW","")))</f>
        <v> </v>
      </c>
      <c r="G6101" s="23" t="str">
        <f>IF(OR(E6101="",E6101="!!!"),"",IF(OR(J6101=0,AND(J6101=1,K6101=1),AND(J6101=1,I6101="SBJ"),AND(J6101=1,I6101=0)),"?IN_FOCUS",IF(J6101&lt;=2,"?ACTIVATED",IF(J6101&lt;&gt;"","?FAMILIAR",IF(F6101="NEW",IF(ISNA(VLOOKUP(E6101,#REF!,1,FALSE())),"?TYPE_IDENTIFIABLE","?REFERENTIAL"),"_")))))</f>
        <v> </v>
      </c>
      <c r="H6101" s="24" t="str">
        <f>IF(J6101&lt;&gt;1,"",IF(I6101="SBJ","CB","?"))</f>
        <v> </v>
      </c>
      <c r="I6101" s="25" t="str">
        <f>IF(OR(E6101="",E6101="!!!",F6101="NEW"),"",INDEX(B6100:B$2,-1+SUMPRODUCT(MAX(ROW(E6100:E$2)*(E6101=E6100:E$2)))))</f>
        <v> </v>
      </c>
      <c r="J6101" s="25" t="str">
        <f>IF(OR(E6101="",E6101="!!!",F6101="NEW"),"",COUNTBLANK(OFFSET(A$1,,,SUMPRODUCT(MAX(ROW(E$2:E6101)*(E6101=E$2:E6101)))))-COUNTBLANK(OFFSET(A$1,,,SUMPRODUCT(MAX(ROW(E$1:E6100)*(E2=E$1:E6100))))))</f>
        <v> </v>
      </c>
      <c r="K6101" s="25" t="str">
        <f>IF(OR(E6101="",E6101="!!!",F6101="NEW"),"",INDEX(J$1:J6100,SUMPRODUCT(MAX(ROW(E$1:E6100)*(E6101=E$1:E6100)))))</f>
        <v> </v>
      </c>
      <c r="L6101" s="26"/>
    </row>
    <row r="6102" spans="1:12">
      <c r="A6102" s="20" t="s">
        <v>1595</v>
      </c>
      <c r="E6102" s="21">
        <f>IF(D6102="?OLD","!!!","")</f>
        <v/>
      </c>
      <c r="F6102" s="22" t="str">
        <f>IF(OR(E6102="",E6102="!!!"),"",IF(NOT(ISNA(VLOOKUP(E6102,E$1:E6101,1,FALSE()))),"OLD",IF(AND(E6102&lt;&gt;"",E6102&lt;&gt;"!!!"),"NEW","")))</f>
        <v> </v>
      </c>
      <c r="G6102" s="23" t="str">
        <f>IF(OR(E6102="",E6102="!!!"),"",IF(OR(J6102=0,AND(J6102=1,K6102=1),AND(J6102=1,I6102="SBJ"),AND(J6102=1,I6102=0)),"?IN_FOCUS",IF(J6102&lt;=2,"?ACTIVATED",IF(J6102&lt;&gt;"","?FAMILIAR",IF(F6102="NEW",IF(ISNA(VLOOKUP(E6102,#REF!,1,FALSE())),"?TYPE_IDENTIFIABLE","?REFERENTIAL"),"_")))))</f>
        <v> </v>
      </c>
      <c r="H6102" s="24" t="str">
        <f>IF(J6102&lt;&gt;1,"",IF(I6102="SBJ","CB","?"))</f>
        <v> </v>
      </c>
      <c r="I6102" s="25" t="str">
        <f>IF(OR(E6102="",E6102="!!!",F6102="NEW"),"",INDEX(B6101:B$2,-1+SUMPRODUCT(MAX(ROW(E6101:E$2)*(E6102=E6101:E$2)))))</f>
        <v> </v>
      </c>
      <c r="J6102" s="25" t="str">
        <f>IF(OR(E6102="",E6102="!!!",F6102="NEW"),"",COUNTBLANK(OFFSET(A$1,,,SUMPRODUCT(MAX(ROW(E$2:E6102)*(E6102=E$2:E6102)))))-COUNTBLANK(OFFSET(A$1,,,SUMPRODUCT(MAX(ROW(E$1:E6101)*(E2=E$1:E6101))))))</f>
        <v> </v>
      </c>
      <c r="K6102" s="25" t="str">
        <f>IF(OR(E6102="",E6102="!!!",F6102="NEW"),"",INDEX(J$1:J6101,SUMPRODUCT(MAX(ROW(E$1:E6101)*(E6102=E$1:E6101)))))</f>
        <v> </v>
      </c>
      <c r="L6102" s="26"/>
    </row>
    <row r="6103" spans="1:12">
      <c r="A6103" s="20" t="s">
        <v>991</v>
      </c>
      <c r="E6103" s="21">
        <f>IF(D6103="?OLD","!!!","")</f>
        <v/>
      </c>
      <c r="F6103" s="22" t="str">
        <f>IF(OR(E6103="",E6103="!!!"),"",IF(NOT(ISNA(VLOOKUP(E6103,E$1:E6102,1,FALSE()))),"OLD",IF(AND(E6103&lt;&gt;"",E6103&lt;&gt;"!!!"),"NEW","")))</f>
        <v> </v>
      </c>
      <c r="G6103" s="23" t="str">
        <f>IF(OR(E6103="",E6103="!!!"),"",IF(OR(J6103=0,AND(J6103=1,K6103=1),AND(J6103=1,I6103="SBJ"),AND(J6103=1,I6103=0)),"?IN_FOCUS",IF(J6103&lt;=2,"?ACTIVATED",IF(J6103&lt;&gt;"","?FAMILIAR",IF(F6103="NEW",IF(ISNA(VLOOKUP(E6103,#REF!,1,FALSE())),"?TYPE_IDENTIFIABLE","?REFERENTIAL"),"_")))))</f>
        <v> </v>
      </c>
      <c r="H6103" s="24" t="str">
        <f>IF(J6103&lt;&gt;1,"",IF(I6103="SBJ","CB","?"))</f>
        <v> </v>
      </c>
      <c r="I6103" s="25" t="str">
        <f>IF(OR(E6103="",E6103="!!!",F6103="NEW"),"",INDEX(B6102:B$2,-1+SUMPRODUCT(MAX(ROW(E6102:E$2)*(E6103=E6102:E$2)))))</f>
        <v> </v>
      </c>
      <c r="J6103" s="25" t="str">
        <f>IF(OR(E6103="",E6103="!!!",F6103="NEW"),"",COUNTBLANK(OFFSET(A$1,,,SUMPRODUCT(MAX(ROW(E$2:E6103)*(E6103=E$2:E6103)))))-COUNTBLANK(OFFSET(A$1,,,SUMPRODUCT(MAX(ROW(E$1:E6102)*(E2=E$1:E6102))))))</f>
        <v> </v>
      </c>
      <c r="K6103" s="25" t="str">
        <f>IF(OR(E6103="",E6103="!!!",F6103="NEW"),"",INDEX(J$1:J6102,SUMPRODUCT(MAX(ROW(E$1:E6102)*(E6103=E$1:E6102)))))</f>
        <v> </v>
      </c>
      <c r="L6103" s="26"/>
    </row>
    <row r="6104" spans="1:12">
      <c r="A6104" s="20" t="s">
        <v>2572</v>
      </c>
      <c r="E6104" s="21">
        <f>IF(D6104="?OLD","!!!","")</f>
        <v/>
      </c>
      <c r="F6104" s="22" t="str">
        <f>IF(OR(E6104="",E6104="!!!"),"",IF(NOT(ISNA(VLOOKUP(E6104,E$1:E6103,1,FALSE()))),"OLD",IF(AND(E6104&lt;&gt;"",E6104&lt;&gt;"!!!"),"NEW","")))</f>
        <v> </v>
      </c>
      <c r="G6104" s="23" t="str">
        <f>IF(OR(E6104="",E6104="!!!"),"",IF(OR(J6104=0,AND(J6104=1,K6104=1),AND(J6104=1,I6104="SBJ"),AND(J6104=1,I6104=0)),"?IN_FOCUS",IF(J6104&lt;=2,"?ACTIVATED",IF(J6104&lt;&gt;"","?FAMILIAR",IF(F6104="NEW",IF(ISNA(VLOOKUP(E6104,#REF!,1,FALSE())),"?TYPE_IDENTIFIABLE","?REFERENTIAL"),"_")))))</f>
        <v> </v>
      </c>
      <c r="H6104" s="24" t="str">
        <f>IF(J6104&lt;&gt;1,"",IF(I6104="SBJ","CB","?"))</f>
        <v> </v>
      </c>
      <c r="I6104" s="25" t="str">
        <f>IF(OR(E6104="",E6104="!!!",F6104="NEW"),"",INDEX(B6103:B$2,-1+SUMPRODUCT(MAX(ROW(E6103:E$2)*(E6104=E6103:E$2)))))</f>
        <v> </v>
      </c>
      <c r="J6104" s="25" t="str">
        <f>IF(OR(E6104="",E6104="!!!",F6104="NEW"),"",COUNTBLANK(OFFSET(A$1,,,SUMPRODUCT(MAX(ROW(E$2:E6104)*(E6104=E$2:E6104)))))-COUNTBLANK(OFFSET(A$1,,,SUMPRODUCT(MAX(ROW(E$1:E6103)*(E2=E$1:E6103))))))</f>
        <v> </v>
      </c>
      <c r="K6104" s="25" t="str">
        <f>IF(OR(E6104="",E6104="!!!",F6104="NEW"),"",INDEX(J$1:J6103,SUMPRODUCT(MAX(ROW(E$1:E6103)*(E6104=E$1:E6103)))))</f>
        <v> </v>
      </c>
      <c r="L6104" s="26"/>
    </row>
    <row r="6105" spans="1:12">
      <c r="A6105" s="20" t="s">
        <v>2573</v>
      </c>
      <c r="E6105" s="21">
        <f>IF(D6105="?OLD","!!!","")</f>
        <v/>
      </c>
      <c r="F6105" s="22" t="str">
        <f>IF(OR(E6105="",E6105="!!!"),"",IF(NOT(ISNA(VLOOKUP(E6105,E$1:E6104,1,FALSE()))),"OLD",IF(AND(E6105&lt;&gt;"",E6105&lt;&gt;"!!!"),"NEW","")))</f>
        <v> </v>
      </c>
      <c r="G6105" s="23" t="str">
        <f>IF(OR(E6105="",E6105="!!!"),"",IF(OR(J6105=0,AND(J6105=1,K6105=1),AND(J6105=1,I6105="SBJ"),AND(J6105=1,I6105=0)),"?IN_FOCUS",IF(J6105&lt;=2,"?ACTIVATED",IF(J6105&lt;&gt;"","?FAMILIAR",IF(F6105="NEW",IF(ISNA(VLOOKUP(E6105,#REF!,1,FALSE())),"?TYPE_IDENTIFIABLE","?REFERENTIAL"),"_")))))</f>
        <v> </v>
      </c>
      <c r="H6105" s="24" t="str">
        <f>IF(J6105&lt;&gt;1,"",IF(I6105="SBJ","CB","?"))</f>
        <v> </v>
      </c>
      <c r="I6105" s="25" t="str">
        <f>IF(OR(E6105="",E6105="!!!",F6105="NEW"),"",INDEX(B6104:B$2,-1+SUMPRODUCT(MAX(ROW(E6104:E$2)*(E6105=E6104:E$2)))))</f>
        <v> </v>
      </c>
      <c r="J6105" s="25" t="str">
        <f>IF(OR(E6105="",E6105="!!!",F6105="NEW"),"",COUNTBLANK(OFFSET(A$1,,,SUMPRODUCT(MAX(ROW(E$2:E6105)*(E6105=E$2:E6105)))))-COUNTBLANK(OFFSET(A$1,,,SUMPRODUCT(MAX(ROW(E$1:E6104)*(E2=E$1:E6104))))))</f>
        <v> </v>
      </c>
      <c r="K6105" s="25" t="str">
        <f>IF(OR(E6105="",E6105="!!!",F6105="NEW"),"",INDEX(J$1:J6104,SUMPRODUCT(MAX(ROW(E$1:E6104)*(E6105=E$1:E6104)))))</f>
        <v> </v>
      </c>
      <c r="L6105" s="26"/>
    </row>
    <row r="6106" spans="1:12">
      <c r="A6106" s="20" t="s">
        <v>991</v>
      </c>
      <c r="E6106" s="21">
        <f>IF(D6106="?OLD","!!!","")</f>
        <v/>
      </c>
      <c r="F6106" s="22" t="str">
        <f>IF(OR(E6106="",E6106="!!!"),"",IF(NOT(ISNA(VLOOKUP(E6106,E$1:E6105,1,FALSE()))),"OLD",IF(AND(E6106&lt;&gt;"",E6106&lt;&gt;"!!!"),"NEW","")))</f>
        <v> </v>
      </c>
      <c r="G6106" s="23" t="str">
        <f>IF(OR(E6106="",E6106="!!!"),"",IF(OR(J6106=0,AND(J6106=1,K6106=1),AND(J6106=1,I6106="SBJ"),AND(J6106=1,I6106=0)),"?IN_FOCUS",IF(J6106&lt;=2,"?ACTIVATED",IF(J6106&lt;&gt;"","?FAMILIAR",IF(F6106="NEW",IF(ISNA(VLOOKUP(E6106,#REF!,1,FALSE())),"?TYPE_IDENTIFIABLE","?REFERENTIAL"),"_")))))</f>
        <v> </v>
      </c>
      <c r="H6106" s="24" t="str">
        <f>IF(J6106&lt;&gt;1,"",IF(I6106="SBJ","CB","?"))</f>
        <v> </v>
      </c>
      <c r="I6106" s="25" t="str">
        <f>IF(OR(E6106="",E6106="!!!",F6106="NEW"),"",INDEX(B6105:B$2,-1+SUMPRODUCT(MAX(ROW(E6105:E$2)*(E6106=E6105:E$2)))))</f>
        <v> </v>
      </c>
      <c r="J6106" s="25" t="str">
        <f>IF(OR(E6106="",E6106="!!!",F6106="NEW"),"",COUNTBLANK(OFFSET(A$1,,,SUMPRODUCT(MAX(ROW(E$2:E6106)*(E6106=E$2:E6106)))))-COUNTBLANK(OFFSET(A$1,,,SUMPRODUCT(MAX(ROW(E$1:E6105)*(E2=E$1:E6105))))))</f>
        <v> </v>
      </c>
      <c r="K6106" s="25" t="str">
        <f>IF(OR(E6106="",E6106="!!!",F6106="NEW"),"",INDEX(J$1:J6105,SUMPRODUCT(MAX(ROW(E$1:E6105)*(E6106=E$1:E6105)))))</f>
        <v> </v>
      </c>
      <c r="L6106" s="26"/>
    </row>
    <row r="6107" spans="1:12">
      <c r="A6107" s="20" t="s">
        <v>980</v>
      </c>
      <c r="E6107" s="21">
        <f>IF(D6107="?OLD","!!!","")</f>
        <v/>
      </c>
      <c r="F6107" s="22" t="str">
        <f>IF(OR(E6107="",E6107="!!!"),"",IF(NOT(ISNA(VLOOKUP(E6107,E$1:E6106,1,FALSE()))),"OLD",IF(AND(E6107&lt;&gt;"",E6107&lt;&gt;"!!!"),"NEW","")))</f>
        <v> </v>
      </c>
      <c r="G6107" s="23" t="str">
        <f>IF(OR(E6107="",E6107="!!!"),"",IF(OR(J6107=0,AND(J6107=1,K6107=1),AND(J6107=1,I6107="SBJ"),AND(J6107=1,I6107=0)),"?IN_FOCUS",IF(J6107&lt;=2,"?ACTIVATED",IF(J6107&lt;&gt;"","?FAMILIAR",IF(F6107="NEW",IF(ISNA(VLOOKUP(E6107,#REF!,1,FALSE())),"?TYPE_IDENTIFIABLE","?REFERENTIAL"),"_")))))</f>
        <v> </v>
      </c>
      <c r="H6107" s="24" t="str">
        <f>IF(J6107&lt;&gt;1,"",IF(I6107="SBJ","CB","?"))</f>
        <v> </v>
      </c>
      <c r="I6107" s="25" t="str">
        <f>IF(OR(E6107="",E6107="!!!",F6107="NEW"),"",INDEX(B6106:B$2,-1+SUMPRODUCT(MAX(ROW(E6106:E$2)*(E6107=E6106:E$2)))))</f>
        <v> </v>
      </c>
      <c r="J6107" s="25" t="str">
        <f>IF(OR(E6107="",E6107="!!!",F6107="NEW"),"",COUNTBLANK(OFFSET(A$1,,,SUMPRODUCT(MAX(ROW(E$2:E6107)*(E6107=E$2:E6107)))))-COUNTBLANK(OFFSET(A$1,,,SUMPRODUCT(MAX(ROW(E$1:E6106)*(E2=E$1:E6106))))))</f>
        <v> </v>
      </c>
      <c r="K6107" s="25" t="str">
        <f>IF(OR(E6107="",E6107="!!!",F6107="NEW"),"",INDEX(J$1:J6106,SUMPRODUCT(MAX(ROW(E$1:E6106)*(E6107=E$1:E6106)))))</f>
        <v> </v>
      </c>
      <c r="L6107" s="26"/>
    </row>
    <row r="6108" spans="1:12">
      <c r="A6108" s="20" t="s">
        <v>2572</v>
      </c>
      <c r="E6108" s="21">
        <f>IF(D6108="?OLD","!!!","")</f>
        <v/>
      </c>
      <c r="F6108" s="22" t="str">
        <f>IF(OR(E6108="",E6108="!!!"),"",IF(NOT(ISNA(VLOOKUP(E6108,E$1:E6107,1,FALSE()))),"OLD",IF(AND(E6108&lt;&gt;"",E6108&lt;&gt;"!!!"),"NEW","")))</f>
        <v> </v>
      </c>
      <c r="G6108" s="23" t="str">
        <f>IF(OR(E6108="",E6108="!!!"),"",IF(OR(J6108=0,AND(J6108=1,K6108=1),AND(J6108=1,I6108="SBJ"),AND(J6108=1,I6108=0)),"?IN_FOCUS",IF(J6108&lt;=2,"?ACTIVATED",IF(J6108&lt;&gt;"","?FAMILIAR",IF(F6108="NEW",IF(ISNA(VLOOKUP(E6108,#REF!,1,FALSE())),"?TYPE_IDENTIFIABLE","?REFERENTIAL"),"_")))))</f>
        <v> </v>
      </c>
      <c r="H6108" s="24" t="str">
        <f>IF(J6108&lt;&gt;1,"",IF(I6108="SBJ","CB","?"))</f>
        <v> </v>
      </c>
      <c r="I6108" s="25" t="str">
        <f>IF(OR(E6108="",E6108="!!!",F6108="NEW"),"",INDEX(B6107:B$2,-1+SUMPRODUCT(MAX(ROW(E6107:E$2)*(E6108=E6107:E$2)))))</f>
        <v> </v>
      </c>
      <c r="J6108" s="25" t="str">
        <f>IF(OR(E6108="",E6108="!!!",F6108="NEW"),"",COUNTBLANK(OFFSET(A$1,,,SUMPRODUCT(MAX(ROW(E$2:E6108)*(E6108=E$2:E6108)))))-COUNTBLANK(OFFSET(A$1,,,SUMPRODUCT(MAX(ROW(E$1:E6107)*(E2=E$1:E6107))))))</f>
        <v> </v>
      </c>
      <c r="K6108" s="25" t="str">
        <f>IF(OR(E6108="",E6108="!!!",F6108="NEW"),"",INDEX(J$1:J6107,SUMPRODUCT(MAX(ROW(E$1:E6107)*(E6108=E$1:E6107)))))</f>
        <v> </v>
      </c>
      <c r="L6108" s="26"/>
    </row>
    <row r="6109" spans="1:12">
      <c r="A6109" s="20" t="s">
        <v>2574</v>
      </c>
      <c r="E6109" s="21">
        <f>IF(D6109="?OLD","!!!","")</f>
        <v/>
      </c>
      <c r="F6109" s="22" t="str">
        <f>IF(OR(E6109="",E6109="!!!"),"",IF(NOT(ISNA(VLOOKUP(E6109,E$1:E6108,1,FALSE()))),"OLD",IF(AND(E6109&lt;&gt;"",E6109&lt;&gt;"!!!"),"NEW","")))</f>
        <v> </v>
      </c>
      <c r="G6109" s="23" t="str">
        <f>IF(OR(E6109="",E6109="!!!"),"",IF(OR(J6109=0,AND(J6109=1,K6109=1),AND(J6109=1,I6109="SBJ"),AND(J6109=1,I6109=0)),"?IN_FOCUS",IF(J6109&lt;=2,"?ACTIVATED",IF(J6109&lt;&gt;"","?FAMILIAR",IF(F6109="NEW",IF(ISNA(VLOOKUP(E6109,#REF!,1,FALSE())),"?TYPE_IDENTIFIABLE","?REFERENTIAL"),"_")))))</f>
        <v> </v>
      </c>
      <c r="H6109" s="24" t="str">
        <f>IF(J6109&lt;&gt;1,"",IF(I6109="SBJ","CB","?"))</f>
        <v> </v>
      </c>
      <c r="I6109" s="25" t="str">
        <f>IF(OR(E6109="",E6109="!!!",F6109="NEW"),"",INDEX(B6108:B$2,-1+SUMPRODUCT(MAX(ROW(E6108:E$2)*(E6109=E6108:E$2)))))</f>
        <v> </v>
      </c>
      <c r="J6109" s="25" t="str">
        <f>IF(OR(E6109="",E6109="!!!",F6109="NEW"),"",COUNTBLANK(OFFSET(A$1,,,SUMPRODUCT(MAX(ROW(E$2:E6109)*(E6109=E$2:E6109)))))-COUNTBLANK(OFFSET(A$1,,,SUMPRODUCT(MAX(ROW(E$1:E6108)*(E2=E$1:E6108))))))</f>
        <v> </v>
      </c>
      <c r="K6109" s="25" t="str">
        <f>IF(OR(E6109="",E6109="!!!",F6109="NEW"),"",INDEX(J$1:J6108,SUMPRODUCT(MAX(ROW(E$1:E6108)*(E6109=E$1:E6108)))))</f>
        <v> </v>
      </c>
      <c r="L6109" s="26"/>
    </row>
    <row r="6110" spans="1:12">
      <c r="A6110" s="20" t="s">
        <v>1043</v>
      </c>
      <c r="E6110" s="21">
        <f>IF(D6110="?OLD","!!!","")</f>
        <v/>
      </c>
      <c r="F6110" s="22" t="str">
        <f>IF(OR(E6110="",E6110="!!!"),"",IF(NOT(ISNA(VLOOKUP(E6110,E$1:E6109,1,FALSE()))),"OLD",IF(AND(E6110&lt;&gt;"",E6110&lt;&gt;"!!!"),"NEW","")))</f>
        <v> </v>
      </c>
      <c r="G6110" s="23" t="str">
        <f>IF(OR(E6110="",E6110="!!!"),"",IF(OR(J6110=0,AND(J6110=1,K6110=1),AND(J6110=1,I6110="SBJ"),AND(J6110=1,I6110=0)),"?IN_FOCUS",IF(J6110&lt;=2,"?ACTIVATED",IF(J6110&lt;&gt;"","?FAMILIAR",IF(F6110="NEW",IF(ISNA(VLOOKUP(E6110,#REF!,1,FALSE())),"?TYPE_IDENTIFIABLE","?REFERENTIAL"),"_")))))</f>
        <v> </v>
      </c>
      <c r="H6110" s="24" t="str">
        <f>IF(J6110&lt;&gt;1,"",IF(I6110="SBJ","CB","?"))</f>
        <v> </v>
      </c>
      <c r="I6110" s="25" t="str">
        <f>IF(OR(E6110="",E6110="!!!",F6110="NEW"),"",INDEX(B6109:B$2,-1+SUMPRODUCT(MAX(ROW(E6109:E$2)*(E6110=E6109:E$2)))))</f>
        <v> </v>
      </c>
      <c r="J6110" s="25" t="str">
        <f>IF(OR(E6110="",E6110="!!!",F6110="NEW"),"",COUNTBLANK(OFFSET(A$1,,,SUMPRODUCT(MAX(ROW(E$2:E6110)*(E6110=E$2:E6110)))))-COUNTBLANK(OFFSET(A$1,,,SUMPRODUCT(MAX(ROW(E$1:E6109)*(E2=E$1:E6109))))))</f>
        <v> </v>
      </c>
      <c r="K6110" s="25" t="str">
        <f>IF(OR(E6110="",E6110="!!!",F6110="NEW"),"",INDEX(J$1:J6109,SUMPRODUCT(MAX(ROW(E$1:E6109)*(E6110=E$1:E6109)))))</f>
        <v> </v>
      </c>
      <c r="L6110" s="26"/>
    </row>
    <row r="6111" spans="1:12">
      <c r="A6111" s="20" t="s">
        <v>1065</v>
      </c>
      <c r="B6111" s="27" t="s">
        <v>982</v>
      </c>
      <c r="C6111" s="27" t="s">
        <v>979</v>
      </c>
      <c r="D6111" s="27" t="s">
        <v>969</v>
      </c>
      <c r="E6111" s="21">
        <f>IF(D6111="?OLD","!!!","")</f>
        <v/>
      </c>
      <c r="F6111" s="22" t="str">
        <f>IF(OR(E6111="",E6111="!!!"),"",IF(NOT(ISNA(VLOOKUP(E6111,E$1:E6110,1,FALSE()))),"OLD",IF(AND(E6111&lt;&gt;"",E6111&lt;&gt;"!!!"),"NEW","")))</f>
        <v> </v>
      </c>
      <c r="G6111" s="23" t="str">
        <f>IF(OR(E6111="",E6111="!!!"),"",IF(OR(J6111=0,AND(J6111=1,K6111=1),AND(J6111=1,I6111="SBJ"),AND(J6111=1,I6111=0)),"?IN_FOCUS",IF(J6111&lt;=2,"?ACTIVATED",IF(J6111&lt;&gt;"","?FAMILIAR",IF(F6111="NEW",IF(ISNA(VLOOKUP(E6111,#REF!,1,FALSE())),"?TYPE_IDENTIFIABLE","?REFERENTIAL"),"_")))))</f>
        <v> </v>
      </c>
      <c r="H6111" s="24" t="str">
        <f>IF(J6111&lt;&gt;1,"",IF(I6111="SBJ","CB","?"))</f>
        <v> </v>
      </c>
      <c r="I6111" s="25" t="str">
        <f>IF(OR(E6111="",E6111="!!!",F6111="NEW"),"",INDEX(B6110:B$2,-1+SUMPRODUCT(MAX(ROW(E6110:E$2)*(E6111=E6110:E$2)))))</f>
        <v> </v>
      </c>
      <c r="J6111" s="25" t="str">
        <f>IF(OR(E6111="",E6111="!!!",F6111="NEW"),"",COUNTBLANK(OFFSET(A$1,,,SUMPRODUCT(MAX(ROW(E$2:E6111)*(E6111=E$2:E6111)))))-COUNTBLANK(OFFSET(A$1,,,SUMPRODUCT(MAX(ROW(E$1:E6110)*(E2=E$1:E6110))))))</f>
        <v> </v>
      </c>
      <c r="K6111" s="25" t="str">
        <f>IF(OR(E6111="",E6111="!!!",F6111="NEW"),"",INDEX(J$1:J6110,SUMPRODUCT(MAX(ROW(E$1:E6110)*(E6111=E$1:E6110)))))</f>
        <v> </v>
      </c>
      <c r="L6111" s="26"/>
    </row>
    <row r="6112" spans="1:12">
      <c r="A6112" s="20" t="s">
        <v>1687</v>
      </c>
      <c r="E6112" s="21">
        <f>IF(D6112="?OLD","!!!","")</f>
        <v/>
      </c>
      <c r="F6112" s="22" t="str">
        <f>IF(OR(E6112="",E6112="!!!"),"",IF(NOT(ISNA(VLOOKUP(E6112,E$1:E6111,1,FALSE()))),"OLD",IF(AND(E6112&lt;&gt;"",E6112&lt;&gt;"!!!"),"NEW","")))</f>
        <v> </v>
      </c>
      <c r="G6112" s="23" t="str">
        <f>IF(OR(E6112="",E6112="!!!"),"",IF(OR(J6112=0,AND(J6112=1,K6112=1),AND(J6112=1,I6112="SBJ"),AND(J6112=1,I6112=0)),"?IN_FOCUS",IF(J6112&lt;=2,"?ACTIVATED",IF(J6112&lt;&gt;"","?FAMILIAR",IF(F6112="NEW",IF(ISNA(VLOOKUP(E6112,#REF!,1,FALSE())),"?TYPE_IDENTIFIABLE","?REFERENTIAL"),"_")))))</f>
        <v> </v>
      </c>
      <c r="H6112" s="24" t="str">
        <f>IF(J6112&lt;&gt;1,"",IF(I6112="SBJ","CB","?"))</f>
        <v> </v>
      </c>
      <c r="I6112" s="25" t="str">
        <f>IF(OR(E6112="",E6112="!!!",F6112="NEW"),"",INDEX(B6111:B$2,-1+SUMPRODUCT(MAX(ROW(E6111:E$2)*(E6112=E6111:E$2)))))</f>
        <v> </v>
      </c>
      <c r="J6112" s="25" t="str">
        <f>IF(OR(E6112="",E6112="!!!",F6112="NEW"),"",COUNTBLANK(OFFSET(A$1,,,SUMPRODUCT(MAX(ROW(E$2:E6112)*(E6112=E$2:E6112)))))-COUNTBLANK(OFFSET(A$1,,,SUMPRODUCT(MAX(ROW(E$1:E6111)*(E2=E$1:E6111))))))</f>
        <v> </v>
      </c>
      <c r="K6112" s="25" t="str">
        <f>IF(OR(E6112="",E6112="!!!",F6112="NEW"),"",INDEX(J$1:J6111,SUMPRODUCT(MAX(ROW(E$1:E6111)*(E6112=E$1:E6111)))))</f>
        <v> </v>
      </c>
      <c r="L6112" s="26"/>
    </row>
    <row r="6113" spans="1:12">
      <c r="A6113" s="20" t="s">
        <v>2575</v>
      </c>
      <c r="B6113" s="27" t="s">
        <v>1003</v>
      </c>
      <c r="C6113" s="27" t="s">
        <v>979</v>
      </c>
      <c r="D6113" s="27" t="s">
        <v>969</v>
      </c>
      <c r="E6113" s="21">
        <f>IF(D6113="?OLD","!!!","")</f>
        <v/>
      </c>
      <c r="F6113" s="22" t="str">
        <f>IF(OR(E6113="",E6113="!!!"),"",IF(NOT(ISNA(VLOOKUP(E6113,E$1:E6112,1,FALSE()))),"OLD",IF(AND(E6113&lt;&gt;"",E6113&lt;&gt;"!!!"),"NEW","")))</f>
        <v> </v>
      </c>
      <c r="G6113" s="23" t="str">
        <f>IF(OR(E6113="",E6113="!!!"),"",IF(OR(J6113=0,AND(J6113=1,K6113=1),AND(J6113=1,I6113="SBJ"),AND(J6113=1,I6113=0)),"?IN_FOCUS",IF(J6113&lt;=2,"?ACTIVATED",IF(J6113&lt;&gt;"","?FAMILIAR",IF(F6113="NEW",IF(ISNA(VLOOKUP(E6113,#REF!,1,FALSE())),"?TYPE_IDENTIFIABLE","?REFERENTIAL"),"_")))))</f>
        <v> </v>
      </c>
      <c r="H6113" s="24" t="str">
        <f>IF(J6113&lt;&gt;1,"",IF(I6113="SBJ","CB","?"))</f>
        <v> </v>
      </c>
      <c r="I6113" s="25" t="str">
        <f>IF(OR(E6113="",E6113="!!!",F6113="NEW"),"",INDEX(B6112:B$2,-1+SUMPRODUCT(MAX(ROW(E6112:E$2)*(E6113=E6112:E$2)))))</f>
        <v> </v>
      </c>
      <c r="J6113" s="25" t="str">
        <f>IF(OR(E6113="",E6113="!!!",F6113="NEW"),"",COUNTBLANK(OFFSET(A$1,,,SUMPRODUCT(MAX(ROW(E$2:E6113)*(E6113=E$2:E6113)))))-COUNTBLANK(OFFSET(A$1,,,SUMPRODUCT(MAX(ROW(E$1:E6112)*(E2=E$1:E6112))))))</f>
        <v> </v>
      </c>
      <c r="K6113" s="25" t="str">
        <f>IF(OR(E6113="",E6113="!!!",F6113="NEW"),"",INDEX(J$1:J6112,SUMPRODUCT(MAX(ROW(E$1:E6112)*(E6113=E$1:E6112)))))</f>
        <v> </v>
      </c>
      <c r="L6113" s="26"/>
    </row>
    <row r="6114" spans="1:12">
      <c r="A6114" s="20" t="s">
        <v>991</v>
      </c>
      <c r="E6114" s="21">
        <f>IF(D6114="?OLD","!!!","")</f>
        <v/>
      </c>
      <c r="F6114" s="22" t="str">
        <f>IF(OR(E6114="",E6114="!!!"),"",IF(NOT(ISNA(VLOOKUP(E6114,E$1:E6113,1,FALSE()))),"OLD",IF(AND(E6114&lt;&gt;"",E6114&lt;&gt;"!!!"),"NEW","")))</f>
        <v> </v>
      </c>
      <c r="G6114" s="23" t="str">
        <f>IF(OR(E6114="",E6114="!!!"),"",IF(OR(J6114=0,AND(J6114=1,K6114=1),AND(J6114=1,I6114="SBJ"),AND(J6114=1,I6114=0)),"?IN_FOCUS",IF(J6114&lt;=2,"?ACTIVATED",IF(J6114&lt;&gt;"","?FAMILIAR",IF(F6114="NEW",IF(ISNA(VLOOKUP(E6114,#REF!,1,FALSE())),"?TYPE_IDENTIFIABLE","?REFERENTIAL"),"_")))))</f>
        <v> </v>
      </c>
      <c r="H6114" s="24" t="str">
        <f>IF(J6114&lt;&gt;1,"",IF(I6114="SBJ","CB","?"))</f>
        <v> </v>
      </c>
      <c r="I6114" s="25" t="str">
        <f>IF(OR(E6114="",E6114="!!!",F6114="NEW"),"",INDEX(B6113:B$2,-1+SUMPRODUCT(MAX(ROW(E6113:E$2)*(E6114=E6113:E$2)))))</f>
        <v> </v>
      </c>
      <c r="J6114" s="25" t="str">
        <f>IF(OR(E6114="",E6114="!!!",F6114="NEW"),"",COUNTBLANK(OFFSET(A$1,,,SUMPRODUCT(MAX(ROW(E$2:E6114)*(E6114=E$2:E6114)))))-COUNTBLANK(OFFSET(A$1,,,SUMPRODUCT(MAX(ROW(E$1:E6113)*(E2=E$1:E6113))))))</f>
        <v> </v>
      </c>
      <c r="K6114" s="25" t="str">
        <f>IF(OR(E6114="",E6114="!!!",F6114="NEW"),"",INDEX(J$1:J6113,SUMPRODUCT(MAX(ROW(E$1:E6113)*(E6114=E$1:E6113)))))</f>
        <v> </v>
      </c>
      <c r="L6114" s="26"/>
    </row>
    <row r="6115" spans="1:12">
      <c r="A6115" s="20" t="s">
        <v>1107</v>
      </c>
      <c r="B6115" s="27" t="s">
        <v>973</v>
      </c>
      <c r="C6115" s="27" t="s">
        <v>968</v>
      </c>
      <c r="D6115" s="27" t="s">
        <v>969</v>
      </c>
      <c r="E6115" s="21">
        <f>IF(D6115="?OLD","!!!","")</f>
        <v/>
      </c>
      <c r="F6115" s="22" t="str">
        <f>IF(OR(E6115="",E6115="!!!"),"",IF(NOT(ISNA(VLOOKUP(E6115,E$1:E6114,1,FALSE()))),"OLD",IF(AND(E6115&lt;&gt;"",E6115&lt;&gt;"!!!"),"NEW","")))</f>
        <v> </v>
      </c>
      <c r="G6115" s="23" t="str">
        <f>IF(OR(E6115="",E6115="!!!"),"",IF(OR(J6115=0,AND(J6115=1,K6115=1),AND(J6115=1,I6115="SBJ"),AND(J6115=1,I6115=0)),"?IN_FOCUS",IF(J6115&lt;=2,"?ACTIVATED",IF(J6115&lt;&gt;"","?FAMILIAR",IF(F6115="NEW",IF(ISNA(VLOOKUP(E6115,#REF!,1,FALSE())),"?TYPE_IDENTIFIABLE","?REFERENTIAL"),"_")))))</f>
        <v> </v>
      </c>
      <c r="H6115" s="24" t="str">
        <f>IF(J6115&lt;&gt;1,"",IF(I6115="SBJ","CB","?"))</f>
        <v> </v>
      </c>
      <c r="I6115" s="25" t="str">
        <f>IF(OR(E6115="",E6115="!!!",F6115="NEW"),"",INDEX(B6114:B$2,-1+SUMPRODUCT(MAX(ROW(E6114:E$2)*(E6115=E6114:E$2)))))</f>
        <v> </v>
      </c>
      <c r="J6115" s="25" t="str">
        <f>IF(OR(E6115="",E6115="!!!",F6115="NEW"),"",COUNTBLANK(OFFSET(A$1,,,SUMPRODUCT(MAX(ROW(E$2:E6115)*(E6115=E$2:E6115)))))-COUNTBLANK(OFFSET(A$1,,,SUMPRODUCT(MAX(ROW(E$1:E6114)*(E2=E$1:E6114))))))</f>
        <v> </v>
      </c>
      <c r="K6115" s="25" t="str">
        <f>IF(OR(E6115="",E6115="!!!",F6115="NEW"),"",INDEX(J$1:J6114,SUMPRODUCT(MAX(ROW(E$1:E6114)*(E6115=E$1:E6114)))))</f>
        <v> </v>
      </c>
      <c r="L6115" s="26"/>
    </row>
    <row r="6116" spans="1:12">
      <c r="A6116" s="20" t="s">
        <v>1151</v>
      </c>
      <c r="E6116" s="21">
        <f>IF(D6116="?OLD","!!!","")</f>
        <v/>
      </c>
      <c r="F6116" s="22" t="str">
        <f>IF(OR(E6116="",E6116="!!!"),"",IF(NOT(ISNA(VLOOKUP(E6116,E$1:E6115,1,FALSE()))),"OLD",IF(AND(E6116&lt;&gt;"",E6116&lt;&gt;"!!!"),"NEW","")))</f>
        <v> </v>
      </c>
      <c r="G6116" s="23" t="str">
        <f>IF(OR(E6116="",E6116="!!!"),"",IF(OR(J6116=0,AND(J6116=1,K6116=1),AND(J6116=1,I6116="SBJ"),AND(J6116=1,I6116=0)),"?IN_FOCUS",IF(J6116&lt;=2,"?ACTIVATED",IF(J6116&lt;&gt;"","?FAMILIAR",IF(F6116="NEW",IF(ISNA(VLOOKUP(E6116,#REF!,1,FALSE())),"?TYPE_IDENTIFIABLE","?REFERENTIAL"),"_")))))</f>
        <v> </v>
      </c>
      <c r="H6116" s="24" t="str">
        <f>IF(J6116&lt;&gt;1,"",IF(I6116="SBJ","CB","?"))</f>
        <v> </v>
      </c>
      <c r="I6116" s="25" t="str">
        <f>IF(OR(E6116="",E6116="!!!",F6116="NEW"),"",INDEX(B6115:B$2,-1+SUMPRODUCT(MAX(ROW(E6115:E$2)*(E6116=E6115:E$2)))))</f>
        <v> </v>
      </c>
      <c r="J6116" s="25" t="str">
        <f>IF(OR(E6116="",E6116="!!!",F6116="NEW"),"",COUNTBLANK(OFFSET(A$1,,,SUMPRODUCT(MAX(ROW(E$2:E6116)*(E6116=E$2:E6116)))))-COUNTBLANK(OFFSET(A$1,,,SUMPRODUCT(MAX(ROW(E$1:E6115)*(E2=E$1:E6115))))))</f>
        <v> </v>
      </c>
      <c r="K6116" s="25" t="str">
        <f>IF(OR(E6116="",E6116="!!!",F6116="NEW"),"",INDEX(J$1:J6115,SUMPRODUCT(MAX(ROW(E$1:E6115)*(E6116=E$1:E6115)))))</f>
        <v> </v>
      </c>
      <c r="L6116" s="26"/>
    </row>
    <row r="6117" spans="1:12">
      <c r="A6117" s="20" t="s">
        <v>985</v>
      </c>
      <c r="E6117" s="21">
        <f>IF(D6117="?OLD","!!!","")</f>
        <v/>
      </c>
      <c r="F6117" s="22" t="str">
        <f>IF(OR(E6117="",E6117="!!!"),"",IF(NOT(ISNA(VLOOKUP(E6117,E$1:E6116,1,FALSE()))),"OLD",IF(AND(E6117&lt;&gt;"",E6117&lt;&gt;"!!!"),"NEW","")))</f>
        <v> </v>
      </c>
      <c r="G6117" s="23" t="str">
        <f>IF(OR(E6117="",E6117="!!!"),"",IF(OR(J6117=0,AND(J6117=1,K6117=1),AND(J6117=1,I6117="SBJ"),AND(J6117=1,I6117=0)),"?IN_FOCUS",IF(J6117&lt;=2,"?ACTIVATED",IF(J6117&lt;&gt;"","?FAMILIAR",IF(F6117="NEW",IF(ISNA(VLOOKUP(E6117,#REF!,1,FALSE())),"?TYPE_IDENTIFIABLE","?REFERENTIAL"),"_")))))</f>
        <v> </v>
      </c>
      <c r="H6117" s="24" t="str">
        <f>IF(J6117&lt;&gt;1,"",IF(I6117="SBJ","CB","?"))</f>
        <v> </v>
      </c>
      <c r="I6117" s="25" t="str">
        <f>IF(OR(E6117="",E6117="!!!",F6117="NEW"),"",INDEX(B6116:B$2,-1+SUMPRODUCT(MAX(ROW(E6116:E$2)*(E6117=E6116:E$2)))))</f>
        <v> </v>
      </c>
      <c r="J6117" s="25" t="str">
        <f>IF(OR(E6117="",E6117="!!!",F6117="NEW"),"",COUNTBLANK(OFFSET(A$1,,,SUMPRODUCT(MAX(ROW(E$2:E6117)*(E6117=E$2:E6117)))))-COUNTBLANK(OFFSET(A$1,,,SUMPRODUCT(MAX(ROW(E$1:E6116)*(E2=E$1:E6116))))))</f>
        <v> </v>
      </c>
      <c r="K6117" s="25" t="str">
        <f>IF(OR(E6117="",E6117="!!!",F6117="NEW"),"",INDEX(J$1:J6116,SUMPRODUCT(MAX(ROW(E$1:E6116)*(E6117=E$1:E6116)))))</f>
        <v> </v>
      </c>
      <c r="L6117" s="26"/>
    </row>
    <row r="6118" spans="1:12">
      <c r="A6118" s="20" t="s">
        <v>2576</v>
      </c>
      <c r="B6118" s="27" t="s">
        <v>978</v>
      </c>
      <c r="C6118" s="27" t="s">
        <v>979</v>
      </c>
      <c r="D6118" s="27" t="s">
        <v>969</v>
      </c>
      <c r="E6118" s="21">
        <f>IF(D6118="?OLD","!!!","")</f>
        <v/>
      </c>
      <c r="F6118" s="22" t="str">
        <f>IF(OR(E6118="",E6118="!!!"),"",IF(NOT(ISNA(VLOOKUP(E6118,E$1:E6117,1,FALSE()))),"OLD",IF(AND(E6118&lt;&gt;"",E6118&lt;&gt;"!!!"),"NEW","")))</f>
        <v> </v>
      </c>
      <c r="G6118" s="23" t="str">
        <f>IF(OR(E6118="",E6118="!!!"),"",IF(OR(J6118=0,AND(J6118=1,K6118=1),AND(J6118=1,I6118="SBJ"),AND(J6118=1,I6118=0)),"?IN_FOCUS",IF(J6118&lt;=2,"?ACTIVATED",IF(J6118&lt;&gt;"","?FAMILIAR",IF(F6118="NEW",IF(ISNA(VLOOKUP(E6118,#REF!,1,FALSE())),"?TYPE_IDENTIFIABLE","?REFERENTIAL"),"_")))))</f>
        <v> </v>
      </c>
      <c r="H6118" s="24" t="str">
        <f>IF(J6118&lt;&gt;1,"",IF(I6118="SBJ","CB","?"))</f>
        <v> </v>
      </c>
      <c r="I6118" s="25" t="str">
        <f>IF(OR(E6118="",E6118="!!!",F6118="NEW"),"",INDEX(B6117:B$2,-1+SUMPRODUCT(MAX(ROW(E6117:E$2)*(E6118=E6117:E$2)))))</f>
        <v> </v>
      </c>
      <c r="J6118" s="25" t="str">
        <f>IF(OR(E6118="",E6118="!!!",F6118="NEW"),"",COUNTBLANK(OFFSET(A$1,,,SUMPRODUCT(MAX(ROW(E$2:E6118)*(E6118=E$2:E6118)))))-COUNTBLANK(OFFSET(A$1,,,SUMPRODUCT(MAX(ROW(E$1:E6117)*(E2=E$1:E6117))))))</f>
        <v> </v>
      </c>
      <c r="K6118" s="25" t="str">
        <f>IF(OR(E6118="",E6118="!!!",F6118="NEW"),"",INDEX(J$1:J6117,SUMPRODUCT(MAX(ROW(E$1:E6117)*(E6118=E$1:E6117)))))</f>
        <v> </v>
      </c>
      <c r="L6118" s="26"/>
    </row>
    <row r="6119" spans="1:12">
      <c r="A6119" s="20" t="s">
        <v>999</v>
      </c>
      <c r="E6119" s="21">
        <f>IF(D6119="?OLD","!!!","")</f>
        <v/>
      </c>
      <c r="F6119" s="22" t="str">
        <f>IF(OR(E6119="",E6119="!!!"),"",IF(NOT(ISNA(VLOOKUP(E6119,E$1:E6118,1,FALSE()))),"OLD",IF(AND(E6119&lt;&gt;"",E6119&lt;&gt;"!!!"),"NEW","")))</f>
        <v> </v>
      </c>
      <c r="G6119" s="23" t="str">
        <f>IF(OR(E6119="",E6119="!!!"),"",IF(OR(J6119=0,AND(J6119=1,K6119=1),AND(J6119=1,I6119="SBJ"),AND(J6119=1,I6119=0)),"?IN_FOCUS",IF(J6119&lt;=2,"?ACTIVATED",IF(J6119&lt;&gt;"","?FAMILIAR",IF(F6119="NEW",IF(ISNA(VLOOKUP(E6119,#REF!,1,FALSE())),"?TYPE_IDENTIFIABLE","?REFERENTIAL"),"_")))))</f>
        <v> </v>
      </c>
      <c r="H6119" s="24" t="str">
        <f>IF(J6119&lt;&gt;1,"",IF(I6119="SBJ","CB","?"))</f>
        <v> </v>
      </c>
      <c r="I6119" s="25" t="str">
        <f>IF(OR(E6119="",E6119="!!!",F6119="NEW"),"",INDEX(B6118:B$2,-1+SUMPRODUCT(MAX(ROW(E6118:E$2)*(E6119=E6118:E$2)))))</f>
        <v> </v>
      </c>
      <c r="J6119" s="25" t="str">
        <f>IF(OR(E6119="",E6119="!!!",F6119="NEW"),"",COUNTBLANK(OFFSET(A$1,,,SUMPRODUCT(MAX(ROW(E$2:E6119)*(E6119=E$2:E6119)))))-COUNTBLANK(OFFSET(A$1,,,SUMPRODUCT(MAX(ROW(E$1:E6118)*(E2=E$1:E6118))))))</f>
        <v> </v>
      </c>
      <c r="K6119" s="25" t="str">
        <f>IF(OR(E6119="",E6119="!!!",F6119="NEW"),"",INDEX(J$1:J6118,SUMPRODUCT(MAX(ROW(E$1:E6118)*(E6119=E$1:E6118)))))</f>
        <v> </v>
      </c>
      <c r="L6119" s="26"/>
    </row>
    <row r="6120" spans="1:12">
      <c r="A6120" s="20" t="s">
        <v>621</v>
      </c>
      <c r="E6120" s="21">
        <f>IF(D6120="?OLD","!!!","")</f>
        <v/>
      </c>
      <c r="F6120" s="22" t="str">
        <f>IF(OR(E6120="",E6120="!!!"),"",IF(NOT(ISNA(VLOOKUP(E6120,E$1:E6119,1,FALSE()))),"OLD",IF(AND(E6120&lt;&gt;"",E6120&lt;&gt;"!!!"),"NEW","")))</f>
        <v> </v>
      </c>
      <c r="G6120" s="23" t="str">
        <f>IF(OR(E6120="",E6120="!!!"),"",IF(OR(J6120=0,AND(J6120=1,K6120=1),AND(J6120=1,I6120="SBJ"),AND(J6120=1,I6120=0)),"?IN_FOCUS",IF(J6120&lt;=2,"?ACTIVATED",IF(J6120&lt;&gt;"","?FAMILIAR",IF(F6120="NEW",IF(ISNA(VLOOKUP(E6120,#REF!,1,FALSE())),"?TYPE_IDENTIFIABLE","?REFERENTIAL"),"_")))))</f>
        <v> </v>
      </c>
      <c r="H6120" s="24" t="str">
        <f>IF(J6120&lt;&gt;1,"",IF(I6120="SBJ","CB","?"))</f>
        <v> </v>
      </c>
      <c r="I6120" s="25" t="str">
        <f>IF(OR(E6120="",E6120="!!!",F6120="NEW"),"",INDEX(B6119:B$2,-1+SUMPRODUCT(MAX(ROW(E6119:E$2)*(E6120=E6119:E$2)))))</f>
        <v> </v>
      </c>
      <c r="J6120" s="25" t="str">
        <f>IF(OR(E6120="",E6120="!!!",F6120="NEW"),"",COUNTBLANK(OFFSET(A$1,,,SUMPRODUCT(MAX(ROW(E$2:E6120)*(E6120=E$2:E6120)))))-COUNTBLANK(OFFSET(A$1,,,SUMPRODUCT(MAX(ROW(E$1:E6119)*(E2=E$1:E6119))))))</f>
        <v> </v>
      </c>
      <c r="K6120" s="25" t="str">
        <f>IF(OR(E6120="",E6120="!!!",F6120="NEW"),"",INDEX(J$1:J6119,SUMPRODUCT(MAX(ROW(E$1:E6119)*(E6120=E$1:E6119)))))</f>
        <v> </v>
      </c>
      <c r="L6120" s="26"/>
    </row>
    <row r="6121" spans="1:12">
      <c r="A6121" s="20" t="s">
        <v>999</v>
      </c>
      <c r="E6121" s="21">
        <f>IF(D6121="?OLD","!!!","")</f>
        <v/>
      </c>
      <c r="F6121" s="22" t="str">
        <f>IF(OR(E6121="",E6121="!!!"),"",IF(NOT(ISNA(VLOOKUP(E6121,E$1:E6120,1,FALSE()))),"OLD",IF(AND(E6121&lt;&gt;"",E6121&lt;&gt;"!!!"),"NEW","")))</f>
        <v> </v>
      </c>
      <c r="G6121" s="23" t="str">
        <f>IF(OR(E6121="",E6121="!!!"),"",IF(OR(J6121=0,AND(J6121=1,K6121=1),AND(J6121=1,I6121="SBJ"),AND(J6121=1,I6121=0)),"?IN_FOCUS",IF(J6121&lt;=2,"?ACTIVATED",IF(J6121&lt;&gt;"","?FAMILIAR",IF(F6121="NEW",IF(ISNA(VLOOKUP(E6121,#REF!,1,FALSE())),"?TYPE_IDENTIFIABLE","?REFERENTIAL"),"_")))))</f>
        <v> </v>
      </c>
      <c r="H6121" s="24" t="str">
        <f>IF(J6121&lt;&gt;1,"",IF(I6121="SBJ","CB","?"))</f>
        <v> </v>
      </c>
      <c r="I6121" s="25" t="str">
        <f>IF(OR(E6121="",E6121="!!!",F6121="NEW"),"",INDEX(B6120:B$2,-1+SUMPRODUCT(MAX(ROW(E6120:E$2)*(E6121=E6120:E$2)))))</f>
        <v> </v>
      </c>
      <c r="J6121" s="25" t="str">
        <f>IF(OR(E6121="",E6121="!!!",F6121="NEW"),"",COUNTBLANK(OFFSET(A$1,,,SUMPRODUCT(MAX(ROW(E$2:E6121)*(E6121=E$2:E6121)))))-COUNTBLANK(OFFSET(A$1,,,SUMPRODUCT(MAX(ROW(E$1:E6120)*(E2=E$1:E6120))))))</f>
        <v> </v>
      </c>
      <c r="K6121" s="25" t="str">
        <f>IF(OR(E6121="",E6121="!!!",F6121="NEW"),"",INDEX(J$1:J6120,SUMPRODUCT(MAX(ROW(E$1:E6120)*(E6121=E$1:E6120)))))</f>
        <v> </v>
      </c>
      <c r="L6121" s="26"/>
    </row>
    <row r="6122" spans="1:12">
      <c r="A6122" s="20" t="s">
        <v>939</v>
      </c>
      <c r="E6122" s="21">
        <f>IF(D6122="?OLD","!!!","")</f>
        <v/>
      </c>
      <c r="F6122" s="22" t="str">
        <f>IF(OR(E6122="",E6122="!!!"),"",IF(NOT(ISNA(VLOOKUP(E6122,E$1:E6121,1,FALSE()))),"OLD",IF(AND(E6122&lt;&gt;"",E6122&lt;&gt;"!!!"),"NEW","")))</f>
        <v> </v>
      </c>
      <c r="G6122" s="23" t="str">
        <f>IF(OR(E6122="",E6122="!!!"),"",IF(OR(J6122=0,AND(J6122=1,K6122=1),AND(J6122=1,I6122="SBJ"),AND(J6122=1,I6122=0)),"?IN_FOCUS",IF(J6122&lt;=2,"?ACTIVATED",IF(J6122&lt;&gt;"","?FAMILIAR",IF(F6122="NEW",IF(ISNA(VLOOKUP(E6122,#REF!,1,FALSE())),"?TYPE_IDENTIFIABLE","?REFERENTIAL"),"_")))))</f>
        <v> </v>
      </c>
      <c r="H6122" s="24" t="str">
        <f>IF(J6122&lt;&gt;1,"",IF(I6122="SBJ","CB","?"))</f>
        <v> </v>
      </c>
      <c r="I6122" s="25" t="str">
        <f>IF(OR(E6122="",E6122="!!!",F6122="NEW"),"",INDEX(B6121:B$2,-1+SUMPRODUCT(MAX(ROW(E6121:E$2)*(E6122=E6121:E$2)))))</f>
        <v> </v>
      </c>
      <c r="J6122" s="25" t="str">
        <f>IF(OR(E6122="",E6122="!!!",F6122="NEW"),"",COUNTBLANK(OFFSET(A$1,,,SUMPRODUCT(MAX(ROW(E$2:E6122)*(E6122=E$2:E6122)))))-COUNTBLANK(OFFSET(A$1,,,SUMPRODUCT(MAX(ROW(E$1:E6121)*(E2=E$1:E6121))))))</f>
        <v> </v>
      </c>
      <c r="K6122" s="25" t="str">
        <f>IF(OR(E6122="",E6122="!!!",F6122="NEW"),"",INDEX(J$1:J6121,SUMPRODUCT(MAX(ROW(E$1:E6121)*(E6122=E$1:E6121)))))</f>
        <v> </v>
      </c>
      <c r="L6122" s="26"/>
    </row>
    <row r="6123" spans="1:12">
      <c r="A6123" s="20" t="s">
        <v>1005</v>
      </c>
      <c r="E6123" s="21">
        <f>IF(D6123="?OLD","!!!","")</f>
        <v/>
      </c>
      <c r="F6123" s="22" t="str">
        <f>IF(OR(E6123="",E6123="!!!"),"",IF(NOT(ISNA(VLOOKUP(E6123,E$1:E6122,1,FALSE()))),"OLD",IF(AND(E6123&lt;&gt;"",E6123&lt;&gt;"!!!"),"NEW","")))</f>
        <v> </v>
      </c>
      <c r="G6123" s="23" t="str">
        <f>IF(OR(E6123="",E6123="!!!"),"",IF(OR(J6123=0,AND(J6123=1,K6123=1),AND(J6123=1,I6123="SBJ"),AND(J6123=1,I6123=0)),"?IN_FOCUS",IF(J6123&lt;=2,"?ACTIVATED",IF(J6123&lt;&gt;"","?FAMILIAR",IF(F6123="NEW",IF(ISNA(VLOOKUP(E6123,#REF!,1,FALSE())),"?TYPE_IDENTIFIABLE","?REFERENTIAL"),"_")))))</f>
        <v> </v>
      </c>
      <c r="H6123" s="24" t="str">
        <f>IF(J6123&lt;&gt;1,"",IF(I6123="SBJ","CB","?"))</f>
        <v> </v>
      </c>
      <c r="I6123" s="25" t="str">
        <f>IF(OR(E6123="",E6123="!!!",F6123="NEW"),"",INDEX(B6122:B$2,-1+SUMPRODUCT(MAX(ROW(E6122:E$2)*(E6123=E6122:E$2)))))</f>
        <v> </v>
      </c>
      <c r="J6123" s="25" t="str">
        <f>IF(OR(E6123="",E6123="!!!",F6123="NEW"),"",COUNTBLANK(OFFSET(A$1,,,SUMPRODUCT(MAX(ROW(E$2:E6123)*(E6123=E$2:E6123)))))-COUNTBLANK(OFFSET(A$1,,,SUMPRODUCT(MAX(ROW(E$1:E6122)*(E2=E$1:E6122))))))</f>
        <v> </v>
      </c>
      <c r="K6123" s="25" t="str">
        <f>IF(OR(E6123="",E6123="!!!",F6123="NEW"),"",INDEX(J$1:J6122,SUMPRODUCT(MAX(ROW(E$1:E6122)*(E6123=E$1:E6122)))))</f>
        <v> </v>
      </c>
      <c r="L6123" s="26"/>
    </row>
    <row r="6124" spans="1:12">
      <c r="A6124" s="20"/>
    </row>
    <row r="6125" spans="1:12">
      <c r="A6125" s="20" t="s">
        <v>2577</v>
      </c>
    </row>
    <row r="6126" spans="1:12">
      <c r="A6126" s="20" t="s">
        <v>966</v>
      </c>
      <c r="B6126" s="27" t="s">
        <v>967</v>
      </c>
      <c r="C6126" s="27" t="s">
        <v>968</v>
      </c>
      <c r="D6126" s="27" t="s">
        <v>969</v>
      </c>
      <c r="E6126" s="21">
        <f>IF(D6126="?OLD","!!!","")</f>
        <v/>
      </c>
      <c r="F6126" s="22" t="str">
        <f>IF(OR(E6126="",E6126="!!!"),"",IF(NOT(ISNA(VLOOKUP(E6126,E$1:E6125,1,FALSE()))),"OLD",IF(AND(E6126&lt;&gt;"",E6126&lt;&gt;"!!!"),"NEW","")))</f>
        <v> </v>
      </c>
      <c r="G6126" s="23" t="str">
        <f>IF(OR(E6126="",E6126="!!!"),"",IF(OR(J6126=0,AND(J6126=1,K6126=1),AND(J6126=1,I6126="SBJ"),AND(J6126=1,I6126=0)),"?IN_FOCUS",IF(J6126&lt;=2,"?ACTIVATED",IF(J6126&lt;&gt;"","?FAMILIAR",IF(F6126="NEW",IF(ISNA(VLOOKUP(E6126,#REF!,1,FALSE())),"?TYPE_IDENTIFIABLE","?REFERENTIAL"),"_")))))</f>
        <v> </v>
      </c>
      <c r="H6126" s="24" t="str">
        <f>IF(J6126&lt;&gt;1,"",IF(I6126="SBJ","CB","?"))</f>
        <v> </v>
      </c>
      <c r="I6126" s="25" t="str">
        <f>IF(OR(E6126="",E6126="!!!",F6126="NEW"),"",INDEX(B6125:B$2,-1+SUMPRODUCT(MAX(ROW(E6125:E$2)*(E6126=E6125:E$2)))))</f>
        <v> </v>
      </c>
      <c r="J6126" s="25" t="str">
        <f>IF(OR(E6126="",E6126="!!!",F6126="NEW"),"",COUNTBLANK(OFFSET(A$1,,,SUMPRODUCT(MAX(ROW(E$2:E6126)*(E6126=E$2:E6126)))))-COUNTBLANK(OFFSET(A$1,,,SUMPRODUCT(MAX(ROW(E$1:E6125)*(E2=E$1:E6125))))))</f>
        <v> </v>
      </c>
      <c r="K6126" s="25" t="str">
        <f>IF(OR(E6126="",E6126="!!!",F6126="NEW"),"",INDEX(J$1:J6125,SUMPRODUCT(MAX(ROW(E$1:E6125)*(E6126=E$1:E6125)))))</f>
        <v> </v>
      </c>
      <c r="L6126" s="26"/>
    </row>
    <row r="6127" spans="1:12">
      <c r="A6127" s="20" t="s">
        <v>1739</v>
      </c>
      <c r="E6127" s="21">
        <f>IF(D6127="?OLD","!!!","")</f>
        <v/>
      </c>
      <c r="F6127" s="22" t="str">
        <f>IF(OR(E6127="",E6127="!!!"),"",IF(NOT(ISNA(VLOOKUP(E6127,E$1:E6126,1,FALSE()))),"OLD",IF(AND(E6127&lt;&gt;"",E6127&lt;&gt;"!!!"),"NEW","")))</f>
        <v> </v>
      </c>
      <c r="G6127" s="23" t="str">
        <f>IF(OR(E6127="",E6127="!!!"),"",IF(OR(J6127=0,AND(J6127=1,K6127=1),AND(J6127=1,I6127="SBJ"),AND(J6127=1,I6127=0)),"?IN_FOCUS",IF(J6127&lt;=2,"?ACTIVATED",IF(J6127&lt;&gt;"","?FAMILIAR",IF(F6127="NEW",IF(ISNA(VLOOKUP(E6127,#REF!,1,FALSE())),"?TYPE_IDENTIFIABLE","?REFERENTIAL"),"_")))))</f>
        <v> </v>
      </c>
      <c r="H6127" s="24" t="str">
        <f>IF(J6127&lt;&gt;1,"",IF(I6127="SBJ","CB","?"))</f>
        <v> </v>
      </c>
      <c r="I6127" s="25" t="str">
        <f>IF(OR(E6127="",E6127="!!!",F6127="NEW"),"",INDEX(B6126:B$2,-1+SUMPRODUCT(MAX(ROW(E6126:E$2)*(E6127=E6126:E$2)))))</f>
        <v> </v>
      </c>
      <c r="J6127" s="25" t="str">
        <f>IF(OR(E6127="",E6127="!!!",F6127="NEW"),"",COUNTBLANK(OFFSET(A$1,,,SUMPRODUCT(MAX(ROW(E$2:E6127)*(E6127=E$2:E6127)))))-COUNTBLANK(OFFSET(A$1,,,SUMPRODUCT(MAX(ROW(E$1:E6126)*(E2=E$1:E6126))))))</f>
        <v> </v>
      </c>
      <c r="K6127" s="25" t="str">
        <f>IF(OR(E6127="",E6127="!!!",F6127="NEW"),"",INDEX(J$1:J6126,SUMPRODUCT(MAX(ROW(E$1:E6126)*(E6127=E$1:E6126)))))</f>
        <v> </v>
      </c>
      <c r="L6127" s="26"/>
    </row>
    <row r="6128" spans="1:12">
      <c r="A6128" s="20" t="s">
        <v>991</v>
      </c>
      <c r="E6128" s="21">
        <f>IF(D6128="?OLD","!!!","")</f>
        <v/>
      </c>
      <c r="F6128" s="22" t="str">
        <f>IF(OR(E6128="",E6128="!!!"),"",IF(NOT(ISNA(VLOOKUP(E6128,E$1:E6127,1,FALSE()))),"OLD",IF(AND(E6128&lt;&gt;"",E6128&lt;&gt;"!!!"),"NEW","")))</f>
        <v> </v>
      </c>
      <c r="G6128" s="23" t="str">
        <f>IF(OR(E6128="",E6128="!!!"),"",IF(OR(J6128=0,AND(J6128=1,K6128=1),AND(J6128=1,I6128="SBJ"),AND(J6128=1,I6128=0)),"?IN_FOCUS",IF(J6128&lt;=2,"?ACTIVATED",IF(J6128&lt;&gt;"","?FAMILIAR",IF(F6128="NEW",IF(ISNA(VLOOKUP(E6128,#REF!,1,FALSE())),"?TYPE_IDENTIFIABLE","?REFERENTIAL"),"_")))))</f>
        <v> </v>
      </c>
      <c r="H6128" s="24" t="str">
        <f>IF(J6128&lt;&gt;1,"",IF(I6128="SBJ","CB","?"))</f>
        <v> </v>
      </c>
      <c r="I6128" s="25" t="str">
        <f>IF(OR(E6128="",E6128="!!!",F6128="NEW"),"",INDEX(B6127:B$2,-1+SUMPRODUCT(MAX(ROW(E6127:E$2)*(E6128=E6127:E$2)))))</f>
        <v> </v>
      </c>
      <c r="J6128" s="25" t="str">
        <f>IF(OR(E6128="",E6128="!!!",F6128="NEW"),"",COUNTBLANK(OFFSET(A$1,,,SUMPRODUCT(MAX(ROW(E$2:E6128)*(E6128=E$2:E6128)))))-COUNTBLANK(OFFSET(A$1,,,SUMPRODUCT(MAX(ROW(E$1:E6127)*(E2=E$1:E6127))))))</f>
        <v> </v>
      </c>
      <c r="K6128" s="25" t="str">
        <f>IF(OR(E6128="",E6128="!!!",F6128="NEW"),"",INDEX(J$1:J6127,SUMPRODUCT(MAX(ROW(E$1:E6127)*(E6128=E$1:E6127)))))</f>
        <v> </v>
      </c>
      <c r="L6128" s="26"/>
    </row>
    <row r="6129" spans="1:12">
      <c r="A6129" s="20" t="s">
        <v>1024</v>
      </c>
      <c r="B6129" s="27" t="s">
        <v>1010</v>
      </c>
      <c r="C6129" s="27" t="s">
        <v>1102</v>
      </c>
      <c r="D6129" s="27" t="s">
        <v>969</v>
      </c>
      <c r="E6129" s="21">
        <f>IF(D6129="?OLD","!!!","")</f>
        <v/>
      </c>
      <c r="F6129" s="22" t="str">
        <f>IF(OR(E6129="",E6129="!!!"),"",IF(NOT(ISNA(VLOOKUP(E6129,E$1:E6128,1,FALSE()))),"OLD",IF(AND(E6129&lt;&gt;"",E6129&lt;&gt;"!!!"),"NEW","")))</f>
        <v> </v>
      </c>
      <c r="G6129" s="23" t="str">
        <f>IF(OR(E6129="",E6129="!!!"),"",IF(OR(J6129=0,AND(J6129=1,K6129=1),AND(J6129=1,I6129="SBJ"),AND(J6129=1,I6129=0)),"?IN_FOCUS",IF(J6129&lt;=2,"?ACTIVATED",IF(J6129&lt;&gt;"","?FAMILIAR",IF(F6129="NEW",IF(ISNA(VLOOKUP(E6129,#REF!,1,FALSE())),"?TYPE_IDENTIFIABLE","?REFERENTIAL"),"_")))))</f>
        <v> </v>
      </c>
      <c r="H6129" s="24" t="str">
        <f>IF(J6129&lt;&gt;1,"",IF(I6129="SBJ","CB","?"))</f>
        <v> </v>
      </c>
      <c r="I6129" s="25" t="str">
        <f>IF(OR(E6129="",E6129="!!!",F6129="NEW"),"",INDEX(B6128:B$2,-1+SUMPRODUCT(MAX(ROW(E6128:E$2)*(E6129=E6128:E$2)))))</f>
        <v> </v>
      </c>
      <c r="J6129" s="25" t="str">
        <f>IF(OR(E6129="",E6129="!!!",F6129="NEW"),"",COUNTBLANK(OFFSET(A$1,,,SUMPRODUCT(MAX(ROW(E$2:E6129)*(E6129=E$2:E6129)))))-COUNTBLANK(OFFSET(A$1,,,SUMPRODUCT(MAX(ROW(E$1:E6128)*(E2=E$1:E6128))))))</f>
        <v> </v>
      </c>
      <c r="K6129" s="25" t="str">
        <f>IF(OR(E6129="",E6129="!!!",F6129="NEW"),"",INDEX(J$1:J6128,SUMPRODUCT(MAX(ROW(E$1:E6128)*(E6129=E$1:E6128)))))</f>
        <v> </v>
      </c>
      <c r="L6129" s="26"/>
    </row>
    <row r="6130" spans="1:12">
      <c r="A6130" s="20" t="s">
        <v>1097</v>
      </c>
      <c r="E6130" s="21">
        <f>IF(D6130="?OLD","!!!","")</f>
        <v/>
      </c>
      <c r="F6130" s="22" t="str">
        <f>IF(OR(E6130="",E6130="!!!"),"",IF(NOT(ISNA(VLOOKUP(E6130,E$1:E6129,1,FALSE()))),"OLD",IF(AND(E6130&lt;&gt;"",E6130&lt;&gt;"!!!"),"NEW","")))</f>
        <v> </v>
      </c>
      <c r="G6130" s="23" t="str">
        <f>IF(OR(E6130="",E6130="!!!"),"",IF(OR(J6130=0,AND(J6130=1,K6130=1),AND(J6130=1,I6130="SBJ"),AND(J6130=1,I6130=0)),"?IN_FOCUS",IF(J6130&lt;=2,"?ACTIVATED",IF(J6130&lt;&gt;"","?FAMILIAR",IF(F6130="NEW",IF(ISNA(VLOOKUP(E6130,#REF!,1,FALSE())),"?TYPE_IDENTIFIABLE","?REFERENTIAL"),"_")))))</f>
        <v> </v>
      </c>
      <c r="H6130" s="24" t="str">
        <f>IF(J6130&lt;&gt;1,"",IF(I6130="SBJ","CB","?"))</f>
        <v> </v>
      </c>
      <c r="I6130" s="25" t="str">
        <f>IF(OR(E6130="",E6130="!!!",F6130="NEW"),"",INDEX(B6129:B$2,-1+SUMPRODUCT(MAX(ROW(E6129:E$2)*(E6130=E6129:E$2)))))</f>
        <v> </v>
      </c>
      <c r="J6130" s="25" t="str">
        <f>IF(OR(E6130="",E6130="!!!",F6130="NEW"),"",COUNTBLANK(OFFSET(A$1,,,SUMPRODUCT(MAX(ROW(E$2:E6130)*(E6130=E$2:E6130)))))-COUNTBLANK(OFFSET(A$1,,,SUMPRODUCT(MAX(ROW(E$1:E6129)*(E2=E$1:E6129))))))</f>
        <v> </v>
      </c>
      <c r="K6130" s="25" t="str">
        <f>IF(OR(E6130="",E6130="!!!",F6130="NEW"),"",INDEX(J$1:J6129,SUMPRODUCT(MAX(ROW(E$1:E6129)*(E6130=E$1:E6129)))))</f>
        <v> </v>
      </c>
      <c r="L6130" s="26"/>
    </row>
    <row r="6131" spans="1:12">
      <c r="A6131" s="20" t="s">
        <v>1016</v>
      </c>
      <c r="E6131" s="21">
        <f>IF(D6131="?OLD","!!!","")</f>
        <v/>
      </c>
      <c r="F6131" s="22" t="str">
        <f>IF(OR(E6131="",E6131="!!!"),"",IF(NOT(ISNA(VLOOKUP(E6131,E$1:E6130,1,FALSE()))),"OLD",IF(AND(E6131&lt;&gt;"",E6131&lt;&gt;"!!!"),"NEW","")))</f>
        <v> </v>
      </c>
      <c r="G6131" s="23" t="str">
        <f>IF(OR(E6131="",E6131="!!!"),"",IF(OR(J6131=0,AND(J6131=1,K6131=1),AND(J6131=1,I6131="SBJ"),AND(J6131=1,I6131=0)),"?IN_FOCUS",IF(J6131&lt;=2,"?ACTIVATED",IF(J6131&lt;&gt;"","?FAMILIAR",IF(F6131="NEW",IF(ISNA(VLOOKUP(E6131,#REF!,1,FALSE())),"?TYPE_IDENTIFIABLE","?REFERENTIAL"),"_")))))</f>
        <v> </v>
      </c>
      <c r="H6131" s="24" t="str">
        <f>IF(J6131&lt;&gt;1,"",IF(I6131="SBJ","CB","?"))</f>
        <v> </v>
      </c>
      <c r="I6131" s="25" t="str">
        <f>IF(OR(E6131="",E6131="!!!",F6131="NEW"),"",INDEX(B6130:B$2,-1+SUMPRODUCT(MAX(ROW(E6130:E$2)*(E6131=E6130:E$2)))))</f>
        <v> </v>
      </c>
      <c r="J6131" s="25" t="str">
        <f>IF(OR(E6131="",E6131="!!!",F6131="NEW"),"",COUNTBLANK(OFFSET(A$1,,,SUMPRODUCT(MAX(ROW(E$2:E6131)*(E6131=E$2:E6131)))))-COUNTBLANK(OFFSET(A$1,,,SUMPRODUCT(MAX(ROW(E$1:E6130)*(E2=E$1:E6130))))))</f>
        <v> </v>
      </c>
      <c r="K6131" s="25" t="str">
        <f>IF(OR(E6131="",E6131="!!!",F6131="NEW"),"",INDEX(J$1:J6130,SUMPRODUCT(MAX(ROW(E$1:E6130)*(E6131=E$1:E6130)))))</f>
        <v> </v>
      </c>
      <c r="L6131" s="26"/>
    </row>
    <row r="6132" spans="1:12">
      <c r="A6132" s="20" t="s">
        <v>1624</v>
      </c>
      <c r="E6132" s="21">
        <f>IF(D6132="?OLD","!!!","")</f>
        <v/>
      </c>
      <c r="F6132" s="22" t="str">
        <f>IF(OR(E6132="",E6132="!!!"),"",IF(NOT(ISNA(VLOOKUP(E6132,E$1:E6131,1,FALSE()))),"OLD",IF(AND(E6132&lt;&gt;"",E6132&lt;&gt;"!!!"),"NEW","")))</f>
        <v> </v>
      </c>
      <c r="G6132" s="23" t="str">
        <f>IF(OR(E6132="",E6132="!!!"),"",IF(OR(J6132=0,AND(J6132=1,K6132=1),AND(J6132=1,I6132="SBJ"),AND(J6132=1,I6132=0)),"?IN_FOCUS",IF(J6132&lt;=2,"?ACTIVATED",IF(J6132&lt;&gt;"","?FAMILIAR",IF(F6132="NEW",IF(ISNA(VLOOKUP(E6132,#REF!,1,FALSE())),"?TYPE_IDENTIFIABLE","?REFERENTIAL"),"_")))))</f>
        <v> </v>
      </c>
      <c r="H6132" s="24" t="str">
        <f>IF(J6132&lt;&gt;1,"",IF(I6132="SBJ","CB","?"))</f>
        <v> </v>
      </c>
      <c r="I6132" s="25" t="str">
        <f>IF(OR(E6132="",E6132="!!!",F6132="NEW"),"",INDEX(B6131:B$2,-1+SUMPRODUCT(MAX(ROW(E6131:E$2)*(E6132=E6131:E$2)))))</f>
        <v> </v>
      </c>
      <c r="J6132" s="25" t="str">
        <f>IF(OR(E6132="",E6132="!!!",F6132="NEW"),"",COUNTBLANK(OFFSET(A$1,,,SUMPRODUCT(MAX(ROW(E$2:E6132)*(E6132=E$2:E6132)))))-COUNTBLANK(OFFSET(A$1,,,SUMPRODUCT(MAX(ROW(E$1:E6131)*(E2=E$1:E6131))))))</f>
        <v> </v>
      </c>
      <c r="K6132" s="25" t="str">
        <f>IF(OR(E6132="",E6132="!!!",F6132="NEW"),"",INDEX(J$1:J6131,SUMPRODUCT(MAX(ROW(E$1:E6131)*(E6132=E$1:E6131)))))</f>
        <v> </v>
      </c>
      <c r="L6132" s="26"/>
    </row>
    <row r="6133" spans="1:12">
      <c r="A6133" s="20" t="s">
        <v>2578</v>
      </c>
      <c r="E6133" s="21">
        <f>IF(D6133="?OLD","!!!","")</f>
        <v/>
      </c>
      <c r="F6133" s="22" t="str">
        <f>IF(OR(E6133="",E6133="!!!"),"",IF(NOT(ISNA(VLOOKUP(E6133,E$1:E6132,1,FALSE()))),"OLD",IF(AND(E6133&lt;&gt;"",E6133&lt;&gt;"!!!"),"NEW","")))</f>
        <v> </v>
      </c>
      <c r="G6133" s="23" t="str">
        <f>IF(OR(E6133="",E6133="!!!"),"",IF(OR(J6133=0,AND(J6133=1,K6133=1),AND(J6133=1,I6133="SBJ"),AND(J6133=1,I6133=0)),"?IN_FOCUS",IF(J6133&lt;=2,"?ACTIVATED",IF(J6133&lt;&gt;"","?FAMILIAR",IF(F6133="NEW",IF(ISNA(VLOOKUP(E6133,#REF!,1,FALSE())),"?TYPE_IDENTIFIABLE","?REFERENTIAL"),"_")))))</f>
        <v> </v>
      </c>
      <c r="H6133" s="24" t="str">
        <f>IF(J6133&lt;&gt;1,"",IF(I6133="SBJ","CB","?"))</f>
        <v> </v>
      </c>
      <c r="I6133" s="25" t="str">
        <f>IF(OR(E6133="",E6133="!!!",F6133="NEW"),"",INDEX(B6132:B$2,-1+SUMPRODUCT(MAX(ROW(E6132:E$2)*(E6133=E6132:E$2)))))</f>
        <v> </v>
      </c>
      <c r="J6133" s="25" t="str">
        <f>IF(OR(E6133="",E6133="!!!",F6133="NEW"),"",COUNTBLANK(OFFSET(A$1,,,SUMPRODUCT(MAX(ROW(E$2:E6133)*(E6133=E$2:E6133)))))-COUNTBLANK(OFFSET(A$1,,,SUMPRODUCT(MAX(ROW(E$1:E6132)*(E2=E$1:E6132))))))</f>
        <v> </v>
      </c>
      <c r="K6133" s="25" t="str">
        <f>IF(OR(E6133="",E6133="!!!",F6133="NEW"),"",INDEX(J$1:J6132,SUMPRODUCT(MAX(ROW(E$1:E6132)*(E6133=E$1:E6132)))))</f>
        <v> </v>
      </c>
      <c r="L6133" s="26"/>
    </row>
    <row r="6134" spans="1:12">
      <c r="A6134" s="20" t="s">
        <v>2579</v>
      </c>
      <c r="B6134" s="27" t="s">
        <v>973</v>
      </c>
      <c r="C6134" s="27" t="s">
        <v>1018</v>
      </c>
      <c r="E6134" s="21">
        <f>IF(D6134="?OLD","!!!","")</f>
        <v/>
      </c>
      <c r="F6134" s="22" t="str">
        <f>IF(OR(E6134="",E6134="!!!"),"",IF(NOT(ISNA(VLOOKUP(E6134,E$1:E6133,1,FALSE()))),"OLD",IF(AND(E6134&lt;&gt;"",E6134&lt;&gt;"!!!"),"NEW","")))</f>
        <v> </v>
      </c>
      <c r="G6134" s="23" t="str">
        <f>IF(OR(E6134="",E6134="!!!"),"",IF(OR(J6134=0,AND(J6134=1,K6134=1),AND(J6134=1,I6134="SBJ"),AND(J6134=1,I6134=0)),"?IN_FOCUS",IF(J6134&lt;=2,"?ACTIVATED",IF(J6134&lt;&gt;"","?FAMILIAR",IF(F6134="NEW",IF(ISNA(VLOOKUP(E6134,#REF!,1,FALSE())),"?TYPE_IDENTIFIABLE","?REFERENTIAL"),"_")))))</f>
        <v> </v>
      </c>
      <c r="H6134" s="24" t="str">
        <f>IF(J6134&lt;&gt;1,"",IF(I6134="SBJ","CB","?"))</f>
        <v> </v>
      </c>
      <c r="I6134" s="25" t="str">
        <f>IF(OR(E6134="",E6134="!!!",F6134="NEW"),"",INDEX(B6133:B$2,-1+SUMPRODUCT(MAX(ROW(E6133:E$2)*(E6134=E6133:E$2)))))</f>
        <v> </v>
      </c>
      <c r="J6134" s="25" t="str">
        <f>IF(OR(E6134="",E6134="!!!",F6134="NEW"),"",COUNTBLANK(OFFSET(A$1,,,SUMPRODUCT(MAX(ROW(E$2:E6134)*(E6134=E$2:E6134)))))-COUNTBLANK(OFFSET(A$1,,,SUMPRODUCT(MAX(ROW(E$1:E6133)*(E2=E$1:E6133))))))</f>
        <v> </v>
      </c>
      <c r="K6134" s="25" t="str">
        <f>IF(OR(E6134="",E6134="!!!",F6134="NEW"),"",INDEX(J$1:J6133,SUMPRODUCT(MAX(ROW(E$1:E6133)*(E6134=E$1:E6133)))))</f>
        <v> </v>
      </c>
      <c r="L6134" s="26"/>
    </row>
    <row r="6135" spans="1:12">
      <c r="A6135" s="20" t="s">
        <v>1005</v>
      </c>
      <c r="E6135" s="21">
        <f>IF(D6135="?OLD","!!!","")</f>
        <v/>
      </c>
      <c r="F6135" s="22" t="str">
        <f>IF(OR(E6135="",E6135="!!!"),"",IF(NOT(ISNA(VLOOKUP(E6135,E$1:E6134,1,FALSE()))),"OLD",IF(AND(E6135&lt;&gt;"",E6135&lt;&gt;"!!!"),"NEW","")))</f>
        <v> </v>
      </c>
      <c r="G6135" s="23" t="str">
        <f>IF(OR(E6135="",E6135="!!!"),"",IF(OR(J6135=0,AND(J6135=1,K6135=1),AND(J6135=1,I6135="SBJ"),AND(J6135=1,I6135=0)),"?IN_FOCUS",IF(J6135&lt;=2,"?ACTIVATED",IF(J6135&lt;&gt;"","?FAMILIAR",IF(F6135="NEW",IF(ISNA(VLOOKUP(E6135,#REF!,1,FALSE())),"?TYPE_IDENTIFIABLE","?REFERENTIAL"),"_")))))</f>
        <v> </v>
      </c>
      <c r="H6135" s="24" t="str">
        <f>IF(J6135&lt;&gt;1,"",IF(I6135="SBJ","CB","?"))</f>
        <v> </v>
      </c>
      <c r="I6135" s="25" t="str">
        <f>IF(OR(E6135="",E6135="!!!",F6135="NEW"),"",INDEX(B6134:B$2,-1+SUMPRODUCT(MAX(ROW(E6134:E$2)*(E6135=E6134:E$2)))))</f>
        <v> </v>
      </c>
      <c r="J6135" s="25" t="str">
        <f>IF(OR(E6135="",E6135="!!!",F6135="NEW"),"",COUNTBLANK(OFFSET(A$1,,,SUMPRODUCT(MAX(ROW(E$2:E6135)*(E6135=E$2:E6135)))))-COUNTBLANK(OFFSET(A$1,,,SUMPRODUCT(MAX(ROW(E$1:E6134)*(E2=E$1:E6134))))))</f>
        <v> </v>
      </c>
      <c r="K6135" s="25" t="str">
        <f>IF(OR(E6135="",E6135="!!!",F6135="NEW"),"",INDEX(J$1:J6134,SUMPRODUCT(MAX(ROW(E$1:E6134)*(E6135=E$1:E6134)))))</f>
        <v> </v>
      </c>
      <c r="L6135" s="26"/>
    </row>
    <row r="6136" spans="1:12">
      <c r="A6136" s="20"/>
    </row>
    <row r="6137" spans="1:12">
      <c r="A6137" s="20" t="s">
        <v>2580</v>
      </c>
    </row>
    <row r="6138" spans="1:12">
      <c r="A6138" s="20" t="s">
        <v>2581</v>
      </c>
      <c r="E6138" s="21">
        <f>IF(D6138="?OLD","!!!","")</f>
        <v/>
      </c>
      <c r="F6138" s="22" t="str">
        <f>IF(OR(E6138="",E6138="!!!"),"",IF(NOT(ISNA(VLOOKUP(E6138,E$1:E6137,1,FALSE()))),"OLD",IF(AND(E6138&lt;&gt;"",E6138&lt;&gt;"!!!"),"NEW","")))</f>
        <v> </v>
      </c>
      <c r="G6138" s="23" t="str">
        <f>IF(OR(E6138="",E6138="!!!"),"",IF(OR(J6138=0,AND(J6138=1,K6138=1),AND(J6138=1,I6138="SBJ"),AND(J6138=1,I6138=0)),"?IN_FOCUS",IF(J6138&lt;=2,"?ACTIVATED",IF(J6138&lt;&gt;"","?FAMILIAR",IF(F6138="NEW",IF(ISNA(VLOOKUP(E6138,#REF!,1,FALSE())),"?TYPE_IDENTIFIABLE","?REFERENTIAL"),"_")))))</f>
        <v> </v>
      </c>
      <c r="H6138" s="24" t="str">
        <f>IF(J6138&lt;&gt;1,"",IF(I6138="SBJ","CB","?"))</f>
        <v> </v>
      </c>
      <c r="I6138" s="25" t="str">
        <f>IF(OR(E6138="",E6138="!!!",F6138="NEW"),"",INDEX(B6137:B$2,-1+SUMPRODUCT(MAX(ROW(E6137:E$2)*(E6138=E6137:E$2)))))</f>
        <v> </v>
      </c>
      <c r="J6138" s="25" t="str">
        <f>IF(OR(E6138="",E6138="!!!",F6138="NEW"),"",COUNTBLANK(OFFSET(A$1,,,SUMPRODUCT(MAX(ROW(E$2:E6138)*(E6138=E$2:E6138)))))-COUNTBLANK(OFFSET(A$1,,,SUMPRODUCT(MAX(ROW(E$1:E6137)*(E2=E$1:E6137))))))</f>
        <v> </v>
      </c>
      <c r="K6138" s="25" t="str">
        <f>IF(OR(E6138="",E6138="!!!",F6138="NEW"),"",INDEX(J$1:J6137,SUMPRODUCT(MAX(ROW(E$1:E6137)*(E6138=E$1:E6137)))))</f>
        <v> </v>
      </c>
      <c r="L6138" s="26"/>
    </row>
    <row r="6139" spans="1:12">
      <c r="A6139" s="20" t="s">
        <v>946</v>
      </c>
      <c r="B6139" s="27" t="s">
        <v>1053</v>
      </c>
      <c r="C6139" s="27" t="s">
        <v>1123</v>
      </c>
      <c r="E6139" s="21">
        <f>IF(D6139="?OLD","!!!","")</f>
        <v/>
      </c>
      <c r="F6139" s="22" t="str">
        <f>IF(OR(E6139="",E6139="!!!"),"",IF(NOT(ISNA(VLOOKUP(E6139,E$1:E6138,1,FALSE()))),"OLD",IF(AND(E6139&lt;&gt;"",E6139&lt;&gt;"!!!"),"NEW","")))</f>
        <v> </v>
      </c>
      <c r="G6139" s="23" t="str">
        <f>IF(OR(E6139="",E6139="!!!"),"",IF(OR(J6139=0,AND(J6139=1,K6139=1),AND(J6139=1,I6139="SBJ"),AND(J6139=1,I6139=0)),"?IN_FOCUS",IF(J6139&lt;=2,"?ACTIVATED",IF(J6139&lt;&gt;"","?FAMILIAR",IF(F6139="NEW",IF(ISNA(VLOOKUP(E6139,#REF!,1,FALSE())),"?TYPE_IDENTIFIABLE","?REFERENTIAL"),"_")))))</f>
        <v> </v>
      </c>
      <c r="H6139" s="24" t="str">
        <f>IF(J6139&lt;&gt;1,"",IF(I6139="SBJ","CB","?"))</f>
        <v> </v>
      </c>
      <c r="I6139" s="25" t="str">
        <f>IF(OR(E6139="",E6139="!!!",F6139="NEW"),"",INDEX(B6138:B$2,-1+SUMPRODUCT(MAX(ROW(E6138:E$2)*(E6139=E6138:E$2)))))</f>
        <v> </v>
      </c>
      <c r="J6139" s="25" t="str">
        <f>IF(OR(E6139="",E6139="!!!",F6139="NEW"),"",COUNTBLANK(OFFSET(A$1,,,SUMPRODUCT(MAX(ROW(E$2:E6139)*(E6139=E$2:E6139)))))-COUNTBLANK(OFFSET(A$1,,,SUMPRODUCT(MAX(ROW(E$1:E6138)*(E2=E$1:E6138))))))</f>
        <v> </v>
      </c>
      <c r="K6139" s="25" t="str">
        <f>IF(OR(E6139="",E6139="!!!",F6139="NEW"),"",INDEX(J$1:J6138,SUMPRODUCT(MAX(ROW(E$1:E6138)*(E6139=E$1:E6138)))))</f>
        <v> </v>
      </c>
      <c r="L6139" s="26"/>
    </row>
    <row r="6140" spans="1:12">
      <c r="A6140" s="20" t="s">
        <v>1005</v>
      </c>
      <c r="E6140" s="21">
        <f>IF(D6140="?OLD","!!!","")</f>
        <v/>
      </c>
      <c r="F6140" s="22" t="str">
        <f>IF(OR(E6140="",E6140="!!!"),"",IF(NOT(ISNA(VLOOKUP(E6140,E$1:E6139,1,FALSE()))),"OLD",IF(AND(E6140&lt;&gt;"",E6140&lt;&gt;"!!!"),"NEW","")))</f>
        <v> </v>
      </c>
      <c r="G6140" s="23" t="str">
        <f>IF(OR(E6140="",E6140="!!!"),"",IF(OR(J6140=0,AND(J6140=1,K6140=1),AND(J6140=1,I6140="SBJ"),AND(J6140=1,I6140=0)),"?IN_FOCUS",IF(J6140&lt;=2,"?ACTIVATED",IF(J6140&lt;&gt;"","?FAMILIAR",IF(F6140="NEW",IF(ISNA(VLOOKUP(E6140,#REF!,1,FALSE())),"?TYPE_IDENTIFIABLE","?REFERENTIAL"),"_")))))</f>
        <v> </v>
      </c>
      <c r="H6140" s="24" t="str">
        <f>IF(J6140&lt;&gt;1,"",IF(I6140="SBJ","CB","?"))</f>
        <v> </v>
      </c>
      <c r="I6140" s="25" t="str">
        <f>IF(OR(E6140="",E6140="!!!",F6140="NEW"),"",INDEX(B6139:B$2,-1+SUMPRODUCT(MAX(ROW(E6139:E$2)*(E6140=E6139:E$2)))))</f>
        <v> </v>
      </c>
      <c r="J6140" s="25" t="str">
        <f>IF(OR(E6140="",E6140="!!!",F6140="NEW"),"",COUNTBLANK(OFFSET(A$1,,,SUMPRODUCT(MAX(ROW(E$2:E6140)*(E6140=E$2:E6140)))))-COUNTBLANK(OFFSET(A$1,,,SUMPRODUCT(MAX(ROW(E$1:E6139)*(E2=E$1:E6139))))))</f>
        <v> </v>
      </c>
      <c r="K6140" s="25" t="str">
        <f>IF(OR(E6140="",E6140="!!!",F6140="NEW"),"",INDEX(J$1:J6139,SUMPRODUCT(MAX(ROW(E$1:E6139)*(E6140=E$1:E6139)))))</f>
        <v> </v>
      </c>
      <c r="L6140" s="26"/>
    </row>
    <row r="6141" spans="1:12">
      <c r="A6141" s="20"/>
    </row>
    <row r="6142" spans="1:12">
      <c r="A6142" s="20" t="s">
        <v>2582</v>
      </c>
    </row>
    <row r="6143" spans="1:12">
      <c r="A6143" s="20" t="s">
        <v>1746</v>
      </c>
      <c r="E6143" s="21">
        <f>IF(D6143="?OLD","!!!","")</f>
        <v/>
      </c>
      <c r="F6143" s="22" t="str">
        <f>IF(OR(E6143="",E6143="!!!"),"",IF(NOT(ISNA(VLOOKUP(E6143,E$1:E6142,1,FALSE()))),"OLD",IF(AND(E6143&lt;&gt;"",E6143&lt;&gt;"!!!"),"NEW","")))</f>
        <v> </v>
      </c>
      <c r="G6143" s="23" t="str">
        <f>IF(OR(E6143="",E6143="!!!"),"",IF(OR(J6143=0,AND(J6143=1,K6143=1),AND(J6143=1,I6143="SBJ"),AND(J6143=1,I6143=0)),"?IN_FOCUS",IF(J6143&lt;=2,"?ACTIVATED",IF(J6143&lt;&gt;"","?FAMILIAR",IF(F6143="NEW",IF(ISNA(VLOOKUP(E6143,#REF!,1,FALSE())),"?TYPE_IDENTIFIABLE","?REFERENTIAL"),"_")))))</f>
        <v> </v>
      </c>
      <c r="H6143" s="24" t="str">
        <f>IF(J6143&lt;&gt;1,"",IF(I6143="SBJ","CB","?"))</f>
        <v> </v>
      </c>
      <c r="I6143" s="25" t="str">
        <f>IF(OR(E6143="",E6143="!!!",F6143="NEW"),"",INDEX(B6142:B$2,-1+SUMPRODUCT(MAX(ROW(E6142:E$2)*(E6143=E6142:E$2)))))</f>
        <v> </v>
      </c>
      <c r="J6143" s="25" t="str">
        <f>IF(OR(E6143="",E6143="!!!",F6143="NEW"),"",COUNTBLANK(OFFSET(A$1,,,SUMPRODUCT(MAX(ROW(E$2:E6143)*(E6143=E$2:E6143)))))-COUNTBLANK(OFFSET(A$1,,,SUMPRODUCT(MAX(ROW(E$1:E6142)*(E2=E$1:E6142))))))</f>
        <v> </v>
      </c>
      <c r="K6143" s="25" t="str">
        <f>IF(OR(E6143="",E6143="!!!",F6143="NEW"),"",INDEX(J$1:J6142,SUMPRODUCT(MAX(ROW(E$1:E6142)*(E6143=E$1:E6142)))))</f>
        <v> </v>
      </c>
      <c r="L6143" s="26"/>
    </row>
    <row r="6144" spans="1:12">
      <c r="A6144" s="20" t="s">
        <v>950</v>
      </c>
      <c r="B6144" s="27" t="s">
        <v>1053</v>
      </c>
      <c r="C6144" s="27" t="s">
        <v>1083</v>
      </c>
      <c r="D6144" s="27" t="s">
        <v>969</v>
      </c>
      <c r="E6144" s="21">
        <f>IF(D6144="?OLD","!!!","")</f>
        <v/>
      </c>
      <c r="F6144" s="22" t="str">
        <f>IF(OR(E6144="",E6144="!!!"),"",IF(NOT(ISNA(VLOOKUP(E6144,E$1:E6143,1,FALSE()))),"OLD",IF(AND(E6144&lt;&gt;"",E6144&lt;&gt;"!!!"),"NEW","")))</f>
        <v> </v>
      </c>
      <c r="G6144" s="23" t="str">
        <f>IF(OR(E6144="",E6144="!!!"),"",IF(OR(J6144=0,AND(J6144=1,K6144=1),AND(J6144=1,I6144="SBJ"),AND(J6144=1,I6144=0)),"?IN_FOCUS",IF(J6144&lt;=2,"?ACTIVATED",IF(J6144&lt;&gt;"","?FAMILIAR",IF(F6144="NEW",IF(ISNA(VLOOKUP(E6144,#REF!,1,FALSE())),"?TYPE_IDENTIFIABLE","?REFERENTIAL"),"_")))))</f>
        <v> </v>
      </c>
      <c r="H6144" s="24" t="str">
        <f>IF(J6144&lt;&gt;1,"",IF(I6144="SBJ","CB","?"))</f>
        <v> </v>
      </c>
      <c r="I6144" s="25" t="str">
        <f>IF(OR(E6144="",E6144="!!!",F6144="NEW"),"",INDEX(B6143:B$2,-1+SUMPRODUCT(MAX(ROW(E6143:E$2)*(E6144=E6143:E$2)))))</f>
        <v> </v>
      </c>
      <c r="J6144" s="25" t="str">
        <f>IF(OR(E6144="",E6144="!!!",F6144="NEW"),"",COUNTBLANK(OFFSET(A$1,,,SUMPRODUCT(MAX(ROW(E$2:E6144)*(E6144=E$2:E6144)))))-COUNTBLANK(OFFSET(A$1,,,SUMPRODUCT(MAX(ROW(E$1:E6143)*(E2=E$1:E6143))))))</f>
        <v> </v>
      </c>
      <c r="K6144" s="25" t="str">
        <f>IF(OR(E6144="",E6144="!!!",F6144="NEW"),"",INDEX(J$1:J6143,SUMPRODUCT(MAX(ROW(E$1:E6143)*(E6144=E$1:E6143)))))</f>
        <v> </v>
      </c>
      <c r="L6144" s="26"/>
    </row>
    <row r="6145" spans="1:12">
      <c r="A6145" s="20" t="s">
        <v>1748</v>
      </c>
      <c r="E6145" s="21">
        <f>IF(D6145="?OLD","!!!","")</f>
        <v/>
      </c>
      <c r="F6145" s="22" t="str">
        <f>IF(OR(E6145="",E6145="!!!"),"",IF(NOT(ISNA(VLOOKUP(E6145,E$1:E6144,1,FALSE()))),"OLD",IF(AND(E6145&lt;&gt;"",E6145&lt;&gt;"!!!"),"NEW","")))</f>
        <v> </v>
      </c>
      <c r="G6145" s="23" t="str">
        <f>IF(OR(E6145="",E6145="!!!"),"",IF(OR(J6145=0,AND(J6145=1,K6145=1),AND(J6145=1,I6145="SBJ"),AND(J6145=1,I6145=0)),"?IN_FOCUS",IF(J6145&lt;=2,"?ACTIVATED",IF(J6145&lt;&gt;"","?FAMILIAR",IF(F6145="NEW",IF(ISNA(VLOOKUP(E6145,#REF!,1,FALSE())),"?TYPE_IDENTIFIABLE","?REFERENTIAL"),"_")))))</f>
        <v> </v>
      </c>
      <c r="H6145" s="24" t="str">
        <f>IF(J6145&lt;&gt;1,"",IF(I6145="SBJ","CB","?"))</f>
        <v> </v>
      </c>
      <c r="I6145" s="25" t="str">
        <f>IF(OR(E6145="",E6145="!!!",F6145="NEW"),"",INDEX(B6144:B$2,-1+SUMPRODUCT(MAX(ROW(E6144:E$2)*(E6145=E6144:E$2)))))</f>
        <v> </v>
      </c>
      <c r="J6145" s="25" t="str">
        <f>IF(OR(E6145="",E6145="!!!",F6145="NEW"),"",COUNTBLANK(OFFSET(A$1,,,SUMPRODUCT(MAX(ROW(E$2:E6145)*(E6145=E$2:E6145)))))-COUNTBLANK(OFFSET(A$1,,,SUMPRODUCT(MAX(ROW(E$1:E6144)*(E2=E$1:E6144))))))</f>
        <v> </v>
      </c>
      <c r="K6145" s="25" t="str">
        <f>IF(OR(E6145="",E6145="!!!",F6145="NEW"),"",INDEX(J$1:J6144,SUMPRODUCT(MAX(ROW(E$1:E6144)*(E6145=E$1:E6144)))))</f>
        <v> </v>
      </c>
      <c r="L6145" s="26"/>
    </row>
    <row r="6146" spans="1:12">
      <c r="A614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2024-05-20T13:14:17Z</dcterms:created>
  <dcterms:modified xsi:type="dcterms:W3CDTF">2024-05-20T13:14:17Z</dcterms:modified>
</cp:coreProperties>
</file>