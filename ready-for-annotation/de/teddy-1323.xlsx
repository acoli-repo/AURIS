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<sst xmlns="http://schemas.openxmlformats.org/spreadsheetml/2006/main" count="12118" uniqueCount="2583">
  <si>
    <t>ID</t>
  </si>
  <si>
    <t>PRED_ID</t>
  </si>
  <si>
    <t>MARKER_AUTO</t>
  </si>
  <si>
    <t>PREDICATE</t>
  </si>
  <si>
    <t>TEXT</t>
  </si>
  <si>
    <t>SENTENCE</t>
  </si>
  <si>
    <t>MARKER</t>
  </si>
  <si>
    <t>TARGET</t>
  </si>
  <si>
    <t>RELATION</t>
  </si>
  <si>
    <t>COMMENT</t>
  </si>
  <si>
    <t>1</t>
  </si>
  <si>
    <t>3</t>
  </si>
  <si>
    <t>_</t>
  </si>
  <si>
    <t>fühlen</t>
  </si>
  <si>
    <t>&amp;quot; Ich fühlt ' Begräbnis im in dem Gehirn und Trauergäste her und hin die trampelten und trampelten in meinem Kopfe schwer , bis ich fühlte , dass ich wieder zu Sinnen kam .</t>
  </si>
  <si>
    <t>file://conllu/de/teddy-1323.conllu#s1_0</t>
  </si>
  <si>
    <t>2</t>
  </si>
  <si>
    <t>7</t>
  </si>
  <si>
    <t>ertönen</t>
  </si>
  <si>
    <t>Und sobald sie alle saßen , ertönt eine Andacht , trommelgleich , sie hörte nicht auf zu schlagen , schlagen , und schlug das Hirn mir weich .</t>
  </si>
  <si>
    <t>file://conllu/de/teddy-1323.conllu#s2_0</t>
  </si>
  <si>
    <t>hören</t>
  </si>
  <si>
    <t>Ich hörte sie heben eine Kiste und über meine Seele knarzen wieder mit den gleichen Bleistiefeln , dann begann der Raum zu klingen , als wäre der Himmel eine Glocke und die Existenz ein Ohr , und ich und die Stille eine sonderbare Rasse , ruiniert , einsam , hier .</t>
  </si>
  <si>
    <t>file://conllu/de/teddy-1323.conllu#s3_0</t>
  </si>
  <si>
    <t>4</t>
  </si>
  <si>
    <t>brechen</t>
  </si>
  <si>
    <t>Genau dann bricht eine Planke in der Vernunft und ich fiel immer tiefer und treffe bei jedem Fall auf eine andere Welt und hörte damit auf , zu wissen . &amp;quot;</t>
  </si>
  <si>
    <t>file://conllu/de/teddy-1323.conllu#s4_0</t>
  </si>
  <si>
    <t>5</t>
  </si>
  <si>
    <t>kennen</t>
  </si>
  <si>
    <t>Wir kennen Depressionen durch Metaphern .</t>
  </si>
  <si>
    <t>file://conllu/de/teddy-1323.conllu#s5_0</t>
  </si>
  <si>
    <t>6</t>
  </si>
  <si>
    <t>Durch?</t>
  </si>
  <si>
    <t>vermitteln</t>
  </si>
  <si>
    <t>Emily Dickinson konnte es durch Sprache vermitteln , Goya mittels eines Bildes .</t>
  </si>
  <si>
    <t>file://conllu/de/teddy-1323.conllu#s6_0</t>
  </si>
  <si>
    <t>sein</t>
  </si>
  <si>
    <t>Die Intention von Kunst ist zur zu der Hälfte , solche ikonischen Zustände zu beschreiben .</t>
  </si>
  <si>
    <t>file://conllu/de/teddy-1323.conllu#s7_0</t>
  </si>
  <si>
    <t>8</t>
  </si>
  <si>
    <t>halten</t>
  </si>
  <si>
    <t>Ich selbst hielt mich immer für taff , für einen der Menschen , der überleben würde , wenn er in ein Konzentrationslager geschickt würde .</t>
  </si>
  <si>
    <t>file://conllu/de/teddy-1323.conllu#s8_0</t>
  </si>
  <si>
    <t>9</t>
  </si>
  <si>
    <t>erleiden</t>
  </si>
  <si>
    <t>1991 erlitt ich zahlreiche Verluste .</t>
  </si>
  <si>
    <t>file://conllu/de/teddy-1323.conllu#s9_0</t>
  </si>
  <si>
    <t>10</t>
  </si>
  <si>
    <t>sterben</t>
  </si>
  <si>
    <t>Meine Mutter starb , meine Beziehung endete , ich zog , nach einigen Jahren im in dem Ausland , in die USA zurück , und ich überstand all diese Erfahrungen unversehrt .</t>
  </si>
  <si>
    <t>file://conllu/de/teddy-1323.conllu#s10_0</t>
  </si>
  <si>
    <t>11</t>
  </si>
  <si>
    <t>verlieren</t>
  </si>
  <si>
    <t>Aber 1994 , drei Jahre später , verlor ich das Interesse an fast allen Dingen .</t>
  </si>
  <si>
    <t>file://conllu/de/teddy-1323.conllu#s11_0</t>
  </si>
  <si>
    <t>12</t>
  </si>
  <si>
    <t>Warum?</t>
  </si>
  <si>
    <t>machen</t>
  </si>
  <si>
    <t>Ich wollte nichts mehr von den Dingen machen , die ich zuvor tun wollte , und ich wusste nicht warum .</t>
  </si>
  <si>
    <t>file://conllu/de/teddy-1323.conllu#s12_0</t>
  </si>
  <si>
    <t>13</t>
  </si>
  <si>
    <t>sein (sein Glück)</t>
  </si>
  <si>
    <t>Das Gegenteil von Depressionen ist nicht Glück , sondern Vitalität , und gerade die Vitalität schien in diesem Moment aus mir heraus zu sickern .</t>
  </si>
  <si>
    <t>file://conllu/de/teddy-1323.conllu#s13_0</t>
  </si>
  <si>
    <t>14</t>
  </si>
  <si>
    <t>scheinen</t>
  </si>
  <si>
    <t>Alles , was zu tun war , schien zu viel Arbeit .</t>
  </si>
  <si>
    <t>file://conllu/de/teddy-1323.conllu#s14_0</t>
  </si>
  <si>
    <t>15</t>
  </si>
  <si>
    <t>Wenn ich nach Hause kam und das rote Licht meines Anrufbeantworters blinken sah , war ich nicht begeistert von meinen Freunden zu hören , sondern dachte : &amp;quot; Das sind viele Leute , die ich zurückrufen muss . &amp;quot;</t>
  </si>
  <si>
    <t>file://conllu/de/teddy-1323.conllu#s15_0</t>
  </si>
  <si>
    <t>16</t>
  </si>
  <si>
    <t>denken (denken entscheiden)</t>
  </si>
  <si>
    <t>Oder ich entschied zu Mittag zu essen , und dann dachte ich , dass ich dafür das Essen rausholen und es auf einen Teller tun muss , es schneiden und kauen und schlucken muss , und das fühlte sich für mich wie ein Kreuzweg an .</t>
  </si>
  <si>
    <t>file://conllu/de/teddy-1323.conllu#s16_0</t>
  </si>
  <si>
    <t>17</t>
  </si>
  <si>
    <t>übersehen</t>
  </si>
  <si>
    <t>Wenn über Depressionen diskutiert wird , wird oft übersehen , dass man weiß , dass es lächerlich ist .</t>
  </si>
  <si>
    <t>file://conllu/de/teddy-1323.conllu#s17_0</t>
  </si>
  <si>
    <t>18</t>
  </si>
  <si>
    <t>wissen</t>
  </si>
  <si>
    <t>Man weiß , dass es lächerlich ist , während man es erlebt .</t>
  </si>
  <si>
    <t>file://conllu/de/teddy-1323.conllu#s18_0</t>
  </si>
  <si>
    <t>19</t>
  </si>
  <si>
    <t>Man weiß , dass die meisten Menschen es schaffen , ihre Nachrichten abzuhören , Mittag zu essen , sich selbst dazu zu bringen , zu duschen und aus dem Haus zu gehen , und das es keine große Sache ist , aber dennoch ist man in ihren Fängen und unfähig , einen Weg drum herum zu finden .</t>
  </si>
  <si>
    <t>file://conllu/de/teddy-1323.conllu#s19_0</t>
  </si>
  <si>
    <t>20</t>
  </si>
  <si>
    <t>beginnen</t>
  </si>
  <si>
    <t>Ich begann immer weniger zu tun , immer weniger zu denken und weniger zu fühlen .</t>
  </si>
  <si>
    <t>file://conllu/de/teddy-1323.conllu#s20_0</t>
  </si>
  <si>
    <t>21</t>
  </si>
  <si>
    <t>sein (sein Art)</t>
  </si>
  <si>
    <t>Es war eine Art Nichtigkeit .</t>
  </si>
  <si>
    <t>file://conllu/de/teddy-1323.conllu#s21_0</t>
  </si>
  <si>
    <t>22</t>
  </si>
  <si>
    <t>setzen</t>
  </si>
  <si>
    <t>Und dann setzte die Angst ein .</t>
  </si>
  <si>
    <t>file://conllu/de/teddy-1323.conllu#s22_0</t>
  </si>
  <si>
    <t>23</t>
  </si>
  <si>
    <t>sagen</t>
  </si>
  <si>
    <t>Wenn man mir gesagt hätte , dass ich in den nächsten Monaten depressiv sein würde , hätte ich gesagt : &amp;quot; Solange es im in dem November vorbei ist , schaffe ich das . &amp;quot;</t>
  </si>
  <si>
    <t>file://conllu/de/teddy-1323.conllu#s23_0</t>
  </si>
  <si>
    <t>24</t>
  </si>
  <si>
    <t>haben</t>
  </si>
  <si>
    <t>Aber wenn man mir gesagt hätte : &amp;quot; Sie haben den nächsten Monat akute Angstzustände &amp;quot; , würde ich eher mein Handgelenk aufschlitzen , als das durchzustehen .</t>
  </si>
  <si>
    <t>file://conllu/de/teddy-1323.conllu#s24_0</t>
  </si>
  <si>
    <t>25</t>
  </si>
  <si>
    <t>Ich hatte ständig dieses Gefühl , das man hat , wenn man läuft und rutscht oder stolpert und der Boden auf einen zukommt , aber anstatt dass es eine halbe Sekunde anhält , wie normalerweise , hielt es sechs Monate an .</t>
  </si>
  <si>
    <t>file://conllu/de/teddy-1323.conllu#s25_0</t>
  </si>
  <si>
    <t>26</t>
  </si>
  <si>
    <t>sein (sein Gefühl)</t>
  </si>
  <si>
    <t>Es ist ein Gefühl der ständigen Angst , ohne dass man überhaupt weiß , wovor man Angst hat .</t>
  </si>
  <si>
    <t>file://conllu/de/teddy-1323.conllu#s26_0</t>
  </si>
  <si>
    <t>27</t>
  </si>
  <si>
    <t>sein (sein beginnen)</t>
  </si>
  <si>
    <t>Und an diesem Punkt begann ich zu denken , dass es einfach zu schmerzhaft ist , am an dem Leben zu sein , und dass der einzige Grund , sich nicht umzubringen , darin bestand , anderen Menschen nicht weh zu tun .</t>
  </si>
  <si>
    <t>file://conllu/de/teddy-1323.conllu#s27_0</t>
  </si>
  <si>
    <t>28</t>
  </si>
  <si>
    <t>wachen</t>
  </si>
  <si>
    <t>Eines Tages wachte ich schließlich auf und dachte , ich hätte vielleicht einen Schlaganfall , weil ich komplett gelähmt im in dem Bett lag , das Telefon ansah und dachte : &amp;quot; Etwas stimmt nicht und ich sollte Hilfe holen . &amp;quot;</t>
  </si>
  <si>
    <t>file://conllu/de/teddy-1323.conllu#s28_0</t>
  </si>
  <si>
    <t>29</t>
  </si>
  <si>
    <t>ausstrecken</t>
  </si>
  <si>
    <t>Ich konnte meinen Arm nicht ausstrecken und das Telefon abheben und wählen .</t>
  </si>
  <si>
    <t>file://conllu/de/teddy-1323.conllu#s29_0</t>
  </si>
  <si>
    <t>30</t>
  </si>
  <si>
    <t>Nachdem?</t>
  </si>
  <si>
    <t>klingeln</t>
  </si>
  <si>
    <t>Nachdem ich volle 4 Stunden dagelegen und es angestarrt hatte , klingelte endlich das Telefon , und irgendwie schaffte ich es dranzugehen .</t>
  </si>
  <si>
    <t>file://conllu/de/teddy-1323.conllu#s30_0</t>
  </si>
  <si>
    <t>31</t>
  </si>
  <si>
    <t>sein (sein Vater)</t>
  </si>
  <si>
    <t>Es war mein Vater und ich sagte : &amp;quot; Ich habe ernsthafte Probleme .</t>
  </si>
  <si>
    <t>file://conllu/de/teddy-1323.conllu#s31_0</t>
  </si>
  <si>
    <t>32</t>
  </si>
  <si>
    <t>tun</t>
  </si>
  <si>
    <t>Wir müssen etwas tun . &amp;quot;</t>
  </si>
  <si>
    <t>file://conllu/de/teddy-1323.conllu#s32_0</t>
  </si>
  <si>
    <t>34</t>
  </si>
  <si>
    <t>Und ich begann auch mir diese furchtbare Frage zu stellen : Wenn ich nicht die starke Person bin , die ein Konzentrationslager überstanden hätte , wer bin ich dann ?</t>
  </si>
  <si>
    <t>file://conllu/de/teddy-1323.conllu#s34_0</t>
  </si>
  <si>
    <t>35</t>
  </si>
  <si>
    <t>Und wenn ich Medikamente nehmen muss , machen die Medikamente mich mehr zu mir selbst oder machen sie mich zu jemand anderem ?</t>
  </si>
  <si>
    <t>file://conllu/de/teddy-1323.conllu#s35_0</t>
  </si>
  <si>
    <t>36</t>
  </si>
  <si>
    <t>Was?</t>
  </si>
  <si>
    <t>Und was halte ich davon , wenn sie mich zu einem anderen machen ?</t>
  </si>
  <si>
    <t>file://conllu/de/teddy-1323.conllu#s36_0</t>
  </si>
  <si>
    <t>37</t>
  </si>
  <si>
    <t>geben</t>
  </si>
  <si>
    <t>Es gab zwei Vorteile für mich , als ich den Kampf aufnahm .</t>
  </si>
  <si>
    <t>file://conllu/de/teddy-1323.conllu#s37_0</t>
  </si>
  <si>
    <t>38</t>
  </si>
  <si>
    <t>Erstens wusste ich , objektiv gesprochen , dass ich ein schönes Leben hatte und wenn ich nur gesund würde , wäre dort etwas am an dem anderen Ende , das lebenswert war .</t>
  </si>
  <si>
    <t>file://conllu/de/teddy-1323.conllu#s38_0</t>
  </si>
  <si>
    <t>39</t>
  </si>
  <si>
    <t>Darüber hinaus hatte ich Zugang zu guter Behandlung .</t>
  </si>
  <si>
    <t>file://conllu/de/teddy-1323.conllu#s39_0</t>
  </si>
  <si>
    <t>40</t>
  </si>
  <si>
    <t>kämpfen</t>
  </si>
  <si>
    <t>Aber trotzdem kämpfte ich mich raus und wurde rückfällig , kämpfte mich raus und schließlich verstand ich , dass ich auf ewig in medizinischer und therapeutischer Behandlung bleiben müsste .</t>
  </si>
  <si>
    <t>file://conllu/de/teddy-1323.conllu#s40_0</t>
  </si>
  <si>
    <t>41</t>
  </si>
  <si>
    <t>überlegt</t>
  </si>
  <si>
    <t>Ich überlegte : &amp;quot; Ist es ein chemisches oder ein psychologisches Problem ?</t>
  </si>
  <si>
    <t>file://conllu/de/teddy-1323.conllu#s41_0</t>
  </si>
  <si>
    <t>42</t>
  </si>
  <si>
    <t>heilen</t>
  </si>
  <si>
    <t>Und muss es auf chemische oder auf philosophische Weise geheilt werden ? &amp;quot;</t>
  </si>
  <si>
    <t>file://conllu/de/teddy-1323.conllu#s42_0</t>
  </si>
  <si>
    <t>43</t>
  </si>
  <si>
    <t>Frage</t>
  </si>
  <si>
    <t>Ich konnte die Frage , welches davon es war , nicht beantworten .</t>
  </si>
  <si>
    <t>file://conllu/de/teddy-1323.conllu#s43_0</t>
  </si>
  <si>
    <t>44</t>
  </si>
  <si>
    <t>verstehen</t>
  </si>
  <si>
    <t>Und dann verstand ich schließlich , dass wir in keinem Bereich fortgeschritten genug sind , um die Dinge ganz zu erklären .</t>
  </si>
  <si>
    <t>file://conllu/de/teddy-1323.conllu#s44_0</t>
  </si>
  <si>
    <t>45</t>
  </si>
  <si>
    <t>Die chemische und psychologische Behandlung haben beide eine Funktion , und ich verstand auch , dass Depressionen etwas sind , das so tief in uns verwurzelt ist , dass man sie nicht von unserem Charakter und unserer Persönlichkeit trennen kann .</t>
  </si>
  <si>
    <t>file://conllu/de/teddy-1323.conllu#s45_0</t>
  </si>
  <si>
    <t>46</t>
  </si>
  <si>
    <t>derzeitigen</t>
  </si>
  <si>
    <t>Unsere derzeitigen Behandlungsmethoden für Depressionen sind fürchterlich .</t>
  </si>
  <si>
    <t>file://conllu/de/teddy-1323.conllu#s46_0</t>
  </si>
  <si>
    <t>47</t>
  </si>
  <si>
    <t>sein (sein effektiv)</t>
  </si>
  <si>
    <t>Sie sind nicht besonders effektiv .</t>
  </si>
  <si>
    <t>file://conllu/de/teddy-1323.conllu#s47_0</t>
  </si>
  <si>
    <t>48</t>
  </si>
  <si>
    <t>sein (sein teuer)</t>
  </si>
  <si>
    <t>Sie sind extrem teuer .</t>
  </si>
  <si>
    <t>file://conllu/de/teddy-1323.conllu#s48_0</t>
  </si>
  <si>
    <t>49</t>
  </si>
  <si>
    <t>Sie haben unzählige Nebenwirkungen .</t>
  </si>
  <si>
    <t>file://conllu/de/teddy-1323.conllu#s49_0</t>
  </si>
  <si>
    <t>50</t>
  </si>
  <si>
    <t>sein (sein Desaster)</t>
  </si>
  <si>
    <t>Sie sind ein Desaster .</t>
  </si>
  <si>
    <t>file://conllu/de/teddy-1323.conllu#s50_0</t>
  </si>
  <si>
    <t>51</t>
  </si>
  <si>
    <t>sein (sein dankbar)</t>
  </si>
  <si>
    <t>Aber ich bin so dankbar , dass ich zur zu der heutigen Zeit lebe und nicht vor 50 Jahren , als beinahe gar nichts getan werden konnte .</t>
  </si>
  <si>
    <t>file://conllu/de/teddy-1323.conllu#s51_0</t>
  </si>
  <si>
    <t>52</t>
  </si>
  <si>
    <t>hoffen</t>
  </si>
  <si>
    <t>Ich hoffe , dass in 50 Jahren die Menschen von meinen Therapien hören und entsetzt sein werden , dass irgendjemand so eine primitive Wissenschaft erduldete .</t>
  </si>
  <si>
    <t>file://conllu/de/teddy-1323.conllu#s52_0</t>
  </si>
  <si>
    <t>53</t>
  </si>
  <si>
    <t>sein (sein Manko)</t>
  </si>
  <si>
    <t>Depressionen sind das Manko der Liebe .</t>
  </si>
  <si>
    <t>file://conllu/de/teddy-1323.conllu#s53_0</t>
  </si>
  <si>
    <t>54</t>
  </si>
  <si>
    <t>sein (sein verheiratet)</t>
  </si>
  <si>
    <t>Wäre man mit jemandem verheiratet und würde denken : &amp;quot; Wenn meine Frau stirbt , finde ich eine andere &amp;quot; , wäre es nicht die Liebe , wie wir sie kennen .</t>
  </si>
  <si>
    <t>file://conllu/de/teddy-1323.conllu#s54_0</t>
  </si>
  <si>
    <t>55</t>
  </si>
  <si>
    <t>Es gibt keine Liebe , ohne das Vorgefühl von Verlust , und dieses Schreckgespenst der Verzweiflung kann der Antrieb für Vertrautheit sein .</t>
  </si>
  <si>
    <t>file://conllu/de/teddy-1323.conllu#s55_0</t>
  </si>
  <si>
    <t>56</t>
  </si>
  <si>
    <t>Es gibt drei Dinge , die Menschen gerne verwechseln : Depressionen , Trauer und Traurigkeit .</t>
  </si>
  <si>
    <t>file://conllu/de/teddy-1323.conllu#s56_0</t>
  </si>
  <si>
    <t>57</t>
  </si>
  <si>
    <t>sein (sein reaktiv)</t>
  </si>
  <si>
    <t>Trauer ist ausdrücklich reaktiv .</t>
  </si>
  <si>
    <t>file://conllu/de/teddy-1323.conllu#s57_0</t>
  </si>
  <si>
    <t>58</t>
  </si>
  <si>
    <t>33</t>
  </si>
  <si>
    <t>sein (sein Trauer)</t>
  </si>
  <si>
    <t>Wenn Sie einen Verlust erleiden und sich unglaublich unglücklich fühlen , und dann , 6 Monate später , sind Sie immer noch zutiefst traurig , aber Sie funktionieren ein bisschen besser , ist es wahrscheinlich Trauer , und es wird sich wahrscheinlich letztendlich in gewissem Maße von alleine lösen .</t>
  </si>
  <si>
    <t>file://conllu/de/teddy-1323.conllu#s58_0</t>
  </si>
  <si>
    <t>59</t>
  </si>
  <si>
    <t>sein (sein Depression)</t>
  </si>
  <si>
    <t>Wenn Sie einen katastrophalen Verlust erleiden und sich schrecklich fühlen , und nach 6 Monaten kaum funktionieren können , dann sind es vielleicht Depressionen , die von den katastrophalen Umständen ausgelöst wurden .</t>
  </si>
  <si>
    <t>file://conllu/de/teddy-1323.conllu#s59_0</t>
  </si>
  <si>
    <t>60</t>
  </si>
  <si>
    <t>erzählen</t>
  </si>
  <si>
    <t>Der Verlauf erzählt uns eine Menge .</t>
  </si>
  <si>
    <t>file://conllu/de/teddy-1323.conllu#s60_0</t>
  </si>
  <si>
    <t>61</t>
  </si>
  <si>
    <t>denken</t>
  </si>
  <si>
    <t>Die Menschen denken , Depressionen wären einfach Traurigkeit .</t>
  </si>
  <si>
    <t>file://conllu/de/teddy-1323.conllu#s61_0</t>
  </si>
  <si>
    <t>62</t>
  </si>
  <si>
    <t>sein (sein Traurigkeit)</t>
  </si>
  <si>
    <t>Es ist viel zu viel Traurigkeit , viel zu viel Trauer aus einem viel zu nichtigen Grund .</t>
  </si>
  <si>
    <t>file://conllu/de/teddy-1323.conllu#s62_0</t>
  </si>
  <si>
    <t>63</t>
  </si>
  <si>
    <t>Ich machte mich daran , Depressionen zu verstehen und Menschen zu interviewen , die das erlebt hatten .</t>
  </si>
  <si>
    <t>file://conllu/de/teddy-1323.conllu#s63_0</t>
  </si>
  <si>
    <t>64</t>
  </si>
  <si>
    <t>entdecken</t>
  </si>
  <si>
    <t>Ich entdeckte , dass es Menschen gibt , die , oberflächlich betrachtet , relativ leichte Depressionen haben , die aber davon dennoch völlig ausgeschaltet sind .</t>
  </si>
  <si>
    <t>file://conllu/de/teddy-1323.conllu#s64_0</t>
  </si>
  <si>
    <t>65</t>
  </si>
  <si>
    <t>Und es gibt andere Menschen , die , so wie es klingt , furchtbar schwere Depressionen haben , und dennoch zwischen ihren depressiven Episoden ein schönes Leben hatten .</t>
  </si>
  <si>
    <t>file://conllu/de/teddy-1323.conllu#s65_0</t>
  </si>
  <si>
    <t>66</t>
  </si>
  <si>
    <t>versuchen</t>
  </si>
  <si>
    <t>Ich versuchte also herauszufinden , warum manche Menschen widerstandsfähiger sind als andere .</t>
  </si>
  <si>
    <t>file://conllu/de/teddy-1323.conllu#s66_0</t>
  </si>
  <si>
    <t>67</t>
  </si>
  <si>
    <t>sein (sein Mechanismus)</t>
  </si>
  <si>
    <t>Was sind die Mechanismen , die es Menschen ermöglichen , zu überleben ?</t>
  </si>
  <si>
    <t>file://conllu/de/teddy-1323.conllu#s67_0</t>
  </si>
  <si>
    <t>68</t>
  </si>
  <si>
    <t>gehen</t>
  </si>
  <si>
    <t>Ich ging also los und interviewte einen an Depressionen erkrankten Menschen nach dem anderen .</t>
  </si>
  <si>
    <t>file://conllu/de/teddy-1323.conllu#s68_0</t>
  </si>
  <si>
    <t>69</t>
  </si>
  <si>
    <t>erinnern (erinnern hören beschreiben)</t>
  </si>
  <si>
    <t>Einer der ersten Menschen , die ich interviewte , beschrieb Depressionen als eine andere Art Tod , und es war gut , dass ich das so früh hörte , denn es erinnerte mich daran , dass diese Art Tod zum zu dem wirklichen Tod führen kann , und daran , dass es eine ernst zunehmende Sache ist .</t>
  </si>
  <si>
    <t>file://conllu/de/teddy-1323.conllu#s69_0</t>
  </si>
  <si>
    <t>70</t>
  </si>
  <si>
    <t>sein (sein Behinderung)</t>
  </si>
  <si>
    <t>Es ist die am an dem weitesten verbreitete Behinderung und täglich sterben Menschen daran .</t>
  </si>
  <si>
    <t>file://conllu/de/teddy-1323.conllu#s70_0</t>
  </si>
  <si>
    <t>71</t>
  </si>
  <si>
    <t>sein (sein Freundin)</t>
  </si>
  <si>
    <t>Einer der Menschen , mit dem ich sprach als ich das zu verstehen versuchte , war eine geliebte Freundin , die ich schon seit vielen Jahren kannte , und die eine psychotische Episode in ihrem ersten Jahr am an dem College gehabt hatte , und dann in eine entsetzliche Depression verfallen war .</t>
  </si>
  <si>
    <t>file://conllu/de/teddy-1323.conllu#s71_0</t>
  </si>
  <si>
    <t>72</t>
  </si>
  <si>
    <t>Sie hatte eine bipolare Störung oder manische Depression , wie es damals hieß .</t>
  </si>
  <si>
    <t>file://conllu/de/teddy-1323.conllu#s72_0</t>
  </si>
  <si>
    <t>73</t>
  </si>
  <si>
    <t>Über viele Jahre hinweg ging es ihr mit Lithium sehr gut und schließlich wurde das Lithium abgesetzt , um zu sehen , wie sie ohne klar käme .</t>
  </si>
  <si>
    <t>file://conllu/de/teddy-1323.conllu#s73_0</t>
  </si>
  <si>
    <t>74</t>
  </si>
  <si>
    <t>Sie hatte eine weitere Psychose , und verfiel dann in die schwerste Depression , die ich jemals sah .</t>
  </si>
  <si>
    <t>file://conllu/de/teddy-1323.conllu#s74_0</t>
  </si>
  <si>
    <t>75</t>
  </si>
  <si>
    <t>sitzen</t>
  </si>
  <si>
    <t>Sie saß Tag für Tag mehr oder weniger katatonisch und im in dem Grunde bewegungslos in der Wohnung ihrer Eltern .</t>
  </si>
  <si>
    <t>file://conllu/de/teddy-1323.conllu#s75_0</t>
  </si>
  <si>
    <t>76</t>
  </si>
  <si>
    <t>singen (singen sagen)</t>
  </si>
  <si>
    <t>Als ich sie Jahre später über diese Erfahrung befragte sie ist die Dichterin und Psychotherapeutin Maggie Robbins sagte sie : &amp;quot; Ich sang immer wieder ' Where Have All The Flowers Gone ' , um meinen Geist zu beschäftigen .</t>
  </si>
  <si>
    <t>file://conllu/de/teddy-1323.conllu#s76_0</t>
  </si>
  <si>
    <t>77</t>
  </si>
  <si>
    <t>verstehen (verstehen sagen singen)</t>
  </si>
  <si>
    <t>Ich sang , um die Dinge auszulöschen , die mein Verstand mir sagte , Dinge wie ' Du bist nichts .</t>
  </si>
  <si>
    <t>file://conllu/de/teddy-1323.conllu#s77_0</t>
  </si>
  <si>
    <t>78</t>
  </si>
  <si>
    <t>sein (sein niemand)</t>
  </si>
  <si>
    <t>Du bist ein Niemand .</t>
  </si>
  <si>
    <t>file://conllu/de/teddy-1323.conllu#s78_0</t>
  </si>
  <si>
    <t>79</t>
  </si>
  <si>
    <t>verdiensen</t>
  </si>
  <si>
    <t>Du verdienst es nicht mal zu leben . '</t>
  </si>
  <si>
    <t>file://conllu/de/teddy-1323.conllu#s79_0</t>
  </si>
  <si>
    <t>80</t>
  </si>
  <si>
    <t>fangen</t>
  </si>
  <si>
    <t>Und da fing ich wirklich an , daran zu denken , mich umzubringen . &amp;quot;</t>
  </si>
  <si>
    <t>file://conllu/de/teddy-1323.conllu#s80_0</t>
  </si>
  <si>
    <t>81</t>
  </si>
  <si>
    <t>merken</t>
  </si>
  <si>
    <t>Während der Depressionen merkt man nicht , dass man einen grauen Schleier angelegt hat und die Welt durch diesen Schleier von schlechter Laune sieht .</t>
  </si>
  <si>
    <t>file://conllu/de/teddy-1323.conllu#s81_0</t>
  </si>
  <si>
    <t>82</t>
  </si>
  <si>
    <t>sehen (sehen denken)</t>
  </si>
  <si>
    <t>Man denkt , dass der Schleier entfernt wurde , der Schleier des Glücks , und dass man jetzt erst richtig sieht .</t>
  </si>
  <si>
    <t>file://conllu/de/teddy-1323.conllu#s82_0</t>
  </si>
  <si>
    <t>83</t>
  </si>
  <si>
    <t>helfen</t>
  </si>
  <si>
    <t>Es ist einfacher Schizophrenen zu helfen , die etwas Fremdes in sich selbst wahrnehmen , das ausgetrieben werden muss .</t>
  </si>
  <si>
    <t>file://conllu/de/teddy-1323.conllu#s83_0</t>
  </si>
  <si>
    <t>84</t>
  </si>
  <si>
    <t>sein (sein schwierig)</t>
  </si>
  <si>
    <t>Aber mit Depressiven ist es schwierig , denn wir denken , dass wir die Wahrheit sehen .</t>
  </si>
  <si>
    <t>file://conllu/de/teddy-1323.conllu#s84_0</t>
  </si>
  <si>
    <t>85</t>
  </si>
  <si>
    <t>lügen</t>
  </si>
  <si>
    <t>Aber die Wahrheit lügt .</t>
  </si>
  <si>
    <t>file://conllu/de/teddy-1323.conllu#s85_0</t>
  </si>
  <si>
    <t>86</t>
  </si>
  <si>
    <t>besitzen</t>
  </si>
  <si>
    <t>Ich war von diesem Satz besessen : &amp;quot; Aber die Wahrheit lügt . &amp;quot;</t>
  </si>
  <si>
    <t>file://conllu/de/teddy-1323.conllu#s86_0</t>
  </si>
  <si>
    <t>87</t>
  </si>
  <si>
    <t>stellen</t>
  </si>
  <si>
    <t>Aber ich stellte fest , als ich mit depressiven Menschen sprach , dass sie viele wahnhafte Wahrnehmungen haben .</t>
  </si>
  <si>
    <t>file://conllu/de/teddy-1323.conllu#s87_0</t>
  </si>
  <si>
    <t>88</t>
  </si>
  <si>
    <t>Menschen sagen etwa : &amp;quot; Niemand liebt mich . &amp;quot;</t>
  </si>
  <si>
    <t>file://conllu/de/teddy-1323.conllu#s88_0</t>
  </si>
  <si>
    <t>89</t>
  </si>
  <si>
    <t>Und man sagt : &amp;quot; Ich liebe dich , deine Frau liebt dich , deine Mutter liebt dich . &amp;quot;</t>
  </si>
  <si>
    <t>file://conllu/de/teddy-1323.conllu#s89_0</t>
  </si>
  <si>
    <t>90</t>
  </si>
  <si>
    <t>beantworten</t>
  </si>
  <si>
    <t>Man kann das ziemlich schnell beantworten , zumindest bei den meisten Menschen .</t>
  </si>
  <si>
    <t>file://conllu/de/teddy-1323.conllu#s90_0</t>
  </si>
  <si>
    <t>91</t>
  </si>
  <si>
    <t>Aber depressive Menschen werden auch sagen : &amp;quot; Egal , was wir machen , am an dem Ende werden wir alle sterben . &amp;quot;</t>
  </si>
  <si>
    <t>file://conllu/de/teddy-1323.conllu#s91_0</t>
  </si>
  <si>
    <t>92</t>
  </si>
  <si>
    <t>Oder sie werden sagen : &amp;quot; Es kann keine wahre Gemeinschaft zwischen zwei Menschen geben .</t>
  </si>
  <si>
    <t>file://conllu/de/teddy-1323.conllu#s92_0</t>
  </si>
  <si>
    <t>93</t>
  </si>
  <si>
    <t>sein (sein gefangen)</t>
  </si>
  <si>
    <t>Jeder von uns ist in seinem eigenen Körper gefangen . &amp;quot;</t>
  </si>
  <si>
    <t>file://conllu/de/teddy-1323.conllu#s93_0</t>
  </si>
  <si>
    <t>94</t>
  </si>
  <si>
    <t>Worauf man sagen muss : &amp;quot; Das ist wahr , aber ich denke wir sollten uns jetzt darauf konzentrieren , was es zum zu dem Frühstück geben soll . &amp;quot;</t>
  </si>
  <si>
    <t>file://conllu/de/teddy-1323.conllu#s94_0</t>
  </si>
  <si>
    <t>95</t>
  </si>
  <si>
    <t>bringen</t>
  </si>
  <si>
    <t>( Gelächter ) Die meiste Zeit bringen sie nicht die Krankheit , sondern Einsicht zum zu dem Ausdruck .</t>
  </si>
  <si>
    <t>file://conllu/de/teddy-1323.conllu#s95_0</t>
  </si>
  <si>
    <t>96</t>
  </si>
  <si>
    <t>Und man beginnt zu denken : Das wirklich Außergewöhnliche ist , dass die meisten von uns diese existenziellen Fragen kennen und sie uns nicht besonders beschäftigen .</t>
  </si>
  <si>
    <t>file://conllu/de/teddy-1323.conllu#s96_0</t>
  </si>
  <si>
    <t>97</t>
  </si>
  <si>
    <t>Es gab eine Studie , die ich besonders mochte , in der eine Gruppe depressiver und eine Gruppe nicht-depressiver Menschen gebeten wurden , eine Stunde lang ein Videospiel zu spielen , und am an dem Ende dieser Stunde wurden sie gefragt , wie viele kleine Monster sie meinten getötet zu haben .</t>
  </si>
  <si>
    <t>file://conllu/de/teddy-1323.conllu#s97_0</t>
  </si>
  <si>
    <t>98</t>
  </si>
  <si>
    <t>sein (sein meist)</t>
  </si>
  <si>
    <t>Die depressive Gruppe war meist , mit Abweichungen von ungefähr 10 Prozent , korrekt und die nicht-depressiven Menschen schätzten zwischen 15 und 20 Mal mehr kleine Monster ( Gelächter ) als sie tatsächlich getötet hatten .</t>
  </si>
  <si>
    <t>file://conllu/de/teddy-1323.conllu#s98_0</t>
  </si>
  <si>
    <t>99</t>
  </si>
  <si>
    <t>schreiben (schreiben beschließen sagen)</t>
  </si>
  <si>
    <t>Als ich beschloss , über meine Depressionen zu schreiben , sagten viele Menschen , dass es sehr schwierig sein müsse , sich öffentlich dazu zu bekennen , es die Leute wissen zu lassen .</t>
  </si>
  <si>
    <t>file://conllu/de/teddy-1323.conllu#s99_0</t>
  </si>
  <si>
    <t>100</t>
  </si>
  <si>
    <t>Sie sagten : &amp;quot; Reden die Leute anders mit Ihnen ? &amp;quot;</t>
  </si>
  <si>
    <t>file://conllu/de/teddy-1323.conllu#s100_0</t>
  </si>
  <si>
    <t>101</t>
  </si>
  <si>
    <t>Und ich sagte : &amp;quot; Ja , Menschen reden anders mit mir .</t>
  </si>
  <si>
    <t>file://conllu/de/teddy-1323.conllu#s101_0</t>
  </si>
  <si>
    <t>102</t>
  </si>
  <si>
    <t>reden</t>
  </si>
  <si>
    <t>Sie reden insofern anders mit mir , dass sie anfangen , mir von ihrer Erfahrung zu erzählen oder der Erfahrung ihrer Schwester , oder der Erfahrung eines Freundes .</t>
  </si>
  <si>
    <t>file://conllu/de/teddy-1323.conllu#s102_0</t>
  </si>
  <si>
    <t>103</t>
  </si>
  <si>
    <t>sein (sein anders)</t>
  </si>
  <si>
    <t>Die Dinge sind anders , denn jetzt weiß ich , dass Depressionen ein Familiengeheimnis sind , das jeder hat .</t>
  </si>
  <si>
    <t>file://conllu/de/teddy-1323.conllu#s103_0</t>
  </si>
  <si>
    <t>104</t>
  </si>
  <si>
    <t>Vor ein paar Jahren ging ich zu einer Konferenz und am an dem Freitag dieser 3-tägigen Konferenz nahm eine der Teilnehmerinnen mich zur zu der Seite und sie sagte zu mir : &amp;quot; Ich leide an Depressionen und ich schäme mich ein bisschen dafür , aber ich nehme diese Medikamente und ich möchte Sie fragen , was Sie darüber denken ? &amp;quot;</t>
  </si>
  <si>
    <t>file://conllu/de/teddy-1323.conllu#s104_0</t>
  </si>
  <si>
    <t>105</t>
  </si>
  <si>
    <t>bemühen</t>
  </si>
  <si>
    <t>Und ich bemühte mich , so weit ich konnte , ihr einen Rat zu geben .</t>
  </si>
  <si>
    <t>file://conllu/de/teddy-1323.conllu#s105_0</t>
  </si>
  <si>
    <t>106</t>
  </si>
  <si>
    <t>verstehen (verstehen sagen)</t>
  </si>
  <si>
    <t>Und dann sagte sie : &amp;quot; Wissen Sie , mein Mann würde das nie verstehen .</t>
  </si>
  <si>
    <t>file://conllu/de/teddy-1323.conllu#s106_0</t>
  </si>
  <si>
    <t>107</t>
  </si>
  <si>
    <t>sein (sein Typ)</t>
  </si>
  <si>
    <t>Er ist wirklich ein Typ , für den das keinen Sinn ergeben würde .</t>
  </si>
  <si>
    <t>file://conllu/de/teddy-1323.conllu#s107_0</t>
  </si>
  <si>
    <t>108</t>
  </si>
  <si>
    <t>bleiben</t>
  </si>
  <si>
    <t>Also , das sollte unter uns bleiben . &amp;quot;</t>
  </si>
  <si>
    <t>file://conllu/de/teddy-1323.conllu#s108_0</t>
  </si>
  <si>
    <t>109</t>
  </si>
  <si>
    <t>Und ich sagte : &amp;quot; Ja , das ist in Ordnung . &amp;quot;</t>
  </si>
  <si>
    <t>file://conllu/de/teddy-1323.conllu#s109_0</t>
  </si>
  <si>
    <t>111</t>
  </si>
  <si>
    <t>Aber ich habe mit Depressionen zu kämpfen und ich nehme einige Medikamente , und frage ich mich , was Sie denken . &amp;quot;</t>
  </si>
  <si>
    <t>file://conllu/de/teddy-1323.conllu#s111_0</t>
  </si>
  <si>
    <t>112</t>
  </si>
  <si>
    <t>verstecken</t>
  </si>
  <si>
    <t>Sie versteckten die gleichen Medikamente an zwei verschiedenen Orten im in dem selben Schlafzimmer .</t>
  </si>
  <si>
    <t>file://conllu/de/teddy-1323.conllu#s112_0</t>
  </si>
  <si>
    <t>113</t>
  </si>
  <si>
    <t>denken (denken sagen)</t>
  </si>
  <si>
    <t>Ich sagte , dass ich denke , dass die Kommunikation in der Ehe einige ihrer Probleme auslösen könnte .</t>
  </si>
  <si>
    <t>file://conllu/de/teddy-1323.conllu#s113_0</t>
  </si>
  <si>
    <t>114</t>
  </si>
  <si>
    <t>sein (sein bewußt)</t>
  </si>
  <si>
    <t>Aber mir wurde auch schlagartig bewusst , wie belastend so eine wechselseitige Heimlichkeit ist .</t>
  </si>
  <si>
    <t>file://conllu/de/teddy-1323.conllu#s114_0</t>
  </si>
  <si>
    <t>115</t>
  </si>
  <si>
    <t>sein (sein ermüdend)</t>
  </si>
  <si>
    <t>Depressionen sind so ermüdend .</t>
  </si>
  <si>
    <t>file://conllu/de/teddy-1323.conllu#s115_0</t>
  </si>
  <si>
    <t>116</t>
  </si>
  <si>
    <t>verbrauchen</t>
  </si>
  <si>
    <t>Sie verbrauchen so viel Zeit und Energie , und darüber zu schweigen verschlimmert die Depressionen noch .</t>
  </si>
  <si>
    <t>file://conllu/de/teddy-1323.conllu#s116_0</t>
  </si>
  <si>
    <t>117</t>
  </si>
  <si>
    <t>Und dann dachte ich über all die Arten nach , wie Menschen sich selbst verbessern .</t>
  </si>
  <si>
    <t>file://conllu/de/teddy-1323.conllu#s117_0</t>
  </si>
  <si>
    <t>118</t>
  </si>
  <si>
    <t>Ich begann als konservativer Mediziner .</t>
  </si>
  <si>
    <t>file://conllu/de/teddy-1323.conllu#s118_0</t>
  </si>
  <si>
    <t>119</t>
  </si>
  <si>
    <t>Ich dachte , dass es ein paar Therapie Arten gab , die funktionierten , und es war klar , welche das waren es gab Medikamente , es gab bestimmte Psychotherapien , es gab möglicherweise die Elektroschockbehandlung und dass alles andere Nonsens wäre .</t>
  </si>
  <si>
    <t>file://conllu/de/teddy-1323.conllu#s119_0</t>
  </si>
  <si>
    <t>120</t>
  </si>
  <si>
    <t>Aber dann entdeckte ich etwas .</t>
  </si>
  <si>
    <t>file://conllu/de/teddy-1323.conllu#s120_0</t>
  </si>
  <si>
    <t>121</t>
  </si>
  <si>
    <t>Wenn man einen Hirntumor hat und man sagt , dass es einem besser geht , wenn man jeden Morgen 20 Minuten auf dem Kopf steht , wird man sich besser fühlen , aber man hat immer noch einen Hirntumor , und man wird wahrscheinlich immer noch daran sterben .</t>
  </si>
  <si>
    <t>file://conllu/de/teddy-1323.conllu#s121_0</t>
  </si>
  <si>
    <t>122</t>
  </si>
  <si>
    <t>Aber wenn man Depressionen hat und zwanzig Minuten Kopfstand am an dem Tag dazu führen , dass man sich besser fühlt , dann funktioniert es , denn bei Depressionen sind die Gefühle erkrankt und wenn man sich besser fühlt , dann ist man praktisch nicht mehr depressiv .</t>
  </si>
  <si>
    <t>file://conllu/de/teddy-1323.conllu#s122_0</t>
  </si>
  <si>
    <t>123</t>
  </si>
  <si>
    <t>werden</t>
  </si>
  <si>
    <t>So wurde ich toleranter gegenüber der weiten Welt alternativer Behandlungen .</t>
  </si>
  <si>
    <t>file://conllu/de/teddy-1323.conllu#s123_0</t>
  </si>
  <si>
    <t>124</t>
  </si>
  <si>
    <t>erhalten</t>
  </si>
  <si>
    <t>Und ich erhalte Briefe , hunderte von Briefen , von Menschen , die mir schreiben , was ihnen geholfen hat .</t>
  </si>
  <si>
    <t>file://conllu/de/teddy-1323.conllu#s124_0</t>
  </si>
  <si>
    <t>125</t>
  </si>
  <si>
    <t>fragen</t>
  </si>
  <si>
    <t>Jemand fragte mich heute hinter der Bühne nach Meditation .</t>
  </si>
  <si>
    <t>file://conllu/de/teddy-1323.conllu#s125_0</t>
  </si>
  <si>
    <t>126</t>
  </si>
  <si>
    <t>sagen (sagen schreiben)</t>
  </si>
  <si>
    <t>Mein Favorit unter den erhaltenen Briefen war einer , der von einer Frau kam , die schrieb und sagte , sie hätte es mit einer Therapie versucht , sie hätte Medikamente versucht , sie hatte so ziemlich alles ausprobiert .</t>
  </si>
  <si>
    <t>file://conllu/de/teddy-1323.conllu#s126_0</t>
  </si>
  <si>
    <t>127</t>
  </si>
  <si>
    <t>erzählen (erzählen finden)</t>
  </si>
  <si>
    <t>Sie hatte eine Lösung gefunden und hoffte , ich würde es der Welt erzählen , nämlich kleine Dinge aus Garn zu machen .</t>
  </si>
  <si>
    <t>file://conllu/de/teddy-1323.conllu#s127_0</t>
  </si>
  <si>
    <t>128</t>
  </si>
  <si>
    <t>schicken</t>
  </si>
  <si>
    <t>Sie schickte mir ein paar davon .</t>
  </si>
  <si>
    <t>file://conllu/de/teddy-1323.conllu#s128_0</t>
  </si>
  <si>
    <t>129</t>
  </si>
  <si>
    <t>tragen</t>
  </si>
  <si>
    <t>Und ich trage sie gerade nicht .</t>
  </si>
  <si>
    <t>file://conllu/de/teddy-1323.conllu#s129_0</t>
  </si>
  <si>
    <t>130</t>
  </si>
  <si>
    <t>schlagen</t>
  </si>
  <si>
    <t>Ich schlug ihr vor , dass sie auch Zwangsstörungen im in dem DSM nachschlagen sollte .</t>
  </si>
  <si>
    <t>file://conllu/de/teddy-1323.conllu#s130_0</t>
  </si>
  <si>
    <t>131</t>
  </si>
  <si>
    <t>schauen</t>
  </si>
  <si>
    <t>Dennoch schaute ich mir alternative Behandlungen an , und sah andere Behandlungen in neuem Licht .</t>
  </si>
  <si>
    <t>file://conllu/de/teddy-1323.conllu#s131_0</t>
  </si>
  <si>
    <t>132</t>
  </si>
  <si>
    <t>unterziehen</t>
  </si>
  <si>
    <t>Ich unterzog mich einem Stammes Exorzismus im in dem Senegal , der ziemlich viel Schafsbockblut erforderte .</t>
  </si>
  <si>
    <t>file://conllu/de/teddy-1323.conllu#s132_0</t>
  </si>
  <si>
    <t>133</t>
  </si>
  <si>
    <t>Ich werde jetzt nicht ins in das Detail gehen , aber ein paar Jahre darauf war ich in Ruanda und arbeitete dort an einem anderen Projekt , und ich beschrieb meine Erfahrung jemandem und er sagte : &amp;quot; Weißt du , das ist Westafrika , und wir sind in Ostafrika , und unsere Rituale sind irgendwie sehr verschieden , aber wir haben einige Rituale , die mit dem von dir beschriebenen , etwas gemeinsam haben . &amp;quot;</t>
  </si>
  <si>
    <t>file://conllu/de/teddy-1323.conllu#s133_0</t>
  </si>
  <si>
    <t>134</t>
  </si>
  <si>
    <t>Und ich sagte : &amp;quot; Oh . &amp;quot;</t>
  </si>
  <si>
    <t>file://conllu/de/teddy-1323.conllu#s134_0</t>
  </si>
  <si>
    <t>135</t>
  </si>
  <si>
    <t>Und er sagte : &amp;quot; Ja , aber wir hatten viel Ärger mit Psychotherapeuten aus dem Westen , besonders mit denjenigen , die direkt nach dem Genozid kamen . &amp;quot;</t>
  </si>
  <si>
    <t>file://conllu/de/teddy-1323.conllu#s135_0</t>
  </si>
  <si>
    <t>136</t>
  </si>
  <si>
    <t>Ich fragte : &amp;quot; Welche Probleme gab es ? &amp;quot;</t>
  </si>
  <si>
    <t>file://conllu/de/teddy-1323.conllu#s136_0</t>
  </si>
  <si>
    <t>137</t>
  </si>
  <si>
    <t>erklären</t>
  </si>
  <si>
    <t>Er erklärte : &amp;quot; Nun ja , sie taten etwas sehr Bizarres .</t>
  </si>
  <si>
    <t>file://conllu/de/teddy-1323.conllu#s137_0</t>
  </si>
  <si>
    <t>138</t>
  </si>
  <si>
    <t>sprechen</t>
  </si>
  <si>
    <t>Sie sprachen nicht im in dem Sonnenschein mit den Leuten , wo man beginnt , sich besser zu fühlen .</t>
  </si>
  <si>
    <t>file://conllu/de/teddy-1323.conllu#s138_0</t>
  </si>
  <si>
    <t>139</t>
  </si>
  <si>
    <t>beziehen</t>
  </si>
  <si>
    <t>Sie bezogen weder Trommeln noch Musik ein , um das Blut in Wallung zu bringen .</t>
  </si>
  <si>
    <t>file://conllu/de/teddy-1323.conllu#s139_0</t>
  </si>
  <si>
    <t>140</t>
  </si>
  <si>
    <t>involvieren</t>
  </si>
  <si>
    <t>Sie involvierten nicht die gesamte Gemeinschaft .</t>
  </si>
  <si>
    <t>file://conllu/de/teddy-1323.conllu#s140_0</t>
  </si>
  <si>
    <t>141</t>
  </si>
  <si>
    <t>externalisieren</t>
  </si>
  <si>
    <t>Sie externalisieren die Depressionen nicht als einen eindringenden Geist .</t>
  </si>
  <si>
    <t>file://conllu/de/teddy-1323.conllu#s141_0</t>
  </si>
  <si>
    <t>142</t>
  </si>
  <si>
    <t>führen</t>
  </si>
  <si>
    <t>Stattdessen führten sie die Menschen einzeln in schäbige , kleine Räume und ließen sie eine Stunde lang über schlimme Dinge reden , die ihnen passiert waren . &amp;quot;</t>
  </si>
  <si>
    <t>file://conllu/de/teddy-1323.conllu#s142_0</t>
  </si>
  <si>
    <t>143</t>
  </si>
  <si>
    <t>( Gelächter ) ( Applaus ) Er sagte : &amp;quot; Wir mussten sie bitten , das Land zu verlassen . &amp;quot;</t>
  </si>
  <si>
    <t>file://conllu/de/teddy-1323.conllu#s143_0</t>
  </si>
  <si>
    <t>144</t>
  </si>
  <si>
    <t>lassen</t>
  </si>
  <si>
    <t>Um Ihnen das andere Ende der alternativen Behandlungen zu veranschaulichen , lassen Sie mich Ihnen von Frank Russakoff erzählen .</t>
  </si>
  <si>
    <t>file://conllu/de/teddy-1323.conllu#s144_0</t>
  </si>
  <si>
    <t>145</t>
  </si>
  <si>
    <t>Frank Russakoff hatte die schlimmsten Depressionen , die ich wohl je bei einem Mann gesehen habe .</t>
  </si>
  <si>
    <t>file://conllu/de/teddy-1323.conllu#s145_0</t>
  </si>
  <si>
    <t>146</t>
  </si>
  <si>
    <t>sein (sein depressiv)</t>
  </si>
  <si>
    <t>Er war ständig depressiv .</t>
  </si>
  <si>
    <t>file://conllu/de/teddy-1323.conllu#s146_0</t>
  </si>
  <si>
    <t>147</t>
  </si>
  <si>
    <t>Als ich ihn traf war er an einem Punkt , wo er jeden Monat eine Elektroschock Behandlung bekam .</t>
  </si>
  <si>
    <t>file://conllu/de/teddy-1323.conllu#s147_0</t>
  </si>
  <si>
    <t>148</t>
  </si>
  <si>
    <t>Dann fühlte er sich eine Woche lang etwas desorientiert und dann eine Woche lang okay .</t>
  </si>
  <si>
    <t>file://conllu/de/teddy-1323.conllu#s148_0</t>
  </si>
  <si>
    <t>149</t>
  </si>
  <si>
    <t>Dann ging es eine Woche lang abwärts .</t>
  </si>
  <si>
    <t>file://conllu/de/teddy-1323.conllu#s149_0</t>
  </si>
  <si>
    <t>150</t>
  </si>
  <si>
    <t>bekommen</t>
  </si>
  <si>
    <t>Und dann bekam er eine weitere Elektroschock Behandlung .</t>
  </si>
  <si>
    <t>file://conllu/de/teddy-1323.conllu#s150_0</t>
  </si>
  <si>
    <t>151</t>
  </si>
  <si>
    <t>Als ich ihn traf , sagte er zu mir : &amp;quot; Es ist unerträglich , meine Wochen so zu durchleben .</t>
  </si>
  <si>
    <t>file://conllu/de/teddy-1323.conllu#s151_0</t>
  </si>
  <si>
    <t>152</t>
  </si>
  <si>
    <t>Ich kann so nicht weiter machen , und ich habe entschieden , dass ich es beende , wenn es mir nicht besser geht .</t>
  </si>
  <si>
    <t>file://conllu/de/teddy-1323.conllu#s152_0</t>
  </si>
  <si>
    <t>153</t>
  </si>
  <si>
    <t>Aber , &amp;quot; sagte er mir , &amp;quot; ich habe von einem Plan bei Mass General gehört , ein Verfahren namens Zingulotomie , eine Hirnchirurgie , und ich probiere das aus . &amp;quot;</t>
  </si>
  <si>
    <t>file://conllu/de/teddy-1323.conllu#s153_0</t>
  </si>
  <si>
    <t>154</t>
  </si>
  <si>
    <t>wundern (wundern erinnern)</t>
  </si>
  <si>
    <t>Und ich erinnere mich , mich an diesem Punkt gewundert zu haben , dass jemand , der wirklich so viele schlechte Erfahrungen gehabt hatte mit so vielen verschiedenen Behandlungen , sich genug Optimismus bewahrt hatte , um noch eine Behandlung mitzumachen .</t>
  </si>
  <si>
    <t>file://conllu/de/teddy-1323.conllu#s154_0</t>
  </si>
  <si>
    <t>155</t>
  </si>
  <si>
    <t>durchführen</t>
  </si>
  <si>
    <t>Die Zingulotomie wurde durchgeführt und es war ein Erfolg auf der ganzen Linie .</t>
  </si>
  <si>
    <t>file://conllu/de/teddy-1323.conllu#s155_0</t>
  </si>
  <si>
    <t>156</t>
  </si>
  <si>
    <t>sein (sein werden)</t>
  </si>
  <si>
    <t>Wir sind Freunde geworden .</t>
  </si>
  <si>
    <t>file://conllu/de/teddy-1323.conllu#s156_0</t>
  </si>
  <si>
    <t>157</t>
  </si>
  <si>
    <t>Er hat eine wunderbare Frau und zwei hübsche Kinder .</t>
  </si>
  <si>
    <t>file://conllu/de/teddy-1323.conllu#s157_0</t>
  </si>
  <si>
    <t>158</t>
  </si>
  <si>
    <t>Er schrieb mir an Weihnachten nach der Operation einen Brief und sagte : &amp;quot; Mein Vater schickte mir dieses Jahr zwei Geschenke .</t>
  </si>
  <si>
    <t>file://conllu/de/teddy-1323.conllu#s158_0</t>
  </si>
  <si>
    <t>159</t>
  </si>
  <si>
    <t>brauch</t>
  </si>
  <si>
    <t>Erstens einen motorisierten CD Ständer von ' The Sharper Image ' , den ich nicht wirklich brauche , aber ich weiß , dass er ihn mir geschenkt hat , um die Tatsache zu feiern , dass ich eigenständig lebte und eine Arbeit habe , die ich anscheinend liebe .</t>
  </si>
  <si>
    <t>file://conllu/de/teddy-1323.conllu#s159_0</t>
  </si>
  <si>
    <t>160</t>
  </si>
  <si>
    <t>sein (sein Foto)</t>
  </si>
  <si>
    <t>Und das andere Geschenk war ein Foto von meiner Großmutter , die Selbstmord beging .</t>
  </si>
  <si>
    <t>file://conllu/de/teddy-1323.conllu#s160_0</t>
  </si>
  <si>
    <t>161</t>
  </si>
  <si>
    <t>Als ich es auspackte , begann ich zu weinen , und meine Mutter kam rüber und sagte : ' Weinst du wegen Verwandten , die du nie kanntest ? '</t>
  </si>
  <si>
    <t>file://conllu/de/teddy-1323.conllu#s161_0</t>
  </si>
  <si>
    <t>162</t>
  </si>
  <si>
    <t>Und ich sagte : ' Sie hatte die gleiche Krankheit wie ich . '</t>
  </si>
  <si>
    <t>file://conllu/de/teddy-1323.conllu#s162_0</t>
  </si>
  <si>
    <t>163</t>
  </si>
  <si>
    <t>schreib</t>
  </si>
  <si>
    <t>Während ich dir das schreibe , weine ich nicht .</t>
  </si>
  <si>
    <t>file://conllu/de/teddy-1323.conllu#s163_0</t>
  </si>
  <si>
    <t>164</t>
  </si>
  <si>
    <t>sein (sein traurig)</t>
  </si>
  <si>
    <t>Ich bin nicht besonders traurig , sondern eher überwältigt .</t>
  </si>
  <si>
    <t>file://conllu/de/teddy-1323.conllu#s164_0</t>
  </si>
  <si>
    <t>165</t>
  </si>
  <si>
    <t>wahrscheinlich</t>
  </si>
  <si>
    <t>Wahrscheinlich , weil ich mich hätte umbringen können , aber meine Eltern halfen mir weiterzumachen , genauso wie die Ärzte , und ich ließ mich operieren .</t>
  </si>
  <si>
    <t>file://conllu/de/teddy-1323.conllu#s165_0</t>
  </si>
  <si>
    <t>166</t>
  </si>
  <si>
    <t>Ich bin am an dem Leben und dankbar .</t>
  </si>
  <si>
    <t>file://conllu/de/teddy-1323.conllu#s166_0</t>
  </si>
  <si>
    <t>167</t>
  </si>
  <si>
    <t>leben</t>
  </si>
  <si>
    <t>Wir leben zur zu der richtigen Zeit , auch wenn es sich nicht immer so anfühlt . &amp;quot;</t>
  </si>
  <si>
    <t>file://conllu/de/teddy-1323.conllu#s167_0</t>
  </si>
  <si>
    <t>168</t>
  </si>
  <si>
    <t>beeindrucken</t>
  </si>
  <si>
    <t>Mich beeindruckte die Tatsache , dass Depressionen gemeinhin als modernes , westliches Phänomen der Mittelklasse wahrgenommen wird .</t>
  </si>
  <si>
    <t>file://conllu/de/teddy-1323.conllu#s168_0</t>
  </si>
  <si>
    <t>169</t>
  </si>
  <si>
    <t>Ich schaute mir an , wie sie in vielfältigen Kontexten funktionierte , und eine Sache , die mich am an dem meisten interessierte , waren Depressionen unter den Mittellosen .</t>
  </si>
  <si>
    <t>file://conllu/de/teddy-1323.conllu#s169_0</t>
  </si>
  <si>
    <t>170</t>
  </si>
  <si>
    <t>Daher machte ich mich auf , um zu betrachten , was für arme Menschen mit Depressionen getan wurde .</t>
  </si>
  <si>
    <t>file://conllu/de/teddy-1323.conllu#s170_0</t>
  </si>
  <si>
    <t>171</t>
  </si>
  <si>
    <t>finden</t>
  </si>
  <si>
    <t>Und ich fand heraus , dass arme Menschen bei Depressionen meistens nicht behandelt werden .</t>
  </si>
  <si>
    <t>file://conllu/de/teddy-1323.conllu#s171_0</t>
  </si>
  <si>
    <t>172</t>
  </si>
  <si>
    <t>sein (sein Resultat)</t>
  </si>
  <si>
    <t>Depressionen sind das Resultat einer genetischen Anfälligkeit , die vermutlich gleichmäßig in der Bevölkerung verteilt ist , und von Auslösern , die wahrscheinlich bei verarmten Menschen viel extremer sind .</t>
  </si>
  <si>
    <t>file://conllu/de/teddy-1323.conllu#s172_0</t>
  </si>
  <si>
    <t>173</t>
  </si>
  <si>
    <t>zeigen</t>
  </si>
  <si>
    <t>Dennoch zeigt sich , dass man , wenn man ein wirklich schönes Leben hat , sich aber die ganze Zeit schlecht fühlt , denkt : &amp;quot; Warum fühle ich mich so ?</t>
  </si>
  <si>
    <t>file://conllu/de/teddy-1323.conllu#s173_0</t>
  </si>
  <si>
    <t>174</t>
  </si>
  <si>
    <t>Ich muss Depressionen haben . &amp;quot;</t>
  </si>
  <si>
    <t>file://conllu/de/teddy-1323.conllu#s174_0</t>
  </si>
  <si>
    <t>175</t>
  </si>
  <si>
    <t>suchen</t>
  </si>
  <si>
    <t>Und man sucht eine Behandlung dafür .</t>
  </si>
  <si>
    <t>file://conllu/de/teddy-1323.conllu#s175_0</t>
  </si>
  <si>
    <t>176</t>
  </si>
  <si>
    <t>stehen</t>
  </si>
  <si>
    <t>Aber wenn man ein total furchtbares Leben hat und sich andauernd schlecht fühlt , steht dieses Gefühl im in dem Einklang mit dem eigenen Leben , und man kommt nicht darauf , zu denken : &amp;quot; Vielleicht ist das behandelbar . &amp;quot;</t>
  </si>
  <si>
    <t>file://conllu/de/teddy-1323.conllu#s176_0</t>
  </si>
  <si>
    <t>177</t>
  </si>
  <si>
    <t>Mensch</t>
  </si>
  <si>
    <t>Daher haben wir in diesem Land eine Depressions Epidemie unter verarmten Menschen , die nicht aufgegriffen und behandelt wird und die nicht angesprochen wird , und das ist eine Tragödie großen Ausmaßes .</t>
  </si>
  <si>
    <t>file://conllu/de/teddy-1323.conllu#s177_0</t>
  </si>
  <si>
    <t>178</t>
  </si>
  <si>
    <t>Ich fand also ein Wissenschaftlerin , die ein Forschungsprojekt in den Slums außerhalb von Washington D.C. durchführte , wo sie Frauen aufnahm , die wegen anderer Gesundheitsprobleme gekommen waren und Depressionen bei ihnen diagnostizierte , und dann ein Versuchsprotokoll bereitstellte .</t>
  </si>
  <si>
    <t>file://conllu/de/teddy-1323.conllu#s178_0</t>
  </si>
  <si>
    <t>179</t>
  </si>
  <si>
    <t>kommen</t>
  </si>
  <si>
    <t>Eine von ihnen , Lolly , kam herein , und sie sagte folgendes , als sie hereinkam .</t>
  </si>
  <si>
    <t>file://conllu/de/teddy-1323.conllu#s179_0</t>
  </si>
  <si>
    <t>180</t>
  </si>
  <si>
    <t>Frau</t>
  </si>
  <si>
    <t>Übrigens eine Frau , die sieben Kinder hat .</t>
  </si>
  <si>
    <t>file://conllu/de/teddy-1323.conllu#s180_0</t>
  </si>
  <si>
    <t>181</t>
  </si>
  <si>
    <t>Sie sagte : &amp;quot; Ich hatte einen Job , aber ich musste ihn aufgeben , weil ich nicht aus dem Haus gehen konnte .</t>
  </si>
  <si>
    <t>file://conllu/de/teddy-1323.conllu#s181_0</t>
  </si>
  <si>
    <t>182</t>
  </si>
  <si>
    <t>Ich habe meinen Kindern nichts zu sagen .</t>
  </si>
  <si>
    <t>file://conllu/de/teddy-1323.conllu#s182_0</t>
  </si>
  <si>
    <t>183</t>
  </si>
  <si>
    <t>erwarten</t>
  </si>
  <si>
    <t>Morgens kann ich es nicht erwarten , dass sie verschwinden , und dann lege ich mich ins in das Bett und ziehe die Decke über meinen Kopf , und wenn sie um 3 Uhr nach Haus kommen , kommt das so schnell . &amp;quot;</t>
  </si>
  <si>
    <t>file://conllu/de/teddy-1323.conllu#s183_0</t>
  </si>
  <si>
    <t>184</t>
  </si>
  <si>
    <t>Sie sagte : &amp;quot; Ich habe viel Tylenol genommen , alles was mich mehr schlafen lässt .</t>
  </si>
  <si>
    <t>file://conllu/de/teddy-1323.conllu#s184_0</t>
  </si>
  <si>
    <t>185</t>
  </si>
  <si>
    <t>Mein Mann sagte mir ständig , dass ich dumm und hässlich bin .</t>
  </si>
  <si>
    <t>file://conllu/de/teddy-1323.conllu#s185_0</t>
  </si>
  <si>
    <t>186</t>
  </si>
  <si>
    <t>wünschen</t>
  </si>
  <si>
    <t>Ich wünschte , ich könnte den Schmerz stoppen . &amp;quot;</t>
  </si>
  <si>
    <t>file://conllu/de/teddy-1323.conllu#s186_0</t>
  </si>
  <si>
    <t>187</t>
  </si>
  <si>
    <t>aufnehmen</t>
  </si>
  <si>
    <t>Sie wurde in diese experimentelle Versuchsreihe aufgenommen und als ich sie sechs Monate später interviewte , hatte sie einen Job in der Kinderbetreuung für die US Marine aufgenommen , hatte ihren Mann , der sie immer beleidigt hatte , verlassen , und sie sagte zu mir : &amp;quot; Meine Kinder sind jetzt so viel glücklicher . &amp;quot;</t>
  </si>
  <si>
    <t>file://conllu/de/teddy-1323.conllu#s187_0</t>
  </si>
  <si>
    <t>188</t>
  </si>
  <si>
    <t>Sie sagte : &amp;quot; Es gibt einen Raum in meiner neuen Wohnung für die Jungs und einen Raum für die Mädchen , aber abends sind sie alle auf meinem Bett und wir machen die Hausaufgaben zusammen .</t>
  </si>
  <si>
    <t>file://conllu/de/teddy-1323.conllu#s188_0</t>
  </si>
  <si>
    <t>189</t>
  </si>
  <si>
    <t>Einer von ihnen will Priester und einer will Feuerwehrmann werden , und eines der Mädchen sagt , dass sie Anwältin werden wird .</t>
  </si>
  <si>
    <t>file://conllu/de/teddy-1323.conllu#s189_0</t>
  </si>
  <si>
    <t>190</t>
  </si>
  <si>
    <t>weinen</t>
  </si>
  <si>
    <t>Sie weinen nicht mehr , so wie früher und sie streiten sich nicht mehr wie zuvor .</t>
  </si>
  <si>
    <t>file://conllu/de/teddy-1323.conllu#s190_0</t>
  </si>
  <si>
    <t>191</t>
  </si>
  <si>
    <t>sein (sein Kind)</t>
  </si>
  <si>
    <t>Alles , was ich jetzt brauche , sind meine Kinder .</t>
  </si>
  <si>
    <t>file://conllu/de/teddy-1323.conllu#s191_0</t>
  </si>
  <si>
    <t>192</t>
  </si>
  <si>
    <t>verändern</t>
  </si>
  <si>
    <t>Dinge verändern sich , die Art , wie ich mich anziehe , wie ich mich fühle und wie ich handle .</t>
  </si>
  <si>
    <t>file://conllu/de/teddy-1323.conllu#s192_0</t>
  </si>
  <si>
    <t>193</t>
  </si>
  <si>
    <t>rausgehen</t>
  </si>
  <si>
    <t>Ich kann jetzt rausgehen , ohne mich zu fürchten , und ich glaube nicht , dass diese schlechten Gefühle zurückkommen werden , und wenn Dr. Miranda nicht gewesen wäre , wäre ich immer noch zu Hause mit der Decke über meinem Kopf , wenn ich überhaupt noch am an dem Leben wäre .</t>
  </si>
  <si>
    <t>file://conllu/de/teddy-1323.conllu#s193_0</t>
  </si>
  <si>
    <t>194</t>
  </si>
  <si>
    <t>bitten</t>
  </si>
  <si>
    <t>Ich bat Gott , mir einen Engel zu schicken und er erhörte meine Gebete . &amp;quot;</t>
  </si>
  <si>
    <t>file://conllu/de/teddy-1323.conllu#s194_0</t>
  </si>
  <si>
    <t>195</t>
  </si>
  <si>
    <t>bewegen</t>
  </si>
  <si>
    <t>Mich haben diese Erfahrungen wirklich bewegt , und ich entschied , dass ich darüber schreiben wollte , nicht nur in einem Buch , an dem ich arbeitete , sondern auch in einem Artikel , und so bekam ich vom von dem New York Times Magazine einen Auftrag , über Depressionen unter Mittellosen zu schreiben .</t>
  </si>
  <si>
    <t>file://conllu/de/teddy-1323.conllu#s195_0</t>
  </si>
  <si>
    <t>196</t>
  </si>
  <si>
    <t>reichen</t>
  </si>
  <si>
    <t>Ich reichte meine Geschichte ein und meine Redakteurin rief mich an &amp;quot; Das können wir wirklich nicht veröffentlichen . &amp;quot;</t>
  </si>
  <si>
    <t>file://conllu/de/teddy-1323.conllu#s196_0</t>
  </si>
  <si>
    <t>197</t>
  </si>
  <si>
    <t>Ich fragte : &amp;quot; Warum nicht ? &amp;quot;</t>
  </si>
  <si>
    <t>file://conllu/de/teddy-1323.conllu#s197_0</t>
  </si>
  <si>
    <t>198</t>
  </si>
  <si>
    <t>Und sie sagte : &amp;quot; Es ist einfach zu weit hergeholt .</t>
  </si>
  <si>
    <t>file://conllu/de/teddy-1323.conllu#s198_0</t>
  </si>
  <si>
    <t>199</t>
  </si>
  <si>
    <t>Diese Menschen stehen auf der untersten Gesellschaftsstufe und dann erhalten sie ein paar Monate Behandlung , und sind dann praktisch in der Lage Morgan Stanley zu leiten ?</t>
  </si>
  <si>
    <t>file://conllu/de/teddy-1323.conllu#s199_0</t>
  </si>
  <si>
    <t>200</t>
  </si>
  <si>
    <t>sein (sein unglaubwürdig)</t>
  </si>
  <si>
    <t>Das ist einfach zu unglaubwürdig . &amp;quot;</t>
  </si>
  <si>
    <t>file://conllu/de/teddy-1323.conllu#s200_0</t>
  </si>
  <si>
    <t>201</t>
  </si>
  <si>
    <t>Sie sagte : &amp;quot; Ich habe von so etwas noch nie gehört . &amp;quot;</t>
  </si>
  <si>
    <t>file://conllu/de/teddy-1323.conllu#s201_0</t>
  </si>
  <si>
    <t>202</t>
  </si>
  <si>
    <t>erwideren</t>
  </si>
  <si>
    <t>Ich erwiderte : &amp;quot; Die Tatsache , dass Sie noch nie davon gehört haben , ist ein Hinweis darauf , dass es Nachrichten sind . &amp;quot;</t>
  </si>
  <si>
    <t>file://conllu/de/teddy-1323.conllu#s202_0</t>
  </si>
  <si>
    <t>203</t>
  </si>
  <si>
    <t>sein (sein Nachrichtenmagazin)</t>
  </si>
  <si>
    <t>&amp;quot; Und Sie sind ein Nachrichtenmagazin . &amp;quot;</t>
  </si>
  <si>
    <t>file://conllu/de/teddy-1323.conllu#s203_0</t>
  </si>
  <si>
    <t>204</t>
  </si>
  <si>
    <t>stimmen</t>
  </si>
  <si>
    <t>Nach einem gewissen Maß an Verhandlungen , stimmten sie zu .</t>
  </si>
  <si>
    <t>file://conllu/de/teddy-1323.conllu#s204_0</t>
  </si>
  <si>
    <t>205</t>
  </si>
  <si>
    <t>Aber ich denke , dass vieles von dem , was sie sagten , auf merkwürdige Weise mit der Abneigung verbunden war , die Menschen immer noch haben , gegenüber der Idee von Behandlung , der Vorstellung , dass es ein ausbeuterischer Akt wäre , wenn wir losziehen würden und Menschen in notleidenden Gemeinden behandeln würden , denn wir würden sie ändern .</t>
  </si>
  <si>
    <t>file://conllu/de/teddy-1323.conllu#s205_0</t>
  </si>
  <si>
    <t>206</t>
  </si>
  <si>
    <t>Es gibt dieses falsche moralische Gebot , das es überall zu geben scheint , dass die Behandlung von Depressionen , die medizinische Behandlung und so weiter , ein Trick seien , und dass es nicht natürlich ist .</t>
  </si>
  <si>
    <t>file://conllu/de/teddy-1323.conllu#s206_0</t>
  </si>
  <si>
    <t>207</t>
  </si>
  <si>
    <t>Ich denke , dass das äußerst fehlgeleitet ist .</t>
  </si>
  <si>
    <t>file://conllu/de/teddy-1323.conllu#s207_0</t>
  </si>
  <si>
    <t>208</t>
  </si>
  <si>
    <t>sein (sein natürlich)</t>
  </si>
  <si>
    <t>Es wäre natürlich , dass den Menschen die Zähne ausfallen , aber es gibt niemanden , der sich gegen Zahnpasta ausspricht , zumindest nicht in meinen Kreisen .</t>
  </si>
  <si>
    <t>file://conllu/de/teddy-1323.conllu#s208_0</t>
  </si>
  <si>
    <t>209</t>
  </si>
  <si>
    <t>Und dann sagen Menschen : &amp;quot; Sind Depressionen nicht ein Teil dessen , was Menschen erleben sollen ?</t>
  </si>
  <si>
    <t>file://conllu/de/teddy-1323.conllu#s209_0</t>
  </si>
  <si>
    <t>210</t>
  </si>
  <si>
    <t>entwickeln</t>
  </si>
  <si>
    <t>Haben wir uns nicht dazu entwickelt , Depressionen zu haben ?</t>
  </si>
  <si>
    <t>file://conllu/de/teddy-1323.conllu#s210_0</t>
  </si>
  <si>
    <t>211</t>
  </si>
  <si>
    <t>sein (sein Persönlichkeit)</t>
  </si>
  <si>
    <t>Ist das nicht Teil unserer Persönlichkeit ? &amp;quot;</t>
  </si>
  <si>
    <t>file://conllu/de/teddy-1323.conllu#s211_0</t>
  </si>
  <si>
    <t>212</t>
  </si>
  <si>
    <t>Dazu würde ich sagen , Stimmung ist anpassungsfähig .</t>
  </si>
  <si>
    <t>file://conllu/de/teddy-1323.conllu#s212_0</t>
  </si>
  <si>
    <t>213</t>
  </si>
  <si>
    <t>sein (sein wertvoll)</t>
  </si>
  <si>
    <t>In der Lage zu sein , Traurigkeit und Furcht , Freunde und Vergnügen und all die anderen Stimmungen , die wir haben , zu fühlen , ist unglaublich wertvoll .</t>
  </si>
  <si>
    <t>file://conllu/de/teddy-1323.conllu#s213_0</t>
  </si>
  <si>
    <t>214</t>
  </si>
  <si>
    <t>sein (sein etwas)</t>
  </si>
  <si>
    <t>Und schwere Depressionen sind etwas , das auftritt , wenn dieses System zerbricht .</t>
  </si>
  <si>
    <t>file://conllu/de/teddy-1323.conllu#s214_0</t>
  </si>
  <si>
    <t>215</t>
  </si>
  <si>
    <t>sein (sein anpassen)</t>
  </si>
  <si>
    <t>Es ist schlecht angepasst .</t>
  </si>
  <si>
    <t>file://conllu/de/teddy-1323.conllu#s215_0</t>
  </si>
  <si>
    <t>216</t>
  </si>
  <si>
    <t>Menschen kommen zu mir und sagen : &amp;quot; Ich denke , wenn ich nur ein Jahr durchhalte , komme ich da irgendwie durch . &amp;quot;</t>
  </si>
  <si>
    <t>file://conllu/de/teddy-1323.conllu#s216_0</t>
  </si>
  <si>
    <t>217</t>
  </si>
  <si>
    <t>Und ich sage ihnen immer : &amp;quot; Sie können da durchkommen , aber Sie werden nie mehr 37 sein .</t>
  </si>
  <si>
    <t>file://conllu/de/teddy-1323.conllu#s217_0</t>
  </si>
  <si>
    <t>218</t>
  </si>
  <si>
    <t>sein (sein kurz)</t>
  </si>
  <si>
    <t>Das Leben ist kurz und das ist ein ganzes Jahr , das Sie aufgeben wollen .</t>
  </si>
  <si>
    <t>file://conllu/de/teddy-1323.conllu#s218_0</t>
  </si>
  <si>
    <t>219</t>
  </si>
  <si>
    <t>Überdenken</t>
  </si>
  <si>
    <t>Überdenken Sie das . &amp;quot;</t>
  </si>
  <si>
    <t>file://conllu/de/teddy-1323.conllu#s219_0</t>
  </si>
  <si>
    <t>220</t>
  </si>
  <si>
    <t>sein (sein Armut)</t>
  </si>
  <si>
    <t>Es ist eine sonderbare Armut der englischen Sprache , und auch vieler anderer Sprachen , dass wir dasselbe Wort , Depressionen , nutzen , um zu beschreiben , wie Kinder sich fühlen , wenn es an ihrem Geburtstag regnet , und um zu beschreiben , wie sich jemand fühlt , eine Minute , bevor er Selbstmord begeht .</t>
  </si>
  <si>
    <t>file://conllu/de/teddy-1323.conllu#s220_0</t>
  </si>
  <si>
    <t>221</t>
  </si>
  <si>
    <t>Ich wurde gefragt : &amp;quot; Ist es mit normaler Traurigkeit vergleichbar ? &amp;quot;</t>
  </si>
  <si>
    <t>file://conllu/de/teddy-1323.conllu#s221_0</t>
  </si>
  <si>
    <t>222</t>
  </si>
  <si>
    <t>Ich erklärte , dass es gewissermaßen mit normaler Traurigkeit vergleichbar ist .</t>
  </si>
  <si>
    <t>file://conllu/de/teddy-1323.conllu#s222_0</t>
  </si>
  <si>
    <t>223</t>
  </si>
  <si>
    <t>Es gibt ein bestimmtes Maß an Verbindung , aber es ist die gleiche Art von Verbindung zwischen einem Eisenzaun außerhalb des Hauses , der ein paar Rostflecken hat , die man abschleifen und überstreichen muss , und dem , was passiert , wenn man das Haus 100 Jahre verlässt und es durchrostet , bis es nur noch ein Haufen von orangefarbenem Staub ist .</t>
  </si>
  <si>
    <t>file://conllu/de/teddy-1323.conllu#s223_0</t>
  </si>
  <si>
    <t>224</t>
  </si>
  <si>
    <t>sein (sein Staubfleck)</t>
  </si>
  <si>
    <t>Es ist dieser orangefarbene Staubfleck , dieses orangefarbene Staubproblem , das wir angehen wollen .</t>
  </si>
  <si>
    <t>file://conllu/de/teddy-1323.conllu#s224_0</t>
  </si>
  <si>
    <t>225</t>
  </si>
  <si>
    <t>Die Menschen sagen jetzt also : &amp;quot; Du nimmst jetzt diese Happy Pills .</t>
  </si>
  <si>
    <t>file://conllu/de/teddy-1323.conllu#s225_0</t>
  </si>
  <si>
    <t>226</t>
  </si>
  <si>
    <t>glücklich</t>
  </si>
  <si>
    <t>Fühlst du dich glücklich ? &amp;quot;</t>
  </si>
  <si>
    <t>file://conllu/de/teddy-1323.conllu#s226_0</t>
  </si>
  <si>
    <t>227</t>
  </si>
  <si>
    <t>tuen</t>
  </si>
  <si>
    <t>Das tue ich nicht .</t>
  </si>
  <si>
    <t>file://conllu/de/teddy-1323.conllu#s227_0</t>
  </si>
  <si>
    <t>228</t>
  </si>
  <si>
    <t>Aber ich bin nicht traurig , dass ich zu Mittag essen muss , und ich bin nicht traurig über meinen Anrufbeantworter , und ich bin nicht traurig , wenn ich duschen muss .</t>
  </si>
  <si>
    <t>file://conllu/de/teddy-1323.conllu#s228_0</t>
  </si>
  <si>
    <t>229</t>
  </si>
  <si>
    <t>fühlen (fühlen fühlen)</t>
  </si>
  <si>
    <t>Ich fühle tatsächlich mehr , weil ich Traurigkeit ohne Nichtigkeit fühlen kann .</t>
  </si>
  <si>
    <t>file://conllu/de/teddy-1323.conllu#s229_0</t>
  </si>
  <si>
    <t>230</t>
  </si>
  <si>
    <t>Ich bin traurig über berufliche Enttäuschungen , über beschädigte Beziehungen , über Klimaerwärmung .</t>
  </si>
  <si>
    <t>file://conllu/de/teddy-1323.conllu#s230_0</t>
  </si>
  <si>
    <t>231</t>
  </si>
  <si>
    <t>Über diese Dinge bin ich jetzt traurig .</t>
  </si>
  <si>
    <t>file://conllu/de/teddy-1323.conllu#s231_0</t>
  </si>
  <si>
    <t>232</t>
  </si>
  <si>
    <t>Ich frage mich was ist das Fazit ?</t>
  </si>
  <si>
    <t>file://conllu/de/teddy-1323.conllu#s232_0</t>
  </si>
  <si>
    <t>233</t>
  </si>
  <si>
    <t>durchgestand</t>
  </si>
  <si>
    <t>Wie haben das die Menschen , die ein besseres Leben haben , sogar mit schwereren Depressionen durchgestanden ?</t>
  </si>
  <si>
    <t>file://conllu/de/teddy-1323.conllu#s233_0</t>
  </si>
  <si>
    <t>234</t>
  </si>
  <si>
    <t>Was ist der Mechanismus von Resilienz ?</t>
  </si>
  <si>
    <t>file://conllu/de/teddy-1323.conllu#s234_0</t>
  </si>
  <si>
    <t>235</t>
  </si>
  <si>
    <t>sagen (sagen finden)</t>
  </si>
  <si>
    <t>Mit der Zeit fand ich heraus , dass die Menschen , die ihre Erfahrungen leugnen , die sagen : &amp;quot; Ich war vor langer Zeit depressiv und ich will nie mehr darüber sprechen und ich werde nicht mehr daran denken , ich werde einfach mit meinem Leben weitermachen . &amp;quot; , ironischerweise die Menschen sind , die nahezu von dem , was sie haben , unterjocht werden .</t>
  </si>
  <si>
    <t>file://conllu/de/teddy-1323.conllu#s235_0</t>
  </si>
  <si>
    <t>236</t>
  </si>
  <si>
    <t>verstärken</t>
  </si>
  <si>
    <t>Depressionen auszusperren , verstärken sie nur .</t>
  </si>
  <si>
    <t>file://conllu/de/teddy-1323.conllu#s236_0</t>
  </si>
  <si>
    <t>237</t>
  </si>
  <si>
    <t>wachsen</t>
  </si>
  <si>
    <t>Wenn man sich vor ihnen versteckt , wachsen sie .</t>
  </si>
  <si>
    <t>file://conllu/de/teddy-1323.conllu#s237_0</t>
  </si>
  <si>
    <t>238</t>
  </si>
  <si>
    <t>sein (sein diejenigen)</t>
  </si>
  <si>
    <t>Und die Menschen , denen es besser geht , sind diejenigen , die die Tatsache tolerieren , dass sie dieses Problem haben .</t>
  </si>
  <si>
    <t>file://conllu/de/teddy-1323.conllu#s238_0</t>
  </si>
  <si>
    <t>239</t>
  </si>
  <si>
    <t>Diejenigen , die ihre Depressionen tolerieren können , sind diejenigen , die Resilienz erlangen .</t>
  </si>
  <si>
    <t>file://conllu/de/teddy-1323.conllu#s239_0</t>
  </si>
  <si>
    <t>240</t>
  </si>
  <si>
    <t>Daher sagte Frank Russakoff zu mir : &amp;quot; Wenn ich es nochmal durchleben müsste , würde ich es wahrscheinlich nicht so machen , aber auf sonderbare Weise bin ich dankbar , dass ich das erlebt habe .</t>
  </si>
  <si>
    <t>file://conllu/de/teddy-1323.conllu#s240_0</t>
  </si>
  <si>
    <t>241</t>
  </si>
  <si>
    <t>sein (sein froh)</t>
  </si>
  <si>
    <t>Ich bin froh , 40 Mal in der Klinik gewesen zu sein .</t>
  </si>
  <si>
    <t>file://conllu/de/teddy-1323.conllu#s241_0</t>
  </si>
  <si>
    <t>242</t>
  </si>
  <si>
    <t>lehren</t>
  </si>
  <si>
    <t>Es lehrte mich so viel über Liebe , und meine Beziehung zu meinen Eltern und meinen Ärzten war so wichtig für mich , und sie wird es immer sein . &amp;quot;</t>
  </si>
  <si>
    <t>file://conllu/de/teddy-1323.conllu#s242_0</t>
  </si>
  <si>
    <t>243</t>
  </si>
  <si>
    <t>Und Maggie Robbins sagte : &amp;quot; Ich half ehrenamtlich in einer AIDS Klinik , und ich redete und redete und redete , und die Menschen , mit denen ich zu tun hatte , waren nicht sehr empfänglich , und ich dachte : ' Das ist nicht sehr freundlich oder hilfreich von ihnen . '</t>
  </si>
  <si>
    <t>file://conllu/de/teddy-1323.conllu#s243_0</t>
  </si>
  <si>
    <t>244</t>
  </si>
  <si>
    <t>erkennen</t>
  </si>
  <si>
    <t>Und dann erkannte ich , dass sie nicht mehr machen würden als diese paar Minuten Small Talk .</t>
  </si>
  <si>
    <t>file://conllu/de/teddy-1323.conllu#s244_0</t>
  </si>
  <si>
    <t>245</t>
  </si>
  <si>
    <t>sein (sein Gelegenheit)</t>
  </si>
  <si>
    <t>Es wäre einfach eine Gelegenheit , wo ich kein AIDS hatte und nicht sterben würde , aber die Tatsache tolerieren konnte , dass sie es hatten und das sie sterben würden .</t>
  </si>
  <si>
    <t>file://conllu/de/teddy-1323.conllu#s245_0</t>
  </si>
  <si>
    <t>246</t>
  </si>
  <si>
    <t>sein (sein Kapital)</t>
  </si>
  <si>
    <t>Unsere Bedürfnisse sind unser größtes Kapital .</t>
  </si>
  <si>
    <t>file://conllu/de/teddy-1323.conllu#s246_0</t>
  </si>
  <si>
    <t>247</t>
  </si>
  <si>
    <t>Es zeigt sich , dass ich gelernt habe , alles zu geben , was ich brauche . &amp;quot;</t>
  </si>
  <si>
    <t>file://conllu/de/teddy-1323.conllu#s247_0</t>
  </si>
  <si>
    <t>248</t>
  </si>
  <si>
    <t>verhindern</t>
  </si>
  <si>
    <t>Die eigenen Depressionen zu schätzen , verhindert keinen Rückfall , aber es kann die Aussicht auf einen Rückfall und sogar den Rückfall selbst leicht erträglicher machen .</t>
  </si>
  <si>
    <t>file://conllu/de/teddy-1323.conllu#s248_0</t>
  </si>
  <si>
    <t>249</t>
  </si>
  <si>
    <t>Es geht nicht so sehr darum , einen tieferen Sinn zu finden und zu entscheiden , dass Ihre Depressionen eine wichtige Rolle spielen .</t>
  </si>
  <si>
    <t>file://conllu/de/teddy-1323.conllu#s249_0</t>
  </si>
  <si>
    <t>250</t>
  </si>
  <si>
    <t>Es geht darum , diese Bedeutung zu suchen , wenn sie erneut kommen , und zu denken : &amp;quot; Das wird die Hölle , aber dadurch werde ich etwas lernen . &amp;quot;</t>
  </si>
  <si>
    <t>file://conllu/de/teddy-1323.conllu#s250_0</t>
  </si>
  <si>
    <t>251</t>
  </si>
  <si>
    <t>lernen</t>
  </si>
  <si>
    <t>Ich habe während meiner eigenen Depressionen gelernt , wir stark eine Emotion sein kann , wie sie wahrhaftiger sein kann als Fakten , und ich merkte , dass diese Erfahrung mir erlaubte , positive Emotionen intensiver zu erleben .</t>
  </si>
  <si>
    <t>file://conllu/de/teddy-1323.conllu#s251_0</t>
  </si>
  <si>
    <t>252</t>
  </si>
  <si>
    <t>Das Gegenteil von Depressionen ist nicht Glück , sondern Vitalität , und heute ist mein Leben vital , sogar an den Tagen , an denen ich traurig bin .</t>
  </si>
  <si>
    <t>file://conllu/de/teddy-1323.conllu#s252_0</t>
  </si>
  <si>
    <t>253</t>
  </si>
  <si>
    <t>bemerken (bemerken fühlen)</t>
  </si>
  <si>
    <t>Ich fühlte dieses Begräbnis in meinem Gehirn und saß neben dem Koloss am an dem Rande der Welt , und ich bemerkte etwas in mir selbst , das ich eine Seele nennen müsste , was ich bis zu dem Tag vor 20 Jahren nie formuliert hatte , als die Hölle mir einen Überraschungsbesuch abstattete .</t>
  </si>
  <si>
    <t>file://conllu/de/teddy-1323.conllu#s253_0</t>
  </si>
  <si>
    <t>254</t>
  </si>
  <si>
    <t>Obwohl ich es hasste , depressiv zu sein und es hassen würde , wieder depressiv zu werden , habe ich einen Weg gefunden , meine Depressionen zu lieben .</t>
  </si>
  <si>
    <t>file://conllu/de/teddy-1323.conllu#s254_0</t>
  </si>
  <si>
    <t>255</t>
  </si>
  <si>
    <t>lieben</t>
  </si>
  <si>
    <t>Ich liebe sie , weil sie mich gezwungen hat , Freude zu finden und mich an sie zu klammern .</t>
  </si>
  <si>
    <t>file://conllu/de/teddy-1323.conllu#s255_0</t>
  </si>
  <si>
    <t>256</t>
  </si>
  <si>
    <t>klammern</t>
  </si>
  <si>
    <t>denn ich entscheide täglich , manchmal spielerisch , und manchmal entgegen der Vernunft des Augenblicks , mich an die Gründe zu leben zu klammern .</t>
  </si>
  <si>
    <t>file://conllu/de/teddy-1323.conllu#s256_0</t>
  </si>
  <si>
    <t>257</t>
  </si>
  <si>
    <t>Ich denke , das ist eine sehr privilegierte Begeisterung .</t>
  </si>
  <si>
    <t>file://conllu/de/teddy-1323.conllu#s257_0</t>
  </si>
  <si>
    <t>258</t>
  </si>
  <si>
    <t>Dank</t>
  </si>
  <si>
    <t>Vielen Dank .</t>
  </si>
  <si>
    <t>file://conllu/de/teddy-1323.conllu#s258_0</t>
  </si>
  <si>
    <t>259</t>
  </si>
  <si>
    <t>Applaus</t>
  </si>
  <si>
    <t>( Applaus )</t>
  </si>
  <si>
    <t>file://conllu/de/teddy-1323.conllu#s259_0</t>
  </si>
  <si>
    <t>WORD</t>
  </si>
  <si>
    <t>GR</t>
  </si>
  <si>
    <t>NP_TYPE</t>
  </si>
  <si>
    <t>REF_AUTO</t>
  </si>
  <si>
    <t>COREF</t>
  </si>
  <si>
    <t>REF</t>
  </si>
  <si>
    <t>IS</t>
  </si>
  <si>
    <t>CB</t>
  </si>
  <si>
    <t>GR_ANTE</t>
  </si>
  <si>
    <t>REF_DIST</t>
  </si>
  <si>
    <t>REF_DIST_ANTE</t>
  </si>
  <si>
    <t># text = \"Ich fühlt' Begräbnis im Gehirn und Trauergäste -- her und hin -- die trampelten und trampelten in meinem Kopfe schwer, bis ich fühlte, dass ich wieder zu Sinnen kam.</t>
  </si>
  <si>
    <t>&amp;quot;</t>
  </si>
  <si>
    <t>Ich</t>
  </si>
  <si>
    <t>SBJ</t>
  </si>
  <si>
    <t>pron.pper</t>
  </si>
  <si>
    <t>?OLD</t>
  </si>
  <si>
    <t>fühlt</t>
  </si>
  <si>
    <t>'</t>
  </si>
  <si>
    <t>Begräbnis</t>
  </si>
  <si>
    <t>OBJ</t>
  </si>
  <si>
    <t>indef-np.bare</t>
  </si>
  <si>
    <t>in</t>
  </si>
  <si>
    <t>dem</t>
  </si>
  <si>
    <t>Gehirn</t>
  </si>
  <si>
    <t>other_2</t>
  </si>
  <si>
    <t>def-np.the</t>
  </si>
  <si>
    <t>und</t>
  </si>
  <si>
    <t>Trauergäste</t>
  </si>
  <si>
    <t>other_3</t>
  </si>
  <si>
    <t>her</t>
  </si>
  <si>
    <t>hin</t>
  </si>
  <si>
    <t>die</t>
  </si>
  <si>
    <t>trampelten</t>
  </si>
  <si>
    <t>meinem</t>
  </si>
  <si>
    <t>pron.ppos</t>
  </si>
  <si>
    <t>Kopfe</t>
  </si>
  <si>
    <t>schwer</t>
  </si>
  <si>
    <t>,</t>
  </si>
  <si>
    <t>bis</t>
  </si>
  <si>
    <t>ich</t>
  </si>
  <si>
    <t>SBJ_3</t>
  </si>
  <si>
    <t>fühlte</t>
  </si>
  <si>
    <t>dass</t>
  </si>
  <si>
    <t>SBJ_4</t>
  </si>
  <si>
    <t>wieder</t>
  </si>
  <si>
    <t>zu</t>
  </si>
  <si>
    <t>other_5</t>
  </si>
  <si>
    <t>pron.pind</t>
  </si>
  <si>
    <t>Sinnen</t>
  </si>
  <si>
    <t>other_4</t>
  </si>
  <si>
    <t>kam</t>
  </si>
  <si>
    <t>.</t>
  </si>
  <si>
    <t># text = Und sobald sie alle saßen, ertönt eine Andacht, trommelgleich, sie hörte nicht auf zu schlagen, schlagen, und schlug das Hirn mir weich.</t>
  </si>
  <si>
    <t>Und</t>
  </si>
  <si>
    <t>sobald</t>
  </si>
  <si>
    <t>sie</t>
  </si>
  <si>
    <t>SBJ_2</t>
  </si>
  <si>
    <t>pron</t>
  </si>
  <si>
    <t>alle</t>
  </si>
  <si>
    <t>OBJ_2</t>
  </si>
  <si>
    <t>saßen</t>
  </si>
  <si>
    <t>ertönt</t>
  </si>
  <si>
    <t>eine</t>
  </si>
  <si>
    <t>Andacht</t>
  </si>
  <si>
    <t>indef-np.a</t>
  </si>
  <si>
    <t>trommelgleich</t>
  </si>
  <si>
    <t>hörte</t>
  </si>
  <si>
    <t>nicht</t>
  </si>
  <si>
    <t>auf</t>
  </si>
  <si>
    <t>schlug</t>
  </si>
  <si>
    <t>das</t>
  </si>
  <si>
    <t>Hirn</t>
  </si>
  <si>
    <t>mir</t>
  </si>
  <si>
    <t>weich</t>
  </si>
  <si>
    <t># text = Ich hörte sie heben eine Kiste und über meine Seele knarzen wieder mit den gleichen Bleistiefeln, dann begann der Raum zu klingen, als wäre der Himmel eine Glocke und die Existenz ein Ohr, und ich und die Stille eine sonderbare Rasse, ruiniert, einsam, hier.</t>
  </si>
  <si>
    <t>heben</t>
  </si>
  <si>
    <t>Kiste</t>
  </si>
  <si>
    <t>OBJ_3</t>
  </si>
  <si>
    <t>über</t>
  </si>
  <si>
    <t>meine</t>
  </si>
  <si>
    <t>Seele</t>
  </si>
  <si>
    <t>indef-np</t>
  </si>
  <si>
    <t>knarzen</t>
  </si>
  <si>
    <t>mit</t>
  </si>
  <si>
    <t>den</t>
  </si>
  <si>
    <t>gleichen</t>
  </si>
  <si>
    <t>Bleistiefeln</t>
  </si>
  <si>
    <t>dann</t>
  </si>
  <si>
    <t>begann</t>
  </si>
  <si>
    <t>der</t>
  </si>
  <si>
    <t>Raum</t>
  </si>
  <si>
    <t>klingen</t>
  </si>
  <si>
    <t>als</t>
  </si>
  <si>
    <t>wäre</t>
  </si>
  <si>
    <t>Himmel</t>
  </si>
  <si>
    <t>Glocke</t>
  </si>
  <si>
    <t>Existenz</t>
  </si>
  <si>
    <t>ein</t>
  </si>
  <si>
    <t>Ohr</t>
  </si>
  <si>
    <t>other</t>
  </si>
  <si>
    <t>Stille</t>
  </si>
  <si>
    <t>sonderbare</t>
  </si>
  <si>
    <t>Rasse</t>
  </si>
  <si>
    <t>ruiniert</t>
  </si>
  <si>
    <t>einsam</t>
  </si>
  <si>
    <t>hier</t>
  </si>
  <si>
    <t>--</t>
  </si>
  <si>
    <t># text = Genau dann bricht eine Planke in der Vernunft und ich fiel immer tiefer und treffe bei jedem Fall auf eine andere Welt und hörte damit auf, zu wissen."</t>
  </si>
  <si>
    <t>Genau</t>
  </si>
  <si>
    <t>bricht</t>
  </si>
  <si>
    <t>Planke</t>
  </si>
  <si>
    <t>Vernunft</t>
  </si>
  <si>
    <t>fiel</t>
  </si>
  <si>
    <t>immer</t>
  </si>
  <si>
    <t>tiefer</t>
  </si>
  <si>
    <t>treffe</t>
  </si>
  <si>
    <t>bei</t>
  </si>
  <si>
    <t>jedem</t>
  </si>
  <si>
    <t>Fall</t>
  </si>
  <si>
    <t>andere</t>
  </si>
  <si>
    <t>Welt</t>
  </si>
  <si>
    <t>damit</t>
  </si>
  <si>
    <t># text = Wir kennen Depressionen durch Metaphern.</t>
  </si>
  <si>
    <t>Wir</t>
  </si>
  <si>
    <t>Depressionen</t>
  </si>
  <si>
    <t>durch</t>
  </si>
  <si>
    <t>Metaphern</t>
  </si>
  <si>
    <t># text = Emily Dickinson konnte es durch Sprache vermitteln, Goya mittels eines Bildes.</t>
  </si>
  <si>
    <t>Emily</t>
  </si>
  <si>
    <t>ne</t>
  </si>
  <si>
    <t>Dickinson</t>
  </si>
  <si>
    <t>konnte</t>
  </si>
  <si>
    <t>es</t>
  </si>
  <si>
    <t>Sprache</t>
  </si>
  <si>
    <t>Goya</t>
  </si>
  <si>
    <t>mittels</t>
  </si>
  <si>
    <t>eines</t>
  </si>
  <si>
    <t>Bildes</t>
  </si>
  <si>
    <t># text = Die Intention von Kunst ist zur Hälfte, solche ikonischen Zustände zu beschreiben.</t>
  </si>
  <si>
    <t>Die</t>
  </si>
  <si>
    <t>Intention</t>
  </si>
  <si>
    <t>von</t>
  </si>
  <si>
    <t>Kunst</t>
  </si>
  <si>
    <t>ist</t>
  </si>
  <si>
    <t>Hälfte</t>
  </si>
  <si>
    <t>solche</t>
  </si>
  <si>
    <t>ikonischen</t>
  </si>
  <si>
    <t>Zustände</t>
  </si>
  <si>
    <t>pron.pds</t>
  </si>
  <si>
    <t>beschreiben</t>
  </si>
  <si>
    <t># text = Ich selbst hielt mich immer für taff, für einen der Menschen, der überleben würde, wenn er in ein Konzentrationslager geschickt würde.</t>
  </si>
  <si>
    <t>selbst</t>
  </si>
  <si>
    <t>hielt</t>
  </si>
  <si>
    <t>mich</t>
  </si>
  <si>
    <t>für</t>
  </si>
  <si>
    <t>taff</t>
  </si>
  <si>
    <t>einen</t>
  </si>
  <si>
    <t>Menschen</t>
  </si>
  <si>
    <t>überleben</t>
  </si>
  <si>
    <t>würde</t>
  </si>
  <si>
    <t>wenn</t>
  </si>
  <si>
    <t>er</t>
  </si>
  <si>
    <t>Konzentrationslager</t>
  </si>
  <si>
    <t>geschickt</t>
  </si>
  <si>
    <t># text = 1991 erlitt ich zahlreiche Verluste.</t>
  </si>
  <si>
    <t>1991</t>
  </si>
  <si>
    <t>erlitt</t>
  </si>
  <si>
    <t>zahlreiche</t>
  </si>
  <si>
    <t>Verluste</t>
  </si>
  <si>
    <t>indef-np.quant</t>
  </si>
  <si>
    <t># text = Meine Mutter starb, meine Beziehung endete, ich zog, nach einigen Jahren im Ausland, in die USA zurück, und ich überstand all diese Erfahrungen unversehrt.</t>
  </si>
  <si>
    <t>Meine</t>
  </si>
  <si>
    <t>Mutter</t>
  </si>
  <si>
    <t>starb</t>
  </si>
  <si>
    <t>Beziehung</t>
  </si>
  <si>
    <t>endete</t>
  </si>
  <si>
    <t>zog</t>
  </si>
  <si>
    <t>nach</t>
  </si>
  <si>
    <t>einigen</t>
  </si>
  <si>
    <t>Jahren</t>
  </si>
  <si>
    <t>Ausland</t>
  </si>
  <si>
    <t>USA</t>
  </si>
  <si>
    <t>zurück</t>
  </si>
  <si>
    <t>überstand</t>
  </si>
  <si>
    <t>all</t>
  </si>
  <si>
    <t>diese</t>
  </si>
  <si>
    <t>Erfahrungen</t>
  </si>
  <si>
    <t>def-np.dem</t>
  </si>
  <si>
    <t>unversehrt</t>
  </si>
  <si>
    <t># text = Aber 1994, drei Jahre später, verlor ich das Interesse an fast allen Dingen.</t>
  </si>
  <si>
    <t>Aber</t>
  </si>
  <si>
    <t>1994</t>
  </si>
  <si>
    <t>drei</t>
  </si>
  <si>
    <t>Jahre</t>
  </si>
  <si>
    <t>später</t>
  </si>
  <si>
    <t>verlor</t>
  </si>
  <si>
    <t>Interesse</t>
  </si>
  <si>
    <t>an</t>
  </si>
  <si>
    <t>fast</t>
  </si>
  <si>
    <t>allen</t>
  </si>
  <si>
    <t>Dingen</t>
  </si>
  <si>
    <t># text = Ich wollte nichts mehr von den Dingen machen, die ich zuvor tun wollte, und ich wusste nicht warum.</t>
  </si>
  <si>
    <t>wollte</t>
  </si>
  <si>
    <t>nichts</t>
  </si>
  <si>
    <t>mehr</t>
  </si>
  <si>
    <t>zuvor</t>
  </si>
  <si>
    <t>wusste</t>
  </si>
  <si>
    <t>warum</t>
  </si>
  <si>
    <t># text = Das Gegenteil von Depressionen ist nicht Glück, sondern Vitalität, und gerade die Vitalität schien in diesem Moment aus mir heraus zu sickern.</t>
  </si>
  <si>
    <t>Das</t>
  </si>
  <si>
    <t>Gegenteil</t>
  </si>
  <si>
    <t>Glück</t>
  </si>
  <si>
    <t>sondern</t>
  </si>
  <si>
    <t>Vitalität</t>
  </si>
  <si>
    <t>gerade</t>
  </si>
  <si>
    <t>schien</t>
  </si>
  <si>
    <t>diesem</t>
  </si>
  <si>
    <t>Moment</t>
  </si>
  <si>
    <t>aus</t>
  </si>
  <si>
    <t>heraus</t>
  </si>
  <si>
    <t>sickern</t>
  </si>
  <si>
    <t># text = Alles, was zu tun war, schien zu viel Arbeit.</t>
  </si>
  <si>
    <t>Alles</t>
  </si>
  <si>
    <t>was</t>
  </si>
  <si>
    <t>war</t>
  </si>
  <si>
    <t>viel</t>
  </si>
  <si>
    <t>Arbeit</t>
  </si>
  <si>
    <t># text = Wenn ich nach Hause kam und das rote Licht meines Anrufbeantworters blinken sah, war ich nicht begeistert von meinen Freunden zu hören, sondern dachte: "Das sind viele Leute, die ich zurückrufen muss."</t>
  </si>
  <si>
    <t>Wenn</t>
  </si>
  <si>
    <t>Hause</t>
  </si>
  <si>
    <t>rote</t>
  </si>
  <si>
    <t>Licht</t>
  </si>
  <si>
    <t>meines</t>
  </si>
  <si>
    <t>Anrufbeantworters</t>
  </si>
  <si>
    <t>blinken</t>
  </si>
  <si>
    <t>sah</t>
  </si>
  <si>
    <t>begeistert</t>
  </si>
  <si>
    <t>meinen</t>
  </si>
  <si>
    <t>Freunden</t>
  </si>
  <si>
    <t>dachte</t>
  </si>
  <si>
    <t>:</t>
  </si>
  <si>
    <t>sind</t>
  </si>
  <si>
    <t>viele</t>
  </si>
  <si>
    <t>Leute</t>
  </si>
  <si>
    <t>OBJ_4</t>
  </si>
  <si>
    <t>zurückrufen</t>
  </si>
  <si>
    <t>muss</t>
  </si>
  <si>
    <t># text = Oder ich entschied zu Mittag zu essen, und dann dachte ich, dass ich dafür das Essen rausholen und es auf einen Teller tun muss, es schneiden und kauen und schlucken muss, und das fühlte sich für mich wie ein Kreuzweg an.</t>
  </si>
  <si>
    <t>Oder</t>
  </si>
  <si>
    <t>entschied</t>
  </si>
  <si>
    <t>Mittag</t>
  </si>
  <si>
    <t>essen</t>
  </si>
  <si>
    <t>dafür</t>
  </si>
  <si>
    <t>Essen</t>
  </si>
  <si>
    <t>rausholen</t>
  </si>
  <si>
    <t>Teller</t>
  </si>
  <si>
    <t>schneiden</t>
  </si>
  <si>
    <t>kauen</t>
  </si>
  <si>
    <t>schlucken</t>
  </si>
  <si>
    <t>sich</t>
  </si>
  <si>
    <t>wie</t>
  </si>
  <si>
    <t>Kreuzweg</t>
  </si>
  <si>
    <t># text = Wenn über Depressionen diskutiert wird, wird oft übersehen, dass man weiß, dass es lächerlich ist.</t>
  </si>
  <si>
    <t>diskutiert</t>
  </si>
  <si>
    <t>wird</t>
  </si>
  <si>
    <t>oft</t>
  </si>
  <si>
    <t>man</t>
  </si>
  <si>
    <t>weiß</t>
  </si>
  <si>
    <t>lächerlich</t>
  </si>
  <si>
    <t># text = Man weiß, dass es lächerlich ist, während man es erlebt.</t>
  </si>
  <si>
    <t>Man</t>
  </si>
  <si>
    <t>während</t>
  </si>
  <si>
    <t>erlebt</t>
  </si>
  <si>
    <t># text = Man weiß, dass die meisten Menschen es schaffen, ihre Nachrichten abzuhören, Mittag zu essen, sich selbst dazu zu bringen, zu duschen und aus dem Haus zu gehen, und das es keine große Sache ist, aber dennoch ist man in ihren Fängen und unfähig, einen Weg drum herum zu finden.</t>
  </si>
  <si>
    <t>meisten</t>
  </si>
  <si>
    <t>schaffen</t>
  </si>
  <si>
    <t>ihre</t>
  </si>
  <si>
    <t>Nachrichten</t>
  </si>
  <si>
    <t>abzuhören</t>
  </si>
  <si>
    <t>dazu</t>
  </si>
  <si>
    <t>pron.padv</t>
  </si>
  <si>
    <t>duschen</t>
  </si>
  <si>
    <t>Haus</t>
  </si>
  <si>
    <t>keine</t>
  </si>
  <si>
    <t>große</t>
  </si>
  <si>
    <t>Sache</t>
  </si>
  <si>
    <t>aber</t>
  </si>
  <si>
    <t>dennoch</t>
  </si>
  <si>
    <t>ihren</t>
  </si>
  <si>
    <t>Fängen</t>
  </si>
  <si>
    <t>unfähig</t>
  </si>
  <si>
    <t>Weg</t>
  </si>
  <si>
    <t>drum</t>
  </si>
  <si>
    <t>herum</t>
  </si>
  <si>
    <t># text = Ich begann immer weniger zu tun, immer weniger zu denken und weniger zu fühlen.</t>
  </si>
  <si>
    <t>weniger</t>
  </si>
  <si>
    <t># text = Es war eine Art Nichtigkeit.</t>
  </si>
  <si>
    <t>Es</t>
  </si>
  <si>
    <t>Art</t>
  </si>
  <si>
    <t>Nichtigkeit</t>
  </si>
  <si>
    <t># text = Und dann setzte die Angst ein.</t>
  </si>
  <si>
    <t>setzte</t>
  </si>
  <si>
    <t>Angst</t>
  </si>
  <si>
    <t># text = Wenn man mir gesagt hätte, dass ich in den nächsten Monaten depressiv sein würde, hätte ich gesagt: "Solange es im November vorbei ist, schaffe ich das."</t>
  </si>
  <si>
    <t>gesagt</t>
  </si>
  <si>
    <t>hätte</t>
  </si>
  <si>
    <t>nächsten</t>
  </si>
  <si>
    <t>Monaten</t>
  </si>
  <si>
    <t>depressiv</t>
  </si>
  <si>
    <t>Solange</t>
  </si>
  <si>
    <t>November</t>
  </si>
  <si>
    <t>vorbei</t>
  </si>
  <si>
    <t>schaffe</t>
  </si>
  <si>
    <t># text = Aber wenn man mir gesagt hätte: \"Sie haben den nächsten Monat akute Angstzustände\", würde ich eher mein Handgelenk aufschlitzen, als das durchzustehen.</t>
  </si>
  <si>
    <t>Sie</t>
  </si>
  <si>
    <t>Monat</t>
  </si>
  <si>
    <t>akute</t>
  </si>
  <si>
    <t>Angstzustände</t>
  </si>
  <si>
    <t>eher</t>
  </si>
  <si>
    <t>mein</t>
  </si>
  <si>
    <t>Handgelenk</t>
  </si>
  <si>
    <t>aufschlitzen</t>
  </si>
  <si>
    <t>durchzustehen</t>
  </si>
  <si>
    <t># text = Ich hatte ständig dieses Gefühl, das man hat, wenn man läuft und rutscht oder stolpert und der Boden auf einen zukommt, aber anstatt dass es eine halbe Sekunde anhält, wie normalerweise, hielt es sechs Monate an.</t>
  </si>
  <si>
    <t>hatte</t>
  </si>
  <si>
    <t>ständig</t>
  </si>
  <si>
    <t>dieses</t>
  </si>
  <si>
    <t>Gefühl</t>
  </si>
  <si>
    <t>hat</t>
  </si>
  <si>
    <t>läuft</t>
  </si>
  <si>
    <t>rutscht</t>
  </si>
  <si>
    <t>oder</t>
  </si>
  <si>
    <t>stolpert</t>
  </si>
  <si>
    <t>Boden</t>
  </si>
  <si>
    <t>zukommt</t>
  </si>
  <si>
    <t>anstatt</t>
  </si>
  <si>
    <t>halbe</t>
  </si>
  <si>
    <t>Sekunde</t>
  </si>
  <si>
    <t>anhält</t>
  </si>
  <si>
    <t>normalerweise</t>
  </si>
  <si>
    <t>SBJ_5</t>
  </si>
  <si>
    <t>sechs</t>
  </si>
  <si>
    <t>Monate</t>
  </si>
  <si>
    <t>OBJ_5</t>
  </si>
  <si>
    <t># text = Es ist ein Gefühl der ständigen Angst, ohne dass man überhaupt weiß, wovor man Angst hat.</t>
  </si>
  <si>
    <t>ständigen</t>
  </si>
  <si>
    <t>ohne</t>
  </si>
  <si>
    <t>überhaupt</t>
  </si>
  <si>
    <t>wovor</t>
  </si>
  <si>
    <t># text = Und an diesem Punkt begann ich zu denken, dass es einfach zu schmerzhaft ist, am Leben zu sein, und dass der einzige Grund, sich nicht umzubringen, darin bestand, anderen Menschen nicht weh zu tun.</t>
  </si>
  <si>
    <t>Punkt</t>
  </si>
  <si>
    <t>einfach</t>
  </si>
  <si>
    <t>schmerzhaft</t>
  </si>
  <si>
    <t>Leben</t>
  </si>
  <si>
    <t>einzige</t>
  </si>
  <si>
    <t>Grund</t>
  </si>
  <si>
    <t>umzubringen</t>
  </si>
  <si>
    <t>darin</t>
  </si>
  <si>
    <t>bestand</t>
  </si>
  <si>
    <t>anderen</t>
  </si>
  <si>
    <t>weh</t>
  </si>
  <si>
    <t># text = Eines Tages wachte ich schließlich auf und dachte, ich hätte vielleicht einen Schlaganfall, weil ich komplett gelähmt im Bett lag, das Telefon ansah und dachte: "Etwas stimmt nicht und ich sollte Hilfe holen."</t>
  </si>
  <si>
    <t>Eines</t>
  </si>
  <si>
    <t>Tages</t>
  </si>
  <si>
    <t>wachte</t>
  </si>
  <si>
    <t>schließlich</t>
  </si>
  <si>
    <t>vielleicht</t>
  </si>
  <si>
    <t>Schlaganfall</t>
  </si>
  <si>
    <t>weil</t>
  </si>
  <si>
    <t>komplett</t>
  </si>
  <si>
    <t>gelähmt</t>
  </si>
  <si>
    <t>Bett</t>
  </si>
  <si>
    <t>lag</t>
  </si>
  <si>
    <t>Telefon</t>
  </si>
  <si>
    <t>ansah</t>
  </si>
  <si>
    <t>Etwas</t>
  </si>
  <si>
    <t>stimmt</t>
  </si>
  <si>
    <t>sollte</t>
  </si>
  <si>
    <t>Hilfe</t>
  </si>
  <si>
    <t>holen</t>
  </si>
  <si>
    <t># text = Ich konnte meinen Arm nicht ausstrecken und das Telefon abheben und wählen.</t>
  </si>
  <si>
    <t>Arm</t>
  </si>
  <si>
    <t>abheben</t>
  </si>
  <si>
    <t>wählen</t>
  </si>
  <si>
    <t># text = Nachdem ich volle 4 Stunden dagelegen und es angestarrt hatte, klingelte endlich das Telefon, und irgendwie schaffte ich es dranzugehen.</t>
  </si>
  <si>
    <t>Nachdem</t>
  </si>
  <si>
    <t>volle</t>
  </si>
  <si>
    <t>Stunden</t>
  </si>
  <si>
    <t>dagelegen</t>
  </si>
  <si>
    <t>angestarrt</t>
  </si>
  <si>
    <t>klingelte</t>
  </si>
  <si>
    <t>endlich</t>
  </si>
  <si>
    <t>irgendwie</t>
  </si>
  <si>
    <t>schaffte</t>
  </si>
  <si>
    <t>dranzugehen</t>
  </si>
  <si>
    <t># text = Es war mein Vater und ich sagte: "Ich habe ernsthafte Probleme.</t>
  </si>
  <si>
    <t>Vater</t>
  </si>
  <si>
    <t>sagte</t>
  </si>
  <si>
    <t>habe</t>
  </si>
  <si>
    <t>ernsthafte</t>
  </si>
  <si>
    <t>Probleme</t>
  </si>
  <si>
    <t># text = Wir müssen etwas tun."</t>
  </si>
  <si>
    <t>müssen</t>
  </si>
  <si>
    <t>etwas</t>
  </si>
  <si>
    <t># text = Am nächsten Tag fing ich mit den Medikamenten und der Therapie an.</t>
  </si>
  <si>
    <t>An</t>
  </si>
  <si>
    <t>Tag</t>
  </si>
  <si>
    <t>fing</t>
  </si>
  <si>
    <t>Medikamenten</t>
  </si>
  <si>
    <t>Therapie</t>
  </si>
  <si>
    <t># text = Und ich begann auch mir diese furchtbare Frage zu stellen: Wenn ich nicht die starke Person bin, die ein Konzentrationslager überstanden hätte, wer bin ich dann?</t>
  </si>
  <si>
    <t>auch</t>
  </si>
  <si>
    <t>furchtbare</t>
  </si>
  <si>
    <t>starke</t>
  </si>
  <si>
    <t>Person</t>
  </si>
  <si>
    <t>bin</t>
  </si>
  <si>
    <t>überstanden</t>
  </si>
  <si>
    <t>wer</t>
  </si>
  <si>
    <t>pron.pint</t>
  </si>
  <si>
    <t>?</t>
  </si>
  <si>
    <t># text = Und wenn ich Medikamente nehmen muss, machen die Medikamente mich mehr zu mir selbst oder machen sie mich zu jemand anderem?</t>
  </si>
  <si>
    <t>Medikamente</t>
  </si>
  <si>
    <t>nehmen</t>
  </si>
  <si>
    <t>jemand</t>
  </si>
  <si>
    <t>anderem</t>
  </si>
  <si>
    <t># text = Und was halte ich davon, wenn sie mich zu einem anderen machen?</t>
  </si>
  <si>
    <t>halte</t>
  </si>
  <si>
    <t>davon</t>
  </si>
  <si>
    <t>einem</t>
  </si>
  <si>
    <t># text = Es gab zwei Vorteile für mich, als ich den Kampf aufnahm.</t>
  </si>
  <si>
    <t>gab</t>
  </si>
  <si>
    <t>zwei</t>
  </si>
  <si>
    <t>Vorteile</t>
  </si>
  <si>
    <t>Kampf</t>
  </si>
  <si>
    <t>aufnahm</t>
  </si>
  <si>
    <t># text = Erstens wusste ich, objektiv gesprochen, dass ich ein schönes Leben hatte und wenn ich nur gesund würde, wäre dort etwas am anderen Ende, das lebenswert war.</t>
  </si>
  <si>
    <t>Erstens</t>
  </si>
  <si>
    <t>objektiv</t>
  </si>
  <si>
    <t>gesprochen</t>
  </si>
  <si>
    <t>schönes</t>
  </si>
  <si>
    <t>nur</t>
  </si>
  <si>
    <t>gesund</t>
  </si>
  <si>
    <t>dort</t>
  </si>
  <si>
    <t>Ende</t>
  </si>
  <si>
    <t>other_6</t>
  </si>
  <si>
    <t>def-np.the.other</t>
  </si>
  <si>
    <t>lebenswert</t>
  </si>
  <si>
    <t># text = Darüber hinaus hatte ich Zugang zu guter Behandlung.</t>
  </si>
  <si>
    <t>Darüber</t>
  </si>
  <si>
    <t>hinaus</t>
  </si>
  <si>
    <t>Zugang</t>
  </si>
  <si>
    <t>guter</t>
  </si>
  <si>
    <t>Behandlung</t>
  </si>
  <si>
    <t># text = Aber trotzdem kämpfte ich mich raus und wurde rückfällig, kämpfte mich raus und schließlich verstand ich, dass ich auf ewig in medizinischer und therapeutischer Behandlung bleiben müsste.</t>
  </si>
  <si>
    <t>trotzdem</t>
  </si>
  <si>
    <t>kämpfte</t>
  </si>
  <si>
    <t>raus</t>
  </si>
  <si>
    <t>wurde</t>
  </si>
  <si>
    <t>rückfällig</t>
  </si>
  <si>
    <t>verstand</t>
  </si>
  <si>
    <t>ewig</t>
  </si>
  <si>
    <t>medizinischer</t>
  </si>
  <si>
    <t>therapeutischer</t>
  </si>
  <si>
    <t>müsste</t>
  </si>
  <si>
    <t># text = Ich überlegte: \"Ist es ein chemisches oder ein psychologisches Problem?</t>
  </si>
  <si>
    <t>überlegte</t>
  </si>
  <si>
    <t>Ist</t>
  </si>
  <si>
    <t>chemisches</t>
  </si>
  <si>
    <t>psychologisches</t>
  </si>
  <si>
    <t>Problem</t>
  </si>
  <si>
    <t># text = Und muss es auf chemische oder auf philosophische Weise geheilt werden?\"</t>
  </si>
  <si>
    <t>chemische</t>
  </si>
  <si>
    <t>philosophische</t>
  </si>
  <si>
    <t>Weise</t>
  </si>
  <si>
    <t>geheilt</t>
  </si>
  <si>
    <t># text = Ich konnte die Frage, welches davon es war, nicht beantworten.</t>
  </si>
  <si>
    <t>welches</t>
  </si>
  <si>
    <t># text = Und dann verstand ich schließlich, dass wir in keinem Bereich fortgeschritten genug sind, um die Dinge ganz zu erklären.</t>
  </si>
  <si>
    <t>wir</t>
  </si>
  <si>
    <t>keinem</t>
  </si>
  <si>
    <t>Bereich</t>
  </si>
  <si>
    <t>fortgeschritten</t>
  </si>
  <si>
    <t>genug</t>
  </si>
  <si>
    <t>um</t>
  </si>
  <si>
    <t>Dinge</t>
  </si>
  <si>
    <t>ganz</t>
  </si>
  <si>
    <t># text = Die chemische und psychologische Behandlung haben beide eine Funktion, und ich verstand auch, dass Depressionen etwas sind, das so tief in uns verwurzelt ist, dass man sie nicht von unserem Charakter und unserer Persönlichkeit trennen kann.</t>
  </si>
  <si>
    <t>psychologische</t>
  </si>
  <si>
    <t>beide</t>
  </si>
  <si>
    <t>Funktion</t>
  </si>
  <si>
    <t>def-np.quant</t>
  </si>
  <si>
    <t>so</t>
  </si>
  <si>
    <t>tief</t>
  </si>
  <si>
    <t>uns</t>
  </si>
  <si>
    <t>verwurzelt</t>
  </si>
  <si>
    <t>unserem</t>
  </si>
  <si>
    <t>Charakter</t>
  </si>
  <si>
    <t>unserer</t>
  </si>
  <si>
    <t>Persönlichkeit</t>
  </si>
  <si>
    <t>trennen</t>
  </si>
  <si>
    <t>kann</t>
  </si>
  <si>
    <t># text = Unsere derzeitigen Behandlungsmethoden für Depressionen sind fürchterlich.</t>
  </si>
  <si>
    <t>Unsere</t>
  </si>
  <si>
    <t>Behandlungsmethoden</t>
  </si>
  <si>
    <t>fürchterlich</t>
  </si>
  <si>
    <t># text = Sie sind nicht besonders effektiv.</t>
  </si>
  <si>
    <t>besonders</t>
  </si>
  <si>
    <t>effektiv</t>
  </si>
  <si>
    <t># text = Sie sind extrem teuer.</t>
  </si>
  <si>
    <t>extrem</t>
  </si>
  <si>
    <t>teuer</t>
  </si>
  <si>
    <t># text = Sie haben unzählige Nebenwirkungen.</t>
  </si>
  <si>
    <t>unzählige</t>
  </si>
  <si>
    <t>Nebenwirkungen</t>
  </si>
  <si>
    <t># text = Sie sind ein Desaster.</t>
  </si>
  <si>
    <t>Desaster</t>
  </si>
  <si>
    <t># text = Aber ich bin so dankbar, dass ich zur heutigen Zeit lebe und nicht vor 50 Jahren, als beinahe gar nichts getan werden konnte.</t>
  </si>
  <si>
    <t>dankbar</t>
  </si>
  <si>
    <t>heutigen</t>
  </si>
  <si>
    <t>Zeit</t>
  </si>
  <si>
    <t>lebe</t>
  </si>
  <si>
    <t>vor</t>
  </si>
  <si>
    <t>beinahe</t>
  </si>
  <si>
    <t>gar</t>
  </si>
  <si>
    <t>getan</t>
  </si>
  <si>
    <t># text = Ich hoffe, dass in 50 Jahren die Menschen von meinen Therapien hören und entsetzt sein werden, dass irgendjemand so eine primitive Wissenschaft erduldete.</t>
  </si>
  <si>
    <t>hoffe</t>
  </si>
  <si>
    <t>Therapien</t>
  </si>
  <si>
    <t>entsetzt</t>
  </si>
  <si>
    <t>irgendjemand</t>
  </si>
  <si>
    <t>primitive</t>
  </si>
  <si>
    <t>Wissenschaft</t>
  </si>
  <si>
    <t>erduldete</t>
  </si>
  <si>
    <t># text = Depressionen sind das Manko der Liebe.</t>
  </si>
  <si>
    <t>Manko</t>
  </si>
  <si>
    <t>Liebe</t>
  </si>
  <si>
    <t># text = Wäre man mit jemandem verheiratet und würde denken: \"Wenn meine Frau stirbt, finde ich eine andere\", wäre es nicht die Liebe, wie wir sie kennen.</t>
  </si>
  <si>
    <t>Wäre</t>
  </si>
  <si>
    <t>jemandem</t>
  </si>
  <si>
    <t>verheiratet</t>
  </si>
  <si>
    <t>stirbt</t>
  </si>
  <si>
    <t>finde</t>
  </si>
  <si>
    <t># text = Es gibt keine Liebe, ohne das Vorgefühl von Verlust, und dieses Schreckgespenst der Verzweiflung kann der Antrieb für Vertrautheit sein.</t>
  </si>
  <si>
    <t>gibt</t>
  </si>
  <si>
    <t>Vorgefühl</t>
  </si>
  <si>
    <t>Verlust</t>
  </si>
  <si>
    <t>Schreckgespenst</t>
  </si>
  <si>
    <t>Verzweiflung</t>
  </si>
  <si>
    <t>Antrieb</t>
  </si>
  <si>
    <t>Vertrautheit</t>
  </si>
  <si>
    <t># text = Es gibt drei Dinge, die Menschen gerne verwechseln: Depressionen, Trauer und Traurigkeit.</t>
  </si>
  <si>
    <t>gerne</t>
  </si>
  <si>
    <t>verwechseln</t>
  </si>
  <si>
    <t>Trauer</t>
  </si>
  <si>
    <t>Traurigkeit</t>
  </si>
  <si>
    <t># text = Trauer ist ausdrücklich reaktiv.</t>
  </si>
  <si>
    <t>ausdrücklich</t>
  </si>
  <si>
    <t>reaktiv</t>
  </si>
  <si>
    <t># text = Wenn Sie einen Verlust erleiden und sich unglaublich unglücklich fühlen, und dann, 6 Monate später, sind Sie immer noch zutiefst traurig, aber Sie funktionieren ein bisschen besser, ist es wahrscheinlich Trauer, und es wird sich wahrscheinlich letztendlich in gewissem Maße von alleine lösen.</t>
  </si>
  <si>
    <t>unglaublich</t>
  </si>
  <si>
    <t>unglücklich</t>
  </si>
  <si>
    <t>noch</t>
  </si>
  <si>
    <t>zutiefst</t>
  </si>
  <si>
    <t>traurig</t>
  </si>
  <si>
    <t>funktionieren</t>
  </si>
  <si>
    <t>bisschen</t>
  </si>
  <si>
    <t>besser</t>
  </si>
  <si>
    <t>letztendlich</t>
  </si>
  <si>
    <t>gewissem</t>
  </si>
  <si>
    <t>Maße</t>
  </si>
  <si>
    <t>alleine</t>
  </si>
  <si>
    <t>lösen</t>
  </si>
  <si>
    <t># text = Wenn Sie einen katastrophalen Verlust erleiden und sich schrecklich fühlen, und nach 6 Monaten kaum funktionieren können, dann sind es vielleicht Depressionen, die von den katastrophalen Umständen ausgelöst wurden.</t>
  </si>
  <si>
    <t>katastrophalen</t>
  </si>
  <si>
    <t>schrecklich</t>
  </si>
  <si>
    <t>kaum</t>
  </si>
  <si>
    <t>können</t>
  </si>
  <si>
    <t>Umständen</t>
  </si>
  <si>
    <t>ausgelöst</t>
  </si>
  <si>
    <t>wurden</t>
  </si>
  <si>
    <t># text = Der Verlauf erzählt uns eine Menge.</t>
  </si>
  <si>
    <t>Der</t>
  </si>
  <si>
    <t>Verlauf</t>
  </si>
  <si>
    <t>erzählt</t>
  </si>
  <si>
    <t>Menge</t>
  </si>
  <si>
    <t># text = Die Menschen denken, Depressionen wären einfach Traurigkeit.</t>
  </si>
  <si>
    <t>wären</t>
  </si>
  <si>
    <t># text = Es ist viel zu viel Traurigkeit, viel zu viel Trauer aus einem viel zu nichtigen Grund.</t>
  </si>
  <si>
    <t>nichtigen</t>
  </si>
  <si>
    <t># text = Ich machte mich daran, Depressionen zu verstehen und Menschen zu interviewen, die das erlebt hatten.</t>
  </si>
  <si>
    <t>machte</t>
  </si>
  <si>
    <t>daran</t>
  </si>
  <si>
    <t>interviewen</t>
  </si>
  <si>
    <t>hatten</t>
  </si>
  <si>
    <t># text = Ich entdeckte, dass es Menschen gibt, die, oberflächlich betrachtet, relativ leichte Depressionen haben, die aber davon dennoch völlig ausgeschaltet sind.</t>
  </si>
  <si>
    <t>entdeckte</t>
  </si>
  <si>
    <t>oberflächlich</t>
  </si>
  <si>
    <t>betrachtet</t>
  </si>
  <si>
    <t>relativ</t>
  </si>
  <si>
    <t>leichte</t>
  </si>
  <si>
    <t>völlig</t>
  </si>
  <si>
    <t>ausgeschaltet</t>
  </si>
  <si>
    <t># text = Und es gibt andere Menschen, die, so wie es klingt, furchtbar schwere Depressionen haben, und dennoch zwischen ihren depressiven Episoden ein schönes Leben hatten.</t>
  </si>
  <si>
    <t>klingt</t>
  </si>
  <si>
    <t>furchtbar</t>
  </si>
  <si>
    <t>schwere</t>
  </si>
  <si>
    <t>zwischen</t>
  </si>
  <si>
    <t>depressiven</t>
  </si>
  <si>
    <t>Episoden</t>
  </si>
  <si>
    <t># text = Ich versuchte also herauszufinden, warum manche Menschen widerstandsfähiger sind als andere.</t>
  </si>
  <si>
    <t>versuchte</t>
  </si>
  <si>
    <t>also</t>
  </si>
  <si>
    <t>herauszufinden</t>
  </si>
  <si>
    <t>manche</t>
  </si>
  <si>
    <t>widerstandsfähiger</t>
  </si>
  <si>
    <t># text = Was sind die Mechanismen, die es Menschen ermöglichen, zu überleben?</t>
  </si>
  <si>
    <t>Was</t>
  </si>
  <si>
    <t>Mechanismen</t>
  </si>
  <si>
    <t>ermöglichen</t>
  </si>
  <si>
    <t># text = Ich ging also los und interviewte einen an Depressionen erkrankten Menschen nach dem anderen.</t>
  </si>
  <si>
    <t>ging</t>
  </si>
  <si>
    <t>los</t>
  </si>
  <si>
    <t>interviewte</t>
  </si>
  <si>
    <t>erkrankten</t>
  </si>
  <si>
    <t># text = Einer der ersten Menschen, die ich interviewte, beschrieb Depressionen als eine andere Art Tod, und es war gut, dass ich das so früh hörte, denn es erinnerte mich daran, dass diese Art Tod zum wirklichen Tod führen kann, und daran, dass es eine ernst zunehmende Sache ist.</t>
  </si>
  <si>
    <t>Einer</t>
  </si>
  <si>
    <t>ersten</t>
  </si>
  <si>
    <t>beschrieb</t>
  </si>
  <si>
    <t>Tod</t>
  </si>
  <si>
    <t>gut</t>
  </si>
  <si>
    <t>früh</t>
  </si>
  <si>
    <t>denn</t>
  </si>
  <si>
    <t>erinnerte</t>
  </si>
  <si>
    <t>wirklichen</t>
  </si>
  <si>
    <t>SBJ_6</t>
  </si>
  <si>
    <t>ernst</t>
  </si>
  <si>
    <t>zunehmende</t>
  </si>
  <si>
    <t># text = Es ist die am weitesten verbreitete Behinderung und täglich sterben Menschen daran.</t>
  </si>
  <si>
    <t>weitesten</t>
  </si>
  <si>
    <t>verbreitete</t>
  </si>
  <si>
    <t>Behinderung</t>
  </si>
  <si>
    <t>täglich</t>
  </si>
  <si>
    <t># text = Einer der Menschen, mit dem ich sprach als ich das zu verstehen versuchte, war eine geliebte Freundin, die ich schon seit vielen Jahren kannte, und die eine psychotische Episode in ihrem ersten Jahr am College gehabt hatte, und dann in eine entsetzliche Depression verfallen war.</t>
  </si>
  <si>
    <t>sprach</t>
  </si>
  <si>
    <t>geliebte</t>
  </si>
  <si>
    <t>Freundin</t>
  </si>
  <si>
    <t>schon</t>
  </si>
  <si>
    <t>seit</t>
  </si>
  <si>
    <t>vielen</t>
  </si>
  <si>
    <t>kannte</t>
  </si>
  <si>
    <t>psychotische</t>
  </si>
  <si>
    <t>Episode</t>
  </si>
  <si>
    <t>ihrem</t>
  </si>
  <si>
    <t>Jahr</t>
  </si>
  <si>
    <t>College</t>
  </si>
  <si>
    <t>gehabt</t>
  </si>
  <si>
    <t>entsetzliche</t>
  </si>
  <si>
    <t>Depression</t>
  </si>
  <si>
    <t>verfallen</t>
  </si>
  <si>
    <t># text = Sie hatte eine bipolare Störung oder manische Depression, wie es damals hieß.</t>
  </si>
  <si>
    <t>bipolare</t>
  </si>
  <si>
    <t>Störung</t>
  </si>
  <si>
    <t>manische</t>
  </si>
  <si>
    <t>damals</t>
  </si>
  <si>
    <t>hieß</t>
  </si>
  <si>
    <t># text = Über viele Jahre hinweg ging es ihr mit Lithium sehr gut und schließlich wurde das Lithium abgesetzt, um zu sehen, wie sie ohne klar käme.</t>
  </si>
  <si>
    <t>Über</t>
  </si>
  <si>
    <t>hinweg</t>
  </si>
  <si>
    <t>ihr</t>
  </si>
  <si>
    <t>Lithium</t>
  </si>
  <si>
    <t>sehr</t>
  </si>
  <si>
    <t>abgesetzt</t>
  </si>
  <si>
    <t>sehen</t>
  </si>
  <si>
    <t>klar</t>
  </si>
  <si>
    <t>käme</t>
  </si>
  <si>
    <t># text = Sie hatte eine weitere Psychose, und verfiel dann in die schwerste Depression, die ich jemals sah.</t>
  </si>
  <si>
    <t>weitere</t>
  </si>
  <si>
    <t>Psychose</t>
  </si>
  <si>
    <t>verfiel</t>
  </si>
  <si>
    <t>schwerste</t>
  </si>
  <si>
    <t>jemals</t>
  </si>
  <si>
    <t># text = Sie saß Tag für Tag mehr oder weniger katatonisch und im Grunde bewegungslos in der Wohnung ihrer Eltern.</t>
  </si>
  <si>
    <t>saß</t>
  </si>
  <si>
    <t>katatonisch</t>
  </si>
  <si>
    <t>Grunde</t>
  </si>
  <si>
    <t>bewegungslos</t>
  </si>
  <si>
    <t>Wohnung</t>
  </si>
  <si>
    <t>ihrer</t>
  </si>
  <si>
    <t>Eltern</t>
  </si>
  <si>
    <t># text = Als ich sie Jahre später über diese Erfahrung befragte -- sie ist die Dichterin und Psychotherapeutin Maggie Robbins -- sagte sie: \"Ich sang immer wieder 'Where Have All The Flowers Gone', um meinen Geist zu beschäftigen.</t>
  </si>
  <si>
    <t>Als</t>
  </si>
  <si>
    <t>Erfahrung</t>
  </si>
  <si>
    <t>befragte</t>
  </si>
  <si>
    <t>Dichterin</t>
  </si>
  <si>
    <t>def-np.poss</t>
  </si>
  <si>
    <t>Psychotherapeutin</t>
  </si>
  <si>
    <t>Maggie</t>
  </si>
  <si>
    <t>Robbins</t>
  </si>
  <si>
    <t>sang</t>
  </si>
  <si>
    <t>Where</t>
  </si>
  <si>
    <t>Have</t>
  </si>
  <si>
    <t>All</t>
  </si>
  <si>
    <t>The</t>
  </si>
  <si>
    <t>Flowers</t>
  </si>
  <si>
    <t>Gone</t>
  </si>
  <si>
    <t>Geist</t>
  </si>
  <si>
    <t>beschäftigen</t>
  </si>
  <si>
    <t># text = Ich sang, um die Dinge auszulöschen, die mein Verstand mir sagte, Dinge wie 'Du bist nichts.</t>
  </si>
  <si>
    <t>auszulöschen</t>
  </si>
  <si>
    <t>Verstand</t>
  </si>
  <si>
    <t>Du</t>
  </si>
  <si>
    <t>bist</t>
  </si>
  <si>
    <t># text = Du bist ein Niemand.</t>
  </si>
  <si>
    <t>Niemand</t>
  </si>
  <si>
    <t># text = Du verdienst es nicht mal zu leben.'</t>
  </si>
  <si>
    <t>verdienst</t>
  </si>
  <si>
    <t>mal</t>
  </si>
  <si>
    <t># text = Und da fing ich wirklich an, daran zu denken, mich umzubringen."</t>
  </si>
  <si>
    <t>da</t>
  </si>
  <si>
    <t>wirklich</t>
  </si>
  <si>
    <t># text = Während der Depressionen merkt man nicht, dass man einen grauen Schleier angelegt hat und die Welt durch diesen Schleier von schlechter Laune sieht.</t>
  </si>
  <si>
    <t>Während</t>
  </si>
  <si>
    <t>merkt</t>
  </si>
  <si>
    <t>grauen</t>
  </si>
  <si>
    <t>Schleier</t>
  </si>
  <si>
    <t>angelegt</t>
  </si>
  <si>
    <t>diesen</t>
  </si>
  <si>
    <t>schlechter</t>
  </si>
  <si>
    <t>Laune</t>
  </si>
  <si>
    <t>sieht</t>
  </si>
  <si>
    <t># text = Man denkt, dass der Schleier entfernt wurde, der Schleier des Glücks, und dass man jetzt erst richtig sieht.</t>
  </si>
  <si>
    <t>denkt</t>
  </si>
  <si>
    <t>entfernt</t>
  </si>
  <si>
    <t>des</t>
  </si>
  <si>
    <t>Glücks</t>
  </si>
  <si>
    <t>jetzt</t>
  </si>
  <si>
    <t>erst</t>
  </si>
  <si>
    <t>richtig</t>
  </si>
  <si>
    <t># text = Es ist einfacher Schizophrenen zu helfen, die etwas Fremdes in sich selbst wahrnehmen, das ausgetrieben werden muss.</t>
  </si>
  <si>
    <t>einfacher</t>
  </si>
  <si>
    <t>Schizophrenen</t>
  </si>
  <si>
    <t>Fremdes</t>
  </si>
  <si>
    <t>wahrnehmen</t>
  </si>
  <si>
    <t>ausgetrieben</t>
  </si>
  <si>
    <t># text = Aber mit Depressiven ist es schwierig, denn wir denken, dass wir die Wahrheit sehen.</t>
  </si>
  <si>
    <t>Depressiven</t>
  </si>
  <si>
    <t>schwierig</t>
  </si>
  <si>
    <t>Wahrheit</t>
  </si>
  <si>
    <t># text = Aber die Wahrheit lügt.</t>
  </si>
  <si>
    <t>lügt</t>
  </si>
  <si>
    <t># text = Ich war von diesem Satz besessen: "Aber die Wahrheit lügt."</t>
  </si>
  <si>
    <t>Satz</t>
  </si>
  <si>
    <t>besessen</t>
  </si>
  <si>
    <t># text = Aber ich stellte fest, als ich mit depressiven Menschen sprach, dass sie viele wahnhafte Wahrnehmungen haben.</t>
  </si>
  <si>
    <t>stellte</t>
  </si>
  <si>
    <t>fest</t>
  </si>
  <si>
    <t>wahnhafte</t>
  </si>
  <si>
    <t>Wahrnehmungen</t>
  </si>
  <si>
    <t># text = Menschen sagen etwa: \"Niemand liebt mich.\"</t>
  </si>
  <si>
    <t>etwa</t>
  </si>
  <si>
    <t>liebt</t>
  </si>
  <si>
    <t># text = Und man sagt: \"Ich liebe dich, deine Frau liebt dich, deine Mutter liebt dich.\"</t>
  </si>
  <si>
    <t>sagt</t>
  </si>
  <si>
    <t>liebe</t>
  </si>
  <si>
    <t>dich</t>
  </si>
  <si>
    <t>deine</t>
  </si>
  <si>
    <t># text = Man kann das ziemlich schnell beantworten, zumindest bei den meisten Menschen.</t>
  </si>
  <si>
    <t>ziemlich</t>
  </si>
  <si>
    <t>schnell</t>
  </si>
  <si>
    <t>zumindest</t>
  </si>
  <si>
    <t># text = Aber depressive Menschen werden auch sagen: \"Egal, was wir machen, am Ende werden wir alle sterben.\"</t>
  </si>
  <si>
    <t>depressive</t>
  </si>
  <si>
    <t>Egal</t>
  </si>
  <si>
    <t># text = Oder sie werden sagen: "Es kann keine wahre Gemeinschaft zwischen zwei Menschen geben.</t>
  </si>
  <si>
    <t>wahre</t>
  </si>
  <si>
    <t>Gemeinschaft</t>
  </si>
  <si>
    <t># text = Jeder von uns ist in seinem eigenen Körper gefangen.\"</t>
  </si>
  <si>
    <t>Jeder</t>
  </si>
  <si>
    <t>seinem</t>
  </si>
  <si>
    <t>eigenen</t>
  </si>
  <si>
    <t>Körper</t>
  </si>
  <si>
    <t>gefangen</t>
  </si>
  <si>
    <t># text = Worauf man sagen muss: \"Das ist wahr, aber ich denke wir sollten uns jetzt darauf konzentrieren, was es zum Frühstück geben soll.\"</t>
  </si>
  <si>
    <t>Worauf</t>
  </si>
  <si>
    <t>wahr</t>
  </si>
  <si>
    <t>denke</t>
  </si>
  <si>
    <t>sollten</t>
  </si>
  <si>
    <t>darauf</t>
  </si>
  <si>
    <t>konzentrieren</t>
  </si>
  <si>
    <t>Frühstück</t>
  </si>
  <si>
    <t>soll</t>
  </si>
  <si>
    <t># text = (Gelächter) Die meiste Zeit bringen sie nicht die Krankheit, sondern Einsicht zum Ausdruck.</t>
  </si>
  <si>
    <t>(</t>
  </si>
  <si>
    <t>Gelächter</t>
  </si>
  <si>
    <t>)</t>
  </si>
  <si>
    <t>meiste</t>
  </si>
  <si>
    <t>Krankheit</t>
  </si>
  <si>
    <t>Einsicht</t>
  </si>
  <si>
    <t>Ausdruck</t>
  </si>
  <si>
    <t># text = Und man beginnt zu denken: Das wirklich Außergewöhnliche ist, dass die meisten von uns diese existenziellen Fragen kennen und sie uns nicht besonders beschäftigen.</t>
  </si>
  <si>
    <t>beginnt</t>
  </si>
  <si>
    <t>Außergewöhnliche</t>
  </si>
  <si>
    <t>existenziellen</t>
  </si>
  <si>
    <t>Fragen</t>
  </si>
  <si>
    <t># text = Es gab eine Studie, die ich besonders mochte, in der eine Gruppe depressiver und eine Gruppe nicht-depressiver Menschen gebeten wurden, eine Stunde lang ein Videospiel zu spielen, und am Ende dieser Stunde wurden sie gefragt, wie viele kleine Monster sie meinten getötet zu haben.</t>
  </si>
  <si>
    <t>Studie</t>
  </si>
  <si>
    <t>mochte</t>
  </si>
  <si>
    <t>Gruppe</t>
  </si>
  <si>
    <t>depressiver</t>
  </si>
  <si>
    <t>nicht-depressiver</t>
  </si>
  <si>
    <t>gebeten</t>
  </si>
  <si>
    <t>Stunde</t>
  </si>
  <si>
    <t>lang</t>
  </si>
  <si>
    <t>Videospiel</t>
  </si>
  <si>
    <t>spielen</t>
  </si>
  <si>
    <t>dieser</t>
  </si>
  <si>
    <t>gefragt</t>
  </si>
  <si>
    <t>kleine</t>
  </si>
  <si>
    <t>Monster</t>
  </si>
  <si>
    <t>meinten</t>
  </si>
  <si>
    <t>getötet</t>
  </si>
  <si>
    <t># text = Die depressive Gruppe war meist, mit Abweichungen von ungefähr 10 Prozent, korrekt und die nicht-depressiven Menschen schätzten zwischen 15 und 20 Mal mehr kleine Monster -- (Gelächter) -- als sie tatsächlich getötet hatten.</t>
  </si>
  <si>
    <t>meist</t>
  </si>
  <si>
    <t>Abweichungen</t>
  </si>
  <si>
    <t>ungefähr</t>
  </si>
  <si>
    <t>Prozent</t>
  </si>
  <si>
    <t>korrekt</t>
  </si>
  <si>
    <t>nicht-depressiven</t>
  </si>
  <si>
    <t>schätzten</t>
  </si>
  <si>
    <t>Mal</t>
  </si>
  <si>
    <t>tatsächlich</t>
  </si>
  <si>
    <t># text = Als ich beschloss, über meine Depressionen zu schreiben, sagten viele Menschen, dass es sehr schwierig sein müsse, sich öffentlich dazu zu bekennen, es die Leute wissen zu lassen.</t>
  </si>
  <si>
    <t>beschloss</t>
  </si>
  <si>
    <t>schreiben</t>
  </si>
  <si>
    <t>sagten</t>
  </si>
  <si>
    <t>müsse</t>
  </si>
  <si>
    <t>öffentlich</t>
  </si>
  <si>
    <t>bekennen</t>
  </si>
  <si>
    <t># text = Sie sagten: \"Reden die Leute anders mit Ihnen?\"</t>
  </si>
  <si>
    <t>Reden</t>
  </si>
  <si>
    <t>anders</t>
  </si>
  <si>
    <t>Ihnen</t>
  </si>
  <si>
    <t># text = Und ich sagte: "Ja, Menschen reden anders mit mir.</t>
  </si>
  <si>
    <t>Ja</t>
  </si>
  <si>
    <t># text = Sie reden insofern anders mit mir, dass sie anfangen, mir von ihrer Erfahrung zu erzählen oder der Erfahrung ihrer Schwester, oder der Erfahrung eines Freundes.</t>
  </si>
  <si>
    <t>insofern</t>
  </si>
  <si>
    <t>anfangen</t>
  </si>
  <si>
    <t>Schwester</t>
  </si>
  <si>
    <t>Freundes</t>
  </si>
  <si>
    <t># text = Die Dinge sind anders, denn jetzt weiß ich, dass Depressionen ein Familiengeheimnis sind, das jeder hat.</t>
  </si>
  <si>
    <t>Familiengeheimnis</t>
  </si>
  <si>
    <t>jeder</t>
  </si>
  <si>
    <t># text = Vor ein paar Jahren ging ich zu einer Konferenz und am Freitag dieser 3-tägigen Konferenz nahm eine der Teilnehmerinnen mich zur Seite und sie sagte zu mir: "Ich leide an Depressionen und ich schäme mich ein bisschen dafür, aber ich nehme diese Medikamente und ich möchte Sie fragen, was Sie darüber denken?"</t>
  </si>
  <si>
    <t>Vor</t>
  </si>
  <si>
    <t>paar</t>
  </si>
  <si>
    <t>einer</t>
  </si>
  <si>
    <t>Konferenz</t>
  </si>
  <si>
    <t>Freitag</t>
  </si>
  <si>
    <t>3-tägigen</t>
  </si>
  <si>
    <t>nahm</t>
  </si>
  <si>
    <t>Teilnehmerinnen</t>
  </si>
  <si>
    <t>Seite</t>
  </si>
  <si>
    <t>leide</t>
  </si>
  <si>
    <t>schäme</t>
  </si>
  <si>
    <t>nehme</t>
  </si>
  <si>
    <t>möchte</t>
  </si>
  <si>
    <t>darüber</t>
  </si>
  <si>
    <t># text = Und ich bemühte mich, so weit ich konnte, ihr einen Rat zu geben.</t>
  </si>
  <si>
    <t>bemühte</t>
  </si>
  <si>
    <t>weit</t>
  </si>
  <si>
    <t>Rat</t>
  </si>
  <si>
    <t># text = Und dann sagte sie: \"Wissen Sie, mein Mann würde das nie verstehen.</t>
  </si>
  <si>
    <t>Wissen</t>
  </si>
  <si>
    <t>Mann</t>
  </si>
  <si>
    <t>nie</t>
  </si>
  <si>
    <t># text = Er ist wirklich ein Typ, für den das keinen Sinn ergeben würde.</t>
  </si>
  <si>
    <t>Er</t>
  </si>
  <si>
    <t>Typ</t>
  </si>
  <si>
    <t>keinen</t>
  </si>
  <si>
    <t>Sinn</t>
  </si>
  <si>
    <t>ergeben</t>
  </si>
  <si>
    <t># text = Also, das sollte unter uns bleiben."</t>
  </si>
  <si>
    <t>Also</t>
  </si>
  <si>
    <t>unter</t>
  </si>
  <si>
    <t># text = Und ich sagte: "Ja, das ist in Ordnung."</t>
  </si>
  <si>
    <t>Ordnung</t>
  </si>
  <si>
    <t># text = Am Sonntag derselben Konferenz nahm mich ihr Ehemann zur Seite und sagte zu mir: \"Meine Frau würde denken, dass ich kein ganzer Kerl wäre, wenn sie das wüsste.</t>
  </si>
  <si>
    <t>Sonntag</t>
  </si>
  <si>
    <t>derselben</t>
  </si>
  <si>
    <t>Ehemann</t>
  </si>
  <si>
    <t>kein</t>
  </si>
  <si>
    <t>ganzer</t>
  </si>
  <si>
    <t>Kerl</t>
  </si>
  <si>
    <t>wüsste</t>
  </si>
  <si>
    <t># text = Aber ich habe mit Depressionen zu kämpfen und ich nehme einige Medikamente, und frage ich mich, was Sie denken.\"</t>
  </si>
  <si>
    <t>einige</t>
  </si>
  <si>
    <t>frage</t>
  </si>
  <si>
    <t># text = Sie versteckten die gleichen Medikamente an zwei verschiedenen Orten im selben Schlafzimmer.</t>
  </si>
  <si>
    <t>versteckten</t>
  </si>
  <si>
    <t>verschiedenen</t>
  </si>
  <si>
    <t>Orten</t>
  </si>
  <si>
    <t>selben</t>
  </si>
  <si>
    <t>Schlafzimmer</t>
  </si>
  <si>
    <t># text = Ich sagte, dass ich denke, dass die Kommunikation in der Ehe einige ihrer Probleme auslösen könnte.</t>
  </si>
  <si>
    <t>Kommunikation</t>
  </si>
  <si>
    <t>Ehe</t>
  </si>
  <si>
    <t>auslösen</t>
  </si>
  <si>
    <t>könnte</t>
  </si>
  <si>
    <t># text = Aber mir wurde auch schlagartig bewusst, wie belastend so eine wechselseitige Heimlichkeit ist.</t>
  </si>
  <si>
    <t>schlagartig</t>
  </si>
  <si>
    <t>bewusst</t>
  </si>
  <si>
    <t>belastend</t>
  </si>
  <si>
    <t>wechselseitige</t>
  </si>
  <si>
    <t>Heimlichkeit</t>
  </si>
  <si>
    <t># text = Depressionen sind so ermüdend.</t>
  </si>
  <si>
    <t>ermüdend</t>
  </si>
  <si>
    <t># text = Sie verbrauchen so viel Zeit und Energie, und darüber zu schweigen verschlimmert die Depressionen noch.</t>
  </si>
  <si>
    <t>Energie</t>
  </si>
  <si>
    <t>schweigen</t>
  </si>
  <si>
    <t>verschlimmert</t>
  </si>
  <si>
    <t># text = Und dann dachte ich über all die Arten nach, wie Menschen sich selbst verbessern.</t>
  </si>
  <si>
    <t>Arten</t>
  </si>
  <si>
    <t>verbessern</t>
  </si>
  <si>
    <t># text = Ich begann als konservativer Mediziner.</t>
  </si>
  <si>
    <t>konservativer</t>
  </si>
  <si>
    <t>Mediziner</t>
  </si>
  <si>
    <t># text = Ich dachte, dass es ein paar Therapie-Arten gab, die funktionierten, und es war klar, welche das waren -- es gab Medikamente, es gab bestimmte Psychotherapien, es gab möglicherweise die Elektroschockbehandlung und dass alles andere Nonsens wäre.</t>
  </si>
  <si>
    <t>funktionierten</t>
  </si>
  <si>
    <t>welche</t>
  </si>
  <si>
    <t>waren</t>
  </si>
  <si>
    <t>bestimmte</t>
  </si>
  <si>
    <t>Psychotherapien</t>
  </si>
  <si>
    <t>möglicherweise</t>
  </si>
  <si>
    <t>Elektroschockbehandlung</t>
  </si>
  <si>
    <t>alles</t>
  </si>
  <si>
    <t>Nonsens</t>
  </si>
  <si>
    <t># text = Aber dann entdeckte ich etwas.</t>
  </si>
  <si>
    <t># text = Wenn man einen Hirntumor hat und man sagt, dass es einem besser geht, wenn man jeden Morgen 20 Minuten auf dem Kopf steht, wird man sich besser fühlen, aber man hat immer noch einen Hirntumor, und man wird wahrscheinlich immer noch daran sterben.</t>
  </si>
  <si>
    <t>Hirntumor</t>
  </si>
  <si>
    <t>geht</t>
  </si>
  <si>
    <t>jeden</t>
  </si>
  <si>
    <t>Morgen</t>
  </si>
  <si>
    <t>Minuten</t>
  </si>
  <si>
    <t>Kopf</t>
  </si>
  <si>
    <t>steht</t>
  </si>
  <si>
    <t># text = Aber wenn man Depressionen hat und zwanzig Minuten Kopfstand am Tag dazu führen, dass man sich besser fühlt, dann funktioniert es, denn bei Depressionen sind die Gefühle erkrankt und wenn man sich besser fühlt, dann ist man praktisch nicht mehr depressiv.</t>
  </si>
  <si>
    <t>zwanzig</t>
  </si>
  <si>
    <t>Kopfstand</t>
  </si>
  <si>
    <t>funktioniert</t>
  </si>
  <si>
    <t>Gefühle</t>
  </si>
  <si>
    <t>erkrankt</t>
  </si>
  <si>
    <t>OBJ_6</t>
  </si>
  <si>
    <t>praktisch</t>
  </si>
  <si>
    <t># text = So wurde ich toleranter gegenüber der weiten Welt alternativer Behandlungen.</t>
  </si>
  <si>
    <t>So</t>
  </si>
  <si>
    <t>toleranter</t>
  </si>
  <si>
    <t>gegenüber</t>
  </si>
  <si>
    <t>weiten</t>
  </si>
  <si>
    <t>alternativer</t>
  </si>
  <si>
    <t>Behandlungen</t>
  </si>
  <si>
    <t># text = Und ich erhalte Briefe, hunderte von Briefen, von Menschen, die mir schreiben, was ihnen geholfen hat.</t>
  </si>
  <si>
    <t>erhalte</t>
  </si>
  <si>
    <t>Briefe</t>
  </si>
  <si>
    <t>hunderte</t>
  </si>
  <si>
    <t>Briefen</t>
  </si>
  <si>
    <t>ihnen</t>
  </si>
  <si>
    <t>geholfen</t>
  </si>
  <si>
    <t># text = Jemand fragte mich heute hinter der Bühne nach Meditation.</t>
  </si>
  <si>
    <t>Jemand</t>
  </si>
  <si>
    <t>fragte</t>
  </si>
  <si>
    <t>heute</t>
  </si>
  <si>
    <t>hinter</t>
  </si>
  <si>
    <t>Bühne</t>
  </si>
  <si>
    <t>Meditation</t>
  </si>
  <si>
    <t># text = Mein Favorit unter den erhaltenen Briefen war einer, der von einer Frau kam, die schrieb und sagte, sie hätte es mit einer Therapie versucht, sie hätte Medikamente versucht, sie hatte so ziemlich alles ausprobiert.</t>
  </si>
  <si>
    <t>Mein</t>
  </si>
  <si>
    <t>Favorit</t>
  </si>
  <si>
    <t>erhaltenen</t>
  </si>
  <si>
    <t>schrieb</t>
  </si>
  <si>
    <t>versucht</t>
  </si>
  <si>
    <t>ausprobiert</t>
  </si>
  <si>
    <t># text = Sie hatte eine Lösung gefunden und hoffte, ich würde es der Welt erzählen, nämlich kleine Dinge aus Garn zu machen.</t>
  </si>
  <si>
    <t>Lösung</t>
  </si>
  <si>
    <t>gefunden</t>
  </si>
  <si>
    <t>hoffte</t>
  </si>
  <si>
    <t>nämlich</t>
  </si>
  <si>
    <t>Garn</t>
  </si>
  <si>
    <t># text = Sie schickte mir ein paar davon.</t>
  </si>
  <si>
    <t>schickte</t>
  </si>
  <si>
    <t># text = Und ich trage sie gerade nicht.</t>
  </si>
  <si>
    <t>trage</t>
  </si>
  <si>
    <t># text = Ich schlug ihr vor, dass sie auch Zwangsstörungen im DSM nachschlagen sollte.</t>
  </si>
  <si>
    <t>Zwangsstörungen</t>
  </si>
  <si>
    <t>DSM</t>
  </si>
  <si>
    <t>nachschlagen</t>
  </si>
  <si>
    <t># text = Dennoch schaute ich mir alternative Behandlungen an, und sah andere Behandlungen in neuem Licht.</t>
  </si>
  <si>
    <t>Dennoch</t>
  </si>
  <si>
    <t>schaute</t>
  </si>
  <si>
    <t>alternative</t>
  </si>
  <si>
    <t>neuem</t>
  </si>
  <si>
    <t># text = Ich unterzog mich einem Stammes-Exorzismus im Senegal, der ziemlich viel Schafsbockblut erforderte.</t>
  </si>
  <si>
    <t>unterzog</t>
  </si>
  <si>
    <t>Stammes</t>
  </si>
  <si>
    <t>Exorzismus</t>
  </si>
  <si>
    <t>Senegal</t>
  </si>
  <si>
    <t>Schafsbockblut</t>
  </si>
  <si>
    <t>erforderte</t>
  </si>
  <si>
    <t># text = Ich werde jetzt nicht ins Detail gehen, aber ein paar Jahre darauf war ich in Ruanda und arbeitete dort an einem anderen Projekt, und ich beschrieb meine Erfahrung jemandem und er sagte: "Weißt du, das ist Westafrika, und wir sind in Ostafrika, und unsere Rituale sind irgendwie sehr verschieden, aber wir haben einige Rituale, die mit dem von dir beschriebenen, etwas gemeinsam haben."</t>
  </si>
  <si>
    <t>werde</t>
  </si>
  <si>
    <t>Detail</t>
  </si>
  <si>
    <t>Ruanda</t>
  </si>
  <si>
    <t>arbeitete</t>
  </si>
  <si>
    <t>Projekt</t>
  </si>
  <si>
    <t>Weißt</t>
  </si>
  <si>
    <t>du</t>
  </si>
  <si>
    <t>Westafrika</t>
  </si>
  <si>
    <t>Ostafrika</t>
  </si>
  <si>
    <t>unsere</t>
  </si>
  <si>
    <t>Rituale</t>
  </si>
  <si>
    <t>verschieden</t>
  </si>
  <si>
    <t>dir</t>
  </si>
  <si>
    <t>beschriebenen</t>
  </si>
  <si>
    <t>gemeinsam</t>
  </si>
  <si>
    <t># text = Und ich sagte: \"Oh.\"</t>
  </si>
  <si>
    <t>Oh</t>
  </si>
  <si>
    <t># text = Und er sagte: \"Ja, aber wir hatten viel Ärger mit Psychotherapeuten aus dem Westen, besonders mit denjenigen, die direkt nach dem Genozid kamen.\"</t>
  </si>
  <si>
    <t>Ärger</t>
  </si>
  <si>
    <t>Psychotherapeuten</t>
  </si>
  <si>
    <t>Westen</t>
  </si>
  <si>
    <t>denjenigen</t>
  </si>
  <si>
    <t>direkt</t>
  </si>
  <si>
    <t>Genozid</t>
  </si>
  <si>
    <t>kamen</t>
  </si>
  <si>
    <t># text = Ich fragte: \"Welche Probleme gab es?\"</t>
  </si>
  <si>
    <t>Welche</t>
  </si>
  <si>
    <t># text = Er erklärte: "Nun ja, sie taten etwas sehr Bizarres.</t>
  </si>
  <si>
    <t>erklärte</t>
  </si>
  <si>
    <t>Nun</t>
  </si>
  <si>
    <t>ja</t>
  </si>
  <si>
    <t>taten</t>
  </si>
  <si>
    <t>Bizarres</t>
  </si>
  <si>
    <t># text = Sie sprachen nicht im Sonnenschein mit den Leuten, wo man beginnt, sich besser zu fühlen.</t>
  </si>
  <si>
    <t>sprachen</t>
  </si>
  <si>
    <t>Sonnenschein</t>
  </si>
  <si>
    <t>Leuten</t>
  </si>
  <si>
    <t>wo</t>
  </si>
  <si>
    <t># text = Sie bezogen weder Trommeln noch Musik ein, um das Blut in Wallung zu bringen.</t>
  </si>
  <si>
    <t>bezogen</t>
  </si>
  <si>
    <t>weder</t>
  </si>
  <si>
    <t>Trommeln</t>
  </si>
  <si>
    <t>Musik</t>
  </si>
  <si>
    <t>Blut</t>
  </si>
  <si>
    <t>Wallung</t>
  </si>
  <si>
    <t># text = Sie involvierten nicht die gesamte Gemeinschaft.</t>
  </si>
  <si>
    <t>involvierten</t>
  </si>
  <si>
    <t>gesamte</t>
  </si>
  <si>
    <t># text = Sie externalisieren die Depressionen nicht als einen eindringenden Geist.</t>
  </si>
  <si>
    <t>eindringenden</t>
  </si>
  <si>
    <t># text = Stattdessen führten sie die Menschen einzeln in schäbige, kleine Räume und ließen sie eine Stunde lang über schlimme Dinge reden, die ihnen passiert waren."</t>
  </si>
  <si>
    <t>Stattdessen</t>
  </si>
  <si>
    <t>führten</t>
  </si>
  <si>
    <t>einzeln</t>
  </si>
  <si>
    <t>schäbige</t>
  </si>
  <si>
    <t>Räume</t>
  </si>
  <si>
    <t>ließen</t>
  </si>
  <si>
    <t>schlimme</t>
  </si>
  <si>
    <t>passiert</t>
  </si>
  <si>
    <t># text = (Gelächter) (Applaus) Er sagte: "Wir mussten sie bitten, das Land zu verlassen."</t>
  </si>
  <si>
    <t>mussten</t>
  </si>
  <si>
    <t>Land</t>
  </si>
  <si>
    <t>verlassen</t>
  </si>
  <si>
    <t># text = Um Ihnen das andere Ende der alternativen Behandlungen zu veranschaulichen, lassen Sie mich Ihnen von Frank Russakoff erzählen.</t>
  </si>
  <si>
    <t>Um</t>
  </si>
  <si>
    <t>alternativen</t>
  </si>
  <si>
    <t>veranschaulichen</t>
  </si>
  <si>
    <t>Frank</t>
  </si>
  <si>
    <t>Russakoff</t>
  </si>
  <si>
    <t># text = Frank Russakoff hatte die schlimmsten Depressionen, die ich wohl je bei einem Mann gesehen habe.</t>
  </si>
  <si>
    <t>schlimmsten</t>
  </si>
  <si>
    <t>wohl</t>
  </si>
  <si>
    <t>je</t>
  </si>
  <si>
    <t>gesehen</t>
  </si>
  <si>
    <t># text = Er war ständig depressiv.</t>
  </si>
  <si>
    <t># text = Als ich ihn traf war er an einem Punkt, wo er jeden Monat eine Elektroschock-Behandlung bekam.</t>
  </si>
  <si>
    <t>ihn</t>
  </si>
  <si>
    <t>traf</t>
  </si>
  <si>
    <t>Elektroschock</t>
  </si>
  <si>
    <t>bekam</t>
  </si>
  <si>
    <t># text = Dann fühlte er sich eine Woche lang etwas desorientiert und dann eine Woche lang okay.</t>
  </si>
  <si>
    <t>Dann</t>
  </si>
  <si>
    <t>Woche</t>
  </si>
  <si>
    <t>desorientiert</t>
  </si>
  <si>
    <t>okay</t>
  </si>
  <si>
    <t># text = Dann ging es eine Woche lang abwärts.</t>
  </si>
  <si>
    <t>abwärts</t>
  </si>
  <si>
    <t># text = Und dann bekam er eine weitere Elektroschock-Behandlung.</t>
  </si>
  <si>
    <t># text = Als ich ihn traf, sagte er zu mir: "Es ist unerträglich, meine Wochen so zu durchleben.</t>
  </si>
  <si>
    <t>unerträglich</t>
  </si>
  <si>
    <t>Wochen</t>
  </si>
  <si>
    <t>durchleben</t>
  </si>
  <si>
    <t># text = Ich kann so nicht weiter machen, und ich habe entschieden, dass ich es beende, wenn es mir nicht besser geht.</t>
  </si>
  <si>
    <t>weiter</t>
  </si>
  <si>
    <t>entschieden</t>
  </si>
  <si>
    <t>beende</t>
  </si>
  <si>
    <t># text = Aber,\" sagte er mir, \"ich habe von einem Plan bei Mass General gehört, ein Verfahren namens Zingulotomie, eine Hirnchirurgie, und ich probiere das aus.\"</t>
  </si>
  <si>
    <t>Plan</t>
  </si>
  <si>
    <t>Mass</t>
  </si>
  <si>
    <t>General</t>
  </si>
  <si>
    <t>gehört</t>
  </si>
  <si>
    <t>Verfahren</t>
  </si>
  <si>
    <t>namens</t>
  </si>
  <si>
    <t>Zingulotomie</t>
  </si>
  <si>
    <t>Hirnchirurgie</t>
  </si>
  <si>
    <t>probiere</t>
  </si>
  <si>
    <t># text = Und ich erinnere mich, mich an diesem Punkt gewundert zu haben, dass jemand, der wirklich so viele schlechte Erfahrungen gehabt hatte mit so vielen verschiedenen Behandlungen, sich genug Optimismus bewahrt hatte, um noch eine Behandlung mitzumachen.</t>
  </si>
  <si>
    <t>erinnere</t>
  </si>
  <si>
    <t>gewundert</t>
  </si>
  <si>
    <t>schlechte</t>
  </si>
  <si>
    <t>Optimismus</t>
  </si>
  <si>
    <t>bewahrt</t>
  </si>
  <si>
    <t>mitzumachen</t>
  </si>
  <si>
    <t># text = Die Zingulotomie wurde durchgeführt und es war ein Erfolg auf der ganzen Linie.</t>
  </si>
  <si>
    <t>durchgeführt</t>
  </si>
  <si>
    <t>Erfolg</t>
  </si>
  <si>
    <t>ganzen</t>
  </si>
  <si>
    <t>Linie</t>
  </si>
  <si>
    <t># text = Wir sind Freunde geworden.</t>
  </si>
  <si>
    <t>Freunde</t>
  </si>
  <si>
    <t>geworden</t>
  </si>
  <si>
    <t># text = Er hat eine wunderbare Frau und zwei hübsche Kinder.</t>
  </si>
  <si>
    <t>wunderbare</t>
  </si>
  <si>
    <t>hübsche</t>
  </si>
  <si>
    <t>Kinder</t>
  </si>
  <si>
    <t># text = Er schrieb mir an Weihnachten nach der Operation einen Brief und sagte: "Mein Vater schickte mir dieses Jahr zwei Geschenke.</t>
  </si>
  <si>
    <t>Weihnachten</t>
  </si>
  <si>
    <t>Operation</t>
  </si>
  <si>
    <t>Brief</t>
  </si>
  <si>
    <t>Geschenke</t>
  </si>
  <si>
    <t># text = Erstens einen motorisierten CD-Ständer von 'The Sharper Image', den ich nicht wirklich brauche, aber ich weiß, dass er ihn mir geschenkt hat, um die Tatsache zu feiern, dass ich eigenständig lebte und eine Arbeit habe, die ich anscheinend liebe.</t>
  </si>
  <si>
    <t>motorisierten</t>
  </si>
  <si>
    <t>CD</t>
  </si>
  <si>
    <t>Ständer</t>
  </si>
  <si>
    <t>Sharper</t>
  </si>
  <si>
    <t>Image</t>
  </si>
  <si>
    <t>brauche</t>
  </si>
  <si>
    <t>geschenkt</t>
  </si>
  <si>
    <t>Tatsache</t>
  </si>
  <si>
    <t>feiern</t>
  </si>
  <si>
    <t>eigenständig</t>
  </si>
  <si>
    <t>lebte</t>
  </si>
  <si>
    <t>anscheinend</t>
  </si>
  <si>
    <t># text = Und das andere Geschenk war ein Foto von meiner Großmutter, die Selbstmord beging.</t>
  </si>
  <si>
    <t>Geschenk</t>
  </si>
  <si>
    <t>Foto</t>
  </si>
  <si>
    <t>meiner</t>
  </si>
  <si>
    <t>Großmutter</t>
  </si>
  <si>
    <t>Selbstmord</t>
  </si>
  <si>
    <t>beging</t>
  </si>
  <si>
    <t># text = Als ich es auspackte, begann ich zu weinen, und meine Mutter kam rüber und sagte: 'Weinst du wegen Verwandten, die du nie kanntest?'</t>
  </si>
  <si>
    <t>auspackte</t>
  </si>
  <si>
    <t>rüber</t>
  </si>
  <si>
    <t>Weinst</t>
  </si>
  <si>
    <t>wegen</t>
  </si>
  <si>
    <t>Verwandten</t>
  </si>
  <si>
    <t>kanntest</t>
  </si>
  <si>
    <t># text = Und ich sagte: 'Sie hatte die gleiche Krankheit wie ich.'</t>
  </si>
  <si>
    <t>gleiche</t>
  </si>
  <si>
    <t># text = Während ich dir das schreibe, weine ich nicht.</t>
  </si>
  <si>
    <t>schreibe</t>
  </si>
  <si>
    <t>weine</t>
  </si>
  <si>
    <t># text = Ich bin nicht besonders traurig, sondern eher überwältigt.</t>
  </si>
  <si>
    <t>überwältigt</t>
  </si>
  <si>
    <t># text = Wahrscheinlich, weil ich mich hätte umbringen können, aber meine Eltern halfen mir weiterzumachen, genauso wie die Ärzte, und ich ließ mich operieren.</t>
  </si>
  <si>
    <t>Wahrscheinlich</t>
  </si>
  <si>
    <t>umbringen</t>
  </si>
  <si>
    <t>halfen</t>
  </si>
  <si>
    <t>weiterzumachen</t>
  </si>
  <si>
    <t>genauso</t>
  </si>
  <si>
    <t>Ärzte</t>
  </si>
  <si>
    <t>ließ</t>
  </si>
  <si>
    <t>operieren</t>
  </si>
  <si>
    <t># text = Ich bin am Leben und dankbar.</t>
  </si>
  <si>
    <t># text = Wir leben zur richtigen Zeit, auch wenn es sich nicht immer so anfühlt."</t>
  </si>
  <si>
    <t>richtigen</t>
  </si>
  <si>
    <t>anfühlt</t>
  </si>
  <si>
    <t># text = Mich beeindruckte die Tatsache, dass Depressionen gemeinhin als modernes, westliches Phänomen der Mittelklasse wahrgenommen wird.</t>
  </si>
  <si>
    <t>Mich</t>
  </si>
  <si>
    <t>beeindruckte</t>
  </si>
  <si>
    <t>gemeinhin</t>
  </si>
  <si>
    <t>modernes</t>
  </si>
  <si>
    <t>westliches</t>
  </si>
  <si>
    <t>Phänomen</t>
  </si>
  <si>
    <t>Mittelklasse</t>
  </si>
  <si>
    <t>wahrgenommen</t>
  </si>
  <si>
    <t># text = Ich schaute mir an, wie sie in vielfältigen Kontexten funktionierte, und eine Sache, die mich am meisten interessierte, waren Depressionen unter den Mittellosen.</t>
  </si>
  <si>
    <t>vielfältigen</t>
  </si>
  <si>
    <t>Kontexten</t>
  </si>
  <si>
    <t>funktionierte</t>
  </si>
  <si>
    <t>interessierte</t>
  </si>
  <si>
    <t>Mittellosen</t>
  </si>
  <si>
    <t># text = Daher machte ich mich auf, um zu betrachten, was für arme Menschen mit Depressionen getan wurde.</t>
  </si>
  <si>
    <t>Daher</t>
  </si>
  <si>
    <t>betrachten</t>
  </si>
  <si>
    <t>arme</t>
  </si>
  <si>
    <t># text = Und ich fand heraus, dass arme Menschen bei Depressionen meistens nicht behandelt werden.</t>
  </si>
  <si>
    <t>fand</t>
  </si>
  <si>
    <t>meistens</t>
  </si>
  <si>
    <t>behandelt</t>
  </si>
  <si>
    <t># text = Depressionen sind das Resultat einer genetischen Anfälligkeit, die vermutlich gleichmäßig in der Bevölkerung verteilt ist, und von Auslösern, die wahrscheinlich bei verarmten Menschen viel extremer sind.</t>
  </si>
  <si>
    <t>Resultat</t>
  </si>
  <si>
    <t>genetischen</t>
  </si>
  <si>
    <t>Anfälligkeit</t>
  </si>
  <si>
    <t>vermutlich</t>
  </si>
  <si>
    <t>gleichmäßig</t>
  </si>
  <si>
    <t>Bevölkerung</t>
  </si>
  <si>
    <t>verteilt</t>
  </si>
  <si>
    <t>Auslösern</t>
  </si>
  <si>
    <t>verarmten</t>
  </si>
  <si>
    <t>extremer</t>
  </si>
  <si>
    <t># text = Dennoch zeigt sich, dass man, wenn man ein wirklich schönes Leben hat, sich aber die ganze Zeit schlecht fühlt, denkt: "Warum fühle ich mich so?</t>
  </si>
  <si>
    <t>zeigt</t>
  </si>
  <si>
    <t>ganze</t>
  </si>
  <si>
    <t>schlecht</t>
  </si>
  <si>
    <t>Warum</t>
  </si>
  <si>
    <t>fühle</t>
  </si>
  <si>
    <t># text = Ich muss Depressionen haben.\"</t>
  </si>
  <si>
    <t># text = Und man sucht eine Behandlung dafür.</t>
  </si>
  <si>
    <t>sucht</t>
  </si>
  <si>
    <t># text = Aber wenn man ein total furchtbares Leben hat und sich andauernd schlecht fühlt, steht dieses Gefühl im Einklang mit dem eigenen Leben, und man kommt nicht darauf, zu denken: "Vielleicht ist das behandelbar."</t>
  </si>
  <si>
    <t>total</t>
  </si>
  <si>
    <t>furchtbares</t>
  </si>
  <si>
    <t>andauernd</t>
  </si>
  <si>
    <t>Einklang</t>
  </si>
  <si>
    <t>kommt</t>
  </si>
  <si>
    <t>Vielleicht</t>
  </si>
  <si>
    <t>behandelbar</t>
  </si>
  <si>
    <t># text = Daher haben wir in diesem Land eine Depressions-Epidemie unter verarmten Menschen, die nicht aufgegriffen und behandelt wird und die nicht angesprochen wird, und das ist eine Tragödie großen Ausmaßes.</t>
  </si>
  <si>
    <t>Depressions</t>
  </si>
  <si>
    <t>Epidemie</t>
  </si>
  <si>
    <t>aufgegriffen</t>
  </si>
  <si>
    <t>angesprochen</t>
  </si>
  <si>
    <t>Tragödie</t>
  </si>
  <si>
    <t>großen</t>
  </si>
  <si>
    <t>Ausmaßes</t>
  </si>
  <si>
    <t># text = Ich fand also ein Wissenschaftlerin, die ein Forschungsprojekt in den Slums außerhalb von Washington D.C. durchführte, wo sie Frauen aufnahm, die wegen anderer Gesundheitsprobleme gekommen waren und Depressionen bei ihnen diagnostizierte, und dann ein Versuchsprotokoll bereitstellte.</t>
  </si>
  <si>
    <t>Wissenschaftlerin</t>
  </si>
  <si>
    <t>Forschungsprojekt</t>
  </si>
  <si>
    <t>Slums</t>
  </si>
  <si>
    <t>außerhalb</t>
  </si>
  <si>
    <t>Washington</t>
  </si>
  <si>
    <t>D.C.</t>
  </si>
  <si>
    <t>durchführte</t>
  </si>
  <si>
    <t>Frauen</t>
  </si>
  <si>
    <t>anderer</t>
  </si>
  <si>
    <t>Gesundheitsprobleme</t>
  </si>
  <si>
    <t>gekommen</t>
  </si>
  <si>
    <t>other_7</t>
  </si>
  <si>
    <t>diagnostizierte</t>
  </si>
  <si>
    <t>Versuchsprotokoll</t>
  </si>
  <si>
    <t>bereitstellte</t>
  </si>
  <si>
    <t># text = Eine von ihnen, Lolly, kam herein, und sie sagte folgendes, als sie hereinkam.</t>
  </si>
  <si>
    <t>Eine</t>
  </si>
  <si>
    <t>Lolly</t>
  </si>
  <si>
    <t>herein</t>
  </si>
  <si>
    <t>folgendes</t>
  </si>
  <si>
    <t>hereinkam</t>
  </si>
  <si>
    <t># text = Übrigens eine Frau, die sieben Kinder hat.</t>
  </si>
  <si>
    <t>Übrigens</t>
  </si>
  <si>
    <t>sieben</t>
  </si>
  <si>
    <t># text = Sie sagte: \"Ich hatte einen Job, aber ich musste ihn aufgeben, weil ich nicht aus dem Haus gehen konnte.</t>
  </si>
  <si>
    <t>Job</t>
  </si>
  <si>
    <t>musste</t>
  </si>
  <si>
    <t>aufgeben</t>
  </si>
  <si>
    <t># text = Ich habe meinen Kindern nichts zu sagen.</t>
  </si>
  <si>
    <t>Kindern</t>
  </si>
  <si>
    <t># text = Morgens kann ich es nicht erwarten, dass sie verschwinden, und dann lege ich mich ins Bett und ziehe die Decke über meinen Kopf, und wenn sie um 3 Uhr nach Haus kommen, kommt das so schnell.\"</t>
  </si>
  <si>
    <t>Morgens</t>
  </si>
  <si>
    <t>verschwinden</t>
  </si>
  <si>
    <t>lege</t>
  </si>
  <si>
    <t>ziehe</t>
  </si>
  <si>
    <t>Decke</t>
  </si>
  <si>
    <t>Uhr</t>
  </si>
  <si>
    <t># text = Sie sagte: \"Ich habe viel Tylenol genommen, alles was mich mehr schlafen lässt.</t>
  </si>
  <si>
    <t>Tylenol</t>
  </si>
  <si>
    <t>genommen</t>
  </si>
  <si>
    <t>schlafen</t>
  </si>
  <si>
    <t>lässt</t>
  </si>
  <si>
    <t># text = Mein Mann sagte mir ständig, dass ich dumm und hässlich bin.</t>
  </si>
  <si>
    <t>dumm</t>
  </si>
  <si>
    <t>hässlich</t>
  </si>
  <si>
    <t># text = Ich wünschte, ich könnte den Schmerz stoppen.\"</t>
  </si>
  <si>
    <t>wünschte</t>
  </si>
  <si>
    <t>Schmerz</t>
  </si>
  <si>
    <t>stoppen</t>
  </si>
  <si>
    <t># text = Sie wurde in diese experimentelle Versuchsreihe aufgenommen und als ich sie sechs Monate später interviewte, hatte sie einen Job in der Kinderbetreuung für die US-Marine aufgenommen, hatte ihren Mann, der sie immer beleidigt hatte, verlassen, und sie sagte zu mir: \"Meine Kinder sind jetzt so viel glücklicher.\"</t>
  </si>
  <si>
    <t>experimentelle</t>
  </si>
  <si>
    <t>Versuchsreihe</t>
  </si>
  <si>
    <t>aufgenommen</t>
  </si>
  <si>
    <t>Kinderbetreuung</t>
  </si>
  <si>
    <t>US</t>
  </si>
  <si>
    <t>Marine</t>
  </si>
  <si>
    <t>beleidigt</t>
  </si>
  <si>
    <t>glücklicher</t>
  </si>
  <si>
    <t># text = Sie sagte: \"Es gibt einen Raum in meiner neuen Wohnung für die Jungs und einen Raum für die Mädchen, aber abends sind sie alle auf meinem Bett und wir machen die Hausaufgaben zusammen.</t>
  </si>
  <si>
    <t>neuen</t>
  </si>
  <si>
    <t>Jungs</t>
  </si>
  <si>
    <t>Mädchen</t>
  </si>
  <si>
    <t>abends</t>
  </si>
  <si>
    <t>Hausaufgaben</t>
  </si>
  <si>
    <t>zusammen</t>
  </si>
  <si>
    <t># text = Einer von ihnen will Priester und einer will Feuerwehrmann werden, und eines der Mädchen sagt, dass sie Anwältin werden wird.</t>
  </si>
  <si>
    <t>will</t>
  </si>
  <si>
    <t>Priester</t>
  </si>
  <si>
    <t>Feuerwehrmann</t>
  </si>
  <si>
    <t>Anwältin</t>
  </si>
  <si>
    <t># text = Sie weinen nicht mehr, so wie früher und sie streiten sich nicht mehr wie zuvor.</t>
  </si>
  <si>
    <t>früher</t>
  </si>
  <si>
    <t>streiten</t>
  </si>
  <si>
    <t># text = Alles, was ich jetzt brauche, sind meine Kinder.</t>
  </si>
  <si>
    <t># text = Dinge verändern sich, die Art, wie ich mich anziehe, wie ich mich fühle und wie ich handle.</t>
  </si>
  <si>
    <t>anziehe</t>
  </si>
  <si>
    <t>handle</t>
  </si>
  <si>
    <t># text = Ich kann jetzt rausgehen, ohne mich zu fürchten, und ich glaube nicht, dass diese schlechten Gefühle zurückkommen werden, und wenn Dr. Miranda nicht gewesen wäre, wäre ich immer noch zu Hause mit der Decke über meinem Kopf, wenn ich überhaupt noch am Leben wäre.</t>
  </si>
  <si>
    <t>fürchten</t>
  </si>
  <si>
    <t>glaube</t>
  </si>
  <si>
    <t>schlechten</t>
  </si>
  <si>
    <t>zurückkommen</t>
  </si>
  <si>
    <t>Dr.</t>
  </si>
  <si>
    <t>Miranda</t>
  </si>
  <si>
    <t>gewesen</t>
  </si>
  <si>
    <t># text = Ich bat Gott, mir einen Engel zu schicken und er erhörte meine Gebete."</t>
  </si>
  <si>
    <t>bat</t>
  </si>
  <si>
    <t>Gott</t>
  </si>
  <si>
    <t>Engel</t>
  </si>
  <si>
    <t>erhörte</t>
  </si>
  <si>
    <t>Gebete</t>
  </si>
  <si>
    <t># text = Mich haben diese Erfahrungen wirklich bewegt, und ich entschied, dass ich darüber schreiben wollte, nicht nur in einem Buch, an dem ich arbeitete, sondern auch in einem Artikel, und so bekam ich vom New York Times Magazine einen Auftrag, über Depressionen unter Mittellosen zu schreiben.</t>
  </si>
  <si>
    <t>bewegt</t>
  </si>
  <si>
    <t>Buch</t>
  </si>
  <si>
    <t>Artikel</t>
  </si>
  <si>
    <t>New</t>
  </si>
  <si>
    <t>York</t>
  </si>
  <si>
    <t>Times</t>
  </si>
  <si>
    <t>Magazine</t>
  </si>
  <si>
    <t>Auftrag</t>
  </si>
  <si>
    <t># text = Ich reichte meine Geschichte ein und meine Redakteurin rief mich an \"Das können wir wirklich nicht veröffentlichen.\"</t>
  </si>
  <si>
    <t>reichte</t>
  </si>
  <si>
    <t>Geschichte</t>
  </si>
  <si>
    <t>Redakteurin</t>
  </si>
  <si>
    <t>rief</t>
  </si>
  <si>
    <t>veröffentlichen</t>
  </si>
  <si>
    <t># text = Ich fragte: \"Warum nicht?\"</t>
  </si>
  <si>
    <t># text = Und sie sagte: "Es ist einfach zu weit hergeholt.</t>
  </si>
  <si>
    <t>hergeholt</t>
  </si>
  <si>
    <t># text = Diese Menschen stehen auf der untersten Gesellschaftsstufe und dann erhalten sie ein paar Monate Behandlung, und sind dann praktisch in der Lage Morgan Stanley zu leiten?</t>
  </si>
  <si>
    <t>Diese</t>
  </si>
  <si>
    <t>untersten</t>
  </si>
  <si>
    <t>Gesellschaftsstufe</t>
  </si>
  <si>
    <t>Lage</t>
  </si>
  <si>
    <t>Morgan</t>
  </si>
  <si>
    <t>Stanley</t>
  </si>
  <si>
    <t>leiten</t>
  </si>
  <si>
    <t># text = Das ist einfach zu unglaubwürdig.\"</t>
  </si>
  <si>
    <t>unglaubwürdig</t>
  </si>
  <si>
    <t># text = Sie sagte: \"Ich habe von so etwas noch nie gehört.\"</t>
  </si>
  <si>
    <t># text = Ich erwiderte: "Die Tatsache, dass Sie noch nie davon gehört haben, ist ein Hinweis darauf, dass es Nachrichten sind."</t>
  </si>
  <si>
    <t>erwiderte</t>
  </si>
  <si>
    <t>Hinweis</t>
  </si>
  <si>
    <t># text = \"Und Sie sind ein Nachrichtenmagazin.\"</t>
  </si>
  <si>
    <t>Nachrichtenmagazin</t>
  </si>
  <si>
    <t># text = Nach einem gewissen Maß an Verhandlungen, stimmten sie zu.</t>
  </si>
  <si>
    <t>Nach</t>
  </si>
  <si>
    <t>gewissen</t>
  </si>
  <si>
    <t>Maß</t>
  </si>
  <si>
    <t>Verhandlungen</t>
  </si>
  <si>
    <t>stimmten</t>
  </si>
  <si>
    <t># text = Aber ich denke, dass vieles von dem, was sie sagten, auf merkwürdige Weise mit der Abneigung verbunden war, die Menschen immer noch haben, gegenüber der Idee von Behandlung, der Vorstellung, dass es ein ausbeuterischer Akt wäre, wenn wir losziehen würden und Menschen in notleidenden Gemeinden behandeln würden, denn wir würden sie ändern.</t>
  </si>
  <si>
    <t>vieles</t>
  </si>
  <si>
    <t>merkwürdige</t>
  </si>
  <si>
    <t>Abneigung</t>
  </si>
  <si>
    <t>verbunden</t>
  </si>
  <si>
    <t>Idee</t>
  </si>
  <si>
    <t>Vorstellung</t>
  </si>
  <si>
    <t>ausbeuterischer</t>
  </si>
  <si>
    <t>Akt</t>
  </si>
  <si>
    <t>losziehen</t>
  </si>
  <si>
    <t>würden</t>
  </si>
  <si>
    <t>SBJ_7</t>
  </si>
  <si>
    <t>notleidenden</t>
  </si>
  <si>
    <t>Gemeinden</t>
  </si>
  <si>
    <t>behandeln</t>
  </si>
  <si>
    <t>SBJ_8</t>
  </si>
  <si>
    <t>ändern</t>
  </si>
  <si>
    <t># text = Es gibt dieses falsche moralische Gebot, das es überall zu geben scheint, dass die Behandlung von Depressionen, die medizinische Behandlung und so weiter, ein Trick seien, und dass es nicht natürlich ist.</t>
  </si>
  <si>
    <t>falsche</t>
  </si>
  <si>
    <t>moralische</t>
  </si>
  <si>
    <t>Gebot</t>
  </si>
  <si>
    <t>überall</t>
  </si>
  <si>
    <t>scheint</t>
  </si>
  <si>
    <t>medizinische</t>
  </si>
  <si>
    <t>Trick</t>
  </si>
  <si>
    <t>seien</t>
  </si>
  <si>
    <t>natürlich</t>
  </si>
  <si>
    <t># text = Ich denke, dass das äußerst fehlgeleitet ist.</t>
  </si>
  <si>
    <t>äußerst</t>
  </si>
  <si>
    <t>fehlgeleitet</t>
  </si>
  <si>
    <t># text = Es wäre natürlich, dass den Menschen die Zähne ausfallen, aber es gibt niemanden, der sich gegen Zahnpasta ausspricht, zumindest nicht in meinen Kreisen.</t>
  </si>
  <si>
    <t>Zähne</t>
  </si>
  <si>
    <t>ausfallen</t>
  </si>
  <si>
    <t>niemanden</t>
  </si>
  <si>
    <t>gegen</t>
  </si>
  <si>
    <t>Zahnpasta</t>
  </si>
  <si>
    <t>ausspricht</t>
  </si>
  <si>
    <t>Kreisen</t>
  </si>
  <si>
    <t># text = Und dann sagen Menschen: \"Sind Depressionen nicht ein Teil dessen, was Menschen erleben sollen?</t>
  </si>
  <si>
    <t>Sind</t>
  </si>
  <si>
    <t>Teil</t>
  </si>
  <si>
    <t>dessen</t>
  </si>
  <si>
    <t>erleben</t>
  </si>
  <si>
    <t>sollen</t>
  </si>
  <si>
    <t># text = Haben wir uns nicht dazu entwickelt, Depressionen zu haben?</t>
  </si>
  <si>
    <t>Haben</t>
  </si>
  <si>
    <t>entwickelt</t>
  </si>
  <si>
    <t># text = Ist das nicht Teil unserer Persönlichkeit?"</t>
  </si>
  <si>
    <t># text = Dazu würde ich sagen, Stimmung ist anpassungsfähig.</t>
  </si>
  <si>
    <t>Dazu</t>
  </si>
  <si>
    <t>Stimmung</t>
  </si>
  <si>
    <t>anpassungsfähig</t>
  </si>
  <si>
    <t># text = In der Lage zu sein, Traurigkeit und Furcht, Freunde und Vergnügen und all die anderen Stimmungen, die wir haben, zu fühlen, ist unglaublich wertvoll.</t>
  </si>
  <si>
    <t>In</t>
  </si>
  <si>
    <t>Furcht</t>
  </si>
  <si>
    <t>Vergnügen</t>
  </si>
  <si>
    <t>Stimmungen</t>
  </si>
  <si>
    <t>OBJ_8</t>
  </si>
  <si>
    <t>wertvoll</t>
  </si>
  <si>
    <t># text = Und schwere Depressionen sind etwas, das auftritt, wenn dieses System zerbricht.</t>
  </si>
  <si>
    <t>auftritt</t>
  </si>
  <si>
    <t>System</t>
  </si>
  <si>
    <t>zerbricht</t>
  </si>
  <si>
    <t># text = Es ist schlecht angepasst.</t>
  </si>
  <si>
    <t>angepasst</t>
  </si>
  <si>
    <t># text = Menschen kommen zu mir und sagen: \"Ich denke, wenn ich nur ein Jahr durchhalte, komme ich da irgendwie durch.\"</t>
  </si>
  <si>
    <t>durchhalte</t>
  </si>
  <si>
    <t>komme</t>
  </si>
  <si>
    <t># text = Und ich sage ihnen immer: "Sie können da durchkommen, aber Sie werden nie mehr 37 sein.</t>
  </si>
  <si>
    <t>sage</t>
  </si>
  <si>
    <t>durchkommen</t>
  </si>
  <si>
    <t># text = Das Leben ist kurz und das ist ein ganzes Jahr, das Sie aufgeben wollen.</t>
  </si>
  <si>
    <t>kurz</t>
  </si>
  <si>
    <t>ganzes</t>
  </si>
  <si>
    <t>wollen</t>
  </si>
  <si>
    <t># text = Überdenken Sie das.\"</t>
  </si>
  <si>
    <t># text = Es ist eine sonderbare Armut der englischen Sprache, und auch vieler anderer Sprachen, dass wir dasselbe Wort, Depressionen, nutzen, um zu beschreiben, wie Kinder sich fühlen, wenn es an ihrem Geburtstag regnet, und um zu beschreiben, wie sich jemand fühlt, eine Minute, bevor er Selbstmord begeht.</t>
  </si>
  <si>
    <t>Armut</t>
  </si>
  <si>
    <t>englischen</t>
  </si>
  <si>
    <t>vieler</t>
  </si>
  <si>
    <t>Sprachen</t>
  </si>
  <si>
    <t>dasselbe</t>
  </si>
  <si>
    <t>Wort</t>
  </si>
  <si>
    <t>nutzen</t>
  </si>
  <si>
    <t>Geburtstag</t>
  </si>
  <si>
    <t>regnet</t>
  </si>
  <si>
    <t>Minute</t>
  </si>
  <si>
    <t>bevor</t>
  </si>
  <si>
    <t>begeht</t>
  </si>
  <si>
    <t># text = Ich wurde gefragt: \"Ist es mit normaler Traurigkeit vergleichbar?\"</t>
  </si>
  <si>
    <t>normaler</t>
  </si>
  <si>
    <t>vergleichbar</t>
  </si>
  <si>
    <t># text = Ich erklärte, dass es gewissermaßen mit normaler Traurigkeit vergleichbar ist.</t>
  </si>
  <si>
    <t>gewissermaßen</t>
  </si>
  <si>
    <t># text = Es gibt ein bestimmtes Maß an Verbindung, aber es ist die gleiche Art von Verbindung zwischen einem Eisenzaun außerhalb des Hauses, der ein paar Rostflecken hat, die man abschleifen und überstreichen muss, und dem, was passiert, wenn man das Haus 100 Jahre verlässt und es durchrostet, bis es nur noch ein Haufen von orangefarbenem Staub ist.</t>
  </si>
  <si>
    <t>bestimmtes</t>
  </si>
  <si>
    <t>Verbindung</t>
  </si>
  <si>
    <t>Eisenzaun</t>
  </si>
  <si>
    <t>Hauses</t>
  </si>
  <si>
    <t>other_8</t>
  </si>
  <si>
    <t>Rostflecken</t>
  </si>
  <si>
    <t>OBJ_7</t>
  </si>
  <si>
    <t>abschleifen</t>
  </si>
  <si>
    <t>überstreichen</t>
  </si>
  <si>
    <t>verlässt</t>
  </si>
  <si>
    <t>durchrostet</t>
  </si>
  <si>
    <t>Haufen</t>
  </si>
  <si>
    <t>orangefarbenem</t>
  </si>
  <si>
    <t>Staub</t>
  </si>
  <si>
    <t># text = Es ist dieser orangefarbene Staubfleck, dieses orangefarbene Staubproblem, das wir angehen wollen.</t>
  </si>
  <si>
    <t>orangefarbene</t>
  </si>
  <si>
    <t>Staubfleck</t>
  </si>
  <si>
    <t>Staubproblem</t>
  </si>
  <si>
    <t>angehen</t>
  </si>
  <si>
    <t># text = Die Menschen sagen jetzt also: "Du nimmst jetzt diese Happy Pills.</t>
  </si>
  <si>
    <t>nimmst</t>
  </si>
  <si>
    <t>Happy</t>
  </si>
  <si>
    <t>Pills</t>
  </si>
  <si>
    <t># text = Fühlst du dich glücklich?"</t>
  </si>
  <si>
    <t>Fühlst</t>
  </si>
  <si>
    <t># text = Das tue ich nicht.</t>
  </si>
  <si>
    <t>tue</t>
  </si>
  <si>
    <t># text = Aber ich bin nicht traurig, dass ich zu Mittag essen muss, und ich bin nicht traurig über meinen Anrufbeantworter, und ich bin nicht traurig, wenn ich duschen muss.</t>
  </si>
  <si>
    <t>Anrufbeantworter</t>
  </si>
  <si>
    <t># text = Ich fühle tatsächlich mehr, weil ich Traurigkeit ohne Nichtigkeit fühlen kann.</t>
  </si>
  <si>
    <t># text = Ich bin traurig über berufliche Enttäuschungen, über beschädigte Beziehungen, über Klimaerwärmung.</t>
  </si>
  <si>
    <t>berufliche</t>
  </si>
  <si>
    <t>Enttäuschungen</t>
  </si>
  <si>
    <t>beschädigte</t>
  </si>
  <si>
    <t>Beziehungen</t>
  </si>
  <si>
    <t>Klimaerwärmung</t>
  </si>
  <si>
    <t># text = Über diese Dinge bin ich jetzt traurig.</t>
  </si>
  <si>
    <t># text = Ich frage mich - was ist das Fazit?</t>
  </si>
  <si>
    <t>Fazit</t>
  </si>
  <si>
    <t># text = Wie haben das die Menschen, die ein besseres Leben haben, sogar mit schwereren Depressionen durchgestanden?</t>
  </si>
  <si>
    <t>Wie</t>
  </si>
  <si>
    <t>besseres</t>
  </si>
  <si>
    <t>sogar</t>
  </si>
  <si>
    <t>schwereren</t>
  </si>
  <si>
    <t>durchgestanden</t>
  </si>
  <si>
    <t># text = Was ist der Mechanismus von Resilienz?</t>
  </si>
  <si>
    <t>Mechanismus</t>
  </si>
  <si>
    <t>Resilienz</t>
  </si>
  <si>
    <t># text = Mit der Zeit fand ich heraus, dass die Menschen, die ihre Erfahrungen leugnen, die sagen: \"Ich war vor langer Zeit depressiv und ich will nie mehr darüber sprechen und ich werde nicht mehr daran denken, ich werde einfach mit meinem Leben weitermachen.\", ironischerweise die Menschen sind, die nahezu von dem, was sie haben, unterjocht werden.</t>
  </si>
  <si>
    <t>Mit</t>
  </si>
  <si>
    <t>leugnen</t>
  </si>
  <si>
    <t>langer</t>
  </si>
  <si>
    <t>weitermachen</t>
  </si>
  <si>
    <t>ironischerweise</t>
  </si>
  <si>
    <t>nahezu</t>
  </si>
  <si>
    <t>unterjocht</t>
  </si>
  <si>
    <t># text = Depressionen auszusperren, verstärken sie nur.</t>
  </si>
  <si>
    <t>auszusperren</t>
  </si>
  <si>
    <t># text = Wenn man sich vor ihnen versteckt, wachsen sie.</t>
  </si>
  <si>
    <t>versteckt</t>
  </si>
  <si>
    <t># text = Und die Menschen, denen es besser geht, sind diejenigen, die die Tatsache tolerieren, dass sie dieses Problem haben.</t>
  </si>
  <si>
    <t>denen</t>
  </si>
  <si>
    <t>diejenigen</t>
  </si>
  <si>
    <t>tolerieren</t>
  </si>
  <si>
    <t># text = Diejenigen, die ihre Depressionen tolerieren können, sind diejenigen, die Resilienz erlangen.</t>
  </si>
  <si>
    <t>Diejenigen</t>
  </si>
  <si>
    <t>erlangen</t>
  </si>
  <si>
    <t># text = Daher sagte Frank Russakoff zu mir: "Wenn ich es nochmal durchleben müsste, würde ich es wahrscheinlich nicht so machen, aber auf sonderbare Weise bin ich dankbar, dass ich das erlebt habe.</t>
  </si>
  <si>
    <t>nochmal</t>
  </si>
  <si>
    <t># text = Ich bin froh, 40 Mal in der Klinik gewesen zu sein.</t>
  </si>
  <si>
    <t>froh</t>
  </si>
  <si>
    <t>Klinik</t>
  </si>
  <si>
    <t># text = Es lehrte mich so viel über Liebe, und meine Beziehung zu meinen Eltern und meinen Ärzten war so wichtig für mich, und sie wird es immer sein.\"</t>
  </si>
  <si>
    <t>lehrte</t>
  </si>
  <si>
    <t>Ärzten</t>
  </si>
  <si>
    <t>wichtig</t>
  </si>
  <si>
    <t># text = Und Maggie Robbins sagte: \"Ich half ehrenamtlich in einer AIDS-Klinik, und ich redete und redete und redete, und die Menschen, mit denen ich zu tun hatte, waren nicht sehr empfänglich, und ich dachte: 'Das ist nicht sehr freundlich oder hilfreich von ihnen.'</t>
  </si>
  <si>
    <t>half</t>
  </si>
  <si>
    <t>ehrenamtlich</t>
  </si>
  <si>
    <t>AIDS</t>
  </si>
  <si>
    <t>redete</t>
  </si>
  <si>
    <t>empfänglich</t>
  </si>
  <si>
    <t>freundlich</t>
  </si>
  <si>
    <t>hilfreich</t>
  </si>
  <si>
    <t># text = Und dann erkannte ich, dass sie nicht mehr machen würden als diese paar Minuten Small Talk.</t>
  </si>
  <si>
    <t>erkannte</t>
  </si>
  <si>
    <t>Small</t>
  </si>
  <si>
    <t>Talk</t>
  </si>
  <si>
    <t># text = Es wäre einfach eine Gelegenheit, wo ich kein AIDS hatte und nicht sterben würde, aber die Tatsache tolerieren konnte, dass sie es hatten und das sie sterben würden.</t>
  </si>
  <si>
    <t>Gelegenheit</t>
  </si>
  <si>
    <t># text = Unsere Bedürfnisse sind unser größtes Kapital.</t>
  </si>
  <si>
    <t>Bedürfnisse</t>
  </si>
  <si>
    <t>unser</t>
  </si>
  <si>
    <t>größtes</t>
  </si>
  <si>
    <t>Kapital</t>
  </si>
  <si>
    <t># text = Es zeigt sich, dass ich gelernt habe, alles zu geben, was ich brauche."</t>
  </si>
  <si>
    <t>gelernt</t>
  </si>
  <si>
    <t># text = Die eigenen Depressionen zu schätzen, verhindert keinen Rückfall, aber es kann die Aussicht auf einen Rückfall und sogar den Rückfall selbst leicht erträglicher machen.</t>
  </si>
  <si>
    <t>schätzen</t>
  </si>
  <si>
    <t>verhindert</t>
  </si>
  <si>
    <t>Rückfall</t>
  </si>
  <si>
    <t>Aussicht</t>
  </si>
  <si>
    <t>leicht</t>
  </si>
  <si>
    <t>erträglicher</t>
  </si>
  <si>
    <t># text = Es geht nicht so sehr darum, einen tieferen Sinn zu finden und zu entscheiden, dass Ihre Depressionen eine wichtige Rolle spielen.</t>
  </si>
  <si>
    <t>darum</t>
  </si>
  <si>
    <t>tieferen</t>
  </si>
  <si>
    <t>entscheiden</t>
  </si>
  <si>
    <t>Ihre</t>
  </si>
  <si>
    <t>wichtige</t>
  </si>
  <si>
    <t>Rolle</t>
  </si>
  <si>
    <t># text = Es geht darum, diese Bedeutung zu suchen, wenn sie erneut kommen, und zu denken: "Das wird die Hölle, aber dadurch werde ich etwas lernen."</t>
  </si>
  <si>
    <t>Bedeutung</t>
  </si>
  <si>
    <t>erneut</t>
  </si>
  <si>
    <t>Hölle</t>
  </si>
  <si>
    <t>dadurch</t>
  </si>
  <si>
    <t># text = Ich habe während meiner eigenen Depressionen gelernt, wir stark eine Emotion sein kann, wie sie wahrhaftiger sein kann als Fakten, und ich merkte, dass diese Erfahrung mir erlaubte, positive Emotionen intensiver zu erleben.</t>
  </si>
  <si>
    <t>stark</t>
  </si>
  <si>
    <t>Emotion</t>
  </si>
  <si>
    <t>wahrhaftiger</t>
  </si>
  <si>
    <t>Fakten</t>
  </si>
  <si>
    <t>merkte</t>
  </si>
  <si>
    <t>erlaubte</t>
  </si>
  <si>
    <t>positive</t>
  </si>
  <si>
    <t>Emotionen</t>
  </si>
  <si>
    <t>intensiver</t>
  </si>
  <si>
    <t># text = Das Gegenteil von Depressionen ist nicht Glück, sondern Vitalität, und heute ist mein Leben vital, sogar an den Tagen, an denen ich traurig bin.</t>
  </si>
  <si>
    <t>vital</t>
  </si>
  <si>
    <t>Tagen</t>
  </si>
  <si>
    <t># text = Ich fühlte dieses Begräbnis in meinem Gehirn und saß neben dem Koloss am Rande der Welt, und ich bemerkte etwas in mir selbst, das ich eine Seele nennen müsste, was ich bis zu dem Tag vor 20 Jahren nie formuliert hatte, als die Hölle mir einen Überraschungsbesuch abstattete.</t>
  </si>
  <si>
    <t>neben</t>
  </si>
  <si>
    <t>Koloss</t>
  </si>
  <si>
    <t>Rande</t>
  </si>
  <si>
    <t>bemerkte</t>
  </si>
  <si>
    <t>nennen</t>
  </si>
  <si>
    <t>formuliert</t>
  </si>
  <si>
    <t>Überraschungsbesuch</t>
  </si>
  <si>
    <t>abstattete</t>
  </si>
  <si>
    <t># text = Obwohl ich es hasste, depressiv zu sein und es hassen würde, wieder depressiv zu werden, habe ich einen Weg gefunden, meine Depressionen zu lieben.</t>
  </si>
  <si>
    <t>Obwohl</t>
  </si>
  <si>
    <t>hasste</t>
  </si>
  <si>
    <t>hassen</t>
  </si>
  <si>
    <t># text = Ich liebe sie, weil sie mich gezwungen hat, Freude zu finden und mich an sie zu klammern.</t>
  </si>
  <si>
    <t>gezwungen</t>
  </si>
  <si>
    <t>Freude</t>
  </si>
  <si>
    <t># text = denn ich entscheide täglich, manchmal spielerisch, und manchmal entgegen der Vernunft des Augenblicks, mich an die Gründe zu leben zu klammern.</t>
  </si>
  <si>
    <t>entscheide</t>
  </si>
  <si>
    <t>manchmal</t>
  </si>
  <si>
    <t>spielerisch</t>
  </si>
  <si>
    <t>entgegen</t>
  </si>
  <si>
    <t>Augenblicks</t>
  </si>
  <si>
    <t>Gründe</t>
  </si>
  <si>
    <t># text = Ich denke, das ist eine sehr privilegierte Begeisterung.</t>
  </si>
  <si>
    <t>privilegierte</t>
  </si>
  <si>
    <t>Begeisterung</t>
  </si>
  <si>
    <t># text = Vielen Dank.</t>
  </si>
  <si>
    <t>Vielen</t>
  </si>
  <si>
    <t># text = (Applaus)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</si>
</sst>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11</v>
      </c>
      <c r="B4" s="6" t="s">
        <v>16</v>
      </c>
      <c r="C4" s="6" t="s">
        <v>12</v>
      </c>
      <c r="D4" s="7" t="s">
        <v>21</v>
      </c>
      <c r="E4" s="8" t="s">
        <v>22</v>
      </c>
      <c r="F4" s="6" t="s">
        <v>23</v>
      </c>
      <c r="G4" s="9">
        <f>IF(A4=1,"_",IF(C4="_","???",C4))</f>
        <v/>
      </c>
      <c r="H4" s="10" t="s">
        <v>12</v>
      </c>
      <c r="I4" s="11" t="s">
        <v>12</v>
      </c>
      <c r="J4" s="12"/>
    </row>
    <row r="5" spans="1:10" ht="60" customHeight="1">
      <c r="A5" s="6" t="s">
        <v>24</v>
      </c>
      <c r="B5" s="6" t="s">
        <v>11</v>
      </c>
      <c r="C5" s="6" t="s">
        <v>12</v>
      </c>
      <c r="D5" s="7" t="s">
        <v>25</v>
      </c>
      <c r="E5" s="8" t="s">
        <v>26</v>
      </c>
      <c r="F5" s="6" t="s">
        <v>27</v>
      </c>
      <c r="G5" s="9">
        <f>IF(A5=1,"_",IF(C5="_","???",C5))</f>
        <v/>
      </c>
      <c r="H5" s="10" t="s">
        <v>12</v>
      </c>
      <c r="I5" s="11" t="s">
        <v>12</v>
      </c>
      <c r="J5" s="12"/>
    </row>
    <row r="6" spans="1:10" ht="60" customHeight="1">
      <c r="A6" s="6" t="s">
        <v>28</v>
      </c>
      <c r="B6" s="6" t="s">
        <v>16</v>
      </c>
      <c r="C6" s="6" t="s">
        <v>12</v>
      </c>
      <c r="D6" s="7" t="s">
        <v>29</v>
      </c>
      <c r="E6" s="8" t="s">
        <v>30</v>
      </c>
      <c r="F6" s="6" t="s">
        <v>31</v>
      </c>
      <c r="G6" s="9">
        <f>IF(A6=1,"_",IF(C6="_","???",C6))</f>
        <v/>
      </c>
      <c r="H6" s="10" t="s">
        <v>12</v>
      </c>
      <c r="I6" s="11" t="s">
        <v>12</v>
      </c>
      <c r="J6" s="12"/>
    </row>
    <row r="7" spans="1:10" ht="60" customHeight="1">
      <c r="A7" s="6" t="s">
        <v>32</v>
      </c>
      <c r="B7" s="6" t="s">
        <v>17</v>
      </c>
      <c r="C7" s="6" t="s">
        <v>33</v>
      </c>
      <c r="D7" s="7" t="s">
        <v>34</v>
      </c>
      <c r="E7" s="8" t="s">
        <v>35</v>
      </c>
      <c r="F7" s="6" t="s">
        <v>36</v>
      </c>
      <c r="G7" s="9">
        <f>IF(A7=1,"_",IF(C7="_","???",C7))</f>
        <v/>
      </c>
      <c r="H7" s="10" t="s">
        <v>12</v>
      </c>
      <c r="I7" s="11" t="s">
        <v>12</v>
      </c>
      <c r="J7" s="12"/>
    </row>
    <row r="8" spans="1:10" ht="60" customHeight="1">
      <c r="A8" s="6" t="s">
        <v>17</v>
      </c>
      <c r="B8" s="6" t="s">
        <v>28</v>
      </c>
      <c r="C8" s="6" t="s">
        <v>12</v>
      </c>
      <c r="D8" s="7" t="s">
        <v>37</v>
      </c>
      <c r="E8" s="8" t="s">
        <v>38</v>
      </c>
      <c r="F8" s="6" t="s">
        <v>39</v>
      </c>
      <c r="G8" s="9">
        <f>IF(A8=1,"_",IF(C8="_","???",C8))</f>
        <v/>
      </c>
      <c r="H8" s="10" t="s">
        <v>12</v>
      </c>
      <c r="I8" s="11" t="s">
        <v>12</v>
      </c>
      <c r="J8" s="12"/>
    </row>
    <row r="9" spans="1:10" ht="60" customHeight="1">
      <c r="A9" s="6" t="s">
        <v>40</v>
      </c>
      <c r="B9" s="6" t="s">
        <v>11</v>
      </c>
      <c r="C9" s="6" t="s">
        <v>12</v>
      </c>
      <c r="D9" s="7" t="s">
        <v>41</v>
      </c>
      <c r="E9" s="8" t="s">
        <v>42</v>
      </c>
      <c r="F9" s="6" t="s">
        <v>43</v>
      </c>
      <c r="G9" s="9">
        <f>IF(A9=1,"_",IF(C9="_","???",C9))</f>
        <v/>
      </c>
      <c r="H9" s="10" t="s">
        <v>12</v>
      </c>
      <c r="I9" s="11" t="s">
        <v>12</v>
      </c>
      <c r="J9" s="12"/>
    </row>
    <row r="10" spans="1:10" ht="60" customHeight="1">
      <c r="A10" s="6" t="s">
        <v>44</v>
      </c>
      <c r="B10" s="6" t="s">
        <v>16</v>
      </c>
      <c r="C10" s="6" t="s">
        <v>12</v>
      </c>
      <c r="D10" s="7" t="s">
        <v>45</v>
      </c>
      <c r="E10" s="8" t="s">
        <v>46</v>
      </c>
      <c r="F10" s="6" t="s">
        <v>47</v>
      </c>
      <c r="G10" s="9">
        <f>IF(A10=1,"_",IF(C10="_","???",C10))</f>
        <v/>
      </c>
      <c r="H10" s="10" t="s">
        <v>12</v>
      </c>
      <c r="I10" s="11" t="s">
        <v>12</v>
      </c>
      <c r="J10" s="12"/>
    </row>
    <row r="11" spans="1:10" ht="60" customHeight="1">
      <c r="A11" s="6" t="s">
        <v>48</v>
      </c>
      <c r="B11" s="6" t="s">
        <v>11</v>
      </c>
      <c r="C11" s="6" t="s">
        <v>12</v>
      </c>
      <c r="D11" s="7" t="s">
        <v>49</v>
      </c>
      <c r="E11" s="8" t="s">
        <v>50</v>
      </c>
      <c r="F11" s="6" t="s">
        <v>51</v>
      </c>
      <c r="G11" s="9">
        <f>IF(A11=1,"_",IF(C11="_","???",C11))</f>
        <v/>
      </c>
      <c r="H11" s="10" t="s">
        <v>12</v>
      </c>
      <c r="I11" s="11" t="s">
        <v>12</v>
      </c>
      <c r="J11" s="12"/>
    </row>
    <row r="12" spans="1:10" ht="60" customHeight="1">
      <c r="A12" s="6" t="s">
        <v>52</v>
      </c>
      <c r="B12" s="6" t="s">
        <v>40</v>
      </c>
      <c r="C12" s="6" t="s">
        <v>12</v>
      </c>
      <c r="D12" s="7" t="s">
        <v>53</v>
      </c>
      <c r="E12" s="8" t="s">
        <v>54</v>
      </c>
      <c r="F12" s="6" t="s">
        <v>55</v>
      </c>
      <c r="G12" s="9">
        <f>IF(A12=1,"_",IF(C12="_","???",C12))</f>
        <v/>
      </c>
      <c r="H12" s="10" t="s">
        <v>12</v>
      </c>
      <c r="I12" s="11" t="s">
        <v>12</v>
      </c>
      <c r="J12" s="12"/>
    </row>
    <row r="13" spans="1:10" ht="60" customHeight="1">
      <c r="A13" s="6" t="s">
        <v>56</v>
      </c>
      <c r="B13" s="6" t="s">
        <v>40</v>
      </c>
      <c r="C13" s="6" t="s">
        <v>57</v>
      </c>
      <c r="D13" s="7" t="s">
        <v>58</v>
      </c>
      <c r="E13" s="8" t="s">
        <v>59</v>
      </c>
      <c r="F13" s="6" t="s">
        <v>60</v>
      </c>
      <c r="G13" s="9">
        <f>IF(A13=1,"_",IF(C13="_","???",C13))</f>
        <v/>
      </c>
      <c r="H13" s="10" t="s">
        <v>12</v>
      </c>
      <c r="I13" s="11" t="s">
        <v>12</v>
      </c>
      <c r="J13" s="12"/>
    </row>
    <row r="14" spans="1:10" ht="60" customHeight="1">
      <c r="A14" s="6" t="s">
        <v>61</v>
      </c>
      <c r="B14" s="6" t="s">
        <v>28</v>
      </c>
      <c r="C14" s="6" t="s">
        <v>12</v>
      </c>
      <c r="D14" s="7" t="s">
        <v>62</v>
      </c>
      <c r="E14" s="8" t="s">
        <v>63</v>
      </c>
      <c r="F14" s="6" t="s">
        <v>64</v>
      </c>
      <c r="G14" s="9">
        <f>IF(A14=1,"_",IF(C14="_","???",C14))</f>
        <v/>
      </c>
      <c r="H14" s="10" t="s">
        <v>12</v>
      </c>
      <c r="I14" s="11" t="s">
        <v>12</v>
      </c>
      <c r="J14" s="12"/>
    </row>
    <row r="15" spans="1:10" ht="60" customHeight="1">
      <c r="A15" s="6" t="s">
        <v>65</v>
      </c>
      <c r="B15" s="6" t="s">
        <v>40</v>
      </c>
      <c r="C15" s="6" t="s">
        <v>12</v>
      </c>
      <c r="D15" s="7" t="s">
        <v>66</v>
      </c>
      <c r="E15" s="8" t="s">
        <v>67</v>
      </c>
      <c r="F15" s="6" t="s">
        <v>68</v>
      </c>
      <c r="G15" s="9">
        <f>IF(A15=1,"_",IF(C15="_","???",C15))</f>
        <v/>
      </c>
      <c r="H15" s="10" t="s">
        <v>12</v>
      </c>
      <c r="I15" s="11" t="s">
        <v>12</v>
      </c>
      <c r="J15" s="12"/>
    </row>
    <row r="16" spans="1:10" ht="60" customHeight="1">
      <c r="A16" s="6" t="s">
        <v>69</v>
      </c>
      <c r="B16" s="6" t="s">
        <v>69</v>
      </c>
      <c r="C16" s="6" t="s">
        <v>12</v>
      </c>
      <c r="D16" s="7" t="s">
        <v>37</v>
      </c>
      <c r="E16" s="8" t="s">
        <v>70</v>
      </c>
      <c r="F16" s="6" t="s">
        <v>71</v>
      </c>
      <c r="G16" s="9">
        <f>IF(A16=1,"_",IF(C16="_","???",C16))</f>
        <v/>
      </c>
      <c r="H16" s="10" t="s">
        <v>12</v>
      </c>
      <c r="I16" s="11" t="s">
        <v>12</v>
      </c>
      <c r="J16" s="12"/>
    </row>
    <row r="17" spans="1:10" ht="60" customHeight="1">
      <c r="A17" s="6" t="s">
        <v>72</v>
      </c>
      <c r="B17" s="6" t="s">
        <v>52</v>
      </c>
      <c r="C17" s="6" t="s">
        <v>12</v>
      </c>
      <c r="D17" s="7" t="s">
        <v>73</v>
      </c>
      <c r="E17" s="8" t="s">
        <v>74</v>
      </c>
      <c r="F17" s="6" t="s">
        <v>75</v>
      </c>
      <c r="G17" s="9">
        <f>IF(A17=1,"_",IF(C17="_","???",C17))</f>
        <v/>
      </c>
      <c r="H17" s="10" t="s">
        <v>12</v>
      </c>
      <c r="I17" s="11" t="s">
        <v>12</v>
      </c>
      <c r="J17" s="12"/>
    </row>
    <row r="18" spans="1:10" ht="60" customHeight="1">
      <c r="A18" s="6" t="s">
        <v>76</v>
      </c>
      <c r="B18" s="6" t="s">
        <v>44</v>
      </c>
      <c r="C18" s="6" t="s">
        <v>12</v>
      </c>
      <c r="D18" s="7" t="s">
        <v>77</v>
      </c>
      <c r="E18" s="8" t="s">
        <v>78</v>
      </c>
      <c r="F18" s="6" t="s">
        <v>79</v>
      </c>
      <c r="G18" s="9">
        <f>IF(A18=1,"_",IF(C18="_","???",C18))</f>
        <v/>
      </c>
      <c r="H18" s="10" t="s">
        <v>12</v>
      </c>
      <c r="I18" s="11" t="s">
        <v>12</v>
      </c>
      <c r="J18" s="12"/>
    </row>
    <row r="19" spans="1:10" ht="60" customHeight="1">
      <c r="A19" s="6" t="s">
        <v>80</v>
      </c>
      <c r="B19" s="6" t="s">
        <v>16</v>
      </c>
      <c r="C19" s="6" t="s">
        <v>12</v>
      </c>
      <c r="D19" s="7" t="s">
        <v>81</v>
      </c>
      <c r="E19" s="8" t="s">
        <v>82</v>
      </c>
      <c r="F19" s="6" t="s">
        <v>83</v>
      </c>
      <c r="G19" s="9">
        <f>IF(A19=1,"_",IF(C19="_","???",C19))</f>
        <v/>
      </c>
      <c r="H19" s="10" t="s">
        <v>12</v>
      </c>
      <c r="I19" s="11" t="s">
        <v>12</v>
      </c>
      <c r="J19" s="12"/>
    </row>
    <row r="20" spans="1:10" ht="60" customHeight="1">
      <c r="A20" s="6" t="s">
        <v>84</v>
      </c>
      <c r="B20" s="6" t="s">
        <v>16</v>
      </c>
      <c r="C20" s="6" t="s">
        <v>12</v>
      </c>
      <c r="D20" s="7" t="s">
        <v>81</v>
      </c>
      <c r="E20" s="8" t="s">
        <v>85</v>
      </c>
      <c r="F20" s="6" t="s">
        <v>86</v>
      </c>
      <c r="G20" s="9">
        <f>IF(A20=1,"_",IF(C20="_","???",C20))</f>
        <v/>
      </c>
      <c r="H20" s="10" t="s">
        <v>12</v>
      </c>
      <c r="I20" s="11" t="s">
        <v>12</v>
      </c>
      <c r="J20" s="12"/>
    </row>
    <row r="21" spans="1:10" ht="60" customHeight="1">
      <c r="A21" s="6" t="s">
        <v>87</v>
      </c>
      <c r="B21" s="6" t="s">
        <v>16</v>
      </c>
      <c r="C21" s="6" t="s">
        <v>12</v>
      </c>
      <c r="D21" s="7" t="s">
        <v>88</v>
      </c>
      <c r="E21" s="8" t="s">
        <v>89</v>
      </c>
      <c r="F21" s="6" t="s">
        <v>90</v>
      </c>
      <c r="G21" s="9">
        <f>IF(A21=1,"_",IF(C21="_","???",C21))</f>
        <v/>
      </c>
      <c r="H21" s="10" t="s">
        <v>12</v>
      </c>
      <c r="I21" s="11" t="s">
        <v>12</v>
      </c>
      <c r="J21" s="12"/>
    </row>
    <row r="22" spans="1:10" ht="60" customHeight="1">
      <c r="A22" s="6" t="s">
        <v>91</v>
      </c>
      <c r="B22" s="6" t="s">
        <v>16</v>
      </c>
      <c r="C22" s="6" t="s">
        <v>12</v>
      </c>
      <c r="D22" s="7" t="s">
        <v>92</v>
      </c>
      <c r="E22" s="8" t="s">
        <v>93</v>
      </c>
      <c r="F22" s="6" t="s">
        <v>94</v>
      </c>
      <c r="G22" s="9">
        <f>IF(A22=1,"_",IF(C22="_","???",C22))</f>
        <v/>
      </c>
      <c r="H22" s="10" t="s">
        <v>12</v>
      </c>
      <c r="I22" s="11" t="s">
        <v>12</v>
      </c>
      <c r="J22" s="12"/>
    </row>
    <row r="23" spans="1:10" ht="60" customHeight="1">
      <c r="A23" s="6" t="s">
        <v>95</v>
      </c>
      <c r="B23" s="6" t="s">
        <v>11</v>
      </c>
      <c r="C23" s="6" t="s">
        <v>12</v>
      </c>
      <c r="D23" s="7" t="s">
        <v>96</v>
      </c>
      <c r="E23" s="8" t="s">
        <v>97</v>
      </c>
      <c r="F23" s="6" t="s">
        <v>98</v>
      </c>
      <c r="G23" s="9">
        <f>IF(A23=1,"_",IF(C23="_","???",C23))</f>
        <v/>
      </c>
      <c r="H23" s="10" t="s">
        <v>12</v>
      </c>
      <c r="I23" s="11" t="s">
        <v>12</v>
      </c>
      <c r="J23" s="12"/>
    </row>
    <row r="24" spans="1:10" ht="60" customHeight="1">
      <c r="A24" s="6" t="s">
        <v>99</v>
      </c>
      <c r="B24" s="6" t="s">
        <v>84</v>
      </c>
      <c r="C24" s="6" t="s">
        <v>12</v>
      </c>
      <c r="D24" s="7" t="s">
        <v>100</v>
      </c>
      <c r="E24" s="8" t="s">
        <v>101</v>
      </c>
      <c r="F24" s="6" t="s">
        <v>102</v>
      </c>
      <c r="G24" s="9">
        <f>IF(A24=1,"_",IF(C24="_","???",C24))</f>
        <v/>
      </c>
      <c r="H24" s="10" t="s">
        <v>12</v>
      </c>
      <c r="I24" s="11" t="s">
        <v>12</v>
      </c>
      <c r="J24" s="12"/>
    </row>
    <row r="25" spans="1:10" ht="60" customHeight="1">
      <c r="A25" s="6" t="s">
        <v>103</v>
      </c>
      <c r="B25" s="6" t="s">
        <v>48</v>
      </c>
      <c r="C25" s="6" t="s">
        <v>12</v>
      </c>
      <c r="D25" s="7" t="s">
        <v>104</v>
      </c>
      <c r="E25" s="8" t="s">
        <v>105</v>
      </c>
      <c r="F25" s="6" t="s">
        <v>106</v>
      </c>
      <c r="G25" s="9">
        <f>IF(A25=1,"_",IF(C25="_","???",C25))</f>
        <v/>
      </c>
      <c r="H25" s="10" t="s">
        <v>12</v>
      </c>
      <c r="I25" s="11" t="s">
        <v>12</v>
      </c>
      <c r="J25" s="12"/>
    </row>
    <row r="26" spans="1:10" ht="60" customHeight="1">
      <c r="A26" s="6" t="s">
        <v>107</v>
      </c>
      <c r="B26" s="6" t="s">
        <v>44</v>
      </c>
      <c r="C26" s="6" t="s">
        <v>12</v>
      </c>
      <c r="D26" s="7" t="s">
        <v>104</v>
      </c>
      <c r="E26" s="8" t="s">
        <v>108</v>
      </c>
      <c r="F26" s="6" t="s">
        <v>109</v>
      </c>
      <c r="G26" s="9">
        <f>IF(A26=1,"_",IF(C26="_","???",C26))</f>
        <v/>
      </c>
      <c r="H26" s="10" t="s">
        <v>12</v>
      </c>
      <c r="I26" s="11" t="s">
        <v>12</v>
      </c>
      <c r="J26" s="12"/>
    </row>
    <row r="27" spans="1:10" ht="60" customHeight="1">
      <c r="A27" s="6" t="s">
        <v>110</v>
      </c>
      <c r="B27" s="6" t="s">
        <v>16</v>
      </c>
      <c r="C27" s="6" t="s">
        <v>12</v>
      </c>
      <c r="D27" s="7" t="s">
        <v>111</v>
      </c>
      <c r="E27" s="8" t="s">
        <v>112</v>
      </c>
      <c r="F27" s="6" t="s">
        <v>113</v>
      </c>
      <c r="G27" s="9">
        <f>IF(A27=1,"_",IF(C27="_","???",C27))</f>
        <v/>
      </c>
      <c r="H27" s="10" t="s">
        <v>12</v>
      </c>
      <c r="I27" s="11" t="s">
        <v>12</v>
      </c>
      <c r="J27" s="12"/>
    </row>
    <row r="28" spans="1:10" ht="60" customHeight="1">
      <c r="A28" s="6" t="s">
        <v>114</v>
      </c>
      <c r="B28" s="6" t="s">
        <v>91</v>
      </c>
      <c r="C28" s="6" t="s">
        <v>12</v>
      </c>
      <c r="D28" s="7" t="s">
        <v>115</v>
      </c>
      <c r="E28" s="8" t="s">
        <v>116</v>
      </c>
      <c r="F28" s="6" t="s">
        <v>117</v>
      </c>
      <c r="G28" s="9">
        <f>IF(A28=1,"_",IF(C28="_","???",C28))</f>
        <v/>
      </c>
      <c r="H28" s="10" t="s">
        <v>12</v>
      </c>
      <c r="I28" s="11" t="s">
        <v>12</v>
      </c>
      <c r="J28" s="12"/>
    </row>
    <row r="29" spans="1:10" ht="60" customHeight="1">
      <c r="A29" s="6" t="s">
        <v>118</v>
      </c>
      <c r="B29" s="6" t="s">
        <v>11</v>
      </c>
      <c r="C29" s="6" t="s">
        <v>12</v>
      </c>
      <c r="D29" s="7" t="s">
        <v>119</v>
      </c>
      <c r="E29" s="8" t="s">
        <v>120</v>
      </c>
      <c r="F29" s="6" t="s">
        <v>121</v>
      </c>
      <c r="G29" s="9">
        <f>IF(A29=1,"_",IF(C29="_","???",C29))</f>
        <v/>
      </c>
      <c r="H29" s="10" t="s">
        <v>12</v>
      </c>
      <c r="I29" s="11" t="s">
        <v>12</v>
      </c>
      <c r="J29" s="12"/>
    </row>
    <row r="30" spans="1:10" ht="60" customHeight="1">
      <c r="A30" s="6" t="s">
        <v>122</v>
      </c>
      <c r="B30" s="6" t="s">
        <v>32</v>
      </c>
      <c r="C30" s="6" t="s">
        <v>12</v>
      </c>
      <c r="D30" s="7" t="s">
        <v>123</v>
      </c>
      <c r="E30" s="8" t="s">
        <v>124</v>
      </c>
      <c r="F30" s="6" t="s">
        <v>125</v>
      </c>
      <c r="G30" s="9">
        <f>IF(A30=1,"_",IF(C30="_","???",C30))</f>
        <v/>
      </c>
      <c r="H30" s="10" t="s">
        <v>12</v>
      </c>
      <c r="I30" s="11" t="s">
        <v>12</v>
      </c>
      <c r="J30" s="12"/>
    </row>
    <row r="31" spans="1:10" ht="60" customHeight="1">
      <c r="A31" s="6" t="s">
        <v>126</v>
      </c>
      <c r="B31" s="6" t="s">
        <v>56</v>
      </c>
      <c r="C31" s="6" t="s">
        <v>127</v>
      </c>
      <c r="D31" s="7" t="s">
        <v>128</v>
      </c>
      <c r="E31" s="8" t="s">
        <v>129</v>
      </c>
      <c r="F31" s="6" t="s">
        <v>130</v>
      </c>
      <c r="G31" s="9">
        <f>IF(A31=1,"_",IF(C31="_","???",C31))</f>
        <v/>
      </c>
      <c r="H31" s="10" t="s">
        <v>12</v>
      </c>
      <c r="I31" s="11" t="s">
        <v>12</v>
      </c>
      <c r="J31" s="12"/>
    </row>
    <row r="32" spans="1:10" ht="60" customHeight="1">
      <c r="A32" s="6" t="s">
        <v>131</v>
      </c>
      <c r="B32" s="6" t="s">
        <v>16</v>
      </c>
      <c r="C32" s="6" t="s">
        <v>12</v>
      </c>
      <c r="D32" s="7" t="s">
        <v>132</v>
      </c>
      <c r="E32" s="8" t="s">
        <v>133</v>
      </c>
      <c r="F32" s="6" t="s">
        <v>134</v>
      </c>
      <c r="G32" s="9">
        <f>IF(A32=1,"_",IF(C32="_","???",C32))</f>
        <v/>
      </c>
      <c r="H32" s="10" t="s">
        <v>12</v>
      </c>
      <c r="I32" s="11" t="s">
        <v>12</v>
      </c>
      <c r="J32" s="12"/>
    </row>
    <row r="33" spans="1:10" ht="60" customHeight="1">
      <c r="A33" s="6" t="s">
        <v>135</v>
      </c>
      <c r="B33" s="6" t="s">
        <v>24</v>
      </c>
      <c r="C33" s="6" t="s">
        <v>12</v>
      </c>
      <c r="D33" s="7" t="s">
        <v>136</v>
      </c>
      <c r="E33" s="8" t="s">
        <v>137</v>
      </c>
      <c r="F33" s="6" t="s">
        <v>138</v>
      </c>
      <c r="G33" s="9">
        <f>IF(A33=1,"_",IF(C33="_","???",C33))</f>
        <v/>
      </c>
      <c r="H33" s="10" t="s">
        <v>12</v>
      </c>
      <c r="I33" s="11" t="s">
        <v>12</v>
      </c>
      <c r="J33" s="12"/>
    </row>
    <row r="34" spans="1:10" ht="60" customHeight="1">
      <c r="A34" s="6" t="s">
        <v>139</v>
      </c>
      <c r="B34" s="6" t="s">
        <v>11</v>
      </c>
      <c r="C34" s="6" t="s">
        <v>12</v>
      </c>
      <c r="D34" s="7" t="s">
        <v>88</v>
      </c>
      <c r="E34" s="8" t="s">
        <v>140</v>
      </c>
      <c r="F34" s="6" t="s">
        <v>141</v>
      </c>
      <c r="G34" s="9">
        <f>IF(A34=1,"_",IF(C34="_","???",C34))</f>
        <v/>
      </c>
      <c r="H34" s="10" t="s">
        <v>12</v>
      </c>
      <c r="I34" s="11" t="s">
        <v>12</v>
      </c>
      <c r="J34" s="12"/>
    </row>
    <row r="35" spans="1:10" ht="60" customHeight="1">
      <c r="A35" s="6" t="s">
        <v>142</v>
      </c>
      <c r="B35" s="6" t="s">
        <v>40</v>
      </c>
      <c r="C35" s="6" t="s">
        <v>12</v>
      </c>
      <c r="D35" s="7" t="s">
        <v>58</v>
      </c>
      <c r="E35" s="8" t="s">
        <v>143</v>
      </c>
      <c r="F35" s="6" t="s">
        <v>144</v>
      </c>
      <c r="G35" s="9">
        <f>IF(A35=1,"_",IF(C35="_","???",C35))</f>
        <v/>
      </c>
      <c r="H35" s="10" t="s">
        <v>12</v>
      </c>
      <c r="I35" s="11" t="s">
        <v>12</v>
      </c>
      <c r="J35" s="12"/>
    </row>
    <row r="36" spans="1:10" ht="60" customHeight="1">
      <c r="A36" s="6" t="s">
        <v>145</v>
      </c>
      <c r="B36" s="6" t="s">
        <v>11</v>
      </c>
      <c r="C36" s="6" t="s">
        <v>146</v>
      </c>
      <c r="D36" s="7" t="s">
        <v>41</v>
      </c>
      <c r="E36" s="8" t="s">
        <v>147</v>
      </c>
      <c r="F36" s="6" t="s">
        <v>148</v>
      </c>
      <c r="G36" s="9">
        <f>IF(A36=1,"_",IF(C36="_","???",C36))</f>
        <v/>
      </c>
      <c r="H36" s="10" t="s">
        <v>12</v>
      </c>
      <c r="I36" s="11" t="s">
        <v>12</v>
      </c>
      <c r="J36" s="12"/>
    </row>
    <row r="37" spans="1:10" ht="60" customHeight="1">
      <c r="A37" s="6" t="s">
        <v>149</v>
      </c>
      <c r="B37" s="6" t="s">
        <v>16</v>
      </c>
      <c r="C37" s="6" t="s">
        <v>12</v>
      </c>
      <c r="D37" s="7" t="s">
        <v>150</v>
      </c>
      <c r="E37" s="8" t="s">
        <v>151</v>
      </c>
      <c r="F37" s="6" t="s">
        <v>152</v>
      </c>
      <c r="G37" s="9">
        <f>IF(A37=1,"_",IF(C37="_","???",C37))</f>
        <v/>
      </c>
      <c r="H37" s="10" t="s">
        <v>12</v>
      </c>
      <c r="I37" s="11" t="s">
        <v>12</v>
      </c>
      <c r="J37" s="12"/>
    </row>
    <row r="38" spans="1:10" ht="60" customHeight="1">
      <c r="A38" s="6" t="s">
        <v>153</v>
      </c>
      <c r="B38" s="6" t="s">
        <v>16</v>
      </c>
      <c r="C38" s="6" t="s">
        <v>12</v>
      </c>
      <c r="D38" s="7" t="s">
        <v>81</v>
      </c>
      <c r="E38" s="8" t="s">
        <v>154</v>
      </c>
      <c r="F38" s="6" t="s">
        <v>155</v>
      </c>
      <c r="G38" s="9">
        <f>IF(A38=1,"_",IF(C38="_","???",C38))</f>
        <v/>
      </c>
      <c r="H38" s="10" t="s">
        <v>12</v>
      </c>
      <c r="I38" s="11" t="s">
        <v>12</v>
      </c>
      <c r="J38" s="12"/>
    </row>
    <row r="39" spans="1:10" ht="60" customHeight="1">
      <c r="A39" s="6" t="s">
        <v>156</v>
      </c>
      <c r="B39" s="6" t="s">
        <v>11</v>
      </c>
      <c r="C39" s="6" t="s">
        <v>12</v>
      </c>
      <c r="D39" s="7" t="s">
        <v>104</v>
      </c>
      <c r="E39" s="8" t="s">
        <v>157</v>
      </c>
      <c r="F39" s="6" t="s">
        <v>158</v>
      </c>
      <c r="G39" s="9">
        <f>IF(A39=1,"_",IF(C39="_","???",C39))</f>
        <v/>
      </c>
      <c r="H39" s="10" t="s">
        <v>12</v>
      </c>
      <c r="I39" s="11" t="s">
        <v>12</v>
      </c>
      <c r="J39" s="12"/>
    </row>
    <row r="40" spans="1:10" ht="60" customHeight="1">
      <c r="A40" s="6" t="s">
        <v>159</v>
      </c>
      <c r="B40" s="6" t="s">
        <v>11</v>
      </c>
      <c r="C40" s="6" t="s">
        <v>12</v>
      </c>
      <c r="D40" s="7" t="s">
        <v>160</v>
      </c>
      <c r="E40" s="8" t="s">
        <v>161</v>
      </c>
      <c r="F40" s="6" t="s">
        <v>162</v>
      </c>
      <c r="G40" s="9">
        <f>IF(A40=1,"_",IF(C40="_","???",C40))</f>
        <v/>
      </c>
      <c r="H40" s="10" t="s">
        <v>12</v>
      </c>
      <c r="I40" s="11" t="s">
        <v>12</v>
      </c>
      <c r="J40" s="12"/>
    </row>
    <row r="41" spans="1:10" ht="60" customHeight="1">
      <c r="A41" s="6" t="s">
        <v>163</v>
      </c>
      <c r="B41" s="6" t="s">
        <v>16</v>
      </c>
      <c r="C41" s="6" t="s">
        <v>12</v>
      </c>
      <c r="D41" s="7" t="s">
        <v>164</v>
      </c>
      <c r="E41" s="8" t="s">
        <v>165</v>
      </c>
      <c r="F41" s="6" t="s">
        <v>166</v>
      </c>
      <c r="G41" s="9">
        <f>IF(A41=1,"_",IF(C41="_","???",C41))</f>
        <v/>
      </c>
      <c r="H41" s="10" t="s">
        <v>12</v>
      </c>
      <c r="I41" s="11" t="s">
        <v>12</v>
      </c>
      <c r="J41" s="12"/>
    </row>
    <row r="42" spans="1:10" ht="60" customHeight="1">
      <c r="A42" s="6" t="s">
        <v>167</v>
      </c>
      <c r="B42" s="6" t="s">
        <v>48</v>
      </c>
      <c r="C42" s="6" t="s">
        <v>12</v>
      </c>
      <c r="D42" s="7" t="s">
        <v>168</v>
      </c>
      <c r="E42" s="8" t="s">
        <v>169</v>
      </c>
      <c r="F42" s="6" t="s">
        <v>170</v>
      </c>
      <c r="G42" s="9">
        <f>IF(A42=1,"_",IF(C42="_","???",C42))</f>
        <v/>
      </c>
      <c r="H42" s="10" t="s">
        <v>12</v>
      </c>
      <c r="I42" s="11" t="s">
        <v>12</v>
      </c>
      <c r="J42" s="12"/>
    </row>
    <row r="43" spans="1:10" ht="60" customHeight="1">
      <c r="A43" s="6" t="s">
        <v>171</v>
      </c>
      <c r="B43" s="6" t="s">
        <v>24</v>
      </c>
      <c r="C43" s="6" t="s">
        <v>12</v>
      </c>
      <c r="D43" s="7" t="s">
        <v>172</v>
      </c>
      <c r="E43" s="8" t="s">
        <v>173</v>
      </c>
      <c r="F43" s="6" t="s">
        <v>174</v>
      </c>
      <c r="G43" s="9">
        <f>IF(A43=1,"_",IF(C43="_","???",C43))</f>
        <v/>
      </c>
      <c r="H43" s="10" t="s">
        <v>12</v>
      </c>
      <c r="I43" s="11" t="s">
        <v>12</v>
      </c>
      <c r="J43" s="12"/>
    </row>
    <row r="44" spans="1:10" ht="60" customHeight="1">
      <c r="A44" s="6" t="s">
        <v>175</v>
      </c>
      <c r="B44" s="6" t="s">
        <v>11</v>
      </c>
      <c r="C44" s="6" t="s">
        <v>12</v>
      </c>
      <c r="D44" s="7" t="s">
        <v>176</v>
      </c>
      <c r="E44" s="8" t="s">
        <v>177</v>
      </c>
      <c r="F44" s="6" t="s">
        <v>178</v>
      </c>
      <c r="G44" s="9">
        <f>IF(A44=1,"_",IF(C44="_","???",C44))</f>
        <v/>
      </c>
      <c r="H44" s="10" t="s">
        <v>12</v>
      </c>
      <c r="I44" s="11" t="s">
        <v>12</v>
      </c>
      <c r="J44" s="12"/>
    </row>
    <row r="45" spans="1:10" ht="60" customHeight="1">
      <c r="A45" s="6" t="s">
        <v>179</v>
      </c>
      <c r="B45" s="6" t="s">
        <v>32</v>
      </c>
      <c r="C45" s="6" t="s">
        <v>12</v>
      </c>
      <c r="D45" s="7" t="s">
        <v>104</v>
      </c>
      <c r="E45" s="8" t="s">
        <v>180</v>
      </c>
      <c r="F45" s="6" t="s">
        <v>181</v>
      </c>
      <c r="G45" s="9">
        <f>IF(A45=1,"_",IF(C45="_","???",C45))</f>
        <v/>
      </c>
      <c r="H45" s="10" t="s">
        <v>12</v>
      </c>
      <c r="I45" s="11" t="s">
        <v>12</v>
      </c>
      <c r="J45" s="12"/>
    </row>
    <row r="46" spans="1:10" ht="60" customHeight="1">
      <c r="A46" s="6" t="s">
        <v>182</v>
      </c>
      <c r="B46" s="6" t="s">
        <v>16</v>
      </c>
      <c r="C46" s="6" t="s">
        <v>12</v>
      </c>
      <c r="D46" s="7" t="s">
        <v>183</v>
      </c>
      <c r="E46" s="8" t="s">
        <v>184</v>
      </c>
      <c r="F46" s="6" t="s">
        <v>185</v>
      </c>
      <c r="G46" s="9">
        <f>IF(A46=1,"_",IF(C46="_","???",C46))</f>
        <v/>
      </c>
      <c r="H46" s="10" t="s">
        <v>12</v>
      </c>
      <c r="I46" s="11" t="s">
        <v>12</v>
      </c>
      <c r="J46" s="12"/>
    </row>
    <row r="47" spans="1:10" ht="60" customHeight="1">
      <c r="A47" s="6" t="s">
        <v>186</v>
      </c>
      <c r="B47" s="6" t="s">
        <v>16</v>
      </c>
      <c r="C47" s="6" t="s">
        <v>12</v>
      </c>
      <c r="D47" s="7" t="s">
        <v>187</v>
      </c>
      <c r="E47" s="8" t="s">
        <v>188</v>
      </c>
      <c r="F47" s="6" t="s">
        <v>189</v>
      </c>
      <c r="G47" s="9">
        <f>IF(A47=1,"_",IF(C47="_","???",C47))</f>
        <v/>
      </c>
      <c r="H47" s="10" t="s">
        <v>12</v>
      </c>
      <c r="I47" s="11" t="s">
        <v>12</v>
      </c>
      <c r="J47" s="12"/>
    </row>
    <row r="48" spans="1:10" ht="60" customHeight="1">
      <c r="A48" s="6" t="s">
        <v>190</v>
      </c>
      <c r="B48" s="6" t="s">
        <v>16</v>
      </c>
      <c r="C48" s="6" t="s">
        <v>12</v>
      </c>
      <c r="D48" s="7" t="s">
        <v>191</v>
      </c>
      <c r="E48" s="8" t="s">
        <v>192</v>
      </c>
      <c r="F48" s="6" t="s">
        <v>193</v>
      </c>
      <c r="G48" s="9">
        <f>IF(A48=1,"_",IF(C48="_","???",C48))</f>
        <v/>
      </c>
      <c r="H48" s="10" t="s">
        <v>12</v>
      </c>
      <c r="I48" s="11" t="s">
        <v>12</v>
      </c>
      <c r="J48" s="12"/>
    </row>
    <row r="49" spans="1:10" ht="60" customHeight="1">
      <c r="A49" s="6" t="s">
        <v>194</v>
      </c>
      <c r="B49" s="6" t="s">
        <v>16</v>
      </c>
      <c r="C49" s="6" t="s">
        <v>12</v>
      </c>
      <c r="D49" s="7" t="s">
        <v>104</v>
      </c>
      <c r="E49" s="8" t="s">
        <v>195</v>
      </c>
      <c r="F49" s="6" t="s">
        <v>196</v>
      </c>
      <c r="G49" s="9">
        <f>IF(A49=1,"_",IF(C49="_","???",C49))</f>
        <v/>
      </c>
      <c r="H49" s="10" t="s">
        <v>12</v>
      </c>
      <c r="I49" s="11" t="s">
        <v>12</v>
      </c>
      <c r="J49" s="12"/>
    </row>
    <row r="50" spans="1:10" ht="60" customHeight="1">
      <c r="A50" s="6" t="s">
        <v>197</v>
      </c>
      <c r="B50" s="6" t="s">
        <v>16</v>
      </c>
      <c r="C50" s="6" t="s">
        <v>12</v>
      </c>
      <c r="D50" s="7" t="s">
        <v>198</v>
      </c>
      <c r="E50" s="8" t="s">
        <v>199</v>
      </c>
      <c r="F50" s="6" t="s">
        <v>200</v>
      </c>
      <c r="G50" s="9">
        <f>IF(A50=1,"_",IF(C50="_","???",C50))</f>
        <v/>
      </c>
      <c r="H50" s="10" t="s">
        <v>12</v>
      </c>
      <c r="I50" s="11" t="s">
        <v>12</v>
      </c>
      <c r="J50" s="12"/>
    </row>
    <row r="51" spans="1:10" ht="60" customHeight="1">
      <c r="A51" s="6" t="s">
        <v>201</v>
      </c>
      <c r="B51" s="6" t="s">
        <v>11</v>
      </c>
      <c r="C51" s="6" t="s">
        <v>12</v>
      </c>
      <c r="D51" s="7" t="s">
        <v>202</v>
      </c>
      <c r="E51" s="8" t="s">
        <v>203</v>
      </c>
      <c r="F51" s="6" t="s">
        <v>204</v>
      </c>
      <c r="G51" s="9">
        <f>IF(A51=1,"_",IF(C51="_","???",C51))</f>
        <v/>
      </c>
      <c r="H51" s="10" t="s">
        <v>12</v>
      </c>
      <c r="I51" s="11" t="s">
        <v>12</v>
      </c>
      <c r="J51" s="12"/>
    </row>
    <row r="52" spans="1:10" ht="60" customHeight="1">
      <c r="A52" s="6" t="s">
        <v>205</v>
      </c>
      <c r="B52" s="6" t="s">
        <v>16</v>
      </c>
      <c r="C52" s="6" t="s">
        <v>12</v>
      </c>
      <c r="D52" s="7" t="s">
        <v>206</v>
      </c>
      <c r="E52" s="8" t="s">
        <v>207</v>
      </c>
      <c r="F52" s="6" t="s">
        <v>208</v>
      </c>
      <c r="G52" s="9">
        <f>IF(A52=1,"_",IF(C52="_","???",C52))</f>
        <v/>
      </c>
      <c r="H52" s="10" t="s">
        <v>12</v>
      </c>
      <c r="I52" s="11" t="s">
        <v>12</v>
      </c>
      <c r="J52" s="12"/>
    </row>
    <row r="53" spans="1:10" ht="60" customHeight="1">
      <c r="A53" s="6" t="s">
        <v>209</v>
      </c>
      <c r="B53" s="6" t="s">
        <v>16</v>
      </c>
      <c r="C53" s="6" t="s">
        <v>12</v>
      </c>
      <c r="D53" s="7" t="s">
        <v>210</v>
      </c>
      <c r="E53" s="8" t="s">
        <v>211</v>
      </c>
      <c r="F53" s="6" t="s">
        <v>212</v>
      </c>
      <c r="G53" s="9">
        <f>IF(A53=1,"_",IF(C53="_","???",C53))</f>
        <v/>
      </c>
      <c r="H53" s="10" t="s">
        <v>12</v>
      </c>
      <c r="I53" s="11" t="s">
        <v>12</v>
      </c>
      <c r="J53" s="12"/>
    </row>
    <row r="54" spans="1:10" ht="60" customHeight="1">
      <c r="A54" s="6" t="s">
        <v>213</v>
      </c>
      <c r="B54" s="6" t="s">
        <v>10</v>
      </c>
      <c r="C54" s="6" t="s">
        <v>12</v>
      </c>
      <c r="D54" s="7" t="s">
        <v>214</v>
      </c>
      <c r="E54" s="8" t="s">
        <v>215</v>
      </c>
      <c r="F54" s="6" t="s">
        <v>216</v>
      </c>
      <c r="G54" s="9">
        <f>IF(A54=1,"_",IF(C54="_","???",C54))</f>
        <v/>
      </c>
      <c r="H54" s="10" t="s">
        <v>12</v>
      </c>
      <c r="I54" s="11" t="s">
        <v>12</v>
      </c>
      <c r="J54" s="12"/>
    </row>
    <row r="55" spans="1:10" ht="60" customHeight="1">
      <c r="A55" s="6" t="s">
        <v>217</v>
      </c>
      <c r="B55" s="6" t="s">
        <v>16</v>
      </c>
      <c r="C55" s="6" t="s">
        <v>12</v>
      </c>
      <c r="D55" s="7" t="s">
        <v>150</v>
      </c>
      <c r="E55" s="8" t="s">
        <v>218</v>
      </c>
      <c r="F55" s="6" t="s">
        <v>219</v>
      </c>
      <c r="G55" s="9">
        <f>IF(A55=1,"_",IF(C55="_","???",C55))</f>
        <v/>
      </c>
      <c r="H55" s="10" t="s">
        <v>12</v>
      </c>
      <c r="I55" s="11" t="s">
        <v>12</v>
      </c>
      <c r="J55" s="12"/>
    </row>
    <row r="56" spans="1:10" ht="60" customHeight="1">
      <c r="A56" s="6" t="s">
        <v>220</v>
      </c>
      <c r="B56" s="6" t="s">
        <v>16</v>
      </c>
      <c r="C56" s="6" t="s">
        <v>12</v>
      </c>
      <c r="D56" s="7" t="s">
        <v>150</v>
      </c>
      <c r="E56" s="8" t="s">
        <v>221</v>
      </c>
      <c r="F56" s="6" t="s">
        <v>222</v>
      </c>
      <c r="G56" s="9">
        <f>IF(A56=1,"_",IF(C56="_","???",C56))</f>
        <v/>
      </c>
      <c r="H56" s="10" t="s">
        <v>12</v>
      </c>
      <c r="I56" s="11" t="s">
        <v>12</v>
      </c>
      <c r="J56" s="12"/>
    </row>
    <row r="57" spans="1:10" ht="60" customHeight="1">
      <c r="A57" s="6" t="s">
        <v>223</v>
      </c>
      <c r="B57" s="6" t="s">
        <v>16</v>
      </c>
      <c r="C57" s="6" t="s">
        <v>12</v>
      </c>
      <c r="D57" s="7" t="s">
        <v>224</v>
      </c>
      <c r="E57" s="8" t="s">
        <v>225</v>
      </c>
      <c r="F57" s="6" t="s">
        <v>226</v>
      </c>
      <c r="G57" s="9">
        <f>IF(A57=1,"_",IF(C57="_","???",C57))</f>
        <v/>
      </c>
      <c r="H57" s="10" t="s">
        <v>12</v>
      </c>
      <c r="I57" s="11" t="s">
        <v>12</v>
      </c>
      <c r="J57" s="12"/>
    </row>
    <row r="58" spans="1:10" ht="60" customHeight="1">
      <c r="A58" s="6" t="s">
        <v>227</v>
      </c>
      <c r="B58" s="6" t="s">
        <v>228</v>
      </c>
      <c r="C58" s="6" t="s">
        <v>12</v>
      </c>
      <c r="D58" s="7" t="s">
        <v>229</v>
      </c>
      <c r="E58" s="8" t="s">
        <v>230</v>
      </c>
      <c r="F58" s="6" t="s">
        <v>231</v>
      </c>
      <c r="G58" s="9">
        <f>IF(A58=1,"_",IF(C58="_","???",C58))</f>
        <v/>
      </c>
      <c r="H58" s="10" t="s">
        <v>12</v>
      </c>
      <c r="I58" s="11" t="s">
        <v>12</v>
      </c>
      <c r="J58" s="12"/>
    </row>
    <row r="59" spans="1:10" ht="60" customHeight="1">
      <c r="A59" s="6" t="s">
        <v>232</v>
      </c>
      <c r="B59" s="6" t="s">
        <v>91</v>
      </c>
      <c r="C59" s="6" t="s">
        <v>12</v>
      </c>
      <c r="D59" s="7" t="s">
        <v>233</v>
      </c>
      <c r="E59" s="8" t="s">
        <v>234</v>
      </c>
      <c r="F59" s="6" t="s">
        <v>235</v>
      </c>
      <c r="G59" s="9">
        <f>IF(A59=1,"_",IF(C59="_","???",C59))</f>
        <v/>
      </c>
      <c r="H59" s="10" t="s">
        <v>12</v>
      </c>
      <c r="I59" s="11" t="s">
        <v>12</v>
      </c>
      <c r="J59" s="12"/>
    </row>
    <row r="60" spans="1:10" ht="60" customHeight="1">
      <c r="A60" s="6" t="s">
        <v>236</v>
      </c>
      <c r="B60" s="6" t="s">
        <v>11</v>
      </c>
      <c r="C60" s="6" t="s">
        <v>12</v>
      </c>
      <c r="D60" s="7" t="s">
        <v>237</v>
      </c>
      <c r="E60" s="8" t="s">
        <v>238</v>
      </c>
      <c r="F60" s="6" t="s">
        <v>239</v>
      </c>
      <c r="G60" s="9">
        <f>IF(A60=1,"_",IF(C60="_","???",C60))</f>
        <v/>
      </c>
      <c r="H60" s="10" t="s">
        <v>12</v>
      </c>
      <c r="I60" s="11" t="s">
        <v>12</v>
      </c>
      <c r="J60" s="12"/>
    </row>
    <row r="61" spans="1:10" ht="60" customHeight="1">
      <c r="A61" s="6" t="s">
        <v>240</v>
      </c>
      <c r="B61" s="6" t="s">
        <v>11</v>
      </c>
      <c r="C61" s="6" t="s">
        <v>12</v>
      </c>
      <c r="D61" s="7" t="s">
        <v>241</v>
      </c>
      <c r="E61" s="8" t="s">
        <v>242</v>
      </c>
      <c r="F61" s="6" t="s">
        <v>243</v>
      </c>
      <c r="G61" s="9">
        <f>IF(A61=1,"_",IF(C61="_","???",C61))</f>
        <v/>
      </c>
      <c r="H61" s="10" t="s">
        <v>12</v>
      </c>
      <c r="I61" s="11" t="s">
        <v>12</v>
      </c>
      <c r="J61" s="12"/>
    </row>
    <row r="62" spans="1:10" ht="60" customHeight="1">
      <c r="A62" s="6" t="s">
        <v>244</v>
      </c>
      <c r="B62" s="6" t="s">
        <v>16</v>
      </c>
      <c r="C62" s="6" t="s">
        <v>12</v>
      </c>
      <c r="D62" s="7" t="s">
        <v>245</v>
      </c>
      <c r="E62" s="8" t="s">
        <v>246</v>
      </c>
      <c r="F62" s="6" t="s">
        <v>247</v>
      </c>
      <c r="G62" s="9">
        <f>IF(A62=1,"_",IF(C62="_","???",C62))</f>
        <v/>
      </c>
      <c r="H62" s="10" t="s">
        <v>12</v>
      </c>
      <c r="I62" s="11" t="s">
        <v>12</v>
      </c>
      <c r="J62" s="12"/>
    </row>
    <row r="63" spans="1:10" ht="60" customHeight="1">
      <c r="A63" s="6" t="s">
        <v>248</v>
      </c>
      <c r="B63" s="6" t="s">
        <v>16</v>
      </c>
      <c r="C63" s="6" t="s">
        <v>12</v>
      </c>
      <c r="D63" s="7" t="s">
        <v>58</v>
      </c>
      <c r="E63" s="8" t="s">
        <v>249</v>
      </c>
      <c r="F63" s="6" t="s">
        <v>250</v>
      </c>
      <c r="G63" s="9">
        <f>IF(A63=1,"_",IF(C63="_","???",C63))</f>
        <v/>
      </c>
      <c r="H63" s="10" t="s">
        <v>12</v>
      </c>
      <c r="I63" s="11" t="s">
        <v>12</v>
      </c>
      <c r="J63" s="12"/>
    </row>
    <row r="64" spans="1:10" ht="60" customHeight="1">
      <c r="A64" s="6" t="s">
        <v>251</v>
      </c>
      <c r="B64" s="6" t="s">
        <v>16</v>
      </c>
      <c r="C64" s="6" t="s">
        <v>12</v>
      </c>
      <c r="D64" s="7" t="s">
        <v>252</v>
      </c>
      <c r="E64" s="8" t="s">
        <v>253</v>
      </c>
      <c r="F64" s="6" t="s">
        <v>254</v>
      </c>
      <c r="G64" s="9">
        <f>IF(A64=1,"_",IF(C64="_","???",C64))</f>
        <v/>
      </c>
      <c r="H64" s="10" t="s">
        <v>12</v>
      </c>
      <c r="I64" s="11" t="s">
        <v>12</v>
      </c>
      <c r="J64" s="12"/>
    </row>
    <row r="65" spans="1:10" ht="60" customHeight="1">
      <c r="A65" s="6" t="s">
        <v>255</v>
      </c>
      <c r="B65" s="6" t="s">
        <v>11</v>
      </c>
      <c r="C65" s="6" t="s">
        <v>12</v>
      </c>
      <c r="D65" s="7" t="s">
        <v>150</v>
      </c>
      <c r="E65" s="8" t="s">
        <v>256</v>
      </c>
      <c r="F65" s="6" t="s">
        <v>257</v>
      </c>
      <c r="G65" s="9">
        <f>IF(A65=1,"_",IF(C65="_","???",C65))</f>
        <v/>
      </c>
      <c r="H65" s="10" t="s">
        <v>12</v>
      </c>
      <c r="I65" s="11" t="s">
        <v>12</v>
      </c>
      <c r="J65" s="12"/>
    </row>
    <row r="66" spans="1:10" ht="60" customHeight="1">
      <c r="A66" s="6" t="s">
        <v>258</v>
      </c>
      <c r="B66" s="6" t="s">
        <v>16</v>
      </c>
      <c r="C66" s="6" t="s">
        <v>12</v>
      </c>
      <c r="D66" s="7" t="s">
        <v>259</v>
      </c>
      <c r="E66" s="8" t="s">
        <v>260</v>
      </c>
      <c r="F66" s="6" t="s">
        <v>261</v>
      </c>
      <c r="G66" s="9">
        <f>IF(A66=1,"_",IF(C66="_","???",C66))</f>
        <v/>
      </c>
      <c r="H66" s="10" t="s">
        <v>12</v>
      </c>
      <c r="I66" s="11" t="s">
        <v>12</v>
      </c>
      <c r="J66" s="12"/>
    </row>
    <row r="67" spans="1:10" ht="60" customHeight="1">
      <c r="A67" s="6" t="s">
        <v>262</v>
      </c>
      <c r="B67" s="6" t="s">
        <v>16</v>
      </c>
      <c r="C67" s="6" t="s">
        <v>146</v>
      </c>
      <c r="D67" s="7" t="s">
        <v>263</v>
      </c>
      <c r="E67" s="8" t="s">
        <v>264</v>
      </c>
      <c r="F67" s="6" t="s">
        <v>265</v>
      </c>
      <c r="G67" s="9">
        <f>IF(A67=1,"_",IF(C67="_","???",C67))</f>
        <v/>
      </c>
      <c r="H67" s="10" t="s">
        <v>12</v>
      </c>
      <c r="I67" s="11" t="s">
        <v>12</v>
      </c>
      <c r="J67" s="12"/>
    </row>
    <row r="68" spans="1:10" ht="60" customHeight="1">
      <c r="A68" s="6" t="s">
        <v>266</v>
      </c>
      <c r="B68" s="6" t="s">
        <v>16</v>
      </c>
      <c r="C68" s="6" t="s">
        <v>12</v>
      </c>
      <c r="D68" s="7" t="s">
        <v>267</v>
      </c>
      <c r="E68" s="8" t="s">
        <v>268</v>
      </c>
      <c r="F68" s="6" t="s">
        <v>269</v>
      </c>
      <c r="G68" s="9">
        <f>IF(A68=1,"_",IF(C68="_","???",C68))</f>
        <v/>
      </c>
      <c r="H68" s="10" t="s">
        <v>12</v>
      </c>
      <c r="I68" s="11" t="s">
        <v>12</v>
      </c>
      <c r="J68" s="12"/>
    </row>
    <row r="69" spans="1:10" ht="60" customHeight="1">
      <c r="A69" s="6" t="s">
        <v>270</v>
      </c>
      <c r="B69" s="6" t="s">
        <v>135</v>
      </c>
      <c r="C69" s="6" t="s">
        <v>12</v>
      </c>
      <c r="D69" s="7" t="s">
        <v>271</v>
      </c>
      <c r="E69" s="8" t="s">
        <v>272</v>
      </c>
      <c r="F69" s="6" t="s">
        <v>273</v>
      </c>
      <c r="G69" s="9">
        <f>IF(A69=1,"_",IF(C69="_","???",C69))</f>
        <v/>
      </c>
      <c r="H69" s="10" t="s">
        <v>12</v>
      </c>
      <c r="I69" s="11" t="s">
        <v>12</v>
      </c>
      <c r="J69" s="12"/>
    </row>
    <row r="70" spans="1:10" ht="60" customHeight="1">
      <c r="A70" s="6" t="s">
        <v>274</v>
      </c>
      <c r="B70" s="6" t="s">
        <v>16</v>
      </c>
      <c r="C70" s="6" t="s">
        <v>12</v>
      </c>
      <c r="D70" s="7" t="s">
        <v>275</v>
      </c>
      <c r="E70" s="8" t="s">
        <v>276</v>
      </c>
      <c r="F70" s="6" t="s">
        <v>277</v>
      </c>
      <c r="G70" s="9">
        <f>IF(A70=1,"_",IF(C70="_","???",C70))</f>
        <v/>
      </c>
      <c r="H70" s="10" t="s">
        <v>12</v>
      </c>
      <c r="I70" s="11" t="s">
        <v>12</v>
      </c>
      <c r="J70" s="12"/>
    </row>
    <row r="71" spans="1:10" ht="60" customHeight="1">
      <c r="A71" s="6" t="s">
        <v>278</v>
      </c>
      <c r="B71" s="6" t="s">
        <v>72</v>
      </c>
      <c r="C71" s="6" t="s">
        <v>12</v>
      </c>
      <c r="D71" s="7" t="s">
        <v>279</v>
      </c>
      <c r="E71" s="8" t="s">
        <v>280</v>
      </c>
      <c r="F71" s="6" t="s">
        <v>281</v>
      </c>
      <c r="G71" s="9">
        <f>IF(A71=1,"_",IF(C71="_","???",C71))</f>
        <v/>
      </c>
      <c r="H71" s="10" t="s">
        <v>12</v>
      </c>
      <c r="I71" s="11" t="s">
        <v>12</v>
      </c>
      <c r="J71" s="12"/>
    </row>
    <row r="72" spans="1:10" ht="60" customHeight="1">
      <c r="A72" s="6" t="s">
        <v>282</v>
      </c>
      <c r="B72" s="6" t="s">
        <v>16</v>
      </c>
      <c r="C72" s="6" t="s">
        <v>12</v>
      </c>
      <c r="D72" s="7" t="s">
        <v>104</v>
      </c>
      <c r="E72" s="8" t="s">
        <v>283</v>
      </c>
      <c r="F72" s="6" t="s">
        <v>284</v>
      </c>
      <c r="G72" s="9">
        <f>IF(A72=1,"_",IF(C72="_","???",C72))</f>
        <v/>
      </c>
      <c r="H72" s="10" t="s">
        <v>12</v>
      </c>
      <c r="I72" s="11" t="s">
        <v>12</v>
      </c>
      <c r="J72" s="12"/>
    </row>
    <row r="73" spans="1:10" ht="60" customHeight="1">
      <c r="A73" s="6" t="s">
        <v>285</v>
      </c>
      <c r="B73" s="6" t="s">
        <v>28</v>
      </c>
      <c r="C73" s="6" t="s">
        <v>12</v>
      </c>
      <c r="D73" s="7" t="s">
        <v>267</v>
      </c>
      <c r="E73" s="8" t="s">
        <v>286</v>
      </c>
      <c r="F73" s="6" t="s">
        <v>287</v>
      </c>
      <c r="G73" s="9">
        <f>IF(A73=1,"_",IF(C73="_","???",C73))</f>
        <v/>
      </c>
      <c r="H73" s="10" t="s">
        <v>12</v>
      </c>
      <c r="I73" s="11" t="s">
        <v>12</v>
      </c>
      <c r="J73" s="12"/>
    </row>
    <row r="74" spans="1:10" ht="60" customHeight="1">
      <c r="A74" s="6" t="s">
        <v>288</v>
      </c>
      <c r="B74" s="6" t="s">
        <v>16</v>
      </c>
      <c r="C74" s="6" t="s">
        <v>12</v>
      </c>
      <c r="D74" s="7" t="s">
        <v>104</v>
      </c>
      <c r="E74" s="8" t="s">
        <v>289</v>
      </c>
      <c r="F74" s="6" t="s">
        <v>290</v>
      </c>
      <c r="G74" s="9">
        <f>IF(A74=1,"_",IF(C74="_","???",C74))</f>
        <v/>
      </c>
      <c r="H74" s="10" t="s">
        <v>12</v>
      </c>
      <c r="I74" s="11" t="s">
        <v>12</v>
      </c>
      <c r="J74" s="12"/>
    </row>
    <row r="75" spans="1:10" ht="60" customHeight="1">
      <c r="A75" s="6" t="s">
        <v>291</v>
      </c>
      <c r="B75" s="6" t="s">
        <v>16</v>
      </c>
      <c r="C75" s="6" t="s">
        <v>12</v>
      </c>
      <c r="D75" s="7" t="s">
        <v>292</v>
      </c>
      <c r="E75" s="8" t="s">
        <v>293</v>
      </c>
      <c r="F75" s="6" t="s">
        <v>294</v>
      </c>
      <c r="G75" s="9">
        <f>IF(A75=1,"_",IF(C75="_","???",C75))</f>
        <v/>
      </c>
      <c r="H75" s="10" t="s">
        <v>12</v>
      </c>
      <c r="I75" s="11" t="s">
        <v>12</v>
      </c>
      <c r="J75" s="12"/>
    </row>
    <row r="76" spans="1:10" ht="60" customHeight="1">
      <c r="A76" s="6" t="s">
        <v>295</v>
      </c>
      <c r="B76" s="6" t="s">
        <v>107</v>
      </c>
      <c r="C76" s="6" t="s">
        <v>12</v>
      </c>
      <c r="D76" s="7" t="s">
        <v>296</v>
      </c>
      <c r="E76" s="8" t="s">
        <v>297</v>
      </c>
      <c r="F76" s="6" t="s">
        <v>298</v>
      </c>
      <c r="G76" s="9">
        <f>IF(A76=1,"_",IF(C76="_","???",C76))</f>
        <v/>
      </c>
      <c r="H76" s="10" t="s">
        <v>12</v>
      </c>
      <c r="I76" s="11" t="s">
        <v>12</v>
      </c>
      <c r="J76" s="12"/>
    </row>
    <row r="77" spans="1:10" ht="60" customHeight="1">
      <c r="A77" s="6" t="s">
        <v>299</v>
      </c>
      <c r="B77" s="6" t="s">
        <v>52</v>
      </c>
      <c r="C77" s="6" t="s">
        <v>12</v>
      </c>
      <c r="D77" s="7" t="s">
        <v>300</v>
      </c>
      <c r="E77" s="8" t="s">
        <v>301</v>
      </c>
      <c r="F77" s="6" t="s">
        <v>302</v>
      </c>
      <c r="G77" s="9">
        <f>IF(A77=1,"_",IF(C77="_","???",C77))</f>
        <v/>
      </c>
      <c r="H77" s="10" t="s">
        <v>12</v>
      </c>
      <c r="I77" s="11" t="s">
        <v>12</v>
      </c>
      <c r="J77" s="12"/>
    </row>
    <row r="78" spans="1:10" ht="60" customHeight="1">
      <c r="A78" s="6" t="s">
        <v>303</v>
      </c>
      <c r="B78" s="6" t="s">
        <v>16</v>
      </c>
      <c r="C78" s="6" t="s">
        <v>12</v>
      </c>
      <c r="D78" s="7" t="s">
        <v>304</v>
      </c>
      <c r="E78" s="8" t="s">
        <v>305</v>
      </c>
      <c r="F78" s="6" t="s">
        <v>306</v>
      </c>
      <c r="G78" s="9">
        <f>IF(A78=1,"_",IF(C78="_","???",C78))</f>
        <v/>
      </c>
      <c r="H78" s="10" t="s">
        <v>12</v>
      </c>
      <c r="I78" s="11" t="s">
        <v>12</v>
      </c>
      <c r="J78" s="12"/>
    </row>
    <row r="79" spans="1:10" ht="60" customHeight="1">
      <c r="A79" s="6" t="s">
        <v>307</v>
      </c>
      <c r="B79" s="6" t="s">
        <v>16</v>
      </c>
      <c r="C79" s="6" t="s">
        <v>12</v>
      </c>
      <c r="D79" s="7" t="s">
        <v>308</v>
      </c>
      <c r="E79" s="8" t="s">
        <v>309</v>
      </c>
      <c r="F79" s="6" t="s">
        <v>310</v>
      </c>
      <c r="G79" s="9">
        <f>IF(A79=1,"_",IF(C79="_","???",C79))</f>
        <v/>
      </c>
      <c r="H79" s="10" t="s">
        <v>12</v>
      </c>
      <c r="I79" s="11" t="s">
        <v>12</v>
      </c>
      <c r="J79" s="12"/>
    </row>
    <row r="80" spans="1:10" ht="60" customHeight="1">
      <c r="A80" s="6" t="s">
        <v>311</v>
      </c>
      <c r="B80" s="6" t="s">
        <v>11</v>
      </c>
      <c r="C80" s="6" t="s">
        <v>12</v>
      </c>
      <c r="D80" s="7" t="s">
        <v>312</v>
      </c>
      <c r="E80" s="8" t="s">
        <v>313</v>
      </c>
      <c r="F80" s="6" t="s">
        <v>314</v>
      </c>
      <c r="G80" s="9">
        <f>IF(A80=1,"_",IF(C80="_","???",C80))</f>
        <v/>
      </c>
      <c r="H80" s="10" t="s">
        <v>12</v>
      </c>
      <c r="I80" s="11" t="s">
        <v>12</v>
      </c>
      <c r="J80" s="12"/>
    </row>
    <row r="81" spans="1:10" ht="60" customHeight="1">
      <c r="A81" s="6" t="s">
        <v>315</v>
      </c>
      <c r="B81" s="6" t="s">
        <v>24</v>
      </c>
      <c r="C81" s="6" t="s">
        <v>12</v>
      </c>
      <c r="D81" s="7" t="s">
        <v>316</v>
      </c>
      <c r="E81" s="8" t="s">
        <v>317</v>
      </c>
      <c r="F81" s="6" t="s">
        <v>318</v>
      </c>
      <c r="G81" s="9">
        <f>IF(A81=1,"_",IF(C81="_","???",C81))</f>
        <v/>
      </c>
      <c r="H81" s="10" t="s">
        <v>12</v>
      </c>
      <c r="I81" s="11" t="s">
        <v>12</v>
      </c>
      <c r="J81" s="12"/>
    </row>
    <row r="82" spans="1:10" ht="60" customHeight="1">
      <c r="A82" s="6" t="s">
        <v>319</v>
      </c>
      <c r="B82" s="6" t="s">
        <v>91</v>
      </c>
      <c r="C82" s="6" t="s">
        <v>12</v>
      </c>
      <c r="D82" s="7" t="s">
        <v>320</v>
      </c>
      <c r="E82" s="8" t="s">
        <v>321</v>
      </c>
      <c r="F82" s="6" t="s">
        <v>322</v>
      </c>
      <c r="G82" s="9">
        <f>IF(A82=1,"_",IF(C82="_","???",C82))</f>
        <v/>
      </c>
      <c r="H82" s="10" t="s">
        <v>12</v>
      </c>
      <c r="I82" s="11" t="s">
        <v>12</v>
      </c>
      <c r="J82" s="12"/>
    </row>
    <row r="83" spans="1:10" ht="60" customHeight="1">
      <c r="A83" s="6" t="s">
        <v>323</v>
      </c>
      <c r="B83" s="6" t="s">
        <v>32</v>
      </c>
      <c r="C83" s="6" t="s">
        <v>12</v>
      </c>
      <c r="D83" s="7" t="s">
        <v>324</v>
      </c>
      <c r="E83" s="8" t="s">
        <v>325</v>
      </c>
      <c r="F83" s="6" t="s">
        <v>326</v>
      </c>
      <c r="G83" s="9">
        <f>IF(A83=1,"_",IF(C83="_","???",C83))</f>
        <v/>
      </c>
      <c r="H83" s="10" t="s">
        <v>12</v>
      </c>
      <c r="I83" s="11" t="s">
        <v>12</v>
      </c>
      <c r="J83" s="12"/>
    </row>
    <row r="84" spans="1:10" ht="60" customHeight="1">
      <c r="A84" s="6" t="s">
        <v>327</v>
      </c>
      <c r="B84" s="6" t="s">
        <v>24</v>
      </c>
      <c r="C84" s="6" t="s">
        <v>12</v>
      </c>
      <c r="D84" s="7" t="s">
        <v>328</v>
      </c>
      <c r="E84" s="8" t="s">
        <v>329</v>
      </c>
      <c r="F84" s="6" t="s">
        <v>330</v>
      </c>
      <c r="G84" s="9">
        <f>IF(A84=1,"_",IF(C84="_","???",C84))</f>
        <v/>
      </c>
      <c r="H84" s="10" t="s">
        <v>12</v>
      </c>
      <c r="I84" s="11" t="s">
        <v>12</v>
      </c>
      <c r="J84" s="12"/>
    </row>
    <row r="85" spans="1:10" ht="60" customHeight="1">
      <c r="A85" s="6" t="s">
        <v>331</v>
      </c>
      <c r="B85" s="6" t="s">
        <v>24</v>
      </c>
      <c r="C85" s="6" t="s">
        <v>12</v>
      </c>
      <c r="D85" s="7" t="s">
        <v>332</v>
      </c>
      <c r="E85" s="8" t="s">
        <v>333</v>
      </c>
      <c r="F85" s="6" t="s">
        <v>334</v>
      </c>
      <c r="G85" s="9">
        <f>IF(A85=1,"_",IF(C85="_","???",C85))</f>
        <v/>
      </c>
      <c r="H85" s="10" t="s">
        <v>12</v>
      </c>
      <c r="I85" s="11" t="s">
        <v>12</v>
      </c>
      <c r="J85" s="12"/>
    </row>
    <row r="86" spans="1:10" ht="60" customHeight="1">
      <c r="A86" s="6" t="s">
        <v>335</v>
      </c>
      <c r="B86" s="6" t="s">
        <v>32</v>
      </c>
      <c r="C86" s="6" t="s">
        <v>12</v>
      </c>
      <c r="D86" s="7" t="s">
        <v>336</v>
      </c>
      <c r="E86" s="8" t="s">
        <v>337</v>
      </c>
      <c r="F86" s="6" t="s">
        <v>338</v>
      </c>
      <c r="G86" s="9">
        <f>IF(A86=1,"_",IF(C86="_","???",C86))</f>
        <v/>
      </c>
      <c r="H86" s="10" t="s">
        <v>12</v>
      </c>
      <c r="I86" s="11" t="s">
        <v>12</v>
      </c>
      <c r="J86" s="12"/>
    </row>
    <row r="87" spans="1:10" ht="60" customHeight="1">
      <c r="A87" s="6" t="s">
        <v>339</v>
      </c>
      <c r="B87" s="6" t="s">
        <v>11</v>
      </c>
      <c r="C87" s="6" t="s">
        <v>12</v>
      </c>
      <c r="D87" s="7" t="s">
        <v>340</v>
      </c>
      <c r="E87" s="8" t="s">
        <v>341</v>
      </c>
      <c r="F87" s="6" t="s">
        <v>342</v>
      </c>
      <c r="G87" s="9">
        <f>IF(A87=1,"_",IF(C87="_","???",C87))</f>
        <v/>
      </c>
      <c r="H87" s="10" t="s">
        <v>12</v>
      </c>
      <c r="I87" s="11" t="s">
        <v>12</v>
      </c>
      <c r="J87" s="12"/>
    </row>
    <row r="88" spans="1:10" ht="60" customHeight="1">
      <c r="A88" s="6" t="s">
        <v>343</v>
      </c>
      <c r="B88" s="6" t="s">
        <v>16</v>
      </c>
      <c r="C88" s="6" t="s">
        <v>12</v>
      </c>
      <c r="D88" s="7" t="s">
        <v>100</v>
      </c>
      <c r="E88" s="8" t="s">
        <v>344</v>
      </c>
      <c r="F88" s="6" t="s">
        <v>345</v>
      </c>
      <c r="G88" s="9">
        <f>IF(A88=1,"_",IF(C88="_","???",C88))</f>
        <v/>
      </c>
      <c r="H88" s="10" t="s">
        <v>12</v>
      </c>
      <c r="I88" s="11" t="s">
        <v>12</v>
      </c>
      <c r="J88" s="12"/>
    </row>
    <row r="89" spans="1:10" ht="60" customHeight="1">
      <c r="A89" s="6" t="s">
        <v>346</v>
      </c>
      <c r="B89" s="6" t="s">
        <v>11</v>
      </c>
      <c r="C89" s="6" t="s">
        <v>12</v>
      </c>
      <c r="D89" s="7" t="s">
        <v>100</v>
      </c>
      <c r="E89" s="8" t="s">
        <v>347</v>
      </c>
      <c r="F89" s="6" t="s">
        <v>348</v>
      </c>
      <c r="G89" s="9">
        <f>IF(A89=1,"_",IF(C89="_","???",C89))</f>
        <v/>
      </c>
      <c r="H89" s="10" t="s">
        <v>12</v>
      </c>
      <c r="I89" s="11" t="s">
        <v>12</v>
      </c>
      <c r="J89" s="12"/>
    </row>
    <row r="90" spans="1:10" ht="60" customHeight="1">
      <c r="A90" s="6" t="s">
        <v>349</v>
      </c>
      <c r="B90" s="6" t="s">
        <v>32</v>
      </c>
      <c r="C90" s="6" t="s">
        <v>12</v>
      </c>
      <c r="D90" s="7" t="s">
        <v>350</v>
      </c>
      <c r="E90" s="8" t="s">
        <v>351</v>
      </c>
      <c r="F90" s="6" t="s">
        <v>352</v>
      </c>
      <c r="G90" s="9">
        <f>IF(A90=1,"_",IF(C90="_","???",C90))</f>
        <v/>
      </c>
      <c r="H90" s="10" t="s">
        <v>12</v>
      </c>
      <c r="I90" s="11" t="s">
        <v>12</v>
      </c>
      <c r="J90" s="12"/>
    </row>
    <row r="91" spans="1:10" ht="60" customHeight="1">
      <c r="A91" s="6" t="s">
        <v>353</v>
      </c>
      <c r="B91" s="6" t="s">
        <v>32</v>
      </c>
      <c r="C91" s="6" t="s">
        <v>12</v>
      </c>
      <c r="D91" s="7" t="s">
        <v>100</v>
      </c>
      <c r="E91" s="8" t="s">
        <v>354</v>
      </c>
      <c r="F91" s="6" t="s">
        <v>355</v>
      </c>
      <c r="G91" s="9">
        <f>IF(A91=1,"_",IF(C91="_","???",C91))</f>
        <v/>
      </c>
      <c r="H91" s="10" t="s">
        <v>12</v>
      </c>
      <c r="I91" s="11" t="s">
        <v>12</v>
      </c>
      <c r="J91" s="12"/>
    </row>
    <row r="92" spans="1:10" ht="60" customHeight="1">
      <c r="A92" s="6" t="s">
        <v>356</v>
      </c>
      <c r="B92" s="6" t="s">
        <v>24</v>
      </c>
      <c r="C92" s="6" t="s">
        <v>12</v>
      </c>
      <c r="D92" s="7" t="s">
        <v>100</v>
      </c>
      <c r="E92" s="8" t="s">
        <v>357</v>
      </c>
      <c r="F92" s="6" t="s">
        <v>358</v>
      </c>
      <c r="G92" s="9">
        <f>IF(A92=1,"_",IF(C92="_","???",C92))</f>
        <v/>
      </c>
      <c r="H92" s="10" t="s">
        <v>12</v>
      </c>
      <c r="I92" s="11" t="s">
        <v>12</v>
      </c>
      <c r="J92" s="12"/>
    </row>
    <row r="93" spans="1:10" ht="60" customHeight="1">
      <c r="A93" s="6" t="s">
        <v>359</v>
      </c>
      <c r="B93" s="6" t="s">
        <v>24</v>
      </c>
      <c r="C93" s="6" t="s">
        <v>12</v>
      </c>
      <c r="D93" s="7" t="s">
        <v>360</v>
      </c>
      <c r="E93" s="8" t="s">
        <v>361</v>
      </c>
      <c r="F93" s="6" t="s">
        <v>362</v>
      </c>
      <c r="G93" s="9">
        <f>IF(A93=1,"_",IF(C93="_","???",C93))</f>
        <v/>
      </c>
      <c r="H93" s="10" t="s">
        <v>12</v>
      </c>
      <c r="I93" s="11" t="s">
        <v>12</v>
      </c>
      <c r="J93" s="12"/>
    </row>
    <row r="94" spans="1:10" ht="60" customHeight="1">
      <c r="A94" s="6" t="s">
        <v>363</v>
      </c>
      <c r="B94" s="6" t="s">
        <v>11</v>
      </c>
      <c r="C94" s="6" t="s">
        <v>12</v>
      </c>
      <c r="D94" s="7" t="s">
        <v>100</v>
      </c>
      <c r="E94" s="8" t="s">
        <v>364</v>
      </c>
      <c r="F94" s="6" t="s">
        <v>365</v>
      </c>
      <c r="G94" s="9">
        <f>IF(A94=1,"_",IF(C94="_","???",C94))</f>
        <v/>
      </c>
      <c r="H94" s="10" t="s">
        <v>12</v>
      </c>
      <c r="I94" s="11" t="s">
        <v>12</v>
      </c>
      <c r="J94" s="12"/>
    </row>
    <row r="95" spans="1:10" ht="60" customHeight="1">
      <c r="A95" s="6" t="s">
        <v>366</v>
      </c>
      <c r="B95" s="6" t="s">
        <v>17</v>
      </c>
      <c r="C95" s="6" t="s">
        <v>12</v>
      </c>
      <c r="D95" s="7" t="s">
        <v>367</v>
      </c>
      <c r="E95" s="8" t="s">
        <v>368</v>
      </c>
      <c r="F95" s="6" t="s">
        <v>369</v>
      </c>
      <c r="G95" s="9">
        <f>IF(A95=1,"_",IF(C95="_","???",C95))</f>
        <v/>
      </c>
      <c r="H95" s="10" t="s">
        <v>12</v>
      </c>
      <c r="I95" s="11" t="s">
        <v>12</v>
      </c>
      <c r="J95" s="12"/>
    </row>
    <row r="96" spans="1:10" ht="60" customHeight="1">
      <c r="A96" s="6" t="s">
        <v>370</v>
      </c>
      <c r="B96" s="6" t="s">
        <v>11</v>
      </c>
      <c r="C96" s="6" t="s">
        <v>12</v>
      </c>
      <c r="D96" s="7" t="s">
        <v>88</v>
      </c>
      <c r="E96" s="8" t="s">
        <v>371</v>
      </c>
      <c r="F96" s="6" t="s">
        <v>372</v>
      </c>
      <c r="G96" s="9">
        <f>IF(A96=1,"_",IF(C96="_","???",C96))</f>
        <v/>
      </c>
      <c r="H96" s="10" t="s">
        <v>12</v>
      </c>
      <c r="I96" s="11" t="s">
        <v>12</v>
      </c>
      <c r="J96" s="12"/>
    </row>
    <row r="97" spans="1:10" ht="60" customHeight="1">
      <c r="A97" s="6" t="s">
        <v>373</v>
      </c>
      <c r="B97" s="6" t="s">
        <v>16</v>
      </c>
      <c r="C97" s="6" t="s">
        <v>12</v>
      </c>
      <c r="D97" s="7" t="s">
        <v>150</v>
      </c>
      <c r="E97" s="8" t="s">
        <v>374</v>
      </c>
      <c r="F97" s="6" t="s">
        <v>375</v>
      </c>
      <c r="G97" s="9">
        <f>IF(A97=1,"_",IF(C97="_","???",C97))</f>
        <v/>
      </c>
      <c r="H97" s="10" t="s">
        <v>12</v>
      </c>
      <c r="I97" s="11" t="s">
        <v>12</v>
      </c>
      <c r="J97" s="12"/>
    </row>
    <row r="98" spans="1:10" ht="60" customHeight="1">
      <c r="A98" s="6" t="s">
        <v>376</v>
      </c>
      <c r="B98" s="6" t="s">
        <v>24</v>
      </c>
      <c r="C98" s="6" t="s">
        <v>12</v>
      </c>
      <c r="D98" s="7" t="s">
        <v>377</v>
      </c>
      <c r="E98" s="8" t="s">
        <v>378</v>
      </c>
      <c r="F98" s="6" t="s">
        <v>379</v>
      </c>
      <c r="G98" s="9">
        <f>IF(A98=1,"_",IF(C98="_","???",C98))</f>
        <v/>
      </c>
      <c r="H98" s="10" t="s">
        <v>12</v>
      </c>
      <c r="I98" s="11" t="s">
        <v>12</v>
      </c>
      <c r="J98" s="12"/>
    </row>
    <row r="99" spans="1:10" ht="60" customHeight="1">
      <c r="A99" s="6" t="s">
        <v>380</v>
      </c>
      <c r="B99" s="6" t="s">
        <v>44</v>
      </c>
      <c r="C99" s="6" t="s">
        <v>12</v>
      </c>
      <c r="D99" s="7" t="s">
        <v>381</v>
      </c>
      <c r="E99" s="8" t="s">
        <v>382</v>
      </c>
      <c r="F99" s="6" t="s">
        <v>383</v>
      </c>
      <c r="G99" s="9">
        <f>IF(A99=1,"_",IF(C99="_","???",C99))</f>
        <v/>
      </c>
      <c r="H99" s="10" t="s">
        <v>12</v>
      </c>
      <c r="I99" s="11" t="s">
        <v>12</v>
      </c>
      <c r="J99" s="12"/>
    </row>
    <row r="100" spans="1:10" ht="60" customHeight="1">
      <c r="A100" s="6" t="s">
        <v>384</v>
      </c>
      <c r="B100" s="6" t="s">
        <v>16</v>
      </c>
      <c r="C100" s="6" t="s">
        <v>12</v>
      </c>
      <c r="D100" s="7" t="s">
        <v>100</v>
      </c>
      <c r="E100" s="8" t="s">
        <v>385</v>
      </c>
      <c r="F100" s="6" t="s">
        <v>386</v>
      </c>
      <c r="G100" s="9">
        <f>IF(A100=1,"_",IF(C100="_","???",C100))</f>
        <v/>
      </c>
      <c r="H100" s="10" t="s">
        <v>12</v>
      </c>
      <c r="I100" s="11" t="s">
        <v>12</v>
      </c>
      <c r="J100" s="12"/>
    </row>
    <row r="101" spans="1:10" ht="60" customHeight="1">
      <c r="A101" s="6" t="s">
        <v>387</v>
      </c>
      <c r="B101" s="6" t="s">
        <v>11</v>
      </c>
      <c r="C101" s="6" t="s">
        <v>12</v>
      </c>
      <c r="D101" s="7" t="s">
        <v>100</v>
      </c>
      <c r="E101" s="8" t="s">
        <v>388</v>
      </c>
      <c r="F101" s="6" t="s">
        <v>389</v>
      </c>
      <c r="G101" s="9">
        <f>IF(A101=1,"_",IF(C101="_","???",C101))</f>
        <v/>
      </c>
      <c r="H101" s="10" t="s">
        <v>12</v>
      </c>
      <c r="I101" s="11" t="s">
        <v>12</v>
      </c>
      <c r="J101" s="12"/>
    </row>
    <row r="102" spans="1:10" ht="60" customHeight="1">
      <c r="A102" s="6" t="s">
        <v>390</v>
      </c>
      <c r="B102" s="6" t="s">
        <v>16</v>
      </c>
      <c r="C102" s="6" t="s">
        <v>12</v>
      </c>
      <c r="D102" s="7" t="s">
        <v>391</v>
      </c>
      <c r="E102" s="8" t="s">
        <v>392</v>
      </c>
      <c r="F102" s="6" t="s">
        <v>393</v>
      </c>
      <c r="G102" s="9">
        <f>IF(A102=1,"_",IF(C102="_","???",C102))</f>
        <v/>
      </c>
      <c r="H102" s="10" t="s">
        <v>12</v>
      </c>
      <c r="I102" s="11" t="s">
        <v>12</v>
      </c>
      <c r="J102" s="12"/>
    </row>
    <row r="103" spans="1:10" ht="60" customHeight="1">
      <c r="A103" s="6" t="s">
        <v>394</v>
      </c>
      <c r="B103" s="6" t="s">
        <v>11</v>
      </c>
      <c r="C103" s="6" t="s">
        <v>12</v>
      </c>
      <c r="D103" s="7" t="s">
        <v>395</v>
      </c>
      <c r="E103" s="8" t="s">
        <v>396</v>
      </c>
      <c r="F103" s="6" t="s">
        <v>397</v>
      </c>
      <c r="G103" s="9">
        <f>IF(A103=1,"_",IF(C103="_","???",C103))</f>
        <v/>
      </c>
      <c r="H103" s="10" t="s">
        <v>12</v>
      </c>
      <c r="I103" s="11" t="s">
        <v>12</v>
      </c>
      <c r="J103" s="12"/>
    </row>
    <row r="104" spans="1:10" ht="60" customHeight="1">
      <c r="A104" s="6" t="s">
        <v>398</v>
      </c>
      <c r="B104" s="6" t="s">
        <v>28</v>
      </c>
      <c r="C104" s="6" t="s">
        <v>12</v>
      </c>
      <c r="D104" s="7" t="s">
        <v>267</v>
      </c>
      <c r="E104" s="8" t="s">
        <v>399</v>
      </c>
      <c r="F104" s="6" t="s">
        <v>400</v>
      </c>
      <c r="G104" s="9">
        <f>IF(A104=1,"_",IF(C104="_","???",C104))</f>
        <v/>
      </c>
      <c r="H104" s="10" t="s">
        <v>12</v>
      </c>
      <c r="I104" s="11" t="s">
        <v>12</v>
      </c>
      <c r="J104" s="12"/>
    </row>
    <row r="105" spans="1:10" ht="60" customHeight="1">
      <c r="A105" s="6" t="s">
        <v>401</v>
      </c>
      <c r="B105" s="6" t="s">
        <v>11</v>
      </c>
      <c r="C105" s="6" t="s">
        <v>12</v>
      </c>
      <c r="D105" s="7" t="s">
        <v>402</v>
      </c>
      <c r="E105" s="8" t="s">
        <v>403</v>
      </c>
      <c r="F105" s="6" t="s">
        <v>404</v>
      </c>
      <c r="G105" s="9">
        <f>IF(A105=1,"_",IF(C105="_","???",C105))</f>
        <v/>
      </c>
      <c r="H105" s="10" t="s">
        <v>12</v>
      </c>
      <c r="I105" s="11" t="s">
        <v>12</v>
      </c>
      <c r="J105" s="12"/>
    </row>
    <row r="106" spans="1:10" ht="60" customHeight="1">
      <c r="A106" s="6" t="s">
        <v>405</v>
      </c>
      <c r="B106" s="6" t="s">
        <v>69</v>
      </c>
      <c r="C106" s="6" t="s">
        <v>12</v>
      </c>
      <c r="D106" s="7" t="s">
        <v>406</v>
      </c>
      <c r="E106" s="8" t="s">
        <v>407</v>
      </c>
      <c r="F106" s="6" t="s">
        <v>408</v>
      </c>
      <c r="G106" s="9">
        <f>IF(A106=1,"_",IF(C106="_","???",C106))</f>
        <v/>
      </c>
      <c r="H106" s="10" t="s">
        <v>12</v>
      </c>
      <c r="I106" s="11" t="s">
        <v>12</v>
      </c>
      <c r="J106" s="12"/>
    </row>
    <row r="107" spans="1:10" ht="60" customHeight="1">
      <c r="A107" s="6" t="s">
        <v>409</v>
      </c>
      <c r="B107" s="6" t="s">
        <v>16</v>
      </c>
      <c r="C107" s="6" t="s">
        <v>12</v>
      </c>
      <c r="D107" s="7" t="s">
        <v>410</v>
      </c>
      <c r="E107" s="8" t="s">
        <v>411</v>
      </c>
      <c r="F107" s="6" t="s">
        <v>412</v>
      </c>
      <c r="G107" s="9">
        <f>IF(A107=1,"_",IF(C107="_","???",C107))</f>
        <v/>
      </c>
      <c r="H107" s="10" t="s">
        <v>12</v>
      </c>
      <c r="I107" s="11" t="s">
        <v>12</v>
      </c>
      <c r="J107" s="12"/>
    </row>
    <row r="108" spans="1:10" ht="60" customHeight="1">
      <c r="A108" s="6" t="s">
        <v>413</v>
      </c>
      <c r="B108" s="6" t="s">
        <v>17</v>
      </c>
      <c r="C108" s="6" t="s">
        <v>12</v>
      </c>
      <c r="D108" s="7" t="s">
        <v>414</v>
      </c>
      <c r="E108" s="8" t="s">
        <v>415</v>
      </c>
      <c r="F108" s="6" t="s">
        <v>416</v>
      </c>
      <c r="G108" s="9">
        <f>IF(A108=1,"_",IF(C108="_","???",C108))</f>
        <v/>
      </c>
      <c r="H108" s="10" t="s">
        <v>12</v>
      </c>
      <c r="I108" s="11" t="s">
        <v>12</v>
      </c>
      <c r="J108" s="12"/>
    </row>
    <row r="109" spans="1:10" ht="60" customHeight="1">
      <c r="A109" s="6" t="s">
        <v>417</v>
      </c>
      <c r="B109" s="6" t="s">
        <v>11</v>
      </c>
      <c r="C109" s="6" t="s">
        <v>12</v>
      </c>
      <c r="D109" s="7" t="s">
        <v>100</v>
      </c>
      <c r="E109" s="8" t="s">
        <v>418</v>
      </c>
      <c r="F109" s="6" t="s">
        <v>419</v>
      </c>
      <c r="G109" s="9">
        <f>IF(A109=1,"_",IF(C109="_","???",C109))</f>
        <v/>
      </c>
      <c r="H109" s="10" t="s">
        <v>12</v>
      </c>
      <c r="I109" s="11" t="s">
        <v>12</v>
      </c>
      <c r="J109" s="12"/>
    </row>
    <row r="110" spans="1:10" ht="60" customHeight="1">
      <c r="A110" s="6" t="s">
        <v>420</v>
      </c>
      <c r="B110" s="6" t="s">
        <v>17</v>
      </c>
      <c r="C110" s="6" t="s">
        <v>146</v>
      </c>
      <c r="D110" s="7" t="s">
        <v>160</v>
      </c>
      <c r="E110" s="8" t="s">
        <v>421</v>
      </c>
      <c r="F110" s="6" t="s">
        <v>422</v>
      </c>
      <c r="G110" s="9">
        <f>IF(A110=1,"_",IF(C110="_","???",C110))</f>
        <v/>
      </c>
      <c r="H110" s="10" t="s">
        <v>12</v>
      </c>
      <c r="I110" s="11" t="s">
        <v>12</v>
      </c>
      <c r="J110" s="12"/>
    </row>
    <row r="111" spans="1:10" ht="60" customHeight="1">
      <c r="A111" s="6" t="s">
        <v>423</v>
      </c>
      <c r="B111" s="6" t="s">
        <v>16</v>
      </c>
      <c r="C111" s="6" t="s">
        <v>12</v>
      </c>
      <c r="D111" s="7" t="s">
        <v>424</v>
      </c>
      <c r="E111" s="8" t="s">
        <v>425</v>
      </c>
      <c r="F111" s="6" t="s">
        <v>426</v>
      </c>
      <c r="G111" s="9">
        <f>IF(A111=1,"_",IF(C111="_","???",C111))</f>
        <v/>
      </c>
      <c r="H111" s="10" t="s">
        <v>12</v>
      </c>
      <c r="I111" s="11" t="s">
        <v>12</v>
      </c>
      <c r="J111" s="12"/>
    </row>
    <row r="112" spans="1:10" ht="60" customHeight="1">
      <c r="A112" s="6" t="s">
        <v>427</v>
      </c>
      <c r="B112" s="6" t="s">
        <v>32</v>
      </c>
      <c r="C112" s="6" t="s">
        <v>12</v>
      </c>
      <c r="D112" s="7" t="s">
        <v>428</v>
      </c>
      <c r="E112" s="8" t="s">
        <v>429</v>
      </c>
      <c r="F112" s="6" t="s">
        <v>430</v>
      </c>
      <c r="G112" s="9">
        <f>IF(A112=1,"_",IF(C112="_","???",C112))</f>
        <v/>
      </c>
      <c r="H112" s="10" t="s">
        <v>12</v>
      </c>
      <c r="I112" s="11" t="s">
        <v>12</v>
      </c>
      <c r="J112" s="12"/>
    </row>
    <row r="113" spans="1:10" ht="60" customHeight="1">
      <c r="A113" s="6" t="s">
        <v>431</v>
      </c>
      <c r="B113" s="6" t="s">
        <v>65</v>
      </c>
      <c r="C113" s="6" t="s">
        <v>12</v>
      </c>
      <c r="D113" s="7" t="s">
        <v>432</v>
      </c>
      <c r="E113" s="8" t="s">
        <v>433</v>
      </c>
      <c r="F113" s="6" t="s">
        <v>434</v>
      </c>
      <c r="G113" s="9">
        <f>IF(A113=1,"_",IF(C113="_","???",C113))</f>
        <v/>
      </c>
      <c r="H113" s="10" t="s">
        <v>12</v>
      </c>
      <c r="I113" s="11" t="s">
        <v>12</v>
      </c>
      <c r="J113" s="12"/>
    </row>
    <row r="114" spans="1:10" ht="60" customHeight="1">
      <c r="A114" s="6" t="s">
        <v>435</v>
      </c>
      <c r="B114" s="6" t="s">
        <v>16</v>
      </c>
      <c r="C114" s="6" t="s">
        <v>12</v>
      </c>
      <c r="D114" s="7" t="s">
        <v>436</v>
      </c>
      <c r="E114" s="8" t="s">
        <v>437</v>
      </c>
      <c r="F114" s="6" t="s">
        <v>438</v>
      </c>
      <c r="G114" s="9">
        <f>IF(A114=1,"_",IF(C114="_","???",C114))</f>
        <v/>
      </c>
      <c r="H114" s="10" t="s">
        <v>12</v>
      </c>
      <c r="I114" s="11" t="s">
        <v>12</v>
      </c>
      <c r="J114" s="12"/>
    </row>
    <row r="115" spans="1:10" ht="60" customHeight="1">
      <c r="A115" s="6" t="s">
        <v>439</v>
      </c>
      <c r="B115" s="6" t="s">
        <v>16</v>
      </c>
      <c r="C115" s="6" t="s">
        <v>12</v>
      </c>
      <c r="D115" s="7" t="s">
        <v>440</v>
      </c>
      <c r="E115" s="8" t="s">
        <v>441</v>
      </c>
      <c r="F115" s="6" t="s">
        <v>442</v>
      </c>
      <c r="G115" s="9">
        <f>IF(A115=1,"_",IF(C115="_","???",C115))</f>
        <v/>
      </c>
      <c r="H115" s="10" t="s">
        <v>12</v>
      </c>
      <c r="I115" s="11" t="s">
        <v>12</v>
      </c>
      <c r="J115" s="12"/>
    </row>
    <row r="116" spans="1:10" ht="60" customHeight="1">
      <c r="A116" s="6" t="s">
        <v>443</v>
      </c>
      <c r="B116" s="6" t="s">
        <v>11</v>
      </c>
      <c r="C116" s="6" t="s">
        <v>12</v>
      </c>
      <c r="D116" s="7" t="s">
        <v>241</v>
      </c>
      <c r="E116" s="8" t="s">
        <v>444</v>
      </c>
      <c r="F116" s="6" t="s">
        <v>445</v>
      </c>
      <c r="G116" s="9">
        <f>IF(A116=1,"_",IF(C116="_","???",C116))</f>
        <v/>
      </c>
      <c r="H116" s="10" t="s">
        <v>12</v>
      </c>
      <c r="I116" s="11" t="s">
        <v>12</v>
      </c>
      <c r="J116" s="12"/>
    </row>
    <row r="117" spans="1:10" ht="60" customHeight="1">
      <c r="A117" s="6" t="s">
        <v>446</v>
      </c>
      <c r="B117" s="6" t="s">
        <v>16</v>
      </c>
      <c r="C117" s="6" t="s">
        <v>12</v>
      </c>
      <c r="D117" s="7" t="s">
        <v>88</v>
      </c>
      <c r="E117" s="8" t="s">
        <v>447</v>
      </c>
      <c r="F117" s="6" t="s">
        <v>448</v>
      </c>
      <c r="G117" s="9">
        <f>IF(A117=1,"_",IF(C117="_","???",C117))</f>
        <v/>
      </c>
      <c r="H117" s="10" t="s">
        <v>12</v>
      </c>
      <c r="I117" s="11" t="s">
        <v>12</v>
      </c>
      <c r="J117" s="12"/>
    </row>
    <row r="118" spans="1:10" ht="60" customHeight="1">
      <c r="A118" s="6" t="s">
        <v>449</v>
      </c>
      <c r="B118" s="6" t="s">
        <v>16</v>
      </c>
      <c r="C118" s="6" t="s">
        <v>12</v>
      </c>
      <c r="D118" s="7" t="s">
        <v>241</v>
      </c>
      <c r="E118" s="8" t="s">
        <v>450</v>
      </c>
      <c r="F118" s="6" t="s">
        <v>451</v>
      </c>
      <c r="G118" s="9">
        <f>IF(A118=1,"_",IF(C118="_","???",C118))</f>
        <v/>
      </c>
      <c r="H118" s="10" t="s">
        <v>12</v>
      </c>
      <c r="I118" s="11" t="s">
        <v>12</v>
      </c>
      <c r="J118" s="12"/>
    </row>
    <row r="119" spans="1:10" ht="60" customHeight="1">
      <c r="A119" s="6" t="s">
        <v>452</v>
      </c>
      <c r="B119" s="6" t="s">
        <v>11</v>
      </c>
      <c r="C119" s="6" t="s">
        <v>12</v>
      </c>
      <c r="D119" s="7" t="s">
        <v>252</v>
      </c>
      <c r="E119" s="8" t="s">
        <v>453</v>
      </c>
      <c r="F119" s="6" t="s">
        <v>454</v>
      </c>
      <c r="G119" s="9">
        <f>IF(A119=1,"_",IF(C119="_","???",C119))</f>
        <v/>
      </c>
      <c r="H119" s="10" t="s">
        <v>12</v>
      </c>
      <c r="I119" s="11" t="s">
        <v>12</v>
      </c>
      <c r="J119" s="12"/>
    </row>
    <row r="120" spans="1:10" ht="60" customHeight="1">
      <c r="A120" s="6" t="s">
        <v>455</v>
      </c>
      <c r="B120" s="6" t="s">
        <v>131</v>
      </c>
      <c r="C120" s="6" t="s">
        <v>12</v>
      </c>
      <c r="D120" s="7" t="s">
        <v>13</v>
      </c>
      <c r="E120" s="8" t="s">
        <v>456</v>
      </c>
      <c r="F120" s="6" t="s">
        <v>457</v>
      </c>
      <c r="G120" s="9">
        <f>IF(A120=1,"_",IF(C120="_","???",C120))</f>
        <v/>
      </c>
      <c r="H120" s="10" t="s">
        <v>12</v>
      </c>
      <c r="I120" s="11" t="s">
        <v>12</v>
      </c>
      <c r="J120" s="12"/>
    </row>
    <row r="121" spans="1:10" ht="60" customHeight="1">
      <c r="A121" s="6" t="s">
        <v>458</v>
      </c>
      <c r="B121" s="6" t="s">
        <v>28</v>
      </c>
      <c r="C121" s="6" t="s">
        <v>12</v>
      </c>
      <c r="D121" s="7" t="s">
        <v>104</v>
      </c>
      <c r="E121" s="8" t="s">
        <v>459</v>
      </c>
      <c r="F121" s="6" t="s">
        <v>460</v>
      </c>
      <c r="G121" s="9">
        <f>IF(A121=1,"_",IF(C121="_","???",C121))</f>
        <v/>
      </c>
      <c r="H121" s="10" t="s">
        <v>12</v>
      </c>
      <c r="I121" s="11" t="s">
        <v>12</v>
      </c>
      <c r="J121" s="12"/>
    </row>
    <row r="122" spans="1:10" ht="60" customHeight="1">
      <c r="A122" s="6" t="s">
        <v>461</v>
      </c>
      <c r="B122" s="6" t="s">
        <v>16</v>
      </c>
      <c r="C122" s="6" t="s">
        <v>12</v>
      </c>
      <c r="D122" s="7" t="s">
        <v>462</v>
      </c>
      <c r="E122" s="8" t="s">
        <v>463</v>
      </c>
      <c r="F122" s="6" t="s">
        <v>464</v>
      </c>
      <c r="G122" s="9">
        <f>IF(A122=1,"_",IF(C122="_","???",C122))</f>
        <v/>
      </c>
      <c r="H122" s="10" t="s">
        <v>12</v>
      </c>
      <c r="I122" s="11" t="s">
        <v>12</v>
      </c>
      <c r="J122" s="12"/>
    </row>
    <row r="123" spans="1:10" ht="60" customHeight="1">
      <c r="A123" s="6" t="s">
        <v>465</v>
      </c>
      <c r="B123" s="6" t="s">
        <v>11</v>
      </c>
      <c r="C123" s="6" t="s">
        <v>12</v>
      </c>
      <c r="D123" s="7" t="s">
        <v>466</v>
      </c>
      <c r="E123" s="8" t="s">
        <v>467</v>
      </c>
      <c r="F123" s="6" t="s">
        <v>468</v>
      </c>
      <c r="G123" s="9">
        <f>IF(A123=1,"_",IF(C123="_","???",C123))</f>
        <v/>
      </c>
      <c r="H123" s="10" t="s">
        <v>12</v>
      </c>
      <c r="I123" s="11" t="s">
        <v>12</v>
      </c>
      <c r="J123" s="12"/>
    </row>
    <row r="124" spans="1:10" ht="60" customHeight="1">
      <c r="A124" s="6" t="s">
        <v>469</v>
      </c>
      <c r="B124" s="6" t="s">
        <v>16</v>
      </c>
      <c r="C124" s="6" t="s">
        <v>12</v>
      </c>
      <c r="D124" s="7" t="s">
        <v>470</v>
      </c>
      <c r="E124" s="8" t="s">
        <v>471</v>
      </c>
      <c r="F124" s="6" t="s">
        <v>472</v>
      </c>
      <c r="G124" s="9">
        <f>IF(A124=1,"_",IF(C124="_","???",C124))</f>
        <v/>
      </c>
      <c r="H124" s="10" t="s">
        <v>12</v>
      </c>
      <c r="I124" s="11" t="s">
        <v>12</v>
      </c>
      <c r="J124" s="12"/>
    </row>
    <row r="125" spans="1:10" ht="60" customHeight="1">
      <c r="A125" s="6" t="s">
        <v>473</v>
      </c>
      <c r="B125" s="6" t="s">
        <v>84</v>
      </c>
      <c r="C125" s="6" t="s">
        <v>12</v>
      </c>
      <c r="D125" s="7" t="s">
        <v>474</v>
      </c>
      <c r="E125" s="8" t="s">
        <v>475</v>
      </c>
      <c r="F125" s="6" t="s">
        <v>476</v>
      </c>
      <c r="G125" s="9">
        <f>IF(A125=1,"_",IF(C125="_","???",C125))</f>
        <v/>
      </c>
      <c r="H125" s="10" t="s">
        <v>12</v>
      </c>
      <c r="I125" s="11" t="s">
        <v>12</v>
      </c>
      <c r="J125" s="12"/>
    </row>
    <row r="126" spans="1:10" ht="60" customHeight="1">
      <c r="A126" s="6" t="s">
        <v>477</v>
      </c>
      <c r="B126" s="6" t="s">
        <v>65</v>
      </c>
      <c r="C126" s="6" t="s">
        <v>12</v>
      </c>
      <c r="D126" s="7" t="s">
        <v>478</v>
      </c>
      <c r="E126" s="8" t="s">
        <v>479</v>
      </c>
      <c r="F126" s="6" t="s">
        <v>480</v>
      </c>
      <c r="G126" s="9">
        <f>IF(A126=1,"_",IF(C126="_","???",C126))</f>
        <v/>
      </c>
      <c r="H126" s="10" t="s">
        <v>12</v>
      </c>
      <c r="I126" s="11" t="s">
        <v>12</v>
      </c>
      <c r="J126" s="12"/>
    </row>
    <row r="127" spans="1:10" ht="60" customHeight="1">
      <c r="A127" s="6" t="s">
        <v>481</v>
      </c>
      <c r="B127" s="6" t="s">
        <v>16</v>
      </c>
      <c r="C127" s="6" t="s">
        <v>12</v>
      </c>
      <c r="D127" s="7" t="s">
        <v>482</v>
      </c>
      <c r="E127" s="8" t="s">
        <v>483</v>
      </c>
      <c r="F127" s="6" t="s">
        <v>484</v>
      </c>
      <c r="G127" s="9">
        <f>IF(A127=1,"_",IF(C127="_","???",C127))</f>
        <v/>
      </c>
      <c r="H127" s="10" t="s">
        <v>12</v>
      </c>
      <c r="I127" s="11" t="s">
        <v>12</v>
      </c>
      <c r="J127" s="12"/>
    </row>
    <row r="128" spans="1:10" ht="60" customHeight="1">
      <c r="A128" s="6" t="s">
        <v>485</v>
      </c>
      <c r="B128" s="6" t="s">
        <v>11</v>
      </c>
      <c r="C128" s="6" t="s">
        <v>12</v>
      </c>
      <c r="D128" s="7" t="s">
        <v>486</v>
      </c>
      <c r="E128" s="8" t="s">
        <v>487</v>
      </c>
      <c r="F128" s="6" t="s">
        <v>488</v>
      </c>
      <c r="G128" s="9">
        <f>IF(A128=1,"_",IF(C128="_","???",C128))</f>
        <v/>
      </c>
      <c r="H128" s="10" t="s">
        <v>12</v>
      </c>
      <c r="I128" s="11" t="s">
        <v>12</v>
      </c>
      <c r="J128" s="12"/>
    </row>
    <row r="129" spans="1:10" ht="60" customHeight="1">
      <c r="A129" s="6" t="s">
        <v>489</v>
      </c>
      <c r="B129" s="6" t="s">
        <v>16</v>
      </c>
      <c r="C129" s="6" t="s">
        <v>12</v>
      </c>
      <c r="D129" s="7" t="s">
        <v>490</v>
      </c>
      <c r="E129" s="8" t="s">
        <v>491</v>
      </c>
      <c r="F129" s="6" t="s">
        <v>492</v>
      </c>
      <c r="G129" s="9">
        <f>IF(A129=1,"_",IF(C129="_","???",C129))</f>
        <v/>
      </c>
      <c r="H129" s="10" t="s">
        <v>12</v>
      </c>
      <c r="I129" s="11" t="s">
        <v>12</v>
      </c>
      <c r="J129" s="12"/>
    </row>
    <row r="130" spans="1:10" ht="60" customHeight="1">
      <c r="A130" s="6" t="s">
        <v>493</v>
      </c>
      <c r="B130" s="6" t="s">
        <v>16</v>
      </c>
      <c r="C130" s="6" t="s">
        <v>12</v>
      </c>
      <c r="D130" s="7" t="s">
        <v>494</v>
      </c>
      <c r="E130" s="8" t="s">
        <v>495</v>
      </c>
      <c r="F130" s="6" t="s">
        <v>496</v>
      </c>
      <c r="G130" s="9">
        <f>IF(A130=1,"_",IF(C130="_","???",C130))</f>
        <v/>
      </c>
      <c r="H130" s="10" t="s">
        <v>12</v>
      </c>
      <c r="I130" s="11" t="s">
        <v>12</v>
      </c>
      <c r="J130" s="12"/>
    </row>
    <row r="131" spans="1:10" ht="60" customHeight="1">
      <c r="A131" s="6" t="s">
        <v>497</v>
      </c>
      <c r="B131" s="6" t="s">
        <v>16</v>
      </c>
      <c r="C131" s="6" t="s">
        <v>12</v>
      </c>
      <c r="D131" s="7" t="s">
        <v>498</v>
      </c>
      <c r="E131" s="8" t="s">
        <v>499</v>
      </c>
      <c r="F131" s="6" t="s">
        <v>500</v>
      </c>
      <c r="G131" s="9">
        <f>IF(A131=1,"_",IF(C131="_","???",C131))</f>
        <v/>
      </c>
      <c r="H131" s="10" t="s">
        <v>12</v>
      </c>
      <c r="I131" s="11" t="s">
        <v>12</v>
      </c>
      <c r="J131" s="12"/>
    </row>
    <row r="132" spans="1:10" ht="60" customHeight="1">
      <c r="A132" s="6" t="s">
        <v>501</v>
      </c>
      <c r="B132" s="6" t="s">
        <v>40</v>
      </c>
      <c r="C132" s="6" t="s">
        <v>12</v>
      </c>
      <c r="D132" s="7" t="s">
        <v>267</v>
      </c>
      <c r="E132" s="8" t="s">
        <v>502</v>
      </c>
      <c r="F132" s="6" t="s">
        <v>503</v>
      </c>
      <c r="G132" s="9">
        <f>IF(A132=1,"_",IF(C132="_","???",C132))</f>
        <v/>
      </c>
      <c r="H132" s="10" t="s">
        <v>12</v>
      </c>
      <c r="I132" s="11" t="s">
        <v>12</v>
      </c>
      <c r="J132" s="12"/>
    </row>
    <row r="133" spans="1:10" ht="60" customHeight="1">
      <c r="A133" s="6" t="s">
        <v>504</v>
      </c>
      <c r="B133" s="6" t="s">
        <v>11</v>
      </c>
      <c r="C133" s="6" t="s">
        <v>12</v>
      </c>
      <c r="D133" s="7" t="s">
        <v>100</v>
      </c>
      <c r="E133" s="8" t="s">
        <v>505</v>
      </c>
      <c r="F133" s="6" t="s">
        <v>506</v>
      </c>
      <c r="G133" s="9">
        <f>IF(A133=1,"_",IF(C133="_","???",C133))</f>
        <v/>
      </c>
      <c r="H133" s="10" t="s">
        <v>12</v>
      </c>
      <c r="I133" s="11" t="s">
        <v>12</v>
      </c>
      <c r="J133" s="12"/>
    </row>
    <row r="134" spans="1:10" ht="60" customHeight="1">
      <c r="A134" s="6" t="s">
        <v>507</v>
      </c>
      <c r="B134" s="6" t="s">
        <v>11</v>
      </c>
      <c r="C134" s="6" t="s">
        <v>12</v>
      </c>
      <c r="D134" s="7" t="s">
        <v>100</v>
      </c>
      <c r="E134" s="8" t="s">
        <v>508</v>
      </c>
      <c r="F134" s="6" t="s">
        <v>509</v>
      </c>
      <c r="G134" s="9">
        <f>IF(A134=1,"_",IF(C134="_","???",C134))</f>
        <v/>
      </c>
      <c r="H134" s="10" t="s">
        <v>12</v>
      </c>
      <c r="I134" s="11" t="s">
        <v>12</v>
      </c>
      <c r="J134" s="12"/>
    </row>
    <row r="135" spans="1:10" ht="60" customHeight="1">
      <c r="A135" s="6" t="s">
        <v>510</v>
      </c>
      <c r="B135" s="6" t="s">
        <v>16</v>
      </c>
      <c r="C135" s="6" t="s">
        <v>12</v>
      </c>
      <c r="D135" s="7" t="s">
        <v>470</v>
      </c>
      <c r="E135" s="8" t="s">
        <v>511</v>
      </c>
      <c r="F135" s="6" t="s">
        <v>512</v>
      </c>
      <c r="G135" s="9">
        <f>IF(A135=1,"_",IF(C135="_","???",C135))</f>
        <v/>
      </c>
      <c r="H135" s="10" t="s">
        <v>12</v>
      </c>
      <c r="I135" s="11" t="s">
        <v>12</v>
      </c>
      <c r="J135" s="12"/>
    </row>
    <row r="136" spans="1:10" ht="60" customHeight="1">
      <c r="A136" s="6" t="s">
        <v>513</v>
      </c>
      <c r="B136" s="6" t="s">
        <v>16</v>
      </c>
      <c r="C136" s="6" t="s">
        <v>12</v>
      </c>
      <c r="D136" s="7" t="s">
        <v>514</v>
      </c>
      <c r="E136" s="8" t="s">
        <v>515</v>
      </c>
      <c r="F136" s="6" t="s">
        <v>516</v>
      </c>
      <c r="G136" s="9">
        <f>IF(A136=1,"_",IF(C136="_","???",C136))</f>
        <v/>
      </c>
      <c r="H136" s="10" t="s">
        <v>12</v>
      </c>
      <c r="I136" s="11" t="s">
        <v>12</v>
      </c>
      <c r="J136" s="12"/>
    </row>
    <row r="137" spans="1:10" ht="60" customHeight="1">
      <c r="A137" s="6" t="s">
        <v>517</v>
      </c>
      <c r="B137" s="6" t="s">
        <v>16</v>
      </c>
      <c r="C137" s="6" t="s">
        <v>12</v>
      </c>
      <c r="D137" s="7" t="s">
        <v>518</v>
      </c>
      <c r="E137" s="8" t="s">
        <v>519</v>
      </c>
      <c r="F137" s="6" t="s">
        <v>520</v>
      </c>
      <c r="G137" s="9">
        <f>IF(A137=1,"_",IF(C137="_","???",C137))</f>
        <v/>
      </c>
      <c r="H137" s="10" t="s">
        <v>12</v>
      </c>
      <c r="I137" s="11" t="s">
        <v>12</v>
      </c>
      <c r="J137" s="12"/>
    </row>
    <row r="138" spans="1:10" ht="60" customHeight="1">
      <c r="A138" s="6" t="s">
        <v>521</v>
      </c>
      <c r="B138" s="6" t="s">
        <v>16</v>
      </c>
      <c r="C138" s="6" t="s">
        <v>12</v>
      </c>
      <c r="D138" s="7" t="s">
        <v>522</v>
      </c>
      <c r="E138" s="8" t="s">
        <v>523</v>
      </c>
      <c r="F138" s="6" t="s">
        <v>524</v>
      </c>
      <c r="G138" s="9">
        <f>IF(A138=1,"_",IF(C138="_","???",C138))</f>
        <v/>
      </c>
      <c r="H138" s="10" t="s">
        <v>12</v>
      </c>
      <c r="I138" s="11" t="s">
        <v>12</v>
      </c>
      <c r="J138" s="12"/>
    </row>
    <row r="139" spans="1:10" ht="60" customHeight="1">
      <c r="A139" s="6" t="s">
        <v>525</v>
      </c>
      <c r="B139" s="6" t="s">
        <v>16</v>
      </c>
      <c r="C139" s="6" t="s">
        <v>12</v>
      </c>
      <c r="D139" s="7" t="s">
        <v>526</v>
      </c>
      <c r="E139" s="8" t="s">
        <v>527</v>
      </c>
      <c r="F139" s="6" t="s">
        <v>528</v>
      </c>
      <c r="G139" s="9">
        <f>IF(A139=1,"_",IF(C139="_","???",C139))</f>
        <v/>
      </c>
      <c r="H139" s="10" t="s">
        <v>12</v>
      </c>
      <c r="I139" s="11" t="s">
        <v>12</v>
      </c>
      <c r="J139" s="12"/>
    </row>
    <row r="140" spans="1:10" ht="60" customHeight="1">
      <c r="A140" s="6" t="s">
        <v>529</v>
      </c>
      <c r="B140" s="6" t="s">
        <v>16</v>
      </c>
      <c r="C140" s="6" t="s">
        <v>12</v>
      </c>
      <c r="D140" s="7" t="s">
        <v>530</v>
      </c>
      <c r="E140" s="8" t="s">
        <v>531</v>
      </c>
      <c r="F140" s="6" t="s">
        <v>532</v>
      </c>
      <c r="G140" s="9">
        <f>IF(A140=1,"_",IF(C140="_","???",C140))</f>
        <v/>
      </c>
      <c r="H140" s="10" t="s">
        <v>12</v>
      </c>
      <c r="I140" s="11" t="s">
        <v>12</v>
      </c>
      <c r="J140" s="12"/>
    </row>
    <row r="141" spans="1:10" ht="60" customHeight="1">
      <c r="A141" s="6" t="s">
        <v>533</v>
      </c>
      <c r="B141" s="6" t="s">
        <v>16</v>
      </c>
      <c r="C141" s="6" t="s">
        <v>12</v>
      </c>
      <c r="D141" s="7" t="s">
        <v>534</v>
      </c>
      <c r="E141" s="8" t="s">
        <v>535</v>
      </c>
      <c r="F141" s="6" t="s">
        <v>536</v>
      </c>
      <c r="G141" s="9">
        <f>IF(A141=1,"_",IF(C141="_","???",C141))</f>
        <v/>
      </c>
      <c r="H141" s="10" t="s">
        <v>12</v>
      </c>
      <c r="I141" s="11" t="s">
        <v>12</v>
      </c>
      <c r="J141" s="12"/>
    </row>
    <row r="142" spans="1:10" ht="60" customHeight="1">
      <c r="A142" s="6" t="s">
        <v>537</v>
      </c>
      <c r="B142" s="6" t="s">
        <v>40</v>
      </c>
      <c r="C142" s="6" t="s">
        <v>12</v>
      </c>
      <c r="D142" s="7" t="s">
        <v>100</v>
      </c>
      <c r="E142" s="8" t="s">
        <v>538</v>
      </c>
      <c r="F142" s="6" t="s">
        <v>539</v>
      </c>
      <c r="G142" s="9">
        <f>IF(A142=1,"_",IF(C142="_","???",C142))</f>
        <v/>
      </c>
      <c r="H142" s="10" t="s">
        <v>12</v>
      </c>
      <c r="I142" s="11" t="s">
        <v>12</v>
      </c>
      <c r="J142" s="12"/>
    </row>
    <row r="143" spans="1:10" ht="60" customHeight="1">
      <c r="A143" s="6" t="s">
        <v>540</v>
      </c>
      <c r="B143" s="6" t="s">
        <v>56</v>
      </c>
      <c r="C143" s="6" t="s">
        <v>12</v>
      </c>
      <c r="D143" s="7" t="s">
        <v>541</v>
      </c>
      <c r="E143" s="8" t="s">
        <v>542</v>
      </c>
      <c r="F143" s="6" t="s">
        <v>543</v>
      </c>
      <c r="G143" s="9">
        <f>IF(A143=1,"_",IF(C143="_","???",C143))</f>
        <v/>
      </c>
      <c r="H143" s="10" t="s">
        <v>12</v>
      </c>
      <c r="I143" s="11" t="s">
        <v>12</v>
      </c>
      <c r="J143" s="12"/>
    </row>
    <row r="144" spans="1:10" ht="60" customHeight="1">
      <c r="A144" s="6" t="s">
        <v>544</v>
      </c>
      <c r="B144" s="6" t="s">
        <v>11</v>
      </c>
      <c r="C144" s="6" t="s">
        <v>12</v>
      </c>
      <c r="D144" s="7" t="s">
        <v>104</v>
      </c>
      <c r="E144" s="8" t="s">
        <v>545</v>
      </c>
      <c r="F144" s="6" t="s">
        <v>546</v>
      </c>
      <c r="G144" s="9">
        <f>IF(A144=1,"_",IF(C144="_","???",C144))</f>
        <v/>
      </c>
      <c r="H144" s="10" t="s">
        <v>12</v>
      </c>
      <c r="I144" s="11" t="s">
        <v>12</v>
      </c>
      <c r="J144" s="12"/>
    </row>
    <row r="145" spans="1:10" ht="60" customHeight="1">
      <c r="A145" s="6" t="s">
        <v>547</v>
      </c>
      <c r="B145" s="6" t="s">
        <v>16</v>
      </c>
      <c r="C145" s="6" t="s">
        <v>12</v>
      </c>
      <c r="D145" s="7" t="s">
        <v>548</v>
      </c>
      <c r="E145" s="8" t="s">
        <v>549</v>
      </c>
      <c r="F145" s="6" t="s">
        <v>550</v>
      </c>
      <c r="G145" s="9">
        <f>IF(A145=1,"_",IF(C145="_","???",C145))</f>
        <v/>
      </c>
      <c r="H145" s="10" t="s">
        <v>12</v>
      </c>
      <c r="I145" s="11" t="s">
        <v>12</v>
      </c>
      <c r="J145" s="12"/>
    </row>
    <row r="146" spans="1:10" ht="60" customHeight="1">
      <c r="A146" s="6" t="s">
        <v>551</v>
      </c>
      <c r="B146" s="6" t="s">
        <v>28</v>
      </c>
      <c r="C146" s="6" t="s">
        <v>12</v>
      </c>
      <c r="D146" s="7" t="s">
        <v>37</v>
      </c>
      <c r="E146" s="8" t="s">
        <v>552</v>
      </c>
      <c r="F146" s="6" t="s">
        <v>553</v>
      </c>
      <c r="G146" s="9">
        <f>IF(A146=1,"_",IF(C146="_","???",C146))</f>
        <v/>
      </c>
      <c r="H146" s="10" t="s">
        <v>12</v>
      </c>
      <c r="I146" s="11" t="s">
        <v>12</v>
      </c>
      <c r="J146" s="12"/>
    </row>
    <row r="147" spans="1:10" ht="60" customHeight="1">
      <c r="A147" s="6" t="s">
        <v>554</v>
      </c>
      <c r="B147" s="6" t="s">
        <v>16</v>
      </c>
      <c r="C147" s="6" t="s">
        <v>12</v>
      </c>
      <c r="D147" s="7" t="s">
        <v>13</v>
      </c>
      <c r="E147" s="8" t="s">
        <v>555</v>
      </c>
      <c r="F147" s="6" t="s">
        <v>556</v>
      </c>
      <c r="G147" s="9">
        <f>IF(A147=1,"_",IF(C147="_","???",C147))</f>
        <v/>
      </c>
      <c r="H147" s="10" t="s">
        <v>12</v>
      </c>
      <c r="I147" s="11" t="s">
        <v>12</v>
      </c>
      <c r="J147" s="12"/>
    </row>
    <row r="148" spans="1:10" ht="60" customHeight="1">
      <c r="A148" s="6" t="s">
        <v>557</v>
      </c>
      <c r="B148" s="6" t="s">
        <v>16</v>
      </c>
      <c r="C148" s="6" t="s">
        <v>12</v>
      </c>
      <c r="D148" s="7" t="s">
        <v>267</v>
      </c>
      <c r="E148" s="8" t="s">
        <v>558</v>
      </c>
      <c r="F148" s="6" t="s">
        <v>559</v>
      </c>
      <c r="G148" s="9">
        <f>IF(A148=1,"_",IF(C148="_","???",C148))</f>
        <v/>
      </c>
      <c r="H148" s="10" t="s">
        <v>12</v>
      </c>
      <c r="I148" s="11" t="s">
        <v>12</v>
      </c>
      <c r="J148" s="12"/>
    </row>
    <row r="149" spans="1:10" ht="60" customHeight="1">
      <c r="A149" s="6" t="s">
        <v>560</v>
      </c>
      <c r="B149" s="6" t="s">
        <v>11</v>
      </c>
      <c r="C149" s="6" t="s">
        <v>12</v>
      </c>
      <c r="D149" s="7" t="s">
        <v>561</v>
      </c>
      <c r="E149" s="8" t="s">
        <v>562</v>
      </c>
      <c r="F149" s="6" t="s">
        <v>563</v>
      </c>
      <c r="G149" s="9">
        <f>IF(A149=1,"_",IF(C149="_","???",C149))</f>
        <v/>
      </c>
      <c r="H149" s="10" t="s">
        <v>12</v>
      </c>
      <c r="I149" s="11" t="s">
        <v>12</v>
      </c>
      <c r="J149" s="12"/>
    </row>
    <row r="150" spans="1:10" ht="60" customHeight="1">
      <c r="A150" s="6" t="s">
        <v>564</v>
      </c>
      <c r="B150" s="6" t="s">
        <v>32</v>
      </c>
      <c r="C150" s="6" t="s">
        <v>12</v>
      </c>
      <c r="D150" s="7" t="s">
        <v>100</v>
      </c>
      <c r="E150" s="8" t="s">
        <v>565</v>
      </c>
      <c r="F150" s="6" t="s">
        <v>566</v>
      </c>
      <c r="G150" s="9">
        <f>IF(A150=1,"_",IF(C150="_","???",C150))</f>
        <v/>
      </c>
      <c r="H150" s="10" t="s">
        <v>12</v>
      </c>
      <c r="I150" s="11" t="s">
        <v>12</v>
      </c>
      <c r="J150" s="12"/>
    </row>
    <row r="151" spans="1:10" ht="60" customHeight="1">
      <c r="A151" s="6" t="s">
        <v>567</v>
      </c>
      <c r="B151" s="6" t="s">
        <v>32</v>
      </c>
      <c r="C151" s="6" t="s">
        <v>12</v>
      </c>
      <c r="D151" s="7" t="s">
        <v>58</v>
      </c>
      <c r="E151" s="8" t="s">
        <v>568</v>
      </c>
      <c r="F151" s="6" t="s">
        <v>569</v>
      </c>
      <c r="G151" s="9">
        <f>IF(A151=1,"_",IF(C151="_","???",C151))</f>
        <v/>
      </c>
      <c r="H151" s="10" t="s">
        <v>12</v>
      </c>
      <c r="I151" s="11" t="s">
        <v>12</v>
      </c>
      <c r="J151" s="12"/>
    </row>
    <row r="152" spans="1:10" ht="60" customHeight="1">
      <c r="A152" s="6" t="s">
        <v>570</v>
      </c>
      <c r="B152" s="6" t="s">
        <v>24</v>
      </c>
      <c r="C152" s="6" t="s">
        <v>12</v>
      </c>
      <c r="D152" s="7" t="s">
        <v>100</v>
      </c>
      <c r="E152" s="8" t="s">
        <v>571</v>
      </c>
      <c r="F152" s="6" t="s">
        <v>572</v>
      </c>
      <c r="G152" s="9">
        <f>IF(A152=1,"_",IF(C152="_","???",C152))</f>
        <v/>
      </c>
      <c r="H152" s="10" t="s">
        <v>12</v>
      </c>
      <c r="I152" s="11" t="s">
        <v>12</v>
      </c>
      <c r="J152" s="12"/>
    </row>
    <row r="153" spans="1:10" ht="60" customHeight="1">
      <c r="A153" s="6" t="s">
        <v>573</v>
      </c>
      <c r="B153" s="6" t="s">
        <v>48</v>
      </c>
      <c r="C153" s="6" t="s">
        <v>12</v>
      </c>
      <c r="D153" s="7" t="s">
        <v>574</v>
      </c>
      <c r="E153" s="8" t="s">
        <v>575</v>
      </c>
      <c r="F153" s="6" t="s">
        <v>576</v>
      </c>
      <c r="G153" s="9">
        <f>IF(A153=1,"_",IF(C153="_","???",C153))</f>
        <v/>
      </c>
      <c r="H153" s="10" t="s">
        <v>12</v>
      </c>
      <c r="I153" s="11" t="s">
        <v>12</v>
      </c>
      <c r="J153" s="12"/>
    </row>
    <row r="154" spans="1:10" ht="60" customHeight="1">
      <c r="A154" s="6" t="s">
        <v>577</v>
      </c>
      <c r="B154" s="6" t="s">
        <v>24</v>
      </c>
      <c r="C154" s="6" t="s">
        <v>12</v>
      </c>
      <c r="D154" s="7" t="s">
        <v>578</v>
      </c>
      <c r="E154" s="8" t="s">
        <v>579</v>
      </c>
      <c r="F154" s="6" t="s">
        <v>580</v>
      </c>
      <c r="G154" s="9">
        <f>IF(A154=1,"_",IF(C154="_","???",C154))</f>
        <v/>
      </c>
      <c r="H154" s="10" t="s">
        <v>12</v>
      </c>
      <c r="I154" s="11" t="s">
        <v>12</v>
      </c>
      <c r="J154" s="12"/>
    </row>
    <row r="155" spans="1:10" ht="60" customHeight="1">
      <c r="A155" s="6" t="s">
        <v>581</v>
      </c>
      <c r="B155" s="6" t="s">
        <v>16</v>
      </c>
      <c r="C155" s="6" t="s">
        <v>12</v>
      </c>
      <c r="D155" s="7" t="s">
        <v>582</v>
      </c>
      <c r="E155" s="8" t="s">
        <v>583</v>
      </c>
      <c r="F155" s="6" t="s">
        <v>584</v>
      </c>
      <c r="G155" s="9">
        <f>IF(A155=1,"_",IF(C155="_","???",C155))</f>
        <v/>
      </c>
      <c r="H155" s="10" t="s">
        <v>12</v>
      </c>
      <c r="I155" s="11" t="s">
        <v>12</v>
      </c>
      <c r="J155" s="12"/>
    </row>
    <row r="156" spans="1:10" ht="60" customHeight="1">
      <c r="A156" s="6" t="s">
        <v>585</v>
      </c>
      <c r="B156" s="6" t="s">
        <v>16</v>
      </c>
      <c r="C156" s="6" t="s">
        <v>12</v>
      </c>
      <c r="D156" s="7" t="s">
        <v>104</v>
      </c>
      <c r="E156" s="8" t="s">
        <v>586</v>
      </c>
      <c r="F156" s="6" t="s">
        <v>587</v>
      </c>
      <c r="G156" s="9">
        <f>IF(A156=1,"_",IF(C156="_","???",C156))</f>
        <v/>
      </c>
      <c r="H156" s="10" t="s">
        <v>12</v>
      </c>
      <c r="I156" s="11" t="s">
        <v>12</v>
      </c>
      <c r="J156" s="12"/>
    </row>
    <row r="157" spans="1:10" ht="60" customHeight="1">
      <c r="A157" s="6" t="s">
        <v>588</v>
      </c>
      <c r="B157" s="6" t="s">
        <v>56</v>
      </c>
      <c r="C157" s="6" t="s">
        <v>12</v>
      </c>
      <c r="D157" s="7" t="s">
        <v>474</v>
      </c>
      <c r="E157" s="8" t="s">
        <v>589</v>
      </c>
      <c r="F157" s="6" t="s">
        <v>590</v>
      </c>
      <c r="G157" s="9">
        <f>IF(A157=1,"_",IF(C157="_","???",C157))</f>
        <v/>
      </c>
      <c r="H157" s="10" t="s">
        <v>12</v>
      </c>
      <c r="I157" s="11" t="s">
        <v>12</v>
      </c>
      <c r="J157" s="12"/>
    </row>
    <row r="158" spans="1:10" ht="60" customHeight="1">
      <c r="A158" s="6" t="s">
        <v>591</v>
      </c>
      <c r="B158" s="6" t="s">
        <v>80</v>
      </c>
      <c r="C158" s="6" t="s">
        <v>12</v>
      </c>
      <c r="D158" s="7" t="s">
        <v>592</v>
      </c>
      <c r="E158" s="8" t="s">
        <v>593</v>
      </c>
      <c r="F158" s="6" t="s">
        <v>594</v>
      </c>
      <c r="G158" s="9">
        <f>IF(A158=1,"_",IF(C158="_","???",C158))</f>
        <v/>
      </c>
      <c r="H158" s="10" t="s">
        <v>12</v>
      </c>
      <c r="I158" s="11" t="s">
        <v>12</v>
      </c>
      <c r="J158" s="12"/>
    </row>
    <row r="159" spans="1:10" ht="60" customHeight="1">
      <c r="A159" s="6" t="s">
        <v>595</v>
      </c>
      <c r="B159" s="6" t="s">
        <v>28</v>
      </c>
      <c r="C159" s="6" t="s">
        <v>12</v>
      </c>
      <c r="D159" s="7" t="s">
        <v>596</v>
      </c>
      <c r="E159" s="8" t="s">
        <v>597</v>
      </c>
      <c r="F159" s="6" t="s">
        <v>598</v>
      </c>
      <c r="G159" s="9">
        <f>IF(A159=1,"_",IF(C159="_","???",C159))</f>
        <v/>
      </c>
      <c r="H159" s="10" t="s">
        <v>12</v>
      </c>
      <c r="I159" s="11" t="s">
        <v>12</v>
      </c>
      <c r="J159" s="12"/>
    </row>
    <row r="160" spans="1:10" ht="60" customHeight="1">
      <c r="A160" s="6" t="s">
        <v>599</v>
      </c>
      <c r="B160" s="6" t="s">
        <v>32</v>
      </c>
      <c r="C160" s="6" t="s">
        <v>12</v>
      </c>
      <c r="D160" s="7" t="s">
        <v>88</v>
      </c>
      <c r="E160" s="8" t="s">
        <v>600</v>
      </c>
      <c r="F160" s="6" t="s">
        <v>601</v>
      </c>
      <c r="G160" s="9">
        <f>IF(A160=1,"_",IF(C160="_","???",C160))</f>
        <v/>
      </c>
      <c r="H160" s="10" t="s">
        <v>12</v>
      </c>
      <c r="I160" s="11" t="s">
        <v>12</v>
      </c>
      <c r="J160" s="12"/>
    </row>
    <row r="161" spans="1:10" ht="60" customHeight="1">
      <c r="A161" s="6" t="s">
        <v>602</v>
      </c>
      <c r="B161" s="6" t="s">
        <v>11</v>
      </c>
      <c r="C161" s="6" t="s">
        <v>12</v>
      </c>
      <c r="D161" s="7" t="s">
        <v>100</v>
      </c>
      <c r="E161" s="8" t="s">
        <v>603</v>
      </c>
      <c r="F161" s="6" t="s">
        <v>604</v>
      </c>
      <c r="G161" s="9">
        <f>IF(A161=1,"_",IF(C161="_","???",C161))</f>
        <v/>
      </c>
      <c r="H161" s="10" t="s">
        <v>12</v>
      </c>
      <c r="I161" s="11" t="s">
        <v>12</v>
      </c>
      <c r="J161" s="12"/>
    </row>
    <row r="162" spans="1:10" ht="60" customHeight="1">
      <c r="A162" s="6" t="s">
        <v>605</v>
      </c>
      <c r="B162" s="6" t="s">
        <v>28</v>
      </c>
      <c r="C162" s="6" t="s">
        <v>12</v>
      </c>
      <c r="D162" s="7" t="s">
        <v>606</v>
      </c>
      <c r="E162" s="8" t="s">
        <v>607</v>
      </c>
      <c r="F162" s="6" t="s">
        <v>608</v>
      </c>
      <c r="G162" s="9">
        <f>IF(A162=1,"_",IF(C162="_","???",C162))</f>
        <v/>
      </c>
      <c r="H162" s="10" t="s">
        <v>12</v>
      </c>
      <c r="I162" s="11" t="s">
        <v>12</v>
      </c>
      <c r="J162" s="12"/>
    </row>
    <row r="163" spans="1:10" ht="60" customHeight="1">
      <c r="A163" s="6" t="s">
        <v>609</v>
      </c>
      <c r="B163" s="6" t="s">
        <v>16</v>
      </c>
      <c r="C163" s="6" t="s">
        <v>12</v>
      </c>
      <c r="D163" s="7" t="s">
        <v>610</v>
      </c>
      <c r="E163" s="8" t="s">
        <v>611</v>
      </c>
      <c r="F163" s="6" t="s">
        <v>612</v>
      </c>
      <c r="G163" s="9">
        <f>IF(A163=1,"_",IF(C163="_","???",C163))</f>
        <v/>
      </c>
      <c r="H163" s="10" t="s">
        <v>12</v>
      </c>
      <c r="I163" s="11" t="s">
        <v>12</v>
      </c>
      <c r="J163" s="12"/>
    </row>
    <row r="164" spans="1:10" ht="60" customHeight="1">
      <c r="A164" s="6" t="s">
        <v>613</v>
      </c>
      <c r="B164" s="6" t="s">
        <v>10</v>
      </c>
      <c r="C164" s="6" t="s">
        <v>12</v>
      </c>
      <c r="D164" s="7" t="s">
        <v>614</v>
      </c>
      <c r="E164" s="8" t="s">
        <v>615</v>
      </c>
      <c r="F164" s="6" t="s">
        <v>616</v>
      </c>
      <c r="G164" s="9">
        <f>IF(A164=1,"_",IF(C164="_","???",C164))</f>
        <v/>
      </c>
      <c r="H164" s="10" t="s">
        <v>12</v>
      </c>
      <c r="I164" s="11" t="s">
        <v>12</v>
      </c>
      <c r="J164" s="12"/>
    </row>
    <row r="165" spans="1:10" ht="60" customHeight="1">
      <c r="A165" s="6" t="s">
        <v>617</v>
      </c>
      <c r="B165" s="6" t="s">
        <v>16</v>
      </c>
      <c r="C165" s="6" t="s">
        <v>12</v>
      </c>
      <c r="D165" s="7" t="s">
        <v>37</v>
      </c>
      <c r="E165" s="8" t="s">
        <v>618</v>
      </c>
      <c r="F165" s="6" t="s">
        <v>619</v>
      </c>
      <c r="G165" s="9">
        <f>IF(A165=1,"_",IF(C165="_","???",C165))</f>
        <v/>
      </c>
      <c r="H165" s="10" t="s">
        <v>12</v>
      </c>
      <c r="I165" s="11" t="s">
        <v>12</v>
      </c>
      <c r="J165" s="12"/>
    </row>
    <row r="166" spans="1:10" ht="60" customHeight="1">
      <c r="A166" s="6" t="s">
        <v>620</v>
      </c>
      <c r="B166" s="6" t="s">
        <v>16</v>
      </c>
      <c r="C166" s="6" t="s">
        <v>12</v>
      </c>
      <c r="D166" s="7" t="s">
        <v>621</v>
      </c>
      <c r="E166" s="8" t="s">
        <v>622</v>
      </c>
      <c r="F166" s="6" t="s">
        <v>623</v>
      </c>
      <c r="G166" s="9">
        <f>IF(A166=1,"_",IF(C166="_","???",C166))</f>
        <v/>
      </c>
      <c r="H166" s="10" t="s">
        <v>12</v>
      </c>
      <c r="I166" s="11" t="s">
        <v>12</v>
      </c>
      <c r="J166" s="12"/>
    </row>
    <row r="167" spans="1:10" ht="60" customHeight="1">
      <c r="A167" s="6" t="s">
        <v>624</v>
      </c>
      <c r="B167" s="6" t="s">
        <v>16</v>
      </c>
      <c r="C167" s="6" t="s">
        <v>12</v>
      </c>
      <c r="D167" s="7" t="s">
        <v>625</v>
      </c>
      <c r="E167" s="8" t="s">
        <v>626</v>
      </c>
      <c r="F167" s="6" t="s">
        <v>627</v>
      </c>
      <c r="G167" s="9">
        <f>IF(A167=1,"_",IF(C167="_","???",C167))</f>
        <v/>
      </c>
      <c r="H167" s="10" t="s">
        <v>12</v>
      </c>
      <c r="I167" s="11" t="s">
        <v>12</v>
      </c>
      <c r="J167" s="12"/>
    </row>
    <row r="168" spans="1:10" ht="60" customHeight="1">
      <c r="A168" s="6" t="s">
        <v>628</v>
      </c>
      <c r="B168" s="6" t="s">
        <v>16</v>
      </c>
      <c r="C168" s="6" t="s">
        <v>12</v>
      </c>
      <c r="D168" s="7" t="s">
        <v>494</v>
      </c>
      <c r="E168" s="8" t="s">
        <v>629</v>
      </c>
      <c r="F168" s="6" t="s">
        <v>630</v>
      </c>
      <c r="G168" s="9">
        <f>IF(A168=1,"_",IF(C168="_","???",C168))</f>
        <v/>
      </c>
      <c r="H168" s="10" t="s">
        <v>12</v>
      </c>
      <c r="I168" s="11" t="s">
        <v>12</v>
      </c>
      <c r="J168" s="12"/>
    </row>
    <row r="169" spans="1:10" ht="60" customHeight="1">
      <c r="A169" s="6" t="s">
        <v>631</v>
      </c>
      <c r="B169" s="6" t="s">
        <v>16</v>
      </c>
      <c r="C169" s="6" t="s">
        <v>146</v>
      </c>
      <c r="D169" s="7" t="s">
        <v>58</v>
      </c>
      <c r="E169" s="8" t="s">
        <v>632</v>
      </c>
      <c r="F169" s="6" t="s">
        <v>633</v>
      </c>
      <c r="G169" s="9">
        <f>IF(A169=1,"_",IF(C169="_","???",C169))</f>
        <v/>
      </c>
      <c r="H169" s="10" t="s">
        <v>12</v>
      </c>
      <c r="I169" s="11" t="s">
        <v>12</v>
      </c>
      <c r="J169" s="12"/>
    </row>
    <row r="170" spans="1:10" ht="60" customHeight="1">
      <c r="A170" s="6" t="s">
        <v>634</v>
      </c>
      <c r="B170" s="6" t="s">
        <v>11</v>
      </c>
      <c r="C170" s="6" t="s">
        <v>12</v>
      </c>
      <c r="D170" s="7" t="s">
        <v>635</v>
      </c>
      <c r="E170" s="8" t="s">
        <v>636</v>
      </c>
      <c r="F170" s="6" t="s">
        <v>637</v>
      </c>
      <c r="G170" s="9">
        <f>IF(A170=1,"_",IF(C170="_","???",C170))</f>
        <v/>
      </c>
      <c r="H170" s="10" t="s">
        <v>12</v>
      </c>
      <c r="I170" s="11" t="s">
        <v>12</v>
      </c>
      <c r="J170" s="12"/>
    </row>
    <row r="171" spans="1:10" ht="60" customHeight="1">
      <c r="A171" s="6" t="s">
        <v>638</v>
      </c>
      <c r="B171" s="6" t="s">
        <v>16</v>
      </c>
      <c r="C171" s="6" t="s">
        <v>12</v>
      </c>
      <c r="D171" s="7" t="s">
        <v>639</v>
      </c>
      <c r="E171" s="8" t="s">
        <v>640</v>
      </c>
      <c r="F171" s="6" t="s">
        <v>641</v>
      </c>
      <c r="G171" s="9">
        <f>IF(A171=1,"_",IF(C171="_","???",C171))</f>
        <v/>
      </c>
      <c r="H171" s="10" t="s">
        <v>12</v>
      </c>
      <c r="I171" s="11" t="s">
        <v>12</v>
      </c>
      <c r="J171" s="12"/>
    </row>
    <row r="172" spans="1:10" ht="60" customHeight="1">
      <c r="A172" s="6" t="s">
        <v>642</v>
      </c>
      <c r="B172" s="6" t="s">
        <v>16</v>
      </c>
      <c r="C172" s="6" t="s">
        <v>12</v>
      </c>
      <c r="D172" s="7" t="s">
        <v>643</v>
      </c>
      <c r="E172" s="8" t="s">
        <v>644</v>
      </c>
      <c r="F172" s="6" t="s">
        <v>645</v>
      </c>
      <c r="G172" s="9">
        <f>IF(A172=1,"_",IF(C172="_","???",C172))</f>
        <v/>
      </c>
      <c r="H172" s="10" t="s">
        <v>12</v>
      </c>
      <c r="I172" s="11" t="s">
        <v>12</v>
      </c>
      <c r="J172" s="12"/>
    </row>
    <row r="173" spans="1:10" ht="60" customHeight="1">
      <c r="A173" s="6" t="s">
        <v>646</v>
      </c>
      <c r="B173" s="6" t="s">
        <v>24</v>
      </c>
      <c r="C173" s="6" t="s">
        <v>12</v>
      </c>
      <c r="D173" s="7" t="s">
        <v>104</v>
      </c>
      <c r="E173" s="8" t="s">
        <v>647</v>
      </c>
      <c r="F173" s="6" t="s">
        <v>648</v>
      </c>
      <c r="G173" s="9">
        <f>IF(A173=1,"_",IF(C173="_","???",C173))</f>
        <v/>
      </c>
      <c r="H173" s="10" t="s">
        <v>12</v>
      </c>
      <c r="I173" s="11" t="s">
        <v>12</v>
      </c>
      <c r="J173" s="12"/>
    </row>
    <row r="174" spans="1:10" ht="60" customHeight="1">
      <c r="A174" s="6" t="s">
        <v>649</v>
      </c>
      <c r="B174" s="6" t="s">
        <v>11</v>
      </c>
      <c r="C174" s="6" t="s">
        <v>12</v>
      </c>
      <c r="D174" s="7" t="s">
        <v>650</v>
      </c>
      <c r="E174" s="8" t="s">
        <v>651</v>
      </c>
      <c r="F174" s="6" t="s">
        <v>652</v>
      </c>
      <c r="G174" s="9">
        <f>IF(A174=1,"_",IF(C174="_","???",C174))</f>
        <v/>
      </c>
      <c r="H174" s="10" t="s">
        <v>12</v>
      </c>
      <c r="I174" s="11" t="s">
        <v>12</v>
      </c>
      <c r="J174" s="12"/>
    </row>
    <row r="175" spans="1:10" ht="60" customHeight="1">
      <c r="A175" s="6" t="s">
        <v>653</v>
      </c>
      <c r="B175" s="6" t="s">
        <v>69</v>
      </c>
      <c r="C175" s="6" t="s">
        <v>12</v>
      </c>
      <c r="D175" s="7" t="s">
        <v>654</v>
      </c>
      <c r="E175" s="8" t="s">
        <v>655</v>
      </c>
      <c r="F175" s="6" t="s">
        <v>656</v>
      </c>
      <c r="G175" s="9">
        <f>IF(A175=1,"_",IF(C175="_","???",C175))</f>
        <v/>
      </c>
      <c r="H175" s="10" t="s">
        <v>12</v>
      </c>
      <c r="I175" s="11" t="s">
        <v>12</v>
      </c>
      <c r="J175" s="12"/>
    </row>
    <row r="176" spans="1:10" ht="60" customHeight="1">
      <c r="A176" s="6" t="s">
        <v>657</v>
      </c>
      <c r="B176" s="6" t="s">
        <v>61</v>
      </c>
      <c r="C176" s="6" t="s">
        <v>12</v>
      </c>
      <c r="D176" s="7" t="s">
        <v>658</v>
      </c>
      <c r="E176" s="8" t="s">
        <v>659</v>
      </c>
      <c r="F176" s="6" t="s">
        <v>660</v>
      </c>
      <c r="G176" s="9">
        <f>IF(A176=1,"_",IF(C176="_","???",C176))</f>
        <v/>
      </c>
      <c r="H176" s="10" t="s">
        <v>12</v>
      </c>
      <c r="I176" s="11" t="s">
        <v>12</v>
      </c>
      <c r="J176" s="12"/>
    </row>
    <row r="177" spans="1:10" ht="60" customHeight="1">
      <c r="A177" s="6" t="s">
        <v>661</v>
      </c>
      <c r="B177" s="6" t="s">
        <v>16</v>
      </c>
      <c r="C177" s="6" t="s">
        <v>12</v>
      </c>
      <c r="D177" s="7" t="s">
        <v>635</v>
      </c>
      <c r="E177" s="8" t="s">
        <v>662</v>
      </c>
      <c r="F177" s="6" t="s">
        <v>663</v>
      </c>
      <c r="G177" s="9">
        <f>IF(A177=1,"_",IF(C177="_","???",C177))</f>
        <v/>
      </c>
      <c r="H177" s="10" t="s">
        <v>12</v>
      </c>
      <c r="I177" s="11" t="s">
        <v>12</v>
      </c>
      <c r="J177" s="12"/>
    </row>
    <row r="178" spans="1:10" ht="60" customHeight="1">
      <c r="A178" s="6" t="s">
        <v>664</v>
      </c>
      <c r="B178" s="6" t="s">
        <v>17</v>
      </c>
      <c r="C178" s="6" t="s">
        <v>12</v>
      </c>
      <c r="D178" s="7" t="s">
        <v>665</v>
      </c>
      <c r="E178" s="8" t="s">
        <v>666</v>
      </c>
      <c r="F178" s="6" t="s">
        <v>667</v>
      </c>
      <c r="G178" s="9">
        <f>IF(A178=1,"_",IF(C178="_","???",C178))</f>
        <v/>
      </c>
      <c r="H178" s="10" t="s">
        <v>12</v>
      </c>
      <c r="I178" s="11" t="s">
        <v>12</v>
      </c>
      <c r="J178" s="12"/>
    </row>
    <row r="179" spans="1:10" ht="60" customHeight="1">
      <c r="A179" s="6" t="s">
        <v>668</v>
      </c>
      <c r="B179" s="6" t="s">
        <v>11</v>
      </c>
      <c r="C179" s="6" t="s">
        <v>12</v>
      </c>
      <c r="D179" s="7" t="s">
        <v>669</v>
      </c>
      <c r="E179" s="8" t="s">
        <v>670</v>
      </c>
      <c r="F179" s="6" t="s">
        <v>671</v>
      </c>
      <c r="G179" s="9">
        <f>IF(A179=1,"_",IF(C179="_","???",C179))</f>
        <v/>
      </c>
      <c r="H179" s="10" t="s">
        <v>12</v>
      </c>
      <c r="I179" s="11" t="s">
        <v>12</v>
      </c>
      <c r="J179" s="12"/>
    </row>
    <row r="180" spans="1:10" ht="60" customHeight="1">
      <c r="A180" s="6" t="s">
        <v>672</v>
      </c>
      <c r="B180" s="6" t="s">
        <v>16</v>
      </c>
      <c r="C180" s="6" t="s">
        <v>12</v>
      </c>
      <c r="D180" s="7" t="s">
        <v>100</v>
      </c>
      <c r="E180" s="8" t="s">
        <v>673</v>
      </c>
      <c r="F180" s="6" t="s">
        <v>674</v>
      </c>
      <c r="G180" s="9">
        <f>IF(A180=1,"_",IF(C180="_","???",C180))</f>
        <v/>
      </c>
      <c r="H180" s="10" t="s">
        <v>12</v>
      </c>
      <c r="I180" s="11" t="s">
        <v>12</v>
      </c>
      <c r="J180" s="12"/>
    </row>
    <row r="181" spans="1:10" ht="60" customHeight="1">
      <c r="A181" s="6" t="s">
        <v>675</v>
      </c>
      <c r="B181" s="6" t="s">
        <v>17</v>
      </c>
      <c r="C181" s="6" t="s">
        <v>12</v>
      </c>
      <c r="D181" s="7" t="s">
        <v>100</v>
      </c>
      <c r="E181" s="8" t="s">
        <v>676</v>
      </c>
      <c r="F181" s="6" t="s">
        <v>677</v>
      </c>
      <c r="G181" s="9">
        <f>IF(A181=1,"_",IF(C181="_","???",C181))</f>
        <v/>
      </c>
      <c r="H181" s="10" t="s">
        <v>12</v>
      </c>
      <c r="I181" s="11" t="s">
        <v>12</v>
      </c>
      <c r="J181" s="12"/>
    </row>
    <row r="182" spans="1:10" ht="60" customHeight="1">
      <c r="A182" s="6" t="s">
        <v>678</v>
      </c>
      <c r="B182" s="6" t="s">
        <v>32</v>
      </c>
      <c r="C182" s="6" t="s">
        <v>12</v>
      </c>
      <c r="D182" s="7" t="s">
        <v>679</v>
      </c>
      <c r="E182" s="8" t="s">
        <v>680</v>
      </c>
      <c r="F182" s="6" t="s">
        <v>681</v>
      </c>
      <c r="G182" s="9">
        <f>IF(A182=1,"_",IF(C182="_","???",C182))</f>
        <v/>
      </c>
      <c r="H182" s="10" t="s">
        <v>12</v>
      </c>
      <c r="I182" s="11" t="s">
        <v>12</v>
      </c>
      <c r="J182" s="12"/>
    </row>
    <row r="183" spans="1:10" ht="60" customHeight="1">
      <c r="A183" s="6" t="s">
        <v>682</v>
      </c>
      <c r="B183" s="6" t="s">
        <v>16</v>
      </c>
      <c r="C183" s="6" t="s">
        <v>12</v>
      </c>
      <c r="D183" s="7" t="s">
        <v>100</v>
      </c>
      <c r="E183" s="8" t="s">
        <v>683</v>
      </c>
      <c r="F183" s="6" t="s">
        <v>684</v>
      </c>
      <c r="G183" s="9">
        <f>IF(A183=1,"_",IF(C183="_","???",C183))</f>
        <v/>
      </c>
      <c r="H183" s="10" t="s">
        <v>12</v>
      </c>
      <c r="I183" s="11" t="s">
        <v>12</v>
      </c>
      <c r="J183" s="12"/>
    </row>
    <row r="184" spans="1:10" ht="60" customHeight="1">
      <c r="A184" s="6" t="s">
        <v>685</v>
      </c>
      <c r="B184" s="6" t="s">
        <v>11</v>
      </c>
      <c r="C184" s="6" t="s">
        <v>12</v>
      </c>
      <c r="D184" s="7" t="s">
        <v>100</v>
      </c>
      <c r="E184" s="8" t="s">
        <v>686</v>
      </c>
      <c r="F184" s="6" t="s">
        <v>687</v>
      </c>
      <c r="G184" s="9">
        <f>IF(A184=1,"_",IF(C184="_","???",C184))</f>
        <v/>
      </c>
      <c r="H184" s="10" t="s">
        <v>12</v>
      </c>
      <c r="I184" s="11" t="s">
        <v>12</v>
      </c>
      <c r="J184" s="12"/>
    </row>
    <row r="185" spans="1:10" ht="60" customHeight="1">
      <c r="A185" s="6" t="s">
        <v>688</v>
      </c>
      <c r="B185" s="6" t="s">
        <v>16</v>
      </c>
      <c r="C185" s="6" t="s">
        <v>12</v>
      </c>
      <c r="D185" s="7" t="s">
        <v>689</v>
      </c>
      <c r="E185" s="8" t="s">
        <v>690</v>
      </c>
      <c r="F185" s="6" t="s">
        <v>691</v>
      </c>
      <c r="G185" s="9">
        <f>IF(A185=1,"_",IF(C185="_","???",C185))</f>
        <v/>
      </c>
      <c r="H185" s="10" t="s">
        <v>12</v>
      </c>
      <c r="I185" s="11" t="s">
        <v>12</v>
      </c>
      <c r="J185" s="12"/>
    </row>
    <row r="186" spans="1:10" ht="60" customHeight="1">
      <c r="A186" s="6" t="s">
        <v>692</v>
      </c>
      <c r="B186" s="6" t="s">
        <v>17</v>
      </c>
      <c r="C186" s="6" t="s">
        <v>12</v>
      </c>
      <c r="D186" s="7" t="s">
        <v>693</v>
      </c>
      <c r="E186" s="8" t="s">
        <v>694</v>
      </c>
      <c r="F186" s="6" t="s">
        <v>695</v>
      </c>
      <c r="G186" s="9">
        <f>IF(A186=1,"_",IF(C186="_","???",C186))</f>
        <v/>
      </c>
      <c r="H186" s="10" t="s">
        <v>12</v>
      </c>
      <c r="I186" s="11" t="s">
        <v>12</v>
      </c>
      <c r="J186" s="12"/>
    </row>
    <row r="187" spans="1:10" ht="60" customHeight="1">
      <c r="A187" s="6" t="s">
        <v>696</v>
      </c>
      <c r="B187" s="6" t="s">
        <v>16</v>
      </c>
      <c r="C187" s="6" t="s">
        <v>12</v>
      </c>
      <c r="D187" s="7" t="s">
        <v>100</v>
      </c>
      <c r="E187" s="8" t="s">
        <v>697</v>
      </c>
      <c r="F187" s="6" t="s">
        <v>698</v>
      </c>
      <c r="G187" s="9">
        <f>IF(A187=1,"_",IF(C187="_","???",C187))</f>
        <v/>
      </c>
      <c r="H187" s="10" t="s">
        <v>12</v>
      </c>
      <c r="I187" s="11" t="s">
        <v>12</v>
      </c>
      <c r="J187" s="12"/>
    </row>
    <row r="188" spans="1:10" ht="60" customHeight="1">
      <c r="A188" s="6" t="s">
        <v>699</v>
      </c>
      <c r="B188" s="6" t="s">
        <v>72</v>
      </c>
      <c r="C188" s="6" t="s">
        <v>12</v>
      </c>
      <c r="D188" s="7" t="s">
        <v>100</v>
      </c>
      <c r="E188" s="8" t="s">
        <v>700</v>
      </c>
      <c r="F188" s="6" t="s">
        <v>701</v>
      </c>
      <c r="G188" s="9">
        <f>IF(A188=1,"_",IF(C188="_","???",C188))</f>
        <v/>
      </c>
      <c r="H188" s="10" t="s">
        <v>12</v>
      </c>
      <c r="I188" s="11" t="s">
        <v>12</v>
      </c>
      <c r="J188" s="12"/>
    </row>
    <row r="189" spans="1:10" ht="60" customHeight="1">
      <c r="A189" s="6" t="s">
        <v>702</v>
      </c>
      <c r="B189" s="6" t="s">
        <v>16</v>
      </c>
      <c r="C189" s="6" t="s">
        <v>12</v>
      </c>
      <c r="D189" s="7" t="s">
        <v>703</v>
      </c>
      <c r="E189" s="8" t="s">
        <v>704</v>
      </c>
      <c r="F189" s="6" t="s">
        <v>705</v>
      </c>
      <c r="G189" s="9">
        <f>IF(A189=1,"_",IF(C189="_","???",C189))</f>
        <v/>
      </c>
      <c r="H189" s="10" t="s">
        <v>12</v>
      </c>
      <c r="I189" s="11" t="s">
        <v>12</v>
      </c>
      <c r="J189" s="12"/>
    </row>
    <row r="190" spans="1:10" ht="60" customHeight="1">
      <c r="A190" s="6" t="s">
        <v>706</v>
      </c>
      <c r="B190" s="6" t="s">
        <v>40</v>
      </c>
      <c r="C190" s="6" t="s">
        <v>12</v>
      </c>
      <c r="D190" s="7" t="s">
        <v>707</v>
      </c>
      <c r="E190" s="8" t="s">
        <v>708</v>
      </c>
      <c r="F190" s="6" t="s">
        <v>709</v>
      </c>
      <c r="G190" s="9">
        <f>IF(A190=1,"_",IF(C190="_","???",C190))</f>
        <v/>
      </c>
      <c r="H190" s="10" t="s">
        <v>12</v>
      </c>
      <c r="I190" s="11" t="s">
        <v>12</v>
      </c>
      <c r="J190" s="12"/>
    </row>
    <row r="191" spans="1:10" ht="60" customHeight="1">
      <c r="A191" s="6" t="s">
        <v>710</v>
      </c>
      <c r="B191" s="6" t="s">
        <v>16</v>
      </c>
      <c r="C191" s="6" t="s">
        <v>12</v>
      </c>
      <c r="D191" s="7" t="s">
        <v>711</v>
      </c>
      <c r="E191" s="8" t="s">
        <v>712</v>
      </c>
      <c r="F191" s="6" t="s">
        <v>713</v>
      </c>
      <c r="G191" s="9">
        <f>IF(A191=1,"_",IF(C191="_","???",C191))</f>
        <v/>
      </c>
      <c r="H191" s="10" t="s">
        <v>12</v>
      </c>
      <c r="I191" s="11" t="s">
        <v>12</v>
      </c>
      <c r="J191" s="12"/>
    </row>
    <row r="192" spans="1:10" ht="60" customHeight="1">
      <c r="A192" s="6" t="s">
        <v>714</v>
      </c>
      <c r="B192" s="6" t="s">
        <v>24</v>
      </c>
      <c r="C192" s="6" t="s">
        <v>12</v>
      </c>
      <c r="D192" s="7" t="s">
        <v>715</v>
      </c>
      <c r="E192" s="8" t="s">
        <v>716</v>
      </c>
      <c r="F192" s="6" t="s">
        <v>717</v>
      </c>
      <c r="G192" s="9">
        <f>IF(A192=1,"_",IF(C192="_","???",C192))</f>
        <v/>
      </c>
      <c r="H192" s="10" t="s">
        <v>12</v>
      </c>
      <c r="I192" s="11" t="s">
        <v>12</v>
      </c>
      <c r="J192" s="12"/>
    </row>
    <row r="193" spans="1:10" ht="60" customHeight="1">
      <c r="A193" s="6" t="s">
        <v>718</v>
      </c>
      <c r="B193" s="6" t="s">
        <v>16</v>
      </c>
      <c r="C193" s="6" t="s">
        <v>12</v>
      </c>
      <c r="D193" s="7" t="s">
        <v>719</v>
      </c>
      <c r="E193" s="8" t="s">
        <v>720</v>
      </c>
      <c r="F193" s="6" t="s">
        <v>721</v>
      </c>
      <c r="G193" s="9">
        <f>IF(A193=1,"_",IF(C193="_","???",C193))</f>
        <v/>
      </c>
      <c r="H193" s="10" t="s">
        <v>12</v>
      </c>
      <c r="I193" s="11" t="s">
        <v>12</v>
      </c>
      <c r="J193" s="12"/>
    </row>
    <row r="194" spans="1:10" ht="60" customHeight="1">
      <c r="A194" s="6" t="s">
        <v>722</v>
      </c>
      <c r="B194" s="6" t="s">
        <v>32</v>
      </c>
      <c r="C194" s="6" t="s">
        <v>12</v>
      </c>
      <c r="D194" s="7" t="s">
        <v>723</v>
      </c>
      <c r="E194" s="8" t="s">
        <v>724</v>
      </c>
      <c r="F194" s="6" t="s">
        <v>725</v>
      </c>
      <c r="G194" s="9">
        <f>IF(A194=1,"_",IF(C194="_","???",C194))</f>
        <v/>
      </c>
      <c r="H194" s="10" t="s">
        <v>12</v>
      </c>
      <c r="I194" s="11" t="s">
        <v>12</v>
      </c>
      <c r="J194" s="12"/>
    </row>
    <row r="195" spans="1:10" ht="60" customHeight="1">
      <c r="A195" s="6" t="s">
        <v>726</v>
      </c>
      <c r="B195" s="6" t="s">
        <v>16</v>
      </c>
      <c r="C195" s="6" t="s">
        <v>12</v>
      </c>
      <c r="D195" s="7" t="s">
        <v>727</v>
      </c>
      <c r="E195" s="8" t="s">
        <v>728</v>
      </c>
      <c r="F195" s="6" t="s">
        <v>729</v>
      </c>
      <c r="G195" s="9">
        <f>IF(A195=1,"_",IF(C195="_","???",C195))</f>
        <v/>
      </c>
      <c r="H195" s="10" t="s">
        <v>12</v>
      </c>
      <c r="I195" s="11" t="s">
        <v>12</v>
      </c>
      <c r="J195" s="12"/>
    </row>
    <row r="196" spans="1:10" ht="60" customHeight="1">
      <c r="A196" s="6" t="s">
        <v>730</v>
      </c>
      <c r="B196" s="6" t="s">
        <v>16</v>
      </c>
      <c r="C196" s="6" t="s">
        <v>57</v>
      </c>
      <c r="D196" s="7" t="s">
        <v>470</v>
      </c>
      <c r="E196" s="8" t="s">
        <v>731</v>
      </c>
      <c r="F196" s="6" t="s">
        <v>732</v>
      </c>
      <c r="G196" s="9">
        <f>IF(A196=1,"_",IF(C196="_","???",C196))</f>
        <v/>
      </c>
      <c r="H196" s="10" t="s">
        <v>12</v>
      </c>
      <c r="I196" s="11" t="s">
        <v>12</v>
      </c>
      <c r="J196" s="12"/>
    </row>
    <row r="197" spans="1:10" ht="60" customHeight="1">
      <c r="A197" s="6" t="s">
        <v>733</v>
      </c>
      <c r="B197" s="6" t="s">
        <v>11</v>
      </c>
      <c r="C197" s="6" t="s">
        <v>12</v>
      </c>
      <c r="D197" s="7" t="s">
        <v>100</v>
      </c>
      <c r="E197" s="8" t="s">
        <v>734</v>
      </c>
      <c r="F197" s="6" t="s">
        <v>735</v>
      </c>
      <c r="G197" s="9">
        <f>IF(A197=1,"_",IF(C197="_","???",C197))</f>
        <v/>
      </c>
      <c r="H197" s="10" t="s">
        <v>12</v>
      </c>
      <c r="I197" s="11" t="s">
        <v>12</v>
      </c>
      <c r="J197" s="12"/>
    </row>
    <row r="198" spans="1:10" ht="60" customHeight="1">
      <c r="A198" s="6" t="s">
        <v>736</v>
      </c>
      <c r="B198" s="6" t="s">
        <v>11</v>
      </c>
      <c r="C198" s="6" t="s">
        <v>12</v>
      </c>
      <c r="D198" s="7" t="s">
        <v>654</v>
      </c>
      <c r="E198" s="8" t="s">
        <v>737</v>
      </c>
      <c r="F198" s="6" t="s">
        <v>738</v>
      </c>
      <c r="G198" s="9">
        <f>IF(A198=1,"_",IF(C198="_","???",C198))</f>
        <v/>
      </c>
      <c r="H198" s="10" t="s">
        <v>12</v>
      </c>
      <c r="I198" s="11" t="s">
        <v>12</v>
      </c>
      <c r="J198" s="12"/>
    </row>
    <row r="199" spans="1:10" ht="60" customHeight="1">
      <c r="A199" s="6" t="s">
        <v>739</v>
      </c>
      <c r="B199" s="6" t="s">
        <v>16</v>
      </c>
      <c r="C199" s="6" t="s">
        <v>12</v>
      </c>
      <c r="D199" s="7" t="s">
        <v>740</v>
      </c>
      <c r="E199" s="8" t="s">
        <v>741</v>
      </c>
      <c r="F199" s="6" t="s">
        <v>742</v>
      </c>
      <c r="G199" s="9">
        <f>IF(A199=1,"_",IF(C199="_","???",C199))</f>
        <v/>
      </c>
      <c r="H199" s="10" t="s">
        <v>12</v>
      </c>
      <c r="I199" s="11" t="s">
        <v>12</v>
      </c>
      <c r="J199" s="12"/>
    </row>
    <row r="200" spans="1:10" ht="60" customHeight="1">
      <c r="A200" s="6" t="s">
        <v>743</v>
      </c>
      <c r="B200" s="6" t="s">
        <v>16</v>
      </c>
      <c r="C200" s="6" t="s">
        <v>12</v>
      </c>
      <c r="D200" s="7" t="s">
        <v>100</v>
      </c>
      <c r="E200" s="8" t="s">
        <v>744</v>
      </c>
      <c r="F200" s="6" t="s">
        <v>745</v>
      </c>
      <c r="G200" s="9">
        <f>IF(A200=1,"_",IF(C200="_","???",C200))</f>
        <v/>
      </c>
      <c r="H200" s="10" t="s">
        <v>12</v>
      </c>
      <c r="I200" s="11" t="s">
        <v>12</v>
      </c>
      <c r="J200" s="12"/>
    </row>
    <row r="201" spans="1:10" ht="60" customHeight="1">
      <c r="A201" s="6" t="s">
        <v>746</v>
      </c>
      <c r="B201" s="6" t="s">
        <v>16</v>
      </c>
      <c r="C201" s="6" t="s">
        <v>12</v>
      </c>
      <c r="D201" s="7" t="s">
        <v>747</v>
      </c>
      <c r="E201" s="8" t="s">
        <v>748</v>
      </c>
      <c r="F201" s="6" t="s">
        <v>749</v>
      </c>
      <c r="G201" s="9">
        <f>IF(A201=1,"_",IF(C201="_","???",C201))</f>
        <v/>
      </c>
      <c r="H201" s="10" t="s">
        <v>12</v>
      </c>
      <c r="I201" s="11" t="s">
        <v>12</v>
      </c>
      <c r="J201" s="12"/>
    </row>
    <row r="202" spans="1:10" ht="60" customHeight="1">
      <c r="A202" s="6" t="s">
        <v>750</v>
      </c>
      <c r="B202" s="6" t="s">
        <v>24</v>
      </c>
      <c r="C202" s="6" t="s">
        <v>12</v>
      </c>
      <c r="D202" s="7" t="s">
        <v>751</v>
      </c>
      <c r="E202" s="8" t="s">
        <v>752</v>
      </c>
      <c r="F202" s="6" t="s">
        <v>753</v>
      </c>
      <c r="G202" s="9">
        <f>IF(A202=1,"_",IF(C202="_","???",C202))</f>
        <v/>
      </c>
      <c r="H202" s="10" t="s">
        <v>12</v>
      </c>
      <c r="I202" s="11" t="s">
        <v>12</v>
      </c>
      <c r="J202" s="12"/>
    </row>
    <row r="203" spans="1:10" ht="60" customHeight="1">
      <c r="A203" s="6" t="s">
        <v>754</v>
      </c>
      <c r="B203" s="6" t="s">
        <v>40</v>
      </c>
      <c r="C203" s="6" t="s">
        <v>12</v>
      </c>
      <c r="D203" s="7" t="s">
        <v>755</v>
      </c>
      <c r="E203" s="8" t="s">
        <v>756</v>
      </c>
      <c r="F203" s="6" t="s">
        <v>757</v>
      </c>
      <c r="G203" s="9">
        <f>IF(A203=1,"_",IF(C203="_","???",C203))</f>
        <v/>
      </c>
      <c r="H203" s="10" t="s">
        <v>12</v>
      </c>
      <c r="I203" s="11" t="s">
        <v>12</v>
      </c>
      <c r="J203" s="12"/>
    </row>
    <row r="204" spans="1:10" ht="60" customHeight="1">
      <c r="A204" s="6" t="s">
        <v>758</v>
      </c>
      <c r="B204" s="6" t="s">
        <v>11</v>
      </c>
      <c r="C204" s="6" t="s">
        <v>12</v>
      </c>
      <c r="D204" s="7" t="s">
        <v>241</v>
      </c>
      <c r="E204" s="8" t="s">
        <v>759</v>
      </c>
      <c r="F204" s="6" t="s">
        <v>760</v>
      </c>
      <c r="G204" s="9">
        <f>IF(A204=1,"_",IF(C204="_","???",C204))</f>
        <v/>
      </c>
      <c r="H204" s="10" t="s">
        <v>12</v>
      </c>
      <c r="I204" s="11" t="s">
        <v>12</v>
      </c>
      <c r="J204" s="12"/>
    </row>
    <row r="205" spans="1:10" ht="60" customHeight="1">
      <c r="A205" s="6" t="s">
        <v>761</v>
      </c>
      <c r="B205" s="6" t="s">
        <v>16</v>
      </c>
      <c r="C205" s="6" t="s">
        <v>12</v>
      </c>
      <c r="D205" s="7" t="s">
        <v>150</v>
      </c>
      <c r="E205" s="8" t="s">
        <v>762</v>
      </c>
      <c r="F205" s="6" t="s">
        <v>763</v>
      </c>
      <c r="G205" s="9">
        <f>IF(A205=1,"_",IF(C205="_","???",C205))</f>
        <v/>
      </c>
      <c r="H205" s="10" t="s">
        <v>12</v>
      </c>
      <c r="I205" s="11" t="s">
        <v>12</v>
      </c>
      <c r="J205" s="12"/>
    </row>
    <row r="206" spans="1:10" ht="60" customHeight="1">
      <c r="A206" s="6" t="s">
        <v>764</v>
      </c>
      <c r="B206" s="6" t="s">
        <v>16</v>
      </c>
      <c r="C206" s="6" t="s">
        <v>12</v>
      </c>
      <c r="D206" s="7" t="s">
        <v>241</v>
      </c>
      <c r="E206" s="8" t="s">
        <v>765</v>
      </c>
      <c r="F206" s="6" t="s">
        <v>766</v>
      </c>
      <c r="G206" s="9">
        <f>IF(A206=1,"_",IF(C206="_","???",C206))</f>
        <v/>
      </c>
      <c r="H206" s="10" t="s">
        <v>12</v>
      </c>
      <c r="I206" s="11" t="s">
        <v>12</v>
      </c>
      <c r="J206" s="12"/>
    </row>
    <row r="207" spans="1:10" ht="60" customHeight="1">
      <c r="A207" s="6" t="s">
        <v>767</v>
      </c>
      <c r="B207" s="6" t="s">
        <v>16</v>
      </c>
      <c r="C207" s="6" t="s">
        <v>12</v>
      </c>
      <c r="D207" s="7" t="s">
        <v>768</v>
      </c>
      <c r="E207" s="8" t="s">
        <v>769</v>
      </c>
      <c r="F207" s="6" t="s">
        <v>770</v>
      </c>
      <c r="G207" s="9">
        <f>IF(A207=1,"_",IF(C207="_","???",C207))</f>
        <v/>
      </c>
      <c r="H207" s="10" t="s">
        <v>12</v>
      </c>
      <c r="I207" s="11" t="s">
        <v>12</v>
      </c>
      <c r="J207" s="12"/>
    </row>
    <row r="208" spans="1:10" ht="60" customHeight="1">
      <c r="A208" s="6" t="s">
        <v>771</v>
      </c>
      <c r="B208" s="6" t="s">
        <v>11</v>
      </c>
      <c r="C208" s="6" t="s">
        <v>12</v>
      </c>
      <c r="D208" s="7" t="s">
        <v>100</v>
      </c>
      <c r="E208" s="8" t="s">
        <v>772</v>
      </c>
      <c r="F208" s="6" t="s">
        <v>773</v>
      </c>
      <c r="G208" s="9">
        <f>IF(A208=1,"_",IF(C208="_","???",C208))</f>
        <v/>
      </c>
      <c r="H208" s="10" t="s">
        <v>12</v>
      </c>
      <c r="I208" s="11" t="s">
        <v>12</v>
      </c>
      <c r="J208" s="12"/>
    </row>
    <row r="209" spans="1:10" ht="60" customHeight="1">
      <c r="A209" s="6" t="s">
        <v>774</v>
      </c>
      <c r="B209" s="6" t="s">
        <v>32</v>
      </c>
      <c r="C209" s="6" t="s">
        <v>12</v>
      </c>
      <c r="D209" s="7" t="s">
        <v>775</v>
      </c>
      <c r="E209" s="8" t="s">
        <v>776</v>
      </c>
      <c r="F209" s="6" t="s">
        <v>777</v>
      </c>
      <c r="G209" s="9">
        <f>IF(A209=1,"_",IF(C209="_","???",C209))</f>
        <v/>
      </c>
      <c r="H209" s="10" t="s">
        <v>12</v>
      </c>
      <c r="I209" s="11" t="s">
        <v>12</v>
      </c>
      <c r="J209" s="12"/>
    </row>
    <row r="210" spans="1:10" ht="60" customHeight="1">
      <c r="A210" s="6" t="s">
        <v>778</v>
      </c>
      <c r="B210" s="6" t="s">
        <v>10</v>
      </c>
      <c r="C210" s="6" t="s">
        <v>12</v>
      </c>
      <c r="D210" s="7" t="s">
        <v>779</v>
      </c>
      <c r="E210" s="8" t="s">
        <v>780</v>
      </c>
      <c r="F210" s="6" t="s">
        <v>781</v>
      </c>
      <c r="G210" s="9">
        <f>IF(A210=1,"_",IF(C210="_","???",C210))</f>
        <v/>
      </c>
      <c r="H210" s="10" t="s">
        <v>12</v>
      </c>
      <c r="I210" s="11" t="s">
        <v>12</v>
      </c>
      <c r="J210" s="12"/>
    </row>
    <row r="211" spans="1:10" ht="60" customHeight="1">
      <c r="A211" s="6" t="s">
        <v>782</v>
      </c>
      <c r="B211" s="6" t="s">
        <v>24</v>
      </c>
      <c r="C211" s="6" t="s">
        <v>12</v>
      </c>
      <c r="D211" s="7" t="s">
        <v>100</v>
      </c>
      <c r="E211" s="8" t="s">
        <v>783</v>
      </c>
      <c r="F211" s="6" t="s">
        <v>784</v>
      </c>
      <c r="G211" s="9">
        <f>IF(A211=1,"_",IF(C211="_","???",C211))</f>
        <v/>
      </c>
      <c r="H211" s="10" t="s">
        <v>12</v>
      </c>
      <c r="I211" s="11" t="s">
        <v>12</v>
      </c>
      <c r="J211" s="12"/>
    </row>
    <row r="212" spans="1:10" ht="60" customHeight="1">
      <c r="A212" s="6" t="s">
        <v>785</v>
      </c>
      <c r="B212" s="6" t="s">
        <v>114</v>
      </c>
      <c r="C212" s="6" t="s">
        <v>12</v>
      </c>
      <c r="D212" s="7" t="s">
        <v>786</v>
      </c>
      <c r="E212" s="8" t="s">
        <v>787</v>
      </c>
      <c r="F212" s="6" t="s">
        <v>788</v>
      </c>
      <c r="G212" s="9">
        <f>IF(A212=1,"_",IF(C212="_","???",C212))</f>
        <v/>
      </c>
      <c r="H212" s="10" t="s">
        <v>12</v>
      </c>
      <c r="I212" s="11" t="s">
        <v>12</v>
      </c>
      <c r="J212" s="12"/>
    </row>
    <row r="213" spans="1:10" ht="60" customHeight="1">
      <c r="A213" s="6" t="s">
        <v>789</v>
      </c>
      <c r="B213" s="6" t="s">
        <v>24</v>
      </c>
      <c r="C213" s="6" t="s">
        <v>12</v>
      </c>
      <c r="D213" s="7" t="s">
        <v>790</v>
      </c>
      <c r="E213" s="8" t="s">
        <v>791</v>
      </c>
      <c r="F213" s="6" t="s">
        <v>792</v>
      </c>
      <c r="G213" s="9">
        <f>IF(A213=1,"_",IF(C213="_","???",C213))</f>
        <v/>
      </c>
      <c r="H213" s="10" t="s">
        <v>12</v>
      </c>
      <c r="I213" s="11" t="s">
        <v>12</v>
      </c>
      <c r="J213" s="12"/>
    </row>
    <row r="214" spans="1:10" ht="60" customHeight="1">
      <c r="A214" s="6" t="s">
        <v>793</v>
      </c>
      <c r="B214" s="6" t="s">
        <v>16</v>
      </c>
      <c r="C214" s="6" t="s">
        <v>12</v>
      </c>
      <c r="D214" s="7" t="s">
        <v>794</v>
      </c>
      <c r="E214" s="8" t="s">
        <v>795</v>
      </c>
      <c r="F214" s="6" t="s">
        <v>796</v>
      </c>
      <c r="G214" s="9">
        <f>IF(A214=1,"_",IF(C214="_","???",C214))</f>
        <v/>
      </c>
      <c r="H214" s="10" t="s">
        <v>12</v>
      </c>
      <c r="I214" s="11" t="s">
        <v>12</v>
      </c>
      <c r="J214" s="12"/>
    </row>
    <row r="215" spans="1:10" ht="60" customHeight="1">
      <c r="A215" s="6" t="s">
        <v>797</v>
      </c>
      <c r="B215" s="6" t="s">
        <v>16</v>
      </c>
      <c r="C215" s="6" t="s">
        <v>12</v>
      </c>
      <c r="D215" s="7" t="s">
        <v>665</v>
      </c>
      <c r="E215" s="8" t="s">
        <v>798</v>
      </c>
      <c r="F215" s="6" t="s">
        <v>799</v>
      </c>
      <c r="G215" s="9">
        <f>IF(A215=1,"_",IF(C215="_","???",C215))</f>
        <v/>
      </c>
      <c r="H215" s="10" t="s">
        <v>12</v>
      </c>
      <c r="I215" s="11" t="s">
        <v>12</v>
      </c>
      <c r="J215" s="12"/>
    </row>
    <row r="216" spans="1:10" ht="60" customHeight="1">
      <c r="A216" s="6" t="s">
        <v>800</v>
      </c>
      <c r="B216" s="6" t="s">
        <v>11</v>
      </c>
      <c r="C216" s="6" t="s">
        <v>12</v>
      </c>
      <c r="D216" s="7" t="s">
        <v>100</v>
      </c>
      <c r="E216" s="8" t="s">
        <v>801</v>
      </c>
      <c r="F216" s="6" t="s">
        <v>802</v>
      </c>
      <c r="G216" s="9">
        <f>IF(A216=1,"_",IF(C216="_","???",C216))</f>
        <v/>
      </c>
      <c r="H216" s="10" t="s">
        <v>12</v>
      </c>
      <c r="I216" s="11" t="s">
        <v>12</v>
      </c>
      <c r="J216" s="12"/>
    </row>
    <row r="217" spans="1:10" ht="60" customHeight="1">
      <c r="A217" s="6" t="s">
        <v>803</v>
      </c>
      <c r="B217" s="6" t="s">
        <v>11</v>
      </c>
      <c r="C217" s="6" t="s">
        <v>12</v>
      </c>
      <c r="D217" s="7" t="s">
        <v>804</v>
      </c>
      <c r="E217" s="8" t="s">
        <v>805</v>
      </c>
      <c r="F217" s="6" t="s">
        <v>806</v>
      </c>
      <c r="G217" s="9">
        <f>IF(A217=1,"_",IF(C217="_","???",C217))</f>
        <v/>
      </c>
      <c r="H217" s="10" t="s">
        <v>12</v>
      </c>
      <c r="I217" s="11" t="s">
        <v>12</v>
      </c>
      <c r="J217" s="12"/>
    </row>
    <row r="218" spans="1:10" ht="60" customHeight="1">
      <c r="A218" s="6" t="s">
        <v>807</v>
      </c>
      <c r="B218" s="6" t="s">
        <v>10</v>
      </c>
      <c r="C218" s="6" t="s">
        <v>12</v>
      </c>
      <c r="D218" s="7" t="s">
        <v>808</v>
      </c>
      <c r="E218" s="8" t="s">
        <v>809</v>
      </c>
      <c r="F218" s="6" t="s">
        <v>810</v>
      </c>
      <c r="G218" s="9">
        <f>IF(A218=1,"_",IF(C218="_","???",C218))</f>
        <v/>
      </c>
      <c r="H218" s="10" t="s">
        <v>12</v>
      </c>
      <c r="I218" s="11" t="s">
        <v>12</v>
      </c>
      <c r="J218" s="12"/>
    </row>
    <row r="219" spans="1:10" ht="60" customHeight="1">
      <c r="A219" s="6" t="s">
        <v>811</v>
      </c>
      <c r="B219" s="6" t="s">
        <v>16</v>
      </c>
      <c r="C219" s="6" t="s">
        <v>12</v>
      </c>
      <c r="D219" s="7" t="s">
        <v>812</v>
      </c>
      <c r="E219" s="8" t="s">
        <v>813</v>
      </c>
      <c r="F219" s="6" t="s">
        <v>814</v>
      </c>
      <c r="G219" s="9">
        <f>IF(A219=1,"_",IF(C219="_","???",C219))</f>
        <v/>
      </c>
      <c r="H219" s="10" t="s">
        <v>12</v>
      </c>
      <c r="I219" s="11" t="s">
        <v>12</v>
      </c>
      <c r="J219" s="12"/>
    </row>
    <row r="220" spans="1:10" ht="60" customHeight="1">
      <c r="A220" s="6" t="s">
        <v>815</v>
      </c>
      <c r="B220" s="6" t="s">
        <v>11</v>
      </c>
      <c r="C220" s="6" t="s">
        <v>12</v>
      </c>
      <c r="D220" s="7" t="s">
        <v>470</v>
      </c>
      <c r="E220" s="8" t="s">
        <v>816</v>
      </c>
      <c r="F220" s="6" t="s">
        <v>817</v>
      </c>
      <c r="G220" s="9">
        <f>IF(A220=1,"_",IF(C220="_","???",C220))</f>
        <v/>
      </c>
      <c r="H220" s="10" t="s">
        <v>12</v>
      </c>
      <c r="I220" s="11" t="s">
        <v>12</v>
      </c>
      <c r="J220" s="12"/>
    </row>
    <row r="221" spans="1:10" ht="60" customHeight="1">
      <c r="A221" s="6" t="s">
        <v>818</v>
      </c>
      <c r="B221" s="6" t="s">
        <v>16</v>
      </c>
      <c r="C221" s="6" t="s">
        <v>12</v>
      </c>
      <c r="D221" s="7" t="s">
        <v>514</v>
      </c>
      <c r="E221" s="8" t="s">
        <v>819</v>
      </c>
      <c r="F221" s="6" t="s">
        <v>820</v>
      </c>
      <c r="G221" s="9">
        <f>IF(A221=1,"_",IF(C221="_","???",C221))</f>
        <v/>
      </c>
      <c r="H221" s="10" t="s">
        <v>12</v>
      </c>
      <c r="I221" s="11" t="s">
        <v>12</v>
      </c>
      <c r="J221" s="12"/>
    </row>
    <row r="222" spans="1:10" ht="60" customHeight="1">
      <c r="A222" s="6" t="s">
        <v>821</v>
      </c>
      <c r="B222" s="6" t="s">
        <v>16</v>
      </c>
      <c r="C222" s="6" t="s">
        <v>12</v>
      </c>
      <c r="D222" s="7" t="s">
        <v>150</v>
      </c>
      <c r="E222" s="8" t="s">
        <v>822</v>
      </c>
      <c r="F222" s="6" t="s">
        <v>823</v>
      </c>
      <c r="G222" s="9">
        <f>IF(A222=1,"_",IF(C222="_","???",C222))</f>
        <v/>
      </c>
      <c r="H222" s="10" t="s">
        <v>12</v>
      </c>
      <c r="I222" s="11" t="s">
        <v>12</v>
      </c>
      <c r="J222" s="12"/>
    </row>
    <row r="223" spans="1:10" ht="60" customHeight="1">
      <c r="A223" s="6" t="s">
        <v>824</v>
      </c>
      <c r="B223" s="6" t="s">
        <v>16</v>
      </c>
      <c r="C223" s="6" t="s">
        <v>12</v>
      </c>
      <c r="D223" s="7" t="s">
        <v>825</v>
      </c>
      <c r="E223" s="8" t="s">
        <v>826</v>
      </c>
      <c r="F223" s="6" t="s">
        <v>827</v>
      </c>
      <c r="G223" s="9">
        <f>IF(A223=1,"_",IF(C223="_","???",C223))</f>
        <v/>
      </c>
      <c r="H223" s="10" t="s">
        <v>12</v>
      </c>
      <c r="I223" s="11" t="s">
        <v>12</v>
      </c>
      <c r="J223" s="12"/>
    </row>
    <row r="224" spans="1:10" ht="60" customHeight="1">
      <c r="A224" s="6" t="s">
        <v>828</v>
      </c>
      <c r="B224" s="6" t="s">
        <v>11</v>
      </c>
      <c r="C224" s="6" t="s">
        <v>12</v>
      </c>
      <c r="D224" s="7" t="s">
        <v>100</v>
      </c>
      <c r="E224" s="8" t="s">
        <v>829</v>
      </c>
      <c r="F224" s="6" t="s">
        <v>830</v>
      </c>
      <c r="G224" s="9">
        <f>IF(A224=1,"_",IF(C224="_","???",C224))</f>
        <v/>
      </c>
      <c r="H224" s="10" t="s">
        <v>12</v>
      </c>
      <c r="I224" s="11" t="s">
        <v>12</v>
      </c>
      <c r="J224" s="12"/>
    </row>
    <row r="225" spans="1:10" ht="60" customHeight="1">
      <c r="A225" s="6" t="s">
        <v>831</v>
      </c>
      <c r="B225" s="6" t="s">
        <v>24</v>
      </c>
      <c r="C225" s="6" t="s">
        <v>12</v>
      </c>
      <c r="D225" s="7" t="s">
        <v>832</v>
      </c>
      <c r="E225" s="8" t="s">
        <v>833</v>
      </c>
      <c r="F225" s="6" t="s">
        <v>834</v>
      </c>
      <c r="G225" s="9">
        <f>IF(A225=1,"_",IF(C225="_","???",C225))</f>
        <v/>
      </c>
      <c r="H225" s="10" t="s">
        <v>12</v>
      </c>
      <c r="I225" s="11" t="s">
        <v>12</v>
      </c>
      <c r="J225" s="12"/>
    </row>
    <row r="226" spans="1:10" ht="60" customHeight="1">
      <c r="A226" s="6" t="s">
        <v>835</v>
      </c>
      <c r="B226" s="6" t="s">
        <v>16</v>
      </c>
      <c r="C226" s="6" t="s">
        <v>12</v>
      </c>
      <c r="D226" s="7" t="s">
        <v>836</v>
      </c>
      <c r="E226" s="8" t="s">
        <v>837</v>
      </c>
      <c r="F226" s="6" t="s">
        <v>838</v>
      </c>
      <c r="G226" s="9">
        <f>IF(A226=1,"_",IF(C226="_","???",C226))</f>
        <v/>
      </c>
      <c r="H226" s="10" t="s">
        <v>12</v>
      </c>
      <c r="I226" s="11" t="s">
        <v>12</v>
      </c>
      <c r="J226" s="12"/>
    </row>
    <row r="227" spans="1:10" ht="60" customHeight="1">
      <c r="A227" s="6" t="s">
        <v>839</v>
      </c>
      <c r="B227" s="6" t="s">
        <v>11</v>
      </c>
      <c r="C227" s="6" t="s">
        <v>12</v>
      </c>
      <c r="D227" s="7" t="s">
        <v>610</v>
      </c>
      <c r="E227" s="8" t="s">
        <v>840</v>
      </c>
      <c r="F227" s="6" t="s">
        <v>841</v>
      </c>
      <c r="G227" s="9">
        <f>IF(A227=1,"_",IF(C227="_","???",C227))</f>
        <v/>
      </c>
      <c r="H227" s="10" t="s">
        <v>12</v>
      </c>
      <c r="I227" s="11" t="s">
        <v>12</v>
      </c>
      <c r="J227" s="12"/>
    </row>
    <row r="228" spans="1:10" ht="60" customHeight="1">
      <c r="A228" s="6" t="s">
        <v>842</v>
      </c>
      <c r="B228" s="6" t="s">
        <v>52</v>
      </c>
      <c r="C228" s="6" t="s">
        <v>12</v>
      </c>
      <c r="D228" s="7" t="s">
        <v>843</v>
      </c>
      <c r="E228" s="8" t="s">
        <v>844</v>
      </c>
      <c r="F228" s="6" t="s">
        <v>845</v>
      </c>
      <c r="G228" s="9">
        <f>IF(A228=1,"_",IF(C228="_","???",C228))</f>
        <v/>
      </c>
      <c r="H228" s="10" t="s">
        <v>12</v>
      </c>
      <c r="I228" s="11" t="s">
        <v>12</v>
      </c>
      <c r="J228" s="12"/>
    </row>
    <row r="229" spans="1:10" ht="60" customHeight="1">
      <c r="A229" s="6" t="s">
        <v>846</v>
      </c>
      <c r="B229" s="6" t="s">
        <v>16</v>
      </c>
      <c r="C229" s="6" t="s">
        <v>12</v>
      </c>
      <c r="D229" s="7" t="s">
        <v>610</v>
      </c>
      <c r="E229" s="8" t="s">
        <v>847</v>
      </c>
      <c r="F229" s="6" t="s">
        <v>848</v>
      </c>
      <c r="G229" s="9">
        <f>IF(A229=1,"_",IF(C229="_","???",C229))</f>
        <v/>
      </c>
      <c r="H229" s="10" t="s">
        <v>12</v>
      </c>
      <c r="I229" s="11" t="s">
        <v>12</v>
      </c>
      <c r="J229" s="12"/>
    </row>
    <row r="230" spans="1:10" ht="60" customHeight="1">
      <c r="A230" s="6" t="s">
        <v>849</v>
      </c>
      <c r="B230" s="6" t="s">
        <v>24</v>
      </c>
      <c r="C230" s="6" t="s">
        <v>12</v>
      </c>
      <c r="D230" s="7" t="s">
        <v>610</v>
      </c>
      <c r="E230" s="8" t="s">
        <v>850</v>
      </c>
      <c r="F230" s="6" t="s">
        <v>851</v>
      </c>
      <c r="G230" s="9">
        <f>IF(A230=1,"_",IF(C230="_","???",C230))</f>
        <v/>
      </c>
      <c r="H230" s="10" t="s">
        <v>12</v>
      </c>
      <c r="I230" s="11" t="s">
        <v>12</v>
      </c>
      <c r="J230" s="12"/>
    </row>
    <row r="231" spans="1:10" ht="60" customHeight="1">
      <c r="A231" s="6" t="s">
        <v>852</v>
      </c>
      <c r="B231" s="6" t="s">
        <v>16</v>
      </c>
      <c r="C231" s="6" t="s">
        <v>146</v>
      </c>
      <c r="D231" s="7" t="s">
        <v>470</v>
      </c>
      <c r="E231" s="8" t="s">
        <v>853</v>
      </c>
      <c r="F231" s="6" t="s">
        <v>854</v>
      </c>
      <c r="G231" s="9">
        <f>IF(A231=1,"_",IF(C231="_","???",C231))</f>
        <v/>
      </c>
      <c r="H231" s="10" t="s">
        <v>12</v>
      </c>
      <c r="I231" s="11" t="s">
        <v>12</v>
      </c>
      <c r="J231" s="12"/>
    </row>
    <row r="232" spans="1:10" ht="60" customHeight="1">
      <c r="A232" s="6" t="s">
        <v>855</v>
      </c>
      <c r="B232" s="6" t="s">
        <v>76</v>
      </c>
      <c r="C232" s="6" t="s">
        <v>12</v>
      </c>
      <c r="D232" s="7" t="s">
        <v>856</v>
      </c>
      <c r="E232" s="8" t="s">
        <v>857</v>
      </c>
      <c r="F232" s="6" t="s">
        <v>858</v>
      </c>
      <c r="G232" s="9">
        <f>IF(A232=1,"_",IF(C232="_","???",C232))</f>
        <v/>
      </c>
      <c r="H232" s="10" t="s">
        <v>12</v>
      </c>
      <c r="I232" s="11" t="s">
        <v>12</v>
      </c>
      <c r="J232" s="12"/>
    </row>
    <row r="233" spans="1:10" ht="60" customHeight="1">
      <c r="A233" s="6" t="s">
        <v>859</v>
      </c>
      <c r="B233" s="6" t="s">
        <v>16</v>
      </c>
      <c r="C233" s="6" t="s">
        <v>146</v>
      </c>
      <c r="D233" s="7" t="s">
        <v>263</v>
      </c>
      <c r="E233" s="8" t="s">
        <v>860</v>
      </c>
      <c r="F233" s="6" t="s">
        <v>861</v>
      </c>
      <c r="G233" s="9">
        <f>IF(A233=1,"_",IF(C233="_","???",C233))</f>
        <v/>
      </c>
      <c r="H233" s="10" t="s">
        <v>12</v>
      </c>
      <c r="I233" s="11" t="s">
        <v>12</v>
      </c>
      <c r="J233" s="12"/>
    </row>
    <row r="234" spans="1:10" ht="60" customHeight="1">
      <c r="A234" s="6" t="s">
        <v>862</v>
      </c>
      <c r="B234" s="6" t="s">
        <v>80</v>
      </c>
      <c r="C234" s="6" t="s">
        <v>12</v>
      </c>
      <c r="D234" s="7" t="s">
        <v>863</v>
      </c>
      <c r="E234" s="8" t="s">
        <v>864</v>
      </c>
      <c r="F234" s="6" t="s">
        <v>865</v>
      </c>
      <c r="G234" s="9">
        <f>IF(A234=1,"_",IF(C234="_","???",C234))</f>
        <v/>
      </c>
      <c r="H234" s="10" t="s">
        <v>12</v>
      </c>
      <c r="I234" s="11" t="s">
        <v>12</v>
      </c>
      <c r="J234" s="12"/>
    </row>
    <row r="235" spans="1:10" ht="60" customHeight="1">
      <c r="A235" s="6" t="s">
        <v>866</v>
      </c>
      <c r="B235" s="6" t="s">
        <v>24</v>
      </c>
      <c r="C235" s="6" t="s">
        <v>12</v>
      </c>
      <c r="D235" s="7" t="s">
        <v>867</v>
      </c>
      <c r="E235" s="8" t="s">
        <v>868</v>
      </c>
      <c r="F235" s="6" t="s">
        <v>869</v>
      </c>
      <c r="G235" s="9">
        <f>IF(A235=1,"_",IF(C235="_","???",C235))</f>
        <v/>
      </c>
      <c r="H235" s="10" t="s">
        <v>12</v>
      </c>
      <c r="I235" s="11" t="s">
        <v>12</v>
      </c>
      <c r="J235" s="12"/>
    </row>
    <row r="236" spans="1:10" ht="60" customHeight="1">
      <c r="A236" s="6" t="s">
        <v>870</v>
      </c>
      <c r="B236" s="6" t="s">
        <v>40</v>
      </c>
      <c r="C236" s="6" t="s">
        <v>12</v>
      </c>
      <c r="D236" s="7" t="s">
        <v>871</v>
      </c>
      <c r="E236" s="8" t="s">
        <v>872</v>
      </c>
      <c r="F236" s="6" t="s">
        <v>873</v>
      </c>
      <c r="G236" s="9">
        <f>IF(A236=1,"_",IF(C236="_","???",C236))</f>
        <v/>
      </c>
      <c r="H236" s="10" t="s">
        <v>12</v>
      </c>
      <c r="I236" s="11" t="s">
        <v>12</v>
      </c>
      <c r="J236" s="12"/>
    </row>
    <row r="237" spans="1:10" ht="60" customHeight="1">
      <c r="A237" s="6" t="s">
        <v>874</v>
      </c>
      <c r="B237" s="6" t="s">
        <v>48</v>
      </c>
      <c r="C237" s="6" t="s">
        <v>12</v>
      </c>
      <c r="D237" s="7" t="s">
        <v>875</v>
      </c>
      <c r="E237" s="8" t="s">
        <v>876</v>
      </c>
      <c r="F237" s="6" t="s">
        <v>877</v>
      </c>
      <c r="G237" s="9">
        <f>IF(A237=1,"_",IF(C237="_","???",C237))</f>
        <v/>
      </c>
      <c r="H237" s="10" t="s">
        <v>12</v>
      </c>
      <c r="I237" s="11" t="s">
        <v>12</v>
      </c>
      <c r="J237" s="12"/>
    </row>
    <row r="238" spans="1:10" ht="60" customHeight="1">
      <c r="A238" s="6" t="s">
        <v>878</v>
      </c>
      <c r="B238" s="6" t="s">
        <v>44</v>
      </c>
      <c r="C238" s="6" t="s">
        <v>12</v>
      </c>
      <c r="D238" s="7" t="s">
        <v>875</v>
      </c>
      <c r="E238" s="8" t="s">
        <v>879</v>
      </c>
      <c r="F238" s="6" t="s">
        <v>880</v>
      </c>
      <c r="G238" s="9">
        <f>IF(A238=1,"_",IF(C238="_","???",C238))</f>
        <v/>
      </c>
      <c r="H238" s="10" t="s">
        <v>12</v>
      </c>
      <c r="I238" s="11" t="s">
        <v>12</v>
      </c>
      <c r="J238" s="12"/>
    </row>
    <row r="239" spans="1:10" ht="60" customHeight="1">
      <c r="A239" s="6" t="s">
        <v>881</v>
      </c>
      <c r="B239" s="6" t="s">
        <v>16</v>
      </c>
      <c r="C239" s="6" t="s">
        <v>12</v>
      </c>
      <c r="D239" s="7" t="s">
        <v>100</v>
      </c>
      <c r="E239" s="8" t="s">
        <v>882</v>
      </c>
      <c r="F239" s="6" t="s">
        <v>883</v>
      </c>
      <c r="G239" s="9">
        <f>IF(A239=1,"_",IF(C239="_","???",C239))</f>
        <v/>
      </c>
      <c r="H239" s="10" t="s">
        <v>12</v>
      </c>
      <c r="I239" s="11" t="s">
        <v>12</v>
      </c>
      <c r="J239" s="12"/>
    </row>
    <row r="240" spans="1:10" ht="60" customHeight="1">
      <c r="A240" s="6" t="s">
        <v>884</v>
      </c>
      <c r="B240" s="6" t="s">
        <v>48</v>
      </c>
      <c r="C240" s="6" t="s">
        <v>12</v>
      </c>
      <c r="D240" s="7" t="s">
        <v>885</v>
      </c>
      <c r="E240" s="8" t="s">
        <v>886</v>
      </c>
      <c r="F240" s="6" t="s">
        <v>887</v>
      </c>
      <c r="G240" s="9">
        <f>IF(A240=1,"_",IF(C240="_","???",C240))</f>
        <v/>
      </c>
      <c r="H240" s="10" t="s">
        <v>12</v>
      </c>
      <c r="I240" s="11" t="s">
        <v>12</v>
      </c>
      <c r="J240" s="12"/>
    </row>
    <row r="241" spans="1:10" ht="60" customHeight="1">
      <c r="A241" s="6" t="s">
        <v>888</v>
      </c>
      <c r="B241" s="6" t="s">
        <v>16</v>
      </c>
      <c r="C241" s="6" t="s">
        <v>12</v>
      </c>
      <c r="D241" s="7" t="s">
        <v>889</v>
      </c>
      <c r="E241" s="8" t="s">
        <v>890</v>
      </c>
      <c r="F241" s="6" t="s">
        <v>891</v>
      </c>
      <c r="G241" s="9">
        <f>IF(A241=1,"_",IF(C241="_","???",C241))</f>
        <v/>
      </c>
      <c r="H241" s="10" t="s">
        <v>12</v>
      </c>
      <c r="I241" s="11" t="s">
        <v>12</v>
      </c>
      <c r="J241" s="12"/>
    </row>
    <row r="242" spans="1:10" ht="60" customHeight="1">
      <c r="A242" s="6" t="s">
        <v>892</v>
      </c>
      <c r="B242" s="6" t="s">
        <v>167</v>
      </c>
      <c r="C242" s="6" t="s">
        <v>12</v>
      </c>
      <c r="D242" s="7" t="s">
        <v>428</v>
      </c>
      <c r="E242" s="8" t="s">
        <v>893</v>
      </c>
      <c r="F242" s="6" t="s">
        <v>894</v>
      </c>
      <c r="G242" s="9">
        <f>IF(A242=1,"_",IF(C242="_","???",C242))</f>
        <v/>
      </c>
      <c r="H242" s="10" t="s">
        <v>12</v>
      </c>
      <c r="I242" s="11" t="s">
        <v>12</v>
      </c>
      <c r="J242" s="12"/>
    </row>
    <row r="243" spans="1:10" ht="60" customHeight="1">
      <c r="A243" s="6" t="s">
        <v>895</v>
      </c>
      <c r="B243" s="6" t="s">
        <v>11</v>
      </c>
      <c r="C243" s="6" t="s">
        <v>12</v>
      </c>
      <c r="D243" s="7" t="s">
        <v>896</v>
      </c>
      <c r="E243" s="8" t="s">
        <v>897</v>
      </c>
      <c r="F243" s="6" t="s">
        <v>898</v>
      </c>
      <c r="G243" s="9">
        <f>IF(A243=1,"_",IF(C243="_","???",C243))</f>
        <v/>
      </c>
      <c r="H243" s="10" t="s">
        <v>12</v>
      </c>
      <c r="I243" s="11" t="s">
        <v>12</v>
      </c>
      <c r="J243" s="12"/>
    </row>
    <row r="244" spans="1:10" ht="60" customHeight="1">
      <c r="A244" s="6" t="s">
        <v>899</v>
      </c>
      <c r="B244" s="6" t="s">
        <v>16</v>
      </c>
      <c r="C244" s="6" t="s">
        <v>12</v>
      </c>
      <c r="D244" s="7" t="s">
        <v>900</v>
      </c>
      <c r="E244" s="8" t="s">
        <v>901</v>
      </c>
      <c r="F244" s="6" t="s">
        <v>902</v>
      </c>
      <c r="G244" s="9">
        <f>IF(A244=1,"_",IF(C244="_","???",C244))</f>
        <v/>
      </c>
      <c r="H244" s="10" t="s">
        <v>12</v>
      </c>
      <c r="I244" s="11" t="s">
        <v>12</v>
      </c>
      <c r="J244" s="12"/>
    </row>
    <row r="245" spans="1:10" ht="60" customHeight="1">
      <c r="A245" s="6" t="s">
        <v>903</v>
      </c>
      <c r="B245" s="6" t="s">
        <v>11</v>
      </c>
      <c r="C245" s="6" t="s">
        <v>12</v>
      </c>
      <c r="D245" s="7" t="s">
        <v>904</v>
      </c>
      <c r="E245" s="8" t="s">
        <v>905</v>
      </c>
      <c r="F245" s="6" t="s">
        <v>906</v>
      </c>
      <c r="G245" s="9">
        <f>IF(A245=1,"_",IF(C245="_","???",C245))</f>
        <v/>
      </c>
      <c r="H245" s="10" t="s">
        <v>12</v>
      </c>
      <c r="I245" s="11" t="s">
        <v>12</v>
      </c>
      <c r="J245" s="12"/>
    </row>
    <row r="246" spans="1:10" ht="60" customHeight="1">
      <c r="A246" s="6" t="s">
        <v>907</v>
      </c>
      <c r="B246" s="6" t="s">
        <v>16</v>
      </c>
      <c r="C246" s="6" t="s">
        <v>146</v>
      </c>
      <c r="D246" s="7" t="s">
        <v>643</v>
      </c>
      <c r="E246" s="8" t="s">
        <v>908</v>
      </c>
      <c r="F246" s="6" t="s">
        <v>909</v>
      </c>
      <c r="G246" s="9">
        <f>IF(A246=1,"_",IF(C246="_","???",C246))</f>
        <v/>
      </c>
      <c r="H246" s="10" t="s">
        <v>12</v>
      </c>
      <c r="I246" s="11" t="s">
        <v>12</v>
      </c>
      <c r="J246" s="12"/>
    </row>
    <row r="247" spans="1:10" ht="60" customHeight="1">
      <c r="A247" s="6" t="s">
        <v>910</v>
      </c>
      <c r="B247" s="6" t="s">
        <v>17</v>
      </c>
      <c r="C247" s="6" t="s">
        <v>12</v>
      </c>
      <c r="D247" s="7" t="s">
        <v>911</v>
      </c>
      <c r="E247" s="8" t="s">
        <v>912</v>
      </c>
      <c r="F247" s="6" t="s">
        <v>913</v>
      </c>
      <c r="G247" s="9">
        <f>IF(A247=1,"_",IF(C247="_","???",C247))</f>
        <v/>
      </c>
      <c r="H247" s="10" t="s">
        <v>12</v>
      </c>
      <c r="I247" s="11" t="s">
        <v>12</v>
      </c>
      <c r="J247" s="12"/>
    </row>
    <row r="248" spans="1:10" ht="60" customHeight="1">
      <c r="A248" s="6" t="s">
        <v>914</v>
      </c>
      <c r="B248" s="6" t="s">
        <v>16</v>
      </c>
      <c r="C248" s="6" t="s">
        <v>12</v>
      </c>
      <c r="D248" s="7" t="s">
        <v>267</v>
      </c>
      <c r="E248" s="8" t="s">
        <v>915</v>
      </c>
      <c r="F248" s="6" t="s">
        <v>916</v>
      </c>
      <c r="G248" s="9">
        <f>IF(A248=1,"_",IF(C248="_","???",C248))</f>
        <v/>
      </c>
      <c r="H248" s="10" t="s">
        <v>12</v>
      </c>
      <c r="I248" s="11" t="s">
        <v>12</v>
      </c>
      <c r="J248" s="12"/>
    </row>
    <row r="249" spans="1:10" ht="60" customHeight="1">
      <c r="A249" s="6" t="s">
        <v>917</v>
      </c>
      <c r="B249" s="6" t="s">
        <v>16</v>
      </c>
      <c r="C249" s="6" t="s">
        <v>12</v>
      </c>
      <c r="D249" s="7" t="s">
        <v>267</v>
      </c>
      <c r="E249" s="8" t="s">
        <v>918</v>
      </c>
      <c r="F249" s="6" t="s">
        <v>919</v>
      </c>
      <c r="G249" s="9">
        <f>IF(A249=1,"_",IF(C249="_","???",C249))</f>
        <v/>
      </c>
      <c r="H249" s="10" t="s">
        <v>12</v>
      </c>
      <c r="I249" s="11" t="s">
        <v>12</v>
      </c>
      <c r="J249" s="12"/>
    </row>
    <row r="250" spans="1:10" ht="60" customHeight="1">
      <c r="A250" s="6" t="s">
        <v>920</v>
      </c>
      <c r="B250" s="6" t="s">
        <v>17</v>
      </c>
      <c r="C250" s="6" t="s">
        <v>12</v>
      </c>
      <c r="D250" s="7" t="s">
        <v>921</v>
      </c>
      <c r="E250" s="8" t="s">
        <v>922</v>
      </c>
      <c r="F250" s="6" t="s">
        <v>923</v>
      </c>
      <c r="G250" s="9">
        <f>IF(A250=1,"_",IF(C250="_","???",C250))</f>
        <v/>
      </c>
      <c r="H250" s="10" t="s">
        <v>12</v>
      </c>
      <c r="I250" s="11" t="s">
        <v>12</v>
      </c>
      <c r="J250" s="12"/>
    </row>
    <row r="251" spans="1:10" ht="60" customHeight="1">
      <c r="A251" s="6" t="s">
        <v>924</v>
      </c>
      <c r="B251" s="6" t="s">
        <v>28</v>
      </c>
      <c r="C251" s="6" t="s">
        <v>12</v>
      </c>
      <c r="D251" s="7" t="s">
        <v>62</v>
      </c>
      <c r="E251" s="8" t="s">
        <v>925</v>
      </c>
      <c r="F251" s="6" t="s">
        <v>926</v>
      </c>
      <c r="G251" s="9">
        <f>IF(A251=1,"_",IF(C251="_","???",C251))</f>
        <v/>
      </c>
      <c r="H251" s="10" t="s">
        <v>12</v>
      </c>
      <c r="I251" s="11" t="s">
        <v>12</v>
      </c>
      <c r="J251" s="12"/>
    </row>
    <row r="252" spans="1:10" ht="60" customHeight="1">
      <c r="A252" s="6" t="s">
        <v>927</v>
      </c>
      <c r="B252" s="6" t="s">
        <v>91</v>
      </c>
      <c r="C252" s="6" t="s">
        <v>146</v>
      </c>
      <c r="D252" s="7" t="s">
        <v>928</v>
      </c>
      <c r="E252" s="8" t="s">
        <v>929</v>
      </c>
      <c r="F252" s="6" t="s">
        <v>930</v>
      </c>
      <c r="G252" s="9">
        <f>IF(A252=1,"_",IF(C252="_","???",C252))</f>
        <v/>
      </c>
      <c r="H252" s="10" t="s">
        <v>12</v>
      </c>
      <c r="I252" s="11" t="s">
        <v>12</v>
      </c>
      <c r="J252" s="12"/>
    </row>
    <row r="253" spans="1:10" ht="60" customHeight="1">
      <c r="A253" s="6" t="s">
        <v>931</v>
      </c>
      <c r="B253" s="6" t="s">
        <v>99</v>
      </c>
      <c r="C253" s="6" t="s">
        <v>12</v>
      </c>
      <c r="D253" s="7" t="s">
        <v>635</v>
      </c>
      <c r="E253" s="8" t="s">
        <v>932</v>
      </c>
      <c r="F253" s="6" t="s">
        <v>933</v>
      </c>
      <c r="G253" s="9">
        <f>IF(A253=1,"_",IF(C253="_","???",C253))</f>
        <v/>
      </c>
      <c r="H253" s="10" t="s">
        <v>12</v>
      </c>
      <c r="I253" s="11" t="s">
        <v>12</v>
      </c>
      <c r="J253" s="12"/>
    </row>
    <row r="254" spans="1:10" ht="60" customHeight="1">
      <c r="A254" s="6" t="s">
        <v>934</v>
      </c>
      <c r="B254" s="6" t="s">
        <v>16</v>
      </c>
      <c r="C254" s="6" t="s">
        <v>12</v>
      </c>
      <c r="D254" s="7" t="s">
        <v>935</v>
      </c>
      <c r="E254" s="8" t="s">
        <v>936</v>
      </c>
      <c r="F254" s="6" t="s">
        <v>937</v>
      </c>
      <c r="G254" s="9">
        <f>IF(A254=1,"_",IF(C254="_","???",C254))</f>
        <v/>
      </c>
      <c r="H254" s="10" t="s">
        <v>12</v>
      </c>
      <c r="I254" s="11" t="s">
        <v>12</v>
      </c>
      <c r="J254" s="12"/>
    </row>
    <row r="255" spans="1:10" ht="60" customHeight="1">
      <c r="A255" s="6" t="s">
        <v>938</v>
      </c>
      <c r="B255" s="6" t="s">
        <v>103</v>
      </c>
      <c r="C255" s="6" t="s">
        <v>12</v>
      </c>
      <c r="D255" s="7" t="s">
        <v>939</v>
      </c>
      <c r="E255" s="8" t="s">
        <v>940</v>
      </c>
      <c r="F255" s="6" t="s">
        <v>941</v>
      </c>
      <c r="G255" s="9">
        <f>IF(A255=1,"_",IF(C255="_","???",C255))</f>
        <v/>
      </c>
      <c r="H255" s="10" t="s">
        <v>12</v>
      </c>
      <c r="I255" s="11" t="s">
        <v>12</v>
      </c>
      <c r="J255" s="12"/>
    </row>
    <row r="256" spans="1:10" ht="60" customHeight="1">
      <c r="A256" s="6" t="s">
        <v>942</v>
      </c>
      <c r="B256" s="6" t="s">
        <v>16</v>
      </c>
      <c r="C256" s="6" t="s">
        <v>12</v>
      </c>
      <c r="D256" s="7" t="s">
        <v>241</v>
      </c>
      <c r="E256" s="8" t="s">
        <v>943</v>
      </c>
      <c r="F256" s="6" t="s">
        <v>944</v>
      </c>
      <c r="G256" s="9">
        <f>IF(A256=1,"_",IF(C256="_","???",C256))</f>
        <v/>
      </c>
      <c r="H256" s="10" t="s">
        <v>12</v>
      </c>
      <c r="I256" s="11" t="s">
        <v>12</v>
      </c>
      <c r="J256" s="12"/>
    </row>
    <row r="257" spans="1:10" ht="60" customHeight="1">
      <c r="A257" s="6" t="s">
        <v>945</v>
      </c>
      <c r="B257" s="6" t="s">
        <v>16</v>
      </c>
      <c r="C257" s="6" t="s">
        <v>12</v>
      </c>
      <c r="D257" s="7" t="s">
        <v>946</v>
      </c>
      <c r="E257" s="8" t="s">
        <v>947</v>
      </c>
      <c r="F257" s="6" t="s">
        <v>948</v>
      </c>
      <c r="G257" s="9">
        <f>IF(A257=1,"_",IF(C257="_","???",C257))</f>
        <v/>
      </c>
      <c r="H257" s="10" t="s">
        <v>12</v>
      </c>
      <c r="I257" s="11" t="s">
        <v>12</v>
      </c>
      <c r="J257" s="12"/>
    </row>
    <row r="258" spans="1:10" ht="60" customHeight="1">
      <c r="A258" s="6" t="s">
        <v>949</v>
      </c>
      <c r="B258" s="6" t="s">
        <v>16</v>
      </c>
      <c r="C258" s="6" t="s">
        <v>12</v>
      </c>
      <c r="D258" s="7" t="s">
        <v>950</v>
      </c>
      <c r="E258" s="8" t="s">
        <v>951</v>
      </c>
      <c r="F258" s="6" t="s">
        <v>952</v>
      </c>
      <c r="G258" s="9">
        <f>IF(A258=1,"_",IF(C258="_","???",C258))</f>
        <v/>
      </c>
      <c r="H258" s="10" t="s">
        <v>12</v>
      </c>
      <c r="I258" s="11" t="s">
        <v>12</v>
      </c>
      <c r="J25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14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953</v>
      </c>
      <c r="B1" s="13" t="s">
        <v>954</v>
      </c>
      <c r="C1" s="13" t="s">
        <v>955</v>
      </c>
      <c r="D1" s="13" t="s">
        <v>956</v>
      </c>
      <c r="E1" s="14" t="s">
        <v>957</v>
      </c>
      <c r="F1" s="15" t="s">
        <v>958</v>
      </c>
      <c r="G1" s="16" t="s">
        <v>959</v>
      </c>
      <c r="H1" s="17" t="s">
        <v>960</v>
      </c>
      <c r="I1" s="18" t="s">
        <v>961</v>
      </c>
      <c r="J1" s="18" t="s">
        <v>962</v>
      </c>
      <c r="K1" s="18" t="s">
        <v>963</v>
      </c>
      <c r="L1" s="19" t="s">
        <v>9</v>
      </c>
    </row>
    <row r="2" spans="1:12">
      <c r="A2" s="20" t="s">
        <v>964</v>
      </c>
    </row>
    <row r="3" spans="1:12">
      <c r="A3" s="20" t="s">
        <v>965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966</v>
      </c>
      <c r="B4" s="27" t="s">
        <v>967</v>
      </c>
      <c r="C4" s="27" t="s">
        <v>968</v>
      </c>
      <c r="D4" s="27" t="s">
        <v>969</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970</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971</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972</v>
      </c>
      <c r="B7" s="27" t="s">
        <v>973</v>
      </c>
      <c r="C7" s="27" t="s">
        <v>974</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975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976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977</v>
      </c>
      <c r="B10" s="27" t="s">
        <v>978</v>
      </c>
      <c r="C10" s="27" t="s">
        <v>979</v>
      </c>
      <c r="D10" s="27" t="s">
        <v>969</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980</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981</v>
      </c>
      <c r="B12" s="27" t="s">
        <v>982</v>
      </c>
      <c r="C12" s="27" t="s">
        <v>974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983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980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984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12</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985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986</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980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986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975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987</v>
      </c>
      <c r="B23" s="27" t="s">
        <v>982</v>
      </c>
      <c r="C23" s="27" t="s">
        <v>988</v>
      </c>
      <c r="D23" s="27" t="s">
        <v>969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989</v>
      </c>
      <c r="B24" s="27" t="s">
        <v>978</v>
      </c>
      <c r="C24" s="27" t="s">
        <v>974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990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991</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992</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993</v>
      </c>
      <c r="B28" s="27" t="s">
        <v>994</v>
      </c>
      <c r="C28" s="27" t="s">
        <v>968</v>
      </c>
      <c r="D28" s="27" t="s">
        <v>969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995</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991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996</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993</v>
      </c>
      <c r="B32" s="27" t="s">
        <v>997</v>
      </c>
      <c r="C32" s="27" t="s">
        <v>968</v>
      </c>
      <c r="D32" s="27" t="s">
        <v>969</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998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999</v>
      </c>
      <c r="B34" s="27" t="s">
        <v>1000</v>
      </c>
      <c r="C34" s="27" t="s">
        <v>1001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1002</v>
      </c>
      <c r="B35" s="27" t="s">
        <v>1003</v>
      </c>
      <c r="C35" s="27" t="s">
        <v>974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1004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1005</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1006</v>
      </c>
    </row>
    <row r="40" spans="1:12">
      <c r="A40" s="20" t="s">
        <v>1007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1008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1009</v>
      </c>
      <c r="B42" s="27" t="s">
        <v>1010</v>
      </c>
      <c r="C42" s="27" t="s">
        <v>1011</v>
      </c>
      <c r="D42" s="27" t="s">
        <v>969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1012</v>
      </c>
      <c r="B43" s="27" t="s">
        <v>1013</v>
      </c>
      <c r="C43" s="27" t="s">
        <v>1001</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1014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991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1015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1016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1017</v>
      </c>
      <c r="B48" s="27" t="s">
        <v>1010</v>
      </c>
      <c r="C48" s="27" t="s">
        <v>1018</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991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1019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991</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1009</v>
      </c>
      <c r="B52" s="27" t="s">
        <v>1010</v>
      </c>
      <c r="C52" s="27" t="s">
        <v>1011</v>
      </c>
      <c r="D52" s="27" t="s">
        <v>969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1020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1021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1022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999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490</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991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490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991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980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1023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1024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1025</v>
      </c>
      <c r="B64" s="27" t="s">
        <v>1010</v>
      </c>
      <c r="C64" s="27" t="s">
        <v>979</v>
      </c>
      <c r="D64" s="27" t="s">
        <v>969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1026</v>
      </c>
      <c r="B65" s="27" t="s">
        <v>1013</v>
      </c>
      <c r="C65" s="27" t="s">
        <v>968</v>
      </c>
      <c r="D65" s="27" t="s">
        <v>969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1027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1005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1028</v>
      </c>
    </row>
    <row r="70" spans="1:12">
      <c r="A70" s="20" t="s">
        <v>966</v>
      </c>
      <c r="B70" s="27" t="s">
        <v>967</v>
      </c>
      <c r="C70" s="27" t="s">
        <v>968</v>
      </c>
      <c r="D70" s="27" t="s">
        <v>969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1020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1009</v>
      </c>
      <c r="B72" s="27" t="s">
        <v>973</v>
      </c>
      <c r="C72" s="27" t="s">
        <v>1011</v>
      </c>
      <c r="D72" s="27" t="s">
        <v>969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1029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1016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1030</v>
      </c>
      <c r="B75" s="27" t="s">
        <v>1031</v>
      </c>
      <c r="C75" s="27" t="s">
        <v>1018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980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1032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1033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1034</v>
      </c>
      <c r="B79" s="27" t="s">
        <v>1003</v>
      </c>
      <c r="C79" s="27" t="s">
        <v>1035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1036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998</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1037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1038</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1039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1040</v>
      </c>
      <c r="B85" s="27" t="s">
        <v>978</v>
      </c>
      <c r="C85" s="27" t="s">
        <v>979</v>
      </c>
      <c r="D85" s="27" t="s">
        <v>969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991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1041</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1042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1043</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1044</v>
      </c>
      <c r="B90" s="27" t="s">
        <v>1010</v>
      </c>
      <c r="C90" s="27" t="s">
        <v>979</v>
      </c>
      <c r="D90" s="27" t="s">
        <v>969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999</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1045</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991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1046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1047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1043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1048</v>
      </c>
      <c r="B97" s="27" t="s">
        <v>1013</v>
      </c>
      <c r="C97" s="27" t="s">
        <v>979</v>
      </c>
      <c r="D97" s="27" t="s">
        <v>969</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1016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1049</v>
      </c>
      <c r="B99" s="27" t="s">
        <v>1010</v>
      </c>
      <c r="C99" s="27" t="s">
        <v>1018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980</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985</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1050</v>
      </c>
      <c r="B102" s="27" t="s">
        <v>982</v>
      </c>
      <c r="C102" s="27" t="s">
        <v>979</v>
      </c>
      <c r="D102" s="27" t="s">
        <v>969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1051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1052</v>
      </c>
      <c r="B104" s="27" t="s">
        <v>1053</v>
      </c>
      <c r="C104" s="27" t="s">
        <v>1018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991</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980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993</v>
      </c>
      <c r="B107" s="27" t="s">
        <v>994</v>
      </c>
      <c r="C107" s="27" t="s">
        <v>968</v>
      </c>
      <c r="D107" s="27" t="s">
        <v>969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980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985</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1054</v>
      </c>
      <c r="B110" s="27" t="s">
        <v>1003</v>
      </c>
      <c r="C110" s="27" t="s">
        <v>979</v>
      </c>
      <c r="D110" s="27" t="s">
        <v>969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1016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1055</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1056</v>
      </c>
      <c r="B113" s="27" t="s">
        <v>1031</v>
      </c>
      <c r="C113" s="27" t="s">
        <v>1018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991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1057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991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1058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991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1059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1005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row>
    <row r="122" spans="1:12">
      <c r="A122" s="20" t="s">
        <v>1060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1061</v>
      </c>
    </row>
    <row r="124" spans="1:12">
      <c r="A124" s="20" t="s">
        <v>1062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1041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1063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1016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1064</v>
      </c>
      <c r="B128" s="27" t="s">
        <v>967</v>
      </c>
      <c r="C128" s="27" t="s">
        <v>1018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975</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1043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1065</v>
      </c>
      <c r="B131" s="27" t="s">
        <v>978</v>
      </c>
      <c r="C131" s="27" t="s">
        <v>979</v>
      </c>
      <c r="D131" s="27" t="s">
        <v>969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980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993</v>
      </c>
      <c r="B133" s="27" t="s">
        <v>1010</v>
      </c>
      <c r="C133" s="27" t="s">
        <v>968</v>
      </c>
      <c r="D133" s="27" t="s">
        <v>969</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1066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1067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1068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980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1069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1070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1071</v>
      </c>
      <c r="B140" s="27" t="s">
        <v>1003</v>
      </c>
      <c r="C140" s="27" t="s">
        <v>1001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1072</v>
      </c>
      <c r="B141" s="27" t="s">
        <v>982</v>
      </c>
      <c r="C141" s="27" t="s">
        <v>974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1022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1016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1073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1074</v>
      </c>
      <c r="B145" s="27" t="s">
        <v>1003</v>
      </c>
      <c r="C145" s="27" t="s">
        <v>1018</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980</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1020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1075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1022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991</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999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1005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965</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1076</v>
      </c>
    </row>
    <row r="157" spans="1:12">
      <c r="A157" s="20" t="s">
        <v>1077</v>
      </c>
      <c r="B157" s="27" t="s">
        <v>967</v>
      </c>
      <c r="C157" s="27" t="s">
        <v>1011</v>
      </c>
      <c r="D157" s="27" t="s">
        <v>969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29</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1078</v>
      </c>
      <c r="B159" s="27" t="s">
        <v>973</v>
      </c>
      <c r="C159" s="27" t="s">
        <v>974</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1079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1080</v>
      </c>
      <c r="B161" s="27" t="s">
        <v>978</v>
      </c>
      <c r="C161" s="27" t="s">
        <v>974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1005</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row>
    <row r="164" spans="1:12">
      <c r="A164" s="20" t="s">
        <v>1081</v>
      </c>
    </row>
    <row r="165" spans="1:12">
      <c r="A165" s="20" t="s">
        <v>1082</v>
      </c>
      <c r="B165" s="27" t="s">
        <v>967</v>
      </c>
      <c r="C165" s="27" t="s">
        <v>1083</v>
      </c>
      <c r="D165" s="27" t="s">
        <v>969</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1084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1085</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1086</v>
      </c>
      <c r="B168" s="27" t="s">
        <v>967</v>
      </c>
      <c r="C168" s="27" t="s">
        <v>968</v>
      </c>
      <c r="D168" s="27" t="s">
        <v>969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1079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1087</v>
      </c>
      <c r="B170" s="27" t="s">
        <v>1053</v>
      </c>
      <c r="C170" s="27" t="s">
        <v>974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991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1088</v>
      </c>
      <c r="B173" s="27" t="s">
        <v>1053</v>
      </c>
      <c r="C173" s="27" t="s">
        <v>1083</v>
      </c>
      <c r="D173" s="27" t="s">
        <v>969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1089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1090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1091</v>
      </c>
      <c r="B176" s="27" t="s">
        <v>978</v>
      </c>
      <c r="C176" s="27" t="s">
        <v>1018</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1005</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1092</v>
      </c>
    </row>
    <row r="180" spans="1:12">
      <c r="A180" s="20" t="s">
        <v>1093</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1094</v>
      </c>
      <c r="B181" s="27" t="s">
        <v>967</v>
      </c>
      <c r="C181" s="27" t="s">
        <v>979</v>
      </c>
      <c r="D181" s="27" t="s">
        <v>969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1095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1096</v>
      </c>
      <c r="B183" s="27" t="s">
        <v>978</v>
      </c>
      <c r="C183" s="27" t="s">
        <v>974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1097</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999</v>
      </c>
      <c r="B185" s="27" t="s">
        <v>978</v>
      </c>
      <c r="C185" s="27" t="s">
        <v>1001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1043</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1098</v>
      </c>
      <c r="B187" s="27" t="s">
        <v>1053</v>
      </c>
      <c r="C187" s="27" t="s">
        <v>979</v>
      </c>
      <c r="D187" s="27" t="s">
        <v>969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991</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1099</v>
      </c>
      <c r="B189" s="27" t="s">
        <v>1003</v>
      </c>
      <c r="C189" s="27" t="s">
        <v>1011</v>
      </c>
      <c r="D189" s="27" t="s">
        <v>969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1100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1101</v>
      </c>
      <c r="B191" s="27" t="s">
        <v>1031</v>
      </c>
      <c r="C191" s="27" t="s">
        <v>1102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999</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1103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1005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row>
    <row r="196" spans="1:12">
      <c r="A196" s="20" t="s">
        <v>1104</v>
      </c>
    </row>
    <row r="197" spans="1:12">
      <c r="A197" s="20" t="s">
        <v>966</v>
      </c>
      <c r="B197" s="27" t="s">
        <v>967</v>
      </c>
      <c r="C197" s="27" t="s">
        <v>968</v>
      </c>
      <c r="D197" s="27" t="s">
        <v>969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1105</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1106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1107</v>
      </c>
      <c r="B200" s="27" t="s">
        <v>973</v>
      </c>
      <c r="C200" s="27" t="s">
        <v>968</v>
      </c>
      <c r="D200" s="27" t="s">
        <v>969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1067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1108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1109</v>
      </c>
      <c r="B203" s="27" t="s">
        <v>1053</v>
      </c>
      <c r="C203" s="27" t="s">
        <v>974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991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1108</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1110</v>
      </c>
      <c r="B206" s="27" t="s">
        <v>1053</v>
      </c>
      <c r="C206" s="27" t="s">
        <v>1001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1043</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1111</v>
      </c>
      <c r="B208" s="27" t="s">
        <v>978</v>
      </c>
      <c r="C208" s="27" t="s">
        <v>979</v>
      </c>
      <c r="D208" s="27" t="s">
        <v>969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991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1043</v>
      </c>
      <c r="B210" s="27" t="s">
        <v>1010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1112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1113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991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1114</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1115</v>
      </c>
      <c r="B215" s="27" t="s">
        <v>1010</v>
      </c>
      <c r="C215" s="27" t="s">
        <v>968</v>
      </c>
      <c r="D215" s="27" t="s">
        <v>969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975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1051</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1116</v>
      </c>
      <c r="B218" s="27" t="s">
        <v>978</v>
      </c>
      <c r="C218" s="27" t="s">
        <v>1018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1117</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1113</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1005</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row>
    <row r="223" spans="1:12">
      <c r="A223" s="20" t="s">
        <v>1118</v>
      </c>
    </row>
    <row r="224" spans="1:12">
      <c r="A224" s="20" t="s">
        <v>1119</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1120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993</v>
      </c>
      <c r="B226" s="27" t="s">
        <v>967</v>
      </c>
      <c r="C226" s="27" t="s">
        <v>968</v>
      </c>
      <c r="D226" s="27" t="s">
        <v>969</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1121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1122</v>
      </c>
      <c r="B228" s="27" t="s">
        <v>973</v>
      </c>
      <c r="C228" s="27" t="s">
        <v>1123</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1005</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row>
    <row r="231" spans="1:12">
      <c r="A231" s="20" t="s">
        <v>1124</v>
      </c>
    </row>
    <row r="232" spans="1:12">
      <c r="A232" s="20" t="s">
        <v>1125</v>
      </c>
      <c r="B232" s="27" t="s">
        <v>978</v>
      </c>
      <c r="C232" s="27" t="s">
        <v>988</v>
      </c>
      <c r="D232" s="27" t="s">
        <v>969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1126</v>
      </c>
      <c r="B233" s="27" t="s">
        <v>967</v>
      </c>
      <c r="C233" s="27" t="s">
        <v>974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1127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991</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1033</v>
      </c>
      <c r="B236" s="27" t="s">
        <v>982</v>
      </c>
      <c r="C236" s="27" t="s">
        <v>988</v>
      </c>
      <c r="D236" s="27" t="s">
        <v>969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1128</v>
      </c>
      <c r="B237" s="27" t="s">
        <v>1010</v>
      </c>
      <c r="C237" s="27" t="s">
        <v>974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1129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991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993</v>
      </c>
      <c r="B240" s="27" t="s">
        <v>1010</v>
      </c>
      <c r="C240" s="27" t="s">
        <v>968</v>
      </c>
      <c r="D240" s="27" t="s">
        <v>969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1130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991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1131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1132</v>
      </c>
      <c r="B244" s="27" t="s">
        <v>982</v>
      </c>
      <c r="C244" s="27" t="s">
        <v>1001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1133</v>
      </c>
      <c r="B245" s="27" t="s">
        <v>978</v>
      </c>
      <c r="C245" s="27" t="s">
        <v>1123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975</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976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1134</v>
      </c>
      <c r="B248" s="27" t="s">
        <v>982</v>
      </c>
      <c r="C248" s="27" t="s">
        <v>979</v>
      </c>
      <c r="D248" s="27" t="s">
        <v>969</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991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975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985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1135</v>
      </c>
      <c r="B252" s="27" t="s">
        <v>978</v>
      </c>
      <c r="C252" s="27" t="s">
        <v>1083</v>
      </c>
      <c r="D252" s="27" t="s">
        <v>969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1136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991</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980</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993</v>
      </c>
      <c r="B256" s="27" t="s">
        <v>1010</v>
      </c>
      <c r="C256" s="27" t="s">
        <v>968</v>
      </c>
      <c r="D256" s="27" t="s">
        <v>969</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1137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1138</v>
      </c>
      <c r="B258" s="27" t="s">
        <v>982</v>
      </c>
      <c r="C258" s="27" t="s">
        <v>1001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1139</v>
      </c>
      <c r="B259" s="27" t="s">
        <v>982</v>
      </c>
      <c r="C259" s="27" t="s">
        <v>1102</v>
      </c>
      <c r="D259" s="27" t="s">
        <v>969</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1140</v>
      </c>
      <c r="B260" s="27" t="s">
        <v>1013</v>
      </c>
      <c r="C260" s="27" t="s">
        <v>1141</v>
      </c>
      <c r="D260" s="27" t="s">
        <v>969</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1142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1005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row>
    <row r="264" spans="1:12">
      <c r="A264" s="20" t="s">
        <v>1143</v>
      </c>
    </row>
    <row r="265" spans="1:12">
      <c r="A265" s="20" t="s">
        <v>1144</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1145</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991</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1146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1147</v>
      </c>
      <c r="B269" s="27" t="s">
        <v>1003</v>
      </c>
      <c r="C269" s="27" t="s">
        <v>1123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1148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991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1149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993</v>
      </c>
      <c r="B273" s="27" t="s">
        <v>967</v>
      </c>
      <c r="C273" s="27" t="s">
        <v>968</v>
      </c>
      <c r="D273" s="27" t="s">
        <v>969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1024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1150</v>
      </c>
      <c r="B275" s="27" t="s">
        <v>973</v>
      </c>
      <c r="C275" s="27" t="s">
        <v>979</v>
      </c>
      <c r="D275" s="27" t="s">
        <v>969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1151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1152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1153</v>
      </c>
      <c r="B278" s="27" t="s">
        <v>978</v>
      </c>
      <c r="C278" s="27" t="s">
        <v>1001</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1154</v>
      </c>
      <c r="B279" s="27" t="s">
        <v>1053</v>
      </c>
      <c r="C279" s="27" t="s">
        <v>1123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1005</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row>
    <row r="282" spans="1:12">
      <c r="A282" s="20" t="s">
        <v>1155</v>
      </c>
    </row>
    <row r="283" spans="1:12">
      <c r="A283" s="20" t="s">
        <v>966</v>
      </c>
      <c r="B283" s="27" t="s">
        <v>967</v>
      </c>
      <c r="C283" s="27" t="s">
        <v>968</v>
      </c>
      <c r="D283" s="27" t="s">
        <v>969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1156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1157</v>
      </c>
      <c r="B285" s="27" t="s">
        <v>967</v>
      </c>
      <c r="C285" s="27" t="s">
        <v>1011</v>
      </c>
      <c r="D285" s="27" t="s">
        <v>969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1158</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1095</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1038</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1154</v>
      </c>
      <c r="B289" s="27" t="s">
        <v>1053</v>
      </c>
      <c r="C289" s="27" t="s">
        <v>979</v>
      </c>
      <c r="D289" s="27" t="s">
        <v>969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58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991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985</v>
      </c>
      <c r="B292" s="27" t="s">
        <v>1013</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993</v>
      </c>
      <c r="B293" s="27" t="s">
        <v>1010</v>
      </c>
      <c r="C293" s="27" t="s">
        <v>968</v>
      </c>
      <c r="D293" s="27" t="s">
        <v>969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1159</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136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1156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991</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980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993</v>
      </c>
      <c r="B299" s="27" t="s">
        <v>1010</v>
      </c>
      <c r="C299" s="27" t="s">
        <v>968</v>
      </c>
      <c r="D299" s="27" t="s">
        <v>969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1160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1021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1161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1005</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row>
    <row r="305" spans="1:12">
      <c r="A305" s="20" t="s">
        <v>1162</v>
      </c>
    </row>
    <row r="306" spans="1:12">
      <c r="A306" s="20" t="s">
        <v>1163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1164</v>
      </c>
      <c r="B307" s="27" t="s">
        <v>967</v>
      </c>
      <c r="C307" s="27" t="s">
        <v>979</v>
      </c>
      <c r="D307" s="27" t="s">
        <v>969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1095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1078</v>
      </c>
      <c r="B309" s="27" t="s">
        <v>978</v>
      </c>
      <c r="C309" s="27" t="s">
        <v>974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1097</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1021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1165</v>
      </c>
      <c r="B312" s="27" t="s">
        <v>1053</v>
      </c>
      <c r="C312" s="27" t="s">
        <v>974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991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1166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1167</v>
      </c>
      <c r="B315" s="27" t="s">
        <v>1053</v>
      </c>
      <c r="C315" s="27" t="s">
        <v>974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991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980</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1168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985</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1167</v>
      </c>
      <c r="B320" s="27" t="s">
        <v>1010</v>
      </c>
      <c r="C320" s="27" t="s">
        <v>979</v>
      </c>
      <c r="D320" s="27" t="s">
        <v>969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1169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975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1170</v>
      </c>
      <c r="B323" s="27" t="s">
        <v>982</v>
      </c>
      <c r="C323" s="27" t="s">
        <v>1102</v>
      </c>
      <c r="D323" s="27" t="s">
        <v>969</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1171</v>
      </c>
      <c r="B324" s="27" t="s">
        <v>978</v>
      </c>
      <c r="C324" s="27" t="s">
        <v>1141</v>
      </c>
      <c r="D324" s="27" t="s">
        <v>969</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1172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1026</v>
      </c>
      <c r="B326" s="27" t="s">
        <v>978</v>
      </c>
      <c r="C326" s="27" t="s">
        <v>968</v>
      </c>
      <c r="D326" s="27" t="s">
        <v>969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1173</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999</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1174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1005</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row>
    <row r="332" spans="1:12">
      <c r="A332" s="20" t="s">
        <v>1175</v>
      </c>
    </row>
    <row r="333" spans="1:12">
      <c r="A333" s="20" t="s">
        <v>1176</v>
      </c>
      <c r="B333" s="27" t="s">
        <v>967</v>
      </c>
      <c r="C333" s="27" t="s">
        <v>1001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991</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1177</v>
      </c>
      <c r="B335" s="27" t="s">
        <v>994</v>
      </c>
      <c r="C335" s="27" t="s">
        <v>1011</v>
      </c>
      <c r="D335" s="27" t="s">
        <v>969</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999</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136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1178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991</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1169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999</v>
      </c>
      <c r="B341" s="27" t="s">
        <v>978</v>
      </c>
      <c r="C341" s="27" t="s">
        <v>1001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1179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1180</v>
      </c>
      <c r="B343" s="27" t="s">
        <v>1053</v>
      </c>
      <c r="C343" s="27" t="s">
        <v>1123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1005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row>
    <row r="346" spans="1:12">
      <c r="A346" s="20" t="s">
        <v>1060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1181</v>
      </c>
    </row>
    <row r="348" spans="1:12">
      <c r="A348" s="20" t="s">
        <v>1182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993</v>
      </c>
      <c r="B349" s="27" t="s">
        <v>1010</v>
      </c>
      <c r="C349" s="27" t="s">
        <v>968</v>
      </c>
      <c r="D349" s="27" t="s">
        <v>969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1131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1183</v>
      </c>
      <c r="B351" s="27" t="s">
        <v>978</v>
      </c>
      <c r="C351" s="27" t="s">
        <v>974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1004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980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1024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1184</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1185</v>
      </c>
      <c r="B356" s="27" t="s">
        <v>1031</v>
      </c>
      <c r="C356" s="27" t="s">
        <v>979</v>
      </c>
      <c r="D356" s="27" t="s">
        <v>969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1186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1187</v>
      </c>
      <c r="B358" s="27" t="s">
        <v>1003</v>
      </c>
      <c r="C358" s="27" t="s">
        <v>1035</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1188</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1189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991</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1178</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993</v>
      </c>
      <c r="B363" s="27" t="s">
        <v>967</v>
      </c>
      <c r="C363" s="27" t="s">
        <v>968</v>
      </c>
      <c r="D363" s="27" t="s">
        <v>969</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1021</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1190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1095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1191</v>
      </c>
      <c r="B367" s="27" t="s">
        <v>978</v>
      </c>
      <c r="C367" s="27" t="s">
        <v>988</v>
      </c>
      <c r="D367" s="27" t="s">
        <v>969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1192</v>
      </c>
      <c r="B368" s="27" t="s">
        <v>1053</v>
      </c>
      <c r="C368" s="27" t="s">
        <v>974</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999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21</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991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1166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1193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1194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965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1163</v>
      </c>
      <c r="B376" s="27" t="s">
        <v>994</v>
      </c>
      <c r="C376" s="27" t="s">
        <v>1011</v>
      </c>
      <c r="D376" s="27" t="s">
        <v>969</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1195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1196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1197</v>
      </c>
      <c r="B379" s="27" t="s">
        <v>978</v>
      </c>
      <c r="C379" s="27" t="s">
        <v>1123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991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985</v>
      </c>
      <c r="B381" s="27" t="s">
        <v>1198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993</v>
      </c>
      <c r="B382" s="27" t="s">
        <v>997</v>
      </c>
      <c r="C382" s="27" t="s">
        <v>968</v>
      </c>
      <c r="D382" s="27" t="s">
        <v>969</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1199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1200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1005</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965</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row>
    <row r="388" spans="1:12">
      <c r="A388" s="20" t="s">
        <v>1201</v>
      </c>
    </row>
    <row r="389" spans="1:12">
      <c r="A389" s="20" t="s">
        <v>1202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993</v>
      </c>
      <c r="B390" s="27" t="s">
        <v>967</v>
      </c>
      <c r="C390" s="27" t="s">
        <v>968</v>
      </c>
      <c r="D390" s="27" t="s">
        <v>969</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1203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999</v>
      </c>
      <c r="B392" s="27" t="s">
        <v>982</v>
      </c>
      <c r="C392" s="27" t="s">
        <v>1001</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1204</v>
      </c>
      <c r="B393" s="27" t="s">
        <v>978</v>
      </c>
      <c r="C393" s="27" t="s">
        <v>974</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999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1205</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991</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980</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1041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1193</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993</v>
      </c>
      <c r="B400" s="27" t="s">
        <v>1010</v>
      </c>
      <c r="C400" s="27" t="s">
        <v>968</v>
      </c>
      <c r="D400" s="27" t="s">
        <v>969</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991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996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993</v>
      </c>
      <c r="B403" s="27" t="s">
        <v>994</v>
      </c>
      <c r="C403" s="27" t="s">
        <v>968</v>
      </c>
      <c r="D403" s="27" t="s">
        <v>969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1206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1024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1207</v>
      </c>
      <c r="B406" s="27" t="s">
        <v>1031</v>
      </c>
      <c r="C406" s="27" t="s">
        <v>979</v>
      </c>
      <c r="D406" s="27" t="s">
        <v>969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1208</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980</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1086</v>
      </c>
      <c r="B409" s="27" t="s">
        <v>1198</v>
      </c>
      <c r="C409" s="27" t="s">
        <v>968</v>
      </c>
      <c r="D409" s="27" t="s">
        <v>969</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1022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1110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1209</v>
      </c>
      <c r="B412" s="27" t="s">
        <v>1003</v>
      </c>
      <c r="C412" s="27" t="s">
        <v>1018</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136</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1200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991</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1086</v>
      </c>
      <c r="B416" s="27" t="s">
        <v>1010</v>
      </c>
      <c r="C416" s="27" t="s">
        <v>968</v>
      </c>
      <c r="D416" s="27" t="s">
        <v>969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1210</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980</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1211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980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1212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1200</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991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980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1024</v>
      </c>
      <c r="B425" s="27" t="s">
        <v>1010</v>
      </c>
      <c r="C425" s="27" t="s">
        <v>1102</v>
      </c>
      <c r="D425" s="27" t="s">
        <v>969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995</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1213</v>
      </c>
      <c r="B427" s="27" t="s">
        <v>1013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1108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1107</v>
      </c>
      <c r="B429" s="27" t="s">
        <v>978</v>
      </c>
      <c r="C429" s="27" t="s">
        <v>968</v>
      </c>
      <c r="D429" s="27" t="s">
        <v>969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1214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1051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1215</v>
      </c>
      <c r="B432" s="27" t="s">
        <v>978</v>
      </c>
      <c r="C432" s="27" t="s">
        <v>1018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1151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1005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row>
    <row r="436" spans="1:12">
      <c r="A436" s="20" t="s">
        <v>1216</v>
      </c>
    </row>
    <row r="437" spans="1:12">
      <c r="A437" s="20" t="s">
        <v>1182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1032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1078</v>
      </c>
      <c r="B439" s="27" t="s">
        <v>978</v>
      </c>
      <c r="C439" s="27" t="s">
        <v>974</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1217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1218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991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1218</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1219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77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991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996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1220</v>
      </c>
      <c r="B448" s="27" t="s">
        <v>1010</v>
      </c>
      <c r="C448" s="27" t="s">
        <v>1001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1221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991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996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1086</v>
      </c>
      <c r="B452" s="27" t="s">
        <v>994</v>
      </c>
      <c r="C452" s="27" t="s">
        <v>968</v>
      </c>
      <c r="D452" s="27" t="s">
        <v>969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1222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1097</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1005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1223</v>
      </c>
    </row>
    <row r="458" spans="1:12">
      <c r="A458" s="20" t="s">
        <v>1224</v>
      </c>
      <c r="B458" s="27" t="s">
        <v>967</v>
      </c>
      <c r="C458" s="27" t="s">
        <v>1001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1221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991</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996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1086</v>
      </c>
      <c r="B462" s="27" t="s">
        <v>1010</v>
      </c>
      <c r="C462" s="27" t="s">
        <v>968</v>
      </c>
      <c r="D462" s="27" t="s">
        <v>969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1222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1097</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991</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1225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1220</v>
      </c>
      <c r="B467" s="27" t="s">
        <v>1010</v>
      </c>
      <c r="C467" s="27" t="s">
        <v>1001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1086</v>
      </c>
      <c r="B468" s="27" t="s">
        <v>1013</v>
      </c>
      <c r="C468" s="27" t="s">
        <v>968</v>
      </c>
      <c r="D468" s="27" t="s">
        <v>969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1226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1005</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1227</v>
      </c>
    </row>
    <row r="473" spans="1:12">
      <c r="A473" s="20" t="s">
        <v>1224</v>
      </c>
      <c r="B473" s="27" t="s">
        <v>967</v>
      </c>
      <c r="C473" s="27" t="s">
        <v>1001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1221</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991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996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985</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1228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1111</v>
      </c>
      <c r="B479" s="27" t="s">
        <v>1010</v>
      </c>
      <c r="C479" s="27" t="s">
        <v>979</v>
      </c>
      <c r="D479" s="27" t="s">
        <v>969</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1086</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1229</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991</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1230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1231</v>
      </c>
      <c r="B484" s="27" t="s">
        <v>1031</v>
      </c>
      <c r="C484" s="27" t="s">
        <v>1035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1232</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991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1204</v>
      </c>
      <c r="B487" s="27" t="s">
        <v>1013</v>
      </c>
      <c r="C487" s="27" t="s">
        <v>974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999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1205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991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1213</v>
      </c>
      <c r="B491" s="27" t="s">
        <v>1013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1105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1233</v>
      </c>
      <c r="B493" s="27" t="s">
        <v>978</v>
      </c>
      <c r="C493" s="27" t="s">
        <v>1234</v>
      </c>
      <c r="D493" s="27" t="s">
        <v>969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999</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367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991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999</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1235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980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1172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976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1236</v>
      </c>
      <c r="B502" s="27" t="s">
        <v>978</v>
      </c>
      <c r="C502" s="27" t="s">
        <v>979</v>
      </c>
      <c r="D502" s="27" t="s">
        <v>969</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999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267</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991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980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1024</v>
      </c>
      <c r="B507" s="27" t="s">
        <v>1010</v>
      </c>
      <c r="C507" s="27" t="s">
        <v>1102</v>
      </c>
      <c r="D507" s="27" t="s">
        <v>969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1086</v>
      </c>
      <c r="B508" s="27" t="s">
        <v>1010</v>
      </c>
      <c r="C508" s="27" t="s">
        <v>968</v>
      </c>
      <c r="D508" s="27" t="s">
        <v>969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1237</v>
      </c>
      <c r="B509" s="27" t="s">
        <v>978</v>
      </c>
      <c r="C509" s="27" t="s">
        <v>1011</v>
      </c>
      <c r="D509" s="27" t="s">
        <v>969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1238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1239</v>
      </c>
      <c r="B511" s="27" t="s">
        <v>1053</v>
      </c>
      <c r="C511" s="27" t="s">
        <v>1123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1097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991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1240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1241</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1097</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1220</v>
      </c>
      <c r="B517" s="27" t="s">
        <v>994</v>
      </c>
      <c r="C517" s="27" t="s">
        <v>1001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975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1242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1243</v>
      </c>
      <c r="B520" s="27" t="s">
        <v>978</v>
      </c>
      <c r="C520" s="27" t="s">
        <v>1035</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980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1244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991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1110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1245</v>
      </c>
      <c r="B525" s="27" t="s">
        <v>1013</v>
      </c>
      <c r="C525" s="27" t="s">
        <v>1018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1246</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1247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999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635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1005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row>
    <row r="532" spans="1:12">
      <c r="A532" s="20" t="s">
        <v>1248</v>
      </c>
    </row>
    <row r="533" spans="1:12">
      <c r="A533" s="20" t="s">
        <v>966</v>
      </c>
      <c r="B533" s="27" t="s">
        <v>967</v>
      </c>
      <c r="C533" s="27" t="s">
        <v>968</v>
      </c>
      <c r="D533" s="27" t="s">
        <v>969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1042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1067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1249</v>
      </c>
      <c r="B536" s="27" t="s">
        <v>973</v>
      </c>
      <c r="C536" s="27" t="s">
        <v>1001</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999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136</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991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1067</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1249</v>
      </c>
      <c r="B541" s="27" t="s">
        <v>1013</v>
      </c>
      <c r="C541" s="27" t="s">
        <v>1011</v>
      </c>
      <c r="D541" s="27" t="s">
        <v>969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999</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241</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980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1249</v>
      </c>
      <c r="B545" s="27" t="s">
        <v>978</v>
      </c>
      <c r="C545" s="27" t="s">
        <v>1001</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999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13</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1005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row>
    <row r="550" spans="1:12">
      <c r="A550" s="20" t="s">
        <v>1250</v>
      </c>
    </row>
    <row r="551" spans="1:12">
      <c r="A551" s="20" t="s">
        <v>1251</v>
      </c>
      <c r="B551" s="27" t="s">
        <v>967</v>
      </c>
      <c r="C551" s="27" t="s">
        <v>968</v>
      </c>
      <c r="D551" s="27" t="s">
        <v>969</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1178</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1016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1252</v>
      </c>
      <c r="B554" s="27" t="s">
        <v>1053</v>
      </c>
      <c r="C554" s="27" t="s">
        <v>1018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1253</v>
      </c>
      <c r="B555" s="27" t="s">
        <v>1053</v>
      </c>
      <c r="C555" s="27" t="s">
        <v>974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1005</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row>
    <row r="558" spans="1:12">
      <c r="A558" s="20" t="s">
        <v>1254</v>
      </c>
    </row>
    <row r="559" spans="1:12">
      <c r="A559" s="20" t="s">
        <v>1007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1041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1255</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985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1256</v>
      </c>
      <c r="B563" s="27" t="s">
        <v>973</v>
      </c>
      <c r="C563" s="27" t="s">
        <v>979</v>
      </c>
      <c r="D563" s="27" t="s">
        <v>969</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1051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1005</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row>
    <row r="567" spans="1:12">
      <c r="A567" s="20" t="s">
        <v>1060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1257</v>
      </c>
    </row>
    <row r="569" spans="1:12">
      <c r="A569" s="20" t="s">
        <v>1182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1220</v>
      </c>
      <c r="B570" s="27" t="s">
        <v>1010</v>
      </c>
      <c r="C570" s="27" t="s">
        <v>1001</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1026</v>
      </c>
      <c r="B571" s="27" t="s">
        <v>1013</v>
      </c>
      <c r="C571" s="27" t="s">
        <v>968</v>
      </c>
      <c r="D571" s="27" t="s">
        <v>969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1258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1259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991</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996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993</v>
      </c>
      <c r="B576" s="27" t="s">
        <v>994</v>
      </c>
      <c r="C576" s="27" t="s">
        <v>968</v>
      </c>
      <c r="D576" s="27" t="s">
        <v>969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975</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1038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1260</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1261</v>
      </c>
      <c r="B580" s="27" t="s">
        <v>982</v>
      </c>
      <c r="C580" s="27" t="s">
        <v>979</v>
      </c>
      <c r="D580" s="27" t="s">
        <v>969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1262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1113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991</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1259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993</v>
      </c>
      <c r="B586" s="27" t="s">
        <v>967</v>
      </c>
      <c r="C586" s="27" t="s">
        <v>968</v>
      </c>
      <c r="D586" s="27" t="s">
        <v>969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1258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1194</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965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1263</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1086</v>
      </c>
      <c r="B591" s="27" t="s">
        <v>994</v>
      </c>
      <c r="C591" s="27" t="s">
        <v>968</v>
      </c>
      <c r="D591" s="27" t="s">
        <v>969</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975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976</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1264</v>
      </c>
      <c r="B594" s="27" t="s">
        <v>982</v>
      </c>
      <c r="C594" s="27" t="s">
        <v>1083</v>
      </c>
      <c r="D594" s="27" t="s">
        <v>969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1265</v>
      </c>
      <c r="B595" s="27" t="s">
        <v>1003</v>
      </c>
      <c r="C595" s="27" t="s">
        <v>1083</v>
      </c>
      <c r="D595" s="27" t="s">
        <v>969</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1097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991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1266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993</v>
      </c>
      <c r="B599" s="27" t="s">
        <v>1010</v>
      </c>
      <c r="C599" s="27" t="s">
        <v>968</v>
      </c>
      <c r="D599" s="27" t="s">
        <v>969</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1024</v>
      </c>
      <c r="B600" s="27" t="s">
        <v>1013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1005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965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1060</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1267</v>
      </c>
    </row>
    <row r="606" spans="1:12">
      <c r="A606" s="20" t="s">
        <v>1144</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1114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1220</v>
      </c>
      <c r="B608" s="27" t="s">
        <v>1010</v>
      </c>
      <c r="C608" s="27" t="s">
        <v>1001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1026</v>
      </c>
      <c r="B609" s="27" t="s">
        <v>1013</v>
      </c>
      <c r="C609" s="27" t="s">
        <v>968</v>
      </c>
      <c r="D609" s="27" t="s">
        <v>969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1258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1259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1194</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965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1268</v>
      </c>
      <c r="B614" s="27" t="s">
        <v>967</v>
      </c>
      <c r="C614" s="27" t="s">
        <v>968</v>
      </c>
      <c r="D614" s="27" t="s">
        <v>969</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104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1038</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1260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1269</v>
      </c>
      <c r="B618" s="27" t="s">
        <v>1031</v>
      </c>
      <c r="C618" s="27" t="s">
        <v>979</v>
      </c>
      <c r="D618" s="27" t="s">
        <v>969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1270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1271</v>
      </c>
      <c r="B620" s="27" t="s">
        <v>973</v>
      </c>
      <c r="C620" s="27" t="s">
        <v>974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965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991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1113</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993</v>
      </c>
      <c r="B624" s="27" t="s">
        <v>1010</v>
      </c>
      <c r="C624" s="27" t="s">
        <v>968</v>
      </c>
      <c r="D624" s="27" t="s">
        <v>969</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1272</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1273</v>
      </c>
      <c r="B626" s="27" t="s">
        <v>982</v>
      </c>
      <c r="C626" s="27" t="s">
        <v>988</v>
      </c>
      <c r="D626" s="27" t="s">
        <v>969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1274</v>
      </c>
      <c r="B627" s="27" t="s">
        <v>1010</v>
      </c>
      <c r="C627" s="27" t="s">
        <v>974</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1275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991</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1046</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1024</v>
      </c>
      <c r="B631" s="27" t="s">
        <v>994</v>
      </c>
      <c r="C631" s="27" t="s">
        <v>1011</v>
      </c>
      <c r="D631" s="27" t="s">
        <v>969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1276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1005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row>
    <row r="635" spans="1:12">
      <c r="A635" s="20" t="s">
        <v>1277</v>
      </c>
    </row>
    <row r="636" spans="1:12">
      <c r="A636" s="20" t="s">
        <v>966</v>
      </c>
      <c r="B636" s="27" t="s">
        <v>967</v>
      </c>
      <c r="C636" s="27" t="s">
        <v>968</v>
      </c>
      <c r="D636" s="27" t="s">
        <v>969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1278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1279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1280</v>
      </c>
      <c r="B639" s="27" t="s">
        <v>978</v>
      </c>
      <c r="C639" s="27" t="s">
        <v>1102</v>
      </c>
      <c r="D639" s="27" t="s">
        <v>969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1281</v>
      </c>
      <c r="B640" s="27" t="s">
        <v>973</v>
      </c>
      <c r="C640" s="27" t="s">
        <v>1141</v>
      </c>
      <c r="D640" s="27" t="s">
        <v>969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991</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1024</v>
      </c>
      <c r="B642" s="27" t="s">
        <v>967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1220</v>
      </c>
      <c r="B643" s="27" t="s">
        <v>967</v>
      </c>
      <c r="C643" s="27" t="s">
        <v>1001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1282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991</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1114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1220</v>
      </c>
      <c r="B647" s="27" t="s">
        <v>1010</v>
      </c>
      <c r="C647" s="27" t="s">
        <v>1001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1283</v>
      </c>
      <c r="B648" s="27" t="s">
        <v>1053</v>
      </c>
      <c r="C648" s="27" t="s">
        <v>974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980</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1284</v>
      </c>
      <c r="B650" s="27" t="s">
        <v>978</v>
      </c>
      <c r="C650" s="27" t="s">
        <v>974</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1285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1286</v>
      </c>
      <c r="B652" s="27" t="s">
        <v>978</v>
      </c>
      <c r="C652" s="27" t="s">
        <v>974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980</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1043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1287</v>
      </c>
      <c r="B655" s="27" t="s">
        <v>994</v>
      </c>
      <c r="C655" s="27" t="s">
        <v>979</v>
      </c>
      <c r="D655" s="27" t="s">
        <v>969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1022</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1110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1288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991</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1240</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1289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996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1086</v>
      </c>
      <c r="B663" s="27" t="s">
        <v>997</v>
      </c>
      <c r="C663" s="27" t="s">
        <v>968</v>
      </c>
      <c r="D663" s="27" t="s">
        <v>969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1016</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1290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1291</v>
      </c>
      <c r="B666" s="27" t="s">
        <v>1198</v>
      </c>
      <c r="C666" s="27" t="s">
        <v>1018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1292</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991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1214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1293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991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1106</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1086</v>
      </c>
      <c r="B673" s="27" t="s">
        <v>1294</v>
      </c>
      <c r="C673" s="27" t="s">
        <v>968</v>
      </c>
      <c r="D673" s="27" t="s">
        <v>969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1295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1296</v>
      </c>
      <c r="B675" s="27" t="s">
        <v>1297</v>
      </c>
      <c r="C675" s="27" t="s">
        <v>1123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1151</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1005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row>
    <row r="679" spans="1:12">
      <c r="A679" s="20" t="s">
        <v>1298</v>
      </c>
    </row>
    <row r="680" spans="1:12">
      <c r="A680" s="20" t="s">
        <v>1251</v>
      </c>
      <c r="B680" s="27" t="s">
        <v>967</v>
      </c>
      <c r="C680" s="27" t="s">
        <v>968</v>
      </c>
      <c r="D680" s="27" t="s">
        <v>969</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1097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1051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1281</v>
      </c>
      <c r="B683" s="27" t="s">
        <v>1053</v>
      </c>
      <c r="C683" s="27" t="s">
        <v>1018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1043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1299</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1256</v>
      </c>
      <c r="B686" s="27" t="s">
        <v>1053</v>
      </c>
      <c r="C686" s="27" t="s">
        <v>979</v>
      </c>
      <c r="D686" s="27" t="s">
        <v>969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991</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1300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996</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1220</v>
      </c>
      <c r="B690" s="27" t="s">
        <v>994</v>
      </c>
      <c r="C690" s="27" t="s">
        <v>1001</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1301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1221</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991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1302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1220</v>
      </c>
      <c r="B695" s="27" t="s">
        <v>994</v>
      </c>
      <c r="C695" s="27" t="s">
        <v>1001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1256</v>
      </c>
      <c r="B696" s="27" t="s">
        <v>1031</v>
      </c>
      <c r="C696" s="27" t="s">
        <v>974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1282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1005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1303</v>
      </c>
    </row>
    <row r="701" spans="1:12">
      <c r="A701" s="20" t="s">
        <v>1007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1151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1170</v>
      </c>
      <c r="B703" s="27" t="s">
        <v>978</v>
      </c>
      <c r="C703" s="27" t="s">
        <v>1102</v>
      </c>
      <c r="D703" s="27" t="s">
        <v>969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1304</v>
      </c>
      <c r="B704" s="27" t="s">
        <v>1053</v>
      </c>
      <c r="C704" s="27" t="s">
        <v>1141</v>
      </c>
      <c r="D704" s="27" t="s">
        <v>969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1042</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993</v>
      </c>
      <c r="B706" s="27" t="s">
        <v>967</v>
      </c>
      <c r="C706" s="27" t="s">
        <v>968</v>
      </c>
      <c r="D706" s="27" t="s">
        <v>969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999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241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991</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996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1086</v>
      </c>
      <c r="B711" s="27" t="s">
        <v>994</v>
      </c>
      <c r="C711" s="27" t="s">
        <v>968</v>
      </c>
      <c r="D711" s="27" t="s">
        <v>969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1305</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999</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1306</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1097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991</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1151</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976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1307</v>
      </c>
      <c r="B719" s="27" t="s">
        <v>1053</v>
      </c>
      <c r="C719" s="27" t="s">
        <v>979</v>
      </c>
      <c r="D719" s="27" t="s">
        <v>969</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999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37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991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980</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996</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1043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1308</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1309</v>
      </c>
      <c r="B727" s="27" t="s">
        <v>1010</v>
      </c>
      <c r="C727" s="27" t="s">
        <v>979</v>
      </c>
      <c r="D727" s="27" t="s">
        <v>969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991</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1213</v>
      </c>
      <c r="B729" s="27" t="s">
        <v>1013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1021</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1310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991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1311</v>
      </c>
      <c r="B733" s="27" t="s">
        <v>994</v>
      </c>
      <c r="C733" s="27" t="s">
        <v>1234</v>
      </c>
      <c r="D733" s="27" t="s">
        <v>969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1312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991</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1313</v>
      </c>
      <c r="B736" s="27" t="s">
        <v>1003</v>
      </c>
      <c r="C736" s="27" t="s">
        <v>1001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1111</v>
      </c>
      <c r="B737" s="27" t="s">
        <v>994</v>
      </c>
      <c r="C737" s="27" t="s">
        <v>974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1021</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1314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999</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136</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1005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row>
    <row r="744" spans="1:12">
      <c r="A744" s="20" t="s">
        <v>1060</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1315</v>
      </c>
    </row>
    <row r="746" spans="1:12">
      <c r="A746" s="20" t="s">
        <v>1316</v>
      </c>
      <c r="B746" s="27" t="s">
        <v>978</v>
      </c>
      <c r="C746" s="27" t="s">
        <v>1011</v>
      </c>
      <c r="D746" s="27" t="s">
        <v>969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1317</v>
      </c>
      <c r="B747" s="27" t="s">
        <v>1053</v>
      </c>
      <c r="C747" s="27" t="s">
        <v>1018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1318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993</v>
      </c>
      <c r="B749" s="27" t="s">
        <v>967</v>
      </c>
      <c r="C749" s="27" t="s">
        <v>968</v>
      </c>
      <c r="D749" s="27" t="s">
        <v>969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1319</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1022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980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1193</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991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993</v>
      </c>
      <c r="B755" s="27" t="s">
        <v>1010</v>
      </c>
      <c r="C755" s="27" t="s">
        <v>968</v>
      </c>
      <c r="D755" s="27" t="s">
        <v>969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1259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1320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1110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1321</v>
      </c>
      <c r="B759" s="27" t="s">
        <v>1013</v>
      </c>
      <c r="C759" s="27" t="s">
        <v>1018</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991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1322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993</v>
      </c>
      <c r="B762" s="27" t="s">
        <v>1010</v>
      </c>
      <c r="C762" s="27" t="s">
        <v>968</v>
      </c>
      <c r="D762" s="27" t="s">
        <v>969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1323</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1324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975</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976</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1325</v>
      </c>
      <c r="B767" s="27" t="s">
        <v>978</v>
      </c>
      <c r="C767" s="27" t="s">
        <v>979</v>
      </c>
      <c r="D767" s="27" t="s">
        <v>969</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1326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991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1024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1327</v>
      </c>
      <c r="B771" s="27" t="s">
        <v>1010</v>
      </c>
      <c r="C771" s="27" t="s">
        <v>979</v>
      </c>
      <c r="D771" s="27" t="s">
        <v>969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1328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980</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1193</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1194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965</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1329</v>
      </c>
      <c r="B777" s="27" t="s">
        <v>1010</v>
      </c>
      <c r="C777" s="27" t="s">
        <v>1001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1330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1021</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980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993</v>
      </c>
      <c r="B781" s="27" t="s">
        <v>994</v>
      </c>
      <c r="C781" s="27" t="s">
        <v>968</v>
      </c>
      <c r="D781" s="27" t="s">
        <v>969</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1331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1332</v>
      </c>
      <c r="B783" s="27" t="s">
        <v>1031</v>
      </c>
      <c r="C783" s="27" t="s">
        <v>974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1333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1005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965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row>
    <row r="788" spans="1:12">
      <c r="A788" s="20" t="s">
        <v>1334</v>
      </c>
    </row>
    <row r="789" spans="1:12">
      <c r="A789" s="20" t="s">
        <v>966</v>
      </c>
      <c r="B789" s="27" t="s">
        <v>967</v>
      </c>
      <c r="C789" s="27" t="s">
        <v>968</v>
      </c>
      <c r="D789" s="27" t="s">
        <v>969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1085</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1191</v>
      </c>
      <c r="B791" s="27" t="s">
        <v>978</v>
      </c>
      <c r="C791" s="27" t="s">
        <v>968</v>
      </c>
      <c r="D791" s="27" t="s">
        <v>969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1335</v>
      </c>
      <c r="B792" s="27" t="s">
        <v>973</v>
      </c>
      <c r="C792" s="27" t="s">
        <v>1035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1021</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123</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980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1024</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1327</v>
      </c>
      <c r="B797" s="27" t="s">
        <v>1013</v>
      </c>
      <c r="C797" s="27" t="s">
        <v>979</v>
      </c>
      <c r="D797" s="27" t="s">
        <v>969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1336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980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1337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1005</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1338</v>
      </c>
    </row>
    <row r="804" spans="1:12">
      <c r="A804" s="20" t="s">
        <v>1339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993</v>
      </c>
      <c r="B805" s="27" t="s">
        <v>1010</v>
      </c>
      <c r="C805" s="27" t="s">
        <v>968</v>
      </c>
      <c r="D805" s="27" t="s">
        <v>969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1340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1341</v>
      </c>
      <c r="B808" s="27" t="s">
        <v>1013</v>
      </c>
      <c r="C808" s="27" t="s">
        <v>1123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1342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980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1086</v>
      </c>
      <c r="B811" s="27" t="s">
        <v>1031</v>
      </c>
      <c r="C811" s="27" t="s">
        <v>968</v>
      </c>
      <c r="D811" s="27" t="s">
        <v>969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1343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1278</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991</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1344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1345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1024</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1327</v>
      </c>
      <c r="B818" s="27" t="s">
        <v>973</v>
      </c>
      <c r="C818" s="27" t="s">
        <v>979</v>
      </c>
      <c r="D818" s="27" t="s">
        <v>969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991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980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1346</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1347</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993</v>
      </c>
      <c r="B823" s="27" t="s">
        <v>1010</v>
      </c>
      <c r="C823" s="27" t="s">
        <v>968</v>
      </c>
      <c r="D823" s="27" t="s">
        <v>969</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1086</v>
      </c>
      <c r="B824" s="27" t="s">
        <v>1013</v>
      </c>
      <c r="C824" s="27" t="s">
        <v>968</v>
      </c>
      <c r="D824" s="27" t="s">
        <v>969</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1348</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1005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row>
    <row r="828" spans="1:12">
      <c r="A828" s="20" t="s">
        <v>1060</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1349</v>
      </c>
    </row>
    <row r="830" spans="1:12">
      <c r="A830" s="20" t="s">
        <v>1251</v>
      </c>
      <c r="B830" s="27" t="s">
        <v>967</v>
      </c>
      <c r="C830" s="27" t="s">
        <v>968</v>
      </c>
      <c r="D830" s="27" t="s">
        <v>969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1178</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1273</v>
      </c>
      <c r="B832" s="27" t="s">
        <v>1053</v>
      </c>
      <c r="C832" s="27" t="s">
        <v>988</v>
      </c>
      <c r="D832" s="27" t="s">
        <v>969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1350</v>
      </c>
      <c r="B833" s="27" t="s">
        <v>1053</v>
      </c>
      <c r="C833" s="27" t="s">
        <v>974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980</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993</v>
      </c>
      <c r="B835" s="27" t="s">
        <v>1010</v>
      </c>
      <c r="C835" s="27" t="s">
        <v>968</v>
      </c>
      <c r="D835" s="27" t="s">
        <v>969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1351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1194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965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966</v>
      </c>
      <c r="B839" s="27" t="s">
        <v>994</v>
      </c>
      <c r="C839" s="27" t="s">
        <v>968</v>
      </c>
      <c r="D839" s="27" t="s">
        <v>969</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1352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1353</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1354</v>
      </c>
      <c r="B842" s="27" t="s">
        <v>1031</v>
      </c>
      <c r="C842" s="27" t="s">
        <v>974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1005</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1060</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1355</v>
      </c>
    </row>
    <row r="847" spans="1:12">
      <c r="A847" s="20" t="s">
        <v>1077</v>
      </c>
      <c r="B847" s="27" t="s">
        <v>967</v>
      </c>
      <c r="C847" s="27" t="s">
        <v>1011</v>
      </c>
      <c r="D847" s="27" t="s">
        <v>969</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1356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1357</v>
      </c>
      <c r="B849" s="27" t="s">
        <v>973</v>
      </c>
      <c r="C849" s="27" t="s">
        <v>1001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136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1005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965</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row>
    <row r="854" spans="1:12">
      <c r="A854" s="20" t="s">
        <v>1358</v>
      </c>
    </row>
    <row r="855" spans="1:12">
      <c r="A855" s="20" t="s">
        <v>1359</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976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1260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1360</v>
      </c>
      <c r="B858" s="27" t="s">
        <v>1053</v>
      </c>
      <c r="C858" s="27" t="s">
        <v>979</v>
      </c>
      <c r="D858" s="27" t="s">
        <v>969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1361</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993</v>
      </c>
      <c r="B860" s="27" t="s">
        <v>967</v>
      </c>
      <c r="C860" s="27" t="s">
        <v>968</v>
      </c>
      <c r="D860" s="27" t="s">
        <v>969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1037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1038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1362</v>
      </c>
      <c r="B863" s="27" t="s">
        <v>1053</v>
      </c>
      <c r="C863" s="27" t="s">
        <v>979</v>
      </c>
      <c r="D863" s="27" t="s">
        <v>969</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980</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1043</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1363</v>
      </c>
      <c r="B866" s="27" t="s">
        <v>978</v>
      </c>
      <c r="C866" s="27" t="s">
        <v>979</v>
      </c>
      <c r="D866" s="27" t="s">
        <v>969</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1151</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1005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row>
    <row r="870" spans="1:12">
      <c r="A870" s="20" t="s">
        <v>1364</v>
      </c>
    </row>
    <row r="871" spans="1:12">
      <c r="A871" s="20" t="s">
        <v>1007</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993</v>
      </c>
      <c r="B872" s="27" t="s">
        <v>967</v>
      </c>
      <c r="C872" s="27" t="s">
        <v>968</v>
      </c>
      <c r="D872" s="27" t="s">
        <v>969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1042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1365</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1026</v>
      </c>
      <c r="B875" s="27" t="s">
        <v>973</v>
      </c>
      <c r="C875" s="27" t="s">
        <v>968</v>
      </c>
      <c r="D875" s="27" t="s">
        <v>969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1139</v>
      </c>
      <c r="B876" s="27" t="s">
        <v>982</v>
      </c>
      <c r="C876" s="27" t="s">
        <v>1102</v>
      </c>
      <c r="D876" s="27" t="s">
        <v>969</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1366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172</v>
      </c>
      <c r="B878" s="27" t="s">
        <v>1013</v>
      </c>
      <c r="C878" s="27" t="s">
        <v>1141</v>
      </c>
      <c r="D878" s="27" t="s">
        <v>969</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999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340</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1194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1182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993</v>
      </c>
      <c r="B883" s="27" t="s">
        <v>1010</v>
      </c>
      <c r="C883" s="27" t="s">
        <v>968</v>
      </c>
      <c r="D883" s="27" t="s">
        <v>969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1021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985</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1367</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1368</v>
      </c>
      <c r="B887" s="27" t="s">
        <v>1053</v>
      </c>
      <c r="C887" s="27" t="s">
        <v>979</v>
      </c>
      <c r="D887" s="27" t="s">
        <v>969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1369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991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985</v>
      </c>
      <c r="B890" s="27" t="s">
        <v>994</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1051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1116</v>
      </c>
      <c r="B892" s="27" t="s">
        <v>1031</v>
      </c>
      <c r="C892" s="27" t="s">
        <v>1018</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1370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1259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991</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1371</v>
      </c>
      <c r="B896" s="27" t="s">
        <v>997</v>
      </c>
      <c r="C896" s="27" t="s">
        <v>1372</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1369</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993</v>
      </c>
      <c r="B898" s="27" t="s">
        <v>997</v>
      </c>
      <c r="C898" s="27" t="s">
        <v>968</v>
      </c>
      <c r="D898" s="27" t="s">
        <v>969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1041</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1373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row>
    <row r="902" spans="1:12">
      <c r="A902" s="20" t="s">
        <v>1374</v>
      </c>
    </row>
    <row r="903" spans="1:12">
      <c r="A903" s="20" t="s">
        <v>1007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1114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993</v>
      </c>
      <c r="B905" s="27" t="s">
        <v>1010</v>
      </c>
      <c r="C905" s="27" t="s">
        <v>968</v>
      </c>
      <c r="D905" s="27" t="s">
        <v>969</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1375</v>
      </c>
      <c r="B906" s="27" t="s">
        <v>1013</v>
      </c>
      <c r="C906" s="27" t="s">
        <v>974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1376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1200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991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58</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985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1375</v>
      </c>
      <c r="B912" s="27" t="s">
        <v>967</v>
      </c>
      <c r="C912" s="27" t="s">
        <v>979</v>
      </c>
      <c r="D912" s="27" t="s">
        <v>969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1107</v>
      </c>
      <c r="B913" s="27" t="s">
        <v>973</v>
      </c>
      <c r="C913" s="27" t="s">
        <v>968</v>
      </c>
      <c r="D913" s="27" t="s">
        <v>969</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1158</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999</v>
      </c>
      <c r="B915" s="27" t="s">
        <v>978</v>
      </c>
      <c r="C915" s="27" t="s">
        <v>1001</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1026</v>
      </c>
      <c r="B916" s="27" t="s">
        <v>1053</v>
      </c>
      <c r="C916" s="27" t="s">
        <v>968</v>
      </c>
      <c r="D916" s="27" t="s">
        <v>969</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1105</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1285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58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1009</v>
      </c>
      <c r="B920" s="27" t="s">
        <v>967</v>
      </c>
      <c r="C920" s="27" t="s">
        <v>1011</v>
      </c>
      <c r="D920" s="27" t="s">
        <v>969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1107</v>
      </c>
      <c r="B921" s="27" t="s">
        <v>973</v>
      </c>
      <c r="C921" s="27" t="s">
        <v>968</v>
      </c>
      <c r="D921" s="27" t="s">
        <v>969</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999</v>
      </c>
      <c r="B922" s="27" t="s">
        <v>978</v>
      </c>
      <c r="C922" s="27" t="s">
        <v>1001</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1377</v>
      </c>
      <c r="B923" s="27" t="s">
        <v>1053</v>
      </c>
      <c r="C923" s="27" t="s">
        <v>1001</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1378</v>
      </c>
      <c r="B924" s="27" t="s">
        <v>1053</v>
      </c>
      <c r="C924" s="27" t="s">
        <v>1001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1373</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row>
    <row r="927" spans="1:12">
      <c r="A927" s="20" t="s">
        <v>1379</v>
      </c>
    </row>
    <row r="928" spans="1:12">
      <c r="A928" s="20" t="s">
        <v>1007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1177</v>
      </c>
      <c r="B929" s="27" t="s">
        <v>973</v>
      </c>
      <c r="C929" s="27" t="s">
        <v>1011</v>
      </c>
      <c r="D929" s="27" t="s">
        <v>969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1380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993</v>
      </c>
      <c r="B931" s="27" t="s">
        <v>967</v>
      </c>
      <c r="C931" s="27" t="s">
        <v>968</v>
      </c>
      <c r="D931" s="27" t="s">
        <v>969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1381</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991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1114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1009</v>
      </c>
      <c r="B935" s="27" t="s">
        <v>1010</v>
      </c>
      <c r="C935" s="27" t="s">
        <v>1011</v>
      </c>
      <c r="D935" s="27" t="s">
        <v>969</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1107</v>
      </c>
      <c r="B936" s="27" t="s">
        <v>1013</v>
      </c>
      <c r="C936" s="27" t="s">
        <v>968</v>
      </c>
      <c r="D936" s="27" t="s">
        <v>969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999</v>
      </c>
      <c r="B937" s="27" t="s">
        <v>982</v>
      </c>
      <c r="C937" s="27" t="s">
        <v>1001</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1382</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1313</v>
      </c>
      <c r="B939" s="27" t="s">
        <v>978</v>
      </c>
      <c r="C939" s="27" t="s">
        <v>1011</v>
      </c>
      <c r="D939" s="27" t="s">
        <v>969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58</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1373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row>
    <row r="943" spans="1:12">
      <c r="A943" s="20" t="s">
        <v>1383</v>
      </c>
    </row>
    <row r="944" spans="1:12">
      <c r="A944" s="20" t="s">
        <v>1251</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1384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1385</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1386</v>
      </c>
      <c r="B947" s="27" t="s">
        <v>1013</v>
      </c>
      <c r="C947" s="27" t="s">
        <v>1123</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1108</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1107</v>
      </c>
      <c r="B949" s="27" t="s">
        <v>1053</v>
      </c>
      <c r="C949" s="27" t="s">
        <v>968</v>
      </c>
      <c r="D949" s="27" t="s">
        <v>969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991</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1046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993</v>
      </c>
      <c r="B952" s="27" t="s">
        <v>1010</v>
      </c>
      <c r="C952" s="27" t="s">
        <v>968</v>
      </c>
      <c r="D952" s="27" t="s">
        <v>969</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1038</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1387</v>
      </c>
      <c r="B954" s="27" t="s">
        <v>1013</v>
      </c>
      <c r="C954" s="27" t="s">
        <v>979</v>
      </c>
      <c r="D954" s="27" t="s">
        <v>969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1388</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1005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1389</v>
      </c>
    </row>
    <row r="959" spans="1:12">
      <c r="A959" s="20" t="s">
        <v>1390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1160</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993</v>
      </c>
      <c r="B961" s="27" t="s">
        <v>967</v>
      </c>
      <c r="C961" s="27" t="s">
        <v>968</v>
      </c>
      <c r="D961" s="27" t="s">
        <v>969</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991</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1391</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1392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991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996</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993</v>
      </c>
      <c r="B967" s="27" t="s">
        <v>994</v>
      </c>
      <c r="C967" s="27" t="s">
        <v>968</v>
      </c>
      <c r="D967" s="27" t="s">
        <v>969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1051</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1393</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1307</v>
      </c>
      <c r="B970" s="27" t="s">
        <v>1031</v>
      </c>
      <c r="C970" s="27" t="s">
        <v>1018</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1278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980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1114</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993</v>
      </c>
      <c r="B974" s="27" t="s">
        <v>997</v>
      </c>
      <c r="C974" s="27" t="s">
        <v>968</v>
      </c>
      <c r="D974" s="27" t="s">
        <v>969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1394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1395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1113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991</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1047</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1396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1357</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1151</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976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1313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1397</v>
      </c>
      <c r="B985" s="27" t="s">
        <v>1398</v>
      </c>
      <c r="C985" s="27" t="s">
        <v>1399</v>
      </c>
      <c r="D985" s="27" t="s">
        <v>969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991</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1024</v>
      </c>
      <c r="B987" s="27" t="s">
        <v>1294</v>
      </c>
      <c r="C987" s="27" t="s">
        <v>1011</v>
      </c>
      <c r="D987" s="27" t="s">
        <v>969</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1400</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1178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1005</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row>
    <row r="992" spans="1:12">
      <c r="A992" s="20" t="s">
        <v>1401</v>
      </c>
    </row>
    <row r="993" spans="1:12">
      <c r="A993" s="20" t="s">
        <v>1402</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1403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1278</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993</v>
      </c>
      <c r="B996" s="27" t="s">
        <v>967</v>
      </c>
      <c r="C996" s="27" t="s">
        <v>968</v>
      </c>
      <c r="D996" s="27" t="s">
        <v>969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1404</v>
      </c>
      <c r="B997" s="27" t="s">
        <v>973</v>
      </c>
      <c r="C997" s="27" t="s">
        <v>974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999</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1405</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1406</v>
      </c>
      <c r="B1000" s="27" t="s">
        <v>978</v>
      </c>
      <c r="C1000" s="27" t="s">
        <v>974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1005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row>
    <row r="1003" spans="1:12">
      <c r="A1003" s="20" t="s">
        <v>1407</v>
      </c>
    </row>
    <row r="1004" spans="1:12">
      <c r="A1004" s="20" t="s">
        <v>1144</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1408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1409</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993</v>
      </c>
      <c r="B1007" s="27" t="s">
        <v>967</v>
      </c>
      <c r="C1007" s="27" t="s">
        <v>968</v>
      </c>
      <c r="D1007" s="27" t="s">
        <v>969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1107</v>
      </c>
      <c r="B1008" s="27" t="s">
        <v>973</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1410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980</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1411</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1412</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991</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1409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1107</v>
      </c>
      <c r="B1015" s="27" t="s">
        <v>1013</v>
      </c>
      <c r="C1015" s="27" t="s">
        <v>968</v>
      </c>
      <c r="D1015" s="27" t="s">
        <v>969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1410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980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1319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1413</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993</v>
      </c>
      <c r="B1020" s="27" t="s">
        <v>1010</v>
      </c>
      <c r="C1020" s="27" t="s">
        <v>968</v>
      </c>
      <c r="D1020" s="27" t="s">
        <v>969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991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996</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993</v>
      </c>
      <c r="B1023" s="27" t="s">
        <v>994</v>
      </c>
      <c r="C1023" s="27" t="s">
        <v>968</v>
      </c>
      <c r="D1023" s="27" t="s">
        <v>969</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1022</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1414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975</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1415</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980</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1416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1406</v>
      </c>
      <c r="B1030" s="27" t="s">
        <v>982</v>
      </c>
      <c r="C1030" s="27" t="s">
        <v>974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414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1417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1005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1060</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1418</v>
      </c>
    </row>
    <row r="1037" spans="1:12">
      <c r="A1037" s="20" t="s">
        <v>966</v>
      </c>
      <c r="B1037" s="27" t="s">
        <v>967</v>
      </c>
      <c r="C1037" s="27" t="s">
        <v>968</v>
      </c>
      <c r="D1037" s="27" t="s">
        <v>969</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1419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1194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965</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1420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1086</v>
      </c>
      <c r="B1042" s="27" t="s">
        <v>1010</v>
      </c>
      <c r="C1042" s="27" t="s">
        <v>968</v>
      </c>
      <c r="D1042" s="27" t="s">
        <v>969</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1051</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1421</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1285</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1051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1422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1423</v>
      </c>
      <c r="B1048" s="27" t="s">
        <v>1053</v>
      </c>
      <c r="C1048" s="27" t="s">
        <v>1018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1373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row>
    <row r="1051" spans="1:12">
      <c r="A1051" s="20" t="s">
        <v>1060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1424</v>
      </c>
    </row>
    <row r="1053" spans="1:12">
      <c r="A1053" s="20" t="s">
        <v>1007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1200</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1086</v>
      </c>
      <c r="B1055" s="27" t="s">
        <v>967</v>
      </c>
      <c r="C1055" s="27" t="s">
        <v>968</v>
      </c>
      <c r="D1055" s="27" t="s">
        <v>969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1022</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1425</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1285</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1022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1426</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1427</v>
      </c>
      <c r="B1061" s="27" t="s">
        <v>1053</v>
      </c>
      <c r="C1061" s="27" t="s">
        <v>974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1428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462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1373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965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row>
    <row r="1067" spans="1:12">
      <c r="A1067" s="20" t="s">
        <v>1429</v>
      </c>
    </row>
    <row r="1068" spans="1:12">
      <c r="A1068" s="20" t="s">
        <v>966</v>
      </c>
      <c r="B1068" s="27" t="s">
        <v>967</v>
      </c>
      <c r="C1068" s="27" t="s">
        <v>968</v>
      </c>
      <c r="D1068" s="27" t="s">
        <v>969</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1085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985</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172</v>
      </c>
      <c r="B1071" s="27" t="s">
        <v>1053</v>
      </c>
      <c r="C1071" s="27" t="s">
        <v>979</v>
      </c>
      <c r="D1071" s="27" t="s">
        <v>969</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991</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1430</v>
      </c>
      <c r="B1073" s="27" t="s">
        <v>1010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1381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1086</v>
      </c>
      <c r="B1075" s="27" t="s">
        <v>1010</v>
      </c>
      <c r="C1075" s="27" t="s">
        <v>968</v>
      </c>
      <c r="D1075" s="27" t="s">
        <v>969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1178</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991</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1021</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350</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1005</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row>
    <row r="1082" spans="1:12">
      <c r="A1082" s="20" t="s">
        <v>1431</v>
      </c>
    </row>
    <row r="1083" spans="1:12">
      <c r="A1083" s="20" t="s">
        <v>1007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1041</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1413</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993</v>
      </c>
      <c r="B1086" s="27" t="s">
        <v>967</v>
      </c>
      <c r="C1086" s="27" t="s">
        <v>968</v>
      </c>
      <c r="D1086" s="27" t="s">
        <v>969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1319</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991</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996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1432</v>
      </c>
      <c r="B1090" s="27" t="s">
        <v>1010</v>
      </c>
      <c r="C1090" s="27" t="s">
        <v>1011</v>
      </c>
      <c r="D1090" s="27" t="s">
        <v>969</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975</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1433</v>
      </c>
      <c r="B1092" s="27" t="s">
        <v>982</v>
      </c>
      <c r="C1092" s="27" t="s">
        <v>1011</v>
      </c>
      <c r="D1092" s="27" t="s">
        <v>969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1434</v>
      </c>
      <c r="B1093" s="27" t="s">
        <v>978</v>
      </c>
      <c r="C1093" s="27" t="s">
        <v>1123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1435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1436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1195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991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1437</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985</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1438</v>
      </c>
      <c r="B1100" s="27" t="s">
        <v>1031</v>
      </c>
      <c r="C1100" s="27" t="s">
        <v>979</v>
      </c>
      <c r="D1100" s="27" t="s">
        <v>969</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1439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999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514</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1005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1440</v>
      </c>
    </row>
    <row r="1107" spans="1:12">
      <c r="A1107" s="20" t="s">
        <v>1093</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1425</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980</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1441</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1406</v>
      </c>
      <c r="B1111" s="27" t="s">
        <v>967</v>
      </c>
      <c r="C1111" s="27" t="s">
        <v>979</v>
      </c>
      <c r="D1111" s="27" t="s">
        <v>969</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104</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1442</v>
      </c>
      <c r="B1113" s="27" t="s">
        <v>1010</v>
      </c>
      <c r="C1113" s="27" t="s">
        <v>1001</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1016</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1443</v>
      </c>
      <c r="B1115" s="27" t="s">
        <v>973</v>
      </c>
      <c r="C1115" s="27" t="s">
        <v>1444</v>
      </c>
      <c r="D1115" s="27" t="s">
        <v>969</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991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980</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993</v>
      </c>
      <c r="B1118" s="27" t="s">
        <v>1010</v>
      </c>
      <c r="C1118" s="27" t="s">
        <v>968</v>
      </c>
      <c r="D1118" s="27" t="s">
        <v>969</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1413</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1365</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991</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996</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1078</v>
      </c>
      <c r="B1123" s="27" t="s">
        <v>994</v>
      </c>
      <c r="C1123" s="27" t="s">
        <v>974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1357</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1195</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991</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1024</v>
      </c>
      <c r="B1127" s="27" t="s">
        <v>997</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1445</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1446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975</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1447</v>
      </c>
      <c r="B1131" s="27" t="s">
        <v>1003</v>
      </c>
      <c r="C1131" s="27" t="s">
        <v>1011</v>
      </c>
      <c r="D1131" s="27" t="s">
        <v>969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1448</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1097</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991</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996</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1220</v>
      </c>
      <c r="B1136" s="27" t="s">
        <v>997</v>
      </c>
      <c r="C1136" s="27" t="s">
        <v>1001</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1009</v>
      </c>
      <c r="B1137" s="27" t="s">
        <v>1198</v>
      </c>
      <c r="C1137" s="27" t="s">
        <v>1011</v>
      </c>
      <c r="D1137" s="27" t="s">
        <v>969</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1021</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1095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1449</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1450</v>
      </c>
      <c r="B1141" s="27" t="s">
        <v>1003</v>
      </c>
      <c r="C1141" s="27" t="s">
        <v>1035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980</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1451</v>
      </c>
      <c r="B1143" s="27" t="s">
        <v>1398</v>
      </c>
      <c r="C1143" s="27" t="s">
        <v>988</v>
      </c>
      <c r="D1143" s="27" t="s">
        <v>969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1452</v>
      </c>
      <c r="B1144" s="27" t="s">
        <v>1000</v>
      </c>
      <c r="C1144" s="27" t="s">
        <v>974</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1453</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1454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1005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row>
    <row r="1149" spans="1:12">
      <c r="A1149" s="20" t="s">
        <v>1455</v>
      </c>
    </row>
    <row r="1150" spans="1:12">
      <c r="A1150" s="20" t="s">
        <v>1456</v>
      </c>
      <c r="B1150" s="27" t="s">
        <v>967</v>
      </c>
      <c r="C1150" s="27" t="s">
        <v>1011</v>
      </c>
      <c r="D1150" s="27" t="s">
        <v>969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183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1457</v>
      </c>
      <c r="B1152" s="27" t="s">
        <v>1010</v>
      </c>
      <c r="C1152" s="27" t="s">
        <v>974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1108</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1078</v>
      </c>
      <c r="B1154" s="27" t="s">
        <v>982</v>
      </c>
      <c r="C1154" s="27" t="s">
        <v>974</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1195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1458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1005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1459</v>
      </c>
    </row>
    <row r="1160" spans="1:12">
      <c r="A1160" s="20" t="s">
        <v>1268</v>
      </c>
      <c r="B1160" s="27" t="s">
        <v>967</v>
      </c>
      <c r="C1160" s="27" t="s">
        <v>968</v>
      </c>
      <c r="D1160" s="27" t="s">
        <v>969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1195</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1021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1460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1461</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1005</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row>
    <row r="1167" spans="1:12">
      <c r="A1167" s="20" t="s">
        <v>1462</v>
      </c>
    </row>
    <row r="1168" spans="1:12">
      <c r="A1168" s="20" t="s">
        <v>1268</v>
      </c>
      <c r="B1168" s="27" t="s">
        <v>967</v>
      </c>
      <c r="C1168" s="27" t="s">
        <v>968</v>
      </c>
      <c r="D1168" s="27" t="s">
        <v>969</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1195</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1463</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1464</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1005</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row>
    <row r="1174" spans="1:12">
      <c r="A1174" s="20" t="s">
        <v>1465</v>
      </c>
    </row>
    <row r="1175" spans="1:12">
      <c r="A1175" s="20" t="s">
        <v>1268</v>
      </c>
      <c r="B1175" s="27" t="s">
        <v>967</v>
      </c>
      <c r="C1175" s="27" t="s">
        <v>968</v>
      </c>
      <c r="D1175" s="27" t="s">
        <v>969</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104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1466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1467</v>
      </c>
      <c r="B1178" s="27" t="s">
        <v>973</v>
      </c>
      <c r="C1178" s="27" t="s">
        <v>974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1005</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1468</v>
      </c>
    </row>
    <row r="1182" spans="1:12">
      <c r="A1182" s="20" t="s">
        <v>1268</v>
      </c>
      <c r="B1182" s="27" t="s">
        <v>967</v>
      </c>
      <c r="C1182" s="27" t="s">
        <v>968</v>
      </c>
      <c r="D1182" s="27" t="s">
        <v>969</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1195</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1051</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1469</v>
      </c>
      <c r="B1185" s="27" t="s">
        <v>1053</v>
      </c>
      <c r="C1185" s="27" t="s">
        <v>1018</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1005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row>
    <row r="1188" spans="1:12">
      <c r="A1188" s="20" t="s">
        <v>1470</v>
      </c>
    </row>
    <row r="1189" spans="1:12">
      <c r="A1189" s="20" t="s">
        <v>1144</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993</v>
      </c>
      <c r="B1190" s="27" t="s">
        <v>967</v>
      </c>
      <c r="C1190" s="27" t="s">
        <v>968</v>
      </c>
      <c r="D1190" s="27" t="s">
        <v>969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1369</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1445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1471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991</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996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993</v>
      </c>
      <c r="B1196" s="27" t="s">
        <v>1010</v>
      </c>
      <c r="C1196" s="27" t="s">
        <v>968</v>
      </c>
      <c r="D1196" s="27" t="s">
        <v>969</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999</v>
      </c>
      <c r="B1197" s="27" t="s">
        <v>982</v>
      </c>
      <c r="C1197" s="27" t="s">
        <v>1001</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1043</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1472</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1473</v>
      </c>
      <c r="B1200" s="27" t="s">
        <v>978</v>
      </c>
      <c r="C1200" s="27" t="s">
        <v>979</v>
      </c>
      <c r="D1200" s="27" t="s">
        <v>969</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1474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980</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1021</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1475</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197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1133</v>
      </c>
      <c r="B1206" s="27" t="s">
        <v>978</v>
      </c>
      <c r="C1206" s="27" t="s">
        <v>1123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991</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1046</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1476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1477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1157</v>
      </c>
      <c r="B1211" s="27" t="s">
        <v>1198</v>
      </c>
      <c r="C1211" s="27" t="s">
        <v>1011</v>
      </c>
      <c r="D1211" s="27" t="s">
        <v>969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1478</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462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1085</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1005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row>
    <row r="1217" spans="1:12">
      <c r="A1217" s="20" t="s">
        <v>1479</v>
      </c>
    </row>
    <row r="1218" spans="1:12">
      <c r="A1218" s="20" t="s">
        <v>966</v>
      </c>
      <c r="B1218" s="27" t="s">
        <v>967</v>
      </c>
      <c r="C1218" s="27" t="s">
        <v>968</v>
      </c>
      <c r="D1218" s="27" t="s">
        <v>969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1480</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991</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996</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975</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197</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1133</v>
      </c>
      <c r="B1224" s="27" t="s">
        <v>978</v>
      </c>
      <c r="C1224" s="27" t="s">
        <v>1123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985</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1111</v>
      </c>
      <c r="B1226" s="27" t="s">
        <v>1013</v>
      </c>
      <c r="C1226" s="27" t="s">
        <v>979</v>
      </c>
      <c r="D1226" s="27" t="s">
        <v>969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1095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1191</v>
      </c>
      <c r="B1228" s="27" t="s">
        <v>982</v>
      </c>
      <c r="C1228" s="27" t="s">
        <v>988</v>
      </c>
      <c r="D1228" s="27" t="s">
        <v>969</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1481</v>
      </c>
      <c r="B1229" s="27" t="s">
        <v>978</v>
      </c>
      <c r="C1229" s="27" t="s">
        <v>974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21</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980</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1482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37</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462</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991</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996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1483</v>
      </c>
      <c r="B1237" s="27" t="s">
        <v>994</v>
      </c>
      <c r="C1237" s="27" t="s">
        <v>1001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1445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1016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1484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1485</v>
      </c>
      <c r="B1241" s="27" t="s">
        <v>1031</v>
      </c>
      <c r="C1241" s="27" t="s">
        <v>1018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1486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1005</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row>
    <row r="1245" spans="1:12">
      <c r="A1245" s="20" t="s">
        <v>1487</v>
      </c>
    </row>
    <row r="1246" spans="1:12">
      <c r="A1246" s="20" t="s">
        <v>1078</v>
      </c>
      <c r="B1246" s="27" t="s">
        <v>967</v>
      </c>
      <c r="C1246" s="27" t="s">
        <v>974</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1195</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1024</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1488</v>
      </c>
      <c r="B1249" s="27" t="s">
        <v>1053</v>
      </c>
      <c r="C1249" s="27" t="s">
        <v>979</v>
      </c>
      <c r="D1249" s="27" t="s">
        <v>969</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1043</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1489</v>
      </c>
      <c r="B1251" s="27" t="s">
        <v>1053</v>
      </c>
      <c r="C1251" s="27" t="s">
        <v>979</v>
      </c>
      <c r="D1251" s="27" t="s">
        <v>969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1005</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row>
    <row r="1254" spans="1:12">
      <c r="A1254" s="20" t="s">
        <v>1060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1490</v>
      </c>
    </row>
    <row r="1256" spans="1:12">
      <c r="A1256" s="20" t="s">
        <v>1491</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1220</v>
      </c>
      <c r="B1257" s="27" t="s">
        <v>967</v>
      </c>
      <c r="C1257" s="27" t="s">
        <v>1001</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1037</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1492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1493</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980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1113</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241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1194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965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1182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1033</v>
      </c>
      <c r="B1267" s="27" t="s">
        <v>1003</v>
      </c>
      <c r="C1267" s="27" t="s">
        <v>988</v>
      </c>
      <c r="D1267" s="27" t="s">
        <v>969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669</v>
      </c>
      <c r="B1268" s="27" t="s">
        <v>994</v>
      </c>
      <c r="C1268" s="27" t="s">
        <v>974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1494</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991</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1495</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993</v>
      </c>
      <c r="B1272" s="27" t="s">
        <v>1010</v>
      </c>
      <c r="C1272" s="27" t="s">
        <v>968</v>
      </c>
      <c r="D1272" s="27" t="s">
        <v>969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1016</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1073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965</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991</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1047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1086</v>
      </c>
      <c r="B1278" s="27" t="s">
        <v>994</v>
      </c>
      <c r="C1278" s="27" t="s">
        <v>968</v>
      </c>
      <c r="D1278" s="27" t="s">
        <v>969</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1021</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985</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1489</v>
      </c>
      <c r="B1281" s="27" t="s">
        <v>1013</v>
      </c>
      <c r="C1281" s="27" t="s">
        <v>1399</v>
      </c>
      <c r="D1281" s="27" t="s">
        <v>969</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991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1214</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1432</v>
      </c>
      <c r="B1284" s="27" t="s">
        <v>997</v>
      </c>
      <c r="C1284" s="27" t="s">
        <v>1011</v>
      </c>
      <c r="D1284" s="27" t="s">
        <v>969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1009</v>
      </c>
      <c r="B1285" s="27" t="s">
        <v>1198</v>
      </c>
      <c r="C1285" s="27" t="s">
        <v>1011</v>
      </c>
      <c r="D1285" s="27" t="s">
        <v>969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29</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1005</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row>
    <row r="1289" spans="1:12">
      <c r="A1289" s="20" t="s">
        <v>1496</v>
      </c>
    </row>
    <row r="1290" spans="1:12">
      <c r="A1290" s="20" t="s">
        <v>1251</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1497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1237</v>
      </c>
      <c r="B1292" s="27" t="s">
        <v>978</v>
      </c>
      <c r="C1292" s="27" t="s">
        <v>1011</v>
      </c>
      <c r="D1292" s="27" t="s">
        <v>969</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1489</v>
      </c>
      <c r="B1293" s="27" t="s">
        <v>967</v>
      </c>
      <c r="C1293" s="27" t="s">
        <v>1123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991</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1300</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1024</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1498</v>
      </c>
      <c r="B1297" s="27" t="s">
        <v>978</v>
      </c>
      <c r="C1297" s="27" t="s">
        <v>979</v>
      </c>
      <c r="D1297" s="27" t="s">
        <v>969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1095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1499</v>
      </c>
      <c r="B1299" s="27" t="s">
        <v>982</v>
      </c>
      <c r="C1299" s="27" t="s">
        <v>974</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991</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980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1280</v>
      </c>
      <c r="B1302" s="27" t="s">
        <v>982</v>
      </c>
      <c r="C1302" s="27" t="s">
        <v>1102</v>
      </c>
      <c r="D1302" s="27" t="s">
        <v>969</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1500</v>
      </c>
      <c r="B1303" s="27" t="s">
        <v>1010</v>
      </c>
      <c r="C1303" s="27" t="s">
        <v>1141</v>
      </c>
      <c r="D1303" s="27" t="s">
        <v>969</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1043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1501</v>
      </c>
      <c r="B1305" s="27" t="s">
        <v>982</v>
      </c>
      <c r="C1305" s="27" t="s">
        <v>979</v>
      </c>
      <c r="D1305" s="27" t="s">
        <v>969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1454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1043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1502</v>
      </c>
      <c r="B1308" s="27" t="s">
        <v>1053</v>
      </c>
      <c r="C1308" s="27" t="s">
        <v>979</v>
      </c>
      <c r="D1308" s="27" t="s">
        <v>969</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1108</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1503</v>
      </c>
      <c r="B1310" s="27" t="s">
        <v>978</v>
      </c>
      <c r="C1310" s="27" t="s">
        <v>974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37</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1005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row>
    <row r="1314" spans="1:12">
      <c r="A1314" s="20" t="s">
        <v>1504</v>
      </c>
    </row>
    <row r="1315" spans="1:12">
      <c r="A1315" s="20" t="s">
        <v>1251</v>
      </c>
      <c r="B1315" s="27" t="s">
        <v>967</v>
      </c>
      <c r="C1315" s="27" t="s">
        <v>968</v>
      </c>
      <c r="D1315" s="27" t="s">
        <v>969</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1497</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1146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1438</v>
      </c>
      <c r="B1318" s="27" t="s">
        <v>973</v>
      </c>
      <c r="C1318" s="27" t="s">
        <v>1123</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991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985</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1111</v>
      </c>
      <c r="B1321" s="27" t="s">
        <v>994</v>
      </c>
      <c r="C1321" s="27" t="s">
        <v>979</v>
      </c>
      <c r="D1321" s="27" t="s">
        <v>969</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1505</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1506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1194</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1078</v>
      </c>
      <c r="B1325" s="27" t="s">
        <v>1053</v>
      </c>
      <c r="C1325" s="27" t="s">
        <v>974</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991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1507</v>
      </c>
      <c r="B1327" s="27" t="s">
        <v>978</v>
      </c>
      <c r="C1327" s="27" t="s">
        <v>974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980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1508</v>
      </c>
      <c r="B1329" s="27" t="s">
        <v>978</v>
      </c>
      <c r="C1329" s="27" t="s">
        <v>974</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1005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row>
    <row r="1332" spans="1:12">
      <c r="A1332" s="20" t="s">
        <v>1509</v>
      </c>
    </row>
    <row r="1333" spans="1:12">
      <c r="A1333" s="20" t="s">
        <v>1507</v>
      </c>
      <c r="B1333" s="27" t="s">
        <v>967</v>
      </c>
      <c r="C1333" s="27" t="s">
        <v>974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1097</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1510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1511</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1005</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row>
    <row r="1339" spans="1:12">
      <c r="A1339" s="20" t="s">
        <v>1512</v>
      </c>
    </row>
    <row r="1340" spans="1:12">
      <c r="A1340" s="20" t="s">
        <v>1182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1268</v>
      </c>
      <c r="B1341" s="27" t="s">
        <v>1010</v>
      </c>
      <c r="C1341" s="27" t="s">
        <v>968</v>
      </c>
      <c r="D1341" s="27" t="s">
        <v>969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1110</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1499</v>
      </c>
      <c r="B1343" s="27" t="s">
        <v>1013</v>
      </c>
      <c r="C1343" s="27" t="s">
        <v>1018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980</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1213</v>
      </c>
      <c r="B1346" s="27" t="s">
        <v>1031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1513</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1514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13</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991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980</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1041</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991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1296</v>
      </c>
      <c r="B1355" s="27" t="s">
        <v>1003</v>
      </c>
      <c r="C1355" s="27" t="s">
        <v>1123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1148</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991</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1195</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1268</v>
      </c>
      <c r="B1359" s="27" t="s">
        <v>994</v>
      </c>
      <c r="C1359" s="27" t="s">
        <v>968</v>
      </c>
      <c r="D1359" s="27" t="s">
        <v>969</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1067</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1515</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1516</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1517</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991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1240</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1268</v>
      </c>
      <c r="B1366" s="27" t="s">
        <v>994</v>
      </c>
      <c r="C1366" s="27" t="s">
        <v>968</v>
      </c>
      <c r="D1366" s="27" t="s">
        <v>969</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1518</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1051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1519</v>
      </c>
      <c r="B1369" s="27" t="s">
        <v>997</v>
      </c>
      <c r="C1369" s="27" t="s">
        <v>1001</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1520</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991</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1097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1086</v>
      </c>
      <c r="B1373" s="27" t="s">
        <v>967</v>
      </c>
      <c r="C1373" s="27" t="s">
        <v>968</v>
      </c>
      <c r="D1373" s="27" t="s">
        <v>969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614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1507</v>
      </c>
      <c r="B1375" s="27" t="s">
        <v>1053</v>
      </c>
      <c r="C1375" s="27" t="s">
        <v>974</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991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980</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1086</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1218</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1213</v>
      </c>
      <c r="B1380" s="27" t="s">
        <v>1013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614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1521</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975</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1522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1523</v>
      </c>
      <c r="B1385" s="27" t="s">
        <v>978</v>
      </c>
      <c r="C1385" s="27" t="s">
        <v>974</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1095</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1524</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1525</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1005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row>
    <row r="1391" spans="1:12">
      <c r="A1391" s="20" t="s">
        <v>1526</v>
      </c>
    </row>
    <row r="1392" spans="1:12">
      <c r="A1392" s="20" t="s">
        <v>1182</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1268</v>
      </c>
      <c r="B1393" s="27" t="s">
        <v>1010</v>
      </c>
      <c r="C1393" s="27" t="s">
        <v>968</v>
      </c>
      <c r="D1393" s="27" t="s">
        <v>969</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1110</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1527</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1499</v>
      </c>
      <c r="B1396" s="27" t="s">
        <v>1013</v>
      </c>
      <c r="C1396" s="27" t="s">
        <v>1018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45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980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1213</v>
      </c>
      <c r="B1399" s="27" t="s">
        <v>1031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1528</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991</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980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1131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32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1261</v>
      </c>
      <c r="B1406" s="27" t="s">
        <v>1003</v>
      </c>
      <c r="C1406" s="27" t="s">
        <v>1123</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1529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1518</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1530</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991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1041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1195</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1086</v>
      </c>
      <c r="B1413" s="27" t="s">
        <v>967</v>
      </c>
      <c r="C1413" s="27" t="s">
        <v>968</v>
      </c>
      <c r="D1413" s="27" t="s">
        <v>969</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1320</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1078</v>
      </c>
      <c r="B1415" s="27" t="s">
        <v>1053</v>
      </c>
      <c r="C1415" s="27" t="s">
        <v>974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991</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985</v>
      </c>
      <c r="B1417" s="27" t="s">
        <v>1010</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1095</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1038</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1527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1531</v>
      </c>
      <c r="B1421" s="27" t="s">
        <v>978</v>
      </c>
      <c r="C1421" s="27" t="s">
        <v>979</v>
      </c>
      <c r="D1421" s="27" t="s">
        <v>969</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1532</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1533</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1005</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row>
    <row r="1426" spans="1:12">
      <c r="A1426" s="20" t="s">
        <v>1534</v>
      </c>
    </row>
    <row r="1427" spans="1:12">
      <c r="A1427" s="20" t="s">
        <v>1535</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1536</v>
      </c>
      <c r="B1428" s="27" t="s">
        <v>967</v>
      </c>
      <c r="C1428" s="27" t="s">
        <v>979</v>
      </c>
      <c r="D1428" s="27" t="s">
        <v>969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1537</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1447</v>
      </c>
      <c r="B1430" s="27" t="s">
        <v>973</v>
      </c>
      <c r="C1430" s="27" t="s">
        <v>1011</v>
      </c>
      <c r="D1430" s="27" t="s">
        <v>969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1016</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1538</v>
      </c>
      <c r="B1432" s="27" t="s">
        <v>973</v>
      </c>
      <c r="C1432" s="27" t="s">
        <v>1018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1005</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row>
    <row r="1435" spans="1:12">
      <c r="A1435" s="20" t="s">
        <v>1539</v>
      </c>
    </row>
    <row r="1436" spans="1:12">
      <c r="A1436" s="20" t="s">
        <v>1093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1111</v>
      </c>
      <c r="B1437" s="27" t="s">
        <v>967</v>
      </c>
      <c r="C1437" s="27" t="s">
        <v>979</v>
      </c>
      <c r="D1437" s="27" t="s">
        <v>969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241</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991</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1078</v>
      </c>
      <c r="B1440" s="27" t="s">
        <v>1010</v>
      </c>
      <c r="C1440" s="27" t="s">
        <v>974</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1540</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1305</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1508</v>
      </c>
      <c r="B1443" s="27" t="s">
        <v>973</v>
      </c>
      <c r="C1443" s="27" t="s">
        <v>974</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1005</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row>
    <row r="1446" spans="1:12">
      <c r="A1446" s="20" t="s">
        <v>1541</v>
      </c>
    </row>
    <row r="1447" spans="1:12">
      <c r="A1447" s="20" t="s">
        <v>1251</v>
      </c>
      <c r="B1447" s="27" t="s">
        <v>967</v>
      </c>
      <c r="C1447" s="27" t="s">
        <v>968</v>
      </c>
      <c r="D1447" s="27" t="s">
        <v>969</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1097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1179</v>
      </c>
      <c r="B1449" s="27" t="s">
        <v>967</v>
      </c>
      <c r="C1449" s="27" t="s">
        <v>1001</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999</v>
      </c>
      <c r="B1450" s="27" t="s">
        <v>1053</v>
      </c>
      <c r="C1450" s="27" t="s">
        <v>1001</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1179</v>
      </c>
      <c r="B1451" s="27" t="s">
        <v>1053</v>
      </c>
      <c r="C1451" s="27" t="s">
        <v>1001</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1508</v>
      </c>
      <c r="B1452" s="27" t="s">
        <v>1053</v>
      </c>
      <c r="C1452" s="27" t="s">
        <v>1123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991</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1179</v>
      </c>
      <c r="B1454" s="27" t="s">
        <v>1053</v>
      </c>
      <c r="C1454" s="27" t="s">
        <v>1001</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999</v>
      </c>
      <c r="B1455" s="27" t="s">
        <v>982</v>
      </c>
      <c r="C1455" s="27" t="s">
        <v>1001</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1179</v>
      </c>
      <c r="B1456" s="27" t="s">
        <v>982</v>
      </c>
      <c r="C1456" s="27" t="s">
        <v>1001</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1507</v>
      </c>
      <c r="B1457" s="27" t="s">
        <v>978</v>
      </c>
      <c r="C1457" s="27" t="s">
        <v>1123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1172</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1382</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1179</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999</v>
      </c>
      <c r="B1461" s="27" t="s">
        <v>1003</v>
      </c>
      <c r="C1461" s="27" t="s">
        <v>1001</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1542</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1309</v>
      </c>
      <c r="B1463" s="27" t="s">
        <v>982</v>
      </c>
      <c r="C1463" s="27" t="s">
        <v>1018</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1005</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row>
    <row r="1466" spans="1:12">
      <c r="A1466" s="20" t="s">
        <v>1543</v>
      </c>
    </row>
    <row r="1467" spans="1:12">
      <c r="A1467" s="20" t="s">
        <v>966</v>
      </c>
      <c r="B1467" s="27" t="s">
        <v>967</v>
      </c>
      <c r="C1467" s="27" t="s">
        <v>968</v>
      </c>
      <c r="D1467" s="27" t="s">
        <v>969</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1544</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1107</v>
      </c>
      <c r="B1469" s="27" t="s">
        <v>973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1545</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991</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1078</v>
      </c>
      <c r="B1472" s="27" t="s">
        <v>1013</v>
      </c>
      <c r="C1472" s="27" t="s">
        <v>974</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999</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176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980</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1111</v>
      </c>
      <c r="B1476" s="27" t="s">
        <v>1010</v>
      </c>
      <c r="C1476" s="27" t="s">
        <v>974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999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1546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991</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985</v>
      </c>
      <c r="B1480" s="27" t="s">
        <v>1010</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1024</v>
      </c>
      <c r="B1481" s="27" t="s">
        <v>1013</v>
      </c>
      <c r="C1481" s="27" t="s">
        <v>1102</v>
      </c>
      <c r="D1481" s="27" t="s">
        <v>969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1226</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1547</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1005</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row>
    <row r="1486" spans="1:12">
      <c r="A1486" s="20" t="s">
        <v>1548</v>
      </c>
    </row>
    <row r="1487" spans="1:12">
      <c r="A1487" s="20" t="s">
        <v>966</v>
      </c>
      <c r="B1487" s="27" t="s">
        <v>967</v>
      </c>
      <c r="C1487" s="27" t="s">
        <v>968</v>
      </c>
      <c r="D1487" s="27" t="s">
        <v>969</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1549</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991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996</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1086</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1111</v>
      </c>
      <c r="B1492" s="27" t="s">
        <v>1010</v>
      </c>
      <c r="C1492" s="27" t="s">
        <v>974</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1497</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991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985</v>
      </c>
      <c r="B1495" s="27" t="s">
        <v>997</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991</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1550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1551</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991</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1552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1553</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1078</v>
      </c>
      <c r="B1502" s="27" t="s">
        <v>1013</v>
      </c>
      <c r="C1502" s="27" t="s">
        <v>974</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104</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991</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985</v>
      </c>
      <c r="B1505" s="27" t="s">
        <v>1010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1240</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1381</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1241</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1554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1555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1195</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1005</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1556</v>
      </c>
    </row>
    <row r="1515" spans="1:12">
      <c r="A1515" s="20" t="s">
        <v>1007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1086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1497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1073</v>
      </c>
      <c r="B1518" s="27" t="s">
        <v>978</v>
      </c>
      <c r="C1518" s="27" t="s">
        <v>1011</v>
      </c>
      <c r="D1518" s="27" t="s">
        <v>969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1111</v>
      </c>
      <c r="B1519" s="27" t="s">
        <v>967</v>
      </c>
      <c r="C1519" s="27" t="s">
        <v>974</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991</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985</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991</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1445</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1214</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1086</v>
      </c>
      <c r="B1525" s="27" t="s">
        <v>1010</v>
      </c>
      <c r="C1525" s="27" t="s">
        <v>968</v>
      </c>
      <c r="D1525" s="27" t="s">
        <v>969</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1557</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991</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1558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1559</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1078</v>
      </c>
      <c r="B1530" s="27" t="s">
        <v>1031</v>
      </c>
      <c r="C1530" s="27" t="s">
        <v>974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104</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991</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980</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1241</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1560</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1242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1561</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1562</v>
      </c>
      <c r="B1538" s="27" t="s">
        <v>1003</v>
      </c>
      <c r="C1538" s="27" t="s">
        <v>1035</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1051</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1393</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1307</v>
      </c>
      <c r="B1541" s="27" t="s">
        <v>1198</v>
      </c>
      <c r="C1541" s="27" t="s">
        <v>1018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1547</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1005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row>
    <row r="1545" spans="1:12">
      <c r="A1545" s="20" t="s">
        <v>1563</v>
      </c>
    </row>
    <row r="1546" spans="1:12">
      <c r="A1546" s="20" t="s">
        <v>966</v>
      </c>
      <c r="B1546" s="27" t="s">
        <v>967</v>
      </c>
      <c r="C1546" s="27" t="s">
        <v>968</v>
      </c>
      <c r="D1546" s="27" t="s">
        <v>969</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1564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1565</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1566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991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1161</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1567</v>
      </c>
      <c r="B1552" s="27" t="s">
        <v>1003</v>
      </c>
      <c r="C1552" s="27" t="s">
        <v>1001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1111</v>
      </c>
      <c r="B1553" s="27" t="s">
        <v>994</v>
      </c>
      <c r="C1553" s="27" t="s">
        <v>1123</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1568</v>
      </c>
      <c r="B1554" s="27" t="s">
        <v>1010</v>
      </c>
      <c r="C1554" s="27" t="s">
        <v>1011</v>
      </c>
      <c r="D1554" s="27" t="s">
        <v>969</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1195</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1046</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1073</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1005</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row>
    <row r="1560" spans="1:12">
      <c r="A1560" s="20" t="s">
        <v>1569</v>
      </c>
    </row>
    <row r="1561" spans="1:12">
      <c r="A1561" s="20" t="s">
        <v>1570</v>
      </c>
      <c r="B1561" s="27" t="s">
        <v>967</v>
      </c>
      <c r="C1561" s="27" t="s">
        <v>1011</v>
      </c>
      <c r="D1561" s="27" t="s">
        <v>969</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1195</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985</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1571</v>
      </c>
      <c r="B1564" s="27" t="s">
        <v>1053</v>
      </c>
      <c r="C1564" s="27" t="s">
        <v>979</v>
      </c>
      <c r="D1564" s="27" t="s">
        <v>969</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991</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985</v>
      </c>
      <c r="B1566" s="27" t="s">
        <v>1010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1086</v>
      </c>
      <c r="B1567" s="27" t="s">
        <v>1013</v>
      </c>
      <c r="C1567" s="27" t="s">
        <v>968</v>
      </c>
      <c r="D1567" s="27" t="s">
        <v>969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1111</v>
      </c>
      <c r="B1568" s="27" t="s">
        <v>1013</v>
      </c>
      <c r="C1568" s="27" t="s">
        <v>974</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1572</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991</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999</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1112</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1373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row>
    <row r="1575" spans="1:12">
      <c r="A1575" s="20" t="s">
        <v>1573</v>
      </c>
    </row>
    <row r="1576" spans="1:12">
      <c r="A1576" s="20" t="s">
        <v>966</v>
      </c>
      <c r="B1576" s="27" t="s">
        <v>967</v>
      </c>
      <c r="C1576" s="27" t="s">
        <v>968</v>
      </c>
      <c r="D1576" s="27" t="s">
        <v>969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1574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1565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1575</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980</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1576</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1110</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1151</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1078</v>
      </c>
      <c r="B1584" s="27" t="s">
        <v>1003</v>
      </c>
      <c r="C1584" s="27" t="s">
        <v>974</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1577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1111</v>
      </c>
      <c r="B1586" s="27" t="s">
        <v>1013</v>
      </c>
      <c r="C1586" s="27" t="s">
        <v>1018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1131</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976</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1313</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1005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1578</v>
      </c>
    </row>
    <row r="1593" spans="1:12">
      <c r="A1593" s="20" t="s">
        <v>1579</v>
      </c>
      <c r="B1593" s="27" t="s">
        <v>967</v>
      </c>
      <c r="C1593" s="27" t="s">
        <v>1001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1043</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1580</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1111</v>
      </c>
      <c r="B1596" s="27" t="s">
        <v>978</v>
      </c>
      <c r="C1596" s="27" t="s">
        <v>979</v>
      </c>
      <c r="D1596" s="27" t="s">
        <v>969</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991</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985</v>
      </c>
      <c r="B1598" s="27" t="s">
        <v>1198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993</v>
      </c>
      <c r="B1599" s="27" t="s">
        <v>997</v>
      </c>
      <c r="C1599" s="27" t="s">
        <v>968</v>
      </c>
      <c r="D1599" s="27" t="s">
        <v>969</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1576</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991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1581</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1078</v>
      </c>
      <c r="B1603" s="27" t="s">
        <v>973</v>
      </c>
      <c r="C1603" s="27" t="s">
        <v>974</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1046</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1016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1073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1252</v>
      </c>
      <c r="B1607" s="27" t="s">
        <v>1053</v>
      </c>
      <c r="C1607" s="27" t="s">
        <v>1018</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1582</v>
      </c>
      <c r="B1608" s="27" t="s">
        <v>978</v>
      </c>
      <c r="C1608" s="27" t="s">
        <v>974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991</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980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1086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1178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1583</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991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996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993</v>
      </c>
      <c r="B1616" s="27" t="s">
        <v>1010</v>
      </c>
      <c r="C1616" s="27" t="s">
        <v>968</v>
      </c>
      <c r="D1616" s="27" t="s">
        <v>969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1024</v>
      </c>
      <c r="B1617" s="27" t="s">
        <v>1013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1445</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1584</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1020</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991</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1585</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1086</v>
      </c>
      <c r="B1623" s="27" t="s">
        <v>994</v>
      </c>
      <c r="C1623" s="27" t="s">
        <v>968</v>
      </c>
      <c r="D1623" s="27" t="s">
        <v>969</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1586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1107</v>
      </c>
      <c r="B1625" s="27" t="s">
        <v>1031</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1545</v>
      </c>
      <c r="B1626" s="27" t="s">
        <v>994</v>
      </c>
      <c r="C1626" s="27" t="s">
        <v>1234</v>
      </c>
      <c r="D1626" s="27" t="s">
        <v>969</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991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996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1139</v>
      </c>
      <c r="B1629" s="27" t="s">
        <v>1398</v>
      </c>
      <c r="C1629" s="27" t="s">
        <v>1102</v>
      </c>
      <c r="D1629" s="27" t="s">
        <v>969</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1252</v>
      </c>
      <c r="B1630" s="27" t="s">
        <v>1294</v>
      </c>
      <c r="C1630" s="27" t="s">
        <v>1141</v>
      </c>
      <c r="D1630" s="27" t="s">
        <v>969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1582</v>
      </c>
      <c r="B1631" s="27" t="s">
        <v>1297</v>
      </c>
      <c r="C1631" s="27" t="s">
        <v>974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999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976</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1587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1582</v>
      </c>
      <c r="B1635" s="27" t="s">
        <v>1000</v>
      </c>
      <c r="C1635" s="27" t="s">
        <v>979</v>
      </c>
      <c r="D1635" s="27" t="s">
        <v>969</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534</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1454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991</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980</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1545</v>
      </c>
      <c r="B1640" s="27" t="s">
        <v>1398</v>
      </c>
      <c r="C1640" s="27" t="s">
        <v>1234</v>
      </c>
      <c r="D1640" s="27" t="s">
        <v>969</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991</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996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1086</v>
      </c>
      <c r="B1643" s="27" t="s">
        <v>1588</v>
      </c>
      <c r="C1643" s="27" t="s">
        <v>968</v>
      </c>
      <c r="D1643" s="27" t="s">
        <v>969</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1016</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1589</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1590</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1239</v>
      </c>
      <c r="B1647" s="27" t="s">
        <v>1000</v>
      </c>
      <c r="C1647" s="27" t="s">
        <v>1018</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1097</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1005</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row>
    <row r="1651" spans="1:12">
      <c r="A1651" s="20" t="s">
        <v>1591</v>
      </c>
    </row>
    <row r="1652" spans="1:12">
      <c r="A1652" s="20" t="s">
        <v>1251</v>
      </c>
      <c r="B1652" s="27" t="s">
        <v>967</v>
      </c>
      <c r="C1652" s="27" t="s">
        <v>968</v>
      </c>
      <c r="D1652" s="27" t="s">
        <v>969</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1097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985</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1151</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976</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1592</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1593</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1594</v>
      </c>
      <c r="B1659" s="27" t="s">
        <v>1053</v>
      </c>
      <c r="C1659" s="27" t="s">
        <v>979</v>
      </c>
      <c r="D1659" s="27" t="s">
        <v>969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980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1595</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49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1111</v>
      </c>
      <c r="B1663" s="27" t="s">
        <v>1010</v>
      </c>
      <c r="C1663" s="27" t="s">
        <v>974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1545</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1005</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row>
    <row r="1667" spans="1:12">
      <c r="A1667" s="20" t="s">
        <v>1596</v>
      </c>
    </row>
    <row r="1668" spans="1:12">
      <c r="A1668" s="20" t="s">
        <v>1579</v>
      </c>
      <c r="B1668" s="27" t="s">
        <v>967</v>
      </c>
      <c r="C1668" s="27" t="s">
        <v>1001</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1043</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1111</v>
      </c>
      <c r="B1670" s="27" t="s">
        <v>978</v>
      </c>
      <c r="C1670" s="27" t="s">
        <v>979</v>
      </c>
      <c r="D1670" s="27" t="s">
        <v>969</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991</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1037</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976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993</v>
      </c>
      <c r="B1674" s="27" t="s">
        <v>997</v>
      </c>
      <c r="C1674" s="27" t="s">
        <v>968</v>
      </c>
      <c r="D1674" s="27" t="s">
        <v>969</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1597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1046</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993</v>
      </c>
      <c r="B1677" s="27" t="s">
        <v>997</v>
      </c>
      <c r="C1677" s="27" t="s">
        <v>968</v>
      </c>
      <c r="D1677" s="27" t="s">
        <v>969</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1024</v>
      </c>
      <c r="B1678" s="27" t="s">
        <v>1198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999</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176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1564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991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1178</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1016</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1598</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1599</v>
      </c>
      <c r="B1686" s="27" t="s">
        <v>1053</v>
      </c>
      <c r="C1686" s="27" t="s">
        <v>1018</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991</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985</v>
      </c>
      <c r="B1688" s="27" t="s">
        <v>1013</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993</v>
      </c>
      <c r="B1689" s="27" t="s">
        <v>1010</v>
      </c>
      <c r="C1689" s="27" t="s">
        <v>968</v>
      </c>
      <c r="D1689" s="27" t="s">
        <v>969</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1600</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1601</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1602</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1133</v>
      </c>
      <c r="B1693" s="27" t="s">
        <v>978</v>
      </c>
      <c r="C1693" s="27" t="s">
        <v>1123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1603</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991</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980</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985</v>
      </c>
      <c r="B1697" s="27" t="s">
        <v>1010</v>
      </c>
      <c r="C1697" s="27" t="s">
        <v>1011</v>
      </c>
      <c r="D1697" s="27" t="s">
        <v>969</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1016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1604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1605</v>
      </c>
      <c r="B1700" s="27" t="s">
        <v>1013</v>
      </c>
      <c r="C1700" s="27" t="s">
        <v>1018</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975</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1606</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1580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1607</v>
      </c>
      <c r="B1704" s="27" t="s">
        <v>978</v>
      </c>
      <c r="C1704" s="27" t="s">
        <v>1035</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1151</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976</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1608</v>
      </c>
      <c r="B1707" s="27" t="s">
        <v>978</v>
      </c>
      <c r="C1707" s="27" t="s">
        <v>979</v>
      </c>
      <c r="D1707" s="27" t="s">
        <v>969</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1609</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1278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991</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980</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1041</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975</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1016</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1610</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1611</v>
      </c>
      <c r="B1716" s="27" t="s">
        <v>978</v>
      </c>
      <c r="C1716" s="27" t="s">
        <v>1018</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1612</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1178</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1005</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row>
    <row r="1721" spans="1:12">
      <c r="A1721" s="20" t="s">
        <v>1613</v>
      </c>
    </row>
    <row r="1722" spans="1:12">
      <c r="A1722" s="20" t="s">
        <v>1268</v>
      </c>
      <c r="B1722" s="27" t="s">
        <v>967</v>
      </c>
      <c r="C1722" s="27" t="s">
        <v>968</v>
      </c>
      <c r="D1722" s="27" t="s">
        <v>969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1278</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1016</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1614</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1615</v>
      </c>
      <c r="B1726" s="27" t="s">
        <v>973</v>
      </c>
      <c r="C1726" s="27" t="s">
        <v>1018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1285</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1616</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1611</v>
      </c>
      <c r="B1729" s="27" t="s">
        <v>978</v>
      </c>
      <c r="C1729" s="27" t="s">
        <v>974</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991</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1214</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1086</v>
      </c>
      <c r="B1732" s="27" t="s">
        <v>997</v>
      </c>
      <c r="C1732" s="27" t="s">
        <v>968</v>
      </c>
      <c r="D1732" s="27" t="s">
        <v>969</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1617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1618</v>
      </c>
      <c r="B1734" s="27" t="s">
        <v>982</v>
      </c>
      <c r="C1734" s="27" t="s">
        <v>974</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1005</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row>
    <row r="1737" spans="1:12">
      <c r="A1737" s="20" t="s">
        <v>1619</v>
      </c>
    </row>
    <row r="1738" spans="1:12">
      <c r="A1738" s="20" t="s">
        <v>1620</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1196</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1147</v>
      </c>
      <c r="B1740" s="27" t="s">
        <v>1053</v>
      </c>
      <c r="C1740" s="27" t="s">
        <v>1123</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1621</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1574</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1086</v>
      </c>
      <c r="B1743" s="27" t="s">
        <v>967</v>
      </c>
      <c r="C1743" s="27" t="s">
        <v>968</v>
      </c>
      <c r="D1743" s="27" t="s">
        <v>969</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1622</v>
      </c>
      <c r="B1744" s="27" t="s">
        <v>967</v>
      </c>
      <c r="C1744" s="27" t="s">
        <v>1011</v>
      </c>
      <c r="D1744" s="27" t="s">
        <v>969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1037</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1623</v>
      </c>
      <c r="B1746" s="27" t="s">
        <v>1053</v>
      </c>
      <c r="C1746" s="27" t="s">
        <v>974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1624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1583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980</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1319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1411</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1024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1623</v>
      </c>
      <c r="B1753" s="27" t="s">
        <v>1010</v>
      </c>
      <c r="C1753" s="27" t="s">
        <v>979</v>
      </c>
      <c r="D1753" s="27" t="s">
        <v>969</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1625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991</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1437</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999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1626</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991</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1214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1009</v>
      </c>
      <c r="B1761" s="27" t="s">
        <v>1010</v>
      </c>
      <c r="C1761" s="27" t="s">
        <v>1011</v>
      </c>
      <c r="D1761" s="27" t="s">
        <v>969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1300</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1627</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1628</v>
      </c>
      <c r="B1764" s="27" t="s">
        <v>1053</v>
      </c>
      <c r="C1764" s="27" t="s">
        <v>974</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1005</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row>
    <row r="1767" spans="1:12">
      <c r="A1767" s="20" t="s">
        <v>1629</v>
      </c>
    </row>
    <row r="1768" spans="1:12">
      <c r="A1768" s="20" t="s">
        <v>1268</v>
      </c>
      <c r="B1768" s="27" t="s">
        <v>967</v>
      </c>
      <c r="C1768" s="27" t="s">
        <v>968</v>
      </c>
      <c r="D1768" s="27" t="s">
        <v>969</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1278</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1016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1630</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1631</v>
      </c>
      <c r="B1772" s="27" t="s">
        <v>973</v>
      </c>
      <c r="C1772" s="27" t="s">
        <v>1018</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991</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980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1632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1041</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975</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985</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1633</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1611</v>
      </c>
      <c r="B1780" s="27" t="s">
        <v>978</v>
      </c>
      <c r="C1780" s="27" t="s">
        <v>979</v>
      </c>
      <c r="D1780" s="27" t="s">
        <v>969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991</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985</v>
      </c>
      <c r="B1782" s="27" t="s">
        <v>1198</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993</v>
      </c>
      <c r="B1783" s="27" t="s">
        <v>997</v>
      </c>
      <c r="C1783" s="27" t="s">
        <v>968</v>
      </c>
      <c r="D1783" s="27" t="s">
        <v>969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1634</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1189</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1005</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row>
    <row r="1788" spans="1:12">
      <c r="A1788" s="20" t="s">
        <v>1635</v>
      </c>
    </row>
    <row r="1789" spans="1:12">
      <c r="A1789" s="20" t="s">
        <v>1268</v>
      </c>
      <c r="B1789" s="27" t="s">
        <v>967</v>
      </c>
      <c r="C1789" s="27" t="s">
        <v>968</v>
      </c>
      <c r="D1789" s="27" t="s">
        <v>969</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1636</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1360</v>
      </c>
      <c r="B1791" s="27" t="s">
        <v>978</v>
      </c>
      <c r="C1791" s="27" t="s">
        <v>974</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1108</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1360</v>
      </c>
      <c r="B1793" s="27" t="s">
        <v>1053</v>
      </c>
      <c r="C1793" s="27" t="s">
        <v>974</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1158</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1285</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1249</v>
      </c>
      <c r="B1796" s="27" t="s">
        <v>978</v>
      </c>
      <c r="C1796" s="27" t="s">
        <v>1001</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1637</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980</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975</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976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1638</v>
      </c>
      <c r="B1801" s="27" t="s">
        <v>1003</v>
      </c>
      <c r="C1801" s="27" t="s">
        <v>979</v>
      </c>
      <c r="D1801" s="27" t="s">
        <v>969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1639</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975</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1043</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1640</v>
      </c>
      <c r="B1805" s="27" t="s">
        <v>1053</v>
      </c>
      <c r="C1805" s="27" t="s">
        <v>979</v>
      </c>
      <c r="D1805" s="27" t="s">
        <v>969</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1641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1642</v>
      </c>
      <c r="B1807" s="27" t="s">
        <v>978</v>
      </c>
      <c r="C1807" s="27" t="s">
        <v>1035</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1005</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row>
    <row r="1810" spans="1:12">
      <c r="A1810" s="20" t="s">
        <v>1060</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1643</v>
      </c>
    </row>
    <row r="1812" spans="1:12">
      <c r="A1812" s="20" t="s">
        <v>1644</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993</v>
      </c>
      <c r="B1813" s="27" t="s">
        <v>994</v>
      </c>
      <c r="C1813" s="27" t="s">
        <v>968</v>
      </c>
      <c r="D1813" s="27" t="s">
        <v>969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1009</v>
      </c>
      <c r="B1814" s="27" t="s">
        <v>1031</v>
      </c>
      <c r="C1814" s="27" t="s">
        <v>1011</v>
      </c>
      <c r="D1814" s="27" t="s">
        <v>969</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1147</v>
      </c>
      <c r="B1815" s="27" t="s">
        <v>1003</v>
      </c>
      <c r="C1815" s="27" t="s">
        <v>974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1148</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1032</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1139</v>
      </c>
      <c r="B1818" s="27" t="s">
        <v>1003</v>
      </c>
      <c r="C1818" s="27" t="s">
        <v>1102</v>
      </c>
      <c r="D1818" s="27" t="s">
        <v>969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1645</v>
      </c>
      <c r="B1819" s="27" t="s">
        <v>982</v>
      </c>
      <c r="C1819" s="27" t="s">
        <v>1141</v>
      </c>
      <c r="D1819" s="27" t="s">
        <v>969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1646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1009</v>
      </c>
      <c r="B1822" s="27" t="s">
        <v>1010</v>
      </c>
      <c r="C1822" s="27" t="s">
        <v>1011</v>
      </c>
      <c r="D1822" s="27" t="s">
        <v>969</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1097</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985</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1647</v>
      </c>
      <c r="B1825" s="27" t="s">
        <v>973</v>
      </c>
      <c r="C1825" s="27" t="s">
        <v>1648</v>
      </c>
      <c r="D1825" s="27" t="s">
        <v>969</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980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1649</v>
      </c>
      <c r="B1827" s="27" t="s">
        <v>978</v>
      </c>
      <c r="C1827" s="27" t="s">
        <v>974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1650</v>
      </c>
      <c r="B1828" s="27" t="s">
        <v>978</v>
      </c>
      <c r="C1828" s="27" t="s">
        <v>1083</v>
      </c>
      <c r="D1828" s="27" t="s">
        <v>969</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1651</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1351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1009</v>
      </c>
      <c r="B1832" s="27" t="s">
        <v>967</v>
      </c>
      <c r="C1832" s="27" t="s">
        <v>1011</v>
      </c>
      <c r="D1832" s="27" t="s">
        <v>969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1194</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965</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966</v>
      </c>
      <c r="B1835" s="27" t="s">
        <v>1010</v>
      </c>
      <c r="C1835" s="27" t="s">
        <v>968</v>
      </c>
      <c r="D1835" s="27" t="s">
        <v>969</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1652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1067</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998</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971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1653</v>
      </c>
      <c r="B1840" s="27" t="s">
        <v>982</v>
      </c>
      <c r="C1840" s="27" t="s">
        <v>974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1654</v>
      </c>
      <c r="B1841" s="27" t="s">
        <v>994</v>
      </c>
      <c r="C1841" s="27" t="s">
        <v>1083</v>
      </c>
      <c r="D1841" s="27" t="s">
        <v>969</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1655</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1656</v>
      </c>
      <c r="B1843" s="27" t="s">
        <v>982</v>
      </c>
      <c r="C1843" s="27" t="s">
        <v>1083</v>
      </c>
      <c r="D1843" s="27" t="s">
        <v>969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1657</v>
      </c>
      <c r="B1844" s="27" t="s">
        <v>1013</v>
      </c>
      <c r="C1844" s="27" t="s">
        <v>1083</v>
      </c>
      <c r="D1844" s="27" t="s">
        <v>969</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1658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971</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991</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1437</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1191</v>
      </c>
      <c r="B1849" s="27" t="s">
        <v>1000</v>
      </c>
      <c r="C1849" s="27" t="s">
        <v>988</v>
      </c>
      <c r="D1849" s="27" t="s">
        <v>969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1659</v>
      </c>
      <c r="B1850" s="27" t="s">
        <v>1198</v>
      </c>
      <c r="C1850" s="27" t="s">
        <v>974</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999</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1660</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1005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row>
    <row r="1855" spans="1:12">
      <c r="A1855" s="20" t="s">
        <v>1661</v>
      </c>
    </row>
    <row r="1856" spans="1:12">
      <c r="A1856" s="20" t="s">
        <v>966</v>
      </c>
      <c r="B1856" s="27" t="s">
        <v>967</v>
      </c>
      <c r="C1856" s="27" t="s">
        <v>968</v>
      </c>
      <c r="D1856" s="27" t="s">
        <v>969</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1652</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991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1437</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985</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1438</v>
      </c>
      <c r="B1861" s="27" t="s">
        <v>1013</v>
      </c>
      <c r="C1861" s="27" t="s">
        <v>979</v>
      </c>
      <c r="D1861" s="27" t="s">
        <v>969</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1662</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991</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985</v>
      </c>
      <c r="B1864" s="27" t="s">
        <v>1010</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1273</v>
      </c>
      <c r="B1865" s="27" t="s">
        <v>982</v>
      </c>
      <c r="C1865" s="27" t="s">
        <v>988</v>
      </c>
      <c r="D1865" s="27" t="s">
        <v>969</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1663</v>
      </c>
      <c r="B1866" s="27" t="s">
        <v>1013</v>
      </c>
      <c r="C1866" s="27" t="s">
        <v>974</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1026</v>
      </c>
      <c r="B1867" s="27" t="s">
        <v>1013</v>
      </c>
      <c r="C1867" s="27" t="s">
        <v>968</v>
      </c>
      <c r="D1867" s="27" t="s">
        <v>969</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1351</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991</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1438</v>
      </c>
      <c r="B1870" s="27" t="s">
        <v>994</v>
      </c>
      <c r="C1870" s="27" t="s">
        <v>974</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1214</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971</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1664</v>
      </c>
      <c r="B1873" s="27" t="s">
        <v>1003</v>
      </c>
      <c r="C1873" s="27" t="s">
        <v>968</v>
      </c>
      <c r="D1873" s="27" t="s">
        <v>969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1665</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1157</v>
      </c>
      <c r="B1875" s="27" t="s">
        <v>1031</v>
      </c>
      <c r="C1875" s="27" t="s">
        <v>1011</v>
      </c>
      <c r="D1875" s="27" t="s">
        <v>969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1005</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row>
    <row r="1878" spans="1:12">
      <c r="A1878" s="20" t="s">
        <v>1666</v>
      </c>
    </row>
    <row r="1879" spans="1:12">
      <c r="A1879" s="20" t="s">
        <v>1664</v>
      </c>
      <c r="B1879" s="27" t="s">
        <v>967</v>
      </c>
      <c r="C1879" s="27" t="s">
        <v>968</v>
      </c>
      <c r="D1879" s="27" t="s">
        <v>969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1665</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1051</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1667</v>
      </c>
      <c r="B1882" s="27" t="s">
        <v>1053</v>
      </c>
      <c r="C1882" s="27" t="s">
        <v>1001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1005</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row>
    <row r="1885" spans="1:12">
      <c r="A1885" s="20" t="s">
        <v>1668</v>
      </c>
    </row>
    <row r="1886" spans="1:12">
      <c r="A1886" s="20" t="s">
        <v>1664</v>
      </c>
      <c r="B1886" s="27" t="s">
        <v>967</v>
      </c>
      <c r="C1886" s="27" t="s">
        <v>968</v>
      </c>
      <c r="D1886" s="27" t="s">
        <v>969</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1669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1086</v>
      </c>
      <c r="B1888" s="27" t="s">
        <v>967</v>
      </c>
      <c r="C1888" s="27" t="s">
        <v>968</v>
      </c>
      <c r="D1888" s="27" t="s">
        <v>969</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1021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1670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999</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621</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1005</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971</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1060</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1671</v>
      </c>
    </row>
    <row r="1898" spans="1:12">
      <c r="A1898" s="20" t="s">
        <v>1007</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1672</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1361</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993</v>
      </c>
      <c r="B1901" s="27" t="s">
        <v>967</v>
      </c>
      <c r="C1901" s="27" t="s">
        <v>968</v>
      </c>
      <c r="D1901" s="27" t="s">
        <v>969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1673</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1151</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991</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1545</v>
      </c>
      <c r="B1905" s="27" t="s">
        <v>978</v>
      </c>
      <c r="C1905" s="27" t="s">
        <v>1234</v>
      </c>
      <c r="D1905" s="27" t="s">
        <v>969</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999</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241</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991</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1107</v>
      </c>
      <c r="B1909" s="27" t="s">
        <v>1013</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1310</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1005</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965</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row>
    <row r="1914" spans="1:12">
      <c r="A1914" s="20" t="s">
        <v>1674</v>
      </c>
    </row>
    <row r="1915" spans="1:12">
      <c r="A1915" s="20" t="s">
        <v>1675</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1043</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1078</v>
      </c>
      <c r="B1917" s="27" t="s">
        <v>1053</v>
      </c>
      <c r="C1917" s="27" t="s">
        <v>979</v>
      </c>
      <c r="D1917" s="27" t="s">
        <v>969</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1676</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1220</v>
      </c>
      <c r="B1919" s="27" t="s">
        <v>967</v>
      </c>
      <c r="C1919" s="27" t="s">
        <v>1001</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1021</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991</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996</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1220</v>
      </c>
      <c r="B1923" s="27" t="s">
        <v>1010</v>
      </c>
      <c r="C1923" s="27" t="s">
        <v>1001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1110</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1677</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1678</v>
      </c>
      <c r="B1926" s="27" t="s">
        <v>1013</v>
      </c>
      <c r="C1926" s="27" t="s">
        <v>1018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1679</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1282</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980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985</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1074</v>
      </c>
      <c r="B1931" s="27" t="s">
        <v>1031</v>
      </c>
      <c r="C1931" s="27" t="s">
        <v>979</v>
      </c>
      <c r="D1931" s="27" t="s">
        <v>969</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1079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1680</v>
      </c>
      <c r="B1933" s="27" t="s">
        <v>1003</v>
      </c>
      <c r="C1933" s="27" t="s">
        <v>1102</v>
      </c>
      <c r="D1933" s="27" t="s">
        <v>969</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1678</v>
      </c>
      <c r="B1934" s="27" t="s">
        <v>982</v>
      </c>
      <c r="C1934" s="27" t="s">
        <v>1141</v>
      </c>
      <c r="D1934" s="27" t="s">
        <v>969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1095</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1681</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1682</v>
      </c>
      <c r="B1937" s="27" t="s">
        <v>1003</v>
      </c>
      <c r="C1937" s="27" t="s">
        <v>974</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1683</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1005</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row>
    <row r="1941" spans="1:12">
      <c r="A1941" s="20" t="s">
        <v>1684</v>
      </c>
    </row>
    <row r="1942" spans="1:12">
      <c r="A1942" s="20" t="s">
        <v>1224</v>
      </c>
      <c r="B1942" s="27" t="s">
        <v>967</v>
      </c>
      <c r="C1942" s="27" t="s">
        <v>1001</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1685</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991</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996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1043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1678</v>
      </c>
      <c r="B1947" s="27" t="s">
        <v>1010</v>
      </c>
      <c r="C1947" s="27" t="s">
        <v>979</v>
      </c>
      <c r="D1947" s="27" t="s">
        <v>969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1686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1411</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991</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1043</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1678</v>
      </c>
      <c r="B1952" s="27" t="s">
        <v>1053</v>
      </c>
      <c r="C1952" s="27" t="s">
        <v>979</v>
      </c>
      <c r="D1952" s="27" t="s">
        <v>969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1687</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1688</v>
      </c>
      <c r="B1954" s="27" t="s">
        <v>978</v>
      </c>
      <c r="C1954" s="27" t="s">
        <v>979</v>
      </c>
      <c r="D1954" s="27" t="s">
        <v>969</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991</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980</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996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1220</v>
      </c>
      <c r="B1958" s="27" t="s">
        <v>1010</v>
      </c>
      <c r="C1958" s="27" t="s">
        <v>1001</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1689</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1690</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1691</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1683</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1005</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row>
    <row r="1965" spans="1:12">
      <c r="A1965" s="20" t="s">
        <v>1692</v>
      </c>
    </row>
    <row r="1966" spans="1:12">
      <c r="A1966" s="20" t="s">
        <v>1251</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1097</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1693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1694</v>
      </c>
      <c r="B1969" s="27" t="s">
        <v>973</v>
      </c>
      <c r="C1969" s="27" t="s">
        <v>974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999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324</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991</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985</v>
      </c>
      <c r="B1973" s="27" t="s">
        <v>1010</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1357</v>
      </c>
      <c r="B1974" s="27" t="s">
        <v>982</v>
      </c>
      <c r="C1974" s="27" t="s">
        <v>1011</v>
      </c>
      <c r="D1974" s="27" t="s">
        <v>969</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1695</v>
      </c>
      <c r="B1975" s="27" t="s">
        <v>1013</v>
      </c>
      <c r="C1975" s="27" t="s">
        <v>1123</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975</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1213</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1105</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1696</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991</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1024</v>
      </c>
      <c r="B1981" s="27" t="s">
        <v>994</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1697</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462</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1200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1005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row>
    <row r="1987" spans="1:12">
      <c r="A1987" s="20" t="s">
        <v>1698</v>
      </c>
    </row>
    <row r="1988" spans="1:12">
      <c r="A1988" s="20" t="s">
        <v>1144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1037</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1699</v>
      </c>
      <c r="B1990" s="27" t="s">
        <v>1053</v>
      </c>
      <c r="C1990" s="27" t="s">
        <v>974</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1097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1086</v>
      </c>
      <c r="B1992" s="27" t="s">
        <v>967</v>
      </c>
      <c r="C1992" s="27" t="s">
        <v>968</v>
      </c>
      <c r="D1992" s="27" t="s">
        <v>969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1700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991</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1585</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1432</v>
      </c>
      <c r="B1996" s="27" t="s">
        <v>1010</v>
      </c>
      <c r="C1996" s="27" t="s">
        <v>1011</v>
      </c>
      <c r="D1996" s="27" t="s">
        <v>969</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241</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991</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996</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1432</v>
      </c>
      <c r="B2000" s="27" t="s">
        <v>994</v>
      </c>
      <c r="C2000" s="27" t="s">
        <v>1011</v>
      </c>
      <c r="D2000" s="27" t="s">
        <v>969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985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1701</v>
      </c>
      <c r="B2002" s="27" t="s">
        <v>1031</v>
      </c>
      <c r="C2002" s="27" t="s">
        <v>979</v>
      </c>
      <c r="D2002" s="27" t="s">
        <v>969</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1626</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1005</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row>
    <row r="2006" spans="1:12">
      <c r="A2006" s="20" t="s">
        <v>1702</v>
      </c>
    </row>
    <row r="2007" spans="1:12">
      <c r="A2007" s="20" t="s">
        <v>1144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985</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1701</v>
      </c>
      <c r="B2009" s="27" t="s">
        <v>967</v>
      </c>
      <c r="C2009" s="27" t="s">
        <v>979</v>
      </c>
      <c r="D2009" s="27" t="s">
        <v>969</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1703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1005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row>
    <row r="2013" spans="1:12">
      <c r="A2013" s="20" t="s">
        <v>1060</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1704</v>
      </c>
    </row>
    <row r="2015" spans="1:12">
      <c r="A2015" s="20" t="s">
        <v>966</v>
      </c>
      <c r="B2015" s="27" t="s">
        <v>967</v>
      </c>
      <c r="C2015" s="27" t="s">
        <v>968</v>
      </c>
      <c r="D2015" s="27" t="s">
        <v>969</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1178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1095</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1170</v>
      </c>
      <c r="B2018" s="27" t="s">
        <v>978</v>
      </c>
      <c r="C2018" s="27" t="s">
        <v>1102</v>
      </c>
      <c r="D2018" s="27" t="s">
        <v>969</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1705</v>
      </c>
      <c r="B2019" s="27" t="s">
        <v>1053</v>
      </c>
      <c r="C2019" s="27" t="s">
        <v>1141</v>
      </c>
      <c r="D2019" s="27" t="s">
        <v>969</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1706</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1194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965</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1144</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985</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1701</v>
      </c>
      <c r="B2025" s="27" t="s">
        <v>1010</v>
      </c>
      <c r="C2025" s="27" t="s">
        <v>979</v>
      </c>
      <c r="D2025" s="27" t="s">
        <v>969</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1703</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1005</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965</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row>
    <row r="2030" spans="1:12">
      <c r="A2030" s="20" t="s">
        <v>1707</v>
      </c>
    </row>
    <row r="2031" spans="1:12">
      <c r="A2031" s="20" t="s">
        <v>1144</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993</v>
      </c>
      <c r="B2032" s="27" t="s">
        <v>967</v>
      </c>
      <c r="C2032" s="27" t="s">
        <v>968</v>
      </c>
      <c r="D2032" s="27" t="s">
        <v>969</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1708</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1709</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991</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1046</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993</v>
      </c>
      <c r="B2037" s="27" t="s">
        <v>1010</v>
      </c>
      <c r="C2037" s="27" t="s">
        <v>968</v>
      </c>
      <c r="D2037" s="27" t="s">
        <v>969</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1037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1561</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1111</v>
      </c>
      <c r="B2040" s="27" t="s">
        <v>978</v>
      </c>
      <c r="C2040" s="27" t="s">
        <v>974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1597</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991</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996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1009</v>
      </c>
      <c r="B2044" s="27" t="s">
        <v>994</v>
      </c>
      <c r="C2044" s="27" t="s">
        <v>1011</v>
      </c>
      <c r="D2044" s="27" t="s">
        <v>969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1196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1710</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1711</v>
      </c>
      <c r="B2047" s="27" t="s">
        <v>1031</v>
      </c>
      <c r="C2047" s="27" t="s">
        <v>1123</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104</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1005</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row>
    <row r="2051" spans="1:12">
      <c r="A2051" s="20" t="s">
        <v>1060</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1712</v>
      </c>
    </row>
    <row r="2053" spans="1:12">
      <c r="A2053" s="20" t="s">
        <v>1111</v>
      </c>
      <c r="B2053" s="27" t="s">
        <v>967</v>
      </c>
      <c r="C2053" s="27" t="s">
        <v>974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100</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1713</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1194</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965</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1667</v>
      </c>
      <c r="B2058" s="27" t="s">
        <v>1010</v>
      </c>
      <c r="C2058" s="27" t="s">
        <v>1001</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1714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1107</v>
      </c>
      <c r="B2060" s="27" t="s">
        <v>1013</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1005</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965</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row>
    <row r="2064" spans="1:12">
      <c r="A2064" s="20" t="s">
        <v>1060</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1715</v>
      </c>
    </row>
    <row r="2066" spans="1:12">
      <c r="A2066" s="20" t="s">
        <v>1007</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1220</v>
      </c>
      <c r="B2067" s="27" t="s">
        <v>967</v>
      </c>
      <c r="C2067" s="27" t="s">
        <v>1001</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1716</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1194</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965</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966</v>
      </c>
      <c r="B2071" s="27" t="s">
        <v>1010</v>
      </c>
      <c r="C2071" s="27" t="s">
        <v>968</v>
      </c>
      <c r="D2071" s="27" t="s">
        <v>969</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1717</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1718</v>
      </c>
      <c r="B2073" s="27" t="s">
        <v>1013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991</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1719</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669</v>
      </c>
      <c r="B2076" s="27" t="s">
        <v>982</v>
      </c>
      <c r="C2076" s="27" t="s">
        <v>1035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1714</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1718</v>
      </c>
      <c r="B2078" s="27" t="s">
        <v>1031</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991</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1719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1126</v>
      </c>
      <c r="B2081" s="27" t="s">
        <v>1294</v>
      </c>
      <c r="C2081" s="27" t="s">
        <v>974</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1714</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1718</v>
      </c>
      <c r="B2083" s="27" t="s">
        <v>1297</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1005</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965</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row>
    <row r="2087" spans="1:12">
      <c r="A2087" s="20" t="s">
        <v>1720</v>
      </c>
    </row>
    <row r="2088" spans="1:12">
      <c r="A2088" s="20" t="s">
        <v>1224</v>
      </c>
      <c r="B2088" s="27" t="s">
        <v>967</v>
      </c>
      <c r="C2088" s="27" t="s">
        <v>1001</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1454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1024</v>
      </c>
      <c r="B2090" s="27" t="s">
        <v>967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1721</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1722</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350</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991</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1723</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1070</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1038</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1228</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1111</v>
      </c>
      <c r="B2099" s="27" t="s">
        <v>1053</v>
      </c>
      <c r="C2099" s="27" t="s">
        <v>979</v>
      </c>
      <c r="D2099" s="27" t="s">
        <v>969</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1005</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row>
    <row r="2102" spans="1:12">
      <c r="A2102" s="20" t="s">
        <v>1060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1724</v>
      </c>
    </row>
    <row r="2104" spans="1:12">
      <c r="A2104" s="20" t="s">
        <v>1144</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1725</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1111</v>
      </c>
      <c r="B2106" s="27" t="s">
        <v>967</v>
      </c>
      <c r="C2106" s="27" t="s">
        <v>974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462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1365</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100</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1194</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965</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1726</v>
      </c>
      <c r="B2112" s="27" t="s">
        <v>982</v>
      </c>
      <c r="C2112" s="27" t="s">
        <v>1083</v>
      </c>
      <c r="D2112" s="27" t="s">
        <v>969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991</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1177</v>
      </c>
      <c r="B2114" s="27" t="s">
        <v>1297</v>
      </c>
      <c r="C2114" s="27" t="s">
        <v>1011</v>
      </c>
      <c r="D2114" s="27" t="s">
        <v>969</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1432</v>
      </c>
      <c r="B2115" s="27" t="s">
        <v>1294</v>
      </c>
      <c r="C2115" s="27" t="s">
        <v>1011</v>
      </c>
      <c r="D2115" s="27" t="s">
        <v>969</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58</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991</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1151</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976</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1397</v>
      </c>
      <c r="B2120" s="27" t="s">
        <v>982</v>
      </c>
      <c r="C2120" s="27" t="s">
        <v>979</v>
      </c>
      <c r="D2120" s="27" t="s">
        <v>969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462</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1432</v>
      </c>
      <c r="B2122" s="27" t="s">
        <v>994</v>
      </c>
      <c r="C2122" s="27" t="s">
        <v>1011</v>
      </c>
      <c r="D2122" s="27" t="s">
        <v>969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1012</v>
      </c>
      <c r="B2123" s="27" t="s">
        <v>1031</v>
      </c>
      <c r="C2123" s="27" t="s">
        <v>1001</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49</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1005</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965</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row>
    <row r="2128" spans="1:12">
      <c r="A2128" s="20" t="s">
        <v>1060</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1727</v>
      </c>
    </row>
    <row r="2130" spans="1:12">
      <c r="A2130" s="20" t="s">
        <v>1202</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1009</v>
      </c>
      <c r="B2131" s="27" t="s">
        <v>967</v>
      </c>
      <c r="C2131" s="27" t="s">
        <v>1011</v>
      </c>
      <c r="D2131" s="27" t="s">
        <v>969</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462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100</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1194</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965</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1251</v>
      </c>
      <c r="B2136" s="27" t="s">
        <v>1010</v>
      </c>
      <c r="C2136" s="27" t="s">
        <v>968</v>
      </c>
      <c r="D2136" s="27" t="s">
        <v>969</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1454</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1237</v>
      </c>
      <c r="B2138" s="27" t="s">
        <v>982</v>
      </c>
      <c r="C2138" s="27" t="s">
        <v>1011</v>
      </c>
      <c r="D2138" s="27" t="s">
        <v>969</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1728</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1729</v>
      </c>
      <c r="B2140" s="27" t="s">
        <v>1013</v>
      </c>
      <c r="C2140" s="27" t="s">
        <v>1123</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1560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1385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1111</v>
      </c>
      <c r="B2143" s="27" t="s">
        <v>978</v>
      </c>
      <c r="C2143" s="27" t="s">
        <v>1123</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150</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1005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row>
    <row r="2147" spans="1:12">
      <c r="A2147" s="20" t="s">
        <v>1060</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1730</v>
      </c>
    </row>
    <row r="2149" spans="1:12">
      <c r="A2149" s="20" t="s">
        <v>1731</v>
      </c>
      <c r="B2149" s="27" t="s">
        <v>967</v>
      </c>
      <c r="C2149" s="27" t="s">
        <v>1001</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1095</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1447</v>
      </c>
      <c r="B2151" s="27" t="s">
        <v>978</v>
      </c>
      <c r="C2151" s="27" t="s">
        <v>1011</v>
      </c>
      <c r="D2151" s="27" t="s">
        <v>969</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1097</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975</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1732</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1733</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1734</v>
      </c>
      <c r="B2156" s="27" t="s">
        <v>1053</v>
      </c>
      <c r="C2156" s="27" t="s">
        <v>1035</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1735</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1005</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965</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row>
    <row r="2161" spans="1:12">
      <c r="A2161" s="20" t="s">
        <v>1060</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1736</v>
      </c>
    </row>
    <row r="2163" spans="1:12">
      <c r="A2163" s="20" t="s">
        <v>1737</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1220</v>
      </c>
      <c r="B2164" s="27" t="s">
        <v>967</v>
      </c>
      <c r="C2164" s="27" t="s">
        <v>1001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100</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1200</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1194</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965</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1163</v>
      </c>
      <c r="B2169" s="27" t="s">
        <v>1010</v>
      </c>
      <c r="C2169" s="27" t="s">
        <v>1102</v>
      </c>
      <c r="D2169" s="27" t="s">
        <v>969</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1097</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1738</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991</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1240</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993</v>
      </c>
      <c r="B2174" s="27" t="s">
        <v>994</v>
      </c>
      <c r="C2174" s="27" t="s">
        <v>968</v>
      </c>
      <c r="D2174" s="27" t="s">
        <v>969</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1739</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1432</v>
      </c>
      <c r="B2176" s="27" t="s">
        <v>997</v>
      </c>
      <c r="C2176" s="27" t="s">
        <v>1011</v>
      </c>
      <c r="D2176" s="27" t="s">
        <v>969</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1740</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1447</v>
      </c>
      <c r="B2178" s="27" t="s">
        <v>1198</v>
      </c>
      <c r="C2178" s="27" t="s">
        <v>1011</v>
      </c>
      <c r="D2178" s="27" t="s">
        <v>969</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1689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1741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1742</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991</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1177</v>
      </c>
      <c r="B2183" s="27" t="s">
        <v>1297</v>
      </c>
      <c r="C2183" s="27" t="s">
        <v>1011</v>
      </c>
      <c r="D2183" s="27" t="s">
        <v>969</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1086</v>
      </c>
      <c r="B2184" s="27" t="s">
        <v>1294</v>
      </c>
      <c r="C2184" s="27" t="s">
        <v>968</v>
      </c>
      <c r="D2184" s="27" t="s">
        <v>969</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999</v>
      </c>
      <c r="B2185" s="27" t="s">
        <v>1398</v>
      </c>
      <c r="C2185" s="27" t="s">
        <v>1001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976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1743</v>
      </c>
      <c r="B2187" s="27" t="s">
        <v>1000</v>
      </c>
      <c r="C2187" s="27" t="s">
        <v>979</v>
      </c>
      <c r="D2187" s="27" t="s">
        <v>969</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150</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1744</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1005</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965</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row>
    <row r="2193" spans="1:12">
      <c r="A2193" s="20" t="s">
        <v>1745</v>
      </c>
    </row>
    <row r="2194" spans="1:12">
      <c r="A2194" s="20" t="s">
        <v>1746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1747</v>
      </c>
      <c r="B2195" s="27" t="s">
        <v>982</v>
      </c>
      <c r="C2195" s="27" t="s">
        <v>974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1748</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1093</v>
      </c>
      <c r="B2197" s="27" t="s">
        <v>978</v>
      </c>
      <c r="C2197" s="27" t="s">
        <v>1011</v>
      </c>
      <c r="D2197" s="27" t="s">
        <v>969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1749</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1473</v>
      </c>
      <c r="B2199" s="27" t="s">
        <v>973</v>
      </c>
      <c r="C2199" s="27" t="s">
        <v>979</v>
      </c>
      <c r="D2199" s="27" t="s">
        <v>969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367</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1009</v>
      </c>
      <c r="B2201" s="27" t="s">
        <v>967</v>
      </c>
      <c r="C2201" s="27" t="s">
        <v>1011</v>
      </c>
      <c r="D2201" s="27" t="s">
        <v>969</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1021</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985</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1750</v>
      </c>
      <c r="B2204" s="27" t="s">
        <v>973</v>
      </c>
      <c r="C2204" s="27" t="s">
        <v>979</v>
      </c>
      <c r="D2204" s="27" t="s">
        <v>969</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991</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1166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1751</v>
      </c>
      <c r="B2207" s="27" t="s">
        <v>1053</v>
      </c>
      <c r="C2207" s="27" t="s">
        <v>974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999</v>
      </c>
      <c r="B2208" s="27" t="s">
        <v>982</v>
      </c>
      <c r="C2208" s="27" t="s">
        <v>1001</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976</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1752</v>
      </c>
      <c r="B2210" s="27" t="s">
        <v>978</v>
      </c>
      <c r="C2210" s="27" t="s">
        <v>979</v>
      </c>
      <c r="D2210" s="27" t="s">
        <v>969</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1005</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row>
    <row r="2213" spans="1:12">
      <c r="A2213" s="20" t="s">
        <v>1753</v>
      </c>
    </row>
    <row r="2214" spans="1:12">
      <c r="A2214" s="20" t="s">
        <v>1007</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1220</v>
      </c>
      <c r="B2215" s="27" t="s">
        <v>967</v>
      </c>
      <c r="C2215" s="27" t="s">
        <v>1001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1754</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999</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241</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1194</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1163</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1673</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1755</v>
      </c>
      <c r="B2222" s="27" t="s">
        <v>1013</v>
      </c>
      <c r="C2222" s="27" t="s">
        <v>979</v>
      </c>
      <c r="D2222" s="27" t="s">
        <v>969</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1097</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991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996</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985</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1228</v>
      </c>
      <c r="B2227" s="27" t="s">
        <v>994</v>
      </c>
      <c r="C2227" s="27" t="s">
        <v>1011</v>
      </c>
      <c r="D2227" s="27" t="s">
        <v>969</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1095</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1447</v>
      </c>
      <c r="B2229" s="27" t="s">
        <v>982</v>
      </c>
      <c r="C2229" s="27" t="s">
        <v>1011</v>
      </c>
      <c r="D2229" s="27" t="s">
        <v>969</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1139</v>
      </c>
      <c r="B2230" s="27" t="s">
        <v>994</v>
      </c>
      <c r="C2230" s="27" t="s">
        <v>1102</v>
      </c>
      <c r="D2230" s="27" t="s">
        <v>969</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1756</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1757</v>
      </c>
      <c r="B2232" s="27" t="s">
        <v>1031</v>
      </c>
      <c r="C2232" s="27" t="s">
        <v>974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29</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980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1009</v>
      </c>
      <c r="B2235" s="27" t="s">
        <v>1010</v>
      </c>
      <c r="C2235" s="27" t="s">
        <v>1011</v>
      </c>
      <c r="D2235" s="27" t="s">
        <v>969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1447</v>
      </c>
      <c r="B2236" s="27" t="s">
        <v>1013</v>
      </c>
      <c r="C2236" s="27" t="s">
        <v>1011</v>
      </c>
      <c r="D2236" s="27" t="s">
        <v>969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1021</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1460</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1660</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1005</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row>
    <row r="2242" spans="1:12">
      <c r="A2242" s="20" t="s">
        <v>1758</v>
      </c>
    </row>
    <row r="2243" spans="1:12">
      <c r="A2243" s="20" t="s">
        <v>1251</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1384</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1016</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1759</v>
      </c>
      <c r="B2246" s="27" t="s">
        <v>967</v>
      </c>
      <c r="C2246" s="27" t="s">
        <v>1018</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991</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985</v>
      </c>
      <c r="B2248" s="27" t="s">
        <v>1031</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993</v>
      </c>
      <c r="B2249" s="27" t="s">
        <v>994</v>
      </c>
      <c r="C2249" s="27" t="s">
        <v>968</v>
      </c>
      <c r="D2249" s="27" t="s">
        <v>969</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1460</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1760</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991</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975</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1043</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1016</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1761</v>
      </c>
      <c r="B2256" s="27" t="s">
        <v>997</v>
      </c>
      <c r="C2256" s="27" t="s">
        <v>1018</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1762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980</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1016</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1761</v>
      </c>
      <c r="B2260" s="27" t="s">
        <v>1000</v>
      </c>
      <c r="C2260" s="27" t="s">
        <v>1018</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1763</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1111</v>
      </c>
      <c r="B2262" s="27" t="s">
        <v>1398</v>
      </c>
      <c r="C2262" s="27" t="s">
        <v>974</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1764</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1533</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991</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1016</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1765</v>
      </c>
      <c r="B2267" s="27" t="s">
        <v>1297</v>
      </c>
      <c r="C2267" s="27" t="s">
        <v>1018</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1766</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1051</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1767</v>
      </c>
      <c r="B2270" s="27" t="s">
        <v>1000</v>
      </c>
      <c r="C2270" s="27" t="s">
        <v>1018</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999</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1768</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991</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980</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1151</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976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1397</v>
      </c>
      <c r="B2277" s="27" t="s">
        <v>978</v>
      </c>
      <c r="C2277" s="27" t="s">
        <v>979</v>
      </c>
      <c r="D2277" s="27" t="s">
        <v>969</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1769</v>
      </c>
      <c r="B2278" s="27" t="s">
        <v>1003</v>
      </c>
      <c r="C2278" s="27" t="s">
        <v>1102</v>
      </c>
      <c r="D2278" s="27" t="s">
        <v>969</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1765</v>
      </c>
      <c r="B2279" s="27" t="s">
        <v>982</v>
      </c>
      <c r="C2279" s="27" t="s">
        <v>1141</v>
      </c>
      <c r="D2279" s="27" t="s">
        <v>969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1533</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1009</v>
      </c>
      <c r="B2281" s="27" t="s">
        <v>1010</v>
      </c>
      <c r="C2281" s="27" t="s">
        <v>1011</v>
      </c>
      <c r="D2281" s="27" t="s">
        <v>969</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1770</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991</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1214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1196</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1771</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1772</v>
      </c>
      <c r="B2287" s="27" t="s">
        <v>994</v>
      </c>
      <c r="C2287" s="27" t="s">
        <v>1123</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1009</v>
      </c>
      <c r="B2288" s="27" t="s">
        <v>1031</v>
      </c>
      <c r="C2288" s="27" t="s">
        <v>1011</v>
      </c>
      <c r="D2288" s="27" t="s">
        <v>969</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1773</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1774</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999</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1005</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row>
    <row r="2295" spans="1:12">
      <c r="A2295" s="20" t="s">
        <v>1775</v>
      </c>
    </row>
    <row r="2296" spans="1:12">
      <c r="A2296" s="20" t="s">
        <v>1093</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1725</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1761</v>
      </c>
      <c r="B2298" s="27" t="s">
        <v>967</v>
      </c>
      <c r="C2298" s="27" t="s">
        <v>979</v>
      </c>
      <c r="D2298" s="27" t="s">
        <v>969</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1178</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1776</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991</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1037</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1777</v>
      </c>
      <c r="B2303" s="27" t="s">
        <v>1053</v>
      </c>
      <c r="C2303" s="27" t="s">
        <v>974</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1095</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1778</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48</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1779</v>
      </c>
      <c r="B2307" s="27" t="s">
        <v>978</v>
      </c>
      <c r="C2307" s="27" t="s">
        <v>1123</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991</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1780</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980</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985</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1781</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1111</v>
      </c>
      <c r="B2313" s="27" t="s">
        <v>1297</v>
      </c>
      <c r="C2313" s="27" t="s">
        <v>979</v>
      </c>
      <c r="D2313" s="27" t="s">
        <v>969</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1782</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1560</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69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980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87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1783</v>
      </c>
      <c r="B2319" s="27" t="s">
        <v>1000</v>
      </c>
      <c r="C2319" s="27" t="s">
        <v>1123</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1158</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1771</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1772</v>
      </c>
      <c r="B2322" s="27" t="s">
        <v>982</v>
      </c>
      <c r="C2322" s="27" t="s">
        <v>974</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12</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1746</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1747</v>
      </c>
      <c r="B2325" s="27" t="s">
        <v>982</v>
      </c>
      <c r="C2325" s="27" t="s">
        <v>974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1748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12</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1046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1009</v>
      </c>
      <c r="B2329" s="27" t="s">
        <v>997</v>
      </c>
      <c r="C2329" s="27" t="s">
        <v>1011</v>
      </c>
      <c r="D2329" s="27" t="s">
        <v>969</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1784</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1774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1547</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1005</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row>
    <row r="2335" spans="1:12">
      <c r="A2335" s="20" t="s">
        <v>1785</v>
      </c>
    </row>
    <row r="2336" spans="1:12">
      <c r="A2336" s="20" t="s">
        <v>1644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993</v>
      </c>
      <c r="B2337" s="27" t="s">
        <v>1010</v>
      </c>
      <c r="C2337" s="27" t="s">
        <v>968</v>
      </c>
      <c r="D2337" s="27" t="s">
        <v>969</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1786</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991</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1032</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1033</v>
      </c>
      <c r="B2341" s="27" t="s">
        <v>1003</v>
      </c>
      <c r="C2341" s="27" t="s">
        <v>988</v>
      </c>
      <c r="D2341" s="27" t="s">
        <v>969</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1078</v>
      </c>
      <c r="B2342" s="27" t="s">
        <v>982</v>
      </c>
      <c r="C2342" s="27" t="s">
        <v>974</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999</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1787</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991</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1788</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1196</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1111</v>
      </c>
      <c r="B2348" s="27" t="s">
        <v>967</v>
      </c>
      <c r="C2348" s="27" t="s">
        <v>1123</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991</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996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1086</v>
      </c>
      <c r="B2351" s="27" t="s">
        <v>1010</v>
      </c>
      <c r="C2351" s="27" t="s">
        <v>968</v>
      </c>
      <c r="D2351" s="27" t="s">
        <v>969</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1624</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1700</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37</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1789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991</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1213</v>
      </c>
      <c r="B2357" s="27" t="s">
        <v>1031</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1790</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1233</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999</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1791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991</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1086</v>
      </c>
      <c r="B2363" s="27" t="s">
        <v>1013</v>
      </c>
      <c r="C2363" s="27" t="s">
        <v>968</v>
      </c>
      <c r="D2363" s="27" t="s">
        <v>969</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985</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1197</v>
      </c>
      <c r="B2365" s="27" t="s">
        <v>1010</v>
      </c>
      <c r="C2365" s="27" t="s">
        <v>979</v>
      </c>
      <c r="D2365" s="27" t="s">
        <v>969</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81</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999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541</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1005</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row>
    <row r="2371" spans="1:12">
      <c r="A2371" s="20" t="s">
        <v>1060</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1792</v>
      </c>
    </row>
    <row r="2373" spans="1:12">
      <c r="A2373" s="20" t="s">
        <v>1268</v>
      </c>
      <c r="B2373" s="27" t="s">
        <v>967</v>
      </c>
      <c r="C2373" s="27" t="s">
        <v>968</v>
      </c>
      <c r="D2373" s="27" t="s">
        <v>969</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1788</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1194</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965</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1793</v>
      </c>
      <c r="B2377" s="27" t="s">
        <v>1053</v>
      </c>
      <c r="C2377" s="27" t="s">
        <v>974</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985</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1197</v>
      </c>
      <c r="B2379" s="27" t="s">
        <v>1010</v>
      </c>
      <c r="C2379" s="27" t="s">
        <v>979</v>
      </c>
      <c r="D2379" s="27" t="s">
        <v>969</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1794</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1037</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1795</v>
      </c>
      <c r="B2382" s="27" t="s">
        <v>978</v>
      </c>
      <c r="C2382" s="27" t="s">
        <v>968</v>
      </c>
      <c r="D2382" s="27" t="s">
        <v>969</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1373</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965</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row>
    <row r="2386" spans="1:12">
      <c r="A2386" s="20" t="s">
        <v>1060</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1796</v>
      </c>
    </row>
    <row r="2388" spans="1:12">
      <c r="A2388" s="20" t="s">
        <v>1007</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993</v>
      </c>
      <c r="B2389" s="27" t="s">
        <v>967</v>
      </c>
      <c r="C2389" s="27" t="s">
        <v>968</v>
      </c>
      <c r="D2389" s="27" t="s">
        <v>969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1351</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1194</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965</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1797</v>
      </c>
      <c r="B2393" s="27" t="s">
        <v>1013</v>
      </c>
      <c r="C2393" s="27" t="s">
        <v>1083</v>
      </c>
      <c r="D2393" s="27" t="s">
        <v>969</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991</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1111</v>
      </c>
      <c r="B2395" s="27" t="s">
        <v>1010</v>
      </c>
      <c r="C2395" s="27" t="s">
        <v>974</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391</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1794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1037</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1026</v>
      </c>
      <c r="B2399" s="27" t="s">
        <v>978</v>
      </c>
      <c r="C2399" s="27" t="s">
        <v>968</v>
      </c>
      <c r="D2399" s="27" t="s">
        <v>969</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1005</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row>
    <row r="2402" spans="1:12">
      <c r="A2402" s="20" t="s">
        <v>1798</v>
      </c>
    </row>
    <row r="2403" spans="1:12">
      <c r="A2403" s="20" t="s">
        <v>1268</v>
      </c>
      <c r="B2403" s="27" t="s">
        <v>967</v>
      </c>
      <c r="C2403" s="27" t="s">
        <v>968</v>
      </c>
      <c r="D2403" s="27" t="s">
        <v>969</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391</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1799</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1794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1037</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1026</v>
      </c>
      <c r="B2408" s="27" t="s">
        <v>1053</v>
      </c>
      <c r="C2408" s="27" t="s">
        <v>968</v>
      </c>
      <c r="D2408" s="27" t="s">
        <v>969</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991</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996</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1009</v>
      </c>
      <c r="B2411" s="27" t="s">
        <v>1010</v>
      </c>
      <c r="C2411" s="27" t="s">
        <v>1011</v>
      </c>
      <c r="D2411" s="27" t="s">
        <v>969</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1800</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991</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1026</v>
      </c>
      <c r="B2414" s="27" t="s">
        <v>1031</v>
      </c>
      <c r="C2414" s="27" t="s">
        <v>968</v>
      </c>
      <c r="D2414" s="27" t="s">
        <v>969</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1095</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1641</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1645</v>
      </c>
      <c r="B2417" s="27" t="s">
        <v>982</v>
      </c>
      <c r="C2417" s="27" t="s">
        <v>1035</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999</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237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1285</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1043</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1645</v>
      </c>
      <c r="B2422" s="27" t="s">
        <v>978</v>
      </c>
      <c r="C2422" s="27" t="s">
        <v>979</v>
      </c>
      <c r="D2422" s="27" t="s">
        <v>969</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1641</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1801</v>
      </c>
      <c r="B2424" s="27" t="s">
        <v>982</v>
      </c>
      <c r="C2424" s="27" t="s">
        <v>1035</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991</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1285</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1043</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1645</v>
      </c>
      <c r="B2428" s="27" t="s">
        <v>1003</v>
      </c>
      <c r="C2428" s="27" t="s">
        <v>979</v>
      </c>
      <c r="D2428" s="27" t="s">
        <v>969</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1090</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1802</v>
      </c>
      <c r="B2430" s="27" t="s">
        <v>1003</v>
      </c>
      <c r="C2430" s="27" t="s">
        <v>1018</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1005</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row>
    <row r="2433" spans="1:12">
      <c r="A2433" s="20" t="s">
        <v>1803</v>
      </c>
    </row>
    <row r="2434" spans="1:12">
      <c r="A2434" s="20" t="s">
        <v>1093</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1438</v>
      </c>
      <c r="B2435" s="27" t="s">
        <v>967</v>
      </c>
      <c r="C2435" s="27" t="s">
        <v>979</v>
      </c>
      <c r="D2435" s="27" t="s">
        <v>969</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1195</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1794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991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1585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1689</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1221</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993</v>
      </c>
      <c r="B2442" s="27" t="s">
        <v>1010</v>
      </c>
      <c r="C2442" s="27" t="s">
        <v>968</v>
      </c>
      <c r="D2442" s="27" t="s">
        <v>969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991</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996</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1078</v>
      </c>
      <c r="B2445" s="27" t="s">
        <v>997</v>
      </c>
      <c r="C2445" s="27" t="s">
        <v>974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1051</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1804</v>
      </c>
      <c r="B2447" s="27" t="s">
        <v>982</v>
      </c>
      <c r="C2447" s="27" t="s">
        <v>1018</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1195</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991</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1024</v>
      </c>
      <c r="B2450" s="27" t="s">
        <v>1031</v>
      </c>
      <c r="C2450" s="27" t="s">
        <v>1102</v>
      </c>
      <c r="D2450" s="27" t="s">
        <v>969</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1805</v>
      </c>
      <c r="B2451" s="27" t="s">
        <v>994</v>
      </c>
      <c r="C2451" s="27" t="s">
        <v>1001</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1282</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1005</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row>
    <row r="2455" spans="1:12">
      <c r="A2455" s="20" t="s">
        <v>1060</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1806</v>
      </c>
    </row>
    <row r="2457" spans="1:12">
      <c r="A2457" s="20" t="s">
        <v>1807</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1051</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1808</v>
      </c>
      <c r="B2459" s="27" t="s">
        <v>978</v>
      </c>
      <c r="C2459" s="27" t="s">
        <v>1001</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1133</v>
      </c>
      <c r="B2460" s="27" t="s">
        <v>1053</v>
      </c>
      <c r="C2460" s="27" t="s">
        <v>1018</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1574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993</v>
      </c>
      <c r="B2462" s="27" t="s">
        <v>967</v>
      </c>
      <c r="C2462" s="27" t="s">
        <v>968</v>
      </c>
      <c r="D2462" s="27" t="s">
        <v>969</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999</v>
      </c>
      <c r="B2463" s="27" t="s">
        <v>978</v>
      </c>
      <c r="C2463" s="27" t="s">
        <v>1001</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1809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1810</v>
      </c>
      <c r="B2465" s="27" t="s">
        <v>1053</v>
      </c>
      <c r="C2465" s="27" t="s">
        <v>1018</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980</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1151</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976</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1811</v>
      </c>
      <c r="B2469" s="27" t="s">
        <v>978</v>
      </c>
      <c r="C2469" s="27" t="s">
        <v>979</v>
      </c>
      <c r="D2469" s="27" t="s">
        <v>969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1769</v>
      </c>
      <c r="B2470" s="27" t="s">
        <v>1003</v>
      </c>
      <c r="C2470" s="27" t="s">
        <v>1102</v>
      </c>
      <c r="D2470" s="27" t="s">
        <v>969</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1812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1810</v>
      </c>
      <c r="B2472" s="27" t="s">
        <v>982</v>
      </c>
      <c r="C2472" s="27" t="s">
        <v>1141</v>
      </c>
      <c r="D2472" s="27" t="s">
        <v>969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1813</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1016</v>
      </c>
      <c r="B2474" s="27" t="s">
        <v>1010</v>
      </c>
      <c r="C2474" s="27" t="s">
        <v>1001</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1043</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1814</v>
      </c>
      <c r="B2476" s="27" t="s">
        <v>982</v>
      </c>
      <c r="C2476" s="27" t="s">
        <v>979</v>
      </c>
      <c r="D2476" s="27" t="s">
        <v>969</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1107</v>
      </c>
      <c r="B2477" s="27" t="s">
        <v>1013</v>
      </c>
      <c r="C2477" s="27" t="s">
        <v>968</v>
      </c>
      <c r="D2477" s="27" t="s">
        <v>969</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999</v>
      </c>
      <c r="B2478" s="27" t="s">
        <v>982</v>
      </c>
      <c r="C2478" s="27" t="s">
        <v>1001</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1043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1815</v>
      </c>
      <c r="B2480" s="27" t="s">
        <v>978</v>
      </c>
      <c r="C2480" s="27" t="s">
        <v>979</v>
      </c>
      <c r="D2480" s="27" t="s">
        <v>969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980</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1009</v>
      </c>
      <c r="B2482" s="27" t="s">
        <v>1010</v>
      </c>
      <c r="C2482" s="27" t="s">
        <v>1011</v>
      </c>
      <c r="D2482" s="27" t="s">
        <v>969</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1351</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999</v>
      </c>
      <c r="B2484" s="27" t="s">
        <v>982</v>
      </c>
      <c r="C2484" s="27" t="s">
        <v>1001</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1026</v>
      </c>
      <c r="B2485" s="27" t="s">
        <v>978</v>
      </c>
      <c r="C2485" s="27" t="s">
        <v>968</v>
      </c>
      <c r="D2485" s="27" t="s">
        <v>969</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1194</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965</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966</v>
      </c>
      <c r="B2488" s="27" t="s">
        <v>994</v>
      </c>
      <c r="C2488" s="27" t="s">
        <v>968</v>
      </c>
      <c r="D2488" s="27" t="s">
        <v>969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1816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1151</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1078</v>
      </c>
      <c r="B2491" s="27" t="s">
        <v>982</v>
      </c>
      <c r="C2491" s="27" t="s">
        <v>974</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980</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993</v>
      </c>
      <c r="B2493" s="27" t="s">
        <v>1003</v>
      </c>
      <c r="C2493" s="27" t="s">
        <v>968</v>
      </c>
      <c r="D2493" s="27" t="s">
        <v>969</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1817</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1107</v>
      </c>
      <c r="B2495" s="27" t="s">
        <v>1031</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1051</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1519</v>
      </c>
      <c r="B2497" s="27" t="s">
        <v>1031</v>
      </c>
      <c r="C2497" s="27" t="s">
        <v>1001</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1206</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991</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1240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993</v>
      </c>
      <c r="B2501" s="27" t="s">
        <v>997</v>
      </c>
      <c r="C2501" s="27" t="s">
        <v>968</v>
      </c>
      <c r="D2501" s="27" t="s">
        <v>969</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1818</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1139</v>
      </c>
      <c r="B2503" s="27" t="s">
        <v>1000</v>
      </c>
      <c r="C2503" s="27" t="s">
        <v>1102</v>
      </c>
      <c r="D2503" s="27" t="s">
        <v>969</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1375</v>
      </c>
      <c r="B2504" s="27" t="s">
        <v>1198</v>
      </c>
      <c r="C2504" s="27" t="s">
        <v>1141</v>
      </c>
      <c r="D2504" s="27" t="s">
        <v>969</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980</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993</v>
      </c>
      <c r="B2506" s="27" t="s">
        <v>1010</v>
      </c>
      <c r="C2506" s="27" t="s">
        <v>968</v>
      </c>
      <c r="D2506" s="27" t="s">
        <v>969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1819</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1268</v>
      </c>
      <c r="B2508" s="27" t="s">
        <v>1013</v>
      </c>
      <c r="C2508" s="27" t="s">
        <v>968</v>
      </c>
      <c r="D2508" s="27" t="s">
        <v>969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470</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991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1177</v>
      </c>
      <c r="B2511" s="27" t="s">
        <v>1198</v>
      </c>
      <c r="C2511" s="27" t="s">
        <v>1011</v>
      </c>
      <c r="D2511" s="27" t="s">
        <v>969</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1268</v>
      </c>
      <c r="B2512" s="27" t="s">
        <v>997</v>
      </c>
      <c r="C2512" s="27" t="s">
        <v>968</v>
      </c>
      <c r="D2512" s="27" t="s">
        <v>969</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1820</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241</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1373</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965</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row>
    <row r="2518" spans="1:12">
      <c r="A2518" s="20" t="s">
        <v>1821</v>
      </c>
    </row>
    <row r="2519" spans="1:12">
      <c r="A2519" s="20" t="s">
        <v>1007</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993</v>
      </c>
      <c r="B2520" s="27" t="s">
        <v>967</v>
      </c>
      <c r="C2520" s="27" t="s">
        <v>968</v>
      </c>
      <c r="D2520" s="27" t="s">
        <v>969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1822</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1107</v>
      </c>
      <c r="B2522" s="27" t="s">
        <v>973</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991</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1445</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1823</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993</v>
      </c>
      <c r="B2526" s="27" t="s">
        <v>1010</v>
      </c>
      <c r="C2526" s="27" t="s">
        <v>968</v>
      </c>
      <c r="D2526" s="27" t="s">
        <v>969</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1085</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991</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1622</v>
      </c>
      <c r="B2529" s="27" t="s">
        <v>1013</v>
      </c>
      <c r="C2529" s="27" t="s">
        <v>968</v>
      </c>
      <c r="D2529" s="27" t="s">
        <v>969</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1110</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1824</v>
      </c>
      <c r="B2531" s="27" t="s">
        <v>1013</v>
      </c>
      <c r="C2531" s="27" t="s">
        <v>1018</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999</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150</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1005</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row>
    <row r="2536" spans="1:12">
      <c r="A2536" s="20" t="s">
        <v>1060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1825</v>
      </c>
    </row>
    <row r="2538" spans="1:12">
      <c r="A2538" s="20" t="s">
        <v>1007</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1041</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1351</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1009</v>
      </c>
      <c r="B2541" s="27" t="s">
        <v>967</v>
      </c>
      <c r="C2541" s="27" t="s">
        <v>1011</v>
      </c>
      <c r="D2541" s="27" t="s">
        <v>969</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1194</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965</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1826</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1268</v>
      </c>
      <c r="B2545" s="27" t="s">
        <v>1010</v>
      </c>
      <c r="C2545" s="27" t="s">
        <v>968</v>
      </c>
      <c r="D2545" s="27" t="s">
        <v>969</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991</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1273</v>
      </c>
      <c r="B2547" s="27" t="s">
        <v>982</v>
      </c>
      <c r="C2547" s="27" t="s">
        <v>988</v>
      </c>
      <c r="D2547" s="27" t="s">
        <v>969</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1827</v>
      </c>
      <c r="B2548" s="27" t="s">
        <v>1010</v>
      </c>
      <c r="C2548" s="27" t="s">
        <v>974</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1113</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1024</v>
      </c>
      <c r="B2550" s="27" t="s">
        <v>1013</v>
      </c>
      <c r="C2550" s="27" t="s">
        <v>1011</v>
      </c>
      <c r="D2550" s="27" t="s">
        <v>969</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1828</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176</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1005</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row>
    <row r="2555" spans="1:12">
      <c r="A2555" s="20" t="s">
        <v>1829</v>
      </c>
    </row>
    <row r="2556" spans="1:12">
      <c r="A2556" s="20" t="s">
        <v>1830</v>
      </c>
      <c r="B2556" s="27" t="s">
        <v>967</v>
      </c>
      <c r="C2556" s="27" t="s">
        <v>968</v>
      </c>
      <c r="D2556" s="27" t="s">
        <v>969</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1097</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1673</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1051</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1831</v>
      </c>
      <c r="B2560" s="27" t="s">
        <v>1053</v>
      </c>
      <c r="C2560" s="27" t="s">
        <v>1018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991</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1108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1038</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1024</v>
      </c>
      <c r="B2564" s="27" t="s">
        <v>1010</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1832</v>
      </c>
      <c r="B2565" s="27" t="s">
        <v>982</v>
      </c>
      <c r="C2565" s="27" t="s">
        <v>1011</v>
      </c>
      <c r="D2565" s="27" t="s">
        <v>969</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1833</v>
      </c>
      <c r="B2566" s="27" t="s">
        <v>1013</v>
      </c>
      <c r="C2566" s="27" t="s">
        <v>1123</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1834</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1113</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1005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row>
    <row r="2571" spans="1:12">
      <c r="A2571" s="20" t="s">
        <v>1060</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1835</v>
      </c>
    </row>
    <row r="2573" spans="1:12">
      <c r="A2573" s="20" t="s">
        <v>1836</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991</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1024</v>
      </c>
      <c r="B2575" s="27" t="s">
        <v>967</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1331</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1837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1447</v>
      </c>
      <c r="B2578" s="27" t="s">
        <v>1053</v>
      </c>
      <c r="C2578" s="27" t="s">
        <v>1011</v>
      </c>
      <c r="D2578" s="27" t="s">
        <v>969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414</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1005</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965</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row>
    <row r="2583" spans="1:12">
      <c r="A2583" s="20" t="s">
        <v>1060</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1838</v>
      </c>
    </row>
    <row r="2585" spans="1:12">
      <c r="A2585" s="20" t="s">
        <v>1007</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993</v>
      </c>
      <c r="B2586" s="27" t="s">
        <v>967</v>
      </c>
      <c r="C2586" s="27" t="s">
        <v>968</v>
      </c>
      <c r="D2586" s="27" t="s">
        <v>969</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1351</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1194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965</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1797</v>
      </c>
      <c r="B2590" s="27" t="s">
        <v>973</v>
      </c>
      <c r="C2590" s="27" t="s">
        <v>1083</v>
      </c>
      <c r="D2590" s="27" t="s">
        <v>969</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991</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1024</v>
      </c>
      <c r="B2592" s="27" t="s">
        <v>1010</v>
      </c>
      <c r="C2592" s="27" t="s">
        <v>1102</v>
      </c>
      <c r="D2592" s="27" t="s">
        <v>969</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1097</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975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1839</v>
      </c>
      <c r="B2595" s="27" t="s">
        <v>978</v>
      </c>
      <c r="C2595" s="27" t="s">
        <v>974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1005</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965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row>
    <row r="2599" spans="1:12">
      <c r="A2599" s="20" t="s">
        <v>1060</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1840</v>
      </c>
    </row>
    <row r="2601" spans="1:12">
      <c r="A2601" s="20" t="s">
        <v>1359</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976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1841</v>
      </c>
      <c r="B2603" s="27" t="s">
        <v>1053</v>
      </c>
      <c r="C2603" s="27" t="s">
        <v>1083</v>
      </c>
      <c r="D2603" s="27" t="s">
        <v>969</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1842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1810</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1813</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1107</v>
      </c>
      <c r="B2607" s="27" t="s">
        <v>973</v>
      </c>
      <c r="C2607" s="27" t="s">
        <v>968</v>
      </c>
      <c r="D2607" s="27" t="s">
        <v>969</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1622</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1843</v>
      </c>
      <c r="B2609" s="27" t="s">
        <v>967</v>
      </c>
      <c r="C2609" s="27" t="s">
        <v>1035</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999</v>
      </c>
      <c r="B2610" s="27" t="s">
        <v>978</v>
      </c>
      <c r="C2610" s="27" t="s">
        <v>1001</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1043</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1815</v>
      </c>
      <c r="B2612" s="27" t="s">
        <v>1053</v>
      </c>
      <c r="C2612" s="27" t="s">
        <v>979</v>
      </c>
      <c r="D2612" s="27" t="s">
        <v>969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980</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1351</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999</v>
      </c>
      <c r="B2615" s="27" t="s">
        <v>982</v>
      </c>
      <c r="C2615" s="27" t="s">
        <v>1001</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1026</v>
      </c>
      <c r="B2616" s="27" t="s">
        <v>978</v>
      </c>
      <c r="C2616" s="27" t="s">
        <v>968</v>
      </c>
      <c r="D2616" s="27" t="s">
        <v>969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1194</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965</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1125</v>
      </c>
      <c r="B2619" s="27" t="s">
        <v>1003</v>
      </c>
      <c r="C2619" s="27" t="s">
        <v>988</v>
      </c>
      <c r="D2619" s="27" t="s">
        <v>969</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669</v>
      </c>
      <c r="B2620" s="27" t="s">
        <v>994</v>
      </c>
      <c r="C2620" s="27" t="s">
        <v>974</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1113</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241</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991</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996</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993</v>
      </c>
      <c r="B2625" s="27" t="s">
        <v>997</v>
      </c>
      <c r="C2625" s="27" t="s">
        <v>968</v>
      </c>
      <c r="D2625" s="27" t="s">
        <v>969</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1844</v>
      </c>
      <c r="B2626" s="27" t="s">
        <v>1003</v>
      </c>
      <c r="C2626" s="27" t="s">
        <v>1011</v>
      </c>
      <c r="D2626" s="27" t="s">
        <v>969</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1845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1846</v>
      </c>
      <c r="B2628" s="27" t="s">
        <v>982</v>
      </c>
      <c r="C2628" s="27" t="s">
        <v>1123</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1047</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991</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1114</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1009</v>
      </c>
      <c r="B2632" s="27" t="s">
        <v>1294</v>
      </c>
      <c r="C2632" s="27" t="s">
        <v>1011</v>
      </c>
      <c r="D2632" s="27" t="s">
        <v>969</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1024</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1847</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1005</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row>
    <row r="2637" spans="1:12">
      <c r="A2637" s="20" t="s">
        <v>1060</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1848</v>
      </c>
    </row>
    <row r="2639" spans="1:12">
      <c r="A2639" s="20" t="s">
        <v>1144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993</v>
      </c>
      <c r="B2640" s="27" t="s">
        <v>967</v>
      </c>
      <c r="C2640" s="27" t="s">
        <v>968</v>
      </c>
      <c r="D2640" s="27" t="s">
        <v>969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1352</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1037</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1078</v>
      </c>
      <c r="B2643" s="27" t="s">
        <v>1053</v>
      </c>
      <c r="C2643" s="27" t="s">
        <v>974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999</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160</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980</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993</v>
      </c>
      <c r="B2647" s="27" t="s">
        <v>1010</v>
      </c>
      <c r="C2647" s="27" t="s">
        <v>968</v>
      </c>
      <c r="D2647" s="27" t="s">
        <v>969</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1818</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1849</v>
      </c>
      <c r="B2649" s="27" t="s">
        <v>982</v>
      </c>
      <c r="C2649" s="27" t="s">
        <v>1001</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1375</v>
      </c>
      <c r="B2650" s="27" t="s">
        <v>1013</v>
      </c>
      <c r="C2650" s="27" t="s">
        <v>1123</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991</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980</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1850</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993</v>
      </c>
      <c r="B2654" s="27" t="s">
        <v>1010</v>
      </c>
      <c r="C2654" s="27" t="s">
        <v>968</v>
      </c>
      <c r="D2654" s="27" t="s">
        <v>969</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1107</v>
      </c>
      <c r="B2655" s="27" t="s">
        <v>1013</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991</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1177</v>
      </c>
      <c r="B2657" s="27" t="s">
        <v>1013</v>
      </c>
      <c r="C2657" s="27" t="s">
        <v>1011</v>
      </c>
      <c r="D2657" s="27" t="s">
        <v>969</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1268</v>
      </c>
      <c r="B2658" s="27" t="s">
        <v>1010</v>
      </c>
      <c r="C2658" s="27" t="s">
        <v>968</v>
      </c>
      <c r="D2658" s="27" t="s">
        <v>969</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241</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1005</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965</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row>
    <row r="2663" spans="1:12">
      <c r="A2663" s="20" t="s">
        <v>1851</v>
      </c>
    </row>
    <row r="2664" spans="1:12">
      <c r="A2664" s="20" t="s">
        <v>1268</v>
      </c>
      <c r="B2664" s="27" t="s">
        <v>967</v>
      </c>
      <c r="C2664" s="27" t="s">
        <v>968</v>
      </c>
      <c r="D2664" s="27" t="s">
        <v>969</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1852</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985</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1039</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1375</v>
      </c>
      <c r="B2668" s="27" t="s">
        <v>973</v>
      </c>
      <c r="C2668" s="27" t="s">
        <v>979</v>
      </c>
      <c r="D2668" s="27" t="s">
        <v>969</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1151</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1385</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1853</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1854</v>
      </c>
      <c r="B2672" s="27" t="s">
        <v>978</v>
      </c>
      <c r="C2672" s="27" t="s">
        <v>1123</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975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976</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1855</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1856</v>
      </c>
      <c r="B2676" s="27" t="s">
        <v>982</v>
      </c>
      <c r="C2676" s="27" t="s">
        <v>979</v>
      </c>
      <c r="D2676" s="27" t="s">
        <v>969</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1005</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row>
    <row r="2679" spans="1:12">
      <c r="A2679" s="20" t="s">
        <v>1857</v>
      </c>
    </row>
    <row r="2680" spans="1:12">
      <c r="A2680" s="20" t="s">
        <v>966</v>
      </c>
      <c r="B2680" s="27" t="s">
        <v>967</v>
      </c>
      <c r="C2680" s="27" t="s">
        <v>968</v>
      </c>
      <c r="D2680" s="27" t="s">
        <v>969</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1351</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991</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996</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993</v>
      </c>
      <c r="B2684" s="27" t="s">
        <v>1010</v>
      </c>
      <c r="C2684" s="27" t="s">
        <v>968</v>
      </c>
      <c r="D2684" s="27" t="s">
        <v>969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1739</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991</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996</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985</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1858</v>
      </c>
      <c r="B2689" s="27" t="s">
        <v>994</v>
      </c>
      <c r="C2689" s="27" t="s">
        <v>979</v>
      </c>
      <c r="D2689" s="27" t="s">
        <v>969</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975</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1043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1859</v>
      </c>
      <c r="B2692" s="27" t="s">
        <v>982</v>
      </c>
      <c r="C2692" s="27" t="s">
        <v>979</v>
      </c>
      <c r="D2692" s="27" t="s">
        <v>969</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1849</v>
      </c>
      <c r="B2693" s="27" t="s">
        <v>994</v>
      </c>
      <c r="C2693" s="27" t="s">
        <v>1001</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1641</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1354</v>
      </c>
      <c r="B2695" s="27" t="s">
        <v>1003</v>
      </c>
      <c r="C2695" s="27" t="s">
        <v>1035</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1860</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1861</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1005</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row>
    <row r="2700" spans="1:12">
      <c r="A2700" s="20" t="s">
        <v>1862</v>
      </c>
    </row>
    <row r="2701" spans="1:12">
      <c r="A2701" s="20" t="s">
        <v>1144</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1026</v>
      </c>
      <c r="B2702" s="27" t="s">
        <v>973</v>
      </c>
      <c r="C2702" s="27" t="s">
        <v>968</v>
      </c>
      <c r="D2702" s="27" t="s">
        <v>969</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1411</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1365</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1863</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1864</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991</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1214</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1865</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1445</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1016</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1866</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1867</v>
      </c>
      <c r="B2713" s="27" t="s">
        <v>1053</v>
      </c>
      <c r="C2713" s="27" t="s">
        <v>1018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1097</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1005</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row>
    <row r="2717" spans="1:12">
      <c r="A2717" s="20" t="s">
        <v>1868</v>
      </c>
    </row>
    <row r="2718" spans="1:12">
      <c r="A2718" s="20" t="s">
        <v>1078</v>
      </c>
      <c r="B2718" s="27" t="s">
        <v>967</v>
      </c>
      <c r="C2718" s="27" t="s">
        <v>974</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1195</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1445</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1869</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1005</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row>
    <row r="2724" spans="1:12">
      <c r="A2724" s="20" t="s">
        <v>1870</v>
      </c>
    </row>
    <row r="2725" spans="1:12">
      <c r="A2725" s="20" t="s">
        <v>1268</v>
      </c>
      <c r="B2725" s="27" t="s">
        <v>967</v>
      </c>
      <c r="C2725" s="27" t="s">
        <v>968</v>
      </c>
      <c r="D2725" s="27" t="s">
        <v>969</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440</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1445</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1179</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1473</v>
      </c>
      <c r="B2729" s="27" t="s">
        <v>973</v>
      </c>
      <c r="C2729" s="27" t="s">
        <v>1123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980</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1871</v>
      </c>
      <c r="B2731" s="27" t="s">
        <v>978</v>
      </c>
      <c r="C2731" s="27" t="s">
        <v>974</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991</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980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1820</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999</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1872</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1873</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985</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1078</v>
      </c>
      <c r="B2739" s="27" t="s">
        <v>973</v>
      </c>
      <c r="C2739" s="27" t="s">
        <v>979</v>
      </c>
      <c r="D2739" s="27" t="s">
        <v>969</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1515</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1005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row>
    <row r="2743" spans="1:12">
      <c r="A2743" s="20" t="s">
        <v>1874</v>
      </c>
    </row>
    <row r="2744" spans="1:12">
      <c r="A2744" s="20" t="s">
        <v>1007</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1041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1193</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993</v>
      </c>
      <c r="B2747" s="27" t="s">
        <v>967</v>
      </c>
      <c r="C2747" s="27" t="s">
        <v>968</v>
      </c>
      <c r="D2747" s="27" t="s">
        <v>969</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1032</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1138</v>
      </c>
      <c r="B2749" s="27" t="s">
        <v>978</v>
      </c>
      <c r="C2749" s="27" t="s">
        <v>1001</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985</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1875</v>
      </c>
      <c r="B2751" s="27" t="s">
        <v>1053</v>
      </c>
      <c r="C2751" s="27" t="s">
        <v>979</v>
      </c>
      <c r="D2751" s="27" t="s">
        <v>969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1131</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991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1214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1111</v>
      </c>
      <c r="B2755" s="27" t="s">
        <v>978</v>
      </c>
      <c r="C2755" s="27" t="s">
        <v>974</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1213</v>
      </c>
      <c r="B2756" s="27" t="s">
        <v>1013</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1105</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1876</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1005</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row>
    <row r="2761" spans="1:12">
      <c r="A2761" s="20" t="s">
        <v>1877</v>
      </c>
    </row>
    <row r="2762" spans="1:12">
      <c r="A2762" s="20" t="s">
        <v>966</v>
      </c>
      <c r="B2762" s="27" t="s">
        <v>967</v>
      </c>
      <c r="C2762" s="27" t="s">
        <v>968</v>
      </c>
      <c r="D2762" s="27" t="s">
        <v>969</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1042</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1046</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1878</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1879</v>
      </c>
      <c r="B2766" s="27" t="s">
        <v>1053</v>
      </c>
      <c r="C2766" s="27" t="s">
        <v>974</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1005</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row>
    <row r="2769" spans="1:12">
      <c r="A2769" s="20" t="s">
        <v>1880</v>
      </c>
    </row>
    <row r="2770" spans="1:12">
      <c r="A2770" s="20" t="s">
        <v>966</v>
      </c>
      <c r="B2770" s="27" t="s">
        <v>967</v>
      </c>
      <c r="C2770" s="27" t="s">
        <v>968</v>
      </c>
      <c r="D2770" s="27" t="s">
        <v>969</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1193</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991</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996</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1086</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1051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1808</v>
      </c>
      <c r="B2776" s="27" t="s">
        <v>982</v>
      </c>
      <c r="C2776" s="27" t="s">
        <v>1001</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1363</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12</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1875</v>
      </c>
      <c r="B2779" s="27" t="s">
        <v>1010</v>
      </c>
      <c r="C2779" s="27" t="s">
        <v>1018</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1384</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991</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985</v>
      </c>
      <c r="B2782" s="27" t="s">
        <v>1010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1881</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991</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980</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1086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1178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1627</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991</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1882</v>
      </c>
      <c r="B2790" s="27" t="s">
        <v>1010</v>
      </c>
      <c r="C2790" s="27" t="s">
        <v>1011</v>
      </c>
      <c r="D2790" s="27" t="s">
        <v>969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1024</v>
      </c>
      <c r="B2791" s="27" t="s">
        <v>1010</v>
      </c>
      <c r="C2791" s="27" t="s">
        <v>1102</v>
      </c>
      <c r="D2791" s="27" t="s">
        <v>969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1883</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12</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1086</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1384</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1375</v>
      </c>
      <c r="B2796" s="27" t="s">
        <v>1010</v>
      </c>
      <c r="C2796" s="27" t="s">
        <v>974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991</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1086</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1384</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1884</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1885</v>
      </c>
      <c r="B2801" s="27" t="s">
        <v>1010</v>
      </c>
      <c r="C2801" s="27" t="s">
        <v>974</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991</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1086</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1384</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1886</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985</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1887</v>
      </c>
      <c r="B2807" s="27" t="s">
        <v>1010</v>
      </c>
      <c r="C2807" s="27" t="s">
        <v>979</v>
      </c>
      <c r="D2807" s="27" t="s">
        <v>969</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980</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996</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1888</v>
      </c>
      <c r="B2810" s="27" t="s">
        <v>982</v>
      </c>
      <c r="C2810" s="27" t="s">
        <v>1001</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1073</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1889</v>
      </c>
      <c r="B2812" s="27" t="s">
        <v>1010</v>
      </c>
      <c r="C2812" s="27" t="s">
        <v>1123</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1047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1005</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row>
    <row r="2816" spans="1:12">
      <c r="A2816" s="20" t="s">
        <v>1890</v>
      </c>
    </row>
    <row r="2817" spans="1:12">
      <c r="A2817" s="20" t="s">
        <v>1144</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1041</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1549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993</v>
      </c>
      <c r="B2820" s="27" t="s">
        <v>967</v>
      </c>
      <c r="C2820" s="27" t="s">
        <v>968</v>
      </c>
      <c r="D2820" s="27" t="s">
        <v>969</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1357</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1005</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row>
    <row r="2824" spans="1:12">
      <c r="A2824" s="20" t="s">
        <v>1891</v>
      </c>
    </row>
    <row r="2825" spans="1:12">
      <c r="A2825" s="20" t="s">
        <v>1182</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1220</v>
      </c>
      <c r="B2826" s="27" t="s">
        <v>1010</v>
      </c>
      <c r="C2826" s="27" t="s">
        <v>1001</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1110</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1892</v>
      </c>
      <c r="B2828" s="27" t="s">
        <v>1013</v>
      </c>
      <c r="C2828" s="27" t="s">
        <v>1018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1282</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980</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1220</v>
      </c>
      <c r="B2831" s="27" t="s">
        <v>994</v>
      </c>
      <c r="C2831" s="27" t="s">
        <v>1001</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1716</v>
      </c>
      <c r="B2832" s="27" t="s">
        <v>978</v>
      </c>
      <c r="C2832" s="27" t="s">
        <v>1083</v>
      </c>
      <c r="D2832" s="27" t="s">
        <v>969</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991</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996</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1086</v>
      </c>
      <c r="B2835" s="27" t="s">
        <v>997</v>
      </c>
      <c r="C2835" s="27" t="s">
        <v>968</v>
      </c>
      <c r="D2835" s="27" t="s">
        <v>969</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1382</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1520</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1893</v>
      </c>
      <c r="B2838" s="27" t="s">
        <v>982</v>
      </c>
      <c r="C2838" s="27" t="s">
        <v>1018</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991</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1114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1220</v>
      </c>
      <c r="B2841" s="27" t="s">
        <v>994</v>
      </c>
      <c r="C2841" s="27" t="s">
        <v>1001</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1894</v>
      </c>
      <c r="B2842" s="27" t="s">
        <v>1003</v>
      </c>
      <c r="C2842" s="27" t="s">
        <v>1001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1895</v>
      </c>
      <c r="B2843" s="27" t="s">
        <v>1031</v>
      </c>
      <c r="C2843" s="27" t="s">
        <v>974</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87</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1896</v>
      </c>
      <c r="B2845" s="27" t="s">
        <v>1000</v>
      </c>
      <c r="C2845" s="27" t="s">
        <v>1123</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1022</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976</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1897</v>
      </c>
      <c r="B2848" s="27" t="s">
        <v>1003</v>
      </c>
      <c r="C2848" s="27" t="s">
        <v>979</v>
      </c>
      <c r="D2848" s="27" t="s">
        <v>969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1898</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991</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1218</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1220</v>
      </c>
      <c r="B2852" s="27" t="s">
        <v>967</v>
      </c>
      <c r="C2852" s="27" t="s">
        <v>1001</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1213</v>
      </c>
      <c r="B2853" s="27" t="s">
        <v>973</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1520</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991</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1240</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1220</v>
      </c>
      <c r="B2858" s="27" t="s">
        <v>1010</v>
      </c>
      <c r="C2858" s="27" t="s">
        <v>1001</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1282</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1067</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1515</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1110</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1892</v>
      </c>
      <c r="B2863" s="27" t="s">
        <v>1013</v>
      </c>
      <c r="C2863" s="27" t="s">
        <v>1018</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991</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980</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1220</v>
      </c>
      <c r="B2866" s="27" t="s">
        <v>1010</v>
      </c>
      <c r="C2866" s="27" t="s">
        <v>1001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1218</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614</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1067</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1515</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1545</v>
      </c>
      <c r="B2871" s="27" t="s">
        <v>978</v>
      </c>
      <c r="C2871" s="27" t="s">
        <v>1234</v>
      </c>
      <c r="D2871" s="27" t="s">
        <v>969</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49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1005</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row>
    <row r="2875" spans="1:12">
      <c r="A2875" s="20" t="s">
        <v>1899</v>
      </c>
    </row>
    <row r="2876" spans="1:12">
      <c r="A2876" s="20" t="s">
        <v>1144</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1114</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1220</v>
      </c>
      <c r="B2878" s="27" t="s">
        <v>967</v>
      </c>
      <c r="C2878" s="27" t="s">
        <v>1001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1078</v>
      </c>
      <c r="B2879" s="27" t="s">
        <v>973</v>
      </c>
      <c r="C2879" s="27" t="s">
        <v>974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1282</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980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1900</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1896</v>
      </c>
      <c r="B2883" s="27" t="s">
        <v>982</v>
      </c>
      <c r="C2883" s="27" t="s">
        <v>1123</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1901</v>
      </c>
      <c r="B2884" s="27" t="s">
        <v>1013</v>
      </c>
      <c r="C2884" s="27" t="s">
        <v>974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1151</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976</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1360</v>
      </c>
      <c r="B2887" s="27" t="s">
        <v>982</v>
      </c>
      <c r="C2887" s="27" t="s">
        <v>979</v>
      </c>
      <c r="D2887" s="27" t="s">
        <v>969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1233</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534</v>
      </c>
      <c r="B2889" s="27" t="s">
        <v>1010</v>
      </c>
      <c r="C2889" s="27" t="s">
        <v>974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991</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996</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1220</v>
      </c>
      <c r="B2892" s="27" t="s">
        <v>1010</v>
      </c>
      <c r="C2892" s="27" t="s">
        <v>1001</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1213</v>
      </c>
      <c r="B2893" s="27" t="s">
        <v>1013</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1520</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970</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991</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1041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1902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1086</v>
      </c>
      <c r="B2899" s="27" t="s">
        <v>994</v>
      </c>
      <c r="C2899" s="27" t="s">
        <v>968</v>
      </c>
      <c r="D2899" s="27" t="s">
        <v>969</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991</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1585</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1070</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1078</v>
      </c>
      <c r="B2903" s="27" t="s">
        <v>1003</v>
      </c>
      <c r="C2903" s="27" t="s">
        <v>974</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1195</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985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1903</v>
      </c>
      <c r="B2906" s="27" t="s">
        <v>997</v>
      </c>
      <c r="C2906" s="27" t="s">
        <v>979</v>
      </c>
      <c r="D2906" s="27" t="s">
        <v>969</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1904</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980</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1114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1220</v>
      </c>
      <c r="B2910" s="27" t="s">
        <v>1588</v>
      </c>
      <c r="C2910" s="27" t="s">
        <v>1001</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1213</v>
      </c>
      <c r="B2911" s="27" t="s">
        <v>1905</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1520</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970</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991</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1041</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1097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1220</v>
      </c>
      <c r="B2917" s="27" t="s">
        <v>1294</v>
      </c>
      <c r="C2917" s="27" t="s">
        <v>1001</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1906</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1021</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1158</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1262</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1005</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row>
    <row r="2924" spans="1:12">
      <c r="A2924" s="20" t="s">
        <v>1907</v>
      </c>
    </row>
    <row r="2925" spans="1:12">
      <c r="A2925" s="20" t="s">
        <v>1908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1411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993</v>
      </c>
      <c r="B2927" s="27" t="s">
        <v>1010</v>
      </c>
      <c r="C2927" s="27" t="s">
        <v>968</v>
      </c>
      <c r="D2927" s="27" t="s">
        <v>969</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1909</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1910</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1043</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1911</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1074</v>
      </c>
      <c r="B2932" s="27" t="s">
        <v>982</v>
      </c>
      <c r="C2932" s="27" t="s">
        <v>979</v>
      </c>
      <c r="D2932" s="27" t="s">
        <v>969</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1912</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1913</v>
      </c>
      <c r="B2934" s="27" t="s">
        <v>1053</v>
      </c>
      <c r="C2934" s="27" t="s">
        <v>974</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1005</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row>
    <row r="2937" spans="1:12">
      <c r="A2937" s="20" t="s">
        <v>1914</v>
      </c>
    </row>
    <row r="2938" spans="1:12">
      <c r="A2938" s="20" t="s">
        <v>1007</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993</v>
      </c>
      <c r="B2939" s="27" t="s">
        <v>967</v>
      </c>
      <c r="C2939" s="27" t="s">
        <v>968</v>
      </c>
      <c r="D2939" s="27" t="s">
        <v>969</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1915</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1916</v>
      </c>
      <c r="B2941" s="27" t="s">
        <v>973</v>
      </c>
      <c r="C2941" s="27" t="s">
        <v>974</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991</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1917</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1095</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1918</v>
      </c>
      <c r="B2945" s="27" t="s">
        <v>978</v>
      </c>
      <c r="C2945" s="27" t="s">
        <v>974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991</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1095</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1111</v>
      </c>
      <c r="B2948" s="27" t="s">
        <v>982</v>
      </c>
      <c r="C2948" s="27" t="s">
        <v>974</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991</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985</v>
      </c>
      <c r="B2950" s="27" t="s">
        <v>1294</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1026</v>
      </c>
      <c r="B2951" s="27" t="s">
        <v>1297</v>
      </c>
      <c r="C2951" s="27" t="s">
        <v>968</v>
      </c>
      <c r="D2951" s="27" t="s">
        <v>969</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1787</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991</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1177</v>
      </c>
      <c r="B2954" s="27" t="s">
        <v>1588</v>
      </c>
      <c r="C2954" s="27" t="s">
        <v>1011</v>
      </c>
      <c r="D2954" s="27" t="s">
        <v>969</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1919</v>
      </c>
      <c r="B2955" s="27" t="s">
        <v>1905</v>
      </c>
      <c r="C2955" s="27" t="s">
        <v>968</v>
      </c>
      <c r="D2955" s="27" t="s">
        <v>969</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1920</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1282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1005</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row>
    <row r="2960" spans="1:12">
      <c r="A2960" s="20" t="s">
        <v>1921</v>
      </c>
    </row>
    <row r="2961" spans="1:12">
      <c r="A2961" s="20" t="s">
        <v>1922</v>
      </c>
      <c r="B2961" s="27" t="s">
        <v>967</v>
      </c>
      <c r="C2961" s="27" t="s">
        <v>1001</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1923</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1107</v>
      </c>
      <c r="B2963" s="27" t="s">
        <v>973</v>
      </c>
      <c r="C2963" s="27" t="s">
        <v>968</v>
      </c>
      <c r="D2963" s="27" t="s">
        <v>969</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1924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1925</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1043</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1926</v>
      </c>
      <c r="B2967" s="27" t="s">
        <v>1053</v>
      </c>
      <c r="C2967" s="27" t="s">
        <v>979</v>
      </c>
      <c r="D2967" s="27" t="s">
        <v>969</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1131</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1927</v>
      </c>
      <c r="B2969" s="27" t="s">
        <v>1053</v>
      </c>
      <c r="C2969" s="27" t="s">
        <v>974</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1005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row>
    <row r="2972" spans="1:12">
      <c r="A2972" s="20" t="s">
        <v>1928</v>
      </c>
    </row>
    <row r="2973" spans="1:12">
      <c r="A2973" s="20" t="s">
        <v>1929</v>
      </c>
      <c r="B2973" s="27" t="s">
        <v>978</v>
      </c>
      <c r="C2973" s="27" t="s">
        <v>1083</v>
      </c>
      <c r="D2973" s="27" t="s">
        <v>969</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1930</v>
      </c>
      <c r="B2974" s="27" t="s">
        <v>967</v>
      </c>
      <c r="C2974" s="27" t="s">
        <v>1083</v>
      </c>
      <c r="D2974" s="27" t="s">
        <v>969</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1837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1038</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1931</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1918</v>
      </c>
      <c r="B2978" s="27" t="s">
        <v>1053</v>
      </c>
      <c r="C2978" s="27" t="s">
        <v>979</v>
      </c>
      <c r="D2978" s="27" t="s">
        <v>969</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1178</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1809</v>
      </c>
      <c r="B2980" s="27" t="s">
        <v>967</v>
      </c>
      <c r="C2980" s="27" t="s">
        <v>1011</v>
      </c>
      <c r="D2980" s="27" t="s">
        <v>969</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991</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1043</v>
      </c>
      <c r="B2982" s="27" t="s">
        <v>994</v>
      </c>
      <c r="C2982" s="27" t="s">
        <v>1011</v>
      </c>
      <c r="D2982" s="27" t="s">
        <v>969</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1095</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1809</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669</v>
      </c>
      <c r="B2985" s="27" t="s">
        <v>982</v>
      </c>
      <c r="C2985" s="27" t="s">
        <v>1018</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1004</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991</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985</v>
      </c>
      <c r="B2988" s="27" t="s">
        <v>967</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1932</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980</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1351</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991</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1009</v>
      </c>
      <c r="B2993" s="27" t="s">
        <v>1010</v>
      </c>
      <c r="C2993" s="27" t="s">
        <v>1011</v>
      </c>
      <c r="D2993" s="27" t="s">
        <v>969</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1259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1086</v>
      </c>
      <c r="B2995" s="27" t="s">
        <v>1010</v>
      </c>
      <c r="C2995" s="27" t="s">
        <v>968</v>
      </c>
      <c r="D2995" s="27" t="s">
        <v>969</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1037</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1809</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1363</v>
      </c>
      <c r="B2998" s="27" t="s">
        <v>978</v>
      </c>
      <c r="C2998" s="27" t="s">
        <v>1018</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1933</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991</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1009</v>
      </c>
      <c r="B3001" s="27" t="s">
        <v>1010</v>
      </c>
      <c r="C3001" s="27" t="s">
        <v>1011</v>
      </c>
      <c r="D3001" s="27" t="s">
        <v>969</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1259</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1375</v>
      </c>
      <c r="B3003" s="27" t="s">
        <v>1010</v>
      </c>
      <c r="C3003" s="27" t="s">
        <v>974</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1933</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991</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1009</v>
      </c>
      <c r="B3006" s="27" t="s">
        <v>1010</v>
      </c>
      <c r="C3006" s="27" t="s">
        <v>1011</v>
      </c>
      <c r="D3006" s="27" t="s">
        <v>969</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1278</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1445</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1721</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1888</v>
      </c>
      <c r="B3010" s="27" t="s">
        <v>973</v>
      </c>
      <c r="C3010" s="27" t="s">
        <v>1001</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1934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1005</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row>
    <row r="3014" spans="1:12">
      <c r="A3014" s="20" t="s">
        <v>1935</v>
      </c>
    </row>
    <row r="3015" spans="1:12">
      <c r="A3015" s="20" t="s">
        <v>1268</v>
      </c>
      <c r="B3015" s="27" t="s">
        <v>1010</v>
      </c>
      <c r="C3015" s="27" t="s">
        <v>968</v>
      </c>
      <c r="D3015" s="27" t="s">
        <v>969</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1278</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1016</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1936</v>
      </c>
      <c r="B3018" s="27" t="s">
        <v>973</v>
      </c>
      <c r="C3018" s="27" t="s">
        <v>1018</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1937</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980</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1938</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991</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993</v>
      </c>
      <c r="B3023" s="27" t="s">
        <v>1010</v>
      </c>
      <c r="C3023" s="27" t="s">
        <v>968</v>
      </c>
      <c r="D3023" s="27" t="s">
        <v>969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1113</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1086</v>
      </c>
      <c r="B3025" s="27" t="s">
        <v>1013</v>
      </c>
      <c r="C3025" s="27" t="s">
        <v>968</v>
      </c>
      <c r="D3025" s="27" t="s">
        <v>969</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1043</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1074</v>
      </c>
      <c r="B3027" s="27" t="s">
        <v>1013</v>
      </c>
      <c r="C3027" s="27" t="s">
        <v>979</v>
      </c>
      <c r="D3027" s="27" t="s">
        <v>969</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237</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991</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1939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1771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1438</v>
      </c>
      <c r="B3032" s="27" t="s">
        <v>1031</v>
      </c>
      <c r="C3032" s="27" t="s">
        <v>974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1172</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1940</v>
      </c>
      <c r="B3034" s="27" t="s">
        <v>1003</v>
      </c>
      <c r="C3034" s="27" t="s">
        <v>974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999</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58</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1005</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row>
    <row r="3039" spans="1:12">
      <c r="A3039" s="20" t="s">
        <v>1941</v>
      </c>
    </row>
    <row r="3040" spans="1:12">
      <c r="A3040" s="20" t="s">
        <v>1268</v>
      </c>
      <c r="B3040" s="27" t="s">
        <v>967</v>
      </c>
      <c r="C3040" s="27" t="s">
        <v>968</v>
      </c>
      <c r="D3040" s="27" t="s">
        <v>969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1942</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1026</v>
      </c>
      <c r="B3042" s="27" t="s">
        <v>973</v>
      </c>
      <c r="C3042" s="27" t="s">
        <v>968</v>
      </c>
      <c r="D3042" s="27" t="s">
        <v>969</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1051</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1808</v>
      </c>
      <c r="B3044" s="27" t="s">
        <v>973</v>
      </c>
      <c r="C3044" s="27" t="s">
        <v>1001</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1381</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1005</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row>
    <row r="3048" spans="1:12">
      <c r="A3048" s="20" t="s">
        <v>1943</v>
      </c>
    </row>
    <row r="3049" spans="1:12">
      <c r="A3049" s="20" t="s">
        <v>1007</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993</v>
      </c>
      <c r="B3050" s="27" t="s">
        <v>967</v>
      </c>
      <c r="C3050" s="27" t="s">
        <v>968</v>
      </c>
      <c r="D3050" s="27" t="s">
        <v>969</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1944</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1009</v>
      </c>
      <c r="B3052" s="27" t="s">
        <v>973</v>
      </c>
      <c r="C3052" s="27" t="s">
        <v>1011</v>
      </c>
      <c r="D3052" s="27" t="s">
        <v>969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1168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1021</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1005</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row>
    <row r="3057" spans="1:12">
      <c r="A3057" s="20" t="s">
        <v>1945</v>
      </c>
    </row>
    <row r="3058" spans="1:12">
      <c r="A3058" s="20" t="s">
        <v>966</v>
      </c>
      <c r="B3058" s="27" t="s">
        <v>967</v>
      </c>
      <c r="C3058" s="27" t="s">
        <v>968</v>
      </c>
      <c r="D3058" s="27" t="s">
        <v>969</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1023</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1622</v>
      </c>
      <c r="B3060" s="27" t="s">
        <v>973</v>
      </c>
      <c r="C3060" s="27" t="s">
        <v>968</v>
      </c>
      <c r="D3060" s="27" t="s">
        <v>969</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1475</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991</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996</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1009</v>
      </c>
      <c r="B3064" s="27" t="s">
        <v>1010</v>
      </c>
      <c r="C3064" s="27" t="s">
        <v>1011</v>
      </c>
      <c r="D3064" s="27" t="s">
        <v>969</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1365</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1946</v>
      </c>
      <c r="B3066" s="27" t="s">
        <v>1013</v>
      </c>
      <c r="C3066" s="27" t="s">
        <v>974</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975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976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1947</v>
      </c>
      <c r="B3069" s="27" t="s">
        <v>982</v>
      </c>
      <c r="C3069" s="27" t="s">
        <v>1083</v>
      </c>
      <c r="D3069" s="27" t="s">
        <v>969</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1948</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1331</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1005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row>
    <row r="3074" spans="1:12">
      <c r="A3074" s="20" t="s">
        <v>1949</v>
      </c>
    </row>
    <row r="3075" spans="1:12">
      <c r="A3075" s="20" t="s">
        <v>1950</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1951</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993</v>
      </c>
      <c r="B3077" s="27" t="s">
        <v>967</v>
      </c>
      <c r="C3077" s="27" t="s">
        <v>968</v>
      </c>
      <c r="D3077" s="27" t="s">
        <v>969</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1026</v>
      </c>
      <c r="B3078" s="27" t="s">
        <v>973</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1952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1913</v>
      </c>
      <c r="B3080" s="27" t="s">
        <v>973</v>
      </c>
      <c r="C3080" s="27" t="s">
        <v>974</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1151</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991</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980</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1189</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1073</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1913</v>
      </c>
      <c r="B3086" s="27" t="s">
        <v>1013</v>
      </c>
      <c r="C3086" s="27" t="s">
        <v>974</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975</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1953</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1185</v>
      </c>
      <c r="B3089" s="27" t="s">
        <v>982</v>
      </c>
      <c r="C3089" s="27" t="s">
        <v>974</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1005</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row>
    <row r="3092" spans="1:12">
      <c r="A3092" s="20" t="s">
        <v>1954</v>
      </c>
    </row>
    <row r="3093" spans="1:12">
      <c r="A3093" s="20" t="s">
        <v>966</v>
      </c>
      <c r="B3093" s="27" t="s">
        <v>967</v>
      </c>
      <c r="C3093" s="27" t="s">
        <v>968</v>
      </c>
      <c r="D3093" s="27" t="s">
        <v>969</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1955</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1107</v>
      </c>
      <c r="B3095" s="27" t="s">
        <v>973</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1382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1956</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12</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1957</v>
      </c>
      <c r="B3099" s="27" t="s">
        <v>973</v>
      </c>
      <c r="C3099" s="27" t="s">
        <v>1018</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975</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976</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1958</v>
      </c>
      <c r="B3102" s="27" t="s">
        <v>1053</v>
      </c>
      <c r="C3102" s="27" t="s">
        <v>979</v>
      </c>
      <c r="D3102" s="27" t="s">
        <v>969</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991</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1043</v>
      </c>
      <c r="B3104" s="27" t="s">
        <v>994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1721</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1179</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1959</v>
      </c>
      <c r="B3107" s="27" t="s">
        <v>1031</v>
      </c>
      <c r="C3107" s="27" t="s">
        <v>1123</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1960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1005</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row>
    <row r="3111" spans="1:12">
      <c r="A3111" s="20" t="s">
        <v>1060</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1961</v>
      </c>
    </row>
    <row r="3113" spans="1:12">
      <c r="A3113" s="20" t="s">
        <v>966</v>
      </c>
      <c r="B3113" s="27" t="s">
        <v>967</v>
      </c>
      <c r="C3113" s="27" t="s">
        <v>968</v>
      </c>
      <c r="D3113" s="27" t="s">
        <v>969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1962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1689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1021</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975</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1024</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1963</v>
      </c>
      <c r="B3119" s="27" t="s">
        <v>1053</v>
      </c>
      <c r="C3119" s="27" t="s">
        <v>979</v>
      </c>
      <c r="D3119" s="27" t="s">
        <v>969</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267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991</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1240</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1051</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1808</v>
      </c>
      <c r="B3124" s="27" t="s">
        <v>1003</v>
      </c>
      <c r="C3124" s="27" t="s">
        <v>1001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1147</v>
      </c>
      <c r="B3125" s="27" t="s">
        <v>982</v>
      </c>
      <c r="C3125" s="27" t="s">
        <v>1018</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1741</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1178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993</v>
      </c>
      <c r="B3128" s="27" t="s">
        <v>994</v>
      </c>
      <c r="C3128" s="27" t="s">
        <v>968</v>
      </c>
      <c r="D3128" s="27" t="s">
        <v>969</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975</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1964</v>
      </c>
      <c r="B3130" s="27" t="s">
        <v>978</v>
      </c>
      <c r="C3130" s="27" t="s">
        <v>1083</v>
      </c>
      <c r="D3130" s="27" t="s">
        <v>969</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980</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1965</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1396</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1151</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1382</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1313</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1966</v>
      </c>
      <c r="B3137" s="27" t="s">
        <v>982</v>
      </c>
      <c r="C3137" s="27" t="s">
        <v>1018</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991</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980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993</v>
      </c>
      <c r="B3140" s="27" t="s">
        <v>1010</v>
      </c>
      <c r="C3140" s="27" t="s">
        <v>968</v>
      </c>
      <c r="D3140" s="27" t="s">
        <v>969</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1581</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1033</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1645</v>
      </c>
      <c r="B3143" s="27" t="s">
        <v>1013</v>
      </c>
      <c r="C3143" s="27" t="s">
        <v>1035</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1492</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980</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1115</v>
      </c>
      <c r="B3146" s="27" t="s">
        <v>1010</v>
      </c>
      <c r="C3146" s="27" t="s">
        <v>968</v>
      </c>
      <c r="D3146" s="27" t="s">
        <v>969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1351</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1194</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965</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1967</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1968</v>
      </c>
      <c r="B3151" s="27" t="s">
        <v>994</v>
      </c>
      <c r="C3151" s="27" t="s">
        <v>968</v>
      </c>
      <c r="D3151" s="27" t="s">
        <v>969</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991</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1024</v>
      </c>
      <c r="B3153" s="27" t="s">
        <v>997</v>
      </c>
      <c r="C3153" s="27" t="s">
        <v>1011</v>
      </c>
      <c r="D3153" s="27" t="s">
        <v>969</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1097</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1969</v>
      </c>
      <c r="B3155" s="27" t="s">
        <v>1031</v>
      </c>
      <c r="C3155" s="27" t="s">
        <v>1083</v>
      </c>
      <c r="D3155" s="27" t="s">
        <v>969</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991</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980</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1432</v>
      </c>
      <c r="B3158" s="27" t="s">
        <v>997</v>
      </c>
      <c r="C3158" s="27" t="s">
        <v>1011</v>
      </c>
      <c r="D3158" s="27" t="s">
        <v>969</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1195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975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1970</v>
      </c>
      <c r="B3161" s="27" t="s">
        <v>1003</v>
      </c>
      <c r="C3161" s="27" t="s">
        <v>1083</v>
      </c>
      <c r="D3161" s="27" t="s">
        <v>969</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991</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980</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1971</v>
      </c>
      <c r="B3164" s="27" t="s">
        <v>1000</v>
      </c>
      <c r="C3164" s="27" t="s">
        <v>988</v>
      </c>
      <c r="D3164" s="27" t="s">
        <v>969</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1972</v>
      </c>
      <c r="B3165" s="27" t="s">
        <v>997</v>
      </c>
      <c r="C3165" s="27" t="s">
        <v>974</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1195</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1346</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1624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1973</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991</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1240</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1432</v>
      </c>
      <c r="B3172" s="27" t="s">
        <v>997</v>
      </c>
      <c r="C3172" s="27" t="s">
        <v>1011</v>
      </c>
      <c r="D3172" s="27" t="s">
        <v>969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104</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1849</v>
      </c>
      <c r="B3174" s="27" t="s">
        <v>1000</v>
      </c>
      <c r="C3174" s="27" t="s">
        <v>1001</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1972</v>
      </c>
      <c r="B3175" s="27" t="s">
        <v>1198</v>
      </c>
      <c r="C3175" s="27" t="s">
        <v>1123</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991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985</v>
      </c>
      <c r="B3177" s="27" t="s">
        <v>1588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1037</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976</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1095</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1974</v>
      </c>
      <c r="B3181" s="27" t="s">
        <v>1398</v>
      </c>
      <c r="C3181" s="27" t="s">
        <v>1011</v>
      </c>
      <c r="D3181" s="27" t="s">
        <v>969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1975</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991</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1357</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1976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104</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1005</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965</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row>
    <row r="3190" spans="1:12">
      <c r="A3190" s="20" t="s">
        <v>1060</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1977</v>
      </c>
    </row>
    <row r="3192" spans="1:12">
      <c r="A3192" s="20" t="s">
        <v>1007</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993</v>
      </c>
      <c r="B3193" s="27" t="s">
        <v>967</v>
      </c>
      <c r="C3193" s="27" t="s">
        <v>968</v>
      </c>
      <c r="D3193" s="27" t="s">
        <v>969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1351</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1194</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965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1978</v>
      </c>
      <c r="B3197" s="27" t="s">
        <v>1053</v>
      </c>
      <c r="C3197" s="27" t="s">
        <v>1083</v>
      </c>
      <c r="D3197" s="27" t="s">
        <v>969</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1005</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965</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row>
    <row r="3201" spans="1:12">
      <c r="A3201" s="20" t="s">
        <v>1060</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1979</v>
      </c>
    </row>
    <row r="3203" spans="1:12">
      <c r="A3203" s="20" t="s">
        <v>1007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1115</v>
      </c>
      <c r="B3204" s="27" t="s">
        <v>967</v>
      </c>
      <c r="C3204" s="27" t="s">
        <v>968</v>
      </c>
      <c r="D3204" s="27" t="s">
        <v>969</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1351</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1194</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965</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1797</v>
      </c>
      <c r="B3208" s="27" t="s">
        <v>1010</v>
      </c>
      <c r="C3208" s="27" t="s">
        <v>1083</v>
      </c>
      <c r="D3208" s="27" t="s">
        <v>969</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991</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1240</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1432</v>
      </c>
      <c r="B3211" s="27" t="s">
        <v>1010</v>
      </c>
      <c r="C3211" s="27" t="s">
        <v>1011</v>
      </c>
      <c r="D3211" s="27" t="s">
        <v>969</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1547</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1179</v>
      </c>
      <c r="B3213" s="27" t="s">
        <v>982</v>
      </c>
      <c r="C3213" s="27" t="s">
        <v>1001</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1980</v>
      </c>
      <c r="B3214" s="27" t="s">
        <v>1013</v>
      </c>
      <c r="C3214" s="27" t="s">
        <v>1123</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1037</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1981</v>
      </c>
      <c r="B3216" s="27" t="s">
        <v>982</v>
      </c>
      <c r="C3216" s="27" t="s">
        <v>974</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1172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976</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1982</v>
      </c>
      <c r="B3219" s="27" t="s">
        <v>1003</v>
      </c>
      <c r="C3219" s="27" t="s">
        <v>979</v>
      </c>
      <c r="D3219" s="27" t="s">
        <v>969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991</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1460</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1037</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1983</v>
      </c>
      <c r="B3223" s="27" t="s">
        <v>978</v>
      </c>
      <c r="C3223" s="27" t="s">
        <v>1102</v>
      </c>
      <c r="D3223" s="27" t="s">
        <v>969</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991</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985</v>
      </c>
      <c r="B3225" s="27" t="s">
        <v>997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1984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1131</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976</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1985</v>
      </c>
      <c r="B3229" s="27" t="s">
        <v>1003</v>
      </c>
      <c r="C3229" s="27" t="s">
        <v>979</v>
      </c>
      <c r="D3229" s="27" t="s">
        <v>969</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1986</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1005</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965</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row>
    <row r="3234" spans="1:12">
      <c r="A3234" s="20" t="s">
        <v>1060</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1987</v>
      </c>
    </row>
    <row r="3236" spans="1:12">
      <c r="A3236" s="20" t="s">
        <v>966</v>
      </c>
      <c r="B3236" s="27" t="s">
        <v>967</v>
      </c>
      <c r="C3236" s="27" t="s">
        <v>968</v>
      </c>
      <c r="D3236" s="27" t="s">
        <v>969</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1923</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1194</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965</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1988</v>
      </c>
      <c r="B3240" s="27" t="s">
        <v>982</v>
      </c>
      <c r="C3240" s="27" t="s">
        <v>1001</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1354</v>
      </c>
      <c r="B3241" s="27" t="s">
        <v>1013</v>
      </c>
      <c r="C3241" s="27" t="s">
        <v>974</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1384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1086</v>
      </c>
      <c r="B3243" s="27" t="s">
        <v>1010</v>
      </c>
      <c r="C3243" s="27" t="s">
        <v>968</v>
      </c>
      <c r="D3243" s="27" t="s">
        <v>969</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1373</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965</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row>
    <row r="3247" spans="1:12">
      <c r="A3247" s="20" t="s">
        <v>1060</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1989</v>
      </c>
    </row>
    <row r="3249" spans="1:12">
      <c r="A3249" s="20" t="s">
        <v>1830</v>
      </c>
      <c r="B3249" s="27" t="s">
        <v>967</v>
      </c>
      <c r="C3249" s="27" t="s">
        <v>968</v>
      </c>
      <c r="D3249" s="27" t="s">
        <v>969</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1990</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1194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965</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1991</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1992</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991</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1009</v>
      </c>
      <c r="B3256" s="27" t="s">
        <v>1010</v>
      </c>
      <c r="C3256" s="27" t="s">
        <v>1011</v>
      </c>
      <c r="D3256" s="27" t="s">
        <v>969</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1993</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1357</v>
      </c>
      <c r="B3258" s="27" t="s">
        <v>994</v>
      </c>
      <c r="C3258" s="27" t="s">
        <v>1001</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1624</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1994</v>
      </c>
      <c r="B3260" s="27" t="s">
        <v>1013</v>
      </c>
      <c r="C3260" s="27" t="s">
        <v>1123</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1005</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row>
    <row r="3263" spans="1:12">
      <c r="A3263" s="20" t="s">
        <v>1995</v>
      </c>
    </row>
    <row r="3264" spans="1:12">
      <c r="A3264" s="20" t="s">
        <v>1268</v>
      </c>
      <c r="B3264" s="27" t="s">
        <v>967</v>
      </c>
      <c r="C3264" s="27" t="s">
        <v>968</v>
      </c>
      <c r="D3264" s="27" t="s">
        <v>969</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1996</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1021</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975</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976</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1997</v>
      </c>
      <c r="B3269" s="27" t="s">
        <v>1053</v>
      </c>
      <c r="C3269" s="27" t="s">
        <v>979</v>
      </c>
      <c r="D3269" s="27" t="s">
        <v>969</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1037</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1038</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1998</v>
      </c>
      <c r="B3272" s="27" t="s">
        <v>978</v>
      </c>
      <c r="C3272" s="27" t="s">
        <v>979</v>
      </c>
      <c r="D3272" s="27" t="s">
        <v>969</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991</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1999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1220</v>
      </c>
      <c r="B3275" s="27" t="s">
        <v>997</v>
      </c>
      <c r="C3275" s="27" t="s">
        <v>1001</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1754</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991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1213</v>
      </c>
      <c r="B3278" s="27" t="s">
        <v>1297</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1520</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999</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13</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1005</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row>
    <row r="3284" spans="1:12">
      <c r="A3284" s="20" t="s">
        <v>2000</v>
      </c>
    </row>
    <row r="3285" spans="1:12">
      <c r="A3285" s="20" t="s">
        <v>1268</v>
      </c>
      <c r="B3285" s="27" t="s">
        <v>967</v>
      </c>
      <c r="C3285" s="27" t="s">
        <v>968</v>
      </c>
      <c r="D3285" s="27" t="s">
        <v>969</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2001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2002</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2003</v>
      </c>
      <c r="B3288" s="27" t="s">
        <v>1053</v>
      </c>
      <c r="C3288" s="27" t="s">
        <v>974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1515</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2004</v>
      </c>
      <c r="B3290" s="27" t="s">
        <v>978</v>
      </c>
      <c r="C3290" s="27" t="s">
        <v>974</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1051</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991</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1437</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1024</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2005</v>
      </c>
      <c r="B3295" s="27" t="s">
        <v>1013</v>
      </c>
      <c r="C3295" s="27" t="s">
        <v>979</v>
      </c>
      <c r="D3295" s="27" t="s">
        <v>969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975</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2006</v>
      </c>
      <c r="B3297" s="27" t="s">
        <v>978</v>
      </c>
      <c r="C3297" s="27" t="s">
        <v>974</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999</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367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1005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row>
    <row r="3302" spans="1:12">
      <c r="A3302" s="20" t="s">
        <v>2007</v>
      </c>
    </row>
    <row r="3303" spans="1:12">
      <c r="A3303" s="20" t="s">
        <v>1268</v>
      </c>
      <c r="B3303" s="27" t="s">
        <v>967</v>
      </c>
      <c r="C3303" s="27" t="s">
        <v>968</v>
      </c>
      <c r="D3303" s="27" t="s">
        <v>969</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2008</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1021</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985</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2009</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1729</v>
      </c>
      <c r="B3308" s="27" t="s">
        <v>973</v>
      </c>
      <c r="C3308" s="27" t="s">
        <v>979</v>
      </c>
      <c r="D3308" s="27" t="s">
        <v>969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1005</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row>
    <row r="3311" spans="1:12">
      <c r="A3311" s="20" t="s">
        <v>2010</v>
      </c>
    </row>
    <row r="3312" spans="1:12">
      <c r="A3312" s="20" t="s">
        <v>1268</v>
      </c>
      <c r="B3312" s="27" t="s">
        <v>967</v>
      </c>
      <c r="C3312" s="27" t="s">
        <v>968</v>
      </c>
      <c r="D3312" s="27" t="s">
        <v>969</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530</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985</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1078</v>
      </c>
      <c r="B3315" s="27" t="s">
        <v>967</v>
      </c>
      <c r="C3315" s="27" t="s">
        <v>979</v>
      </c>
      <c r="D3315" s="27" t="s">
        <v>969</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1021</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1046</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1110</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2011</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1659</v>
      </c>
      <c r="B3320" s="27" t="s">
        <v>1053</v>
      </c>
      <c r="C3320" s="27" t="s">
        <v>1018</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1005</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row>
    <row r="3323" spans="1:12">
      <c r="A3323" s="20" t="s">
        <v>1060</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2012</v>
      </c>
    </row>
    <row r="3325" spans="1:12">
      <c r="A3325" s="20" t="s">
        <v>2013</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2014</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1009</v>
      </c>
      <c r="B3327" s="27" t="s">
        <v>967</v>
      </c>
      <c r="C3327" s="27" t="s">
        <v>1011</v>
      </c>
      <c r="D3327" s="27" t="s">
        <v>969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985</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1111</v>
      </c>
      <c r="B3329" s="27" t="s">
        <v>967</v>
      </c>
      <c r="C3329" s="27" t="s">
        <v>979</v>
      </c>
      <c r="D3329" s="27" t="s">
        <v>969</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2015</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975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2016</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991</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1771</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2017</v>
      </c>
      <c r="B3335" s="27" t="s">
        <v>1053</v>
      </c>
      <c r="C3335" s="27" t="s">
        <v>974</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980</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2018</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1009</v>
      </c>
      <c r="B3338" s="27" t="s">
        <v>1010</v>
      </c>
      <c r="C3338" s="27" t="s">
        <v>1011</v>
      </c>
      <c r="D3338" s="27" t="s">
        <v>969</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1016</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1765</v>
      </c>
      <c r="B3340" s="27" t="s">
        <v>982</v>
      </c>
      <c r="C3340" s="27" t="s">
        <v>1018</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1766</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1032</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2019</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1438</v>
      </c>
      <c r="B3344" s="27" t="s">
        <v>982</v>
      </c>
      <c r="C3344" s="27" t="s">
        <v>974</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391</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991</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985</v>
      </c>
      <c r="B3347" s="27" t="s">
        <v>1010</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1919</v>
      </c>
      <c r="B3348" s="27" t="s">
        <v>1013</v>
      </c>
      <c r="C3348" s="27" t="s">
        <v>968</v>
      </c>
      <c r="D3348" s="27" t="s">
        <v>969</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2020</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1883</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1005</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965</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row>
    <row r="3354" spans="1:12">
      <c r="A3354" s="20" t="s">
        <v>1060</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2021</v>
      </c>
    </row>
    <row r="3356" spans="1:12">
      <c r="A3356" s="20" t="s">
        <v>1746</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1747</v>
      </c>
      <c r="B3357" s="27" t="s">
        <v>978</v>
      </c>
      <c r="C3357" s="27" t="s">
        <v>974</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1748</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1746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950</v>
      </c>
      <c r="B3360" s="27" t="s">
        <v>982</v>
      </c>
      <c r="C3360" s="27" t="s">
        <v>1083</v>
      </c>
      <c r="D3360" s="27" t="s">
        <v>969</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1748</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1830</v>
      </c>
      <c r="B3362" s="27" t="s">
        <v>967</v>
      </c>
      <c r="C3362" s="27" t="s">
        <v>968</v>
      </c>
      <c r="D3362" s="27" t="s">
        <v>969</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1351</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1194</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965</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1077</v>
      </c>
      <c r="B3366" s="27" t="s">
        <v>1010</v>
      </c>
      <c r="C3366" s="27" t="s">
        <v>1011</v>
      </c>
      <c r="D3366" s="27" t="s">
        <v>969</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2022</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1009</v>
      </c>
      <c r="B3368" s="27" t="s">
        <v>1010</v>
      </c>
      <c r="C3368" s="27" t="s">
        <v>1011</v>
      </c>
      <c r="D3368" s="27" t="s">
        <v>969</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719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991</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1024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2023</v>
      </c>
      <c r="B3372" s="27" t="s">
        <v>1031</v>
      </c>
      <c r="C3372" s="27" t="s">
        <v>979</v>
      </c>
      <c r="D3372" s="27" t="s">
        <v>969</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999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2024</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1005</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965</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row>
    <row r="3378" spans="1:12">
      <c r="A3378" s="20" t="s">
        <v>2025</v>
      </c>
    </row>
    <row r="3379" spans="1:12">
      <c r="A3379" s="20" t="s">
        <v>2026</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1795</v>
      </c>
      <c r="B3380" s="27" t="s">
        <v>1013</v>
      </c>
      <c r="C3380" s="27" t="s">
        <v>968</v>
      </c>
      <c r="D3380" s="27" t="s">
        <v>969</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1024</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1073</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1397</v>
      </c>
      <c r="B3383" s="27" t="s">
        <v>1013</v>
      </c>
      <c r="C3383" s="27" t="s">
        <v>1399</v>
      </c>
      <c r="D3383" s="27" t="s">
        <v>969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1043</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2027</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1913</v>
      </c>
      <c r="B3386" s="27" t="s">
        <v>982</v>
      </c>
      <c r="C3386" s="27" t="s">
        <v>979</v>
      </c>
      <c r="D3386" s="27" t="s">
        <v>969</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999</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2028</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991</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541</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1268</v>
      </c>
      <c r="B3391" s="27" t="s">
        <v>967</v>
      </c>
      <c r="C3391" s="27" t="s">
        <v>968</v>
      </c>
      <c r="D3391" s="27" t="s">
        <v>969</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1107</v>
      </c>
      <c r="B3392" s="27" t="s">
        <v>1013</v>
      </c>
      <c r="C3392" s="27" t="s">
        <v>968</v>
      </c>
      <c r="D3392" s="27" t="s">
        <v>969</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1795</v>
      </c>
      <c r="B3393" s="27" t="s">
        <v>1013</v>
      </c>
      <c r="C3393" s="27" t="s">
        <v>968</v>
      </c>
      <c r="D3393" s="27" t="s">
        <v>969</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1095</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2029</v>
      </c>
      <c r="B3395" s="27" t="s">
        <v>982</v>
      </c>
      <c r="C3395" s="27" t="s">
        <v>1083</v>
      </c>
      <c r="D3395" s="27" t="s">
        <v>969</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2030</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237</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1005</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row>
    <row r="3400" spans="1:12">
      <c r="A3400" s="20" t="s">
        <v>2031</v>
      </c>
    </row>
    <row r="3401" spans="1:12">
      <c r="A3401" s="20" t="s">
        <v>2029</v>
      </c>
      <c r="B3401" s="27" t="s">
        <v>967</v>
      </c>
      <c r="C3401" s="27" t="s">
        <v>1083</v>
      </c>
      <c r="D3401" s="27" t="s">
        <v>969</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2030</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1278</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985</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2032</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1078</v>
      </c>
      <c r="B3406" s="27" t="s">
        <v>973</v>
      </c>
      <c r="C3406" s="27" t="s">
        <v>979</v>
      </c>
      <c r="D3406" s="27" t="s">
        <v>969</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991</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985</v>
      </c>
      <c r="B3408" s="27" t="s">
        <v>1031</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993</v>
      </c>
      <c r="B3409" s="27" t="s">
        <v>994</v>
      </c>
      <c r="C3409" s="27" t="s">
        <v>968</v>
      </c>
      <c r="D3409" s="27" t="s">
        <v>969</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2033</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2034</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1070</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1382</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1827</v>
      </c>
      <c r="B3414" s="27" t="s">
        <v>982</v>
      </c>
      <c r="C3414" s="27" t="s">
        <v>1018</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2035</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1352</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1005</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row>
    <row r="3419" spans="1:12">
      <c r="A3419" s="20" t="s">
        <v>2036</v>
      </c>
    </row>
    <row r="3420" spans="1:12">
      <c r="A3420" s="20" t="s">
        <v>1830</v>
      </c>
      <c r="B3420" s="27" t="s">
        <v>967</v>
      </c>
      <c r="C3420" s="27" t="s">
        <v>968</v>
      </c>
      <c r="D3420" s="27" t="s">
        <v>969</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1178</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1279</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1262</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1005</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row>
    <row r="3426" spans="1:12">
      <c r="A3426" s="20" t="s">
        <v>2037</v>
      </c>
    </row>
    <row r="3427" spans="1:12">
      <c r="A3427" s="20" t="s">
        <v>1644</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993</v>
      </c>
      <c r="B3428" s="27" t="s">
        <v>1010</v>
      </c>
      <c r="C3428" s="27" t="s">
        <v>968</v>
      </c>
      <c r="D3428" s="27" t="s">
        <v>969</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2038</v>
      </c>
      <c r="B3429" s="27" t="s">
        <v>1013</v>
      </c>
      <c r="C3429" s="27" t="s">
        <v>968</v>
      </c>
      <c r="D3429" s="27" t="s">
        <v>969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2039</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1178</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1115</v>
      </c>
      <c r="B3432" s="27" t="s">
        <v>967</v>
      </c>
      <c r="C3432" s="27" t="s">
        <v>968</v>
      </c>
      <c r="D3432" s="27" t="s">
        <v>969</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1151</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1382</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1304</v>
      </c>
      <c r="B3435" s="27" t="s">
        <v>1053</v>
      </c>
      <c r="C3435" s="27" t="s">
        <v>1018</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991</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1999</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1115</v>
      </c>
      <c r="B3438" s="27" t="s">
        <v>994</v>
      </c>
      <c r="C3438" s="27" t="s">
        <v>968</v>
      </c>
      <c r="D3438" s="27" t="s">
        <v>969</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1894</v>
      </c>
      <c r="B3439" s="27" t="s">
        <v>1003</v>
      </c>
      <c r="C3439" s="27" t="s">
        <v>1001</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1269</v>
      </c>
      <c r="B3440" s="27" t="s">
        <v>982</v>
      </c>
      <c r="C3440" s="27" t="s">
        <v>974</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1016</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2040</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12</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1406</v>
      </c>
      <c r="B3444" s="27" t="s">
        <v>1031</v>
      </c>
      <c r="C3444" s="27" t="s">
        <v>1018</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2041</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1005</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row>
    <row r="3448" spans="1:12">
      <c r="A3448" s="20" t="s">
        <v>2042</v>
      </c>
    </row>
    <row r="3449" spans="1:12">
      <c r="A3449" s="20" t="s">
        <v>2043</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995</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1115</v>
      </c>
      <c r="B3451" s="27" t="s">
        <v>967</v>
      </c>
      <c r="C3451" s="27" t="s">
        <v>968</v>
      </c>
      <c r="D3451" s="27" t="s">
        <v>969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1213</v>
      </c>
      <c r="B3452" s="27" t="s">
        <v>973</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1016</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2044</v>
      </c>
      <c r="B3454" s="27" t="s">
        <v>978</v>
      </c>
      <c r="C3454" s="27" t="s">
        <v>1018</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1766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1357</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2045</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980</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1041</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1016</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2044</v>
      </c>
      <c r="B3461" s="27" t="s">
        <v>982</v>
      </c>
      <c r="C3461" s="27" t="s">
        <v>1018</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1766</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2046</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1005</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row>
    <row r="3466" spans="1:12">
      <c r="A3466" s="20" t="s">
        <v>2047</v>
      </c>
    </row>
    <row r="3467" spans="1:12">
      <c r="A3467" s="20" t="s">
        <v>2043</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1574</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1086</v>
      </c>
      <c r="B3469" s="27" t="s">
        <v>967</v>
      </c>
      <c r="C3469" s="27" t="s">
        <v>968</v>
      </c>
      <c r="D3469" s="27" t="s">
        <v>969</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1016</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2044</v>
      </c>
      <c r="B3471" s="27" t="s">
        <v>978</v>
      </c>
      <c r="C3471" s="27" t="s">
        <v>1018</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1766</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2048</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1005</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row>
    <row r="3476" spans="1:12">
      <c r="A3476" s="20" t="s">
        <v>2049</v>
      </c>
    </row>
    <row r="3477" spans="1:12">
      <c r="A3477" s="20" t="s">
        <v>1007</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1041</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2041</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1115</v>
      </c>
      <c r="B3480" s="27" t="s">
        <v>967</v>
      </c>
      <c r="C3480" s="27" t="s">
        <v>968</v>
      </c>
      <c r="D3480" s="27" t="s">
        <v>969</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1016</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1630</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2040</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12</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1406</v>
      </c>
      <c r="B3485" s="27" t="s">
        <v>973</v>
      </c>
      <c r="C3485" s="27" t="s">
        <v>1018</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1005</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row>
    <row r="3488" spans="1:12">
      <c r="A3488" s="20" t="s">
        <v>1060</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2050</v>
      </c>
    </row>
    <row r="3490" spans="1:12">
      <c r="A3490" s="20" t="s">
        <v>1644</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993</v>
      </c>
      <c r="B3491" s="27" t="s">
        <v>1010</v>
      </c>
      <c r="C3491" s="27" t="s">
        <v>968</v>
      </c>
      <c r="D3491" s="27" t="s">
        <v>969</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2038</v>
      </c>
      <c r="B3492" s="27" t="s">
        <v>1013</v>
      </c>
      <c r="C3492" s="27" t="s">
        <v>968</v>
      </c>
      <c r="D3492" s="27" t="s">
        <v>969</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2039</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991</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1351</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1115</v>
      </c>
      <c r="B3496" s="27" t="s">
        <v>967</v>
      </c>
      <c r="C3496" s="27" t="s">
        <v>968</v>
      </c>
      <c r="D3496" s="27" t="s">
        <v>969</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999</v>
      </c>
      <c r="B3497" s="27" t="s">
        <v>978</v>
      </c>
      <c r="C3497" s="27" t="s">
        <v>1001</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1026</v>
      </c>
      <c r="B3498" s="27" t="s">
        <v>1053</v>
      </c>
      <c r="C3498" s="27" t="s">
        <v>968</v>
      </c>
      <c r="D3498" s="27" t="s">
        <v>969</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1194</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965</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1251</v>
      </c>
      <c r="B3501" s="27" t="s">
        <v>1010</v>
      </c>
      <c r="C3501" s="27" t="s">
        <v>968</v>
      </c>
      <c r="D3501" s="27" t="s">
        <v>969</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1097</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2051</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991</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1033</v>
      </c>
      <c r="B3505" s="27" t="s">
        <v>1003</v>
      </c>
      <c r="C3505" s="27" t="s">
        <v>988</v>
      </c>
      <c r="D3505" s="27" t="s">
        <v>969</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2052</v>
      </c>
      <c r="B3506" s="27" t="s">
        <v>982</v>
      </c>
      <c r="C3506" s="27" t="s">
        <v>974</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1445</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999</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2053</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1005</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row>
    <row r="3512" spans="1:12">
      <c r="A3512" s="20" t="s">
        <v>2054</v>
      </c>
    </row>
    <row r="3513" spans="1:12">
      <c r="A3513" s="20" t="s">
        <v>966</v>
      </c>
      <c r="B3513" s="27" t="s">
        <v>967</v>
      </c>
      <c r="C3513" s="27" t="s">
        <v>968</v>
      </c>
      <c r="D3513" s="27" t="s">
        <v>969</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1454</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1445</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1021</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2055</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58</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991</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980</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993</v>
      </c>
      <c r="B3521" s="27" t="s">
        <v>1010</v>
      </c>
      <c r="C3521" s="27" t="s">
        <v>968</v>
      </c>
      <c r="D3521" s="27" t="s">
        <v>969</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1352</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2056</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991</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996</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993</v>
      </c>
      <c r="B3526" s="27" t="s">
        <v>994</v>
      </c>
      <c r="C3526" s="27" t="s">
        <v>968</v>
      </c>
      <c r="D3526" s="27" t="s">
        <v>969</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1086</v>
      </c>
      <c r="B3527" s="27" t="s">
        <v>1031</v>
      </c>
      <c r="C3527" s="27" t="s">
        <v>968</v>
      </c>
      <c r="D3527" s="27" t="s">
        <v>969</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2057</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991</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1114</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1086</v>
      </c>
      <c r="B3531" s="27" t="s">
        <v>997</v>
      </c>
      <c r="C3531" s="27" t="s">
        <v>968</v>
      </c>
      <c r="D3531" s="27" t="s">
        <v>969</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1026</v>
      </c>
      <c r="B3532" s="27" t="s">
        <v>1198</v>
      </c>
      <c r="C3532" s="27" t="s">
        <v>968</v>
      </c>
      <c r="D3532" s="27" t="s">
        <v>969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1021</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1520</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1893</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1005</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row>
    <row r="3538" spans="1:12">
      <c r="A3538" s="20" t="s">
        <v>1060</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2058</v>
      </c>
    </row>
    <row r="3540" spans="1:12">
      <c r="A3540" s="20" t="s">
        <v>1144</v>
      </c>
      <c r="B3540" s="27" t="s">
        <v>973</v>
      </c>
      <c r="C3540" s="27" t="s">
        <v>1083</v>
      </c>
      <c r="D3540" s="27" t="s">
        <v>969</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991</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965</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1351</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1115</v>
      </c>
      <c r="B3544" s="27" t="s">
        <v>967</v>
      </c>
      <c r="C3544" s="27" t="s">
        <v>968</v>
      </c>
      <c r="D3544" s="27" t="s">
        <v>969</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1026</v>
      </c>
      <c r="B3545" s="27" t="s">
        <v>973</v>
      </c>
      <c r="C3545" s="27" t="s">
        <v>968</v>
      </c>
      <c r="D3545" s="27" t="s">
        <v>969</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991</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965</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993</v>
      </c>
      <c r="B3548" s="27" t="s">
        <v>1010</v>
      </c>
      <c r="C3548" s="27" t="s">
        <v>968</v>
      </c>
      <c r="D3548" s="27" t="s">
        <v>969</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1352</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1095</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1382</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2059</v>
      </c>
      <c r="B3552" s="27" t="s">
        <v>978</v>
      </c>
      <c r="C3552" s="27" t="s">
        <v>1018</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1070</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2060</v>
      </c>
      <c r="B3554" s="27" t="s">
        <v>978</v>
      </c>
      <c r="C3554" s="27" t="s">
        <v>1083</v>
      </c>
      <c r="D3554" s="27" t="s">
        <v>969</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2061</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2062</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991</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1051</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2063</v>
      </c>
      <c r="B3559" s="27" t="s">
        <v>978</v>
      </c>
      <c r="C3559" s="27" t="s">
        <v>1018</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2064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2065</v>
      </c>
      <c r="B3561" s="27" t="s">
        <v>982</v>
      </c>
      <c r="C3561" s="27" t="s">
        <v>974</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991</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1016</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2066</v>
      </c>
      <c r="B3564" s="27" t="s">
        <v>978</v>
      </c>
      <c r="C3564" s="27" t="s">
        <v>1018</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991</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980</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993</v>
      </c>
      <c r="B3567" s="27" t="s">
        <v>997</v>
      </c>
      <c r="C3567" s="27" t="s">
        <v>968</v>
      </c>
      <c r="D3567" s="27" t="s">
        <v>969</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2067</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1024</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1172</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1005</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965</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row>
    <row r="3574" spans="1:12">
      <c r="A3574" s="20" t="s">
        <v>2068</v>
      </c>
    </row>
    <row r="3575" spans="1:12">
      <c r="A3575" s="20" t="s">
        <v>1007</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993</v>
      </c>
      <c r="B3576" s="27" t="s">
        <v>967</v>
      </c>
      <c r="C3576" s="27" t="s">
        <v>968</v>
      </c>
      <c r="D3576" s="27" t="s">
        <v>969</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2069</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1107</v>
      </c>
      <c r="B3578" s="27" t="s">
        <v>973</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991</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1107</v>
      </c>
      <c r="B3580" s="27" t="s">
        <v>1013</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1151</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1170</v>
      </c>
      <c r="B3582" s="27" t="s">
        <v>982</v>
      </c>
      <c r="C3582" s="27" t="s">
        <v>1102</v>
      </c>
      <c r="D3582" s="27" t="s">
        <v>969</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1304</v>
      </c>
      <c r="B3583" s="27" t="s">
        <v>978</v>
      </c>
      <c r="C3583" s="27" t="s">
        <v>1141</v>
      </c>
      <c r="D3583" s="27" t="s">
        <v>969</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2070</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999</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104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991</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996</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1377</v>
      </c>
      <c r="B3589" s="27" t="s">
        <v>1010</v>
      </c>
      <c r="C3589" s="27" t="s">
        <v>1001</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991</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1043</v>
      </c>
      <c r="B3591" s="27" t="s">
        <v>1010</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1673</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1445</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1196</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2071</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1140</v>
      </c>
      <c r="B3596" s="27" t="s">
        <v>1013</v>
      </c>
      <c r="C3596" s="27" t="s">
        <v>1123</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1609</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1278</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1037</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1445</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1602</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1853</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1913</v>
      </c>
      <c r="B3603" s="27" t="s">
        <v>1053</v>
      </c>
      <c r="C3603" s="27" t="s">
        <v>1123</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991</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1213</v>
      </c>
      <c r="B3605" s="27" t="s">
        <v>994</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1436</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2072</v>
      </c>
      <c r="B3607" s="27" t="s">
        <v>1031</v>
      </c>
      <c r="C3607" s="27" t="s">
        <v>974</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2073</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1278</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991</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1437</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1515</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1016</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1406</v>
      </c>
      <c r="B3614" s="27" t="s">
        <v>1198</v>
      </c>
      <c r="C3614" s="27" t="s">
        <v>1018</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2074</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1005</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row>
    <row r="3618" spans="1:12">
      <c r="A3618" s="20" t="s">
        <v>2075</v>
      </c>
    </row>
    <row r="3619" spans="1:12">
      <c r="A3619" s="20" t="s">
        <v>1093</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2065</v>
      </c>
      <c r="B3620" s="27" t="s">
        <v>967</v>
      </c>
      <c r="C3620" s="27" t="s">
        <v>979</v>
      </c>
      <c r="D3620" s="27" t="s">
        <v>969</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1411</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2076</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980</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1086</v>
      </c>
      <c r="B3624" s="27" t="s">
        <v>1010</v>
      </c>
      <c r="C3624" s="27" t="s">
        <v>968</v>
      </c>
      <c r="D3624" s="27" t="s">
        <v>969</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1178</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1051</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2077</v>
      </c>
      <c r="B3627" s="27" t="s">
        <v>1053</v>
      </c>
      <c r="C3627" s="27" t="s">
        <v>1018</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1022</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1043</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2078</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2079</v>
      </c>
      <c r="B3631" s="27" t="s">
        <v>978</v>
      </c>
      <c r="C3631" s="27" t="s">
        <v>979</v>
      </c>
      <c r="D3631" s="27" t="s">
        <v>969</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1005</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row>
    <row r="3634" spans="1:12">
      <c r="A3634" s="20" t="s">
        <v>2080</v>
      </c>
    </row>
    <row r="3635" spans="1:12">
      <c r="A3635" s="20" t="s">
        <v>1077</v>
      </c>
      <c r="B3635" s="27" t="s">
        <v>967</v>
      </c>
      <c r="C3635" s="27" t="s">
        <v>1011</v>
      </c>
      <c r="D3635" s="27" t="s">
        <v>969</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1195</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2081</v>
      </c>
      <c r="B3637" s="27" t="s">
        <v>967</v>
      </c>
      <c r="C3637" s="27" t="s">
        <v>974</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2082</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1005</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row>
    <row r="3641" spans="1:12">
      <c r="A3641" s="20" t="s">
        <v>2083</v>
      </c>
    </row>
    <row r="3642" spans="1:12">
      <c r="A3642" s="20" t="s">
        <v>1830</v>
      </c>
      <c r="B3642" s="27" t="s">
        <v>967</v>
      </c>
      <c r="C3642" s="27" t="s">
        <v>968</v>
      </c>
      <c r="D3642" s="27" t="s">
        <v>969</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1282</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1016</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2084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669</v>
      </c>
      <c r="B3646" s="27" t="s">
        <v>973</v>
      </c>
      <c r="C3646" s="27" t="s">
        <v>1018</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980</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1385</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2085</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2086</v>
      </c>
      <c r="B3650" s="27" t="s">
        <v>978</v>
      </c>
      <c r="C3650" s="27" t="s">
        <v>1123</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1005</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row>
    <row r="3653" spans="1:12">
      <c r="A3653" s="20" t="s">
        <v>1060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2087</v>
      </c>
    </row>
    <row r="3655" spans="1:12">
      <c r="A3655" s="20" t="s">
        <v>1830</v>
      </c>
      <c r="B3655" s="27" t="s">
        <v>967</v>
      </c>
      <c r="C3655" s="27" t="s">
        <v>968</v>
      </c>
      <c r="D3655" s="27" t="s">
        <v>969</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1932</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1026</v>
      </c>
      <c r="B3657" s="27" t="s">
        <v>973</v>
      </c>
      <c r="C3657" s="27" t="s">
        <v>968</v>
      </c>
      <c r="D3657" s="27" t="s">
        <v>969</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1151</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2088</v>
      </c>
      <c r="B3659" s="27" t="s">
        <v>1053</v>
      </c>
      <c r="C3659" s="27" t="s">
        <v>974</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1131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1043</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2089</v>
      </c>
      <c r="B3662" s="27" t="s">
        <v>1053</v>
      </c>
      <c r="C3662" s="27" t="s">
        <v>979</v>
      </c>
      <c r="D3662" s="27" t="s">
        <v>969</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1110</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2090</v>
      </c>
      <c r="B3664" s="27" t="s">
        <v>973</v>
      </c>
      <c r="C3664" s="27" t="s">
        <v>1018</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980</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1351</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1194</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965</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1929</v>
      </c>
      <c r="B3669" s="27" t="s">
        <v>1003</v>
      </c>
      <c r="C3669" s="27" t="s">
        <v>1083</v>
      </c>
      <c r="D3669" s="27" t="s">
        <v>969</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1350</v>
      </c>
      <c r="B3670" s="27" t="s">
        <v>994</v>
      </c>
      <c r="C3670" s="27" t="s">
        <v>1083</v>
      </c>
      <c r="D3670" s="27" t="s">
        <v>969</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1942</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1026</v>
      </c>
      <c r="B3672" s="27" t="s">
        <v>1031</v>
      </c>
      <c r="C3672" s="27" t="s">
        <v>968</v>
      </c>
      <c r="D3672" s="27" t="s">
        <v>969</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1280</v>
      </c>
      <c r="B3673" s="27" t="s">
        <v>1003</v>
      </c>
      <c r="C3673" s="27" t="s">
        <v>1102</v>
      </c>
      <c r="D3673" s="27" t="s">
        <v>969</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1607</v>
      </c>
      <c r="B3674" s="27" t="s">
        <v>982</v>
      </c>
      <c r="C3674" s="27" t="s">
        <v>1141</v>
      </c>
      <c r="D3674" s="27" t="s">
        <v>969</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1385</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2091</v>
      </c>
      <c r="B3676" s="27" t="s">
        <v>1031</v>
      </c>
      <c r="C3676" s="27" t="s">
        <v>1123</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1005</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row>
    <row r="3679" spans="1:12">
      <c r="A3679" s="20" t="s">
        <v>2092</v>
      </c>
    </row>
    <row r="3680" spans="1:12">
      <c r="A3680" s="20" t="s">
        <v>1390</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1110</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2093</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2094</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12</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2095</v>
      </c>
      <c r="B3685" s="27" t="s">
        <v>967</v>
      </c>
      <c r="C3685" s="27" t="s">
        <v>1018</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1095</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971</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1656</v>
      </c>
      <c r="B3688" s="27" t="s">
        <v>978</v>
      </c>
      <c r="C3688" s="27" t="s">
        <v>1083</v>
      </c>
      <c r="D3688" s="27" t="s">
        <v>969</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2096</v>
      </c>
      <c r="B3689" s="27" t="s">
        <v>1053</v>
      </c>
      <c r="C3689" s="27" t="s">
        <v>1083</v>
      </c>
      <c r="D3689" s="27" t="s">
        <v>969</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2097</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971</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991</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1038</v>
      </c>
      <c r="B3693" s="27" t="s">
        <v>973</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993</v>
      </c>
      <c r="B3694" s="27" t="s">
        <v>967</v>
      </c>
      <c r="C3694" s="27" t="s">
        <v>968</v>
      </c>
      <c r="D3694" s="27" t="s">
        <v>969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1021</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1673</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2098</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991</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1240</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993</v>
      </c>
      <c r="B3700" s="27" t="s">
        <v>1010</v>
      </c>
      <c r="C3700" s="27" t="s">
        <v>968</v>
      </c>
      <c r="D3700" s="27" t="s">
        <v>969</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1221</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991</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996</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1115</v>
      </c>
      <c r="B3704" s="27" t="s">
        <v>1010</v>
      </c>
      <c r="C3704" s="27" t="s">
        <v>968</v>
      </c>
      <c r="D3704" s="27" t="s">
        <v>969</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2038</v>
      </c>
      <c r="B3705" s="27" t="s">
        <v>1013</v>
      </c>
      <c r="C3705" s="27" t="s">
        <v>968</v>
      </c>
      <c r="D3705" s="27" t="s">
        <v>969</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1026</v>
      </c>
      <c r="B3706" s="27" t="s">
        <v>1013</v>
      </c>
      <c r="C3706" s="27" t="s">
        <v>968</v>
      </c>
      <c r="D3706" s="27" t="s">
        <v>969</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2099</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1282</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991</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1437</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985</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2100</v>
      </c>
      <c r="B3712" s="27" t="s">
        <v>1031</v>
      </c>
      <c r="C3712" s="27" t="s">
        <v>979</v>
      </c>
      <c r="D3712" s="27" t="s">
        <v>969</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999</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2101</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991</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996</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993</v>
      </c>
      <c r="B3717" s="27" t="s">
        <v>1010</v>
      </c>
      <c r="C3717" s="27" t="s">
        <v>968</v>
      </c>
      <c r="D3717" s="27" t="s">
        <v>969</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2102</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2103</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980</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1016</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1180</v>
      </c>
      <c r="B3722" s="27" t="s">
        <v>1031</v>
      </c>
      <c r="C3722" s="27" t="s">
        <v>1018</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1352</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991</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985</v>
      </c>
      <c r="B3725" s="27" t="s">
        <v>1013</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993</v>
      </c>
      <c r="B3726" s="27" t="s">
        <v>1010</v>
      </c>
      <c r="C3726" s="27" t="s">
        <v>968</v>
      </c>
      <c r="D3726" s="27" t="s">
        <v>969</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2104</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1717</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1005</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row>
    <row r="3731" spans="1:12">
      <c r="A3731" s="20" t="s">
        <v>2105</v>
      </c>
    </row>
    <row r="3732" spans="1:12">
      <c r="A3732" s="20" t="s">
        <v>1007</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1024</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1073</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2106</v>
      </c>
      <c r="B3735" s="27" t="s">
        <v>967</v>
      </c>
      <c r="C3735" s="27" t="s">
        <v>1399</v>
      </c>
      <c r="D3735" s="27" t="s">
        <v>969</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1178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1051</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2107</v>
      </c>
      <c r="B3738" s="27" t="s">
        <v>1053</v>
      </c>
      <c r="C3738" s="27" t="s">
        <v>1018</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1095</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2108</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2109</v>
      </c>
      <c r="B3741" s="27" t="s">
        <v>1053</v>
      </c>
      <c r="C3741" s="27" t="s">
        <v>1035</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991</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985</v>
      </c>
      <c r="B3743" s="27" t="s">
        <v>1010</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2110</v>
      </c>
      <c r="B3744" s="27" t="s">
        <v>1013</v>
      </c>
      <c r="C3744" s="27" t="s">
        <v>974</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2111</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1005</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row>
    <row r="3748" spans="1:12">
      <c r="A3748" s="20" t="s">
        <v>2112</v>
      </c>
    </row>
    <row r="3749" spans="1:12">
      <c r="A3749" s="20" t="s">
        <v>1644</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993</v>
      </c>
      <c r="B3750" s="27" t="s">
        <v>1010</v>
      </c>
      <c r="C3750" s="27" t="s">
        <v>968</v>
      </c>
      <c r="D3750" s="27" t="s">
        <v>969</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1086</v>
      </c>
      <c r="B3751" s="27" t="s">
        <v>1013</v>
      </c>
      <c r="C3751" s="27" t="s">
        <v>968</v>
      </c>
      <c r="D3751" s="27" t="s">
        <v>969</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2113</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991</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1042</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993</v>
      </c>
      <c r="B3755" s="27" t="s">
        <v>967</v>
      </c>
      <c r="C3755" s="27" t="s">
        <v>968</v>
      </c>
      <c r="D3755" s="27" t="s">
        <v>969</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999</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703</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991</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980</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1033</v>
      </c>
      <c r="B3760" s="27" t="s">
        <v>982</v>
      </c>
      <c r="C3760" s="27" t="s">
        <v>988</v>
      </c>
      <c r="D3760" s="27" t="s">
        <v>969</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1126</v>
      </c>
      <c r="B3761" s="27" t="s">
        <v>1010</v>
      </c>
      <c r="C3761" s="27" t="s">
        <v>974</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1004</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2114</v>
      </c>
      <c r="B3763" s="27" t="s">
        <v>978</v>
      </c>
      <c r="C3763" s="27" t="s">
        <v>1234</v>
      </c>
      <c r="D3763" s="27" t="s">
        <v>969</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980</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1351</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1194</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971</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2115</v>
      </c>
      <c r="B3768" s="27" t="s">
        <v>978</v>
      </c>
      <c r="C3768" s="27" t="s">
        <v>974</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1968</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2116</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2117</v>
      </c>
      <c r="B3771" s="27" t="s">
        <v>978</v>
      </c>
      <c r="C3771" s="27" t="s">
        <v>974</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991</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985</v>
      </c>
      <c r="B3773" s="27" t="s">
        <v>997</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1968</v>
      </c>
      <c r="B3774" s="27" t="s">
        <v>997</v>
      </c>
      <c r="C3774" s="27" t="s">
        <v>968</v>
      </c>
      <c r="D3774" s="27" t="s">
        <v>969</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1828</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2118</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1373</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971</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row>
    <row r="3780" spans="1:12">
      <c r="A3780" s="20" t="s">
        <v>2119</v>
      </c>
    </row>
    <row r="3781" spans="1:12">
      <c r="A3781" s="20" t="s">
        <v>1007</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993</v>
      </c>
      <c r="B3782" s="27" t="s">
        <v>967</v>
      </c>
      <c r="C3782" s="27" t="s">
        <v>968</v>
      </c>
      <c r="D3782" s="27" t="s">
        <v>969</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1351</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1194</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971</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1268</v>
      </c>
      <c r="B3786" s="27" t="s">
        <v>1010</v>
      </c>
      <c r="C3786" s="27" t="s">
        <v>968</v>
      </c>
      <c r="D3786" s="27" t="s">
        <v>969</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1278</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985</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2120</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1750</v>
      </c>
      <c r="B3790" s="27" t="s">
        <v>1031</v>
      </c>
      <c r="C3790" s="27" t="s">
        <v>979</v>
      </c>
      <c r="D3790" s="27" t="s">
        <v>969</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1214</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993</v>
      </c>
      <c r="B3792" s="27" t="s">
        <v>1010</v>
      </c>
      <c r="C3792" s="27" t="s">
        <v>968</v>
      </c>
      <c r="D3792" s="27" t="s">
        <v>969</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1005</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971</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row>
    <row r="3796" spans="1:12">
      <c r="A3796" s="20" t="s">
        <v>2121</v>
      </c>
    </row>
    <row r="3797" spans="1:12">
      <c r="A3797" s="20" t="s">
        <v>1675</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993</v>
      </c>
      <c r="B3798" s="27" t="s">
        <v>967</v>
      </c>
      <c r="C3798" s="27" t="s">
        <v>968</v>
      </c>
      <c r="D3798" s="27" t="s">
        <v>969</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1974</v>
      </c>
      <c r="B3799" s="27" t="s">
        <v>973</v>
      </c>
      <c r="C3799" s="27" t="s">
        <v>968</v>
      </c>
      <c r="D3799" s="27" t="s">
        <v>969</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1024</v>
      </c>
      <c r="B3800" s="27" t="s">
        <v>967</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2122</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991</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2123</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993</v>
      </c>
      <c r="B3804" s="27" t="s">
        <v>1010</v>
      </c>
      <c r="C3804" s="27" t="s">
        <v>968</v>
      </c>
      <c r="D3804" s="27" t="s">
        <v>969</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1021</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1005</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row>
    <row r="3808" spans="1:12">
      <c r="A3808" s="20" t="s">
        <v>2124</v>
      </c>
    </row>
    <row r="3809" spans="1:12">
      <c r="A3809" s="20" t="s">
        <v>966</v>
      </c>
      <c r="B3809" s="27" t="s">
        <v>967</v>
      </c>
      <c r="C3809" s="27" t="s">
        <v>968</v>
      </c>
      <c r="D3809" s="27" t="s">
        <v>969</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1369</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1021</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1460</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1517</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991</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1166</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1272</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2125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1005</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row>
    <row r="3820" spans="1:12">
      <c r="A3820" s="20" t="s">
        <v>2126</v>
      </c>
    </row>
    <row r="3821" spans="1:12">
      <c r="A3821" s="20" t="s">
        <v>2127</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991</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1322</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993</v>
      </c>
      <c r="B3824" s="27" t="s">
        <v>1010</v>
      </c>
      <c r="C3824" s="27" t="s">
        <v>968</v>
      </c>
      <c r="D3824" s="27" t="s">
        <v>969</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1107</v>
      </c>
      <c r="B3825" s="27" t="s">
        <v>1013</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1259</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2128</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1530</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991</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1240</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1033</v>
      </c>
      <c r="B3831" s="27" t="s">
        <v>1003</v>
      </c>
      <c r="C3831" s="27" t="s">
        <v>988</v>
      </c>
      <c r="D3831" s="27" t="s">
        <v>969</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1642</v>
      </c>
      <c r="B3832" s="27" t="s">
        <v>994</v>
      </c>
      <c r="C3832" s="27" t="s">
        <v>974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2129</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1026</v>
      </c>
      <c r="B3834" s="27" t="s">
        <v>1031</v>
      </c>
      <c r="C3834" s="27" t="s">
        <v>968</v>
      </c>
      <c r="D3834" s="27" t="s">
        <v>969</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2130</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991</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2131</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1214</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985</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2132</v>
      </c>
      <c r="B3840" s="27" t="s">
        <v>1003</v>
      </c>
      <c r="C3840" s="27" t="s">
        <v>979</v>
      </c>
      <c r="D3840" s="27" t="s">
        <v>969</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991</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980</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993</v>
      </c>
      <c r="B3843" s="27" t="s">
        <v>1294</v>
      </c>
      <c r="C3843" s="27" t="s">
        <v>968</v>
      </c>
      <c r="D3843" s="27" t="s">
        <v>969</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2133</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1107</v>
      </c>
      <c r="B3845" s="27" t="s">
        <v>1297</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2134</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1005</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row>
    <row r="3849" spans="1:12">
      <c r="A3849" s="20" t="s">
        <v>2135</v>
      </c>
    </row>
    <row r="3850" spans="1:12">
      <c r="A3850" s="20" t="s">
        <v>966</v>
      </c>
      <c r="B3850" s="27" t="s">
        <v>967</v>
      </c>
      <c r="C3850" s="27" t="s">
        <v>968</v>
      </c>
      <c r="D3850" s="27" t="s">
        <v>969</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1369</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1151</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976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1307</v>
      </c>
      <c r="B3854" s="27" t="s">
        <v>1053</v>
      </c>
      <c r="C3854" s="27" t="s">
        <v>979</v>
      </c>
      <c r="D3854" s="27" t="s">
        <v>969</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980</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1471</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1005</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row>
    <row r="3859" spans="1:12">
      <c r="A3859" s="20" t="s">
        <v>1060</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2136</v>
      </c>
    </row>
    <row r="3861" spans="1:12">
      <c r="A3861" s="20" t="s">
        <v>1077</v>
      </c>
      <c r="B3861" s="27" t="s">
        <v>967</v>
      </c>
      <c r="C3861" s="27" t="s">
        <v>1011</v>
      </c>
      <c r="D3861" s="27" t="s">
        <v>969</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621</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999</v>
      </c>
      <c r="B3863" s="27" t="s">
        <v>978</v>
      </c>
      <c r="C3863" s="27" t="s">
        <v>1001</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1043</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2137</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1473</v>
      </c>
      <c r="B3866" s="27" t="s">
        <v>1053</v>
      </c>
      <c r="C3866" s="27" t="s">
        <v>979</v>
      </c>
      <c r="D3866" s="27" t="s">
        <v>969</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991</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1365</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1114</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1086</v>
      </c>
      <c r="B3870" s="27" t="s">
        <v>1010</v>
      </c>
      <c r="C3870" s="27" t="s">
        <v>968</v>
      </c>
      <c r="D3870" s="27" t="s">
        <v>969</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1213</v>
      </c>
      <c r="B3871" s="27" t="s">
        <v>1013</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1021</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1067</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1445</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2138</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1005</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965</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row>
    <row r="3879" spans="1:12">
      <c r="A3879" s="20" t="s">
        <v>2139</v>
      </c>
    </row>
    <row r="3880" spans="1:12">
      <c r="A3880" s="20" t="s">
        <v>2140</v>
      </c>
      <c r="B3880" s="27" t="s">
        <v>973</v>
      </c>
      <c r="C3880" s="27" t="s">
        <v>968</v>
      </c>
      <c r="D3880" s="27" t="s">
        <v>969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2141</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985</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2100</v>
      </c>
      <c r="B3883" s="27" t="s">
        <v>967</v>
      </c>
      <c r="C3883" s="27" t="s">
        <v>979</v>
      </c>
      <c r="D3883" s="27" t="s">
        <v>969</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991</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996</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1078</v>
      </c>
      <c r="B3886" s="27" t="s">
        <v>994</v>
      </c>
      <c r="C3886" s="27" t="s">
        <v>974</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2142</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1046</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2143</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991</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2144</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2145</v>
      </c>
      <c r="B3892" s="27" t="s">
        <v>982</v>
      </c>
      <c r="C3892" s="27" t="s">
        <v>974</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1043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2146</v>
      </c>
      <c r="B3894" s="27" t="s">
        <v>1003</v>
      </c>
      <c r="C3894" s="27" t="s">
        <v>979</v>
      </c>
      <c r="D3894" s="27" t="s">
        <v>969</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2147</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1218</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1005</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row>
    <row r="3899" spans="1:12">
      <c r="A3899" s="20" t="s">
        <v>2148</v>
      </c>
    </row>
    <row r="3900" spans="1:12">
      <c r="A3900" s="20" t="s">
        <v>966</v>
      </c>
      <c r="B3900" s="27" t="s">
        <v>967</v>
      </c>
      <c r="C3900" s="27" t="s">
        <v>968</v>
      </c>
      <c r="D3900" s="27" t="s">
        <v>969</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1951</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1026</v>
      </c>
      <c r="B3902" s="27" t="s">
        <v>973</v>
      </c>
      <c r="C3902" s="27" t="s">
        <v>968</v>
      </c>
      <c r="D3902" s="27" t="s">
        <v>969</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1151</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991</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1214</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1009</v>
      </c>
      <c r="B3906" s="27" t="s">
        <v>1010</v>
      </c>
      <c r="C3906" s="27" t="s">
        <v>1011</v>
      </c>
      <c r="D3906" s="27" t="s">
        <v>969</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975</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2149</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2150</v>
      </c>
      <c r="B3909" s="27" t="s">
        <v>978</v>
      </c>
      <c r="C3909" s="27" t="s">
        <v>974</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2151</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991</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980</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1016</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1239</v>
      </c>
      <c r="B3914" s="27" t="s">
        <v>1053</v>
      </c>
      <c r="C3914" s="27" t="s">
        <v>1018</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991</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985</v>
      </c>
      <c r="B3916" s="27" t="s">
        <v>994</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1107</v>
      </c>
      <c r="B3917" s="27" t="s">
        <v>1031</v>
      </c>
      <c r="C3917" s="27" t="s">
        <v>968</v>
      </c>
      <c r="D3917" s="27" t="s">
        <v>969</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1151</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976</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1228</v>
      </c>
      <c r="B3920" s="27" t="s">
        <v>982</v>
      </c>
      <c r="C3920" s="27" t="s">
        <v>1011</v>
      </c>
      <c r="D3920" s="27" t="s">
        <v>969</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2152</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991</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1883</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1078</v>
      </c>
      <c r="B3924" s="27" t="s">
        <v>967</v>
      </c>
      <c r="C3924" s="27" t="s">
        <v>974</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1837</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1038</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2153</v>
      </c>
      <c r="B3927" s="27" t="s">
        <v>1053</v>
      </c>
      <c r="C3927" s="27" t="s">
        <v>979</v>
      </c>
      <c r="D3927" s="27" t="s">
        <v>969</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1005</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row>
    <row r="3930" spans="1:12">
      <c r="A3930" s="20" t="s">
        <v>2154</v>
      </c>
    </row>
    <row r="3931" spans="1:12">
      <c r="A3931" s="20" t="s">
        <v>2155</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1544</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993</v>
      </c>
      <c r="B3933" s="27" t="s">
        <v>967</v>
      </c>
      <c r="C3933" s="27" t="s">
        <v>968</v>
      </c>
      <c r="D3933" s="27" t="s">
        <v>969</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1107</v>
      </c>
      <c r="B3934" s="27" t="s">
        <v>973</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1022</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991</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1437</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999</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2156</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991</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1177</v>
      </c>
      <c r="B3941" s="27" t="s">
        <v>1010</v>
      </c>
      <c r="C3941" s="27" t="s">
        <v>1011</v>
      </c>
      <c r="D3941" s="27" t="s">
        <v>969</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1108</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2157</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1111</v>
      </c>
      <c r="B3944" s="27" t="s">
        <v>978</v>
      </c>
      <c r="C3944" s="27" t="s">
        <v>974</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1037</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1078</v>
      </c>
      <c r="B3946" s="27" t="s">
        <v>978</v>
      </c>
      <c r="C3946" s="27" t="s">
        <v>974</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1478</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1411</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1005</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row>
    <row r="3951" spans="1:12">
      <c r="A3951" s="20" t="s">
        <v>2158</v>
      </c>
    </row>
    <row r="3952" spans="1:12">
      <c r="A3952" s="20" t="s">
        <v>1007</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993</v>
      </c>
      <c r="B3953" s="27" t="s">
        <v>967</v>
      </c>
      <c r="C3953" s="27" t="s">
        <v>968</v>
      </c>
      <c r="D3953" s="27" t="s">
        <v>969</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2159</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1173</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991</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996</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2157</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1111</v>
      </c>
      <c r="B3959" s="27" t="s">
        <v>1010</v>
      </c>
      <c r="C3959" s="27" t="s">
        <v>974</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1070</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1078</v>
      </c>
      <c r="B3961" s="27" t="s">
        <v>978</v>
      </c>
      <c r="C3961" s="27" t="s">
        <v>974</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2160</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1021</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2161</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462</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1005</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row>
    <row r="3968" spans="1:12">
      <c r="A3968" s="20" t="s">
        <v>2162</v>
      </c>
    </row>
    <row r="3969" spans="1:12">
      <c r="A3969" s="20" t="s">
        <v>1078</v>
      </c>
      <c r="B3969" s="27" t="s">
        <v>967</v>
      </c>
      <c r="C3969" s="27" t="s">
        <v>974</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1195</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1024</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2163</v>
      </c>
      <c r="B3972" s="27" t="s">
        <v>1053</v>
      </c>
      <c r="C3972" s="27" t="s">
        <v>979</v>
      </c>
      <c r="D3972" s="27" t="s">
        <v>969</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1809</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2164</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2165</v>
      </c>
      <c r="B3975" s="27" t="s">
        <v>1053</v>
      </c>
      <c r="C3975" s="27" t="s">
        <v>1018</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991</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985</v>
      </c>
      <c r="B3977" s="27" t="s">
        <v>994</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2166</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2167</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975</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1043</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2168</v>
      </c>
      <c r="B3982" s="27" t="s">
        <v>982</v>
      </c>
      <c r="C3982" s="27" t="s">
        <v>979</v>
      </c>
      <c r="D3982" s="27" t="s">
        <v>969</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2169</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1097</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991</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980</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1095</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2170</v>
      </c>
      <c r="B3988" s="27" t="s">
        <v>1053</v>
      </c>
      <c r="C3988" s="27" t="s">
        <v>974</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991</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985</v>
      </c>
      <c r="B3990" s="27" t="s">
        <v>994</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614</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1070</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2171</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1111</v>
      </c>
      <c r="B3994" s="27" t="s">
        <v>982</v>
      </c>
      <c r="C3994" s="27" t="s">
        <v>974</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1179</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2172</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1195</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1005</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row>
    <row r="4000" spans="1:12">
      <c r="A4000" s="20" t="s">
        <v>1060</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2173</v>
      </c>
    </row>
    <row r="4002" spans="1:12">
      <c r="A4002" s="20" t="s">
        <v>1950</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2174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1213</v>
      </c>
      <c r="B4004" s="27" t="s">
        <v>973</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991</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996</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1220</v>
      </c>
      <c r="B4007" s="27" t="s">
        <v>994</v>
      </c>
      <c r="C4007" s="27" t="s">
        <v>1001</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991</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1114</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1220</v>
      </c>
      <c r="B4010" s="27" t="s">
        <v>997</v>
      </c>
      <c r="C4010" s="27" t="s">
        <v>1001</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1051</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1673</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1393</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1307</v>
      </c>
      <c r="B4014" s="27" t="s">
        <v>1198</v>
      </c>
      <c r="C4014" s="27" t="s">
        <v>1018</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1282</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991</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1213</v>
      </c>
      <c r="B4017" s="27" t="s">
        <v>994</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1240</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985</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2175</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1473</v>
      </c>
      <c r="B4021" s="27" t="s">
        <v>982</v>
      </c>
      <c r="C4021" s="27" t="s">
        <v>979</v>
      </c>
      <c r="D4021" s="27" t="s">
        <v>969</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2176</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970</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991</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1685</v>
      </c>
      <c r="B4025" s="27" t="s">
        <v>967</v>
      </c>
      <c r="C4025" s="27" t="s">
        <v>974</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1194</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965</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2177</v>
      </c>
      <c r="B4028" s="27" t="s">
        <v>1031</v>
      </c>
      <c r="C4028" s="27" t="s">
        <v>1372</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2178</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993</v>
      </c>
      <c r="B4030" s="27" t="s">
        <v>994</v>
      </c>
      <c r="C4030" s="27" t="s">
        <v>968</v>
      </c>
      <c r="D4030" s="27" t="s">
        <v>969</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1107</v>
      </c>
      <c r="B4031" s="27" t="s">
        <v>1031</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1445</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1373</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row>
    <row r="4035" spans="1:12">
      <c r="A4035" s="20" t="s">
        <v>1060</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2179</v>
      </c>
    </row>
    <row r="4037" spans="1:12">
      <c r="A4037" s="20" t="s">
        <v>966</v>
      </c>
      <c r="B4037" s="27" t="s">
        <v>967</v>
      </c>
      <c r="C4037" s="27" t="s">
        <v>968</v>
      </c>
      <c r="D4037" s="27" t="s">
        <v>969</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1200</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1078</v>
      </c>
      <c r="B4039" s="27" t="s">
        <v>973</v>
      </c>
      <c r="C4039" s="27" t="s">
        <v>974</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104</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1005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965</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row>
    <row r="4044" spans="1:12">
      <c r="A4044" s="20" t="s">
        <v>2180</v>
      </c>
    </row>
    <row r="4045" spans="1:12">
      <c r="A4045" s="20" t="s">
        <v>1007</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1220</v>
      </c>
      <c r="B4046" s="27" t="s">
        <v>967</v>
      </c>
      <c r="C4046" s="27" t="s">
        <v>1001</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2181</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1016</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1406</v>
      </c>
      <c r="B4049" s="27" t="s">
        <v>973</v>
      </c>
      <c r="C4049" s="27" t="s">
        <v>1018</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1206</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1005</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row>
    <row r="4053" spans="1:12">
      <c r="A4053" s="20" t="s">
        <v>1060</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2182</v>
      </c>
    </row>
    <row r="4055" spans="1:12">
      <c r="A4055" s="20" t="s">
        <v>1144</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1114</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1220</v>
      </c>
      <c r="B4057" s="27" t="s">
        <v>1010</v>
      </c>
      <c r="C4057" s="27" t="s">
        <v>1001</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1051</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2183</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2184</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1307</v>
      </c>
      <c r="B4061" s="27" t="s">
        <v>1013</v>
      </c>
      <c r="C4061" s="27" t="s">
        <v>1018</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1282</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980</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1213</v>
      </c>
      <c r="B4064" s="27" t="s">
        <v>1031</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2185</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2176</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970</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991</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1898</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1280</v>
      </c>
      <c r="B4070" s="27" t="s">
        <v>978</v>
      </c>
      <c r="C4070" s="27" t="s">
        <v>1102</v>
      </c>
      <c r="D4070" s="27" t="s">
        <v>969</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1281</v>
      </c>
      <c r="B4071" s="27" t="s">
        <v>967</v>
      </c>
      <c r="C4071" s="27" t="s">
        <v>1141</v>
      </c>
      <c r="D4071" s="27" t="s">
        <v>969</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975</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976</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2186</v>
      </c>
      <c r="B4074" s="27" t="s">
        <v>1053</v>
      </c>
      <c r="C4074" s="27" t="s">
        <v>979</v>
      </c>
      <c r="D4074" s="27" t="s">
        <v>969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1037</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976</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1733</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1307</v>
      </c>
      <c r="B4078" s="27" t="s">
        <v>978</v>
      </c>
      <c r="C4078" s="27" t="s">
        <v>979</v>
      </c>
      <c r="D4078" s="27" t="s">
        <v>969</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991</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980</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1220</v>
      </c>
      <c r="B4081" s="27" t="s">
        <v>1010</v>
      </c>
      <c r="C4081" s="27" t="s">
        <v>1001</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2187</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1021</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1741</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991</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999</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241</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1194</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965</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2188</v>
      </c>
      <c r="B4090" s="27" t="s">
        <v>1010</v>
      </c>
      <c r="C4090" s="27" t="s">
        <v>974</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1097</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1024</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2189</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1005</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965</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row>
    <row r="4097" spans="1:12">
      <c r="A4097" s="20" t="s">
        <v>2190</v>
      </c>
    </row>
    <row r="4098" spans="1:12">
      <c r="A4098" s="20" t="s">
        <v>2155</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104</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1432</v>
      </c>
      <c r="B4100" s="27" t="s">
        <v>967</v>
      </c>
      <c r="C4100" s="27" t="s">
        <v>1011</v>
      </c>
      <c r="D4100" s="27" t="s">
        <v>969</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975</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1170</v>
      </c>
      <c r="B4102" s="27" t="s">
        <v>978</v>
      </c>
      <c r="C4102" s="27" t="s">
        <v>1102</v>
      </c>
      <c r="D4102" s="27" t="s">
        <v>969</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2023</v>
      </c>
      <c r="B4103" s="27" t="s">
        <v>1053</v>
      </c>
      <c r="C4103" s="27" t="s">
        <v>1141</v>
      </c>
      <c r="D4103" s="27" t="s">
        <v>969</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1016</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2191</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12</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2192</v>
      </c>
      <c r="B4107" s="27" t="s">
        <v>967</v>
      </c>
      <c r="C4107" s="27" t="s">
        <v>1018</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1837</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2171</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1111</v>
      </c>
      <c r="B4110" s="27" t="s">
        <v>1053</v>
      </c>
      <c r="C4110" s="27" t="s">
        <v>974</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991</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985</v>
      </c>
      <c r="B4112" s="27" t="s">
        <v>1010</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1021</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2193</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980</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2161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1218</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980</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985</v>
      </c>
      <c r="B4119" s="27" t="s">
        <v>994</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1021</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2194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1218</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991</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980</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1024</v>
      </c>
      <c r="B4125" s="27" t="s">
        <v>1010</v>
      </c>
      <c r="C4125" s="27" t="s">
        <v>1102</v>
      </c>
      <c r="D4125" s="27" t="s">
        <v>969</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1097</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1016</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2195</v>
      </c>
      <c r="B4128" s="27" t="s">
        <v>1053</v>
      </c>
      <c r="C4128" s="27" t="s">
        <v>1018</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2196</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2197</v>
      </c>
      <c r="B4130" s="27" t="s">
        <v>978</v>
      </c>
      <c r="C4130" s="27" t="s">
        <v>974</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1005</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row>
    <row r="4133" spans="1:12">
      <c r="A4133" s="20" t="s">
        <v>2198</v>
      </c>
    </row>
    <row r="4134" spans="1:12">
      <c r="A4134" s="20" t="s">
        <v>966</v>
      </c>
      <c r="B4134" s="27" t="s">
        <v>967</v>
      </c>
      <c r="C4134" s="27" t="s">
        <v>968</v>
      </c>
      <c r="D4134" s="27" t="s">
        <v>969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2159</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1565</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1051</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2199</v>
      </c>
      <c r="B4138" s="27" t="s">
        <v>973</v>
      </c>
      <c r="C4138" s="27" t="s">
        <v>1018</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991</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985</v>
      </c>
      <c r="B4140" s="27" t="s">
        <v>994</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1051</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2200</v>
      </c>
      <c r="B4142" s="27" t="s">
        <v>1031</v>
      </c>
      <c r="C4142" s="27" t="s">
        <v>1018</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975</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1038</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2201</v>
      </c>
      <c r="B4145" s="27" t="s">
        <v>982</v>
      </c>
      <c r="C4145" s="27" t="s">
        <v>979</v>
      </c>
      <c r="D4145" s="27" t="s">
        <v>969</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2202</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1095</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2203</v>
      </c>
      <c r="B4148" s="27" t="s">
        <v>982</v>
      </c>
      <c r="C4148" s="27" t="s">
        <v>1083</v>
      </c>
      <c r="D4148" s="27" t="s">
        <v>969</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2204</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2205</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991</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1999</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1009</v>
      </c>
      <c r="B4153" s="27" t="s">
        <v>997</v>
      </c>
      <c r="C4153" s="27" t="s">
        <v>1011</v>
      </c>
      <c r="D4153" s="27" t="s">
        <v>969</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2206</v>
      </c>
      <c r="B4154" s="27" t="s">
        <v>1198</v>
      </c>
      <c r="C4154" s="27" t="s">
        <v>974</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1388</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991</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985</v>
      </c>
      <c r="B4157" s="27" t="s">
        <v>1294</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2116</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2207</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2208</v>
      </c>
      <c r="B4160" s="27" t="s">
        <v>1000</v>
      </c>
      <c r="C4160" s="27" t="s">
        <v>974</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2209</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1883</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980</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1078</v>
      </c>
      <c r="B4164" s="27" t="s">
        <v>1905</v>
      </c>
      <c r="C4164" s="27" t="s">
        <v>974</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1070</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1919</v>
      </c>
      <c r="B4166" s="27" t="s">
        <v>2210</v>
      </c>
      <c r="C4166" s="27" t="s">
        <v>968</v>
      </c>
      <c r="D4166" s="27" t="s">
        <v>969</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2211</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991</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980</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1041</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1051</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2212</v>
      </c>
      <c r="B4172" s="27" t="s">
        <v>1297</v>
      </c>
      <c r="C4172" s="27" t="s">
        <v>1018</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2213</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1005</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row>
    <row r="4176" spans="1:12">
      <c r="A4176" s="20" t="s">
        <v>2214</v>
      </c>
    </row>
    <row r="4177" spans="1:12">
      <c r="A4177" s="20" t="s">
        <v>2215</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1095</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1919</v>
      </c>
      <c r="B4179" s="27" t="s">
        <v>978</v>
      </c>
      <c r="C4179" s="27" t="s">
        <v>968</v>
      </c>
      <c r="D4179" s="27" t="s">
        <v>969</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991</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2216</v>
      </c>
      <c r="B4181" s="27" t="s">
        <v>967</v>
      </c>
      <c r="C4181" s="27" t="s">
        <v>1083</v>
      </c>
      <c r="D4181" s="27" t="s">
        <v>969</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991</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1004</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2217</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991</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980</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1009</v>
      </c>
      <c r="B4187" s="27" t="s">
        <v>1010</v>
      </c>
      <c r="C4187" s="27" t="s">
        <v>1011</v>
      </c>
      <c r="D4187" s="27" t="s">
        <v>969</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1351</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2218</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991</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1046</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1009</v>
      </c>
      <c r="B4192" s="27" t="s">
        <v>994</v>
      </c>
      <c r="C4192" s="27" t="s">
        <v>1011</v>
      </c>
      <c r="D4192" s="27" t="s">
        <v>969</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2219</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1005</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row>
    <row r="4196" spans="1:12">
      <c r="A4196" s="20" t="s">
        <v>2220</v>
      </c>
    </row>
    <row r="4197" spans="1:12">
      <c r="A4197" s="20" t="s">
        <v>2221</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1016</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669</v>
      </c>
      <c r="B4199" s="27" t="s">
        <v>1053</v>
      </c>
      <c r="C4199" s="27" t="s">
        <v>1018</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991</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985</v>
      </c>
      <c r="B4201" s="27" t="s">
        <v>1010</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2222</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2086</v>
      </c>
      <c r="B4203" s="27" t="s">
        <v>1013</v>
      </c>
      <c r="C4203" s="27" t="s">
        <v>1123</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1282</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1005</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row>
    <row r="4207" spans="1:12">
      <c r="A4207" s="20" t="s">
        <v>1060</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2223</v>
      </c>
    </row>
    <row r="4209" spans="1:12">
      <c r="A4209" s="20" t="s">
        <v>1268</v>
      </c>
      <c r="B4209" s="27" t="s">
        <v>967</v>
      </c>
      <c r="C4209" s="27" t="s">
        <v>968</v>
      </c>
      <c r="D4209" s="27" t="s">
        <v>969</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1351</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1194</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965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966</v>
      </c>
      <c r="B4213" s="27" t="s">
        <v>1010</v>
      </c>
      <c r="C4213" s="27" t="s">
        <v>968</v>
      </c>
      <c r="D4213" s="27" t="s">
        <v>969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1278</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1110</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2224</v>
      </c>
      <c r="B4216" s="27" t="s">
        <v>1013</v>
      </c>
      <c r="C4216" s="27" t="s">
        <v>1018</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991</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1240</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993</v>
      </c>
      <c r="B4219" s="27" t="s">
        <v>994</v>
      </c>
      <c r="C4219" s="27" t="s">
        <v>968</v>
      </c>
      <c r="D4219" s="27" t="s">
        <v>969</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2225</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2038</v>
      </c>
      <c r="B4221" s="27" t="s">
        <v>1031</v>
      </c>
      <c r="C4221" s="27" t="s">
        <v>968</v>
      </c>
      <c r="D4221" s="27" t="s">
        <v>969</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2226</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991</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1322</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993</v>
      </c>
      <c r="B4225" s="27" t="s">
        <v>997</v>
      </c>
      <c r="C4225" s="27" t="s">
        <v>968</v>
      </c>
      <c r="D4225" s="27" t="s">
        <v>969</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1021</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1172</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976</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1236</v>
      </c>
      <c r="B4229" s="27" t="s">
        <v>1003</v>
      </c>
      <c r="C4229" s="27" t="s">
        <v>979</v>
      </c>
      <c r="D4229" s="27" t="s">
        <v>969</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267</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1085</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1005</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row>
    <row r="4234" spans="1:12">
      <c r="A4234" s="20" t="s">
        <v>2227</v>
      </c>
    </row>
    <row r="4235" spans="1:12">
      <c r="A4235" s="20" t="s">
        <v>966</v>
      </c>
      <c r="B4235" s="27" t="s">
        <v>967</v>
      </c>
      <c r="C4235" s="27" t="s">
        <v>968</v>
      </c>
      <c r="D4235" s="27" t="s">
        <v>969</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1352</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1191</v>
      </c>
      <c r="B4237" s="27" t="s">
        <v>978</v>
      </c>
      <c r="C4237" s="27" t="s">
        <v>988</v>
      </c>
      <c r="D4237" s="27" t="s">
        <v>969</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2228</v>
      </c>
      <c r="B4238" s="27" t="s">
        <v>973</v>
      </c>
      <c r="C4238" s="27" t="s">
        <v>974</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1157</v>
      </c>
      <c r="B4239" s="27" t="s">
        <v>973</v>
      </c>
      <c r="C4239" s="27" t="s">
        <v>1011</v>
      </c>
      <c r="D4239" s="27" t="s">
        <v>969</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999</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100</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1005</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row>
    <row r="4244" spans="1:12">
      <c r="A4244" s="20" t="s">
        <v>1060</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2229</v>
      </c>
    </row>
    <row r="4246" spans="1:12">
      <c r="A4246" s="20" t="s">
        <v>2230</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1454</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993</v>
      </c>
      <c r="B4248" s="27" t="s">
        <v>967</v>
      </c>
      <c r="C4248" s="27" t="s">
        <v>968</v>
      </c>
      <c r="D4248" s="27" t="s">
        <v>969</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1086</v>
      </c>
      <c r="B4249" s="27" t="s">
        <v>973</v>
      </c>
      <c r="C4249" s="27" t="s">
        <v>968</v>
      </c>
      <c r="D4249" s="27" t="s">
        <v>969</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1021</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679</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991</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996</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1009</v>
      </c>
      <c r="B4254" s="27" t="s">
        <v>1010</v>
      </c>
      <c r="C4254" s="27" t="s">
        <v>1011</v>
      </c>
      <c r="D4254" s="27" t="s">
        <v>969</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2231</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991</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980</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1041</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2232</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993</v>
      </c>
      <c r="B4260" s="27" t="s">
        <v>1010</v>
      </c>
      <c r="C4260" s="27" t="s">
        <v>968</v>
      </c>
      <c r="D4260" s="27" t="s">
        <v>969</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1107</v>
      </c>
      <c r="B4261" s="27" t="s">
        <v>1013</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975</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1024</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1325</v>
      </c>
      <c r="B4264" s="27" t="s">
        <v>978</v>
      </c>
      <c r="C4264" s="27" t="s">
        <v>979</v>
      </c>
      <c r="D4264" s="27" t="s">
        <v>969</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980</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2233</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985</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2234</v>
      </c>
      <c r="B4268" s="27" t="s">
        <v>1013</v>
      </c>
      <c r="C4268" s="27" t="s">
        <v>979</v>
      </c>
      <c r="D4268" s="27" t="s">
        <v>969</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1032</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1191</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1897</v>
      </c>
      <c r="B4271" s="27" t="s">
        <v>982</v>
      </c>
      <c r="C4271" s="27" t="s">
        <v>1035</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991</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980</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1114</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1009</v>
      </c>
      <c r="B4275" s="27" t="s">
        <v>1010</v>
      </c>
      <c r="C4275" s="27" t="s">
        <v>1011</v>
      </c>
      <c r="D4275" s="27" t="s">
        <v>969</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1437</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11</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2235</v>
      </c>
      <c r="B4278" s="27" t="s">
        <v>978</v>
      </c>
      <c r="C4278" s="27" t="s">
        <v>1123</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1131</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1236</v>
      </c>
      <c r="B4280" s="27" t="s">
        <v>978</v>
      </c>
      <c r="C4280" s="27" t="s">
        <v>1083</v>
      </c>
      <c r="D4280" s="27" t="s">
        <v>969</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665</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991</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2187</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1024</v>
      </c>
      <c r="B4284" s="27" t="s">
        <v>994</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1445</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1722</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1005</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965</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row>
    <row r="4290" spans="1:12">
      <c r="A4290" s="20" t="s">
        <v>1060</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2236</v>
      </c>
    </row>
    <row r="4292" spans="1:12">
      <c r="A4292" s="20" t="s">
        <v>1268</v>
      </c>
      <c r="B4292" s="27" t="s">
        <v>967</v>
      </c>
      <c r="C4292" s="27" t="s">
        <v>968</v>
      </c>
      <c r="D4292" s="27" t="s">
        <v>969</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1351</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1194</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965</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966</v>
      </c>
      <c r="B4296" s="27" t="s">
        <v>1010</v>
      </c>
      <c r="C4296" s="27" t="s">
        <v>968</v>
      </c>
      <c r="D4296" s="27" t="s">
        <v>969</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1352</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1179</v>
      </c>
      <c r="B4298" s="27" t="s">
        <v>982</v>
      </c>
      <c r="C4298" s="27" t="s">
        <v>1001</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2237</v>
      </c>
      <c r="B4299" s="27" t="s">
        <v>1013</v>
      </c>
      <c r="C4299" s="27" t="s">
        <v>1123</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2238</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991</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1888</v>
      </c>
      <c r="B4302" s="27" t="s">
        <v>1013</v>
      </c>
      <c r="C4302" s="27" t="s">
        <v>1001</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1177</v>
      </c>
      <c r="B4303" s="27" t="s">
        <v>997</v>
      </c>
      <c r="C4303" s="27" t="s">
        <v>1011</v>
      </c>
      <c r="D4303" s="27" t="s">
        <v>969</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1107</v>
      </c>
      <c r="B4304" s="27" t="s">
        <v>1198</v>
      </c>
      <c r="C4304" s="27" t="s">
        <v>968</v>
      </c>
      <c r="D4304" s="27" t="s">
        <v>969</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1158</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2239</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2240</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1005</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row>
    <row r="4310" spans="1:12">
      <c r="A4310" s="20" t="s">
        <v>2241</v>
      </c>
    </row>
    <row r="4311" spans="1:12">
      <c r="A4311" s="20" t="s">
        <v>1929</v>
      </c>
      <c r="B4311" s="27" t="s">
        <v>978</v>
      </c>
      <c r="C4311" s="27" t="s">
        <v>1083</v>
      </c>
      <c r="D4311" s="27" t="s">
        <v>969</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1827</v>
      </c>
      <c r="B4312" s="27" t="s">
        <v>967</v>
      </c>
      <c r="C4312" s="27" t="s">
        <v>1083</v>
      </c>
      <c r="D4312" s="27" t="s">
        <v>969</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1351</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1026</v>
      </c>
      <c r="B4314" s="27" t="s">
        <v>973</v>
      </c>
      <c r="C4314" s="27" t="s">
        <v>968</v>
      </c>
      <c r="D4314" s="27" t="s">
        <v>969</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1279</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991</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996</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993</v>
      </c>
      <c r="B4318" s="27" t="s">
        <v>1010</v>
      </c>
      <c r="C4318" s="27" t="s">
        <v>968</v>
      </c>
      <c r="D4318" s="27" t="s">
        <v>969</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2242</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980</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2243</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1369</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1005</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row>
    <row r="4325" spans="1:12">
      <c r="A4325" s="20" t="s">
        <v>1060</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2244</v>
      </c>
    </row>
    <row r="4327" spans="1:12">
      <c r="A4327" s="20" t="s">
        <v>966</v>
      </c>
      <c r="B4327" s="27" t="s">
        <v>967</v>
      </c>
      <c r="C4327" s="27" t="s">
        <v>968</v>
      </c>
      <c r="D4327" s="27" t="s">
        <v>969</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2245</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991</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993</v>
      </c>
      <c r="B4330" s="27" t="s">
        <v>1010</v>
      </c>
      <c r="C4330" s="27" t="s">
        <v>968</v>
      </c>
      <c r="D4330" s="27" t="s">
        <v>969</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1861</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1038</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2246</v>
      </c>
      <c r="B4333" s="27" t="s">
        <v>1013</v>
      </c>
      <c r="C4333" s="27" t="s">
        <v>979</v>
      </c>
      <c r="D4333" s="27" t="s">
        <v>969</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2247</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1005</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965</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row>
    <row r="4338" spans="1:12">
      <c r="A4338" s="20" t="s">
        <v>1060</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2248</v>
      </c>
    </row>
    <row r="4340" spans="1:12">
      <c r="A4340" s="20" t="s">
        <v>1268</v>
      </c>
      <c r="B4340" s="27" t="s">
        <v>967</v>
      </c>
      <c r="C4340" s="27" t="s">
        <v>968</v>
      </c>
      <c r="D4340" s="27" t="s">
        <v>969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1411</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975</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1139</v>
      </c>
      <c r="B4343" s="27" t="s">
        <v>978</v>
      </c>
      <c r="C4343" s="27" t="s">
        <v>1102</v>
      </c>
      <c r="D4343" s="27" t="s">
        <v>969</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2249</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2250</v>
      </c>
      <c r="B4345" s="27" t="s">
        <v>1053</v>
      </c>
      <c r="C4345" s="27" t="s">
        <v>1141</v>
      </c>
      <c r="D4345" s="27" t="s">
        <v>969</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2251</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980</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1046</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993</v>
      </c>
      <c r="B4349" s="27" t="s">
        <v>994</v>
      </c>
      <c r="C4349" s="27" t="s">
        <v>968</v>
      </c>
      <c r="D4349" s="27" t="s">
        <v>969</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1009</v>
      </c>
      <c r="B4350" s="27" t="s">
        <v>1031</v>
      </c>
      <c r="C4350" s="27" t="s">
        <v>1011</v>
      </c>
      <c r="D4350" s="27" t="s">
        <v>969</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1295</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1296</v>
      </c>
      <c r="B4352" s="27" t="s">
        <v>1003</v>
      </c>
      <c r="C4352" s="27" t="s">
        <v>1123</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1148</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1576</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991</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1278</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1009</v>
      </c>
      <c r="B4357" s="27" t="s">
        <v>1010</v>
      </c>
      <c r="C4357" s="27" t="s">
        <v>1011</v>
      </c>
      <c r="D4357" s="27" t="s">
        <v>969</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1110</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2224</v>
      </c>
      <c r="B4359" s="27" t="s">
        <v>1013</v>
      </c>
      <c r="C4359" s="27" t="s">
        <v>1018</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975</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1043</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2252</v>
      </c>
      <c r="B4362" s="27" t="s">
        <v>982</v>
      </c>
      <c r="C4362" s="27" t="s">
        <v>979</v>
      </c>
      <c r="D4362" s="27" t="s">
        <v>969</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1108</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985</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2253</v>
      </c>
      <c r="B4365" s="27" t="s">
        <v>1003</v>
      </c>
      <c r="C4365" s="27" t="s">
        <v>1083</v>
      </c>
      <c r="D4365" s="27" t="s">
        <v>969</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12</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2254</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2251</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991</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1278</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1242</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1827</v>
      </c>
      <c r="B4372" s="27" t="s">
        <v>1031</v>
      </c>
      <c r="C4372" s="27" t="s">
        <v>1035</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991</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1043</v>
      </c>
      <c r="B4374" s="27" t="s">
        <v>1294</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1009</v>
      </c>
      <c r="B4375" s="27" t="s">
        <v>1297</v>
      </c>
      <c r="C4375" s="27" t="s">
        <v>1011</v>
      </c>
      <c r="D4375" s="27" t="s">
        <v>969</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1067</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2255</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1278</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991</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2024</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991</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980</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1009</v>
      </c>
      <c r="B4383" s="27" t="s">
        <v>1010</v>
      </c>
      <c r="C4383" s="27" t="s">
        <v>1011</v>
      </c>
      <c r="D4383" s="27" t="s">
        <v>969</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1351</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999</v>
      </c>
      <c r="B4385" s="27" t="s">
        <v>982</v>
      </c>
      <c r="C4385" s="27" t="s">
        <v>1001</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1026</v>
      </c>
      <c r="B4386" s="27" t="s">
        <v>978</v>
      </c>
      <c r="C4386" s="27" t="s">
        <v>968</v>
      </c>
      <c r="D4386" s="27" t="s">
        <v>969</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1194</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965</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1125</v>
      </c>
      <c r="B4389" s="27" t="s">
        <v>1003</v>
      </c>
      <c r="C4389" s="27" t="s">
        <v>988</v>
      </c>
      <c r="D4389" s="27" t="s">
        <v>969</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2086</v>
      </c>
      <c r="B4390" s="27" t="s">
        <v>994</v>
      </c>
      <c r="C4390" s="27" t="s">
        <v>974</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1195</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1689</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1445</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1179</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2256</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1005</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965</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row>
    <row r="4399" spans="1:12">
      <c r="A4399" s="20" t="s">
        <v>1060</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2257</v>
      </c>
    </row>
    <row r="4401" spans="1:12">
      <c r="A4401" s="20" t="s">
        <v>1268</v>
      </c>
      <c r="B4401" s="27" t="s">
        <v>967</v>
      </c>
      <c r="C4401" s="27" t="s">
        <v>968</v>
      </c>
      <c r="D4401" s="27" t="s">
        <v>969</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1351</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1194</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965</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1251</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1497</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1110</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1044</v>
      </c>
      <c r="B4408" s="27" t="s">
        <v>1013</v>
      </c>
      <c r="C4408" s="27" t="s">
        <v>1018</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975</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2108</v>
      </c>
      <c r="B4410" s="27" t="s">
        <v>1003</v>
      </c>
      <c r="C4410" s="27" t="s">
        <v>988</v>
      </c>
      <c r="D4410" s="27" t="s">
        <v>969</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2258</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1640</v>
      </c>
      <c r="B4412" s="27" t="s">
        <v>982</v>
      </c>
      <c r="C4412" s="27" t="s">
        <v>974</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1108</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985</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2259</v>
      </c>
      <c r="B4415" s="27" t="s">
        <v>978</v>
      </c>
      <c r="C4415" s="27" t="s">
        <v>979</v>
      </c>
      <c r="D4415" s="27" t="s">
        <v>969</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980</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1110</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1044</v>
      </c>
      <c r="B4418" s="27" t="s">
        <v>982</v>
      </c>
      <c r="C4418" s="27" t="s">
        <v>1018</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1108</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985</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2260</v>
      </c>
      <c r="B4421" s="27" t="s">
        <v>982</v>
      </c>
      <c r="C4421" s="27" t="s">
        <v>979</v>
      </c>
      <c r="D4421" s="27" t="s">
        <v>969</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991</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1240</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2261</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1195</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1009</v>
      </c>
      <c r="B4426" s="27" t="s">
        <v>994</v>
      </c>
      <c r="C4426" s="27" t="s">
        <v>1011</v>
      </c>
      <c r="D4426" s="27" t="s">
        <v>969</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1012</v>
      </c>
      <c r="B4427" s="27" t="s">
        <v>982</v>
      </c>
      <c r="C4427" s="27" t="s">
        <v>1001</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1022</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987</v>
      </c>
      <c r="B4429" s="27" t="s">
        <v>982</v>
      </c>
      <c r="C4429" s="27" t="s">
        <v>988</v>
      </c>
      <c r="D4429" s="27" t="s">
        <v>969</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1325</v>
      </c>
      <c r="B4430" s="27" t="s">
        <v>978</v>
      </c>
      <c r="C4430" s="27" t="s">
        <v>1123</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980</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1432</v>
      </c>
      <c r="B4432" s="27" t="s">
        <v>994</v>
      </c>
      <c r="C4432" s="27" t="s">
        <v>1011</v>
      </c>
      <c r="D4432" s="27" t="s">
        <v>969</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58</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985</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2262</v>
      </c>
      <c r="B4435" s="27" t="s">
        <v>1031</v>
      </c>
      <c r="C4435" s="27" t="s">
        <v>979</v>
      </c>
      <c r="D4435" s="27" t="s">
        <v>969</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2263</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1005</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row>
    <row r="4439" spans="1:12">
      <c r="A4439" s="20" t="s">
        <v>2264</v>
      </c>
    </row>
    <row r="4440" spans="1:12">
      <c r="A4440" s="20" t="s">
        <v>1579</v>
      </c>
      <c r="B4440" s="27" t="s">
        <v>1010</v>
      </c>
      <c r="C4440" s="27" t="s">
        <v>1001</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1095</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1919</v>
      </c>
      <c r="B4442" s="27" t="s">
        <v>982</v>
      </c>
      <c r="C4442" s="27" t="s">
        <v>968</v>
      </c>
      <c r="D4442" s="27" t="s">
        <v>969</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2265</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2266</v>
      </c>
      <c r="B4444" s="27" t="s">
        <v>1013</v>
      </c>
      <c r="C4444" s="27" t="s">
        <v>974</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980</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1809</v>
      </c>
      <c r="B4446" s="27" t="s">
        <v>994</v>
      </c>
      <c r="C4446" s="27" t="s">
        <v>1001</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2265</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2267</v>
      </c>
      <c r="B4448" s="27" t="s">
        <v>982</v>
      </c>
      <c r="C4448" s="27" t="s">
        <v>1083</v>
      </c>
      <c r="D4448" s="27" t="s">
        <v>969</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462</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991</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980</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1090</v>
      </c>
      <c r="B4452" s="27" t="s">
        <v>978</v>
      </c>
      <c r="C4452" s="27" t="s">
        <v>1001</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1043</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2260</v>
      </c>
      <c r="B4454" s="27" t="s">
        <v>982</v>
      </c>
      <c r="C4454" s="27" t="s">
        <v>979</v>
      </c>
      <c r="D4454" s="27" t="s">
        <v>969</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1716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991</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996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1009</v>
      </c>
      <c r="B4458" s="27" t="s">
        <v>1010</v>
      </c>
      <c r="C4458" s="27" t="s">
        <v>1011</v>
      </c>
      <c r="D4458" s="27" t="s">
        <v>969</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2268</v>
      </c>
      <c r="B4459" s="27" t="s">
        <v>978</v>
      </c>
      <c r="C4459" s="27" t="s">
        <v>974</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462</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1218</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1005</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row>
    <row r="4464" spans="1:12">
      <c r="A4464" s="20" t="s">
        <v>2269</v>
      </c>
    </row>
    <row r="4465" spans="1:12">
      <c r="A4465" s="20" t="s">
        <v>1268</v>
      </c>
      <c r="B4465" s="27" t="s">
        <v>967</v>
      </c>
      <c r="C4465" s="27" t="s">
        <v>968</v>
      </c>
      <c r="D4465" s="27" t="s">
        <v>969</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703</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1021</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1158</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991</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1445</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1214</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2270</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980</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1009</v>
      </c>
      <c r="B4474" s="27" t="s">
        <v>1010</v>
      </c>
      <c r="C4474" s="27" t="s">
        <v>1011</v>
      </c>
      <c r="D4474" s="27" t="s">
        <v>969</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2271</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1213</v>
      </c>
      <c r="B4476" s="27" t="s">
        <v>1013</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1021</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1158</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1214</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1159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1005</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row>
    <row r="4483" spans="1:12">
      <c r="A4483" s="20" t="s">
        <v>2272</v>
      </c>
    </row>
    <row r="4484" spans="1:12">
      <c r="A4484" s="20" t="s">
        <v>1176</v>
      </c>
      <c r="B4484" s="27" t="s">
        <v>967</v>
      </c>
      <c r="C4484" s="27" t="s">
        <v>1001</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991</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1177</v>
      </c>
      <c r="B4486" s="27" t="s">
        <v>1031</v>
      </c>
      <c r="C4486" s="27" t="s">
        <v>1011</v>
      </c>
      <c r="D4486" s="27" t="s">
        <v>969</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993</v>
      </c>
      <c r="B4487" s="27" t="s">
        <v>994</v>
      </c>
      <c r="C4487" s="27" t="s">
        <v>968</v>
      </c>
      <c r="D4487" s="27" t="s">
        <v>969</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1689</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2098</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991</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1195</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1033</v>
      </c>
      <c r="B4492" s="27" t="s">
        <v>1053</v>
      </c>
      <c r="C4492" s="27" t="s">
        <v>988</v>
      </c>
      <c r="D4492" s="27" t="s">
        <v>969</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2086</v>
      </c>
      <c r="B4493" s="27" t="s">
        <v>1053</v>
      </c>
      <c r="C4493" s="27" t="s">
        <v>1123</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1005</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row>
    <row r="4496" spans="1:12">
      <c r="A4496" s="20" t="s">
        <v>2273</v>
      </c>
    </row>
    <row r="4497" spans="1:12">
      <c r="A4497" s="20" t="s">
        <v>1438</v>
      </c>
      <c r="B4497" s="27" t="s">
        <v>967</v>
      </c>
      <c r="C4497" s="27" t="s">
        <v>1083</v>
      </c>
      <c r="D4497" s="27" t="s">
        <v>969</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711</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1213</v>
      </c>
      <c r="B4499" s="27" t="s">
        <v>973</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991</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985</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1252</v>
      </c>
      <c r="B4502" s="27" t="s">
        <v>967</v>
      </c>
      <c r="C4502" s="27" t="s">
        <v>979</v>
      </c>
      <c r="D4502" s="27" t="s">
        <v>969</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991</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1214</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993</v>
      </c>
      <c r="B4505" s="27" t="s">
        <v>994</v>
      </c>
      <c r="C4505" s="27" t="s">
        <v>968</v>
      </c>
      <c r="D4505" s="27" t="s">
        <v>969</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1107</v>
      </c>
      <c r="B4506" s="27" t="s">
        <v>1031</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2274</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991</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1214</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993</v>
      </c>
      <c r="B4510" s="27" t="s">
        <v>997</v>
      </c>
      <c r="C4510" s="27" t="s">
        <v>968</v>
      </c>
      <c r="D4510" s="27" t="s">
        <v>969</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1107</v>
      </c>
      <c r="B4511" s="27" t="s">
        <v>1198</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2178</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980</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1214</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993</v>
      </c>
      <c r="B4515" s="27" t="s">
        <v>1294</v>
      </c>
      <c r="C4515" s="27" t="s">
        <v>968</v>
      </c>
      <c r="D4515" s="27" t="s">
        <v>969</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2275</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1005</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row>
    <row r="4519" spans="1:12">
      <c r="A4519" s="20" t="s">
        <v>2276</v>
      </c>
    </row>
    <row r="4520" spans="1:12">
      <c r="A4520" s="20" t="s">
        <v>966</v>
      </c>
      <c r="B4520" s="27" t="s">
        <v>967</v>
      </c>
      <c r="C4520" s="27" t="s">
        <v>968</v>
      </c>
      <c r="D4520" s="27" t="s">
        <v>969</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1454</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1689</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715</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991</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1300</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1107</v>
      </c>
      <c r="B4526" s="27" t="s">
        <v>1013</v>
      </c>
      <c r="C4526" s="27" t="s">
        <v>968</v>
      </c>
      <c r="D4526" s="27" t="s">
        <v>969</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999</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2277</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991</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980</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993</v>
      </c>
      <c r="B4531" s="27" t="s">
        <v>1010</v>
      </c>
      <c r="C4531" s="27" t="s">
        <v>968</v>
      </c>
      <c r="D4531" s="27" t="s">
        <v>969</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2278</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1021</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991</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996</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1139</v>
      </c>
      <c r="B4536" s="27" t="s">
        <v>1003</v>
      </c>
      <c r="C4536" s="27" t="s">
        <v>1102</v>
      </c>
      <c r="D4536" s="27" t="s">
        <v>969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2279</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1903</v>
      </c>
      <c r="B4538" s="27" t="s">
        <v>994</v>
      </c>
      <c r="C4538" s="27" t="s">
        <v>1141</v>
      </c>
      <c r="D4538" s="27" t="s">
        <v>969</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2280</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462</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991</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980</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1114</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2281</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2282</v>
      </c>
      <c r="B4545" s="27" t="s">
        <v>994</v>
      </c>
      <c r="C4545" s="27" t="s">
        <v>1083</v>
      </c>
      <c r="D4545" s="27" t="s">
        <v>969</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1021</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2283</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1047</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991</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1047</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993</v>
      </c>
      <c r="B4551" s="27" t="s">
        <v>994</v>
      </c>
      <c r="C4551" s="27" t="s">
        <v>968</v>
      </c>
      <c r="D4551" s="27" t="s">
        <v>969</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1067</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1515</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999</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1183</v>
      </c>
      <c r="B4555" s="27" t="s">
        <v>978</v>
      </c>
      <c r="C4555" s="27" t="s">
        <v>974</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1037</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1043</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2234</v>
      </c>
      <c r="B4558" s="27" t="s">
        <v>982</v>
      </c>
      <c r="C4558" s="27" t="s">
        <v>979</v>
      </c>
      <c r="D4558" s="27" t="s">
        <v>969</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1032</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987</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1897</v>
      </c>
      <c r="B4561" s="27" t="s">
        <v>1003</v>
      </c>
      <c r="C4561" s="27" t="s">
        <v>1035</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991</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1114</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993</v>
      </c>
      <c r="B4564" s="27" t="s">
        <v>1294</v>
      </c>
      <c r="C4564" s="27" t="s">
        <v>968</v>
      </c>
      <c r="D4564" s="27" t="s">
        <v>969</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1301</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1515</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1151</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976</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1307</v>
      </c>
      <c r="B4569" s="27" t="s">
        <v>1000</v>
      </c>
      <c r="C4569" s="27" t="s">
        <v>979</v>
      </c>
      <c r="D4569" s="27" t="s">
        <v>969</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1047</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1005</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row>
    <row r="4573" spans="1:12">
      <c r="A4573" s="20" t="s">
        <v>1060</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2284</v>
      </c>
    </row>
    <row r="4575" spans="1:12">
      <c r="A4575" s="20" t="s">
        <v>966</v>
      </c>
      <c r="B4575" s="27" t="s">
        <v>967</v>
      </c>
      <c r="C4575" s="27" t="s">
        <v>968</v>
      </c>
      <c r="D4575" s="27" t="s">
        <v>969</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2285</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2286</v>
      </c>
      <c r="B4577" s="27" t="s">
        <v>973</v>
      </c>
      <c r="C4577" s="27" t="s">
        <v>974</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991</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1026</v>
      </c>
      <c r="B4579" s="27" t="s">
        <v>1013</v>
      </c>
      <c r="C4579" s="27" t="s">
        <v>968</v>
      </c>
      <c r="D4579" s="27" t="s">
        <v>969</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1110</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2287</v>
      </c>
      <c r="B4581" s="27" t="s">
        <v>1013</v>
      </c>
      <c r="C4581" s="27" t="s">
        <v>1018</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999</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482</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980</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1115</v>
      </c>
      <c r="B4585" s="27" t="s">
        <v>1010</v>
      </c>
      <c r="C4585" s="27" t="s">
        <v>968</v>
      </c>
      <c r="D4585" s="27" t="s">
        <v>969</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2288</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1033</v>
      </c>
      <c r="B4587" s="27" t="s">
        <v>982</v>
      </c>
      <c r="C4587" s="27" t="s">
        <v>988</v>
      </c>
      <c r="D4587" s="27" t="s">
        <v>969</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2289</v>
      </c>
      <c r="B4588" s="27" t="s">
        <v>1013</v>
      </c>
      <c r="C4588" s="27" t="s">
        <v>974</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1005</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965</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row>
    <row r="4592" spans="1:12">
      <c r="A4592" s="20" t="s">
        <v>2290</v>
      </c>
    </row>
    <row r="4593" spans="1:12">
      <c r="A4593" s="20" t="s">
        <v>2140</v>
      </c>
      <c r="B4593" s="27" t="s">
        <v>973</v>
      </c>
      <c r="C4593" s="27" t="s">
        <v>968</v>
      </c>
      <c r="D4593" s="27" t="s">
        <v>969</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104</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1139</v>
      </c>
      <c r="B4595" s="27" t="s">
        <v>978</v>
      </c>
      <c r="C4595" s="27" t="s">
        <v>1102</v>
      </c>
      <c r="D4595" s="27" t="s">
        <v>969</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1140</v>
      </c>
      <c r="B4596" s="27" t="s">
        <v>967</v>
      </c>
      <c r="C4596" s="27" t="s">
        <v>1141</v>
      </c>
      <c r="D4596" s="27" t="s">
        <v>969</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1673</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2291</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991</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980</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993</v>
      </c>
      <c r="B4601" s="27" t="s">
        <v>1010</v>
      </c>
      <c r="C4601" s="27" t="s">
        <v>968</v>
      </c>
      <c r="D4601" s="27" t="s">
        <v>969</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1203</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991</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996</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993</v>
      </c>
      <c r="B4605" s="27" t="s">
        <v>1294</v>
      </c>
      <c r="C4605" s="27" t="s">
        <v>968</v>
      </c>
      <c r="D4605" s="27" t="s">
        <v>969</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1820</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1787</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1156</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991</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1021</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1394</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975</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1382</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2292</v>
      </c>
      <c r="B4614" s="27" t="s">
        <v>1013</v>
      </c>
      <c r="C4614" s="27" t="s">
        <v>1018</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991</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1151</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976</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993</v>
      </c>
      <c r="B4618" s="27" t="s">
        <v>997</v>
      </c>
      <c r="C4618" s="27" t="s">
        <v>968</v>
      </c>
      <c r="D4618" s="27" t="s">
        <v>969</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1965</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991</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1166</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1365</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975</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1382</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2293</v>
      </c>
      <c r="B4625" s="27" t="s">
        <v>1003</v>
      </c>
      <c r="C4625" s="27" t="s">
        <v>1018</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991</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980</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1445</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2041</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993</v>
      </c>
      <c r="B4630" s="27" t="s">
        <v>1010</v>
      </c>
      <c r="C4630" s="27" t="s">
        <v>968</v>
      </c>
      <c r="D4630" s="27" t="s">
        <v>969</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1095</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976</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2294</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2295</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2296</v>
      </c>
      <c r="B4635" s="27" t="s">
        <v>978</v>
      </c>
      <c r="C4635" s="27" t="s">
        <v>1083</v>
      </c>
      <c r="D4635" s="27" t="s">
        <v>969</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2297</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1110</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2298</v>
      </c>
      <c r="B4638" s="27" t="s">
        <v>1013</v>
      </c>
      <c r="C4638" s="27" t="s">
        <v>1018</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991</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1032</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1078</v>
      </c>
      <c r="B4641" s="27" t="s">
        <v>1003</v>
      </c>
      <c r="C4641" s="27" t="s">
        <v>974</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1837</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2153</v>
      </c>
      <c r="B4643" s="27" t="s">
        <v>1003</v>
      </c>
      <c r="C4643" s="27" t="s">
        <v>974</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999</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1787</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1005</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row>
    <row r="4648" spans="1:12">
      <c r="A4648" s="20" t="s">
        <v>1060</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2299</v>
      </c>
    </row>
    <row r="4650" spans="1:12">
      <c r="A4650" s="20" t="s">
        <v>966</v>
      </c>
      <c r="B4650" s="27" t="s">
        <v>967</v>
      </c>
      <c r="C4650" s="27" t="s">
        <v>968</v>
      </c>
      <c r="D4650" s="27" t="s">
        <v>969</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2300</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1033</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2301</v>
      </c>
      <c r="B4653" s="27" t="s">
        <v>973</v>
      </c>
      <c r="C4653" s="27" t="s">
        <v>1035</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1051</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980</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1033</v>
      </c>
      <c r="B4656" s="27" t="s">
        <v>982</v>
      </c>
      <c r="C4656" s="27" t="s">
        <v>988</v>
      </c>
      <c r="D4656" s="27" t="s">
        <v>969</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2302</v>
      </c>
      <c r="B4657" s="27" t="s">
        <v>1010</v>
      </c>
      <c r="C4657" s="27" t="s">
        <v>974</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2303</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1107</v>
      </c>
      <c r="B4659" s="27" t="s">
        <v>1013</v>
      </c>
      <c r="C4659" s="27" t="s">
        <v>968</v>
      </c>
      <c r="D4659" s="27" t="s">
        <v>969</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1151</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965</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1163</v>
      </c>
      <c r="B4662" s="27" t="s">
        <v>994</v>
      </c>
      <c r="C4662" s="27" t="s">
        <v>1011</v>
      </c>
      <c r="D4662" s="27" t="s">
        <v>969</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1530</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1432</v>
      </c>
      <c r="B4664" s="27" t="s">
        <v>994</v>
      </c>
      <c r="C4664" s="27" t="s">
        <v>1011</v>
      </c>
      <c r="D4664" s="27" t="s">
        <v>969</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1673</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1021</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2304</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1005</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965</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row>
    <row r="4671" spans="1:12">
      <c r="A4671" s="20" t="s">
        <v>1060</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2305</v>
      </c>
    </row>
    <row r="4673" spans="1:12">
      <c r="A4673" s="20" t="s">
        <v>966</v>
      </c>
      <c r="B4673" s="27" t="s">
        <v>967</v>
      </c>
      <c r="C4673" s="27" t="s">
        <v>968</v>
      </c>
      <c r="D4673" s="27" t="s">
        <v>969</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1923</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1194</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965</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2177</v>
      </c>
      <c r="B4677" s="27" t="s">
        <v>1053</v>
      </c>
      <c r="C4677" s="27" t="s">
        <v>1372</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1021</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1373</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965</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row>
    <row r="4682" spans="1:12">
      <c r="A4682" s="20" t="s">
        <v>1060</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2306</v>
      </c>
    </row>
    <row r="4684" spans="1:12">
      <c r="A4684" s="20" t="s">
        <v>1007</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1009</v>
      </c>
      <c r="B4685" s="27" t="s">
        <v>967</v>
      </c>
      <c r="C4685" s="27" t="s">
        <v>1011</v>
      </c>
      <c r="D4685" s="27" t="s">
        <v>969</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1351</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1194</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965</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1251</v>
      </c>
      <c r="B4689" s="27" t="s">
        <v>1010</v>
      </c>
      <c r="C4689" s="27" t="s">
        <v>968</v>
      </c>
      <c r="D4689" s="27" t="s">
        <v>969</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1097</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1305</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999</v>
      </c>
      <c r="B4692" s="27" t="s">
        <v>978</v>
      </c>
      <c r="C4692" s="27" t="s">
        <v>1001</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1823</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2307</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1005</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row>
    <row r="4697" spans="1:12">
      <c r="A4697" s="20" t="s">
        <v>2308</v>
      </c>
    </row>
    <row r="4698" spans="1:12">
      <c r="A4698" s="20" t="s">
        <v>2309</v>
      </c>
      <c r="B4698" s="27" t="s">
        <v>978</v>
      </c>
      <c r="C4698" s="27" t="s">
        <v>1102</v>
      </c>
      <c r="D4698" s="27" t="s">
        <v>969</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1111</v>
      </c>
      <c r="B4699" s="27" t="s">
        <v>967</v>
      </c>
      <c r="C4699" s="27" t="s">
        <v>1141</v>
      </c>
      <c r="D4699" s="27" t="s">
        <v>969</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654</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1022</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1043</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2310</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2311</v>
      </c>
      <c r="B4704" s="27" t="s">
        <v>978</v>
      </c>
      <c r="C4704" s="27" t="s">
        <v>979</v>
      </c>
      <c r="D4704" s="27" t="s">
        <v>969</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980</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1041</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466</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1009</v>
      </c>
      <c r="B4708" s="27" t="s">
        <v>1010</v>
      </c>
      <c r="C4708" s="27" t="s">
        <v>1011</v>
      </c>
      <c r="D4708" s="27" t="s">
        <v>969</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1051</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1808</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1296</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1406</v>
      </c>
      <c r="B4712" s="27" t="s">
        <v>1013</v>
      </c>
      <c r="C4712" s="27" t="s">
        <v>1018</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991</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980</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1195</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1041</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1906</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975</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1043</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2312</v>
      </c>
      <c r="B4720" s="27" t="s">
        <v>978</v>
      </c>
      <c r="C4720" s="27" t="s">
        <v>979</v>
      </c>
      <c r="D4720" s="27" t="s">
        <v>969</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2313</v>
      </c>
      <c r="B4721" s="27" t="s">
        <v>1013</v>
      </c>
      <c r="C4721" s="27" t="s">
        <v>1083</v>
      </c>
      <c r="D4721" s="27" t="s">
        <v>969</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2314</v>
      </c>
      <c r="B4722" s="27" t="s">
        <v>1013</v>
      </c>
      <c r="C4722" s="27" t="s">
        <v>1083</v>
      </c>
      <c r="D4722" s="27" t="s">
        <v>969</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999</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2315</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1373</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row>
    <row r="4727" spans="1:12">
      <c r="A4727" s="20" t="s">
        <v>1060</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2316</v>
      </c>
    </row>
    <row r="4729" spans="1:12">
      <c r="A4729" s="20" t="s">
        <v>1163</v>
      </c>
      <c r="B4729" s="27" t="s">
        <v>967</v>
      </c>
      <c r="C4729" s="27" t="s">
        <v>1102</v>
      </c>
      <c r="D4729" s="27" t="s">
        <v>969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1097</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1305</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999</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2317</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1005</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965</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row>
    <row r="4737" spans="1:12">
      <c r="A4737" s="20" t="s">
        <v>1060</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2318</v>
      </c>
    </row>
    <row r="4739" spans="1:12">
      <c r="A4739" s="20" t="s">
        <v>1268</v>
      </c>
      <c r="B4739" s="27" t="s">
        <v>967</v>
      </c>
      <c r="C4739" s="27" t="s">
        <v>968</v>
      </c>
      <c r="D4739" s="27" t="s">
        <v>969</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1351</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1194</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965</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966</v>
      </c>
      <c r="B4743" s="27" t="s">
        <v>1010</v>
      </c>
      <c r="C4743" s="27" t="s">
        <v>968</v>
      </c>
      <c r="D4743" s="27" t="s">
        <v>969</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1352</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1095</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1445</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1357</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1515</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1828</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2062</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1005</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965</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row>
    <row r="4754" spans="1:12">
      <c r="A4754" s="20" t="s">
        <v>1060</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2319</v>
      </c>
    </row>
    <row r="4756" spans="1:12">
      <c r="A4756" s="20" t="s">
        <v>966</v>
      </c>
      <c r="B4756" s="27" t="s">
        <v>967</v>
      </c>
      <c r="C4756" s="27" t="s">
        <v>968</v>
      </c>
      <c r="D4756" s="27" t="s">
        <v>969</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2320</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1194</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965</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1093</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2100</v>
      </c>
      <c r="B4761" s="27" t="s">
        <v>1010</v>
      </c>
      <c r="C4761" s="27" t="s">
        <v>979</v>
      </c>
      <c r="D4761" s="27" t="s">
        <v>969</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991</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996</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1268</v>
      </c>
      <c r="B4764" s="27" t="s">
        <v>997</v>
      </c>
      <c r="C4764" s="27" t="s">
        <v>968</v>
      </c>
      <c r="D4764" s="27" t="s">
        <v>969</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1515</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1828</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1381</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2062</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104</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991</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1097</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1051</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2321</v>
      </c>
      <c r="B4773" s="27" t="s">
        <v>1053</v>
      </c>
      <c r="C4773" s="27" t="s">
        <v>1018</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1741</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991</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996</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1086</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1231</v>
      </c>
      <c r="B4778" s="27" t="s">
        <v>994</v>
      </c>
      <c r="C4778" s="27" t="s">
        <v>974</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1195</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1005</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965</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row>
    <row r="4783" spans="1:12">
      <c r="A4783" s="20" t="s">
        <v>1060</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2322</v>
      </c>
    </row>
    <row r="4785" spans="1:12">
      <c r="A4785" s="20" t="s">
        <v>965</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1007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1268</v>
      </c>
      <c r="B4787" s="27" t="s">
        <v>967</v>
      </c>
      <c r="C4787" s="27" t="s">
        <v>968</v>
      </c>
      <c r="D4787" s="27" t="s">
        <v>969</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1195</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1051</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2323</v>
      </c>
      <c r="B4790" s="27" t="s">
        <v>1053</v>
      </c>
      <c r="C4790" s="27" t="s">
        <v>1018</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1005</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965</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row>
    <row r="4794" spans="1:12">
      <c r="A4794" s="20" t="s">
        <v>2324</v>
      </c>
    </row>
    <row r="4795" spans="1:12">
      <c r="A4795" s="20" t="s">
        <v>2325</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1382</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2326</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2327</v>
      </c>
      <c r="B4798" s="27" t="s">
        <v>1053</v>
      </c>
      <c r="C4798" s="27" t="s">
        <v>1018</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1151</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2328</v>
      </c>
      <c r="B4800" s="27" t="s">
        <v>978</v>
      </c>
      <c r="C4800" s="27" t="s">
        <v>974</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991</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2329</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1009</v>
      </c>
      <c r="B4803" s="27" t="s">
        <v>967</v>
      </c>
      <c r="C4803" s="27" t="s">
        <v>1011</v>
      </c>
      <c r="D4803" s="27" t="s">
        <v>969</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999</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1005</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row>
    <row r="4807" spans="1:12">
      <c r="A4807" s="20" t="s">
        <v>2330</v>
      </c>
    </row>
    <row r="4808" spans="1:12">
      <c r="A4808" s="20" t="s">
        <v>1144</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993</v>
      </c>
      <c r="B4809" s="27" t="s">
        <v>967</v>
      </c>
      <c r="C4809" s="27" t="s">
        <v>968</v>
      </c>
      <c r="D4809" s="27" t="s">
        <v>969</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1739</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991</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996</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2331</v>
      </c>
      <c r="B4813" s="27" t="s">
        <v>1010</v>
      </c>
      <c r="C4813" s="27" t="s">
        <v>1001</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1095</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976</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991</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1177</v>
      </c>
      <c r="B4817" s="27" t="s">
        <v>1297</v>
      </c>
      <c r="C4817" s="27" t="s">
        <v>1011</v>
      </c>
      <c r="D4817" s="27" t="s">
        <v>969</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1009</v>
      </c>
      <c r="B4818" s="27" t="s">
        <v>1294</v>
      </c>
      <c r="C4818" s="27" t="s">
        <v>1011</v>
      </c>
      <c r="D4818" s="27" t="s">
        <v>969</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1788</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991</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1022</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2332</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1427</v>
      </c>
      <c r="B4823" s="27" t="s">
        <v>978</v>
      </c>
      <c r="C4823" s="27" t="s">
        <v>979</v>
      </c>
      <c r="D4823" s="27" t="s">
        <v>969</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1037</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1043</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2333</v>
      </c>
      <c r="B4826" s="27" t="s">
        <v>978</v>
      </c>
      <c r="C4826" s="27" t="s">
        <v>979</v>
      </c>
      <c r="D4826" s="27" t="s">
        <v>969</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2334</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1178</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991</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985</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1111</v>
      </c>
      <c r="B4831" s="27" t="s">
        <v>1010</v>
      </c>
      <c r="C4831" s="27" t="s">
        <v>979</v>
      </c>
      <c r="D4831" s="27" t="s">
        <v>969</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1067</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1515</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104</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991</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1910</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1043</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2335</v>
      </c>
      <c r="B4838" s="27" t="s">
        <v>978</v>
      </c>
      <c r="C4838" s="27" t="s">
        <v>979</v>
      </c>
      <c r="D4838" s="27" t="s">
        <v>969</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1095</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1406</v>
      </c>
      <c r="B4840" s="27" t="s">
        <v>982</v>
      </c>
      <c r="C4840" s="27" t="s">
        <v>974</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991</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1043</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2336</v>
      </c>
      <c r="B4843" s="27" t="s">
        <v>1003</v>
      </c>
      <c r="C4843" s="27" t="s">
        <v>979</v>
      </c>
      <c r="D4843" s="27" t="s">
        <v>969</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991</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996</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1086</v>
      </c>
      <c r="B4846" s="27" t="s">
        <v>1588</v>
      </c>
      <c r="C4846" s="27" t="s">
        <v>968</v>
      </c>
      <c r="D4846" s="27" t="s">
        <v>969</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1051</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2337</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2338</v>
      </c>
      <c r="B4849" s="27" t="s">
        <v>1294</v>
      </c>
      <c r="C4849" s="27" t="s">
        <v>1018</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1047</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991</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1114</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1432</v>
      </c>
      <c r="B4853" s="27" t="s">
        <v>1588</v>
      </c>
      <c r="C4853" s="27" t="s">
        <v>1011</v>
      </c>
      <c r="D4853" s="27" t="s">
        <v>969</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2339</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2340</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980</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1111</v>
      </c>
      <c r="B4857" s="27" t="s">
        <v>2341</v>
      </c>
      <c r="C4857" s="27" t="s">
        <v>974</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975</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2342</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2343</v>
      </c>
      <c r="B4860" s="27" t="s">
        <v>2210</v>
      </c>
      <c r="C4860" s="27" t="s">
        <v>974</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2344</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2340</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991</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1585</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1432</v>
      </c>
      <c r="B4865" s="27" t="s">
        <v>2345</v>
      </c>
      <c r="C4865" s="27" t="s">
        <v>1011</v>
      </c>
      <c r="D4865" s="27" t="s">
        <v>969</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2340</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1009</v>
      </c>
      <c r="B4867" s="27" t="s">
        <v>2345</v>
      </c>
      <c r="C4867" s="27" t="s">
        <v>1011</v>
      </c>
      <c r="D4867" s="27" t="s">
        <v>969</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2346</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1005</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row>
    <row r="4871" spans="1:12">
      <c r="A4871" s="20" t="s">
        <v>2347</v>
      </c>
    </row>
    <row r="4872" spans="1:12">
      <c r="A4872" s="20" t="s">
        <v>1251</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1497</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1280</v>
      </c>
      <c r="B4874" s="27" t="s">
        <v>978</v>
      </c>
      <c r="C4874" s="27" t="s">
        <v>1102</v>
      </c>
      <c r="D4874" s="27" t="s">
        <v>969</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2348</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2349</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2350</v>
      </c>
      <c r="B4877" s="27" t="s">
        <v>967</v>
      </c>
      <c r="C4877" s="27" t="s">
        <v>1141</v>
      </c>
      <c r="D4877" s="27" t="s">
        <v>969</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991</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1024</v>
      </c>
      <c r="B4879" s="27" t="s">
        <v>994</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1086</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2351</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999</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150</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2352</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991</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996</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985</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1406</v>
      </c>
      <c r="B4888" s="27" t="s">
        <v>1010</v>
      </c>
      <c r="C4888" s="27" t="s">
        <v>979</v>
      </c>
      <c r="D4888" s="27" t="s">
        <v>969</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1095</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1078</v>
      </c>
      <c r="B4890" s="27" t="s">
        <v>982</v>
      </c>
      <c r="C4890" s="27" t="s">
        <v>974</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991</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985</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2353</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1406</v>
      </c>
      <c r="B4894" s="27" t="s">
        <v>1003</v>
      </c>
      <c r="C4894" s="27" t="s">
        <v>979</v>
      </c>
      <c r="D4894" s="27" t="s">
        <v>969</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t="s">
        <v>980</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t="s">
        <v>1445</v>
      </c>
      <c r="E4896" s="21">
        <f>IF(D4896="?OLD","!!!","")</f>
        <v/>
      </c>
      <c r="F4896" s="22" t="str">
        <f>IF(OR(E4896="",E4896="!!!"),"",IF(NOT(ISNA(VLOOKUP(E4896,E$1:E4895,1,FALSE()))),"OLD",IF(AND(E4896&lt;&gt;"",E4896&lt;&gt;"!!!"),"NEW","")))</f>
        <v> </v>
      </c>
      <c r="G4896" s="23" t="str">
        <f>IF(OR(E4896="",E4896="!!!"),"",IF(OR(J4896=0,AND(J4896=1,K4896=1),AND(J4896=1,I4896="SBJ"),AND(J4896=1,I4896=0)),"?IN_FOCUS",IF(J4896&lt;=2,"?ACTIVATED",IF(J4896&lt;&gt;"","?FAMILIAR",IF(F4896="NEW",IF(ISNA(VLOOKUP(E4896,#REF!,1,FALSE())),"?TYPE_IDENTIFIABLE","?REFERENTIAL"),"_")))))</f>
        <v> </v>
      </c>
      <c r="H4896" s="24" t="str">
        <f>IF(J4896&lt;&gt;1,"",IF(I4896="SBJ","CB","?"))</f>
        <v> </v>
      </c>
      <c r="I4896" s="25" t="str">
        <f>IF(OR(E4896="",E4896="!!!",F4896="NEW"),"",INDEX(B4895:B$2,-1+SUMPRODUCT(MAX(ROW(E4895:E$2)*(E4896=E4895:E$2)))))</f>
        <v> </v>
      </c>
      <c r="J4896" s="25" t="str">
        <f>IF(OR(E4896="",E4896="!!!",F4896="NEW"),"",COUNTBLANK(OFFSET(A$1,,,SUMPRODUCT(MAX(ROW(E$2:E4896)*(E4896=E$2:E4896)))))-COUNTBLANK(OFFSET(A$1,,,SUMPRODUCT(MAX(ROW(E$1:E4895)*(E2=E$1:E4895))))))</f>
        <v> </v>
      </c>
      <c r="K4896" s="25" t="str">
        <f>IF(OR(E4896="",E4896="!!!",F4896="NEW"),"",INDEX(J$1:J4895,SUMPRODUCT(MAX(ROW(E$1:E4895)*(E4896=E$1:E4895)))))</f>
        <v> </v>
      </c>
      <c r="L4896" s="26"/>
    </row>
    <row r="4897" spans="1:12">
      <c r="A4897" s="20" t="s">
        <v>2055</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991</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1051</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2354</v>
      </c>
      <c r="B4900" s="27" t="s">
        <v>1053</v>
      </c>
      <c r="C4900" s="27" t="s">
        <v>1018</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2355</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991</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980</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996</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1086</v>
      </c>
      <c r="B4905" s="27" t="s">
        <v>994</v>
      </c>
      <c r="C4905" s="27" t="s">
        <v>968</v>
      </c>
      <c r="D4905" s="27" t="s">
        <v>969</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1021</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2356</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1097</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1005</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row>
    <row r="4911" spans="1:12">
      <c r="A4911" s="20" t="s">
        <v>2357</v>
      </c>
    </row>
    <row r="4912" spans="1:12">
      <c r="A4912" s="20" t="s">
        <v>966</v>
      </c>
      <c r="B4912" s="27" t="s">
        <v>967</v>
      </c>
      <c r="C4912" s="27" t="s">
        <v>968</v>
      </c>
      <c r="D4912" s="27" t="s">
        <v>969</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1739</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991</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996</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1024</v>
      </c>
      <c r="B4916" s="27" t="s">
        <v>1010</v>
      </c>
      <c r="C4916" s="27" t="s">
        <v>1011</v>
      </c>
      <c r="D4916" s="27" t="s">
        <v>969</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2358</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2359</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1097</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1005</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row>
    <row r="4922" spans="1:12">
      <c r="A4922" s="20" t="s">
        <v>2360</v>
      </c>
    </row>
    <row r="4923" spans="1:12">
      <c r="A4923" s="20" t="s">
        <v>1251</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1047</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2356</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991</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996</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1038</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1111</v>
      </c>
      <c r="B4929" s="27" t="s">
        <v>1010</v>
      </c>
      <c r="C4929" s="27" t="s">
        <v>979</v>
      </c>
      <c r="D4929" s="27" t="s">
        <v>969</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985</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2361</v>
      </c>
      <c r="B4931" s="27" t="s">
        <v>1013</v>
      </c>
      <c r="C4931" s="27" t="s">
        <v>979</v>
      </c>
      <c r="D4931" s="27" t="s">
        <v>969</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2362</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991</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1240</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1086</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1497</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2363</v>
      </c>
      <c r="B4937" s="27" t="s">
        <v>1010</v>
      </c>
      <c r="C4937" s="27" t="s">
        <v>1001</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991</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1043</v>
      </c>
      <c r="B4939" s="27" t="s">
        <v>997</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1213</v>
      </c>
      <c r="B4940" s="27" t="s">
        <v>1198</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2364</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2365</v>
      </c>
      <c r="B4942" s="27" t="s">
        <v>1003</v>
      </c>
      <c r="C4942" s="27" t="s">
        <v>1083</v>
      </c>
      <c r="D4942" s="27" t="s">
        <v>969</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2366</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991</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1723</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1021</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975</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1191</v>
      </c>
      <c r="B4948" s="27" t="s">
        <v>982</v>
      </c>
      <c r="C4948" s="27" t="s">
        <v>988</v>
      </c>
      <c r="D4948" s="27" t="s">
        <v>969</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2367</v>
      </c>
      <c r="B4949" s="27" t="s">
        <v>978</v>
      </c>
      <c r="C4949" s="27" t="s">
        <v>974</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1005</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row>
    <row r="4952" spans="1:12">
      <c r="A4952" s="20" t="s">
        <v>1060</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2368</v>
      </c>
    </row>
    <row r="4954" spans="1:12">
      <c r="A4954" s="20" t="s">
        <v>1007</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1041</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100</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1111</v>
      </c>
      <c r="B4957" s="27" t="s">
        <v>967</v>
      </c>
      <c r="C4957" s="27" t="s">
        <v>974</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1194</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965</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2369</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1078</v>
      </c>
      <c r="B4961" s="27" t="s">
        <v>994</v>
      </c>
      <c r="C4961" s="27" t="s">
        <v>974</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t="s">
        <v>1021</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t="s">
        <v>1051</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2370</v>
      </c>
      <c r="B4964" s="27" t="s">
        <v>978</v>
      </c>
      <c r="C4964" s="27" t="s">
        <v>1648</v>
      </c>
      <c r="D4964" s="27" t="s">
        <v>969</v>
      </c>
      <c r="E4964" s="21">
        <f>IF(D4964="?OLD","!!!","")</f>
        <v/>
      </c>
      <c r="F4964" s="22" t="str">
        <f>IF(OR(E4964="",E4964="!!!"),"",IF(NOT(ISNA(VLOOKUP(E4964,E$1:E4963,1,FALSE()))),"OLD",IF(AND(E4964&lt;&gt;"",E4964&lt;&gt;"!!!"),"NEW","")))</f>
        <v> </v>
      </c>
      <c r="G4964" s="23" t="str">
        <f>IF(OR(E4964="",E4964="!!!"),"",IF(OR(J4964=0,AND(J4964=1,K4964=1),AND(J4964=1,I4964="SBJ"),AND(J4964=1,I4964=0)),"?IN_FOCUS",IF(J4964&lt;=2,"?ACTIVATED",IF(J4964&lt;&gt;"","?FAMILIAR",IF(F4964="NEW",IF(ISNA(VLOOKUP(E4964,#REF!,1,FALSE())),"?TYPE_IDENTIFIABLE","?REFERENTIAL"),"_")))))</f>
        <v> </v>
      </c>
      <c r="H4964" s="24" t="str">
        <f>IF(J4964&lt;&gt;1,"",IF(I4964="SBJ","CB","?"))</f>
        <v> </v>
      </c>
      <c r="I4964" s="25" t="str">
        <f>IF(OR(E4964="",E4964="!!!",F4964="NEW"),"",INDEX(B4963:B$2,-1+SUMPRODUCT(MAX(ROW(E4963:E$2)*(E4964=E4963:E$2)))))</f>
        <v> </v>
      </c>
      <c r="J4964" s="25" t="str">
        <f>IF(OR(E4964="",E4964="!!!",F4964="NEW"),"",COUNTBLANK(OFFSET(A$1,,,SUMPRODUCT(MAX(ROW(E$2:E4964)*(E4964=E$2:E4964)))))-COUNTBLANK(OFFSET(A$1,,,SUMPRODUCT(MAX(ROW(E$1:E4963)*(E2=E$1:E4963))))))</f>
        <v> </v>
      </c>
      <c r="K4964" s="25" t="str">
        <f>IF(OR(E4964="",E4964="!!!",F4964="NEW"),"",INDEX(J$1:J4963,SUMPRODUCT(MAX(ROW(E$1:E4963)*(E4964=E$1:E4963)))))</f>
        <v> </v>
      </c>
      <c r="L4964" s="26"/>
    </row>
    <row r="4965" spans="1:12">
      <c r="A4965" s="20" t="s">
        <v>2371</v>
      </c>
      <c r="B4965" s="27" t="s">
        <v>982</v>
      </c>
      <c r="C4965" s="27" t="s">
        <v>1102</v>
      </c>
      <c r="D4965" s="27" t="s">
        <v>969</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991</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1177</v>
      </c>
      <c r="B4967" s="27" t="s">
        <v>1198</v>
      </c>
      <c r="C4967" s="27" t="s">
        <v>1011</v>
      </c>
      <c r="D4967" s="27" t="s">
        <v>969</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1111</v>
      </c>
      <c r="B4968" s="27" t="s">
        <v>997</v>
      </c>
      <c r="C4968" s="27" t="s">
        <v>974</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2372</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2373</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1373</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row>
    <row r="4973" spans="1:12">
      <c r="A4973" s="20" t="s">
        <v>2374</v>
      </c>
    </row>
    <row r="4974" spans="1:12">
      <c r="A4974" s="20" t="s">
        <v>2375</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1432</v>
      </c>
      <c r="B4975" s="27" t="s">
        <v>967</v>
      </c>
      <c r="C4975" s="27" t="s">
        <v>1011</v>
      </c>
      <c r="D4975" s="27" t="s">
        <v>969</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1447</v>
      </c>
      <c r="B4976" s="27" t="s">
        <v>973</v>
      </c>
      <c r="C4976" s="27" t="s">
        <v>1011</v>
      </c>
      <c r="D4976" s="27" t="s">
        <v>969</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1021</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1233</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2376</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991</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1078</v>
      </c>
      <c r="B4981" s="27" t="s">
        <v>1013</v>
      </c>
      <c r="C4981" s="27" t="s">
        <v>974</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999</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104</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1373</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row>
    <row r="4986" spans="1:12">
      <c r="A4986" s="20" t="s">
        <v>1060</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2377</v>
      </c>
    </row>
    <row r="4988" spans="1:12">
      <c r="A4988" s="20" t="s">
        <v>1420</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1024</v>
      </c>
      <c r="B4989" s="27" t="s">
        <v>967</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1021</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2370</v>
      </c>
      <c r="B4991" s="27" t="s">
        <v>1053</v>
      </c>
      <c r="C4991" s="27" t="s">
        <v>974</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1451</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1452</v>
      </c>
      <c r="B4993" s="27" t="s">
        <v>1053</v>
      </c>
      <c r="C4993" s="27" t="s">
        <v>1035</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1373</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965</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row>
    <row r="4997" spans="1:12">
      <c r="A4997" s="20" t="s">
        <v>2378</v>
      </c>
    </row>
    <row r="4998" spans="1:12">
      <c r="A4998" s="20" t="s">
        <v>2379</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1113</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993</v>
      </c>
      <c r="B5000" s="27" t="s">
        <v>967</v>
      </c>
      <c r="C5000" s="27" t="s">
        <v>968</v>
      </c>
      <c r="D5000" s="27" t="s">
        <v>969</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100</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991</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2380</v>
      </c>
      <c r="B5003" s="27" t="s">
        <v>1010</v>
      </c>
      <c r="C5003" s="27" t="s">
        <v>974</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1097</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2381</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1005</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row>
    <row r="5008" spans="1:12">
      <c r="A5008" s="20" t="s">
        <v>2382</v>
      </c>
    </row>
    <row r="5009" spans="1:12">
      <c r="A5009" s="20" t="s">
        <v>2383</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1043</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2312</v>
      </c>
      <c r="B5011" s="27" t="s">
        <v>982</v>
      </c>
      <c r="C5011" s="27" t="s">
        <v>979</v>
      </c>
      <c r="D5011" s="27" t="s">
        <v>969</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999</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37</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991</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1508</v>
      </c>
      <c r="B5015" s="27" t="s">
        <v>1000</v>
      </c>
      <c r="C5015" s="27" t="s">
        <v>974</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980</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2384</v>
      </c>
      <c r="B5017" s="27" t="s">
        <v>1000</v>
      </c>
      <c r="C5017" s="27" t="s">
        <v>974</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991</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2081</v>
      </c>
      <c r="B5019" s="27" t="s">
        <v>1000</v>
      </c>
      <c r="C5019" s="27" t="s">
        <v>974</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980</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2385</v>
      </c>
      <c r="B5021" s="27" t="s">
        <v>1000</v>
      </c>
      <c r="C5021" s="27" t="s">
        <v>974</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980</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1138</v>
      </c>
      <c r="B5023" s="27" t="s">
        <v>1000</v>
      </c>
      <c r="C5023" s="27" t="s">
        <v>1001</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985</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1313</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2386</v>
      </c>
      <c r="B5026" s="27" t="s">
        <v>1905</v>
      </c>
      <c r="C5026" s="27" t="s">
        <v>1399</v>
      </c>
      <c r="D5026" s="27" t="s">
        <v>969</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991</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985</v>
      </c>
      <c r="B5028" s="27" t="s">
        <v>2387</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1432</v>
      </c>
      <c r="B5029" s="27" t="s">
        <v>2345</v>
      </c>
      <c r="C5029" s="27" t="s">
        <v>1011</v>
      </c>
      <c r="D5029" s="27" t="s">
        <v>969</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104</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991</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999</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13</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991</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1097</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1513</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2388</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1005</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row>
    <row r="5040" spans="1:12">
      <c r="A5040" s="20" t="s">
        <v>2389</v>
      </c>
    </row>
    <row r="5041" spans="1:12">
      <c r="A5041" s="20" t="s">
        <v>1007</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1559</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1078</v>
      </c>
      <c r="B5043" s="27" t="s">
        <v>967</v>
      </c>
      <c r="C5043" s="27" t="s">
        <v>974</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1195</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1357</v>
      </c>
      <c r="B5045" s="27" t="s">
        <v>1053</v>
      </c>
      <c r="C5045" s="27" t="s">
        <v>1011</v>
      </c>
      <c r="D5045" s="27" t="s">
        <v>969</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991</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1024</v>
      </c>
      <c r="B5047" s="27" t="s">
        <v>1010</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2390</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991</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1114</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1280</v>
      </c>
      <c r="B5051" s="27" t="s">
        <v>1003</v>
      </c>
      <c r="C5051" s="27" t="s">
        <v>1102</v>
      </c>
      <c r="D5051" s="27" t="s">
        <v>969</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2391</v>
      </c>
      <c r="B5052" s="27" t="s">
        <v>994</v>
      </c>
      <c r="C5052" s="27" t="s">
        <v>1141</v>
      </c>
      <c r="D5052" s="27" t="s">
        <v>969</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2392</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1005</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row>
    <row r="5056" spans="1:12">
      <c r="A5056" s="20" t="s">
        <v>2393</v>
      </c>
    </row>
    <row r="5057" spans="1:12">
      <c r="A5057" s="20" t="s">
        <v>1251</v>
      </c>
      <c r="B5057" s="27" t="s">
        <v>967</v>
      </c>
      <c r="C5057" s="27" t="s">
        <v>968</v>
      </c>
      <c r="D5057" s="27" t="s">
        <v>969</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1097</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2176</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2394</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1005</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row>
    <row r="5063" spans="1:12">
      <c r="A5063" s="20" t="s">
        <v>1060</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2395</v>
      </c>
    </row>
    <row r="5065" spans="1:12">
      <c r="A5065" s="20" t="s">
        <v>1111</v>
      </c>
      <c r="B5065" s="27" t="s">
        <v>967</v>
      </c>
      <c r="C5065" s="27" t="s">
        <v>974</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665</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999</v>
      </c>
      <c r="B5067" s="27" t="s">
        <v>978</v>
      </c>
      <c r="C5067" s="27" t="s">
        <v>1001</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1026</v>
      </c>
      <c r="B5068" s="27" t="s">
        <v>1053</v>
      </c>
      <c r="C5068" s="27" t="s">
        <v>968</v>
      </c>
      <c r="D5068" s="27" t="s">
        <v>969</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980</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100</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1194</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965</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966</v>
      </c>
      <c r="B5073" s="27" t="s">
        <v>1010</v>
      </c>
      <c r="C5073" s="27" t="s">
        <v>968</v>
      </c>
      <c r="D5073" s="27" t="s">
        <v>969</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1739</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991</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1114</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993</v>
      </c>
      <c r="B5077" s="27" t="s">
        <v>994</v>
      </c>
      <c r="C5077" s="27" t="s">
        <v>968</v>
      </c>
      <c r="D5077" s="27" t="s">
        <v>969</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1394</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1051</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1607</v>
      </c>
      <c r="B5080" s="27" t="s">
        <v>982</v>
      </c>
      <c r="C5080" s="27" t="s">
        <v>1018</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2396</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991</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2397</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993</v>
      </c>
      <c r="B5084" s="27" t="s">
        <v>994</v>
      </c>
      <c r="C5084" s="27" t="s">
        <v>968</v>
      </c>
      <c r="D5084" s="27" t="s">
        <v>969</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t="s">
        <v>1672</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t="s">
        <v>1346</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1079</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1005</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965</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row>
    <row r="5091" spans="1:12">
      <c r="A5091" s="20" t="s">
        <v>1060</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2398</v>
      </c>
    </row>
    <row r="5093" spans="1:12">
      <c r="A5093" s="20" t="s">
        <v>1007</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993</v>
      </c>
      <c r="B5094" s="27" t="s">
        <v>967</v>
      </c>
      <c r="C5094" s="27" t="s">
        <v>968</v>
      </c>
      <c r="D5094" s="27" t="s">
        <v>969</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2399</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1919</v>
      </c>
      <c r="B5096" s="27" t="s">
        <v>973</v>
      </c>
      <c r="C5096" s="27" t="s">
        <v>968</v>
      </c>
      <c r="D5096" s="27" t="s">
        <v>969</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1067</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1194</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965</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1268</v>
      </c>
      <c r="B5100" s="27" t="s">
        <v>1010</v>
      </c>
      <c r="C5100" s="27" t="s">
        <v>968</v>
      </c>
      <c r="D5100" s="27" t="s">
        <v>969</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1530</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1672</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2400</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991</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1240</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1268</v>
      </c>
      <c r="B5106" s="27" t="s">
        <v>994</v>
      </c>
      <c r="C5106" s="27" t="s">
        <v>968</v>
      </c>
      <c r="D5106" s="27" t="s">
        <v>969</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462</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1828</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1158</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149</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37</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1005</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row>
    <row r="5114" spans="1:12">
      <c r="A5114" s="20" t="s">
        <v>2401</v>
      </c>
    </row>
    <row r="5115" spans="1:12">
      <c r="A5115" s="20" t="s">
        <v>1163</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1307</v>
      </c>
      <c r="B5116" s="27" t="s">
        <v>967</v>
      </c>
      <c r="C5116" s="27" t="s">
        <v>979</v>
      </c>
      <c r="D5116" s="27" t="s">
        <v>969</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1097</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2402</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980</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1024</v>
      </c>
      <c r="B5120" s="27" t="s">
        <v>1010</v>
      </c>
      <c r="C5120" s="27" t="s">
        <v>1102</v>
      </c>
      <c r="D5120" s="27" t="s">
        <v>969</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1097</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1051</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2403</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1607</v>
      </c>
      <c r="B5124" s="27" t="s">
        <v>1053</v>
      </c>
      <c r="C5124" s="27" t="s">
        <v>1018</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991</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1024</v>
      </c>
      <c r="B5126" s="27" t="s">
        <v>1031</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1268</v>
      </c>
      <c r="B5127" s="27" t="s">
        <v>994</v>
      </c>
      <c r="C5127" s="27" t="s">
        <v>968</v>
      </c>
      <c r="D5127" s="27" t="s">
        <v>969</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2226</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2404</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1005</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row>
    <row r="5132" spans="1:12">
      <c r="A5132" s="20" t="s">
        <v>1060</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2405</v>
      </c>
    </row>
    <row r="5134" spans="1:12">
      <c r="A5134" s="20" t="s">
        <v>808</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1268</v>
      </c>
      <c r="B5135" s="27" t="s">
        <v>967</v>
      </c>
      <c r="C5135" s="27" t="s">
        <v>968</v>
      </c>
      <c r="D5135" s="27" t="s">
        <v>969</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1024</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1005</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965</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row>
    <row r="5140" spans="1:12">
      <c r="A5140" s="20" t="s">
        <v>2406</v>
      </c>
    </row>
    <row r="5141" spans="1:12">
      <c r="A5141" s="20" t="s">
        <v>1251</v>
      </c>
      <c r="B5141" s="27" t="s">
        <v>967</v>
      </c>
      <c r="C5141" s="27" t="s">
        <v>968</v>
      </c>
      <c r="D5141" s="27" t="s">
        <v>969</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1097</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1016</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1055</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2407</v>
      </c>
      <c r="B5145" s="27" t="s">
        <v>1053</v>
      </c>
      <c r="C5145" s="27" t="s">
        <v>1018</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1043</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2408</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1087</v>
      </c>
      <c r="B5148" s="27" t="s">
        <v>1053</v>
      </c>
      <c r="C5148" s="27" t="s">
        <v>979</v>
      </c>
      <c r="D5148" s="27" t="s">
        <v>969</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991</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980</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1365</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2409</v>
      </c>
      <c r="B5152" s="27" t="s">
        <v>978</v>
      </c>
      <c r="C5152" s="27" t="s">
        <v>1001</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2207</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2410</v>
      </c>
      <c r="B5154" s="27" t="s">
        <v>1053</v>
      </c>
      <c r="C5154" s="27" t="s">
        <v>1123</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991</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996</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1432</v>
      </c>
      <c r="B5157" s="27" t="s">
        <v>1010</v>
      </c>
      <c r="C5157" s="27" t="s">
        <v>1011</v>
      </c>
      <c r="D5157" s="27" t="s">
        <v>969</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2411</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2412</v>
      </c>
      <c r="B5159" s="27" t="s">
        <v>1013</v>
      </c>
      <c r="C5159" s="27" t="s">
        <v>1141</v>
      </c>
      <c r="D5159" s="27" t="s">
        <v>969</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991</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1078</v>
      </c>
      <c r="B5161" s="27" t="s">
        <v>982</v>
      </c>
      <c r="C5161" s="27" t="s">
        <v>974</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991</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2413</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991</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1437</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999</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1103</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991</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1214</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2086</v>
      </c>
      <c r="B5170" s="27" t="s">
        <v>982</v>
      </c>
      <c r="C5170" s="27" t="s">
        <v>974</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1213</v>
      </c>
      <c r="B5171" s="27" t="s">
        <v>1031</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13</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991</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1114</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1086</v>
      </c>
      <c r="B5175" s="27" t="s">
        <v>994</v>
      </c>
      <c r="C5175" s="27" t="s">
        <v>968</v>
      </c>
      <c r="D5175" s="27" t="s">
        <v>969</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1151</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1606</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2414</v>
      </c>
      <c r="B5178" s="27" t="s">
        <v>982</v>
      </c>
      <c r="C5178" s="27" t="s">
        <v>1035</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2415</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991</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980</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1437</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999</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1103</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991</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1214</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1213</v>
      </c>
      <c r="B5187" s="27" t="s">
        <v>1198</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1377</v>
      </c>
      <c r="B5188" s="27" t="s">
        <v>997</v>
      </c>
      <c r="C5188" s="27" t="s">
        <v>1001</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970</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991</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t="s">
        <v>1016</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2416</v>
      </c>
      <c r="B5192" s="27" t="s">
        <v>978</v>
      </c>
      <c r="C5192" s="27" t="s">
        <v>1018</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991</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2417</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1115</v>
      </c>
      <c r="B5195" s="27" t="s">
        <v>997</v>
      </c>
      <c r="C5195" s="27" t="s">
        <v>968</v>
      </c>
      <c r="D5195" s="27" t="s">
        <v>969</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2110</v>
      </c>
      <c r="B5196" s="27" t="s">
        <v>1198</v>
      </c>
      <c r="C5196" s="27" t="s">
        <v>974</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2418</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1005</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row>
    <row r="5200" spans="1:12">
      <c r="A5200" s="20" t="s">
        <v>1060</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t="s">
        <v>2419</v>
      </c>
    </row>
    <row r="5202" spans="1:12">
      <c r="A5202" s="20" t="s">
        <v>966</v>
      </c>
      <c r="B5202" s="27" t="s">
        <v>967</v>
      </c>
      <c r="C5202" s="27" t="s">
        <v>968</v>
      </c>
      <c r="D5202" s="27" t="s">
        <v>969</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1411</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t="s">
        <v>1770</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1194</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965</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1420</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1086</v>
      </c>
      <c r="B5208" s="27" t="s">
        <v>1010</v>
      </c>
      <c r="C5208" s="27" t="s">
        <v>968</v>
      </c>
      <c r="D5208" s="27" t="s">
        <v>969</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1037</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2420</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1508</v>
      </c>
      <c r="B5211" s="27" t="s">
        <v>978</v>
      </c>
      <c r="C5211" s="27" t="s">
        <v>974</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2421</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1373</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965</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row>
    <row r="5216" spans="1:12">
      <c r="A5216" s="20" t="s">
        <v>2422</v>
      </c>
    </row>
    <row r="5217" spans="1:12">
      <c r="A5217" s="20" t="s">
        <v>966</v>
      </c>
      <c r="B5217" s="27" t="s">
        <v>967</v>
      </c>
      <c r="C5217" s="27" t="s">
        <v>968</v>
      </c>
      <c r="D5217" s="27" t="s">
        <v>969</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1990</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991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996</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1086</v>
      </c>
      <c r="B5221" s="27" t="s">
        <v>1010</v>
      </c>
      <c r="C5221" s="27" t="s">
        <v>968</v>
      </c>
      <c r="D5221" s="27" t="s">
        <v>969</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2423</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1037</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2420</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1508</v>
      </c>
      <c r="B5225" s="27" t="s">
        <v>978</v>
      </c>
      <c r="C5225" s="27" t="s">
        <v>974</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2421</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1097</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1005</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row>
    <row r="5230" spans="1:12">
      <c r="A5230" s="20" t="s">
        <v>2424</v>
      </c>
    </row>
    <row r="5231" spans="1:12">
      <c r="A5231" s="20" t="s">
        <v>1251</v>
      </c>
      <c r="B5231" s="27" t="s">
        <v>967</v>
      </c>
      <c r="C5231" s="27" t="s">
        <v>968</v>
      </c>
      <c r="D5231" s="27" t="s">
        <v>969</v>
      </c>
      <c r="E5231" s="21">
        <f>IF(D5231="?OLD","!!!","")</f>
        <v/>
      </c>
      <c r="F5231" s="22" t="str">
        <f>IF(OR(E5231="",E5231="!!!"),"",IF(NOT(ISNA(VLOOKUP(E5231,E$1:E5230,1,FALSE()))),"OLD",IF(AND(E5231&lt;&gt;"",E5231&lt;&gt;"!!!"),"NEW","")))</f>
        <v> </v>
      </c>
      <c r="G5231" s="23" t="str">
        <f>IF(OR(E5231="",E5231="!!!"),"",IF(OR(J5231=0,AND(J5231=1,K5231=1),AND(J5231=1,I5231="SBJ"),AND(J5231=1,I5231=0)),"?IN_FOCUS",IF(J5231&lt;=2,"?ACTIVATED",IF(J5231&lt;&gt;"","?FAMILIAR",IF(F5231="NEW",IF(ISNA(VLOOKUP(E5231,#REF!,1,FALSE())),"?TYPE_IDENTIFIABLE","?REFERENTIAL"),"_")))))</f>
        <v> </v>
      </c>
      <c r="H5231" s="24" t="str">
        <f>IF(J5231&lt;&gt;1,"",IF(I5231="SBJ","CB","?"))</f>
        <v> </v>
      </c>
      <c r="I5231" s="25" t="str">
        <f>IF(OR(E5231="",E5231="!!!",F5231="NEW"),"",INDEX(B5230:B$2,-1+SUMPRODUCT(MAX(ROW(E5230:E$2)*(E5231=E5230:E$2)))))</f>
        <v> </v>
      </c>
      <c r="J5231" s="25" t="str">
        <f>IF(OR(E5231="",E5231="!!!",F5231="NEW"),"",COUNTBLANK(OFFSET(A$1,,,SUMPRODUCT(MAX(ROW(E$2:E5231)*(E5231=E$2:E5231)))))-COUNTBLANK(OFFSET(A$1,,,SUMPRODUCT(MAX(ROW(E$1:E5230)*(E2=E$1:E5230))))))</f>
        <v> </v>
      </c>
      <c r="K5231" s="25" t="str">
        <f>IF(OR(E5231="",E5231="!!!",F5231="NEW"),"",INDEX(J$1:J5230,SUMPRODUCT(MAX(ROW(E$1:E5230)*(E5231=E$1:E5230)))))</f>
        <v> </v>
      </c>
      <c r="L5231" s="26"/>
    </row>
    <row r="5232" spans="1:12">
      <c r="A5232" s="20" t="s">
        <v>1497</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1051</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2425</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2327</v>
      </c>
      <c r="B5235" s="27" t="s">
        <v>973</v>
      </c>
      <c r="C5235" s="27" t="s">
        <v>1018</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1151</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2426</v>
      </c>
      <c r="B5237" s="27" t="s">
        <v>978</v>
      </c>
      <c r="C5237" s="27" t="s">
        <v>974</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991</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1240</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1086</v>
      </c>
      <c r="B5240" s="27" t="s">
        <v>1010</v>
      </c>
      <c r="C5240" s="27" t="s">
        <v>968</v>
      </c>
      <c r="D5240" s="27" t="s">
        <v>969</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1097</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985</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2120</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1252</v>
      </c>
      <c r="B5244" s="27" t="s">
        <v>1053</v>
      </c>
      <c r="C5244" s="27" t="s">
        <v>979</v>
      </c>
      <c r="D5244" s="27" t="s">
        <v>969</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1095</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2426</v>
      </c>
      <c r="B5246" s="27" t="s">
        <v>978</v>
      </c>
      <c r="C5246" s="27" t="s">
        <v>974</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t="s">
        <v>1560</v>
      </c>
      <c r="E5247" s="21">
        <f>IF(D5247="?OLD","!!!","")</f>
        <v/>
      </c>
      <c r="F5247" s="22" t="str">
        <f>IF(OR(E5247="",E5247="!!!"),"",IF(NOT(ISNA(VLOOKUP(E5247,E$1:E5246,1,FALSE()))),"OLD",IF(AND(E5247&lt;&gt;"",E5247&lt;&gt;"!!!"),"NEW","")))</f>
        <v> </v>
      </c>
      <c r="G5247" s="23" t="str">
        <f>IF(OR(E5247="",E5247="!!!"),"",IF(OR(J5247=0,AND(J5247=1,K5247=1),AND(J5247=1,I5247="SBJ"),AND(J5247=1,I5247=0)),"?IN_FOCUS",IF(J5247&lt;=2,"?ACTIVATED",IF(J5247&lt;&gt;"","?FAMILIAR",IF(F5247="NEW",IF(ISNA(VLOOKUP(E5247,#REF!,1,FALSE())),"?TYPE_IDENTIFIABLE","?REFERENTIAL"),"_")))))</f>
        <v> </v>
      </c>
      <c r="H5247" s="24" t="str">
        <f>IF(J5247&lt;&gt;1,"",IF(I5247="SBJ","CB","?"))</f>
        <v> </v>
      </c>
      <c r="I5247" s="25" t="str">
        <f>IF(OR(E5247="",E5247="!!!",F5247="NEW"),"",INDEX(B5246:B$2,-1+SUMPRODUCT(MAX(ROW(E5246:E$2)*(E5247=E5246:E$2)))))</f>
        <v> </v>
      </c>
      <c r="J5247" s="25" t="str">
        <f>IF(OR(E5247="",E5247="!!!",F5247="NEW"),"",COUNTBLANK(OFFSET(A$1,,,SUMPRODUCT(MAX(ROW(E$2:E5247)*(E5247=E$2:E5247)))))-COUNTBLANK(OFFSET(A$1,,,SUMPRODUCT(MAX(ROW(E$1:E5246)*(E2=E$1:E5246))))))</f>
        <v> </v>
      </c>
      <c r="K5247" s="25" t="str">
        <f>IF(OR(E5247="",E5247="!!!",F5247="NEW"),"",INDEX(J$1:J5246,SUMPRODUCT(MAX(ROW(E$1:E5246)*(E5247=E$1:E5246)))))</f>
        <v> </v>
      </c>
      <c r="L5247" s="26"/>
    </row>
    <row r="5248" spans="1:12">
      <c r="A5248" s="20" t="s">
        <v>1382</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t="s">
        <v>2427</v>
      </c>
      <c r="B5249" s="27" t="s">
        <v>1003</v>
      </c>
      <c r="C5249" s="27" t="s">
        <v>1018</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2202</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t="s">
        <v>1687</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2428</v>
      </c>
      <c r="B5252" s="27" t="s">
        <v>1000</v>
      </c>
      <c r="C5252" s="27" t="s">
        <v>979</v>
      </c>
      <c r="D5252" s="27" t="s">
        <v>969</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991</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1043</v>
      </c>
      <c r="B5254" s="27" t="s">
        <v>2341</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1051</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1808</v>
      </c>
      <c r="B5256" s="27" t="s">
        <v>2429</v>
      </c>
      <c r="C5256" s="27" t="s">
        <v>1001</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2430</v>
      </c>
      <c r="B5257" s="27" t="s">
        <v>2431</v>
      </c>
      <c r="C5257" s="27" t="s">
        <v>1018</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1282</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991</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985</v>
      </c>
      <c r="B5260" s="27" t="s">
        <v>1294</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1220</v>
      </c>
      <c r="B5261" s="27" t="s">
        <v>1294</v>
      </c>
      <c r="C5261" s="27" t="s">
        <v>1001</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2432</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980</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2433</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1200</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991</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980</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976</v>
      </c>
      <c r="B5268" s="27" t="s">
        <v>982</v>
      </c>
      <c r="C5268" s="27" t="s">
        <v>1102</v>
      </c>
      <c r="D5268" s="27" t="s">
        <v>969</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991</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1177</v>
      </c>
      <c r="B5270" s="27" t="s">
        <v>1294</v>
      </c>
      <c r="C5270" s="27" t="s">
        <v>1011</v>
      </c>
      <c r="D5270" s="27" t="s">
        <v>969</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2020</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991</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t="s">
        <v>1114</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1220</v>
      </c>
      <c r="B5274" s="27" t="s">
        <v>1588</v>
      </c>
      <c r="C5274" s="27" t="s">
        <v>1001</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1024</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1236</v>
      </c>
      <c r="B5276" s="27" t="s">
        <v>1905</v>
      </c>
      <c r="C5276" s="27" t="s">
        <v>979</v>
      </c>
      <c r="D5276" s="27" t="s">
        <v>969</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384</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1147</v>
      </c>
      <c r="B5278" s="27" t="s">
        <v>1398</v>
      </c>
      <c r="C5278" s="27" t="s">
        <v>1123</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2434</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980</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1086</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2435</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991</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992</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1086</v>
      </c>
      <c r="B5285" s="27" t="s">
        <v>2345</v>
      </c>
      <c r="C5285" s="27" t="s">
        <v>968</v>
      </c>
      <c r="D5285" s="27" t="s">
        <v>969</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1394</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1515</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1051</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2436</v>
      </c>
      <c r="B5289" s="27" t="s">
        <v>2210</v>
      </c>
      <c r="C5289" s="27" t="s">
        <v>1018</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1095</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2437</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2438</v>
      </c>
      <c r="B5292" s="27" t="s">
        <v>2429</v>
      </c>
      <c r="C5292" s="27" t="s">
        <v>974</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1097</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1005</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row>
    <row r="5296" spans="1:12">
      <c r="A5296" s="20" t="s">
        <v>2439</v>
      </c>
    </row>
    <row r="5297" spans="1:12">
      <c r="A5297" s="20" t="s">
        <v>1251</v>
      </c>
      <c r="B5297" s="27" t="s">
        <v>967</v>
      </c>
      <c r="C5297" s="27" t="s">
        <v>968</v>
      </c>
      <c r="D5297" s="27" t="s">
        <v>969</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1097</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t="s">
        <v>1769</v>
      </c>
      <c r="B5299" s="27" t="s">
        <v>1053</v>
      </c>
      <c r="C5299" s="27" t="s">
        <v>1102</v>
      </c>
      <c r="D5299" s="27" t="s">
        <v>969</v>
      </c>
      <c r="E5299" s="21">
        <f>IF(D5299="?OLD","!!!","")</f>
        <v/>
      </c>
      <c r="F5299" s="22" t="str">
        <f>IF(OR(E5299="",E5299="!!!"),"",IF(NOT(ISNA(VLOOKUP(E5299,E$1:E5298,1,FALSE()))),"OLD",IF(AND(E5299&lt;&gt;"",E5299&lt;&gt;"!!!"),"NEW","")))</f>
        <v> </v>
      </c>
      <c r="G5299" s="23" t="str">
        <f>IF(OR(E5299="",E5299="!!!"),"",IF(OR(J5299=0,AND(J5299=1,K5299=1),AND(J5299=1,I5299="SBJ"),AND(J5299=1,I5299=0)),"?IN_FOCUS",IF(J5299&lt;=2,"?ACTIVATED",IF(J5299&lt;&gt;"","?FAMILIAR",IF(F5299="NEW",IF(ISNA(VLOOKUP(E5299,#REF!,1,FALSE())),"?TYPE_IDENTIFIABLE","?REFERENTIAL"),"_")))))</f>
        <v> </v>
      </c>
      <c r="H5299" s="24" t="str">
        <f>IF(J5299&lt;&gt;1,"",IF(I5299="SBJ","CB","?"))</f>
        <v> </v>
      </c>
      <c r="I5299" s="25" t="str">
        <f>IF(OR(E5299="",E5299="!!!",F5299="NEW"),"",INDEX(B5298:B$2,-1+SUMPRODUCT(MAX(ROW(E5298:E$2)*(E5299=E5298:E$2)))))</f>
        <v> </v>
      </c>
      <c r="J5299" s="25" t="str">
        <f>IF(OR(E5299="",E5299="!!!",F5299="NEW"),"",COUNTBLANK(OFFSET(A$1,,,SUMPRODUCT(MAX(ROW(E$2:E5299)*(E5299=E$2:E5299)))))-COUNTBLANK(OFFSET(A$1,,,SUMPRODUCT(MAX(ROW(E$1:E5298)*(E2=E$1:E5298))))))</f>
        <v> </v>
      </c>
      <c r="K5299" s="25" t="str">
        <f>IF(OR(E5299="",E5299="!!!",F5299="NEW"),"",INDEX(J$1:J5298,SUMPRODUCT(MAX(ROW(E$1:E5298)*(E5299=E$1:E5298)))))</f>
        <v> </v>
      </c>
      <c r="L5299" s="26"/>
    </row>
    <row r="5300" spans="1:12">
      <c r="A5300" s="20" t="s">
        <v>2440</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2441</v>
      </c>
      <c r="B5301" s="27" t="s">
        <v>1053</v>
      </c>
      <c r="C5301" s="27" t="s">
        <v>1141</v>
      </c>
      <c r="D5301" s="27" t="s">
        <v>969</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991</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1280</v>
      </c>
      <c r="B5303" s="27" t="s">
        <v>978</v>
      </c>
      <c r="C5303" s="27" t="s">
        <v>1102</v>
      </c>
      <c r="D5303" s="27" t="s">
        <v>969</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2440</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2442</v>
      </c>
      <c r="B5305" s="27" t="s">
        <v>1053</v>
      </c>
      <c r="C5305" s="27" t="s">
        <v>1141</v>
      </c>
      <c r="D5305" s="27" t="s">
        <v>969</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991</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1024</v>
      </c>
      <c r="B5307" s="27" t="s">
        <v>1031</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1432</v>
      </c>
      <c r="B5308" s="27" t="s">
        <v>994</v>
      </c>
      <c r="C5308" s="27" t="s">
        <v>1011</v>
      </c>
      <c r="D5308" s="27" t="s">
        <v>969</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2443</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t="s">
        <v>2404</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1005</v>
      </c>
      <c r="E5311" s="21">
        <f>IF(D5311="?OLD","!!!","")</f>
        <v/>
      </c>
      <c r="F5311" s="22" t="str">
        <f>IF(OR(E5311="",E5311="!!!"),"",IF(NOT(ISNA(VLOOKUP(E5311,E$1:E5310,1,FALSE()))),"OLD",IF(AND(E5311&lt;&gt;"",E5311&lt;&gt;"!!!"),"NEW","")))</f>
        <v> </v>
      </c>
      <c r="G5311" s="23" t="str">
        <f>IF(OR(E5311="",E5311="!!!"),"",IF(OR(J5311=0,AND(J5311=1,K5311=1),AND(J5311=1,I5311="SBJ"),AND(J5311=1,I5311=0)),"?IN_FOCUS",IF(J5311&lt;=2,"?ACTIVATED",IF(J5311&lt;&gt;"","?FAMILIAR",IF(F5311="NEW",IF(ISNA(VLOOKUP(E5311,#REF!,1,FALSE())),"?TYPE_IDENTIFIABLE","?REFERENTIAL"),"_")))))</f>
        <v> </v>
      </c>
      <c r="H5311" s="24" t="str">
        <f>IF(J5311&lt;&gt;1,"",IF(I5311="SBJ","CB","?"))</f>
        <v> </v>
      </c>
      <c r="I5311" s="25" t="str">
        <f>IF(OR(E5311="",E5311="!!!",F5311="NEW"),"",INDEX(B5310:B$2,-1+SUMPRODUCT(MAX(ROW(E5310:E$2)*(E5311=E5310:E$2)))))</f>
        <v> </v>
      </c>
      <c r="J5311" s="25" t="str">
        <f>IF(OR(E5311="",E5311="!!!",F5311="NEW"),"",COUNTBLANK(OFFSET(A$1,,,SUMPRODUCT(MAX(ROW(E$2:E5311)*(E5311=E$2:E5311)))))-COUNTBLANK(OFFSET(A$1,,,SUMPRODUCT(MAX(ROW(E$1:E5310)*(E2=E$1:E5310))))))</f>
        <v> </v>
      </c>
      <c r="K5311" s="25" t="str">
        <f>IF(OR(E5311="",E5311="!!!",F5311="NEW"),"",INDEX(J$1:J5310,SUMPRODUCT(MAX(ROW(E$1:E5310)*(E5311=E$1:E5310)))))</f>
        <v> </v>
      </c>
      <c r="L5311" s="26"/>
    </row>
    <row r="5312" spans="1:12">
      <c r="A5312" s="20"/>
    </row>
    <row r="5313" spans="1:12">
      <c r="A5313" s="20" t="s">
        <v>1060</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2444</v>
      </c>
    </row>
    <row r="5315" spans="1:12">
      <c r="A5315" s="20" t="s">
        <v>1093</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1111</v>
      </c>
      <c r="B5316" s="27" t="s">
        <v>967</v>
      </c>
      <c r="C5316" s="27" t="s">
        <v>979</v>
      </c>
      <c r="D5316" s="27" t="s">
        <v>969</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100</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1689</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1565</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t="s">
        <v>1194</v>
      </c>
      <c r="E5320" s="21">
        <f>IF(D5320="?OLD","!!!","")</f>
        <v/>
      </c>
      <c r="F5320" s="22" t="str">
        <f>IF(OR(E5320="",E5320="!!!"),"",IF(NOT(ISNA(VLOOKUP(E5320,E$1:E5319,1,FALSE()))),"OLD",IF(AND(E5320&lt;&gt;"",E5320&lt;&gt;"!!!"),"NEW","")))</f>
        <v> </v>
      </c>
      <c r="G5320" s="23" t="str">
        <f>IF(OR(E5320="",E5320="!!!"),"",IF(OR(J5320=0,AND(J5320=1,K5320=1),AND(J5320=1,I5320="SBJ"),AND(J5320=1,I5320=0)),"?IN_FOCUS",IF(J5320&lt;=2,"?ACTIVATED",IF(J5320&lt;&gt;"","?FAMILIAR",IF(F5320="NEW",IF(ISNA(VLOOKUP(E5320,#REF!,1,FALSE())),"?TYPE_IDENTIFIABLE","?REFERENTIAL"),"_")))))</f>
        <v> </v>
      </c>
      <c r="H5320" s="24" t="str">
        <f>IF(J5320&lt;&gt;1,"",IF(I5320="SBJ","CB","?"))</f>
        <v> </v>
      </c>
      <c r="I5320" s="25" t="str">
        <f>IF(OR(E5320="",E5320="!!!",F5320="NEW"),"",INDEX(B5319:B$2,-1+SUMPRODUCT(MAX(ROW(E5319:E$2)*(E5320=E5319:E$2)))))</f>
        <v> </v>
      </c>
      <c r="J5320" s="25" t="str">
        <f>IF(OR(E5320="",E5320="!!!",F5320="NEW"),"",COUNTBLANK(OFFSET(A$1,,,SUMPRODUCT(MAX(ROW(E$2:E5320)*(E5320=E$2:E5320)))))-COUNTBLANK(OFFSET(A$1,,,SUMPRODUCT(MAX(ROW(E$1:E5319)*(E2=E$1:E5319))))))</f>
        <v> </v>
      </c>
      <c r="K5320" s="25" t="str">
        <f>IF(OR(E5320="",E5320="!!!",F5320="NEW"),"",INDEX(J$1:J5319,SUMPRODUCT(MAX(ROW(E$1:E5319)*(E5320=E$1:E5319)))))</f>
        <v> </v>
      </c>
      <c r="L5320" s="26"/>
    </row>
    <row r="5321" spans="1:12">
      <c r="A5321" s="20" t="s">
        <v>965</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1664</v>
      </c>
      <c r="B5322" s="27" t="s">
        <v>1010</v>
      </c>
      <c r="C5322" s="27" t="s">
        <v>968</v>
      </c>
      <c r="D5322" s="27" t="s">
        <v>969</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2445</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1689</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1139</v>
      </c>
      <c r="B5325" s="27" t="s">
        <v>982</v>
      </c>
      <c r="C5325" s="27" t="s">
        <v>1102</v>
      </c>
      <c r="D5325" s="27" t="s">
        <v>969</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2446</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2447</v>
      </c>
      <c r="B5327" s="27" t="s">
        <v>1013</v>
      </c>
      <c r="C5327" s="27" t="s">
        <v>1083</v>
      </c>
      <c r="D5327" s="27" t="s">
        <v>969</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1005</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row>
    <row r="5330" spans="1:12">
      <c r="A5330" s="20" t="s">
        <v>1060</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t="s">
        <v>2448</v>
      </c>
    </row>
    <row r="5332" spans="1:12">
      <c r="A5332" s="20" t="s">
        <v>2449</v>
      </c>
      <c r="E5332" s="21">
        <f>IF(D5332="?OLD","!!!","")</f>
        <v/>
      </c>
      <c r="F5332" s="22" t="str">
        <f>IF(OR(E5332="",E5332="!!!"),"",IF(NOT(ISNA(VLOOKUP(E5332,E$1:E5331,1,FALSE()))),"OLD",IF(AND(E5332&lt;&gt;"",E5332&lt;&gt;"!!!"),"NEW","")))</f>
        <v> </v>
      </c>
      <c r="G5332" s="23" t="str">
        <f>IF(OR(E5332="",E5332="!!!"),"",IF(OR(J5332=0,AND(J5332=1,K5332=1),AND(J5332=1,I5332="SBJ"),AND(J5332=1,I5332=0)),"?IN_FOCUS",IF(J5332&lt;=2,"?ACTIVATED",IF(J5332&lt;&gt;"","?FAMILIAR",IF(F5332="NEW",IF(ISNA(VLOOKUP(E5332,#REF!,1,FALSE())),"?TYPE_IDENTIFIABLE","?REFERENTIAL"),"_")))))</f>
        <v> </v>
      </c>
      <c r="H5332" s="24" t="str">
        <f>IF(J5332&lt;&gt;1,"",IF(I5332="SBJ","CB","?"))</f>
        <v> </v>
      </c>
      <c r="I5332" s="25" t="str">
        <f>IF(OR(E5332="",E5332="!!!",F5332="NEW"),"",INDEX(B5331:B$2,-1+SUMPRODUCT(MAX(ROW(E5331:E$2)*(E5332=E5331:E$2)))))</f>
        <v> </v>
      </c>
      <c r="J5332" s="25" t="str">
        <f>IF(OR(E5332="",E5332="!!!",F5332="NEW"),"",COUNTBLANK(OFFSET(A$1,,,SUMPRODUCT(MAX(ROW(E$2:E5332)*(E5332=E$2:E5332)))))-COUNTBLANK(OFFSET(A$1,,,SUMPRODUCT(MAX(ROW(E$1:E5331)*(E2=E$1:E5331))))))</f>
        <v> </v>
      </c>
      <c r="K5332" s="25" t="str">
        <f>IF(OR(E5332="",E5332="!!!",F5332="NEW"),"",INDEX(J$1:J5331,SUMPRODUCT(MAX(ROW(E$1:E5331)*(E5332=E$1:E5331)))))</f>
        <v> </v>
      </c>
      <c r="L5332" s="26"/>
    </row>
    <row r="5333" spans="1:12">
      <c r="A5333" s="20" t="s">
        <v>1968</v>
      </c>
      <c r="B5333" s="27" t="s">
        <v>967</v>
      </c>
      <c r="C5333" s="27" t="s">
        <v>968</v>
      </c>
      <c r="D5333" s="27" t="s">
        <v>969</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1718</v>
      </c>
      <c r="B5334" s="27" t="s">
        <v>967</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832</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1373</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965</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row>
    <row r="5339" spans="1:12">
      <c r="A5339" s="20" t="s">
        <v>2450</v>
      </c>
    </row>
    <row r="5340" spans="1:12">
      <c r="A5340" s="20" t="s">
        <v>1163</v>
      </c>
      <c r="B5340" s="27" t="s">
        <v>967</v>
      </c>
      <c r="C5340" s="27" t="s">
        <v>1011</v>
      </c>
      <c r="D5340" s="27" t="s">
        <v>969</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2451</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993</v>
      </c>
      <c r="B5342" s="27" t="s">
        <v>967</v>
      </c>
      <c r="C5342" s="27" t="s">
        <v>968</v>
      </c>
      <c r="D5342" s="27" t="s">
        <v>969</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1021</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1005</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row>
    <row r="5346" spans="1:12">
      <c r="A5346" s="20" t="s">
        <v>2452</v>
      </c>
    </row>
    <row r="5347" spans="1:12">
      <c r="A5347" s="20" t="s">
        <v>1144</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993</v>
      </c>
      <c r="B5348" s="27" t="s">
        <v>967</v>
      </c>
      <c r="C5348" s="27" t="s">
        <v>968</v>
      </c>
      <c r="D5348" s="27" t="s">
        <v>969</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1369</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1021</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1517</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991</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996</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993</v>
      </c>
      <c r="B5354" s="27" t="s">
        <v>1010</v>
      </c>
      <c r="C5354" s="27" t="s">
        <v>968</v>
      </c>
      <c r="D5354" s="27" t="s">
        <v>969</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999</v>
      </c>
      <c r="B5355" s="27" t="s">
        <v>982</v>
      </c>
      <c r="C5355" s="27" t="s">
        <v>1001</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1204</v>
      </c>
      <c r="B5356" s="27" t="s">
        <v>978</v>
      </c>
      <c r="C5356" s="27" t="s">
        <v>1083</v>
      </c>
      <c r="D5356" s="27" t="s">
        <v>969</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1205</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1200</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991</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980</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t="s">
        <v>993</v>
      </c>
      <c r="B5361" s="27" t="s">
        <v>1010</v>
      </c>
      <c r="C5361" s="27" t="s">
        <v>968</v>
      </c>
      <c r="D5361" s="27" t="s">
        <v>969</v>
      </c>
      <c r="E5361" s="21">
        <f>IF(D5361="?OLD","!!!","")</f>
        <v/>
      </c>
      <c r="F5361" s="22" t="str">
        <f>IF(OR(E5361="",E5361="!!!"),"",IF(NOT(ISNA(VLOOKUP(E5361,E$1:E5360,1,FALSE()))),"OLD",IF(AND(E5361&lt;&gt;"",E5361&lt;&gt;"!!!"),"NEW","")))</f>
        <v> </v>
      </c>
      <c r="G5361" s="23" t="str">
        <f>IF(OR(E5361="",E5361="!!!"),"",IF(OR(J5361=0,AND(J5361=1,K5361=1),AND(J5361=1,I5361="SBJ"),AND(J5361=1,I5361=0)),"?IN_FOCUS",IF(J5361&lt;=2,"?ACTIVATED",IF(J5361&lt;&gt;"","?FAMILIAR",IF(F5361="NEW",IF(ISNA(VLOOKUP(E5361,#REF!,1,FALSE())),"?TYPE_IDENTIFIABLE","?REFERENTIAL"),"_")))))</f>
        <v> </v>
      </c>
      <c r="H5361" s="24" t="str">
        <f>IF(J5361&lt;&gt;1,"",IF(I5361="SBJ","CB","?"))</f>
        <v> </v>
      </c>
      <c r="I5361" s="25" t="str">
        <f>IF(OR(E5361="",E5361="!!!",F5361="NEW"),"",INDEX(B5360:B$2,-1+SUMPRODUCT(MAX(ROW(E5360:E$2)*(E5361=E5360:E$2)))))</f>
        <v> </v>
      </c>
      <c r="J5361" s="25" t="str">
        <f>IF(OR(E5361="",E5361="!!!",F5361="NEW"),"",COUNTBLANK(OFFSET(A$1,,,SUMPRODUCT(MAX(ROW(E$2:E5361)*(E5361=E$2:E5361)))))-COUNTBLANK(OFFSET(A$1,,,SUMPRODUCT(MAX(ROW(E$1:E5360)*(E2=E$1:E5360))))))</f>
        <v> </v>
      </c>
      <c r="K5361" s="25" t="str">
        <f>IF(OR(E5361="",E5361="!!!",F5361="NEW"),"",INDEX(J$1:J5360,SUMPRODUCT(MAX(ROW(E$1:E5360)*(E5361=E$1:E5360)))))</f>
        <v> </v>
      </c>
      <c r="L5361" s="26"/>
    </row>
    <row r="5362" spans="1:12">
      <c r="A5362" s="20" t="s">
        <v>1369</v>
      </c>
      <c r="E5362" s="21">
        <f>IF(D5362="?OLD","!!!","")</f>
        <v/>
      </c>
      <c r="F5362" s="22" t="str">
        <f>IF(OR(E5362="",E5362="!!!"),"",IF(NOT(ISNA(VLOOKUP(E5362,E$1:E5361,1,FALSE()))),"OLD",IF(AND(E5362&lt;&gt;"",E5362&lt;&gt;"!!!"),"NEW","")))</f>
        <v> </v>
      </c>
      <c r="G5362" s="23" t="str">
        <f>IF(OR(E5362="",E5362="!!!"),"",IF(OR(J5362=0,AND(J5362=1,K5362=1),AND(J5362=1,I5362="SBJ"),AND(J5362=1,I5362=0)),"?IN_FOCUS",IF(J5362&lt;=2,"?ACTIVATED",IF(J5362&lt;&gt;"","?FAMILIAR",IF(F5362="NEW",IF(ISNA(VLOOKUP(E5362,#REF!,1,FALSE())),"?TYPE_IDENTIFIABLE","?REFERENTIAL"),"_")))))</f>
        <v> </v>
      </c>
      <c r="H5362" s="24" t="str">
        <f>IF(J5362&lt;&gt;1,"",IF(I5362="SBJ","CB","?"))</f>
        <v> </v>
      </c>
      <c r="I5362" s="25" t="str">
        <f>IF(OR(E5362="",E5362="!!!",F5362="NEW"),"",INDEX(B5361:B$2,-1+SUMPRODUCT(MAX(ROW(E5361:E$2)*(E5362=E5361:E$2)))))</f>
        <v> </v>
      </c>
      <c r="J5362" s="25" t="str">
        <f>IF(OR(E5362="",E5362="!!!",F5362="NEW"),"",COUNTBLANK(OFFSET(A$1,,,SUMPRODUCT(MAX(ROW(E$2:E5362)*(E5362=E$2:E5362)))))-COUNTBLANK(OFFSET(A$1,,,SUMPRODUCT(MAX(ROW(E$1:E5361)*(E2=E$1:E5361))))))</f>
        <v> </v>
      </c>
      <c r="K5362" s="25" t="str">
        <f>IF(OR(E5362="",E5362="!!!",F5362="NEW"),"",INDEX(J$1:J5361,SUMPRODUCT(MAX(ROW(E$1:E5361)*(E5362=E$1:E5361)))))</f>
        <v> </v>
      </c>
      <c r="L5362" s="26"/>
    </row>
    <row r="5363" spans="1:12">
      <c r="A5363" s="20" t="s">
        <v>1021</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1517</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1032</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1191</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2453</v>
      </c>
      <c r="B5367" s="27" t="s">
        <v>1053</v>
      </c>
      <c r="C5367" s="27" t="s">
        <v>1035</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991</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980</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993</v>
      </c>
      <c r="B5370" s="27" t="s">
        <v>1010</v>
      </c>
      <c r="C5370" s="27" t="s">
        <v>968</v>
      </c>
      <c r="D5370" s="27" t="s">
        <v>969</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1369</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1021</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1517</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991</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1114</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t="s">
        <v>993</v>
      </c>
      <c r="B5376" s="27" t="s">
        <v>1010</v>
      </c>
      <c r="C5376" s="27" t="s">
        <v>968</v>
      </c>
      <c r="D5376" s="27" t="s">
        <v>969</v>
      </c>
      <c r="E5376" s="21">
        <f>IF(D5376="?OLD","!!!","")</f>
        <v/>
      </c>
      <c r="F5376" s="22" t="str">
        <f>IF(OR(E5376="",E5376="!!!"),"",IF(NOT(ISNA(VLOOKUP(E5376,E$1:E5375,1,FALSE()))),"OLD",IF(AND(E5376&lt;&gt;"",E5376&lt;&gt;"!!!"),"NEW","")))</f>
        <v> </v>
      </c>
      <c r="G5376" s="23" t="str">
        <f>IF(OR(E5376="",E5376="!!!"),"",IF(OR(J5376=0,AND(J5376=1,K5376=1),AND(J5376=1,I5376="SBJ"),AND(J5376=1,I5376=0)),"?IN_FOCUS",IF(J5376&lt;=2,"?ACTIVATED",IF(J5376&lt;&gt;"","?FAMILIAR",IF(F5376="NEW",IF(ISNA(VLOOKUP(E5376,#REF!,1,FALSE())),"?TYPE_IDENTIFIABLE","?REFERENTIAL"),"_")))))</f>
        <v> </v>
      </c>
      <c r="H5376" s="24" t="str">
        <f>IF(J5376&lt;&gt;1,"",IF(I5376="SBJ","CB","?"))</f>
        <v> </v>
      </c>
      <c r="I5376" s="25" t="str">
        <f>IF(OR(E5376="",E5376="!!!",F5376="NEW"),"",INDEX(B5375:B$2,-1+SUMPRODUCT(MAX(ROW(E5375:E$2)*(E5376=E5375:E$2)))))</f>
        <v> </v>
      </c>
      <c r="J5376" s="25" t="str">
        <f>IF(OR(E5376="",E5376="!!!",F5376="NEW"),"",COUNTBLANK(OFFSET(A$1,,,SUMPRODUCT(MAX(ROW(E$2:E5376)*(E5376=E$2:E5376)))))-COUNTBLANK(OFFSET(A$1,,,SUMPRODUCT(MAX(ROW(E$1:E5375)*(E2=E$1:E5375))))))</f>
        <v> </v>
      </c>
      <c r="K5376" s="25" t="str">
        <f>IF(OR(E5376="",E5376="!!!",F5376="NEW"),"",INDEX(J$1:J5375,SUMPRODUCT(MAX(ROW(E$1:E5375)*(E5376=E$1:E5375)))))</f>
        <v> </v>
      </c>
      <c r="L5376" s="26"/>
    </row>
    <row r="5377" spans="1:12">
      <c r="A5377" s="20" t="s">
        <v>1235</v>
      </c>
      <c r="E5377" s="21">
        <f>IF(D5377="?OLD","!!!","")</f>
        <v/>
      </c>
      <c r="F5377" s="22" t="str">
        <f>IF(OR(E5377="",E5377="!!!"),"",IF(NOT(ISNA(VLOOKUP(E5377,E$1:E5376,1,FALSE()))),"OLD",IF(AND(E5377&lt;&gt;"",E5377&lt;&gt;"!!!"),"NEW","")))</f>
        <v> </v>
      </c>
      <c r="G5377" s="23" t="str">
        <f>IF(OR(E5377="",E5377="!!!"),"",IF(OR(J5377=0,AND(J5377=1,K5377=1),AND(J5377=1,I5377="SBJ"),AND(J5377=1,I5377=0)),"?IN_FOCUS",IF(J5377&lt;=2,"?ACTIVATED",IF(J5377&lt;&gt;"","?FAMILIAR",IF(F5377="NEW",IF(ISNA(VLOOKUP(E5377,#REF!,1,FALSE())),"?TYPE_IDENTIFIABLE","?REFERENTIAL"),"_")))))</f>
        <v> </v>
      </c>
      <c r="H5377" s="24" t="str">
        <f>IF(J5377&lt;&gt;1,"",IF(I5377="SBJ","CB","?"))</f>
        <v> </v>
      </c>
      <c r="I5377" s="25" t="str">
        <f>IF(OR(E5377="",E5377="!!!",F5377="NEW"),"",INDEX(B5376:B$2,-1+SUMPRODUCT(MAX(ROW(E5376:E$2)*(E5377=E5376:E$2)))))</f>
        <v> </v>
      </c>
      <c r="J5377" s="25" t="str">
        <f>IF(OR(E5377="",E5377="!!!",F5377="NEW"),"",COUNTBLANK(OFFSET(A$1,,,SUMPRODUCT(MAX(ROW(E$2:E5377)*(E5377=E$2:E5377)))))-COUNTBLANK(OFFSET(A$1,,,SUMPRODUCT(MAX(ROW(E$1:E5376)*(E2=E$1:E5376))))))</f>
        <v> </v>
      </c>
      <c r="K5377" s="25" t="str">
        <f>IF(OR(E5377="",E5377="!!!",F5377="NEW"),"",INDEX(J$1:J5376,SUMPRODUCT(MAX(ROW(E$1:E5376)*(E5377=E$1:E5376)))))</f>
        <v> </v>
      </c>
      <c r="L5377" s="26"/>
    </row>
    <row r="5378" spans="1:12">
      <c r="A5378" s="20" t="s">
        <v>1200</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1005</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row>
    <row r="5381" spans="1:12">
      <c r="A5381" s="20" t="s">
        <v>2454</v>
      </c>
    </row>
    <row r="5382" spans="1:12">
      <c r="A5382" s="20" t="s">
        <v>966</v>
      </c>
      <c r="B5382" s="27" t="s">
        <v>967</v>
      </c>
      <c r="C5382" s="27" t="s">
        <v>968</v>
      </c>
      <c r="D5382" s="27" t="s">
        <v>969</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2178</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1784</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1158</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991</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1322</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993</v>
      </c>
      <c r="B5388" s="27" t="s">
        <v>1010</v>
      </c>
      <c r="C5388" s="27" t="s">
        <v>968</v>
      </c>
      <c r="D5388" s="27" t="s">
        <v>969</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1508</v>
      </c>
      <c r="B5389" s="27" t="s">
        <v>1013</v>
      </c>
      <c r="C5389" s="27" t="s">
        <v>974</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1300</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1253</v>
      </c>
      <c r="B5391" s="27" t="s">
        <v>982</v>
      </c>
      <c r="C5391" s="27" t="s">
        <v>974</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13</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1454</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1005</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row>
    <row r="5396" spans="1:12">
      <c r="A5396" s="20" t="s">
        <v>2455</v>
      </c>
    </row>
    <row r="5397" spans="1:12">
      <c r="A5397" s="20" t="s">
        <v>966</v>
      </c>
      <c r="B5397" s="27" t="s">
        <v>967</v>
      </c>
      <c r="C5397" s="27" t="s">
        <v>968</v>
      </c>
      <c r="D5397" s="27" t="s">
        <v>969</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1369</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1517</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1032</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2456</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2457</v>
      </c>
      <c r="B5402" s="27" t="s">
        <v>1053</v>
      </c>
      <c r="C5402" s="27" t="s">
        <v>974</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991</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1032</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2458</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2459</v>
      </c>
      <c r="B5406" s="27" t="s">
        <v>978</v>
      </c>
      <c r="C5406" s="27" t="s">
        <v>974</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991</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1032</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2460</v>
      </c>
      <c r="B5409" s="27" t="s">
        <v>978</v>
      </c>
      <c r="C5409" s="27" t="s">
        <v>974</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1005</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row>
    <row r="5412" spans="1:12">
      <c r="A5412" s="20" t="s">
        <v>2461</v>
      </c>
    </row>
    <row r="5413" spans="1:12">
      <c r="A5413" s="20" t="s">
        <v>1620</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1139</v>
      </c>
      <c r="B5414" s="27" t="s">
        <v>978</v>
      </c>
      <c r="C5414" s="27" t="s">
        <v>1102</v>
      </c>
      <c r="D5414" s="27" t="s">
        <v>969</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1438</v>
      </c>
      <c r="B5415" s="27" t="s">
        <v>1053</v>
      </c>
      <c r="C5415" s="27" t="s">
        <v>1141</v>
      </c>
      <c r="D5415" s="27" t="s">
        <v>969</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1369</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993</v>
      </c>
      <c r="B5417" s="27" t="s">
        <v>967</v>
      </c>
      <c r="C5417" s="27" t="s">
        <v>968</v>
      </c>
      <c r="D5417" s="27" t="s">
        <v>969</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1689</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1517</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1005</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row>
    <row r="5422" spans="1:12">
      <c r="A5422" s="20" t="s">
        <v>2462</v>
      </c>
    </row>
    <row r="5423" spans="1:12">
      <c r="A5423" s="20" t="s">
        <v>966</v>
      </c>
      <c r="B5423" s="27" t="s">
        <v>967</v>
      </c>
      <c r="C5423" s="27" t="s">
        <v>968</v>
      </c>
      <c r="D5423" s="27" t="s">
        <v>969</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1850</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1107</v>
      </c>
      <c r="B5425" s="27" t="s">
        <v>973</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12</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1177</v>
      </c>
      <c r="B5427" s="27" t="s">
        <v>1010</v>
      </c>
      <c r="C5427" s="27" t="s">
        <v>1011</v>
      </c>
      <c r="D5427" s="27" t="s">
        <v>969</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1097</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1024</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2463</v>
      </c>
      <c r="B5430" s="27" t="s">
        <v>1053</v>
      </c>
      <c r="C5430" s="27" t="s">
        <v>979</v>
      </c>
      <c r="D5430" s="27" t="s">
        <v>969</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1373</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row>
    <row r="5433" spans="1:12">
      <c r="A5433" s="20" t="s">
        <v>2464</v>
      </c>
    </row>
    <row r="5434" spans="1:12">
      <c r="A5434" s="20" t="s">
        <v>2465</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104</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1024</v>
      </c>
      <c r="B5436" s="27" t="s">
        <v>973</v>
      </c>
      <c r="C5436" s="27" t="s">
        <v>1102</v>
      </c>
      <c r="D5436" s="27" t="s">
        <v>969</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985</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1111</v>
      </c>
      <c r="B5438" s="27" t="s">
        <v>967</v>
      </c>
      <c r="C5438" s="27" t="s">
        <v>979</v>
      </c>
      <c r="D5438" s="27" t="s">
        <v>969</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t="s">
        <v>991</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985</v>
      </c>
      <c r="B5440" s="27" t="s">
        <v>994</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1051</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2466</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1307</v>
      </c>
      <c r="B5443" s="27" t="s">
        <v>1031</v>
      </c>
      <c r="C5443" s="27" t="s">
        <v>1018</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104</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991</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2467</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1037</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2468</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t="s">
        <v>1078</v>
      </c>
      <c r="B5449" s="27" t="s">
        <v>1053</v>
      </c>
      <c r="C5449" s="27" t="s">
        <v>974</v>
      </c>
      <c r="E5449" s="21">
        <f>IF(D5449="?OLD","!!!","")</f>
        <v/>
      </c>
      <c r="F5449" s="22" t="str">
        <f>IF(OR(E5449="",E5449="!!!"),"",IF(NOT(ISNA(VLOOKUP(E5449,E$1:E5448,1,FALSE()))),"OLD",IF(AND(E5449&lt;&gt;"",E5449&lt;&gt;"!!!"),"NEW","")))</f>
        <v> </v>
      </c>
      <c r="G5449" s="23" t="str">
        <f>IF(OR(E5449="",E5449="!!!"),"",IF(OR(J5449=0,AND(J5449=1,K5449=1),AND(J5449=1,I5449="SBJ"),AND(J5449=1,I5449=0)),"?IN_FOCUS",IF(J5449&lt;=2,"?ACTIVATED",IF(J5449&lt;&gt;"","?FAMILIAR",IF(F5449="NEW",IF(ISNA(VLOOKUP(E5449,#REF!,1,FALSE())),"?TYPE_IDENTIFIABLE","?REFERENTIAL"),"_")))))</f>
        <v> </v>
      </c>
      <c r="H5449" s="24" t="str">
        <f>IF(J5449&lt;&gt;1,"",IF(I5449="SBJ","CB","?"))</f>
        <v> </v>
      </c>
      <c r="I5449" s="25" t="str">
        <f>IF(OR(E5449="",E5449="!!!",F5449="NEW"),"",INDEX(B5448:B$2,-1+SUMPRODUCT(MAX(ROW(E5448:E$2)*(E5449=E5448:E$2)))))</f>
        <v> </v>
      </c>
      <c r="J5449" s="25" t="str">
        <f>IF(OR(E5449="",E5449="!!!",F5449="NEW"),"",COUNTBLANK(OFFSET(A$1,,,SUMPRODUCT(MAX(ROW(E$2:E5449)*(E5449=E$2:E5449)))))-COUNTBLANK(OFFSET(A$1,,,SUMPRODUCT(MAX(ROW(E$1:E5448)*(E2=E$1:E5448))))))</f>
        <v> </v>
      </c>
      <c r="K5449" s="25" t="str">
        <f>IF(OR(E5449="",E5449="!!!",F5449="NEW"),"",INDEX(J$1:J5448,SUMPRODUCT(MAX(ROW(E$1:E5448)*(E5449=E$1:E5448)))))</f>
        <v> </v>
      </c>
      <c r="L5449" s="26"/>
    </row>
    <row r="5450" spans="1:12">
      <c r="A5450" s="20" t="s">
        <v>2469</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1373</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row>
    <row r="5453" spans="1:12">
      <c r="A5453" s="20" t="s">
        <v>2470</v>
      </c>
    </row>
    <row r="5454" spans="1:12">
      <c r="A5454" s="20" t="s">
        <v>1570</v>
      </c>
      <c r="B5454" s="27" t="s">
        <v>967</v>
      </c>
      <c r="C5454" s="27" t="s">
        <v>1011</v>
      </c>
      <c r="D5454" s="27" t="s">
        <v>969</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1097</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1043</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2471</v>
      </c>
      <c r="B5457" s="27" t="s">
        <v>1053</v>
      </c>
      <c r="C5457" s="27" t="s">
        <v>979</v>
      </c>
      <c r="D5457" s="27" t="s">
        <v>969</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1095</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2472</v>
      </c>
      <c r="B5459" s="27" t="s">
        <v>1053</v>
      </c>
      <c r="C5459" s="27" t="s">
        <v>1083</v>
      </c>
      <c r="D5459" s="27" t="s">
        <v>969</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1373</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row>
    <row r="5462" spans="1:12">
      <c r="A5462" s="20" t="s">
        <v>1060</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2473</v>
      </c>
    </row>
    <row r="5464" spans="1:12">
      <c r="A5464" s="20" t="s">
        <v>2474</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t="s">
        <v>1043</v>
      </c>
      <c r="E5465" s="21">
        <f>IF(D5465="?OLD","!!!","")</f>
        <v/>
      </c>
      <c r="F5465" s="22" t="str">
        <f>IF(OR(E5465="",E5465="!!!"),"",IF(NOT(ISNA(VLOOKUP(E5465,E$1:E5464,1,FALSE()))),"OLD",IF(AND(E5465&lt;&gt;"",E5465&lt;&gt;"!!!"),"NEW","")))</f>
        <v> </v>
      </c>
      <c r="G5465" s="23" t="str">
        <f>IF(OR(E5465="",E5465="!!!"),"",IF(OR(J5465=0,AND(J5465=1,K5465=1),AND(J5465=1,I5465="SBJ"),AND(J5465=1,I5465=0)),"?IN_FOCUS",IF(J5465&lt;=2,"?ACTIVATED",IF(J5465&lt;&gt;"","?FAMILIAR",IF(F5465="NEW",IF(ISNA(VLOOKUP(E5465,#REF!,1,FALSE())),"?TYPE_IDENTIFIABLE","?REFERENTIAL"),"_")))))</f>
        <v> </v>
      </c>
      <c r="H5465" s="24" t="str">
        <f>IF(J5465&lt;&gt;1,"",IF(I5465="SBJ","CB","?"))</f>
        <v> </v>
      </c>
      <c r="I5465" s="25" t="str">
        <f>IF(OR(E5465="",E5465="!!!",F5465="NEW"),"",INDEX(B5464:B$2,-1+SUMPRODUCT(MAX(ROW(E5464:E$2)*(E5465=E5464:E$2)))))</f>
        <v> </v>
      </c>
      <c r="J5465" s="25" t="str">
        <f>IF(OR(E5465="",E5465="!!!",F5465="NEW"),"",COUNTBLANK(OFFSET(A$1,,,SUMPRODUCT(MAX(ROW(E$2:E5465)*(E5465=E$2:E5465)))))-COUNTBLANK(OFFSET(A$1,,,SUMPRODUCT(MAX(ROW(E$1:E5464)*(E2=E$1:E5464))))))</f>
        <v> </v>
      </c>
      <c r="K5465" s="25" t="str">
        <f>IF(OR(E5465="",E5465="!!!",F5465="NEW"),"",INDEX(J$1:J5464,SUMPRODUCT(MAX(ROW(E$1:E5464)*(E5465=E$1:E5464)))))</f>
        <v> </v>
      </c>
      <c r="L5465" s="26"/>
    </row>
    <row r="5466" spans="1:12">
      <c r="A5466" s="20" t="s">
        <v>1473</v>
      </c>
      <c r="B5466" s="27" t="s">
        <v>1053</v>
      </c>
      <c r="C5466" s="27" t="s">
        <v>979</v>
      </c>
      <c r="D5466" s="27" t="s">
        <v>969</v>
      </c>
      <c r="E5466" s="21">
        <f>IF(D5466="?OLD","!!!","")</f>
        <v/>
      </c>
      <c r="F5466" s="22" t="str">
        <f>IF(OR(E5466="",E5466="!!!"),"",IF(NOT(ISNA(VLOOKUP(E5466,E$1:E5465,1,FALSE()))),"OLD",IF(AND(E5466&lt;&gt;"",E5466&lt;&gt;"!!!"),"NEW","")))</f>
        <v> </v>
      </c>
      <c r="G5466" s="23" t="str">
        <f>IF(OR(E5466="",E5466="!!!"),"",IF(OR(J5466=0,AND(J5466=1,K5466=1),AND(J5466=1,I5466="SBJ"),AND(J5466=1,I5466=0)),"?IN_FOCUS",IF(J5466&lt;=2,"?ACTIVATED",IF(J5466&lt;&gt;"","?FAMILIAR",IF(F5466="NEW",IF(ISNA(VLOOKUP(E5466,#REF!,1,FALSE())),"?TYPE_IDENTIFIABLE","?REFERENTIAL"),"_")))))</f>
        <v> </v>
      </c>
      <c r="H5466" s="24" t="str">
        <f>IF(J5466&lt;&gt;1,"",IF(I5466="SBJ","CB","?"))</f>
        <v> </v>
      </c>
      <c r="I5466" s="25" t="str">
        <f>IF(OR(E5466="",E5466="!!!",F5466="NEW"),"",INDEX(B5465:B$2,-1+SUMPRODUCT(MAX(ROW(E5465:E$2)*(E5466=E5465:E$2)))))</f>
        <v> </v>
      </c>
      <c r="J5466" s="25" t="str">
        <f>IF(OR(E5466="",E5466="!!!",F5466="NEW"),"",COUNTBLANK(OFFSET(A$1,,,SUMPRODUCT(MAX(ROW(E$2:E5466)*(E5466=E$2:E5466)))))-COUNTBLANK(OFFSET(A$1,,,SUMPRODUCT(MAX(ROW(E$1:E5465)*(E2=E$1:E5465))))))</f>
        <v> </v>
      </c>
      <c r="K5466" s="25" t="str">
        <f>IF(OR(E5466="",E5466="!!!",F5466="NEW"),"",INDEX(J$1:J5465,SUMPRODUCT(MAX(ROW(E$1:E5465)*(E5466=E$1:E5465)))))</f>
        <v> </v>
      </c>
      <c r="L5466" s="26"/>
    </row>
    <row r="5467" spans="1:12">
      <c r="A5467" s="20" t="s">
        <v>2159</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993</v>
      </c>
      <c r="B5468" s="27" t="s">
        <v>967</v>
      </c>
      <c r="C5468" s="27" t="s">
        <v>968</v>
      </c>
      <c r="D5468" s="27" t="s">
        <v>969</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1173</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991</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996</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985</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1111</v>
      </c>
      <c r="B5473" s="27" t="s">
        <v>1010</v>
      </c>
      <c r="C5473" s="27" t="s">
        <v>979</v>
      </c>
      <c r="D5473" s="27" t="s">
        <v>969</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991</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985</v>
      </c>
      <c r="B5475" s="27" t="s">
        <v>997</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1230</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1140</v>
      </c>
      <c r="B5477" s="27" t="s">
        <v>1198</v>
      </c>
      <c r="C5477" s="27" t="s">
        <v>1035</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2475</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991</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t="s">
        <v>985</v>
      </c>
      <c r="B5480" s="27" t="s">
        <v>1010</v>
      </c>
      <c r="E5480" s="21">
        <f>IF(D5480="?OLD","!!!","")</f>
        <v/>
      </c>
      <c r="F5480" s="22" t="str">
        <f>IF(OR(E5480="",E5480="!!!"),"",IF(NOT(ISNA(VLOOKUP(E5480,E$1:E5479,1,FALSE()))),"OLD",IF(AND(E5480&lt;&gt;"",E5480&lt;&gt;"!!!"),"NEW","")))</f>
        <v> </v>
      </c>
      <c r="G5480" s="23" t="str">
        <f>IF(OR(E5480="",E5480="!!!"),"",IF(OR(J5480=0,AND(J5480=1,K5480=1),AND(J5480=1,I5480="SBJ"),AND(J5480=1,I5480=0)),"?IN_FOCUS",IF(J5480&lt;=2,"?ACTIVATED",IF(J5480&lt;&gt;"","?FAMILIAR",IF(F5480="NEW",IF(ISNA(VLOOKUP(E5480,#REF!,1,FALSE())),"?TYPE_IDENTIFIABLE","?REFERENTIAL"),"_")))))</f>
        <v> </v>
      </c>
      <c r="H5480" s="24" t="str">
        <f>IF(J5480&lt;&gt;1,"",IF(I5480="SBJ","CB","?"))</f>
        <v> </v>
      </c>
      <c r="I5480" s="25" t="str">
        <f>IF(OR(E5480="",E5480="!!!",F5480="NEW"),"",INDEX(B5479:B$2,-1+SUMPRODUCT(MAX(ROW(E5479:E$2)*(E5480=E5479:E$2)))))</f>
        <v> </v>
      </c>
      <c r="J5480" s="25" t="str">
        <f>IF(OR(E5480="",E5480="!!!",F5480="NEW"),"",COUNTBLANK(OFFSET(A$1,,,SUMPRODUCT(MAX(ROW(E$2:E5480)*(E5480=E$2:E5480)))))-COUNTBLANK(OFFSET(A$1,,,SUMPRODUCT(MAX(ROW(E$1:E5479)*(E2=E$1:E5479))))))</f>
        <v> </v>
      </c>
      <c r="K5480" s="25" t="str">
        <f>IF(OR(E5480="",E5480="!!!",F5480="NEW"),"",INDEX(J$1:J5479,SUMPRODUCT(MAX(ROW(E$1:E5479)*(E5480=E$1:E5479)))))</f>
        <v> </v>
      </c>
      <c r="L5480" s="26"/>
    </row>
    <row r="5481" spans="1:12">
      <c r="A5481" s="20" t="s">
        <v>100</v>
      </c>
      <c r="E5481" s="21">
        <f>IF(D5481="?OLD","!!!","")</f>
        <v/>
      </c>
      <c r="F5481" s="22" t="str">
        <f>IF(OR(E5481="",E5481="!!!"),"",IF(NOT(ISNA(VLOOKUP(E5481,E$1:E5480,1,FALSE()))),"OLD",IF(AND(E5481&lt;&gt;"",E5481&lt;&gt;"!!!"),"NEW","")))</f>
        <v> </v>
      </c>
      <c r="G5481" s="23" t="str">
        <f>IF(OR(E5481="",E5481="!!!"),"",IF(OR(J5481=0,AND(J5481=1,K5481=1),AND(J5481=1,I5481="SBJ"),AND(J5481=1,I5481=0)),"?IN_FOCUS",IF(J5481&lt;=2,"?ACTIVATED",IF(J5481&lt;&gt;"","?FAMILIAR",IF(F5481="NEW",IF(ISNA(VLOOKUP(E5481,#REF!,1,FALSE())),"?TYPE_IDENTIFIABLE","?REFERENTIAL"),"_")))))</f>
        <v> </v>
      </c>
      <c r="H5481" s="24" t="str">
        <f>IF(J5481&lt;&gt;1,"",IF(I5481="SBJ","CB","?"))</f>
        <v> </v>
      </c>
      <c r="I5481" s="25" t="str">
        <f>IF(OR(E5481="",E5481="!!!",F5481="NEW"),"",INDEX(B5480:B$2,-1+SUMPRODUCT(MAX(ROW(E5480:E$2)*(E5481=E5480:E$2)))))</f>
        <v> </v>
      </c>
      <c r="J5481" s="25" t="str">
        <f>IF(OR(E5481="",E5481="!!!",F5481="NEW"),"",COUNTBLANK(OFFSET(A$1,,,SUMPRODUCT(MAX(ROW(E$2:E5481)*(E5481=E$2:E5481)))))-COUNTBLANK(OFFSET(A$1,,,SUMPRODUCT(MAX(ROW(E$1:E5480)*(E2=E$1:E5480))))))</f>
        <v> </v>
      </c>
      <c r="K5481" s="25" t="str">
        <f>IF(OR(E5481="",E5481="!!!",F5481="NEW"),"",INDEX(J$1:J5480,SUMPRODUCT(MAX(ROW(E$1:E5480)*(E5481=E$1:E5480)))))</f>
        <v> </v>
      </c>
      <c r="L5481" s="26"/>
    </row>
    <row r="5482" spans="1:12">
      <c r="A5482" s="20" t="s">
        <v>1194</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965</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966</v>
      </c>
      <c r="B5484" s="27" t="s">
        <v>997</v>
      </c>
      <c r="C5484" s="27" t="s">
        <v>968</v>
      </c>
      <c r="D5484" s="27" t="s">
        <v>969</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1178</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1475</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2476</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t="s">
        <v>1473</v>
      </c>
      <c r="B5488" s="27" t="s">
        <v>982</v>
      </c>
      <c r="C5488" s="27" t="s">
        <v>974</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1262</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980</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993</v>
      </c>
      <c r="B5491" s="27" t="s">
        <v>997</v>
      </c>
      <c r="C5491" s="27" t="s">
        <v>968</v>
      </c>
      <c r="D5491" s="27" t="s">
        <v>969</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2265</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1828</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1158</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1820</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518</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t="s">
        <v>980</v>
      </c>
      <c r="E5497" s="21">
        <f>IF(D5497="?OLD","!!!","")</f>
        <v/>
      </c>
      <c r="F5497" s="22" t="str">
        <f>IF(OR(E5497="",E5497="!!!"),"",IF(NOT(ISNA(VLOOKUP(E5497,E$1:E5496,1,FALSE()))),"OLD",IF(AND(E5497&lt;&gt;"",E5497&lt;&gt;"!!!"),"NEW","")))</f>
        <v> </v>
      </c>
      <c r="G5497" s="23" t="str">
        <f>IF(OR(E5497="",E5497="!!!"),"",IF(OR(J5497=0,AND(J5497=1,K5497=1),AND(J5497=1,I5497="SBJ"),AND(J5497=1,I5497=0)),"?IN_FOCUS",IF(J5497&lt;=2,"?ACTIVATED",IF(J5497&lt;&gt;"","?FAMILIAR",IF(F5497="NEW",IF(ISNA(VLOOKUP(E5497,#REF!,1,FALSE())),"?TYPE_IDENTIFIABLE","?REFERENTIAL"),"_")))))</f>
        <v> </v>
      </c>
      <c r="H5497" s="24" t="str">
        <f>IF(J5497&lt;&gt;1,"",IF(I5497="SBJ","CB","?"))</f>
        <v> </v>
      </c>
      <c r="I5497" s="25" t="str">
        <f>IF(OR(E5497="",E5497="!!!",F5497="NEW"),"",INDEX(B5496:B$2,-1+SUMPRODUCT(MAX(ROW(E5496:E$2)*(E5497=E5496:E$2)))))</f>
        <v> </v>
      </c>
      <c r="J5497" s="25" t="str">
        <f>IF(OR(E5497="",E5497="!!!",F5497="NEW"),"",COUNTBLANK(OFFSET(A$1,,,SUMPRODUCT(MAX(ROW(E$2:E5497)*(E5497=E$2:E5497)))))-COUNTBLANK(OFFSET(A$1,,,SUMPRODUCT(MAX(ROW(E$1:E5496)*(E2=E$1:E5496))))))</f>
        <v> </v>
      </c>
      <c r="K5497" s="25" t="str">
        <f>IF(OR(E5497="",E5497="!!!",F5497="NEW"),"",INDEX(J$1:J5496,SUMPRODUCT(MAX(ROW(E$1:E5496)*(E5497=E$1:E5496)))))</f>
        <v> </v>
      </c>
      <c r="L5497" s="26"/>
    </row>
    <row r="5498" spans="1:12">
      <c r="A5498" s="20" t="s">
        <v>993</v>
      </c>
      <c r="B5498" s="27" t="s">
        <v>997</v>
      </c>
      <c r="C5498" s="27" t="s">
        <v>968</v>
      </c>
      <c r="D5498" s="27" t="s">
        <v>969</v>
      </c>
      <c r="E5498" s="21">
        <f>IF(D5498="?OLD","!!!","")</f>
        <v/>
      </c>
      <c r="F5498" s="22" t="str">
        <f>IF(OR(E5498="",E5498="!!!"),"",IF(NOT(ISNA(VLOOKUP(E5498,E$1:E5497,1,FALSE()))),"OLD",IF(AND(E5498&lt;&gt;"",E5498&lt;&gt;"!!!"),"NEW","")))</f>
        <v> </v>
      </c>
      <c r="G5498" s="23" t="str">
        <f>IF(OR(E5498="",E5498="!!!"),"",IF(OR(J5498=0,AND(J5498=1,K5498=1),AND(J5498=1,I5498="SBJ"),AND(J5498=1,I5498=0)),"?IN_FOCUS",IF(J5498&lt;=2,"?ACTIVATED",IF(J5498&lt;&gt;"","?FAMILIAR",IF(F5498="NEW",IF(ISNA(VLOOKUP(E5498,#REF!,1,FALSE())),"?TYPE_IDENTIFIABLE","?REFERENTIAL"),"_")))))</f>
        <v> </v>
      </c>
      <c r="H5498" s="24" t="str">
        <f>IF(J5498&lt;&gt;1,"",IF(I5498="SBJ","CB","?"))</f>
        <v> </v>
      </c>
      <c r="I5498" s="25" t="str">
        <f>IF(OR(E5498="",E5498="!!!",F5498="NEW"),"",INDEX(B5497:B$2,-1+SUMPRODUCT(MAX(ROW(E5497:E$2)*(E5498=E5497:E$2)))))</f>
        <v> </v>
      </c>
      <c r="J5498" s="25" t="str">
        <f>IF(OR(E5498="",E5498="!!!",F5498="NEW"),"",COUNTBLANK(OFFSET(A$1,,,SUMPRODUCT(MAX(ROW(E$2:E5498)*(E5498=E$2:E5498)))))-COUNTBLANK(OFFSET(A$1,,,SUMPRODUCT(MAX(ROW(E$1:E5497)*(E2=E$1:E5497))))))</f>
        <v> </v>
      </c>
      <c r="K5498" s="25" t="str">
        <f>IF(OR(E5498="",E5498="!!!",F5498="NEW"),"",INDEX(J$1:J5497,SUMPRODUCT(MAX(ROW(E$1:E5497)*(E5498=E$1:E5497)))))</f>
        <v> </v>
      </c>
      <c r="L5498" s="26"/>
    </row>
    <row r="5499" spans="1:12">
      <c r="A5499" s="20" t="s">
        <v>1962</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1021</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1158</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1545</v>
      </c>
      <c r="B5502" s="27" t="s">
        <v>1198</v>
      </c>
      <c r="C5502" s="27" t="s">
        <v>1234</v>
      </c>
      <c r="D5502" s="27" t="s">
        <v>969</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241</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991</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993</v>
      </c>
      <c r="B5505" s="27" t="s">
        <v>997</v>
      </c>
      <c r="C5505" s="27" t="s">
        <v>968</v>
      </c>
      <c r="D5505" s="27" t="s">
        <v>969</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1962</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1305</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1037</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987</v>
      </c>
      <c r="B5509" s="27" t="s">
        <v>1000</v>
      </c>
      <c r="C5509" s="27" t="s">
        <v>988</v>
      </c>
      <c r="D5509" s="27" t="s">
        <v>969</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1307</v>
      </c>
      <c r="B5510" s="27" t="s">
        <v>1003</v>
      </c>
      <c r="C5510" s="27" t="s">
        <v>974</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2477</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1005</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965</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991</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t="s">
        <v>2478</v>
      </c>
      <c r="E5515" s="21">
        <f>IF(D5515="?OLD","!!!","")</f>
        <v/>
      </c>
      <c r="F5515" s="22" t="str">
        <f>IF(OR(E5515="",E5515="!!!"),"",IF(NOT(ISNA(VLOOKUP(E5515,E$1:E5514,1,FALSE()))),"OLD",IF(AND(E5515&lt;&gt;"",E5515&lt;&gt;"!!!"),"NEW","")))</f>
        <v> </v>
      </c>
      <c r="G5515" s="23" t="str">
        <f>IF(OR(E5515="",E5515="!!!"),"",IF(OR(J5515=0,AND(J5515=1,K5515=1),AND(J5515=1,I5515="SBJ"),AND(J5515=1,I5515=0)),"?IN_FOCUS",IF(J5515&lt;=2,"?ACTIVATED",IF(J5515&lt;&gt;"","?FAMILIAR",IF(F5515="NEW",IF(ISNA(VLOOKUP(E5515,#REF!,1,FALSE())),"?TYPE_IDENTIFIABLE","?REFERENTIAL"),"_")))))</f>
        <v> </v>
      </c>
      <c r="H5515" s="24" t="str">
        <f>IF(J5515&lt;&gt;1,"",IF(I5515="SBJ","CB","?"))</f>
        <v> </v>
      </c>
      <c r="I5515" s="25" t="str">
        <f>IF(OR(E5515="",E5515="!!!",F5515="NEW"),"",INDEX(B5514:B$2,-1+SUMPRODUCT(MAX(ROW(E5514:E$2)*(E5515=E5514:E$2)))))</f>
        <v> </v>
      </c>
      <c r="J5515" s="25" t="str">
        <f>IF(OR(E5515="",E5515="!!!",F5515="NEW"),"",COUNTBLANK(OFFSET(A$1,,,SUMPRODUCT(MAX(ROW(E$2:E5515)*(E5515=E$2:E5515)))))-COUNTBLANK(OFFSET(A$1,,,SUMPRODUCT(MAX(ROW(E$1:E5514)*(E2=E$1:E5514))))))</f>
        <v> </v>
      </c>
      <c r="K5515" s="25" t="str">
        <f>IF(OR(E5515="",E5515="!!!",F5515="NEW"),"",INDEX(J$1:J5514,SUMPRODUCT(MAX(ROW(E$1:E5514)*(E5515=E$1:E5514)))))</f>
        <v> </v>
      </c>
      <c r="L5515" s="26"/>
    </row>
    <row r="5516" spans="1:12">
      <c r="A5516" s="20" t="s">
        <v>985</v>
      </c>
      <c r="E5516" s="21">
        <f>IF(D5516="?OLD","!!!","")</f>
        <v/>
      </c>
      <c r="F5516" s="22" t="str">
        <f>IF(OR(E5516="",E5516="!!!"),"",IF(NOT(ISNA(VLOOKUP(E5516,E$1:E5515,1,FALSE()))),"OLD",IF(AND(E5516&lt;&gt;"",E5516&lt;&gt;"!!!"),"NEW","")))</f>
        <v> </v>
      </c>
      <c r="G5516" s="23" t="str">
        <f>IF(OR(E5516="",E5516="!!!"),"",IF(OR(J5516=0,AND(J5516=1,K5516=1),AND(J5516=1,I5516="SBJ"),AND(J5516=1,I5516=0)),"?IN_FOCUS",IF(J5516&lt;=2,"?ACTIVATED",IF(J5516&lt;&gt;"","?FAMILIAR",IF(F5516="NEW",IF(ISNA(VLOOKUP(E5516,#REF!,1,FALSE())),"?TYPE_IDENTIFIABLE","?REFERENTIAL"),"_")))))</f>
        <v> </v>
      </c>
      <c r="H5516" s="24" t="str">
        <f>IF(J5516&lt;&gt;1,"",IF(I5516="SBJ","CB","?"))</f>
        <v> </v>
      </c>
      <c r="I5516" s="25" t="str">
        <f>IF(OR(E5516="",E5516="!!!",F5516="NEW"),"",INDEX(B5515:B$2,-1+SUMPRODUCT(MAX(ROW(E5515:E$2)*(E5516=E5515:E$2)))))</f>
        <v> </v>
      </c>
      <c r="J5516" s="25" t="str">
        <f>IF(OR(E5516="",E5516="!!!",F5516="NEW"),"",COUNTBLANK(OFFSET(A$1,,,SUMPRODUCT(MAX(ROW(E$2:E5516)*(E5516=E$2:E5516)))))-COUNTBLANK(OFFSET(A$1,,,SUMPRODUCT(MAX(ROW(E$1:E5515)*(E2=E$1:E5515))))))</f>
        <v> </v>
      </c>
      <c r="K5516" s="25" t="str">
        <f>IF(OR(E5516="",E5516="!!!",F5516="NEW"),"",INDEX(J$1:J5515,SUMPRODUCT(MAX(ROW(E$1:E5515)*(E5516=E$1:E5515)))))</f>
        <v> </v>
      </c>
      <c r="L5516" s="26"/>
    </row>
    <row r="5517" spans="1:12">
      <c r="A5517" s="20" t="s">
        <v>1111</v>
      </c>
      <c r="B5517" s="27" t="s">
        <v>997</v>
      </c>
      <c r="C5517" s="27" t="s">
        <v>979</v>
      </c>
      <c r="D5517" s="27" t="s">
        <v>969</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1195</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991</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985</v>
      </c>
      <c r="B5520" s="27" t="s">
        <v>997</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2479</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1095</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976</v>
      </c>
      <c r="B5523" s="27" t="s">
        <v>1000</v>
      </c>
      <c r="C5523" s="27" t="s">
        <v>1011</v>
      </c>
      <c r="D5523" s="27" t="s">
        <v>969</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991</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1177</v>
      </c>
      <c r="B5525" s="27" t="s">
        <v>1905</v>
      </c>
      <c r="C5525" s="27" t="s">
        <v>1011</v>
      </c>
      <c r="D5525" s="27" t="s">
        <v>969</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t="s">
        <v>1009</v>
      </c>
      <c r="B5526" s="27" t="s">
        <v>1588</v>
      </c>
      <c r="C5526" s="27" t="s">
        <v>1011</v>
      </c>
      <c r="D5526" s="27" t="s">
        <v>969</v>
      </c>
      <c r="E5526" s="21">
        <f>IF(D5526="?OLD","!!!","")</f>
        <v/>
      </c>
      <c r="F5526" s="22" t="str">
        <f>IF(OR(E5526="",E5526="!!!"),"",IF(NOT(ISNA(VLOOKUP(E5526,E$1:E5525,1,FALSE()))),"OLD",IF(AND(E5526&lt;&gt;"",E5526&lt;&gt;"!!!"),"NEW","")))</f>
        <v> </v>
      </c>
      <c r="G5526" s="23" t="str">
        <f>IF(OR(E5526="",E5526="!!!"),"",IF(OR(J5526=0,AND(J5526=1,K5526=1),AND(J5526=1,I5526="SBJ"),AND(J5526=1,I5526=0)),"?IN_FOCUS",IF(J5526&lt;=2,"?ACTIVATED",IF(J5526&lt;&gt;"","?FAMILIAR",IF(F5526="NEW",IF(ISNA(VLOOKUP(E5526,#REF!,1,FALSE())),"?TYPE_IDENTIFIABLE","?REFERENTIAL"),"_")))))</f>
        <v> </v>
      </c>
      <c r="H5526" s="24" t="str">
        <f>IF(J5526&lt;&gt;1,"",IF(I5526="SBJ","CB","?"))</f>
        <v> </v>
      </c>
      <c r="I5526" s="25" t="str">
        <f>IF(OR(E5526="",E5526="!!!",F5526="NEW"),"",INDEX(B5525:B$2,-1+SUMPRODUCT(MAX(ROW(E5525:E$2)*(E5526=E5525:E$2)))))</f>
        <v> </v>
      </c>
      <c r="J5526" s="25" t="str">
        <f>IF(OR(E5526="",E5526="!!!",F5526="NEW"),"",COUNTBLANK(OFFSET(A$1,,,SUMPRODUCT(MAX(ROW(E$2:E5526)*(E5526=E$2:E5526)))))-COUNTBLANK(OFFSET(A$1,,,SUMPRODUCT(MAX(ROW(E$1:E5525)*(E2=E$1:E5525))))))</f>
        <v> </v>
      </c>
      <c r="K5526" s="25" t="str">
        <f>IF(OR(E5526="",E5526="!!!",F5526="NEW"),"",INDEX(J$1:J5525,SUMPRODUCT(MAX(ROW(E$1:E5525)*(E5526=E$1:E5525)))))</f>
        <v> </v>
      </c>
      <c r="L5526" s="26"/>
    </row>
    <row r="5527" spans="1:12">
      <c r="A5527" s="20" t="s">
        <v>104</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991</v>
      </c>
      <c r="E5528" s="21">
        <f>IF(D5528="?OLD","!!!","")</f>
        <v/>
      </c>
      <c r="F5528" s="22" t="str">
        <f>IF(OR(E5528="",E5528="!!!"),"",IF(NOT(ISNA(VLOOKUP(E5528,E$1:E5527,1,FALSE()))),"OLD",IF(AND(E5528&lt;&gt;"",E5528&lt;&gt;"!!!"),"NEW","")))</f>
        <v> </v>
      </c>
      <c r="G5528" s="23" t="str">
        <f>IF(OR(E5528="",E5528="!!!"),"",IF(OR(J5528=0,AND(J5528=1,K5528=1),AND(J5528=1,I5528="SBJ"),AND(J5528=1,I5528=0)),"?IN_FOCUS",IF(J5528&lt;=2,"?ACTIVATED",IF(J5528&lt;&gt;"","?FAMILIAR",IF(F5528="NEW",IF(ISNA(VLOOKUP(E5528,#REF!,1,FALSE())),"?TYPE_IDENTIFIABLE","?REFERENTIAL"),"_")))))</f>
        <v> </v>
      </c>
      <c r="H5528" s="24" t="str">
        <f>IF(J5528&lt;&gt;1,"",IF(I5528="SBJ","CB","?"))</f>
        <v> </v>
      </c>
      <c r="I5528" s="25" t="str">
        <f>IF(OR(E5528="",E5528="!!!",F5528="NEW"),"",INDEX(B5527:B$2,-1+SUMPRODUCT(MAX(ROW(E5527:E$2)*(E5528=E5527:E$2)))))</f>
        <v> </v>
      </c>
      <c r="J5528" s="25" t="str">
        <f>IF(OR(E5528="",E5528="!!!",F5528="NEW"),"",COUNTBLANK(OFFSET(A$1,,,SUMPRODUCT(MAX(ROW(E$2:E5528)*(E5528=E$2:E5528)))))-COUNTBLANK(OFFSET(A$1,,,SUMPRODUCT(MAX(ROW(E$1:E5527)*(E2=E$1:E5527))))))</f>
        <v> </v>
      </c>
      <c r="K5528" s="25" t="str">
        <f>IF(OR(E5528="",E5528="!!!",F5528="NEW"),"",INDEX(J$1:J5527,SUMPRODUCT(MAX(ROW(E$1:E5527)*(E5528=E$1:E5527)))))</f>
        <v> </v>
      </c>
      <c r="L5528" s="26"/>
    </row>
    <row r="5529" spans="1:12">
      <c r="A5529" s="20" t="s">
        <v>2480</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462</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t="s">
        <v>1005</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row>
    <row r="5533" spans="1:12">
      <c r="A5533" s="20" t="s">
        <v>2481</v>
      </c>
    </row>
    <row r="5534" spans="1:12">
      <c r="A5534" s="20" t="s">
        <v>1078</v>
      </c>
      <c r="B5534" s="27" t="s">
        <v>967</v>
      </c>
      <c r="C5534" s="27" t="s">
        <v>974</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2482</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991</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t="s">
        <v>867</v>
      </c>
      <c r="E5537" s="21">
        <f>IF(D5537="?OLD","!!!","")</f>
        <v/>
      </c>
      <c r="F5537" s="22" t="str">
        <f>IF(OR(E5537="",E5537="!!!"),"",IF(NOT(ISNA(VLOOKUP(E5537,E$1:E5536,1,FALSE()))),"OLD",IF(AND(E5537&lt;&gt;"",E5537&lt;&gt;"!!!"),"NEW","")))</f>
        <v> </v>
      </c>
      <c r="G5537" s="23" t="str">
        <f>IF(OR(E5537="",E5537="!!!"),"",IF(OR(J5537=0,AND(J5537=1,K5537=1),AND(J5537=1,I5537="SBJ"),AND(J5537=1,I5537=0)),"?IN_FOCUS",IF(J5537&lt;=2,"?ACTIVATED",IF(J5537&lt;&gt;"","?FAMILIAR",IF(F5537="NEW",IF(ISNA(VLOOKUP(E5537,#REF!,1,FALSE())),"?TYPE_IDENTIFIABLE","?REFERENTIAL"),"_")))))</f>
        <v> </v>
      </c>
      <c r="H5537" s="24" t="str">
        <f>IF(J5537&lt;&gt;1,"",IF(I5537="SBJ","CB","?"))</f>
        <v> </v>
      </c>
      <c r="I5537" s="25" t="str">
        <f>IF(OR(E5537="",E5537="!!!",F5537="NEW"),"",INDEX(B5536:B$2,-1+SUMPRODUCT(MAX(ROW(E5536:E$2)*(E5537=E5536:E$2)))))</f>
        <v> </v>
      </c>
      <c r="J5537" s="25" t="str">
        <f>IF(OR(E5537="",E5537="!!!",F5537="NEW"),"",COUNTBLANK(OFFSET(A$1,,,SUMPRODUCT(MAX(ROW(E$2:E5537)*(E5537=E$2:E5537)))))-COUNTBLANK(OFFSET(A$1,,,SUMPRODUCT(MAX(ROW(E$1:E5536)*(E2=E$1:E5536))))))</f>
        <v> </v>
      </c>
      <c r="K5537" s="25" t="str">
        <f>IF(OR(E5537="",E5537="!!!",F5537="NEW"),"",INDEX(J$1:J5536,SUMPRODUCT(MAX(ROW(E$1:E5536)*(E5537=E$1:E5536)))))</f>
        <v> </v>
      </c>
      <c r="L5537" s="26"/>
    </row>
    <row r="5538" spans="1:12">
      <c r="A5538" s="20" t="s">
        <v>1009</v>
      </c>
      <c r="B5538" s="27" t="s">
        <v>973</v>
      </c>
      <c r="C5538" s="27" t="s">
        <v>1011</v>
      </c>
      <c r="D5538" s="27" t="s">
        <v>969</v>
      </c>
      <c r="E5538" s="21">
        <f>IF(D5538="?OLD","!!!","")</f>
        <v/>
      </c>
      <c r="F5538" s="22" t="str">
        <f>IF(OR(E5538="",E5538="!!!"),"",IF(NOT(ISNA(VLOOKUP(E5538,E$1:E5537,1,FALSE()))),"OLD",IF(AND(E5538&lt;&gt;"",E5538&lt;&gt;"!!!"),"NEW","")))</f>
        <v> </v>
      </c>
      <c r="G5538" s="23" t="str">
        <f>IF(OR(E5538="",E5538="!!!"),"",IF(OR(J5538=0,AND(J5538=1,K5538=1),AND(J5538=1,I5538="SBJ"),AND(J5538=1,I5538=0)),"?IN_FOCUS",IF(J5538&lt;=2,"?ACTIVATED",IF(J5538&lt;&gt;"","?FAMILIAR",IF(F5538="NEW",IF(ISNA(VLOOKUP(E5538,#REF!,1,FALSE())),"?TYPE_IDENTIFIABLE","?REFERENTIAL"),"_")))))</f>
        <v> </v>
      </c>
      <c r="H5538" s="24" t="str">
        <f>IF(J5538&lt;&gt;1,"",IF(I5538="SBJ","CB","?"))</f>
        <v> </v>
      </c>
      <c r="I5538" s="25" t="str">
        <f>IF(OR(E5538="",E5538="!!!",F5538="NEW"),"",INDEX(B5537:B$2,-1+SUMPRODUCT(MAX(ROW(E5537:E$2)*(E5538=E5537:E$2)))))</f>
        <v> </v>
      </c>
      <c r="J5538" s="25" t="str">
        <f>IF(OR(E5538="",E5538="!!!",F5538="NEW"),"",COUNTBLANK(OFFSET(A$1,,,SUMPRODUCT(MAX(ROW(E$2:E5538)*(E5538=E$2:E5538)))))-COUNTBLANK(OFFSET(A$1,,,SUMPRODUCT(MAX(ROW(E$1:E5537)*(E2=E$1:E5537))))))</f>
        <v> </v>
      </c>
      <c r="K5538" s="25" t="str">
        <f>IF(OR(E5538="",E5538="!!!",F5538="NEW"),"",INDEX(J$1:J5537,SUMPRODUCT(MAX(ROW(E$1:E5537)*(E5538=E$1:E5537)))))</f>
        <v> </v>
      </c>
      <c r="L5538" s="26"/>
    </row>
    <row r="5539" spans="1:12">
      <c r="A5539" s="20" t="s">
        <v>1394</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1005</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row>
    <row r="5542" spans="1:12">
      <c r="A5542" s="20" t="s">
        <v>2483</v>
      </c>
    </row>
    <row r="5543" spans="1:12">
      <c r="A5543" s="20" t="s">
        <v>1182</v>
      </c>
      <c r="E5543" s="21">
        <f>IF(D5543="?OLD","!!!","")</f>
        <v/>
      </c>
      <c r="F5543" s="22" t="str">
        <f>IF(OR(E5543="",E5543="!!!"),"",IF(NOT(ISNA(VLOOKUP(E5543,E$1:E5542,1,FALSE()))),"OLD",IF(AND(E5543&lt;&gt;"",E5543&lt;&gt;"!!!"),"NEW","")))</f>
        <v> </v>
      </c>
      <c r="G5543" s="23" t="str">
        <f>IF(OR(E5543="",E5543="!!!"),"",IF(OR(J5543=0,AND(J5543=1,K5543=1),AND(J5543=1,I5543="SBJ"),AND(J5543=1,I5543=0)),"?IN_FOCUS",IF(J5543&lt;=2,"?ACTIVATED",IF(J5543&lt;&gt;"","?FAMILIAR",IF(F5543="NEW",IF(ISNA(VLOOKUP(E5543,#REF!,1,FALSE())),"?TYPE_IDENTIFIABLE","?REFERENTIAL"),"_")))))</f>
        <v> </v>
      </c>
      <c r="H5543" s="24" t="str">
        <f>IF(J5543&lt;&gt;1,"",IF(I5543="SBJ","CB","?"))</f>
        <v> </v>
      </c>
      <c r="I5543" s="25" t="str">
        <f>IF(OR(E5543="",E5543="!!!",F5543="NEW"),"",INDEX(B5542:B$2,-1+SUMPRODUCT(MAX(ROW(E5542:E$2)*(E5543=E5542:E$2)))))</f>
        <v> </v>
      </c>
      <c r="J5543" s="25" t="str">
        <f>IF(OR(E5543="",E5543="!!!",F5543="NEW"),"",COUNTBLANK(OFFSET(A$1,,,SUMPRODUCT(MAX(ROW(E$2:E5543)*(E5543=E$2:E5543)))))-COUNTBLANK(OFFSET(A$1,,,SUMPRODUCT(MAX(ROW(E$1:E5542)*(E2=E$1:E5542))))))</f>
        <v> </v>
      </c>
      <c r="K5543" s="25" t="str">
        <f>IF(OR(E5543="",E5543="!!!",F5543="NEW"),"",INDEX(J$1:J5542,SUMPRODUCT(MAX(ROW(E$1:E5542)*(E5543=E$1:E5542)))))</f>
        <v> </v>
      </c>
      <c r="L5543" s="26"/>
    </row>
    <row r="5544" spans="1:12">
      <c r="A5544" s="20" t="s">
        <v>1220</v>
      </c>
      <c r="B5544" s="27" t="s">
        <v>1010</v>
      </c>
      <c r="C5544" s="27" t="s">
        <v>1001</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1213</v>
      </c>
      <c r="B5545" s="27" t="s">
        <v>1013</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t="s">
        <v>1475</v>
      </c>
      <c r="E5546" s="21">
        <f>IF(D5546="?OLD","!!!","")</f>
        <v/>
      </c>
      <c r="F5546" s="22" t="str">
        <f>IF(OR(E5546="",E5546="!!!"),"",IF(NOT(ISNA(VLOOKUP(E5546,E$1:E5545,1,FALSE()))),"OLD",IF(AND(E5546&lt;&gt;"",E5546&lt;&gt;"!!!"),"NEW","")))</f>
        <v> </v>
      </c>
      <c r="G5546" s="23" t="str">
        <f>IF(OR(E5546="",E5546="!!!"),"",IF(OR(J5546=0,AND(J5546=1,K5546=1),AND(J5546=1,I5546="SBJ"),AND(J5546=1,I5546=0)),"?IN_FOCUS",IF(J5546&lt;=2,"?ACTIVATED",IF(J5546&lt;&gt;"","?FAMILIAR",IF(F5546="NEW",IF(ISNA(VLOOKUP(E5546,#REF!,1,FALSE())),"?TYPE_IDENTIFIABLE","?REFERENTIAL"),"_")))))</f>
        <v> </v>
      </c>
      <c r="H5546" s="24" t="str">
        <f>IF(J5546&lt;&gt;1,"",IF(I5546="SBJ","CB","?"))</f>
        <v> </v>
      </c>
      <c r="I5546" s="25" t="str">
        <f>IF(OR(E5546="",E5546="!!!",F5546="NEW"),"",INDEX(B5545:B$2,-1+SUMPRODUCT(MAX(ROW(E5545:E$2)*(E5546=E5545:E$2)))))</f>
        <v> </v>
      </c>
      <c r="J5546" s="25" t="str">
        <f>IF(OR(E5546="",E5546="!!!",F5546="NEW"),"",COUNTBLANK(OFFSET(A$1,,,SUMPRODUCT(MAX(ROW(E$2:E5546)*(E5546=E$2:E5546)))))-COUNTBLANK(OFFSET(A$1,,,SUMPRODUCT(MAX(ROW(E$1:E5545)*(E2=E$1:E5545))))))</f>
        <v> </v>
      </c>
      <c r="K5546" s="25" t="str">
        <f>IF(OR(E5546="",E5546="!!!",F5546="NEW"),"",INDEX(J$1:J5545,SUMPRODUCT(MAX(ROW(E$1:E5545)*(E5546=E$1:E5545)))))</f>
        <v> </v>
      </c>
      <c r="L5546" s="26"/>
    </row>
    <row r="5547" spans="1:12">
      <c r="A5547" s="20" t="s">
        <v>1919</v>
      </c>
      <c r="B5547" s="27" t="s">
        <v>978</v>
      </c>
      <c r="C5547" s="27" t="s">
        <v>968</v>
      </c>
      <c r="D5547" s="27" t="s">
        <v>969</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2484</v>
      </c>
      <c r="E5548" s="21">
        <f>IF(D5548="?OLD","!!!","")</f>
        <v/>
      </c>
      <c r="F5548" s="22" t="str">
        <f>IF(OR(E5548="",E5548="!!!"),"",IF(NOT(ISNA(VLOOKUP(E5548,E$1:E5547,1,FALSE()))),"OLD",IF(AND(E5548&lt;&gt;"",E5548&lt;&gt;"!!!"),"NEW","")))</f>
        <v> </v>
      </c>
      <c r="G5548" s="23" t="str">
        <f>IF(OR(E5548="",E5548="!!!"),"",IF(OR(J5548=0,AND(J5548=1,K5548=1),AND(J5548=1,I5548="SBJ"),AND(J5548=1,I5548=0)),"?IN_FOCUS",IF(J5548&lt;=2,"?ACTIVATED",IF(J5548&lt;&gt;"","?FAMILIAR",IF(F5548="NEW",IF(ISNA(VLOOKUP(E5548,#REF!,1,FALSE())),"?TYPE_IDENTIFIABLE","?REFERENTIAL"),"_")))))</f>
        <v> </v>
      </c>
      <c r="H5548" s="24" t="str">
        <f>IF(J5548&lt;&gt;1,"",IF(I5548="SBJ","CB","?"))</f>
        <v> </v>
      </c>
      <c r="I5548" s="25" t="str">
        <f>IF(OR(E5548="",E5548="!!!",F5548="NEW"),"",INDEX(B5547:B$2,-1+SUMPRODUCT(MAX(ROW(E5547:E$2)*(E5548=E5547:E$2)))))</f>
        <v> </v>
      </c>
      <c r="J5548" s="25" t="str">
        <f>IF(OR(E5548="",E5548="!!!",F5548="NEW"),"",COUNTBLANK(OFFSET(A$1,,,SUMPRODUCT(MAX(ROW(E$2:E5548)*(E5548=E$2:E5548)))))-COUNTBLANK(OFFSET(A$1,,,SUMPRODUCT(MAX(ROW(E$1:E5547)*(E2=E$1:E5547))))))</f>
        <v> </v>
      </c>
      <c r="K5548" s="25" t="str">
        <f>IF(OR(E5548="",E5548="!!!",F5548="NEW"),"",INDEX(J$1:J5547,SUMPRODUCT(MAX(ROW(E$1:E5547)*(E5548=E$1:E5547)))))</f>
        <v> </v>
      </c>
      <c r="L5548" s="26"/>
    </row>
    <row r="5549" spans="1:12">
      <c r="A5549" s="20" t="s">
        <v>991</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871</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1009</v>
      </c>
      <c r="B5551" s="27" t="s">
        <v>967</v>
      </c>
      <c r="C5551" s="27" t="s">
        <v>1011</v>
      </c>
      <c r="D5551" s="27" t="s">
        <v>969</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1005</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row>
    <row r="5554" spans="1:12">
      <c r="A5554" s="20" t="s">
        <v>2485</v>
      </c>
    </row>
    <row r="5555" spans="1:12">
      <c r="A5555" s="20" t="s">
        <v>1007</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985</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1111</v>
      </c>
      <c r="B5557" s="27" t="s">
        <v>967</v>
      </c>
      <c r="C5557" s="27" t="s">
        <v>979</v>
      </c>
      <c r="D5557" s="27" t="s">
        <v>969</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991</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2486</v>
      </c>
      <c r="B5559" s="27" t="s">
        <v>1031</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1086</v>
      </c>
      <c r="B5560" s="27" t="s">
        <v>994</v>
      </c>
      <c r="C5560" s="27" t="s">
        <v>968</v>
      </c>
      <c r="D5560" s="27" t="s">
        <v>969</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1520</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t="s">
        <v>1893</v>
      </c>
      <c r="E5562" s="21">
        <f>IF(D5562="?OLD","!!!","")</f>
        <v/>
      </c>
      <c r="F5562" s="22" t="str">
        <f>IF(OR(E5562="",E5562="!!!"),"",IF(NOT(ISNA(VLOOKUP(E5562,E$1:E5561,1,FALSE()))),"OLD",IF(AND(E5562&lt;&gt;"",E5562&lt;&gt;"!!!"),"NEW","")))</f>
        <v> </v>
      </c>
      <c r="G5562" s="23" t="str">
        <f>IF(OR(E5562="",E5562="!!!"),"",IF(OR(J5562=0,AND(J5562=1,K5562=1),AND(J5562=1,I5562="SBJ"),AND(J5562=1,I5562=0)),"?IN_FOCUS",IF(J5562&lt;=2,"?ACTIVATED",IF(J5562&lt;&gt;"","?FAMILIAR",IF(F5562="NEW",IF(ISNA(VLOOKUP(E5562,#REF!,1,FALSE())),"?TYPE_IDENTIFIABLE","?REFERENTIAL"),"_")))))</f>
        <v> </v>
      </c>
      <c r="H5562" s="24" t="str">
        <f>IF(J5562&lt;&gt;1,"",IF(I5562="SBJ","CB","?"))</f>
        <v> </v>
      </c>
      <c r="I5562" s="25" t="str">
        <f>IF(OR(E5562="",E5562="!!!",F5562="NEW"),"",INDEX(B5561:B$2,-1+SUMPRODUCT(MAX(ROW(E5561:E$2)*(E5562=E5561:E$2)))))</f>
        <v> </v>
      </c>
      <c r="J5562" s="25" t="str">
        <f>IF(OR(E5562="",E5562="!!!",F5562="NEW"),"",COUNTBLANK(OFFSET(A$1,,,SUMPRODUCT(MAX(ROW(E$2:E5562)*(E5562=E$2:E5562)))))-COUNTBLANK(OFFSET(A$1,,,SUMPRODUCT(MAX(ROW(E$1:E5561)*(E2=E$1:E5561))))))</f>
        <v> </v>
      </c>
      <c r="K5562" s="25" t="str">
        <f>IF(OR(E5562="",E5562="!!!",F5562="NEW"),"",INDEX(J$1:J5561,SUMPRODUCT(MAX(ROW(E$1:E5561)*(E5562=E$1:E5561)))))</f>
        <v> </v>
      </c>
      <c r="L5562" s="26"/>
    </row>
    <row r="5563" spans="1:12">
      <c r="A5563" s="20" t="s">
        <v>991</v>
      </c>
      <c r="E5563" s="21">
        <f>IF(D5563="?OLD","!!!","")</f>
        <v/>
      </c>
      <c r="F5563" s="22" t="str">
        <f>IF(OR(E5563="",E5563="!!!"),"",IF(NOT(ISNA(VLOOKUP(E5563,E$1:E5562,1,FALSE()))),"OLD",IF(AND(E5563&lt;&gt;"",E5563&lt;&gt;"!!!"),"NEW","")))</f>
        <v> </v>
      </c>
      <c r="G5563" s="23" t="str">
        <f>IF(OR(E5563="",E5563="!!!"),"",IF(OR(J5563=0,AND(J5563=1,K5563=1),AND(J5563=1,I5563="SBJ"),AND(J5563=1,I5563=0)),"?IN_FOCUS",IF(J5563&lt;=2,"?ACTIVATED",IF(J5563&lt;&gt;"","?FAMILIAR",IF(F5563="NEW",IF(ISNA(VLOOKUP(E5563,#REF!,1,FALSE())),"?TYPE_IDENTIFIABLE","?REFERENTIAL"),"_")))))</f>
        <v> </v>
      </c>
      <c r="H5563" s="24" t="str">
        <f>IF(J5563&lt;&gt;1,"",IF(I5563="SBJ","CB","?"))</f>
        <v> </v>
      </c>
      <c r="I5563" s="25" t="str">
        <f>IF(OR(E5563="",E5563="!!!",F5563="NEW"),"",INDEX(B5562:B$2,-1+SUMPRODUCT(MAX(ROW(E5562:E$2)*(E5563=E5562:E$2)))))</f>
        <v> </v>
      </c>
      <c r="J5563" s="25" t="str">
        <f>IF(OR(E5563="",E5563="!!!",F5563="NEW"),"",COUNTBLANK(OFFSET(A$1,,,SUMPRODUCT(MAX(ROW(E$2:E5563)*(E5563=E$2:E5563)))))-COUNTBLANK(OFFSET(A$1,,,SUMPRODUCT(MAX(ROW(E$1:E5562)*(E2=E$1:E5562))))))</f>
        <v> </v>
      </c>
      <c r="K5563" s="25" t="str">
        <f>IF(OR(E5563="",E5563="!!!",F5563="NEW"),"",INDEX(J$1:J5562,SUMPRODUCT(MAX(ROW(E$1:E5562)*(E5563=E$1:E5562)))))</f>
        <v> </v>
      </c>
      <c r="L5563" s="26"/>
    </row>
    <row r="5564" spans="1:12">
      <c r="A5564" s="20" t="s">
        <v>1195</v>
      </c>
      <c r="E5564" s="21">
        <f>IF(D5564="?OLD","!!!","")</f>
        <v/>
      </c>
      <c r="F5564" s="22" t="str">
        <f>IF(OR(E5564="",E5564="!!!"),"",IF(NOT(ISNA(VLOOKUP(E5564,E$1:E5563,1,FALSE()))),"OLD",IF(AND(E5564&lt;&gt;"",E5564&lt;&gt;"!!!"),"NEW","")))</f>
        <v> </v>
      </c>
      <c r="G5564" s="23" t="str">
        <f>IF(OR(E5564="",E5564="!!!"),"",IF(OR(J5564=0,AND(J5564=1,K5564=1),AND(J5564=1,I5564="SBJ"),AND(J5564=1,I5564=0)),"?IN_FOCUS",IF(J5564&lt;=2,"?ACTIVATED",IF(J5564&lt;&gt;"","?FAMILIAR",IF(F5564="NEW",IF(ISNA(VLOOKUP(E5564,#REF!,1,FALSE())),"?TYPE_IDENTIFIABLE","?REFERENTIAL"),"_")))))</f>
        <v> </v>
      </c>
      <c r="H5564" s="24" t="str">
        <f>IF(J5564&lt;&gt;1,"",IF(I5564="SBJ","CB","?"))</f>
        <v> </v>
      </c>
      <c r="I5564" s="25" t="str">
        <f>IF(OR(E5564="",E5564="!!!",F5564="NEW"),"",INDEX(B5563:B$2,-1+SUMPRODUCT(MAX(ROW(E5563:E$2)*(E5564=E5563:E$2)))))</f>
        <v> </v>
      </c>
      <c r="J5564" s="25" t="str">
        <f>IF(OR(E5564="",E5564="!!!",F5564="NEW"),"",COUNTBLANK(OFFSET(A$1,,,SUMPRODUCT(MAX(ROW(E$2:E5564)*(E5564=E$2:E5564)))))-COUNTBLANK(OFFSET(A$1,,,SUMPRODUCT(MAX(ROW(E$1:E5563)*(E2=E$1:E5563))))))</f>
        <v> </v>
      </c>
      <c r="K5564" s="25" t="str">
        <f>IF(OR(E5564="",E5564="!!!",F5564="NEW"),"",INDEX(J$1:J5563,SUMPRODUCT(MAX(ROW(E$1:E5563)*(E5564=E$1:E5563)))))</f>
        <v> </v>
      </c>
      <c r="L5564" s="26"/>
    </row>
    <row r="5565" spans="1:12">
      <c r="A5565" s="20" t="s">
        <v>2487</v>
      </c>
      <c r="B5565" s="27" t="s">
        <v>1053</v>
      </c>
      <c r="C5565" s="27" t="s">
        <v>1102</v>
      </c>
      <c r="D5565" s="27" t="s">
        <v>969</v>
      </c>
      <c r="E5565" s="21">
        <f>IF(D5565="?OLD","!!!","")</f>
        <v/>
      </c>
      <c r="F5565" s="22" t="str">
        <f>IF(OR(E5565="",E5565="!!!"),"",IF(NOT(ISNA(VLOOKUP(E5565,E$1:E5564,1,FALSE()))),"OLD",IF(AND(E5565&lt;&gt;"",E5565&lt;&gt;"!!!"),"NEW","")))</f>
        <v> </v>
      </c>
      <c r="G5565" s="23" t="str">
        <f>IF(OR(E5565="",E5565="!!!"),"",IF(OR(J5565=0,AND(J5565=1,K5565=1),AND(J5565=1,I5565="SBJ"),AND(J5565=1,I5565=0)),"?IN_FOCUS",IF(J5565&lt;=2,"?ACTIVATED",IF(J5565&lt;&gt;"","?FAMILIAR",IF(F5565="NEW",IF(ISNA(VLOOKUP(E5565,#REF!,1,FALSE())),"?TYPE_IDENTIFIABLE","?REFERENTIAL"),"_")))))</f>
        <v> </v>
      </c>
      <c r="H5565" s="24" t="str">
        <f>IF(J5565&lt;&gt;1,"",IF(I5565="SBJ","CB","?"))</f>
        <v> </v>
      </c>
      <c r="I5565" s="25" t="str">
        <f>IF(OR(E5565="",E5565="!!!",F5565="NEW"),"",INDEX(B5564:B$2,-1+SUMPRODUCT(MAX(ROW(E5564:E$2)*(E5565=E5564:E$2)))))</f>
        <v> </v>
      </c>
      <c r="J5565" s="25" t="str">
        <f>IF(OR(E5565="",E5565="!!!",F5565="NEW"),"",COUNTBLANK(OFFSET(A$1,,,SUMPRODUCT(MAX(ROW(E$2:E5565)*(E5565=E$2:E5565)))))-COUNTBLANK(OFFSET(A$1,,,SUMPRODUCT(MAX(ROW(E$1:E5564)*(E2=E$1:E5564))))))</f>
        <v> </v>
      </c>
      <c r="K5565" s="25" t="str">
        <f>IF(OR(E5565="",E5565="!!!",F5565="NEW"),"",INDEX(J$1:J5564,SUMPRODUCT(MAX(ROW(E$1:E5564)*(E5565=E$1:E5564)))))</f>
        <v> </v>
      </c>
      <c r="L5565" s="26"/>
    </row>
    <row r="5566" spans="1:12">
      <c r="A5566" s="20" t="s">
        <v>991</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985</v>
      </c>
      <c r="B5567" s="27" t="s">
        <v>1010</v>
      </c>
      <c r="E5567" s="21">
        <f>IF(D5567="?OLD","!!!","")</f>
        <v/>
      </c>
      <c r="F5567" s="22" t="str">
        <f>IF(OR(E5567="",E5567="!!!"),"",IF(NOT(ISNA(VLOOKUP(E5567,E$1:E5566,1,FALSE()))),"OLD",IF(AND(E5567&lt;&gt;"",E5567&lt;&gt;"!!!"),"NEW","")))</f>
        <v> </v>
      </c>
      <c r="G5567" s="23" t="str">
        <f>IF(OR(E5567="",E5567="!!!"),"",IF(OR(J5567=0,AND(J5567=1,K5567=1),AND(J5567=1,I5567="SBJ"),AND(J5567=1,I5567=0)),"?IN_FOCUS",IF(J5567&lt;=2,"?ACTIVATED",IF(J5567&lt;&gt;"","?FAMILIAR",IF(F5567="NEW",IF(ISNA(VLOOKUP(E5567,#REF!,1,FALSE())),"?TYPE_IDENTIFIABLE","?REFERENTIAL"),"_")))))</f>
        <v> </v>
      </c>
      <c r="H5567" s="24" t="str">
        <f>IF(J5567&lt;&gt;1,"",IF(I5567="SBJ","CB","?"))</f>
        <v> </v>
      </c>
      <c r="I5567" s="25" t="str">
        <f>IF(OR(E5567="",E5567="!!!",F5567="NEW"),"",INDEX(B5566:B$2,-1+SUMPRODUCT(MAX(ROW(E5566:E$2)*(E5567=E5566:E$2)))))</f>
        <v> </v>
      </c>
      <c r="J5567" s="25" t="str">
        <f>IF(OR(E5567="",E5567="!!!",F5567="NEW"),"",COUNTBLANK(OFFSET(A$1,,,SUMPRODUCT(MAX(ROW(E$2:E5567)*(E5567=E$2:E5567)))))-COUNTBLANK(OFFSET(A$1,,,SUMPRODUCT(MAX(ROW(E$1:E5566)*(E2=E$1:E5566))))))</f>
        <v> </v>
      </c>
      <c r="K5567" s="25" t="str">
        <f>IF(OR(E5567="",E5567="!!!",F5567="NEW"),"",INDEX(J$1:J5566,SUMPRODUCT(MAX(ROW(E$1:E5566)*(E5567=E$1:E5566)))))</f>
        <v> </v>
      </c>
      <c r="L5567" s="26"/>
    </row>
    <row r="5568" spans="1:12">
      <c r="A5568" s="20" t="s">
        <v>985</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2100</v>
      </c>
      <c r="B5569" s="27" t="s">
        <v>1013</v>
      </c>
      <c r="C5569" s="27" t="s">
        <v>979</v>
      </c>
      <c r="D5569" s="27" t="s">
        <v>969</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2488</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t="s">
        <v>991</v>
      </c>
      <c r="E5571" s="21">
        <f>IF(D5571="?OLD","!!!","")</f>
        <v/>
      </c>
      <c r="F5571" s="22" t="str">
        <f>IF(OR(E5571="",E5571="!!!"),"",IF(NOT(ISNA(VLOOKUP(E5571,E$1:E5570,1,FALSE()))),"OLD",IF(AND(E5571&lt;&gt;"",E5571&lt;&gt;"!!!"),"NEW","")))</f>
        <v> </v>
      </c>
      <c r="G5571" s="23" t="str">
        <f>IF(OR(E5571="",E5571="!!!"),"",IF(OR(J5571=0,AND(J5571=1,K5571=1),AND(J5571=1,I5571="SBJ"),AND(J5571=1,I5571=0)),"?IN_FOCUS",IF(J5571&lt;=2,"?ACTIVATED",IF(J5571&lt;&gt;"","?FAMILIAR",IF(F5571="NEW",IF(ISNA(VLOOKUP(E5571,#REF!,1,FALSE())),"?TYPE_IDENTIFIABLE","?REFERENTIAL"),"_")))))</f>
        <v> </v>
      </c>
      <c r="H5571" s="24" t="str">
        <f>IF(J5571&lt;&gt;1,"",IF(I5571="SBJ","CB","?"))</f>
        <v> </v>
      </c>
      <c r="I5571" s="25" t="str">
        <f>IF(OR(E5571="",E5571="!!!",F5571="NEW"),"",INDEX(B5570:B$2,-1+SUMPRODUCT(MAX(ROW(E5570:E$2)*(E5571=E5570:E$2)))))</f>
        <v> </v>
      </c>
      <c r="J5571" s="25" t="str">
        <f>IF(OR(E5571="",E5571="!!!",F5571="NEW"),"",COUNTBLANK(OFFSET(A$1,,,SUMPRODUCT(MAX(ROW(E$2:E5571)*(E5571=E$2:E5571)))))-COUNTBLANK(OFFSET(A$1,,,SUMPRODUCT(MAX(ROW(E$1:E5570)*(E2=E$1:E5570))))))</f>
        <v> </v>
      </c>
      <c r="K5571" s="25" t="str">
        <f>IF(OR(E5571="",E5571="!!!",F5571="NEW"),"",INDEX(J$1:J5570,SUMPRODUCT(MAX(ROW(E$1:E5570)*(E5571=E$1:E5570)))))</f>
        <v> </v>
      </c>
      <c r="L5571" s="26"/>
    </row>
    <row r="5572" spans="1:12">
      <c r="A5572" s="20" t="s">
        <v>996</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1009</v>
      </c>
      <c r="B5573" s="27" t="s">
        <v>994</v>
      </c>
      <c r="C5573" s="27" t="s">
        <v>1011</v>
      </c>
      <c r="D5573" s="27" t="s">
        <v>969</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t="s">
        <v>1280</v>
      </c>
      <c r="B5574" s="27" t="s">
        <v>1003</v>
      </c>
      <c r="C5574" s="27" t="s">
        <v>1102</v>
      </c>
      <c r="D5574" s="27" t="s">
        <v>969</v>
      </c>
      <c r="E5574" s="21">
        <f>IF(D5574="?OLD","!!!","")</f>
        <v/>
      </c>
      <c r="F5574" s="22" t="str">
        <f>IF(OR(E5574="",E5574="!!!"),"",IF(NOT(ISNA(VLOOKUP(E5574,E$1:E5573,1,FALSE()))),"OLD",IF(AND(E5574&lt;&gt;"",E5574&lt;&gt;"!!!"),"NEW","")))</f>
        <v> </v>
      </c>
      <c r="G5574" s="23" t="str">
        <f>IF(OR(E5574="",E5574="!!!"),"",IF(OR(J5574=0,AND(J5574=1,K5574=1),AND(J5574=1,I5574="SBJ"),AND(J5574=1,I5574=0)),"?IN_FOCUS",IF(J5574&lt;=2,"?ACTIVATED",IF(J5574&lt;&gt;"","?FAMILIAR",IF(F5574="NEW",IF(ISNA(VLOOKUP(E5574,#REF!,1,FALSE())),"?TYPE_IDENTIFIABLE","?REFERENTIAL"),"_")))))</f>
        <v> </v>
      </c>
      <c r="H5574" s="24" t="str">
        <f>IF(J5574&lt;&gt;1,"",IF(I5574="SBJ","CB","?"))</f>
        <v> </v>
      </c>
      <c r="I5574" s="25" t="str">
        <f>IF(OR(E5574="",E5574="!!!",F5574="NEW"),"",INDEX(B5573:B$2,-1+SUMPRODUCT(MAX(ROW(E5573:E$2)*(E5574=E5573:E$2)))))</f>
        <v> </v>
      </c>
      <c r="J5574" s="25" t="str">
        <f>IF(OR(E5574="",E5574="!!!",F5574="NEW"),"",COUNTBLANK(OFFSET(A$1,,,SUMPRODUCT(MAX(ROW(E$2:E5574)*(E5574=E$2:E5574)))))-COUNTBLANK(OFFSET(A$1,,,SUMPRODUCT(MAX(ROW(E$1:E5573)*(E2=E$1:E5573))))))</f>
        <v> </v>
      </c>
      <c r="K5574" s="25" t="str">
        <f>IF(OR(E5574="",E5574="!!!",F5574="NEW"),"",INDEX(J$1:J5573,SUMPRODUCT(MAX(ROW(E$1:E5573)*(E5574=E$1:E5573)))))</f>
        <v> </v>
      </c>
      <c r="L5574" s="26"/>
    </row>
    <row r="5575" spans="1:12">
      <c r="A5575" s="20" t="s">
        <v>1423</v>
      </c>
      <c r="B5575" s="27" t="s">
        <v>1031</v>
      </c>
      <c r="C5575" s="27" t="s">
        <v>1141</v>
      </c>
      <c r="D5575" s="27" t="s">
        <v>969</v>
      </c>
      <c r="E5575" s="21">
        <f>IF(D5575="?OLD","!!!","")</f>
        <v/>
      </c>
      <c r="F5575" s="22" t="str">
        <f>IF(OR(E5575="",E5575="!!!"),"",IF(NOT(ISNA(VLOOKUP(E5575,E$1:E5574,1,FALSE()))),"OLD",IF(AND(E5575&lt;&gt;"",E5575&lt;&gt;"!!!"),"NEW","")))</f>
        <v> </v>
      </c>
      <c r="G5575" s="23" t="str">
        <f>IF(OR(E5575="",E5575="!!!"),"",IF(OR(J5575=0,AND(J5575=1,K5575=1),AND(J5575=1,I5575="SBJ"),AND(J5575=1,I5575=0)),"?IN_FOCUS",IF(J5575&lt;=2,"?ACTIVATED",IF(J5575&lt;&gt;"","?FAMILIAR",IF(F5575="NEW",IF(ISNA(VLOOKUP(E5575,#REF!,1,FALSE())),"?TYPE_IDENTIFIABLE","?REFERENTIAL"),"_")))))</f>
        <v> </v>
      </c>
      <c r="H5575" s="24" t="str">
        <f>IF(J5575&lt;&gt;1,"",IF(I5575="SBJ","CB","?"))</f>
        <v> </v>
      </c>
      <c r="I5575" s="25" t="str">
        <f>IF(OR(E5575="",E5575="!!!",F5575="NEW"),"",INDEX(B5574:B$2,-1+SUMPRODUCT(MAX(ROW(E5574:E$2)*(E5575=E5574:E$2)))))</f>
        <v> </v>
      </c>
      <c r="J5575" s="25" t="str">
        <f>IF(OR(E5575="",E5575="!!!",F5575="NEW"),"",COUNTBLANK(OFFSET(A$1,,,SUMPRODUCT(MAX(ROW(E$2:E5575)*(E5575=E$2:E5575)))))-COUNTBLANK(OFFSET(A$1,,,SUMPRODUCT(MAX(ROW(E$1:E5574)*(E2=E$1:E5574))))))</f>
        <v> </v>
      </c>
      <c r="K5575" s="25" t="str">
        <f>IF(OR(E5575="",E5575="!!!",F5575="NEW"),"",INDEX(J$1:J5574,SUMPRODUCT(MAX(ROW(E$1:E5574)*(E5575=E$1:E5574)))))</f>
        <v> </v>
      </c>
      <c r="L5575" s="26"/>
    </row>
    <row r="5576" spans="1:12">
      <c r="A5576" s="20" t="s">
        <v>104</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1005</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row>
    <row r="5579" spans="1:12">
      <c r="A5579" s="20" t="s">
        <v>2489</v>
      </c>
    </row>
    <row r="5580" spans="1:12">
      <c r="A5580" s="20" t="s">
        <v>2490</v>
      </c>
      <c r="B5580" s="27" t="s">
        <v>967</v>
      </c>
      <c r="C5580" s="27" t="s">
        <v>1102</v>
      </c>
      <c r="D5580" s="27" t="s">
        <v>969</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991</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985</v>
      </c>
      <c r="B5582" s="27" t="s">
        <v>994</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1230</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t="s">
        <v>1078</v>
      </c>
      <c r="B5584" s="27" t="s">
        <v>1031</v>
      </c>
      <c r="C5584" s="27" t="s">
        <v>1035</v>
      </c>
      <c r="E5584" s="21">
        <f>IF(D5584="?OLD","!!!","")</f>
        <v/>
      </c>
      <c r="F5584" s="22" t="str">
        <f>IF(OR(E5584="",E5584="!!!"),"",IF(NOT(ISNA(VLOOKUP(E5584,E$1:E5583,1,FALSE()))),"OLD",IF(AND(E5584&lt;&gt;"",E5584&lt;&gt;"!!!"),"NEW","")))</f>
        <v> </v>
      </c>
      <c r="G5584" s="23" t="str">
        <f>IF(OR(E5584="",E5584="!!!"),"",IF(OR(J5584=0,AND(J5584=1,K5584=1),AND(J5584=1,I5584="SBJ"),AND(J5584=1,I5584=0)),"?IN_FOCUS",IF(J5584&lt;=2,"?ACTIVATED",IF(J5584&lt;&gt;"","?FAMILIAR",IF(F5584="NEW",IF(ISNA(VLOOKUP(E5584,#REF!,1,FALSE())),"?TYPE_IDENTIFIABLE","?REFERENTIAL"),"_")))))</f>
        <v> </v>
      </c>
      <c r="H5584" s="24" t="str">
        <f>IF(J5584&lt;&gt;1,"",IF(I5584="SBJ","CB","?"))</f>
        <v> </v>
      </c>
      <c r="I5584" s="25" t="str">
        <f>IF(OR(E5584="",E5584="!!!",F5584="NEW"),"",INDEX(B5583:B$2,-1+SUMPRODUCT(MAX(ROW(E5583:E$2)*(E5584=E5583:E$2)))))</f>
        <v> </v>
      </c>
      <c r="J5584" s="25" t="str">
        <f>IF(OR(E5584="",E5584="!!!",F5584="NEW"),"",COUNTBLANK(OFFSET(A$1,,,SUMPRODUCT(MAX(ROW(E$2:E5584)*(E5584=E$2:E5584)))))-COUNTBLANK(OFFSET(A$1,,,SUMPRODUCT(MAX(ROW(E$1:E5583)*(E2=E$1:E5583))))))</f>
        <v> </v>
      </c>
      <c r="K5584" s="25" t="str">
        <f>IF(OR(E5584="",E5584="!!!",F5584="NEW"),"",INDEX(J$1:J5583,SUMPRODUCT(MAX(ROW(E$1:E5583)*(E5584=E$1:E5583)))))</f>
        <v> </v>
      </c>
      <c r="L5584" s="26"/>
    </row>
    <row r="5585" spans="1:12">
      <c r="A5585" s="20" t="s">
        <v>2488</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1530</v>
      </c>
      <c r="E5586" s="21">
        <f>IF(D5586="?OLD","!!!","")</f>
        <v/>
      </c>
      <c r="F5586" s="22" t="str">
        <f>IF(OR(E5586="",E5586="!!!"),"",IF(NOT(ISNA(VLOOKUP(E5586,E$1:E5585,1,FALSE()))),"OLD",IF(AND(E5586&lt;&gt;"",E5586&lt;&gt;"!!!"),"NEW","")))</f>
        <v> </v>
      </c>
      <c r="G5586" s="23" t="str">
        <f>IF(OR(E5586="",E5586="!!!"),"",IF(OR(J5586=0,AND(J5586=1,K5586=1),AND(J5586=1,I5586="SBJ"),AND(J5586=1,I5586=0)),"?IN_FOCUS",IF(J5586&lt;=2,"?ACTIVATED",IF(J5586&lt;&gt;"","?FAMILIAR",IF(F5586="NEW",IF(ISNA(VLOOKUP(E5586,#REF!,1,FALSE())),"?TYPE_IDENTIFIABLE","?REFERENTIAL"),"_")))))</f>
        <v> </v>
      </c>
      <c r="H5586" s="24" t="str">
        <f>IF(J5586&lt;&gt;1,"",IF(I5586="SBJ","CB","?"))</f>
        <v> </v>
      </c>
      <c r="I5586" s="25" t="str">
        <f>IF(OR(E5586="",E5586="!!!",F5586="NEW"),"",INDEX(B5585:B$2,-1+SUMPRODUCT(MAX(ROW(E5585:E$2)*(E5586=E5585:E$2)))))</f>
        <v> </v>
      </c>
      <c r="J5586" s="25" t="str">
        <f>IF(OR(E5586="",E5586="!!!",F5586="NEW"),"",COUNTBLANK(OFFSET(A$1,,,SUMPRODUCT(MAX(ROW(E$2:E5586)*(E5586=E$2:E5586)))))-COUNTBLANK(OFFSET(A$1,,,SUMPRODUCT(MAX(ROW(E$1:E5585)*(E2=E$1:E5585))))))</f>
        <v> </v>
      </c>
      <c r="K5586" s="25" t="str">
        <f>IF(OR(E5586="",E5586="!!!",F5586="NEW"),"",INDEX(J$1:J5585,SUMPRODUCT(MAX(ROW(E$1:E5585)*(E5586=E$1:E5585)))))</f>
        <v> </v>
      </c>
      <c r="L5586" s="26"/>
    </row>
    <row r="5587" spans="1:12">
      <c r="A5587" s="20" t="s">
        <v>991</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1195</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2487</v>
      </c>
      <c r="B5589" s="27" t="s">
        <v>1053</v>
      </c>
      <c r="C5589" s="27" t="s">
        <v>1102</v>
      </c>
      <c r="D5589" s="27" t="s">
        <v>969</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991</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t="s">
        <v>985</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2472</v>
      </c>
      <c r="B5592" s="27" t="s">
        <v>1013</v>
      </c>
      <c r="C5592" s="27" t="s">
        <v>979</v>
      </c>
      <c r="D5592" s="27" t="s">
        <v>969</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2491</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1005</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row>
    <row r="5596" spans="1:12">
      <c r="A5596" s="20" t="s">
        <v>1060</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t="s">
        <v>2492</v>
      </c>
    </row>
    <row r="5598" spans="1:12">
      <c r="A5598" s="20" t="s">
        <v>2155</v>
      </c>
      <c r="E5598" s="21">
        <f>IF(D5598="?OLD","!!!","")</f>
        <v/>
      </c>
      <c r="F5598" s="22" t="str">
        <f>IF(OR(E5598="",E5598="!!!"),"",IF(NOT(ISNA(VLOOKUP(E5598,E$1:E5597,1,FALSE()))),"OLD",IF(AND(E5598&lt;&gt;"",E5598&lt;&gt;"!!!"),"NEW","")))</f>
        <v> </v>
      </c>
      <c r="G5598" s="23" t="str">
        <f>IF(OR(E5598="",E5598="!!!"),"",IF(OR(J5598=0,AND(J5598=1,K5598=1),AND(J5598=1,I5598="SBJ"),AND(J5598=1,I5598=0)),"?IN_FOCUS",IF(J5598&lt;=2,"?ACTIVATED",IF(J5598&lt;&gt;"","?FAMILIAR",IF(F5598="NEW",IF(ISNA(VLOOKUP(E5598,#REF!,1,FALSE())),"?TYPE_IDENTIFIABLE","?REFERENTIAL"),"_")))))</f>
        <v> </v>
      </c>
      <c r="H5598" s="24" t="str">
        <f>IF(J5598&lt;&gt;1,"",IF(I5598="SBJ","CB","?"))</f>
        <v> </v>
      </c>
      <c r="I5598" s="25" t="str">
        <f>IF(OR(E5598="",E5598="!!!",F5598="NEW"),"",INDEX(B5597:B$2,-1+SUMPRODUCT(MAX(ROW(E5597:E$2)*(E5598=E5597:E$2)))))</f>
        <v> </v>
      </c>
      <c r="J5598" s="25" t="str">
        <f>IF(OR(E5598="",E5598="!!!",F5598="NEW"),"",COUNTBLANK(OFFSET(A$1,,,SUMPRODUCT(MAX(ROW(E$2:E5598)*(E5598=E$2:E5598)))))-COUNTBLANK(OFFSET(A$1,,,SUMPRODUCT(MAX(ROW(E$1:E5597)*(E2=E$1:E5597))))))</f>
        <v> </v>
      </c>
      <c r="K5598" s="25" t="str">
        <f>IF(OR(E5598="",E5598="!!!",F5598="NEW"),"",INDEX(J$1:J5597,SUMPRODUCT(MAX(ROW(E$1:E5597)*(E5598=E$1:E5597)))))</f>
        <v> </v>
      </c>
      <c r="L5598" s="26"/>
    </row>
    <row r="5599" spans="1:12">
      <c r="A5599" s="20" t="s">
        <v>1351</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t="s">
        <v>2029</v>
      </c>
      <c r="B5600" s="27" t="s">
        <v>967</v>
      </c>
      <c r="C5600" s="27" t="s">
        <v>1083</v>
      </c>
      <c r="D5600" s="27" t="s">
        <v>969</v>
      </c>
      <c r="E5600" s="21">
        <f>IF(D5600="?OLD","!!!","")</f>
        <v/>
      </c>
      <c r="F5600" s="22" t="str">
        <f>IF(OR(E5600="",E5600="!!!"),"",IF(NOT(ISNA(VLOOKUP(E5600,E$1:E5599,1,FALSE()))),"OLD",IF(AND(E5600&lt;&gt;"",E5600&lt;&gt;"!!!"),"NEW","")))</f>
        <v> </v>
      </c>
      <c r="G5600" s="23" t="str">
        <f>IF(OR(E5600="",E5600="!!!"),"",IF(OR(J5600=0,AND(J5600=1,K5600=1),AND(J5600=1,I5600="SBJ"),AND(J5600=1,I5600=0)),"?IN_FOCUS",IF(J5600&lt;=2,"?ACTIVATED",IF(J5600&lt;&gt;"","?FAMILIAR",IF(F5600="NEW",IF(ISNA(VLOOKUP(E5600,#REF!,1,FALSE())),"?TYPE_IDENTIFIABLE","?REFERENTIAL"),"_")))))</f>
        <v> </v>
      </c>
      <c r="H5600" s="24" t="str">
        <f>IF(J5600&lt;&gt;1,"",IF(I5600="SBJ","CB","?"))</f>
        <v> </v>
      </c>
      <c r="I5600" s="25" t="str">
        <f>IF(OR(E5600="",E5600="!!!",F5600="NEW"),"",INDEX(B5599:B$2,-1+SUMPRODUCT(MAX(ROW(E5599:E$2)*(E5600=E5599:E$2)))))</f>
        <v> </v>
      </c>
      <c r="J5600" s="25" t="str">
        <f>IF(OR(E5600="",E5600="!!!",F5600="NEW"),"",COUNTBLANK(OFFSET(A$1,,,SUMPRODUCT(MAX(ROW(E$2:E5600)*(E5600=E$2:E5600)))))-COUNTBLANK(OFFSET(A$1,,,SUMPRODUCT(MAX(ROW(E$1:E5599)*(E2=E$1:E5599))))))</f>
        <v> </v>
      </c>
      <c r="K5600" s="25" t="str">
        <f>IF(OR(E5600="",E5600="!!!",F5600="NEW"),"",INDEX(J$1:J5599,SUMPRODUCT(MAX(ROW(E$1:E5599)*(E5600=E$1:E5599)))))</f>
        <v> </v>
      </c>
      <c r="L5600" s="26"/>
    </row>
    <row r="5601" spans="1:12">
      <c r="A5601" s="20" t="s">
        <v>2030</v>
      </c>
      <c r="E5601" s="21">
        <f>IF(D5601="?OLD","!!!","")</f>
        <v/>
      </c>
      <c r="F5601" s="22" t="str">
        <f>IF(OR(E5601="",E5601="!!!"),"",IF(NOT(ISNA(VLOOKUP(E5601,E$1:E5600,1,FALSE()))),"OLD",IF(AND(E5601&lt;&gt;"",E5601&lt;&gt;"!!!"),"NEW","")))</f>
        <v> </v>
      </c>
      <c r="G5601" s="23" t="str">
        <f>IF(OR(E5601="",E5601="!!!"),"",IF(OR(J5601=0,AND(J5601=1,K5601=1),AND(J5601=1,I5601="SBJ"),AND(J5601=1,I5601=0)),"?IN_FOCUS",IF(J5601&lt;=2,"?ACTIVATED",IF(J5601&lt;&gt;"","?FAMILIAR",IF(F5601="NEW",IF(ISNA(VLOOKUP(E5601,#REF!,1,FALSE())),"?TYPE_IDENTIFIABLE","?REFERENTIAL"),"_")))))</f>
        <v> </v>
      </c>
      <c r="H5601" s="24" t="str">
        <f>IF(J5601&lt;&gt;1,"",IF(I5601="SBJ","CB","?"))</f>
        <v> </v>
      </c>
      <c r="I5601" s="25" t="str">
        <f>IF(OR(E5601="",E5601="!!!",F5601="NEW"),"",INDEX(B5600:B$2,-1+SUMPRODUCT(MAX(ROW(E5600:E$2)*(E5601=E5600:E$2)))))</f>
        <v> </v>
      </c>
      <c r="J5601" s="25" t="str">
        <f>IF(OR(E5601="",E5601="!!!",F5601="NEW"),"",COUNTBLANK(OFFSET(A$1,,,SUMPRODUCT(MAX(ROW(E$2:E5601)*(E5601=E$2:E5601)))))-COUNTBLANK(OFFSET(A$1,,,SUMPRODUCT(MAX(ROW(E$1:E5600)*(E2=E$1:E5600))))))</f>
        <v> </v>
      </c>
      <c r="K5601" s="25" t="str">
        <f>IF(OR(E5601="",E5601="!!!",F5601="NEW"),"",INDEX(J$1:J5600,SUMPRODUCT(MAX(ROW(E$1:E5600)*(E5601=E$1:E5600)))))</f>
        <v> </v>
      </c>
      <c r="L5601" s="26"/>
    </row>
    <row r="5602" spans="1:12">
      <c r="A5602" s="20" t="s">
        <v>999</v>
      </c>
      <c r="E5602" s="21">
        <f>IF(D5602="?OLD","!!!","")</f>
        <v/>
      </c>
      <c r="F5602" s="22" t="str">
        <f>IF(OR(E5602="",E5602="!!!"),"",IF(NOT(ISNA(VLOOKUP(E5602,E$1:E5601,1,FALSE()))),"OLD",IF(AND(E5602&lt;&gt;"",E5602&lt;&gt;"!!!"),"NEW","")))</f>
        <v> </v>
      </c>
      <c r="G5602" s="23" t="str">
        <f>IF(OR(E5602="",E5602="!!!"),"",IF(OR(J5602=0,AND(J5602=1,K5602=1),AND(J5602=1,I5602="SBJ"),AND(J5602=1,I5602=0)),"?IN_FOCUS",IF(J5602&lt;=2,"?ACTIVATED",IF(J5602&lt;&gt;"","?FAMILIAR",IF(F5602="NEW",IF(ISNA(VLOOKUP(E5602,#REF!,1,FALSE())),"?TYPE_IDENTIFIABLE","?REFERENTIAL"),"_")))))</f>
        <v> </v>
      </c>
      <c r="H5602" s="24" t="str">
        <f>IF(J5602&lt;&gt;1,"",IF(I5602="SBJ","CB","?"))</f>
        <v> </v>
      </c>
      <c r="I5602" s="25" t="str">
        <f>IF(OR(E5602="",E5602="!!!",F5602="NEW"),"",INDEX(B5601:B$2,-1+SUMPRODUCT(MAX(ROW(E5601:E$2)*(E5602=E5601:E$2)))))</f>
        <v> </v>
      </c>
      <c r="J5602" s="25" t="str">
        <f>IF(OR(E5602="",E5602="!!!",F5602="NEW"),"",COUNTBLANK(OFFSET(A$1,,,SUMPRODUCT(MAX(ROW(E$2:E5602)*(E5602=E$2:E5602)))))-COUNTBLANK(OFFSET(A$1,,,SUMPRODUCT(MAX(ROW(E$1:E5601)*(E2=E$1:E5601))))))</f>
        <v> </v>
      </c>
      <c r="K5602" s="25" t="str">
        <f>IF(OR(E5602="",E5602="!!!",F5602="NEW"),"",INDEX(J$1:J5601,SUMPRODUCT(MAX(ROW(E$1:E5601)*(E5602=E$1:E5601)))))</f>
        <v> </v>
      </c>
      <c r="L5602" s="26"/>
    </row>
    <row r="5603" spans="1:12">
      <c r="A5603" s="20" t="s">
        <v>1026</v>
      </c>
      <c r="B5603" s="27" t="s">
        <v>1053</v>
      </c>
      <c r="C5603" s="27" t="s">
        <v>968</v>
      </c>
      <c r="D5603" s="27" t="s">
        <v>969</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1194</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965</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1182</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993</v>
      </c>
      <c r="B5607" s="27" t="s">
        <v>994</v>
      </c>
      <c r="C5607" s="27" t="s">
        <v>968</v>
      </c>
      <c r="D5607" s="27" t="s">
        <v>969</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1086</v>
      </c>
      <c r="B5608" s="27" t="s">
        <v>1031</v>
      </c>
      <c r="C5608" s="27" t="s">
        <v>968</v>
      </c>
      <c r="D5608" s="27" t="s">
        <v>969</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2493</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2053</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t="s">
        <v>1417</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991</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t="s">
        <v>1113</v>
      </c>
      <c r="E5613" s="21">
        <f>IF(D5613="?OLD","!!!","")</f>
        <v/>
      </c>
      <c r="F5613" s="22" t="str">
        <f>IF(OR(E5613="",E5613="!!!"),"",IF(NOT(ISNA(VLOOKUP(E5613,E$1:E5612,1,FALSE()))),"OLD",IF(AND(E5613&lt;&gt;"",E5613&lt;&gt;"!!!"),"NEW","")))</f>
        <v> </v>
      </c>
      <c r="G5613" s="23" t="str">
        <f>IF(OR(E5613="",E5613="!!!"),"",IF(OR(J5613=0,AND(J5613=1,K5613=1),AND(J5613=1,I5613="SBJ"),AND(J5613=1,I5613=0)),"?IN_FOCUS",IF(J5613&lt;=2,"?ACTIVATED",IF(J5613&lt;&gt;"","?FAMILIAR",IF(F5613="NEW",IF(ISNA(VLOOKUP(E5613,#REF!,1,FALSE())),"?TYPE_IDENTIFIABLE","?REFERENTIAL"),"_")))))</f>
        <v> </v>
      </c>
      <c r="H5613" s="24" t="str">
        <f>IF(J5613&lt;&gt;1,"",IF(I5613="SBJ","CB","?"))</f>
        <v> </v>
      </c>
      <c r="I5613" s="25" t="str">
        <f>IF(OR(E5613="",E5613="!!!",F5613="NEW"),"",INDEX(B5612:B$2,-1+SUMPRODUCT(MAX(ROW(E5612:E$2)*(E5613=E5612:E$2)))))</f>
        <v> </v>
      </c>
      <c r="J5613" s="25" t="str">
        <f>IF(OR(E5613="",E5613="!!!",F5613="NEW"),"",COUNTBLANK(OFFSET(A$1,,,SUMPRODUCT(MAX(ROW(E$2:E5613)*(E5613=E$2:E5613)))))-COUNTBLANK(OFFSET(A$1,,,SUMPRODUCT(MAX(ROW(E$1:E5612)*(E2=E$1:E5612))))))</f>
        <v> </v>
      </c>
      <c r="K5613" s="25" t="str">
        <f>IF(OR(E5613="",E5613="!!!",F5613="NEW"),"",INDEX(J$1:J5612,SUMPRODUCT(MAX(ROW(E$1:E5612)*(E5613=E$1:E5612)))))</f>
        <v> </v>
      </c>
      <c r="L5613" s="26"/>
    </row>
    <row r="5614" spans="1:12">
      <c r="A5614" s="20" t="s">
        <v>993</v>
      </c>
      <c r="B5614" s="27" t="s">
        <v>1010</v>
      </c>
      <c r="C5614" s="27" t="s">
        <v>968</v>
      </c>
      <c r="D5614" s="27" t="s">
        <v>969</v>
      </c>
      <c r="E5614" s="21">
        <f>IF(D5614="?OLD","!!!","")</f>
        <v/>
      </c>
      <c r="F5614" s="22" t="str">
        <f>IF(OR(E5614="",E5614="!!!"),"",IF(NOT(ISNA(VLOOKUP(E5614,E$1:E5613,1,FALSE()))),"OLD",IF(AND(E5614&lt;&gt;"",E5614&lt;&gt;"!!!"),"NEW","")))</f>
        <v> </v>
      </c>
      <c r="G5614" s="23" t="str">
        <f>IF(OR(E5614="",E5614="!!!"),"",IF(OR(J5614=0,AND(J5614=1,K5614=1),AND(J5614=1,I5614="SBJ"),AND(J5614=1,I5614=0)),"?IN_FOCUS",IF(J5614&lt;=2,"?ACTIVATED",IF(J5614&lt;&gt;"","?FAMILIAR",IF(F5614="NEW",IF(ISNA(VLOOKUP(E5614,#REF!,1,FALSE())),"?TYPE_IDENTIFIABLE","?REFERENTIAL"),"_")))))</f>
        <v> </v>
      </c>
      <c r="H5614" s="24" t="str">
        <f>IF(J5614&lt;&gt;1,"",IF(I5614="SBJ","CB","?"))</f>
        <v> </v>
      </c>
      <c r="I5614" s="25" t="str">
        <f>IF(OR(E5614="",E5614="!!!",F5614="NEW"),"",INDEX(B5613:B$2,-1+SUMPRODUCT(MAX(ROW(E5613:E$2)*(E5614=E5613:E$2)))))</f>
        <v> </v>
      </c>
      <c r="J5614" s="25" t="str">
        <f>IF(OR(E5614="",E5614="!!!",F5614="NEW"),"",COUNTBLANK(OFFSET(A$1,,,SUMPRODUCT(MAX(ROW(E$2:E5614)*(E5614=E$2:E5614)))))-COUNTBLANK(OFFSET(A$1,,,SUMPRODUCT(MAX(ROW(E$1:E5613)*(E2=E$1:E5613))))))</f>
        <v> </v>
      </c>
      <c r="K5614" s="25" t="str">
        <f>IF(OR(E5614="",E5614="!!!",F5614="NEW"),"",INDEX(J$1:J5613,SUMPRODUCT(MAX(ROW(E$1:E5613)*(E5614=E$1:E5613)))))</f>
        <v> </v>
      </c>
      <c r="L5614" s="26"/>
    </row>
    <row r="5615" spans="1:12">
      <c r="A5615" s="20" t="s">
        <v>1086</v>
      </c>
      <c r="B5615" s="27" t="s">
        <v>1013</v>
      </c>
      <c r="C5615" s="27" t="s">
        <v>968</v>
      </c>
      <c r="D5615" s="27" t="s">
        <v>969</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614</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1021</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1445</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58</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991</v>
      </c>
      <c r="E5620" s="21">
        <f>IF(D5620="?OLD","!!!","")</f>
        <v/>
      </c>
      <c r="F5620" s="22" t="str">
        <f>IF(OR(E5620="",E5620="!!!"),"",IF(NOT(ISNA(VLOOKUP(E5620,E$1:E5619,1,FALSE()))),"OLD",IF(AND(E5620&lt;&gt;"",E5620&lt;&gt;"!!!"),"NEW","")))</f>
        <v> </v>
      </c>
      <c r="G5620" s="23" t="str">
        <f>IF(OR(E5620="",E5620="!!!"),"",IF(OR(J5620=0,AND(J5620=1,K5620=1),AND(J5620=1,I5620="SBJ"),AND(J5620=1,I5620=0)),"?IN_FOCUS",IF(J5620&lt;=2,"?ACTIVATED",IF(J5620&lt;&gt;"","?FAMILIAR",IF(F5620="NEW",IF(ISNA(VLOOKUP(E5620,#REF!,1,FALSE())),"?TYPE_IDENTIFIABLE","?REFERENTIAL"),"_")))))</f>
        <v> </v>
      </c>
      <c r="H5620" s="24" t="str">
        <f>IF(J5620&lt;&gt;1,"",IF(I5620="SBJ","CB","?"))</f>
        <v> </v>
      </c>
      <c r="I5620" s="25" t="str">
        <f>IF(OR(E5620="",E5620="!!!",F5620="NEW"),"",INDEX(B5619:B$2,-1+SUMPRODUCT(MAX(ROW(E5619:E$2)*(E5620=E5619:E$2)))))</f>
        <v> </v>
      </c>
      <c r="J5620" s="25" t="str">
        <f>IF(OR(E5620="",E5620="!!!",F5620="NEW"),"",COUNTBLANK(OFFSET(A$1,,,SUMPRODUCT(MAX(ROW(E$2:E5620)*(E5620=E$2:E5620)))))-COUNTBLANK(OFFSET(A$1,,,SUMPRODUCT(MAX(ROW(E$1:E5619)*(E2=E$1:E5619))))))</f>
        <v> </v>
      </c>
      <c r="K5620" s="25" t="str">
        <f>IF(OR(E5620="",E5620="!!!",F5620="NEW"),"",INDEX(J$1:J5619,SUMPRODUCT(MAX(ROW(E$1:E5619)*(E5620=E$1:E5619)))))</f>
        <v> </v>
      </c>
      <c r="L5620" s="26"/>
    </row>
    <row r="5621" spans="1:12">
      <c r="A5621" s="20" t="s">
        <v>1240</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1022</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1055</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1427</v>
      </c>
      <c r="B5624" s="27" t="s">
        <v>978</v>
      </c>
      <c r="C5624" s="27" t="s">
        <v>974</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1369</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993</v>
      </c>
      <c r="B5626" s="27" t="s">
        <v>1010</v>
      </c>
      <c r="C5626" s="27" t="s">
        <v>968</v>
      </c>
      <c r="D5626" s="27" t="s">
        <v>969</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1471</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t="s">
        <v>991</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996</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t="s">
        <v>993</v>
      </c>
      <c r="B5630" s="27" t="s">
        <v>994</v>
      </c>
      <c r="C5630" s="27" t="s">
        <v>968</v>
      </c>
      <c r="D5630" s="27" t="s">
        <v>969</v>
      </c>
      <c r="E5630" s="21">
        <f>IF(D5630="?OLD","!!!","")</f>
        <v/>
      </c>
      <c r="F5630" s="22" t="str">
        <f>IF(OR(E5630="",E5630="!!!"),"",IF(NOT(ISNA(VLOOKUP(E5630,E$1:E5629,1,FALSE()))),"OLD",IF(AND(E5630&lt;&gt;"",E5630&lt;&gt;"!!!"),"NEW","")))</f>
        <v> </v>
      </c>
      <c r="G5630" s="23" t="str">
        <f>IF(OR(E5630="",E5630="!!!"),"",IF(OR(J5630=0,AND(J5630=1,K5630=1),AND(J5630=1,I5630="SBJ"),AND(J5630=1,I5630=0)),"?IN_FOCUS",IF(J5630&lt;=2,"?ACTIVATED",IF(J5630&lt;&gt;"","?FAMILIAR",IF(F5630="NEW",IF(ISNA(VLOOKUP(E5630,#REF!,1,FALSE())),"?TYPE_IDENTIFIABLE","?REFERENTIAL"),"_")))))</f>
        <v> </v>
      </c>
      <c r="H5630" s="24" t="str">
        <f>IF(J5630&lt;&gt;1,"",IF(I5630="SBJ","CB","?"))</f>
        <v> </v>
      </c>
      <c r="I5630" s="25" t="str">
        <f>IF(OR(E5630="",E5630="!!!",F5630="NEW"),"",INDEX(B5629:B$2,-1+SUMPRODUCT(MAX(ROW(E5629:E$2)*(E5630=E5629:E$2)))))</f>
        <v> </v>
      </c>
      <c r="J5630" s="25" t="str">
        <f>IF(OR(E5630="",E5630="!!!",F5630="NEW"),"",COUNTBLANK(OFFSET(A$1,,,SUMPRODUCT(MAX(ROW(E$2:E5630)*(E5630=E$2:E5630)))))-COUNTBLANK(OFFSET(A$1,,,SUMPRODUCT(MAX(ROW(E$1:E5629)*(E2=E$1:E5629))))))</f>
        <v> </v>
      </c>
      <c r="K5630" s="25" t="str">
        <f>IF(OR(E5630="",E5630="!!!",F5630="NEW"),"",INDEX(J$1:J5629,SUMPRODUCT(MAX(ROW(E$1:E5629)*(E5630=E$1:E5629)))))</f>
        <v> </v>
      </c>
      <c r="L5630" s="26"/>
    </row>
    <row r="5631" spans="1:12">
      <c r="A5631" s="20" t="s">
        <v>1024</v>
      </c>
      <c r="B5631" s="27" t="s">
        <v>1031</v>
      </c>
      <c r="C5631" s="27" t="s">
        <v>1102</v>
      </c>
      <c r="D5631" s="27" t="s">
        <v>969</v>
      </c>
      <c r="E5631" s="21">
        <f>IF(D5631="?OLD","!!!","")</f>
        <v/>
      </c>
      <c r="F5631" s="22" t="str">
        <f>IF(OR(E5631="",E5631="!!!"),"",IF(NOT(ISNA(VLOOKUP(E5631,E$1:E5630,1,FALSE()))),"OLD",IF(AND(E5631&lt;&gt;"",E5631&lt;&gt;"!!!"),"NEW","")))</f>
        <v> </v>
      </c>
      <c r="G5631" s="23" t="str">
        <f>IF(OR(E5631="",E5631="!!!"),"",IF(OR(J5631=0,AND(J5631=1,K5631=1),AND(J5631=1,I5631="SBJ"),AND(J5631=1,I5631=0)),"?IN_FOCUS",IF(J5631&lt;=2,"?ACTIVATED",IF(J5631&lt;&gt;"","?FAMILIAR",IF(F5631="NEW",IF(ISNA(VLOOKUP(E5631,#REF!,1,FALSE())),"?TYPE_IDENTIFIABLE","?REFERENTIAL"),"_")))))</f>
        <v> </v>
      </c>
      <c r="H5631" s="24" t="str">
        <f>IF(J5631&lt;&gt;1,"",IF(I5631="SBJ","CB","?"))</f>
        <v> </v>
      </c>
      <c r="I5631" s="25" t="str">
        <f>IF(OR(E5631="",E5631="!!!",F5631="NEW"),"",INDEX(B5630:B$2,-1+SUMPRODUCT(MAX(ROW(E5630:E$2)*(E5631=E5630:E$2)))))</f>
        <v> </v>
      </c>
      <c r="J5631" s="25" t="str">
        <f>IF(OR(E5631="",E5631="!!!",F5631="NEW"),"",COUNTBLANK(OFFSET(A$1,,,SUMPRODUCT(MAX(ROW(E$2:E5631)*(E5631=E$2:E5631)))))-COUNTBLANK(OFFSET(A$1,,,SUMPRODUCT(MAX(ROW(E$1:E5630)*(E2=E$1:E5630))))))</f>
        <v> </v>
      </c>
      <c r="K5631" s="25" t="str">
        <f>IF(OR(E5631="",E5631="!!!",F5631="NEW"),"",INDEX(J$1:J5630,SUMPRODUCT(MAX(ROW(E$1:E5630)*(E5631=E$1:E5630)))))</f>
        <v> </v>
      </c>
      <c r="L5631" s="26"/>
    </row>
    <row r="5632" spans="1:12">
      <c r="A5632" s="20" t="s">
        <v>1226</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1352</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1005</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row>
    <row r="5636" spans="1:12">
      <c r="A5636" s="20" t="s">
        <v>2494</v>
      </c>
    </row>
    <row r="5637" spans="1:12">
      <c r="A5637" s="20" t="s">
        <v>966</v>
      </c>
      <c r="B5637" s="27" t="s">
        <v>967</v>
      </c>
      <c r="C5637" s="27" t="s">
        <v>968</v>
      </c>
      <c r="D5637" s="27" t="s">
        <v>969</v>
      </c>
      <c r="E5637" s="21">
        <f>IF(D5637="?OLD","!!!","")</f>
        <v/>
      </c>
      <c r="F5637" s="22" t="str">
        <f>IF(OR(E5637="",E5637="!!!"),"",IF(NOT(ISNA(VLOOKUP(E5637,E$1:E5636,1,FALSE()))),"OLD",IF(AND(E5637&lt;&gt;"",E5637&lt;&gt;"!!!"),"NEW","")))</f>
        <v> </v>
      </c>
      <c r="G5637" s="23" t="str">
        <f>IF(OR(E5637="",E5637="!!!"),"",IF(OR(J5637=0,AND(J5637=1,K5637=1),AND(J5637=1,I5637="SBJ"),AND(J5637=1,I5637=0)),"?IN_FOCUS",IF(J5637&lt;=2,"?ACTIVATED",IF(J5637&lt;&gt;"","?FAMILIAR",IF(F5637="NEW",IF(ISNA(VLOOKUP(E5637,#REF!,1,FALSE())),"?TYPE_IDENTIFIABLE","?REFERENTIAL"),"_")))))</f>
        <v> </v>
      </c>
      <c r="H5637" s="24" t="str">
        <f>IF(J5637&lt;&gt;1,"",IF(I5637="SBJ","CB","?"))</f>
        <v> </v>
      </c>
      <c r="I5637" s="25" t="str">
        <f>IF(OR(E5637="",E5637="!!!",F5637="NEW"),"",INDEX(B5636:B$2,-1+SUMPRODUCT(MAX(ROW(E5636:E$2)*(E5637=E5636:E$2)))))</f>
        <v> </v>
      </c>
      <c r="J5637" s="25" t="str">
        <f>IF(OR(E5637="",E5637="!!!",F5637="NEW"),"",COUNTBLANK(OFFSET(A$1,,,SUMPRODUCT(MAX(ROW(E$2:E5637)*(E5637=E$2:E5637)))))-COUNTBLANK(OFFSET(A$1,,,SUMPRODUCT(MAX(ROW(E$1:E5636)*(E2=E$1:E5636))))))</f>
        <v> </v>
      </c>
      <c r="K5637" s="25" t="str">
        <f>IF(OR(E5637="",E5637="!!!",F5637="NEW"),"",INDEX(J$1:J5636,SUMPRODUCT(MAX(ROW(E$1:E5636)*(E5637=E$1:E5636)))))</f>
        <v> </v>
      </c>
      <c r="L5637" s="26"/>
    </row>
    <row r="5638" spans="1:12">
      <c r="A5638" s="20" t="s">
        <v>1369</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2495</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991</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159</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1783</v>
      </c>
      <c r="B5642" s="27" t="s">
        <v>1053</v>
      </c>
      <c r="C5642" s="27" t="s">
        <v>1123</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975</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1043</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2496</v>
      </c>
      <c r="B5645" s="27" t="s">
        <v>1053</v>
      </c>
      <c r="C5645" s="27" t="s">
        <v>979</v>
      </c>
      <c r="D5645" s="27" t="s">
        <v>969</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t="s">
        <v>2283</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999</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37</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1005</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row>
    <row r="5651" spans="1:12">
      <c r="A5651" s="20" t="s">
        <v>1060</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2497</v>
      </c>
    </row>
    <row r="5653" spans="1:12">
      <c r="A5653" s="20" t="s">
        <v>1251</v>
      </c>
      <c r="B5653" s="27" t="s">
        <v>967</v>
      </c>
      <c r="C5653" s="27" t="s">
        <v>968</v>
      </c>
      <c r="D5653" s="27" t="s">
        <v>969</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2498</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1107</v>
      </c>
      <c r="B5655" s="27" t="s">
        <v>973</v>
      </c>
      <c r="C5655" s="27" t="s">
        <v>968</v>
      </c>
      <c r="D5655" s="27" t="s">
        <v>969</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1445</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1179</v>
      </c>
      <c r="B5657" s="27" t="s">
        <v>978</v>
      </c>
      <c r="C5657" s="27" t="s">
        <v>1011</v>
      </c>
      <c r="D5657" s="27" t="s">
        <v>969</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1032</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1489</v>
      </c>
      <c r="B5659" s="27" t="s">
        <v>1053</v>
      </c>
      <c r="C5659" s="27" t="s">
        <v>1123</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t="s">
        <v>991</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980</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1033</v>
      </c>
      <c r="B5662" s="27" t="s">
        <v>982</v>
      </c>
      <c r="C5662" s="27" t="s">
        <v>988</v>
      </c>
      <c r="D5662" s="27" t="s">
        <v>969</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1128</v>
      </c>
      <c r="B5663" s="27" t="s">
        <v>1010</v>
      </c>
      <c r="C5663" s="27" t="s">
        <v>974</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999</v>
      </c>
      <c r="B5664" s="27" t="s">
        <v>1003</v>
      </c>
      <c r="C5664" s="27" t="s">
        <v>1001</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1191</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1642</v>
      </c>
      <c r="B5666" s="27" t="s">
        <v>982</v>
      </c>
      <c r="C5666" s="27" t="s">
        <v>1035</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980</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1191</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t="s">
        <v>2499</v>
      </c>
      <c r="B5669" s="27" t="s">
        <v>1003</v>
      </c>
      <c r="C5669" s="27" t="s">
        <v>1035</v>
      </c>
      <c r="E5669" s="21">
        <f>IF(D5669="?OLD","!!!","")</f>
        <v/>
      </c>
      <c r="F5669" s="22" t="str">
        <f>IF(OR(E5669="",E5669="!!!"),"",IF(NOT(ISNA(VLOOKUP(E5669,E$1:E5668,1,FALSE()))),"OLD",IF(AND(E5669&lt;&gt;"",E5669&lt;&gt;"!!!"),"NEW","")))</f>
        <v> </v>
      </c>
      <c r="G5669" s="23" t="str">
        <f>IF(OR(E5669="",E5669="!!!"),"",IF(OR(J5669=0,AND(J5669=1,K5669=1),AND(J5669=1,I5669="SBJ"),AND(J5669=1,I5669=0)),"?IN_FOCUS",IF(J5669&lt;=2,"?ACTIVATED",IF(J5669&lt;&gt;"","?FAMILIAR",IF(F5669="NEW",IF(ISNA(VLOOKUP(E5669,#REF!,1,FALSE())),"?TYPE_IDENTIFIABLE","?REFERENTIAL"),"_")))))</f>
        <v> </v>
      </c>
      <c r="H5669" s="24" t="str">
        <f>IF(J5669&lt;&gt;1,"",IF(I5669="SBJ","CB","?"))</f>
        <v> </v>
      </c>
      <c r="I5669" s="25" t="str">
        <f>IF(OR(E5669="",E5669="!!!",F5669="NEW"),"",INDEX(B5668:B$2,-1+SUMPRODUCT(MAX(ROW(E5668:E$2)*(E5669=E5668:E$2)))))</f>
        <v> </v>
      </c>
      <c r="J5669" s="25" t="str">
        <f>IF(OR(E5669="",E5669="!!!",F5669="NEW"),"",COUNTBLANK(OFFSET(A$1,,,SUMPRODUCT(MAX(ROW(E$2:E5669)*(E5669=E$2:E5669)))))-COUNTBLANK(OFFSET(A$1,,,SUMPRODUCT(MAX(ROW(E$1:E5668)*(E2=E$1:E5668))))))</f>
        <v> </v>
      </c>
      <c r="K5669" s="25" t="str">
        <f>IF(OR(E5669="",E5669="!!!",F5669="NEW"),"",INDEX(J$1:J5668,SUMPRODUCT(MAX(ROW(E$1:E5668)*(E5669=E$1:E5668)))))</f>
        <v> </v>
      </c>
      <c r="L5669" s="26"/>
    </row>
    <row r="5670" spans="1:12">
      <c r="A5670" s="20" t="s">
        <v>1178</v>
      </c>
      <c r="E5670" s="21">
        <f>IF(D5670="?OLD","!!!","")</f>
        <v/>
      </c>
      <c r="F5670" s="22" t="str">
        <f>IF(OR(E5670="",E5670="!!!"),"",IF(NOT(ISNA(VLOOKUP(E5670,E$1:E5669,1,FALSE()))),"OLD",IF(AND(E5670&lt;&gt;"",E5670&lt;&gt;"!!!"),"NEW","")))</f>
        <v> </v>
      </c>
      <c r="G5670" s="23" t="str">
        <f>IF(OR(E5670="",E5670="!!!"),"",IF(OR(J5670=0,AND(J5670=1,K5670=1),AND(J5670=1,I5670="SBJ"),AND(J5670=1,I5670=0)),"?IN_FOCUS",IF(J5670&lt;=2,"?ACTIVATED",IF(J5670&lt;&gt;"","?FAMILIAR",IF(F5670="NEW",IF(ISNA(VLOOKUP(E5670,#REF!,1,FALSE())),"?TYPE_IDENTIFIABLE","?REFERENTIAL"),"_")))))</f>
        <v> </v>
      </c>
      <c r="H5670" s="24" t="str">
        <f>IF(J5670&lt;&gt;1,"",IF(I5670="SBJ","CB","?"))</f>
        <v> </v>
      </c>
      <c r="I5670" s="25" t="str">
        <f>IF(OR(E5670="",E5670="!!!",F5670="NEW"),"",INDEX(B5669:B$2,-1+SUMPRODUCT(MAX(ROW(E5669:E$2)*(E5670=E5669:E$2)))))</f>
        <v> </v>
      </c>
      <c r="J5670" s="25" t="str">
        <f>IF(OR(E5670="",E5670="!!!",F5670="NEW"),"",COUNTBLANK(OFFSET(A$1,,,SUMPRODUCT(MAX(ROW(E$2:E5670)*(E5670=E$2:E5670)))))-COUNTBLANK(OFFSET(A$1,,,SUMPRODUCT(MAX(ROW(E$1:E5669)*(E2=E$1:E5669))))))</f>
        <v> </v>
      </c>
      <c r="K5670" s="25" t="str">
        <f>IF(OR(E5670="",E5670="!!!",F5670="NEW"),"",INDEX(J$1:J5669,SUMPRODUCT(MAX(ROW(E$1:E5669)*(E5670=E$1:E5669)))))</f>
        <v> </v>
      </c>
      <c r="L5670" s="26"/>
    </row>
    <row r="5671" spans="1:12">
      <c r="A5671" s="20" t="s">
        <v>1445</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2500</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1108</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1107</v>
      </c>
      <c r="B5674" s="27" t="s">
        <v>978</v>
      </c>
      <c r="C5674" s="27" t="s">
        <v>968</v>
      </c>
      <c r="D5674" s="27" t="s">
        <v>969</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991</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t="s">
        <v>980</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t="s">
        <v>1009</v>
      </c>
      <c r="B5677" s="27" t="s">
        <v>1010</v>
      </c>
      <c r="C5677" s="27" t="s">
        <v>1011</v>
      </c>
      <c r="D5677" s="27" t="s">
        <v>969</v>
      </c>
      <c r="E5677" s="21">
        <f>IF(D5677="?OLD","!!!","")</f>
        <v/>
      </c>
      <c r="F5677" s="22" t="str">
        <f>IF(OR(E5677="",E5677="!!!"),"",IF(NOT(ISNA(VLOOKUP(E5677,E$1:E5676,1,FALSE()))),"OLD",IF(AND(E5677&lt;&gt;"",E5677&lt;&gt;"!!!"),"NEW","")))</f>
        <v> </v>
      </c>
      <c r="G5677" s="23" t="str">
        <f>IF(OR(E5677="",E5677="!!!"),"",IF(OR(J5677=0,AND(J5677=1,K5677=1),AND(J5677=1,I5677="SBJ"),AND(J5677=1,I5677=0)),"?IN_FOCUS",IF(J5677&lt;=2,"?ACTIVATED",IF(J5677&lt;&gt;"","?FAMILIAR",IF(F5677="NEW",IF(ISNA(VLOOKUP(E5677,#REF!,1,FALSE())),"?TYPE_IDENTIFIABLE","?REFERENTIAL"),"_")))))</f>
        <v> </v>
      </c>
      <c r="H5677" s="24" t="str">
        <f>IF(J5677&lt;&gt;1,"",IF(I5677="SBJ","CB","?"))</f>
        <v> </v>
      </c>
      <c r="I5677" s="25" t="str">
        <f>IF(OR(E5677="",E5677="!!!",F5677="NEW"),"",INDEX(B5676:B$2,-1+SUMPRODUCT(MAX(ROW(E5676:E$2)*(E5677=E5676:E$2)))))</f>
        <v> </v>
      </c>
      <c r="J5677" s="25" t="str">
        <f>IF(OR(E5677="",E5677="!!!",F5677="NEW"),"",COUNTBLANK(OFFSET(A$1,,,SUMPRODUCT(MAX(ROW(E$2:E5677)*(E5677=E$2:E5677)))))-COUNTBLANK(OFFSET(A$1,,,SUMPRODUCT(MAX(ROW(E$1:E5676)*(E2=E$1:E5676))))))</f>
        <v> </v>
      </c>
      <c r="K5677" s="25" t="str">
        <f>IF(OR(E5677="",E5677="!!!",F5677="NEW"),"",INDEX(J$1:J5676,SUMPRODUCT(MAX(ROW(E$1:E5676)*(E5677=E$1:E5676)))))</f>
        <v> </v>
      </c>
      <c r="L5677" s="26"/>
    </row>
    <row r="5678" spans="1:12">
      <c r="A5678" s="20" t="s">
        <v>1218</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1086</v>
      </c>
      <c r="B5679" s="27" t="s">
        <v>994</v>
      </c>
      <c r="C5679" s="27" t="s">
        <v>968</v>
      </c>
      <c r="D5679" s="27" t="s">
        <v>969</v>
      </c>
      <c r="E5679" s="21">
        <f>IF(D5679="?OLD","!!!","")</f>
        <v/>
      </c>
      <c r="F5679" s="22" t="str">
        <f>IF(OR(E5679="",E5679="!!!"),"",IF(NOT(ISNA(VLOOKUP(E5679,E$1:E5678,1,FALSE()))),"OLD",IF(AND(E5679&lt;&gt;"",E5679&lt;&gt;"!!!"),"NEW","")))</f>
        <v> </v>
      </c>
      <c r="G5679" s="23" t="str">
        <f>IF(OR(E5679="",E5679="!!!"),"",IF(OR(J5679=0,AND(J5679=1,K5679=1),AND(J5679=1,I5679="SBJ"),AND(J5679=1,I5679=0)),"?IN_FOCUS",IF(J5679&lt;=2,"?ACTIVATED",IF(J5679&lt;&gt;"","?FAMILIAR",IF(F5679="NEW",IF(ISNA(VLOOKUP(E5679,#REF!,1,FALSE())),"?TYPE_IDENTIFIABLE","?REFERENTIAL"),"_")))))</f>
        <v> </v>
      </c>
      <c r="H5679" s="24" t="str">
        <f>IF(J5679&lt;&gt;1,"",IF(I5679="SBJ","CB","?"))</f>
        <v> </v>
      </c>
      <c r="I5679" s="25" t="str">
        <f>IF(OR(E5679="",E5679="!!!",F5679="NEW"),"",INDEX(B5678:B$2,-1+SUMPRODUCT(MAX(ROW(E5678:E$2)*(E5679=E5678:E$2)))))</f>
        <v> </v>
      </c>
      <c r="J5679" s="25" t="str">
        <f>IF(OR(E5679="",E5679="!!!",F5679="NEW"),"",COUNTBLANK(OFFSET(A$1,,,SUMPRODUCT(MAX(ROW(E$2:E5679)*(E5679=E$2:E5679)))))-COUNTBLANK(OFFSET(A$1,,,SUMPRODUCT(MAX(ROW(E$1:E5678)*(E2=E$1:E5678))))))</f>
        <v> </v>
      </c>
      <c r="K5679" s="25" t="str">
        <f>IF(OR(E5679="",E5679="!!!",F5679="NEW"),"",INDEX(J$1:J5678,SUMPRODUCT(MAX(ROW(E$1:E5678)*(E5679=E$1:E5678)))))</f>
        <v> </v>
      </c>
      <c r="L5679" s="26"/>
    </row>
    <row r="5680" spans="1:12">
      <c r="A5680" s="20" t="s">
        <v>1067</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37</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1005</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965</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row>
    <row r="5685" spans="1:12">
      <c r="A5685" s="20" t="s">
        <v>1060</v>
      </c>
      <c r="E5685" s="21">
        <f>IF(D5685="?OLD","!!!","")</f>
        <v/>
      </c>
      <c r="F5685" s="22" t="str">
        <f>IF(OR(E5685="",E5685="!!!"),"",IF(NOT(ISNA(VLOOKUP(E5685,E$1:E5684,1,FALSE()))),"OLD",IF(AND(E5685&lt;&gt;"",E5685&lt;&gt;"!!!"),"NEW","")))</f>
        <v> </v>
      </c>
      <c r="G5685" s="23" t="str">
        <f>IF(OR(E5685="",E5685="!!!"),"",IF(OR(J5685=0,AND(J5685=1,K5685=1),AND(J5685=1,I5685="SBJ"),AND(J5685=1,I5685=0)),"?IN_FOCUS",IF(J5685&lt;=2,"?ACTIVATED",IF(J5685&lt;&gt;"","?FAMILIAR",IF(F5685="NEW",IF(ISNA(VLOOKUP(E5685,#REF!,1,FALSE())),"?TYPE_IDENTIFIABLE","?REFERENTIAL"),"_")))))</f>
        <v> </v>
      </c>
      <c r="H5685" s="24" t="str">
        <f>IF(J5685&lt;&gt;1,"",IF(I5685="SBJ","CB","?"))</f>
        <v> </v>
      </c>
      <c r="I5685" s="25" t="str">
        <f>IF(OR(E5685="",E5685="!!!",F5685="NEW"),"",INDEX(B5684:B$2,-1+SUMPRODUCT(MAX(ROW(E5684:E$2)*(E5685=E5684:E$2)))))</f>
        <v> </v>
      </c>
      <c r="J5685" s="25" t="str">
        <f>IF(OR(E5685="",E5685="!!!",F5685="NEW"),"",COUNTBLANK(OFFSET(A$1,,,SUMPRODUCT(MAX(ROW(E$2:E5685)*(E5685=E$2:E5685)))))-COUNTBLANK(OFFSET(A$1,,,SUMPRODUCT(MAX(ROW(E$1:E5684)*(E2=E$1:E5684))))))</f>
        <v> </v>
      </c>
      <c r="K5685" s="25" t="str">
        <f>IF(OR(E5685="",E5685="!!!",F5685="NEW"),"",INDEX(J$1:J5684,SUMPRODUCT(MAX(ROW(E$1:E5684)*(E5685=E$1:E5684)))))</f>
        <v> </v>
      </c>
      <c r="L5685" s="26"/>
    </row>
    <row r="5686" spans="1:12">
      <c r="A5686" s="20" t="s">
        <v>2501</v>
      </c>
    </row>
    <row r="5687" spans="1:12">
      <c r="A5687" s="20" t="s">
        <v>1007</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1650</v>
      </c>
      <c r="B5688" s="27" t="s">
        <v>967</v>
      </c>
      <c r="C5688" s="27" t="s">
        <v>1083</v>
      </c>
      <c r="D5688" s="27" t="s">
        <v>969</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1651</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1351</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1194</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965</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966</v>
      </c>
      <c r="B5693" s="27" t="s">
        <v>994</v>
      </c>
      <c r="C5693" s="27" t="s">
        <v>968</v>
      </c>
      <c r="D5693" s="27" t="s">
        <v>969</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2502</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2503</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975</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1809</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2504</v>
      </c>
      <c r="B5698" s="27" t="s">
        <v>1053</v>
      </c>
      <c r="C5698" s="27" t="s">
        <v>1083</v>
      </c>
      <c r="D5698" s="27" t="s">
        <v>969</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12</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2496</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991</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980</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993</v>
      </c>
      <c r="B5703" s="27" t="s">
        <v>1010</v>
      </c>
      <c r="C5703" s="27" t="s">
        <v>968</v>
      </c>
      <c r="D5703" s="27" t="s">
        <v>969</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t="s">
        <v>2505</v>
      </c>
      <c r="E5704" s="21">
        <f>IF(D5704="?OLD","!!!","")</f>
        <v/>
      </c>
      <c r="F5704" s="22" t="str">
        <f>IF(OR(E5704="",E5704="!!!"),"",IF(NOT(ISNA(VLOOKUP(E5704,E$1:E5703,1,FALSE()))),"OLD",IF(AND(E5704&lt;&gt;"",E5704&lt;&gt;"!!!"),"NEW","")))</f>
        <v> </v>
      </c>
      <c r="G5704" s="23" t="str">
        <f>IF(OR(E5704="",E5704="!!!"),"",IF(OR(J5704=0,AND(J5704=1,K5704=1),AND(J5704=1,I5704="SBJ"),AND(J5704=1,I5704=0)),"?IN_FOCUS",IF(J5704&lt;=2,"?ACTIVATED",IF(J5704&lt;&gt;"","?FAMILIAR",IF(F5704="NEW",IF(ISNA(VLOOKUP(E5704,#REF!,1,FALSE())),"?TYPE_IDENTIFIABLE","?REFERENTIAL"),"_")))))</f>
        <v> </v>
      </c>
      <c r="H5704" s="24" t="str">
        <f>IF(J5704&lt;&gt;1,"",IF(I5704="SBJ","CB","?"))</f>
        <v> </v>
      </c>
      <c r="I5704" s="25" t="str">
        <f>IF(OR(E5704="",E5704="!!!",F5704="NEW"),"",INDEX(B5703:B$2,-1+SUMPRODUCT(MAX(ROW(E5703:E$2)*(E5704=E5703:E$2)))))</f>
        <v> </v>
      </c>
      <c r="J5704" s="25" t="str">
        <f>IF(OR(E5704="",E5704="!!!",F5704="NEW"),"",COUNTBLANK(OFFSET(A$1,,,SUMPRODUCT(MAX(ROW(E$2:E5704)*(E5704=E$2:E5704)))))-COUNTBLANK(OFFSET(A$1,,,SUMPRODUCT(MAX(ROW(E$1:E5703)*(E2=E$1:E5703))))))</f>
        <v> </v>
      </c>
      <c r="K5704" s="25" t="str">
        <f>IF(OR(E5704="",E5704="!!!",F5704="NEW"),"",INDEX(J$1:J5703,SUMPRODUCT(MAX(ROW(E$1:E5703)*(E5704=E$1:E5703)))))</f>
        <v> </v>
      </c>
      <c r="L5704" s="26"/>
    </row>
    <row r="5705" spans="1:12">
      <c r="A5705" s="20" t="s">
        <v>980</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2505</v>
      </c>
      <c r="E5706" s="21">
        <f>IF(D5706="?OLD","!!!","")</f>
        <v/>
      </c>
      <c r="F5706" s="22" t="str">
        <f>IF(OR(E5706="",E5706="!!!"),"",IF(NOT(ISNA(VLOOKUP(E5706,E$1:E5705,1,FALSE()))),"OLD",IF(AND(E5706&lt;&gt;"",E5706&lt;&gt;"!!!"),"NEW","")))</f>
        <v> </v>
      </c>
      <c r="G5706" s="23" t="str">
        <f>IF(OR(E5706="",E5706="!!!"),"",IF(OR(J5706=0,AND(J5706=1,K5706=1),AND(J5706=1,I5706="SBJ"),AND(J5706=1,I5706=0)),"?IN_FOCUS",IF(J5706&lt;=2,"?ACTIVATED",IF(J5706&lt;&gt;"","?FAMILIAR",IF(F5706="NEW",IF(ISNA(VLOOKUP(E5706,#REF!,1,FALSE())),"?TYPE_IDENTIFIABLE","?REFERENTIAL"),"_")))))</f>
        <v> </v>
      </c>
      <c r="H5706" s="24" t="str">
        <f>IF(J5706&lt;&gt;1,"",IF(I5706="SBJ","CB","?"))</f>
        <v> </v>
      </c>
      <c r="I5706" s="25" t="str">
        <f>IF(OR(E5706="",E5706="!!!",F5706="NEW"),"",INDEX(B5705:B$2,-1+SUMPRODUCT(MAX(ROW(E5705:E$2)*(E5706=E5705:E$2)))))</f>
        <v> </v>
      </c>
      <c r="J5706" s="25" t="str">
        <f>IF(OR(E5706="",E5706="!!!",F5706="NEW"),"",COUNTBLANK(OFFSET(A$1,,,SUMPRODUCT(MAX(ROW(E$2:E5706)*(E5706=E$2:E5706)))))-COUNTBLANK(OFFSET(A$1,,,SUMPRODUCT(MAX(ROW(E$1:E5705)*(E2=E$1:E5705))))))</f>
        <v> </v>
      </c>
      <c r="K5706" s="25" t="str">
        <f>IF(OR(E5706="",E5706="!!!",F5706="NEW"),"",INDEX(J$1:J5705,SUMPRODUCT(MAX(ROW(E$1:E5705)*(E5706=E$1:E5705)))))</f>
        <v> </v>
      </c>
      <c r="L5706" s="26"/>
    </row>
    <row r="5707" spans="1:12">
      <c r="A5707" s="20" t="s">
        <v>980</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2505</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991</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980</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985</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1111</v>
      </c>
      <c r="B5712" s="27" t="s">
        <v>994</v>
      </c>
      <c r="C5712" s="27" t="s">
        <v>979</v>
      </c>
      <c r="D5712" s="27" t="s">
        <v>969</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991</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1037</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2486</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993</v>
      </c>
      <c r="B5716" s="27" t="s">
        <v>1588</v>
      </c>
      <c r="C5716" s="27" t="s">
        <v>968</v>
      </c>
      <c r="D5716" s="27" t="s">
        <v>969</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999</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136</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1278</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t="s">
        <v>991</v>
      </c>
      <c r="E5720" s="21">
        <f>IF(D5720="?OLD","!!!","")</f>
        <v/>
      </c>
      <c r="F5720" s="22" t="str">
        <f>IF(OR(E5720="",E5720="!!!"),"",IF(NOT(ISNA(VLOOKUP(E5720,E$1:E5719,1,FALSE()))),"OLD",IF(AND(E5720&lt;&gt;"",E5720&lt;&gt;"!!!"),"NEW","")))</f>
        <v> </v>
      </c>
      <c r="G5720" s="23" t="str">
        <f>IF(OR(E5720="",E5720="!!!"),"",IF(OR(J5720=0,AND(J5720=1,K5720=1),AND(J5720=1,I5720="SBJ"),AND(J5720=1,I5720=0)),"?IN_FOCUS",IF(J5720&lt;=2,"?ACTIVATED",IF(J5720&lt;&gt;"","?FAMILIAR",IF(F5720="NEW",IF(ISNA(VLOOKUP(E5720,#REF!,1,FALSE())),"?TYPE_IDENTIFIABLE","?REFERENTIAL"),"_")))))</f>
        <v> </v>
      </c>
      <c r="H5720" s="24" t="str">
        <f>IF(J5720&lt;&gt;1,"",IF(I5720="SBJ","CB","?"))</f>
        <v> </v>
      </c>
      <c r="I5720" s="25" t="str">
        <f>IF(OR(E5720="",E5720="!!!",F5720="NEW"),"",INDEX(B5719:B$2,-1+SUMPRODUCT(MAX(ROW(E5719:E$2)*(E5720=E5719:E$2)))))</f>
        <v> </v>
      </c>
      <c r="J5720" s="25" t="str">
        <f>IF(OR(E5720="",E5720="!!!",F5720="NEW"),"",COUNTBLANK(OFFSET(A$1,,,SUMPRODUCT(MAX(ROW(E$2:E5720)*(E5720=E$2:E5720)))))-COUNTBLANK(OFFSET(A$1,,,SUMPRODUCT(MAX(ROW(E$1:E5719)*(E2=E$1:E5719))))))</f>
        <v> </v>
      </c>
      <c r="K5720" s="25" t="str">
        <f>IF(OR(E5720="",E5720="!!!",F5720="NEW"),"",INDEX(J$1:J5719,SUMPRODUCT(MAX(ROW(E$1:E5719)*(E5720=E$1:E5719)))))</f>
        <v> </v>
      </c>
      <c r="L5720" s="26"/>
    </row>
    <row r="5721" spans="1:12">
      <c r="A5721" s="20" t="s">
        <v>1883</v>
      </c>
      <c r="E5721" s="21">
        <f>IF(D5721="?OLD","!!!","")</f>
        <v/>
      </c>
      <c r="F5721" s="22" t="str">
        <f>IF(OR(E5721="",E5721="!!!"),"",IF(NOT(ISNA(VLOOKUP(E5721,E$1:E5720,1,FALSE()))),"OLD",IF(AND(E5721&lt;&gt;"",E5721&lt;&gt;"!!!"),"NEW","")))</f>
        <v> </v>
      </c>
      <c r="G5721" s="23" t="str">
        <f>IF(OR(E5721="",E5721="!!!"),"",IF(OR(J5721=0,AND(J5721=1,K5721=1),AND(J5721=1,I5721="SBJ"),AND(J5721=1,I5721=0)),"?IN_FOCUS",IF(J5721&lt;=2,"?ACTIVATED",IF(J5721&lt;&gt;"","?FAMILIAR",IF(F5721="NEW",IF(ISNA(VLOOKUP(E5721,#REF!,1,FALSE())),"?TYPE_IDENTIFIABLE","?REFERENTIAL"),"_")))))</f>
        <v> </v>
      </c>
      <c r="H5721" s="24" t="str">
        <f>IF(J5721&lt;&gt;1,"",IF(I5721="SBJ","CB","?"))</f>
        <v> </v>
      </c>
      <c r="I5721" s="25" t="str">
        <f>IF(OR(E5721="",E5721="!!!",F5721="NEW"),"",INDEX(B5720:B$2,-1+SUMPRODUCT(MAX(ROW(E5720:E$2)*(E5721=E5720:E$2)))))</f>
        <v> </v>
      </c>
      <c r="J5721" s="25" t="str">
        <f>IF(OR(E5721="",E5721="!!!",F5721="NEW"),"",COUNTBLANK(OFFSET(A$1,,,SUMPRODUCT(MAX(ROW(E$2:E5721)*(E5721=E$2:E5721)))))-COUNTBLANK(OFFSET(A$1,,,SUMPRODUCT(MAX(ROW(E$1:E5720)*(E2=E$1:E5720))))))</f>
        <v> </v>
      </c>
      <c r="K5721" s="25" t="str">
        <f>IF(OR(E5721="",E5721="!!!",F5721="NEW"),"",INDEX(J$1:J5720,SUMPRODUCT(MAX(ROW(E$1:E5720)*(E5721=E$1:E5720)))))</f>
        <v> </v>
      </c>
      <c r="L5721" s="26"/>
    </row>
    <row r="5722" spans="1:12">
      <c r="A5722" s="20" t="s">
        <v>1021</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1624</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2506</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991</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t="s">
        <v>980</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993</v>
      </c>
      <c r="B5727" s="27" t="s">
        <v>1010</v>
      </c>
      <c r="C5727" s="27" t="s">
        <v>968</v>
      </c>
      <c r="D5727" s="27" t="s">
        <v>969</v>
      </c>
      <c r="E5727" s="21">
        <f>IF(D5727="?OLD","!!!","")</f>
        <v/>
      </c>
      <c r="F5727" s="22" t="str">
        <f>IF(OR(E5727="",E5727="!!!"),"",IF(NOT(ISNA(VLOOKUP(E5727,E$1:E5726,1,FALSE()))),"OLD",IF(AND(E5727&lt;&gt;"",E5727&lt;&gt;"!!!"),"NEW","")))</f>
        <v> </v>
      </c>
      <c r="G5727" s="23" t="str">
        <f>IF(OR(E5727="",E5727="!!!"),"",IF(OR(J5727=0,AND(J5727=1,K5727=1),AND(J5727=1,I5727="SBJ"),AND(J5727=1,I5727=0)),"?IN_FOCUS",IF(J5727&lt;=2,"?ACTIVATED",IF(J5727&lt;&gt;"","?FAMILIAR",IF(F5727="NEW",IF(ISNA(VLOOKUP(E5727,#REF!,1,FALSE())),"?TYPE_IDENTIFIABLE","?REFERENTIAL"),"_")))))</f>
        <v> </v>
      </c>
      <c r="H5727" s="24" t="str">
        <f>IF(J5727&lt;&gt;1,"",IF(I5727="SBJ","CB","?"))</f>
        <v> </v>
      </c>
      <c r="I5727" s="25" t="str">
        <f>IF(OR(E5727="",E5727="!!!",F5727="NEW"),"",INDEX(B5726:B$2,-1+SUMPRODUCT(MAX(ROW(E5726:E$2)*(E5727=E5726:E$2)))))</f>
        <v> </v>
      </c>
      <c r="J5727" s="25" t="str">
        <f>IF(OR(E5727="",E5727="!!!",F5727="NEW"),"",COUNTBLANK(OFFSET(A$1,,,SUMPRODUCT(MAX(ROW(E$2:E5727)*(E5727=E$2:E5727)))))-COUNTBLANK(OFFSET(A$1,,,SUMPRODUCT(MAX(ROW(E$1:E5726)*(E2=E$1:E5726))))))</f>
        <v> </v>
      </c>
      <c r="K5727" s="25" t="str">
        <f>IF(OR(E5727="",E5727="!!!",F5727="NEW"),"",INDEX(J$1:J5726,SUMPRODUCT(MAX(ROW(E$1:E5726)*(E5727=E$1:E5726)))))</f>
        <v> </v>
      </c>
      <c r="L5727" s="26"/>
    </row>
    <row r="5728" spans="1:12">
      <c r="A5728" s="20" t="s">
        <v>1193</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1194</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971</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1163</v>
      </c>
      <c r="B5731" s="27" t="s">
        <v>1003</v>
      </c>
      <c r="C5731" s="27" t="s">
        <v>1102</v>
      </c>
      <c r="D5731" s="27" t="s">
        <v>969</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1097</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1021</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1624</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2507</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t="s">
        <v>1285</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t="s">
        <v>2508</v>
      </c>
      <c r="E5737" s="21">
        <f>IF(D5737="?OLD","!!!","")</f>
        <v/>
      </c>
      <c r="F5737" s="22" t="str">
        <f>IF(OR(E5737="",E5737="!!!"),"",IF(NOT(ISNA(VLOOKUP(E5737,E$1:E5736,1,FALSE()))),"OLD",IF(AND(E5737&lt;&gt;"",E5737&lt;&gt;"!!!"),"NEW","")))</f>
        <v> </v>
      </c>
      <c r="G5737" s="23" t="str">
        <f>IF(OR(E5737="",E5737="!!!"),"",IF(OR(J5737=0,AND(J5737=1,K5737=1),AND(J5737=1,I5737="SBJ"),AND(J5737=1,I5737=0)),"?IN_FOCUS",IF(J5737&lt;=2,"?ACTIVATED",IF(J5737&lt;&gt;"","?FAMILIAR",IF(F5737="NEW",IF(ISNA(VLOOKUP(E5737,#REF!,1,FALSE())),"?TYPE_IDENTIFIABLE","?REFERENTIAL"),"_")))))</f>
        <v> </v>
      </c>
      <c r="H5737" s="24" t="str">
        <f>IF(J5737&lt;&gt;1,"",IF(I5737="SBJ","CB","?"))</f>
        <v> </v>
      </c>
      <c r="I5737" s="25" t="str">
        <f>IF(OR(E5737="",E5737="!!!",F5737="NEW"),"",INDEX(B5736:B$2,-1+SUMPRODUCT(MAX(ROW(E5736:E$2)*(E5737=E5736:E$2)))))</f>
        <v> </v>
      </c>
      <c r="J5737" s="25" t="str">
        <f>IF(OR(E5737="",E5737="!!!",F5737="NEW"),"",COUNTBLANK(OFFSET(A$1,,,SUMPRODUCT(MAX(ROW(E$2:E5737)*(E5737=E$2:E5737)))))-COUNTBLANK(OFFSET(A$1,,,SUMPRODUCT(MAX(ROW(E$1:E5736)*(E2=E$1:E5736))))))</f>
        <v> </v>
      </c>
      <c r="K5737" s="25" t="str">
        <f>IF(OR(E5737="",E5737="!!!",F5737="NEW"),"",INDEX(J$1:J5736,SUMPRODUCT(MAX(ROW(E$1:E5736)*(E5737=E$1:E5736)))))</f>
        <v> </v>
      </c>
      <c r="L5737" s="26"/>
    </row>
    <row r="5738" spans="1:12">
      <c r="A5738" s="20" t="s">
        <v>1095</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1919</v>
      </c>
      <c r="B5739" s="27" t="s">
        <v>1003</v>
      </c>
      <c r="C5739" s="27" t="s">
        <v>968</v>
      </c>
      <c r="D5739" s="27" t="s">
        <v>969</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1005</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971</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row>
    <row r="5743" spans="1:12">
      <c r="A5743" s="20" t="s">
        <v>2509</v>
      </c>
    </row>
    <row r="5744" spans="1:12">
      <c r="A5744" s="20" t="s">
        <v>1007</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1041</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2510</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993</v>
      </c>
      <c r="B5747" s="27" t="s">
        <v>967</v>
      </c>
      <c r="C5747" s="27" t="s">
        <v>968</v>
      </c>
      <c r="D5747" s="27" t="s">
        <v>969</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t="s">
        <v>991</v>
      </c>
      <c r="E5748" s="21">
        <f>IF(D5748="?OLD","!!!","")</f>
        <v/>
      </c>
      <c r="F5748" s="22" t="str">
        <f>IF(OR(E5748="",E5748="!!!"),"",IF(NOT(ISNA(VLOOKUP(E5748,E$1:E5747,1,FALSE()))),"OLD",IF(AND(E5748&lt;&gt;"",E5748&lt;&gt;"!!!"),"NEW","")))</f>
        <v> </v>
      </c>
      <c r="G5748" s="23" t="str">
        <f>IF(OR(E5748="",E5748="!!!"),"",IF(OR(J5748=0,AND(J5748=1,K5748=1),AND(J5748=1,I5748="SBJ"),AND(J5748=1,I5748=0)),"?IN_FOCUS",IF(J5748&lt;=2,"?ACTIVATED",IF(J5748&lt;&gt;"","?FAMILIAR",IF(F5748="NEW",IF(ISNA(VLOOKUP(E5748,#REF!,1,FALSE())),"?TYPE_IDENTIFIABLE","?REFERENTIAL"),"_")))))</f>
        <v> </v>
      </c>
      <c r="H5748" s="24" t="str">
        <f>IF(J5748&lt;&gt;1,"",IF(I5748="SBJ","CB","?"))</f>
        <v> </v>
      </c>
      <c r="I5748" s="25" t="str">
        <f>IF(OR(E5748="",E5748="!!!",F5748="NEW"),"",INDEX(B5747:B$2,-1+SUMPRODUCT(MAX(ROW(E5747:E$2)*(E5748=E5747:E$2)))))</f>
        <v> </v>
      </c>
      <c r="J5748" s="25" t="str">
        <f>IF(OR(E5748="",E5748="!!!",F5748="NEW"),"",COUNTBLANK(OFFSET(A$1,,,SUMPRODUCT(MAX(ROW(E$2:E5748)*(E5748=E$2:E5748)))))-COUNTBLANK(OFFSET(A$1,,,SUMPRODUCT(MAX(ROW(E$1:E5747)*(E2=E$1:E5747))))))</f>
        <v> </v>
      </c>
      <c r="K5748" s="25" t="str">
        <f>IF(OR(E5748="",E5748="!!!",F5748="NEW"),"",INDEX(J$1:J5747,SUMPRODUCT(MAX(ROW(E$1:E5747)*(E5748=E$1:E5747)))))</f>
        <v> </v>
      </c>
      <c r="L5748" s="26"/>
    </row>
    <row r="5749" spans="1:12">
      <c r="A5749" s="20" t="s">
        <v>996</v>
      </c>
      <c r="E5749" s="21">
        <f>IF(D5749="?OLD","!!!","")</f>
        <v/>
      </c>
      <c r="F5749" s="22" t="str">
        <f>IF(OR(E5749="",E5749="!!!"),"",IF(NOT(ISNA(VLOOKUP(E5749,E$1:E5748,1,FALSE()))),"OLD",IF(AND(E5749&lt;&gt;"",E5749&lt;&gt;"!!!"),"NEW","")))</f>
        <v> </v>
      </c>
      <c r="G5749" s="23" t="str">
        <f>IF(OR(E5749="",E5749="!!!"),"",IF(OR(J5749=0,AND(J5749=1,K5749=1),AND(J5749=1,I5749="SBJ"),AND(J5749=1,I5749=0)),"?IN_FOCUS",IF(J5749&lt;=2,"?ACTIVATED",IF(J5749&lt;&gt;"","?FAMILIAR",IF(F5749="NEW",IF(ISNA(VLOOKUP(E5749,#REF!,1,FALSE())),"?TYPE_IDENTIFIABLE","?REFERENTIAL"),"_")))))</f>
        <v> </v>
      </c>
      <c r="H5749" s="24" t="str">
        <f>IF(J5749&lt;&gt;1,"",IF(I5749="SBJ","CB","?"))</f>
        <v> </v>
      </c>
      <c r="I5749" s="25" t="str">
        <f>IF(OR(E5749="",E5749="!!!",F5749="NEW"),"",INDEX(B5748:B$2,-1+SUMPRODUCT(MAX(ROW(E5748:E$2)*(E5749=E5748:E$2)))))</f>
        <v> </v>
      </c>
      <c r="J5749" s="25" t="str">
        <f>IF(OR(E5749="",E5749="!!!",F5749="NEW"),"",COUNTBLANK(OFFSET(A$1,,,SUMPRODUCT(MAX(ROW(E$2:E5749)*(E5749=E$2:E5749)))))-COUNTBLANK(OFFSET(A$1,,,SUMPRODUCT(MAX(ROW(E$1:E5748)*(E2=E$1:E5748))))))</f>
        <v> </v>
      </c>
      <c r="K5749" s="25" t="str">
        <f>IF(OR(E5749="",E5749="!!!",F5749="NEW"),"",INDEX(J$1:J5748,SUMPRODUCT(MAX(ROW(E$1:E5748)*(E5749=E$1:E5748)))))</f>
        <v> </v>
      </c>
      <c r="L5749" s="26"/>
    </row>
    <row r="5750" spans="1:12">
      <c r="A5750" s="20" t="s">
        <v>1009</v>
      </c>
      <c r="B5750" s="27" t="s">
        <v>1010</v>
      </c>
      <c r="C5750" s="27" t="s">
        <v>1011</v>
      </c>
      <c r="D5750" s="27" t="s">
        <v>969</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1021</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1158</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58</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2340</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1046</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1139</v>
      </c>
      <c r="B5756" s="27" t="s">
        <v>1003</v>
      </c>
      <c r="C5756" s="27" t="s">
        <v>1102</v>
      </c>
      <c r="D5756" s="27" t="s">
        <v>969</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t="s">
        <v>1808</v>
      </c>
      <c r="B5757" s="27" t="s">
        <v>1003</v>
      </c>
      <c r="C5757" s="27" t="s">
        <v>1001</v>
      </c>
      <c r="E5757" s="21">
        <f>IF(D5757="?OLD","!!!","")</f>
        <v/>
      </c>
      <c r="F5757" s="22" t="str">
        <f>IF(OR(E5757="",E5757="!!!"),"",IF(NOT(ISNA(VLOOKUP(E5757,E$1:E5756,1,FALSE()))),"OLD",IF(AND(E5757&lt;&gt;"",E5757&lt;&gt;"!!!"),"NEW","")))</f>
        <v> </v>
      </c>
      <c r="G5757" s="23" t="str">
        <f>IF(OR(E5757="",E5757="!!!"),"",IF(OR(J5757=0,AND(J5757=1,K5757=1),AND(J5757=1,I5757="SBJ"),AND(J5757=1,I5757=0)),"?IN_FOCUS",IF(J5757&lt;=2,"?ACTIVATED",IF(J5757&lt;&gt;"","?FAMILIAR",IF(F5757="NEW",IF(ISNA(VLOOKUP(E5757,#REF!,1,FALSE())),"?TYPE_IDENTIFIABLE","?REFERENTIAL"),"_")))))</f>
        <v> </v>
      </c>
      <c r="H5757" s="24" t="str">
        <f>IF(J5757&lt;&gt;1,"",IF(I5757="SBJ","CB","?"))</f>
        <v> </v>
      </c>
      <c r="I5757" s="25" t="str">
        <f>IF(OR(E5757="",E5757="!!!",F5757="NEW"),"",INDEX(B5756:B$2,-1+SUMPRODUCT(MAX(ROW(E5756:E$2)*(E5757=E5756:E$2)))))</f>
        <v> </v>
      </c>
      <c r="J5757" s="25" t="str">
        <f>IF(OR(E5757="",E5757="!!!",F5757="NEW"),"",COUNTBLANK(OFFSET(A$1,,,SUMPRODUCT(MAX(ROW(E$2:E5757)*(E5757=E$2:E5757)))))-COUNTBLANK(OFFSET(A$1,,,SUMPRODUCT(MAX(ROW(E$1:E5756)*(E2=E$1:E5756))))))</f>
        <v> </v>
      </c>
      <c r="K5757" s="25" t="str">
        <f>IF(OR(E5757="",E5757="!!!",F5757="NEW"),"",INDEX(J$1:J5756,SUMPRODUCT(MAX(ROW(E$1:E5756)*(E5757=E$1:E5756)))))</f>
        <v> </v>
      </c>
      <c r="L5757" s="26"/>
    </row>
    <row r="5758" spans="1:12">
      <c r="A5758" s="20" t="s">
        <v>1896</v>
      </c>
      <c r="B5758" s="27" t="s">
        <v>982</v>
      </c>
      <c r="C5758" s="27" t="s">
        <v>1141</v>
      </c>
      <c r="D5758" s="27" t="s">
        <v>969</v>
      </c>
      <c r="E5758" s="21">
        <f>IF(D5758="?OLD","!!!","")</f>
        <v/>
      </c>
      <c r="F5758" s="22" t="str">
        <f>IF(OR(E5758="",E5758="!!!"),"",IF(NOT(ISNA(VLOOKUP(E5758,E$1:E5757,1,FALSE()))),"OLD",IF(AND(E5758&lt;&gt;"",E5758&lt;&gt;"!!!"),"NEW","")))</f>
        <v> </v>
      </c>
      <c r="G5758" s="23" t="str">
        <f>IF(OR(E5758="",E5758="!!!"),"",IF(OR(J5758=0,AND(J5758=1,K5758=1),AND(J5758=1,I5758="SBJ"),AND(J5758=1,I5758=0)),"?IN_FOCUS",IF(J5758&lt;=2,"?ACTIVATED",IF(J5758&lt;&gt;"","?FAMILIAR",IF(F5758="NEW",IF(ISNA(VLOOKUP(E5758,#REF!,1,FALSE())),"?TYPE_IDENTIFIABLE","?REFERENTIAL"),"_")))))</f>
        <v> </v>
      </c>
      <c r="H5758" s="24" t="str">
        <f>IF(J5758&lt;&gt;1,"",IF(I5758="SBJ","CB","?"))</f>
        <v> </v>
      </c>
      <c r="I5758" s="25" t="str">
        <f>IF(OR(E5758="",E5758="!!!",F5758="NEW"),"",INDEX(B5757:B$2,-1+SUMPRODUCT(MAX(ROW(E5757:E$2)*(E5758=E5757:E$2)))))</f>
        <v> </v>
      </c>
      <c r="J5758" s="25" t="str">
        <f>IF(OR(E5758="",E5758="!!!",F5758="NEW"),"",COUNTBLANK(OFFSET(A$1,,,SUMPRODUCT(MAX(ROW(E$2:E5758)*(E5758=E$2:E5758)))))-COUNTBLANK(OFFSET(A$1,,,SUMPRODUCT(MAX(ROW(E$1:E5757)*(E2=E$1:E5757))))))</f>
        <v> </v>
      </c>
      <c r="K5758" s="25" t="str">
        <f>IF(OR(E5758="",E5758="!!!",F5758="NEW"),"",INDEX(J$1:J5757,SUMPRODUCT(MAX(ROW(E$1:E5757)*(E5758=E$1:E5757)))))</f>
        <v> </v>
      </c>
      <c r="L5758" s="26"/>
    </row>
    <row r="5759" spans="1:12">
      <c r="A5759" s="20" t="s">
        <v>2511</v>
      </c>
      <c r="B5759" s="27" t="s">
        <v>978</v>
      </c>
      <c r="C5759" s="27" t="s">
        <v>1083</v>
      </c>
      <c r="D5759" s="27" t="s">
        <v>969</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2512</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1005</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row>
    <row r="5763" spans="1:12">
      <c r="A5763" s="20" t="s">
        <v>2513</v>
      </c>
    </row>
    <row r="5764" spans="1:12">
      <c r="A5764" s="20" t="s">
        <v>1251</v>
      </c>
      <c r="B5764" s="27" t="s">
        <v>967</v>
      </c>
      <c r="C5764" s="27" t="s">
        <v>968</v>
      </c>
      <c r="D5764" s="27" t="s">
        <v>969</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1047</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t="s">
        <v>1305</v>
      </c>
      <c r="E5766" s="21">
        <f>IF(D5766="?OLD","!!!","")</f>
        <v/>
      </c>
      <c r="F5766" s="22" t="str">
        <f>IF(OR(E5766="",E5766="!!!"),"",IF(NOT(ISNA(VLOOKUP(E5766,E$1:E5765,1,FALSE()))),"OLD",IF(AND(E5766&lt;&gt;"",E5766&lt;&gt;"!!!"),"NEW","")))</f>
        <v> </v>
      </c>
      <c r="G5766" s="23" t="str">
        <f>IF(OR(E5766="",E5766="!!!"),"",IF(OR(J5766=0,AND(J5766=1,K5766=1),AND(J5766=1,I5766="SBJ"),AND(J5766=1,I5766=0)),"?IN_FOCUS",IF(J5766&lt;=2,"?ACTIVATED",IF(J5766&lt;&gt;"","?FAMILIAR",IF(F5766="NEW",IF(ISNA(VLOOKUP(E5766,#REF!,1,FALSE())),"?TYPE_IDENTIFIABLE","?REFERENTIAL"),"_")))))</f>
        <v> </v>
      </c>
      <c r="H5766" s="24" t="str">
        <f>IF(J5766&lt;&gt;1,"",IF(I5766="SBJ","CB","?"))</f>
        <v> </v>
      </c>
      <c r="I5766" s="25" t="str">
        <f>IF(OR(E5766="",E5766="!!!",F5766="NEW"),"",INDEX(B5765:B$2,-1+SUMPRODUCT(MAX(ROW(E5765:E$2)*(E5766=E5765:E$2)))))</f>
        <v> </v>
      </c>
      <c r="J5766" s="25" t="str">
        <f>IF(OR(E5766="",E5766="!!!",F5766="NEW"),"",COUNTBLANK(OFFSET(A$1,,,SUMPRODUCT(MAX(ROW(E$2:E5766)*(E5766=E$2:E5766)))))-COUNTBLANK(OFFSET(A$1,,,SUMPRODUCT(MAX(ROW(E$1:E5765)*(E2=E$1:E5765))))))</f>
        <v> </v>
      </c>
      <c r="K5766" s="25" t="str">
        <f>IF(OR(E5766="",E5766="!!!",F5766="NEW"),"",INDEX(J$1:J5765,SUMPRODUCT(MAX(ROW(E$1:E5765)*(E5766=E$1:E5765)))))</f>
        <v> </v>
      </c>
      <c r="L5766" s="26"/>
    </row>
    <row r="5767" spans="1:12">
      <c r="A5767" s="20" t="s">
        <v>1016</v>
      </c>
      <c r="E5767" s="21">
        <f>IF(D5767="?OLD","!!!","")</f>
        <v/>
      </c>
      <c r="F5767" s="22" t="str">
        <f>IF(OR(E5767="",E5767="!!!"),"",IF(NOT(ISNA(VLOOKUP(E5767,E$1:E5766,1,FALSE()))),"OLD",IF(AND(E5767&lt;&gt;"",E5767&lt;&gt;"!!!"),"NEW","")))</f>
        <v> </v>
      </c>
      <c r="G5767" s="23" t="str">
        <f>IF(OR(E5767="",E5767="!!!"),"",IF(OR(J5767=0,AND(J5767=1,K5767=1),AND(J5767=1,I5767="SBJ"),AND(J5767=1,I5767=0)),"?IN_FOCUS",IF(J5767&lt;=2,"?ACTIVATED",IF(J5767&lt;&gt;"","?FAMILIAR",IF(F5767="NEW",IF(ISNA(VLOOKUP(E5767,#REF!,1,FALSE())),"?TYPE_IDENTIFIABLE","?REFERENTIAL"),"_")))))</f>
        <v> </v>
      </c>
      <c r="H5767" s="24" t="str">
        <f>IF(J5767&lt;&gt;1,"",IF(I5767="SBJ","CB","?"))</f>
        <v> </v>
      </c>
      <c r="I5767" s="25" t="str">
        <f>IF(OR(E5767="",E5767="!!!",F5767="NEW"),"",INDEX(B5766:B$2,-1+SUMPRODUCT(MAX(ROW(E5766:E$2)*(E5767=E5766:E$2)))))</f>
        <v> </v>
      </c>
      <c r="J5767" s="25" t="str">
        <f>IF(OR(E5767="",E5767="!!!",F5767="NEW"),"",COUNTBLANK(OFFSET(A$1,,,SUMPRODUCT(MAX(ROW(E$2:E5767)*(E5767=E$2:E5767)))))-COUNTBLANK(OFFSET(A$1,,,SUMPRODUCT(MAX(ROW(E$1:E5766)*(E2=E$1:E5766))))))</f>
        <v> </v>
      </c>
      <c r="K5767" s="25" t="str">
        <f>IF(OR(E5767="",E5767="!!!",F5767="NEW"),"",INDEX(J$1:J5766,SUMPRODUCT(MAX(ROW(E$1:E5766)*(E5767=E$1:E5766)))))</f>
        <v> </v>
      </c>
      <c r="L5767" s="26"/>
    </row>
    <row r="5768" spans="1:12">
      <c r="A5768" s="20" t="s">
        <v>2514</v>
      </c>
      <c r="B5768" s="27" t="s">
        <v>1053</v>
      </c>
      <c r="C5768" s="27" t="s">
        <v>1018</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991</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t="s">
        <v>1999</v>
      </c>
      <c r="E5770" s="21">
        <f>IF(D5770="?OLD","!!!","")</f>
        <v/>
      </c>
      <c r="F5770" s="22" t="str">
        <f>IF(OR(E5770="",E5770="!!!"),"",IF(NOT(ISNA(VLOOKUP(E5770,E$1:E5769,1,FALSE()))),"OLD",IF(AND(E5770&lt;&gt;"",E5770&lt;&gt;"!!!"),"NEW","")))</f>
        <v> </v>
      </c>
      <c r="G5770" s="23" t="str">
        <f>IF(OR(E5770="",E5770="!!!"),"",IF(OR(J5770=0,AND(J5770=1,K5770=1),AND(J5770=1,I5770="SBJ"),AND(J5770=1,I5770=0)),"?IN_FOCUS",IF(J5770&lt;=2,"?ACTIVATED",IF(J5770&lt;&gt;"","?FAMILIAR",IF(F5770="NEW",IF(ISNA(VLOOKUP(E5770,#REF!,1,FALSE())),"?TYPE_IDENTIFIABLE","?REFERENTIAL"),"_")))))</f>
        <v> </v>
      </c>
      <c r="H5770" s="24" t="str">
        <f>IF(J5770&lt;&gt;1,"",IF(I5770="SBJ","CB","?"))</f>
        <v> </v>
      </c>
      <c r="I5770" s="25" t="str">
        <f>IF(OR(E5770="",E5770="!!!",F5770="NEW"),"",INDEX(B5769:B$2,-1+SUMPRODUCT(MAX(ROW(E5769:E$2)*(E5770=E5769:E$2)))))</f>
        <v> </v>
      </c>
      <c r="J5770" s="25" t="str">
        <f>IF(OR(E5770="",E5770="!!!",F5770="NEW"),"",COUNTBLANK(OFFSET(A$1,,,SUMPRODUCT(MAX(ROW(E$2:E5770)*(E5770=E$2:E5770)))))-COUNTBLANK(OFFSET(A$1,,,SUMPRODUCT(MAX(ROW(E$1:E5769)*(E2=E$1:E5769))))))</f>
        <v> </v>
      </c>
      <c r="K5770" s="25" t="str">
        <f>IF(OR(E5770="",E5770="!!!",F5770="NEW"),"",INDEX(J$1:J5769,SUMPRODUCT(MAX(ROW(E$1:E5769)*(E5770=E$1:E5769)))))</f>
        <v> </v>
      </c>
      <c r="L5770" s="26"/>
    </row>
    <row r="5771" spans="1:12">
      <c r="A5771" s="20" t="s">
        <v>993</v>
      </c>
      <c r="B5771" s="27" t="s">
        <v>1010</v>
      </c>
      <c r="C5771" s="27" t="s">
        <v>968</v>
      </c>
      <c r="D5771" s="27" t="s">
        <v>969</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1844</v>
      </c>
      <c r="B5772" s="27" t="s">
        <v>982</v>
      </c>
      <c r="C5772" s="27" t="s">
        <v>1011</v>
      </c>
      <c r="D5772" s="27" t="s">
        <v>969</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2504</v>
      </c>
      <c r="B5773" s="27" t="s">
        <v>1013</v>
      </c>
      <c r="C5773" s="27" t="s">
        <v>1123</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1278</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980</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1021</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49</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1113</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t="s">
        <v>991</v>
      </c>
      <c r="E5779" s="21">
        <f>IF(D5779="?OLD","!!!","")</f>
        <v/>
      </c>
      <c r="F5779" s="22" t="str">
        <f>IF(OR(E5779="",E5779="!!!"),"",IF(NOT(ISNA(VLOOKUP(E5779,E$1:E5778,1,FALSE()))),"OLD",IF(AND(E5779&lt;&gt;"",E5779&lt;&gt;"!!!"),"NEW","")))</f>
        <v> </v>
      </c>
      <c r="G5779" s="23" t="str">
        <f>IF(OR(E5779="",E5779="!!!"),"",IF(OR(J5779=0,AND(J5779=1,K5779=1),AND(J5779=1,I5779="SBJ"),AND(J5779=1,I5779=0)),"?IN_FOCUS",IF(J5779&lt;=2,"?ACTIVATED",IF(J5779&lt;&gt;"","?FAMILIAR",IF(F5779="NEW",IF(ISNA(VLOOKUP(E5779,#REF!,1,FALSE())),"?TYPE_IDENTIFIABLE","?REFERENTIAL"),"_")))))</f>
        <v> </v>
      </c>
      <c r="H5779" s="24" t="str">
        <f>IF(J5779&lt;&gt;1,"",IF(I5779="SBJ","CB","?"))</f>
        <v> </v>
      </c>
      <c r="I5779" s="25" t="str">
        <f>IF(OR(E5779="",E5779="!!!",F5779="NEW"),"",INDEX(B5778:B$2,-1+SUMPRODUCT(MAX(ROW(E5778:E$2)*(E5779=E5778:E$2)))))</f>
        <v> </v>
      </c>
      <c r="J5779" s="25" t="str">
        <f>IF(OR(E5779="",E5779="!!!",F5779="NEW"),"",COUNTBLANK(OFFSET(A$1,,,SUMPRODUCT(MAX(ROW(E$2:E5779)*(E5779=E$2:E5779)))))-COUNTBLANK(OFFSET(A$1,,,SUMPRODUCT(MAX(ROW(E$1:E5778)*(E2=E$1:E5778))))))</f>
        <v> </v>
      </c>
      <c r="K5779" s="25" t="str">
        <f>IF(OR(E5779="",E5779="!!!",F5779="NEW"),"",INDEX(J$1:J5778,SUMPRODUCT(MAX(ROW(E$1:E5778)*(E5779=E$1:E5778)))))</f>
        <v> </v>
      </c>
      <c r="L5779" s="26"/>
    </row>
    <row r="5780" spans="1:12">
      <c r="A5780" s="20" t="s">
        <v>1240</v>
      </c>
      <c r="E5780" s="21">
        <f>IF(D5780="?OLD","!!!","")</f>
        <v/>
      </c>
      <c r="F5780" s="22" t="str">
        <f>IF(OR(E5780="",E5780="!!!"),"",IF(NOT(ISNA(VLOOKUP(E5780,E$1:E5779,1,FALSE()))),"OLD",IF(AND(E5780&lt;&gt;"",E5780&lt;&gt;"!!!"),"NEW","")))</f>
        <v> </v>
      </c>
      <c r="G5780" s="23" t="str">
        <f>IF(OR(E5780="",E5780="!!!"),"",IF(OR(J5780=0,AND(J5780=1,K5780=1),AND(J5780=1,I5780="SBJ"),AND(J5780=1,I5780=0)),"?IN_FOCUS",IF(J5780&lt;=2,"?ACTIVATED",IF(J5780&lt;&gt;"","?FAMILIAR",IF(F5780="NEW",IF(ISNA(VLOOKUP(E5780,#REF!,1,FALSE())),"?TYPE_IDENTIFIABLE","?REFERENTIAL"),"_")))))</f>
        <v> </v>
      </c>
      <c r="H5780" s="24" t="str">
        <f>IF(J5780&lt;&gt;1,"",IF(I5780="SBJ","CB","?"))</f>
        <v> </v>
      </c>
      <c r="I5780" s="25" t="str">
        <f>IF(OR(E5780="",E5780="!!!",F5780="NEW"),"",INDEX(B5779:B$2,-1+SUMPRODUCT(MAX(ROW(E5779:E$2)*(E5780=E5779:E$2)))))</f>
        <v> </v>
      </c>
      <c r="J5780" s="25" t="str">
        <f>IF(OR(E5780="",E5780="!!!",F5780="NEW"),"",COUNTBLANK(OFFSET(A$1,,,SUMPRODUCT(MAX(ROW(E$2:E5780)*(E5780=E$2:E5780)))))-COUNTBLANK(OFFSET(A$1,,,SUMPRODUCT(MAX(ROW(E$1:E5779)*(E2=E$1:E5779))))))</f>
        <v> </v>
      </c>
      <c r="K5780" s="25" t="str">
        <f>IF(OR(E5780="",E5780="!!!",F5780="NEW"),"",INDEX(J$1:J5779,SUMPRODUCT(MAX(ROW(E$1:E5779)*(E5780=E$1:E5779)))))</f>
        <v> </v>
      </c>
      <c r="L5780" s="26"/>
    </row>
    <row r="5781" spans="1:12">
      <c r="A5781" s="20" t="s">
        <v>985</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2100</v>
      </c>
      <c r="B5782" s="27" t="s">
        <v>1013</v>
      </c>
      <c r="C5782" s="27" t="s">
        <v>979</v>
      </c>
      <c r="D5782" s="27" t="s">
        <v>969</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2488</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t="s">
        <v>1085</v>
      </c>
      <c r="E5784" s="21">
        <f>IF(D5784="?OLD","!!!","")</f>
        <v/>
      </c>
      <c r="F5784" s="22" t="str">
        <f>IF(OR(E5784="",E5784="!!!"),"",IF(NOT(ISNA(VLOOKUP(E5784,E$1:E5783,1,FALSE()))),"OLD",IF(AND(E5784&lt;&gt;"",E5784&lt;&gt;"!!!"),"NEW","")))</f>
        <v> </v>
      </c>
      <c r="G5784" s="23" t="str">
        <f>IF(OR(E5784="",E5784="!!!"),"",IF(OR(J5784=0,AND(J5784=1,K5784=1),AND(J5784=1,I5784="SBJ"),AND(J5784=1,I5784=0)),"?IN_FOCUS",IF(J5784&lt;=2,"?ACTIVATED",IF(J5784&lt;&gt;"","?FAMILIAR",IF(F5784="NEW",IF(ISNA(VLOOKUP(E5784,#REF!,1,FALSE())),"?TYPE_IDENTIFIABLE","?REFERENTIAL"),"_")))))</f>
        <v> </v>
      </c>
      <c r="H5784" s="24" t="str">
        <f>IF(J5784&lt;&gt;1,"",IF(I5784="SBJ","CB","?"))</f>
        <v> </v>
      </c>
      <c r="I5784" s="25" t="str">
        <f>IF(OR(E5784="",E5784="!!!",F5784="NEW"),"",INDEX(B5783:B$2,-1+SUMPRODUCT(MAX(ROW(E5783:E$2)*(E5784=E5783:E$2)))))</f>
        <v> </v>
      </c>
      <c r="J5784" s="25" t="str">
        <f>IF(OR(E5784="",E5784="!!!",F5784="NEW"),"",COUNTBLANK(OFFSET(A$1,,,SUMPRODUCT(MAX(ROW(E$2:E5784)*(E5784=E$2:E5784)))))-COUNTBLANK(OFFSET(A$1,,,SUMPRODUCT(MAX(ROW(E$1:E5783)*(E2=E$1:E5783))))))</f>
        <v> </v>
      </c>
      <c r="K5784" s="25" t="str">
        <f>IF(OR(E5784="",E5784="!!!",F5784="NEW"),"",INDEX(J$1:J5783,SUMPRODUCT(MAX(ROW(E$1:E5783)*(E5784=E$1:E5783)))))</f>
        <v> </v>
      </c>
      <c r="L5784" s="26"/>
    </row>
    <row r="5785" spans="1:12">
      <c r="A5785" s="20" t="s">
        <v>991</v>
      </c>
      <c r="E5785" s="21">
        <f>IF(D5785="?OLD","!!!","")</f>
        <v/>
      </c>
      <c r="F5785" s="22" t="str">
        <f>IF(OR(E5785="",E5785="!!!"),"",IF(NOT(ISNA(VLOOKUP(E5785,E$1:E5784,1,FALSE()))),"OLD",IF(AND(E5785&lt;&gt;"",E5785&lt;&gt;"!!!"),"NEW","")))</f>
        <v> </v>
      </c>
      <c r="G5785" s="23" t="str">
        <f>IF(OR(E5785="",E5785="!!!"),"",IF(OR(J5785=0,AND(J5785=1,K5785=1),AND(J5785=1,I5785="SBJ"),AND(J5785=1,I5785=0)),"?IN_FOCUS",IF(J5785&lt;=2,"?ACTIVATED",IF(J5785&lt;&gt;"","?FAMILIAR",IF(F5785="NEW",IF(ISNA(VLOOKUP(E5785,#REF!,1,FALSE())),"?TYPE_IDENTIFIABLE","?REFERENTIAL"),"_")))))</f>
        <v> </v>
      </c>
      <c r="H5785" s="24" t="str">
        <f>IF(J5785&lt;&gt;1,"",IF(I5785="SBJ","CB","?"))</f>
        <v> </v>
      </c>
      <c r="I5785" s="25" t="str">
        <f>IF(OR(E5785="",E5785="!!!",F5785="NEW"),"",INDEX(B5784:B$2,-1+SUMPRODUCT(MAX(ROW(E5784:E$2)*(E5785=E5784:E$2)))))</f>
        <v> </v>
      </c>
      <c r="J5785" s="25" t="str">
        <f>IF(OR(E5785="",E5785="!!!",F5785="NEW"),"",COUNTBLANK(OFFSET(A$1,,,SUMPRODUCT(MAX(ROW(E$2:E5785)*(E5785=E$2:E5785)))))-COUNTBLANK(OFFSET(A$1,,,SUMPRODUCT(MAX(ROW(E$1:E5784)*(E2=E$1:E5784))))))</f>
        <v> </v>
      </c>
      <c r="K5785" s="25" t="str">
        <f>IF(OR(E5785="",E5785="!!!",F5785="NEW"),"",INDEX(J$1:J5784,SUMPRODUCT(MAX(ROW(E$1:E5784)*(E5785=E$1:E5784)))))</f>
        <v> </v>
      </c>
      <c r="L5785" s="26"/>
    </row>
    <row r="5786" spans="1:12">
      <c r="A5786" s="20" t="s">
        <v>996</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1009</v>
      </c>
      <c r="B5787" s="27" t="s">
        <v>994</v>
      </c>
      <c r="C5787" s="27" t="s">
        <v>1011</v>
      </c>
      <c r="D5787" s="27" t="s">
        <v>969</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1086</v>
      </c>
      <c r="B5788" s="27" t="s">
        <v>1031</v>
      </c>
      <c r="C5788" s="27" t="s">
        <v>968</v>
      </c>
      <c r="D5788" s="27" t="s">
        <v>969</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1547</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t="s">
        <v>980</v>
      </c>
      <c r="E5790" s="21">
        <f>IF(D5790="?OLD","!!!","")</f>
        <v/>
      </c>
      <c r="F5790" s="22" t="str">
        <f>IF(OR(E5790="",E5790="!!!"),"",IF(NOT(ISNA(VLOOKUP(E5790,E$1:E5789,1,FALSE()))),"OLD",IF(AND(E5790&lt;&gt;"",E5790&lt;&gt;"!!!"),"NEW","")))</f>
        <v> </v>
      </c>
      <c r="G5790" s="23" t="str">
        <f>IF(OR(E5790="",E5790="!!!"),"",IF(OR(J5790=0,AND(J5790=1,K5790=1),AND(J5790=1,I5790="SBJ"),AND(J5790=1,I5790=0)),"?IN_FOCUS",IF(J5790&lt;=2,"?ACTIVATED",IF(J5790&lt;&gt;"","?FAMILIAR",IF(F5790="NEW",IF(ISNA(VLOOKUP(E5790,#REF!,1,FALSE())),"?TYPE_IDENTIFIABLE","?REFERENTIAL"),"_")))))</f>
        <v> </v>
      </c>
      <c r="H5790" s="24" t="str">
        <f>IF(J5790&lt;&gt;1,"",IF(I5790="SBJ","CB","?"))</f>
        <v> </v>
      </c>
      <c r="I5790" s="25" t="str">
        <f>IF(OR(E5790="",E5790="!!!",F5790="NEW"),"",INDEX(B5789:B$2,-1+SUMPRODUCT(MAX(ROW(E5789:E$2)*(E5790=E5789:E$2)))))</f>
        <v> </v>
      </c>
      <c r="J5790" s="25" t="str">
        <f>IF(OR(E5790="",E5790="!!!",F5790="NEW"),"",COUNTBLANK(OFFSET(A$1,,,SUMPRODUCT(MAX(ROW(E$2:E5790)*(E5790=E$2:E5790)))))-COUNTBLANK(OFFSET(A$1,,,SUMPRODUCT(MAX(ROW(E$1:E5789)*(E2=E$1:E5789))))))</f>
        <v> </v>
      </c>
      <c r="K5790" s="25" t="str">
        <f>IF(OR(E5790="",E5790="!!!",F5790="NEW"),"",INDEX(J$1:J5789,SUMPRODUCT(MAX(ROW(E$1:E5789)*(E5790=E$1:E5789)))))</f>
        <v> </v>
      </c>
      <c r="L5790" s="26"/>
    </row>
    <row r="5791" spans="1:12">
      <c r="A5791" s="20" t="s">
        <v>1024</v>
      </c>
      <c r="B5791" s="27" t="s">
        <v>1198</v>
      </c>
      <c r="C5791" s="27" t="s">
        <v>1011</v>
      </c>
      <c r="D5791" s="27" t="s">
        <v>969</v>
      </c>
      <c r="E5791" s="21">
        <f>IF(D5791="?OLD","!!!","")</f>
        <v/>
      </c>
      <c r="F5791" s="22" t="str">
        <f>IF(OR(E5791="",E5791="!!!"),"",IF(NOT(ISNA(VLOOKUP(E5791,E$1:E5790,1,FALSE()))),"OLD",IF(AND(E5791&lt;&gt;"",E5791&lt;&gt;"!!!"),"NEW","")))</f>
        <v> </v>
      </c>
      <c r="G5791" s="23" t="str">
        <f>IF(OR(E5791="",E5791="!!!"),"",IF(OR(J5791=0,AND(J5791=1,K5791=1),AND(J5791=1,I5791="SBJ"),AND(J5791=1,I5791=0)),"?IN_FOCUS",IF(J5791&lt;=2,"?ACTIVATED",IF(J5791&lt;&gt;"","?FAMILIAR",IF(F5791="NEW",IF(ISNA(VLOOKUP(E5791,#REF!,1,FALSE())),"?TYPE_IDENTIFIABLE","?REFERENTIAL"),"_")))))</f>
        <v> </v>
      </c>
      <c r="H5791" s="24" t="str">
        <f>IF(J5791&lt;&gt;1,"",IF(I5791="SBJ","CB","?"))</f>
        <v> </v>
      </c>
      <c r="I5791" s="25" t="str">
        <f>IF(OR(E5791="",E5791="!!!",F5791="NEW"),"",INDEX(B5790:B$2,-1+SUMPRODUCT(MAX(ROW(E5790:E$2)*(E5791=E5790:E$2)))))</f>
        <v> </v>
      </c>
      <c r="J5791" s="25" t="str">
        <f>IF(OR(E5791="",E5791="!!!",F5791="NEW"),"",COUNTBLANK(OFFSET(A$1,,,SUMPRODUCT(MAX(ROW(E$2:E5791)*(E5791=E$2:E5791)))))-COUNTBLANK(OFFSET(A$1,,,SUMPRODUCT(MAX(ROW(E$1:E5790)*(E2=E$1:E5790))))))</f>
        <v> </v>
      </c>
      <c r="K5791" s="25" t="str">
        <f>IF(OR(E5791="",E5791="!!!",F5791="NEW"),"",INDEX(J$1:J5790,SUMPRODUCT(MAX(ROW(E$1:E5790)*(E5791=E$1:E5790)))))</f>
        <v> </v>
      </c>
      <c r="L5791" s="26"/>
    </row>
    <row r="5792" spans="1:12">
      <c r="A5792" s="20" t="s">
        <v>1009</v>
      </c>
      <c r="B5792" s="27" t="s">
        <v>997</v>
      </c>
      <c r="C5792" s="27" t="s">
        <v>1011</v>
      </c>
      <c r="D5792" s="27" t="s">
        <v>969</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t="s">
        <v>49</v>
      </c>
      <c r="E5793" s="21">
        <f>IF(D5793="?OLD","!!!","")</f>
        <v/>
      </c>
      <c r="F5793" s="22" t="str">
        <f>IF(OR(E5793="",E5793="!!!"),"",IF(NOT(ISNA(VLOOKUP(E5793,E$1:E5792,1,FALSE()))),"OLD",IF(AND(E5793&lt;&gt;"",E5793&lt;&gt;"!!!"),"NEW","")))</f>
        <v> </v>
      </c>
      <c r="G5793" s="23" t="str">
        <f>IF(OR(E5793="",E5793="!!!"),"",IF(OR(J5793=0,AND(J5793=1,K5793=1),AND(J5793=1,I5793="SBJ"),AND(J5793=1,I5793=0)),"?IN_FOCUS",IF(J5793&lt;=2,"?ACTIVATED",IF(J5793&lt;&gt;"","?FAMILIAR",IF(F5793="NEW",IF(ISNA(VLOOKUP(E5793,#REF!,1,FALSE())),"?TYPE_IDENTIFIABLE","?REFERENTIAL"),"_")))))</f>
        <v> </v>
      </c>
      <c r="H5793" s="24" t="str">
        <f>IF(J5793&lt;&gt;1,"",IF(I5793="SBJ","CB","?"))</f>
        <v> </v>
      </c>
      <c r="I5793" s="25" t="str">
        <f>IF(OR(E5793="",E5793="!!!",F5793="NEW"),"",INDEX(B5792:B$2,-1+SUMPRODUCT(MAX(ROW(E5792:E$2)*(E5793=E5792:E$2)))))</f>
        <v> </v>
      </c>
      <c r="J5793" s="25" t="str">
        <f>IF(OR(E5793="",E5793="!!!",F5793="NEW"),"",COUNTBLANK(OFFSET(A$1,,,SUMPRODUCT(MAX(ROW(E$2:E5793)*(E5793=E$2:E5793)))))-COUNTBLANK(OFFSET(A$1,,,SUMPRODUCT(MAX(ROW(E$1:E5792)*(E2=E$1:E5792))))))</f>
        <v> </v>
      </c>
      <c r="K5793" s="25" t="str">
        <f>IF(OR(E5793="",E5793="!!!",F5793="NEW"),"",INDEX(J$1:J5792,SUMPRODUCT(MAX(ROW(E$1:E5792)*(E5793=E$1:E5792)))))</f>
        <v> </v>
      </c>
      <c r="L5793" s="26"/>
    </row>
    <row r="5794" spans="1:12">
      <c r="A5794" s="20" t="s">
        <v>2340</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1005</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row>
    <row r="5797" spans="1:12">
      <c r="A5797" s="20" t="s">
        <v>2515</v>
      </c>
    </row>
    <row r="5798" spans="1:12">
      <c r="A5798" s="20" t="s">
        <v>1456</v>
      </c>
      <c r="B5798" s="27" t="s">
        <v>978</v>
      </c>
      <c r="C5798" s="27" t="s">
        <v>988</v>
      </c>
      <c r="D5798" s="27" t="s">
        <v>969</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2516</v>
      </c>
      <c r="B5799" s="27" t="s">
        <v>967</v>
      </c>
      <c r="C5799" s="27" t="s">
        <v>974</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1195</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2517</v>
      </c>
      <c r="B5801" s="27" t="s">
        <v>1053</v>
      </c>
      <c r="C5801" s="27" t="s">
        <v>988</v>
      </c>
      <c r="D5801" s="27" t="s">
        <v>969</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t="s">
        <v>2518</v>
      </c>
      <c r="E5802" s="21">
        <f>IF(D5802="?OLD","!!!","")</f>
        <v/>
      </c>
      <c r="F5802" s="22" t="str">
        <f>IF(OR(E5802="",E5802="!!!"),"",IF(NOT(ISNA(VLOOKUP(E5802,E$1:E5801,1,FALSE()))),"OLD",IF(AND(E5802&lt;&gt;"",E5802&lt;&gt;"!!!"),"NEW","")))</f>
        <v> </v>
      </c>
      <c r="G5802" s="23" t="str">
        <f>IF(OR(E5802="",E5802="!!!"),"",IF(OR(J5802=0,AND(J5802=1,K5802=1),AND(J5802=1,I5802="SBJ"),AND(J5802=1,I5802=0)),"?IN_FOCUS",IF(J5802&lt;=2,"?ACTIVATED",IF(J5802&lt;&gt;"","?FAMILIAR",IF(F5802="NEW",IF(ISNA(VLOOKUP(E5802,#REF!,1,FALSE())),"?TYPE_IDENTIFIABLE","?REFERENTIAL"),"_")))))</f>
        <v> </v>
      </c>
      <c r="H5802" s="24" t="str">
        <f>IF(J5802&lt;&gt;1,"",IF(I5802="SBJ","CB","?"))</f>
        <v> </v>
      </c>
      <c r="I5802" s="25" t="str">
        <f>IF(OR(E5802="",E5802="!!!",F5802="NEW"),"",INDEX(B5801:B$2,-1+SUMPRODUCT(MAX(ROW(E5801:E$2)*(E5802=E5801:E$2)))))</f>
        <v> </v>
      </c>
      <c r="J5802" s="25" t="str">
        <f>IF(OR(E5802="",E5802="!!!",F5802="NEW"),"",COUNTBLANK(OFFSET(A$1,,,SUMPRODUCT(MAX(ROW(E$2:E5802)*(E5802=E$2:E5802)))))-COUNTBLANK(OFFSET(A$1,,,SUMPRODUCT(MAX(ROW(E$1:E5801)*(E2=E$1:E5801))))))</f>
        <v> </v>
      </c>
      <c r="K5802" s="25" t="str">
        <f>IF(OR(E5802="",E5802="!!!",F5802="NEW"),"",INDEX(J$1:J5801,SUMPRODUCT(MAX(ROW(E$1:E5801)*(E5802=E$1:E5801)))))</f>
        <v> </v>
      </c>
      <c r="L5802" s="26"/>
    </row>
    <row r="5803" spans="1:12">
      <c r="A5803" s="20" t="s">
        <v>2519</v>
      </c>
      <c r="B5803" s="27" t="s">
        <v>1053</v>
      </c>
      <c r="C5803" s="27" t="s">
        <v>974</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1005</v>
      </c>
      <c r="E5804" s="21">
        <f>IF(D5804="?OLD","!!!","")</f>
        <v/>
      </c>
      <c r="F5804" s="22" t="str">
        <f>IF(OR(E5804="",E5804="!!!"),"",IF(NOT(ISNA(VLOOKUP(E5804,E$1:E5803,1,FALSE()))),"OLD",IF(AND(E5804&lt;&gt;"",E5804&lt;&gt;"!!!"),"NEW","")))</f>
        <v> </v>
      </c>
      <c r="G5804" s="23" t="str">
        <f>IF(OR(E5804="",E5804="!!!"),"",IF(OR(J5804=0,AND(J5804=1,K5804=1),AND(J5804=1,I5804="SBJ"),AND(J5804=1,I5804=0)),"?IN_FOCUS",IF(J5804&lt;=2,"?ACTIVATED",IF(J5804&lt;&gt;"","?FAMILIAR",IF(F5804="NEW",IF(ISNA(VLOOKUP(E5804,#REF!,1,FALSE())),"?TYPE_IDENTIFIABLE","?REFERENTIAL"),"_")))))</f>
        <v> </v>
      </c>
      <c r="H5804" s="24" t="str">
        <f>IF(J5804&lt;&gt;1,"",IF(I5804="SBJ","CB","?"))</f>
        <v> </v>
      </c>
      <c r="I5804" s="25" t="str">
        <f>IF(OR(E5804="",E5804="!!!",F5804="NEW"),"",INDEX(B5803:B$2,-1+SUMPRODUCT(MAX(ROW(E5803:E$2)*(E5804=E5803:E$2)))))</f>
        <v> </v>
      </c>
      <c r="J5804" s="25" t="str">
        <f>IF(OR(E5804="",E5804="!!!",F5804="NEW"),"",COUNTBLANK(OFFSET(A$1,,,SUMPRODUCT(MAX(ROW(E$2:E5804)*(E5804=E$2:E5804)))))-COUNTBLANK(OFFSET(A$1,,,SUMPRODUCT(MAX(ROW(E$1:E5803)*(E2=E$1:E5803))))))</f>
        <v> </v>
      </c>
      <c r="K5804" s="25" t="str">
        <f>IF(OR(E5804="",E5804="!!!",F5804="NEW"),"",INDEX(J$1:J5803,SUMPRODUCT(MAX(ROW(E$1:E5803)*(E5804=E$1:E5803)))))</f>
        <v> </v>
      </c>
      <c r="L5804" s="26"/>
    </row>
    <row r="5805" spans="1:12">
      <c r="A5805" s="20"/>
    </row>
    <row r="5806" spans="1:12">
      <c r="A5806" s="20" t="s">
        <v>1060</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2520</v>
      </c>
    </row>
    <row r="5808" spans="1:12">
      <c r="A5808" s="20" t="s">
        <v>1251</v>
      </c>
      <c r="B5808" s="27" t="s">
        <v>967</v>
      </c>
      <c r="C5808" s="27" t="s">
        <v>968</v>
      </c>
      <c r="D5808" s="27" t="s">
        <v>969</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2174</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1213</v>
      </c>
      <c r="B5810" s="27" t="s">
        <v>973</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991</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996</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993</v>
      </c>
      <c r="B5813" s="27" t="s">
        <v>1010</v>
      </c>
      <c r="C5813" s="27" t="s">
        <v>968</v>
      </c>
      <c r="D5813" s="27" t="s">
        <v>969</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t="s">
        <v>2521</v>
      </c>
      <c r="E5814" s="21">
        <f>IF(D5814="?OLD","!!!","")</f>
        <v/>
      </c>
      <c r="F5814" s="22" t="str">
        <f>IF(OR(E5814="",E5814="!!!"),"",IF(NOT(ISNA(VLOOKUP(E5814,E$1:E5813,1,FALSE()))),"OLD",IF(AND(E5814&lt;&gt;"",E5814&lt;&gt;"!!!"),"NEW","")))</f>
        <v> </v>
      </c>
      <c r="G5814" s="23" t="str">
        <f>IF(OR(E5814="",E5814="!!!"),"",IF(OR(J5814=0,AND(J5814=1,K5814=1),AND(J5814=1,I5814="SBJ"),AND(J5814=1,I5814=0)),"?IN_FOCUS",IF(J5814&lt;=2,"?ACTIVATED",IF(J5814&lt;&gt;"","?FAMILIAR",IF(F5814="NEW",IF(ISNA(VLOOKUP(E5814,#REF!,1,FALSE())),"?TYPE_IDENTIFIABLE","?REFERENTIAL"),"_")))))</f>
        <v> </v>
      </c>
      <c r="H5814" s="24" t="str">
        <f>IF(J5814&lt;&gt;1,"",IF(I5814="SBJ","CB","?"))</f>
        <v> </v>
      </c>
      <c r="I5814" s="25" t="str">
        <f>IF(OR(E5814="",E5814="!!!",F5814="NEW"),"",INDEX(B5813:B$2,-1+SUMPRODUCT(MAX(ROW(E5813:E$2)*(E5814=E5813:E$2)))))</f>
        <v> </v>
      </c>
      <c r="J5814" s="25" t="str">
        <f>IF(OR(E5814="",E5814="!!!",F5814="NEW"),"",COUNTBLANK(OFFSET(A$1,,,SUMPRODUCT(MAX(ROW(E$2:E5814)*(E5814=E$2:E5814)))))-COUNTBLANK(OFFSET(A$1,,,SUMPRODUCT(MAX(ROW(E$1:E5813)*(E2=E$1:E5813))))))</f>
        <v> </v>
      </c>
      <c r="K5814" s="25" t="str">
        <f>IF(OR(E5814="",E5814="!!!",F5814="NEW"),"",INDEX(J$1:J5813,SUMPRODUCT(MAX(ROW(E$1:E5813)*(E5814=E$1:E5813)))))</f>
        <v> </v>
      </c>
      <c r="L5814" s="26"/>
    </row>
    <row r="5815" spans="1:12">
      <c r="A5815" s="20" t="s">
        <v>1352</v>
      </c>
      <c r="E5815" s="21">
        <f>IF(D5815="?OLD","!!!","")</f>
        <v/>
      </c>
      <c r="F5815" s="22" t="str">
        <f>IF(OR(E5815="",E5815="!!!"),"",IF(NOT(ISNA(VLOOKUP(E5815,E$1:E5814,1,FALSE()))),"OLD",IF(AND(E5815&lt;&gt;"",E5815&lt;&gt;"!!!"),"NEW","")))</f>
        <v> </v>
      </c>
      <c r="G5815" s="23" t="str">
        <f>IF(OR(E5815="",E5815="!!!"),"",IF(OR(J5815=0,AND(J5815=1,K5815=1),AND(J5815=1,I5815="SBJ"),AND(J5815=1,I5815=0)),"?IN_FOCUS",IF(J5815&lt;=2,"?ACTIVATED",IF(J5815&lt;&gt;"","?FAMILIAR",IF(F5815="NEW",IF(ISNA(VLOOKUP(E5815,#REF!,1,FALSE())),"?TYPE_IDENTIFIABLE","?REFERENTIAL"),"_")))))</f>
        <v> </v>
      </c>
      <c r="H5815" s="24" t="str">
        <f>IF(J5815&lt;&gt;1,"",IF(I5815="SBJ","CB","?"))</f>
        <v> </v>
      </c>
      <c r="I5815" s="25" t="str">
        <f>IF(OR(E5815="",E5815="!!!",F5815="NEW"),"",INDEX(B5814:B$2,-1+SUMPRODUCT(MAX(ROW(E5814:E$2)*(E5815=E5814:E$2)))))</f>
        <v> </v>
      </c>
      <c r="J5815" s="25" t="str">
        <f>IF(OR(E5815="",E5815="!!!",F5815="NEW"),"",COUNTBLANK(OFFSET(A$1,,,SUMPRODUCT(MAX(ROW(E$2:E5815)*(E5815=E$2:E5815)))))-COUNTBLANK(OFFSET(A$1,,,SUMPRODUCT(MAX(ROW(E$1:E5814)*(E2=E$1:E5814))))))</f>
        <v> </v>
      </c>
      <c r="K5815" s="25" t="str">
        <f>IF(OR(E5815="",E5815="!!!",F5815="NEW"),"",INDEX(J$1:J5814,SUMPRODUCT(MAX(ROW(E$1:E5814)*(E5815=E$1:E5814)))))</f>
        <v> </v>
      </c>
      <c r="L5815" s="26"/>
    </row>
    <row r="5816" spans="1:12">
      <c r="A5816" s="20" t="s">
        <v>991</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1888</v>
      </c>
      <c r="B5817" s="27" t="s">
        <v>1031</v>
      </c>
      <c r="C5817" s="27" t="s">
        <v>1001</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999</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150</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991</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1177</v>
      </c>
      <c r="B5821" s="27" t="s">
        <v>1013</v>
      </c>
      <c r="C5821" s="27" t="s">
        <v>1011</v>
      </c>
      <c r="D5821" s="27" t="s">
        <v>969</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993</v>
      </c>
      <c r="B5822" s="27" t="s">
        <v>1010</v>
      </c>
      <c r="C5822" s="27" t="s">
        <v>968</v>
      </c>
      <c r="D5822" s="27" t="s">
        <v>969</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2098</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1005</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965</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row>
    <row r="5827" spans="1:12">
      <c r="A5827" s="20" t="s">
        <v>2522</v>
      </c>
    </row>
    <row r="5828" spans="1:12">
      <c r="A5828" s="20" t="s">
        <v>1093</v>
      </c>
      <c r="E5828" s="21">
        <f>IF(D5828="?OLD","!!!","")</f>
        <v/>
      </c>
      <c r="F5828" s="22" t="str">
        <f>IF(OR(E5828="",E5828="!!!"),"",IF(NOT(ISNA(VLOOKUP(E5828,E$1:E5827,1,FALSE()))),"OLD",IF(AND(E5828&lt;&gt;"",E5828&lt;&gt;"!!!"),"NEW","")))</f>
        <v> </v>
      </c>
      <c r="G5828" s="23" t="str">
        <f>IF(OR(E5828="",E5828="!!!"),"",IF(OR(J5828=0,AND(J5828=1,K5828=1),AND(J5828=1,I5828="SBJ"),AND(J5828=1,I5828=0)),"?IN_FOCUS",IF(J5828&lt;=2,"?ACTIVATED",IF(J5828&lt;&gt;"","?FAMILIAR",IF(F5828="NEW",IF(ISNA(VLOOKUP(E5828,#REF!,1,FALSE())),"?TYPE_IDENTIFIABLE","?REFERENTIAL"),"_")))))</f>
        <v> </v>
      </c>
      <c r="H5828" s="24" t="str">
        <f>IF(J5828&lt;&gt;1,"",IF(I5828="SBJ","CB","?"))</f>
        <v> </v>
      </c>
      <c r="I5828" s="25" t="str">
        <f>IF(OR(E5828="",E5828="!!!",F5828="NEW"),"",INDEX(B5827:B$2,-1+SUMPRODUCT(MAX(ROW(E5827:E$2)*(E5828=E5827:E$2)))))</f>
        <v> </v>
      </c>
      <c r="J5828" s="25" t="str">
        <f>IF(OR(E5828="",E5828="!!!",F5828="NEW"),"",COUNTBLANK(OFFSET(A$1,,,SUMPRODUCT(MAX(ROW(E$2:E5828)*(E5828=E$2:E5828)))))-COUNTBLANK(OFFSET(A$1,,,SUMPRODUCT(MAX(ROW(E$1:E5827)*(E2=E$1:E5827))))))</f>
        <v> </v>
      </c>
      <c r="K5828" s="25" t="str">
        <f>IF(OR(E5828="",E5828="!!!",F5828="NEW"),"",INDEX(J$1:J5827,SUMPRODUCT(MAX(ROW(E$1:E5827)*(E5828=E$1:E5827)))))</f>
        <v> </v>
      </c>
      <c r="L5828" s="26"/>
    </row>
    <row r="5829" spans="1:12">
      <c r="A5829" s="20" t="s">
        <v>1733</v>
      </c>
      <c r="E5829" s="21">
        <f>IF(D5829="?OLD","!!!","")</f>
        <v/>
      </c>
      <c r="F5829" s="22" t="str">
        <f>IF(OR(E5829="",E5829="!!!"),"",IF(NOT(ISNA(VLOOKUP(E5829,E$1:E5828,1,FALSE()))),"OLD",IF(AND(E5829&lt;&gt;"",E5829&lt;&gt;"!!!"),"NEW","")))</f>
        <v> </v>
      </c>
      <c r="G5829" s="23" t="str">
        <f>IF(OR(E5829="",E5829="!!!"),"",IF(OR(J5829=0,AND(J5829=1,K5829=1),AND(J5829=1,I5829="SBJ"),AND(J5829=1,I5829=0)),"?IN_FOCUS",IF(J5829&lt;=2,"?ACTIVATED",IF(J5829&lt;&gt;"","?FAMILIAR",IF(F5829="NEW",IF(ISNA(VLOOKUP(E5829,#REF!,1,FALSE())),"?TYPE_IDENTIFIABLE","?REFERENTIAL"),"_")))))</f>
        <v> </v>
      </c>
      <c r="H5829" s="24" t="str">
        <f>IF(J5829&lt;&gt;1,"",IF(I5829="SBJ","CB","?"))</f>
        <v> </v>
      </c>
      <c r="I5829" s="25" t="str">
        <f>IF(OR(E5829="",E5829="!!!",F5829="NEW"),"",INDEX(B5828:B$2,-1+SUMPRODUCT(MAX(ROW(E5828:E$2)*(E5829=E5828:E$2)))))</f>
        <v> </v>
      </c>
      <c r="J5829" s="25" t="str">
        <f>IF(OR(E5829="",E5829="!!!",F5829="NEW"),"",COUNTBLANK(OFFSET(A$1,,,SUMPRODUCT(MAX(ROW(E$2:E5829)*(E5829=E$2:E5829)))))-COUNTBLANK(OFFSET(A$1,,,SUMPRODUCT(MAX(ROW(E$1:E5828)*(E2=E$1:E5828))))))</f>
        <v> </v>
      </c>
      <c r="K5829" s="25" t="str">
        <f>IF(OR(E5829="",E5829="!!!",F5829="NEW"),"",INDEX(J$1:J5828,SUMPRODUCT(MAX(ROW(E$1:E5828)*(E5829=E$1:E5828)))))</f>
        <v> </v>
      </c>
      <c r="L5829" s="26"/>
    </row>
    <row r="5830" spans="1:12">
      <c r="A5830" s="20" t="s">
        <v>1078</v>
      </c>
      <c r="B5830" s="27" t="s">
        <v>967</v>
      </c>
      <c r="C5830" s="27" t="s">
        <v>979</v>
      </c>
      <c r="D5830" s="27" t="s">
        <v>969</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999</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2523</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t="s">
        <v>991</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2524</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t="s">
        <v>1832</v>
      </c>
      <c r="B5835" s="27" t="s">
        <v>978</v>
      </c>
      <c r="C5835" s="27" t="s">
        <v>1011</v>
      </c>
      <c r="D5835" s="27" t="s">
        <v>969</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2525</v>
      </c>
      <c r="B5836" s="27" t="s">
        <v>973</v>
      </c>
      <c r="C5836" s="27" t="s">
        <v>1123</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991</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1240</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1086</v>
      </c>
      <c r="B5839" s="27" t="s">
        <v>1010</v>
      </c>
      <c r="C5839" s="27" t="s">
        <v>968</v>
      </c>
      <c r="D5839" s="27" t="s">
        <v>969</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1454</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985</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2526</v>
      </c>
      <c r="B5842" s="27" t="s">
        <v>1053</v>
      </c>
      <c r="C5842" s="27" t="s">
        <v>979</v>
      </c>
      <c r="D5842" s="27" t="s">
        <v>969</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1022</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1110</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2525</v>
      </c>
      <c r="B5845" s="27" t="s">
        <v>978</v>
      </c>
      <c r="C5845" s="27" t="s">
        <v>1018</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980</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2467</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1038</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2525</v>
      </c>
      <c r="B5849" s="27" t="s">
        <v>1198</v>
      </c>
      <c r="C5849" s="27" t="s">
        <v>979</v>
      </c>
      <c r="D5849" s="27" t="s">
        <v>969</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1105</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2527</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t="s">
        <v>2528</v>
      </c>
      <c r="B5852" s="27" t="s">
        <v>1198</v>
      </c>
      <c r="C5852" s="27" t="s">
        <v>1011</v>
      </c>
      <c r="D5852" s="27" t="s">
        <v>969</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58</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1005</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row>
    <row r="5856" spans="1:12">
      <c r="A5856" s="20" t="s">
        <v>2529</v>
      </c>
    </row>
    <row r="5857" spans="1:12">
      <c r="A5857" s="20" t="s">
        <v>1251</v>
      </c>
      <c r="B5857" s="27" t="s">
        <v>967</v>
      </c>
      <c r="C5857" s="27" t="s">
        <v>968</v>
      </c>
      <c r="D5857" s="27" t="s">
        <v>969</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1893</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1021</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1445</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t="s">
        <v>1624</v>
      </c>
      <c r="E5861" s="21">
        <f>IF(D5861="?OLD","!!!","")</f>
        <v/>
      </c>
      <c r="F5861" s="22" t="str">
        <f>IF(OR(E5861="",E5861="!!!"),"",IF(NOT(ISNA(VLOOKUP(E5861,E$1:E5860,1,FALSE()))),"OLD",IF(AND(E5861&lt;&gt;"",E5861&lt;&gt;"!!!"),"NEW","")))</f>
        <v> </v>
      </c>
      <c r="G5861" s="23" t="str">
        <f>IF(OR(E5861="",E5861="!!!"),"",IF(OR(J5861=0,AND(J5861=1,K5861=1),AND(J5861=1,I5861="SBJ"),AND(J5861=1,I5861=0)),"?IN_FOCUS",IF(J5861&lt;=2,"?ACTIVATED",IF(J5861&lt;&gt;"","?FAMILIAR",IF(F5861="NEW",IF(ISNA(VLOOKUP(E5861,#REF!,1,FALSE())),"?TYPE_IDENTIFIABLE","?REFERENTIAL"),"_")))))</f>
        <v> </v>
      </c>
      <c r="H5861" s="24" t="str">
        <f>IF(J5861&lt;&gt;1,"",IF(I5861="SBJ","CB","?"))</f>
        <v> </v>
      </c>
      <c r="I5861" s="25" t="str">
        <f>IF(OR(E5861="",E5861="!!!",F5861="NEW"),"",INDEX(B5860:B$2,-1+SUMPRODUCT(MAX(ROW(E5860:E$2)*(E5861=E5860:E$2)))))</f>
        <v> </v>
      </c>
      <c r="J5861" s="25" t="str">
        <f>IF(OR(E5861="",E5861="!!!",F5861="NEW"),"",COUNTBLANK(OFFSET(A$1,,,SUMPRODUCT(MAX(ROW(E$2:E5861)*(E5861=E$2:E5861)))))-COUNTBLANK(OFFSET(A$1,,,SUMPRODUCT(MAX(ROW(E$1:E5860)*(E2=E$1:E5860))))))</f>
        <v> </v>
      </c>
      <c r="K5861" s="25" t="str">
        <f>IF(OR(E5861="",E5861="!!!",F5861="NEW"),"",INDEX(J$1:J5860,SUMPRODUCT(MAX(ROW(E$1:E5860)*(E5861=E$1:E5860)))))</f>
        <v> </v>
      </c>
      <c r="L5861" s="26"/>
    </row>
    <row r="5862" spans="1:12">
      <c r="A5862" s="20" t="s">
        <v>2530</v>
      </c>
      <c r="B5862" s="27" t="s">
        <v>1010</v>
      </c>
      <c r="C5862" s="27" t="s">
        <v>1234</v>
      </c>
      <c r="D5862" s="27" t="s">
        <v>969</v>
      </c>
      <c r="E5862" s="21">
        <f>IF(D5862="?OLD","!!!","")</f>
        <v/>
      </c>
      <c r="F5862" s="22" t="str">
        <f>IF(OR(E5862="",E5862="!!!"),"",IF(NOT(ISNA(VLOOKUP(E5862,E$1:E5861,1,FALSE()))),"OLD",IF(AND(E5862&lt;&gt;"",E5862&lt;&gt;"!!!"),"NEW","")))</f>
        <v> </v>
      </c>
      <c r="G5862" s="23" t="str">
        <f>IF(OR(E5862="",E5862="!!!"),"",IF(OR(J5862=0,AND(J5862=1,K5862=1),AND(J5862=1,I5862="SBJ"),AND(J5862=1,I5862=0)),"?IN_FOCUS",IF(J5862&lt;=2,"?ACTIVATED",IF(J5862&lt;&gt;"","?FAMILIAR",IF(F5862="NEW",IF(ISNA(VLOOKUP(E5862,#REF!,1,FALSE())),"?TYPE_IDENTIFIABLE","?REFERENTIAL"),"_")))))</f>
        <v> </v>
      </c>
      <c r="H5862" s="24" t="str">
        <f>IF(J5862&lt;&gt;1,"",IF(I5862="SBJ","CB","?"))</f>
        <v> </v>
      </c>
      <c r="I5862" s="25" t="str">
        <f>IF(OR(E5862="",E5862="!!!",F5862="NEW"),"",INDEX(B5861:B$2,-1+SUMPRODUCT(MAX(ROW(E5861:E$2)*(E5862=E5861:E$2)))))</f>
        <v> </v>
      </c>
      <c r="J5862" s="25" t="str">
        <f>IF(OR(E5862="",E5862="!!!",F5862="NEW"),"",COUNTBLANK(OFFSET(A$1,,,SUMPRODUCT(MAX(ROW(E$2:E5862)*(E5862=E$2:E5862)))))-COUNTBLANK(OFFSET(A$1,,,SUMPRODUCT(MAX(ROW(E$1:E5861)*(E2=E$1:E5861))))))</f>
        <v> </v>
      </c>
      <c r="K5862" s="25" t="str">
        <f>IF(OR(E5862="",E5862="!!!",F5862="NEW"),"",INDEX(J$1:J5861,SUMPRODUCT(MAX(ROW(E$1:E5861)*(E5862=E$1:E5861)))))</f>
        <v> </v>
      </c>
      <c r="L5862" s="26"/>
    </row>
    <row r="5863" spans="1:12">
      <c r="A5863" s="20" t="s">
        <v>991</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1110</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2531</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1833</v>
      </c>
      <c r="B5866" s="27" t="s">
        <v>1013</v>
      </c>
      <c r="C5866" s="27" t="s">
        <v>1018</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999</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635</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980</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999</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2532</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991</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t="s">
        <v>996</v>
      </c>
      <c r="E5873" s="21">
        <f>IF(D5873="?OLD","!!!","")</f>
        <v/>
      </c>
      <c r="F5873" s="22" t="str">
        <f>IF(OR(E5873="",E5873="!!!"),"",IF(NOT(ISNA(VLOOKUP(E5873,E$1:E5872,1,FALSE()))),"OLD",IF(AND(E5873&lt;&gt;"",E5873&lt;&gt;"!!!"),"NEW","")))</f>
        <v> </v>
      </c>
      <c r="G5873" s="23" t="str">
        <f>IF(OR(E5873="",E5873="!!!"),"",IF(OR(J5873=0,AND(J5873=1,K5873=1),AND(J5873=1,I5873="SBJ"),AND(J5873=1,I5873=0)),"?IN_FOCUS",IF(J5873&lt;=2,"?ACTIVATED",IF(J5873&lt;&gt;"","?FAMILIAR",IF(F5873="NEW",IF(ISNA(VLOOKUP(E5873,#REF!,1,FALSE())),"?TYPE_IDENTIFIABLE","?REFERENTIAL"),"_")))))</f>
        <v> </v>
      </c>
      <c r="H5873" s="24" t="str">
        <f>IF(J5873&lt;&gt;1,"",IF(I5873="SBJ","CB","?"))</f>
        <v> </v>
      </c>
      <c r="I5873" s="25" t="str">
        <f>IF(OR(E5873="",E5873="!!!",F5873="NEW"),"",INDEX(B5872:B$2,-1+SUMPRODUCT(MAX(ROW(E5872:E$2)*(E5873=E5872:E$2)))))</f>
        <v> </v>
      </c>
      <c r="J5873" s="25" t="str">
        <f>IF(OR(E5873="",E5873="!!!",F5873="NEW"),"",COUNTBLANK(OFFSET(A$1,,,SUMPRODUCT(MAX(ROW(E$2:E5873)*(E5873=E$2:E5873)))))-COUNTBLANK(OFFSET(A$1,,,SUMPRODUCT(MAX(ROW(E$1:E5872)*(E2=E$1:E5872))))))</f>
        <v> </v>
      </c>
      <c r="K5873" s="25" t="str">
        <f>IF(OR(E5873="",E5873="!!!",F5873="NEW"),"",INDEX(J$1:J5872,SUMPRODUCT(MAX(ROW(E$1:E5872)*(E5873=E$1:E5872)))))</f>
        <v> </v>
      </c>
      <c r="L5873" s="26"/>
    </row>
    <row r="5874" spans="1:12">
      <c r="A5874" s="20" t="s">
        <v>2533</v>
      </c>
      <c r="B5874" s="27" t="s">
        <v>1003</v>
      </c>
      <c r="C5874" s="27" t="s">
        <v>988</v>
      </c>
      <c r="D5874" s="27" t="s">
        <v>969</v>
      </c>
      <c r="E5874" s="21">
        <f>IF(D5874="?OLD","!!!","")</f>
        <v/>
      </c>
      <c r="F5874" s="22" t="str">
        <f>IF(OR(E5874="",E5874="!!!"),"",IF(NOT(ISNA(VLOOKUP(E5874,E$1:E5873,1,FALSE()))),"OLD",IF(AND(E5874&lt;&gt;"",E5874&lt;&gt;"!!!"),"NEW","")))</f>
        <v> </v>
      </c>
      <c r="G5874" s="23" t="str">
        <f>IF(OR(E5874="",E5874="!!!"),"",IF(OR(J5874=0,AND(J5874=1,K5874=1),AND(J5874=1,I5874="SBJ"),AND(J5874=1,I5874=0)),"?IN_FOCUS",IF(J5874&lt;=2,"?ACTIVATED",IF(J5874&lt;&gt;"","?FAMILIAR",IF(F5874="NEW",IF(ISNA(VLOOKUP(E5874,#REF!,1,FALSE())),"?TYPE_IDENTIFIABLE","?REFERENTIAL"),"_")))))</f>
        <v> </v>
      </c>
      <c r="H5874" s="24" t="str">
        <f>IF(J5874&lt;&gt;1,"",IF(I5874="SBJ","CB","?"))</f>
        <v> </v>
      </c>
      <c r="I5874" s="25" t="str">
        <f>IF(OR(E5874="",E5874="!!!",F5874="NEW"),"",INDEX(B5873:B$2,-1+SUMPRODUCT(MAX(ROW(E5873:E$2)*(E5874=E5873:E$2)))))</f>
        <v> </v>
      </c>
      <c r="J5874" s="25" t="str">
        <f>IF(OR(E5874="",E5874="!!!",F5874="NEW"),"",COUNTBLANK(OFFSET(A$1,,,SUMPRODUCT(MAX(ROW(E$2:E5874)*(E5874=E$2:E5874)))))-COUNTBLANK(OFFSET(A$1,,,SUMPRODUCT(MAX(ROW(E$1:E5873)*(E2=E$1:E5873))))))</f>
        <v> </v>
      </c>
      <c r="K5874" s="25" t="str">
        <f>IF(OR(E5874="",E5874="!!!",F5874="NEW"),"",INDEX(J$1:J5873,SUMPRODUCT(MAX(ROW(E$1:E5873)*(E5874=E$1:E5873)))))</f>
        <v> </v>
      </c>
      <c r="L5874" s="26"/>
    </row>
    <row r="5875" spans="1:12">
      <c r="A5875" s="20" t="s">
        <v>1078</v>
      </c>
      <c r="B5875" s="27" t="s">
        <v>994</v>
      </c>
      <c r="C5875" s="27" t="s">
        <v>974</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1016</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2534</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t="s">
        <v>2535</v>
      </c>
      <c r="B5878" s="27" t="s">
        <v>1031</v>
      </c>
      <c r="C5878" s="27" t="s">
        <v>1018</v>
      </c>
      <c r="E5878" s="21">
        <f>IF(D5878="?OLD","!!!","")</f>
        <v/>
      </c>
      <c r="F5878" s="22" t="str">
        <f>IF(OR(E5878="",E5878="!!!"),"",IF(NOT(ISNA(VLOOKUP(E5878,E$1:E5877,1,FALSE()))),"OLD",IF(AND(E5878&lt;&gt;"",E5878&lt;&gt;"!!!"),"NEW","")))</f>
        <v> </v>
      </c>
      <c r="G5878" s="23" t="str">
        <f>IF(OR(E5878="",E5878="!!!"),"",IF(OR(J5878=0,AND(J5878=1,K5878=1),AND(J5878=1,I5878="SBJ"),AND(J5878=1,I5878=0)),"?IN_FOCUS",IF(J5878&lt;=2,"?ACTIVATED",IF(J5878&lt;&gt;"","?FAMILIAR",IF(F5878="NEW",IF(ISNA(VLOOKUP(E5878,#REF!,1,FALSE())),"?TYPE_IDENTIFIABLE","?REFERENTIAL"),"_")))))</f>
        <v> </v>
      </c>
      <c r="H5878" s="24" t="str">
        <f>IF(J5878&lt;&gt;1,"",IF(I5878="SBJ","CB","?"))</f>
        <v> </v>
      </c>
      <c r="I5878" s="25" t="str">
        <f>IF(OR(E5878="",E5878="!!!",F5878="NEW"),"",INDEX(B5877:B$2,-1+SUMPRODUCT(MAX(ROW(E5877:E$2)*(E5878=E5877:E$2)))))</f>
        <v> </v>
      </c>
      <c r="J5878" s="25" t="str">
        <f>IF(OR(E5878="",E5878="!!!",F5878="NEW"),"",COUNTBLANK(OFFSET(A$1,,,SUMPRODUCT(MAX(ROW(E$2:E5878)*(E5878=E$2:E5878)))))-COUNTBLANK(OFFSET(A$1,,,SUMPRODUCT(MAX(ROW(E$1:E5877)*(E2=E$1:E5877))))))</f>
        <v> </v>
      </c>
      <c r="K5878" s="25" t="str">
        <f>IF(OR(E5878="",E5878="!!!",F5878="NEW"),"",INDEX(J$1:J5877,SUMPRODUCT(MAX(ROW(E$1:E5877)*(E5878=E$1:E5877)))))</f>
        <v> </v>
      </c>
      <c r="L5878" s="26"/>
    </row>
    <row r="5879" spans="1:12">
      <c r="A5879" s="20" t="s">
        <v>1768</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1005</v>
      </c>
      <c r="E5880" s="21">
        <f>IF(D5880="?OLD","!!!","")</f>
        <v/>
      </c>
      <c r="F5880" s="22" t="str">
        <f>IF(OR(E5880="",E5880="!!!"),"",IF(NOT(ISNA(VLOOKUP(E5880,E$1:E5879,1,FALSE()))),"OLD",IF(AND(E5880&lt;&gt;"",E5880&lt;&gt;"!!!"),"NEW","")))</f>
        <v> </v>
      </c>
      <c r="G5880" s="23" t="str">
        <f>IF(OR(E5880="",E5880="!!!"),"",IF(OR(J5880=0,AND(J5880=1,K5880=1),AND(J5880=1,I5880="SBJ"),AND(J5880=1,I5880=0)),"?IN_FOCUS",IF(J5880&lt;=2,"?ACTIVATED",IF(J5880&lt;&gt;"","?FAMILIAR",IF(F5880="NEW",IF(ISNA(VLOOKUP(E5880,#REF!,1,FALSE())),"?TYPE_IDENTIFIABLE","?REFERENTIAL"),"_")))))</f>
        <v> </v>
      </c>
      <c r="H5880" s="24" t="str">
        <f>IF(J5880&lt;&gt;1,"",IF(I5880="SBJ","CB","?"))</f>
        <v> </v>
      </c>
      <c r="I5880" s="25" t="str">
        <f>IF(OR(E5880="",E5880="!!!",F5880="NEW"),"",INDEX(B5879:B$2,-1+SUMPRODUCT(MAX(ROW(E5879:E$2)*(E5880=E5879:E$2)))))</f>
        <v> </v>
      </c>
      <c r="J5880" s="25" t="str">
        <f>IF(OR(E5880="",E5880="!!!",F5880="NEW"),"",COUNTBLANK(OFFSET(A$1,,,SUMPRODUCT(MAX(ROW(E$2:E5880)*(E5880=E$2:E5880)))))-COUNTBLANK(OFFSET(A$1,,,SUMPRODUCT(MAX(ROW(E$1:E5879)*(E2=E$1:E5879))))))</f>
        <v> </v>
      </c>
      <c r="K5880" s="25" t="str">
        <f>IF(OR(E5880="",E5880="!!!",F5880="NEW"),"",INDEX(J$1:J5879,SUMPRODUCT(MAX(ROW(E$1:E5879)*(E5880=E$1:E5879)))))</f>
        <v> </v>
      </c>
      <c r="L5880" s="26"/>
    </row>
    <row r="5881" spans="1:12">
      <c r="A5881" s="20"/>
    </row>
    <row r="5882" spans="1:12">
      <c r="A5882" s="20" t="s">
        <v>1060</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2536</v>
      </c>
    </row>
    <row r="5884" spans="1:12">
      <c r="A5884" s="20" t="s">
        <v>1251</v>
      </c>
      <c r="B5884" s="27" t="s">
        <v>967</v>
      </c>
      <c r="C5884" s="27" t="s">
        <v>968</v>
      </c>
      <c r="D5884" s="27" t="s">
        <v>969</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1893</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2530</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t="s">
        <v>991</v>
      </c>
      <c r="E5887" s="21">
        <f>IF(D5887="?OLD","!!!","")</f>
        <v/>
      </c>
      <c r="F5887" s="22" t="str">
        <f>IF(OR(E5887="",E5887="!!!"),"",IF(NOT(ISNA(VLOOKUP(E5887,E$1:E5886,1,FALSE()))),"OLD",IF(AND(E5887&lt;&gt;"",E5887&lt;&gt;"!!!"),"NEW","")))</f>
        <v> </v>
      </c>
      <c r="G5887" s="23" t="str">
        <f>IF(OR(E5887="",E5887="!!!"),"",IF(OR(J5887=0,AND(J5887=1,K5887=1),AND(J5887=1,I5887="SBJ"),AND(J5887=1,I5887=0)),"?IN_FOCUS",IF(J5887&lt;=2,"?ACTIVATED",IF(J5887&lt;&gt;"","?FAMILIAR",IF(F5887="NEW",IF(ISNA(VLOOKUP(E5887,#REF!,1,FALSE())),"?TYPE_IDENTIFIABLE","?REFERENTIAL"),"_")))))</f>
        <v> </v>
      </c>
      <c r="H5887" s="24" t="str">
        <f>IF(J5887&lt;&gt;1,"",IF(I5887="SBJ","CB","?"))</f>
        <v> </v>
      </c>
      <c r="I5887" s="25" t="str">
        <f>IF(OR(E5887="",E5887="!!!",F5887="NEW"),"",INDEX(B5886:B$2,-1+SUMPRODUCT(MAX(ROW(E5886:E$2)*(E5887=E5886:E$2)))))</f>
        <v> </v>
      </c>
      <c r="J5887" s="25" t="str">
        <f>IF(OR(E5887="",E5887="!!!",F5887="NEW"),"",COUNTBLANK(OFFSET(A$1,,,SUMPRODUCT(MAX(ROW(E$2:E5887)*(E5887=E$2:E5887)))))-COUNTBLANK(OFFSET(A$1,,,SUMPRODUCT(MAX(ROW(E$1:E5886)*(E2=E$1:E5886))))))</f>
        <v> </v>
      </c>
      <c r="K5887" s="25" t="str">
        <f>IF(OR(E5887="",E5887="!!!",F5887="NEW"),"",INDEX(J$1:J5886,SUMPRODUCT(MAX(ROW(E$1:E5886)*(E5887=E$1:E5886)))))</f>
        <v> </v>
      </c>
      <c r="L5887" s="26"/>
    </row>
    <row r="5888" spans="1:12">
      <c r="A5888" s="20" t="s">
        <v>1139</v>
      </c>
      <c r="B5888" s="27" t="s">
        <v>982</v>
      </c>
      <c r="C5888" s="27" t="s">
        <v>1102</v>
      </c>
      <c r="D5888" s="27" t="s">
        <v>969</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2537</v>
      </c>
      <c r="B5889" s="27" t="s">
        <v>1013</v>
      </c>
      <c r="C5889" s="27" t="s">
        <v>1141</v>
      </c>
      <c r="D5889" s="27" t="s">
        <v>969</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999</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650</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991</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1114</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1009</v>
      </c>
      <c r="B5894" s="27" t="s">
        <v>1010</v>
      </c>
      <c r="C5894" s="27" t="s">
        <v>1011</v>
      </c>
      <c r="D5894" s="27" t="s">
        <v>969</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2538</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665</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t="s">
        <v>991</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980</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999</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241</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1194</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965</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1163</v>
      </c>
      <c r="B5903" s="27" t="s">
        <v>1010</v>
      </c>
      <c r="C5903" s="27" t="s">
        <v>1102</v>
      </c>
      <c r="D5903" s="27" t="s">
        <v>969</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1218</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985</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2539</v>
      </c>
      <c r="B5906" s="27" t="s">
        <v>978</v>
      </c>
      <c r="C5906" s="27" t="s">
        <v>979</v>
      </c>
      <c r="D5906" s="27" t="s">
        <v>969</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991</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1240</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t="s">
        <v>2540</v>
      </c>
      <c r="E5909" s="21">
        <f>IF(D5909="?OLD","!!!","")</f>
        <v/>
      </c>
      <c r="F5909" s="22" t="str">
        <f>IF(OR(E5909="",E5909="!!!"),"",IF(NOT(ISNA(VLOOKUP(E5909,E$1:E5908,1,FALSE()))),"OLD",IF(AND(E5909&lt;&gt;"",E5909&lt;&gt;"!!!"),"NEW","")))</f>
        <v> </v>
      </c>
      <c r="G5909" s="23" t="str">
        <f>IF(OR(E5909="",E5909="!!!"),"",IF(OR(J5909=0,AND(J5909=1,K5909=1),AND(J5909=1,I5909="SBJ"),AND(J5909=1,I5909=0)),"?IN_FOCUS",IF(J5909&lt;=2,"?ACTIVATED",IF(J5909&lt;&gt;"","?FAMILIAR",IF(F5909="NEW",IF(ISNA(VLOOKUP(E5909,#REF!,1,FALSE())),"?TYPE_IDENTIFIABLE","?REFERENTIAL"),"_")))))</f>
        <v> </v>
      </c>
      <c r="H5909" s="24" t="str">
        <f>IF(J5909&lt;&gt;1,"",IF(I5909="SBJ","CB","?"))</f>
        <v> </v>
      </c>
      <c r="I5909" s="25" t="str">
        <f>IF(OR(E5909="",E5909="!!!",F5909="NEW"),"",INDEX(B5908:B$2,-1+SUMPRODUCT(MAX(ROW(E5908:E$2)*(E5909=E5908:E$2)))))</f>
        <v> </v>
      </c>
      <c r="J5909" s="25" t="str">
        <f>IF(OR(E5909="",E5909="!!!",F5909="NEW"),"",COUNTBLANK(OFFSET(A$1,,,SUMPRODUCT(MAX(ROW(E$2:E5909)*(E5909=E$2:E5909)))))-COUNTBLANK(OFFSET(A$1,,,SUMPRODUCT(MAX(ROW(E$1:E5908)*(E2=E$1:E5908))))))</f>
        <v> </v>
      </c>
      <c r="K5909" s="25" t="str">
        <f>IF(OR(E5909="",E5909="!!!",F5909="NEW"),"",INDEX(J$1:J5908,SUMPRODUCT(MAX(ROW(E$1:E5908)*(E5909=E$1:E5908)))))</f>
        <v> </v>
      </c>
      <c r="L5909" s="26"/>
    </row>
    <row r="5910" spans="1:12">
      <c r="A5910" s="20" t="s">
        <v>1962</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993</v>
      </c>
      <c r="B5911" s="27" t="s">
        <v>997</v>
      </c>
      <c r="C5911" s="27" t="s">
        <v>968</v>
      </c>
      <c r="D5911" s="27" t="s">
        <v>969</v>
      </c>
      <c r="E5911" s="21">
        <f>IF(D5911="?OLD","!!!","")</f>
        <v/>
      </c>
      <c r="F5911" s="22" t="str">
        <f>IF(OR(E5911="",E5911="!!!"),"",IF(NOT(ISNA(VLOOKUP(E5911,E$1:E5910,1,FALSE()))),"OLD",IF(AND(E5911&lt;&gt;"",E5911&lt;&gt;"!!!"),"NEW","")))</f>
        <v> </v>
      </c>
      <c r="G5911" s="23" t="str">
        <f>IF(OR(E5911="",E5911="!!!"),"",IF(OR(J5911=0,AND(J5911=1,K5911=1),AND(J5911=1,I5911="SBJ"),AND(J5911=1,I5911=0)),"?IN_FOCUS",IF(J5911&lt;=2,"?ACTIVATED",IF(J5911&lt;&gt;"","?FAMILIAR",IF(F5911="NEW",IF(ISNA(VLOOKUP(E5911,#REF!,1,FALSE())),"?TYPE_IDENTIFIABLE","?REFERENTIAL"),"_")))))</f>
        <v> </v>
      </c>
      <c r="H5911" s="24" t="str">
        <f>IF(J5911&lt;&gt;1,"",IF(I5911="SBJ","CB","?"))</f>
        <v> </v>
      </c>
      <c r="I5911" s="25" t="str">
        <f>IF(OR(E5911="",E5911="!!!",F5911="NEW"),"",INDEX(B5910:B$2,-1+SUMPRODUCT(MAX(ROW(E5910:E$2)*(E5911=E5910:E$2)))))</f>
        <v> </v>
      </c>
      <c r="J5911" s="25" t="str">
        <f>IF(OR(E5911="",E5911="!!!",F5911="NEW"),"",COUNTBLANK(OFFSET(A$1,,,SUMPRODUCT(MAX(ROW(E$2:E5911)*(E5911=E$2:E5911)))))-COUNTBLANK(OFFSET(A$1,,,SUMPRODUCT(MAX(ROW(E$1:E5910)*(E2=E$1:E5910))))))</f>
        <v> </v>
      </c>
      <c r="K5911" s="25" t="str">
        <f>IF(OR(E5911="",E5911="!!!",F5911="NEW"),"",INDEX(J$1:J5910,SUMPRODUCT(MAX(ROW(E$1:E5910)*(E5911=E$1:E5910)))))</f>
        <v> </v>
      </c>
      <c r="L5911" s="26"/>
    </row>
    <row r="5912" spans="1:12">
      <c r="A5912" s="20" t="s">
        <v>1357</v>
      </c>
      <c r="B5912" s="27" t="s">
        <v>1198</v>
      </c>
      <c r="C5912" s="27" t="s">
        <v>1011</v>
      </c>
      <c r="D5912" s="27" t="s">
        <v>969</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921</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1005</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965</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row>
    <row r="5917" spans="1:12">
      <c r="A5917" s="20" t="s">
        <v>2541</v>
      </c>
    </row>
    <row r="5918" spans="1:12">
      <c r="A5918" s="20" t="s">
        <v>966</v>
      </c>
      <c r="B5918" s="27" t="s">
        <v>967</v>
      </c>
      <c r="C5918" s="27" t="s">
        <v>968</v>
      </c>
      <c r="D5918" s="27" t="s">
        <v>969</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1352</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1225</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2108</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1733</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t="s">
        <v>1078</v>
      </c>
      <c r="B5923" s="27" t="s">
        <v>1053</v>
      </c>
      <c r="C5923" s="27" t="s">
        <v>1035</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t="s">
        <v>2521</v>
      </c>
      <c r="E5924" s="21">
        <f>IF(D5924="?OLD","!!!","")</f>
        <v/>
      </c>
      <c r="F5924" s="22" t="str">
        <f>IF(OR(E5924="",E5924="!!!"),"",IF(NOT(ISNA(VLOOKUP(E5924,E$1:E5923,1,FALSE()))),"OLD",IF(AND(E5924&lt;&gt;"",E5924&lt;&gt;"!!!"),"NEW","")))</f>
        <v> </v>
      </c>
      <c r="G5924" s="23" t="str">
        <f>IF(OR(E5924="",E5924="!!!"),"",IF(OR(J5924=0,AND(J5924=1,K5924=1),AND(J5924=1,I5924="SBJ"),AND(J5924=1,I5924=0)),"?IN_FOCUS",IF(J5924&lt;=2,"?ACTIVATED",IF(J5924&lt;&gt;"","?FAMILIAR",IF(F5924="NEW",IF(ISNA(VLOOKUP(E5924,#REF!,1,FALSE())),"?TYPE_IDENTIFIABLE","?REFERENTIAL"),"_")))))</f>
        <v> </v>
      </c>
      <c r="H5924" s="24" t="str">
        <f>IF(J5924&lt;&gt;1,"",IF(I5924="SBJ","CB","?"))</f>
        <v> </v>
      </c>
      <c r="I5924" s="25" t="str">
        <f>IF(OR(E5924="",E5924="!!!",F5924="NEW"),"",INDEX(B5923:B$2,-1+SUMPRODUCT(MAX(ROW(E5923:E$2)*(E5924=E5923:E$2)))))</f>
        <v> </v>
      </c>
      <c r="J5924" s="25" t="str">
        <f>IF(OR(E5924="",E5924="!!!",F5924="NEW"),"",COUNTBLANK(OFFSET(A$1,,,SUMPRODUCT(MAX(ROW(E$2:E5924)*(E5924=E$2:E5924)))))-COUNTBLANK(OFFSET(A$1,,,SUMPRODUCT(MAX(ROW(E$1:E5923)*(E2=E$1:E5923))))))</f>
        <v> </v>
      </c>
      <c r="K5924" s="25" t="str">
        <f>IF(OR(E5924="",E5924="!!!",F5924="NEW"),"",INDEX(J$1:J5923,SUMPRODUCT(MAX(ROW(E$1:E5923)*(E5924=E$1:E5923)))))</f>
        <v> </v>
      </c>
      <c r="L5924" s="26"/>
    </row>
    <row r="5925" spans="1:12">
      <c r="A5925" s="20" t="s">
        <v>991</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t="s">
        <v>1432</v>
      </c>
      <c r="B5926" s="27" t="s">
        <v>1010</v>
      </c>
      <c r="C5926" s="27" t="s">
        <v>1011</v>
      </c>
      <c r="D5926" s="27" t="s">
        <v>969</v>
      </c>
      <c r="E5926" s="21">
        <f>IF(D5926="?OLD","!!!","")</f>
        <v/>
      </c>
      <c r="F5926" s="22" t="str">
        <f>IF(OR(E5926="",E5926="!!!"),"",IF(NOT(ISNA(VLOOKUP(E5926,E$1:E5925,1,FALSE()))),"OLD",IF(AND(E5926&lt;&gt;"",E5926&lt;&gt;"!!!"),"NEW","")))</f>
        <v> </v>
      </c>
      <c r="G5926" s="23" t="str">
        <f>IF(OR(E5926="",E5926="!!!"),"",IF(OR(J5926=0,AND(J5926=1,K5926=1),AND(J5926=1,I5926="SBJ"),AND(J5926=1,I5926=0)),"?IN_FOCUS",IF(J5926&lt;=2,"?ACTIVATED",IF(J5926&lt;&gt;"","?FAMILIAR",IF(F5926="NEW",IF(ISNA(VLOOKUP(E5926,#REF!,1,FALSE())),"?TYPE_IDENTIFIABLE","?REFERENTIAL"),"_")))))</f>
        <v> </v>
      </c>
      <c r="H5926" s="24" t="str">
        <f>IF(J5926&lt;&gt;1,"",IF(I5926="SBJ","CB","?"))</f>
        <v> </v>
      </c>
      <c r="I5926" s="25" t="str">
        <f>IF(OR(E5926="",E5926="!!!",F5926="NEW"),"",INDEX(B5925:B$2,-1+SUMPRODUCT(MAX(ROW(E5925:E$2)*(E5926=E5925:E$2)))))</f>
        <v> </v>
      </c>
      <c r="J5926" s="25" t="str">
        <f>IF(OR(E5926="",E5926="!!!",F5926="NEW"),"",COUNTBLANK(OFFSET(A$1,,,SUMPRODUCT(MAX(ROW(E$2:E5926)*(E5926=E$2:E5926)))))-COUNTBLANK(OFFSET(A$1,,,SUMPRODUCT(MAX(ROW(E$1:E5925)*(E2=E$1:E5925))))))</f>
        <v> </v>
      </c>
      <c r="K5926" s="25" t="str">
        <f>IF(OR(E5926="",E5926="!!!",F5926="NEW"),"",INDEX(J$1:J5925,SUMPRODUCT(MAX(ROW(E$1:E5925)*(E5926=E$1:E5925)))))</f>
        <v> </v>
      </c>
      <c r="L5926" s="26"/>
    </row>
    <row r="5927" spans="1:12">
      <c r="A5927" s="20" t="s">
        <v>2542</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1016</v>
      </c>
      <c r="E5928" s="21">
        <f>IF(D5928="?OLD","!!!","")</f>
        <v/>
      </c>
      <c r="F5928" s="22" t="str">
        <f>IF(OR(E5928="",E5928="!!!"),"",IF(NOT(ISNA(VLOOKUP(E5928,E$1:E5927,1,FALSE()))),"OLD",IF(AND(E5928&lt;&gt;"",E5928&lt;&gt;"!!!"),"NEW","")))</f>
        <v> </v>
      </c>
      <c r="G5928" s="23" t="str">
        <f>IF(OR(E5928="",E5928="!!!"),"",IF(OR(J5928=0,AND(J5928=1,K5928=1),AND(J5928=1,I5928="SBJ"),AND(J5928=1,I5928=0)),"?IN_FOCUS",IF(J5928&lt;=2,"?ACTIVATED",IF(J5928&lt;&gt;"","?FAMILIAR",IF(F5928="NEW",IF(ISNA(VLOOKUP(E5928,#REF!,1,FALSE())),"?TYPE_IDENTIFIABLE","?REFERENTIAL"),"_")))))</f>
        <v> </v>
      </c>
      <c r="H5928" s="24" t="str">
        <f>IF(J5928&lt;&gt;1,"",IF(I5928="SBJ","CB","?"))</f>
        <v> </v>
      </c>
      <c r="I5928" s="25" t="str">
        <f>IF(OR(E5928="",E5928="!!!",F5928="NEW"),"",INDEX(B5927:B$2,-1+SUMPRODUCT(MAX(ROW(E5927:E$2)*(E5928=E5927:E$2)))))</f>
        <v> </v>
      </c>
      <c r="J5928" s="25" t="str">
        <f>IF(OR(E5928="",E5928="!!!",F5928="NEW"),"",COUNTBLANK(OFFSET(A$1,,,SUMPRODUCT(MAX(ROW(E$2:E5928)*(E5928=E$2:E5928)))))-COUNTBLANK(OFFSET(A$1,,,SUMPRODUCT(MAX(ROW(E$1:E5927)*(E2=E$1:E5927))))))</f>
        <v> </v>
      </c>
      <c r="K5928" s="25" t="str">
        <f>IF(OR(E5928="",E5928="!!!",F5928="NEW"),"",INDEX(J$1:J5927,SUMPRODUCT(MAX(ROW(E$1:E5927)*(E5928=E$1:E5927)))))</f>
        <v> </v>
      </c>
      <c r="L5928" s="26"/>
    </row>
    <row r="5929" spans="1:12">
      <c r="A5929" s="20" t="s">
        <v>2543</v>
      </c>
      <c r="B5929" s="27" t="s">
        <v>1013</v>
      </c>
      <c r="C5929" s="27" t="s">
        <v>1018</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37</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1454</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t="s">
        <v>991</v>
      </c>
      <c r="E5932" s="21">
        <f>IF(D5932="?OLD","!!!","")</f>
        <v/>
      </c>
      <c r="F5932" s="22" t="str">
        <f>IF(OR(E5932="",E5932="!!!"),"",IF(NOT(ISNA(VLOOKUP(E5932,E$1:E5931,1,FALSE()))),"OLD",IF(AND(E5932&lt;&gt;"",E5932&lt;&gt;"!!!"),"NEW","")))</f>
        <v> </v>
      </c>
      <c r="G5932" s="23" t="str">
        <f>IF(OR(E5932="",E5932="!!!"),"",IF(OR(J5932=0,AND(J5932=1,K5932=1),AND(J5932=1,I5932="SBJ"),AND(J5932=1,I5932=0)),"?IN_FOCUS",IF(J5932&lt;=2,"?ACTIVATED",IF(J5932&lt;&gt;"","?FAMILIAR",IF(F5932="NEW",IF(ISNA(VLOOKUP(E5932,#REF!,1,FALSE())),"?TYPE_IDENTIFIABLE","?REFERENTIAL"),"_")))))</f>
        <v> </v>
      </c>
      <c r="H5932" s="24" t="str">
        <f>IF(J5932&lt;&gt;1,"",IF(I5932="SBJ","CB","?"))</f>
        <v> </v>
      </c>
      <c r="I5932" s="25" t="str">
        <f>IF(OR(E5932="",E5932="!!!",F5932="NEW"),"",INDEX(B5931:B$2,-1+SUMPRODUCT(MAX(ROW(E5931:E$2)*(E5932=E5931:E$2)))))</f>
        <v> </v>
      </c>
      <c r="J5932" s="25" t="str">
        <f>IF(OR(E5932="",E5932="!!!",F5932="NEW"),"",COUNTBLANK(OFFSET(A$1,,,SUMPRODUCT(MAX(ROW(E$2:E5932)*(E5932=E$2:E5932)))))-COUNTBLANK(OFFSET(A$1,,,SUMPRODUCT(MAX(ROW(E$1:E5931)*(E2=E$1:E5931))))))</f>
        <v> </v>
      </c>
      <c r="K5932" s="25" t="str">
        <f>IF(OR(E5932="",E5932="!!!",F5932="NEW"),"",INDEX(J$1:J5931,SUMPRODUCT(MAX(ROW(E$1:E5931)*(E5932=E$1:E5931)))))</f>
        <v> </v>
      </c>
      <c r="L5932" s="26"/>
    </row>
    <row r="5933" spans="1:12">
      <c r="A5933" s="20" t="s">
        <v>1214</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1009</v>
      </c>
      <c r="B5934" s="27" t="s">
        <v>994</v>
      </c>
      <c r="C5934" s="27" t="s">
        <v>1011</v>
      </c>
      <c r="D5934" s="27" t="s">
        <v>969</v>
      </c>
      <c r="E5934" s="21">
        <f>IF(D5934="?OLD","!!!","")</f>
        <v/>
      </c>
      <c r="F5934" s="22" t="str">
        <f>IF(OR(E5934="",E5934="!!!"),"",IF(NOT(ISNA(VLOOKUP(E5934,E$1:E5933,1,FALSE()))),"OLD",IF(AND(E5934&lt;&gt;"",E5934&lt;&gt;"!!!"),"NEW","")))</f>
        <v> </v>
      </c>
      <c r="G5934" s="23" t="str">
        <f>IF(OR(E5934="",E5934="!!!"),"",IF(OR(J5934=0,AND(J5934=1,K5934=1),AND(J5934=1,I5934="SBJ"),AND(J5934=1,I5934=0)),"?IN_FOCUS",IF(J5934&lt;=2,"?ACTIVATED",IF(J5934&lt;&gt;"","?FAMILIAR",IF(F5934="NEW",IF(ISNA(VLOOKUP(E5934,#REF!,1,FALSE())),"?TYPE_IDENTIFIABLE","?REFERENTIAL"),"_")))))</f>
        <v> </v>
      </c>
      <c r="H5934" s="24" t="str">
        <f>IF(J5934&lt;&gt;1,"",IF(I5934="SBJ","CB","?"))</f>
        <v> </v>
      </c>
      <c r="I5934" s="25" t="str">
        <f>IF(OR(E5934="",E5934="!!!",F5934="NEW"),"",INDEX(B5933:B$2,-1+SUMPRODUCT(MAX(ROW(E5933:E$2)*(E5934=E5933:E$2)))))</f>
        <v> </v>
      </c>
      <c r="J5934" s="25" t="str">
        <f>IF(OR(E5934="",E5934="!!!",F5934="NEW"),"",COUNTBLANK(OFFSET(A$1,,,SUMPRODUCT(MAX(ROW(E$2:E5934)*(E5934=E$2:E5934)))))-COUNTBLANK(OFFSET(A$1,,,SUMPRODUCT(MAX(ROW(E$1:E5933)*(E2=E$1:E5933))))))</f>
        <v> </v>
      </c>
      <c r="K5934" s="25" t="str">
        <f>IF(OR(E5934="",E5934="!!!",F5934="NEW"),"",INDEX(J$1:J5933,SUMPRODUCT(MAX(ROW(E$1:E5933)*(E5934=E$1:E5933)))))</f>
        <v> </v>
      </c>
      <c r="L5934" s="26"/>
    </row>
    <row r="5935" spans="1:12">
      <c r="A5935" s="20" t="s">
        <v>2544</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37</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1454</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1046</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2545</v>
      </c>
      <c r="B5939" s="27" t="s">
        <v>978</v>
      </c>
      <c r="C5939" s="27" t="s">
        <v>974</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991</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t="s">
        <v>980</v>
      </c>
      <c r="E5941" s="21">
        <f>IF(D5941="?OLD","!!!","")</f>
        <v/>
      </c>
      <c r="F5941" s="22" t="str">
        <f>IF(OR(E5941="",E5941="!!!"),"",IF(NOT(ISNA(VLOOKUP(E5941,E$1:E5940,1,FALSE()))),"OLD",IF(AND(E5941&lt;&gt;"",E5941&lt;&gt;"!!!"),"NEW","")))</f>
        <v> </v>
      </c>
      <c r="G5941" s="23" t="str">
        <f>IF(OR(E5941="",E5941="!!!"),"",IF(OR(J5941=0,AND(J5941=1,K5941=1),AND(J5941=1,I5941="SBJ"),AND(J5941=1,I5941=0)),"?IN_FOCUS",IF(J5941&lt;=2,"?ACTIVATED",IF(J5941&lt;&gt;"","?FAMILIAR",IF(F5941="NEW",IF(ISNA(VLOOKUP(E5941,#REF!,1,FALSE())),"?TYPE_IDENTIFIABLE","?REFERENTIAL"),"_")))))</f>
        <v> </v>
      </c>
      <c r="H5941" s="24" t="str">
        <f>IF(J5941&lt;&gt;1,"",IF(I5941="SBJ","CB","?"))</f>
        <v> </v>
      </c>
      <c r="I5941" s="25" t="str">
        <f>IF(OR(E5941="",E5941="!!!",F5941="NEW"),"",INDEX(B5940:B$2,-1+SUMPRODUCT(MAX(ROW(E5940:E$2)*(E5941=E5940:E$2)))))</f>
        <v> </v>
      </c>
      <c r="J5941" s="25" t="str">
        <f>IF(OR(E5941="",E5941="!!!",F5941="NEW"),"",COUNTBLANK(OFFSET(A$1,,,SUMPRODUCT(MAX(ROW(E$2:E5941)*(E5941=E$2:E5941)))))-COUNTBLANK(OFFSET(A$1,,,SUMPRODUCT(MAX(ROW(E$1:E5940)*(E2=E$1:E5940))))))</f>
        <v> </v>
      </c>
      <c r="K5941" s="25" t="str">
        <f>IF(OR(E5941="",E5941="!!!",F5941="NEW"),"",INDEX(J$1:J5940,SUMPRODUCT(MAX(ROW(E$1:E5940)*(E5941=E$1:E5940)))))</f>
        <v> </v>
      </c>
      <c r="L5941" s="26"/>
    </row>
    <row r="5942" spans="1:12">
      <c r="A5942" s="20" t="s">
        <v>993</v>
      </c>
      <c r="B5942" s="27" t="s">
        <v>994</v>
      </c>
      <c r="C5942" s="27" t="s">
        <v>968</v>
      </c>
      <c r="D5942" s="27" t="s">
        <v>969</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2546</v>
      </c>
      <c r="E5943" s="21">
        <f>IF(D5943="?OLD","!!!","")</f>
        <v/>
      </c>
      <c r="F5943" s="22" t="str">
        <f>IF(OR(E5943="",E5943="!!!"),"",IF(NOT(ISNA(VLOOKUP(E5943,E$1:E5942,1,FALSE()))),"OLD",IF(AND(E5943&lt;&gt;"",E5943&lt;&gt;"!!!"),"NEW","")))</f>
        <v> </v>
      </c>
      <c r="G5943" s="23" t="str">
        <f>IF(OR(E5943="",E5943="!!!"),"",IF(OR(J5943=0,AND(J5943=1,K5943=1),AND(J5943=1,I5943="SBJ"),AND(J5943=1,I5943=0)),"?IN_FOCUS",IF(J5943&lt;=2,"?ACTIVATED",IF(J5943&lt;&gt;"","?FAMILIAR",IF(F5943="NEW",IF(ISNA(VLOOKUP(E5943,#REF!,1,FALSE())),"?TYPE_IDENTIFIABLE","?REFERENTIAL"),"_")))))</f>
        <v> </v>
      </c>
      <c r="H5943" s="24" t="str">
        <f>IF(J5943&lt;&gt;1,"",IF(I5943="SBJ","CB","?"))</f>
        <v> </v>
      </c>
      <c r="I5943" s="25" t="str">
        <f>IF(OR(E5943="",E5943="!!!",F5943="NEW"),"",INDEX(B5942:B$2,-1+SUMPRODUCT(MAX(ROW(E5942:E$2)*(E5943=E5942:E$2)))))</f>
        <v> </v>
      </c>
      <c r="J5943" s="25" t="str">
        <f>IF(OR(E5943="",E5943="!!!",F5943="NEW"),"",COUNTBLANK(OFFSET(A$1,,,SUMPRODUCT(MAX(ROW(E$2:E5943)*(E5943=E$2:E5943)))))-COUNTBLANK(OFFSET(A$1,,,SUMPRODUCT(MAX(ROW(E$1:E5942)*(E2=E$1:E5942))))))</f>
        <v> </v>
      </c>
      <c r="K5943" s="25" t="str">
        <f>IF(OR(E5943="",E5943="!!!",F5943="NEW"),"",INDEX(J$1:J5942,SUMPRODUCT(MAX(ROW(E$1:E5942)*(E5943=E$1:E5942)))))</f>
        <v> </v>
      </c>
      <c r="L5943" s="26"/>
    </row>
    <row r="5944" spans="1:12">
      <c r="A5944" s="20" t="s">
        <v>991</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996</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t="s">
        <v>1139</v>
      </c>
      <c r="B5946" s="27" t="s">
        <v>1003</v>
      </c>
      <c r="C5946" s="27" t="s">
        <v>1102</v>
      </c>
      <c r="D5946" s="27" t="s">
        <v>969</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1645</v>
      </c>
      <c r="B5947" s="27" t="s">
        <v>994</v>
      </c>
      <c r="C5947" s="27" t="s">
        <v>1141</v>
      </c>
      <c r="D5947" s="27" t="s">
        <v>969</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1026</v>
      </c>
      <c r="B5948" s="27" t="s">
        <v>1031</v>
      </c>
      <c r="C5948" s="27" t="s">
        <v>968</v>
      </c>
      <c r="D5948" s="27" t="s">
        <v>969</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2547</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991</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2548</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2549</v>
      </c>
      <c r="B5952" s="27" t="s">
        <v>1198</v>
      </c>
      <c r="C5952" s="27" t="s">
        <v>974</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2550</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999</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2372</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1005</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row>
    <row r="5958" spans="1:12">
      <c r="A5958" s="20" t="s">
        <v>2551</v>
      </c>
    </row>
    <row r="5959" spans="1:12">
      <c r="A5959" s="20" t="s">
        <v>1163</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1164</v>
      </c>
      <c r="B5960" s="27" t="s">
        <v>967</v>
      </c>
      <c r="C5960" s="27" t="s">
        <v>979</v>
      </c>
      <c r="D5960" s="27" t="s">
        <v>969</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1095</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1078</v>
      </c>
      <c r="B5962" s="27" t="s">
        <v>978</v>
      </c>
      <c r="C5962" s="27" t="s">
        <v>974</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1097</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1021</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1165</v>
      </c>
      <c r="B5965" s="27" t="s">
        <v>1053</v>
      </c>
      <c r="C5965" s="27" t="s">
        <v>974</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991</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1166</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1167</v>
      </c>
      <c r="B5968" s="27" t="s">
        <v>1053</v>
      </c>
      <c r="C5968" s="27" t="s">
        <v>974</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991</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980</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t="s">
        <v>1924</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1097</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1273</v>
      </c>
      <c r="B5973" s="27" t="s">
        <v>982</v>
      </c>
      <c r="C5973" s="27" t="s">
        <v>988</v>
      </c>
      <c r="D5973" s="27" t="s">
        <v>969</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1307</v>
      </c>
      <c r="B5974" s="27" t="s">
        <v>1010</v>
      </c>
      <c r="C5974" s="27" t="s">
        <v>974</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2552</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t="s">
        <v>991</v>
      </c>
      <c r="E5976" s="21">
        <f>IF(D5976="?OLD","!!!","")</f>
        <v/>
      </c>
      <c r="F5976" s="22" t="str">
        <f>IF(OR(E5976="",E5976="!!!"),"",IF(NOT(ISNA(VLOOKUP(E5976,E$1:E5975,1,FALSE()))),"OLD",IF(AND(E5976&lt;&gt;"",E5976&lt;&gt;"!!!"),"NEW","")))</f>
        <v> </v>
      </c>
      <c r="G5976" s="23" t="str">
        <f>IF(OR(E5976="",E5976="!!!"),"",IF(OR(J5976=0,AND(J5976=1,K5976=1),AND(J5976=1,I5976="SBJ"),AND(J5976=1,I5976=0)),"?IN_FOCUS",IF(J5976&lt;=2,"?ACTIVATED",IF(J5976&lt;&gt;"","?FAMILIAR",IF(F5976="NEW",IF(ISNA(VLOOKUP(E5976,#REF!,1,FALSE())),"?TYPE_IDENTIFIABLE","?REFERENTIAL"),"_")))))</f>
        <v> </v>
      </c>
      <c r="H5976" s="24" t="str">
        <f>IF(J5976&lt;&gt;1,"",IF(I5976="SBJ","CB","?"))</f>
        <v> </v>
      </c>
      <c r="I5976" s="25" t="str">
        <f>IF(OR(E5976="",E5976="!!!",F5976="NEW"),"",INDEX(B5975:B$2,-1+SUMPRODUCT(MAX(ROW(E5975:E$2)*(E5976=E5975:E$2)))))</f>
        <v> </v>
      </c>
      <c r="J5976" s="25" t="str">
        <f>IF(OR(E5976="",E5976="!!!",F5976="NEW"),"",COUNTBLANK(OFFSET(A$1,,,SUMPRODUCT(MAX(ROW(E$2:E5976)*(E5976=E$2:E5976)))))-COUNTBLANK(OFFSET(A$1,,,SUMPRODUCT(MAX(ROW(E$1:E5975)*(E2=E$1:E5975))))))</f>
        <v> </v>
      </c>
      <c r="K5976" s="25" t="str">
        <f>IF(OR(E5976="",E5976="!!!",F5976="NEW"),"",INDEX(J$1:J5975,SUMPRODUCT(MAX(ROW(E$1:E5975)*(E5976=E$1:E5975)))))</f>
        <v> </v>
      </c>
      <c r="L5976" s="26"/>
    </row>
    <row r="5977" spans="1:12">
      <c r="A5977" s="20" t="s">
        <v>2467</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1151</v>
      </c>
      <c r="E5978" s="21">
        <f>IF(D5978="?OLD","!!!","")</f>
        <v/>
      </c>
      <c r="F5978" s="22" t="str">
        <f>IF(OR(E5978="",E5978="!!!"),"",IF(NOT(ISNA(VLOOKUP(E5978,E$1:E5977,1,FALSE()))),"OLD",IF(AND(E5978&lt;&gt;"",E5978&lt;&gt;"!!!"),"NEW","")))</f>
        <v> </v>
      </c>
      <c r="G5978" s="23" t="str">
        <f>IF(OR(E5978="",E5978="!!!"),"",IF(OR(J5978=0,AND(J5978=1,K5978=1),AND(J5978=1,I5978="SBJ"),AND(J5978=1,I5978=0)),"?IN_FOCUS",IF(J5978&lt;=2,"?ACTIVATED",IF(J5978&lt;&gt;"","?FAMILIAR",IF(F5978="NEW",IF(ISNA(VLOOKUP(E5978,#REF!,1,FALSE())),"?TYPE_IDENTIFIABLE","?REFERENTIAL"),"_")))))</f>
        <v> </v>
      </c>
      <c r="H5978" s="24" t="str">
        <f>IF(J5978&lt;&gt;1,"",IF(I5978="SBJ","CB","?"))</f>
        <v> </v>
      </c>
      <c r="I5978" s="25" t="str">
        <f>IF(OR(E5978="",E5978="!!!",F5978="NEW"),"",INDEX(B5977:B$2,-1+SUMPRODUCT(MAX(ROW(E5977:E$2)*(E5978=E5977:E$2)))))</f>
        <v> </v>
      </c>
      <c r="J5978" s="25" t="str">
        <f>IF(OR(E5978="",E5978="!!!",F5978="NEW"),"",COUNTBLANK(OFFSET(A$1,,,SUMPRODUCT(MAX(ROW(E$2:E5978)*(E5978=E$2:E5978)))))-COUNTBLANK(OFFSET(A$1,,,SUMPRODUCT(MAX(ROW(E$1:E5977)*(E2=E$1:E5977))))))</f>
        <v> </v>
      </c>
      <c r="K5978" s="25" t="str">
        <f>IF(OR(E5978="",E5978="!!!",F5978="NEW"),"",INDEX(J$1:J5977,SUMPRODUCT(MAX(ROW(E$1:E5977)*(E5978=E$1:E5977)))))</f>
        <v> </v>
      </c>
      <c r="L5978" s="26"/>
    </row>
    <row r="5979" spans="1:12">
      <c r="A5979" s="20" t="s">
        <v>1038</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2553</v>
      </c>
      <c r="B5980" s="27" t="s">
        <v>978</v>
      </c>
      <c r="C5980" s="27" t="s">
        <v>979</v>
      </c>
      <c r="D5980" s="27" t="s">
        <v>969</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991</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1151</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2486</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993</v>
      </c>
      <c r="B5984" s="27" t="s">
        <v>1010</v>
      </c>
      <c r="C5984" s="27" t="s">
        <v>968</v>
      </c>
      <c r="D5984" s="27" t="s">
        <v>969</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1517</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t="s">
        <v>1369</v>
      </c>
      <c r="E5986" s="21">
        <f>IF(D5986="?OLD","!!!","")</f>
        <v/>
      </c>
      <c r="F5986" s="22" t="str">
        <f>IF(OR(E5986="",E5986="!!!"),"",IF(NOT(ISNA(VLOOKUP(E5986,E$1:E5985,1,FALSE()))),"OLD",IF(AND(E5986&lt;&gt;"",E5986&lt;&gt;"!!!"),"NEW","")))</f>
        <v> </v>
      </c>
      <c r="G5986" s="23" t="str">
        <f>IF(OR(E5986="",E5986="!!!"),"",IF(OR(J5986=0,AND(J5986=1,K5986=1),AND(J5986=1,I5986="SBJ"),AND(J5986=1,I5986=0)),"?IN_FOCUS",IF(J5986&lt;=2,"?ACTIVATED",IF(J5986&lt;&gt;"","?FAMILIAR",IF(F5986="NEW",IF(ISNA(VLOOKUP(E5986,#REF!,1,FALSE())),"?TYPE_IDENTIFIABLE","?REFERENTIAL"),"_")))))</f>
        <v> </v>
      </c>
      <c r="H5986" s="24" t="str">
        <f>IF(J5986&lt;&gt;1,"",IF(I5986="SBJ","CB","?"))</f>
        <v> </v>
      </c>
      <c r="I5986" s="25" t="str">
        <f>IF(OR(E5986="",E5986="!!!",F5986="NEW"),"",INDEX(B5985:B$2,-1+SUMPRODUCT(MAX(ROW(E5985:E$2)*(E5986=E5985:E$2)))))</f>
        <v> </v>
      </c>
      <c r="J5986" s="25" t="str">
        <f>IF(OR(E5986="",E5986="!!!",F5986="NEW"),"",COUNTBLANK(OFFSET(A$1,,,SUMPRODUCT(MAX(ROW(E$2:E5986)*(E5986=E$2:E5986)))))-COUNTBLANK(OFFSET(A$1,,,SUMPRODUCT(MAX(ROW(E$1:E5985)*(E2=E$1:E5985))))))</f>
        <v> </v>
      </c>
      <c r="K5986" s="25" t="str">
        <f>IF(OR(E5986="",E5986="!!!",F5986="NEW"),"",INDEX(J$1:J5985,SUMPRODUCT(MAX(ROW(E$1:E5985)*(E5986=E$1:E5985)))))</f>
        <v> </v>
      </c>
      <c r="L5986" s="26"/>
    </row>
    <row r="5987" spans="1:12">
      <c r="A5987" s="20" t="s">
        <v>1005</v>
      </c>
      <c r="E5987" s="21">
        <f>IF(D5987="?OLD","!!!","")</f>
        <v/>
      </c>
      <c r="F5987" s="22" t="str">
        <f>IF(OR(E5987="",E5987="!!!"),"",IF(NOT(ISNA(VLOOKUP(E5987,E$1:E5986,1,FALSE()))),"OLD",IF(AND(E5987&lt;&gt;"",E5987&lt;&gt;"!!!"),"NEW","")))</f>
        <v> </v>
      </c>
      <c r="G5987" s="23" t="str">
        <f>IF(OR(E5987="",E5987="!!!"),"",IF(OR(J5987=0,AND(J5987=1,K5987=1),AND(J5987=1,I5987="SBJ"),AND(J5987=1,I5987=0)),"?IN_FOCUS",IF(J5987&lt;=2,"?ACTIVATED",IF(J5987&lt;&gt;"","?FAMILIAR",IF(F5987="NEW",IF(ISNA(VLOOKUP(E5987,#REF!,1,FALSE())),"?TYPE_IDENTIFIABLE","?REFERENTIAL"),"_")))))</f>
        <v> </v>
      </c>
      <c r="H5987" s="24" t="str">
        <f>IF(J5987&lt;&gt;1,"",IF(I5987="SBJ","CB","?"))</f>
        <v> </v>
      </c>
      <c r="I5987" s="25" t="str">
        <f>IF(OR(E5987="",E5987="!!!",F5987="NEW"),"",INDEX(B5986:B$2,-1+SUMPRODUCT(MAX(ROW(E5986:E$2)*(E5987=E5986:E$2)))))</f>
        <v> </v>
      </c>
      <c r="J5987" s="25" t="str">
        <f>IF(OR(E5987="",E5987="!!!",F5987="NEW"),"",COUNTBLANK(OFFSET(A$1,,,SUMPRODUCT(MAX(ROW(E$2:E5987)*(E5987=E$2:E5987)))))-COUNTBLANK(OFFSET(A$1,,,SUMPRODUCT(MAX(ROW(E$1:E5986)*(E2=E$1:E5986))))))</f>
        <v> </v>
      </c>
      <c r="K5987" s="25" t="str">
        <f>IF(OR(E5987="",E5987="!!!",F5987="NEW"),"",INDEX(J$1:J5986,SUMPRODUCT(MAX(ROW(E$1:E5986)*(E5987=E$1:E5986)))))</f>
        <v> </v>
      </c>
      <c r="L5987" s="26"/>
    </row>
    <row r="5988" spans="1:12">
      <c r="A5988" s="20"/>
    </row>
    <row r="5989" spans="1:12">
      <c r="A5989" s="20" t="s">
        <v>2554</v>
      </c>
    </row>
    <row r="5990" spans="1:12">
      <c r="A5990" s="20" t="s">
        <v>966</v>
      </c>
      <c r="B5990" s="27" t="s">
        <v>967</v>
      </c>
      <c r="C5990" s="27" t="s">
        <v>968</v>
      </c>
      <c r="D5990" s="27" t="s">
        <v>969</v>
      </c>
      <c r="E5990" s="21">
        <f>IF(D5990="?OLD","!!!","")</f>
        <v/>
      </c>
      <c r="F5990" s="22" t="str">
        <f>IF(OR(E5990="",E5990="!!!"),"",IF(NOT(ISNA(VLOOKUP(E5990,E$1:E5989,1,FALSE()))),"OLD",IF(AND(E5990&lt;&gt;"",E5990&lt;&gt;"!!!"),"NEW","")))</f>
        <v> </v>
      </c>
      <c r="G5990" s="23" t="str">
        <f>IF(OR(E5990="",E5990="!!!"),"",IF(OR(J5990=0,AND(J5990=1,K5990=1),AND(J5990=1,I5990="SBJ"),AND(J5990=1,I5990=0)),"?IN_FOCUS",IF(J5990&lt;=2,"?ACTIVATED",IF(J5990&lt;&gt;"","?FAMILIAR",IF(F5990="NEW",IF(ISNA(VLOOKUP(E5990,#REF!,1,FALSE())),"?TYPE_IDENTIFIABLE","?REFERENTIAL"),"_")))))</f>
        <v> </v>
      </c>
      <c r="H5990" s="24" t="str">
        <f>IF(J5990&lt;&gt;1,"",IF(I5990="SBJ","CB","?"))</f>
        <v> </v>
      </c>
      <c r="I5990" s="25" t="str">
        <f>IF(OR(E5990="",E5990="!!!",F5990="NEW"),"",INDEX(B5989:B$2,-1+SUMPRODUCT(MAX(ROW(E5989:E$2)*(E5990=E5989:E$2)))))</f>
        <v> </v>
      </c>
      <c r="J5990" s="25" t="str">
        <f>IF(OR(E5990="",E5990="!!!",F5990="NEW"),"",COUNTBLANK(OFFSET(A$1,,,SUMPRODUCT(MAX(ROW(E$2:E5990)*(E5990=E$2:E5990)))))-COUNTBLANK(OFFSET(A$1,,,SUMPRODUCT(MAX(ROW(E$1:E5989)*(E2=E$1:E5989))))))</f>
        <v> </v>
      </c>
      <c r="K5990" s="25" t="str">
        <f>IF(OR(E5990="",E5990="!!!",F5990="NEW"),"",INDEX(J$1:J5989,SUMPRODUCT(MAX(ROW(E$1:E5989)*(E5990=E$1:E5989)))))</f>
        <v> </v>
      </c>
      <c r="L5990" s="26"/>
    </row>
    <row r="5991" spans="1:12">
      <c r="A5991" s="20" t="s">
        <v>995</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1280</v>
      </c>
      <c r="B5992" s="27" t="s">
        <v>978</v>
      </c>
      <c r="C5992" s="27" t="s">
        <v>1102</v>
      </c>
      <c r="D5992" s="27" t="s">
        <v>969</v>
      </c>
      <c r="E5992" s="21">
        <f>IF(D5992="?OLD","!!!","")</f>
        <v/>
      </c>
      <c r="F5992" s="22" t="str">
        <f>IF(OR(E5992="",E5992="!!!"),"",IF(NOT(ISNA(VLOOKUP(E5992,E$1:E5991,1,FALSE()))),"OLD",IF(AND(E5992&lt;&gt;"",E5992&lt;&gt;"!!!"),"NEW","")))</f>
        <v> </v>
      </c>
      <c r="G5992" s="23" t="str">
        <f>IF(OR(E5992="",E5992="!!!"),"",IF(OR(J5992=0,AND(J5992=1,K5992=1),AND(J5992=1,I5992="SBJ"),AND(J5992=1,I5992=0)),"?IN_FOCUS",IF(J5992&lt;=2,"?ACTIVATED",IF(J5992&lt;&gt;"","?FAMILIAR",IF(F5992="NEW",IF(ISNA(VLOOKUP(E5992,#REF!,1,FALSE())),"?TYPE_IDENTIFIABLE","?REFERENTIAL"),"_")))))</f>
        <v> </v>
      </c>
      <c r="H5992" s="24" t="str">
        <f>IF(J5992&lt;&gt;1,"",IF(I5992="SBJ","CB","?"))</f>
        <v> </v>
      </c>
      <c r="I5992" s="25" t="str">
        <f>IF(OR(E5992="",E5992="!!!",F5992="NEW"),"",INDEX(B5991:B$2,-1+SUMPRODUCT(MAX(ROW(E5991:E$2)*(E5992=E5991:E$2)))))</f>
        <v> </v>
      </c>
      <c r="J5992" s="25" t="str">
        <f>IF(OR(E5992="",E5992="!!!",F5992="NEW"),"",COUNTBLANK(OFFSET(A$1,,,SUMPRODUCT(MAX(ROW(E$2:E5992)*(E5992=E$2:E5992)))))-COUNTBLANK(OFFSET(A$1,,,SUMPRODUCT(MAX(ROW(E$1:E5991)*(E2=E$1:E5991))))))</f>
        <v> </v>
      </c>
      <c r="K5992" s="25" t="str">
        <f>IF(OR(E5992="",E5992="!!!",F5992="NEW"),"",INDEX(J$1:J5991,SUMPRODUCT(MAX(ROW(E$1:E5991)*(E5992=E$1:E5991)))))</f>
        <v> </v>
      </c>
      <c r="L5992" s="26"/>
    </row>
    <row r="5993" spans="1:12">
      <c r="A5993" s="20" t="s">
        <v>972</v>
      </c>
      <c r="B5993" s="27" t="s">
        <v>973</v>
      </c>
      <c r="C5993" s="27" t="s">
        <v>1141</v>
      </c>
      <c r="D5993" s="27" t="s">
        <v>969</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975</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987</v>
      </c>
      <c r="B5995" s="27" t="s">
        <v>978</v>
      </c>
      <c r="C5995" s="27" t="s">
        <v>988</v>
      </c>
      <c r="D5995" s="27" t="s">
        <v>969</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977</v>
      </c>
      <c r="B5996" s="27" t="s">
        <v>1053</v>
      </c>
      <c r="C5996" s="27" t="s">
        <v>974</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980</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1636</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2555</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t="s">
        <v>976</v>
      </c>
      <c r="E6000" s="21">
        <f>IF(D6000="?OLD","!!!","")</f>
        <v/>
      </c>
      <c r="F6000" s="22" t="str">
        <f>IF(OR(E6000="",E6000="!!!"),"",IF(NOT(ISNA(VLOOKUP(E6000,E$1:E5999,1,FALSE()))),"OLD",IF(AND(E6000&lt;&gt;"",E6000&lt;&gt;"!!!"),"NEW","")))</f>
        <v> </v>
      </c>
      <c r="G6000" s="23" t="str">
        <f>IF(OR(E6000="",E6000="!!!"),"",IF(OR(J6000=0,AND(J6000=1,K6000=1),AND(J6000=1,I6000="SBJ"),AND(J6000=1,I6000=0)),"?IN_FOCUS",IF(J6000&lt;=2,"?ACTIVATED",IF(J6000&lt;&gt;"","?FAMILIAR",IF(F6000="NEW",IF(ISNA(VLOOKUP(E6000,#REF!,1,FALSE())),"?TYPE_IDENTIFIABLE","?REFERENTIAL"),"_")))))</f>
        <v> </v>
      </c>
      <c r="H6000" s="24" t="str">
        <f>IF(J6000&lt;&gt;1,"",IF(I6000="SBJ","CB","?"))</f>
        <v> </v>
      </c>
      <c r="I6000" s="25" t="str">
        <f>IF(OR(E6000="",E6000="!!!",F6000="NEW"),"",INDEX(B5999:B$2,-1+SUMPRODUCT(MAX(ROW(E5999:E$2)*(E6000=E5999:E$2)))))</f>
        <v> </v>
      </c>
      <c r="J6000" s="25" t="str">
        <f>IF(OR(E6000="",E6000="!!!",F6000="NEW"),"",COUNTBLANK(OFFSET(A$1,,,SUMPRODUCT(MAX(ROW(E$2:E6000)*(E6000=E$2:E6000)))))-COUNTBLANK(OFFSET(A$1,,,SUMPRODUCT(MAX(ROW(E$1:E5999)*(E2=E$1:E5999))))))</f>
        <v> </v>
      </c>
      <c r="K6000" s="25" t="str">
        <f>IF(OR(E6000="",E6000="!!!",F6000="NEW"),"",INDEX(J$1:J5999,SUMPRODUCT(MAX(ROW(E$1:E5999)*(E6000=E$1:E5999)))))</f>
        <v> </v>
      </c>
      <c r="L6000" s="26"/>
    </row>
    <row r="6001" spans="1:12">
      <c r="A6001" s="20" t="s">
        <v>2556</v>
      </c>
      <c r="B6001" s="27" t="s">
        <v>978</v>
      </c>
      <c r="C6001" s="27" t="s">
        <v>979</v>
      </c>
      <c r="D6001" s="27" t="s">
        <v>969</v>
      </c>
      <c r="E6001" s="21">
        <f>IF(D6001="?OLD","!!!","")</f>
        <v/>
      </c>
      <c r="F6001" s="22" t="str">
        <f>IF(OR(E6001="",E6001="!!!"),"",IF(NOT(ISNA(VLOOKUP(E6001,E$1:E6000,1,FALSE()))),"OLD",IF(AND(E6001&lt;&gt;"",E6001&lt;&gt;"!!!"),"NEW","")))</f>
        <v> </v>
      </c>
      <c r="G6001" s="23" t="str">
        <f>IF(OR(E6001="",E6001="!!!"),"",IF(OR(J6001=0,AND(J6001=1,K6001=1),AND(J6001=1,I6001="SBJ"),AND(J6001=1,I6001=0)),"?IN_FOCUS",IF(J6001&lt;=2,"?ACTIVATED",IF(J6001&lt;&gt;"","?FAMILIAR",IF(F6001="NEW",IF(ISNA(VLOOKUP(E6001,#REF!,1,FALSE())),"?TYPE_IDENTIFIABLE","?REFERENTIAL"),"_")))))</f>
        <v> </v>
      </c>
      <c r="H6001" s="24" t="str">
        <f>IF(J6001&lt;&gt;1,"",IF(I6001="SBJ","CB","?"))</f>
        <v> </v>
      </c>
      <c r="I6001" s="25" t="str">
        <f>IF(OR(E6001="",E6001="!!!",F6001="NEW"),"",INDEX(B6000:B$2,-1+SUMPRODUCT(MAX(ROW(E6000:E$2)*(E6001=E6000:E$2)))))</f>
        <v> </v>
      </c>
      <c r="J6001" s="25" t="str">
        <f>IF(OR(E6001="",E6001="!!!",F6001="NEW"),"",COUNTBLANK(OFFSET(A$1,,,SUMPRODUCT(MAX(ROW(E$2:E6001)*(E6001=E$2:E6001)))))-COUNTBLANK(OFFSET(A$1,,,SUMPRODUCT(MAX(ROW(E$1:E6000)*(E2=E$1:E6000))))))</f>
        <v> </v>
      </c>
      <c r="K6001" s="25" t="str">
        <f>IF(OR(E6001="",E6001="!!!",F6001="NEW"),"",INDEX(J$1:J6000,SUMPRODUCT(MAX(ROW(E$1:E6000)*(E6001=E$1:E6000)))))</f>
        <v> </v>
      </c>
      <c r="L6001" s="26"/>
    </row>
    <row r="6002" spans="1:12">
      <c r="A6002" s="20" t="s">
        <v>1151</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t="s">
        <v>976</v>
      </c>
      <c r="E6003" s="21">
        <f>IF(D6003="?OLD","!!!","")</f>
        <v/>
      </c>
      <c r="F6003" s="22" t="str">
        <f>IF(OR(E6003="",E6003="!!!"),"",IF(NOT(ISNA(VLOOKUP(E6003,E$1:E6002,1,FALSE()))),"OLD",IF(AND(E6003&lt;&gt;"",E6003&lt;&gt;"!!!"),"NEW","")))</f>
        <v> </v>
      </c>
      <c r="G6003" s="23" t="str">
        <f>IF(OR(E6003="",E6003="!!!"),"",IF(OR(J6003=0,AND(J6003=1,K6003=1),AND(J6003=1,I6003="SBJ"),AND(J6003=1,I6003=0)),"?IN_FOCUS",IF(J6003&lt;=2,"?ACTIVATED",IF(J6003&lt;&gt;"","?FAMILIAR",IF(F6003="NEW",IF(ISNA(VLOOKUP(E6003,#REF!,1,FALSE())),"?TYPE_IDENTIFIABLE","?REFERENTIAL"),"_")))))</f>
        <v> </v>
      </c>
      <c r="H6003" s="24" t="str">
        <f>IF(J6003&lt;&gt;1,"",IF(I6003="SBJ","CB","?"))</f>
        <v> </v>
      </c>
      <c r="I6003" s="25" t="str">
        <f>IF(OR(E6003="",E6003="!!!",F6003="NEW"),"",INDEX(B6002:B$2,-1+SUMPRODUCT(MAX(ROW(E6002:E$2)*(E6003=E6002:E$2)))))</f>
        <v> </v>
      </c>
      <c r="J6003" s="25" t="str">
        <f>IF(OR(E6003="",E6003="!!!",F6003="NEW"),"",COUNTBLANK(OFFSET(A$1,,,SUMPRODUCT(MAX(ROW(E$2:E6003)*(E6003=E$2:E6003)))))-COUNTBLANK(OFFSET(A$1,,,SUMPRODUCT(MAX(ROW(E$1:E6002)*(E2=E$1:E6002))))))</f>
        <v> </v>
      </c>
      <c r="K6003" s="25" t="str">
        <f>IF(OR(E6003="",E6003="!!!",F6003="NEW"),"",INDEX(J$1:J6002,SUMPRODUCT(MAX(ROW(E$1:E6002)*(E6003=E$1:E6002)))))</f>
        <v> </v>
      </c>
      <c r="L6003" s="26"/>
    </row>
    <row r="6004" spans="1:12">
      <c r="A6004" s="20" t="s">
        <v>2557</v>
      </c>
      <c r="B6004" s="27" t="s">
        <v>978</v>
      </c>
      <c r="C6004" s="27" t="s">
        <v>979</v>
      </c>
      <c r="D6004" s="27" t="s">
        <v>969</v>
      </c>
      <c r="E6004" s="21">
        <f>IF(D6004="?OLD","!!!","")</f>
        <v/>
      </c>
      <c r="F6004" s="22" t="str">
        <f>IF(OR(E6004="",E6004="!!!"),"",IF(NOT(ISNA(VLOOKUP(E6004,E$1:E6003,1,FALSE()))),"OLD",IF(AND(E6004&lt;&gt;"",E6004&lt;&gt;"!!!"),"NEW","")))</f>
        <v> </v>
      </c>
      <c r="G6004" s="23" t="str">
        <f>IF(OR(E6004="",E6004="!!!"),"",IF(OR(J6004=0,AND(J6004=1,K6004=1),AND(J6004=1,I6004="SBJ"),AND(J6004=1,I6004=0)),"?IN_FOCUS",IF(J6004&lt;=2,"?ACTIVATED",IF(J6004&lt;&gt;"","?FAMILIAR",IF(F6004="NEW",IF(ISNA(VLOOKUP(E6004,#REF!,1,FALSE())),"?TYPE_IDENTIFIABLE","?REFERENTIAL"),"_")))))</f>
        <v> </v>
      </c>
      <c r="H6004" s="24" t="str">
        <f>IF(J6004&lt;&gt;1,"",IF(I6004="SBJ","CB","?"))</f>
        <v> </v>
      </c>
      <c r="I6004" s="25" t="str">
        <f>IF(OR(E6004="",E6004="!!!",F6004="NEW"),"",INDEX(B6003:B$2,-1+SUMPRODUCT(MAX(ROW(E6003:E$2)*(E6004=E6003:E$2)))))</f>
        <v> </v>
      </c>
      <c r="J6004" s="25" t="str">
        <f>IF(OR(E6004="",E6004="!!!",F6004="NEW"),"",COUNTBLANK(OFFSET(A$1,,,SUMPRODUCT(MAX(ROW(E$2:E6004)*(E6004=E$2:E6004)))))-COUNTBLANK(OFFSET(A$1,,,SUMPRODUCT(MAX(ROW(E$1:E6003)*(E2=E$1:E6003))))))</f>
        <v> </v>
      </c>
      <c r="K6004" s="25" t="str">
        <f>IF(OR(E6004="",E6004="!!!",F6004="NEW"),"",INDEX(J$1:J6003,SUMPRODUCT(MAX(ROW(E$1:E6003)*(E6004=E$1:E6003)))))</f>
        <v> </v>
      </c>
      <c r="L6004" s="26"/>
    </row>
    <row r="6005" spans="1:12">
      <c r="A6005" s="20" t="s">
        <v>1043</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t="s">
        <v>1074</v>
      </c>
      <c r="B6006" s="27" t="s">
        <v>982</v>
      </c>
      <c r="C6006" s="27" t="s">
        <v>979</v>
      </c>
      <c r="D6006" s="27" t="s">
        <v>969</v>
      </c>
      <c r="E6006" s="21">
        <f>IF(D6006="?OLD","!!!","")</f>
        <v/>
      </c>
      <c r="F6006" s="22" t="str">
        <f>IF(OR(E6006="",E6006="!!!"),"",IF(NOT(ISNA(VLOOKUP(E6006,E$1:E6005,1,FALSE()))),"OLD",IF(AND(E6006&lt;&gt;"",E6006&lt;&gt;"!!!"),"NEW","")))</f>
        <v> </v>
      </c>
      <c r="G6006" s="23" t="str">
        <f>IF(OR(E6006="",E6006="!!!"),"",IF(OR(J6006=0,AND(J6006=1,K6006=1),AND(J6006=1,I6006="SBJ"),AND(J6006=1,I6006=0)),"?IN_FOCUS",IF(J6006&lt;=2,"?ACTIVATED",IF(J6006&lt;&gt;"","?FAMILIAR",IF(F6006="NEW",IF(ISNA(VLOOKUP(E6006,#REF!,1,FALSE())),"?TYPE_IDENTIFIABLE","?REFERENTIAL"),"_")))))</f>
        <v> </v>
      </c>
      <c r="H6006" s="24" t="str">
        <f>IF(J6006&lt;&gt;1,"",IF(I6006="SBJ","CB","?"))</f>
        <v> </v>
      </c>
      <c r="I6006" s="25" t="str">
        <f>IF(OR(E6006="",E6006="!!!",F6006="NEW"),"",INDEX(B6005:B$2,-1+SUMPRODUCT(MAX(ROW(E6005:E$2)*(E6006=E6005:E$2)))))</f>
        <v> </v>
      </c>
      <c r="J6006" s="25" t="str">
        <f>IF(OR(E6006="",E6006="!!!",F6006="NEW"),"",COUNTBLANK(OFFSET(A$1,,,SUMPRODUCT(MAX(ROW(E$2:E6006)*(E6006=E$2:E6006)))))-COUNTBLANK(OFFSET(A$1,,,SUMPRODUCT(MAX(ROW(E$1:E6005)*(E2=E$1:E6005))))))</f>
        <v> </v>
      </c>
      <c r="K6006" s="25" t="str">
        <f>IF(OR(E6006="",E6006="!!!",F6006="NEW"),"",INDEX(J$1:J6005,SUMPRODUCT(MAX(ROW(E$1:E6005)*(E6006=E$1:E6005)))))</f>
        <v> </v>
      </c>
      <c r="L6006" s="26"/>
    </row>
    <row r="6007" spans="1:12">
      <c r="A6007" s="20" t="s">
        <v>991</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t="s">
        <v>980</v>
      </c>
      <c r="E6008" s="21">
        <f>IF(D6008="?OLD","!!!","")</f>
        <v/>
      </c>
      <c r="F6008" s="22" t="str">
        <f>IF(OR(E6008="",E6008="!!!"),"",IF(NOT(ISNA(VLOOKUP(E6008,E$1:E6007,1,FALSE()))),"OLD",IF(AND(E6008&lt;&gt;"",E6008&lt;&gt;"!!!"),"NEW","")))</f>
        <v> </v>
      </c>
      <c r="G6008" s="23" t="str">
        <f>IF(OR(E6008="",E6008="!!!"),"",IF(OR(J6008=0,AND(J6008=1,K6008=1),AND(J6008=1,I6008="SBJ"),AND(J6008=1,I6008=0)),"?IN_FOCUS",IF(J6008&lt;=2,"?ACTIVATED",IF(J6008&lt;&gt;"","?FAMILIAR",IF(F6008="NEW",IF(ISNA(VLOOKUP(E6008,#REF!,1,FALSE())),"?TYPE_IDENTIFIABLE","?REFERENTIAL"),"_")))))</f>
        <v> </v>
      </c>
      <c r="H6008" s="24" t="str">
        <f>IF(J6008&lt;&gt;1,"",IF(I6008="SBJ","CB","?"))</f>
        <v> </v>
      </c>
      <c r="I6008" s="25" t="str">
        <f>IF(OR(E6008="",E6008="!!!",F6008="NEW"),"",INDEX(B6007:B$2,-1+SUMPRODUCT(MAX(ROW(E6007:E$2)*(E6008=E6007:E$2)))))</f>
        <v> </v>
      </c>
      <c r="J6008" s="25" t="str">
        <f>IF(OR(E6008="",E6008="!!!",F6008="NEW"),"",COUNTBLANK(OFFSET(A$1,,,SUMPRODUCT(MAX(ROW(E$2:E6008)*(E6008=E$2:E6008)))))-COUNTBLANK(OFFSET(A$1,,,SUMPRODUCT(MAX(ROW(E$1:E6007)*(E2=E$1:E6007))))))</f>
        <v> </v>
      </c>
      <c r="K6008" s="25" t="str">
        <f>IF(OR(E6008="",E6008="!!!",F6008="NEW"),"",INDEX(J$1:J6007,SUMPRODUCT(MAX(ROW(E$1:E6007)*(E6008=E$1:E6007)))))</f>
        <v> </v>
      </c>
      <c r="L6008" s="26"/>
    </row>
    <row r="6009" spans="1:12">
      <c r="A6009" s="20" t="s">
        <v>993</v>
      </c>
      <c r="B6009" s="27" t="s">
        <v>1010</v>
      </c>
      <c r="C6009" s="27" t="s">
        <v>968</v>
      </c>
      <c r="D6009" s="27" t="s">
        <v>969</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2558</v>
      </c>
      <c r="E6010" s="21">
        <f>IF(D6010="?OLD","!!!","")</f>
        <v/>
      </c>
      <c r="F6010" s="22" t="str">
        <f>IF(OR(E6010="",E6010="!!!"),"",IF(NOT(ISNA(VLOOKUP(E6010,E$1:E6009,1,FALSE()))),"OLD",IF(AND(E6010&lt;&gt;"",E6010&lt;&gt;"!!!"),"NEW","")))</f>
        <v> </v>
      </c>
      <c r="G6010" s="23" t="str">
        <f>IF(OR(E6010="",E6010="!!!"),"",IF(OR(J6010=0,AND(J6010=1,K6010=1),AND(J6010=1,I6010="SBJ"),AND(J6010=1,I6010=0)),"?IN_FOCUS",IF(J6010&lt;=2,"?ACTIVATED",IF(J6010&lt;&gt;"","?FAMILIAR",IF(F6010="NEW",IF(ISNA(VLOOKUP(E6010,#REF!,1,FALSE())),"?TYPE_IDENTIFIABLE","?REFERENTIAL"),"_")))))</f>
        <v> </v>
      </c>
      <c r="H6010" s="24" t="str">
        <f>IF(J6010&lt;&gt;1,"",IF(I6010="SBJ","CB","?"))</f>
        <v> </v>
      </c>
      <c r="I6010" s="25" t="str">
        <f>IF(OR(E6010="",E6010="!!!",F6010="NEW"),"",INDEX(B6009:B$2,-1+SUMPRODUCT(MAX(ROW(E6009:E$2)*(E6010=E6009:E$2)))))</f>
        <v> </v>
      </c>
      <c r="J6010" s="25" t="str">
        <f>IF(OR(E6010="",E6010="!!!",F6010="NEW"),"",COUNTBLANK(OFFSET(A$1,,,SUMPRODUCT(MAX(ROW(E$2:E6010)*(E6010=E$2:E6010)))))-COUNTBLANK(OFFSET(A$1,,,SUMPRODUCT(MAX(ROW(E$1:E6009)*(E2=E$1:E6009))))))</f>
        <v> </v>
      </c>
      <c r="K6010" s="25" t="str">
        <f>IF(OR(E6010="",E6010="!!!",F6010="NEW"),"",INDEX(J$1:J6009,SUMPRODUCT(MAX(ROW(E$1:E6009)*(E6010=E$1:E6009)))))</f>
        <v> </v>
      </c>
      <c r="L6010" s="26"/>
    </row>
    <row r="6011" spans="1:12">
      <c r="A6011" s="20" t="s">
        <v>1357</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975</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1026</v>
      </c>
      <c r="B6013" s="27" t="s">
        <v>978</v>
      </c>
      <c r="C6013" s="27" t="s">
        <v>968</v>
      </c>
      <c r="D6013" s="27" t="s">
        <v>969</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t="s">
        <v>1105</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991</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1024</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993</v>
      </c>
      <c r="B6017" s="27" t="s">
        <v>1010</v>
      </c>
      <c r="C6017" s="27" t="s">
        <v>968</v>
      </c>
      <c r="D6017" s="27" t="s">
        <v>969</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1016</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t="s">
        <v>1034</v>
      </c>
      <c r="B6019" s="27" t="s">
        <v>1013</v>
      </c>
      <c r="C6019" s="27" t="s">
        <v>1018</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2559</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t="s">
        <v>1417</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991</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1177</v>
      </c>
      <c r="B6023" s="27" t="s">
        <v>1013</v>
      </c>
      <c r="C6023" s="27" t="s">
        <v>1011</v>
      </c>
      <c r="D6023" s="27" t="s">
        <v>969</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993</v>
      </c>
      <c r="B6024" s="27" t="s">
        <v>1010</v>
      </c>
      <c r="C6024" s="27" t="s">
        <v>968</v>
      </c>
      <c r="D6024" s="27" t="s">
        <v>969</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992</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999</v>
      </c>
      <c r="B6026" s="27" t="s">
        <v>982</v>
      </c>
      <c r="C6026" s="27" t="s">
        <v>1001</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976</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1360</v>
      </c>
      <c r="B6028" s="27" t="s">
        <v>978</v>
      </c>
      <c r="C6028" s="27" t="s">
        <v>979</v>
      </c>
      <c r="D6028" s="27" t="s">
        <v>969</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1475</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87</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1133</v>
      </c>
      <c r="B6031" s="27" t="s">
        <v>978</v>
      </c>
      <c r="C6031" s="27" t="s">
        <v>1123</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1828</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2560</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1278</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991</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1046</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985</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2539</v>
      </c>
      <c r="B6038" s="27" t="s">
        <v>1010</v>
      </c>
      <c r="C6038" s="27" t="s">
        <v>979</v>
      </c>
      <c r="D6038" s="27" t="s">
        <v>969</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1026</v>
      </c>
      <c r="B6039" s="27" t="s">
        <v>1013</v>
      </c>
      <c r="C6039" s="27" t="s">
        <v>968</v>
      </c>
      <c r="D6039" s="27" t="s">
        <v>969</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1110</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2561</v>
      </c>
      <c r="B6041" s="27" t="s">
        <v>1013</v>
      </c>
      <c r="C6041" s="27" t="s">
        <v>1018</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t="s">
        <v>2562</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1005</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row>
    <row r="6045" spans="1:12">
      <c r="A6045" s="20" t="s">
        <v>2563</v>
      </c>
    </row>
    <row r="6046" spans="1:12">
      <c r="A6046" s="20" t="s">
        <v>2564</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993</v>
      </c>
      <c r="B6047" s="27" t="s">
        <v>1010</v>
      </c>
      <c r="C6047" s="27" t="s">
        <v>968</v>
      </c>
      <c r="D6047" s="27" t="s">
        <v>969</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1086</v>
      </c>
      <c r="B6048" s="27" t="s">
        <v>1013</v>
      </c>
      <c r="C6048" s="27" t="s">
        <v>968</v>
      </c>
      <c r="D6048" s="27" t="s">
        <v>969</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t="s">
        <v>2565</v>
      </c>
      <c r="E6049" s="21">
        <f>IF(D6049="?OLD","!!!","")</f>
        <v/>
      </c>
      <c r="F6049" s="22" t="str">
        <f>IF(OR(E6049="",E6049="!!!"),"",IF(NOT(ISNA(VLOOKUP(E6049,E$1:E6048,1,FALSE()))),"OLD",IF(AND(E6049&lt;&gt;"",E6049&lt;&gt;"!!!"),"NEW","")))</f>
        <v> </v>
      </c>
      <c r="G6049" s="23" t="str">
        <f>IF(OR(E6049="",E6049="!!!"),"",IF(OR(J6049=0,AND(J6049=1,K6049=1),AND(J6049=1,I6049="SBJ"),AND(J6049=1,I6049=0)),"?IN_FOCUS",IF(J6049&lt;=2,"?ACTIVATED",IF(J6049&lt;&gt;"","?FAMILIAR",IF(F6049="NEW",IF(ISNA(VLOOKUP(E6049,#REF!,1,FALSE())),"?TYPE_IDENTIFIABLE","?REFERENTIAL"),"_")))))</f>
        <v> </v>
      </c>
      <c r="H6049" s="24" t="str">
        <f>IF(J6049&lt;&gt;1,"",IF(I6049="SBJ","CB","?"))</f>
        <v> </v>
      </c>
      <c r="I6049" s="25" t="str">
        <f>IF(OR(E6049="",E6049="!!!",F6049="NEW"),"",INDEX(B6048:B$2,-1+SUMPRODUCT(MAX(ROW(E6048:E$2)*(E6049=E6048:E$2)))))</f>
        <v> </v>
      </c>
      <c r="J6049" s="25" t="str">
        <f>IF(OR(E6049="",E6049="!!!",F6049="NEW"),"",COUNTBLANK(OFFSET(A$1,,,SUMPRODUCT(MAX(ROW(E$2:E6049)*(E6049=E$2:E6049)))))-COUNTBLANK(OFFSET(A$1,,,SUMPRODUCT(MAX(ROW(E$1:E6048)*(E2=E$1:E6048))))))</f>
        <v> </v>
      </c>
      <c r="K6049" s="25" t="str">
        <f>IF(OR(E6049="",E6049="!!!",F6049="NEW"),"",INDEX(J$1:J6048,SUMPRODUCT(MAX(ROW(E$1:E6048)*(E6049=E$1:E6048)))))</f>
        <v> </v>
      </c>
      <c r="L6049" s="26"/>
    </row>
    <row r="6050" spans="1:12">
      <c r="A6050" s="20" t="s">
        <v>991</v>
      </c>
      <c r="E6050" s="21">
        <f>IF(D6050="?OLD","!!!","")</f>
        <v/>
      </c>
      <c r="F6050" s="22" t="str">
        <f>IF(OR(E6050="",E6050="!!!"),"",IF(NOT(ISNA(VLOOKUP(E6050,E$1:E6049,1,FALSE()))),"OLD",IF(AND(E6050&lt;&gt;"",E6050&lt;&gt;"!!!"),"NEW","")))</f>
        <v> </v>
      </c>
      <c r="G6050" s="23" t="str">
        <f>IF(OR(E6050="",E6050="!!!"),"",IF(OR(J6050=0,AND(J6050=1,K6050=1),AND(J6050=1,I6050="SBJ"),AND(J6050=1,I6050=0)),"?IN_FOCUS",IF(J6050&lt;=2,"?ACTIVATED",IF(J6050&lt;&gt;"","?FAMILIAR",IF(F6050="NEW",IF(ISNA(VLOOKUP(E6050,#REF!,1,FALSE())),"?TYPE_IDENTIFIABLE","?REFERENTIAL"),"_")))))</f>
        <v> </v>
      </c>
      <c r="H6050" s="24" t="str">
        <f>IF(J6050&lt;&gt;1,"",IF(I6050="SBJ","CB","?"))</f>
        <v> </v>
      </c>
      <c r="I6050" s="25" t="str">
        <f>IF(OR(E6050="",E6050="!!!",F6050="NEW"),"",INDEX(B6049:B$2,-1+SUMPRODUCT(MAX(ROW(E6049:E$2)*(E6050=E6049:E$2)))))</f>
        <v> </v>
      </c>
      <c r="J6050" s="25" t="str">
        <f>IF(OR(E6050="",E6050="!!!",F6050="NEW"),"",COUNTBLANK(OFFSET(A$1,,,SUMPRODUCT(MAX(ROW(E$2:E6050)*(E6050=E$2:E6050)))))-COUNTBLANK(OFFSET(A$1,,,SUMPRODUCT(MAX(ROW(E$1:E6049)*(E2=E$1:E6049))))))</f>
        <v> </v>
      </c>
      <c r="K6050" s="25" t="str">
        <f>IF(OR(E6050="",E6050="!!!",F6050="NEW"),"",INDEX(J$1:J6049,SUMPRODUCT(MAX(ROW(E$1:E6049)*(E6050=E$1:E6049)))))</f>
        <v> </v>
      </c>
      <c r="L6050" s="26"/>
    </row>
    <row r="6051" spans="1:12">
      <c r="A6051" s="20" t="s">
        <v>1262</v>
      </c>
      <c r="E6051" s="21">
        <f>IF(D6051="?OLD","!!!","")</f>
        <v/>
      </c>
      <c r="F6051" s="22" t="str">
        <f>IF(OR(E6051="",E6051="!!!"),"",IF(NOT(ISNA(VLOOKUP(E6051,E$1:E6050,1,FALSE()))),"OLD",IF(AND(E6051&lt;&gt;"",E6051&lt;&gt;"!!!"),"NEW","")))</f>
        <v> </v>
      </c>
      <c r="G6051" s="23" t="str">
        <f>IF(OR(E6051="",E6051="!!!"),"",IF(OR(J6051=0,AND(J6051=1,K6051=1),AND(J6051=1,I6051="SBJ"),AND(J6051=1,I6051=0)),"?IN_FOCUS",IF(J6051&lt;=2,"?ACTIVATED",IF(J6051&lt;&gt;"","?FAMILIAR",IF(F6051="NEW",IF(ISNA(VLOOKUP(E6051,#REF!,1,FALSE())),"?TYPE_IDENTIFIABLE","?REFERENTIAL"),"_")))))</f>
        <v> </v>
      </c>
      <c r="H6051" s="24" t="str">
        <f>IF(J6051&lt;&gt;1,"",IF(I6051="SBJ","CB","?"))</f>
        <v> </v>
      </c>
      <c r="I6051" s="25" t="str">
        <f>IF(OR(E6051="",E6051="!!!",F6051="NEW"),"",INDEX(B6050:B$2,-1+SUMPRODUCT(MAX(ROW(E6050:E$2)*(E6051=E6050:E$2)))))</f>
        <v> </v>
      </c>
      <c r="J6051" s="25" t="str">
        <f>IF(OR(E6051="",E6051="!!!",F6051="NEW"),"",COUNTBLANK(OFFSET(A$1,,,SUMPRODUCT(MAX(ROW(E$2:E6051)*(E6051=E$2:E6051)))))-COUNTBLANK(OFFSET(A$1,,,SUMPRODUCT(MAX(ROW(E$1:E6050)*(E2=E$1:E6050))))))</f>
        <v> </v>
      </c>
      <c r="K6051" s="25" t="str">
        <f>IF(OR(E6051="",E6051="!!!",F6051="NEW"),"",INDEX(J$1:J6050,SUMPRODUCT(MAX(ROW(E$1:E6050)*(E6051=E$1:E6050)))))</f>
        <v> </v>
      </c>
      <c r="L6051" s="26"/>
    </row>
    <row r="6052" spans="1:12">
      <c r="A6052" s="20" t="s">
        <v>999</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t="s">
        <v>37</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980</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1086</v>
      </c>
      <c r="B6055" s="27" t="s">
        <v>1031</v>
      </c>
      <c r="C6055" s="27" t="s">
        <v>968</v>
      </c>
      <c r="D6055" s="27" t="s">
        <v>969</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2566</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1113</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991</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998</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1262</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999</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462</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991</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1352</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993</v>
      </c>
      <c r="B6065" s="27" t="s">
        <v>967</v>
      </c>
      <c r="C6065" s="27" t="s">
        <v>968</v>
      </c>
      <c r="D6065" s="27" t="s">
        <v>969</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1110</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t="s">
        <v>1245</v>
      </c>
      <c r="B6067" s="27" t="s">
        <v>973</v>
      </c>
      <c r="C6067" s="27" t="s">
        <v>1018</v>
      </c>
      <c r="E6067" s="21">
        <f>IF(D6067="?OLD","!!!","")</f>
        <v/>
      </c>
      <c r="F6067" s="22" t="str">
        <f>IF(OR(E6067="",E6067="!!!"),"",IF(NOT(ISNA(VLOOKUP(E6067,E$1:E6066,1,FALSE()))),"OLD",IF(AND(E6067&lt;&gt;"",E6067&lt;&gt;"!!!"),"NEW","")))</f>
        <v> </v>
      </c>
      <c r="G6067" s="23" t="str">
        <f>IF(OR(E6067="",E6067="!!!"),"",IF(OR(J6067=0,AND(J6067=1,K6067=1),AND(J6067=1,I6067="SBJ"),AND(J6067=1,I6067=0)),"?IN_FOCUS",IF(J6067&lt;=2,"?ACTIVATED",IF(J6067&lt;&gt;"","?FAMILIAR",IF(F6067="NEW",IF(ISNA(VLOOKUP(E6067,#REF!,1,FALSE())),"?TYPE_IDENTIFIABLE","?REFERENTIAL"),"_")))))</f>
        <v> </v>
      </c>
      <c r="H6067" s="24" t="str">
        <f>IF(J6067&lt;&gt;1,"",IF(I6067="SBJ","CB","?"))</f>
        <v> </v>
      </c>
      <c r="I6067" s="25" t="str">
        <f>IF(OR(E6067="",E6067="!!!",F6067="NEW"),"",INDEX(B6066:B$2,-1+SUMPRODUCT(MAX(ROW(E6066:E$2)*(E6067=E6066:E$2)))))</f>
        <v> </v>
      </c>
      <c r="J6067" s="25" t="str">
        <f>IF(OR(E6067="",E6067="!!!",F6067="NEW"),"",COUNTBLANK(OFFSET(A$1,,,SUMPRODUCT(MAX(ROW(E$2:E6067)*(E6067=E$2:E6067)))))-COUNTBLANK(OFFSET(A$1,,,SUMPRODUCT(MAX(ROW(E$1:E6066)*(E2=E$1:E6066))))))</f>
        <v> </v>
      </c>
      <c r="K6067" s="25" t="str">
        <f>IF(OR(E6067="",E6067="!!!",F6067="NEW"),"",INDEX(J$1:J6066,SUMPRODUCT(MAX(ROW(E$1:E6066)*(E6067=E$1:E6066)))))</f>
        <v> </v>
      </c>
      <c r="L6067" s="26"/>
    </row>
    <row r="6068" spans="1:12">
      <c r="A6068" s="20" t="s">
        <v>1937</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t="s">
        <v>991</v>
      </c>
      <c r="E6069" s="21">
        <f>IF(D6069="?OLD","!!!","")</f>
        <v/>
      </c>
      <c r="F6069" s="22" t="str">
        <f>IF(OR(E6069="",E6069="!!!"),"",IF(NOT(ISNA(VLOOKUP(E6069,E$1:E6068,1,FALSE()))),"OLD",IF(AND(E6069&lt;&gt;"",E6069&lt;&gt;"!!!"),"NEW","")))</f>
        <v> </v>
      </c>
      <c r="G6069" s="23" t="str">
        <f>IF(OR(E6069="",E6069="!!!"),"",IF(OR(J6069=0,AND(J6069=1,K6069=1),AND(J6069=1,I6069="SBJ"),AND(J6069=1,I6069=0)),"?IN_FOCUS",IF(J6069&lt;=2,"?ACTIVATED",IF(J6069&lt;&gt;"","?FAMILIAR",IF(F6069="NEW",IF(ISNA(VLOOKUP(E6069,#REF!,1,FALSE())),"?TYPE_IDENTIFIABLE","?REFERENTIAL"),"_")))))</f>
        <v> </v>
      </c>
      <c r="H6069" s="24" t="str">
        <f>IF(J6069&lt;&gt;1,"",IF(I6069="SBJ","CB","?"))</f>
        <v> </v>
      </c>
      <c r="I6069" s="25" t="str">
        <f>IF(OR(E6069="",E6069="!!!",F6069="NEW"),"",INDEX(B6068:B$2,-1+SUMPRODUCT(MAX(ROW(E6068:E$2)*(E6069=E6068:E$2)))))</f>
        <v> </v>
      </c>
      <c r="J6069" s="25" t="str">
        <f>IF(OR(E6069="",E6069="!!!",F6069="NEW"),"",COUNTBLANK(OFFSET(A$1,,,SUMPRODUCT(MAX(ROW(E$2:E6069)*(E6069=E$2:E6069)))))-COUNTBLANK(OFFSET(A$1,,,SUMPRODUCT(MAX(ROW(E$1:E6068)*(E2=E$1:E6068))))))</f>
        <v> </v>
      </c>
      <c r="K6069" s="25" t="str">
        <f>IF(OR(E6069="",E6069="!!!",F6069="NEW"),"",INDEX(J$1:J6068,SUMPRODUCT(MAX(ROW(E$1:E6068)*(E6069=E$1:E6068)))))</f>
        <v> </v>
      </c>
      <c r="L6069" s="26"/>
    </row>
    <row r="6070" spans="1:12">
      <c r="A6070" s="20" t="s">
        <v>1033</v>
      </c>
      <c r="B6070" s="27" t="s">
        <v>982</v>
      </c>
      <c r="C6070" s="27" t="s">
        <v>988</v>
      </c>
      <c r="D6070" s="27" t="s">
        <v>969</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t="s">
        <v>1078</v>
      </c>
      <c r="B6071" s="27" t="s">
        <v>1013</v>
      </c>
      <c r="C6071" s="27" t="s">
        <v>974</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999</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935</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1005</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row>
    <row r="6076" spans="1:12">
      <c r="A6076" s="20" t="s">
        <v>2567</v>
      </c>
    </row>
    <row r="6077" spans="1:12">
      <c r="A6077" s="20" t="s">
        <v>966</v>
      </c>
      <c r="B6077" s="27" t="s">
        <v>967</v>
      </c>
      <c r="C6077" s="27" t="s">
        <v>968</v>
      </c>
      <c r="D6077" s="27" t="s">
        <v>969</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1717</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1009</v>
      </c>
      <c r="B6079" s="27" t="s">
        <v>973</v>
      </c>
      <c r="C6079" s="27" t="s">
        <v>1011</v>
      </c>
      <c r="D6079" s="27" t="s">
        <v>969</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991</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1322</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1009</v>
      </c>
      <c r="B6082" s="27" t="s">
        <v>1010</v>
      </c>
      <c r="C6082" s="27" t="s">
        <v>1011</v>
      </c>
      <c r="D6082" s="27" t="s">
        <v>969</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1107</v>
      </c>
      <c r="B6083" s="27" t="s">
        <v>1013</v>
      </c>
      <c r="C6083" s="27" t="s">
        <v>968</v>
      </c>
      <c r="D6083" s="27" t="s">
        <v>969</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2568</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t="s">
        <v>1282</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991</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2569</v>
      </c>
      <c r="B6087" s="27" t="s">
        <v>1031</v>
      </c>
      <c r="C6087" s="27" t="s">
        <v>974</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999</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635</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980</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t="s">
        <v>1107</v>
      </c>
      <c r="B6091" s="27" t="s">
        <v>1013</v>
      </c>
      <c r="C6091" s="27" t="s">
        <v>968</v>
      </c>
      <c r="D6091" s="27" t="s">
        <v>969</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t="s">
        <v>1151</v>
      </c>
      <c r="E6092" s="21">
        <f>IF(D6092="?OLD","!!!","")</f>
        <v/>
      </c>
      <c r="F6092" s="22" t="str">
        <f>IF(OR(E6092="",E6092="!!!"),"",IF(NOT(ISNA(VLOOKUP(E6092,E$1:E6091,1,FALSE()))),"OLD",IF(AND(E6092&lt;&gt;"",E6092&lt;&gt;"!!!"),"NEW","")))</f>
        <v> </v>
      </c>
      <c r="G6092" s="23" t="str">
        <f>IF(OR(E6092="",E6092="!!!"),"",IF(OR(J6092=0,AND(J6092=1,K6092=1),AND(J6092=1,I6092="SBJ"),AND(J6092=1,I6092=0)),"?IN_FOCUS",IF(J6092&lt;=2,"?ACTIVATED",IF(J6092&lt;&gt;"","?FAMILIAR",IF(F6092="NEW",IF(ISNA(VLOOKUP(E6092,#REF!,1,FALSE())),"?TYPE_IDENTIFIABLE","?REFERENTIAL"),"_")))))</f>
        <v> </v>
      </c>
      <c r="H6092" s="24" t="str">
        <f>IF(J6092&lt;&gt;1,"",IF(I6092="SBJ","CB","?"))</f>
        <v> </v>
      </c>
      <c r="I6092" s="25" t="str">
        <f>IF(OR(E6092="",E6092="!!!",F6092="NEW"),"",INDEX(B6091:B$2,-1+SUMPRODUCT(MAX(ROW(E6091:E$2)*(E6092=E6091:E$2)))))</f>
        <v> </v>
      </c>
      <c r="J6092" s="25" t="str">
        <f>IF(OR(E6092="",E6092="!!!",F6092="NEW"),"",COUNTBLANK(OFFSET(A$1,,,SUMPRODUCT(MAX(ROW(E$2:E6092)*(E6092=E$2:E6092)))))-COUNTBLANK(OFFSET(A$1,,,SUMPRODUCT(MAX(ROW(E$1:E6091)*(E2=E$1:E6091))))))</f>
        <v> </v>
      </c>
      <c r="K6092" s="25" t="str">
        <f>IF(OR(E6092="",E6092="!!!",F6092="NEW"),"",INDEX(J$1:J6091,SUMPRODUCT(MAX(ROW(E$1:E6091)*(E6092=E$1:E6091)))))</f>
        <v> </v>
      </c>
      <c r="L6092" s="26"/>
    </row>
    <row r="6093" spans="1:12">
      <c r="A6093" s="20" t="s">
        <v>1009</v>
      </c>
      <c r="B6093" s="27" t="s">
        <v>978</v>
      </c>
      <c r="C6093" s="27" t="s">
        <v>1011</v>
      </c>
      <c r="D6093" s="27" t="s">
        <v>969</v>
      </c>
      <c r="E6093" s="21">
        <f>IF(D6093="?OLD","!!!","")</f>
        <v/>
      </c>
      <c r="F6093" s="22" t="str">
        <f>IF(OR(E6093="",E6093="!!!"),"",IF(NOT(ISNA(VLOOKUP(E6093,E$1:E6092,1,FALSE()))),"OLD",IF(AND(E6093&lt;&gt;"",E6093&lt;&gt;"!!!"),"NEW","")))</f>
        <v> </v>
      </c>
      <c r="G6093" s="23" t="str">
        <f>IF(OR(E6093="",E6093="!!!"),"",IF(OR(J6093=0,AND(J6093=1,K6093=1),AND(J6093=1,I6093="SBJ"),AND(J6093=1,I6093=0)),"?IN_FOCUS",IF(J6093&lt;=2,"?ACTIVATED",IF(J6093&lt;&gt;"","?FAMILIAR",IF(F6093="NEW",IF(ISNA(VLOOKUP(E6093,#REF!,1,FALSE())),"?TYPE_IDENTIFIABLE","?REFERENTIAL"),"_")))))</f>
        <v> </v>
      </c>
      <c r="H6093" s="24" t="str">
        <f>IF(J6093&lt;&gt;1,"",IF(I6093="SBJ","CB","?"))</f>
        <v> </v>
      </c>
      <c r="I6093" s="25" t="str">
        <f>IF(OR(E6093="",E6093="!!!",F6093="NEW"),"",INDEX(B6092:B$2,-1+SUMPRODUCT(MAX(ROW(E6092:E$2)*(E6093=E6092:E$2)))))</f>
        <v> </v>
      </c>
      <c r="J6093" s="25" t="str">
        <f>IF(OR(E6093="",E6093="!!!",F6093="NEW"),"",COUNTBLANK(OFFSET(A$1,,,SUMPRODUCT(MAX(ROW(E$2:E6093)*(E6093=E$2:E6093)))))-COUNTBLANK(OFFSET(A$1,,,SUMPRODUCT(MAX(ROW(E$1:E6092)*(E2=E$1:E6092))))))</f>
        <v> </v>
      </c>
      <c r="K6093" s="25" t="str">
        <f>IF(OR(E6093="",E6093="!!!",F6093="NEW"),"",INDEX(J$1:J6092,SUMPRODUCT(MAX(ROW(E$1:E6092)*(E6093=E$1:E6092)))))</f>
        <v> </v>
      </c>
      <c r="L6093" s="26"/>
    </row>
    <row r="6094" spans="1:12">
      <c r="A6094" s="20" t="s">
        <v>999</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939</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1005</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row>
    <row r="6098" spans="1:12">
      <c r="A6098" s="20" t="s">
        <v>2570</v>
      </c>
    </row>
    <row r="6099" spans="1:12">
      <c r="A6099" s="20" t="s">
        <v>1585</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993</v>
      </c>
      <c r="B6100" s="27" t="s">
        <v>994</v>
      </c>
      <c r="C6100" s="27" t="s">
        <v>968</v>
      </c>
      <c r="D6100" s="27" t="s">
        <v>969</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2571</v>
      </c>
      <c r="B6101" s="27" t="s">
        <v>978</v>
      </c>
      <c r="C6101" s="27" t="s">
        <v>1011</v>
      </c>
      <c r="D6101" s="27" t="s">
        <v>969</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1595</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991</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t="s">
        <v>2572</v>
      </c>
      <c r="E6104" s="21">
        <f>IF(D6104="?OLD","!!!","")</f>
        <v/>
      </c>
      <c r="F6104" s="22" t="str">
        <f>IF(OR(E6104="",E6104="!!!"),"",IF(NOT(ISNA(VLOOKUP(E6104,E$1:E6103,1,FALSE()))),"OLD",IF(AND(E6104&lt;&gt;"",E6104&lt;&gt;"!!!"),"NEW","")))</f>
        <v> </v>
      </c>
      <c r="G6104" s="23" t="str">
        <f>IF(OR(E6104="",E6104="!!!"),"",IF(OR(J6104=0,AND(J6104=1,K6104=1),AND(J6104=1,I6104="SBJ"),AND(J6104=1,I6104=0)),"?IN_FOCUS",IF(J6104&lt;=2,"?ACTIVATED",IF(J6104&lt;&gt;"","?FAMILIAR",IF(F6104="NEW",IF(ISNA(VLOOKUP(E6104,#REF!,1,FALSE())),"?TYPE_IDENTIFIABLE","?REFERENTIAL"),"_")))))</f>
        <v> </v>
      </c>
      <c r="H6104" s="24" t="str">
        <f>IF(J6104&lt;&gt;1,"",IF(I6104="SBJ","CB","?"))</f>
        <v> </v>
      </c>
      <c r="I6104" s="25" t="str">
        <f>IF(OR(E6104="",E6104="!!!",F6104="NEW"),"",INDEX(B6103:B$2,-1+SUMPRODUCT(MAX(ROW(E6103:E$2)*(E6104=E6103:E$2)))))</f>
        <v> </v>
      </c>
      <c r="J6104" s="25" t="str">
        <f>IF(OR(E6104="",E6104="!!!",F6104="NEW"),"",COUNTBLANK(OFFSET(A$1,,,SUMPRODUCT(MAX(ROW(E$2:E6104)*(E6104=E$2:E6104)))))-COUNTBLANK(OFFSET(A$1,,,SUMPRODUCT(MAX(ROW(E$1:E6103)*(E2=E$1:E6103))))))</f>
        <v> </v>
      </c>
      <c r="K6104" s="25" t="str">
        <f>IF(OR(E6104="",E6104="!!!",F6104="NEW"),"",INDEX(J$1:J6103,SUMPRODUCT(MAX(ROW(E$1:E6103)*(E6104=E$1:E6103)))))</f>
        <v> </v>
      </c>
      <c r="L6104" s="26"/>
    </row>
    <row r="6105" spans="1:12">
      <c r="A6105" s="20" t="s">
        <v>2573</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991</v>
      </c>
      <c r="E6106" s="21">
        <f>IF(D6106="?OLD","!!!","")</f>
        <v/>
      </c>
      <c r="F6106" s="22" t="str">
        <f>IF(OR(E6106="",E6106="!!!"),"",IF(NOT(ISNA(VLOOKUP(E6106,E$1:E6105,1,FALSE()))),"OLD",IF(AND(E6106&lt;&gt;"",E6106&lt;&gt;"!!!"),"NEW","")))</f>
        <v> </v>
      </c>
      <c r="G6106" s="23" t="str">
        <f>IF(OR(E6106="",E6106="!!!"),"",IF(OR(J6106=0,AND(J6106=1,K6106=1),AND(J6106=1,I6106="SBJ"),AND(J6106=1,I6106=0)),"?IN_FOCUS",IF(J6106&lt;=2,"?ACTIVATED",IF(J6106&lt;&gt;"","?FAMILIAR",IF(F6106="NEW",IF(ISNA(VLOOKUP(E6106,#REF!,1,FALSE())),"?TYPE_IDENTIFIABLE","?REFERENTIAL"),"_")))))</f>
        <v> </v>
      </c>
      <c r="H6106" s="24" t="str">
        <f>IF(J6106&lt;&gt;1,"",IF(I6106="SBJ","CB","?"))</f>
        <v> </v>
      </c>
      <c r="I6106" s="25" t="str">
        <f>IF(OR(E6106="",E6106="!!!",F6106="NEW"),"",INDEX(B6105:B$2,-1+SUMPRODUCT(MAX(ROW(E6105:E$2)*(E6106=E6105:E$2)))))</f>
        <v> </v>
      </c>
      <c r="J6106" s="25" t="str">
        <f>IF(OR(E6106="",E6106="!!!",F6106="NEW"),"",COUNTBLANK(OFFSET(A$1,,,SUMPRODUCT(MAX(ROW(E$2:E6106)*(E6106=E$2:E6106)))))-COUNTBLANK(OFFSET(A$1,,,SUMPRODUCT(MAX(ROW(E$1:E6105)*(E2=E$1:E6105))))))</f>
        <v> </v>
      </c>
      <c r="K6106" s="25" t="str">
        <f>IF(OR(E6106="",E6106="!!!",F6106="NEW"),"",INDEX(J$1:J6105,SUMPRODUCT(MAX(ROW(E$1:E6105)*(E6106=E$1:E6105)))))</f>
        <v> </v>
      </c>
      <c r="L6106" s="26"/>
    </row>
    <row r="6107" spans="1:12">
      <c r="A6107" s="20" t="s">
        <v>980</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2572</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2574</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1043</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1065</v>
      </c>
      <c r="B6111" s="27" t="s">
        <v>982</v>
      </c>
      <c r="C6111" s="27" t="s">
        <v>979</v>
      </c>
      <c r="D6111" s="27" t="s">
        <v>969</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1687</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2575</v>
      </c>
      <c r="B6113" s="27" t="s">
        <v>1003</v>
      </c>
      <c r="C6113" s="27" t="s">
        <v>979</v>
      </c>
      <c r="D6113" s="27" t="s">
        <v>969</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991</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1107</v>
      </c>
      <c r="B6115" s="27" t="s">
        <v>973</v>
      </c>
      <c r="C6115" s="27" t="s">
        <v>968</v>
      </c>
      <c r="D6115" s="27" t="s">
        <v>969</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t="s">
        <v>1151</v>
      </c>
      <c r="E6116" s="21">
        <f>IF(D6116="?OLD","!!!","")</f>
        <v/>
      </c>
      <c r="F6116" s="22" t="str">
        <f>IF(OR(E6116="",E6116="!!!"),"",IF(NOT(ISNA(VLOOKUP(E6116,E$1:E6115,1,FALSE()))),"OLD",IF(AND(E6116&lt;&gt;"",E6116&lt;&gt;"!!!"),"NEW","")))</f>
        <v> </v>
      </c>
      <c r="G6116" s="23" t="str">
        <f>IF(OR(E6116="",E6116="!!!"),"",IF(OR(J6116=0,AND(J6116=1,K6116=1),AND(J6116=1,I6116="SBJ"),AND(J6116=1,I6116=0)),"?IN_FOCUS",IF(J6116&lt;=2,"?ACTIVATED",IF(J6116&lt;&gt;"","?FAMILIAR",IF(F6116="NEW",IF(ISNA(VLOOKUP(E6116,#REF!,1,FALSE())),"?TYPE_IDENTIFIABLE","?REFERENTIAL"),"_")))))</f>
        <v> </v>
      </c>
      <c r="H6116" s="24" t="str">
        <f>IF(J6116&lt;&gt;1,"",IF(I6116="SBJ","CB","?"))</f>
        <v> </v>
      </c>
      <c r="I6116" s="25" t="str">
        <f>IF(OR(E6116="",E6116="!!!",F6116="NEW"),"",INDEX(B6115:B$2,-1+SUMPRODUCT(MAX(ROW(E6115:E$2)*(E6116=E6115:E$2)))))</f>
        <v> </v>
      </c>
      <c r="J6116" s="25" t="str">
        <f>IF(OR(E6116="",E6116="!!!",F6116="NEW"),"",COUNTBLANK(OFFSET(A$1,,,SUMPRODUCT(MAX(ROW(E$2:E6116)*(E6116=E$2:E6116)))))-COUNTBLANK(OFFSET(A$1,,,SUMPRODUCT(MAX(ROW(E$1:E6115)*(E2=E$1:E6115))))))</f>
        <v> </v>
      </c>
      <c r="K6116" s="25" t="str">
        <f>IF(OR(E6116="",E6116="!!!",F6116="NEW"),"",INDEX(J$1:J6115,SUMPRODUCT(MAX(ROW(E$1:E6115)*(E6116=E$1:E6115)))))</f>
        <v> </v>
      </c>
      <c r="L6116" s="26"/>
    </row>
    <row r="6117" spans="1:12">
      <c r="A6117" s="20" t="s">
        <v>985</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2576</v>
      </c>
      <c r="B6118" s="27" t="s">
        <v>978</v>
      </c>
      <c r="C6118" s="27" t="s">
        <v>979</v>
      </c>
      <c r="D6118" s="27" t="s">
        <v>969</v>
      </c>
      <c r="E6118" s="21">
        <f>IF(D6118="?OLD","!!!","")</f>
        <v/>
      </c>
      <c r="F6118" s="22" t="str">
        <f>IF(OR(E6118="",E6118="!!!"),"",IF(NOT(ISNA(VLOOKUP(E6118,E$1:E6117,1,FALSE()))),"OLD",IF(AND(E6118&lt;&gt;"",E6118&lt;&gt;"!!!"),"NEW","")))</f>
        <v> </v>
      </c>
      <c r="G6118" s="23" t="str">
        <f>IF(OR(E6118="",E6118="!!!"),"",IF(OR(J6118=0,AND(J6118=1,K6118=1),AND(J6118=1,I6118="SBJ"),AND(J6118=1,I6118=0)),"?IN_FOCUS",IF(J6118&lt;=2,"?ACTIVATED",IF(J6118&lt;&gt;"","?FAMILIAR",IF(F6118="NEW",IF(ISNA(VLOOKUP(E6118,#REF!,1,FALSE())),"?TYPE_IDENTIFIABLE","?REFERENTIAL"),"_")))))</f>
        <v> </v>
      </c>
      <c r="H6118" s="24" t="str">
        <f>IF(J6118&lt;&gt;1,"",IF(I6118="SBJ","CB","?"))</f>
        <v> </v>
      </c>
      <c r="I6118" s="25" t="str">
        <f>IF(OR(E6118="",E6118="!!!",F6118="NEW"),"",INDEX(B6117:B$2,-1+SUMPRODUCT(MAX(ROW(E6117:E$2)*(E6118=E6117:E$2)))))</f>
        <v> </v>
      </c>
      <c r="J6118" s="25" t="str">
        <f>IF(OR(E6118="",E6118="!!!",F6118="NEW"),"",COUNTBLANK(OFFSET(A$1,,,SUMPRODUCT(MAX(ROW(E$2:E6118)*(E6118=E$2:E6118)))))-COUNTBLANK(OFFSET(A$1,,,SUMPRODUCT(MAX(ROW(E$1:E6117)*(E2=E$1:E6117))))))</f>
        <v> </v>
      </c>
      <c r="K6118" s="25" t="str">
        <f>IF(OR(E6118="",E6118="!!!",F6118="NEW"),"",INDEX(J$1:J6117,SUMPRODUCT(MAX(ROW(E$1:E6117)*(E6118=E$1:E6117)))))</f>
        <v> </v>
      </c>
      <c r="L6118" s="26"/>
    </row>
    <row r="6119" spans="1:12">
      <c r="A6119" s="20" t="s">
        <v>999</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621</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999</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939</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1005</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row>
    <row r="6125" spans="1:12">
      <c r="A6125" s="20" t="s">
        <v>2577</v>
      </c>
    </row>
    <row r="6126" spans="1:12">
      <c r="A6126" s="20" t="s">
        <v>966</v>
      </c>
      <c r="B6126" s="27" t="s">
        <v>967</v>
      </c>
      <c r="C6126" s="27" t="s">
        <v>968</v>
      </c>
      <c r="D6126" s="27" t="s">
        <v>969</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1739</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991</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t="s">
        <v>1024</v>
      </c>
      <c r="B6129" s="27" t="s">
        <v>1010</v>
      </c>
      <c r="C6129" s="27" t="s">
        <v>1102</v>
      </c>
      <c r="D6129" s="27" t="s">
        <v>969</v>
      </c>
      <c r="E6129" s="21">
        <f>IF(D6129="?OLD","!!!","")</f>
        <v/>
      </c>
      <c r="F6129" s="22" t="str">
        <f>IF(OR(E6129="",E6129="!!!"),"",IF(NOT(ISNA(VLOOKUP(E6129,E$1:E6128,1,FALSE()))),"OLD",IF(AND(E6129&lt;&gt;"",E6129&lt;&gt;"!!!"),"NEW","")))</f>
        <v> </v>
      </c>
      <c r="G6129" s="23" t="str">
        <f>IF(OR(E6129="",E6129="!!!"),"",IF(OR(J6129=0,AND(J6129=1,K6129=1),AND(J6129=1,I6129="SBJ"),AND(J6129=1,I6129=0)),"?IN_FOCUS",IF(J6129&lt;=2,"?ACTIVATED",IF(J6129&lt;&gt;"","?FAMILIAR",IF(F6129="NEW",IF(ISNA(VLOOKUP(E6129,#REF!,1,FALSE())),"?TYPE_IDENTIFIABLE","?REFERENTIAL"),"_")))))</f>
        <v> </v>
      </c>
      <c r="H6129" s="24" t="str">
        <f>IF(J6129&lt;&gt;1,"",IF(I6129="SBJ","CB","?"))</f>
        <v> </v>
      </c>
      <c r="I6129" s="25" t="str">
        <f>IF(OR(E6129="",E6129="!!!",F6129="NEW"),"",INDEX(B6128:B$2,-1+SUMPRODUCT(MAX(ROW(E6128:E$2)*(E6129=E6128:E$2)))))</f>
        <v> </v>
      </c>
      <c r="J6129" s="25" t="str">
        <f>IF(OR(E6129="",E6129="!!!",F6129="NEW"),"",COUNTBLANK(OFFSET(A$1,,,SUMPRODUCT(MAX(ROW(E$2:E6129)*(E6129=E$2:E6129)))))-COUNTBLANK(OFFSET(A$1,,,SUMPRODUCT(MAX(ROW(E$1:E6128)*(E2=E$1:E6128))))))</f>
        <v> </v>
      </c>
      <c r="K6129" s="25" t="str">
        <f>IF(OR(E6129="",E6129="!!!",F6129="NEW"),"",INDEX(J$1:J6128,SUMPRODUCT(MAX(ROW(E$1:E6128)*(E6129=E$1:E6128)))))</f>
        <v> </v>
      </c>
      <c r="L6129" s="26"/>
    </row>
    <row r="6130" spans="1:12">
      <c r="A6130" s="20" t="s">
        <v>1097</v>
      </c>
      <c r="E6130" s="21">
        <f>IF(D6130="?OLD","!!!","")</f>
        <v/>
      </c>
      <c r="F6130" s="22" t="str">
        <f>IF(OR(E6130="",E6130="!!!"),"",IF(NOT(ISNA(VLOOKUP(E6130,E$1:E6129,1,FALSE()))),"OLD",IF(AND(E6130&lt;&gt;"",E6130&lt;&gt;"!!!"),"NEW","")))</f>
        <v> </v>
      </c>
      <c r="G6130" s="23" t="str">
        <f>IF(OR(E6130="",E6130="!!!"),"",IF(OR(J6130=0,AND(J6130=1,K6130=1),AND(J6130=1,I6130="SBJ"),AND(J6130=1,I6130=0)),"?IN_FOCUS",IF(J6130&lt;=2,"?ACTIVATED",IF(J6130&lt;&gt;"","?FAMILIAR",IF(F6130="NEW",IF(ISNA(VLOOKUP(E6130,#REF!,1,FALSE())),"?TYPE_IDENTIFIABLE","?REFERENTIAL"),"_")))))</f>
        <v> </v>
      </c>
      <c r="H6130" s="24" t="str">
        <f>IF(J6130&lt;&gt;1,"",IF(I6130="SBJ","CB","?"))</f>
        <v> </v>
      </c>
      <c r="I6130" s="25" t="str">
        <f>IF(OR(E6130="",E6130="!!!",F6130="NEW"),"",INDEX(B6129:B$2,-1+SUMPRODUCT(MAX(ROW(E6129:E$2)*(E6130=E6129:E$2)))))</f>
        <v> </v>
      </c>
      <c r="J6130" s="25" t="str">
        <f>IF(OR(E6130="",E6130="!!!",F6130="NEW"),"",COUNTBLANK(OFFSET(A$1,,,SUMPRODUCT(MAX(ROW(E$2:E6130)*(E6130=E$2:E6130)))))-COUNTBLANK(OFFSET(A$1,,,SUMPRODUCT(MAX(ROW(E$1:E6129)*(E2=E$1:E6129))))))</f>
        <v> </v>
      </c>
      <c r="K6130" s="25" t="str">
        <f>IF(OR(E6130="",E6130="!!!",F6130="NEW"),"",INDEX(J$1:J6129,SUMPRODUCT(MAX(ROW(E$1:E6129)*(E6130=E$1:E6129)))))</f>
        <v> </v>
      </c>
      <c r="L6130" s="26"/>
    </row>
    <row r="6131" spans="1:12">
      <c r="A6131" s="20" t="s">
        <v>1016</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1624</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2578</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2579</v>
      </c>
      <c r="B6134" s="27" t="s">
        <v>973</v>
      </c>
      <c r="C6134" s="27" t="s">
        <v>1018</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1005</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row>
    <row r="6137" spans="1:12">
      <c r="A6137" s="20" t="s">
        <v>2580</v>
      </c>
    </row>
    <row r="6138" spans="1:12">
      <c r="A6138" s="20" t="s">
        <v>2581</v>
      </c>
      <c r="E6138" s="21">
        <f>IF(D6138="?OLD","!!!","")</f>
        <v/>
      </c>
      <c r="F6138" s="22" t="str">
        <f>IF(OR(E6138="",E6138="!!!"),"",IF(NOT(ISNA(VLOOKUP(E6138,E$1:E6137,1,FALSE()))),"OLD",IF(AND(E6138&lt;&gt;"",E6138&lt;&gt;"!!!"),"NEW","")))</f>
        <v> </v>
      </c>
      <c r="G6138" s="23" t="str">
        <f>IF(OR(E6138="",E6138="!!!"),"",IF(OR(J6138=0,AND(J6138=1,K6138=1),AND(J6138=1,I6138="SBJ"),AND(J6138=1,I6138=0)),"?IN_FOCUS",IF(J6138&lt;=2,"?ACTIVATED",IF(J6138&lt;&gt;"","?FAMILIAR",IF(F6138="NEW",IF(ISNA(VLOOKUP(E6138,#REF!,1,FALSE())),"?TYPE_IDENTIFIABLE","?REFERENTIAL"),"_")))))</f>
        <v> </v>
      </c>
      <c r="H6138" s="24" t="str">
        <f>IF(J6138&lt;&gt;1,"",IF(I6138="SBJ","CB","?"))</f>
        <v> </v>
      </c>
      <c r="I6138" s="25" t="str">
        <f>IF(OR(E6138="",E6138="!!!",F6138="NEW"),"",INDEX(B6137:B$2,-1+SUMPRODUCT(MAX(ROW(E6137:E$2)*(E6138=E6137:E$2)))))</f>
        <v> </v>
      </c>
      <c r="J6138" s="25" t="str">
        <f>IF(OR(E6138="",E6138="!!!",F6138="NEW"),"",COUNTBLANK(OFFSET(A$1,,,SUMPRODUCT(MAX(ROW(E$2:E6138)*(E6138=E$2:E6138)))))-COUNTBLANK(OFFSET(A$1,,,SUMPRODUCT(MAX(ROW(E$1:E6137)*(E2=E$1:E6137))))))</f>
        <v> </v>
      </c>
      <c r="K6138" s="25" t="str">
        <f>IF(OR(E6138="",E6138="!!!",F6138="NEW"),"",INDEX(J$1:J6137,SUMPRODUCT(MAX(ROW(E$1:E6137)*(E6138=E$1:E6137)))))</f>
        <v> </v>
      </c>
      <c r="L6138" s="26"/>
    </row>
    <row r="6139" spans="1:12">
      <c r="A6139" s="20" t="s">
        <v>946</v>
      </c>
      <c r="B6139" s="27" t="s">
        <v>1053</v>
      </c>
      <c r="C6139" s="27" t="s">
        <v>1123</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1005</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row>
    <row r="6142" spans="1:12">
      <c r="A6142" s="20" t="s">
        <v>2582</v>
      </c>
    </row>
    <row r="6143" spans="1:12">
      <c r="A6143" s="20" t="s">
        <v>1746</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950</v>
      </c>
      <c r="B6144" s="27" t="s">
        <v>1053</v>
      </c>
      <c r="C6144" s="27" t="s">
        <v>1083</v>
      </c>
      <c r="D6144" s="27" t="s">
        <v>969</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1748</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2024-05-19T12:50:19Z</dcterms:created>
  <dcterms:modified xsi:type="dcterms:W3CDTF">2024-05-19T12:50:19Z</dcterms:modified>
</cp:coreProperties>
</file>