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<sst xmlns="http://schemas.openxmlformats.org/spreadsheetml/2006/main" count="1355" uniqueCount="391">
  <si>
    <t>ID</t>
  </si>
  <si>
    <t>PRED_ID</t>
  </si>
  <si>
    <t>MARKER_AUTO</t>
  </si>
  <si>
    <t>PREDICATE</t>
  </si>
  <si>
    <t>TEXT</t>
  </si>
  <si>
    <t>SENTENCE</t>
  </si>
  <si>
    <t>MARKER</t>
  </si>
  <si>
    <t>TARGET</t>
  </si>
  <si>
    <t>RELATION</t>
  </si>
  <si>
    <t>COMMENT</t>
  </si>
  <si>
    <t>1</t>
  </si>
  <si>
    <t>2</t>
  </si>
  <si>
    <t>_</t>
  </si>
  <si>
    <t>haben</t>
  </si>
  <si>
    <t>Es hatte aber alle Welt einerlei Zunge und Sprache .</t>
  </si>
  <si>
    <t>file://conllu/de/bibl.de_luther1912.GEN.11.conllu#s1_0</t>
  </si>
  <si>
    <t>8</t>
  </si>
  <si>
    <t>finden</t>
  </si>
  <si>
    <t>Da sie nun zogen gen Morgen , fanden sie ein ebenes Land im in dem Lande Sinear , und wohnten daselbst .</t>
  </si>
  <si>
    <t>file://conllu/de/bibl.de_luther1912.GEN.11.conllu#s2_0</t>
  </si>
  <si>
    <t>3</t>
  </si>
  <si>
    <t>sprechen</t>
  </si>
  <si>
    <t>Und sie sprachen untereinander : Wohlauf , laß uns Ziegel streichen und brennen ! und nahmen Ziegel zu Stein und Erdharz zu Kalk</t>
  </si>
  <si>
    <t>file://conllu/de/bibl.de_luther1912.GEN.11.conllu#s3_0</t>
  </si>
  <si>
    <t>4</t>
  </si>
  <si>
    <t>6</t>
  </si>
  <si>
    <t>lassen</t>
  </si>
  <si>
    <t>und sprachen : Wohlauf , laßt uns eine Stadt und einen Turm bauen , des Spitze bis an den Himmel reiche , daß wir uns einen Namen machen !</t>
  </si>
  <si>
    <t>file://conllu/de/bibl.de_luther1912.GEN.11.conllu#s4_0</t>
  </si>
  <si>
    <t>5</t>
  </si>
  <si>
    <t>zerstreuen</t>
  </si>
  <si>
    <t>denn wir werden sonst zerstreut in alle Länder .</t>
  </si>
  <si>
    <t>file://conllu/de/bibl.de_luther1912.GEN.11.conllu#s5_0</t>
  </si>
  <si>
    <t>fahren</t>
  </si>
  <si>
    <t>Da fuhr der HERR hernieder , daß er sähe die Stadt und den Turm , die die Menschenkinder bauten .</t>
  </si>
  <si>
    <t>file://conllu/de/bibl.de_luther1912.GEN.11.conllu#s6_0</t>
  </si>
  <si>
    <t>7</t>
  </si>
  <si>
    <t>Und der HERR sprach : Siehe , es ist einerlei Volk und einerlei Sprache unter ihnen allen , und haben das angefangen zu tun ;</t>
  </si>
  <si>
    <t>file://conllu/de/bibl.de_luther1912.GEN.11.conllu#s7_0</t>
  </si>
  <si>
    <t>Was?</t>
  </si>
  <si>
    <t>ablassen</t>
  </si>
  <si>
    <t>sie werden nicht ablassen von allem , was sie sich vorgenommen haben zu tun .</t>
  </si>
  <si>
    <t>file://conllu/de/bibl.de_luther1912.GEN.11.conllu#s8_0</t>
  </si>
  <si>
    <t>9</t>
  </si>
  <si>
    <t>Wohlauf , laßt uns herniederfahren und ihre Sprache daselbst verwirren , daß keiner des andern Sprache verstehe !</t>
  </si>
  <si>
    <t>file://conllu/de/bibl.de_luther1912.GEN.11.conllu#s9_0</t>
  </si>
  <si>
    <t>10</t>
  </si>
  <si>
    <t>Also zerstreute sie der HERR von dort alle Länder , daß sie mußten aufhören die Stadt zu bauen .</t>
  </si>
  <si>
    <t>file://conllu/de/bibl.de_luther1912.GEN.11.conllu#s10_0</t>
  </si>
  <si>
    <t>11</t>
  </si>
  <si>
    <t>heißen</t>
  </si>
  <si>
    <t>Daher heißt ihr Name Babel , daß der HERR daselbst verwirrt hatte aller Länder Sprache und sie zerstreut von dort in alle Länder .</t>
  </si>
  <si>
    <t>file://conllu/de/bibl.de_luther1912.GEN.11.conllu#s11_0</t>
  </si>
  <si>
    <t>12</t>
  </si>
  <si>
    <t>sein (sein Geschlecht)</t>
  </si>
  <si>
    <t>Dies sind die Geschlechter Sems : Sem war hundert Jahre alt und zeugte Arphachsad , zwei Jahre nach der Sintflut ,</t>
  </si>
  <si>
    <t>file://conllu/de/bibl.de_luther1912.GEN.11.conllu#s12_0</t>
  </si>
  <si>
    <t>13</t>
  </si>
  <si>
    <t>leben</t>
  </si>
  <si>
    <t>und lebte darnach fünfhundert Jahre und zeugte Söhne und Töchter .</t>
  </si>
  <si>
    <t>file://conllu/de/bibl.de_luther1912.GEN.11.conllu#s13_0</t>
  </si>
  <si>
    <t>14</t>
  </si>
  <si>
    <t>sein (sein alt)</t>
  </si>
  <si>
    <t>Arphachsad war fünfunddreißig Jahre alt und zeugte Salah</t>
  </si>
  <si>
    <t>file://conllu/de/bibl.de_luther1912.GEN.11.conllu#s14_0</t>
  </si>
  <si>
    <t>15</t>
  </si>
  <si>
    <t>und lebte darnach vierhundertunddrei Jahre und zeugte Söhne und Töchter .</t>
  </si>
  <si>
    <t>file://conllu/de/bibl.de_luther1912.GEN.11.conllu#s15_0</t>
  </si>
  <si>
    <t>16</t>
  </si>
  <si>
    <t>Salah war dreißig Jahre alt und zeugte Eber</t>
  </si>
  <si>
    <t>file://conllu/de/bibl.de_luther1912.GEN.11.conllu#s16_0</t>
  </si>
  <si>
    <t>17</t>
  </si>
  <si>
    <t>file://conllu/de/bibl.de_luther1912.GEN.11.conllu#s17_0</t>
  </si>
  <si>
    <t>18</t>
  </si>
  <si>
    <t>Eber war vierunddreißig Jahre alt und zeugte Peleg</t>
  </si>
  <si>
    <t>file://conllu/de/bibl.de_luther1912.GEN.11.conllu#s18_0</t>
  </si>
  <si>
    <t>19</t>
  </si>
  <si>
    <t>und lebte darnach vierhundertunddreißig Jahre und zeugte Söhne und Töchter .</t>
  </si>
  <si>
    <t>file://conllu/de/bibl.de_luther1912.GEN.11.conllu#s19_0</t>
  </si>
  <si>
    <t>20</t>
  </si>
  <si>
    <t>Peleg war dreißig Jahre alt und zeugte Regu</t>
  </si>
  <si>
    <t>file://conllu/de/bibl.de_luther1912.GEN.11.conllu#s20_0</t>
  </si>
  <si>
    <t>21</t>
  </si>
  <si>
    <t>und lebte darnach zweihundertundneun Jahre und zeugte Söhne und Töchter .</t>
  </si>
  <si>
    <t>file://conllu/de/bibl.de_luther1912.GEN.11.conllu#s21_0</t>
  </si>
  <si>
    <t>22</t>
  </si>
  <si>
    <t>Regu war zweiundreißig Jahre alt und zeugte Serug</t>
  </si>
  <si>
    <t>file://conllu/de/bibl.de_luther1912.GEN.11.conllu#s22_0</t>
  </si>
  <si>
    <t>23</t>
  </si>
  <si>
    <t>und lebte darnach zweihundertundsieben Jahre und zeugte Söhne und Töchter .</t>
  </si>
  <si>
    <t>file://conllu/de/bibl.de_luther1912.GEN.11.conllu#s23_0</t>
  </si>
  <si>
    <t>24</t>
  </si>
  <si>
    <t>Serug war dreißig Jahre alt und zeugte Nahor</t>
  </si>
  <si>
    <t>file://conllu/de/bibl.de_luther1912.GEN.11.conllu#s24_0</t>
  </si>
  <si>
    <t>25</t>
  </si>
  <si>
    <t>und lebte darnach zweihundert Jahre und zeugte Söhne und Töchter .</t>
  </si>
  <si>
    <t>file://conllu/de/bibl.de_luther1912.GEN.11.conllu#s25_0</t>
  </si>
  <si>
    <t>26</t>
  </si>
  <si>
    <t>Nahor war neunundzwanzig Jahre alt und zeugte Tharah</t>
  </si>
  <si>
    <t>file://conllu/de/bibl.de_luther1912.GEN.11.conllu#s26_0</t>
  </si>
  <si>
    <t>27</t>
  </si>
  <si>
    <t>und lebte darnach hundertundneunzehn Jahre und zeugte Söhne und Töchter .</t>
  </si>
  <si>
    <t>file://conllu/de/bibl.de_luther1912.GEN.11.conllu#s27_0</t>
  </si>
  <si>
    <t>28</t>
  </si>
  <si>
    <t>Tharah war siebzig Jahre alt und zeugte Abram , Nahor und Haran .</t>
  </si>
  <si>
    <t>file://conllu/de/bibl.de_luther1912.GEN.11.conllu#s28_0</t>
  </si>
  <si>
    <t>29</t>
  </si>
  <si>
    <t>Dies sind die Geschlechter Tharahs : Tharah zeugte Abram , Nahor und Haran .</t>
  </si>
  <si>
    <t>file://conllu/de/bibl.de_luther1912.GEN.11.conllu#s29_0</t>
  </si>
  <si>
    <t>30</t>
  </si>
  <si>
    <t>zeugen</t>
  </si>
  <si>
    <t>Aber Haran zeugte Lot .</t>
  </si>
  <si>
    <t>file://conllu/de/bibl.de_luther1912.GEN.11.conllu#s30_0</t>
  </si>
  <si>
    <t>31</t>
  </si>
  <si>
    <t>sterben</t>
  </si>
  <si>
    <t>Haran aber starb vor seinem Vater Tharah in seinem Vaterlande zu Ur in Chaldäa .</t>
  </si>
  <si>
    <t>file://conllu/de/bibl.de_luther1912.GEN.11.conllu#s31_0</t>
  </si>
  <si>
    <t>32</t>
  </si>
  <si>
    <t>nehmen</t>
  </si>
  <si>
    <t>Da nahmen Abram und Nahor Weiber .</t>
  </si>
  <si>
    <t>file://conllu/de/bibl.de_luther1912.GEN.11.conllu#s32_0</t>
  </si>
  <si>
    <t>33</t>
  </si>
  <si>
    <t>Abrams Weib hieß Sarai , und Nahors Weib Milka , Harans Tochter , der ein Vater war der Milka und der Jiska .</t>
  </si>
  <si>
    <t>file://conllu/de/bibl.de_luther1912.GEN.11.conllu#s33_0</t>
  </si>
  <si>
    <t>34</t>
  </si>
  <si>
    <t>sein (sein unfruchtbar)</t>
  </si>
  <si>
    <t>Aber Sarai war unfruchtbar und hatte kein Kind .</t>
  </si>
  <si>
    <t>file://conllu/de/bibl.de_luther1912.GEN.11.conllu#s34_0</t>
  </si>
  <si>
    <t>35</t>
  </si>
  <si>
    <t>Da nahm Tharah seinen Sohn Abram und Lot , seines Sohnes Harans Sohn , und seine Schwiegertochter Sarai , seines Sohnes Abrams Weib , und führte sie aus Ur in Chaldäa , daß er ins in das Land Kanaan zöge ; und sie kamen gen Haran und wohnten daselbst .</t>
  </si>
  <si>
    <t>file://conllu/de/bibl.de_luther1912.GEN.11.conllu#s35_0</t>
  </si>
  <si>
    <t>36</t>
  </si>
  <si>
    <t>Und Tharah war zweihundertundfünf Jahre alt und starb in Haran .</t>
  </si>
  <si>
    <t>file://conllu/de/bibl.de_luther1912.GEN.11.conllu#s36_0</t>
  </si>
  <si>
    <t>WORD</t>
  </si>
  <si>
    <t>GR</t>
  </si>
  <si>
    <t>NP_TYPE</t>
  </si>
  <si>
    <t>REF_AUTO</t>
  </si>
  <si>
    <t>COREF</t>
  </si>
  <si>
    <t>REF</t>
  </si>
  <si>
    <t>IS</t>
  </si>
  <si>
    <t>CB</t>
  </si>
  <si>
    <t>GR_ANTE</t>
  </si>
  <si>
    <t>REF_DIST</t>
  </si>
  <si>
    <t>REF_DIST_ANTE</t>
  </si>
  <si>
    <t># text = Es hatte aber alle Welt einerlei Zunge und Sprache.</t>
  </si>
  <si>
    <t>Es</t>
  </si>
  <si>
    <t>SBJ</t>
  </si>
  <si>
    <t>pron.pper</t>
  </si>
  <si>
    <t>?OLD</t>
  </si>
  <si>
    <t>hatte</t>
  </si>
  <si>
    <t>aber</t>
  </si>
  <si>
    <t>alle</t>
  </si>
  <si>
    <t>other_3</t>
  </si>
  <si>
    <t>pron.pind</t>
  </si>
  <si>
    <t>Welt</t>
  </si>
  <si>
    <t>SBJ_2</t>
  </si>
  <si>
    <t>indef-np.quant</t>
  </si>
  <si>
    <t>einerlei</t>
  </si>
  <si>
    <t>Zunge</t>
  </si>
  <si>
    <t>OBJ</t>
  </si>
  <si>
    <t>und</t>
  </si>
  <si>
    <t>Sprache</t>
  </si>
  <si>
    <t>other_2</t>
  </si>
  <si>
    <t>indef-np.bare</t>
  </si>
  <si>
    <t>.</t>
  </si>
  <si>
    <t># text = Da sie nun zogen gen Morgen, fanden sie ein ebenes Land im Lande Sinear, und wohnten daselbst.</t>
  </si>
  <si>
    <t>Da</t>
  </si>
  <si>
    <t>sie</t>
  </si>
  <si>
    <t>pron</t>
  </si>
  <si>
    <t>nun</t>
  </si>
  <si>
    <t>zogen</t>
  </si>
  <si>
    <t>gen</t>
  </si>
  <si>
    <t>Morgen</t>
  </si>
  <si>
    <t>,</t>
  </si>
  <si>
    <t>fanden</t>
  </si>
  <si>
    <t>ein</t>
  </si>
  <si>
    <t>ebenes</t>
  </si>
  <si>
    <t>Land</t>
  </si>
  <si>
    <t>indef-np.a</t>
  </si>
  <si>
    <t>in</t>
  </si>
  <si>
    <t>dem</t>
  </si>
  <si>
    <t>Lande</t>
  </si>
  <si>
    <t>def-np.the</t>
  </si>
  <si>
    <t>Sinear</t>
  </si>
  <si>
    <t>ne</t>
  </si>
  <si>
    <t>wohnten</t>
  </si>
  <si>
    <t>daselbst</t>
  </si>
  <si>
    <t># text = Und sie sprachen untereinander: Wohlauf, laß uns Ziegel streichen und brennen! und nahmen Ziegel zu Stein und Erdharz zu Kalk</t>
  </si>
  <si>
    <t>Und</t>
  </si>
  <si>
    <t>sprachen</t>
  </si>
  <si>
    <t>untereinander</t>
  </si>
  <si>
    <t>:</t>
  </si>
  <si>
    <t>Wohlauf</t>
  </si>
  <si>
    <t>laß</t>
  </si>
  <si>
    <t>uns</t>
  </si>
  <si>
    <t>OBJ_2</t>
  </si>
  <si>
    <t>Ziegel</t>
  </si>
  <si>
    <t>streichen</t>
  </si>
  <si>
    <t>brennen</t>
  </si>
  <si>
    <t>!</t>
  </si>
  <si>
    <t>nahmen</t>
  </si>
  <si>
    <t>zu</t>
  </si>
  <si>
    <t>other_4</t>
  </si>
  <si>
    <t>Stein</t>
  </si>
  <si>
    <t>Erdharz</t>
  </si>
  <si>
    <t>Kalk</t>
  </si>
  <si>
    <t>other</t>
  </si>
  <si>
    <t># text = und sprachen: Wohlauf, laßt uns eine Stadt und einen Turm bauen, des Spitze bis an den Himmel reiche, daß wir uns einen Namen machen!</t>
  </si>
  <si>
    <t>pron.padv</t>
  </si>
  <si>
    <t>laßt</t>
  </si>
  <si>
    <t>eine</t>
  </si>
  <si>
    <t>Stadt</t>
  </si>
  <si>
    <t>einen</t>
  </si>
  <si>
    <t>Turm</t>
  </si>
  <si>
    <t>bauen</t>
  </si>
  <si>
    <t>des</t>
  </si>
  <si>
    <t>Spitze</t>
  </si>
  <si>
    <t>bis</t>
  </si>
  <si>
    <t>an</t>
  </si>
  <si>
    <t>den</t>
  </si>
  <si>
    <t>Himmel</t>
  </si>
  <si>
    <t>reiche</t>
  </si>
  <si>
    <t>daß</t>
  </si>
  <si>
    <t>wir</t>
  </si>
  <si>
    <t>SBJ_4</t>
  </si>
  <si>
    <t>OBJ_4</t>
  </si>
  <si>
    <t>Namen</t>
  </si>
  <si>
    <t>machen</t>
  </si>
  <si>
    <t># text = denn wir werden sonst zerstreut in alle Länder.</t>
  </si>
  <si>
    <t>denn</t>
  </si>
  <si>
    <t>werden</t>
  </si>
  <si>
    <t>sonst</t>
  </si>
  <si>
    <t>zerstreut</t>
  </si>
  <si>
    <t>Länder</t>
  </si>
  <si>
    <t># text = Da fuhr der HERR hernieder, daß er sähe die Stadt und den Turm, die die Menschenkinder bauten.</t>
  </si>
  <si>
    <t>fuhr</t>
  </si>
  <si>
    <t>der</t>
  </si>
  <si>
    <t>HERR</t>
  </si>
  <si>
    <t>hernieder</t>
  </si>
  <si>
    <t>er</t>
  </si>
  <si>
    <t>sähe</t>
  </si>
  <si>
    <t>die</t>
  </si>
  <si>
    <t>Menschenkinder</t>
  </si>
  <si>
    <t>bauten</t>
  </si>
  <si>
    <t># text = Und der HERR sprach: Siehe, es ist einerlei Volk und einerlei Sprache unter ihnen allen, und haben das angefangen zu tun;</t>
  </si>
  <si>
    <t>sprach</t>
  </si>
  <si>
    <t>Siehe</t>
  </si>
  <si>
    <t>es</t>
  </si>
  <si>
    <t>SBJ_3</t>
  </si>
  <si>
    <t>ist</t>
  </si>
  <si>
    <t>Volk</t>
  </si>
  <si>
    <t>unter</t>
  </si>
  <si>
    <t>ihnen</t>
  </si>
  <si>
    <t>allen</t>
  </si>
  <si>
    <t>das</t>
  </si>
  <si>
    <t>angefangen</t>
  </si>
  <si>
    <t>tun</t>
  </si>
  <si>
    <t>;</t>
  </si>
  <si>
    <t># text = sie werden nicht ablassen von allem, was sie sich vorgenommen haben zu tun.</t>
  </si>
  <si>
    <t>nicht</t>
  </si>
  <si>
    <t>von</t>
  </si>
  <si>
    <t>allem</t>
  </si>
  <si>
    <t>was</t>
  </si>
  <si>
    <t>sich</t>
  </si>
  <si>
    <t>vorgenommen</t>
  </si>
  <si>
    <t># text = Wohlauf, laßt uns herniederfahren und ihre Sprache daselbst verwirren, daß keiner des andern Sprache verstehe!</t>
  </si>
  <si>
    <t>herniederfahren</t>
  </si>
  <si>
    <t>ihre</t>
  </si>
  <si>
    <t>indef-np</t>
  </si>
  <si>
    <t>verwirren</t>
  </si>
  <si>
    <t>keiner</t>
  </si>
  <si>
    <t>andern</t>
  </si>
  <si>
    <t>OBJ_5</t>
  </si>
  <si>
    <t>verstehe</t>
  </si>
  <si>
    <t># text = Also zerstreute sie der HERR von dort alle Länder, daß sie mußten aufhören die Stadt zu bauen.</t>
  </si>
  <si>
    <t>Also</t>
  </si>
  <si>
    <t>zerstreute</t>
  </si>
  <si>
    <t>dort</t>
  </si>
  <si>
    <t>mußten</t>
  </si>
  <si>
    <t>aufhören</t>
  </si>
  <si>
    <t># text = Daher heißt ihr Name Babel, daß der HERR daselbst verwirrt hatte aller Länder Sprache und sie zerstreut von dort in alle Länder.</t>
  </si>
  <si>
    <t>Daher</t>
  </si>
  <si>
    <t>heißt</t>
  </si>
  <si>
    <t>ihr</t>
  </si>
  <si>
    <t>Name</t>
  </si>
  <si>
    <t>Babel</t>
  </si>
  <si>
    <t>verwirrt</t>
  </si>
  <si>
    <t>aller</t>
  </si>
  <si>
    <t># text = Dies sind die Geschlechter Sems: Sem war hundert Jahre alt und zeugte Arphachsad, zwei Jahre nach der Sintflut,</t>
  </si>
  <si>
    <t>Dies</t>
  </si>
  <si>
    <t>pron.pds</t>
  </si>
  <si>
    <t>sind</t>
  </si>
  <si>
    <t>Geschlechter</t>
  </si>
  <si>
    <t>Sems</t>
  </si>
  <si>
    <t>Sem</t>
  </si>
  <si>
    <t>war</t>
  </si>
  <si>
    <t>hundert</t>
  </si>
  <si>
    <t>Jahre</t>
  </si>
  <si>
    <t>alt</t>
  </si>
  <si>
    <t>zeugte</t>
  </si>
  <si>
    <t>Arphachsad</t>
  </si>
  <si>
    <t>zwei</t>
  </si>
  <si>
    <t>nach</t>
  </si>
  <si>
    <t>Sintflut</t>
  </si>
  <si>
    <t># text = und lebte darnach fünfhundert Jahre und zeugte Söhne und Töchter.</t>
  </si>
  <si>
    <t>lebte</t>
  </si>
  <si>
    <t>darnach</t>
  </si>
  <si>
    <t>fünfhundert</t>
  </si>
  <si>
    <t>Söhne</t>
  </si>
  <si>
    <t>Töchter</t>
  </si>
  <si>
    <t># text = Arphachsad war fünfunddreißig Jahre alt und zeugte Salah</t>
  </si>
  <si>
    <t>fünfunddreißig</t>
  </si>
  <si>
    <t>Salah</t>
  </si>
  <si>
    <t># text = und lebte darnach vierhundertunddrei Jahre und zeugte Söhne und Töchter.</t>
  </si>
  <si>
    <t>vierhundertunddrei</t>
  </si>
  <si>
    <t># text = Salah war dreißig Jahre alt und zeugte Eber</t>
  </si>
  <si>
    <t>dreißig</t>
  </si>
  <si>
    <t>Eber</t>
  </si>
  <si>
    <t># text = Eber war vierunddreißig Jahre alt und zeugte Peleg</t>
  </si>
  <si>
    <t>vierunddreißig</t>
  </si>
  <si>
    <t>Peleg</t>
  </si>
  <si>
    <t># text = und lebte darnach vierhundertunddreißig Jahre und zeugte Söhne und Töchter.</t>
  </si>
  <si>
    <t>vierhundertunddreißig</t>
  </si>
  <si>
    <t># text = Peleg war dreißig Jahre alt und zeugte Regu</t>
  </si>
  <si>
    <t>Regu</t>
  </si>
  <si>
    <t># text = und lebte darnach zweihundertundneun Jahre und zeugte Söhne und Töchter.</t>
  </si>
  <si>
    <t>zweihundertundneun</t>
  </si>
  <si>
    <t># text = Regu war zweiundreißig Jahre alt und zeugte Serug</t>
  </si>
  <si>
    <t>zweiundreißig</t>
  </si>
  <si>
    <t>Serug</t>
  </si>
  <si>
    <t># text = und lebte darnach zweihundertundsieben Jahre und zeugte Söhne und Töchter.</t>
  </si>
  <si>
    <t>zweihundertundsieben</t>
  </si>
  <si>
    <t># text = Serug war dreißig Jahre alt und zeugte Nahor</t>
  </si>
  <si>
    <t>Nahor</t>
  </si>
  <si>
    <t># text = und lebte darnach zweihundert Jahre und zeugte Söhne und Töchter.</t>
  </si>
  <si>
    <t>zweihundert</t>
  </si>
  <si>
    <t># text = Nahor war neunundzwanzig Jahre alt und zeugte Tharah</t>
  </si>
  <si>
    <t>neunundzwanzig</t>
  </si>
  <si>
    <t>Tharah</t>
  </si>
  <si>
    <t># text = und lebte darnach hundertundneunzehn Jahre und zeugte Söhne und Töchter.</t>
  </si>
  <si>
    <t>hundertundneunzehn</t>
  </si>
  <si>
    <t># text = Tharah war siebzig Jahre alt und zeugte Abram, Nahor und Haran.</t>
  </si>
  <si>
    <t>siebzig</t>
  </si>
  <si>
    <t>Abram</t>
  </si>
  <si>
    <t>Haran</t>
  </si>
  <si>
    <t># text = Dies sind die Geschlechter Tharahs: Tharah zeugte Abram, Nahor und Haran.</t>
  </si>
  <si>
    <t>Tharahs</t>
  </si>
  <si>
    <t># text = Aber Haran zeugte Lot.</t>
  </si>
  <si>
    <t>Aber</t>
  </si>
  <si>
    <t>Lot</t>
  </si>
  <si>
    <t># text = Haran aber starb vor seinem Vater Tharah in seinem Vaterlande zu Ur in Chaldäa.</t>
  </si>
  <si>
    <t>starb</t>
  </si>
  <si>
    <t>vor</t>
  </si>
  <si>
    <t>seinem</t>
  </si>
  <si>
    <t>Vater</t>
  </si>
  <si>
    <t>Vaterlande</t>
  </si>
  <si>
    <t>Ur</t>
  </si>
  <si>
    <t>Chaldäa</t>
  </si>
  <si>
    <t># text = Da nahmen Abram und Nahor Weiber.</t>
  </si>
  <si>
    <t>Weiber</t>
  </si>
  <si>
    <t># text = Abrams Weib hieß Sarai, und Nahors Weib Milka, Harans Tochter, der ein Vater war der Milka und der Jiska.</t>
  </si>
  <si>
    <t>Abrams</t>
  </si>
  <si>
    <t>Weib</t>
  </si>
  <si>
    <t>hieß</t>
  </si>
  <si>
    <t>Sarai</t>
  </si>
  <si>
    <t>Nahors</t>
  </si>
  <si>
    <t>Milka</t>
  </si>
  <si>
    <t>Harans</t>
  </si>
  <si>
    <t>Tochter</t>
  </si>
  <si>
    <t>Jiska</t>
  </si>
  <si>
    <t># text = Aber Sarai war unfruchtbar und hatte kein Kind.</t>
  </si>
  <si>
    <t>unfruchtbar</t>
  </si>
  <si>
    <t>kein</t>
  </si>
  <si>
    <t>Kind</t>
  </si>
  <si>
    <t># text = Da nahm Tharah seinen Sohn Abram und Lot, seines Sohnes Harans Sohn, und seine Schwiegertochter Sarai, seines Sohnes Abrams Weib, und führte sie aus Ur in Chaldäa, daß er ins Land Kanaan zöge; und sie kamen gen Haran und wohnten daselbst.</t>
  </si>
  <si>
    <t>nahm</t>
  </si>
  <si>
    <t>seinen</t>
  </si>
  <si>
    <t>Sohn</t>
  </si>
  <si>
    <t>seines</t>
  </si>
  <si>
    <t>Sohnes</t>
  </si>
  <si>
    <t>def-np.poss</t>
  </si>
  <si>
    <t>seine</t>
  </si>
  <si>
    <t>Schwiegertochter</t>
  </si>
  <si>
    <t>führte</t>
  </si>
  <si>
    <t>aus</t>
  </si>
  <si>
    <t>Kanaan</t>
  </si>
  <si>
    <t>zöge</t>
  </si>
  <si>
    <t>kamen</t>
  </si>
  <si>
    <t># text = Und Tharah war zweihundertundfünf Jahre alt und starb in Haran.</t>
  </si>
  <si>
    <t>zweihundertundfünf</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</si>
</sst>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37"/>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t="s">
        <v>15</v>
      </c>
      <c r="H2" s="10" t="s">
        <v>12</v>
      </c>
      <c r="I2" s="11" t="s">
        <v>12</v>
      </c>
      <c r="J2" s="12"/>
    </row>
    <row r="3" spans="1:10" ht="60" customHeight="1">
      <c r="A3" s="6" t="s">
        <v>11</v>
      </c>
      <c r="B3" s="6" t="s">
        <v>16</v>
      </c>
      <c r="C3" s="6" t="s">
        <v>12</v>
      </c>
      <c r="D3" s="7" t="s">
        <v>17</v>
      </c>
      <c r="E3" s="8" t="s">
        <v>18</v>
      </c>
      <c r="F3" s="6" t="s">
        <v>19</v>
      </c>
      <c r="G3" s="9" t="s">
        <v>19</v>
      </c>
      <c r="H3" s="10" t="s">
        <v>12</v>
      </c>
      <c r="I3" s="11" t="s">
        <v>12</v>
      </c>
      <c r="J3" s="12"/>
    </row>
    <row r="4" spans="1:10" ht="60" customHeight="1">
      <c r="A4" s="6" t="s">
        <v>20</v>
      </c>
      <c r="B4" s="6" t="s">
        <v>20</v>
      </c>
      <c r="C4" s="6" t="s">
        <v>12</v>
      </c>
      <c r="D4" s="7" t="s">
        <v>21</v>
      </c>
      <c r="E4" s="8" t="s">
        <v>22</v>
      </c>
      <c r="F4" s="6" t="s">
        <v>23</v>
      </c>
      <c r="G4" s="9" t="s">
        <v>23</v>
      </c>
      <c r="H4" s="10" t="s">
        <v>12</v>
      </c>
      <c r="I4" s="11" t="s">
        <v>12</v>
      </c>
      <c r="J4" s="12"/>
    </row>
    <row r="5" spans="1:10" ht="60" customHeight="1">
      <c r="A5" s="6" t="s">
        <v>24</v>
      </c>
      <c r="B5" s="6" t="s">
        <v>25</v>
      </c>
      <c r="C5" s="6" t="s">
        <v>12</v>
      </c>
      <c r="D5" s="7" t="s">
        <v>26</v>
      </c>
      <c r="E5" s="8" t="s">
        <v>27</v>
      </c>
      <c r="F5" s="6" t="s">
        <v>28</v>
      </c>
      <c r="G5" s="9" t="s">
        <v>28</v>
      </c>
      <c r="H5" s="10" t="s">
        <v>12</v>
      </c>
      <c r="I5" s="11" t="s">
        <v>12</v>
      </c>
      <c r="J5" s="12"/>
    </row>
    <row r="6" spans="1:10" ht="60" customHeight="1">
      <c r="A6" s="6" t="s">
        <v>29</v>
      </c>
      <c r="B6" s="6" t="s">
        <v>29</v>
      </c>
      <c r="C6" s="6" t="s">
        <v>12</v>
      </c>
      <c r="D6" s="7" t="s">
        <v>30</v>
      </c>
      <c r="E6" s="8" t="s">
        <v>31</v>
      </c>
      <c r="F6" s="6" t="s">
        <v>32</v>
      </c>
      <c r="G6" s="9" t="s">
        <v>32</v>
      </c>
      <c r="H6" s="10" t="s">
        <v>12</v>
      </c>
      <c r="I6" s="11" t="s">
        <v>12</v>
      </c>
      <c r="J6" s="12"/>
    </row>
    <row r="7" spans="1:10" ht="60" customHeight="1">
      <c r="A7" s="6" t="s">
        <v>25</v>
      </c>
      <c r="B7" s="6" t="s">
        <v>11</v>
      </c>
      <c r="C7" s="6" t="s">
        <v>12</v>
      </c>
      <c r="D7" s="7" t="s">
        <v>33</v>
      </c>
      <c r="E7" s="8" t="s">
        <v>34</v>
      </c>
      <c r="F7" s="6" t="s">
        <v>35</v>
      </c>
      <c r="G7" s="9" t="s">
        <v>35</v>
      </c>
      <c r="H7" s="10" t="s">
        <v>12</v>
      </c>
      <c r="I7" s="11" t="s">
        <v>12</v>
      </c>
      <c r="J7" s="12"/>
    </row>
    <row r="8" spans="1:10" ht="60" customHeight="1">
      <c r="A8" s="6" t="s">
        <v>36</v>
      </c>
      <c r="B8" s="6" t="s">
        <v>24</v>
      </c>
      <c r="C8" s="6" t="s">
        <v>12</v>
      </c>
      <c r="D8" s="7" t="s">
        <v>21</v>
      </c>
      <c r="E8" s="8" t="s">
        <v>37</v>
      </c>
      <c r="F8" s="6" t="s">
        <v>38</v>
      </c>
      <c r="G8" s="9" t="s">
        <v>38</v>
      </c>
      <c r="H8" s="10" t="s">
        <v>12</v>
      </c>
      <c r="I8" s="11" t="s">
        <v>12</v>
      </c>
      <c r="J8" s="12"/>
    </row>
    <row r="9" spans="1:10" ht="60" customHeight="1">
      <c r="A9" s="6" t="s">
        <v>16</v>
      </c>
      <c r="B9" s="6" t="s">
        <v>24</v>
      </c>
      <c r="C9" s="6" t="s">
        <v>39</v>
      </c>
      <c r="D9" s="7" t="s">
        <v>40</v>
      </c>
      <c r="E9" s="8" t="s">
        <v>41</v>
      </c>
      <c r="F9" s="6" t="s">
        <v>42</v>
      </c>
      <c r="G9" s="9" t="s">
        <v>42</v>
      </c>
      <c r="H9" s="10" t="s">
        <v>12</v>
      </c>
      <c r="I9" s="11" t="s">
        <v>12</v>
      </c>
      <c r="J9" s="12"/>
    </row>
    <row r="10" spans="1:10" ht="60" customHeight="1">
      <c r="A10" s="6" t="s">
        <v>43</v>
      </c>
      <c r="B10" s="6" t="s">
        <v>20</v>
      </c>
      <c r="C10" s="6" t="s">
        <v>12</v>
      </c>
      <c r="D10" s="7" t="s">
        <v>26</v>
      </c>
      <c r="E10" s="8" t="s">
        <v>44</v>
      </c>
      <c r="F10" s="6" t="s">
        <v>45</v>
      </c>
      <c r="G10" s="9" t="s">
        <v>45</v>
      </c>
      <c r="H10" s="10" t="s">
        <v>12</v>
      </c>
      <c r="I10" s="11" t="s">
        <v>12</v>
      </c>
      <c r="J10" s="12"/>
    </row>
    <row r="11" spans="1:10" ht="60" customHeight="1">
      <c r="A11" s="6" t="s">
        <v>46</v>
      </c>
      <c r="B11" s="6" t="s">
        <v>11</v>
      </c>
      <c r="C11" s="6" t="s">
        <v>12</v>
      </c>
      <c r="D11" s="7" t="s">
        <v>30</v>
      </c>
      <c r="E11" s="8" t="s">
        <v>47</v>
      </c>
      <c r="F11" s="6" t="s">
        <v>48</v>
      </c>
      <c r="G11" s="9" t="s">
        <v>48</v>
      </c>
      <c r="H11" s="10" t="s">
        <v>12</v>
      </c>
      <c r="I11" s="11" t="s">
        <v>12</v>
      </c>
      <c r="J11" s="12"/>
    </row>
    <row r="12" spans="1:10" ht="60" customHeight="1">
      <c r="A12" s="6" t="s">
        <v>49</v>
      </c>
      <c r="B12" s="6" t="s">
        <v>11</v>
      </c>
      <c r="C12" s="6" t="s">
        <v>12</v>
      </c>
      <c r="D12" s="7" t="s">
        <v>50</v>
      </c>
      <c r="E12" s="8" t="s">
        <v>51</v>
      </c>
      <c r="F12" s="6" t="s">
        <v>52</v>
      </c>
      <c r="G12" s="9" t="s">
        <v>52</v>
      </c>
      <c r="H12" s="10" t="s">
        <v>12</v>
      </c>
      <c r="I12" s="11" t="s">
        <v>12</v>
      </c>
      <c r="J12" s="12"/>
    </row>
    <row r="13" spans="1:10" ht="60" customHeight="1">
      <c r="A13" s="6" t="s">
        <v>53</v>
      </c>
      <c r="B13" s="6" t="s">
        <v>11</v>
      </c>
      <c r="C13" s="6" t="s">
        <v>12</v>
      </c>
      <c r="D13" s="7" t="s">
        <v>54</v>
      </c>
      <c r="E13" s="8" t="s">
        <v>55</v>
      </c>
      <c r="F13" s="6" t="s">
        <v>56</v>
      </c>
      <c r="G13" s="9" t="s">
        <v>56</v>
      </c>
      <c r="H13" s="10" t="s">
        <v>12</v>
      </c>
      <c r="I13" s="11" t="s">
        <v>12</v>
      </c>
      <c r="J13" s="12"/>
    </row>
    <row r="14" spans="1:10" ht="60" customHeight="1">
      <c r="A14" s="6" t="s">
        <v>57</v>
      </c>
      <c r="B14" s="6" t="s">
        <v>11</v>
      </c>
      <c r="C14" s="6" t="s">
        <v>12</v>
      </c>
      <c r="D14" s="7" t="s">
        <v>58</v>
      </c>
      <c r="E14" s="8" t="s">
        <v>59</v>
      </c>
      <c r="F14" s="6" t="s">
        <v>60</v>
      </c>
      <c r="G14" s="9" t="s">
        <v>60</v>
      </c>
      <c r="H14" s="10" t="s">
        <v>12</v>
      </c>
      <c r="I14" s="11" t="s">
        <v>12</v>
      </c>
      <c r="J14" s="12"/>
    </row>
    <row r="15" spans="1:10" ht="60" customHeight="1">
      <c r="A15" s="6" t="s">
        <v>61</v>
      </c>
      <c r="B15" s="6" t="s">
        <v>11</v>
      </c>
      <c r="C15" s="6" t="s">
        <v>12</v>
      </c>
      <c r="D15" s="7" t="s">
        <v>62</v>
      </c>
      <c r="E15" s="8" t="s">
        <v>63</v>
      </c>
      <c r="F15" s="6" t="s">
        <v>64</v>
      </c>
      <c r="G15" s="9" t="s">
        <v>64</v>
      </c>
      <c r="H15" s="10" t="s">
        <v>12</v>
      </c>
      <c r="I15" s="11" t="s">
        <v>12</v>
      </c>
      <c r="J15" s="12"/>
    </row>
    <row r="16" spans="1:10" ht="60" customHeight="1">
      <c r="A16" s="6" t="s">
        <v>65</v>
      </c>
      <c r="B16" s="6" t="s">
        <v>11</v>
      </c>
      <c r="C16" s="6" t="s">
        <v>12</v>
      </c>
      <c r="D16" s="7" t="s">
        <v>58</v>
      </c>
      <c r="E16" s="8" t="s">
        <v>66</v>
      </c>
      <c r="F16" s="6" t="s">
        <v>67</v>
      </c>
      <c r="G16" s="9" t="s">
        <v>67</v>
      </c>
      <c r="H16" s="10" t="s">
        <v>12</v>
      </c>
      <c r="I16" s="11" t="s">
        <v>12</v>
      </c>
      <c r="J16" s="12"/>
    </row>
    <row r="17" spans="1:10" ht="60" customHeight="1">
      <c r="A17" s="6" t="s">
        <v>68</v>
      </c>
      <c r="B17" s="6" t="s">
        <v>11</v>
      </c>
      <c r="C17" s="6" t="s">
        <v>12</v>
      </c>
      <c r="D17" s="7" t="s">
        <v>62</v>
      </c>
      <c r="E17" s="8" t="s">
        <v>69</v>
      </c>
      <c r="F17" s="6" t="s">
        <v>70</v>
      </c>
      <c r="G17" s="9" t="s">
        <v>70</v>
      </c>
      <c r="H17" s="10" t="s">
        <v>12</v>
      </c>
      <c r="I17" s="11" t="s">
        <v>12</v>
      </c>
      <c r="J17" s="12"/>
    </row>
    <row r="18" spans="1:10" ht="60" customHeight="1">
      <c r="A18" s="6" t="s">
        <v>71</v>
      </c>
      <c r="B18" s="6" t="s">
        <v>11</v>
      </c>
      <c r="C18" s="6" t="s">
        <v>12</v>
      </c>
      <c r="D18" s="7" t="s">
        <v>58</v>
      </c>
      <c r="E18" s="8" t="s">
        <v>66</v>
      </c>
      <c r="F18" s="6" t="s">
        <v>72</v>
      </c>
      <c r="G18" s="9" t="s">
        <v>72</v>
      </c>
      <c r="H18" s="10" t="s">
        <v>12</v>
      </c>
      <c r="I18" s="11" t="s">
        <v>12</v>
      </c>
      <c r="J18" s="12"/>
    </row>
    <row r="19" spans="1:10" ht="60" customHeight="1">
      <c r="A19" s="6" t="s">
        <v>73</v>
      </c>
      <c r="B19" s="6" t="s">
        <v>11</v>
      </c>
      <c r="C19" s="6" t="s">
        <v>12</v>
      </c>
      <c r="D19" s="7" t="s">
        <v>62</v>
      </c>
      <c r="E19" s="8" t="s">
        <v>74</v>
      </c>
      <c r="F19" s="6" t="s">
        <v>75</v>
      </c>
      <c r="G19" s="9" t="s">
        <v>75</v>
      </c>
      <c r="H19" s="10" t="s">
        <v>12</v>
      </c>
      <c r="I19" s="11" t="s">
        <v>12</v>
      </c>
      <c r="J19" s="12"/>
    </row>
    <row r="20" spans="1:10" ht="60" customHeight="1">
      <c r="A20" s="6" t="s">
        <v>76</v>
      </c>
      <c r="B20" s="6" t="s">
        <v>11</v>
      </c>
      <c r="C20" s="6" t="s">
        <v>12</v>
      </c>
      <c r="D20" s="7" t="s">
        <v>58</v>
      </c>
      <c r="E20" s="8" t="s">
        <v>77</v>
      </c>
      <c r="F20" s="6" t="s">
        <v>78</v>
      </c>
      <c r="G20" s="9" t="s">
        <v>78</v>
      </c>
      <c r="H20" s="10" t="s">
        <v>12</v>
      </c>
      <c r="I20" s="11" t="s">
        <v>12</v>
      </c>
      <c r="J20" s="12"/>
    </row>
    <row r="21" spans="1:10" ht="60" customHeight="1">
      <c r="A21" s="6" t="s">
        <v>79</v>
      </c>
      <c r="B21" s="6" t="s">
        <v>11</v>
      </c>
      <c r="C21" s="6" t="s">
        <v>12</v>
      </c>
      <c r="D21" s="7" t="s">
        <v>62</v>
      </c>
      <c r="E21" s="8" t="s">
        <v>80</v>
      </c>
      <c r="F21" s="6" t="s">
        <v>81</v>
      </c>
      <c r="G21" s="9" t="s">
        <v>81</v>
      </c>
      <c r="H21" s="10" t="s">
        <v>12</v>
      </c>
      <c r="I21" s="11" t="s">
        <v>12</v>
      </c>
      <c r="J21" s="12"/>
    </row>
    <row r="22" spans="1:10" ht="60" customHeight="1">
      <c r="A22" s="6" t="s">
        <v>82</v>
      </c>
      <c r="B22" s="6" t="s">
        <v>11</v>
      </c>
      <c r="C22" s="6" t="s">
        <v>12</v>
      </c>
      <c r="D22" s="7" t="s">
        <v>58</v>
      </c>
      <c r="E22" s="8" t="s">
        <v>83</v>
      </c>
      <c r="F22" s="6" t="s">
        <v>84</v>
      </c>
      <c r="G22" s="9" t="s">
        <v>84</v>
      </c>
      <c r="H22" s="10" t="s">
        <v>12</v>
      </c>
      <c r="I22" s="11" t="s">
        <v>12</v>
      </c>
      <c r="J22" s="12"/>
    </row>
    <row r="23" spans="1:10" ht="60" customHeight="1">
      <c r="A23" s="6" t="s">
        <v>85</v>
      </c>
      <c r="B23" s="6" t="s">
        <v>11</v>
      </c>
      <c r="C23" s="6" t="s">
        <v>12</v>
      </c>
      <c r="D23" s="7" t="s">
        <v>62</v>
      </c>
      <c r="E23" s="8" t="s">
        <v>86</v>
      </c>
      <c r="F23" s="6" t="s">
        <v>87</v>
      </c>
      <c r="G23" s="9" t="s">
        <v>87</v>
      </c>
      <c r="H23" s="10" t="s">
        <v>12</v>
      </c>
      <c r="I23" s="11" t="s">
        <v>12</v>
      </c>
      <c r="J23" s="12"/>
    </row>
    <row r="24" spans="1:10" ht="60" customHeight="1">
      <c r="A24" s="6" t="s">
        <v>88</v>
      </c>
      <c r="B24" s="6" t="s">
        <v>11</v>
      </c>
      <c r="C24" s="6" t="s">
        <v>12</v>
      </c>
      <c r="D24" s="7" t="s">
        <v>58</v>
      </c>
      <c r="E24" s="8" t="s">
        <v>89</v>
      </c>
      <c r="F24" s="6" t="s">
        <v>90</v>
      </c>
      <c r="G24" s="9" t="s">
        <v>90</v>
      </c>
      <c r="H24" s="10" t="s">
        <v>12</v>
      </c>
      <c r="I24" s="11" t="s">
        <v>12</v>
      </c>
      <c r="J24" s="12"/>
    </row>
    <row r="25" spans="1:10" ht="60" customHeight="1">
      <c r="A25" s="6" t="s">
        <v>91</v>
      </c>
      <c r="B25" s="6" t="s">
        <v>11</v>
      </c>
      <c r="C25" s="6" t="s">
        <v>12</v>
      </c>
      <c r="D25" s="7" t="s">
        <v>62</v>
      </c>
      <c r="E25" s="8" t="s">
        <v>92</v>
      </c>
      <c r="F25" s="6" t="s">
        <v>93</v>
      </c>
      <c r="G25" s="9" t="s">
        <v>93</v>
      </c>
      <c r="H25" s="10" t="s">
        <v>12</v>
      </c>
      <c r="I25" s="11" t="s">
        <v>12</v>
      </c>
      <c r="J25" s="12"/>
    </row>
    <row r="26" spans="1:10" ht="60" customHeight="1">
      <c r="A26" s="6" t="s">
        <v>94</v>
      </c>
      <c r="B26" s="6" t="s">
        <v>11</v>
      </c>
      <c r="C26" s="6" t="s">
        <v>12</v>
      </c>
      <c r="D26" s="7" t="s">
        <v>58</v>
      </c>
      <c r="E26" s="8" t="s">
        <v>95</v>
      </c>
      <c r="F26" s="6" t="s">
        <v>96</v>
      </c>
      <c r="G26" s="9" t="s">
        <v>96</v>
      </c>
      <c r="H26" s="10" t="s">
        <v>12</v>
      </c>
      <c r="I26" s="11" t="s">
        <v>12</v>
      </c>
      <c r="J26" s="12"/>
    </row>
    <row r="27" spans="1:10" ht="60" customHeight="1">
      <c r="A27" s="6" t="s">
        <v>97</v>
      </c>
      <c r="B27" s="6" t="s">
        <v>11</v>
      </c>
      <c r="C27" s="6" t="s">
        <v>12</v>
      </c>
      <c r="D27" s="7" t="s">
        <v>62</v>
      </c>
      <c r="E27" s="8" t="s">
        <v>98</v>
      </c>
      <c r="F27" s="6" t="s">
        <v>99</v>
      </c>
      <c r="G27" s="9" t="s">
        <v>99</v>
      </c>
      <c r="H27" s="10" t="s">
        <v>12</v>
      </c>
      <c r="I27" s="11" t="s">
        <v>12</v>
      </c>
      <c r="J27" s="12"/>
    </row>
    <row r="28" spans="1:10" ht="60" customHeight="1">
      <c r="A28" s="6" t="s">
        <v>100</v>
      </c>
      <c r="B28" s="6" t="s">
        <v>11</v>
      </c>
      <c r="C28" s="6" t="s">
        <v>12</v>
      </c>
      <c r="D28" s="7" t="s">
        <v>58</v>
      </c>
      <c r="E28" s="8" t="s">
        <v>101</v>
      </c>
      <c r="F28" s="6" t="s">
        <v>102</v>
      </c>
      <c r="G28" s="9" t="s">
        <v>102</v>
      </c>
      <c r="H28" s="10" t="s">
        <v>12</v>
      </c>
      <c r="I28" s="11" t="s">
        <v>12</v>
      </c>
      <c r="J28" s="12"/>
    </row>
    <row r="29" spans="1:10" ht="60" customHeight="1">
      <c r="A29" s="6" t="s">
        <v>103</v>
      </c>
      <c r="B29" s="6" t="s">
        <v>11</v>
      </c>
      <c r="C29" s="6" t="s">
        <v>12</v>
      </c>
      <c r="D29" s="7" t="s">
        <v>62</v>
      </c>
      <c r="E29" s="8" t="s">
        <v>104</v>
      </c>
      <c r="F29" s="6" t="s">
        <v>105</v>
      </c>
      <c r="G29" s="9" t="s">
        <v>105</v>
      </c>
      <c r="H29" s="10" t="s">
        <v>12</v>
      </c>
      <c r="I29" s="11" t="s">
        <v>12</v>
      </c>
      <c r="J29" s="12"/>
    </row>
    <row r="30" spans="1:10" ht="60" customHeight="1">
      <c r="A30" s="6" t="s">
        <v>106</v>
      </c>
      <c r="B30" s="6" t="s">
        <v>11</v>
      </c>
      <c r="C30" s="6" t="s">
        <v>12</v>
      </c>
      <c r="D30" s="7" t="s">
        <v>54</v>
      </c>
      <c r="E30" s="8" t="s">
        <v>107</v>
      </c>
      <c r="F30" s="6" t="s">
        <v>108</v>
      </c>
      <c r="G30" s="9" t="s">
        <v>108</v>
      </c>
      <c r="H30" s="10" t="s">
        <v>12</v>
      </c>
      <c r="I30" s="11" t="s">
        <v>12</v>
      </c>
      <c r="J30" s="12"/>
    </row>
    <row r="31" spans="1:10" ht="60" customHeight="1">
      <c r="A31" s="6" t="s">
        <v>109</v>
      </c>
      <c r="B31" s="6" t="s">
        <v>20</v>
      </c>
      <c r="C31" s="6" t="s">
        <v>12</v>
      </c>
      <c r="D31" s="7" t="s">
        <v>110</v>
      </c>
      <c r="E31" s="8" t="s">
        <v>111</v>
      </c>
      <c r="F31" s="6" t="s">
        <v>112</v>
      </c>
      <c r="G31" s="9" t="s">
        <v>112</v>
      </c>
      <c r="H31" s="10" t="s">
        <v>12</v>
      </c>
      <c r="I31" s="11" t="s">
        <v>12</v>
      </c>
      <c r="J31" s="12"/>
    </row>
    <row r="32" spans="1:10" ht="60" customHeight="1">
      <c r="A32" s="6" t="s">
        <v>113</v>
      </c>
      <c r="B32" s="6" t="s">
        <v>20</v>
      </c>
      <c r="C32" s="6" t="s">
        <v>12</v>
      </c>
      <c r="D32" s="7" t="s">
        <v>114</v>
      </c>
      <c r="E32" s="8" t="s">
        <v>115</v>
      </c>
      <c r="F32" s="6" t="s">
        <v>116</v>
      </c>
      <c r="G32" s="9" t="s">
        <v>116</v>
      </c>
      <c r="H32" s="10" t="s">
        <v>12</v>
      </c>
      <c r="I32" s="11" t="s">
        <v>12</v>
      </c>
      <c r="J32" s="12"/>
    </row>
    <row r="33" spans="1:10" ht="60" customHeight="1">
      <c r="A33" s="6" t="s">
        <v>117</v>
      </c>
      <c r="B33" s="6" t="s">
        <v>11</v>
      </c>
      <c r="C33" s="6" t="s">
        <v>12</v>
      </c>
      <c r="D33" s="7" t="s">
        <v>118</v>
      </c>
      <c r="E33" s="8" t="s">
        <v>119</v>
      </c>
      <c r="F33" s="6" t="s">
        <v>120</v>
      </c>
      <c r="G33" s="9" t="s">
        <v>120</v>
      </c>
      <c r="H33" s="10" t="s">
        <v>12</v>
      </c>
      <c r="I33" s="11" t="s">
        <v>12</v>
      </c>
      <c r="J33" s="12"/>
    </row>
    <row r="34" spans="1:10" ht="60" customHeight="1">
      <c r="A34" s="6" t="s">
        <v>121</v>
      </c>
      <c r="B34" s="6" t="s">
        <v>20</v>
      </c>
      <c r="C34" s="6" t="s">
        <v>12</v>
      </c>
      <c r="D34" s="7" t="s">
        <v>50</v>
      </c>
      <c r="E34" s="8" t="s">
        <v>122</v>
      </c>
      <c r="F34" s="6" t="s">
        <v>123</v>
      </c>
      <c r="G34" s="9" t="s">
        <v>123</v>
      </c>
      <c r="H34" s="10" t="s">
        <v>12</v>
      </c>
      <c r="I34" s="11" t="s">
        <v>12</v>
      </c>
      <c r="J34" s="12"/>
    </row>
    <row r="35" spans="1:10" ht="60" customHeight="1">
      <c r="A35" s="6" t="s">
        <v>124</v>
      </c>
      <c r="B35" s="6" t="s">
        <v>20</v>
      </c>
      <c r="C35" s="6" t="s">
        <v>12</v>
      </c>
      <c r="D35" s="7" t="s">
        <v>125</v>
      </c>
      <c r="E35" s="8" t="s">
        <v>126</v>
      </c>
      <c r="F35" s="6" t="s">
        <v>127</v>
      </c>
      <c r="G35" s="9" t="s">
        <v>127</v>
      </c>
      <c r="H35" s="10" t="s">
        <v>12</v>
      </c>
      <c r="I35" s="11" t="s">
        <v>12</v>
      </c>
      <c r="J35" s="12"/>
    </row>
    <row r="36" spans="1:10" ht="60" customHeight="1">
      <c r="A36" s="6" t="s">
        <v>128</v>
      </c>
      <c r="B36" s="6" t="s">
        <v>11</v>
      </c>
      <c r="C36" s="6" t="s">
        <v>12</v>
      </c>
      <c r="D36" s="7" t="s">
        <v>118</v>
      </c>
      <c r="E36" s="8" t="s">
        <v>129</v>
      </c>
      <c r="F36" s="6" t="s">
        <v>130</v>
      </c>
      <c r="G36" s="9" t="s">
        <v>130</v>
      </c>
      <c r="H36" s="10" t="s">
        <v>12</v>
      </c>
      <c r="I36" s="11" t="s">
        <v>12</v>
      </c>
      <c r="J36" s="12"/>
    </row>
    <row r="37" spans="1:10" ht="60" customHeight="1">
      <c r="A37" s="6" t="s">
        <v>131</v>
      </c>
      <c r="B37" s="6" t="s">
        <v>20</v>
      </c>
      <c r="C37" s="6" t="s">
        <v>12</v>
      </c>
      <c r="D37" s="7" t="s">
        <v>62</v>
      </c>
      <c r="E37" s="8" t="s">
        <v>132</v>
      </c>
      <c r="F37" s="6" t="s">
        <v>133</v>
      </c>
      <c r="G37" s="9" t="s">
        <v>133</v>
      </c>
      <c r="H37" s="10" t="s">
        <v>12</v>
      </c>
      <c r="I37" s="11" t="s">
        <v>12</v>
      </c>
      <c r="J37"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597"/>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134</v>
      </c>
      <c r="B1" s="13" t="s">
        <v>135</v>
      </c>
      <c r="C1" s="13" t="s">
        <v>136</v>
      </c>
      <c r="D1" s="13" t="s">
        <v>137</v>
      </c>
      <c r="E1" s="14" t="s">
        <v>138</v>
      </c>
      <c r="F1" s="15" t="s">
        <v>139</v>
      </c>
      <c r="G1" s="16" t="s">
        <v>140</v>
      </c>
      <c r="H1" s="17" t="s">
        <v>141</v>
      </c>
      <c r="I1" s="18" t="s">
        <v>142</v>
      </c>
      <c r="J1" s="18" t="s">
        <v>143</v>
      </c>
      <c r="K1" s="18" t="s">
        <v>144</v>
      </c>
      <c r="L1" s="19" t="s">
        <v>9</v>
      </c>
    </row>
    <row r="2" spans="1:12">
      <c r="A2" s="20" t="s">
        <v>145</v>
      </c>
    </row>
    <row r="3" spans="1:12">
      <c r="A3" s="20" t="s">
        <v>146</v>
      </c>
      <c r="B3" s="21" t="s">
        <v>147</v>
      </c>
      <c r="C3" s="21" t="s">
        <v>148</v>
      </c>
      <c r="D3" s="21" t="s">
        <v>149</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150</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151</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t="s">
        <v>152</v>
      </c>
      <c r="B6" s="21" t="s">
        <v>153</v>
      </c>
      <c r="C6" s="21" t="s">
        <v>154</v>
      </c>
      <c r="E6" s="22">
        <f>IF(D6="?OLD","!!!","")</f>
        <v/>
      </c>
      <c r="F6" s="23" t="str">
        <f>IF(OR(E6="",E6="!!!"),"",IF(NOT(ISNA(VLOOKUP(E6,E$1:E5,1,FALSE()))),"OLD",IF(AND(E6&lt;&gt;"",E6&lt;&gt;"!!!"),"NEW","")))</f>
        <v> </v>
      </c>
      <c r="G6" s="24" t="str">
        <f>IF(OR(E6="",E6="!!!"),"",IF(OR(J6=0,AND(J6=1,K6=1),AND(J6=1,I6="SBJ"),AND(J6=1,I6=0)),"?IN_FOCUS",IF(J6&lt;=2,"?ACTIVATED",IF(J6&lt;&gt;"","?FAMILIAR",IF(F6="NEW",IF(ISNA(VLOOKUP(E6,#REF!,1,FALSE())),"?TYPE_IDENTIFIABLE","?REFERENTIAL"),"_")))))</f>
        <v> </v>
      </c>
      <c r="H6" s="25" t="str">
        <f>IF(J6&lt;&gt;1,"",IF(I6="SBJ","CB","?"))</f>
        <v> </v>
      </c>
      <c r="I6" s="26" t="str">
        <f>IF(OR(E6="",E6="!!!",F6="NEW"),"",INDEX(B5:B$2,-1+SUMPRODUCT(MAX(ROW(E5:E$2)*(E6=E5:E$2)))))</f>
        <v> </v>
      </c>
      <c r="J6" s="26" t="str">
        <f>IF(OR(E6="",E6="!!!",F6="NEW"),"",COUNTBLANK(OFFSET(A$1,,,SUMPRODUCT(MAX(ROW(E$2:E6)*(E6=E$2:E6)))))-COUNTBLANK(OFFSET(A$1,,,SUMPRODUCT(MAX(ROW(E$1:E5)*(E2=E$1:E5))))))</f>
        <v> </v>
      </c>
      <c r="K6" s="26" t="str">
        <f>IF(OR(E6="",E6="!!!",F6="NEW"),"",INDEX(J$1:J5,SUMPRODUCT(MAX(ROW(E$1:E5)*(E6=E$1:E5)))))</f>
        <v> </v>
      </c>
      <c r="L6" s="27"/>
    </row>
    <row r="7" spans="1:12">
      <c r="A7" s="20" t="s">
        <v>155</v>
      </c>
      <c r="B7" s="21" t="s">
        <v>156</v>
      </c>
      <c r="C7" s="21" t="s">
        <v>157</v>
      </c>
      <c r="E7" s="22">
        <f>IF(D7="?OLD","!!!","")</f>
        <v/>
      </c>
      <c r="F7" s="23" t="str">
        <f>IF(OR(E7="",E7="!!!"),"",IF(NOT(ISNA(VLOOKUP(E7,E$1:E6,1,FALSE()))),"OLD",IF(AND(E7&lt;&gt;"",E7&lt;&gt;"!!!"),"NEW","")))</f>
        <v> </v>
      </c>
      <c r="G7" s="24" t="str">
        <f>IF(OR(E7="",E7="!!!"),"",IF(OR(J7=0,AND(J7=1,K7=1),AND(J7=1,I7="SBJ"),AND(J7=1,I7=0)),"?IN_FOCUS",IF(J7&lt;=2,"?ACTIVATED",IF(J7&lt;&gt;"","?FAMILIAR",IF(F7="NEW",IF(ISNA(VLOOKUP(E7,#REF!,1,FALSE())),"?TYPE_IDENTIFIABLE","?REFERENTIAL"),"_")))))</f>
        <v> </v>
      </c>
      <c r="H7" s="25" t="str">
        <f>IF(J7&lt;&gt;1,"",IF(I7="SBJ","CB","?"))</f>
        <v> </v>
      </c>
      <c r="I7" s="26" t="str">
        <f>IF(OR(E7="",E7="!!!",F7="NEW"),"",INDEX(B6:B$2,-1+SUMPRODUCT(MAX(ROW(E6:E$2)*(E7=E6:E$2)))))</f>
        <v> </v>
      </c>
      <c r="J7" s="26" t="str">
        <f>IF(OR(E7="",E7="!!!",F7="NEW"),"",COUNTBLANK(OFFSET(A$1,,,SUMPRODUCT(MAX(ROW(E$2:E7)*(E7=E$2:E7)))))-COUNTBLANK(OFFSET(A$1,,,SUMPRODUCT(MAX(ROW(E$1:E6)*(E2=E$1:E6))))))</f>
        <v> </v>
      </c>
      <c r="K7" s="26" t="str">
        <f>IF(OR(E7="",E7="!!!",F7="NEW"),"",INDEX(J$1:J6,SUMPRODUCT(MAX(ROW(E$1:E6)*(E7=E$1:E6)))))</f>
        <v> </v>
      </c>
      <c r="L7" s="27"/>
    </row>
    <row r="8" spans="1:12">
      <c r="A8" s="20" t="s">
        <v>158</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159</v>
      </c>
      <c r="B9" s="21" t="s">
        <v>160</v>
      </c>
      <c r="C9" s="21" t="s">
        <v>157</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161</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t="s">
        <v>162</v>
      </c>
      <c r="B11" s="21" t="s">
        <v>163</v>
      </c>
      <c r="C11" s="21" t="s">
        <v>164</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165</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row>
    <row r="14" spans="1:12">
      <c r="A14" s="20" t="s">
        <v>166</v>
      </c>
    </row>
    <row r="15" spans="1:12">
      <c r="A15" s="20" t="s">
        <v>167</v>
      </c>
      <c r="E15" s="22">
        <f>IF(D15="?OLD","!!!","")</f>
        <v/>
      </c>
      <c r="F15" s="23" t="str">
        <f>IF(OR(E15="",E15="!!!"),"",IF(NOT(ISNA(VLOOKUP(E15,E$1:E14,1,FALSE()))),"OLD",IF(AND(E15&lt;&gt;"",E15&lt;&gt;"!!!"),"NEW","")))</f>
        <v> </v>
      </c>
      <c r="G15" s="24" t="str">
        <f>IF(OR(E15="",E15="!!!"),"",IF(OR(J15=0,AND(J15=1,K15=1),AND(J15=1,I15="SBJ"),AND(J15=1,I15=0)),"?IN_FOCUS",IF(J15&lt;=2,"?ACTIVATED",IF(J15&lt;&gt;"","?FAMILIAR",IF(F15="NEW",IF(ISNA(VLOOKUP(E15,#REF!,1,FALSE())),"?TYPE_IDENTIFIABLE","?REFERENTIAL"),"_")))))</f>
        <v> </v>
      </c>
      <c r="H15" s="25" t="str">
        <f>IF(J15&lt;&gt;1,"",IF(I15="SBJ","CB","?"))</f>
        <v> </v>
      </c>
      <c r="I15" s="26" t="str">
        <f>IF(OR(E15="",E15="!!!",F15="NEW"),"",INDEX(B14:B$2,-1+SUMPRODUCT(MAX(ROW(E14:E$2)*(E15=E14:E$2)))))</f>
        <v> </v>
      </c>
      <c r="J15" s="26" t="str">
        <f>IF(OR(E15="",E15="!!!",F15="NEW"),"",COUNTBLANK(OFFSET(A$1,,,SUMPRODUCT(MAX(ROW(E$2:E15)*(E15=E$2:E15)))))-COUNTBLANK(OFFSET(A$1,,,SUMPRODUCT(MAX(ROW(E$1:E14)*(E2=E$1:E14))))))</f>
        <v> </v>
      </c>
      <c r="K15" s="26" t="str">
        <f>IF(OR(E15="",E15="!!!",F15="NEW"),"",INDEX(J$1:J14,SUMPRODUCT(MAX(ROW(E$1:E14)*(E15=E$1:E14)))))</f>
        <v> </v>
      </c>
      <c r="L15" s="27"/>
    </row>
    <row r="16" spans="1:12">
      <c r="A16" s="20" t="s">
        <v>168</v>
      </c>
      <c r="B16" s="21" t="s">
        <v>156</v>
      </c>
      <c r="C16" s="21" t="s">
        <v>169</v>
      </c>
      <c r="D16" s="21" t="s">
        <v>149</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t="s">
        <v>170</v>
      </c>
      <c r="E17" s="22">
        <f>IF(D17="?OLD","!!!","")</f>
        <v/>
      </c>
      <c r="F17" s="23" t="str">
        <f>IF(OR(E17="",E17="!!!"),"",IF(NOT(ISNA(VLOOKUP(E17,E$1:E16,1,FALSE()))),"OLD",IF(AND(E17&lt;&gt;"",E17&lt;&gt;"!!!"),"NEW","")))</f>
        <v> </v>
      </c>
      <c r="G17" s="24" t="str">
        <f>IF(OR(E17="",E17="!!!"),"",IF(OR(J17=0,AND(J17=1,K17=1),AND(J17=1,I17="SBJ"),AND(J17=1,I17=0)),"?IN_FOCUS",IF(J17&lt;=2,"?ACTIVATED",IF(J17&lt;&gt;"","?FAMILIAR",IF(F17="NEW",IF(ISNA(VLOOKUP(E17,#REF!,1,FALSE())),"?TYPE_IDENTIFIABLE","?REFERENTIAL"),"_")))))</f>
        <v> </v>
      </c>
      <c r="H17" s="25" t="str">
        <f>IF(J17&lt;&gt;1,"",IF(I17="SBJ","CB","?"))</f>
        <v> </v>
      </c>
      <c r="I17" s="26" t="str">
        <f>IF(OR(E17="",E17="!!!",F17="NEW"),"",INDEX(B16:B$2,-1+SUMPRODUCT(MAX(ROW(E16:E$2)*(E17=E16:E$2)))))</f>
        <v> </v>
      </c>
      <c r="J17" s="26" t="str">
        <f>IF(OR(E17="",E17="!!!",F17="NEW"),"",COUNTBLANK(OFFSET(A$1,,,SUMPRODUCT(MAX(ROW(E$2:E17)*(E17=E$2:E17)))))-COUNTBLANK(OFFSET(A$1,,,SUMPRODUCT(MAX(ROW(E$1:E16)*(E2=E$1:E16))))))</f>
        <v> </v>
      </c>
      <c r="K17" s="26" t="str">
        <f>IF(OR(E17="",E17="!!!",F17="NEW"),"",INDEX(J$1:J16,SUMPRODUCT(MAX(ROW(E$1:E16)*(E17=E$1:E16)))))</f>
        <v> </v>
      </c>
      <c r="L17" s="27"/>
    </row>
    <row r="18" spans="1:12">
      <c r="A18" s="20" t="s">
        <v>171</v>
      </c>
      <c r="E18" s="22">
        <f>IF(D18="?OLD","!!!","")</f>
        <v/>
      </c>
      <c r="F18" s="23" t="str">
        <f>IF(OR(E18="",E18="!!!"),"",IF(NOT(ISNA(VLOOKUP(E18,E$1:E17,1,FALSE()))),"OLD",IF(AND(E18&lt;&gt;"",E18&lt;&gt;"!!!"),"NEW","")))</f>
        <v> </v>
      </c>
      <c r="G18" s="24" t="str">
        <f>IF(OR(E18="",E18="!!!"),"",IF(OR(J18=0,AND(J18=1,K18=1),AND(J18=1,I18="SBJ"),AND(J18=1,I18=0)),"?IN_FOCUS",IF(J18&lt;=2,"?ACTIVATED",IF(J18&lt;&gt;"","?FAMILIAR",IF(F18="NEW",IF(ISNA(VLOOKUP(E18,#REF!,1,FALSE())),"?TYPE_IDENTIFIABLE","?REFERENTIAL"),"_")))))</f>
        <v> </v>
      </c>
      <c r="H18" s="25" t="str">
        <f>IF(J18&lt;&gt;1,"",IF(I18="SBJ","CB","?"))</f>
        <v> </v>
      </c>
      <c r="I18" s="26" t="str">
        <f>IF(OR(E18="",E18="!!!",F18="NEW"),"",INDEX(B17:B$2,-1+SUMPRODUCT(MAX(ROW(E17:E$2)*(E18=E17:E$2)))))</f>
        <v> </v>
      </c>
      <c r="J18" s="26" t="str">
        <f>IF(OR(E18="",E18="!!!",F18="NEW"),"",COUNTBLANK(OFFSET(A$1,,,SUMPRODUCT(MAX(ROW(E$2:E18)*(E18=E$2:E18)))))-COUNTBLANK(OFFSET(A$1,,,SUMPRODUCT(MAX(ROW(E$1:E17)*(E2=E$1:E17))))))</f>
        <v> </v>
      </c>
      <c r="K18" s="26" t="str">
        <f>IF(OR(E18="",E18="!!!",F18="NEW"),"",INDEX(J$1:J17,SUMPRODUCT(MAX(ROW(E$1:E17)*(E18=E$1:E17)))))</f>
        <v> </v>
      </c>
      <c r="L18" s="27"/>
    </row>
    <row r="19" spans="1:12">
      <c r="A19" s="20" t="s">
        <v>172</v>
      </c>
      <c r="E19" s="22">
        <f>IF(D19="?OLD","!!!","")</f>
        <v/>
      </c>
      <c r="F19" s="23" t="str">
        <f>IF(OR(E19="",E19="!!!"),"",IF(NOT(ISNA(VLOOKUP(E19,E$1:E18,1,FALSE()))),"OLD",IF(AND(E19&lt;&gt;"",E19&lt;&gt;"!!!"),"NEW","")))</f>
        <v> </v>
      </c>
      <c r="G19" s="24" t="str">
        <f>IF(OR(E19="",E19="!!!"),"",IF(OR(J19=0,AND(J19=1,K19=1),AND(J19=1,I19="SBJ"),AND(J19=1,I19=0)),"?IN_FOCUS",IF(J19&lt;=2,"?ACTIVATED",IF(J19&lt;&gt;"","?FAMILIAR",IF(F19="NEW",IF(ISNA(VLOOKUP(E19,#REF!,1,FALSE())),"?TYPE_IDENTIFIABLE","?REFERENTIAL"),"_")))))</f>
        <v> </v>
      </c>
      <c r="H19" s="25" t="str">
        <f>IF(J19&lt;&gt;1,"",IF(I19="SBJ","CB","?"))</f>
        <v> </v>
      </c>
      <c r="I19" s="26" t="str">
        <f>IF(OR(E19="",E19="!!!",F19="NEW"),"",INDEX(B18:B$2,-1+SUMPRODUCT(MAX(ROW(E18:E$2)*(E19=E18:E$2)))))</f>
        <v> </v>
      </c>
      <c r="J19" s="26" t="str">
        <f>IF(OR(E19="",E19="!!!",F19="NEW"),"",COUNTBLANK(OFFSET(A$1,,,SUMPRODUCT(MAX(ROW(E$2:E19)*(E19=E$2:E19)))))-COUNTBLANK(OFFSET(A$1,,,SUMPRODUCT(MAX(ROW(E$1:E18)*(E2=E$1:E18))))))</f>
        <v> </v>
      </c>
      <c r="K19" s="26" t="str">
        <f>IF(OR(E19="",E19="!!!",F19="NEW"),"",INDEX(J$1:J18,SUMPRODUCT(MAX(ROW(E$1:E18)*(E19=E$1:E18)))))</f>
        <v> </v>
      </c>
      <c r="L19" s="27"/>
    </row>
    <row r="20" spans="1:12">
      <c r="A20" s="20" t="s">
        <v>173</v>
      </c>
      <c r="B20" s="21" t="s">
        <v>163</v>
      </c>
      <c r="C20" s="21" t="s">
        <v>164</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174</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175</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168</v>
      </c>
      <c r="B23" s="21" t="s">
        <v>147</v>
      </c>
      <c r="C23" s="21" t="s">
        <v>169</v>
      </c>
      <c r="D23" s="21" t="s">
        <v>149</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176</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177</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178</v>
      </c>
      <c r="B26" s="21" t="s">
        <v>160</v>
      </c>
      <c r="C26" s="21" t="s">
        <v>179</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t="s">
        <v>180</v>
      </c>
      <c r="E27" s="22">
        <f>IF(D27="?OLD","!!!","")</f>
        <v/>
      </c>
      <c r="F27" s="23" t="str">
        <f>IF(OR(E27="",E27="!!!"),"",IF(NOT(ISNA(VLOOKUP(E27,E$1:E26,1,FALSE()))),"OLD",IF(AND(E27&lt;&gt;"",E27&lt;&gt;"!!!"),"NEW","")))</f>
        <v> </v>
      </c>
      <c r="G27" s="24" t="str">
        <f>IF(OR(E27="",E27="!!!"),"",IF(OR(J27=0,AND(J27=1,K27=1),AND(J27=1,I27="SBJ"),AND(J27=1,I27=0)),"?IN_FOCUS",IF(J27&lt;=2,"?ACTIVATED",IF(J27&lt;&gt;"","?FAMILIAR",IF(F27="NEW",IF(ISNA(VLOOKUP(E27,#REF!,1,FALSE())),"?TYPE_IDENTIFIABLE","?REFERENTIAL"),"_")))))</f>
        <v> </v>
      </c>
      <c r="H27" s="25" t="str">
        <f>IF(J27&lt;&gt;1,"",IF(I27="SBJ","CB","?"))</f>
        <v> </v>
      </c>
      <c r="I27" s="26" t="str">
        <f>IF(OR(E27="",E27="!!!",F27="NEW"),"",INDEX(B26:B$2,-1+SUMPRODUCT(MAX(ROW(E26:E$2)*(E27=E26:E$2)))))</f>
        <v> </v>
      </c>
      <c r="J27" s="26" t="str">
        <f>IF(OR(E27="",E27="!!!",F27="NEW"),"",COUNTBLANK(OFFSET(A$1,,,SUMPRODUCT(MAX(ROW(E$2:E27)*(E27=E$2:E27)))))-COUNTBLANK(OFFSET(A$1,,,SUMPRODUCT(MAX(ROW(E$1:E26)*(E2=E$1:E26))))))</f>
        <v> </v>
      </c>
      <c r="K27" s="26" t="str">
        <f>IF(OR(E27="",E27="!!!",F27="NEW"),"",INDEX(J$1:J26,SUMPRODUCT(MAX(ROW(E$1:E26)*(E27=E$1:E26)))))</f>
        <v> </v>
      </c>
      <c r="L27" s="27"/>
    </row>
    <row r="28" spans="1:12">
      <c r="A28" s="20" t="s">
        <v>181</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t="s">
        <v>182</v>
      </c>
      <c r="B29" s="21" t="s">
        <v>163</v>
      </c>
      <c r="C29" s="21" t="s">
        <v>183</v>
      </c>
      <c r="D29" s="21" t="s">
        <v>149</v>
      </c>
      <c r="E29" s="22">
        <f>IF(D29="?OLD","!!!","")</f>
        <v/>
      </c>
      <c r="F29" s="23" t="str">
        <f>IF(OR(E29="",E29="!!!"),"",IF(NOT(ISNA(VLOOKUP(E29,E$1:E28,1,FALSE()))),"OLD",IF(AND(E29&lt;&gt;"",E29&lt;&gt;"!!!"),"NEW","")))</f>
        <v> </v>
      </c>
      <c r="G29" s="24" t="str">
        <f>IF(OR(E29="",E29="!!!"),"",IF(OR(J29=0,AND(J29=1,K29=1),AND(J29=1,I29="SBJ"),AND(J29=1,I29=0)),"?IN_FOCUS",IF(J29&lt;=2,"?ACTIVATED",IF(J29&lt;&gt;"","?FAMILIAR",IF(F29="NEW",IF(ISNA(VLOOKUP(E29,#REF!,1,FALSE())),"?TYPE_IDENTIFIABLE","?REFERENTIAL"),"_")))))</f>
        <v> </v>
      </c>
      <c r="H29" s="25" t="str">
        <f>IF(J29&lt;&gt;1,"",IF(I29="SBJ","CB","?"))</f>
        <v> </v>
      </c>
      <c r="I29" s="26" t="str">
        <f>IF(OR(E29="",E29="!!!",F29="NEW"),"",INDEX(B28:B$2,-1+SUMPRODUCT(MAX(ROW(E28:E$2)*(E29=E28:E$2)))))</f>
        <v> </v>
      </c>
      <c r="J29" s="26" t="str">
        <f>IF(OR(E29="",E29="!!!",F29="NEW"),"",COUNTBLANK(OFFSET(A$1,,,SUMPRODUCT(MAX(ROW(E$2:E29)*(E29=E$2:E29)))))-COUNTBLANK(OFFSET(A$1,,,SUMPRODUCT(MAX(ROW(E$1:E28)*(E2=E$1:E28))))))</f>
        <v> </v>
      </c>
      <c r="K29" s="26" t="str">
        <f>IF(OR(E29="",E29="!!!",F29="NEW"),"",INDEX(J$1:J28,SUMPRODUCT(MAX(ROW(E$1:E28)*(E29=E$1:E28)))))</f>
        <v> </v>
      </c>
      <c r="L29" s="27"/>
    </row>
    <row r="30" spans="1:12">
      <c r="A30" s="20" t="s">
        <v>184</v>
      </c>
      <c r="B30" s="21" t="s">
        <v>153</v>
      </c>
      <c r="C30" s="21" t="s">
        <v>185</v>
      </c>
      <c r="D30" s="21" t="s">
        <v>149</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174</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161</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186</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t="s">
        <v>187</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165</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row>
    <row r="37" spans="1:12">
      <c r="A37" s="20" t="s">
        <v>188</v>
      </c>
    </row>
    <row r="38" spans="1:12">
      <c r="A38" s="20" t="s">
        <v>189</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168</v>
      </c>
      <c r="B39" s="21" t="s">
        <v>147</v>
      </c>
      <c r="C39" s="21" t="s">
        <v>169</v>
      </c>
      <c r="D39" s="21" t="s">
        <v>149</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t="s">
        <v>190</v>
      </c>
      <c r="E40" s="22">
        <f>IF(D40="?OLD","!!!","")</f>
        <v/>
      </c>
      <c r="F40" s="23" t="str">
        <f>IF(OR(E40="",E40="!!!"),"",IF(NOT(ISNA(VLOOKUP(E40,E$1:E39,1,FALSE()))),"OLD",IF(AND(E40&lt;&gt;"",E40&lt;&gt;"!!!"),"NEW","")))</f>
        <v> </v>
      </c>
      <c r="G40" s="24" t="str">
        <f>IF(OR(E40="",E40="!!!"),"",IF(OR(J40=0,AND(J40=1,K40=1),AND(J40=1,I40="SBJ"),AND(J40=1,I40=0)),"?IN_FOCUS",IF(J40&lt;=2,"?ACTIVATED",IF(J40&lt;&gt;"","?FAMILIAR",IF(F40="NEW",IF(ISNA(VLOOKUP(E40,#REF!,1,FALSE())),"?TYPE_IDENTIFIABLE","?REFERENTIAL"),"_")))))</f>
        <v> </v>
      </c>
      <c r="H40" s="25" t="str">
        <f>IF(J40&lt;&gt;1,"",IF(I40="SBJ","CB","?"))</f>
        <v> </v>
      </c>
      <c r="I40" s="26" t="str">
        <f>IF(OR(E40="",E40="!!!",F40="NEW"),"",INDEX(B39:B$2,-1+SUMPRODUCT(MAX(ROW(E39:E$2)*(E40=E39:E$2)))))</f>
        <v> </v>
      </c>
      <c r="J40" s="26" t="str">
        <f>IF(OR(E40="",E40="!!!",F40="NEW"),"",COUNTBLANK(OFFSET(A$1,,,SUMPRODUCT(MAX(ROW(E$2:E40)*(E40=E$2:E40)))))-COUNTBLANK(OFFSET(A$1,,,SUMPRODUCT(MAX(ROW(E$1:E39)*(E2=E$1:E39))))))</f>
        <v> </v>
      </c>
      <c r="K40" s="26" t="str">
        <f>IF(OR(E40="",E40="!!!",F40="NEW"),"",INDEX(J$1:J39,SUMPRODUCT(MAX(ROW(E$1:E39)*(E40=E$1:E39)))))</f>
        <v> </v>
      </c>
      <c r="L40" s="27"/>
    </row>
    <row r="41" spans="1:12">
      <c r="A41" s="20" t="s">
        <v>191</v>
      </c>
      <c r="E41" s="22">
        <f>IF(D41="?OLD","!!!","")</f>
        <v/>
      </c>
      <c r="F41" s="23" t="str">
        <f>IF(OR(E41="",E41="!!!"),"",IF(NOT(ISNA(VLOOKUP(E41,E$1:E40,1,FALSE()))),"OLD",IF(AND(E41&lt;&gt;"",E41&lt;&gt;"!!!"),"NEW","")))</f>
        <v> </v>
      </c>
      <c r="G41" s="24" t="str">
        <f>IF(OR(E41="",E41="!!!"),"",IF(OR(J41=0,AND(J41=1,K41=1),AND(J41=1,I41="SBJ"),AND(J41=1,I41=0)),"?IN_FOCUS",IF(J41&lt;=2,"?ACTIVATED",IF(J41&lt;&gt;"","?FAMILIAR",IF(F41="NEW",IF(ISNA(VLOOKUP(E41,#REF!,1,FALSE())),"?TYPE_IDENTIFIABLE","?REFERENTIAL"),"_")))))</f>
        <v> </v>
      </c>
      <c r="H41" s="25" t="str">
        <f>IF(J41&lt;&gt;1,"",IF(I41="SBJ","CB","?"))</f>
        <v> </v>
      </c>
      <c r="I41" s="26" t="str">
        <f>IF(OR(E41="",E41="!!!",F41="NEW"),"",INDEX(B40:B$2,-1+SUMPRODUCT(MAX(ROW(E40:E$2)*(E41=E40:E$2)))))</f>
        <v> </v>
      </c>
      <c r="J41" s="26" t="str">
        <f>IF(OR(E41="",E41="!!!",F41="NEW"),"",COUNTBLANK(OFFSET(A$1,,,SUMPRODUCT(MAX(ROW(E$2:E41)*(E41=E$2:E41)))))-COUNTBLANK(OFFSET(A$1,,,SUMPRODUCT(MAX(ROW(E$1:E40)*(E2=E$1:E40))))))</f>
        <v> </v>
      </c>
      <c r="K41" s="26" t="str">
        <f>IF(OR(E41="",E41="!!!",F41="NEW"),"",INDEX(J$1:J40,SUMPRODUCT(MAX(ROW(E$1:E40)*(E41=E$1:E40)))))</f>
        <v> </v>
      </c>
      <c r="L41" s="27"/>
    </row>
    <row r="42" spans="1:12">
      <c r="A42" s="20" t="s">
        <v>192</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193</v>
      </c>
      <c r="B43" s="21" t="s">
        <v>160</v>
      </c>
      <c r="C43" s="21" t="s">
        <v>164</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174</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194</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195</v>
      </c>
      <c r="B46" s="21" t="s">
        <v>196</v>
      </c>
      <c r="C46" s="21" t="s">
        <v>169</v>
      </c>
      <c r="D46" s="21" t="s">
        <v>149</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197</v>
      </c>
      <c r="B47" s="21" t="s">
        <v>196</v>
      </c>
      <c r="C47" s="21" t="s">
        <v>164</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198</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t="s">
        <v>161</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t="s">
        <v>199</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200</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161</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201</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197</v>
      </c>
      <c r="B54" s="21" t="s">
        <v>196</v>
      </c>
      <c r="C54" s="21" t="s">
        <v>164</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202</v>
      </c>
      <c r="B55" s="21" t="s">
        <v>203</v>
      </c>
      <c r="C55" s="21" t="s">
        <v>154</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204</v>
      </c>
      <c r="B56" s="21" t="s">
        <v>153</v>
      </c>
      <c r="C56" s="21" t="s">
        <v>185</v>
      </c>
      <c r="D56" s="21" t="s">
        <v>149</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161</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205</v>
      </c>
      <c r="B58" s="21" t="s">
        <v>203</v>
      </c>
      <c r="C58" s="21" t="s">
        <v>185</v>
      </c>
      <c r="D58" s="21" t="s">
        <v>149</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202</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206</v>
      </c>
      <c r="B60" s="21" t="s">
        <v>207</v>
      </c>
      <c r="C60" s="21" t="s">
        <v>185</v>
      </c>
      <c r="D60" s="21" t="s">
        <v>149</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row>
    <row r="62" spans="1:12">
      <c r="A62" s="20" t="s">
        <v>208</v>
      </c>
    </row>
    <row r="63" spans="1:12">
      <c r="A63" s="20" t="s">
        <v>161</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190</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192</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193</v>
      </c>
      <c r="B66" s="21" t="s">
        <v>147</v>
      </c>
      <c r="C66" s="21" t="s">
        <v>209</v>
      </c>
      <c r="D66" s="21" t="s">
        <v>149</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174</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210</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t="s">
        <v>195</v>
      </c>
      <c r="B69" s="21" t="s">
        <v>160</v>
      </c>
      <c r="C69" s="21" t="s">
        <v>169</v>
      </c>
      <c r="D69" s="21" t="s">
        <v>149</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t="s">
        <v>211</v>
      </c>
      <c r="E70" s="22">
        <f>IF(D70="?OLD","!!!","")</f>
        <v/>
      </c>
      <c r="F70" s="23" t="str">
        <f>IF(OR(E70="",E70="!!!"),"",IF(NOT(ISNA(VLOOKUP(E70,E$1:E69,1,FALSE()))),"OLD",IF(AND(E70&lt;&gt;"",E70&lt;&gt;"!!!"),"NEW","")))</f>
        <v> </v>
      </c>
      <c r="G70" s="24" t="str">
        <f>IF(OR(E70="",E70="!!!"),"",IF(OR(J70=0,AND(J70=1,K70=1),AND(J70=1,I70="SBJ"),AND(J70=1,I70=0)),"?IN_FOCUS",IF(J70&lt;=2,"?ACTIVATED",IF(J70&lt;&gt;"","?FAMILIAR",IF(F70="NEW",IF(ISNA(VLOOKUP(E70,#REF!,1,FALSE())),"?TYPE_IDENTIFIABLE","?REFERENTIAL"),"_")))))</f>
        <v> </v>
      </c>
      <c r="H70" s="25" t="str">
        <f>IF(J70&lt;&gt;1,"",IF(I70="SBJ","CB","?"))</f>
        <v> </v>
      </c>
      <c r="I70" s="26" t="str">
        <f>IF(OR(E70="",E70="!!!",F70="NEW"),"",INDEX(B69:B$2,-1+SUMPRODUCT(MAX(ROW(E69:E$2)*(E70=E69:E$2)))))</f>
        <v> </v>
      </c>
      <c r="J70" s="26" t="str">
        <f>IF(OR(E70="",E70="!!!",F70="NEW"),"",COUNTBLANK(OFFSET(A$1,,,SUMPRODUCT(MAX(ROW(E$2:E70)*(E70=E$2:E70)))))-COUNTBLANK(OFFSET(A$1,,,SUMPRODUCT(MAX(ROW(E$1:E69)*(E2=E$1:E69))))))</f>
        <v> </v>
      </c>
      <c r="K70" s="26" t="str">
        <f>IF(OR(E70="",E70="!!!",F70="NEW"),"",INDEX(J$1:J69,SUMPRODUCT(MAX(ROW(E$1:E69)*(E70=E$1:E69)))))</f>
        <v> </v>
      </c>
      <c r="L70" s="27"/>
    </row>
    <row r="71" spans="1:12">
      <c r="A71" s="20" t="s">
        <v>212</v>
      </c>
      <c r="B71" s="21" t="s">
        <v>196</v>
      </c>
      <c r="C71" s="21" t="s">
        <v>179</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t="s">
        <v>161</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t="s">
        <v>213</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t="s">
        <v>214</v>
      </c>
      <c r="B74" s="21" t="s">
        <v>153</v>
      </c>
      <c r="C74" s="21" t="s">
        <v>179</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t="s">
        <v>215</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t="s">
        <v>174</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t="s">
        <v>216</v>
      </c>
      <c r="E77" s="22">
        <f>IF(D77="?OLD","!!!","")</f>
        <v/>
      </c>
      <c r="F77" s="23" t="str">
        <f>IF(OR(E77="",E77="!!!"),"",IF(NOT(ISNA(VLOOKUP(E77,E$1:E76,1,FALSE()))),"OLD",IF(AND(E77&lt;&gt;"",E77&lt;&gt;"!!!"),"NEW","")))</f>
        <v> </v>
      </c>
      <c r="G77" s="24" t="str">
        <f>IF(OR(E77="",E77="!!!"),"",IF(OR(J77=0,AND(J77=1,K77=1),AND(J77=1,I77="SBJ"),AND(J77=1,I77=0)),"?IN_FOCUS",IF(J77&lt;=2,"?ACTIVATED",IF(J77&lt;&gt;"","?FAMILIAR",IF(F77="NEW",IF(ISNA(VLOOKUP(E77,#REF!,1,FALSE())),"?TYPE_IDENTIFIABLE","?REFERENTIAL"),"_")))))</f>
        <v> </v>
      </c>
      <c r="H77" s="25" t="str">
        <f>IF(J77&lt;&gt;1,"",IF(I77="SBJ","CB","?"))</f>
        <v> </v>
      </c>
      <c r="I77" s="26" t="str">
        <f>IF(OR(E77="",E77="!!!",F77="NEW"),"",INDEX(B76:B$2,-1+SUMPRODUCT(MAX(ROW(E76:E$2)*(E77=E76:E$2)))))</f>
        <v> </v>
      </c>
      <c r="J77" s="26" t="str">
        <f>IF(OR(E77="",E77="!!!",F77="NEW"),"",COUNTBLANK(OFFSET(A$1,,,SUMPRODUCT(MAX(ROW(E$2:E77)*(E77=E$2:E77)))))-COUNTBLANK(OFFSET(A$1,,,SUMPRODUCT(MAX(ROW(E$1:E76)*(E2=E$1:E76))))))</f>
        <v> </v>
      </c>
      <c r="K77" s="26" t="str">
        <f>IF(OR(E77="",E77="!!!",F77="NEW"),"",INDEX(J$1:J76,SUMPRODUCT(MAX(ROW(E$1:E76)*(E77=E$1:E76)))))</f>
        <v> </v>
      </c>
      <c r="L77" s="27"/>
    </row>
    <row r="78" spans="1:12">
      <c r="A78" s="20" t="s">
        <v>217</v>
      </c>
      <c r="B78" s="21" t="s">
        <v>163</v>
      </c>
      <c r="C78" s="21" t="s">
        <v>183</v>
      </c>
      <c r="D78" s="21" t="s">
        <v>149</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t="s">
        <v>218</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219</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220</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221</v>
      </c>
      <c r="B82" s="21" t="s">
        <v>163</v>
      </c>
      <c r="C82" s="21" t="s">
        <v>183</v>
      </c>
      <c r="D82" s="21" t="s">
        <v>149</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222</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174</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223</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t="s">
        <v>224</v>
      </c>
      <c r="B86" s="21" t="s">
        <v>225</v>
      </c>
      <c r="C86" s="21" t="s">
        <v>169</v>
      </c>
      <c r="D86" s="21" t="s">
        <v>149</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t="s">
        <v>195</v>
      </c>
      <c r="B87" s="21" t="s">
        <v>226</v>
      </c>
      <c r="C87" s="21" t="s">
        <v>169</v>
      </c>
      <c r="D87" s="21" t="s">
        <v>149</v>
      </c>
      <c r="E87" s="22">
        <f>IF(D87="?OLD","!!!","")</f>
        <v/>
      </c>
      <c r="F87" s="23" t="str">
        <f>IF(OR(E87="",E87="!!!"),"",IF(NOT(ISNA(VLOOKUP(E87,E$1:E86,1,FALSE()))),"OLD",IF(AND(E87&lt;&gt;"",E87&lt;&gt;"!!!"),"NEW","")))</f>
        <v> </v>
      </c>
      <c r="G87" s="24" t="str">
        <f>IF(OR(E87="",E87="!!!"),"",IF(OR(J87=0,AND(J87=1,K87=1),AND(J87=1,I87="SBJ"),AND(J87=1,I87=0)),"?IN_FOCUS",IF(J87&lt;=2,"?ACTIVATED",IF(J87&lt;&gt;"","?FAMILIAR",IF(F87="NEW",IF(ISNA(VLOOKUP(E87,#REF!,1,FALSE())),"?TYPE_IDENTIFIABLE","?REFERENTIAL"),"_")))))</f>
        <v> </v>
      </c>
      <c r="H87" s="25" t="str">
        <f>IF(J87&lt;&gt;1,"",IF(I87="SBJ","CB","?"))</f>
        <v> </v>
      </c>
      <c r="I87" s="26" t="str">
        <f>IF(OR(E87="",E87="!!!",F87="NEW"),"",INDEX(B86:B$2,-1+SUMPRODUCT(MAX(ROW(E86:E$2)*(E87=E86:E$2)))))</f>
        <v> </v>
      </c>
      <c r="J87" s="26" t="str">
        <f>IF(OR(E87="",E87="!!!",F87="NEW"),"",COUNTBLANK(OFFSET(A$1,,,SUMPRODUCT(MAX(ROW(E$2:E87)*(E87=E$2:E87)))))-COUNTBLANK(OFFSET(A$1,,,SUMPRODUCT(MAX(ROW(E$1:E86)*(E2=E$1:E86))))))</f>
        <v> </v>
      </c>
      <c r="K87" s="26" t="str">
        <f>IF(OR(E87="",E87="!!!",F87="NEW"),"",INDEX(J$1:J86,SUMPRODUCT(MAX(ROW(E$1:E86)*(E87=E$1:E86)))))</f>
        <v> </v>
      </c>
      <c r="L87" s="27"/>
    </row>
    <row r="88" spans="1:12">
      <c r="A88" s="20" t="s">
        <v>213</v>
      </c>
      <c r="E88" s="22">
        <f>IF(D88="?OLD","!!!","")</f>
        <v/>
      </c>
      <c r="F88" s="23" t="str">
        <f>IF(OR(E88="",E88="!!!"),"",IF(NOT(ISNA(VLOOKUP(E88,E$1:E87,1,FALSE()))),"OLD",IF(AND(E88&lt;&gt;"",E88&lt;&gt;"!!!"),"NEW","")))</f>
        <v> </v>
      </c>
      <c r="G88" s="24" t="str">
        <f>IF(OR(E88="",E88="!!!"),"",IF(OR(J88=0,AND(J88=1,K88=1),AND(J88=1,I88="SBJ"),AND(J88=1,I88=0)),"?IN_FOCUS",IF(J88&lt;=2,"?ACTIVATED",IF(J88&lt;&gt;"","?FAMILIAR",IF(F88="NEW",IF(ISNA(VLOOKUP(E88,#REF!,1,FALSE())),"?TYPE_IDENTIFIABLE","?REFERENTIAL"),"_")))))</f>
        <v> </v>
      </c>
      <c r="H88" s="25" t="str">
        <f>IF(J88&lt;&gt;1,"",IF(I88="SBJ","CB","?"))</f>
        <v> </v>
      </c>
      <c r="I88" s="26" t="str">
        <f>IF(OR(E88="",E88="!!!",F88="NEW"),"",INDEX(B87:B$2,-1+SUMPRODUCT(MAX(ROW(E87:E$2)*(E88=E87:E$2)))))</f>
        <v> </v>
      </c>
      <c r="J88" s="26" t="str">
        <f>IF(OR(E88="",E88="!!!",F88="NEW"),"",COUNTBLANK(OFFSET(A$1,,,SUMPRODUCT(MAX(ROW(E$2:E88)*(E88=E$2:E88)))))-COUNTBLANK(OFFSET(A$1,,,SUMPRODUCT(MAX(ROW(E$1:E87)*(E2=E$1:E87))))))</f>
        <v> </v>
      </c>
      <c r="K88" s="26" t="str">
        <f>IF(OR(E88="",E88="!!!",F88="NEW"),"",INDEX(J$1:J87,SUMPRODUCT(MAX(ROW(E$1:E87)*(E88=E$1:E87)))))</f>
        <v> </v>
      </c>
      <c r="L88" s="27"/>
    </row>
    <row r="89" spans="1:12">
      <c r="A89" s="20" t="s">
        <v>227</v>
      </c>
      <c r="B89" s="21" t="s">
        <v>226</v>
      </c>
      <c r="C89" s="21" t="s">
        <v>179</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t="s">
        <v>228</v>
      </c>
      <c r="E90" s="22">
        <f>IF(D90="?OLD","!!!","")</f>
        <v/>
      </c>
      <c r="F90" s="23" t="str">
        <f>IF(OR(E90="",E90="!!!"),"",IF(NOT(ISNA(VLOOKUP(E90,E$1:E89,1,FALSE()))),"OLD",IF(AND(E90&lt;&gt;"",E90&lt;&gt;"!!!"),"NEW","")))</f>
        <v> </v>
      </c>
      <c r="G90" s="24" t="str">
        <f>IF(OR(E90="",E90="!!!"),"",IF(OR(J90=0,AND(J90=1,K90=1),AND(J90=1,I90="SBJ"),AND(J90=1,I90=0)),"?IN_FOCUS",IF(J90&lt;=2,"?ACTIVATED",IF(J90&lt;&gt;"","?FAMILIAR",IF(F90="NEW",IF(ISNA(VLOOKUP(E90,#REF!,1,FALSE())),"?TYPE_IDENTIFIABLE","?REFERENTIAL"),"_")))))</f>
        <v> </v>
      </c>
      <c r="H90" s="25" t="str">
        <f>IF(J90&lt;&gt;1,"",IF(I90="SBJ","CB","?"))</f>
        <v> </v>
      </c>
      <c r="I90" s="26" t="str">
        <f>IF(OR(E90="",E90="!!!",F90="NEW"),"",INDEX(B89:B$2,-1+SUMPRODUCT(MAX(ROW(E89:E$2)*(E90=E89:E$2)))))</f>
        <v> </v>
      </c>
      <c r="J90" s="26" t="str">
        <f>IF(OR(E90="",E90="!!!",F90="NEW"),"",COUNTBLANK(OFFSET(A$1,,,SUMPRODUCT(MAX(ROW(E$2:E90)*(E90=E$2:E90)))))-COUNTBLANK(OFFSET(A$1,,,SUMPRODUCT(MAX(ROW(E$1:E89)*(E2=E$1:E89))))))</f>
        <v> </v>
      </c>
      <c r="K90" s="26" t="str">
        <f>IF(OR(E90="",E90="!!!",F90="NEW"),"",INDEX(J$1:J89,SUMPRODUCT(MAX(ROW(E$1:E89)*(E90=E$1:E89)))))</f>
        <v> </v>
      </c>
      <c r="L90" s="27"/>
    </row>
    <row r="91" spans="1:12">
      <c r="A91" s="20" t="s">
        <v>200</v>
      </c>
      <c r="E91" s="22">
        <f>IF(D91="?OLD","!!!","")</f>
        <v/>
      </c>
      <c r="F91" s="23" t="str">
        <f>IF(OR(E91="",E91="!!!"),"",IF(NOT(ISNA(VLOOKUP(E91,E$1:E90,1,FALSE()))),"OLD",IF(AND(E91&lt;&gt;"",E91&lt;&gt;"!!!"),"NEW","")))</f>
        <v> </v>
      </c>
      <c r="G91" s="24" t="str">
        <f>IF(OR(E91="",E91="!!!"),"",IF(OR(J91=0,AND(J91=1,K91=1),AND(J91=1,I91="SBJ"),AND(J91=1,I91=0)),"?IN_FOCUS",IF(J91&lt;=2,"?ACTIVATED",IF(J91&lt;&gt;"","?FAMILIAR",IF(F91="NEW",IF(ISNA(VLOOKUP(E91,#REF!,1,FALSE())),"?TYPE_IDENTIFIABLE","?REFERENTIAL"),"_")))))</f>
        <v> </v>
      </c>
      <c r="H91" s="25" t="str">
        <f>IF(J91&lt;&gt;1,"",IF(I91="SBJ","CB","?"))</f>
        <v> </v>
      </c>
      <c r="I91" s="26" t="str">
        <f>IF(OR(E91="",E91="!!!",F91="NEW"),"",INDEX(B90:B$2,-1+SUMPRODUCT(MAX(ROW(E90:E$2)*(E91=E90:E$2)))))</f>
        <v> </v>
      </c>
      <c r="J91" s="26" t="str">
        <f>IF(OR(E91="",E91="!!!",F91="NEW"),"",COUNTBLANK(OFFSET(A$1,,,SUMPRODUCT(MAX(ROW(E$2:E91)*(E91=E$2:E91)))))-COUNTBLANK(OFFSET(A$1,,,SUMPRODUCT(MAX(ROW(E$1:E90)*(E2=E$1:E90))))))</f>
        <v> </v>
      </c>
      <c r="K91" s="26" t="str">
        <f>IF(OR(E91="",E91="!!!",F91="NEW"),"",INDEX(J$1:J90,SUMPRODUCT(MAX(ROW(E$1:E90)*(E91=E$1:E90)))))</f>
        <v> </v>
      </c>
      <c r="L91" s="27"/>
    </row>
    <row r="92" spans="1:12">
      <c r="A92" s="20"/>
    </row>
    <row r="93" spans="1:12">
      <c r="A93" s="20" t="s">
        <v>229</v>
      </c>
    </row>
    <row r="94" spans="1:12">
      <c r="A94" s="20" t="s">
        <v>230</v>
      </c>
      <c r="E94" s="22">
        <f>IF(D94="?OLD","!!!","")</f>
        <v/>
      </c>
      <c r="F94" s="23" t="str">
        <f>IF(OR(E94="",E94="!!!"),"",IF(NOT(ISNA(VLOOKUP(E94,E$1:E93,1,FALSE()))),"OLD",IF(AND(E94&lt;&gt;"",E94&lt;&gt;"!!!"),"NEW","")))</f>
        <v> </v>
      </c>
      <c r="G94" s="24" t="str">
        <f>IF(OR(E94="",E94="!!!"),"",IF(OR(J94=0,AND(J94=1,K94=1),AND(J94=1,I94="SBJ"),AND(J94=1,I94=0)),"?IN_FOCUS",IF(J94&lt;=2,"?ACTIVATED",IF(J94&lt;&gt;"","?FAMILIAR",IF(F94="NEW",IF(ISNA(VLOOKUP(E94,#REF!,1,FALSE())),"?TYPE_IDENTIFIABLE","?REFERENTIAL"),"_")))))</f>
        <v> </v>
      </c>
      <c r="H94" s="25" t="str">
        <f>IF(J94&lt;&gt;1,"",IF(I94="SBJ","CB","?"))</f>
        <v> </v>
      </c>
      <c r="I94" s="26" t="str">
        <f>IF(OR(E94="",E94="!!!",F94="NEW"),"",INDEX(B93:B$2,-1+SUMPRODUCT(MAX(ROW(E93:E$2)*(E94=E93:E$2)))))</f>
        <v> </v>
      </c>
      <c r="J94" s="26" t="str">
        <f>IF(OR(E94="",E94="!!!",F94="NEW"),"",COUNTBLANK(OFFSET(A$1,,,SUMPRODUCT(MAX(ROW(E$2:E94)*(E94=E$2:E94)))))-COUNTBLANK(OFFSET(A$1,,,SUMPRODUCT(MAX(ROW(E$1:E93)*(E2=E$1:E93))))))</f>
        <v> </v>
      </c>
      <c r="K94" s="26" t="str">
        <f>IF(OR(E94="",E94="!!!",F94="NEW"),"",INDEX(J$1:J93,SUMPRODUCT(MAX(ROW(E$1:E93)*(E94=E$1:E93)))))</f>
        <v> </v>
      </c>
      <c r="L94" s="27"/>
    </row>
    <row r="95" spans="1:12">
      <c r="A95" s="20" t="s">
        <v>224</v>
      </c>
      <c r="B95" s="21" t="s">
        <v>147</v>
      </c>
      <c r="C95" s="21" t="s">
        <v>169</v>
      </c>
      <c r="D95" s="21" t="s">
        <v>149</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231</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t="s">
        <v>232</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233</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180</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152</v>
      </c>
      <c r="B100" s="21" t="s">
        <v>163</v>
      </c>
      <c r="C100" s="21" t="s">
        <v>154</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234</v>
      </c>
      <c r="B101" s="21" t="s">
        <v>207</v>
      </c>
      <c r="C101" s="21" t="s">
        <v>157</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t="s">
        <v>165</v>
      </c>
      <c r="E102" s="22">
        <f>IF(D102="?OLD","!!!","")</f>
        <v/>
      </c>
      <c r="F102" s="23" t="str">
        <f>IF(OR(E102="",E102="!!!"),"",IF(NOT(ISNA(VLOOKUP(E102,E$1:E101,1,FALSE()))),"OLD",IF(AND(E102&lt;&gt;"",E102&lt;&gt;"!!!"),"NEW","")))</f>
        <v> </v>
      </c>
      <c r="G102" s="24" t="str">
        <f>IF(OR(E102="",E102="!!!"),"",IF(OR(J102=0,AND(J102=1,K102=1),AND(J102=1,I102="SBJ"),AND(J102=1,I102=0)),"?IN_FOCUS",IF(J102&lt;=2,"?ACTIVATED",IF(J102&lt;&gt;"","?FAMILIAR",IF(F102="NEW",IF(ISNA(VLOOKUP(E102,#REF!,1,FALSE())),"?TYPE_IDENTIFIABLE","?REFERENTIAL"),"_")))))</f>
        <v> </v>
      </c>
      <c r="H102" s="25" t="str">
        <f>IF(J102&lt;&gt;1,"",IF(I102="SBJ","CB","?"))</f>
        <v> </v>
      </c>
      <c r="I102" s="26" t="str">
        <f>IF(OR(E102="",E102="!!!",F102="NEW"),"",INDEX(B101:B$2,-1+SUMPRODUCT(MAX(ROW(E101:E$2)*(E102=E101:E$2)))))</f>
        <v> </v>
      </c>
      <c r="J102" s="26" t="str">
        <f>IF(OR(E102="",E102="!!!",F102="NEW"),"",COUNTBLANK(OFFSET(A$1,,,SUMPRODUCT(MAX(ROW(E$2:E102)*(E102=E$2:E102)))))-COUNTBLANK(OFFSET(A$1,,,SUMPRODUCT(MAX(ROW(E$1:E101)*(E2=E$1:E101))))))</f>
        <v> </v>
      </c>
      <c r="K102" s="26" t="str">
        <f>IF(OR(E102="",E102="!!!",F102="NEW"),"",INDEX(J$1:J101,SUMPRODUCT(MAX(ROW(E$1:E101)*(E102=E$1:E101)))))</f>
        <v> </v>
      </c>
      <c r="L102" s="27"/>
    </row>
    <row r="103" spans="1:12">
      <c r="A103" s="20"/>
    </row>
    <row r="104" spans="1:12">
      <c r="A104" s="20" t="s">
        <v>235</v>
      </c>
    </row>
    <row r="105" spans="1:12">
      <c r="A105" s="20" t="s">
        <v>167</v>
      </c>
      <c r="E105" s="22">
        <f>IF(D105="?OLD","!!!","")</f>
        <v/>
      </c>
      <c r="F105" s="23" t="str">
        <f>IF(OR(E105="",E105="!!!"),"",IF(NOT(ISNA(VLOOKUP(E105,E$1:E104,1,FALSE()))),"OLD",IF(AND(E105&lt;&gt;"",E105&lt;&gt;"!!!"),"NEW","")))</f>
        <v> </v>
      </c>
      <c r="G105" s="24" t="str">
        <f>IF(OR(E105="",E105="!!!"),"",IF(OR(J105=0,AND(J105=1,K105=1),AND(J105=1,I105="SBJ"),AND(J105=1,I105=0)),"?IN_FOCUS",IF(J105&lt;=2,"?ACTIVATED",IF(J105&lt;&gt;"","?FAMILIAR",IF(F105="NEW",IF(ISNA(VLOOKUP(E105,#REF!,1,FALSE())),"?TYPE_IDENTIFIABLE","?REFERENTIAL"),"_")))))</f>
        <v> </v>
      </c>
      <c r="H105" s="25" t="str">
        <f>IF(J105&lt;&gt;1,"",IF(I105="SBJ","CB","?"))</f>
        <v> </v>
      </c>
      <c r="I105" s="26" t="str">
        <f>IF(OR(E105="",E105="!!!",F105="NEW"),"",INDEX(B104:B$2,-1+SUMPRODUCT(MAX(ROW(E104:E$2)*(E105=E104:E$2)))))</f>
        <v> </v>
      </c>
      <c r="J105" s="26" t="str">
        <f>IF(OR(E105="",E105="!!!",F105="NEW"),"",COUNTBLANK(OFFSET(A$1,,,SUMPRODUCT(MAX(ROW(E$2:E105)*(E105=E$2:E105)))))-COUNTBLANK(OFFSET(A$1,,,SUMPRODUCT(MAX(ROW(E$1:E104)*(E2=E$1:E104))))))</f>
        <v> </v>
      </c>
      <c r="K105" s="26" t="str">
        <f>IF(OR(E105="",E105="!!!",F105="NEW"),"",INDEX(J$1:J104,SUMPRODUCT(MAX(ROW(E$1:E104)*(E105=E$1:E104)))))</f>
        <v> </v>
      </c>
      <c r="L105" s="27"/>
    </row>
    <row r="106" spans="1:12">
      <c r="A106" s="20" t="s">
        <v>236</v>
      </c>
      <c r="E106" s="22">
        <f>IF(D106="?OLD","!!!","")</f>
        <v/>
      </c>
      <c r="F106" s="23" t="str">
        <f>IF(OR(E106="",E106="!!!"),"",IF(NOT(ISNA(VLOOKUP(E106,E$1:E105,1,FALSE()))),"OLD",IF(AND(E106&lt;&gt;"",E106&lt;&gt;"!!!"),"NEW","")))</f>
        <v> </v>
      </c>
      <c r="G106" s="24" t="str">
        <f>IF(OR(E106="",E106="!!!"),"",IF(OR(J106=0,AND(J106=1,K106=1),AND(J106=1,I106="SBJ"),AND(J106=1,I106=0)),"?IN_FOCUS",IF(J106&lt;=2,"?ACTIVATED",IF(J106&lt;&gt;"","?FAMILIAR",IF(F106="NEW",IF(ISNA(VLOOKUP(E106,#REF!,1,FALSE())),"?TYPE_IDENTIFIABLE","?REFERENTIAL"),"_")))))</f>
        <v> </v>
      </c>
      <c r="H106" s="25" t="str">
        <f>IF(J106&lt;&gt;1,"",IF(I106="SBJ","CB","?"))</f>
        <v> </v>
      </c>
      <c r="I106" s="26" t="str">
        <f>IF(OR(E106="",E106="!!!",F106="NEW"),"",INDEX(B105:B$2,-1+SUMPRODUCT(MAX(ROW(E105:E$2)*(E106=E105:E$2)))))</f>
        <v> </v>
      </c>
      <c r="J106" s="26" t="str">
        <f>IF(OR(E106="",E106="!!!",F106="NEW"),"",COUNTBLANK(OFFSET(A$1,,,SUMPRODUCT(MAX(ROW(E$2:E106)*(E106=E$2:E106)))))-COUNTBLANK(OFFSET(A$1,,,SUMPRODUCT(MAX(ROW(E$1:E105)*(E2=E$1:E105))))))</f>
        <v> </v>
      </c>
      <c r="K106" s="26" t="str">
        <f>IF(OR(E106="",E106="!!!",F106="NEW"),"",INDEX(J$1:J105,SUMPRODUCT(MAX(ROW(E$1:E105)*(E106=E$1:E105)))))</f>
        <v> </v>
      </c>
      <c r="L106" s="27"/>
    </row>
    <row r="107" spans="1:12">
      <c r="A107" s="20" t="s">
        <v>237</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t="s">
        <v>238</v>
      </c>
      <c r="B108" s="21" t="s">
        <v>147</v>
      </c>
      <c r="C108" s="21" t="s">
        <v>185</v>
      </c>
      <c r="D108" s="21" t="s">
        <v>149</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t="s">
        <v>239</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t="s">
        <v>174</v>
      </c>
      <c r="E110" s="22">
        <f>IF(D110="?OLD","!!!","")</f>
        <v/>
      </c>
      <c r="F110" s="23" t="str">
        <f>IF(OR(E110="",E110="!!!"),"",IF(NOT(ISNA(VLOOKUP(E110,E$1:E109,1,FALSE()))),"OLD",IF(AND(E110&lt;&gt;"",E110&lt;&gt;"!!!"),"NEW","")))</f>
        <v> </v>
      </c>
      <c r="G110" s="24" t="str">
        <f>IF(OR(E110="",E110="!!!"),"",IF(OR(J110=0,AND(J110=1,K110=1),AND(J110=1,I110="SBJ"),AND(J110=1,I110=0)),"?IN_FOCUS",IF(J110&lt;=2,"?ACTIVATED",IF(J110&lt;&gt;"","?FAMILIAR",IF(F110="NEW",IF(ISNA(VLOOKUP(E110,#REF!,1,FALSE())),"?TYPE_IDENTIFIABLE","?REFERENTIAL"),"_")))))</f>
        <v> </v>
      </c>
      <c r="H110" s="25" t="str">
        <f>IF(J110&lt;&gt;1,"",IF(I110="SBJ","CB","?"))</f>
        <v> </v>
      </c>
      <c r="I110" s="26" t="str">
        <f>IF(OR(E110="",E110="!!!",F110="NEW"),"",INDEX(B109:B$2,-1+SUMPRODUCT(MAX(ROW(E109:E$2)*(E110=E109:E$2)))))</f>
        <v> </v>
      </c>
      <c r="J110" s="26" t="str">
        <f>IF(OR(E110="",E110="!!!",F110="NEW"),"",COUNTBLANK(OFFSET(A$1,,,SUMPRODUCT(MAX(ROW(E$2:E110)*(E110=E$2:E110)))))-COUNTBLANK(OFFSET(A$1,,,SUMPRODUCT(MAX(ROW(E$1:E109)*(E2=E$1:E109))))))</f>
        <v> </v>
      </c>
      <c r="K110" s="26" t="str">
        <f>IF(OR(E110="",E110="!!!",F110="NEW"),"",INDEX(J$1:J109,SUMPRODUCT(MAX(ROW(E$1:E109)*(E110=E$1:E109)))))</f>
        <v> </v>
      </c>
      <c r="L110" s="27"/>
    </row>
    <row r="111" spans="1:12">
      <c r="A111" s="20" t="s">
        <v>223</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240</v>
      </c>
      <c r="B112" s="21" t="s">
        <v>156</v>
      </c>
      <c r="C112" s="21" t="s">
        <v>148</v>
      </c>
      <c r="D112" s="21" t="s">
        <v>149</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t="s">
        <v>241</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t="s">
        <v>242</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212</v>
      </c>
      <c r="B115" s="21" t="s">
        <v>196</v>
      </c>
      <c r="C115" s="21" t="s">
        <v>183</v>
      </c>
      <c r="D115" s="21" t="s">
        <v>149</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161</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220</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214</v>
      </c>
      <c r="B118" s="21" t="s">
        <v>153</v>
      </c>
      <c r="C118" s="21" t="s">
        <v>183</v>
      </c>
      <c r="D118" s="21" t="s">
        <v>149</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174</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242</v>
      </c>
      <c r="B120" s="21" t="s">
        <v>225</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242</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243</v>
      </c>
      <c r="B122" s="21" t="s">
        <v>226</v>
      </c>
      <c r="C122" s="21" t="s">
        <v>183</v>
      </c>
      <c r="D122" s="21" t="s">
        <v>149</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t="s">
        <v>244</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t="s">
        <v>165</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row>
    <row r="126" spans="1:12">
      <c r="A126" s="20" t="s">
        <v>245</v>
      </c>
    </row>
    <row r="127" spans="1:12">
      <c r="A127" s="20" t="s">
        <v>189</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237</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238</v>
      </c>
      <c r="B129" s="21" t="s">
        <v>147</v>
      </c>
      <c r="C129" s="21" t="s">
        <v>185</v>
      </c>
      <c r="D129" s="21" t="s">
        <v>149</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246</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192</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t="s">
        <v>247</v>
      </c>
      <c r="B132" s="21" t="s">
        <v>207</v>
      </c>
      <c r="C132" s="21" t="s">
        <v>164</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t="s">
        <v>174</v>
      </c>
      <c r="E133" s="22">
        <f>IF(D133="?OLD","!!!","")</f>
        <v/>
      </c>
      <c r="F133" s="23" t="str">
        <f>IF(OR(E133="",E133="!!!"),"",IF(NOT(ISNA(VLOOKUP(E133,E$1:E132,1,FALSE()))),"OLD",IF(AND(E133&lt;&gt;"",E133&lt;&gt;"!!!"),"NEW","")))</f>
        <v> </v>
      </c>
      <c r="G133" s="24" t="str">
        <f>IF(OR(E133="",E133="!!!"),"",IF(OR(J133=0,AND(J133=1,K133=1),AND(J133=1,I133="SBJ"),AND(J133=1,I133=0)),"?IN_FOCUS",IF(J133&lt;=2,"?ACTIVATED",IF(J133&lt;&gt;"","?FAMILIAR",IF(F133="NEW",IF(ISNA(VLOOKUP(E133,#REF!,1,FALSE())),"?TYPE_IDENTIFIABLE","?REFERENTIAL"),"_")))))</f>
        <v> </v>
      </c>
      <c r="H133" s="25" t="str">
        <f>IF(J133&lt;&gt;1,"",IF(I133="SBJ","CB","?"))</f>
        <v> </v>
      </c>
      <c r="I133" s="26" t="str">
        <f>IF(OR(E133="",E133="!!!",F133="NEW"),"",INDEX(B132:B$2,-1+SUMPRODUCT(MAX(ROW(E132:E$2)*(E133=E132:E$2)))))</f>
        <v> </v>
      </c>
      <c r="J133" s="26" t="str">
        <f>IF(OR(E133="",E133="!!!",F133="NEW"),"",COUNTBLANK(OFFSET(A$1,,,SUMPRODUCT(MAX(ROW(E$2:E133)*(E133=E$2:E133)))))-COUNTBLANK(OFFSET(A$1,,,SUMPRODUCT(MAX(ROW(E$1:E132)*(E2=E$1:E132))))))</f>
        <v> </v>
      </c>
      <c r="K133" s="26" t="str">
        <f>IF(OR(E133="",E133="!!!",F133="NEW"),"",INDEX(J$1:J132,SUMPRODUCT(MAX(ROW(E$1:E132)*(E133=E$1:E132)))))</f>
        <v> </v>
      </c>
      <c r="L133" s="27"/>
    </row>
    <row r="134" spans="1:12">
      <c r="A134" s="20" t="s">
        <v>248</v>
      </c>
      <c r="B134" s="21" t="s">
        <v>249</v>
      </c>
      <c r="C134" s="21" t="s">
        <v>148</v>
      </c>
      <c r="D134" s="21" t="s">
        <v>149</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t="s">
        <v>250</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t="s">
        <v>158</v>
      </c>
      <c r="E136" s="22">
        <f>IF(D136="?OLD","!!!","")</f>
        <v/>
      </c>
      <c r="F136" s="23" t="str">
        <f>IF(OR(E136="",E136="!!!"),"",IF(NOT(ISNA(VLOOKUP(E136,E$1:E135,1,FALSE()))),"OLD",IF(AND(E136&lt;&gt;"",E136&lt;&gt;"!!!"),"NEW","")))</f>
        <v> </v>
      </c>
      <c r="G136" s="24" t="str">
        <f>IF(OR(E136="",E136="!!!"),"",IF(OR(J136=0,AND(J136=1,K136=1),AND(J136=1,I136="SBJ"),AND(J136=1,I136=0)),"?IN_FOCUS",IF(J136&lt;=2,"?ACTIVATED",IF(J136&lt;&gt;"","?FAMILIAR",IF(F136="NEW",IF(ISNA(VLOOKUP(E136,#REF!,1,FALSE())),"?TYPE_IDENTIFIABLE","?REFERENTIAL"),"_")))))</f>
        <v> </v>
      </c>
      <c r="H136" s="25" t="str">
        <f>IF(J136&lt;&gt;1,"",IF(I136="SBJ","CB","?"))</f>
        <v> </v>
      </c>
      <c r="I136" s="26" t="str">
        <f>IF(OR(E136="",E136="!!!",F136="NEW"),"",INDEX(B135:B$2,-1+SUMPRODUCT(MAX(ROW(E135:E$2)*(E136=E135:E$2)))))</f>
        <v> </v>
      </c>
      <c r="J136" s="26" t="str">
        <f>IF(OR(E136="",E136="!!!",F136="NEW"),"",COUNTBLANK(OFFSET(A$1,,,SUMPRODUCT(MAX(ROW(E$2:E136)*(E136=E$2:E136)))))-COUNTBLANK(OFFSET(A$1,,,SUMPRODUCT(MAX(ROW(E$1:E135)*(E2=E$1:E135))))))</f>
        <v> </v>
      </c>
      <c r="K136" s="26" t="str">
        <f>IF(OR(E136="",E136="!!!",F136="NEW"),"",INDEX(J$1:J135,SUMPRODUCT(MAX(ROW(E$1:E135)*(E136=E$1:E135)))))</f>
        <v> </v>
      </c>
      <c r="L136" s="27"/>
    </row>
    <row r="137" spans="1:12">
      <c r="A137" s="20" t="s">
        <v>251</v>
      </c>
      <c r="B137" s="21" t="s">
        <v>163</v>
      </c>
      <c r="C137" s="21" t="s">
        <v>157</v>
      </c>
      <c r="E137" s="22">
        <f>IF(D137="?OLD","!!!","")</f>
        <v/>
      </c>
      <c r="F137" s="23" t="str">
        <f>IF(OR(E137="",E137="!!!"),"",IF(NOT(ISNA(VLOOKUP(E137,E$1:E136,1,FALSE()))),"OLD",IF(AND(E137&lt;&gt;"",E137&lt;&gt;"!!!"),"NEW","")))</f>
        <v> </v>
      </c>
      <c r="G137" s="24" t="str">
        <f>IF(OR(E137="",E137="!!!"),"",IF(OR(J137=0,AND(J137=1,K137=1),AND(J137=1,I137="SBJ"),AND(J137=1,I137=0)),"?IN_FOCUS",IF(J137&lt;=2,"?ACTIVATED",IF(J137&lt;&gt;"","?FAMILIAR",IF(F137="NEW",IF(ISNA(VLOOKUP(E137,#REF!,1,FALSE())),"?TYPE_IDENTIFIABLE","?REFERENTIAL"),"_")))))</f>
        <v> </v>
      </c>
      <c r="H137" s="25" t="str">
        <f>IF(J137&lt;&gt;1,"",IF(I137="SBJ","CB","?"))</f>
        <v> </v>
      </c>
      <c r="I137" s="26" t="str">
        <f>IF(OR(E137="",E137="!!!",F137="NEW"),"",INDEX(B136:B$2,-1+SUMPRODUCT(MAX(ROW(E136:E$2)*(E137=E136:E$2)))))</f>
        <v> </v>
      </c>
      <c r="J137" s="26" t="str">
        <f>IF(OR(E137="",E137="!!!",F137="NEW"),"",COUNTBLANK(OFFSET(A$1,,,SUMPRODUCT(MAX(ROW(E$2:E137)*(E137=E$2:E137)))))-COUNTBLANK(OFFSET(A$1,,,SUMPRODUCT(MAX(ROW(E$1:E136)*(E2=E$1:E136))))))</f>
        <v> </v>
      </c>
      <c r="K137" s="26" t="str">
        <f>IF(OR(E137="",E137="!!!",F137="NEW"),"",INDEX(J$1:J136,SUMPRODUCT(MAX(ROW(E$1:E136)*(E137=E$1:E136)))))</f>
        <v> </v>
      </c>
      <c r="L137" s="27"/>
    </row>
    <row r="138" spans="1:12">
      <c r="A138" s="20" t="s">
        <v>161</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158</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162</v>
      </c>
      <c r="B140" s="21" t="s">
        <v>153</v>
      </c>
      <c r="C140" s="21" t="s">
        <v>157</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252</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253</v>
      </c>
      <c r="B142" s="21" t="s">
        <v>203</v>
      </c>
      <c r="C142" s="21" t="s">
        <v>148</v>
      </c>
      <c r="D142" s="21" t="s">
        <v>149</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t="s">
        <v>254</v>
      </c>
      <c r="B143" s="21" t="s">
        <v>153</v>
      </c>
      <c r="C143" s="21" t="s">
        <v>154</v>
      </c>
      <c r="E143" s="22">
        <f>IF(D143="?OLD","!!!","")</f>
        <v/>
      </c>
      <c r="F143" s="23" t="str">
        <f>IF(OR(E143="",E143="!!!"),"",IF(NOT(ISNA(VLOOKUP(E143,E$1:E142,1,FALSE()))),"OLD",IF(AND(E143&lt;&gt;"",E143&lt;&gt;"!!!"),"NEW","")))</f>
        <v> </v>
      </c>
      <c r="G143" s="24" t="str">
        <f>IF(OR(E143="",E143="!!!"),"",IF(OR(J143=0,AND(J143=1,K143=1),AND(J143=1,I143="SBJ"),AND(J143=1,I143=0)),"?IN_FOCUS",IF(J143&lt;=2,"?ACTIVATED",IF(J143&lt;&gt;"","?FAMILIAR",IF(F143="NEW",IF(ISNA(VLOOKUP(E143,#REF!,1,FALSE())),"?TYPE_IDENTIFIABLE","?REFERENTIAL"),"_")))))</f>
        <v> </v>
      </c>
      <c r="H143" s="25" t="str">
        <f>IF(J143&lt;&gt;1,"",IF(I143="SBJ","CB","?"))</f>
        <v> </v>
      </c>
      <c r="I143" s="26" t="str">
        <f>IF(OR(E143="",E143="!!!",F143="NEW"),"",INDEX(B142:B$2,-1+SUMPRODUCT(MAX(ROW(E142:E$2)*(E143=E142:E$2)))))</f>
        <v> </v>
      </c>
      <c r="J143" s="26" t="str">
        <f>IF(OR(E143="",E143="!!!",F143="NEW"),"",COUNTBLANK(OFFSET(A$1,,,SUMPRODUCT(MAX(ROW(E$2:E143)*(E143=E$2:E143)))))-COUNTBLANK(OFFSET(A$1,,,SUMPRODUCT(MAX(ROW(E$1:E142)*(E2=E$1:E142))))))</f>
        <v> </v>
      </c>
      <c r="K143" s="26" t="str">
        <f>IF(OR(E143="",E143="!!!",F143="NEW"),"",INDEX(J$1:J142,SUMPRODUCT(MAX(ROW(E$1:E142)*(E143=E$1:E142)))))</f>
        <v> </v>
      </c>
      <c r="L143" s="27"/>
    </row>
    <row r="144" spans="1:12">
      <c r="A144" s="20" t="s">
        <v>174</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t="s">
        <v>161</v>
      </c>
      <c r="E145" s="22">
        <f>IF(D145="?OLD","!!!","")</f>
        <v/>
      </c>
      <c r="F145" s="23" t="str">
        <f>IF(OR(E145="",E145="!!!"),"",IF(NOT(ISNA(VLOOKUP(E145,E$1:E144,1,FALSE()))),"OLD",IF(AND(E145&lt;&gt;"",E145&lt;&gt;"!!!"),"NEW","")))</f>
        <v> </v>
      </c>
      <c r="G145" s="24" t="str">
        <f>IF(OR(E145="",E145="!!!"),"",IF(OR(J145=0,AND(J145=1,K145=1),AND(J145=1,I145="SBJ"),AND(J145=1,I145=0)),"?IN_FOCUS",IF(J145&lt;=2,"?ACTIVATED",IF(J145&lt;&gt;"","?FAMILIAR",IF(F145="NEW",IF(ISNA(VLOOKUP(E145,#REF!,1,FALSE())),"?TYPE_IDENTIFIABLE","?REFERENTIAL"),"_")))))</f>
        <v> </v>
      </c>
      <c r="H145" s="25" t="str">
        <f>IF(J145&lt;&gt;1,"",IF(I145="SBJ","CB","?"))</f>
        <v> </v>
      </c>
      <c r="I145" s="26" t="str">
        <f>IF(OR(E145="",E145="!!!",F145="NEW"),"",INDEX(B144:B$2,-1+SUMPRODUCT(MAX(ROW(E144:E$2)*(E145=E144:E$2)))))</f>
        <v> </v>
      </c>
      <c r="J145" s="26" t="str">
        <f>IF(OR(E145="",E145="!!!",F145="NEW"),"",COUNTBLANK(OFFSET(A$1,,,SUMPRODUCT(MAX(ROW(E$2:E145)*(E145=E$2:E145)))))-COUNTBLANK(OFFSET(A$1,,,SUMPRODUCT(MAX(ROW(E$1:E144)*(E2=E$1:E144))))))</f>
        <v> </v>
      </c>
      <c r="K145" s="26" t="str">
        <f>IF(OR(E145="",E145="!!!",F145="NEW"),"",INDEX(J$1:J144,SUMPRODUCT(MAX(ROW(E$1:E144)*(E145=E$1:E144)))))</f>
        <v> </v>
      </c>
      <c r="L145" s="27"/>
    </row>
    <row r="146" spans="1:12">
      <c r="A146" s="20" t="s">
        <v>13</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255</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256</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202</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257</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258</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row>
    <row r="153" spans="1:12">
      <c r="A153" s="20" t="s">
        <v>259</v>
      </c>
    </row>
    <row r="154" spans="1:12">
      <c r="A154" s="20" t="s">
        <v>168</v>
      </c>
      <c r="B154" s="21" t="s">
        <v>147</v>
      </c>
      <c r="C154" s="21" t="s">
        <v>169</v>
      </c>
      <c r="D154" s="21" t="s">
        <v>149</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t="s">
        <v>231</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t="s">
        <v>260</v>
      </c>
      <c r="E156" s="22">
        <f>IF(D156="?OLD","!!!","")</f>
        <v/>
      </c>
      <c r="F156" s="23" t="str">
        <f>IF(OR(E156="",E156="!!!"),"",IF(NOT(ISNA(VLOOKUP(E156,E$1:E155,1,FALSE()))),"OLD",IF(AND(E156&lt;&gt;"",E156&lt;&gt;"!!!"),"NEW","")))</f>
        <v> </v>
      </c>
      <c r="G156" s="24" t="str">
        <f>IF(OR(E156="",E156="!!!"),"",IF(OR(J156=0,AND(J156=1,K156=1),AND(J156=1,I156="SBJ"),AND(J156=1,I156=0)),"?IN_FOCUS",IF(J156&lt;=2,"?ACTIVATED",IF(J156&lt;&gt;"","?FAMILIAR",IF(F156="NEW",IF(ISNA(VLOOKUP(E156,#REF!,1,FALSE())),"?TYPE_IDENTIFIABLE","?REFERENTIAL"),"_")))))</f>
        <v> </v>
      </c>
      <c r="H156" s="25" t="str">
        <f>IF(J156&lt;&gt;1,"",IF(I156="SBJ","CB","?"))</f>
        <v> </v>
      </c>
      <c r="I156" s="26" t="str">
        <f>IF(OR(E156="",E156="!!!",F156="NEW"),"",INDEX(B155:B$2,-1+SUMPRODUCT(MAX(ROW(E155:E$2)*(E156=E155:E$2)))))</f>
        <v> </v>
      </c>
      <c r="J156" s="26" t="str">
        <f>IF(OR(E156="",E156="!!!",F156="NEW"),"",COUNTBLANK(OFFSET(A$1,,,SUMPRODUCT(MAX(ROW(E$2:E156)*(E156=E$2:E156)))))-COUNTBLANK(OFFSET(A$1,,,SUMPRODUCT(MAX(ROW(E$1:E155)*(E2=E$1:E155))))))</f>
        <v> </v>
      </c>
      <c r="K156" s="26" t="str">
        <f>IF(OR(E156="",E156="!!!",F156="NEW"),"",INDEX(J$1:J155,SUMPRODUCT(MAX(ROW(E$1:E155)*(E156=E$1:E155)))))</f>
        <v> </v>
      </c>
      <c r="L156" s="27"/>
    </row>
    <row r="157" spans="1:12">
      <c r="A157" s="20" t="s">
        <v>40</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t="s">
        <v>261</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t="s">
        <v>262</v>
      </c>
      <c r="B159" s="21" t="s">
        <v>207</v>
      </c>
      <c r="C159" s="21" t="s">
        <v>154</v>
      </c>
      <c r="E159" s="22">
        <f>IF(D159="?OLD","!!!","")</f>
        <v/>
      </c>
      <c r="F159" s="23" t="str">
        <f>IF(OR(E159="",E159="!!!"),"",IF(NOT(ISNA(VLOOKUP(E159,E$1:E158,1,FALSE()))),"OLD",IF(AND(E159&lt;&gt;"",E159&lt;&gt;"!!!"),"NEW","")))</f>
        <v> </v>
      </c>
      <c r="G159" s="24" t="str">
        <f>IF(OR(E159="",E159="!!!"),"",IF(OR(J159=0,AND(J159=1,K159=1),AND(J159=1,I159="SBJ"),AND(J159=1,I159=0)),"?IN_FOCUS",IF(J159&lt;=2,"?ACTIVATED",IF(J159&lt;&gt;"","?FAMILIAR",IF(F159="NEW",IF(ISNA(VLOOKUP(E159,#REF!,1,FALSE())),"?TYPE_IDENTIFIABLE","?REFERENTIAL"),"_")))))</f>
        <v> </v>
      </c>
      <c r="H159" s="25" t="str">
        <f>IF(J159&lt;&gt;1,"",IF(I159="SBJ","CB","?"))</f>
        <v> </v>
      </c>
      <c r="I159" s="26" t="str">
        <f>IF(OR(E159="",E159="!!!",F159="NEW"),"",INDEX(B158:B$2,-1+SUMPRODUCT(MAX(ROW(E158:E$2)*(E159=E158:E$2)))))</f>
        <v> </v>
      </c>
      <c r="J159" s="26" t="str">
        <f>IF(OR(E159="",E159="!!!",F159="NEW"),"",COUNTBLANK(OFFSET(A$1,,,SUMPRODUCT(MAX(ROW(E$2:E159)*(E159=E$2:E159)))))-COUNTBLANK(OFFSET(A$1,,,SUMPRODUCT(MAX(ROW(E$1:E158)*(E2=E$1:E158))))))</f>
        <v> </v>
      </c>
      <c r="K159" s="26" t="str">
        <f>IF(OR(E159="",E159="!!!",F159="NEW"),"",INDEX(J$1:J158,SUMPRODUCT(MAX(ROW(E$1:E158)*(E159=E$1:E158)))))</f>
        <v> </v>
      </c>
      <c r="L159" s="27"/>
    </row>
    <row r="160" spans="1:12">
      <c r="A160" s="20" t="s">
        <v>174</v>
      </c>
      <c r="E160" s="22">
        <f>IF(D160="?OLD","!!!","")</f>
        <v/>
      </c>
      <c r="F160" s="23" t="str">
        <f>IF(OR(E160="",E160="!!!"),"",IF(NOT(ISNA(VLOOKUP(E160,E$1:E159,1,FALSE()))),"OLD",IF(AND(E160&lt;&gt;"",E160&lt;&gt;"!!!"),"NEW","")))</f>
        <v> </v>
      </c>
      <c r="G160" s="24" t="str">
        <f>IF(OR(E160="",E160="!!!"),"",IF(OR(J160=0,AND(J160=1,K160=1),AND(J160=1,I160="SBJ"),AND(J160=1,I160=0)),"?IN_FOCUS",IF(J160&lt;=2,"?ACTIVATED",IF(J160&lt;&gt;"","?FAMILIAR",IF(F160="NEW",IF(ISNA(VLOOKUP(E160,#REF!,1,FALSE())),"?TYPE_IDENTIFIABLE","?REFERENTIAL"),"_")))))</f>
        <v> </v>
      </c>
      <c r="H160" s="25" t="str">
        <f>IF(J160&lt;&gt;1,"",IF(I160="SBJ","CB","?"))</f>
        <v> </v>
      </c>
      <c r="I160" s="26" t="str">
        <f>IF(OR(E160="",E160="!!!",F160="NEW"),"",INDEX(B159:B$2,-1+SUMPRODUCT(MAX(ROW(E159:E$2)*(E160=E159:E$2)))))</f>
        <v> </v>
      </c>
      <c r="J160" s="26" t="str">
        <f>IF(OR(E160="",E160="!!!",F160="NEW"),"",COUNTBLANK(OFFSET(A$1,,,SUMPRODUCT(MAX(ROW(E$2:E160)*(E160=E$2:E160)))))-COUNTBLANK(OFFSET(A$1,,,SUMPRODUCT(MAX(ROW(E$1:E159)*(E2=E$1:E159))))))</f>
        <v> </v>
      </c>
      <c r="K160" s="26" t="str">
        <f>IF(OR(E160="",E160="!!!",F160="NEW"),"",INDEX(J$1:J159,SUMPRODUCT(MAX(ROW(E$1:E159)*(E160=E$1:E159)))))</f>
        <v> </v>
      </c>
      <c r="L160" s="27"/>
    </row>
    <row r="161" spans="1:12">
      <c r="A161" s="20" t="s">
        <v>263</v>
      </c>
      <c r="B161" s="21" t="s">
        <v>196</v>
      </c>
      <c r="C161" s="21" t="s">
        <v>169</v>
      </c>
      <c r="D161" s="21" t="s">
        <v>149</v>
      </c>
      <c r="E161" s="22">
        <f>IF(D161="?OLD","!!!","")</f>
        <v/>
      </c>
      <c r="F161" s="23" t="str">
        <f>IF(OR(E161="",E161="!!!"),"",IF(NOT(ISNA(VLOOKUP(E161,E$1:E160,1,FALSE()))),"OLD",IF(AND(E161&lt;&gt;"",E161&lt;&gt;"!!!"),"NEW","")))</f>
        <v> </v>
      </c>
      <c r="G161" s="24" t="str">
        <f>IF(OR(E161="",E161="!!!"),"",IF(OR(J161=0,AND(J161=1,K161=1),AND(J161=1,I161="SBJ"),AND(J161=1,I161=0)),"?IN_FOCUS",IF(J161&lt;=2,"?ACTIVATED",IF(J161&lt;&gt;"","?FAMILIAR",IF(F161="NEW",IF(ISNA(VLOOKUP(E161,#REF!,1,FALSE())),"?TYPE_IDENTIFIABLE","?REFERENTIAL"),"_")))))</f>
        <v> </v>
      </c>
      <c r="H161" s="25" t="str">
        <f>IF(J161&lt;&gt;1,"",IF(I161="SBJ","CB","?"))</f>
        <v> </v>
      </c>
      <c r="I161" s="26" t="str">
        <f>IF(OR(E161="",E161="!!!",F161="NEW"),"",INDEX(B160:B$2,-1+SUMPRODUCT(MAX(ROW(E160:E$2)*(E161=E160:E$2)))))</f>
        <v> </v>
      </c>
      <c r="J161" s="26" t="str">
        <f>IF(OR(E161="",E161="!!!",F161="NEW"),"",COUNTBLANK(OFFSET(A$1,,,SUMPRODUCT(MAX(ROW(E$2:E161)*(E161=E$2:E161)))))-COUNTBLANK(OFFSET(A$1,,,SUMPRODUCT(MAX(ROW(E$1:E160)*(E2=E$1:E160))))))</f>
        <v> </v>
      </c>
      <c r="K161" s="26" t="str">
        <f>IF(OR(E161="",E161="!!!",F161="NEW"),"",INDEX(J$1:J160,SUMPRODUCT(MAX(ROW(E$1:E160)*(E161=E$1:E160)))))</f>
        <v> </v>
      </c>
      <c r="L161" s="27"/>
    </row>
    <row r="162" spans="1:12">
      <c r="A162" s="20" t="s">
        <v>168</v>
      </c>
      <c r="B162" s="21" t="s">
        <v>156</v>
      </c>
      <c r="C162" s="21" t="s">
        <v>169</v>
      </c>
      <c r="D162" s="21" t="s">
        <v>149</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t="s">
        <v>264</v>
      </c>
      <c r="B163" s="21" t="s">
        <v>196</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t="s">
        <v>265</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t="s">
        <v>13</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t="s">
        <v>202</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257</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165</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row>
    <row r="170" spans="1:12">
      <c r="A170" s="20" t="s">
        <v>266</v>
      </c>
    </row>
    <row r="171" spans="1:12">
      <c r="A171" s="20" t="s">
        <v>193</v>
      </c>
      <c r="B171" s="21" t="s">
        <v>147</v>
      </c>
      <c r="C171" s="21" t="s">
        <v>164</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t="s">
        <v>174</v>
      </c>
      <c r="E172" s="22">
        <f>IF(D172="?OLD","!!!","")</f>
        <v/>
      </c>
      <c r="F172" s="23" t="str">
        <f>IF(OR(E172="",E172="!!!"),"",IF(NOT(ISNA(VLOOKUP(E172,E$1:E171,1,FALSE()))),"OLD",IF(AND(E172&lt;&gt;"",E172&lt;&gt;"!!!"),"NEW","")))</f>
        <v> </v>
      </c>
      <c r="G172" s="24" t="str">
        <f>IF(OR(E172="",E172="!!!"),"",IF(OR(J172=0,AND(J172=1,K172=1),AND(J172=1,I172="SBJ"),AND(J172=1,I172=0)),"?IN_FOCUS",IF(J172&lt;=2,"?ACTIVATED",IF(J172&lt;&gt;"","?FAMILIAR",IF(F172="NEW",IF(ISNA(VLOOKUP(E172,#REF!,1,FALSE())),"?TYPE_IDENTIFIABLE","?REFERENTIAL"),"_")))))</f>
        <v> </v>
      </c>
      <c r="H172" s="25" t="str">
        <f>IF(J172&lt;&gt;1,"",IF(I172="SBJ","CB","?"))</f>
        <v> </v>
      </c>
      <c r="I172" s="26" t="str">
        <f>IF(OR(E172="",E172="!!!",F172="NEW"),"",INDEX(B171:B$2,-1+SUMPRODUCT(MAX(ROW(E171:E$2)*(E172=E171:E$2)))))</f>
        <v> </v>
      </c>
      <c r="J172" s="26" t="str">
        <f>IF(OR(E172="",E172="!!!",F172="NEW"),"",COUNTBLANK(OFFSET(A$1,,,SUMPRODUCT(MAX(ROW(E$2:E172)*(E172=E$2:E172)))))-COUNTBLANK(OFFSET(A$1,,,SUMPRODUCT(MAX(ROW(E$1:E171)*(E2=E$1:E171))))))</f>
        <v> </v>
      </c>
      <c r="K172" s="26" t="str">
        <f>IF(OR(E172="",E172="!!!",F172="NEW"),"",INDEX(J$1:J171,SUMPRODUCT(MAX(ROW(E$1:E171)*(E172=E$1:E171)))))</f>
        <v> </v>
      </c>
      <c r="L172" s="27"/>
    </row>
    <row r="173" spans="1:12">
      <c r="A173" s="20" t="s">
        <v>210</v>
      </c>
      <c r="E173" s="22">
        <f>IF(D173="?OLD","!!!","")</f>
        <v/>
      </c>
      <c r="F173" s="23" t="str">
        <f>IF(OR(E173="",E173="!!!"),"",IF(NOT(ISNA(VLOOKUP(E173,E$1:E172,1,FALSE()))),"OLD",IF(AND(E173&lt;&gt;"",E173&lt;&gt;"!!!"),"NEW","")))</f>
        <v> </v>
      </c>
      <c r="G173" s="24" t="str">
        <f>IF(OR(E173="",E173="!!!"),"",IF(OR(J173=0,AND(J173=1,K173=1),AND(J173=1,I173="SBJ"),AND(J173=1,I173=0)),"?IN_FOCUS",IF(J173&lt;=2,"?ACTIVATED",IF(J173&lt;&gt;"","?FAMILIAR",IF(F173="NEW",IF(ISNA(VLOOKUP(E173,#REF!,1,FALSE())),"?TYPE_IDENTIFIABLE","?REFERENTIAL"),"_")))))</f>
        <v> </v>
      </c>
      <c r="H173" s="25" t="str">
        <f>IF(J173&lt;&gt;1,"",IF(I173="SBJ","CB","?"))</f>
        <v> </v>
      </c>
      <c r="I173" s="26" t="str">
        <f>IF(OR(E173="",E173="!!!",F173="NEW"),"",INDEX(B172:B$2,-1+SUMPRODUCT(MAX(ROW(E172:E$2)*(E173=E172:E$2)))))</f>
        <v> </v>
      </c>
      <c r="J173" s="26" t="str">
        <f>IF(OR(E173="",E173="!!!",F173="NEW"),"",COUNTBLANK(OFFSET(A$1,,,SUMPRODUCT(MAX(ROW(E$2:E173)*(E173=E$2:E173)))))-COUNTBLANK(OFFSET(A$1,,,SUMPRODUCT(MAX(ROW(E$1:E172)*(E2=E$1:E172))))))</f>
        <v> </v>
      </c>
      <c r="K173" s="26" t="str">
        <f>IF(OR(E173="",E173="!!!",F173="NEW"),"",INDEX(J$1:J172,SUMPRODUCT(MAX(ROW(E$1:E172)*(E173=E$1:E172)))))</f>
        <v> </v>
      </c>
      <c r="L173" s="27"/>
    </row>
    <row r="174" spans="1:12">
      <c r="A174" s="20" t="s">
        <v>195</v>
      </c>
      <c r="B174" s="21" t="s">
        <v>160</v>
      </c>
      <c r="C174" s="21" t="s">
        <v>169</v>
      </c>
      <c r="D174" s="21" t="s">
        <v>149</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t="s">
        <v>267</v>
      </c>
      <c r="E175" s="22">
        <f>IF(D175="?OLD","!!!","")</f>
        <v/>
      </c>
      <c r="F175" s="23" t="str">
        <f>IF(OR(E175="",E175="!!!"),"",IF(NOT(ISNA(VLOOKUP(E175,E$1:E174,1,FALSE()))),"OLD",IF(AND(E175&lt;&gt;"",E175&lt;&gt;"!!!"),"NEW","")))</f>
        <v> </v>
      </c>
      <c r="G175" s="24" t="str">
        <f>IF(OR(E175="",E175="!!!"),"",IF(OR(J175=0,AND(J175=1,K175=1),AND(J175=1,I175="SBJ"),AND(J175=1,I175=0)),"?IN_FOCUS",IF(J175&lt;=2,"?ACTIVATED",IF(J175&lt;&gt;"","?FAMILIAR",IF(F175="NEW",IF(ISNA(VLOOKUP(E175,#REF!,1,FALSE())),"?TYPE_IDENTIFIABLE","?REFERENTIAL"),"_")))))</f>
        <v> </v>
      </c>
      <c r="H175" s="25" t="str">
        <f>IF(J175&lt;&gt;1,"",IF(I175="SBJ","CB","?"))</f>
        <v> </v>
      </c>
      <c r="I175" s="26" t="str">
        <f>IF(OR(E175="",E175="!!!",F175="NEW"),"",INDEX(B174:B$2,-1+SUMPRODUCT(MAX(ROW(E174:E$2)*(E175=E174:E$2)))))</f>
        <v> </v>
      </c>
      <c r="J175" s="26" t="str">
        <f>IF(OR(E175="",E175="!!!",F175="NEW"),"",COUNTBLANK(OFFSET(A$1,,,SUMPRODUCT(MAX(ROW(E$2:E175)*(E175=E$2:E175)))))-COUNTBLANK(OFFSET(A$1,,,SUMPRODUCT(MAX(ROW(E$1:E174)*(E2=E$1:E174))))))</f>
        <v> </v>
      </c>
      <c r="K175" s="26" t="str">
        <f>IF(OR(E175="",E175="!!!",F175="NEW"),"",INDEX(J$1:J174,SUMPRODUCT(MAX(ROW(E$1:E174)*(E175=E$1:E174)))))</f>
        <v> </v>
      </c>
      <c r="L175" s="27"/>
    </row>
    <row r="176" spans="1:12">
      <c r="A176" s="20" t="s">
        <v>161</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t="s">
        <v>268</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162</v>
      </c>
      <c r="B178" s="21" t="s">
        <v>249</v>
      </c>
      <c r="C178" s="21" t="s">
        <v>269</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187</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270</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174</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223</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271</v>
      </c>
      <c r="B183" s="21" t="s">
        <v>249</v>
      </c>
      <c r="C183" s="21" t="s">
        <v>169</v>
      </c>
      <c r="D183" s="21" t="s">
        <v>149</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216</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272</v>
      </c>
      <c r="B185" s="21" t="s">
        <v>203</v>
      </c>
      <c r="C185" s="21" t="s">
        <v>183</v>
      </c>
      <c r="D185" s="21" t="s">
        <v>149</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162</v>
      </c>
      <c r="B186" s="21" t="s">
        <v>273</v>
      </c>
      <c r="C186" s="21" t="s">
        <v>164</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274</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200</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row>
    <row r="190" spans="1:12">
      <c r="A190" s="20" t="s">
        <v>275</v>
      </c>
    </row>
    <row r="191" spans="1:12">
      <c r="A191" s="20" t="s">
        <v>276</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277</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168</v>
      </c>
      <c r="B193" s="21" t="s">
        <v>147</v>
      </c>
      <c r="C193" s="21" t="s">
        <v>169</v>
      </c>
      <c r="D193" s="21" t="s">
        <v>149</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237</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t="s">
        <v>238</v>
      </c>
      <c r="B195" s="21" t="s">
        <v>156</v>
      </c>
      <c r="C195" s="21" t="s">
        <v>183</v>
      </c>
      <c r="D195" s="21" t="s">
        <v>149</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261</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t="s">
        <v>278</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t="s">
        <v>152</v>
      </c>
      <c r="B198" s="21" t="s">
        <v>163</v>
      </c>
      <c r="C198" s="21" t="s">
        <v>154</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t="s">
        <v>234</v>
      </c>
      <c r="B199" s="21" t="s">
        <v>160</v>
      </c>
      <c r="C199" s="21" t="s">
        <v>157</v>
      </c>
      <c r="E199" s="22">
        <f>IF(D199="?OLD","!!!","")</f>
        <v/>
      </c>
      <c r="F199" s="23" t="str">
        <f>IF(OR(E199="",E199="!!!"),"",IF(NOT(ISNA(VLOOKUP(E199,E$1:E198,1,FALSE()))),"OLD",IF(AND(E199&lt;&gt;"",E199&lt;&gt;"!!!"),"NEW","")))</f>
        <v> </v>
      </c>
      <c r="G199" s="24" t="str">
        <f>IF(OR(E199="",E199="!!!"),"",IF(OR(J199=0,AND(J199=1,K199=1),AND(J199=1,I199="SBJ"),AND(J199=1,I199=0)),"?IN_FOCUS",IF(J199&lt;=2,"?ACTIVATED",IF(J199&lt;&gt;"","?FAMILIAR",IF(F199="NEW",IF(ISNA(VLOOKUP(E199,#REF!,1,FALSE())),"?TYPE_IDENTIFIABLE","?REFERENTIAL"),"_")))))</f>
        <v> </v>
      </c>
      <c r="H199" s="25" t="str">
        <f>IF(J199&lt;&gt;1,"",IF(I199="SBJ","CB","?"))</f>
        <v> </v>
      </c>
      <c r="I199" s="26" t="str">
        <f>IF(OR(E199="",E199="!!!",F199="NEW"),"",INDEX(B198:B$2,-1+SUMPRODUCT(MAX(ROW(E198:E$2)*(E199=E198:E$2)))))</f>
        <v> </v>
      </c>
      <c r="J199" s="26" t="str">
        <f>IF(OR(E199="",E199="!!!",F199="NEW"),"",COUNTBLANK(OFFSET(A$1,,,SUMPRODUCT(MAX(ROW(E$2:E199)*(E199=E$2:E199)))))-COUNTBLANK(OFFSET(A$1,,,SUMPRODUCT(MAX(ROW(E$1:E198)*(E2=E$1:E198))))))</f>
        <v> </v>
      </c>
      <c r="K199" s="26" t="str">
        <f>IF(OR(E199="",E199="!!!",F199="NEW"),"",INDEX(J$1:J198,SUMPRODUCT(MAX(ROW(E$1:E198)*(E199=E$1:E198)))))</f>
        <v> </v>
      </c>
      <c r="L199" s="27"/>
    </row>
    <row r="200" spans="1:12">
      <c r="A200" s="20" t="s">
        <v>174</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223</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168</v>
      </c>
      <c r="B202" s="21" t="s">
        <v>249</v>
      </c>
      <c r="C202" s="21" t="s">
        <v>169</v>
      </c>
      <c r="D202" s="21" t="s">
        <v>149</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279</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280</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242</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212</v>
      </c>
      <c r="B206" s="21" t="s">
        <v>226</v>
      </c>
      <c r="C206" s="21" t="s">
        <v>183</v>
      </c>
      <c r="D206" s="21" t="s">
        <v>149</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202</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t="s">
        <v>215</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165</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row>
    <row r="211" spans="1:12">
      <c r="A211" s="20" t="s">
        <v>281</v>
      </c>
    </row>
    <row r="212" spans="1:12">
      <c r="A212" s="20" t="s">
        <v>282</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283</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284</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t="s">
        <v>285</v>
      </c>
      <c r="B215" s="21" t="s">
        <v>147</v>
      </c>
      <c r="C215" s="21" t="s">
        <v>269</v>
      </c>
      <c r="E215" s="22">
        <f>IF(D215="?OLD","!!!","")</f>
        <v/>
      </c>
      <c r="F215" s="23" t="str">
        <f>IF(OR(E215="",E215="!!!"),"",IF(NOT(ISNA(VLOOKUP(E215,E$1:E214,1,FALSE()))),"OLD",IF(AND(E215&lt;&gt;"",E215&lt;&gt;"!!!"),"NEW","")))</f>
        <v> </v>
      </c>
      <c r="G215" s="24" t="str">
        <f>IF(OR(E215="",E215="!!!"),"",IF(OR(J215=0,AND(J215=1,K215=1),AND(J215=1,I215="SBJ"),AND(J215=1,I215=0)),"?IN_FOCUS",IF(J215&lt;=2,"?ACTIVATED",IF(J215&lt;&gt;"","?FAMILIAR",IF(F215="NEW",IF(ISNA(VLOOKUP(E215,#REF!,1,FALSE())),"?TYPE_IDENTIFIABLE","?REFERENTIAL"),"_")))))</f>
        <v> </v>
      </c>
      <c r="H215" s="25" t="str">
        <f>IF(J215&lt;&gt;1,"",IF(I215="SBJ","CB","?"))</f>
        <v> </v>
      </c>
      <c r="I215" s="26" t="str">
        <f>IF(OR(E215="",E215="!!!",F215="NEW"),"",INDEX(B214:B$2,-1+SUMPRODUCT(MAX(ROW(E214:E$2)*(E215=E214:E$2)))))</f>
        <v> </v>
      </c>
      <c r="J215" s="26" t="str">
        <f>IF(OR(E215="",E215="!!!",F215="NEW"),"",COUNTBLANK(OFFSET(A$1,,,SUMPRODUCT(MAX(ROW(E$2:E215)*(E215=E$2:E215)))))-COUNTBLANK(OFFSET(A$1,,,SUMPRODUCT(MAX(ROW(E$1:E214)*(E2=E$1:E214))))))</f>
        <v> </v>
      </c>
      <c r="K215" s="26" t="str">
        <f>IF(OR(E215="",E215="!!!",F215="NEW"),"",INDEX(J$1:J214,SUMPRODUCT(MAX(ROW(E$1:E214)*(E215=E$1:E214)))))</f>
        <v> </v>
      </c>
      <c r="L215" s="27"/>
    </row>
    <row r="216" spans="1:12">
      <c r="A216" s="20" t="s">
        <v>286</v>
      </c>
      <c r="B216" s="21" t="s">
        <v>249</v>
      </c>
      <c r="C216" s="21" t="s">
        <v>185</v>
      </c>
      <c r="D216" s="21" t="s">
        <v>149</v>
      </c>
      <c r="E216" s="22">
        <f>IF(D216="?OLD","!!!","")</f>
        <v/>
      </c>
      <c r="F216" s="23" t="str">
        <f>IF(OR(E216="",E216="!!!"),"",IF(NOT(ISNA(VLOOKUP(E216,E$1:E215,1,FALSE()))),"OLD",IF(AND(E216&lt;&gt;"",E216&lt;&gt;"!!!"),"NEW","")))</f>
        <v> </v>
      </c>
      <c r="G216" s="24" t="str">
        <f>IF(OR(E216="",E216="!!!"),"",IF(OR(J216=0,AND(J216=1,K216=1),AND(J216=1,I216="SBJ"),AND(J216=1,I216=0)),"?IN_FOCUS",IF(J216&lt;=2,"?ACTIVATED",IF(J216&lt;&gt;"","?FAMILIAR",IF(F216="NEW",IF(ISNA(VLOOKUP(E216,#REF!,1,FALSE())),"?TYPE_IDENTIFIABLE","?REFERENTIAL"),"_")))))</f>
        <v> </v>
      </c>
      <c r="H216" s="25" t="str">
        <f>IF(J216&lt;&gt;1,"",IF(I216="SBJ","CB","?"))</f>
        <v> </v>
      </c>
      <c r="I216" s="26" t="str">
        <f>IF(OR(E216="",E216="!!!",F216="NEW"),"",INDEX(B215:B$2,-1+SUMPRODUCT(MAX(ROW(E215:E$2)*(E216=E215:E$2)))))</f>
        <v> </v>
      </c>
      <c r="J216" s="26" t="str">
        <f>IF(OR(E216="",E216="!!!",F216="NEW"),"",COUNTBLANK(OFFSET(A$1,,,SUMPRODUCT(MAX(ROW(E$2:E216)*(E216=E$2:E216)))))-COUNTBLANK(OFFSET(A$1,,,SUMPRODUCT(MAX(ROW(E$1:E215)*(E2=E$1:E215))))))</f>
        <v> </v>
      </c>
      <c r="K216" s="26" t="str">
        <f>IF(OR(E216="",E216="!!!",F216="NEW"),"",INDEX(J$1:J215,SUMPRODUCT(MAX(ROW(E$1:E215)*(E216=E$1:E215)))))</f>
        <v> </v>
      </c>
      <c r="L216" s="27"/>
    </row>
    <row r="217" spans="1:12">
      <c r="A217" s="20" t="s">
        <v>174</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223</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237</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238</v>
      </c>
      <c r="B220" s="21" t="s">
        <v>225</v>
      </c>
      <c r="C220" s="21" t="s">
        <v>185</v>
      </c>
      <c r="D220" s="21" t="s">
        <v>149</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t="s">
        <v>187</v>
      </c>
      <c r="E221" s="22">
        <f>IF(D221="?OLD","!!!","")</f>
        <v/>
      </c>
      <c r="F221" s="23" t="str">
        <f>IF(OR(E221="",E221="!!!"),"",IF(NOT(ISNA(VLOOKUP(E221,E$1:E220,1,FALSE()))),"OLD",IF(AND(E221&lt;&gt;"",E221&lt;&gt;"!!!"),"NEW","")))</f>
        <v> </v>
      </c>
      <c r="G221" s="24" t="str">
        <f>IF(OR(E221="",E221="!!!"),"",IF(OR(J221=0,AND(J221=1,K221=1),AND(J221=1,I221="SBJ"),AND(J221=1,I221=0)),"?IN_FOCUS",IF(J221&lt;=2,"?ACTIVATED",IF(J221&lt;&gt;"","?FAMILIAR",IF(F221="NEW",IF(ISNA(VLOOKUP(E221,#REF!,1,FALSE())),"?TYPE_IDENTIFIABLE","?REFERENTIAL"),"_")))))</f>
        <v> </v>
      </c>
      <c r="H221" s="25" t="str">
        <f>IF(J221&lt;&gt;1,"",IF(I221="SBJ","CB","?"))</f>
        <v> </v>
      </c>
      <c r="I221" s="26" t="str">
        <f>IF(OR(E221="",E221="!!!",F221="NEW"),"",INDEX(B220:B$2,-1+SUMPRODUCT(MAX(ROW(E220:E$2)*(E221=E220:E$2)))))</f>
        <v> </v>
      </c>
      <c r="J221" s="26" t="str">
        <f>IF(OR(E221="",E221="!!!",F221="NEW"),"",COUNTBLANK(OFFSET(A$1,,,SUMPRODUCT(MAX(ROW(E$2:E221)*(E221=E$2:E221)))))-COUNTBLANK(OFFSET(A$1,,,SUMPRODUCT(MAX(ROW(E$1:E220)*(E2=E$1:E220))))))</f>
        <v> </v>
      </c>
      <c r="K221" s="26" t="str">
        <f>IF(OR(E221="",E221="!!!",F221="NEW"),"",INDEX(J$1:J220,SUMPRODUCT(MAX(ROW(E$1:E220)*(E221=E$1:E220)))))</f>
        <v> </v>
      </c>
      <c r="L221" s="27"/>
    </row>
    <row r="222" spans="1:12">
      <c r="A222" s="20" t="s">
        <v>287</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t="s">
        <v>150</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288</v>
      </c>
      <c r="B224" s="21" t="s">
        <v>203</v>
      </c>
      <c r="C224" s="21" t="s">
        <v>154</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234</v>
      </c>
      <c r="B225" s="21" t="s">
        <v>153</v>
      </c>
      <c r="C225" s="21" t="s">
        <v>157</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162</v>
      </c>
      <c r="B226" s="21" t="s">
        <v>163</v>
      </c>
      <c r="C226" s="21" t="s">
        <v>164</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161</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t="s">
        <v>168</v>
      </c>
      <c r="B228" s="21" t="s">
        <v>225</v>
      </c>
      <c r="C228" s="21" t="s">
        <v>169</v>
      </c>
      <c r="D228" s="21" t="s">
        <v>149</v>
      </c>
      <c r="E228" s="22">
        <f>IF(D228="?OLD","!!!","")</f>
        <v/>
      </c>
      <c r="F228" s="23" t="str">
        <f>IF(OR(E228="",E228="!!!"),"",IF(NOT(ISNA(VLOOKUP(E228,E$1:E227,1,FALSE()))),"OLD",IF(AND(E228&lt;&gt;"",E228&lt;&gt;"!!!"),"NEW","")))</f>
        <v> </v>
      </c>
      <c r="G228" s="24" t="str">
        <f>IF(OR(E228="",E228="!!!"),"",IF(OR(J228=0,AND(J228=1,K228=1),AND(J228=1,I228="SBJ"),AND(J228=1,I228=0)),"?IN_FOCUS",IF(J228&lt;=2,"?ACTIVATED",IF(J228&lt;&gt;"","?FAMILIAR",IF(F228="NEW",IF(ISNA(VLOOKUP(E228,#REF!,1,FALSE())),"?TYPE_IDENTIFIABLE","?REFERENTIAL"),"_")))))</f>
        <v> </v>
      </c>
      <c r="H228" s="25" t="str">
        <f>IF(J228&lt;&gt;1,"",IF(I228="SBJ","CB","?"))</f>
        <v> </v>
      </c>
      <c r="I228" s="26" t="str">
        <f>IF(OR(E228="",E228="!!!",F228="NEW"),"",INDEX(B227:B$2,-1+SUMPRODUCT(MAX(ROW(E227:E$2)*(E228=E227:E$2)))))</f>
        <v> </v>
      </c>
      <c r="J228" s="26" t="str">
        <f>IF(OR(E228="",E228="!!!",F228="NEW"),"",COUNTBLANK(OFFSET(A$1,,,SUMPRODUCT(MAX(ROW(E$2:E228)*(E228=E$2:E228)))))-COUNTBLANK(OFFSET(A$1,,,SUMPRODUCT(MAX(ROW(E$1:E227)*(E2=E$1:E227))))))</f>
        <v> </v>
      </c>
      <c r="K228" s="26" t="str">
        <f>IF(OR(E228="",E228="!!!",F228="NEW"),"",INDEX(J$1:J227,SUMPRODUCT(MAX(ROW(E$1:E227)*(E228=E$1:E227)))))</f>
        <v> </v>
      </c>
      <c r="L228" s="27"/>
    </row>
    <row r="229" spans="1:12">
      <c r="A229" s="20" t="s">
        <v>233</v>
      </c>
      <c r="E229" s="22">
        <f>IF(D229="?OLD","!!!","")</f>
        <v/>
      </c>
      <c r="F229" s="23" t="str">
        <f>IF(OR(E229="",E229="!!!"),"",IF(NOT(ISNA(VLOOKUP(E229,E$1:E228,1,FALSE()))),"OLD",IF(AND(E229&lt;&gt;"",E229&lt;&gt;"!!!"),"NEW","")))</f>
        <v> </v>
      </c>
      <c r="G229" s="24" t="str">
        <f>IF(OR(E229="",E229="!!!"),"",IF(OR(J229=0,AND(J229=1,K229=1),AND(J229=1,I229="SBJ"),AND(J229=1,I229=0)),"?IN_FOCUS",IF(J229&lt;=2,"?ACTIVATED",IF(J229&lt;&gt;"","?FAMILIAR",IF(F229="NEW",IF(ISNA(VLOOKUP(E229,#REF!,1,FALSE())),"?TYPE_IDENTIFIABLE","?REFERENTIAL"),"_")))))</f>
        <v> </v>
      </c>
      <c r="H229" s="25" t="str">
        <f>IF(J229&lt;&gt;1,"",IF(I229="SBJ","CB","?"))</f>
        <v> </v>
      </c>
      <c r="I229" s="26" t="str">
        <f>IF(OR(E229="",E229="!!!",F229="NEW"),"",INDEX(B228:B$2,-1+SUMPRODUCT(MAX(ROW(E228:E$2)*(E229=E228:E$2)))))</f>
        <v> </v>
      </c>
      <c r="J229" s="26" t="str">
        <f>IF(OR(E229="",E229="!!!",F229="NEW"),"",COUNTBLANK(OFFSET(A$1,,,SUMPRODUCT(MAX(ROW(E$2:E229)*(E229=E$2:E229)))))-COUNTBLANK(OFFSET(A$1,,,SUMPRODUCT(MAX(ROW(E$1:E228)*(E2=E$1:E228))))))</f>
        <v> </v>
      </c>
      <c r="K229" s="26" t="str">
        <f>IF(OR(E229="",E229="!!!",F229="NEW"),"",INDEX(J$1:J228,SUMPRODUCT(MAX(ROW(E$1:E228)*(E229=E$1:E228)))))</f>
        <v> </v>
      </c>
      <c r="L229" s="27"/>
    </row>
    <row r="230" spans="1:12">
      <c r="A230" s="20" t="s">
        <v>261</v>
      </c>
      <c r="E230" s="22">
        <f>IF(D230="?OLD","!!!","")</f>
        <v/>
      </c>
      <c r="F230" s="23" t="str">
        <f>IF(OR(E230="",E230="!!!"),"",IF(NOT(ISNA(VLOOKUP(E230,E$1:E229,1,FALSE()))),"OLD",IF(AND(E230&lt;&gt;"",E230&lt;&gt;"!!!"),"NEW","")))</f>
        <v> </v>
      </c>
      <c r="G230" s="24" t="str">
        <f>IF(OR(E230="",E230="!!!"),"",IF(OR(J230=0,AND(J230=1,K230=1),AND(J230=1,I230="SBJ"),AND(J230=1,I230=0)),"?IN_FOCUS",IF(J230&lt;=2,"?ACTIVATED",IF(J230&lt;&gt;"","?FAMILIAR",IF(F230="NEW",IF(ISNA(VLOOKUP(E230,#REF!,1,FALSE())),"?TYPE_IDENTIFIABLE","?REFERENTIAL"),"_")))))</f>
        <v> </v>
      </c>
      <c r="H230" s="25" t="str">
        <f>IF(J230&lt;&gt;1,"",IF(I230="SBJ","CB","?"))</f>
        <v> </v>
      </c>
      <c r="I230" s="26" t="str">
        <f>IF(OR(E230="",E230="!!!",F230="NEW"),"",INDEX(B229:B$2,-1+SUMPRODUCT(MAX(ROW(E229:E$2)*(E230=E229:E$2)))))</f>
        <v> </v>
      </c>
      <c r="J230" s="26" t="str">
        <f>IF(OR(E230="",E230="!!!",F230="NEW"),"",COUNTBLANK(OFFSET(A$1,,,SUMPRODUCT(MAX(ROW(E$2:E230)*(E230=E$2:E230)))))-COUNTBLANK(OFFSET(A$1,,,SUMPRODUCT(MAX(ROW(E$1:E229)*(E2=E$1:E229))))))</f>
        <v> </v>
      </c>
      <c r="K230" s="26" t="str">
        <f>IF(OR(E230="",E230="!!!",F230="NEW"),"",INDEX(J$1:J229,SUMPRODUCT(MAX(ROW(E$1:E229)*(E230=E$1:E229)))))</f>
        <v> </v>
      </c>
      <c r="L230" s="27"/>
    </row>
    <row r="231" spans="1:12">
      <c r="A231" s="20" t="s">
        <v>278</v>
      </c>
      <c r="E231" s="22">
        <f>IF(D231="?OLD","!!!","")</f>
        <v/>
      </c>
      <c r="F231" s="23" t="str">
        <f>IF(OR(E231="",E231="!!!"),"",IF(NOT(ISNA(VLOOKUP(E231,E$1:E230,1,FALSE()))),"OLD",IF(AND(E231&lt;&gt;"",E231&lt;&gt;"!!!"),"NEW","")))</f>
        <v> </v>
      </c>
      <c r="G231" s="24" t="str">
        <f>IF(OR(E231="",E231="!!!"),"",IF(OR(J231=0,AND(J231=1,K231=1),AND(J231=1,I231="SBJ"),AND(J231=1,I231=0)),"?IN_FOCUS",IF(J231&lt;=2,"?ACTIVATED",IF(J231&lt;&gt;"","?FAMILIAR",IF(F231="NEW",IF(ISNA(VLOOKUP(E231,#REF!,1,FALSE())),"?TYPE_IDENTIFIABLE","?REFERENTIAL"),"_")))))</f>
        <v> </v>
      </c>
      <c r="H231" s="25" t="str">
        <f>IF(J231&lt;&gt;1,"",IF(I231="SBJ","CB","?"))</f>
        <v> </v>
      </c>
      <c r="I231" s="26" t="str">
        <f>IF(OR(E231="",E231="!!!",F231="NEW"),"",INDEX(B230:B$2,-1+SUMPRODUCT(MAX(ROW(E230:E$2)*(E231=E230:E$2)))))</f>
        <v> </v>
      </c>
      <c r="J231" s="26" t="str">
        <f>IF(OR(E231="",E231="!!!",F231="NEW"),"",COUNTBLANK(OFFSET(A$1,,,SUMPRODUCT(MAX(ROW(E$2:E231)*(E231=E$2:E231)))))-COUNTBLANK(OFFSET(A$1,,,SUMPRODUCT(MAX(ROW(E$1:E230)*(E2=E$1:E230))))))</f>
        <v> </v>
      </c>
      <c r="K231" s="26" t="str">
        <f>IF(OR(E231="",E231="!!!",F231="NEW"),"",INDEX(J$1:J230,SUMPRODUCT(MAX(ROW(E$1:E230)*(E231=E$1:E230)))))</f>
        <v> </v>
      </c>
      <c r="L231" s="27"/>
    </row>
    <row r="232" spans="1:12">
      <c r="A232" s="20" t="s">
        <v>180</v>
      </c>
      <c r="E232" s="22">
        <f>IF(D232="?OLD","!!!","")</f>
        <v/>
      </c>
      <c r="F232" s="23" t="str">
        <f>IF(OR(E232="",E232="!!!"),"",IF(NOT(ISNA(VLOOKUP(E232,E$1:E231,1,FALSE()))),"OLD",IF(AND(E232&lt;&gt;"",E232&lt;&gt;"!!!"),"NEW","")))</f>
        <v> </v>
      </c>
      <c r="G232" s="24" t="str">
        <f>IF(OR(E232="",E232="!!!"),"",IF(OR(J232=0,AND(J232=1,K232=1),AND(J232=1,I232="SBJ"),AND(J232=1,I232=0)),"?IN_FOCUS",IF(J232&lt;=2,"?ACTIVATED",IF(J232&lt;&gt;"","?FAMILIAR",IF(F232="NEW",IF(ISNA(VLOOKUP(E232,#REF!,1,FALSE())),"?TYPE_IDENTIFIABLE","?REFERENTIAL"),"_")))))</f>
        <v> </v>
      </c>
      <c r="H232" s="25" t="str">
        <f>IF(J232&lt;&gt;1,"",IF(I232="SBJ","CB","?"))</f>
        <v> </v>
      </c>
      <c r="I232" s="26" t="str">
        <f>IF(OR(E232="",E232="!!!",F232="NEW"),"",INDEX(B231:B$2,-1+SUMPRODUCT(MAX(ROW(E231:E$2)*(E232=E231:E$2)))))</f>
        <v> </v>
      </c>
      <c r="J232" s="26" t="str">
        <f>IF(OR(E232="",E232="!!!",F232="NEW"),"",COUNTBLANK(OFFSET(A$1,,,SUMPRODUCT(MAX(ROW(E$2:E232)*(E232=E$2:E232)))))-COUNTBLANK(OFFSET(A$1,,,SUMPRODUCT(MAX(ROW(E$1:E231)*(E2=E$1:E231))))))</f>
        <v> </v>
      </c>
      <c r="K232" s="26" t="str">
        <f>IF(OR(E232="",E232="!!!",F232="NEW"),"",INDEX(J$1:J231,SUMPRODUCT(MAX(ROW(E$1:E231)*(E232=E$1:E231)))))</f>
        <v> </v>
      </c>
      <c r="L232" s="27"/>
    </row>
    <row r="233" spans="1:12">
      <c r="A233" s="20" t="s">
        <v>152</v>
      </c>
      <c r="B233" s="21" t="s">
        <v>203</v>
      </c>
      <c r="C233" s="21" t="s">
        <v>154</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t="s">
        <v>234</v>
      </c>
      <c r="B234" s="21" t="s">
        <v>153</v>
      </c>
      <c r="C234" s="21" t="s">
        <v>157</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t="s">
        <v>165</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row>
    <row r="237" spans="1:12">
      <c r="A237" s="20" t="s">
        <v>289</v>
      </c>
    </row>
    <row r="238" spans="1:12">
      <c r="A238" s="20" t="s">
        <v>290</v>
      </c>
      <c r="B238" s="21" t="s">
        <v>147</v>
      </c>
      <c r="C238" s="21" t="s">
        <v>291</v>
      </c>
      <c r="D238" s="21" t="s">
        <v>149</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t="s">
        <v>292</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t="s">
        <v>242</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293</v>
      </c>
      <c r="B241" s="21" t="s">
        <v>207</v>
      </c>
      <c r="C241" s="21" t="s">
        <v>183</v>
      </c>
      <c r="D241" s="21" t="s">
        <v>149</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294</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192</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295</v>
      </c>
      <c r="B244" s="21" t="s">
        <v>156</v>
      </c>
      <c r="C244" s="21" t="s">
        <v>185</v>
      </c>
      <c r="D244" s="21" t="s">
        <v>149</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296</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297</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t="s">
        <v>298</v>
      </c>
      <c r="B247" s="21" t="s">
        <v>163</v>
      </c>
      <c r="C247" s="21" t="s">
        <v>157</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t="s">
        <v>299</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t="s">
        <v>161</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300</v>
      </c>
      <c r="E250" s="22">
        <f>IF(D250="?OLD","!!!","")</f>
        <v/>
      </c>
      <c r="F250" s="23" t="str">
        <f>IF(OR(E250="",E250="!!!"),"",IF(NOT(ISNA(VLOOKUP(E250,E$1:E249,1,FALSE()))),"OLD",IF(AND(E250&lt;&gt;"",E250&lt;&gt;"!!!"),"NEW","")))</f>
        <v> </v>
      </c>
      <c r="G250" s="24" t="str">
        <f>IF(OR(E250="",E250="!!!"),"",IF(OR(J250=0,AND(J250=1,K250=1),AND(J250=1,I250="SBJ"),AND(J250=1,I250=0)),"?IN_FOCUS",IF(J250&lt;=2,"?ACTIVATED",IF(J250&lt;&gt;"","?FAMILIAR",IF(F250="NEW",IF(ISNA(VLOOKUP(E250,#REF!,1,FALSE())),"?TYPE_IDENTIFIABLE","?REFERENTIAL"),"_")))))</f>
        <v> </v>
      </c>
      <c r="H250" s="25" t="str">
        <f>IF(J250&lt;&gt;1,"",IF(I250="SBJ","CB","?"))</f>
        <v> </v>
      </c>
      <c r="I250" s="26" t="str">
        <f>IF(OR(E250="",E250="!!!",F250="NEW"),"",INDEX(B249:B$2,-1+SUMPRODUCT(MAX(ROW(E249:E$2)*(E250=E249:E$2)))))</f>
        <v> </v>
      </c>
      <c r="J250" s="26" t="str">
        <f>IF(OR(E250="",E250="!!!",F250="NEW"),"",COUNTBLANK(OFFSET(A$1,,,SUMPRODUCT(MAX(ROW(E$2:E250)*(E250=E$2:E250)))))-COUNTBLANK(OFFSET(A$1,,,SUMPRODUCT(MAX(ROW(E$1:E249)*(E2=E$1:E249))))))</f>
        <v> </v>
      </c>
      <c r="K250" s="26" t="str">
        <f>IF(OR(E250="",E250="!!!",F250="NEW"),"",INDEX(J$1:J249,SUMPRODUCT(MAX(ROW(E$1:E249)*(E250=E$1:E249)))))</f>
        <v> </v>
      </c>
      <c r="L250" s="27"/>
    </row>
    <row r="251" spans="1:12">
      <c r="A251" s="20" t="s">
        <v>301</v>
      </c>
      <c r="B251" s="21" t="s">
        <v>163</v>
      </c>
      <c r="C251" s="21" t="s">
        <v>164</v>
      </c>
      <c r="E251" s="22">
        <f>IF(D251="?OLD","!!!","")</f>
        <v/>
      </c>
      <c r="F251" s="23" t="str">
        <f>IF(OR(E251="",E251="!!!"),"",IF(NOT(ISNA(VLOOKUP(E251,E$1:E250,1,FALSE()))),"OLD",IF(AND(E251&lt;&gt;"",E251&lt;&gt;"!!!"),"NEW","")))</f>
        <v> </v>
      </c>
      <c r="G251" s="24" t="str">
        <f>IF(OR(E251="",E251="!!!"),"",IF(OR(J251=0,AND(J251=1,K251=1),AND(J251=1,I251="SBJ"),AND(J251=1,I251=0)),"?IN_FOCUS",IF(J251&lt;=2,"?ACTIVATED",IF(J251&lt;&gt;"","?FAMILIAR",IF(F251="NEW",IF(ISNA(VLOOKUP(E251,#REF!,1,FALSE())),"?TYPE_IDENTIFIABLE","?REFERENTIAL"),"_")))))</f>
        <v> </v>
      </c>
      <c r="H251" s="25" t="str">
        <f>IF(J251&lt;&gt;1,"",IF(I251="SBJ","CB","?"))</f>
        <v> </v>
      </c>
      <c r="I251" s="26" t="str">
        <f>IF(OR(E251="",E251="!!!",F251="NEW"),"",INDEX(B250:B$2,-1+SUMPRODUCT(MAX(ROW(E250:E$2)*(E251=E250:E$2)))))</f>
        <v> </v>
      </c>
      <c r="J251" s="26" t="str">
        <f>IF(OR(E251="",E251="!!!",F251="NEW"),"",COUNTBLANK(OFFSET(A$1,,,SUMPRODUCT(MAX(ROW(E$2:E251)*(E251=E$2:E251)))))-COUNTBLANK(OFFSET(A$1,,,SUMPRODUCT(MAX(ROW(E$1:E250)*(E2=E$1:E250))))))</f>
        <v> </v>
      </c>
      <c r="K251" s="26" t="str">
        <f>IF(OR(E251="",E251="!!!",F251="NEW"),"",INDEX(J$1:J250,SUMPRODUCT(MAX(ROW(E$1:E250)*(E251=E$1:E250)))))</f>
        <v> </v>
      </c>
      <c r="L251" s="27"/>
    </row>
    <row r="252" spans="1:12">
      <c r="A252" s="20" t="s">
        <v>174</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t="s">
        <v>302</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298</v>
      </c>
      <c r="B254" s="21" t="s">
        <v>203</v>
      </c>
      <c r="C254" s="21" t="s">
        <v>157</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303</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237</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304</v>
      </c>
      <c r="B257" s="21" t="s">
        <v>153</v>
      </c>
      <c r="C257" s="21" t="s">
        <v>183</v>
      </c>
      <c r="D257" s="21" t="s">
        <v>149</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174</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row>
    <row r="260" spans="1:12">
      <c r="A260" s="20" t="s">
        <v>305</v>
      </c>
    </row>
    <row r="261" spans="1:12">
      <c r="A261" s="20" t="s">
        <v>161</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t="s">
        <v>306</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307</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308</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298</v>
      </c>
      <c r="B265" s="21" t="s">
        <v>160</v>
      </c>
      <c r="C265" s="21" t="s">
        <v>157</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t="s">
        <v>161</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t="s">
        <v>300</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t="s">
        <v>309</v>
      </c>
      <c r="B268" s="21" t="s">
        <v>196</v>
      </c>
      <c r="C268" s="21" t="s">
        <v>164</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t="s">
        <v>161</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t="s">
        <v>310</v>
      </c>
      <c r="B270" s="21" t="s">
        <v>153</v>
      </c>
      <c r="C270" s="21" t="s">
        <v>164</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t="s">
        <v>165</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row>
    <row r="273" spans="1:12">
      <c r="A273" s="20" t="s">
        <v>311</v>
      </c>
    </row>
    <row r="274" spans="1:12">
      <c r="A274" s="20" t="s">
        <v>301</v>
      </c>
      <c r="B274" s="21" t="s">
        <v>147</v>
      </c>
      <c r="C274" s="21" t="s">
        <v>185</v>
      </c>
      <c r="D274" s="21" t="s">
        <v>149</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296</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312</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298</v>
      </c>
      <c r="B277" s="21" t="s">
        <v>207</v>
      </c>
      <c r="C277" s="21" t="s">
        <v>157</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299</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161</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300</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313</v>
      </c>
      <c r="B281" s="21" t="s">
        <v>196</v>
      </c>
      <c r="C281" s="21" t="s">
        <v>185</v>
      </c>
      <c r="D281" s="21" t="s">
        <v>149</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row>
    <row r="283" spans="1:12">
      <c r="A283" s="20" t="s">
        <v>314</v>
      </c>
    </row>
    <row r="284" spans="1:12">
      <c r="A284" s="20" t="s">
        <v>161</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306</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307</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315</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298</v>
      </c>
      <c r="B288" s="21" t="s">
        <v>160</v>
      </c>
      <c r="C288" s="21" t="s">
        <v>157</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161</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t="s">
        <v>300</v>
      </c>
      <c r="E290" s="22">
        <f>IF(D290="?OLD","!!!","")</f>
        <v/>
      </c>
      <c r="F290" s="23" t="str">
        <f>IF(OR(E290="",E290="!!!"),"",IF(NOT(ISNA(VLOOKUP(E290,E$1:E289,1,FALSE()))),"OLD",IF(AND(E290&lt;&gt;"",E290&lt;&gt;"!!!"),"NEW","")))</f>
        <v> </v>
      </c>
      <c r="G290" s="24" t="str">
        <f>IF(OR(E290="",E290="!!!"),"",IF(OR(J290=0,AND(J290=1,K290=1),AND(J290=1,I290="SBJ"),AND(J290=1,I290=0)),"?IN_FOCUS",IF(J290&lt;=2,"?ACTIVATED",IF(J290&lt;&gt;"","?FAMILIAR",IF(F290="NEW",IF(ISNA(VLOOKUP(E290,#REF!,1,FALSE())),"?TYPE_IDENTIFIABLE","?REFERENTIAL"),"_")))))</f>
        <v> </v>
      </c>
      <c r="H290" s="25" t="str">
        <f>IF(J290&lt;&gt;1,"",IF(I290="SBJ","CB","?"))</f>
        <v> </v>
      </c>
      <c r="I290" s="26" t="str">
        <f>IF(OR(E290="",E290="!!!",F290="NEW"),"",INDEX(B289:B$2,-1+SUMPRODUCT(MAX(ROW(E289:E$2)*(E290=E289:E$2)))))</f>
        <v> </v>
      </c>
      <c r="J290" s="26" t="str">
        <f>IF(OR(E290="",E290="!!!",F290="NEW"),"",COUNTBLANK(OFFSET(A$1,,,SUMPRODUCT(MAX(ROW(E$2:E290)*(E290=E$2:E290)))))-COUNTBLANK(OFFSET(A$1,,,SUMPRODUCT(MAX(ROW(E$1:E289)*(E2=E$1:E289))))))</f>
        <v> </v>
      </c>
      <c r="K290" s="26" t="str">
        <f>IF(OR(E290="",E290="!!!",F290="NEW"),"",INDEX(J$1:J289,SUMPRODUCT(MAX(ROW(E$1:E289)*(E290=E$1:E289)))))</f>
        <v> </v>
      </c>
      <c r="L290" s="27"/>
    </row>
    <row r="291" spans="1:12">
      <c r="A291" s="20" t="s">
        <v>309</v>
      </c>
      <c r="B291" s="21" t="s">
        <v>196</v>
      </c>
      <c r="C291" s="21" t="s">
        <v>164</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t="s">
        <v>161</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310</v>
      </c>
      <c r="B293" s="21" t="s">
        <v>153</v>
      </c>
      <c r="C293" s="21" t="s">
        <v>164</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165</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row>
    <row r="296" spans="1:12">
      <c r="A296" s="20" t="s">
        <v>316</v>
      </c>
    </row>
    <row r="297" spans="1:12">
      <c r="A297" s="20" t="s">
        <v>313</v>
      </c>
      <c r="B297" s="21" t="s">
        <v>147</v>
      </c>
      <c r="C297" s="21" t="s">
        <v>185</v>
      </c>
      <c r="D297" s="21" t="s">
        <v>149</v>
      </c>
      <c r="E297" s="22">
        <f>IF(D297="?OLD","!!!","")</f>
        <v/>
      </c>
      <c r="F297" s="23" t="str">
        <f>IF(OR(E297="",E297="!!!"),"",IF(NOT(ISNA(VLOOKUP(E297,E$1:E296,1,FALSE()))),"OLD",IF(AND(E297&lt;&gt;"",E297&lt;&gt;"!!!"),"NEW","")))</f>
        <v> </v>
      </c>
      <c r="G297" s="24" t="str">
        <f>IF(OR(E297="",E297="!!!"),"",IF(OR(J297=0,AND(J297=1,K297=1),AND(J297=1,I297="SBJ"),AND(J297=1,I297=0)),"?IN_FOCUS",IF(J297&lt;=2,"?ACTIVATED",IF(J297&lt;&gt;"","?FAMILIAR",IF(F297="NEW",IF(ISNA(VLOOKUP(E297,#REF!,1,FALSE())),"?TYPE_IDENTIFIABLE","?REFERENTIAL"),"_")))))</f>
        <v> </v>
      </c>
      <c r="H297" s="25" t="str">
        <f>IF(J297&lt;&gt;1,"",IF(I297="SBJ","CB","?"))</f>
        <v> </v>
      </c>
      <c r="I297" s="26" t="str">
        <f>IF(OR(E297="",E297="!!!",F297="NEW"),"",INDEX(B296:B$2,-1+SUMPRODUCT(MAX(ROW(E296:E$2)*(E297=E296:E$2)))))</f>
        <v> </v>
      </c>
      <c r="J297" s="26" t="str">
        <f>IF(OR(E297="",E297="!!!",F297="NEW"),"",COUNTBLANK(OFFSET(A$1,,,SUMPRODUCT(MAX(ROW(E$2:E297)*(E297=E$2:E297)))))-COUNTBLANK(OFFSET(A$1,,,SUMPRODUCT(MAX(ROW(E$1:E296)*(E2=E$1:E296))))))</f>
        <v> </v>
      </c>
      <c r="K297" s="26" t="str">
        <f>IF(OR(E297="",E297="!!!",F297="NEW"),"",INDEX(J$1:J296,SUMPRODUCT(MAX(ROW(E$1:E296)*(E297=E$1:E296)))))</f>
        <v> </v>
      </c>
      <c r="L297" s="27"/>
    </row>
    <row r="298" spans="1:12">
      <c r="A298" s="20" t="s">
        <v>296</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317</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298</v>
      </c>
      <c r="B300" s="21" t="s">
        <v>207</v>
      </c>
      <c r="C300" s="21" t="s">
        <v>157</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t="s">
        <v>299</v>
      </c>
      <c r="E301" s="22">
        <f>IF(D301="?OLD","!!!","")</f>
        <v/>
      </c>
      <c r="F301" s="23" t="str">
        <f>IF(OR(E301="",E301="!!!"),"",IF(NOT(ISNA(VLOOKUP(E301,E$1:E300,1,FALSE()))),"OLD",IF(AND(E301&lt;&gt;"",E301&lt;&gt;"!!!"),"NEW","")))</f>
        <v> </v>
      </c>
      <c r="G301" s="24" t="str">
        <f>IF(OR(E301="",E301="!!!"),"",IF(OR(J301=0,AND(J301=1,K301=1),AND(J301=1,I301="SBJ"),AND(J301=1,I301=0)),"?IN_FOCUS",IF(J301&lt;=2,"?ACTIVATED",IF(J301&lt;&gt;"","?FAMILIAR",IF(F301="NEW",IF(ISNA(VLOOKUP(E301,#REF!,1,FALSE())),"?TYPE_IDENTIFIABLE","?REFERENTIAL"),"_")))))</f>
        <v> </v>
      </c>
      <c r="H301" s="25" t="str">
        <f>IF(J301&lt;&gt;1,"",IF(I301="SBJ","CB","?"))</f>
        <v> </v>
      </c>
      <c r="I301" s="26" t="str">
        <f>IF(OR(E301="",E301="!!!",F301="NEW"),"",INDEX(B300:B$2,-1+SUMPRODUCT(MAX(ROW(E300:E$2)*(E301=E300:E$2)))))</f>
        <v> </v>
      </c>
      <c r="J301" s="26" t="str">
        <f>IF(OR(E301="",E301="!!!",F301="NEW"),"",COUNTBLANK(OFFSET(A$1,,,SUMPRODUCT(MAX(ROW(E$2:E301)*(E301=E$2:E301)))))-COUNTBLANK(OFFSET(A$1,,,SUMPRODUCT(MAX(ROW(E$1:E300)*(E2=E$1:E300))))))</f>
        <v> </v>
      </c>
      <c r="K301" s="26" t="str">
        <f>IF(OR(E301="",E301="!!!",F301="NEW"),"",INDEX(J$1:J300,SUMPRODUCT(MAX(ROW(E$1:E300)*(E301=E$1:E300)))))</f>
        <v> </v>
      </c>
      <c r="L301" s="27"/>
    </row>
    <row r="302" spans="1:12">
      <c r="A302" s="20" t="s">
        <v>161</v>
      </c>
      <c r="E302" s="22">
        <f>IF(D302="?OLD","!!!","")</f>
        <v/>
      </c>
      <c r="F302" s="23" t="str">
        <f>IF(OR(E302="",E302="!!!"),"",IF(NOT(ISNA(VLOOKUP(E302,E$1:E301,1,FALSE()))),"OLD",IF(AND(E302&lt;&gt;"",E302&lt;&gt;"!!!"),"NEW","")))</f>
        <v> </v>
      </c>
      <c r="G302" s="24" t="str">
        <f>IF(OR(E302="",E302="!!!"),"",IF(OR(J302=0,AND(J302=1,K302=1),AND(J302=1,I302="SBJ"),AND(J302=1,I302=0)),"?IN_FOCUS",IF(J302&lt;=2,"?ACTIVATED",IF(J302&lt;&gt;"","?FAMILIAR",IF(F302="NEW",IF(ISNA(VLOOKUP(E302,#REF!,1,FALSE())),"?TYPE_IDENTIFIABLE","?REFERENTIAL"),"_")))))</f>
        <v> </v>
      </c>
      <c r="H302" s="25" t="str">
        <f>IF(J302&lt;&gt;1,"",IF(I302="SBJ","CB","?"))</f>
        <v> </v>
      </c>
      <c r="I302" s="26" t="str">
        <f>IF(OR(E302="",E302="!!!",F302="NEW"),"",INDEX(B301:B$2,-1+SUMPRODUCT(MAX(ROW(E301:E$2)*(E302=E301:E$2)))))</f>
        <v> </v>
      </c>
      <c r="J302" s="26" t="str">
        <f>IF(OR(E302="",E302="!!!",F302="NEW"),"",COUNTBLANK(OFFSET(A$1,,,SUMPRODUCT(MAX(ROW(E$2:E302)*(E302=E$2:E302)))))-COUNTBLANK(OFFSET(A$1,,,SUMPRODUCT(MAX(ROW(E$1:E301)*(E2=E$1:E301))))))</f>
        <v> </v>
      </c>
      <c r="K302" s="26" t="str">
        <f>IF(OR(E302="",E302="!!!",F302="NEW"),"",INDEX(J$1:J301,SUMPRODUCT(MAX(ROW(E$1:E301)*(E302=E$1:E301)))))</f>
        <v> </v>
      </c>
      <c r="L302" s="27"/>
    </row>
    <row r="303" spans="1:12">
      <c r="A303" s="20" t="s">
        <v>300</v>
      </c>
      <c r="E303" s="22">
        <f>IF(D303="?OLD","!!!","")</f>
        <v/>
      </c>
      <c r="F303" s="23" t="str">
        <f>IF(OR(E303="",E303="!!!"),"",IF(NOT(ISNA(VLOOKUP(E303,E$1:E302,1,FALSE()))),"OLD",IF(AND(E303&lt;&gt;"",E303&lt;&gt;"!!!"),"NEW","")))</f>
        <v> </v>
      </c>
      <c r="G303" s="24" t="str">
        <f>IF(OR(E303="",E303="!!!"),"",IF(OR(J303=0,AND(J303=1,K303=1),AND(J303=1,I303="SBJ"),AND(J303=1,I303=0)),"?IN_FOCUS",IF(J303&lt;=2,"?ACTIVATED",IF(J303&lt;&gt;"","?FAMILIAR",IF(F303="NEW",IF(ISNA(VLOOKUP(E303,#REF!,1,FALSE())),"?TYPE_IDENTIFIABLE","?REFERENTIAL"),"_")))))</f>
        <v> </v>
      </c>
      <c r="H303" s="25" t="str">
        <f>IF(J303&lt;&gt;1,"",IF(I303="SBJ","CB","?"))</f>
        <v> </v>
      </c>
      <c r="I303" s="26" t="str">
        <f>IF(OR(E303="",E303="!!!",F303="NEW"),"",INDEX(B302:B$2,-1+SUMPRODUCT(MAX(ROW(E302:E$2)*(E303=E302:E$2)))))</f>
        <v> </v>
      </c>
      <c r="J303" s="26" t="str">
        <f>IF(OR(E303="",E303="!!!",F303="NEW"),"",COUNTBLANK(OFFSET(A$1,,,SUMPRODUCT(MAX(ROW(E$2:E303)*(E303=E$2:E303)))))-COUNTBLANK(OFFSET(A$1,,,SUMPRODUCT(MAX(ROW(E$1:E302)*(E2=E$1:E302))))))</f>
        <v> </v>
      </c>
      <c r="K303" s="26" t="str">
        <f>IF(OR(E303="",E303="!!!",F303="NEW"),"",INDEX(J$1:J302,SUMPRODUCT(MAX(ROW(E$1:E302)*(E303=E$1:E302)))))</f>
        <v> </v>
      </c>
      <c r="L303" s="27"/>
    </row>
    <row r="304" spans="1:12">
      <c r="A304" s="20" t="s">
        <v>318</v>
      </c>
      <c r="B304" s="21" t="s">
        <v>196</v>
      </c>
      <c r="C304" s="21" t="s">
        <v>185</v>
      </c>
      <c r="D304" s="21" t="s">
        <v>149</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row>
    <row r="306" spans="1:12">
      <c r="A306" s="20" t="s">
        <v>314</v>
      </c>
    </row>
    <row r="307" spans="1:12">
      <c r="A307" s="20" t="s">
        <v>161</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t="s">
        <v>306</v>
      </c>
      <c r="E308" s="22">
        <f>IF(D308="?OLD","!!!","")</f>
        <v/>
      </c>
      <c r="F308" s="23" t="str">
        <f>IF(OR(E308="",E308="!!!"),"",IF(NOT(ISNA(VLOOKUP(E308,E$1:E307,1,FALSE()))),"OLD",IF(AND(E308&lt;&gt;"",E308&lt;&gt;"!!!"),"NEW","")))</f>
        <v> </v>
      </c>
      <c r="G308" s="24" t="str">
        <f>IF(OR(E308="",E308="!!!"),"",IF(OR(J308=0,AND(J308=1,K308=1),AND(J308=1,I308="SBJ"),AND(J308=1,I308=0)),"?IN_FOCUS",IF(J308&lt;=2,"?ACTIVATED",IF(J308&lt;&gt;"","?FAMILIAR",IF(F308="NEW",IF(ISNA(VLOOKUP(E308,#REF!,1,FALSE())),"?TYPE_IDENTIFIABLE","?REFERENTIAL"),"_")))))</f>
        <v> </v>
      </c>
      <c r="H308" s="25" t="str">
        <f>IF(J308&lt;&gt;1,"",IF(I308="SBJ","CB","?"))</f>
        <v> </v>
      </c>
      <c r="I308" s="26" t="str">
        <f>IF(OR(E308="",E308="!!!",F308="NEW"),"",INDEX(B307:B$2,-1+SUMPRODUCT(MAX(ROW(E307:E$2)*(E308=E307:E$2)))))</f>
        <v> </v>
      </c>
      <c r="J308" s="26" t="str">
        <f>IF(OR(E308="",E308="!!!",F308="NEW"),"",COUNTBLANK(OFFSET(A$1,,,SUMPRODUCT(MAX(ROW(E$2:E308)*(E308=E$2:E308)))))-COUNTBLANK(OFFSET(A$1,,,SUMPRODUCT(MAX(ROW(E$1:E307)*(E2=E$1:E307))))))</f>
        <v> </v>
      </c>
      <c r="K308" s="26" t="str">
        <f>IF(OR(E308="",E308="!!!",F308="NEW"),"",INDEX(J$1:J307,SUMPRODUCT(MAX(ROW(E$1:E307)*(E308=E$1:E307)))))</f>
        <v> </v>
      </c>
      <c r="L308" s="27"/>
    </row>
    <row r="309" spans="1:12">
      <c r="A309" s="20" t="s">
        <v>307</v>
      </c>
      <c r="E309" s="22">
        <f>IF(D309="?OLD","!!!","")</f>
        <v/>
      </c>
      <c r="F309" s="23" t="str">
        <f>IF(OR(E309="",E309="!!!"),"",IF(NOT(ISNA(VLOOKUP(E309,E$1:E308,1,FALSE()))),"OLD",IF(AND(E309&lt;&gt;"",E309&lt;&gt;"!!!"),"NEW","")))</f>
        <v> </v>
      </c>
      <c r="G309" s="24" t="str">
        <f>IF(OR(E309="",E309="!!!"),"",IF(OR(J309=0,AND(J309=1,K309=1),AND(J309=1,I309="SBJ"),AND(J309=1,I309=0)),"?IN_FOCUS",IF(J309&lt;=2,"?ACTIVATED",IF(J309&lt;&gt;"","?FAMILIAR",IF(F309="NEW",IF(ISNA(VLOOKUP(E309,#REF!,1,FALSE())),"?TYPE_IDENTIFIABLE","?REFERENTIAL"),"_")))))</f>
        <v> </v>
      </c>
      <c r="H309" s="25" t="str">
        <f>IF(J309&lt;&gt;1,"",IF(I309="SBJ","CB","?"))</f>
        <v> </v>
      </c>
      <c r="I309" s="26" t="str">
        <f>IF(OR(E309="",E309="!!!",F309="NEW"),"",INDEX(B308:B$2,-1+SUMPRODUCT(MAX(ROW(E308:E$2)*(E309=E308:E$2)))))</f>
        <v> </v>
      </c>
      <c r="J309" s="26" t="str">
        <f>IF(OR(E309="",E309="!!!",F309="NEW"),"",COUNTBLANK(OFFSET(A$1,,,SUMPRODUCT(MAX(ROW(E$2:E309)*(E309=E$2:E309)))))-COUNTBLANK(OFFSET(A$1,,,SUMPRODUCT(MAX(ROW(E$1:E308)*(E2=E$1:E308))))))</f>
        <v> </v>
      </c>
      <c r="K309" s="26" t="str">
        <f>IF(OR(E309="",E309="!!!",F309="NEW"),"",INDEX(J$1:J308,SUMPRODUCT(MAX(ROW(E$1:E308)*(E309=E$1:E308)))))</f>
        <v> </v>
      </c>
      <c r="L309" s="27"/>
    </row>
    <row r="310" spans="1:12">
      <c r="A310" s="20" t="s">
        <v>315</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298</v>
      </c>
      <c r="B311" s="21" t="s">
        <v>160</v>
      </c>
      <c r="C311" s="21" t="s">
        <v>157</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161</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t="s">
        <v>300</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t="s">
        <v>309</v>
      </c>
      <c r="B314" s="21" t="s">
        <v>196</v>
      </c>
      <c r="C314" s="21" t="s">
        <v>164</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t="s">
        <v>161</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310</v>
      </c>
      <c r="B316" s="21" t="s">
        <v>153</v>
      </c>
      <c r="C316" s="21" t="s">
        <v>164</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t="s">
        <v>165</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row>
    <row r="319" spans="1:12">
      <c r="A319" s="20" t="s">
        <v>319</v>
      </c>
    </row>
    <row r="320" spans="1:12">
      <c r="A320" s="20" t="s">
        <v>318</v>
      </c>
      <c r="B320" s="21" t="s">
        <v>147</v>
      </c>
      <c r="C320" s="21" t="s">
        <v>185</v>
      </c>
      <c r="D320" s="21" t="s">
        <v>149</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t="s">
        <v>296</v>
      </c>
      <c r="E321" s="22">
        <f>IF(D321="?OLD","!!!","")</f>
        <v/>
      </c>
      <c r="F321" s="23" t="str">
        <f>IF(OR(E321="",E321="!!!"),"",IF(NOT(ISNA(VLOOKUP(E321,E$1:E320,1,FALSE()))),"OLD",IF(AND(E321&lt;&gt;"",E321&lt;&gt;"!!!"),"NEW","")))</f>
        <v> </v>
      </c>
      <c r="G321" s="24" t="str">
        <f>IF(OR(E321="",E321="!!!"),"",IF(OR(J321=0,AND(J321=1,K321=1),AND(J321=1,I321="SBJ"),AND(J321=1,I321=0)),"?IN_FOCUS",IF(J321&lt;=2,"?ACTIVATED",IF(J321&lt;&gt;"","?FAMILIAR",IF(F321="NEW",IF(ISNA(VLOOKUP(E321,#REF!,1,FALSE())),"?TYPE_IDENTIFIABLE","?REFERENTIAL"),"_")))))</f>
        <v> </v>
      </c>
      <c r="H321" s="25" t="str">
        <f>IF(J321&lt;&gt;1,"",IF(I321="SBJ","CB","?"))</f>
        <v> </v>
      </c>
      <c r="I321" s="26" t="str">
        <f>IF(OR(E321="",E321="!!!",F321="NEW"),"",INDEX(B320:B$2,-1+SUMPRODUCT(MAX(ROW(E320:E$2)*(E321=E320:E$2)))))</f>
        <v> </v>
      </c>
      <c r="J321" s="26" t="str">
        <f>IF(OR(E321="",E321="!!!",F321="NEW"),"",COUNTBLANK(OFFSET(A$1,,,SUMPRODUCT(MAX(ROW(E$2:E321)*(E321=E$2:E321)))))-COUNTBLANK(OFFSET(A$1,,,SUMPRODUCT(MAX(ROW(E$1:E320)*(E2=E$1:E320))))))</f>
        <v> </v>
      </c>
      <c r="K321" s="26" t="str">
        <f>IF(OR(E321="",E321="!!!",F321="NEW"),"",INDEX(J$1:J320,SUMPRODUCT(MAX(ROW(E$1:E320)*(E321=E$1:E320)))))</f>
        <v> </v>
      </c>
      <c r="L321" s="27"/>
    </row>
    <row r="322" spans="1:12">
      <c r="A322" s="20" t="s">
        <v>320</v>
      </c>
      <c r="E322" s="22">
        <f>IF(D322="?OLD","!!!","")</f>
        <v/>
      </c>
      <c r="F322" s="23" t="str">
        <f>IF(OR(E322="",E322="!!!"),"",IF(NOT(ISNA(VLOOKUP(E322,E$1:E321,1,FALSE()))),"OLD",IF(AND(E322&lt;&gt;"",E322&lt;&gt;"!!!"),"NEW","")))</f>
        <v> </v>
      </c>
      <c r="G322" s="24" t="str">
        <f>IF(OR(E322="",E322="!!!"),"",IF(OR(J322=0,AND(J322=1,K322=1),AND(J322=1,I322="SBJ"),AND(J322=1,I322=0)),"?IN_FOCUS",IF(J322&lt;=2,"?ACTIVATED",IF(J322&lt;&gt;"","?FAMILIAR",IF(F322="NEW",IF(ISNA(VLOOKUP(E322,#REF!,1,FALSE())),"?TYPE_IDENTIFIABLE","?REFERENTIAL"),"_")))))</f>
        <v> </v>
      </c>
      <c r="H322" s="25" t="str">
        <f>IF(J322&lt;&gt;1,"",IF(I322="SBJ","CB","?"))</f>
        <v> </v>
      </c>
      <c r="I322" s="26" t="str">
        <f>IF(OR(E322="",E322="!!!",F322="NEW"),"",INDEX(B321:B$2,-1+SUMPRODUCT(MAX(ROW(E321:E$2)*(E322=E321:E$2)))))</f>
        <v> </v>
      </c>
      <c r="J322" s="26" t="str">
        <f>IF(OR(E322="",E322="!!!",F322="NEW"),"",COUNTBLANK(OFFSET(A$1,,,SUMPRODUCT(MAX(ROW(E$2:E322)*(E322=E$2:E322)))))-COUNTBLANK(OFFSET(A$1,,,SUMPRODUCT(MAX(ROW(E$1:E321)*(E2=E$1:E321))))))</f>
        <v> </v>
      </c>
      <c r="K322" s="26" t="str">
        <f>IF(OR(E322="",E322="!!!",F322="NEW"),"",INDEX(J$1:J321,SUMPRODUCT(MAX(ROW(E$1:E321)*(E322=E$1:E321)))))</f>
        <v> </v>
      </c>
      <c r="L322" s="27"/>
    </row>
    <row r="323" spans="1:12">
      <c r="A323" s="20" t="s">
        <v>298</v>
      </c>
      <c r="B323" s="21" t="s">
        <v>207</v>
      </c>
      <c r="C323" s="21" t="s">
        <v>157</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t="s">
        <v>299</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t="s">
        <v>161</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t="s">
        <v>300</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321</v>
      </c>
      <c r="B327" s="21" t="s">
        <v>196</v>
      </c>
      <c r="C327" s="21" t="s">
        <v>185</v>
      </c>
      <c r="D327" s="21" t="s">
        <v>149</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row>
    <row r="329" spans="1:12">
      <c r="A329" s="20" t="s">
        <v>322</v>
      </c>
    </row>
    <row r="330" spans="1:12">
      <c r="A330" s="20" t="s">
        <v>161</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306</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307</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t="s">
        <v>323</v>
      </c>
      <c r="E333" s="22">
        <f>IF(D333="?OLD","!!!","")</f>
        <v/>
      </c>
      <c r="F333" s="23" t="str">
        <f>IF(OR(E333="",E333="!!!"),"",IF(NOT(ISNA(VLOOKUP(E333,E$1:E332,1,FALSE()))),"OLD",IF(AND(E333&lt;&gt;"",E333&lt;&gt;"!!!"),"NEW","")))</f>
        <v> </v>
      </c>
      <c r="G333" s="24" t="str">
        <f>IF(OR(E333="",E333="!!!"),"",IF(OR(J333=0,AND(J333=1,K333=1),AND(J333=1,I333="SBJ"),AND(J333=1,I333=0)),"?IN_FOCUS",IF(J333&lt;=2,"?ACTIVATED",IF(J333&lt;&gt;"","?FAMILIAR",IF(F333="NEW",IF(ISNA(VLOOKUP(E333,#REF!,1,FALSE())),"?TYPE_IDENTIFIABLE","?REFERENTIAL"),"_")))))</f>
        <v> </v>
      </c>
      <c r="H333" s="25" t="str">
        <f>IF(J333&lt;&gt;1,"",IF(I333="SBJ","CB","?"))</f>
        <v> </v>
      </c>
      <c r="I333" s="26" t="str">
        <f>IF(OR(E333="",E333="!!!",F333="NEW"),"",INDEX(B332:B$2,-1+SUMPRODUCT(MAX(ROW(E332:E$2)*(E333=E332:E$2)))))</f>
        <v> </v>
      </c>
      <c r="J333" s="26" t="str">
        <f>IF(OR(E333="",E333="!!!",F333="NEW"),"",COUNTBLANK(OFFSET(A$1,,,SUMPRODUCT(MAX(ROW(E$2:E333)*(E333=E$2:E333)))))-COUNTBLANK(OFFSET(A$1,,,SUMPRODUCT(MAX(ROW(E$1:E332)*(E2=E$1:E332))))))</f>
        <v> </v>
      </c>
      <c r="K333" s="26" t="str">
        <f>IF(OR(E333="",E333="!!!",F333="NEW"),"",INDEX(J$1:J332,SUMPRODUCT(MAX(ROW(E$1:E332)*(E333=E$1:E332)))))</f>
        <v> </v>
      </c>
      <c r="L333" s="27"/>
    </row>
    <row r="334" spans="1:12">
      <c r="A334" s="20" t="s">
        <v>298</v>
      </c>
      <c r="B334" s="21" t="s">
        <v>160</v>
      </c>
      <c r="C334" s="21" t="s">
        <v>157</v>
      </c>
      <c r="E334" s="22">
        <f>IF(D334="?OLD","!!!","")</f>
        <v/>
      </c>
      <c r="F334" s="23" t="str">
        <f>IF(OR(E334="",E334="!!!"),"",IF(NOT(ISNA(VLOOKUP(E334,E$1:E333,1,FALSE()))),"OLD",IF(AND(E334&lt;&gt;"",E334&lt;&gt;"!!!"),"NEW","")))</f>
        <v> </v>
      </c>
      <c r="G334" s="24" t="str">
        <f>IF(OR(E334="",E334="!!!"),"",IF(OR(J334=0,AND(J334=1,K334=1),AND(J334=1,I334="SBJ"),AND(J334=1,I334=0)),"?IN_FOCUS",IF(J334&lt;=2,"?ACTIVATED",IF(J334&lt;&gt;"","?FAMILIAR",IF(F334="NEW",IF(ISNA(VLOOKUP(E334,#REF!,1,FALSE())),"?TYPE_IDENTIFIABLE","?REFERENTIAL"),"_")))))</f>
        <v> </v>
      </c>
      <c r="H334" s="25" t="str">
        <f>IF(J334&lt;&gt;1,"",IF(I334="SBJ","CB","?"))</f>
        <v> </v>
      </c>
      <c r="I334" s="26" t="str">
        <f>IF(OR(E334="",E334="!!!",F334="NEW"),"",INDEX(B333:B$2,-1+SUMPRODUCT(MAX(ROW(E333:E$2)*(E334=E333:E$2)))))</f>
        <v> </v>
      </c>
      <c r="J334" s="26" t="str">
        <f>IF(OR(E334="",E334="!!!",F334="NEW"),"",COUNTBLANK(OFFSET(A$1,,,SUMPRODUCT(MAX(ROW(E$2:E334)*(E334=E$2:E334)))))-COUNTBLANK(OFFSET(A$1,,,SUMPRODUCT(MAX(ROW(E$1:E333)*(E2=E$1:E333))))))</f>
        <v> </v>
      </c>
      <c r="K334" s="26" t="str">
        <f>IF(OR(E334="",E334="!!!",F334="NEW"),"",INDEX(J$1:J333,SUMPRODUCT(MAX(ROW(E$1:E333)*(E334=E$1:E333)))))</f>
        <v> </v>
      </c>
      <c r="L334" s="27"/>
    </row>
    <row r="335" spans="1:12">
      <c r="A335" s="20" t="s">
        <v>161</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300</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309</v>
      </c>
      <c r="B337" s="21" t="s">
        <v>196</v>
      </c>
      <c r="C337" s="21" t="s">
        <v>164</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161</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t="s">
        <v>310</v>
      </c>
      <c r="B339" s="21" t="s">
        <v>153</v>
      </c>
      <c r="C339" s="21" t="s">
        <v>164</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t="s">
        <v>165</v>
      </c>
      <c r="E340" s="22">
        <f>IF(D340="?OLD","!!!","")</f>
        <v/>
      </c>
      <c r="F340" s="23" t="str">
        <f>IF(OR(E340="",E340="!!!"),"",IF(NOT(ISNA(VLOOKUP(E340,E$1:E339,1,FALSE()))),"OLD",IF(AND(E340&lt;&gt;"",E340&lt;&gt;"!!!"),"NEW","")))</f>
        <v> </v>
      </c>
      <c r="G340" s="24" t="str">
        <f>IF(OR(E340="",E340="!!!"),"",IF(OR(J340=0,AND(J340=1,K340=1),AND(J340=1,I340="SBJ"),AND(J340=1,I340=0)),"?IN_FOCUS",IF(J340&lt;=2,"?ACTIVATED",IF(J340&lt;&gt;"","?FAMILIAR",IF(F340="NEW",IF(ISNA(VLOOKUP(E340,#REF!,1,FALSE())),"?TYPE_IDENTIFIABLE","?REFERENTIAL"),"_")))))</f>
        <v> </v>
      </c>
      <c r="H340" s="25" t="str">
        <f>IF(J340&lt;&gt;1,"",IF(I340="SBJ","CB","?"))</f>
        <v> </v>
      </c>
      <c r="I340" s="26" t="str">
        <f>IF(OR(E340="",E340="!!!",F340="NEW"),"",INDEX(B339:B$2,-1+SUMPRODUCT(MAX(ROW(E339:E$2)*(E340=E339:E$2)))))</f>
        <v> </v>
      </c>
      <c r="J340" s="26" t="str">
        <f>IF(OR(E340="",E340="!!!",F340="NEW"),"",COUNTBLANK(OFFSET(A$1,,,SUMPRODUCT(MAX(ROW(E$2:E340)*(E340=E$2:E340)))))-COUNTBLANK(OFFSET(A$1,,,SUMPRODUCT(MAX(ROW(E$1:E339)*(E2=E$1:E339))))))</f>
        <v> </v>
      </c>
      <c r="K340" s="26" t="str">
        <f>IF(OR(E340="",E340="!!!",F340="NEW"),"",INDEX(J$1:J339,SUMPRODUCT(MAX(ROW(E$1:E339)*(E340=E$1:E339)))))</f>
        <v> </v>
      </c>
      <c r="L340" s="27"/>
    </row>
    <row r="341" spans="1:12">
      <c r="A341" s="20"/>
    </row>
    <row r="342" spans="1:12">
      <c r="A342" s="20" t="s">
        <v>324</v>
      </c>
    </row>
    <row r="343" spans="1:12">
      <c r="A343" s="20" t="s">
        <v>321</v>
      </c>
      <c r="B343" s="21" t="s">
        <v>147</v>
      </c>
      <c r="C343" s="21" t="s">
        <v>185</v>
      </c>
      <c r="D343" s="21" t="s">
        <v>149</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t="s">
        <v>296</v>
      </c>
      <c r="E344" s="22">
        <f>IF(D344="?OLD","!!!","")</f>
        <v/>
      </c>
      <c r="F344" s="23" t="str">
        <f>IF(OR(E344="",E344="!!!"),"",IF(NOT(ISNA(VLOOKUP(E344,E$1:E343,1,FALSE()))),"OLD",IF(AND(E344&lt;&gt;"",E344&lt;&gt;"!!!"),"NEW","")))</f>
        <v> </v>
      </c>
      <c r="G344" s="24" t="str">
        <f>IF(OR(E344="",E344="!!!"),"",IF(OR(J344=0,AND(J344=1,K344=1),AND(J344=1,I344="SBJ"),AND(J344=1,I344=0)),"?IN_FOCUS",IF(J344&lt;=2,"?ACTIVATED",IF(J344&lt;&gt;"","?FAMILIAR",IF(F344="NEW",IF(ISNA(VLOOKUP(E344,#REF!,1,FALSE())),"?TYPE_IDENTIFIABLE","?REFERENTIAL"),"_")))))</f>
        <v> </v>
      </c>
      <c r="H344" s="25" t="str">
        <f>IF(J344&lt;&gt;1,"",IF(I344="SBJ","CB","?"))</f>
        <v> </v>
      </c>
      <c r="I344" s="26" t="str">
        <f>IF(OR(E344="",E344="!!!",F344="NEW"),"",INDEX(B343:B$2,-1+SUMPRODUCT(MAX(ROW(E343:E$2)*(E344=E343:E$2)))))</f>
        <v> </v>
      </c>
      <c r="J344" s="26" t="str">
        <f>IF(OR(E344="",E344="!!!",F344="NEW"),"",COUNTBLANK(OFFSET(A$1,,,SUMPRODUCT(MAX(ROW(E$2:E344)*(E344=E$2:E344)))))-COUNTBLANK(OFFSET(A$1,,,SUMPRODUCT(MAX(ROW(E$1:E343)*(E2=E$1:E343))))))</f>
        <v> </v>
      </c>
      <c r="K344" s="26" t="str">
        <f>IF(OR(E344="",E344="!!!",F344="NEW"),"",INDEX(J$1:J343,SUMPRODUCT(MAX(ROW(E$1:E343)*(E344=E$1:E343)))))</f>
        <v> </v>
      </c>
      <c r="L344" s="27"/>
    </row>
    <row r="345" spans="1:12">
      <c r="A345" s="20" t="s">
        <v>317</v>
      </c>
      <c r="E345" s="22">
        <f>IF(D345="?OLD","!!!","")</f>
        <v/>
      </c>
      <c r="F345" s="23" t="str">
        <f>IF(OR(E345="",E345="!!!"),"",IF(NOT(ISNA(VLOOKUP(E345,E$1:E344,1,FALSE()))),"OLD",IF(AND(E345&lt;&gt;"",E345&lt;&gt;"!!!"),"NEW","")))</f>
        <v> </v>
      </c>
      <c r="G345" s="24" t="str">
        <f>IF(OR(E345="",E345="!!!"),"",IF(OR(J345=0,AND(J345=1,K345=1),AND(J345=1,I345="SBJ"),AND(J345=1,I345=0)),"?IN_FOCUS",IF(J345&lt;=2,"?ACTIVATED",IF(J345&lt;&gt;"","?FAMILIAR",IF(F345="NEW",IF(ISNA(VLOOKUP(E345,#REF!,1,FALSE())),"?TYPE_IDENTIFIABLE","?REFERENTIAL"),"_")))))</f>
        <v> </v>
      </c>
      <c r="H345" s="25" t="str">
        <f>IF(J345&lt;&gt;1,"",IF(I345="SBJ","CB","?"))</f>
        <v> </v>
      </c>
      <c r="I345" s="26" t="str">
        <f>IF(OR(E345="",E345="!!!",F345="NEW"),"",INDEX(B344:B$2,-1+SUMPRODUCT(MAX(ROW(E344:E$2)*(E345=E344:E$2)))))</f>
        <v> </v>
      </c>
      <c r="J345" s="26" t="str">
        <f>IF(OR(E345="",E345="!!!",F345="NEW"),"",COUNTBLANK(OFFSET(A$1,,,SUMPRODUCT(MAX(ROW(E$2:E345)*(E345=E$2:E345)))))-COUNTBLANK(OFFSET(A$1,,,SUMPRODUCT(MAX(ROW(E$1:E344)*(E2=E$1:E344))))))</f>
        <v> </v>
      </c>
      <c r="K345" s="26" t="str">
        <f>IF(OR(E345="",E345="!!!",F345="NEW"),"",INDEX(J$1:J344,SUMPRODUCT(MAX(ROW(E$1:E344)*(E345=E$1:E344)))))</f>
        <v> </v>
      </c>
      <c r="L345" s="27"/>
    </row>
    <row r="346" spans="1:12">
      <c r="A346" s="20" t="s">
        <v>298</v>
      </c>
      <c r="B346" s="21" t="s">
        <v>207</v>
      </c>
      <c r="C346" s="21" t="s">
        <v>157</v>
      </c>
      <c r="E346" s="22">
        <f>IF(D346="?OLD","!!!","")</f>
        <v/>
      </c>
      <c r="F346" s="23" t="str">
        <f>IF(OR(E346="",E346="!!!"),"",IF(NOT(ISNA(VLOOKUP(E346,E$1:E345,1,FALSE()))),"OLD",IF(AND(E346&lt;&gt;"",E346&lt;&gt;"!!!"),"NEW","")))</f>
        <v> </v>
      </c>
      <c r="G346" s="24" t="str">
        <f>IF(OR(E346="",E346="!!!"),"",IF(OR(J346=0,AND(J346=1,K346=1),AND(J346=1,I346="SBJ"),AND(J346=1,I346=0)),"?IN_FOCUS",IF(J346&lt;=2,"?ACTIVATED",IF(J346&lt;&gt;"","?FAMILIAR",IF(F346="NEW",IF(ISNA(VLOOKUP(E346,#REF!,1,FALSE())),"?TYPE_IDENTIFIABLE","?REFERENTIAL"),"_")))))</f>
        <v> </v>
      </c>
      <c r="H346" s="25" t="str">
        <f>IF(J346&lt;&gt;1,"",IF(I346="SBJ","CB","?"))</f>
        <v> </v>
      </c>
      <c r="I346" s="26" t="str">
        <f>IF(OR(E346="",E346="!!!",F346="NEW"),"",INDEX(B345:B$2,-1+SUMPRODUCT(MAX(ROW(E345:E$2)*(E346=E345:E$2)))))</f>
        <v> </v>
      </c>
      <c r="J346" s="26" t="str">
        <f>IF(OR(E346="",E346="!!!",F346="NEW"),"",COUNTBLANK(OFFSET(A$1,,,SUMPRODUCT(MAX(ROW(E$2:E346)*(E346=E$2:E346)))))-COUNTBLANK(OFFSET(A$1,,,SUMPRODUCT(MAX(ROW(E$1:E345)*(E2=E$1:E345))))))</f>
        <v> </v>
      </c>
      <c r="K346" s="26" t="str">
        <f>IF(OR(E346="",E346="!!!",F346="NEW"),"",INDEX(J$1:J345,SUMPRODUCT(MAX(ROW(E$1:E345)*(E346=E$1:E345)))))</f>
        <v> </v>
      </c>
      <c r="L346" s="27"/>
    </row>
    <row r="347" spans="1:12">
      <c r="A347" s="20" t="s">
        <v>299</v>
      </c>
      <c r="E347" s="22">
        <f>IF(D347="?OLD","!!!","")</f>
        <v/>
      </c>
      <c r="F347" s="23" t="str">
        <f>IF(OR(E347="",E347="!!!"),"",IF(NOT(ISNA(VLOOKUP(E347,E$1:E346,1,FALSE()))),"OLD",IF(AND(E347&lt;&gt;"",E347&lt;&gt;"!!!"),"NEW","")))</f>
        <v> </v>
      </c>
      <c r="G347" s="24" t="str">
        <f>IF(OR(E347="",E347="!!!"),"",IF(OR(J347=0,AND(J347=1,K347=1),AND(J347=1,I347="SBJ"),AND(J347=1,I347=0)),"?IN_FOCUS",IF(J347&lt;=2,"?ACTIVATED",IF(J347&lt;&gt;"","?FAMILIAR",IF(F347="NEW",IF(ISNA(VLOOKUP(E347,#REF!,1,FALSE())),"?TYPE_IDENTIFIABLE","?REFERENTIAL"),"_")))))</f>
        <v> </v>
      </c>
      <c r="H347" s="25" t="str">
        <f>IF(J347&lt;&gt;1,"",IF(I347="SBJ","CB","?"))</f>
        <v> </v>
      </c>
      <c r="I347" s="26" t="str">
        <f>IF(OR(E347="",E347="!!!",F347="NEW"),"",INDEX(B346:B$2,-1+SUMPRODUCT(MAX(ROW(E346:E$2)*(E347=E346:E$2)))))</f>
        <v> </v>
      </c>
      <c r="J347" s="26" t="str">
        <f>IF(OR(E347="",E347="!!!",F347="NEW"),"",COUNTBLANK(OFFSET(A$1,,,SUMPRODUCT(MAX(ROW(E$2:E347)*(E347=E$2:E347)))))-COUNTBLANK(OFFSET(A$1,,,SUMPRODUCT(MAX(ROW(E$1:E346)*(E2=E$1:E346))))))</f>
        <v> </v>
      </c>
      <c r="K347" s="26" t="str">
        <f>IF(OR(E347="",E347="!!!",F347="NEW"),"",INDEX(J$1:J346,SUMPRODUCT(MAX(ROW(E$1:E346)*(E347=E$1:E346)))))</f>
        <v> </v>
      </c>
      <c r="L347" s="27"/>
    </row>
    <row r="348" spans="1:12">
      <c r="A348" s="20" t="s">
        <v>161</v>
      </c>
      <c r="E348" s="22">
        <f>IF(D348="?OLD","!!!","")</f>
        <v/>
      </c>
      <c r="F348" s="23" t="str">
        <f>IF(OR(E348="",E348="!!!"),"",IF(NOT(ISNA(VLOOKUP(E348,E$1:E347,1,FALSE()))),"OLD",IF(AND(E348&lt;&gt;"",E348&lt;&gt;"!!!"),"NEW","")))</f>
        <v> </v>
      </c>
      <c r="G348" s="24" t="str">
        <f>IF(OR(E348="",E348="!!!"),"",IF(OR(J348=0,AND(J348=1,K348=1),AND(J348=1,I348="SBJ"),AND(J348=1,I348=0)),"?IN_FOCUS",IF(J348&lt;=2,"?ACTIVATED",IF(J348&lt;&gt;"","?FAMILIAR",IF(F348="NEW",IF(ISNA(VLOOKUP(E348,#REF!,1,FALSE())),"?TYPE_IDENTIFIABLE","?REFERENTIAL"),"_")))))</f>
        <v> </v>
      </c>
      <c r="H348" s="25" t="str">
        <f>IF(J348&lt;&gt;1,"",IF(I348="SBJ","CB","?"))</f>
        <v> </v>
      </c>
      <c r="I348" s="26" t="str">
        <f>IF(OR(E348="",E348="!!!",F348="NEW"),"",INDEX(B347:B$2,-1+SUMPRODUCT(MAX(ROW(E347:E$2)*(E348=E347:E$2)))))</f>
        <v> </v>
      </c>
      <c r="J348" s="26" t="str">
        <f>IF(OR(E348="",E348="!!!",F348="NEW"),"",COUNTBLANK(OFFSET(A$1,,,SUMPRODUCT(MAX(ROW(E$2:E348)*(E348=E$2:E348)))))-COUNTBLANK(OFFSET(A$1,,,SUMPRODUCT(MAX(ROW(E$1:E347)*(E2=E$1:E347))))))</f>
        <v> </v>
      </c>
      <c r="K348" s="26" t="str">
        <f>IF(OR(E348="",E348="!!!",F348="NEW"),"",INDEX(J$1:J347,SUMPRODUCT(MAX(ROW(E$1:E347)*(E348=E$1:E347)))))</f>
        <v> </v>
      </c>
      <c r="L348" s="27"/>
    </row>
    <row r="349" spans="1:12">
      <c r="A349" s="20" t="s">
        <v>300</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t="s">
        <v>325</v>
      </c>
      <c r="B350" s="21" t="s">
        <v>196</v>
      </c>
      <c r="C350" s="21" t="s">
        <v>185</v>
      </c>
      <c r="D350" s="21" t="s">
        <v>149</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row>
    <row r="352" spans="1:12">
      <c r="A352" s="20" t="s">
        <v>326</v>
      </c>
    </row>
    <row r="353" spans="1:12">
      <c r="A353" s="20" t="s">
        <v>161</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306</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307</v>
      </c>
      <c r="E355" s="22">
        <f>IF(D355="?OLD","!!!","")</f>
        <v/>
      </c>
      <c r="F355" s="23" t="str">
        <f>IF(OR(E355="",E355="!!!"),"",IF(NOT(ISNA(VLOOKUP(E355,E$1:E354,1,FALSE()))),"OLD",IF(AND(E355&lt;&gt;"",E355&lt;&gt;"!!!"),"NEW","")))</f>
        <v> </v>
      </c>
      <c r="G355" s="24" t="str">
        <f>IF(OR(E355="",E355="!!!"),"",IF(OR(J355=0,AND(J355=1,K355=1),AND(J355=1,I355="SBJ"),AND(J355=1,I355=0)),"?IN_FOCUS",IF(J355&lt;=2,"?ACTIVATED",IF(J355&lt;&gt;"","?FAMILIAR",IF(F355="NEW",IF(ISNA(VLOOKUP(E355,#REF!,1,FALSE())),"?TYPE_IDENTIFIABLE","?REFERENTIAL"),"_")))))</f>
        <v> </v>
      </c>
      <c r="H355" s="25" t="str">
        <f>IF(J355&lt;&gt;1,"",IF(I355="SBJ","CB","?"))</f>
        <v> </v>
      </c>
      <c r="I355" s="26" t="str">
        <f>IF(OR(E355="",E355="!!!",F355="NEW"),"",INDEX(B354:B$2,-1+SUMPRODUCT(MAX(ROW(E354:E$2)*(E355=E354:E$2)))))</f>
        <v> </v>
      </c>
      <c r="J355" s="26" t="str">
        <f>IF(OR(E355="",E355="!!!",F355="NEW"),"",COUNTBLANK(OFFSET(A$1,,,SUMPRODUCT(MAX(ROW(E$2:E355)*(E355=E$2:E355)))))-COUNTBLANK(OFFSET(A$1,,,SUMPRODUCT(MAX(ROW(E$1:E354)*(E2=E$1:E354))))))</f>
        <v> </v>
      </c>
      <c r="K355" s="26" t="str">
        <f>IF(OR(E355="",E355="!!!",F355="NEW"),"",INDEX(J$1:J354,SUMPRODUCT(MAX(ROW(E$1:E354)*(E355=E$1:E354)))))</f>
        <v> </v>
      </c>
      <c r="L355" s="27"/>
    </row>
    <row r="356" spans="1:12">
      <c r="A356" s="20" t="s">
        <v>327</v>
      </c>
      <c r="E356" s="22">
        <f>IF(D356="?OLD","!!!","")</f>
        <v/>
      </c>
      <c r="F356" s="23" t="str">
        <f>IF(OR(E356="",E356="!!!"),"",IF(NOT(ISNA(VLOOKUP(E356,E$1:E355,1,FALSE()))),"OLD",IF(AND(E356&lt;&gt;"",E356&lt;&gt;"!!!"),"NEW","")))</f>
        <v> </v>
      </c>
      <c r="G356" s="24" t="str">
        <f>IF(OR(E356="",E356="!!!"),"",IF(OR(J356=0,AND(J356=1,K356=1),AND(J356=1,I356="SBJ"),AND(J356=1,I356=0)),"?IN_FOCUS",IF(J356&lt;=2,"?ACTIVATED",IF(J356&lt;&gt;"","?FAMILIAR",IF(F356="NEW",IF(ISNA(VLOOKUP(E356,#REF!,1,FALSE())),"?TYPE_IDENTIFIABLE","?REFERENTIAL"),"_")))))</f>
        <v> </v>
      </c>
      <c r="H356" s="25" t="str">
        <f>IF(J356&lt;&gt;1,"",IF(I356="SBJ","CB","?"))</f>
        <v> </v>
      </c>
      <c r="I356" s="26" t="str">
        <f>IF(OR(E356="",E356="!!!",F356="NEW"),"",INDEX(B355:B$2,-1+SUMPRODUCT(MAX(ROW(E355:E$2)*(E356=E355:E$2)))))</f>
        <v> </v>
      </c>
      <c r="J356" s="26" t="str">
        <f>IF(OR(E356="",E356="!!!",F356="NEW"),"",COUNTBLANK(OFFSET(A$1,,,SUMPRODUCT(MAX(ROW(E$2:E356)*(E356=E$2:E356)))))-COUNTBLANK(OFFSET(A$1,,,SUMPRODUCT(MAX(ROW(E$1:E355)*(E2=E$1:E355))))))</f>
        <v> </v>
      </c>
      <c r="K356" s="26" t="str">
        <f>IF(OR(E356="",E356="!!!",F356="NEW"),"",INDEX(J$1:J355,SUMPRODUCT(MAX(ROW(E$1:E355)*(E356=E$1:E355)))))</f>
        <v> </v>
      </c>
      <c r="L356" s="27"/>
    </row>
    <row r="357" spans="1:12">
      <c r="A357" s="20" t="s">
        <v>298</v>
      </c>
      <c r="B357" s="21" t="s">
        <v>160</v>
      </c>
      <c r="C357" s="21" t="s">
        <v>157</v>
      </c>
      <c r="E357" s="22">
        <f>IF(D357="?OLD","!!!","")</f>
        <v/>
      </c>
      <c r="F357" s="23" t="str">
        <f>IF(OR(E357="",E357="!!!"),"",IF(NOT(ISNA(VLOOKUP(E357,E$1:E356,1,FALSE()))),"OLD",IF(AND(E357&lt;&gt;"",E357&lt;&gt;"!!!"),"NEW","")))</f>
        <v> </v>
      </c>
      <c r="G357" s="24" t="str">
        <f>IF(OR(E357="",E357="!!!"),"",IF(OR(J357=0,AND(J357=1,K357=1),AND(J357=1,I357="SBJ"),AND(J357=1,I357=0)),"?IN_FOCUS",IF(J357&lt;=2,"?ACTIVATED",IF(J357&lt;&gt;"","?FAMILIAR",IF(F357="NEW",IF(ISNA(VLOOKUP(E357,#REF!,1,FALSE())),"?TYPE_IDENTIFIABLE","?REFERENTIAL"),"_")))))</f>
        <v> </v>
      </c>
      <c r="H357" s="25" t="str">
        <f>IF(J357&lt;&gt;1,"",IF(I357="SBJ","CB","?"))</f>
        <v> </v>
      </c>
      <c r="I357" s="26" t="str">
        <f>IF(OR(E357="",E357="!!!",F357="NEW"),"",INDEX(B356:B$2,-1+SUMPRODUCT(MAX(ROW(E356:E$2)*(E357=E356:E$2)))))</f>
        <v> </v>
      </c>
      <c r="J357" s="26" t="str">
        <f>IF(OR(E357="",E357="!!!",F357="NEW"),"",COUNTBLANK(OFFSET(A$1,,,SUMPRODUCT(MAX(ROW(E$2:E357)*(E357=E$2:E357)))))-COUNTBLANK(OFFSET(A$1,,,SUMPRODUCT(MAX(ROW(E$1:E356)*(E2=E$1:E356))))))</f>
        <v> </v>
      </c>
      <c r="K357" s="26" t="str">
        <f>IF(OR(E357="",E357="!!!",F357="NEW"),"",INDEX(J$1:J356,SUMPRODUCT(MAX(ROW(E$1:E356)*(E357=E$1:E356)))))</f>
        <v> </v>
      </c>
      <c r="L357" s="27"/>
    </row>
    <row r="358" spans="1:12">
      <c r="A358" s="20" t="s">
        <v>161</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t="s">
        <v>300</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309</v>
      </c>
      <c r="B360" s="21" t="s">
        <v>196</v>
      </c>
      <c r="C360" s="21" t="s">
        <v>164</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161</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310</v>
      </c>
      <c r="B362" s="21" t="s">
        <v>153</v>
      </c>
      <c r="C362" s="21" t="s">
        <v>164</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165</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row>
    <row r="365" spans="1:12">
      <c r="A365" s="20" t="s">
        <v>328</v>
      </c>
    </row>
    <row r="366" spans="1:12">
      <c r="A366" s="20" t="s">
        <v>325</v>
      </c>
      <c r="B366" s="21" t="s">
        <v>147</v>
      </c>
      <c r="C366" s="21" t="s">
        <v>185</v>
      </c>
      <c r="D366" s="21" t="s">
        <v>149</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296</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t="s">
        <v>329</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t="s">
        <v>298</v>
      </c>
      <c r="B369" s="21" t="s">
        <v>207</v>
      </c>
      <c r="C369" s="21" t="s">
        <v>157</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t="s">
        <v>299</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t="s">
        <v>161</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t="s">
        <v>300</v>
      </c>
      <c r="E372" s="22">
        <f>IF(D372="?OLD","!!!","")</f>
        <v/>
      </c>
      <c r="F372" s="23" t="str">
        <f>IF(OR(E372="",E372="!!!"),"",IF(NOT(ISNA(VLOOKUP(E372,E$1:E371,1,FALSE()))),"OLD",IF(AND(E372&lt;&gt;"",E372&lt;&gt;"!!!"),"NEW","")))</f>
        <v> </v>
      </c>
      <c r="G372" s="24" t="str">
        <f>IF(OR(E372="",E372="!!!"),"",IF(OR(J372=0,AND(J372=1,K372=1),AND(J372=1,I372="SBJ"),AND(J372=1,I372=0)),"?IN_FOCUS",IF(J372&lt;=2,"?ACTIVATED",IF(J372&lt;&gt;"","?FAMILIAR",IF(F372="NEW",IF(ISNA(VLOOKUP(E372,#REF!,1,FALSE())),"?TYPE_IDENTIFIABLE","?REFERENTIAL"),"_")))))</f>
        <v> </v>
      </c>
      <c r="H372" s="25" t="str">
        <f>IF(J372&lt;&gt;1,"",IF(I372="SBJ","CB","?"))</f>
        <v> </v>
      </c>
      <c r="I372" s="26" t="str">
        <f>IF(OR(E372="",E372="!!!",F372="NEW"),"",INDEX(B371:B$2,-1+SUMPRODUCT(MAX(ROW(E371:E$2)*(E372=E371:E$2)))))</f>
        <v> </v>
      </c>
      <c r="J372" s="26" t="str">
        <f>IF(OR(E372="",E372="!!!",F372="NEW"),"",COUNTBLANK(OFFSET(A$1,,,SUMPRODUCT(MAX(ROW(E$2:E372)*(E372=E$2:E372)))))-COUNTBLANK(OFFSET(A$1,,,SUMPRODUCT(MAX(ROW(E$1:E371)*(E2=E$1:E371))))))</f>
        <v> </v>
      </c>
      <c r="K372" s="26" t="str">
        <f>IF(OR(E372="",E372="!!!",F372="NEW"),"",INDEX(J$1:J371,SUMPRODUCT(MAX(ROW(E$1:E371)*(E372=E$1:E371)))))</f>
        <v> </v>
      </c>
      <c r="L372" s="27"/>
    </row>
    <row r="373" spans="1:12">
      <c r="A373" s="20" t="s">
        <v>330</v>
      </c>
      <c r="B373" s="21" t="s">
        <v>207</v>
      </c>
      <c r="C373" s="21" t="s">
        <v>164</v>
      </c>
      <c r="E373" s="22">
        <f>IF(D373="?OLD","!!!","")</f>
        <v/>
      </c>
      <c r="F373" s="23" t="str">
        <f>IF(OR(E373="",E373="!!!"),"",IF(NOT(ISNA(VLOOKUP(E373,E$1:E372,1,FALSE()))),"OLD",IF(AND(E373&lt;&gt;"",E373&lt;&gt;"!!!"),"NEW","")))</f>
        <v> </v>
      </c>
      <c r="G373" s="24" t="str">
        <f>IF(OR(E373="",E373="!!!"),"",IF(OR(J373=0,AND(J373=1,K373=1),AND(J373=1,I373="SBJ"),AND(J373=1,I373=0)),"?IN_FOCUS",IF(J373&lt;=2,"?ACTIVATED",IF(J373&lt;&gt;"","?FAMILIAR",IF(F373="NEW",IF(ISNA(VLOOKUP(E373,#REF!,1,FALSE())),"?TYPE_IDENTIFIABLE","?REFERENTIAL"),"_")))))</f>
        <v> </v>
      </c>
      <c r="H373" s="25" t="str">
        <f>IF(J373&lt;&gt;1,"",IF(I373="SBJ","CB","?"))</f>
        <v> </v>
      </c>
      <c r="I373" s="26" t="str">
        <f>IF(OR(E373="",E373="!!!",F373="NEW"),"",INDEX(B372:B$2,-1+SUMPRODUCT(MAX(ROW(E372:E$2)*(E373=E372:E$2)))))</f>
        <v> </v>
      </c>
      <c r="J373" s="26" t="str">
        <f>IF(OR(E373="",E373="!!!",F373="NEW"),"",COUNTBLANK(OFFSET(A$1,,,SUMPRODUCT(MAX(ROW(E$2:E373)*(E373=E$2:E373)))))-COUNTBLANK(OFFSET(A$1,,,SUMPRODUCT(MAX(ROW(E$1:E372)*(E2=E$1:E372))))))</f>
        <v> </v>
      </c>
      <c r="K373" s="26" t="str">
        <f>IF(OR(E373="",E373="!!!",F373="NEW"),"",INDEX(J$1:J372,SUMPRODUCT(MAX(ROW(E$1:E372)*(E373=E$1:E372)))))</f>
        <v> </v>
      </c>
      <c r="L373" s="27"/>
    </row>
    <row r="374" spans="1:12">
      <c r="A374" s="20"/>
    </row>
    <row r="375" spans="1:12">
      <c r="A375" s="20" t="s">
        <v>331</v>
      </c>
    </row>
    <row r="376" spans="1:12">
      <c r="A376" s="20" t="s">
        <v>161</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t="s">
        <v>306</v>
      </c>
      <c r="E377" s="22">
        <f>IF(D377="?OLD","!!!","")</f>
        <v/>
      </c>
      <c r="F377" s="23" t="str">
        <f>IF(OR(E377="",E377="!!!"),"",IF(NOT(ISNA(VLOOKUP(E377,E$1:E376,1,FALSE()))),"OLD",IF(AND(E377&lt;&gt;"",E377&lt;&gt;"!!!"),"NEW","")))</f>
        <v> </v>
      </c>
      <c r="G377" s="24" t="str">
        <f>IF(OR(E377="",E377="!!!"),"",IF(OR(J377=0,AND(J377=1,K377=1),AND(J377=1,I377="SBJ"),AND(J377=1,I377=0)),"?IN_FOCUS",IF(J377&lt;=2,"?ACTIVATED",IF(J377&lt;&gt;"","?FAMILIAR",IF(F377="NEW",IF(ISNA(VLOOKUP(E377,#REF!,1,FALSE())),"?TYPE_IDENTIFIABLE","?REFERENTIAL"),"_")))))</f>
        <v> </v>
      </c>
      <c r="H377" s="25" t="str">
        <f>IF(J377&lt;&gt;1,"",IF(I377="SBJ","CB","?"))</f>
        <v> </v>
      </c>
      <c r="I377" s="26" t="str">
        <f>IF(OR(E377="",E377="!!!",F377="NEW"),"",INDEX(B376:B$2,-1+SUMPRODUCT(MAX(ROW(E376:E$2)*(E377=E376:E$2)))))</f>
        <v> </v>
      </c>
      <c r="J377" s="26" t="str">
        <f>IF(OR(E377="",E377="!!!",F377="NEW"),"",COUNTBLANK(OFFSET(A$1,,,SUMPRODUCT(MAX(ROW(E$2:E377)*(E377=E$2:E377)))))-COUNTBLANK(OFFSET(A$1,,,SUMPRODUCT(MAX(ROW(E$1:E376)*(E2=E$1:E376))))))</f>
        <v> </v>
      </c>
      <c r="K377" s="26" t="str">
        <f>IF(OR(E377="",E377="!!!",F377="NEW"),"",INDEX(J$1:J376,SUMPRODUCT(MAX(ROW(E$1:E376)*(E377=E$1:E376)))))</f>
        <v> </v>
      </c>
      <c r="L377" s="27"/>
    </row>
    <row r="378" spans="1:12">
      <c r="A378" s="20" t="s">
        <v>307</v>
      </c>
      <c r="E378" s="22">
        <f>IF(D378="?OLD","!!!","")</f>
        <v/>
      </c>
      <c r="F378" s="23" t="str">
        <f>IF(OR(E378="",E378="!!!"),"",IF(NOT(ISNA(VLOOKUP(E378,E$1:E377,1,FALSE()))),"OLD",IF(AND(E378&lt;&gt;"",E378&lt;&gt;"!!!"),"NEW","")))</f>
        <v> </v>
      </c>
      <c r="G378" s="24" t="str">
        <f>IF(OR(E378="",E378="!!!"),"",IF(OR(J378=0,AND(J378=1,K378=1),AND(J378=1,I378="SBJ"),AND(J378=1,I378=0)),"?IN_FOCUS",IF(J378&lt;=2,"?ACTIVATED",IF(J378&lt;&gt;"","?FAMILIAR",IF(F378="NEW",IF(ISNA(VLOOKUP(E378,#REF!,1,FALSE())),"?TYPE_IDENTIFIABLE","?REFERENTIAL"),"_")))))</f>
        <v> </v>
      </c>
      <c r="H378" s="25" t="str">
        <f>IF(J378&lt;&gt;1,"",IF(I378="SBJ","CB","?"))</f>
        <v> </v>
      </c>
      <c r="I378" s="26" t="str">
        <f>IF(OR(E378="",E378="!!!",F378="NEW"),"",INDEX(B377:B$2,-1+SUMPRODUCT(MAX(ROW(E377:E$2)*(E378=E377:E$2)))))</f>
        <v> </v>
      </c>
      <c r="J378" s="26" t="str">
        <f>IF(OR(E378="",E378="!!!",F378="NEW"),"",COUNTBLANK(OFFSET(A$1,,,SUMPRODUCT(MAX(ROW(E$2:E378)*(E378=E$2:E378)))))-COUNTBLANK(OFFSET(A$1,,,SUMPRODUCT(MAX(ROW(E$1:E377)*(E2=E$1:E377))))))</f>
        <v> </v>
      </c>
      <c r="K378" s="26" t="str">
        <f>IF(OR(E378="",E378="!!!",F378="NEW"),"",INDEX(J$1:J377,SUMPRODUCT(MAX(ROW(E$1:E377)*(E378=E$1:E377)))))</f>
        <v> </v>
      </c>
      <c r="L378" s="27"/>
    </row>
    <row r="379" spans="1:12">
      <c r="A379" s="20" t="s">
        <v>332</v>
      </c>
      <c r="E379" s="22">
        <f>IF(D379="?OLD","!!!","")</f>
        <v/>
      </c>
      <c r="F379" s="23" t="str">
        <f>IF(OR(E379="",E379="!!!"),"",IF(NOT(ISNA(VLOOKUP(E379,E$1:E378,1,FALSE()))),"OLD",IF(AND(E379&lt;&gt;"",E379&lt;&gt;"!!!"),"NEW","")))</f>
        <v> </v>
      </c>
      <c r="G379" s="24" t="str">
        <f>IF(OR(E379="",E379="!!!"),"",IF(OR(J379=0,AND(J379=1,K379=1),AND(J379=1,I379="SBJ"),AND(J379=1,I379=0)),"?IN_FOCUS",IF(J379&lt;=2,"?ACTIVATED",IF(J379&lt;&gt;"","?FAMILIAR",IF(F379="NEW",IF(ISNA(VLOOKUP(E379,#REF!,1,FALSE())),"?TYPE_IDENTIFIABLE","?REFERENTIAL"),"_")))))</f>
        <v> </v>
      </c>
      <c r="H379" s="25" t="str">
        <f>IF(J379&lt;&gt;1,"",IF(I379="SBJ","CB","?"))</f>
        <v> </v>
      </c>
      <c r="I379" s="26" t="str">
        <f>IF(OR(E379="",E379="!!!",F379="NEW"),"",INDEX(B378:B$2,-1+SUMPRODUCT(MAX(ROW(E378:E$2)*(E379=E378:E$2)))))</f>
        <v> </v>
      </c>
      <c r="J379" s="26" t="str">
        <f>IF(OR(E379="",E379="!!!",F379="NEW"),"",COUNTBLANK(OFFSET(A$1,,,SUMPRODUCT(MAX(ROW(E$2:E379)*(E379=E$2:E379)))))-COUNTBLANK(OFFSET(A$1,,,SUMPRODUCT(MAX(ROW(E$1:E378)*(E2=E$1:E378))))))</f>
        <v> </v>
      </c>
      <c r="K379" s="26" t="str">
        <f>IF(OR(E379="",E379="!!!",F379="NEW"),"",INDEX(J$1:J378,SUMPRODUCT(MAX(ROW(E$1:E378)*(E379=E$1:E378)))))</f>
        <v> </v>
      </c>
      <c r="L379" s="27"/>
    </row>
    <row r="380" spans="1:12">
      <c r="A380" s="20" t="s">
        <v>298</v>
      </c>
      <c r="B380" s="21" t="s">
        <v>160</v>
      </c>
      <c r="C380" s="21" t="s">
        <v>164</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161</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300</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t="s">
        <v>309</v>
      </c>
      <c r="B383" s="21" t="s">
        <v>196</v>
      </c>
      <c r="C383" s="21" t="s">
        <v>164</v>
      </c>
      <c r="E383" s="22">
        <f>IF(D383="?OLD","!!!","")</f>
        <v/>
      </c>
      <c r="F383" s="23" t="str">
        <f>IF(OR(E383="",E383="!!!"),"",IF(NOT(ISNA(VLOOKUP(E383,E$1:E382,1,FALSE()))),"OLD",IF(AND(E383&lt;&gt;"",E383&lt;&gt;"!!!"),"NEW","")))</f>
        <v> </v>
      </c>
      <c r="G383" s="24" t="str">
        <f>IF(OR(E383="",E383="!!!"),"",IF(OR(J383=0,AND(J383=1,K383=1),AND(J383=1,I383="SBJ"),AND(J383=1,I383=0)),"?IN_FOCUS",IF(J383&lt;=2,"?ACTIVATED",IF(J383&lt;&gt;"","?FAMILIAR",IF(F383="NEW",IF(ISNA(VLOOKUP(E383,#REF!,1,FALSE())),"?TYPE_IDENTIFIABLE","?REFERENTIAL"),"_")))))</f>
        <v> </v>
      </c>
      <c r="H383" s="25" t="str">
        <f>IF(J383&lt;&gt;1,"",IF(I383="SBJ","CB","?"))</f>
        <v> </v>
      </c>
      <c r="I383" s="26" t="str">
        <f>IF(OR(E383="",E383="!!!",F383="NEW"),"",INDEX(B382:B$2,-1+SUMPRODUCT(MAX(ROW(E382:E$2)*(E383=E382:E$2)))))</f>
        <v> </v>
      </c>
      <c r="J383" s="26" t="str">
        <f>IF(OR(E383="",E383="!!!",F383="NEW"),"",COUNTBLANK(OFFSET(A$1,,,SUMPRODUCT(MAX(ROW(E$2:E383)*(E383=E$2:E383)))))-COUNTBLANK(OFFSET(A$1,,,SUMPRODUCT(MAX(ROW(E$1:E382)*(E2=E$1:E382))))))</f>
        <v> </v>
      </c>
      <c r="K383" s="26" t="str">
        <f>IF(OR(E383="",E383="!!!",F383="NEW"),"",INDEX(J$1:J382,SUMPRODUCT(MAX(ROW(E$1:E382)*(E383=E$1:E382)))))</f>
        <v> </v>
      </c>
      <c r="L383" s="27"/>
    </row>
    <row r="384" spans="1:12">
      <c r="A384" s="20" t="s">
        <v>161</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t="s">
        <v>310</v>
      </c>
      <c r="B385" s="21" t="s">
        <v>153</v>
      </c>
      <c r="C385" s="21" t="s">
        <v>164</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165</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row>
    <row r="388" spans="1:12">
      <c r="A388" s="20" t="s">
        <v>333</v>
      </c>
    </row>
    <row r="389" spans="1:12">
      <c r="A389" s="20" t="s">
        <v>330</v>
      </c>
      <c r="B389" s="21" t="s">
        <v>147</v>
      </c>
      <c r="C389" s="21" t="s">
        <v>185</v>
      </c>
      <c r="D389" s="21" t="s">
        <v>149</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296</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317</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t="s">
        <v>298</v>
      </c>
      <c r="B392" s="21" t="s">
        <v>207</v>
      </c>
      <c r="C392" s="21" t="s">
        <v>157</v>
      </c>
      <c r="E392" s="22">
        <f>IF(D392="?OLD","!!!","")</f>
        <v/>
      </c>
      <c r="F392" s="23" t="str">
        <f>IF(OR(E392="",E392="!!!"),"",IF(NOT(ISNA(VLOOKUP(E392,E$1:E391,1,FALSE()))),"OLD",IF(AND(E392&lt;&gt;"",E392&lt;&gt;"!!!"),"NEW","")))</f>
        <v> </v>
      </c>
      <c r="G392" s="24" t="str">
        <f>IF(OR(E392="",E392="!!!"),"",IF(OR(J392=0,AND(J392=1,K392=1),AND(J392=1,I392="SBJ"),AND(J392=1,I392=0)),"?IN_FOCUS",IF(J392&lt;=2,"?ACTIVATED",IF(J392&lt;&gt;"","?FAMILIAR",IF(F392="NEW",IF(ISNA(VLOOKUP(E392,#REF!,1,FALSE())),"?TYPE_IDENTIFIABLE","?REFERENTIAL"),"_")))))</f>
        <v> </v>
      </c>
      <c r="H392" s="25" t="str">
        <f>IF(J392&lt;&gt;1,"",IF(I392="SBJ","CB","?"))</f>
        <v> </v>
      </c>
      <c r="I392" s="26" t="str">
        <f>IF(OR(E392="",E392="!!!",F392="NEW"),"",INDEX(B391:B$2,-1+SUMPRODUCT(MAX(ROW(E391:E$2)*(E392=E391:E$2)))))</f>
        <v> </v>
      </c>
      <c r="J392" s="26" t="str">
        <f>IF(OR(E392="",E392="!!!",F392="NEW"),"",COUNTBLANK(OFFSET(A$1,,,SUMPRODUCT(MAX(ROW(E$2:E392)*(E392=E$2:E392)))))-COUNTBLANK(OFFSET(A$1,,,SUMPRODUCT(MAX(ROW(E$1:E391)*(E2=E$1:E391))))))</f>
        <v> </v>
      </c>
      <c r="K392" s="26" t="str">
        <f>IF(OR(E392="",E392="!!!",F392="NEW"),"",INDEX(J$1:J391,SUMPRODUCT(MAX(ROW(E$1:E391)*(E392=E$1:E391)))))</f>
        <v> </v>
      </c>
      <c r="L392" s="27"/>
    </row>
    <row r="393" spans="1:12">
      <c r="A393" s="20" t="s">
        <v>299</v>
      </c>
      <c r="E393" s="22">
        <f>IF(D393="?OLD","!!!","")</f>
        <v/>
      </c>
      <c r="F393" s="23" t="str">
        <f>IF(OR(E393="",E393="!!!"),"",IF(NOT(ISNA(VLOOKUP(E393,E$1:E392,1,FALSE()))),"OLD",IF(AND(E393&lt;&gt;"",E393&lt;&gt;"!!!"),"NEW","")))</f>
        <v> </v>
      </c>
      <c r="G393" s="24" t="str">
        <f>IF(OR(E393="",E393="!!!"),"",IF(OR(J393=0,AND(J393=1,K393=1),AND(J393=1,I393="SBJ"),AND(J393=1,I393=0)),"?IN_FOCUS",IF(J393&lt;=2,"?ACTIVATED",IF(J393&lt;&gt;"","?FAMILIAR",IF(F393="NEW",IF(ISNA(VLOOKUP(E393,#REF!,1,FALSE())),"?TYPE_IDENTIFIABLE","?REFERENTIAL"),"_")))))</f>
        <v> </v>
      </c>
      <c r="H393" s="25" t="str">
        <f>IF(J393&lt;&gt;1,"",IF(I393="SBJ","CB","?"))</f>
        <v> </v>
      </c>
      <c r="I393" s="26" t="str">
        <f>IF(OR(E393="",E393="!!!",F393="NEW"),"",INDEX(B392:B$2,-1+SUMPRODUCT(MAX(ROW(E392:E$2)*(E393=E392:E$2)))))</f>
        <v> </v>
      </c>
      <c r="J393" s="26" t="str">
        <f>IF(OR(E393="",E393="!!!",F393="NEW"),"",COUNTBLANK(OFFSET(A$1,,,SUMPRODUCT(MAX(ROW(E$2:E393)*(E393=E$2:E393)))))-COUNTBLANK(OFFSET(A$1,,,SUMPRODUCT(MAX(ROW(E$1:E392)*(E2=E$1:E392))))))</f>
        <v> </v>
      </c>
      <c r="K393" s="26" t="str">
        <f>IF(OR(E393="",E393="!!!",F393="NEW"),"",INDEX(J$1:J392,SUMPRODUCT(MAX(ROW(E$1:E392)*(E393=E$1:E392)))))</f>
        <v> </v>
      </c>
      <c r="L393" s="27"/>
    </row>
    <row r="394" spans="1:12">
      <c r="A394" s="20" t="s">
        <v>161</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t="s">
        <v>300</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334</v>
      </c>
      <c r="B396" s="21" t="s">
        <v>207</v>
      </c>
      <c r="C396" s="21" t="s">
        <v>164</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row>
    <row r="398" spans="1:12">
      <c r="A398" s="20" t="s">
        <v>335</v>
      </c>
    </row>
    <row r="399" spans="1:12">
      <c r="A399" s="20" t="s">
        <v>161</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306</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307</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336</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298</v>
      </c>
      <c r="B403" s="21" t="s">
        <v>160</v>
      </c>
      <c r="C403" s="21" t="s">
        <v>157</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161</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300</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t="s">
        <v>309</v>
      </c>
      <c r="B406" s="21" t="s">
        <v>196</v>
      </c>
      <c r="C406" s="21" t="s">
        <v>164</v>
      </c>
      <c r="E406" s="22">
        <f>IF(D406="?OLD","!!!","")</f>
        <v/>
      </c>
      <c r="F406" s="23" t="str">
        <f>IF(OR(E406="",E406="!!!"),"",IF(NOT(ISNA(VLOOKUP(E406,E$1:E405,1,FALSE()))),"OLD",IF(AND(E406&lt;&gt;"",E406&lt;&gt;"!!!"),"NEW","")))</f>
        <v> </v>
      </c>
      <c r="G406" s="24" t="str">
        <f>IF(OR(E406="",E406="!!!"),"",IF(OR(J406=0,AND(J406=1,K406=1),AND(J406=1,I406="SBJ"),AND(J406=1,I406=0)),"?IN_FOCUS",IF(J406&lt;=2,"?ACTIVATED",IF(J406&lt;&gt;"","?FAMILIAR",IF(F406="NEW",IF(ISNA(VLOOKUP(E406,#REF!,1,FALSE())),"?TYPE_IDENTIFIABLE","?REFERENTIAL"),"_")))))</f>
        <v> </v>
      </c>
      <c r="H406" s="25" t="str">
        <f>IF(J406&lt;&gt;1,"",IF(I406="SBJ","CB","?"))</f>
        <v> </v>
      </c>
      <c r="I406" s="26" t="str">
        <f>IF(OR(E406="",E406="!!!",F406="NEW"),"",INDEX(B405:B$2,-1+SUMPRODUCT(MAX(ROW(E405:E$2)*(E406=E405:E$2)))))</f>
        <v> </v>
      </c>
      <c r="J406" s="26" t="str">
        <f>IF(OR(E406="",E406="!!!",F406="NEW"),"",COUNTBLANK(OFFSET(A$1,,,SUMPRODUCT(MAX(ROW(E$2:E406)*(E406=E$2:E406)))))-COUNTBLANK(OFFSET(A$1,,,SUMPRODUCT(MAX(ROW(E$1:E405)*(E2=E$1:E405))))))</f>
        <v> </v>
      </c>
      <c r="K406" s="26" t="str">
        <f>IF(OR(E406="",E406="!!!",F406="NEW"),"",INDEX(J$1:J405,SUMPRODUCT(MAX(ROW(E$1:E405)*(E406=E$1:E405)))))</f>
        <v> </v>
      </c>
      <c r="L406" s="27"/>
    </row>
    <row r="407" spans="1:12">
      <c r="A407" s="20" t="s">
        <v>161</v>
      </c>
      <c r="E407" s="22">
        <f>IF(D407="?OLD","!!!","")</f>
        <v/>
      </c>
      <c r="F407" s="23" t="str">
        <f>IF(OR(E407="",E407="!!!"),"",IF(NOT(ISNA(VLOOKUP(E407,E$1:E406,1,FALSE()))),"OLD",IF(AND(E407&lt;&gt;"",E407&lt;&gt;"!!!"),"NEW","")))</f>
        <v> </v>
      </c>
      <c r="G407" s="24" t="str">
        <f>IF(OR(E407="",E407="!!!"),"",IF(OR(J407=0,AND(J407=1,K407=1),AND(J407=1,I407="SBJ"),AND(J407=1,I407=0)),"?IN_FOCUS",IF(J407&lt;=2,"?ACTIVATED",IF(J407&lt;&gt;"","?FAMILIAR",IF(F407="NEW",IF(ISNA(VLOOKUP(E407,#REF!,1,FALSE())),"?TYPE_IDENTIFIABLE","?REFERENTIAL"),"_")))))</f>
        <v> </v>
      </c>
      <c r="H407" s="25" t="str">
        <f>IF(J407&lt;&gt;1,"",IF(I407="SBJ","CB","?"))</f>
        <v> </v>
      </c>
      <c r="I407" s="26" t="str">
        <f>IF(OR(E407="",E407="!!!",F407="NEW"),"",INDEX(B406:B$2,-1+SUMPRODUCT(MAX(ROW(E406:E$2)*(E407=E406:E$2)))))</f>
        <v> </v>
      </c>
      <c r="J407" s="26" t="str">
        <f>IF(OR(E407="",E407="!!!",F407="NEW"),"",COUNTBLANK(OFFSET(A$1,,,SUMPRODUCT(MAX(ROW(E$2:E407)*(E407=E$2:E407)))))-COUNTBLANK(OFFSET(A$1,,,SUMPRODUCT(MAX(ROW(E$1:E406)*(E2=E$1:E406))))))</f>
        <v> </v>
      </c>
      <c r="K407" s="26" t="str">
        <f>IF(OR(E407="",E407="!!!",F407="NEW"),"",INDEX(J$1:J406,SUMPRODUCT(MAX(ROW(E$1:E406)*(E407=E$1:E406)))))</f>
        <v> </v>
      </c>
      <c r="L407" s="27"/>
    </row>
    <row r="408" spans="1:12">
      <c r="A408" s="20" t="s">
        <v>310</v>
      </c>
      <c r="B408" s="21" t="s">
        <v>153</v>
      </c>
      <c r="C408" s="21" t="s">
        <v>164</v>
      </c>
      <c r="E408" s="22">
        <f>IF(D408="?OLD","!!!","")</f>
        <v/>
      </c>
      <c r="F408" s="23" t="str">
        <f>IF(OR(E408="",E408="!!!"),"",IF(NOT(ISNA(VLOOKUP(E408,E$1:E407,1,FALSE()))),"OLD",IF(AND(E408&lt;&gt;"",E408&lt;&gt;"!!!"),"NEW","")))</f>
        <v> </v>
      </c>
      <c r="G408" s="24" t="str">
        <f>IF(OR(E408="",E408="!!!"),"",IF(OR(J408=0,AND(J408=1,K408=1),AND(J408=1,I408="SBJ"),AND(J408=1,I408=0)),"?IN_FOCUS",IF(J408&lt;=2,"?ACTIVATED",IF(J408&lt;&gt;"","?FAMILIAR",IF(F408="NEW",IF(ISNA(VLOOKUP(E408,#REF!,1,FALSE())),"?TYPE_IDENTIFIABLE","?REFERENTIAL"),"_")))))</f>
        <v> </v>
      </c>
      <c r="H408" s="25" t="str">
        <f>IF(J408&lt;&gt;1,"",IF(I408="SBJ","CB","?"))</f>
        <v> </v>
      </c>
      <c r="I408" s="26" t="str">
        <f>IF(OR(E408="",E408="!!!",F408="NEW"),"",INDEX(B407:B$2,-1+SUMPRODUCT(MAX(ROW(E407:E$2)*(E408=E407:E$2)))))</f>
        <v> </v>
      </c>
      <c r="J408" s="26" t="str">
        <f>IF(OR(E408="",E408="!!!",F408="NEW"),"",COUNTBLANK(OFFSET(A$1,,,SUMPRODUCT(MAX(ROW(E$2:E408)*(E408=E$2:E408)))))-COUNTBLANK(OFFSET(A$1,,,SUMPRODUCT(MAX(ROW(E$1:E407)*(E2=E$1:E407))))))</f>
        <v> </v>
      </c>
      <c r="K408" s="26" t="str">
        <f>IF(OR(E408="",E408="!!!",F408="NEW"),"",INDEX(J$1:J407,SUMPRODUCT(MAX(ROW(E$1:E407)*(E408=E$1:E407)))))</f>
        <v> </v>
      </c>
      <c r="L408" s="27"/>
    </row>
    <row r="409" spans="1:12">
      <c r="A409" s="20" t="s">
        <v>165</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row>
    <row r="411" spans="1:12">
      <c r="A411" s="20" t="s">
        <v>337</v>
      </c>
    </row>
    <row r="412" spans="1:12">
      <c r="A412" s="20" t="s">
        <v>334</v>
      </c>
      <c r="B412" s="21" t="s">
        <v>147</v>
      </c>
      <c r="C412" s="21" t="s">
        <v>185</v>
      </c>
      <c r="D412" s="21" t="s">
        <v>149</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t="s">
        <v>296</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t="s">
        <v>338</v>
      </c>
      <c r="E414" s="22">
        <f>IF(D414="?OLD","!!!","")</f>
        <v/>
      </c>
      <c r="F414" s="23" t="str">
        <f>IF(OR(E414="",E414="!!!"),"",IF(NOT(ISNA(VLOOKUP(E414,E$1:E413,1,FALSE()))),"OLD",IF(AND(E414&lt;&gt;"",E414&lt;&gt;"!!!"),"NEW","")))</f>
        <v> </v>
      </c>
      <c r="G414" s="24" t="str">
        <f>IF(OR(E414="",E414="!!!"),"",IF(OR(J414=0,AND(J414=1,K414=1),AND(J414=1,I414="SBJ"),AND(J414=1,I414=0)),"?IN_FOCUS",IF(J414&lt;=2,"?ACTIVATED",IF(J414&lt;&gt;"","?FAMILIAR",IF(F414="NEW",IF(ISNA(VLOOKUP(E414,#REF!,1,FALSE())),"?TYPE_IDENTIFIABLE","?REFERENTIAL"),"_")))))</f>
        <v> </v>
      </c>
      <c r="H414" s="25" t="str">
        <f>IF(J414&lt;&gt;1,"",IF(I414="SBJ","CB","?"))</f>
        <v> </v>
      </c>
      <c r="I414" s="26" t="str">
        <f>IF(OR(E414="",E414="!!!",F414="NEW"),"",INDEX(B413:B$2,-1+SUMPRODUCT(MAX(ROW(E413:E$2)*(E414=E413:E$2)))))</f>
        <v> </v>
      </c>
      <c r="J414" s="26" t="str">
        <f>IF(OR(E414="",E414="!!!",F414="NEW"),"",COUNTBLANK(OFFSET(A$1,,,SUMPRODUCT(MAX(ROW(E$2:E414)*(E414=E$2:E414)))))-COUNTBLANK(OFFSET(A$1,,,SUMPRODUCT(MAX(ROW(E$1:E413)*(E2=E$1:E413))))))</f>
        <v> </v>
      </c>
      <c r="K414" s="26" t="str">
        <f>IF(OR(E414="",E414="!!!",F414="NEW"),"",INDEX(J$1:J413,SUMPRODUCT(MAX(ROW(E$1:E413)*(E414=E$1:E413)))))</f>
        <v> </v>
      </c>
      <c r="L414" s="27"/>
    </row>
    <row r="415" spans="1:12">
      <c r="A415" s="20" t="s">
        <v>298</v>
      </c>
      <c r="B415" s="21" t="s">
        <v>207</v>
      </c>
      <c r="C415" s="21" t="s">
        <v>157</v>
      </c>
      <c r="E415" s="22">
        <f>IF(D415="?OLD","!!!","")</f>
        <v/>
      </c>
      <c r="F415" s="23" t="str">
        <f>IF(OR(E415="",E415="!!!"),"",IF(NOT(ISNA(VLOOKUP(E415,E$1:E414,1,FALSE()))),"OLD",IF(AND(E415&lt;&gt;"",E415&lt;&gt;"!!!"),"NEW","")))</f>
        <v> </v>
      </c>
      <c r="G415" s="24" t="str">
        <f>IF(OR(E415="",E415="!!!"),"",IF(OR(J415=0,AND(J415=1,K415=1),AND(J415=1,I415="SBJ"),AND(J415=1,I415=0)),"?IN_FOCUS",IF(J415&lt;=2,"?ACTIVATED",IF(J415&lt;&gt;"","?FAMILIAR",IF(F415="NEW",IF(ISNA(VLOOKUP(E415,#REF!,1,FALSE())),"?TYPE_IDENTIFIABLE","?REFERENTIAL"),"_")))))</f>
        <v> </v>
      </c>
      <c r="H415" s="25" t="str">
        <f>IF(J415&lt;&gt;1,"",IF(I415="SBJ","CB","?"))</f>
        <v> </v>
      </c>
      <c r="I415" s="26" t="str">
        <f>IF(OR(E415="",E415="!!!",F415="NEW"),"",INDEX(B414:B$2,-1+SUMPRODUCT(MAX(ROW(E414:E$2)*(E415=E414:E$2)))))</f>
        <v> </v>
      </c>
      <c r="J415" s="26" t="str">
        <f>IF(OR(E415="",E415="!!!",F415="NEW"),"",COUNTBLANK(OFFSET(A$1,,,SUMPRODUCT(MAX(ROW(E$2:E415)*(E415=E$2:E415)))))-COUNTBLANK(OFFSET(A$1,,,SUMPRODUCT(MAX(ROW(E$1:E414)*(E2=E$1:E414))))))</f>
        <v> </v>
      </c>
      <c r="K415" s="26" t="str">
        <f>IF(OR(E415="",E415="!!!",F415="NEW"),"",INDEX(J$1:J414,SUMPRODUCT(MAX(ROW(E$1:E414)*(E415=E$1:E414)))))</f>
        <v> </v>
      </c>
      <c r="L415" s="27"/>
    </row>
    <row r="416" spans="1:12">
      <c r="A416" s="20" t="s">
        <v>299</v>
      </c>
      <c r="E416" s="22">
        <f>IF(D416="?OLD","!!!","")</f>
        <v/>
      </c>
      <c r="F416" s="23" t="str">
        <f>IF(OR(E416="",E416="!!!"),"",IF(NOT(ISNA(VLOOKUP(E416,E$1:E415,1,FALSE()))),"OLD",IF(AND(E416&lt;&gt;"",E416&lt;&gt;"!!!"),"NEW","")))</f>
        <v> </v>
      </c>
      <c r="G416" s="24" t="str">
        <f>IF(OR(E416="",E416="!!!"),"",IF(OR(J416=0,AND(J416=1,K416=1),AND(J416=1,I416="SBJ"),AND(J416=1,I416=0)),"?IN_FOCUS",IF(J416&lt;=2,"?ACTIVATED",IF(J416&lt;&gt;"","?FAMILIAR",IF(F416="NEW",IF(ISNA(VLOOKUP(E416,#REF!,1,FALSE())),"?TYPE_IDENTIFIABLE","?REFERENTIAL"),"_")))))</f>
        <v> </v>
      </c>
      <c r="H416" s="25" t="str">
        <f>IF(J416&lt;&gt;1,"",IF(I416="SBJ","CB","?"))</f>
        <v> </v>
      </c>
      <c r="I416" s="26" t="str">
        <f>IF(OR(E416="",E416="!!!",F416="NEW"),"",INDEX(B415:B$2,-1+SUMPRODUCT(MAX(ROW(E415:E$2)*(E416=E415:E$2)))))</f>
        <v> </v>
      </c>
      <c r="J416" s="26" t="str">
        <f>IF(OR(E416="",E416="!!!",F416="NEW"),"",COUNTBLANK(OFFSET(A$1,,,SUMPRODUCT(MAX(ROW(E$2:E416)*(E416=E$2:E416)))))-COUNTBLANK(OFFSET(A$1,,,SUMPRODUCT(MAX(ROW(E$1:E415)*(E2=E$1:E415))))))</f>
        <v> </v>
      </c>
      <c r="K416" s="26" t="str">
        <f>IF(OR(E416="",E416="!!!",F416="NEW"),"",INDEX(J$1:J415,SUMPRODUCT(MAX(ROW(E$1:E415)*(E416=E$1:E415)))))</f>
        <v> </v>
      </c>
      <c r="L416" s="27"/>
    </row>
    <row r="417" spans="1:12">
      <c r="A417" s="20" t="s">
        <v>161</v>
      </c>
      <c r="E417" s="22">
        <f>IF(D417="?OLD","!!!","")</f>
        <v/>
      </c>
      <c r="F417" s="23" t="str">
        <f>IF(OR(E417="",E417="!!!"),"",IF(NOT(ISNA(VLOOKUP(E417,E$1:E416,1,FALSE()))),"OLD",IF(AND(E417&lt;&gt;"",E417&lt;&gt;"!!!"),"NEW","")))</f>
        <v> </v>
      </c>
      <c r="G417" s="24" t="str">
        <f>IF(OR(E417="",E417="!!!"),"",IF(OR(J417=0,AND(J417=1,K417=1),AND(J417=1,I417="SBJ"),AND(J417=1,I417=0)),"?IN_FOCUS",IF(J417&lt;=2,"?ACTIVATED",IF(J417&lt;&gt;"","?FAMILIAR",IF(F417="NEW",IF(ISNA(VLOOKUP(E417,#REF!,1,FALSE())),"?TYPE_IDENTIFIABLE","?REFERENTIAL"),"_")))))</f>
        <v> </v>
      </c>
      <c r="H417" s="25" t="str">
        <f>IF(J417&lt;&gt;1,"",IF(I417="SBJ","CB","?"))</f>
        <v> </v>
      </c>
      <c r="I417" s="26" t="str">
        <f>IF(OR(E417="",E417="!!!",F417="NEW"),"",INDEX(B416:B$2,-1+SUMPRODUCT(MAX(ROW(E416:E$2)*(E417=E416:E$2)))))</f>
        <v> </v>
      </c>
      <c r="J417" s="26" t="str">
        <f>IF(OR(E417="",E417="!!!",F417="NEW"),"",COUNTBLANK(OFFSET(A$1,,,SUMPRODUCT(MAX(ROW(E$2:E417)*(E417=E$2:E417)))))-COUNTBLANK(OFFSET(A$1,,,SUMPRODUCT(MAX(ROW(E$1:E416)*(E2=E$1:E416))))))</f>
        <v> </v>
      </c>
      <c r="K417" s="26" t="str">
        <f>IF(OR(E417="",E417="!!!",F417="NEW"),"",INDEX(J$1:J416,SUMPRODUCT(MAX(ROW(E$1:E416)*(E417=E$1:E416)))))</f>
        <v> </v>
      </c>
      <c r="L417" s="27"/>
    </row>
    <row r="418" spans="1:12">
      <c r="A418" s="20" t="s">
        <v>300</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t="s">
        <v>339</v>
      </c>
      <c r="B419" s="21" t="s">
        <v>196</v>
      </c>
      <c r="C419" s="21" t="s">
        <v>185</v>
      </c>
      <c r="D419" s="21" t="s">
        <v>149</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row>
    <row r="421" spans="1:12">
      <c r="A421" s="20" t="s">
        <v>340</v>
      </c>
    </row>
    <row r="422" spans="1:12">
      <c r="A422" s="20" t="s">
        <v>161</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306</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307</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341</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t="s">
        <v>298</v>
      </c>
      <c r="B426" s="21" t="s">
        <v>160</v>
      </c>
      <c r="C426" s="21" t="s">
        <v>157</v>
      </c>
      <c r="E426" s="22">
        <f>IF(D426="?OLD","!!!","")</f>
        <v/>
      </c>
      <c r="F426" s="23" t="str">
        <f>IF(OR(E426="",E426="!!!"),"",IF(NOT(ISNA(VLOOKUP(E426,E$1:E425,1,FALSE()))),"OLD",IF(AND(E426&lt;&gt;"",E426&lt;&gt;"!!!"),"NEW","")))</f>
        <v> </v>
      </c>
      <c r="G426" s="24" t="str">
        <f>IF(OR(E426="",E426="!!!"),"",IF(OR(J426=0,AND(J426=1,K426=1),AND(J426=1,I426="SBJ"),AND(J426=1,I426=0)),"?IN_FOCUS",IF(J426&lt;=2,"?ACTIVATED",IF(J426&lt;&gt;"","?FAMILIAR",IF(F426="NEW",IF(ISNA(VLOOKUP(E426,#REF!,1,FALSE())),"?TYPE_IDENTIFIABLE","?REFERENTIAL"),"_")))))</f>
        <v> </v>
      </c>
      <c r="H426" s="25" t="str">
        <f>IF(J426&lt;&gt;1,"",IF(I426="SBJ","CB","?"))</f>
        <v> </v>
      </c>
      <c r="I426" s="26" t="str">
        <f>IF(OR(E426="",E426="!!!",F426="NEW"),"",INDEX(B425:B$2,-1+SUMPRODUCT(MAX(ROW(E425:E$2)*(E426=E425:E$2)))))</f>
        <v> </v>
      </c>
      <c r="J426" s="26" t="str">
        <f>IF(OR(E426="",E426="!!!",F426="NEW"),"",COUNTBLANK(OFFSET(A$1,,,SUMPRODUCT(MAX(ROW(E$2:E426)*(E426=E$2:E426)))))-COUNTBLANK(OFFSET(A$1,,,SUMPRODUCT(MAX(ROW(E$1:E425)*(E2=E$1:E425))))))</f>
        <v> </v>
      </c>
      <c r="K426" s="26" t="str">
        <f>IF(OR(E426="",E426="!!!",F426="NEW"),"",INDEX(J$1:J425,SUMPRODUCT(MAX(ROW(E$1:E425)*(E426=E$1:E425)))))</f>
        <v> </v>
      </c>
      <c r="L426" s="27"/>
    </row>
    <row r="427" spans="1:12">
      <c r="A427" s="20" t="s">
        <v>161</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t="s">
        <v>300</v>
      </c>
      <c r="E428" s="22">
        <f>IF(D428="?OLD","!!!","")</f>
        <v/>
      </c>
      <c r="F428" s="23" t="str">
        <f>IF(OR(E428="",E428="!!!"),"",IF(NOT(ISNA(VLOOKUP(E428,E$1:E427,1,FALSE()))),"OLD",IF(AND(E428&lt;&gt;"",E428&lt;&gt;"!!!"),"NEW","")))</f>
        <v> </v>
      </c>
      <c r="G428" s="24" t="str">
        <f>IF(OR(E428="",E428="!!!"),"",IF(OR(J428=0,AND(J428=1,K428=1),AND(J428=1,I428="SBJ"),AND(J428=1,I428=0)),"?IN_FOCUS",IF(J428&lt;=2,"?ACTIVATED",IF(J428&lt;&gt;"","?FAMILIAR",IF(F428="NEW",IF(ISNA(VLOOKUP(E428,#REF!,1,FALSE())),"?TYPE_IDENTIFIABLE","?REFERENTIAL"),"_")))))</f>
        <v> </v>
      </c>
      <c r="H428" s="25" t="str">
        <f>IF(J428&lt;&gt;1,"",IF(I428="SBJ","CB","?"))</f>
        <v> </v>
      </c>
      <c r="I428" s="26" t="str">
        <f>IF(OR(E428="",E428="!!!",F428="NEW"),"",INDEX(B427:B$2,-1+SUMPRODUCT(MAX(ROW(E427:E$2)*(E428=E427:E$2)))))</f>
        <v> </v>
      </c>
      <c r="J428" s="26" t="str">
        <f>IF(OR(E428="",E428="!!!",F428="NEW"),"",COUNTBLANK(OFFSET(A$1,,,SUMPRODUCT(MAX(ROW(E$2:E428)*(E428=E$2:E428)))))-COUNTBLANK(OFFSET(A$1,,,SUMPRODUCT(MAX(ROW(E$1:E427)*(E2=E$1:E427))))))</f>
        <v> </v>
      </c>
      <c r="K428" s="26" t="str">
        <f>IF(OR(E428="",E428="!!!",F428="NEW"),"",INDEX(J$1:J427,SUMPRODUCT(MAX(ROW(E$1:E427)*(E428=E$1:E427)))))</f>
        <v> </v>
      </c>
      <c r="L428" s="27"/>
    </row>
    <row r="429" spans="1:12">
      <c r="A429" s="20" t="s">
        <v>309</v>
      </c>
      <c r="B429" s="21" t="s">
        <v>196</v>
      </c>
      <c r="C429" s="21" t="s">
        <v>164</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161</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310</v>
      </c>
      <c r="B431" s="21" t="s">
        <v>153</v>
      </c>
      <c r="C431" s="21" t="s">
        <v>164</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165</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row>
    <row r="434" spans="1:12">
      <c r="A434" s="20" t="s">
        <v>342</v>
      </c>
    </row>
    <row r="435" spans="1:12">
      <c r="A435" s="20" t="s">
        <v>339</v>
      </c>
      <c r="B435" s="21" t="s">
        <v>147</v>
      </c>
      <c r="C435" s="21" t="s">
        <v>185</v>
      </c>
      <c r="D435" s="21" t="s">
        <v>149</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t="s">
        <v>296</v>
      </c>
      <c r="E436" s="22">
        <f>IF(D436="?OLD","!!!","")</f>
        <v/>
      </c>
      <c r="F436" s="23" t="str">
        <f>IF(OR(E436="",E436="!!!"),"",IF(NOT(ISNA(VLOOKUP(E436,E$1:E435,1,FALSE()))),"OLD",IF(AND(E436&lt;&gt;"",E436&lt;&gt;"!!!"),"NEW","")))</f>
        <v> </v>
      </c>
      <c r="G436" s="24" t="str">
        <f>IF(OR(E436="",E436="!!!"),"",IF(OR(J436=0,AND(J436=1,K436=1),AND(J436=1,I436="SBJ"),AND(J436=1,I436=0)),"?IN_FOCUS",IF(J436&lt;=2,"?ACTIVATED",IF(J436&lt;&gt;"","?FAMILIAR",IF(F436="NEW",IF(ISNA(VLOOKUP(E436,#REF!,1,FALSE())),"?TYPE_IDENTIFIABLE","?REFERENTIAL"),"_")))))</f>
        <v> </v>
      </c>
      <c r="H436" s="25" t="str">
        <f>IF(J436&lt;&gt;1,"",IF(I436="SBJ","CB","?"))</f>
        <v> </v>
      </c>
      <c r="I436" s="26" t="str">
        <f>IF(OR(E436="",E436="!!!",F436="NEW"),"",INDEX(B435:B$2,-1+SUMPRODUCT(MAX(ROW(E435:E$2)*(E436=E435:E$2)))))</f>
        <v> </v>
      </c>
      <c r="J436" s="26" t="str">
        <f>IF(OR(E436="",E436="!!!",F436="NEW"),"",COUNTBLANK(OFFSET(A$1,,,SUMPRODUCT(MAX(ROW(E$2:E436)*(E436=E$2:E436)))))-COUNTBLANK(OFFSET(A$1,,,SUMPRODUCT(MAX(ROW(E$1:E435)*(E2=E$1:E435))))))</f>
        <v> </v>
      </c>
      <c r="K436" s="26" t="str">
        <f>IF(OR(E436="",E436="!!!",F436="NEW"),"",INDEX(J$1:J435,SUMPRODUCT(MAX(ROW(E$1:E435)*(E436=E$1:E435)))))</f>
        <v> </v>
      </c>
      <c r="L436" s="27"/>
    </row>
    <row r="437" spans="1:12">
      <c r="A437" s="20" t="s">
        <v>343</v>
      </c>
      <c r="E437" s="22">
        <f>IF(D437="?OLD","!!!","")</f>
        <v/>
      </c>
      <c r="F437" s="23" t="str">
        <f>IF(OR(E437="",E437="!!!"),"",IF(NOT(ISNA(VLOOKUP(E437,E$1:E436,1,FALSE()))),"OLD",IF(AND(E437&lt;&gt;"",E437&lt;&gt;"!!!"),"NEW","")))</f>
        <v> </v>
      </c>
      <c r="G437" s="24" t="str">
        <f>IF(OR(E437="",E437="!!!"),"",IF(OR(J437=0,AND(J437=1,K437=1),AND(J437=1,I437="SBJ"),AND(J437=1,I437=0)),"?IN_FOCUS",IF(J437&lt;=2,"?ACTIVATED",IF(J437&lt;&gt;"","?FAMILIAR",IF(F437="NEW",IF(ISNA(VLOOKUP(E437,#REF!,1,FALSE())),"?TYPE_IDENTIFIABLE","?REFERENTIAL"),"_")))))</f>
        <v> </v>
      </c>
      <c r="H437" s="25" t="str">
        <f>IF(J437&lt;&gt;1,"",IF(I437="SBJ","CB","?"))</f>
        <v> </v>
      </c>
      <c r="I437" s="26" t="str">
        <f>IF(OR(E437="",E437="!!!",F437="NEW"),"",INDEX(B436:B$2,-1+SUMPRODUCT(MAX(ROW(E436:E$2)*(E437=E436:E$2)))))</f>
        <v> </v>
      </c>
      <c r="J437" s="26" t="str">
        <f>IF(OR(E437="",E437="!!!",F437="NEW"),"",COUNTBLANK(OFFSET(A$1,,,SUMPRODUCT(MAX(ROW(E$2:E437)*(E437=E$2:E437)))))-COUNTBLANK(OFFSET(A$1,,,SUMPRODUCT(MAX(ROW(E$1:E436)*(E2=E$1:E436))))))</f>
        <v> </v>
      </c>
      <c r="K437" s="26" t="str">
        <f>IF(OR(E437="",E437="!!!",F437="NEW"),"",INDEX(J$1:J436,SUMPRODUCT(MAX(ROW(E$1:E436)*(E437=E$1:E436)))))</f>
        <v> </v>
      </c>
      <c r="L437" s="27"/>
    </row>
    <row r="438" spans="1:12">
      <c r="A438" s="20" t="s">
        <v>298</v>
      </c>
      <c r="B438" s="21" t="s">
        <v>207</v>
      </c>
      <c r="C438" s="21" t="s">
        <v>164</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299</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161</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t="s">
        <v>300</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t="s">
        <v>344</v>
      </c>
      <c r="B442" s="21" t="s">
        <v>147</v>
      </c>
      <c r="C442" s="21" t="s">
        <v>164</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t="s">
        <v>174</v>
      </c>
      <c r="E443" s="22">
        <f>IF(D443="?OLD","!!!","")</f>
        <v/>
      </c>
      <c r="F443" s="23" t="str">
        <f>IF(OR(E443="",E443="!!!"),"",IF(NOT(ISNA(VLOOKUP(E443,E$1:E442,1,FALSE()))),"OLD",IF(AND(E443&lt;&gt;"",E443&lt;&gt;"!!!"),"NEW","")))</f>
        <v> </v>
      </c>
      <c r="G443" s="24" t="str">
        <f>IF(OR(E443="",E443="!!!"),"",IF(OR(J443=0,AND(J443=1,K443=1),AND(J443=1,I443="SBJ"),AND(J443=1,I443=0)),"?IN_FOCUS",IF(J443&lt;=2,"?ACTIVATED",IF(J443&lt;&gt;"","?FAMILIAR",IF(F443="NEW",IF(ISNA(VLOOKUP(E443,#REF!,1,FALSE())),"?TYPE_IDENTIFIABLE","?REFERENTIAL"),"_")))))</f>
        <v> </v>
      </c>
      <c r="H443" s="25" t="str">
        <f>IF(J443&lt;&gt;1,"",IF(I443="SBJ","CB","?"))</f>
        <v> </v>
      </c>
      <c r="I443" s="26" t="str">
        <f>IF(OR(E443="",E443="!!!",F443="NEW"),"",INDEX(B442:B$2,-1+SUMPRODUCT(MAX(ROW(E442:E$2)*(E443=E442:E$2)))))</f>
        <v> </v>
      </c>
      <c r="J443" s="26" t="str">
        <f>IF(OR(E443="",E443="!!!",F443="NEW"),"",COUNTBLANK(OFFSET(A$1,,,SUMPRODUCT(MAX(ROW(E$2:E443)*(E443=E$2:E443)))))-COUNTBLANK(OFFSET(A$1,,,SUMPRODUCT(MAX(ROW(E$1:E442)*(E2=E$1:E442))))))</f>
        <v> </v>
      </c>
      <c r="K443" s="26" t="str">
        <f>IF(OR(E443="",E443="!!!",F443="NEW"),"",INDEX(J$1:J442,SUMPRODUCT(MAX(ROW(E$1:E442)*(E443=E$1:E442)))))</f>
        <v> </v>
      </c>
      <c r="L443" s="27"/>
    </row>
    <row r="444" spans="1:12">
      <c r="A444" s="20" t="s">
        <v>334</v>
      </c>
      <c r="B444" s="21" t="s">
        <v>163</v>
      </c>
      <c r="C444" s="21" t="s">
        <v>185</v>
      </c>
      <c r="D444" s="21" t="s">
        <v>149</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161</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345</v>
      </c>
      <c r="B446" s="21" t="s">
        <v>163</v>
      </c>
      <c r="C446" s="21" t="s">
        <v>185</v>
      </c>
      <c r="D446" s="21" t="s">
        <v>149</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165</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row>
    <row r="449" spans="1:12">
      <c r="A449" s="20" t="s">
        <v>346</v>
      </c>
    </row>
    <row r="450" spans="1:12">
      <c r="A450" s="20" t="s">
        <v>290</v>
      </c>
      <c r="B450" s="21" t="s">
        <v>147</v>
      </c>
      <c r="C450" s="21" t="s">
        <v>291</v>
      </c>
      <c r="D450" s="21" t="s">
        <v>149</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t="s">
        <v>292</v>
      </c>
      <c r="E451" s="22">
        <f>IF(D451="?OLD","!!!","")</f>
        <v/>
      </c>
      <c r="F451" s="23" t="str">
        <f>IF(OR(E451="",E451="!!!"),"",IF(NOT(ISNA(VLOOKUP(E451,E$1:E450,1,FALSE()))),"OLD",IF(AND(E451&lt;&gt;"",E451&lt;&gt;"!!!"),"NEW","")))</f>
        <v> </v>
      </c>
      <c r="G451" s="24" t="str">
        <f>IF(OR(E451="",E451="!!!"),"",IF(OR(J451=0,AND(J451=1,K451=1),AND(J451=1,I451="SBJ"),AND(J451=1,I451=0)),"?IN_FOCUS",IF(J451&lt;=2,"?ACTIVATED",IF(J451&lt;&gt;"","?FAMILIAR",IF(F451="NEW",IF(ISNA(VLOOKUP(E451,#REF!,1,FALSE())),"?TYPE_IDENTIFIABLE","?REFERENTIAL"),"_")))))</f>
        <v> </v>
      </c>
      <c r="H451" s="25" t="str">
        <f>IF(J451&lt;&gt;1,"",IF(I451="SBJ","CB","?"))</f>
        <v> </v>
      </c>
      <c r="I451" s="26" t="str">
        <f>IF(OR(E451="",E451="!!!",F451="NEW"),"",INDEX(B450:B$2,-1+SUMPRODUCT(MAX(ROW(E450:E$2)*(E451=E450:E$2)))))</f>
        <v> </v>
      </c>
      <c r="J451" s="26" t="str">
        <f>IF(OR(E451="",E451="!!!",F451="NEW"),"",COUNTBLANK(OFFSET(A$1,,,SUMPRODUCT(MAX(ROW(E$2:E451)*(E451=E$2:E451)))))-COUNTBLANK(OFFSET(A$1,,,SUMPRODUCT(MAX(ROW(E$1:E450)*(E2=E$1:E450))))))</f>
        <v> </v>
      </c>
      <c r="K451" s="26" t="str">
        <f>IF(OR(E451="",E451="!!!",F451="NEW"),"",INDEX(J$1:J450,SUMPRODUCT(MAX(ROW(E$1:E450)*(E451=E$1:E450)))))</f>
        <v> </v>
      </c>
      <c r="L451" s="27"/>
    </row>
    <row r="452" spans="1:12">
      <c r="A452" s="20" t="s">
        <v>242</v>
      </c>
      <c r="E452" s="22">
        <f>IF(D452="?OLD","!!!","")</f>
        <v/>
      </c>
      <c r="F452" s="23" t="str">
        <f>IF(OR(E452="",E452="!!!"),"",IF(NOT(ISNA(VLOOKUP(E452,E$1:E451,1,FALSE()))),"OLD",IF(AND(E452&lt;&gt;"",E452&lt;&gt;"!!!"),"NEW","")))</f>
        <v> </v>
      </c>
      <c r="G452" s="24" t="str">
        <f>IF(OR(E452="",E452="!!!"),"",IF(OR(J452=0,AND(J452=1,K452=1),AND(J452=1,I452="SBJ"),AND(J452=1,I452=0)),"?IN_FOCUS",IF(J452&lt;=2,"?ACTIVATED",IF(J452&lt;&gt;"","?FAMILIAR",IF(F452="NEW",IF(ISNA(VLOOKUP(E452,#REF!,1,FALSE())),"?TYPE_IDENTIFIABLE","?REFERENTIAL"),"_")))))</f>
        <v> </v>
      </c>
      <c r="H452" s="25" t="str">
        <f>IF(J452&lt;&gt;1,"",IF(I452="SBJ","CB","?"))</f>
        <v> </v>
      </c>
      <c r="I452" s="26" t="str">
        <f>IF(OR(E452="",E452="!!!",F452="NEW"),"",INDEX(B451:B$2,-1+SUMPRODUCT(MAX(ROW(E451:E$2)*(E452=E451:E$2)))))</f>
        <v> </v>
      </c>
      <c r="J452" s="26" t="str">
        <f>IF(OR(E452="",E452="!!!",F452="NEW"),"",COUNTBLANK(OFFSET(A$1,,,SUMPRODUCT(MAX(ROW(E$2:E452)*(E452=E$2:E452)))))-COUNTBLANK(OFFSET(A$1,,,SUMPRODUCT(MAX(ROW(E$1:E451)*(E2=E$1:E451))))))</f>
        <v> </v>
      </c>
      <c r="K452" s="26" t="str">
        <f>IF(OR(E452="",E452="!!!",F452="NEW"),"",INDEX(J$1:J451,SUMPRODUCT(MAX(ROW(E$1:E451)*(E452=E$1:E451)))))</f>
        <v> </v>
      </c>
      <c r="L452" s="27"/>
    </row>
    <row r="453" spans="1:12">
      <c r="A453" s="20" t="s">
        <v>293</v>
      </c>
      <c r="B453" s="21" t="s">
        <v>207</v>
      </c>
      <c r="C453" s="21" t="s">
        <v>164</v>
      </c>
      <c r="E453" s="22">
        <f>IF(D453="?OLD","!!!","")</f>
        <v/>
      </c>
      <c r="F453" s="23" t="str">
        <f>IF(OR(E453="",E453="!!!"),"",IF(NOT(ISNA(VLOOKUP(E453,E$1:E452,1,FALSE()))),"OLD",IF(AND(E453&lt;&gt;"",E453&lt;&gt;"!!!"),"NEW","")))</f>
        <v> </v>
      </c>
      <c r="G453" s="24" t="str">
        <f>IF(OR(E453="",E453="!!!"),"",IF(OR(J453=0,AND(J453=1,K453=1),AND(J453=1,I453="SBJ"),AND(J453=1,I453=0)),"?IN_FOCUS",IF(J453&lt;=2,"?ACTIVATED",IF(J453&lt;&gt;"","?FAMILIAR",IF(F453="NEW",IF(ISNA(VLOOKUP(E453,#REF!,1,FALSE())),"?TYPE_IDENTIFIABLE","?REFERENTIAL"),"_")))))</f>
        <v> </v>
      </c>
      <c r="H453" s="25" t="str">
        <f>IF(J453&lt;&gt;1,"",IF(I453="SBJ","CB","?"))</f>
        <v> </v>
      </c>
      <c r="I453" s="26" t="str">
        <f>IF(OR(E453="",E453="!!!",F453="NEW"),"",INDEX(B452:B$2,-1+SUMPRODUCT(MAX(ROW(E452:E$2)*(E453=E452:E$2)))))</f>
        <v> </v>
      </c>
      <c r="J453" s="26" t="str">
        <f>IF(OR(E453="",E453="!!!",F453="NEW"),"",COUNTBLANK(OFFSET(A$1,,,SUMPRODUCT(MAX(ROW(E$2:E453)*(E453=E$2:E453)))))-COUNTBLANK(OFFSET(A$1,,,SUMPRODUCT(MAX(ROW(E$1:E452)*(E2=E$1:E452))))))</f>
        <v> </v>
      </c>
      <c r="K453" s="26" t="str">
        <f>IF(OR(E453="",E453="!!!",F453="NEW"),"",INDEX(J$1:J452,SUMPRODUCT(MAX(ROW(E$1:E452)*(E453=E$1:E452)))))</f>
        <v> </v>
      </c>
      <c r="L453" s="27"/>
    </row>
    <row r="454" spans="1:12">
      <c r="A454" s="20" t="s">
        <v>347</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t="s">
        <v>192</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339</v>
      </c>
      <c r="B456" s="21" t="s">
        <v>156</v>
      </c>
      <c r="C456" s="21" t="s">
        <v>185</v>
      </c>
      <c r="D456" s="21" t="s">
        <v>149</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t="s">
        <v>300</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344</v>
      </c>
      <c r="B458" s="21" t="s">
        <v>196</v>
      </c>
      <c r="C458" s="21" t="s">
        <v>185</v>
      </c>
      <c r="D458" s="21" t="s">
        <v>149</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t="s">
        <v>174</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t="s">
        <v>334</v>
      </c>
      <c r="B460" s="21" t="s">
        <v>153</v>
      </c>
      <c r="C460" s="21" t="s">
        <v>185</v>
      </c>
      <c r="D460" s="21" t="s">
        <v>149</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161</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t="s">
        <v>345</v>
      </c>
      <c r="B462" s="21" t="s">
        <v>153</v>
      </c>
      <c r="C462" s="21" t="s">
        <v>185</v>
      </c>
      <c r="D462" s="21" t="s">
        <v>149</v>
      </c>
      <c r="E462" s="22">
        <f>IF(D462="?OLD","!!!","")</f>
        <v/>
      </c>
      <c r="F462" s="23" t="str">
        <f>IF(OR(E462="",E462="!!!"),"",IF(NOT(ISNA(VLOOKUP(E462,E$1:E461,1,FALSE()))),"OLD",IF(AND(E462&lt;&gt;"",E462&lt;&gt;"!!!"),"NEW","")))</f>
        <v> </v>
      </c>
      <c r="G462" s="24" t="str">
        <f>IF(OR(E462="",E462="!!!"),"",IF(OR(J462=0,AND(J462=1,K462=1),AND(J462=1,I462="SBJ"),AND(J462=1,I462=0)),"?IN_FOCUS",IF(J462&lt;=2,"?ACTIVATED",IF(J462&lt;&gt;"","?FAMILIAR",IF(F462="NEW",IF(ISNA(VLOOKUP(E462,#REF!,1,FALSE())),"?TYPE_IDENTIFIABLE","?REFERENTIAL"),"_")))))</f>
        <v> </v>
      </c>
      <c r="H462" s="25" t="str">
        <f>IF(J462&lt;&gt;1,"",IF(I462="SBJ","CB","?"))</f>
        <v> </v>
      </c>
      <c r="I462" s="26" t="str">
        <f>IF(OR(E462="",E462="!!!",F462="NEW"),"",INDEX(B461:B$2,-1+SUMPRODUCT(MAX(ROW(E461:E$2)*(E462=E461:E$2)))))</f>
        <v> </v>
      </c>
      <c r="J462" s="26" t="str">
        <f>IF(OR(E462="",E462="!!!",F462="NEW"),"",COUNTBLANK(OFFSET(A$1,,,SUMPRODUCT(MAX(ROW(E$2:E462)*(E462=E$2:E462)))))-COUNTBLANK(OFFSET(A$1,,,SUMPRODUCT(MAX(ROW(E$1:E461)*(E2=E$1:E461))))))</f>
        <v> </v>
      </c>
      <c r="K462" s="26" t="str">
        <f>IF(OR(E462="",E462="!!!",F462="NEW"),"",INDEX(J$1:J461,SUMPRODUCT(MAX(ROW(E$1:E461)*(E462=E$1:E461)))))</f>
        <v> </v>
      </c>
      <c r="L462" s="27"/>
    </row>
    <row r="463" spans="1:12">
      <c r="A463" s="20" t="s">
        <v>165</v>
      </c>
      <c r="E463" s="22">
        <f>IF(D463="?OLD","!!!","")</f>
        <v/>
      </c>
      <c r="F463" s="23" t="str">
        <f>IF(OR(E463="",E463="!!!"),"",IF(NOT(ISNA(VLOOKUP(E463,E$1:E462,1,FALSE()))),"OLD",IF(AND(E463&lt;&gt;"",E463&lt;&gt;"!!!"),"NEW","")))</f>
        <v> </v>
      </c>
      <c r="G463" s="24" t="str">
        <f>IF(OR(E463="",E463="!!!"),"",IF(OR(J463=0,AND(J463=1,K463=1),AND(J463=1,I463="SBJ"),AND(J463=1,I463=0)),"?IN_FOCUS",IF(J463&lt;=2,"?ACTIVATED",IF(J463&lt;&gt;"","?FAMILIAR",IF(F463="NEW",IF(ISNA(VLOOKUP(E463,#REF!,1,FALSE())),"?TYPE_IDENTIFIABLE","?REFERENTIAL"),"_")))))</f>
        <v> </v>
      </c>
      <c r="H463" s="25" t="str">
        <f>IF(J463&lt;&gt;1,"",IF(I463="SBJ","CB","?"))</f>
        <v> </v>
      </c>
      <c r="I463" s="26" t="str">
        <f>IF(OR(E463="",E463="!!!",F463="NEW"),"",INDEX(B462:B$2,-1+SUMPRODUCT(MAX(ROW(E462:E$2)*(E463=E462:E$2)))))</f>
        <v> </v>
      </c>
      <c r="J463" s="26" t="str">
        <f>IF(OR(E463="",E463="!!!",F463="NEW"),"",COUNTBLANK(OFFSET(A$1,,,SUMPRODUCT(MAX(ROW(E$2:E463)*(E463=E$2:E463)))))-COUNTBLANK(OFFSET(A$1,,,SUMPRODUCT(MAX(ROW(E$1:E462)*(E2=E$1:E462))))))</f>
        <v> </v>
      </c>
      <c r="K463" s="26" t="str">
        <f>IF(OR(E463="",E463="!!!",F463="NEW"),"",INDEX(J$1:J462,SUMPRODUCT(MAX(ROW(E$1:E462)*(E463=E$1:E462)))))</f>
        <v> </v>
      </c>
      <c r="L463" s="27"/>
    </row>
    <row r="464" spans="1:12">
      <c r="A464" s="20"/>
    </row>
    <row r="465" spans="1:12">
      <c r="A465" s="20" t="s">
        <v>348</v>
      </c>
    </row>
    <row r="466" spans="1:12">
      <c r="A466" s="20" t="s">
        <v>349</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345</v>
      </c>
      <c r="B467" s="21" t="s">
        <v>147</v>
      </c>
      <c r="C467" s="21" t="s">
        <v>185</v>
      </c>
      <c r="D467" s="21" t="s">
        <v>149</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t="s">
        <v>300</v>
      </c>
      <c r="E468" s="22">
        <f>IF(D468="?OLD","!!!","")</f>
        <v/>
      </c>
      <c r="F468" s="23" t="str">
        <f>IF(OR(E468="",E468="!!!"),"",IF(NOT(ISNA(VLOOKUP(E468,E$1:E467,1,FALSE()))),"OLD",IF(AND(E468&lt;&gt;"",E468&lt;&gt;"!!!"),"NEW","")))</f>
        <v> </v>
      </c>
      <c r="G468" s="24" t="str">
        <f>IF(OR(E468="",E468="!!!"),"",IF(OR(J468=0,AND(J468=1,K468=1),AND(J468=1,I468="SBJ"),AND(J468=1,I468=0)),"?IN_FOCUS",IF(J468&lt;=2,"?ACTIVATED",IF(J468&lt;&gt;"","?FAMILIAR",IF(F468="NEW",IF(ISNA(VLOOKUP(E468,#REF!,1,FALSE())),"?TYPE_IDENTIFIABLE","?REFERENTIAL"),"_")))))</f>
        <v> </v>
      </c>
      <c r="H468" s="25" t="str">
        <f>IF(J468&lt;&gt;1,"",IF(I468="SBJ","CB","?"))</f>
        <v> </v>
      </c>
      <c r="I468" s="26" t="str">
        <f>IF(OR(E468="",E468="!!!",F468="NEW"),"",INDEX(B467:B$2,-1+SUMPRODUCT(MAX(ROW(E467:E$2)*(E468=E467:E$2)))))</f>
        <v> </v>
      </c>
      <c r="J468" s="26" t="str">
        <f>IF(OR(E468="",E468="!!!",F468="NEW"),"",COUNTBLANK(OFFSET(A$1,,,SUMPRODUCT(MAX(ROW(E$2:E468)*(E468=E$2:E468)))))-COUNTBLANK(OFFSET(A$1,,,SUMPRODUCT(MAX(ROW(E$1:E467)*(E2=E$1:E467))))))</f>
        <v> </v>
      </c>
      <c r="K468" s="26" t="str">
        <f>IF(OR(E468="",E468="!!!",F468="NEW"),"",INDEX(J$1:J467,SUMPRODUCT(MAX(ROW(E$1:E467)*(E468=E$1:E467)))))</f>
        <v> </v>
      </c>
      <c r="L468" s="27"/>
    </row>
    <row r="469" spans="1:12">
      <c r="A469" s="20" t="s">
        <v>350</v>
      </c>
      <c r="B469" s="21" t="s">
        <v>160</v>
      </c>
      <c r="C469" s="21" t="s">
        <v>185</v>
      </c>
      <c r="D469" s="21" t="s">
        <v>149</v>
      </c>
      <c r="E469" s="22">
        <f>IF(D469="?OLD","!!!","")</f>
        <v/>
      </c>
      <c r="F469" s="23" t="str">
        <f>IF(OR(E469="",E469="!!!"),"",IF(NOT(ISNA(VLOOKUP(E469,E$1:E468,1,FALSE()))),"OLD",IF(AND(E469&lt;&gt;"",E469&lt;&gt;"!!!"),"NEW","")))</f>
        <v> </v>
      </c>
      <c r="G469" s="24" t="str">
        <f>IF(OR(E469="",E469="!!!"),"",IF(OR(J469=0,AND(J469=1,K469=1),AND(J469=1,I469="SBJ"),AND(J469=1,I469=0)),"?IN_FOCUS",IF(J469&lt;=2,"?ACTIVATED",IF(J469&lt;&gt;"","?FAMILIAR",IF(F469="NEW",IF(ISNA(VLOOKUP(E469,#REF!,1,FALSE())),"?TYPE_IDENTIFIABLE","?REFERENTIAL"),"_")))))</f>
        <v> </v>
      </c>
      <c r="H469" s="25" t="str">
        <f>IF(J469&lt;&gt;1,"",IF(I469="SBJ","CB","?"))</f>
        <v> </v>
      </c>
      <c r="I469" s="26" t="str">
        <f>IF(OR(E469="",E469="!!!",F469="NEW"),"",INDEX(B468:B$2,-1+SUMPRODUCT(MAX(ROW(E468:E$2)*(E469=E468:E$2)))))</f>
        <v> </v>
      </c>
      <c r="J469" s="26" t="str">
        <f>IF(OR(E469="",E469="!!!",F469="NEW"),"",COUNTBLANK(OFFSET(A$1,,,SUMPRODUCT(MAX(ROW(E$2:E469)*(E469=E$2:E469)))))-COUNTBLANK(OFFSET(A$1,,,SUMPRODUCT(MAX(ROW(E$1:E468)*(E2=E$1:E468))))))</f>
        <v> </v>
      </c>
      <c r="K469" s="26" t="str">
        <f>IF(OR(E469="",E469="!!!",F469="NEW"),"",INDEX(J$1:J468,SUMPRODUCT(MAX(ROW(E$1:E468)*(E469=E$1:E468)))))</f>
        <v> </v>
      </c>
      <c r="L469" s="27"/>
    </row>
    <row r="470" spans="1:12">
      <c r="A470" s="20" t="s">
        <v>165</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row>
    <row r="472" spans="1:12">
      <c r="A472" s="20" t="s">
        <v>351</v>
      </c>
    </row>
    <row r="473" spans="1:12">
      <c r="A473" s="20" t="s">
        <v>345</v>
      </c>
      <c r="B473" s="21" t="s">
        <v>147</v>
      </c>
      <c r="C473" s="21" t="s">
        <v>209</v>
      </c>
      <c r="D473" s="21" t="s">
        <v>149</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151</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352</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353</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t="s">
        <v>354</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t="s">
        <v>355</v>
      </c>
      <c r="B478" s="21" t="s">
        <v>207</v>
      </c>
      <c r="C478" s="21" t="s">
        <v>269</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339</v>
      </c>
      <c r="B479" s="21" t="s">
        <v>163</v>
      </c>
      <c r="C479" s="21" t="s">
        <v>185</v>
      </c>
      <c r="D479" s="21" t="s">
        <v>149</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180</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t="s">
        <v>354</v>
      </c>
      <c r="E481" s="22">
        <f>IF(D481="?OLD","!!!","")</f>
        <v/>
      </c>
      <c r="F481" s="23" t="str">
        <f>IF(OR(E481="",E481="!!!"),"",IF(NOT(ISNA(VLOOKUP(E481,E$1:E480,1,FALSE()))),"OLD",IF(AND(E481&lt;&gt;"",E481&lt;&gt;"!!!"),"NEW","")))</f>
        <v> </v>
      </c>
      <c r="G481" s="24" t="str">
        <f>IF(OR(E481="",E481="!!!"),"",IF(OR(J481=0,AND(J481=1,K481=1),AND(J481=1,I481="SBJ"),AND(J481=1,I481=0)),"?IN_FOCUS",IF(J481&lt;=2,"?ACTIVATED",IF(J481&lt;&gt;"","?FAMILIAR",IF(F481="NEW",IF(ISNA(VLOOKUP(E481,#REF!,1,FALSE())),"?TYPE_IDENTIFIABLE","?REFERENTIAL"),"_")))))</f>
        <v> </v>
      </c>
      <c r="H481" s="25" t="str">
        <f>IF(J481&lt;&gt;1,"",IF(I481="SBJ","CB","?"))</f>
        <v> </v>
      </c>
      <c r="I481" s="26" t="str">
        <f>IF(OR(E481="",E481="!!!",F481="NEW"),"",INDEX(B480:B$2,-1+SUMPRODUCT(MAX(ROW(E480:E$2)*(E481=E480:E$2)))))</f>
        <v> </v>
      </c>
      <c r="J481" s="26" t="str">
        <f>IF(OR(E481="",E481="!!!",F481="NEW"),"",COUNTBLANK(OFFSET(A$1,,,SUMPRODUCT(MAX(ROW(E$2:E481)*(E481=E$2:E481)))))-COUNTBLANK(OFFSET(A$1,,,SUMPRODUCT(MAX(ROW(E$1:E480)*(E2=E$1:E480))))))</f>
        <v> </v>
      </c>
      <c r="K481" s="26" t="str">
        <f>IF(OR(E481="",E481="!!!",F481="NEW"),"",INDEX(J$1:J480,SUMPRODUCT(MAX(ROW(E$1:E480)*(E481=E$1:E480)))))</f>
        <v> </v>
      </c>
      <c r="L481" s="27"/>
    </row>
    <row r="482" spans="1:12">
      <c r="A482" s="20" t="s">
        <v>356</v>
      </c>
      <c r="B482" s="21" t="s">
        <v>207</v>
      </c>
      <c r="C482" s="21" t="s">
        <v>269</v>
      </c>
      <c r="E482" s="22">
        <f>IF(D482="?OLD","!!!","")</f>
        <v/>
      </c>
      <c r="F482" s="23" t="str">
        <f>IF(OR(E482="",E482="!!!"),"",IF(NOT(ISNA(VLOOKUP(E482,E$1:E481,1,FALSE()))),"OLD",IF(AND(E482&lt;&gt;"",E482&lt;&gt;"!!!"),"NEW","")))</f>
        <v> </v>
      </c>
      <c r="G482" s="24" t="str">
        <f>IF(OR(E482="",E482="!!!"),"",IF(OR(J482=0,AND(J482=1,K482=1),AND(J482=1,I482="SBJ"),AND(J482=1,I482=0)),"?IN_FOCUS",IF(J482&lt;=2,"?ACTIVATED",IF(J482&lt;&gt;"","?FAMILIAR",IF(F482="NEW",IF(ISNA(VLOOKUP(E482,#REF!,1,FALSE())),"?TYPE_IDENTIFIABLE","?REFERENTIAL"),"_")))))</f>
        <v> </v>
      </c>
      <c r="H482" s="25" t="str">
        <f>IF(J482&lt;&gt;1,"",IF(I482="SBJ","CB","?"))</f>
        <v> </v>
      </c>
      <c r="I482" s="26" t="str">
        <f>IF(OR(E482="",E482="!!!",F482="NEW"),"",INDEX(B481:B$2,-1+SUMPRODUCT(MAX(ROW(E481:E$2)*(E482=E481:E$2)))))</f>
        <v> </v>
      </c>
      <c r="J482" s="26" t="str">
        <f>IF(OR(E482="",E482="!!!",F482="NEW"),"",COUNTBLANK(OFFSET(A$1,,,SUMPRODUCT(MAX(ROW(E$2:E482)*(E482=E$2:E482)))))-COUNTBLANK(OFFSET(A$1,,,SUMPRODUCT(MAX(ROW(E$1:E481)*(E2=E$1:E481))))))</f>
        <v> </v>
      </c>
      <c r="K482" s="26" t="str">
        <f>IF(OR(E482="",E482="!!!",F482="NEW"),"",INDEX(J$1:J481,SUMPRODUCT(MAX(ROW(E$1:E481)*(E482=E$1:E481)))))</f>
        <v> </v>
      </c>
      <c r="L482" s="27"/>
    </row>
    <row r="483" spans="1:12">
      <c r="A483" s="20" t="s">
        <v>202</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t="s">
        <v>357</v>
      </c>
      <c r="B484" s="21" t="s">
        <v>207</v>
      </c>
      <c r="C484" s="21" t="s">
        <v>185</v>
      </c>
      <c r="D484" s="21" t="s">
        <v>149</v>
      </c>
      <c r="E484" s="22">
        <f>IF(D484="?OLD","!!!","")</f>
        <v/>
      </c>
      <c r="F484" s="23" t="str">
        <f>IF(OR(E484="",E484="!!!"),"",IF(NOT(ISNA(VLOOKUP(E484,E$1:E483,1,FALSE()))),"OLD",IF(AND(E484&lt;&gt;"",E484&lt;&gt;"!!!"),"NEW","")))</f>
        <v> </v>
      </c>
      <c r="G484" s="24" t="str">
        <f>IF(OR(E484="",E484="!!!"),"",IF(OR(J484=0,AND(J484=1,K484=1),AND(J484=1,I484="SBJ"),AND(J484=1,I484=0)),"?IN_FOCUS",IF(J484&lt;=2,"?ACTIVATED",IF(J484&lt;&gt;"","?FAMILIAR",IF(F484="NEW",IF(ISNA(VLOOKUP(E484,#REF!,1,FALSE())),"?TYPE_IDENTIFIABLE","?REFERENTIAL"),"_")))))</f>
        <v> </v>
      </c>
      <c r="H484" s="25" t="str">
        <f>IF(J484&lt;&gt;1,"",IF(I484="SBJ","CB","?"))</f>
        <v> </v>
      </c>
      <c r="I484" s="26" t="str">
        <f>IF(OR(E484="",E484="!!!",F484="NEW"),"",INDEX(B483:B$2,-1+SUMPRODUCT(MAX(ROW(E483:E$2)*(E484=E483:E$2)))))</f>
        <v> </v>
      </c>
      <c r="J484" s="26" t="str">
        <f>IF(OR(E484="",E484="!!!",F484="NEW"),"",COUNTBLANK(OFFSET(A$1,,,SUMPRODUCT(MAX(ROW(E$2:E484)*(E484=E$2:E484)))))-COUNTBLANK(OFFSET(A$1,,,SUMPRODUCT(MAX(ROW(E$1:E483)*(E2=E$1:E483))))))</f>
        <v> </v>
      </c>
      <c r="K484" s="26" t="str">
        <f>IF(OR(E484="",E484="!!!",F484="NEW"),"",INDEX(J$1:J483,SUMPRODUCT(MAX(ROW(E$1:E483)*(E484=E$1:E483)))))</f>
        <v> </v>
      </c>
      <c r="L484" s="27"/>
    </row>
    <row r="485" spans="1:12">
      <c r="A485" s="20" t="s">
        <v>180</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t="s">
        <v>358</v>
      </c>
      <c r="B486" s="21" t="s">
        <v>163</v>
      </c>
      <c r="C486" s="21" t="s">
        <v>185</v>
      </c>
      <c r="D486" s="21" t="s">
        <v>149</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165</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row>
    <row r="489" spans="1:12">
      <c r="A489" s="20" t="s">
        <v>359</v>
      </c>
    </row>
    <row r="490" spans="1:12">
      <c r="A490" s="20" t="s">
        <v>167</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201</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344</v>
      </c>
      <c r="B492" s="21" t="s">
        <v>147</v>
      </c>
      <c r="C492" s="21" t="s">
        <v>185</v>
      </c>
      <c r="D492" s="21" t="s">
        <v>149</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161</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334</v>
      </c>
      <c r="B494" s="21" t="s">
        <v>163</v>
      </c>
      <c r="C494" s="21" t="s">
        <v>185</v>
      </c>
      <c r="D494" s="21" t="s">
        <v>149</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360</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165</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row>
    <row r="498" spans="1:12">
      <c r="A498" s="20" t="s">
        <v>361</v>
      </c>
    </row>
    <row r="499" spans="1:12">
      <c r="A499" s="20" t="s">
        <v>362</v>
      </c>
      <c r="B499" s="21" t="s">
        <v>163</v>
      </c>
      <c r="C499" s="21" t="s">
        <v>185</v>
      </c>
      <c r="D499" s="21" t="s">
        <v>149</v>
      </c>
      <c r="E499" s="22">
        <f>IF(D499="?OLD","!!!","")</f>
        <v/>
      </c>
      <c r="F499" s="23" t="str">
        <f>IF(OR(E499="",E499="!!!"),"",IF(NOT(ISNA(VLOOKUP(E499,E$1:E498,1,FALSE()))),"OLD",IF(AND(E499&lt;&gt;"",E499&lt;&gt;"!!!"),"NEW","")))</f>
        <v> </v>
      </c>
      <c r="G499" s="24" t="str">
        <f>IF(OR(E499="",E499="!!!"),"",IF(OR(J499=0,AND(J499=1,K499=1),AND(J499=1,I499="SBJ"),AND(J499=1,I499=0)),"?IN_FOCUS",IF(J499&lt;=2,"?ACTIVATED",IF(J499&lt;&gt;"","?FAMILIAR",IF(F499="NEW",IF(ISNA(VLOOKUP(E499,#REF!,1,FALSE())),"?TYPE_IDENTIFIABLE","?REFERENTIAL"),"_")))))</f>
        <v> </v>
      </c>
      <c r="H499" s="25" t="str">
        <f>IF(J499&lt;&gt;1,"",IF(I499="SBJ","CB","?"))</f>
        <v> </v>
      </c>
      <c r="I499" s="26" t="str">
        <f>IF(OR(E499="",E499="!!!",F499="NEW"),"",INDEX(B498:B$2,-1+SUMPRODUCT(MAX(ROW(E498:E$2)*(E499=E498:E$2)))))</f>
        <v> </v>
      </c>
      <c r="J499" s="26" t="str">
        <f>IF(OR(E499="",E499="!!!",F499="NEW"),"",COUNTBLANK(OFFSET(A$1,,,SUMPRODUCT(MAX(ROW(E$2:E499)*(E499=E$2:E499)))))-COUNTBLANK(OFFSET(A$1,,,SUMPRODUCT(MAX(ROW(E$1:E498)*(E2=E$1:E498))))))</f>
        <v> </v>
      </c>
      <c r="K499" s="26" t="str">
        <f>IF(OR(E499="",E499="!!!",F499="NEW"),"",INDEX(J$1:J498,SUMPRODUCT(MAX(ROW(E$1:E498)*(E499=E$1:E498)))))</f>
        <v> </v>
      </c>
      <c r="L499" s="27"/>
    </row>
    <row r="500" spans="1:12">
      <c r="A500" s="20" t="s">
        <v>363</v>
      </c>
      <c r="B500" s="21" t="s">
        <v>147</v>
      </c>
      <c r="C500" s="21" t="s">
        <v>185</v>
      </c>
      <c r="D500" s="21" t="s">
        <v>149</v>
      </c>
      <c r="E500" s="22">
        <f>IF(D500="?OLD","!!!","")</f>
        <v/>
      </c>
      <c r="F500" s="23" t="str">
        <f>IF(OR(E500="",E500="!!!"),"",IF(NOT(ISNA(VLOOKUP(E500,E$1:E499,1,FALSE()))),"OLD",IF(AND(E500&lt;&gt;"",E500&lt;&gt;"!!!"),"NEW","")))</f>
        <v> </v>
      </c>
      <c r="G500" s="24" t="str">
        <f>IF(OR(E500="",E500="!!!"),"",IF(OR(J500=0,AND(J500=1,K500=1),AND(J500=1,I500="SBJ"),AND(J500=1,I500=0)),"?IN_FOCUS",IF(J500&lt;=2,"?ACTIVATED",IF(J500&lt;&gt;"","?FAMILIAR",IF(F500="NEW",IF(ISNA(VLOOKUP(E500,#REF!,1,FALSE())),"?TYPE_IDENTIFIABLE","?REFERENTIAL"),"_")))))</f>
        <v> </v>
      </c>
      <c r="H500" s="25" t="str">
        <f>IF(J500&lt;&gt;1,"",IF(I500="SBJ","CB","?"))</f>
        <v> </v>
      </c>
      <c r="I500" s="26" t="str">
        <f>IF(OR(E500="",E500="!!!",F500="NEW"),"",INDEX(B499:B$2,-1+SUMPRODUCT(MAX(ROW(E499:E$2)*(E500=E499:E$2)))))</f>
        <v> </v>
      </c>
      <c r="J500" s="26" t="str">
        <f>IF(OR(E500="",E500="!!!",F500="NEW"),"",COUNTBLANK(OFFSET(A$1,,,SUMPRODUCT(MAX(ROW(E$2:E500)*(E500=E$2:E500)))))-COUNTBLANK(OFFSET(A$1,,,SUMPRODUCT(MAX(ROW(E$1:E499)*(E2=E$1:E499))))))</f>
        <v> </v>
      </c>
      <c r="K500" s="26" t="str">
        <f>IF(OR(E500="",E500="!!!",F500="NEW"),"",INDEX(J$1:J499,SUMPRODUCT(MAX(ROW(E$1:E499)*(E500=E$1:E499)))))</f>
        <v> </v>
      </c>
      <c r="L500" s="27"/>
    </row>
    <row r="501" spans="1:12">
      <c r="A501" s="20" t="s">
        <v>364</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365</v>
      </c>
      <c r="B502" s="21" t="s">
        <v>207</v>
      </c>
      <c r="C502" s="21" t="s">
        <v>185</v>
      </c>
      <c r="D502" s="21" t="s">
        <v>149</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174</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161</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366</v>
      </c>
      <c r="B505" s="21" t="s">
        <v>207</v>
      </c>
      <c r="C505" s="21" t="s">
        <v>185</v>
      </c>
      <c r="D505" s="21" t="s">
        <v>149</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363</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367</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t="s">
        <v>174</v>
      </c>
      <c r="E508" s="22">
        <f>IF(D508="?OLD","!!!","")</f>
        <v/>
      </c>
      <c r="F508" s="23" t="str">
        <f>IF(OR(E508="",E508="!!!"),"",IF(NOT(ISNA(VLOOKUP(E508,E$1:E507,1,FALSE()))),"OLD",IF(AND(E508&lt;&gt;"",E508&lt;&gt;"!!!"),"NEW","")))</f>
        <v> </v>
      </c>
      <c r="G508" s="24" t="str">
        <f>IF(OR(E508="",E508="!!!"),"",IF(OR(J508=0,AND(J508=1,K508=1),AND(J508=1,I508="SBJ"),AND(J508=1,I508=0)),"?IN_FOCUS",IF(J508&lt;=2,"?ACTIVATED",IF(J508&lt;&gt;"","?FAMILIAR",IF(F508="NEW",IF(ISNA(VLOOKUP(E508,#REF!,1,FALSE())),"?TYPE_IDENTIFIABLE","?REFERENTIAL"),"_")))))</f>
        <v> </v>
      </c>
      <c r="H508" s="25" t="str">
        <f>IF(J508&lt;&gt;1,"",IF(I508="SBJ","CB","?"))</f>
        <v> </v>
      </c>
      <c r="I508" s="26" t="str">
        <f>IF(OR(E508="",E508="!!!",F508="NEW"),"",INDEX(B507:B$2,-1+SUMPRODUCT(MAX(ROW(E507:E$2)*(E508=E507:E$2)))))</f>
        <v> </v>
      </c>
      <c r="J508" s="26" t="str">
        <f>IF(OR(E508="",E508="!!!",F508="NEW"),"",COUNTBLANK(OFFSET(A$1,,,SUMPRODUCT(MAX(ROW(E$2:E508)*(E508=E$2:E508)))))-COUNTBLANK(OFFSET(A$1,,,SUMPRODUCT(MAX(ROW(E$1:E507)*(E2=E$1:E507))))))</f>
        <v> </v>
      </c>
      <c r="K508" s="26" t="str">
        <f>IF(OR(E508="",E508="!!!",F508="NEW"),"",INDEX(J$1:J507,SUMPRODUCT(MAX(ROW(E$1:E507)*(E508=E$1:E507)))))</f>
        <v> </v>
      </c>
      <c r="L508" s="27"/>
    </row>
    <row r="509" spans="1:12">
      <c r="A509" s="20" t="s">
        <v>368</v>
      </c>
      <c r="B509" s="21" t="s">
        <v>207</v>
      </c>
      <c r="C509" s="21" t="s">
        <v>185</v>
      </c>
      <c r="D509" s="21" t="s">
        <v>149</v>
      </c>
      <c r="E509" s="22">
        <f>IF(D509="?OLD","!!!","")</f>
        <v/>
      </c>
      <c r="F509" s="23" t="str">
        <f>IF(OR(E509="",E509="!!!"),"",IF(NOT(ISNA(VLOOKUP(E509,E$1:E508,1,FALSE()))),"OLD",IF(AND(E509&lt;&gt;"",E509&lt;&gt;"!!!"),"NEW","")))</f>
        <v> </v>
      </c>
      <c r="G509" s="24" t="str">
        <f>IF(OR(E509="",E509="!!!"),"",IF(OR(J509=0,AND(J509=1,K509=1),AND(J509=1,I509="SBJ"),AND(J509=1,I509=0)),"?IN_FOCUS",IF(J509&lt;=2,"?ACTIVATED",IF(J509&lt;&gt;"","?FAMILIAR",IF(F509="NEW",IF(ISNA(VLOOKUP(E509,#REF!,1,FALSE())),"?TYPE_IDENTIFIABLE","?REFERENTIAL"),"_")))))</f>
        <v> </v>
      </c>
      <c r="H509" s="25" t="str">
        <f>IF(J509&lt;&gt;1,"",IF(I509="SBJ","CB","?"))</f>
        <v> </v>
      </c>
      <c r="I509" s="26" t="str">
        <f>IF(OR(E509="",E509="!!!",F509="NEW"),"",INDEX(B508:B$2,-1+SUMPRODUCT(MAX(ROW(E508:E$2)*(E509=E508:E$2)))))</f>
        <v> </v>
      </c>
      <c r="J509" s="26" t="str">
        <f>IF(OR(E509="",E509="!!!",F509="NEW"),"",COUNTBLANK(OFFSET(A$1,,,SUMPRODUCT(MAX(ROW(E$2:E509)*(E509=E$2:E509)))))-COUNTBLANK(OFFSET(A$1,,,SUMPRODUCT(MAX(ROW(E$1:E508)*(E2=E$1:E508))))))</f>
        <v> </v>
      </c>
      <c r="K509" s="26" t="str">
        <f>IF(OR(E509="",E509="!!!",F509="NEW"),"",INDEX(J$1:J508,SUMPRODUCT(MAX(ROW(E$1:E508)*(E509=E$1:E508)))))</f>
        <v> </v>
      </c>
      <c r="L509" s="27"/>
    </row>
    <row r="510" spans="1:12">
      <c r="A510" s="20" t="s">
        <v>369</v>
      </c>
      <c r="E510" s="22">
        <f>IF(D510="?OLD","!!!","")</f>
        <v/>
      </c>
      <c r="F510" s="23" t="str">
        <f>IF(OR(E510="",E510="!!!"),"",IF(NOT(ISNA(VLOOKUP(E510,E$1:E509,1,FALSE()))),"OLD",IF(AND(E510&lt;&gt;"",E510&lt;&gt;"!!!"),"NEW","")))</f>
        <v> </v>
      </c>
      <c r="G510" s="24" t="str">
        <f>IF(OR(E510="",E510="!!!"),"",IF(OR(J510=0,AND(J510=1,K510=1),AND(J510=1,I510="SBJ"),AND(J510=1,I510=0)),"?IN_FOCUS",IF(J510&lt;=2,"?ACTIVATED",IF(J510&lt;&gt;"","?FAMILIAR",IF(F510="NEW",IF(ISNA(VLOOKUP(E510,#REF!,1,FALSE())),"?TYPE_IDENTIFIABLE","?REFERENTIAL"),"_")))))</f>
        <v> </v>
      </c>
      <c r="H510" s="25" t="str">
        <f>IF(J510&lt;&gt;1,"",IF(I510="SBJ","CB","?"))</f>
        <v> </v>
      </c>
      <c r="I510" s="26" t="str">
        <f>IF(OR(E510="",E510="!!!",F510="NEW"),"",INDEX(B509:B$2,-1+SUMPRODUCT(MAX(ROW(E509:E$2)*(E510=E509:E$2)))))</f>
        <v> </v>
      </c>
      <c r="J510" s="26" t="str">
        <f>IF(OR(E510="",E510="!!!",F510="NEW"),"",COUNTBLANK(OFFSET(A$1,,,SUMPRODUCT(MAX(ROW(E$2:E510)*(E510=E$2:E510)))))-COUNTBLANK(OFFSET(A$1,,,SUMPRODUCT(MAX(ROW(E$1:E509)*(E2=E$1:E509))))))</f>
        <v> </v>
      </c>
      <c r="K510" s="26" t="str">
        <f>IF(OR(E510="",E510="!!!",F510="NEW"),"",INDEX(J$1:J509,SUMPRODUCT(MAX(ROW(E$1:E509)*(E510=E$1:E509)))))</f>
        <v> </v>
      </c>
      <c r="L510" s="27"/>
    </row>
    <row r="511" spans="1:12">
      <c r="A511" s="20" t="s">
        <v>174</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237</v>
      </c>
      <c r="B512" s="21" t="s">
        <v>249</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t="s">
        <v>176</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355</v>
      </c>
      <c r="B514" s="21" t="s">
        <v>163</v>
      </c>
      <c r="C514" s="21" t="s">
        <v>179</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296</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237</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367</v>
      </c>
      <c r="B517" s="21" t="s">
        <v>153</v>
      </c>
      <c r="C517" s="21" t="s">
        <v>185</v>
      </c>
      <c r="D517" s="21" t="s">
        <v>149</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161</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t="s">
        <v>237</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370</v>
      </c>
      <c r="B520" s="21" t="s">
        <v>203</v>
      </c>
      <c r="C520" s="21" t="s">
        <v>185</v>
      </c>
      <c r="D520" s="21" t="s">
        <v>149</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t="s">
        <v>165</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row>
    <row r="523" spans="1:12">
      <c r="A523" s="20" t="s">
        <v>371</v>
      </c>
    </row>
    <row r="524" spans="1:12">
      <c r="A524" s="20" t="s">
        <v>349</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t="s">
        <v>365</v>
      </c>
      <c r="B525" s="21" t="s">
        <v>147</v>
      </c>
      <c r="C525" s="21" t="s">
        <v>185</v>
      </c>
      <c r="D525" s="21" t="s">
        <v>149</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t="s">
        <v>296</v>
      </c>
      <c r="E526" s="22">
        <f>IF(D526="?OLD","!!!","")</f>
        <v/>
      </c>
      <c r="F526" s="23" t="str">
        <f>IF(OR(E526="",E526="!!!"),"",IF(NOT(ISNA(VLOOKUP(E526,E$1:E525,1,FALSE()))),"OLD",IF(AND(E526&lt;&gt;"",E526&lt;&gt;"!!!"),"NEW","")))</f>
        <v> </v>
      </c>
      <c r="G526" s="24" t="str">
        <f>IF(OR(E526="",E526="!!!"),"",IF(OR(J526=0,AND(J526=1,K526=1),AND(J526=1,I526="SBJ"),AND(J526=1,I526=0)),"?IN_FOCUS",IF(J526&lt;=2,"?ACTIVATED",IF(J526&lt;&gt;"","?FAMILIAR",IF(F526="NEW",IF(ISNA(VLOOKUP(E526,#REF!,1,FALSE())),"?TYPE_IDENTIFIABLE","?REFERENTIAL"),"_")))))</f>
        <v> </v>
      </c>
      <c r="H526" s="25" t="str">
        <f>IF(J526&lt;&gt;1,"",IF(I526="SBJ","CB","?"))</f>
        <v> </v>
      </c>
      <c r="I526" s="26" t="str">
        <f>IF(OR(E526="",E526="!!!",F526="NEW"),"",INDEX(B525:B$2,-1+SUMPRODUCT(MAX(ROW(E525:E$2)*(E526=E525:E$2)))))</f>
        <v> </v>
      </c>
      <c r="J526" s="26" t="str">
        <f>IF(OR(E526="",E526="!!!",F526="NEW"),"",COUNTBLANK(OFFSET(A$1,,,SUMPRODUCT(MAX(ROW(E$2:E526)*(E526=E$2:E526)))))-COUNTBLANK(OFFSET(A$1,,,SUMPRODUCT(MAX(ROW(E$1:E525)*(E2=E$1:E525))))))</f>
        <v> </v>
      </c>
      <c r="K526" s="26" t="str">
        <f>IF(OR(E526="",E526="!!!",F526="NEW"),"",INDEX(J$1:J525,SUMPRODUCT(MAX(ROW(E$1:E525)*(E526=E$1:E525)))))</f>
        <v> </v>
      </c>
      <c r="L526" s="27"/>
    </row>
    <row r="527" spans="1:12">
      <c r="A527" s="20" t="s">
        <v>372</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t="s">
        <v>161</v>
      </c>
      <c r="E528" s="22">
        <f>IF(D528="?OLD","!!!","")</f>
        <v/>
      </c>
      <c r="F528" s="23" t="str">
        <f>IF(OR(E528="",E528="!!!"),"",IF(NOT(ISNA(VLOOKUP(E528,E$1:E527,1,FALSE()))),"OLD",IF(AND(E528&lt;&gt;"",E528&lt;&gt;"!!!"),"NEW","")))</f>
        <v> </v>
      </c>
      <c r="G528" s="24" t="str">
        <f>IF(OR(E528="",E528="!!!"),"",IF(OR(J528=0,AND(J528=1,K528=1),AND(J528=1,I528="SBJ"),AND(J528=1,I528=0)),"?IN_FOCUS",IF(J528&lt;=2,"?ACTIVATED",IF(J528&lt;&gt;"","?FAMILIAR",IF(F528="NEW",IF(ISNA(VLOOKUP(E528,#REF!,1,FALSE())),"?TYPE_IDENTIFIABLE","?REFERENTIAL"),"_")))))</f>
        <v> </v>
      </c>
      <c r="H528" s="25" t="str">
        <f>IF(J528&lt;&gt;1,"",IF(I528="SBJ","CB","?"))</f>
        <v> </v>
      </c>
      <c r="I528" s="26" t="str">
        <f>IF(OR(E528="",E528="!!!",F528="NEW"),"",INDEX(B527:B$2,-1+SUMPRODUCT(MAX(ROW(E527:E$2)*(E528=E527:E$2)))))</f>
        <v> </v>
      </c>
      <c r="J528" s="26" t="str">
        <f>IF(OR(E528="",E528="!!!",F528="NEW"),"",COUNTBLANK(OFFSET(A$1,,,SUMPRODUCT(MAX(ROW(E$2:E528)*(E528=E$2:E528)))))-COUNTBLANK(OFFSET(A$1,,,SUMPRODUCT(MAX(ROW(E$1:E527)*(E2=E$1:E527))))))</f>
        <v> </v>
      </c>
      <c r="K528" s="26" t="str">
        <f>IF(OR(E528="",E528="!!!",F528="NEW"),"",INDEX(J$1:J527,SUMPRODUCT(MAX(ROW(E$1:E527)*(E528=E$1:E527)))))</f>
        <v> </v>
      </c>
      <c r="L528" s="27"/>
    </row>
    <row r="529" spans="1:12">
      <c r="A529" s="20" t="s">
        <v>150</v>
      </c>
      <c r="E529" s="22">
        <f>IF(D529="?OLD","!!!","")</f>
        <v/>
      </c>
      <c r="F529" s="23" t="str">
        <f>IF(OR(E529="",E529="!!!"),"",IF(NOT(ISNA(VLOOKUP(E529,E$1:E528,1,FALSE()))),"OLD",IF(AND(E529&lt;&gt;"",E529&lt;&gt;"!!!"),"NEW","")))</f>
        <v> </v>
      </c>
      <c r="G529" s="24" t="str">
        <f>IF(OR(E529="",E529="!!!"),"",IF(OR(J529=0,AND(J529=1,K529=1),AND(J529=1,I529="SBJ"),AND(J529=1,I529=0)),"?IN_FOCUS",IF(J529&lt;=2,"?ACTIVATED",IF(J529&lt;&gt;"","?FAMILIAR",IF(F529="NEW",IF(ISNA(VLOOKUP(E529,#REF!,1,FALSE())),"?TYPE_IDENTIFIABLE","?REFERENTIAL"),"_")))))</f>
        <v> </v>
      </c>
      <c r="H529" s="25" t="str">
        <f>IF(J529&lt;&gt;1,"",IF(I529="SBJ","CB","?"))</f>
        <v> </v>
      </c>
      <c r="I529" s="26" t="str">
        <f>IF(OR(E529="",E529="!!!",F529="NEW"),"",INDEX(B528:B$2,-1+SUMPRODUCT(MAX(ROW(E528:E$2)*(E529=E528:E$2)))))</f>
        <v> </v>
      </c>
      <c r="J529" s="26" t="str">
        <f>IF(OR(E529="",E529="!!!",F529="NEW"),"",COUNTBLANK(OFFSET(A$1,,,SUMPRODUCT(MAX(ROW(E$2:E529)*(E529=E$2:E529)))))-COUNTBLANK(OFFSET(A$1,,,SUMPRODUCT(MAX(ROW(E$1:E528)*(E2=E$1:E528))))))</f>
        <v> </v>
      </c>
      <c r="K529" s="26" t="str">
        <f>IF(OR(E529="",E529="!!!",F529="NEW"),"",INDEX(J$1:J528,SUMPRODUCT(MAX(ROW(E$1:E528)*(E529=E$1:E528)))))</f>
        <v> </v>
      </c>
      <c r="L529" s="27"/>
    </row>
    <row r="530" spans="1:12">
      <c r="A530" s="20" t="s">
        <v>373</v>
      </c>
      <c r="B530" s="21" t="s">
        <v>153</v>
      </c>
      <c r="C530" s="21" t="s">
        <v>169</v>
      </c>
      <c r="D530" s="21" t="s">
        <v>149</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t="s">
        <v>374</v>
      </c>
      <c r="B531" s="21" t="s">
        <v>196</v>
      </c>
      <c r="C531" s="21" t="s">
        <v>157</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t="s">
        <v>165</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row>
    <row r="534" spans="1:12">
      <c r="A534" s="20" t="s">
        <v>375</v>
      </c>
    </row>
    <row r="535" spans="1:12">
      <c r="A535" s="20" t="s">
        <v>167</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t="s">
        <v>376</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339</v>
      </c>
      <c r="B537" s="21" t="s">
        <v>147</v>
      </c>
      <c r="C537" s="21" t="s">
        <v>185</v>
      </c>
      <c r="D537" s="21" t="s">
        <v>149</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377</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378</v>
      </c>
      <c r="B539" s="21" t="s">
        <v>160</v>
      </c>
      <c r="C539" s="21" t="s">
        <v>269</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t="s">
        <v>344</v>
      </c>
      <c r="B540" s="21" t="s">
        <v>163</v>
      </c>
      <c r="C540" s="21" t="s">
        <v>185</v>
      </c>
      <c r="D540" s="21" t="s">
        <v>149</v>
      </c>
      <c r="E540" s="22">
        <f>IF(D540="?OLD","!!!","")</f>
        <v/>
      </c>
      <c r="F540" s="23" t="str">
        <f>IF(OR(E540="",E540="!!!"),"",IF(NOT(ISNA(VLOOKUP(E540,E$1:E539,1,FALSE()))),"OLD",IF(AND(E540&lt;&gt;"",E540&lt;&gt;"!!!"),"NEW","")))</f>
        <v> </v>
      </c>
      <c r="G540" s="24" t="str">
        <f>IF(OR(E540="",E540="!!!"),"",IF(OR(J540=0,AND(J540=1,K540=1),AND(J540=1,I540="SBJ"),AND(J540=1,I540=0)),"?IN_FOCUS",IF(J540&lt;=2,"?ACTIVATED",IF(J540&lt;&gt;"","?FAMILIAR",IF(F540="NEW",IF(ISNA(VLOOKUP(E540,#REF!,1,FALSE())),"?TYPE_IDENTIFIABLE","?REFERENTIAL"),"_")))))</f>
        <v> </v>
      </c>
      <c r="H540" s="25" t="str">
        <f>IF(J540&lt;&gt;1,"",IF(I540="SBJ","CB","?"))</f>
        <v> </v>
      </c>
      <c r="I540" s="26" t="str">
        <f>IF(OR(E540="",E540="!!!",F540="NEW"),"",INDEX(B539:B$2,-1+SUMPRODUCT(MAX(ROW(E539:E$2)*(E540=E539:E$2)))))</f>
        <v> </v>
      </c>
      <c r="J540" s="26" t="str">
        <f>IF(OR(E540="",E540="!!!",F540="NEW"),"",COUNTBLANK(OFFSET(A$1,,,SUMPRODUCT(MAX(ROW(E$2:E540)*(E540=E$2:E540)))))-COUNTBLANK(OFFSET(A$1,,,SUMPRODUCT(MAX(ROW(E$1:E539)*(E2=E$1:E539))))))</f>
        <v> </v>
      </c>
      <c r="K540" s="26" t="str">
        <f>IF(OR(E540="",E540="!!!",F540="NEW"),"",INDEX(J$1:J539,SUMPRODUCT(MAX(ROW(E$1:E539)*(E540=E$1:E539)))))</f>
        <v> </v>
      </c>
      <c r="L540" s="27"/>
    </row>
    <row r="541" spans="1:12">
      <c r="A541" s="20" t="s">
        <v>161</v>
      </c>
      <c r="E541" s="22">
        <f>IF(D541="?OLD","!!!","")</f>
        <v/>
      </c>
      <c r="F541" s="23" t="str">
        <f>IF(OR(E541="",E541="!!!"),"",IF(NOT(ISNA(VLOOKUP(E541,E$1:E540,1,FALSE()))),"OLD",IF(AND(E541&lt;&gt;"",E541&lt;&gt;"!!!"),"NEW","")))</f>
        <v> </v>
      </c>
      <c r="G541" s="24" t="str">
        <f>IF(OR(E541="",E541="!!!"),"",IF(OR(J541=0,AND(J541=1,K541=1),AND(J541=1,I541="SBJ"),AND(J541=1,I541=0)),"?IN_FOCUS",IF(J541&lt;=2,"?ACTIVATED",IF(J541&lt;&gt;"","?FAMILIAR",IF(F541="NEW",IF(ISNA(VLOOKUP(E541,#REF!,1,FALSE())),"?TYPE_IDENTIFIABLE","?REFERENTIAL"),"_")))))</f>
        <v> </v>
      </c>
      <c r="H541" s="25" t="str">
        <f>IF(J541&lt;&gt;1,"",IF(I541="SBJ","CB","?"))</f>
        <v> </v>
      </c>
      <c r="I541" s="26" t="str">
        <f>IF(OR(E541="",E541="!!!",F541="NEW"),"",INDEX(B540:B$2,-1+SUMPRODUCT(MAX(ROW(E540:E$2)*(E541=E540:E$2)))))</f>
        <v> </v>
      </c>
      <c r="J541" s="26" t="str">
        <f>IF(OR(E541="",E541="!!!",F541="NEW"),"",COUNTBLANK(OFFSET(A$1,,,SUMPRODUCT(MAX(ROW(E$2:E541)*(E541=E$2:E541)))))-COUNTBLANK(OFFSET(A$1,,,SUMPRODUCT(MAX(ROW(E$1:E540)*(E2=E$1:E540))))))</f>
        <v> </v>
      </c>
      <c r="K541" s="26" t="str">
        <f>IF(OR(E541="",E541="!!!",F541="NEW"),"",INDEX(J$1:J540,SUMPRODUCT(MAX(ROW(E$1:E540)*(E541=E$1:E540)))))</f>
        <v> </v>
      </c>
      <c r="L541" s="27"/>
    </row>
    <row r="542" spans="1:12">
      <c r="A542" s="20" t="s">
        <v>350</v>
      </c>
      <c r="B542" s="21" t="s">
        <v>153</v>
      </c>
      <c r="C542" s="21" t="s">
        <v>185</v>
      </c>
      <c r="D542" s="21" t="s">
        <v>149</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174</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t="s">
        <v>379</v>
      </c>
      <c r="E544" s="22">
        <f>IF(D544="?OLD","!!!","")</f>
        <v/>
      </c>
      <c r="F544" s="23" t="str">
        <f>IF(OR(E544="",E544="!!!"),"",IF(NOT(ISNA(VLOOKUP(E544,E$1:E543,1,FALSE()))),"OLD",IF(AND(E544&lt;&gt;"",E544&lt;&gt;"!!!"),"NEW","")))</f>
        <v> </v>
      </c>
      <c r="G544" s="24" t="str">
        <f>IF(OR(E544="",E544="!!!"),"",IF(OR(J544=0,AND(J544=1,K544=1),AND(J544=1,I544="SBJ"),AND(J544=1,I544=0)),"?IN_FOCUS",IF(J544&lt;=2,"?ACTIVATED",IF(J544&lt;&gt;"","?FAMILIAR",IF(F544="NEW",IF(ISNA(VLOOKUP(E544,#REF!,1,FALSE())),"?TYPE_IDENTIFIABLE","?REFERENTIAL"),"_")))))</f>
        <v> </v>
      </c>
      <c r="H544" s="25" t="str">
        <f>IF(J544&lt;&gt;1,"",IF(I544="SBJ","CB","?"))</f>
        <v> </v>
      </c>
      <c r="I544" s="26" t="str">
        <f>IF(OR(E544="",E544="!!!",F544="NEW"),"",INDEX(B543:B$2,-1+SUMPRODUCT(MAX(ROW(E543:E$2)*(E544=E543:E$2)))))</f>
        <v> </v>
      </c>
      <c r="J544" s="26" t="str">
        <f>IF(OR(E544="",E544="!!!",F544="NEW"),"",COUNTBLANK(OFFSET(A$1,,,SUMPRODUCT(MAX(ROW(E$2:E544)*(E544=E$2:E544)))))-COUNTBLANK(OFFSET(A$1,,,SUMPRODUCT(MAX(ROW(E$1:E543)*(E2=E$1:E543))))))</f>
        <v> </v>
      </c>
      <c r="K544" s="26" t="str">
        <f>IF(OR(E544="",E544="!!!",F544="NEW"),"",INDEX(J$1:J543,SUMPRODUCT(MAX(ROW(E$1:E543)*(E544=E$1:E543)))))</f>
        <v> </v>
      </c>
      <c r="L544" s="27"/>
    </row>
    <row r="545" spans="1:12">
      <c r="A545" s="20" t="s">
        <v>380</v>
      </c>
      <c r="B545" s="21" t="s">
        <v>163</v>
      </c>
      <c r="C545" s="21" t="s">
        <v>269</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368</v>
      </c>
      <c r="B546" s="21" t="s">
        <v>203</v>
      </c>
      <c r="C546" s="21" t="s">
        <v>185</v>
      </c>
      <c r="D546" s="21" t="s">
        <v>149</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378</v>
      </c>
      <c r="B547" s="21" t="s">
        <v>153</v>
      </c>
      <c r="C547" s="21" t="s">
        <v>381</v>
      </c>
      <c r="D547" s="21" t="s">
        <v>149</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174</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t="s">
        <v>161</v>
      </c>
      <c r="E549" s="22">
        <f>IF(D549="?OLD","!!!","")</f>
        <v/>
      </c>
      <c r="F549" s="23" t="str">
        <f>IF(OR(E549="",E549="!!!"),"",IF(NOT(ISNA(VLOOKUP(E549,E$1:E548,1,FALSE()))),"OLD",IF(AND(E549&lt;&gt;"",E549&lt;&gt;"!!!"),"NEW","")))</f>
        <v> </v>
      </c>
      <c r="G549" s="24" t="str">
        <f>IF(OR(E549="",E549="!!!"),"",IF(OR(J549=0,AND(J549=1,K549=1),AND(J549=1,I549="SBJ"),AND(J549=1,I549=0)),"?IN_FOCUS",IF(J549&lt;=2,"?ACTIVATED",IF(J549&lt;&gt;"","?FAMILIAR",IF(F549="NEW",IF(ISNA(VLOOKUP(E549,#REF!,1,FALSE())),"?TYPE_IDENTIFIABLE","?REFERENTIAL"),"_")))))</f>
        <v> </v>
      </c>
      <c r="H549" s="25" t="str">
        <f>IF(J549&lt;&gt;1,"",IF(I549="SBJ","CB","?"))</f>
        <v> </v>
      </c>
      <c r="I549" s="26" t="str">
        <f>IF(OR(E549="",E549="!!!",F549="NEW"),"",INDEX(B548:B$2,-1+SUMPRODUCT(MAX(ROW(E548:E$2)*(E549=E548:E$2)))))</f>
        <v> </v>
      </c>
      <c r="J549" s="26" t="str">
        <f>IF(OR(E549="",E549="!!!",F549="NEW"),"",COUNTBLANK(OFFSET(A$1,,,SUMPRODUCT(MAX(ROW(E$2:E549)*(E549=E$2:E549)))))-COUNTBLANK(OFFSET(A$1,,,SUMPRODUCT(MAX(ROW(E$1:E548)*(E2=E$1:E548))))))</f>
        <v> </v>
      </c>
      <c r="K549" s="26" t="str">
        <f>IF(OR(E549="",E549="!!!",F549="NEW"),"",INDEX(J$1:J548,SUMPRODUCT(MAX(ROW(E$1:E548)*(E549=E$1:E548)))))</f>
        <v> </v>
      </c>
      <c r="L549" s="27"/>
    </row>
    <row r="550" spans="1:12">
      <c r="A550" s="20" t="s">
        <v>382</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t="s">
        <v>383</v>
      </c>
      <c r="B551" s="21" t="s">
        <v>207</v>
      </c>
      <c r="C551" s="21" t="s">
        <v>269</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365</v>
      </c>
      <c r="B552" s="21" t="s">
        <v>163</v>
      </c>
      <c r="C552" s="21" t="s">
        <v>185</v>
      </c>
      <c r="D552" s="21" t="s">
        <v>149</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t="s">
        <v>174</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t="s">
        <v>379</v>
      </c>
      <c r="E554" s="22">
        <f>IF(D554="?OLD","!!!","")</f>
        <v/>
      </c>
      <c r="F554" s="23" t="str">
        <f>IF(OR(E554="",E554="!!!"),"",IF(NOT(ISNA(VLOOKUP(E554,E$1:E553,1,FALSE()))),"OLD",IF(AND(E554&lt;&gt;"",E554&lt;&gt;"!!!"),"NEW","")))</f>
        <v> </v>
      </c>
      <c r="G554" s="24" t="str">
        <f>IF(OR(E554="",E554="!!!"),"",IF(OR(J554=0,AND(J554=1,K554=1),AND(J554=1,I554="SBJ"),AND(J554=1,I554=0)),"?IN_FOCUS",IF(J554&lt;=2,"?ACTIVATED",IF(J554&lt;&gt;"","?FAMILIAR",IF(F554="NEW",IF(ISNA(VLOOKUP(E554,#REF!,1,FALSE())),"?TYPE_IDENTIFIABLE","?REFERENTIAL"),"_")))))</f>
        <v> </v>
      </c>
      <c r="H554" s="25" t="str">
        <f>IF(J554&lt;&gt;1,"",IF(I554="SBJ","CB","?"))</f>
        <v> </v>
      </c>
      <c r="I554" s="26" t="str">
        <f>IF(OR(E554="",E554="!!!",F554="NEW"),"",INDEX(B553:B$2,-1+SUMPRODUCT(MAX(ROW(E553:E$2)*(E554=E553:E$2)))))</f>
        <v> </v>
      </c>
      <c r="J554" s="26" t="str">
        <f>IF(OR(E554="",E554="!!!",F554="NEW"),"",COUNTBLANK(OFFSET(A$1,,,SUMPRODUCT(MAX(ROW(E$2:E554)*(E554=E$2:E554)))))-COUNTBLANK(OFFSET(A$1,,,SUMPRODUCT(MAX(ROW(E$1:E553)*(E2=E$1:E553))))))</f>
        <v> </v>
      </c>
      <c r="K554" s="26" t="str">
        <f>IF(OR(E554="",E554="!!!",F554="NEW"),"",INDEX(J$1:J553,SUMPRODUCT(MAX(ROW(E$1:E553)*(E554=E$1:E553)))))</f>
        <v> </v>
      </c>
      <c r="L554" s="27"/>
    </row>
    <row r="555" spans="1:12">
      <c r="A555" s="20" t="s">
        <v>380</v>
      </c>
      <c r="B555" s="21" t="s">
        <v>207</v>
      </c>
      <c r="C555" s="21" t="s">
        <v>269</v>
      </c>
      <c r="E555" s="22">
        <f>IF(D555="?OLD","!!!","")</f>
        <v/>
      </c>
      <c r="F555" s="23" t="str">
        <f>IF(OR(E555="",E555="!!!"),"",IF(NOT(ISNA(VLOOKUP(E555,E$1:E554,1,FALSE()))),"OLD",IF(AND(E555&lt;&gt;"",E555&lt;&gt;"!!!"),"NEW","")))</f>
        <v> </v>
      </c>
      <c r="G555" s="24" t="str">
        <f>IF(OR(E555="",E555="!!!"),"",IF(OR(J555=0,AND(J555=1,K555=1),AND(J555=1,I555="SBJ"),AND(J555=1,I555=0)),"?IN_FOCUS",IF(J555&lt;=2,"?ACTIVATED",IF(J555&lt;&gt;"","?FAMILIAR",IF(F555="NEW",IF(ISNA(VLOOKUP(E555,#REF!,1,FALSE())),"?TYPE_IDENTIFIABLE","?REFERENTIAL"),"_")))))</f>
        <v> </v>
      </c>
      <c r="H555" s="25" t="str">
        <f>IF(J555&lt;&gt;1,"",IF(I555="SBJ","CB","?"))</f>
        <v> </v>
      </c>
      <c r="I555" s="26" t="str">
        <f>IF(OR(E555="",E555="!!!",F555="NEW"),"",INDEX(B554:B$2,-1+SUMPRODUCT(MAX(ROW(E554:E$2)*(E555=E554:E$2)))))</f>
        <v> </v>
      </c>
      <c r="J555" s="26" t="str">
        <f>IF(OR(E555="",E555="!!!",F555="NEW"),"",COUNTBLANK(OFFSET(A$1,,,SUMPRODUCT(MAX(ROW(E$2:E555)*(E555=E$2:E555)))))-COUNTBLANK(OFFSET(A$1,,,SUMPRODUCT(MAX(ROW(E$1:E554)*(E2=E$1:E554))))))</f>
        <v> </v>
      </c>
      <c r="K555" s="26" t="str">
        <f>IF(OR(E555="",E555="!!!",F555="NEW"),"",INDEX(J$1:J554,SUMPRODUCT(MAX(ROW(E$1:E554)*(E555=E$1:E554)))))</f>
        <v> </v>
      </c>
      <c r="L555" s="27"/>
    </row>
    <row r="556" spans="1:12">
      <c r="A556" s="20" t="s">
        <v>362</v>
      </c>
      <c r="B556" s="21" t="s">
        <v>163</v>
      </c>
      <c r="C556" s="21" t="s">
        <v>185</v>
      </c>
      <c r="D556" s="21" t="s">
        <v>149</v>
      </c>
      <c r="E556" s="22">
        <f>IF(D556="?OLD","!!!","")</f>
        <v/>
      </c>
      <c r="F556" s="23" t="str">
        <f>IF(OR(E556="",E556="!!!"),"",IF(NOT(ISNA(VLOOKUP(E556,E$1:E555,1,FALSE()))),"OLD",IF(AND(E556&lt;&gt;"",E556&lt;&gt;"!!!"),"NEW","")))</f>
        <v> </v>
      </c>
      <c r="G556" s="24" t="str">
        <f>IF(OR(E556="",E556="!!!"),"",IF(OR(J556=0,AND(J556=1,K556=1),AND(J556=1,I556="SBJ"),AND(J556=1,I556=0)),"?IN_FOCUS",IF(J556&lt;=2,"?ACTIVATED",IF(J556&lt;&gt;"","?FAMILIAR",IF(F556="NEW",IF(ISNA(VLOOKUP(E556,#REF!,1,FALSE())),"?TYPE_IDENTIFIABLE","?REFERENTIAL"),"_")))))</f>
        <v> </v>
      </c>
      <c r="H556" s="25" t="str">
        <f>IF(J556&lt;&gt;1,"",IF(I556="SBJ","CB","?"))</f>
        <v> </v>
      </c>
      <c r="I556" s="26" t="str">
        <f>IF(OR(E556="",E556="!!!",F556="NEW"),"",INDEX(B555:B$2,-1+SUMPRODUCT(MAX(ROW(E555:E$2)*(E556=E555:E$2)))))</f>
        <v> </v>
      </c>
      <c r="J556" s="26" t="str">
        <f>IF(OR(E556="",E556="!!!",F556="NEW"),"",COUNTBLANK(OFFSET(A$1,,,SUMPRODUCT(MAX(ROW(E$2:E556)*(E556=E$2:E556)))))-COUNTBLANK(OFFSET(A$1,,,SUMPRODUCT(MAX(ROW(E$1:E555)*(E2=E$1:E555))))))</f>
        <v> </v>
      </c>
      <c r="K556" s="26" t="str">
        <f>IF(OR(E556="",E556="!!!",F556="NEW"),"",INDEX(J$1:J555,SUMPRODUCT(MAX(ROW(E$1:E555)*(E556=E$1:E555)))))</f>
        <v> </v>
      </c>
      <c r="L556" s="27"/>
    </row>
    <row r="557" spans="1:12">
      <c r="A557" s="20" t="s">
        <v>363</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t="s">
        <v>174</v>
      </c>
      <c r="E558" s="22">
        <f>IF(D558="?OLD","!!!","")</f>
        <v/>
      </c>
      <c r="F558" s="23" t="str">
        <f>IF(OR(E558="",E558="!!!"),"",IF(NOT(ISNA(VLOOKUP(E558,E$1:E557,1,FALSE()))),"OLD",IF(AND(E558&lt;&gt;"",E558&lt;&gt;"!!!"),"NEW","")))</f>
        <v> </v>
      </c>
      <c r="G558" s="24" t="str">
        <f>IF(OR(E558="",E558="!!!"),"",IF(OR(J558=0,AND(J558=1,K558=1),AND(J558=1,I558="SBJ"),AND(J558=1,I558=0)),"?IN_FOCUS",IF(J558&lt;=2,"?ACTIVATED",IF(J558&lt;&gt;"","?FAMILIAR",IF(F558="NEW",IF(ISNA(VLOOKUP(E558,#REF!,1,FALSE())),"?TYPE_IDENTIFIABLE","?REFERENTIAL"),"_")))))</f>
        <v> </v>
      </c>
      <c r="H558" s="25" t="str">
        <f>IF(J558&lt;&gt;1,"",IF(I558="SBJ","CB","?"))</f>
        <v> </v>
      </c>
      <c r="I558" s="26" t="str">
        <f>IF(OR(E558="",E558="!!!",F558="NEW"),"",INDEX(B557:B$2,-1+SUMPRODUCT(MAX(ROW(E557:E$2)*(E558=E557:E$2)))))</f>
        <v> </v>
      </c>
      <c r="J558" s="26" t="str">
        <f>IF(OR(E558="",E558="!!!",F558="NEW"),"",COUNTBLANK(OFFSET(A$1,,,SUMPRODUCT(MAX(ROW(E$2:E558)*(E558=E$2:E558)))))-COUNTBLANK(OFFSET(A$1,,,SUMPRODUCT(MAX(ROW(E$1:E557)*(E2=E$1:E557))))))</f>
        <v> </v>
      </c>
      <c r="K558" s="26" t="str">
        <f>IF(OR(E558="",E558="!!!",F558="NEW"),"",INDEX(J$1:J557,SUMPRODUCT(MAX(ROW(E$1:E557)*(E558=E$1:E557)))))</f>
        <v> </v>
      </c>
      <c r="L558" s="27"/>
    </row>
    <row r="559" spans="1:12">
      <c r="A559" s="20" t="s">
        <v>161</v>
      </c>
      <c r="E559" s="22">
        <f>IF(D559="?OLD","!!!","")</f>
        <v/>
      </c>
      <c r="F559" s="23" t="str">
        <f>IF(OR(E559="",E559="!!!"),"",IF(NOT(ISNA(VLOOKUP(E559,E$1:E558,1,FALSE()))),"OLD",IF(AND(E559&lt;&gt;"",E559&lt;&gt;"!!!"),"NEW","")))</f>
        <v> </v>
      </c>
      <c r="G559" s="24" t="str">
        <f>IF(OR(E559="",E559="!!!"),"",IF(OR(J559=0,AND(J559=1,K559=1),AND(J559=1,I559="SBJ"),AND(J559=1,I559=0)),"?IN_FOCUS",IF(J559&lt;=2,"?ACTIVATED",IF(J559&lt;&gt;"","?FAMILIAR",IF(F559="NEW",IF(ISNA(VLOOKUP(E559,#REF!,1,FALSE())),"?TYPE_IDENTIFIABLE","?REFERENTIAL"),"_")))))</f>
        <v> </v>
      </c>
      <c r="H559" s="25" t="str">
        <f>IF(J559&lt;&gt;1,"",IF(I559="SBJ","CB","?"))</f>
        <v> </v>
      </c>
      <c r="I559" s="26" t="str">
        <f>IF(OR(E559="",E559="!!!",F559="NEW"),"",INDEX(B558:B$2,-1+SUMPRODUCT(MAX(ROW(E558:E$2)*(E559=E558:E$2)))))</f>
        <v> </v>
      </c>
      <c r="J559" s="26" t="str">
        <f>IF(OR(E559="",E559="!!!",F559="NEW"),"",COUNTBLANK(OFFSET(A$1,,,SUMPRODUCT(MAX(ROW(E$2:E559)*(E559=E$2:E559)))))-COUNTBLANK(OFFSET(A$1,,,SUMPRODUCT(MAX(ROW(E$1:E558)*(E2=E$1:E558))))))</f>
        <v> </v>
      </c>
      <c r="K559" s="26" t="str">
        <f>IF(OR(E559="",E559="!!!",F559="NEW"),"",INDEX(J$1:J558,SUMPRODUCT(MAX(ROW(E$1:E558)*(E559=E$1:E558)))))</f>
        <v> </v>
      </c>
      <c r="L559" s="27"/>
    </row>
    <row r="560" spans="1:12">
      <c r="A560" s="20" t="s">
        <v>384</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168</v>
      </c>
      <c r="B561" s="21" t="s">
        <v>196</v>
      </c>
      <c r="C561" s="21" t="s">
        <v>169</v>
      </c>
      <c r="D561" s="21" t="s">
        <v>149</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t="s">
        <v>385</v>
      </c>
      <c r="E562" s="22">
        <f>IF(D562="?OLD","!!!","")</f>
        <v/>
      </c>
      <c r="F562" s="23" t="str">
        <f>IF(OR(E562="",E562="!!!"),"",IF(NOT(ISNA(VLOOKUP(E562,E$1:E561,1,FALSE()))),"OLD",IF(AND(E562&lt;&gt;"",E562&lt;&gt;"!!!"),"NEW","")))</f>
        <v> </v>
      </c>
      <c r="G562" s="24" t="str">
        <f>IF(OR(E562="",E562="!!!"),"",IF(OR(J562=0,AND(J562=1,K562=1),AND(J562=1,I562="SBJ"),AND(J562=1,I562=0)),"?IN_FOCUS",IF(J562&lt;=2,"?ACTIVATED",IF(J562&lt;&gt;"","?FAMILIAR",IF(F562="NEW",IF(ISNA(VLOOKUP(E562,#REF!,1,FALSE())),"?TYPE_IDENTIFIABLE","?REFERENTIAL"),"_")))))</f>
        <v> </v>
      </c>
      <c r="H562" s="25" t="str">
        <f>IF(J562&lt;&gt;1,"",IF(I562="SBJ","CB","?"))</f>
        <v> </v>
      </c>
      <c r="I562" s="26" t="str">
        <f>IF(OR(E562="",E562="!!!",F562="NEW"),"",INDEX(B561:B$2,-1+SUMPRODUCT(MAX(ROW(E561:E$2)*(E562=E561:E$2)))))</f>
        <v> </v>
      </c>
      <c r="J562" s="26" t="str">
        <f>IF(OR(E562="",E562="!!!",F562="NEW"),"",COUNTBLANK(OFFSET(A$1,,,SUMPRODUCT(MAX(ROW(E$2:E562)*(E562=E$2:E562)))))-COUNTBLANK(OFFSET(A$1,,,SUMPRODUCT(MAX(ROW(E$1:E561)*(E2=E$1:E561))))))</f>
        <v> </v>
      </c>
      <c r="K562" s="26" t="str">
        <f>IF(OR(E562="",E562="!!!",F562="NEW"),"",INDEX(J$1:J561,SUMPRODUCT(MAX(ROW(E$1:E561)*(E562=E$1:E561)))))</f>
        <v> </v>
      </c>
      <c r="L562" s="27"/>
    </row>
    <row r="563" spans="1:12">
      <c r="A563" s="20" t="s">
        <v>357</v>
      </c>
      <c r="B563" s="21" t="s">
        <v>163</v>
      </c>
      <c r="C563" s="21" t="s">
        <v>185</v>
      </c>
      <c r="D563" s="21" t="s">
        <v>149</v>
      </c>
      <c r="E563" s="22">
        <f>IF(D563="?OLD","!!!","")</f>
        <v/>
      </c>
      <c r="F563" s="23" t="str">
        <f>IF(OR(E563="",E563="!!!"),"",IF(NOT(ISNA(VLOOKUP(E563,E$1:E562,1,FALSE()))),"OLD",IF(AND(E563&lt;&gt;"",E563&lt;&gt;"!!!"),"NEW","")))</f>
        <v> </v>
      </c>
      <c r="G563" s="24" t="str">
        <f>IF(OR(E563="",E563="!!!"),"",IF(OR(J563=0,AND(J563=1,K563=1),AND(J563=1,I563="SBJ"),AND(J563=1,I563=0)),"?IN_FOCUS",IF(J563&lt;=2,"?ACTIVATED",IF(J563&lt;&gt;"","?FAMILIAR",IF(F563="NEW",IF(ISNA(VLOOKUP(E563,#REF!,1,FALSE())),"?TYPE_IDENTIFIABLE","?REFERENTIAL"),"_")))))</f>
        <v> </v>
      </c>
      <c r="H563" s="25" t="str">
        <f>IF(J563&lt;&gt;1,"",IF(I563="SBJ","CB","?"))</f>
        <v> </v>
      </c>
      <c r="I563" s="26" t="str">
        <f>IF(OR(E563="",E563="!!!",F563="NEW"),"",INDEX(B562:B$2,-1+SUMPRODUCT(MAX(ROW(E562:E$2)*(E563=E562:E$2)))))</f>
        <v> </v>
      </c>
      <c r="J563" s="26" t="str">
        <f>IF(OR(E563="",E563="!!!",F563="NEW"),"",COUNTBLANK(OFFSET(A$1,,,SUMPRODUCT(MAX(ROW(E$2:E563)*(E563=E$2:E563)))))-COUNTBLANK(OFFSET(A$1,,,SUMPRODUCT(MAX(ROW(E$1:E562)*(E2=E$1:E562))))))</f>
        <v> </v>
      </c>
      <c r="K563" s="26" t="str">
        <f>IF(OR(E563="",E563="!!!",F563="NEW"),"",INDEX(J$1:J562,SUMPRODUCT(MAX(ROW(E$1:E562)*(E563=E$1:E562)))))</f>
        <v> </v>
      </c>
      <c r="L563" s="27"/>
    </row>
    <row r="564" spans="1:12">
      <c r="A564" s="20" t="s">
        <v>180</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t="s">
        <v>358</v>
      </c>
      <c r="B565" s="21" t="s">
        <v>163</v>
      </c>
      <c r="C565" s="21" t="s">
        <v>185</v>
      </c>
      <c r="D565" s="21" t="s">
        <v>149</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174</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t="s">
        <v>223</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240</v>
      </c>
      <c r="B568" s="21" t="s">
        <v>249</v>
      </c>
      <c r="C568" s="21" t="s">
        <v>148</v>
      </c>
      <c r="D568" s="21" t="s">
        <v>149</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180</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255</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t="s">
        <v>178</v>
      </c>
      <c r="B571" s="21" t="s">
        <v>153</v>
      </c>
      <c r="C571" s="21" t="s">
        <v>183</v>
      </c>
      <c r="D571" s="21" t="s">
        <v>149</v>
      </c>
      <c r="E571" s="22">
        <f>IF(D571="?OLD","!!!","")</f>
        <v/>
      </c>
      <c r="F571" s="23" t="str">
        <f>IF(OR(E571="",E571="!!!"),"",IF(NOT(ISNA(VLOOKUP(E571,E$1:E570,1,FALSE()))),"OLD",IF(AND(E571&lt;&gt;"",E571&lt;&gt;"!!!"),"NEW","")))</f>
        <v> </v>
      </c>
      <c r="G571" s="24" t="str">
        <f>IF(OR(E571="",E571="!!!"),"",IF(OR(J571=0,AND(J571=1,K571=1),AND(J571=1,I571="SBJ"),AND(J571=1,I571=0)),"?IN_FOCUS",IF(J571&lt;=2,"?ACTIVATED",IF(J571&lt;&gt;"","?FAMILIAR",IF(F571="NEW",IF(ISNA(VLOOKUP(E571,#REF!,1,FALSE())),"?TYPE_IDENTIFIABLE","?REFERENTIAL"),"_")))))</f>
        <v> </v>
      </c>
      <c r="H571" s="25" t="str">
        <f>IF(J571&lt;&gt;1,"",IF(I571="SBJ","CB","?"))</f>
        <v> </v>
      </c>
      <c r="I571" s="26" t="str">
        <f>IF(OR(E571="",E571="!!!",F571="NEW"),"",INDEX(B570:B$2,-1+SUMPRODUCT(MAX(ROW(E570:E$2)*(E571=E570:E$2)))))</f>
        <v> </v>
      </c>
      <c r="J571" s="26" t="str">
        <f>IF(OR(E571="",E571="!!!",F571="NEW"),"",COUNTBLANK(OFFSET(A$1,,,SUMPRODUCT(MAX(ROW(E$2:E571)*(E571=E$2:E571)))))-COUNTBLANK(OFFSET(A$1,,,SUMPRODUCT(MAX(ROW(E$1:E570)*(E2=E$1:E570))))))</f>
        <v> </v>
      </c>
      <c r="K571" s="26" t="str">
        <f>IF(OR(E571="",E571="!!!",F571="NEW"),"",INDEX(J$1:J570,SUMPRODUCT(MAX(ROW(E$1:E570)*(E571=E$1:E570)))))</f>
        <v> </v>
      </c>
      <c r="L571" s="27"/>
    </row>
    <row r="572" spans="1:12">
      <c r="A572" s="20" t="s">
        <v>386</v>
      </c>
      <c r="B572" s="21" t="s">
        <v>203</v>
      </c>
      <c r="C572" s="21" t="s">
        <v>185</v>
      </c>
      <c r="D572" s="21" t="s">
        <v>149</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t="s">
        <v>387</v>
      </c>
      <c r="E573" s="22">
        <f>IF(D573="?OLD","!!!","")</f>
        <v/>
      </c>
      <c r="F573" s="23" t="str">
        <f>IF(OR(E573="",E573="!!!"),"",IF(NOT(ISNA(VLOOKUP(E573,E$1:E572,1,FALSE()))),"OLD",IF(AND(E573&lt;&gt;"",E573&lt;&gt;"!!!"),"NEW","")))</f>
        <v> </v>
      </c>
      <c r="G573" s="24" t="str">
        <f>IF(OR(E573="",E573="!!!"),"",IF(OR(J573=0,AND(J573=1,K573=1),AND(J573=1,I573="SBJ"),AND(J573=1,I573=0)),"?IN_FOCUS",IF(J573&lt;=2,"?ACTIVATED",IF(J573&lt;&gt;"","?FAMILIAR",IF(F573="NEW",IF(ISNA(VLOOKUP(E573,#REF!,1,FALSE())),"?TYPE_IDENTIFIABLE","?REFERENTIAL"),"_")))))</f>
        <v> </v>
      </c>
      <c r="H573" s="25" t="str">
        <f>IF(J573&lt;&gt;1,"",IF(I573="SBJ","CB","?"))</f>
        <v> </v>
      </c>
      <c r="I573" s="26" t="str">
        <f>IF(OR(E573="",E573="!!!",F573="NEW"),"",INDEX(B572:B$2,-1+SUMPRODUCT(MAX(ROW(E572:E$2)*(E573=E572:E$2)))))</f>
        <v> </v>
      </c>
      <c r="J573" s="26" t="str">
        <f>IF(OR(E573="",E573="!!!",F573="NEW"),"",COUNTBLANK(OFFSET(A$1,,,SUMPRODUCT(MAX(ROW(E$2:E573)*(E573=E$2:E573)))))-COUNTBLANK(OFFSET(A$1,,,SUMPRODUCT(MAX(ROW(E$1:E572)*(E2=E$1:E572))))))</f>
        <v> </v>
      </c>
      <c r="K573" s="26" t="str">
        <f>IF(OR(E573="",E573="!!!",F573="NEW"),"",INDEX(J$1:J572,SUMPRODUCT(MAX(ROW(E$1:E572)*(E573=E$1:E572)))))</f>
        <v> </v>
      </c>
      <c r="L573" s="27"/>
    </row>
    <row r="574" spans="1:12">
      <c r="A574" s="20" t="s">
        <v>258</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161</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168</v>
      </c>
      <c r="B576" s="21" t="s">
        <v>249</v>
      </c>
      <c r="C576" s="21" t="s">
        <v>169</v>
      </c>
      <c r="D576" s="21" t="s">
        <v>149</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388</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t="s">
        <v>172</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t="s">
        <v>345</v>
      </c>
      <c r="B579" s="21" t="s">
        <v>153</v>
      </c>
      <c r="C579" s="21" t="s">
        <v>185</v>
      </c>
      <c r="D579" s="21" t="s">
        <v>149</v>
      </c>
      <c r="E579" s="22">
        <f>IF(D579="?OLD","!!!","")</f>
        <v/>
      </c>
      <c r="F579" s="23" t="str">
        <f>IF(OR(E579="",E579="!!!"),"",IF(NOT(ISNA(VLOOKUP(E579,E$1:E578,1,FALSE()))),"OLD",IF(AND(E579&lt;&gt;"",E579&lt;&gt;"!!!"),"NEW","")))</f>
        <v> </v>
      </c>
      <c r="G579" s="24" t="str">
        <f>IF(OR(E579="",E579="!!!"),"",IF(OR(J579=0,AND(J579=1,K579=1),AND(J579=1,I579="SBJ"),AND(J579=1,I579=0)),"?IN_FOCUS",IF(J579&lt;=2,"?ACTIVATED",IF(J579&lt;&gt;"","?FAMILIAR",IF(F579="NEW",IF(ISNA(VLOOKUP(E579,#REF!,1,FALSE())),"?TYPE_IDENTIFIABLE","?REFERENTIAL"),"_")))))</f>
        <v> </v>
      </c>
      <c r="H579" s="25" t="str">
        <f>IF(J579&lt;&gt;1,"",IF(I579="SBJ","CB","?"))</f>
        <v> </v>
      </c>
      <c r="I579" s="26" t="str">
        <f>IF(OR(E579="",E579="!!!",F579="NEW"),"",INDEX(B578:B$2,-1+SUMPRODUCT(MAX(ROW(E578:E$2)*(E579=E578:E$2)))))</f>
        <v> </v>
      </c>
      <c r="J579" s="26" t="str">
        <f>IF(OR(E579="",E579="!!!",F579="NEW"),"",COUNTBLANK(OFFSET(A$1,,,SUMPRODUCT(MAX(ROW(E$2:E579)*(E579=E$2:E579)))))-COUNTBLANK(OFFSET(A$1,,,SUMPRODUCT(MAX(ROW(E$1:E578)*(E2=E$1:E578))))))</f>
        <v> </v>
      </c>
      <c r="K579" s="26" t="str">
        <f>IF(OR(E579="",E579="!!!",F579="NEW"),"",INDEX(J$1:J578,SUMPRODUCT(MAX(ROW(E$1:E578)*(E579=E$1:E578)))))</f>
        <v> </v>
      </c>
      <c r="L579" s="27"/>
    </row>
    <row r="580" spans="1:12">
      <c r="A580" s="20" t="s">
        <v>161</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186</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187</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165</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row>
    <row r="585" spans="1:12">
      <c r="A585" s="20" t="s">
        <v>389</v>
      </c>
    </row>
    <row r="586" spans="1:12">
      <c r="A586" s="20" t="s">
        <v>189</v>
      </c>
      <c r="E586" s="22">
        <f>IF(D586="?OLD","!!!","")</f>
        <v/>
      </c>
      <c r="F586" s="23" t="str">
        <f>IF(OR(E586="",E586="!!!"),"",IF(NOT(ISNA(VLOOKUP(E586,E$1:E585,1,FALSE()))),"OLD",IF(AND(E586&lt;&gt;"",E586&lt;&gt;"!!!"),"NEW","")))</f>
        <v> </v>
      </c>
      <c r="G586" s="24" t="str">
        <f>IF(OR(E586="",E586="!!!"),"",IF(OR(J586=0,AND(J586=1,K586=1),AND(J586=1,I586="SBJ"),AND(J586=1,I586=0)),"?IN_FOCUS",IF(J586&lt;=2,"?ACTIVATED",IF(J586&lt;&gt;"","?FAMILIAR",IF(F586="NEW",IF(ISNA(VLOOKUP(E586,#REF!,1,FALSE())),"?TYPE_IDENTIFIABLE","?REFERENTIAL"),"_")))))</f>
        <v> </v>
      </c>
      <c r="H586" s="25" t="str">
        <f>IF(J586&lt;&gt;1,"",IF(I586="SBJ","CB","?"))</f>
        <v> </v>
      </c>
      <c r="I586" s="26" t="str">
        <f>IF(OR(E586="",E586="!!!",F586="NEW"),"",INDEX(B585:B$2,-1+SUMPRODUCT(MAX(ROW(E585:E$2)*(E586=E585:E$2)))))</f>
        <v> </v>
      </c>
      <c r="J586" s="26" t="str">
        <f>IF(OR(E586="",E586="!!!",F586="NEW"),"",COUNTBLANK(OFFSET(A$1,,,SUMPRODUCT(MAX(ROW(E$2:E586)*(E586=E$2:E586)))))-COUNTBLANK(OFFSET(A$1,,,SUMPRODUCT(MAX(ROW(E$1:E585)*(E2=E$1:E585))))))</f>
        <v> </v>
      </c>
      <c r="K586" s="26" t="str">
        <f>IF(OR(E586="",E586="!!!",F586="NEW"),"",INDEX(J$1:J585,SUMPRODUCT(MAX(ROW(E$1:E585)*(E586=E$1:E585)))))</f>
        <v> </v>
      </c>
      <c r="L586" s="27"/>
    </row>
    <row r="587" spans="1:12">
      <c r="A587" s="20" t="s">
        <v>339</v>
      </c>
      <c r="B587" s="21" t="s">
        <v>147</v>
      </c>
      <c r="C587" s="21" t="s">
        <v>185</v>
      </c>
      <c r="D587" s="21" t="s">
        <v>149</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296</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t="s">
        <v>390</v>
      </c>
      <c r="E589" s="22">
        <f>IF(D589="?OLD","!!!","")</f>
        <v/>
      </c>
      <c r="F589" s="23" t="str">
        <f>IF(OR(E589="",E589="!!!"),"",IF(NOT(ISNA(VLOOKUP(E589,E$1:E588,1,FALSE()))),"OLD",IF(AND(E589&lt;&gt;"",E589&lt;&gt;"!!!"),"NEW","")))</f>
        <v> </v>
      </c>
      <c r="G589" s="24" t="str">
        <f>IF(OR(E589="",E589="!!!"),"",IF(OR(J589=0,AND(J589=1,K589=1),AND(J589=1,I589="SBJ"),AND(J589=1,I589=0)),"?IN_FOCUS",IF(J589&lt;=2,"?ACTIVATED",IF(J589&lt;&gt;"","?FAMILIAR",IF(F589="NEW",IF(ISNA(VLOOKUP(E589,#REF!,1,FALSE())),"?TYPE_IDENTIFIABLE","?REFERENTIAL"),"_")))))</f>
        <v> </v>
      </c>
      <c r="H589" s="25" t="str">
        <f>IF(J589&lt;&gt;1,"",IF(I589="SBJ","CB","?"))</f>
        <v> </v>
      </c>
      <c r="I589" s="26" t="str">
        <f>IF(OR(E589="",E589="!!!",F589="NEW"),"",INDEX(B588:B$2,-1+SUMPRODUCT(MAX(ROW(E588:E$2)*(E589=E588:E$2)))))</f>
        <v> </v>
      </c>
      <c r="J589" s="26" t="str">
        <f>IF(OR(E589="",E589="!!!",F589="NEW"),"",COUNTBLANK(OFFSET(A$1,,,SUMPRODUCT(MAX(ROW(E$2:E589)*(E589=E$2:E589)))))-COUNTBLANK(OFFSET(A$1,,,SUMPRODUCT(MAX(ROW(E$1:E588)*(E2=E$1:E588))))))</f>
        <v> </v>
      </c>
      <c r="K589" s="26" t="str">
        <f>IF(OR(E589="",E589="!!!",F589="NEW"),"",INDEX(J$1:J588,SUMPRODUCT(MAX(ROW(E$1:E588)*(E589=E$1:E588)))))</f>
        <v> </v>
      </c>
      <c r="L589" s="27"/>
    </row>
    <row r="590" spans="1:12">
      <c r="A590" s="20" t="s">
        <v>298</v>
      </c>
      <c r="B590" s="21" t="s">
        <v>207</v>
      </c>
      <c r="C590" s="21" t="s">
        <v>157</v>
      </c>
      <c r="E590" s="22">
        <f>IF(D590="?OLD","!!!","")</f>
        <v/>
      </c>
      <c r="F590" s="23" t="str">
        <f>IF(OR(E590="",E590="!!!"),"",IF(NOT(ISNA(VLOOKUP(E590,E$1:E589,1,FALSE()))),"OLD",IF(AND(E590&lt;&gt;"",E590&lt;&gt;"!!!"),"NEW","")))</f>
        <v> </v>
      </c>
      <c r="G590" s="24" t="str">
        <f>IF(OR(E590="",E590="!!!"),"",IF(OR(J590=0,AND(J590=1,K590=1),AND(J590=1,I590="SBJ"),AND(J590=1,I590=0)),"?IN_FOCUS",IF(J590&lt;=2,"?ACTIVATED",IF(J590&lt;&gt;"","?FAMILIAR",IF(F590="NEW",IF(ISNA(VLOOKUP(E590,#REF!,1,FALSE())),"?TYPE_IDENTIFIABLE","?REFERENTIAL"),"_")))))</f>
        <v> </v>
      </c>
      <c r="H590" s="25" t="str">
        <f>IF(J590&lt;&gt;1,"",IF(I590="SBJ","CB","?"))</f>
        <v> </v>
      </c>
      <c r="I590" s="26" t="str">
        <f>IF(OR(E590="",E590="!!!",F590="NEW"),"",INDEX(B589:B$2,-1+SUMPRODUCT(MAX(ROW(E589:E$2)*(E590=E589:E$2)))))</f>
        <v> </v>
      </c>
      <c r="J590" s="26" t="str">
        <f>IF(OR(E590="",E590="!!!",F590="NEW"),"",COUNTBLANK(OFFSET(A$1,,,SUMPRODUCT(MAX(ROW(E$2:E590)*(E590=E$2:E590)))))-COUNTBLANK(OFFSET(A$1,,,SUMPRODUCT(MAX(ROW(E$1:E589)*(E2=E$1:E589))))))</f>
        <v> </v>
      </c>
      <c r="K590" s="26" t="str">
        <f>IF(OR(E590="",E590="!!!",F590="NEW"),"",INDEX(J$1:J589,SUMPRODUCT(MAX(ROW(E$1:E589)*(E590=E$1:E589)))))</f>
        <v> </v>
      </c>
      <c r="L590" s="27"/>
    </row>
    <row r="591" spans="1:12">
      <c r="A591" s="20" t="s">
        <v>299</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t="s">
        <v>161</v>
      </c>
      <c r="E592" s="22">
        <f>IF(D592="?OLD","!!!","")</f>
        <v/>
      </c>
      <c r="F592" s="23" t="str">
        <f>IF(OR(E592="",E592="!!!"),"",IF(NOT(ISNA(VLOOKUP(E592,E$1:E591,1,FALSE()))),"OLD",IF(AND(E592&lt;&gt;"",E592&lt;&gt;"!!!"),"NEW","")))</f>
        <v> </v>
      </c>
      <c r="G592" s="24" t="str">
        <f>IF(OR(E592="",E592="!!!"),"",IF(OR(J592=0,AND(J592=1,K592=1),AND(J592=1,I592="SBJ"),AND(J592=1,I592=0)),"?IN_FOCUS",IF(J592&lt;=2,"?ACTIVATED",IF(J592&lt;&gt;"","?FAMILIAR",IF(F592="NEW",IF(ISNA(VLOOKUP(E592,#REF!,1,FALSE())),"?TYPE_IDENTIFIABLE","?REFERENTIAL"),"_")))))</f>
        <v> </v>
      </c>
      <c r="H592" s="25" t="str">
        <f>IF(J592&lt;&gt;1,"",IF(I592="SBJ","CB","?"))</f>
        <v> </v>
      </c>
      <c r="I592" s="26" t="str">
        <f>IF(OR(E592="",E592="!!!",F592="NEW"),"",INDEX(B591:B$2,-1+SUMPRODUCT(MAX(ROW(E591:E$2)*(E592=E591:E$2)))))</f>
        <v> </v>
      </c>
      <c r="J592" s="26" t="str">
        <f>IF(OR(E592="",E592="!!!",F592="NEW"),"",COUNTBLANK(OFFSET(A$1,,,SUMPRODUCT(MAX(ROW(E$2:E592)*(E592=E$2:E592)))))-COUNTBLANK(OFFSET(A$1,,,SUMPRODUCT(MAX(ROW(E$1:E591)*(E2=E$1:E591))))))</f>
        <v> </v>
      </c>
      <c r="K592" s="26" t="str">
        <f>IF(OR(E592="",E592="!!!",F592="NEW"),"",INDEX(J$1:J591,SUMPRODUCT(MAX(ROW(E$1:E591)*(E592=E$1:E591)))))</f>
        <v> </v>
      </c>
      <c r="L592" s="27"/>
    </row>
    <row r="593" spans="1:12">
      <c r="A593" s="20" t="s">
        <v>352</v>
      </c>
      <c r="E593" s="22">
        <f>IF(D593="?OLD","!!!","")</f>
        <v/>
      </c>
      <c r="F593" s="23" t="str">
        <f>IF(OR(E593="",E593="!!!"),"",IF(NOT(ISNA(VLOOKUP(E593,E$1:E592,1,FALSE()))),"OLD",IF(AND(E593&lt;&gt;"",E593&lt;&gt;"!!!"),"NEW","")))</f>
        <v> </v>
      </c>
      <c r="G593" s="24" t="str">
        <f>IF(OR(E593="",E593="!!!"),"",IF(OR(J593=0,AND(J593=1,K593=1),AND(J593=1,I593="SBJ"),AND(J593=1,I593=0)),"?IN_FOCUS",IF(J593&lt;=2,"?ACTIVATED",IF(J593&lt;&gt;"","?FAMILIAR",IF(F593="NEW",IF(ISNA(VLOOKUP(E593,#REF!,1,FALSE())),"?TYPE_IDENTIFIABLE","?REFERENTIAL"),"_")))))</f>
        <v> </v>
      </c>
      <c r="H593" s="25" t="str">
        <f>IF(J593&lt;&gt;1,"",IF(I593="SBJ","CB","?"))</f>
        <v> </v>
      </c>
      <c r="I593" s="26" t="str">
        <f>IF(OR(E593="",E593="!!!",F593="NEW"),"",INDEX(B592:B$2,-1+SUMPRODUCT(MAX(ROW(E592:E$2)*(E593=E592:E$2)))))</f>
        <v> </v>
      </c>
      <c r="J593" s="26" t="str">
        <f>IF(OR(E593="",E593="!!!",F593="NEW"),"",COUNTBLANK(OFFSET(A$1,,,SUMPRODUCT(MAX(ROW(E$2:E593)*(E593=E$2:E593)))))-COUNTBLANK(OFFSET(A$1,,,SUMPRODUCT(MAX(ROW(E$1:E592)*(E2=E$1:E592))))))</f>
        <v> </v>
      </c>
      <c r="K593" s="26" t="str">
        <f>IF(OR(E593="",E593="!!!",F593="NEW"),"",INDEX(J$1:J592,SUMPRODUCT(MAX(ROW(E$1:E592)*(E593=E$1:E592)))))</f>
        <v> </v>
      </c>
      <c r="L593" s="27"/>
    </row>
    <row r="594" spans="1:12">
      <c r="A594" s="20" t="s">
        <v>180</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345</v>
      </c>
      <c r="B595" s="21" t="s">
        <v>163</v>
      </c>
      <c r="C595" s="21" t="s">
        <v>185</v>
      </c>
      <c r="D595" s="21" t="s">
        <v>149</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t="s">
        <v>165</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2026-01-26T16:52:02Z</dcterms:created>
  <dcterms:modified xsi:type="dcterms:W3CDTF">2026-01-26T16:52:02Z</dcterms:modified>
</cp:coreProperties>
</file>