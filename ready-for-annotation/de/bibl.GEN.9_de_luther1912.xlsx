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<sst xmlns="http://schemas.openxmlformats.org/spreadsheetml/2006/main" count="1544" uniqueCount="442">
  <si>
    <t>ID</t>
  </si>
  <si>
    <t>PRED_ID</t>
  </si>
  <si>
    <t>MARKER_AUTO</t>
  </si>
  <si>
    <t>PREDICATE</t>
  </si>
  <si>
    <t>TEXT</t>
  </si>
  <si>
    <t>SENTENCE</t>
  </si>
  <si>
    <t>MARKER</t>
  </si>
  <si>
    <t>TARGET</t>
  </si>
  <si>
    <t>RELATION</t>
  </si>
  <si>
    <t>COMMENT</t>
  </si>
  <si>
    <t>1</t>
  </si>
  <si>
    <t>3</t>
  </si>
  <si>
    <t>_</t>
  </si>
  <si>
    <t>segnen</t>
  </si>
  <si>
    <t>Und Gott segnete Noah und seine Söhne und sprach : Seid fruchtbar und mehrt euch und erfüllt die Erde .</t>
  </si>
  <si>
    <t>file://conllu/de/bibl.GEN.9_de_luther1912.conllu#s1_0</t>
  </si>
  <si>
    <t>2</t>
  </si>
  <si>
    <t>6</t>
  </si>
  <si>
    <t>sein (sein Tier)</t>
  </si>
  <si>
    <t>Furcht und Schrecken vor euch sei über alle Tiere auf Erden und über alle Vögel unter dem Himmel , über alles , was auf dem Erdboden kriecht , und über alle Fische im in dem Meer ;</t>
  </si>
  <si>
    <t>file://conllu/de/bibl.GEN.9_de_luther1912.conllu#s2_0</t>
  </si>
  <si>
    <t>geben</t>
  </si>
  <si>
    <t>in eure Hände seien sie gegeben .</t>
  </si>
  <si>
    <t>file://conllu/de/bibl.GEN.9_de_luther1912.conllu#s3_0</t>
  </si>
  <si>
    <t>4</t>
  </si>
  <si>
    <t>Was?</t>
  </si>
  <si>
    <t>alle</t>
  </si>
  <si>
    <t>Alles , was sich regt und lebt , das sei eure Speise ; wie das grüne Kraut habe ich's euch alles gegeben .</t>
  </si>
  <si>
    <t>file://conllu/de/bibl.GEN.9_de_luther1912.conllu#s4_0</t>
  </si>
  <si>
    <t>5</t>
  </si>
  <si>
    <t>eßen</t>
  </si>
  <si>
    <t>Allein eßt das Fleisch nicht , das noch lebt in seinem Blut .</t>
  </si>
  <si>
    <t>file://conllu/de/bibl.GEN.9_de_luther1912.conllu#s5_0</t>
  </si>
  <si>
    <t>7</t>
  </si>
  <si>
    <t>rächen</t>
  </si>
  <si>
    <t>Auch will ich eures Leibes Blut rächen und will's an allen Tieren rächen und will des Menschen Leben rächen an einem jeglichen Menschen als dem , der sein Bruder ist .</t>
  </si>
  <si>
    <t>file://conllu/de/bibl.GEN.9_de_luther1912.conllu#s6_0</t>
  </si>
  <si>
    <t>vergießen</t>
  </si>
  <si>
    <t>Wer Menschenblut vergießt , des Blut soll auch durch Menschen vergossen werden ;</t>
  </si>
  <si>
    <t>file://conllu/de/bibl.GEN.9_de_luther1912.conllu#s7_0</t>
  </si>
  <si>
    <t>8</t>
  </si>
  <si>
    <t>9</t>
  </si>
  <si>
    <t>machen</t>
  </si>
  <si>
    <t>denn Gott hat den Menschen zu seinem Bilde gemacht .</t>
  </si>
  <si>
    <t>file://conllu/de/bibl.GEN.9_de_luther1912.conllu#s8_0</t>
  </si>
  <si>
    <t>regen</t>
  </si>
  <si>
    <t>Seid fruchtbar und mehrt euch und regt euch auf Erden , daß euer viel darauf werden .</t>
  </si>
  <si>
    <t>file://conllu/de/bibl.GEN.9_de_luther1912.conllu#s9_0</t>
  </si>
  <si>
    <t>10</t>
  </si>
  <si>
    <t>sagen</t>
  </si>
  <si>
    <t>Und Gott sagte zu Noah und seinen Söhnen mit ihm :</t>
  </si>
  <si>
    <t>file://conllu/de/bibl.GEN.9_de_luther1912.conllu#s10_0</t>
  </si>
  <si>
    <t>11</t>
  </si>
  <si>
    <t>sehen</t>
  </si>
  <si>
    <t>Siehe , ich richte mit euch einen Bund auf und mit eurem Samen nach euch</t>
  </si>
  <si>
    <t>file://conllu/de/bibl.GEN.9_de_luther1912.conllu#s11_0</t>
  </si>
  <si>
    <t>12</t>
  </si>
  <si>
    <t>Getier</t>
  </si>
  <si>
    <t>und mit allem lebendigen Getier bei euch , an Vögeln , an Vieh und an allen Tieren auf Erden bei euch , von allem , was aus dem Kasten gegangen ist , was für Tiere es sind auf Erden .</t>
  </si>
  <si>
    <t>file://conllu/de/bibl.GEN.9_de_luther1912.conllu#s12_0</t>
  </si>
  <si>
    <t>13</t>
  </si>
  <si>
    <t>richen</t>
  </si>
  <si>
    <t>Und richte meinen Bund also mit euch auf , daß hinfort nicht mehr alles Fleisch verderbt werden soll mit dem Wasser der Sintflut , und soll hinfort keine Sintflut mehr kommen , die die Erde verderbe .</t>
  </si>
  <si>
    <t>file://conllu/de/bibl.GEN.9_de_luther1912.conllu#s13_0</t>
  </si>
  <si>
    <t>14</t>
  </si>
  <si>
    <t>sprechen</t>
  </si>
  <si>
    <t>Und Gott sprach :</t>
  </si>
  <si>
    <t>file://conllu/de/bibl.GEN.9_de_luther1912.conllu#s14_0</t>
  </si>
  <si>
    <t>15</t>
  </si>
  <si>
    <t>23</t>
  </si>
  <si>
    <t>ewiglich</t>
  </si>
  <si>
    <t>Das ist das Zeichen des Bundes , den ich gemacht habe zwischen mir und euch und allen lebendigen Seelen bei euch hinfort ewiglich :</t>
  </si>
  <si>
    <t>file://conllu/de/bibl.GEN.9_de_luther1912.conllu#s15_0</t>
  </si>
  <si>
    <t>16</t>
  </si>
  <si>
    <t>setzen</t>
  </si>
  <si>
    <t>Meinen Bogen habe ich gesetzt in die Wolken ;</t>
  </si>
  <si>
    <t>file://conllu/de/bibl.GEN.9_de_luther1912.conllu#s16_0</t>
  </si>
  <si>
    <t>17</t>
  </si>
  <si>
    <t>sein</t>
  </si>
  <si>
    <t>der soll das Zeichen sein des Bundes zwischen mir und der Erde .</t>
  </si>
  <si>
    <t>file://conllu/de/bibl.GEN.9_de_luther1912.conllu#s17_0</t>
  </si>
  <si>
    <t>18</t>
  </si>
  <si>
    <t>19</t>
  </si>
  <si>
    <t>Und wenn es kommt , daß ich Wolken über die Erde führe , so soll man meinen Bogen sehen in den Wolken .</t>
  </si>
  <si>
    <t>file://conllu/de/bibl.GEN.9_de_luther1912.conllu#s18_0</t>
  </si>
  <si>
    <t>denken</t>
  </si>
  <si>
    <t>Alsdann will ich gedenken an meinen Bund zwischen mir und euch und allen lebendigen Seelen in allerlei Fleisch , daß nicht mehr hinfort eine Sintflut komme , die alles Fleisch verderbe .</t>
  </si>
  <si>
    <t>file://conllu/de/bibl.GEN.9_de_luther1912.conllu#s19_0</t>
  </si>
  <si>
    <t>20</t>
  </si>
  <si>
    <t>sein (sein Bogen)</t>
  </si>
  <si>
    <t>Darum soll mein Bogen in den Wolken sein , daß ich ihn ansehe und gedenke an den ewigen Bund zwischen Gott und allen lebendigen Seelen in allem Fleisch , das auf Erden ist .</t>
  </si>
  <si>
    <t>file://conllu/de/bibl.GEN.9_de_luther1912.conllu#s20_0</t>
  </si>
  <si>
    <t>21</t>
  </si>
  <si>
    <t>Und Gott sagte zu Noah : Das sei das Zeichen des Bundes , den ich aufgerichtet habe zwischen mir und allem Fleisch auf Erden .</t>
  </si>
  <si>
    <t>file://conllu/de/bibl.GEN.9_de_luther1912.conllu#s21_0</t>
  </si>
  <si>
    <t>22</t>
  </si>
  <si>
    <t>sein (sein dies)</t>
  </si>
  <si>
    <t>Die Söhne Noahs , die aus dem Kasten gingen , sind diese : Sem , Ham und Japheth .</t>
  </si>
  <si>
    <t>file://conllu/de/bibl.GEN.9_de_luther1912.conllu#s22_0</t>
  </si>
  <si>
    <t>sein (sein Vater)</t>
  </si>
  <si>
    <t>Ham aber ist der Vater Kanaans .</t>
  </si>
  <si>
    <t>file://conllu/de/bibl.GEN.9_de_luther1912.conllu#s23_0</t>
  </si>
  <si>
    <t>24</t>
  </si>
  <si>
    <t>sein (sein Sohn)</t>
  </si>
  <si>
    <t>Das sind die drei Söhne Noahs , von denen ist alles Land besetzt .</t>
  </si>
  <si>
    <t>file://conllu/de/bibl.GEN.9_de_luther1912.conllu#s24_0</t>
  </si>
  <si>
    <t>25</t>
  </si>
  <si>
    <t>fangen</t>
  </si>
  <si>
    <t>Noah aber fing an und ward ein Ackermann und pflanzte Weinberge .</t>
  </si>
  <si>
    <t>file://conllu/de/bibl.GEN.9_de_luther1912.conllu#s25_0</t>
  </si>
  <si>
    <t>26</t>
  </si>
  <si>
    <t>aufdecken</t>
  </si>
  <si>
    <t>Und da er von dem Wein trank , ward er trunken und lag in der Hütte aufgedeckt .</t>
  </si>
  <si>
    <t>file://conllu/de/bibl.GEN.9_de_luther1912.conllu#s26_0</t>
  </si>
  <si>
    <t>27</t>
  </si>
  <si>
    <t>sehen (sehen sagen)</t>
  </si>
  <si>
    <t>Da nun Ham , Kanaans Vater , sah seines Vaters Blöße , sagte er's seinen beiden Brüdern draußen .</t>
  </si>
  <si>
    <t>file://conllu/de/bibl.GEN.9_de_luther1912.conllu#s27_0</t>
  </si>
  <si>
    <t>28</t>
  </si>
  <si>
    <t>nehmen</t>
  </si>
  <si>
    <t>Da nahmen Sem und Japheth ein Kleid und legten es auf ihrer beider Schultern und gingen rücklings hinzu und deckten des Vaters Blöße zu ; und ihr Angesicht war abgewandt , daß sie ihres Vater Blöße nicht sahen .</t>
  </si>
  <si>
    <t>file://conllu/de/bibl.GEN.9_de_luther1912.conllu#s28_0</t>
  </si>
  <si>
    <t>29</t>
  </si>
  <si>
    <t>erwachen</t>
  </si>
  <si>
    <t>Als nun Noah erwachte von seinem Wein und erfuhr , was ihm sein jüngster Sohn getan hatte ,</t>
  </si>
  <si>
    <t>file://conllu/de/bibl.GEN.9_de_luther1912.conllu#s29_0</t>
  </si>
  <si>
    <t>WORD</t>
  </si>
  <si>
    <t>GR</t>
  </si>
  <si>
    <t>NP_TYPE</t>
  </si>
  <si>
    <t>REF_AUTO</t>
  </si>
  <si>
    <t>COREF</t>
  </si>
  <si>
    <t>REF</t>
  </si>
  <si>
    <t>IS</t>
  </si>
  <si>
    <t>CB</t>
  </si>
  <si>
    <t>GR_ANTE</t>
  </si>
  <si>
    <t>REF_DIST</t>
  </si>
  <si>
    <t>REF_DIST_ANTE</t>
  </si>
  <si>
    <t># text = Und Gott segnete Noah und seine Söhne und sprach: Seid fruchtbar und mehrt euch und erfüllt die Erde.</t>
  </si>
  <si>
    <t>Und</t>
  </si>
  <si>
    <t>Gott</t>
  </si>
  <si>
    <t>SBJ</t>
  </si>
  <si>
    <t>indef-np.bare</t>
  </si>
  <si>
    <t>segnete</t>
  </si>
  <si>
    <t>Noah</t>
  </si>
  <si>
    <t>OBJ</t>
  </si>
  <si>
    <t>ne</t>
  </si>
  <si>
    <t>?OLD</t>
  </si>
  <si>
    <t>und</t>
  </si>
  <si>
    <t>seine</t>
  </si>
  <si>
    <t>Söhne</t>
  </si>
  <si>
    <t>other_2</t>
  </si>
  <si>
    <t>indef-np</t>
  </si>
  <si>
    <t>sprach</t>
  </si>
  <si>
    <t>:</t>
  </si>
  <si>
    <t>Seid</t>
  </si>
  <si>
    <t>fruchtbar</t>
  </si>
  <si>
    <t>mehrt</t>
  </si>
  <si>
    <t>euch</t>
  </si>
  <si>
    <t>OBJ_2</t>
  </si>
  <si>
    <t>pron.pper</t>
  </si>
  <si>
    <t>erfüllt</t>
  </si>
  <si>
    <t>die</t>
  </si>
  <si>
    <t>Erde</t>
  </si>
  <si>
    <t>def-np.the</t>
  </si>
  <si>
    <t>.</t>
  </si>
  <si>
    <t># text = Furcht und Schrecken vor euch sei über alle Tiere auf Erden und über alle Vögel unter dem Himmel, über alles, was auf dem Erdboden kriecht, und über alle Fische im Meer;</t>
  </si>
  <si>
    <t>Furcht</t>
  </si>
  <si>
    <t>Schrecken</t>
  </si>
  <si>
    <t>vor</t>
  </si>
  <si>
    <t>sei</t>
  </si>
  <si>
    <t>über</t>
  </si>
  <si>
    <t>other</t>
  </si>
  <si>
    <t>pron.pind</t>
  </si>
  <si>
    <t>Tiere</t>
  </si>
  <si>
    <t>indef-np.quant</t>
  </si>
  <si>
    <t>auf</t>
  </si>
  <si>
    <t>Erden</t>
  </si>
  <si>
    <t>Vögel</t>
  </si>
  <si>
    <t>unter</t>
  </si>
  <si>
    <t>dem</t>
  </si>
  <si>
    <t>Himmel</t>
  </si>
  <si>
    <t>,</t>
  </si>
  <si>
    <t>alles</t>
  </si>
  <si>
    <t>other_3</t>
  </si>
  <si>
    <t>was</t>
  </si>
  <si>
    <t>SBJ_3</t>
  </si>
  <si>
    <t>pron</t>
  </si>
  <si>
    <t>Erdboden</t>
  </si>
  <si>
    <t>kriecht</t>
  </si>
  <si>
    <t>Fische</t>
  </si>
  <si>
    <t>in</t>
  </si>
  <si>
    <t>Meer</t>
  </si>
  <si>
    <t>;</t>
  </si>
  <si>
    <t># text = in eure Hände seien sie gegeben.</t>
  </si>
  <si>
    <t>eure</t>
  </si>
  <si>
    <t>Hände</t>
  </si>
  <si>
    <t>seien</t>
  </si>
  <si>
    <t>sie</t>
  </si>
  <si>
    <t>gegeben</t>
  </si>
  <si>
    <t># text = Alles, was sich regt und lebt, das sei eure Speise; wie das grüne Kraut habe ich's euch alles gegeben.</t>
  </si>
  <si>
    <t>Alles</t>
  </si>
  <si>
    <t>SBJ_2</t>
  </si>
  <si>
    <t>sich</t>
  </si>
  <si>
    <t>regt</t>
  </si>
  <si>
    <t>lebt</t>
  </si>
  <si>
    <t>das</t>
  </si>
  <si>
    <t>pron.pds</t>
  </si>
  <si>
    <t>Speise</t>
  </si>
  <si>
    <t>wie</t>
  </si>
  <si>
    <t>grüne</t>
  </si>
  <si>
    <t>Kraut</t>
  </si>
  <si>
    <t>habe</t>
  </si>
  <si>
    <t>ich's</t>
  </si>
  <si>
    <t># text = Allein eßt das Fleisch nicht, das noch lebt in seinem Blut.</t>
  </si>
  <si>
    <t>Allein</t>
  </si>
  <si>
    <t>eßt</t>
  </si>
  <si>
    <t>Fleisch</t>
  </si>
  <si>
    <t>nicht</t>
  </si>
  <si>
    <t>noch</t>
  </si>
  <si>
    <t>seinem</t>
  </si>
  <si>
    <t>Blut</t>
  </si>
  <si>
    <t># text = Auch will ich eures Leibes Blut rächen und will's an allen Tieren rächen und will des Menschen Leben rächen an einem jeglichen Menschen als dem, der sein Bruder ist.</t>
  </si>
  <si>
    <t>Auch</t>
  </si>
  <si>
    <t>will</t>
  </si>
  <si>
    <t>ich</t>
  </si>
  <si>
    <t>eures</t>
  </si>
  <si>
    <t>Leibes</t>
  </si>
  <si>
    <t>will's</t>
  </si>
  <si>
    <t>an</t>
  </si>
  <si>
    <t>allen</t>
  </si>
  <si>
    <t>Tieren</t>
  </si>
  <si>
    <t>des</t>
  </si>
  <si>
    <t>Menschen</t>
  </si>
  <si>
    <t>OBJ_3</t>
  </si>
  <si>
    <t>Leben</t>
  </si>
  <si>
    <t>einem</t>
  </si>
  <si>
    <t>jeglichen</t>
  </si>
  <si>
    <t>other_5</t>
  </si>
  <si>
    <t>other_4</t>
  </si>
  <si>
    <t>indef-np.a</t>
  </si>
  <si>
    <t>als</t>
  </si>
  <si>
    <t>der</t>
  </si>
  <si>
    <t>SBJ_5</t>
  </si>
  <si>
    <t>Bruder</t>
  </si>
  <si>
    <t>ist</t>
  </si>
  <si>
    <t># text = Wer Menschenblut vergießt, des Blut soll auch durch Menschen vergossen werden;</t>
  </si>
  <si>
    <t>Wer</t>
  </si>
  <si>
    <t>pron.pint</t>
  </si>
  <si>
    <t>Menschenblut</t>
  </si>
  <si>
    <t>vergießt</t>
  </si>
  <si>
    <t>soll</t>
  </si>
  <si>
    <t>auch</t>
  </si>
  <si>
    <t>durch</t>
  </si>
  <si>
    <t>vergossen</t>
  </si>
  <si>
    <t>werden</t>
  </si>
  <si>
    <t># text = denn Gott hat den Menschen zu seinem Bilde gemacht.</t>
  </si>
  <si>
    <t>denn</t>
  </si>
  <si>
    <t>hat</t>
  </si>
  <si>
    <t>den</t>
  </si>
  <si>
    <t>zu</t>
  </si>
  <si>
    <t>Bilde</t>
  </si>
  <si>
    <t>gemacht</t>
  </si>
  <si>
    <t># text = Seid fruchtbar und mehrt euch und regt euch auf Erden, daß euer viel darauf werden.</t>
  </si>
  <si>
    <t>daß</t>
  </si>
  <si>
    <t>euer</t>
  </si>
  <si>
    <t>viel</t>
  </si>
  <si>
    <t>darauf</t>
  </si>
  <si>
    <t>pron.padv</t>
  </si>
  <si>
    <t># text = Und Gott sagte zu Noah und seinen Söhnen mit ihm:</t>
  </si>
  <si>
    <t>sagte</t>
  </si>
  <si>
    <t>seinen</t>
  </si>
  <si>
    <t>Söhnen</t>
  </si>
  <si>
    <t>mit</t>
  </si>
  <si>
    <t>ihm</t>
  </si>
  <si>
    <t># text = Siehe, ich richte mit euch einen Bund auf und mit eurem Samen nach euch</t>
  </si>
  <si>
    <t>Siehe</t>
  </si>
  <si>
    <t>richte</t>
  </si>
  <si>
    <t>einen</t>
  </si>
  <si>
    <t>Bund</t>
  </si>
  <si>
    <t>eurem</t>
  </si>
  <si>
    <t>Samen</t>
  </si>
  <si>
    <t>nach</t>
  </si>
  <si>
    <t># text = und mit allem lebendigen Getier bei euch, an Vögeln, an Vieh und an allen Tieren auf Erden bei euch, von allem, was aus dem Kasten gegangen ist, was für Tiere es sind auf Erden.</t>
  </si>
  <si>
    <t>allem</t>
  </si>
  <si>
    <t>lebendigen</t>
  </si>
  <si>
    <t>bei</t>
  </si>
  <si>
    <t>Vögeln</t>
  </si>
  <si>
    <t>Vieh</t>
  </si>
  <si>
    <t>von</t>
  </si>
  <si>
    <t>aus</t>
  </si>
  <si>
    <t>Kasten</t>
  </si>
  <si>
    <t>gegangen</t>
  </si>
  <si>
    <t>für</t>
  </si>
  <si>
    <t>es</t>
  </si>
  <si>
    <t>sind</t>
  </si>
  <si>
    <t># text = Und richte meinen Bund also mit euch auf, daß hinfort nicht mehr alles Fleisch verderbt werden soll mit dem Wasser der Sintflut, und soll hinfort keine Sintflut mehr kommen, die die Erde verderbe.</t>
  </si>
  <si>
    <t>meinen</t>
  </si>
  <si>
    <t>also</t>
  </si>
  <si>
    <t>hinfort</t>
  </si>
  <si>
    <t>mehr</t>
  </si>
  <si>
    <t>verderbt</t>
  </si>
  <si>
    <t>Wasser</t>
  </si>
  <si>
    <t>Sintflut</t>
  </si>
  <si>
    <t>keine</t>
  </si>
  <si>
    <t>kommen</t>
  </si>
  <si>
    <t>verderbe</t>
  </si>
  <si>
    <t># text = Und Gott sprach:</t>
  </si>
  <si>
    <t># text = Das ist das Zeichen des Bundes, den ich gemacht habe zwischen mir und euch und allen lebendigen Seelen bei euch hinfort ewiglich:</t>
  </si>
  <si>
    <t>Das</t>
  </si>
  <si>
    <t>Zeichen</t>
  </si>
  <si>
    <t>Bundes</t>
  </si>
  <si>
    <t>zwischen</t>
  </si>
  <si>
    <t>mir</t>
  </si>
  <si>
    <t>Seelen</t>
  </si>
  <si>
    <t># text = Meinen Bogen habe ich gesetzt in die Wolken;</t>
  </si>
  <si>
    <t>Meinen</t>
  </si>
  <si>
    <t>Bogen</t>
  </si>
  <si>
    <t>gesetzt</t>
  </si>
  <si>
    <t>Wolken</t>
  </si>
  <si>
    <t># text = der soll das Zeichen sein des Bundes zwischen mir und der Erde.</t>
  </si>
  <si>
    <t># text = Und wenn es kommt, daß ich Wolken über die Erde führe, so soll man meinen Bogen sehen in den Wolken.</t>
  </si>
  <si>
    <t>wenn</t>
  </si>
  <si>
    <t>kommt</t>
  </si>
  <si>
    <t>führe</t>
  </si>
  <si>
    <t>so</t>
  </si>
  <si>
    <t>man</t>
  </si>
  <si>
    <t># text = Alsdann will ich gedenken an meinen Bund zwischen mir und euch und allen lebendigen Seelen in allerlei Fleisch, daß nicht mehr hinfort eine Sintflut komme, die alles Fleisch verderbe.</t>
  </si>
  <si>
    <t>Alsdann</t>
  </si>
  <si>
    <t>gedenken</t>
  </si>
  <si>
    <t>pron.ppos</t>
  </si>
  <si>
    <t>allerlei</t>
  </si>
  <si>
    <t>eine</t>
  </si>
  <si>
    <t>SBJ_6</t>
  </si>
  <si>
    <t>komme</t>
  </si>
  <si>
    <t>other_7</t>
  </si>
  <si>
    <t>OBJ_6</t>
  </si>
  <si>
    <t># text = Darum soll mein Bogen in den Wolken sein, daß ich ihn ansehe und gedenke an den ewigen Bund zwischen Gott und allen lebendigen Seelen in allem Fleisch, das auf Erden ist.</t>
  </si>
  <si>
    <t>Darum</t>
  </si>
  <si>
    <t>mein</t>
  </si>
  <si>
    <t>ihn</t>
  </si>
  <si>
    <t>ansehe</t>
  </si>
  <si>
    <t>gedenke</t>
  </si>
  <si>
    <t>ewigen</t>
  </si>
  <si>
    <t>other_6</t>
  </si>
  <si>
    <t># text = Und Gott sagte zu Noah: Das sei das Zeichen des Bundes, den ich aufgerichtet habe zwischen mir und allem Fleisch auf Erden.</t>
  </si>
  <si>
    <t>aufgerichtet</t>
  </si>
  <si>
    <t># text = Die Söhne Noahs, die aus dem Kasten gingen, sind diese: Sem, Ham und Japheth.</t>
  </si>
  <si>
    <t>Die</t>
  </si>
  <si>
    <t>Noahs</t>
  </si>
  <si>
    <t>SBJ_4</t>
  </si>
  <si>
    <t>gingen</t>
  </si>
  <si>
    <t>diese</t>
  </si>
  <si>
    <t>Sem</t>
  </si>
  <si>
    <t>Ham</t>
  </si>
  <si>
    <t>Japheth</t>
  </si>
  <si>
    <t># text = Ham aber ist der Vater Kanaans.</t>
  </si>
  <si>
    <t>aber</t>
  </si>
  <si>
    <t>Vater</t>
  </si>
  <si>
    <t>Kanaans</t>
  </si>
  <si>
    <t># text = Das sind die drei Söhne Noahs, von denen ist alles Land besetzt.</t>
  </si>
  <si>
    <t>drei</t>
  </si>
  <si>
    <t>def-np.quant</t>
  </si>
  <si>
    <t>denen</t>
  </si>
  <si>
    <t>Land</t>
  </si>
  <si>
    <t>besetzt</t>
  </si>
  <si>
    <t># text = Noah aber fing an und ward ein Ackermann und pflanzte Weinberge.</t>
  </si>
  <si>
    <t>fing</t>
  </si>
  <si>
    <t>ward</t>
  </si>
  <si>
    <t>ein</t>
  </si>
  <si>
    <t>Ackermann</t>
  </si>
  <si>
    <t>pflanzte</t>
  </si>
  <si>
    <t>Weinberge</t>
  </si>
  <si>
    <t># text = Und da er von dem Wein trank, ward er trunken und lag in der Hütte aufgedeckt.</t>
  </si>
  <si>
    <t>da</t>
  </si>
  <si>
    <t>er</t>
  </si>
  <si>
    <t>Wein</t>
  </si>
  <si>
    <t>trank</t>
  </si>
  <si>
    <t>trunken</t>
  </si>
  <si>
    <t>lag</t>
  </si>
  <si>
    <t>Hütte</t>
  </si>
  <si>
    <t>aufgedeckt</t>
  </si>
  <si>
    <t># text = Da nun Ham, Kanaans Vater, sah seines Vaters Blöße, sagte er's seinen beiden Brüdern draußen.</t>
  </si>
  <si>
    <t>Da</t>
  </si>
  <si>
    <t>nun</t>
  </si>
  <si>
    <t>sah</t>
  </si>
  <si>
    <t>seines</t>
  </si>
  <si>
    <t>Vaters</t>
  </si>
  <si>
    <t>Blöße</t>
  </si>
  <si>
    <t>er's</t>
  </si>
  <si>
    <t>beiden</t>
  </si>
  <si>
    <t>Brüdern</t>
  </si>
  <si>
    <t>draußen</t>
  </si>
  <si>
    <t># text = Da nahmen Sem und Japheth ein Kleid und legten es auf ihrer beider Schultern und gingen rücklings hinzu und deckten des Vaters Blöße zu; und ihr Angesicht war abgewandt, daß sie ihres Vater Blöße nicht sahen.</t>
  </si>
  <si>
    <t>nahmen</t>
  </si>
  <si>
    <t>Kleid</t>
  </si>
  <si>
    <t>legten</t>
  </si>
  <si>
    <t>ihrer</t>
  </si>
  <si>
    <t>beider</t>
  </si>
  <si>
    <t>Schultern</t>
  </si>
  <si>
    <t>rücklings</t>
  </si>
  <si>
    <t>hinzu</t>
  </si>
  <si>
    <t>deckten</t>
  </si>
  <si>
    <t>ihr</t>
  </si>
  <si>
    <t>Angesicht</t>
  </si>
  <si>
    <t>war</t>
  </si>
  <si>
    <t>abgewandt</t>
  </si>
  <si>
    <t>ihres</t>
  </si>
  <si>
    <t>sahen</t>
  </si>
  <si>
    <t># text = Als nun Noah erwachte von seinem Wein und erfuhr, was ihm sein jüngster Sohn getan hatte,</t>
  </si>
  <si>
    <t>Als</t>
  </si>
  <si>
    <t>erwachte</t>
  </si>
  <si>
    <t>erfuhr</t>
  </si>
  <si>
    <t>jüngster</t>
  </si>
  <si>
    <t>Sohn</t>
  </si>
  <si>
    <t>getan</t>
  </si>
  <si>
    <t>hatte</t>
  </si>
  <si>
    <t># text = sprach er: Verflucht sei Kanaan und sei ein Knecht aller Knechte unter seinen Brüdern!</t>
  </si>
  <si>
    <t>Verflucht</t>
  </si>
  <si>
    <t>Kanaan</t>
  </si>
  <si>
    <t>Knecht</t>
  </si>
  <si>
    <t>aller</t>
  </si>
  <si>
    <t>Knechte</t>
  </si>
  <si>
    <t>!</t>
  </si>
  <si>
    <t># text = und sprach weiter: Gelobt sei der HERR, der Gott Sem's; und Kanaan sei sein Knecht!</t>
  </si>
  <si>
    <t>weiter</t>
  </si>
  <si>
    <t>Gelobt</t>
  </si>
  <si>
    <t>HERR</t>
  </si>
  <si>
    <t>Sem's</t>
  </si>
  <si>
    <t># text = Gott breite Japheth aus, und lasse ihn wohnen in den Hütten des Sem; und Kanaan sei sein Knecht!</t>
  </si>
  <si>
    <t>breite</t>
  </si>
  <si>
    <t>lasse</t>
  </si>
  <si>
    <t>wohnen</t>
  </si>
  <si>
    <t>Hütten</t>
  </si>
  <si>
    <t># text = Noah aber lebte nach der Sintflut dreihundertfünfzig Jahre,</t>
  </si>
  <si>
    <t>lebte</t>
  </si>
  <si>
    <t>dreihundertfünfzig</t>
  </si>
  <si>
    <t>Jahre</t>
  </si>
  <si>
    <t># text = daß sein ganzes Alter ward neunhundertundfünfzig Jahre, und starb.</t>
  </si>
  <si>
    <t>ganzes</t>
  </si>
  <si>
    <t>Alter</t>
  </si>
  <si>
    <t>neunhundertundfünfzig</t>
  </si>
  <si>
    <t>starb</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</si>
</sst>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30"/>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t="s">
        <v>15</v>
      </c>
      <c r="H2" s="10" t="s">
        <v>12</v>
      </c>
      <c r="I2" s="11" t="s">
        <v>12</v>
      </c>
      <c r="J2" s="12"/>
    </row>
    <row r="3" spans="1:10" ht="60" customHeight="1">
      <c r="A3" s="6" t="s">
        <v>16</v>
      </c>
      <c r="B3" s="6" t="s">
        <v>17</v>
      </c>
      <c r="C3" s="6" t="s">
        <v>12</v>
      </c>
      <c r="D3" s="7" t="s">
        <v>18</v>
      </c>
      <c r="E3" s="8" t="s">
        <v>19</v>
      </c>
      <c r="F3" s="6" t="s">
        <v>20</v>
      </c>
      <c r="G3" s="9" t="s">
        <v>20</v>
      </c>
      <c r="H3" s="10" t="s">
        <v>12</v>
      </c>
      <c r="I3" s="11" t="s">
        <v>12</v>
      </c>
      <c r="J3" s="12"/>
    </row>
    <row r="4" spans="1:10" ht="60" customHeight="1">
      <c r="A4" s="6" t="s">
        <v>11</v>
      </c>
      <c r="B4" s="6" t="s">
        <v>17</v>
      </c>
      <c r="C4" s="6" t="s">
        <v>12</v>
      </c>
      <c r="D4" s="7" t="s">
        <v>21</v>
      </c>
      <c r="E4" s="8" t="s">
        <v>22</v>
      </c>
      <c r="F4" s="6" t="s">
        <v>23</v>
      </c>
      <c r="G4" s="9" t="s">
        <v>23</v>
      </c>
      <c r="H4" s="10" t="s">
        <v>12</v>
      </c>
      <c r="I4" s="11" t="s">
        <v>12</v>
      </c>
      <c r="J4" s="12"/>
    </row>
    <row r="5" spans="1:10" ht="60" customHeight="1">
      <c r="A5" s="6" t="s">
        <v>24</v>
      </c>
      <c r="B5" s="6" t="s">
        <v>10</v>
      </c>
      <c r="C5" s="6" t="s">
        <v>25</v>
      </c>
      <c r="D5" s="7" t="s">
        <v>26</v>
      </c>
      <c r="E5" s="8" t="s">
        <v>27</v>
      </c>
      <c r="F5" s="6" t="s">
        <v>28</v>
      </c>
      <c r="G5" s="9" t="s">
        <v>28</v>
      </c>
      <c r="H5" s="10" t="s">
        <v>12</v>
      </c>
      <c r="I5" s="11" t="s">
        <v>12</v>
      </c>
      <c r="J5" s="12"/>
    </row>
    <row r="6" spans="1:10" ht="60" customHeight="1">
      <c r="A6" s="6" t="s">
        <v>29</v>
      </c>
      <c r="B6" s="6" t="s">
        <v>16</v>
      </c>
      <c r="C6" s="6" t="s">
        <v>12</v>
      </c>
      <c r="D6" s="7" t="s">
        <v>30</v>
      </c>
      <c r="E6" s="8" t="s">
        <v>31</v>
      </c>
      <c r="F6" s="6" t="s">
        <v>32</v>
      </c>
      <c r="G6" s="9" t="s">
        <v>32</v>
      </c>
      <c r="H6" s="10" t="s">
        <v>12</v>
      </c>
      <c r="I6" s="11" t="s">
        <v>12</v>
      </c>
      <c r="J6" s="12"/>
    </row>
    <row r="7" spans="1:10" ht="60" customHeight="1">
      <c r="A7" s="6" t="s">
        <v>17</v>
      </c>
      <c r="B7" s="6" t="s">
        <v>33</v>
      </c>
      <c r="C7" s="6" t="s">
        <v>12</v>
      </c>
      <c r="D7" s="7" t="s">
        <v>34</v>
      </c>
      <c r="E7" s="8" t="s">
        <v>35</v>
      </c>
      <c r="F7" s="6" t="s">
        <v>36</v>
      </c>
      <c r="G7" s="9" t="s">
        <v>36</v>
      </c>
      <c r="H7" s="10" t="s">
        <v>12</v>
      </c>
      <c r="I7" s="11" t="s">
        <v>12</v>
      </c>
      <c r="J7" s="12"/>
    </row>
    <row r="8" spans="1:10" ht="60" customHeight="1">
      <c r="A8" s="6" t="s">
        <v>33</v>
      </c>
      <c r="B8" s="6" t="s">
        <v>11</v>
      </c>
      <c r="C8" s="6" t="s">
        <v>12</v>
      </c>
      <c r="D8" s="7" t="s">
        <v>37</v>
      </c>
      <c r="E8" s="8" t="s">
        <v>38</v>
      </c>
      <c r="F8" s="6" t="s">
        <v>39</v>
      </c>
      <c r="G8" s="9" t="s">
        <v>39</v>
      </c>
      <c r="H8" s="10" t="s">
        <v>12</v>
      </c>
      <c r="I8" s="11" t="s">
        <v>12</v>
      </c>
      <c r="J8" s="12"/>
    </row>
    <row r="9" spans="1:10" ht="60" customHeight="1">
      <c r="A9" s="6" t="s">
        <v>40</v>
      </c>
      <c r="B9" s="6" t="s">
        <v>41</v>
      </c>
      <c r="C9" s="6" t="s">
        <v>12</v>
      </c>
      <c r="D9" s="7" t="s">
        <v>42</v>
      </c>
      <c r="E9" s="8" t="s">
        <v>43</v>
      </c>
      <c r="F9" s="6" t="s">
        <v>44</v>
      </c>
      <c r="G9" s="9" t="s">
        <v>44</v>
      </c>
      <c r="H9" s="10" t="s">
        <v>12</v>
      </c>
      <c r="I9" s="11" t="s">
        <v>12</v>
      </c>
      <c r="J9" s="12"/>
    </row>
    <row r="10" spans="1:10" ht="60" customHeight="1">
      <c r="A10" s="6" t="s">
        <v>41</v>
      </c>
      <c r="B10" s="6" t="s">
        <v>33</v>
      </c>
      <c r="C10" s="6" t="s">
        <v>12</v>
      </c>
      <c r="D10" s="7" t="s">
        <v>45</v>
      </c>
      <c r="E10" s="8" t="s">
        <v>46</v>
      </c>
      <c r="F10" s="6" t="s">
        <v>47</v>
      </c>
      <c r="G10" s="9" t="s">
        <v>47</v>
      </c>
      <c r="H10" s="10" t="s">
        <v>12</v>
      </c>
      <c r="I10" s="11" t="s">
        <v>12</v>
      </c>
      <c r="J10" s="12"/>
    </row>
    <row r="11" spans="1:10" ht="60" customHeight="1">
      <c r="A11" s="6" t="s">
        <v>48</v>
      </c>
      <c r="B11" s="6" t="s">
        <v>11</v>
      </c>
      <c r="C11" s="6" t="s">
        <v>12</v>
      </c>
      <c r="D11" s="7" t="s">
        <v>49</v>
      </c>
      <c r="E11" s="8" t="s">
        <v>50</v>
      </c>
      <c r="F11" s="6" t="s">
        <v>51</v>
      </c>
      <c r="G11" s="9" t="s">
        <v>51</v>
      </c>
      <c r="H11" s="10" t="s">
        <v>12</v>
      </c>
      <c r="I11" s="11" t="s">
        <v>12</v>
      </c>
      <c r="J11" s="12"/>
    </row>
    <row r="12" spans="1:10" ht="60" customHeight="1">
      <c r="A12" s="6" t="s">
        <v>52</v>
      </c>
      <c r="B12" s="6" t="s">
        <v>10</v>
      </c>
      <c r="C12" s="6" t="s">
        <v>12</v>
      </c>
      <c r="D12" s="7" t="s">
        <v>53</v>
      </c>
      <c r="E12" s="8" t="s">
        <v>54</v>
      </c>
      <c r="F12" s="6" t="s">
        <v>55</v>
      </c>
      <c r="G12" s="9" t="s">
        <v>55</v>
      </c>
      <c r="H12" s="10" t="s">
        <v>12</v>
      </c>
      <c r="I12" s="11" t="s">
        <v>12</v>
      </c>
      <c r="J12" s="12"/>
    </row>
    <row r="13" spans="1:10" ht="60" customHeight="1">
      <c r="A13" s="6" t="s">
        <v>56</v>
      </c>
      <c r="B13" s="6" t="s">
        <v>29</v>
      </c>
      <c r="C13" s="6" t="s">
        <v>25</v>
      </c>
      <c r="D13" s="7" t="s">
        <v>57</v>
      </c>
      <c r="E13" s="8" t="s">
        <v>58</v>
      </c>
      <c r="F13" s="6" t="s">
        <v>59</v>
      </c>
      <c r="G13" s="9" t="s">
        <v>59</v>
      </c>
      <c r="H13" s="10" t="s">
        <v>12</v>
      </c>
      <c r="I13" s="11" t="s">
        <v>12</v>
      </c>
      <c r="J13" s="12"/>
    </row>
    <row r="14" spans="1:10" ht="60" customHeight="1">
      <c r="A14" s="6" t="s">
        <v>60</v>
      </c>
      <c r="B14" s="6" t="s">
        <v>16</v>
      </c>
      <c r="C14" s="6" t="s">
        <v>12</v>
      </c>
      <c r="D14" s="7" t="s">
        <v>61</v>
      </c>
      <c r="E14" s="8" t="s">
        <v>62</v>
      </c>
      <c r="F14" s="6" t="s">
        <v>63</v>
      </c>
      <c r="G14" s="9" t="s">
        <v>63</v>
      </c>
      <c r="H14" s="10" t="s">
        <v>12</v>
      </c>
      <c r="I14" s="11" t="s">
        <v>12</v>
      </c>
      <c r="J14" s="12"/>
    </row>
    <row r="15" spans="1:10" ht="60" customHeight="1">
      <c r="A15" s="6" t="s">
        <v>64</v>
      </c>
      <c r="B15" s="6" t="s">
        <v>11</v>
      </c>
      <c r="C15" s="6" t="s">
        <v>12</v>
      </c>
      <c r="D15" s="7" t="s">
        <v>65</v>
      </c>
      <c r="E15" s="8" t="s">
        <v>66</v>
      </c>
      <c r="F15" s="6" t="s">
        <v>67</v>
      </c>
      <c r="G15" s="9" t="s">
        <v>67</v>
      </c>
      <c r="H15" s="10" t="s">
        <v>12</v>
      </c>
      <c r="I15" s="11" t="s">
        <v>12</v>
      </c>
      <c r="J15" s="12"/>
    </row>
    <row r="16" spans="1:10" ht="60" customHeight="1">
      <c r="A16" s="6" t="s">
        <v>68</v>
      </c>
      <c r="B16" s="6" t="s">
        <v>69</v>
      </c>
      <c r="C16" s="6" t="s">
        <v>12</v>
      </c>
      <c r="D16" s="7" t="s">
        <v>70</v>
      </c>
      <c r="E16" s="8" t="s">
        <v>71</v>
      </c>
      <c r="F16" s="6" t="s">
        <v>72</v>
      </c>
      <c r="G16" s="9" t="s">
        <v>72</v>
      </c>
      <c r="H16" s="10" t="s">
        <v>12</v>
      </c>
      <c r="I16" s="11" t="s">
        <v>12</v>
      </c>
      <c r="J16" s="12"/>
    </row>
    <row r="17" spans="1:10" ht="60" customHeight="1">
      <c r="A17" s="6" t="s">
        <v>73</v>
      </c>
      <c r="B17" s="6" t="s">
        <v>29</v>
      </c>
      <c r="C17" s="6" t="s">
        <v>12</v>
      </c>
      <c r="D17" s="7" t="s">
        <v>74</v>
      </c>
      <c r="E17" s="8" t="s">
        <v>75</v>
      </c>
      <c r="F17" s="6" t="s">
        <v>76</v>
      </c>
      <c r="G17" s="9" t="s">
        <v>76</v>
      </c>
      <c r="H17" s="10" t="s">
        <v>12</v>
      </c>
      <c r="I17" s="11" t="s">
        <v>12</v>
      </c>
      <c r="J17" s="12"/>
    </row>
    <row r="18" spans="1:10" ht="60" customHeight="1">
      <c r="A18" s="6" t="s">
        <v>77</v>
      </c>
      <c r="B18" s="6" t="s">
        <v>29</v>
      </c>
      <c r="C18" s="6" t="s">
        <v>12</v>
      </c>
      <c r="D18" s="7" t="s">
        <v>78</v>
      </c>
      <c r="E18" s="8" t="s">
        <v>79</v>
      </c>
      <c r="F18" s="6" t="s">
        <v>80</v>
      </c>
      <c r="G18" s="9" t="s">
        <v>80</v>
      </c>
      <c r="H18" s="10" t="s">
        <v>12</v>
      </c>
      <c r="I18" s="11" t="s">
        <v>12</v>
      </c>
      <c r="J18" s="12"/>
    </row>
    <row r="19" spans="1:10" ht="60" customHeight="1">
      <c r="A19" s="6" t="s">
        <v>81</v>
      </c>
      <c r="B19" s="6" t="s">
        <v>82</v>
      </c>
      <c r="C19" s="6" t="s">
        <v>12</v>
      </c>
      <c r="D19" s="7" t="s">
        <v>53</v>
      </c>
      <c r="E19" s="8" t="s">
        <v>83</v>
      </c>
      <c r="F19" s="6" t="s">
        <v>84</v>
      </c>
      <c r="G19" s="9" t="s">
        <v>84</v>
      </c>
      <c r="H19" s="10" t="s">
        <v>12</v>
      </c>
      <c r="I19" s="11" t="s">
        <v>12</v>
      </c>
      <c r="J19" s="12"/>
    </row>
    <row r="20" spans="1:10" ht="60" customHeight="1">
      <c r="A20" s="6" t="s">
        <v>82</v>
      </c>
      <c r="B20" s="6" t="s">
        <v>24</v>
      </c>
      <c r="C20" s="6" t="s">
        <v>12</v>
      </c>
      <c r="D20" s="7" t="s">
        <v>85</v>
      </c>
      <c r="E20" s="8" t="s">
        <v>86</v>
      </c>
      <c r="F20" s="6" t="s">
        <v>87</v>
      </c>
      <c r="G20" s="9" t="s">
        <v>87</v>
      </c>
      <c r="H20" s="10" t="s">
        <v>12</v>
      </c>
      <c r="I20" s="11" t="s">
        <v>12</v>
      </c>
      <c r="J20" s="12"/>
    </row>
    <row r="21" spans="1:10" ht="60" customHeight="1">
      <c r="A21" s="6" t="s">
        <v>88</v>
      </c>
      <c r="B21" s="6" t="s">
        <v>40</v>
      </c>
      <c r="C21" s="6" t="s">
        <v>12</v>
      </c>
      <c r="D21" s="7" t="s">
        <v>89</v>
      </c>
      <c r="E21" s="8" t="s">
        <v>90</v>
      </c>
      <c r="F21" s="6" t="s">
        <v>91</v>
      </c>
      <c r="G21" s="9" t="s">
        <v>91</v>
      </c>
      <c r="H21" s="10" t="s">
        <v>12</v>
      </c>
      <c r="I21" s="11" t="s">
        <v>12</v>
      </c>
      <c r="J21" s="12"/>
    </row>
    <row r="22" spans="1:10" ht="60" customHeight="1">
      <c r="A22" s="6" t="s">
        <v>92</v>
      </c>
      <c r="B22" s="6" t="s">
        <v>11</v>
      </c>
      <c r="C22" s="6" t="s">
        <v>12</v>
      </c>
      <c r="D22" s="7" t="s">
        <v>49</v>
      </c>
      <c r="E22" s="8" t="s">
        <v>93</v>
      </c>
      <c r="F22" s="6" t="s">
        <v>94</v>
      </c>
      <c r="G22" s="9" t="s">
        <v>94</v>
      </c>
      <c r="H22" s="10" t="s">
        <v>12</v>
      </c>
      <c r="I22" s="11" t="s">
        <v>12</v>
      </c>
      <c r="J22" s="12"/>
    </row>
    <row r="23" spans="1:10" ht="60" customHeight="1">
      <c r="A23" s="6" t="s">
        <v>95</v>
      </c>
      <c r="B23" s="6" t="s">
        <v>52</v>
      </c>
      <c r="C23" s="6" t="s">
        <v>12</v>
      </c>
      <c r="D23" s="7" t="s">
        <v>96</v>
      </c>
      <c r="E23" s="8" t="s">
        <v>97</v>
      </c>
      <c r="F23" s="6" t="s">
        <v>98</v>
      </c>
      <c r="G23" s="9" t="s">
        <v>98</v>
      </c>
      <c r="H23" s="10" t="s">
        <v>12</v>
      </c>
      <c r="I23" s="11" t="s">
        <v>12</v>
      </c>
      <c r="J23" s="12"/>
    </row>
    <row r="24" spans="1:10" ht="60" customHeight="1">
      <c r="A24" s="6" t="s">
        <v>69</v>
      </c>
      <c r="B24" s="6" t="s">
        <v>11</v>
      </c>
      <c r="C24" s="6" t="s">
        <v>12</v>
      </c>
      <c r="D24" s="7" t="s">
        <v>99</v>
      </c>
      <c r="E24" s="8" t="s">
        <v>100</v>
      </c>
      <c r="F24" s="6" t="s">
        <v>101</v>
      </c>
      <c r="G24" s="9" t="s">
        <v>101</v>
      </c>
      <c r="H24" s="10" t="s">
        <v>12</v>
      </c>
      <c r="I24" s="11" t="s">
        <v>12</v>
      </c>
      <c r="J24" s="12"/>
    </row>
    <row r="25" spans="1:10" ht="60" customHeight="1">
      <c r="A25" s="6" t="s">
        <v>102</v>
      </c>
      <c r="B25" s="6" t="s">
        <v>16</v>
      </c>
      <c r="C25" s="6" t="s">
        <v>12</v>
      </c>
      <c r="D25" s="7" t="s">
        <v>103</v>
      </c>
      <c r="E25" s="8" t="s">
        <v>104</v>
      </c>
      <c r="F25" s="6" t="s">
        <v>105</v>
      </c>
      <c r="G25" s="9" t="s">
        <v>105</v>
      </c>
      <c r="H25" s="10" t="s">
        <v>12</v>
      </c>
      <c r="I25" s="11" t="s">
        <v>12</v>
      </c>
      <c r="J25" s="12"/>
    </row>
    <row r="26" spans="1:10" ht="60" customHeight="1">
      <c r="A26" s="6" t="s">
        <v>106</v>
      </c>
      <c r="B26" s="6" t="s">
        <v>11</v>
      </c>
      <c r="C26" s="6" t="s">
        <v>12</v>
      </c>
      <c r="D26" s="7" t="s">
        <v>107</v>
      </c>
      <c r="E26" s="8" t="s">
        <v>108</v>
      </c>
      <c r="F26" s="6" t="s">
        <v>109</v>
      </c>
      <c r="G26" s="9" t="s">
        <v>109</v>
      </c>
      <c r="H26" s="10" t="s">
        <v>12</v>
      </c>
      <c r="I26" s="11" t="s">
        <v>12</v>
      </c>
      <c r="J26" s="12"/>
    </row>
    <row r="27" spans="1:10" ht="60" customHeight="1">
      <c r="A27" s="6" t="s">
        <v>110</v>
      </c>
      <c r="B27" s="6" t="s">
        <v>77</v>
      </c>
      <c r="C27" s="6" t="s">
        <v>12</v>
      </c>
      <c r="D27" s="7" t="s">
        <v>111</v>
      </c>
      <c r="E27" s="8" t="s">
        <v>112</v>
      </c>
      <c r="F27" s="6" t="s">
        <v>113</v>
      </c>
      <c r="G27" s="9" t="s">
        <v>113</v>
      </c>
      <c r="H27" s="10" t="s">
        <v>12</v>
      </c>
      <c r="I27" s="11" t="s">
        <v>12</v>
      </c>
      <c r="J27" s="12"/>
    </row>
    <row r="28" spans="1:10" ht="60" customHeight="1">
      <c r="A28" s="6" t="s">
        <v>114</v>
      </c>
      <c r="B28" s="6" t="s">
        <v>40</v>
      </c>
      <c r="C28" s="6" t="s">
        <v>12</v>
      </c>
      <c r="D28" s="7" t="s">
        <v>115</v>
      </c>
      <c r="E28" s="8" t="s">
        <v>116</v>
      </c>
      <c r="F28" s="6" t="s">
        <v>117</v>
      </c>
      <c r="G28" s="9" t="s">
        <v>117</v>
      </c>
      <c r="H28" s="10" t="s">
        <v>12</v>
      </c>
      <c r="I28" s="11" t="s">
        <v>12</v>
      </c>
      <c r="J28" s="12"/>
    </row>
    <row r="29" spans="1:10" ht="60" customHeight="1">
      <c r="A29" s="6" t="s">
        <v>118</v>
      </c>
      <c r="B29" s="6" t="s">
        <v>16</v>
      </c>
      <c r="C29" s="6" t="s">
        <v>12</v>
      </c>
      <c r="D29" s="7" t="s">
        <v>119</v>
      </c>
      <c r="E29" s="8" t="s">
        <v>120</v>
      </c>
      <c r="F29" s="6" t="s">
        <v>121</v>
      </c>
      <c r="G29" s="9" t="s">
        <v>121</v>
      </c>
      <c r="H29" s="10" t="s">
        <v>12</v>
      </c>
      <c r="I29" s="11" t="s">
        <v>12</v>
      </c>
      <c r="J29" s="12"/>
    </row>
    <row r="30" spans="1:10" ht="60" customHeight="1">
      <c r="A30" s="6" t="s">
        <v>122</v>
      </c>
      <c r="B30" s="6" t="s">
        <v>24</v>
      </c>
      <c r="C30" s="6" t="s">
        <v>12</v>
      </c>
      <c r="D30" s="7" t="s">
        <v>123</v>
      </c>
      <c r="E30" s="8" t="s">
        <v>124</v>
      </c>
      <c r="F30" s="6" t="s">
        <v>125</v>
      </c>
      <c r="G30" s="9" t="s">
        <v>125</v>
      </c>
      <c r="H30" s="10" t="s">
        <v>12</v>
      </c>
      <c r="I30" s="11" t="s">
        <v>12</v>
      </c>
      <c r="J30"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728"/>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126</v>
      </c>
      <c r="B1" s="13" t="s">
        <v>127</v>
      </c>
      <c r="C1" s="13" t="s">
        <v>128</v>
      </c>
      <c r="D1" s="13" t="s">
        <v>129</v>
      </c>
      <c r="E1" s="14" t="s">
        <v>130</v>
      </c>
      <c r="F1" s="15" t="s">
        <v>131</v>
      </c>
      <c r="G1" s="16" t="s">
        <v>132</v>
      </c>
      <c r="H1" s="17" t="s">
        <v>133</v>
      </c>
      <c r="I1" s="18" t="s">
        <v>134</v>
      </c>
      <c r="J1" s="18" t="s">
        <v>135</v>
      </c>
      <c r="K1" s="18" t="s">
        <v>136</v>
      </c>
      <c r="L1" s="19" t="s">
        <v>9</v>
      </c>
    </row>
    <row r="2" spans="1:12">
      <c r="A2" s="20" t="s">
        <v>137</v>
      </c>
    </row>
    <row r="3" spans="1:12">
      <c r="A3" s="20" t="s">
        <v>138</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139</v>
      </c>
      <c r="B4" s="27" t="s">
        <v>140</v>
      </c>
      <c r="C4" s="27" t="s">
        <v>141</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142</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143</v>
      </c>
      <c r="B6" s="27" t="s">
        <v>144</v>
      </c>
      <c r="C6" s="27" t="s">
        <v>145</v>
      </c>
      <c r="D6" s="27" t="s">
        <v>146</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147</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148</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149</v>
      </c>
      <c r="B9" s="27" t="s">
        <v>150</v>
      </c>
      <c r="C9" s="27" t="s">
        <v>151</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147</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152</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153</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t="s">
        <v>154</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t="s">
        <v>155</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147</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156</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157</v>
      </c>
      <c r="B17" s="27" t="s">
        <v>158</v>
      </c>
      <c r="C17" s="27" t="s">
        <v>159</v>
      </c>
      <c r="D17" s="27" t="s">
        <v>146</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147</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160</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161</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162</v>
      </c>
      <c r="B21" s="27" t="s">
        <v>158</v>
      </c>
      <c r="C21" s="27" t="s">
        <v>163</v>
      </c>
      <c r="D21" s="27" t="s">
        <v>146</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164</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row>
    <row r="24" spans="1:12">
      <c r="A24" s="20" t="s">
        <v>165</v>
      </c>
    </row>
    <row r="25" spans="1:12">
      <c r="A25" s="20" t="s">
        <v>166</v>
      </c>
      <c r="B25" s="27" t="s">
        <v>140</v>
      </c>
      <c r="C25" s="27" t="s">
        <v>141</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147</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167</v>
      </c>
      <c r="B27" s="27" t="s">
        <v>150</v>
      </c>
      <c r="C27" s="27" t="s">
        <v>141</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168</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157</v>
      </c>
      <c r="B29" s="27" t="s">
        <v>150</v>
      </c>
      <c r="C29" s="27" t="s">
        <v>159</v>
      </c>
      <c r="D29" s="27" t="s">
        <v>146</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169</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170</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26</v>
      </c>
      <c r="B32" s="27" t="s">
        <v>171</v>
      </c>
      <c r="C32" s="27" t="s">
        <v>172</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173</v>
      </c>
      <c r="B33" s="27" t="s">
        <v>171</v>
      </c>
      <c r="C33" s="27" t="s">
        <v>174</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175</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176</v>
      </c>
      <c r="B35" s="27" t="s">
        <v>171</v>
      </c>
      <c r="C35" s="27" t="s">
        <v>141</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147</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170</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26</v>
      </c>
      <c r="B38" s="27" t="s">
        <v>150</v>
      </c>
      <c r="C38" s="27" t="s">
        <v>172</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177</v>
      </c>
      <c r="B39" s="27" t="s">
        <v>171</v>
      </c>
      <c r="C39" s="27" t="s">
        <v>174</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t="s">
        <v>178</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179</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180</v>
      </c>
      <c r="B42" s="27" t="s">
        <v>150</v>
      </c>
      <c r="C42" s="27" t="s">
        <v>163</v>
      </c>
      <c r="D42" s="27" t="s">
        <v>146</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181</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170</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182</v>
      </c>
      <c r="B45" s="27" t="s">
        <v>183</v>
      </c>
      <c r="C45" s="27" t="s">
        <v>172</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181</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184</v>
      </c>
      <c r="B47" s="27" t="s">
        <v>185</v>
      </c>
      <c r="C47" s="27" t="s">
        <v>186</v>
      </c>
      <c r="D47" s="27" t="s">
        <v>146</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175</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179</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187</v>
      </c>
      <c r="B50" s="27" t="s">
        <v>183</v>
      </c>
      <c r="C50" s="27" t="s">
        <v>163</v>
      </c>
      <c r="D50" s="27" t="s">
        <v>146</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188</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181</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147</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170</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26</v>
      </c>
      <c r="B55" s="27" t="s">
        <v>150</v>
      </c>
      <c r="C55" s="27" t="s">
        <v>172</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189</v>
      </c>
      <c r="B56" s="27" t="s">
        <v>171</v>
      </c>
      <c r="C56" s="27" t="s">
        <v>174</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190</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179</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191</v>
      </c>
      <c r="B59" s="27" t="s">
        <v>150</v>
      </c>
      <c r="C59" s="27" t="s">
        <v>163</v>
      </c>
      <c r="D59" s="27" t="s">
        <v>146</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192</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row>
    <row r="62" spans="1:12">
      <c r="A62" s="20" t="s">
        <v>193</v>
      </c>
    </row>
    <row r="63" spans="1:12">
      <c r="A63" s="20" t="s">
        <v>190</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194</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195</v>
      </c>
      <c r="B65" s="27" t="s">
        <v>171</v>
      </c>
      <c r="C65" s="27" t="s">
        <v>151</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196</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197</v>
      </c>
      <c r="B67" s="27" t="s">
        <v>140</v>
      </c>
      <c r="C67" s="27" t="s">
        <v>186</v>
      </c>
      <c r="D67" s="27" t="s">
        <v>146</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198</v>
      </c>
      <c r="E68" s="21">
        <f>IF(D68="?OLD","!!!","")</f>
        <v/>
      </c>
      <c r="F68" s="22" t="str">
        <f>IF(OR(E68="",E68="!!!"),"",IF(NOT(ISNA(VLOOKUP(E68,E$1:E67,1,FALSE()))),"OLD",IF(AND(E68&lt;&gt;"",E68&lt;&gt;"!!!"),"NEW","")))</f>
        <v> </v>
      </c>
      <c r="G68" s="23" t="str">
        <f>IF(OR(E68="",E68="!!!"),"",IF(OR(J68=0,AND(J68=1,K68=1),AND(J68=1,I68="SBJ"),AND(J68=1,I68=0)),"?IN_FOCUS",IF(J68&lt;=2,"?ACTIVATED",IF(J68&lt;&gt;"","?FAMILIAR",IF(F68="NEW",IF(ISNA(VLOOKUP(E68,#REF!,1,FALSE())),"?TYPE_IDENTIFIABLE","?REFERENTIAL"),"_")))))</f>
        <v> </v>
      </c>
      <c r="H68" s="24" t="str">
        <f>IF(J68&lt;&gt;1,"",IF(I68="SBJ","CB","?"))</f>
        <v> </v>
      </c>
      <c r="I68" s="25" t="str">
        <f>IF(OR(E68="",E68="!!!",F68="NEW"),"",INDEX(B67:B$2,-1+SUMPRODUCT(MAX(ROW(E67:E$2)*(E68=E67:E$2)))))</f>
        <v> </v>
      </c>
      <c r="J68" s="25" t="str">
        <f>IF(OR(E68="",E68="!!!",F68="NEW"),"",COUNTBLANK(OFFSET(A$1,,,SUMPRODUCT(MAX(ROW(E$2:E68)*(E68=E$2:E68)))))-COUNTBLANK(OFFSET(A$1,,,SUMPRODUCT(MAX(ROW(E$1:E67)*(E2=E$1:E67))))))</f>
        <v> </v>
      </c>
      <c r="K68" s="25" t="str">
        <f>IF(OR(E68="",E68="!!!",F68="NEW"),"",INDEX(J$1:J67,SUMPRODUCT(MAX(ROW(E$1:E67)*(E68=E$1:E67)))))</f>
        <v> </v>
      </c>
      <c r="L68" s="26"/>
    </row>
    <row r="69" spans="1:12">
      <c r="A69" s="20" t="s">
        <v>164</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row>
    <row r="71" spans="1:12">
      <c r="A71" s="20" t="s">
        <v>199</v>
      </c>
    </row>
    <row r="72" spans="1:12">
      <c r="A72" s="20" t="s">
        <v>200</v>
      </c>
      <c r="B72" s="27" t="s">
        <v>171</v>
      </c>
      <c r="C72" s="27" t="s">
        <v>172</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181</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184</v>
      </c>
      <c r="B74" s="27" t="s">
        <v>201</v>
      </c>
      <c r="C74" s="27" t="s">
        <v>186</v>
      </c>
      <c r="D74" s="27" t="s">
        <v>146</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202</v>
      </c>
      <c r="B75" s="27" t="s">
        <v>158</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203</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147</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204</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181</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205</v>
      </c>
      <c r="B80" s="27" t="s">
        <v>201</v>
      </c>
      <c r="C80" s="27" t="s">
        <v>206</v>
      </c>
      <c r="D80" s="27" t="s">
        <v>146</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t="s">
        <v>169</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t="s">
        <v>194</v>
      </c>
      <c r="B82" s="27" t="s">
        <v>158</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t="s">
        <v>207</v>
      </c>
      <c r="B83" s="27" t="s">
        <v>158</v>
      </c>
      <c r="C83" s="27" t="s">
        <v>141</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192</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208</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205</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209</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210</v>
      </c>
      <c r="B88" s="27" t="s">
        <v>201</v>
      </c>
      <c r="C88" s="27" t="s">
        <v>163</v>
      </c>
      <c r="D88" s="27" t="s">
        <v>146</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211</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212</v>
      </c>
      <c r="B90" s="27" t="s">
        <v>201</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157</v>
      </c>
      <c r="B91" s="27" t="s">
        <v>185</v>
      </c>
      <c r="C91" s="27" t="s">
        <v>159</v>
      </c>
      <c r="D91" s="27" t="s">
        <v>146</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182</v>
      </c>
      <c r="B92" s="27" t="s">
        <v>158</v>
      </c>
      <c r="C92" s="27" t="s">
        <v>172</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198</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164</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row>
    <row r="96" spans="1:12">
      <c r="A96" s="20" t="s">
        <v>213</v>
      </c>
    </row>
    <row r="97" spans="1:12">
      <c r="A97" s="20" t="s">
        <v>214</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t="s">
        <v>215</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t="s">
        <v>205</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t="s">
        <v>216</v>
      </c>
      <c r="B100" s="27" t="s">
        <v>140</v>
      </c>
      <c r="C100" s="27" t="s">
        <v>163</v>
      </c>
      <c r="D100" s="27" t="s">
        <v>146</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217</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181</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205</v>
      </c>
      <c r="B103" s="27" t="s">
        <v>201</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218</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t="s">
        <v>204</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190</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219</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220</v>
      </c>
      <c r="B108" s="27" t="s">
        <v>150</v>
      </c>
      <c r="C108" s="27" t="s">
        <v>151</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164</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row>
    <row r="111" spans="1:12">
      <c r="A111" s="20" t="s">
        <v>221</v>
      </c>
    </row>
    <row r="112" spans="1:12">
      <c r="A112" s="20" t="s">
        <v>222</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223</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224</v>
      </c>
      <c r="B114" s="27" t="s">
        <v>140</v>
      </c>
      <c r="C114" s="27" t="s">
        <v>159</v>
      </c>
      <c r="D114" s="27" t="s">
        <v>146</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t="s">
        <v>225</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226</v>
      </c>
      <c r="B116" s="27" t="s">
        <v>144</v>
      </c>
      <c r="C116" s="27" t="s">
        <v>141</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t="s">
        <v>220</v>
      </c>
      <c r="B117" s="27" t="s">
        <v>150</v>
      </c>
      <c r="C117" s="27" t="s">
        <v>145</v>
      </c>
      <c r="D117" s="27" t="s">
        <v>146</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34</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147</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227</v>
      </c>
      <c r="B120" s="27" t="s">
        <v>201</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228</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229</v>
      </c>
      <c r="B122" s="27" t="s">
        <v>183</v>
      </c>
      <c r="C122" s="27" t="s">
        <v>172</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230</v>
      </c>
      <c r="B123" s="27" t="s">
        <v>150</v>
      </c>
      <c r="C123" s="27" t="s">
        <v>174</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t="s">
        <v>34</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147</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223</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231</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t="s">
        <v>232</v>
      </c>
      <c r="B128" s="27" t="s">
        <v>233</v>
      </c>
      <c r="C128" s="27" t="s">
        <v>163</v>
      </c>
      <c r="D128" s="27" t="s">
        <v>146</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234</v>
      </c>
      <c r="B129" s="27" t="s">
        <v>185</v>
      </c>
      <c r="C129" s="27" t="s">
        <v>145</v>
      </c>
      <c r="D129" s="27" t="s">
        <v>146</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34</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228</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t="s">
        <v>235</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t="s">
        <v>236</v>
      </c>
      <c r="B133" s="27" t="s">
        <v>237</v>
      </c>
      <c r="C133" s="27" t="s">
        <v>172</v>
      </c>
      <c r="E133" s="21">
        <f>IF(D133="?OLD","!!!","")</f>
        <v/>
      </c>
      <c r="F133" s="22" t="str">
        <f>IF(OR(E133="",E133="!!!"),"",IF(NOT(ISNA(VLOOKUP(E133,E$1:E132,1,FALSE()))),"OLD",IF(AND(E133&lt;&gt;"",E133&lt;&gt;"!!!"),"NEW","")))</f>
        <v> </v>
      </c>
      <c r="G133" s="23" t="str">
        <f>IF(OR(E133="",E133="!!!"),"",IF(OR(J133=0,AND(J133=1,K133=1),AND(J133=1,I133="SBJ"),AND(J133=1,I133=0)),"?IN_FOCUS",IF(J133&lt;=2,"?ACTIVATED",IF(J133&lt;&gt;"","?FAMILIAR",IF(F133="NEW",IF(ISNA(VLOOKUP(E133,#REF!,1,FALSE())),"?TYPE_IDENTIFIABLE","?REFERENTIAL"),"_")))))</f>
        <v> </v>
      </c>
      <c r="H133" s="24" t="str">
        <f>IF(J133&lt;&gt;1,"",IF(I133="SBJ","CB","?"))</f>
        <v> </v>
      </c>
      <c r="I133" s="25" t="str">
        <f>IF(OR(E133="",E133="!!!",F133="NEW"),"",INDEX(B132:B$2,-1+SUMPRODUCT(MAX(ROW(E132:E$2)*(E133=E132:E$2)))))</f>
        <v> </v>
      </c>
      <c r="J133" s="25" t="str">
        <f>IF(OR(E133="",E133="!!!",F133="NEW"),"",COUNTBLANK(OFFSET(A$1,,,SUMPRODUCT(MAX(ROW(E$2:E133)*(E133=E$2:E133)))))-COUNTBLANK(OFFSET(A$1,,,SUMPRODUCT(MAX(ROW(E$1:E132)*(E2=E$1:E132))))))</f>
        <v> </v>
      </c>
      <c r="K133" s="25" t="str">
        <f>IF(OR(E133="",E133="!!!",F133="NEW"),"",INDEX(J$1:J132,SUMPRODUCT(MAX(ROW(E$1:E132)*(E133=E$1:E132)))))</f>
        <v> </v>
      </c>
      <c r="L133" s="26"/>
    </row>
    <row r="134" spans="1:12">
      <c r="A134" s="20" t="s">
        <v>232</v>
      </c>
      <c r="B134" s="27" t="s">
        <v>238</v>
      </c>
      <c r="C134" s="27" t="s">
        <v>239</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240</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179</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181</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241</v>
      </c>
      <c r="B138" s="27" t="s">
        <v>242</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t="s">
        <v>78</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243</v>
      </c>
      <c r="B140" s="27" t="s">
        <v>238</v>
      </c>
      <c r="C140" s="27" t="s">
        <v>151</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244</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164</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row>
    <row r="144" spans="1:12">
      <c r="A144" s="20" t="s">
        <v>245</v>
      </c>
    </row>
    <row r="145" spans="1:12">
      <c r="A145" s="20" t="s">
        <v>246</v>
      </c>
      <c r="B145" s="27" t="s">
        <v>140</v>
      </c>
      <c r="C145" s="27" t="s">
        <v>247</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248</v>
      </c>
      <c r="B146" s="27" t="s">
        <v>144</v>
      </c>
      <c r="C146" s="27" t="s">
        <v>141</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249</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t="s">
        <v>181</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231</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220</v>
      </c>
      <c r="B150" s="27" t="s">
        <v>201</v>
      </c>
      <c r="C150" s="27" t="s">
        <v>163</v>
      </c>
      <c r="D150" s="27" t="s">
        <v>146</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t="s">
        <v>250</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251</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252</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232</v>
      </c>
      <c r="B154" s="27" t="s">
        <v>150</v>
      </c>
      <c r="C154" s="27" t="s">
        <v>141</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t="s">
        <v>253</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t="s">
        <v>254</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t="s">
        <v>192</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row>
    <row r="159" spans="1:12">
      <c r="A159" s="20" t="s">
        <v>255</v>
      </c>
    </row>
    <row r="160" spans="1:12">
      <c r="A160" s="20" t="s">
        <v>256</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139</v>
      </c>
      <c r="B161" s="27" t="s">
        <v>201</v>
      </c>
      <c r="C161" s="27" t="s">
        <v>145</v>
      </c>
      <c r="D161" s="27" t="s">
        <v>146</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257</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258</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232</v>
      </c>
      <c r="B164" s="27" t="s">
        <v>144</v>
      </c>
      <c r="C164" s="27" t="s">
        <v>163</v>
      </c>
      <c r="D164" s="27" t="s">
        <v>146</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259</v>
      </c>
      <c r="B165" s="27" t="s">
        <v>150</v>
      </c>
      <c r="C165" s="27" t="s">
        <v>172</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219</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260</v>
      </c>
      <c r="B167" s="27" t="s">
        <v>171</v>
      </c>
      <c r="C167" s="27" t="s">
        <v>151</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t="s">
        <v>261</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164</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row>
    <row r="171" spans="1:12">
      <c r="A171" s="20" t="s">
        <v>262</v>
      </c>
    </row>
    <row r="172" spans="1:12">
      <c r="A172" s="20" t="s">
        <v>154</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155</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t="s">
        <v>147</v>
      </c>
      <c r="E174" s="21">
        <f>IF(D174="?OLD","!!!","")</f>
        <v/>
      </c>
      <c r="F174" s="22" t="str">
        <f>IF(OR(E174="",E174="!!!"),"",IF(NOT(ISNA(VLOOKUP(E174,E$1:E173,1,FALSE()))),"OLD",IF(AND(E174&lt;&gt;"",E174&lt;&gt;"!!!"),"NEW","")))</f>
        <v> </v>
      </c>
      <c r="G174" s="23" t="str">
        <f>IF(OR(E174="",E174="!!!"),"",IF(OR(J174=0,AND(J174=1,K174=1),AND(J174=1,I174="SBJ"),AND(J174=1,I174=0)),"?IN_FOCUS",IF(J174&lt;=2,"?ACTIVATED",IF(J174&lt;&gt;"","?FAMILIAR",IF(F174="NEW",IF(ISNA(VLOOKUP(E174,#REF!,1,FALSE())),"?TYPE_IDENTIFIABLE","?REFERENTIAL"),"_")))))</f>
        <v> </v>
      </c>
      <c r="H174" s="24" t="str">
        <f>IF(J174&lt;&gt;1,"",IF(I174="SBJ","CB","?"))</f>
        <v> </v>
      </c>
      <c r="I174" s="25" t="str">
        <f>IF(OR(E174="",E174="!!!",F174="NEW"),"",INDEX(B173:B$2,-1+SUMPRODUCT(MAX(ROW(E173:E$2)*(E174=E173:E$2)))))</f>
        <v> </v>
      </c>
      <c r="J174" s="25" t="str">
        <f>IF(OR(E174="",E174="!!!",F174="NEW"),"",COUNTBLANK(OFFSET(A$1,,,SUMPRODUCT(MAX(ROW(E$2:E174)*(E174=E$2:E174)))))-COUNTBLANK(OFFSET(A$1,,,SUMPRODUCT(MAX(ROW(E$1:E173)*(E2=E$1:E173))))))</f>
        <v> </v>
      </c>
      <c r="K174" s="25" t="str">
        <f>IF(OR(E174="",E174="!!!",F174="NEW"),"",INDEX(J$1:J173,SUMPRODUCT(MAX(ROW(E$1:E173)*(E174=E$1:E173)))))</f>
        <v> </v>
      </c>
      <c r="L174" s="26"/>
    </row>
    <row r="175" spans="1:12">
      <c r="A175" s="20" t="s">
        <v>156</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157</v>
      </c>
      <c r="B176" s="27" t="s">
        <v>171</v>
      </c>
      <c r="C176" s="27" t="s">
        <v>159</v>
      </c>
      <c r="D176" s="27" t="s">
        <v>146</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147</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t="s">
        <v>203</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t="s">
        <v>157</v>
      </c>
      <c r="B179" s="27" t="s">
        <v>144</v>
      </c>
      <c r="C179" s="27" t="s">
        <v>159</v>
      </c>
      <c r="D179" s="27" t="s">
        <v>146</v>
      </c>
      <c r="E179" s="21">
        <f>IF(D179="?OLD","!!!","")</f>
        <v/>
      </c>
      <c r="F179" s="22" t="str">
        <f>IF(OR(E179="",E179="!!!"),"",IF(NOT(ISNA(VLOOKUP(E179,E$1:E178,1,FALSE()))),"OLD",IF(AND(E179&lt;&gt;"",E179&lt;&gt;"!!!"),"NEW","")))</f>
        <v> </v>
      </c>
      <c r="G179" s="23" t="str">
        <f>IF(OR(E179="",E179="!!!"),"",IF(OR(J179=0,AND(J179=1,K179=1),AND(J179=1,I179="SBJ"),AND(J179=1,I179=0)),"?IN_FOCUS",IF(J179&lt;=2,"?ACTIVATED",IF(J179&lt;&gt;"","?FAMILIAR",IF(F179="NEW",IF(ISNA(VLOOKUP(E179,#REF!,1,FALSE())),"?TYPE_IDENTIFIABLE","?REFERENTIAL"),"_")))))</f>
        <v> </v>
      </c>
      <c r="H179" s="24" t="str">
        <f>IF(J179&lt;&gt;1,"",IF(I179="SBJ","CB","?"))</f>
        <v> </v>
      </c>
      <c r="I179" s="25" t="str">
        <f>IF(OR(E179="",E179="!!!",F179="NEW"),"",INDEX(B178:B$2,-1+SUMPRODUCT(MAX(ROW(E178:E$2)*(E179=E178:E$2)))))</f>
        <v> </v>
      </c>
      <c r="J179" s="25" t="str">
        <f>IF(OR(E179="",E179="!!!",F179="NEW"),"",COUNTBLANK(OFFSET(A$1,,,SUMPRODUCT(MAX(ROW(E$2:E179)*(E179=E$2:E179)))))-COUNTBLANK(OFFSET(A$1,,,SUMPRODUCT(MAX(ROW(E$1:E178)*(E2=E$1:E178))))))</f>
        <v> </v>
      </c>
      <c r="K179" s="25" t="str">
        <f>IF(OR(E179="",E179="!!!",F179="NEW"),"",INDEX(J$1:J178,SUMPRODUCT(MAX(ROW(E$1:E178)*(E179=E$1:E178)))))</f>
        <v> </v>
      </c>
      <c r="L179" s="26"/>
    </row>
    <row r="180" spans="1:12">
      <c r="A180" s="20" t="s">
        <v>175</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176</v>
      </c>
      <c r="B181" s="27" t="s">
        <v>171</v>
      </c>
      <c r="C181" s="27" t="s">
        <v>141</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t="s">
        <v>181</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263</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264</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265</v>
      </c>
      <c r="B185" s="27" t="s">
        <v>238</v>
      </c>
      <c r="C185" s="27" t="s">
        <v>186</v>
      </c>
      <c r="D185" s="27" t="s">
        <v>146</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266</v>
      </c>
      <c r="B186" s="27" t="s">
        <v>183</v>
      </c>
      <c r="C186" s="27" t="s">
        <v>267</v>
      </c>
      <c r="D186" s="27" t="s">
        <v>146</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254</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164</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row>
    <row r="190" spans="1:12">
      <c r="A190" s="20" t="s">
        <v>268</v>
      </c>
    </row>
    <row r="191" spans="1:12">
      <c r="A191" s="20" t="s">
        <v>138</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139</v>
      </c>
      <c r="B192" s="27" t="s">
        <v>140</v>
      </c>
      <c r="C192" s="27" t="s">
        <v>141</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269</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259</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143</v>
      </c>
      <c r="B195" s="27" t="s">
        <v>171</v>
      </c>
      <c r="C195" s="27" t="s">
        <v>145</v>
      </c>
      <c r="D195" s="27" t="s">
        <v>146</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147</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270</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271</v>
      </c>
      <c r="B198" s="27" t="s">
        <v>150</v>
      </c>
      <c r="C198" s="27" t="s">
        <v>151</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272</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273</v>
      </c>
      <c r="B200" s="27" t="s">
        <v>171</v>
      </c>
      <c r="C200" s="27" t="s">
        <v>159</v>
      </c>
      <c r="D200" s="27" t="s">
        <v>146</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153</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row>
    <row r="203" spans="1:12">
      <c r="A203" s="20" t="s">
        <v>274</v>
      </c>
    </row>
    <row r="204" spans="1:12">
      <c r="A204" s="20" t="s">
        <v>275</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181</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224</v>
      </c>
      <c r="B206" s="27" t="s">
        <v>201</v>
      </c>
      <c r="C206" s="27" t="s">
        <v>159</v>
      </c>
      <c r="D206" s="27" t="s">
        <v>146</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276</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272</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t="s">
        <v>157</v>
      </c>
      <c r="B209" s="27" t="s">
        <v>150</v>
      </c>
      <c r="C209" s="27" t="s">
        <v>159</v>
      </c>
      <c r="D209" s="27" t="s">
        <v>146</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t="s">
        <v>277</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t="s">
        <v>278</v>
      </c>
      <c r="B211" s="27" t="s">
        <v>158</v>
      </c>
      <c r="C211" s="27" t="s">
        <v>239</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175</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147</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272</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279</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280</v>
      </c>
      <c r="B216" s="27" t="s">
        <v>183</v>
      </c>
      <c r="C216" s="27" t="s">
        <v>151</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281</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157</v>
      </c>
      <c r="B218" s="27" t="s">
        <v>150</v>
      </c>
      <c r="C218" s="27" t="s">
        <v>159</v>
      </c>
      <c r="D218" s="27" t="s">
        <v>146</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row>
    <row r="220" spans="1:12">
      <c r="A220" s="20" t="s">
        <v>282</v>
      </c>
    </row>
    <row r="221" spans="1:12">
      <c r="A221" s="20" t="s">
        <v>147</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272</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283</v>
      </c>
      <c r="B223" s="27" t="s">
        <v>150</v>
      </c>
      <c r="C223" s="27" t="s">
        <v>172</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284</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57</v>
      </c>
      <c r="B225" s="27" t="s">
        <v>171</v>
      </c>
      <c r="C225" s="27" t="s">
        <v>174</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285</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157</v>
      </c>
      <c r="B227" s="27" t="s">
        <v>171</v>
      </c>
      <c r="C227" s="27" t="s">
        <v>159</v>
      </c>
      <c r="D227" s="27" t="s">
        <v>146</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t="s">
        <v>181</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t="s">
        <v>228</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t="s">
        <v>286</v>
      </c>
      <c r="B230" s="27" t="s">
        <v>171</v>
      </c>
      <c r="C230" s="27" t="s">
        <v>141</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t="s">
        <v>181</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t="s">
        <v>228</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t="s">
        <v>287</v>
      </c>
      <c r="B233" s="27" t="s">
        <v>171</v>
      </c>
      <c r="C233" s="27" t="s">
        <v>141</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t="s">
        <v>147</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t="s">
        <v>228</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229</v>
      </c>
      <c r="B236" s="27" t="s">
        <v>150</v>
      </c>
      <c r="C236" s="27" t="s">
        <v>172</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230</v>
      </c>
      <c r="B237" s="27" t="s">
        <v>171</v>
      </c>
      <c r="C237" s="27" t="s">
        <v>174</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175</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176</v>
      </c>
      <c r="B239" s="27" t="s">
        <v>150</v>
      </c>
      <c r="C239" s="27" t="s">
        <v>141</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285</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t="s">
        <v>157</v>
      </c>
      <c r="B241" s="27" t="s">
        <v>171</v>
      </c>
      <c r="C241" s="27" t="s">
        <v>159</v>
      </c>
      <c r="D241" s="27" t="s">
        <v>146</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181</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288</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283</v>
      </c>
      <c r="B244" s="27" t="s">
        <v>171</v>
      </c>
      <c r="C244" s="27" t="s">
        <v>172</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181</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t="s">
        <v>184</v>
      </c>
      <c r="B246" s="27" t="s">
        <v>201</v>
      </c>
      <c r="C246" s="27" t="s">
        <v>186</v>
      </c>
      <c r="D246" s="27" t="s">
        <v>146</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t="s">
        <v>289</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t="s">
        <v>179</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t="s">
        <v>290</v>
      </c>
      <c r="B249" s="27" t="s">
        <v>150</v>
      </c>
      <c r="C249" s="27" t="s">
        <v>163</v>
      </c>
      <c r="D249" s="27" t="s">
        <v>146</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291</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244</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181</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184</v>
      </c>
      <c r="B253" s="27" t="s">
        <v>201</v>
      </c>
      <c r="C253" s="27" t="s">
        <v>186</v>
      </c>
      <c r="D253" s="27" t="s">
        <v>146</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292</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173</v>
      </c>
      <c r="B255" s="27" t="s">
        <v>150</v>
      </c>
      <c r="C255" s="27" t="s">
        <v>141</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293</v>
      </c>
      <c r="B256" s="27" t="s">
        <v>201</v>
      </c>
      <c r="C256" s="27" t="s">
        <v>159</v>
      </c>
      <c r="D256" s="27" t="s">
        <v>146</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294</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175</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176</v>
      </c>
      <c r="B259" s="27" t="s">
        <v>150</v>
      </c>
      <c r="C259" s="27" t="s">
        <v>141</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164</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row>
    <row r="262" spans="1:12">
      <c r="A262" s="20" t="s">
        <v>295</v>
      </c>
    </row>
    <row r="263" spans="1:12">
      <c r="A263" s="20" t="s">
        <v>138</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276</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296</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278</v>
      </c>
      <c r="B266" s="27" t="s">
        <v>144</v>
      </c>
      <c r="C266" s="27" t="s">
        <v>151</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297</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272</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157</v>
      </c>
      <c r="B269" s="27" t="s">
        <v>171</v>
      </c>
      <c r="C269" s="27" t="s">
        <v>159</v>
      </c>
      <c r="D269" s="27" t="s">
        <v>146</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175</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181</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263</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298</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217</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299</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182</v>
      </c>
      <c r="B276" s="27" t="s">
        <v>183</v>
      </c>
      <c r="C276" s="27" t="s">
        <v>172</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216</v>
      </c>
      <c r="B277" s="27" t="s">
        <v>201</v>
      </c>
      <c r="C277" s="27" t="s">
        <v>174</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300</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254</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250</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272</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t="s">
        <v>179</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301</v>
      </c>
      <c r="B283" s="27" t="s">
        <v>150</v>
      </c>
      <c r="C283" s="27" t="s">
        <v>163</v>
      </c>
      <c r="D283" s="27" t="s">
        <v>146</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241</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302</v>
      </c>
      <c r="B285" s="27" t="s">
        <v>183</v>
      </c>
      <c r="C285" s="27" t="s">
        <v>163</v>
      </c>
      <c r="D285" s="27" t="s">
        <v>146</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181</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147</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250</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298</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303</v>
      </c>
      <c r="B290" s="27" t="s">
        <v>183</v>
      </c>
      <c r="C290" s="27" t="s">
        <v>186</v>
      </c>
      <c r="D290" s="27" t="s">
        <v>146</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302</v>
      </c>
      <c r="B291" s="27" t="s">
        <v>201</v>
      </c>
      <c r="C291" s="27" t="s">
        <v>174</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t="s">
        <v>299</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t="s">
        <v>304</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t="s">
        <v>181</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t="s">
        <v>161</v>
      </c>
      <c r="B295" s="27" t="s">
        <v>201</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161</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162</v>
      </c>
      <c r="B297" s="27" t="s">
        <v>158</v>
      </c>
      <c r="C297" s="27" t="s">
        <v>163</v>
      </c>
      <c r="D297" s="27" t="s">
        <v>146</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t="s">
        <v>305</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164</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row>
    <row r="301" spans="1:12">
      <c r="A301" s="20" t="s">
        <v>306</v>
      </c>
    </row>
    <row r="302" spans="1:12">
      <c r="A302" s="20" t="s">
        <v>138</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139</v>
      </c>
      <c r="B303" s="27" t="s">
        <v>140</v>
      </c>
      <c r="C303" s="27" t="s">
        <v>141</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152</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153</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row>
    <row r="307" spans="1:12">
      <c r="A307" s="20" t="s">
        <v>307</v>
      </c>
    </row>
    <row r="308" spans="1:12">
      <c r="A308" s="20" t="s">
        <v>308</v>
      </c>
      <c r="B308" s="27" t="s">
        <v>201</v>
      </c>
      <c r="C308" s="27" t="s">
        <v>206</v>
      </c>
      <c r="D308" s="27" t="s">
        <v>146</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t="s">
        <v>244</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205</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309</v>
      </c>
      <c r="B311" s="27" t="s">
        <v>140</v>
      </c>
      <c r="C311" s="27" t="s">
        <v>163</v>
      </c>
      <c r="D311" s="27" t="s">
        <v>146</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231</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310</v>
      </c>
      <c r="B313" s="27" t="s">
        <v>150</v>
      </c>
      <c r="C313" s="27" t="s">
        <v>163</v>
      </c>
      <c r="D313" s="27" t="s">
        <v>146</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t="s">
        <v>181</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258</v>
      </c>
      <c r="B315" s="27" t="s">
        <v>233</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224</v>
      </c>
      <c r="B316" s="27" t="s">
        <v>185</v>
      </c>
      <c r="C316" s="27" t="s">
        <v>159</v>
      </c>
      <c r="D316" s="27" t="s">
        <v>146</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261</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t="s">
        <v>211</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t="s">
        <v>311</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312</v>
      </c>
      <c r="B320" s="27" t="s">
        <v>171</v>
      </c>
      <c r="C320" s="27" t="s">
        <v>159</v>
      </c>
      <c r="D320" s="27" t="s">
        <v>146</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147</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157</v>
      </c>
      <c r="B322" s="27" t="s">
        <v>150</v>
      </c>
      <c r="C322" s="27" t="s">
        <v>159</v>
      </c>
      <c r="D322" s="27" t="s">
        <v>146</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147</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229</v>
      </c>
      <c r="B324" s="27" t="s">
        <v>150</v>
      </c>
      <c r="C324" s="27" t="s">
        <v>172</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284</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313</v>
      </c>
      <c r="B326" s="27" t="s">
        <v>144</v>
      </c>
      <c r="C326" s="27" t="s">
        <v>174</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285</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t="s">
        <v>157</v>
      </c>
      <c r="B328" s="27" t="s">
        <v>171</v>
      </c>
      <c r="C328" s="27" t="s">
        <v>159</v>
      </c>
      <c r="D328" s="27" t="s">
        <v>146</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298</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70</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153</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row>
    <row r="333" spans="1:12">
      <c r="A333" s="20" t="s">
        <v>314</v>
      </c>
    </row>
    <row r="334" spans="1:12">
      <c r="A334" s="20" t="s">
        <v>315</v>
      </c>
      <c r="B334" s="27" t="s">
        <v>150</v>
      </c>
      <c r="C334" s="27" t="s">
        <v>159</v>
      </c>
      <c r="D334" s="27" t="s">
        <v>146</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t="s">
        <v>316</v>
      </c>
      <c r="B335" s="27" t="s">
        <v>144</v>
      </c>
      <c r="C335" s="27" t="s">
        <v>151</v>
      </c>
      <c r="E335" s="21">
        <f>IF(D335="?OLD","!!!","")</f>
        <v/>
      </c>
      <c r="F335" s="22" t="str">
        <f>IF(OR(E335="",E335="!!!"),"",IF(NOT(ISNA(VLOOKUP(E335,E$1:E334,1,FALSE()))),"OLD",IF(AND(E335&lt;&gt;"",E335&lt;&gt;"!!!"),"NEW","")))</f>
        <v> </v>
      </c>
      <c r="G335" s="23" t="str">
        <f>IF(OR(E335="",E335="!!!"),"",IF(OR(J335=0,AND(J335=1,K335=1),AND(J335=1,I335="SBJ"),AND(J335=1,I335=0)),"?IN_FOCUS",IF(J335&lt;=2,"?ACTIVATED",IF(J335&lt;&gt;"","?FAMILIAR",IF(F335="NEW",IF(ISNA(VLOOKUP(E335,#REF!,1,FALSE())),"?TYPE_IDENTIFIABLE","?REFERENTIAL"),"_")))))</f>
        <v> </v>
      </c>
      <c r="H335" s="24" t="str">
        <f>IF(J335&lt;&gt;1,"",IF(I335="SBJ","CB","?"))</f>
        <v> </v>
      </c>
      <c r="I335" s="25" t="str">
        <f>IF(OR(E335="",E335="!!!",F335="NEW"),"",INDEX(B334:B$2,-1+SUMPRODUCT(MAX(ROW(E334:E$2)*(E335=E334:E$2)))))</f>
        <v> </v>
      </c>
      <c r="J335" s="25" t="str">
        <f>IF(OR(E335="",E335="!!!",F335="NEW"),"",COUNTBLANK(OFFSET(A$1,,,SUMPRODUCT(MAX(ROW(E$2:E335)*(E335=E$2:E335)))))-COUNTBLANK(OFFSET(A$1,,,SUMPRODUCT(MAX(ROW(E$1:E334)*(E2=E$1:E334))))))</f>
        <v> </v>
      </c>
      <c r="K335" s="25" t="str">
        <f>IF(OR(E335="",E335="!!!",F335="NEW"),"",INDEX(J$1:J334,SUMPRODUCT(MAX(ROW(E$1:E334)*(E335=E$1:E334)))))</f>
        <v> </v>
      </c>
      <c r="L335" s="26"/>
    </row>
    <row r="336" spans="1:12">
      <c r="A336" s="20" t="s">
        <v>211</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224</v>
      </c>
      <c r="B337" s="27" t="s">
        <v>140</v>
      </c>
      <c r="C337" s="27" t="s">
        <v>159</v>
      </c>
      <c r="D337" s="27" t="s">
        <v>146</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317</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t="s">
        <v>190</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161</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318</v>
      </c>
      <c r="B341" s="27" t="s">
        <v>171</v>
      </c>
      <c r="C341" s="27" t="s">
        <v>163</v>
      </c>
      <c r="D341" s="27" t="s">
        <v>146</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t="s">
        <v>192</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row>
    <row r="344" spans="1:12">
      <c r="A344" s="20" t="s">
        <v>319</v>
      </c>
    </row>
    <row r="345" spans="1:12">
      <c r="A345" s="20" t="s">
        <v>241</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t="s">
        <v>250</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205</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309</v>
      </c>
      <c r="B348" s="27" t="s">
        <v>140</v>
      </c>
      <c r="C348" s="27" t="s">
        <v>163</v>
      </c>
      <c r="D348" s="27" t="s">
        <v>146</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78</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231</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310</v>
      </c>
      <c r="B351" s="27" t="s">
        <v>171</v>
      </c>
      <c r="C351" s="27" t="s">
        <v>163</v>
      </c>
      <c r="D351" s="27" t="s">
        <v>146</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311</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t="s">
        <v>312</v>
      </c>
      <c r="B353" s="27" t="s">
        <v>150</v>
      </c>
      <c r="C353" s="27" t="s">
        <v>159</v>
      </c>
      <c r="D353" s="27" t="s">
        <v>146</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147</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241</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162</v>
      </c>
      <c r="B356" s="27" t="s">
        <v>183</v>
      </c>
      <c r="C356" s="27" t="s">
        <v>163</v>
      </c>
      <c r="D356" s="27" t="s">
        <v>146</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164</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row>
    <row r="359" spans="1:12">
      <c r="A359" s="20" t="s">
        <v>320</v>
      </c>
    </row>
    <row r="360" spans="1:12">
      <c r="A360" s="20" t="s">
        <v>138</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t="s">
        <v>321</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293</v>
      </c>
      <c r="B362" s="27" t="s">
        <v>201</v>
      </c>
      <c r="C362" s="27" t="s">
        <v>159</v>
      </c>
      <c r="D362" s="27" t="s">
        <v>146</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322</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181</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263</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224</v>
      </c>
      <c r="B366" s="27" t="s">
        <v>185</v>
      </c>
      <c r="C366" s="27" t="s">
        <v>159</v>
      </c>
      <c r="D366" s="27" t="s">
        <v>146</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t="s">
        <v>318</v>
      </c>
      <c r="B367" s="27" t="s">
        <v>233</v>
      </c>
      <c r="C367" s="27" t="s">
        <v>141</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t="s">
        <v>170</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161</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162</v>
      </c>
      <c r="B370" s="27" t="s">
        <v>183</v>
      </c>
      <c r="C370" s="27" t="s">
        <v>163</v>
      </c>
      <c r="D370" s="27" t="s">
        <v>146</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323</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t="s">
        <v>181</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324</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t="s">
        <v>250</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325</v>
      </c>
      <c r="B375" s="27" t="s">
        <v>140</v>
      </c>
      <c r="C375" s="27" t="s">
        <v>172</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296</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316</v>
      </c>
      <c r="B377" s="27" t="s">
        <v>144</v>
      </c>
      <c r="C377" s="27" t="s">
        <v>151</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53</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190</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258</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318</v>
      </c>
      <c r="B381" s="27" t="s">
        <v>171</v>
      </c>
      <c r="C381" s="27" t="s">
        <v>163</v>
      </c>
      <c r="D381" s="27" t="s">
        <v>146</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t="s">
        <v>164</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row>
    <row r="384" spans="1:12">
      <c r="A384" s="20" t="s">
        <v>326</v>
      </c>
    </row>
    <row r="385" spans="1:12">
      <c r="A385" s="20" t="s">
        <v>327</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223</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t="s">
        <v>224</v>
      </c>
      <c r="B387" s="27" t="s">
        <v>140</v>
      </c>
      <c r="C387" s="27" t="s">
        <v>159</v>
      </c>
      <c r="D387" s="27" t="s">
        <v>146</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328</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228</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296</v>
      </c>
      <c r="B390" s="27" t="s">
        <v>150</v>
      </c>
      <c r="C390" s="27" t="s">
        <v>329</v>
      </c>
      <c r="D390" s="27" t="s">
        <v>146</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278</v>
      </c>
      <c r="B391" s="27" t="s">
        <v>171</v>
      </c>
      <c r="C391" s="27" t="s">
        <v>141</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311</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312</v>
      </c>
      <c r="B393" s="27" t="s">
        <v>150</v>
      </c>
      <c r="C393" s="27" t="s">
        <v>159</v>
      </c>
      <c r="D393" s="27" t="s">
        <v>146</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147</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157</v>
      </c>
      <c r="B395" s="27" t="s">
        <v>183</v>
      </c>
      <c r="C395" s="27" t="s">
        <v>159</v>
      </c>
      <c r="D395" s="27" t="s">
        <v>146</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147</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229</v>
      </c>
      <c r="B397" s="27" t="s">
        <v>238</v>
      </c>
      <c r="C397" s="27" t="s">
        <v>172</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284</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313</v>
      </c>
      <c r="B399" s="27" t="s">
        <v>183</v>
      </c>
      <c r="C399" s="27" t="s">
        <v>174</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190</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330</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216</v>
      </c>
      <c r="B402" s="27" t="s">
        <v>238</v>
      </c>
      <c r="C402" s="27" t="s">
        <v>174</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181</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263</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217</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t="s">
        <v>299</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298</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331</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302</v>
      </c>
      <c r="B409" s="27" t="s">
        <v>332</v>
      </c>
      <c r="C409" s="27" t="s">
        <v>239</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333</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181</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161</v>
      </c>
      <c r="B412" s="27" t="s">
        <v>332</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182</v>
      </c>
      <c r="B413" s="27" t="s">
        <v>334</v>
      </c>
      <c r="C413" s="27" t="s">
        <v>172</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216</v>
      </c>
      <c r="B414" s="27" t="s">
        <v>335</v>
      </c>
      <c r="C414" s="27" t="s">
        <v>174</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305</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164</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row>
    <row r="418" spans="1:12">
      <c r="A418" s="20" t="s">
        <v>336</v>
      </c>
    </row>
    <row r="419" spans="1:12">
      <c r="A419" s="20" t="s">
        <v>337</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t="s">
        <v>250</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t="s">
        <v>338</v>
      </c>
      <c r="B421" s="27" t="s">
        <v>171</v>
      </c>
      <c r="C421" s="27" t="s">
        <v>329</v>
      </c>
      <c r="D421" s="27" t="s">
        <v>146</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316</v>
      </c>
      <c r="B422" s="27" t="s">
        <v>171</v>
      </c>
      <c r="C422" s="27" t="s">
        <v>141</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190</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258</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318</v>
      </c>
      <c r="B425" s="27" t="s">
        <v>171</v>
      </c>
      <c r="C425" s="27" t="s">
        <v>163</v>
      </c>
      <c r="D425" s="27" t="s">
        <v>146</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78</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181</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263</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224</v>
      </c>
      <c r="B429" s="27" t="s">
        <v>201</v>
      </c>
      <c r="C429" s="27" t="s">
        <v>159</v>
      </c>
      <c r="D429" s="27" t="s">
        <v>146</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339</v>
      </c>
      <c r="B430" s="27" t="s">
        <v>158</v>
      </c>
      <c r="C430" s="27" t="s">
        <v>159</v>
      </c>
      <c r="D430" s="27" t="s">
        <v>146</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340</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t="s">
        <v>147</v>
      </c>
      <c r="E432" s="21">
        <f>IF(D432="?OLD","!!!","")</f>
        <v/>
      </c>
      <c r="F432" s="22" t="str">
        <f>IF(OR(E432="",E432="!!!"),"",IF(NOT(ISNA(VLOOKUP(E432,E$1:E431,1,FALSE()))),"OLD",IF(AND(E432&lt;&gt;"",E432&lt;&gt;"!!!"),"NEW","")))</f>
        <v> </v>
      </c>
      <c r="G432" s="23" t="str">
        <f>IF(OR(E432="",E432="!!!"),"",IF(OR(J432=0,AND(J432=1,K432=1),AND(J432=1,I432="SBJ"),AND(J432=1,I432=0)),"?IN_FOCUS",IF(J432&lt;=2,"?ACTIVATED",IF(J432&lt;&gt;"","?FAMILIAR",IF(F432="NEW",IF(ISNA(VLOOKUP(E432,#REF!,1,FALSE())),"?TYPE_IDENTIFIABLE","?REFERENTIAL"),"_")))))</f>
        <v> </v>
      </c>
      <c r="H432" s="24" t="str">
        <f>IF(J432&lt;&gt;1,"",IF(I432="SBJ","CB","?"))</f>
        <v> </v>
      </c>
      <c r="I432" s="25" t="str">
        <f>IF(OR(E432="",E432="!!!",F432="NEW"),"",INDEX(B431:B$2,-1+SUMPRODUCT(MAX(ROW(E431:E$2)*(E432=E431:E$2)))))</f>
        <v> </v>
      </c>
      <c r="J432" s="25" t="str">
        <f>IF(OR(E432="",E432="!!!",F432="NEW"),"",COUNTBLANK(OFFSET(A$1,,,SUMPRODUCT(MAX(ROW(E$2:E432)*(E432=E$2:E432)))))-COUNTBLANK(OFFSET(A$1,,,SUMPRODUCT(MAX(ROW(E$1:E431)*(E2=E$1:E431))))))</f>
        <v> </v>
      </c>
      <c r="K432" s="25" t="str">
        <f>IF(OR(E432="",E432="!!!",F432="NEW"),"",INDEX(J$1:J431,SUMPRODUCT(MAX(ROW(E$1:E431)*(E432=E$1:E431)))))</f>
        <v> </v>
      </c>
      <c r="L432" s="26"/>
    </row>
    <row r="433" spans="1:12">
      <c r="A433" s="20" t="s">
        <v>341</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228</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258</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t="s">
        <v>342</v>
      </c>
      <c r="E436" s="21">
        <f>IF(D436="?OLD","!!!","")</f>
        <v/>
      </c>
      <c r="F436" s="22" t="str">
        <f>IF(OR(E436="",E436="!!!"),"",IF(NOT(ISNA(VLOOKUP(E436,E$1:E435,1,FALSE()))),"OLD",IF(AND(E436&lt;&gt;"",E436&lt;&gt;"!!!"),"NEW","")))</f>
        <v> </v>
      </c>
      <c r="G436" s="23" t="str">
        <f>IF(OR(E436="",E436="!!!"),"",IF(OR(J436=0,AND(J436=1,K436=1),AND(J436=1,I436="SBJ"),AND(J436=1,I436=0)),"?IN_FOCUS",IF(J436&lt;=2,"?ACTIVATED",IF(J436&lt;&gt;"","?FAMILIAR",IF(F436="NEW",IF(ISNA(VLOOKUP(E436,#REF!,1,FALSE())),"?TYPE_IDENTIFIABLE","?REFERENTIAL"),"_")))))</f>
        <v> </v>
      </c>
      <c r="H436" s="24" t="str">
        <f>IF(J436&lt;&gt;1,"",IF(I436="SBJ","CB","?"))</f>
        <v> </v>
      </c>
      <c r="I436" s="25" t="str">
        <f>IF(OR(E436="",E436="!!!",F436="NEW"),"",INDEX(B435:B$2,-1+SUMPRODUCT(MAX(ROW(E435:E$2)*(E436=E435:E$2)))))</f>
        <v> </v>
      </c>
      <c r="J436" s="25" t="str">
        <f>IF(OR(E436="",E436="!!!",F436="NEW"),"",COUNTBLANK(OFFSET(A$1,,,SUMPRODUCT(MAX(ROW(E$2:E436)*(E436=E$2:E436)))))-COUNTBLANK(OFFSET(A$1,,,SUMPRODUCT(MAX(ROW(E$1:E435)*(E2=E$1:E435))))))</f>
        <v> </v>
      </c>
      <c r="K436" s="25" t="str">
        <f>IF(OR(E436="",E436="!!!",F436="NEW"),"",INDEX(J$1:J435,SUMPRODUCT(MAX(ROW(E$1:E435)*(E436=E$1:E435)))))</f>
        <v> </v>
      </c>
      <c r="L436" s="26"/>
    </row>
    <row r="437" spans="1:12">
      <c r="A437" s="20" t="s">
        <v>278</v>
      </c>
      <c r="B437" s="27" t="s">
        <v>183</v>
      </c>
      <c r="C437" s="27" t="s">
        <v>163</v>
      </c>
      <c r="D437" s="27" t="s">
        <v>146</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311</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t="s">
        <v>139</v>
      </c>
      <c r="B439" s="27" t="s">
        <v>183</v>
      </c>
      <c r="C439" s="27" t="s">
        <v>141</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t="s">
        <v>147</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t="s">
        <v>229</v>
      </c>
      <c r="B441" s="27" t="s">
        <v>237</v>
      </c>
      <c r="C441" s="27" t="s">
        <v>172</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284</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313</v>
      </c>
      <c r="B443" s="27" t="s">
        <v>238</v>
      </c>
      <c r="C443" s="27" t="s">
        <v>174</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190</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283</v>
      </c>
      <c r="B445" s="27" t="s">
        <v>343</v>
      </c>
      <c r="C445" s="27" t="s">
        <v>172</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216</v>
      </c>
      <c r="B446" s="27" t="s">
        <v>237</v>
      </c>
      <c r="C446" s="27" t="s">
        <v>174</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181</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205</v>
      </c>
      <c r="B448" s="27" t="s">
        <v>332</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175</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176</v>
      </c>
      <c r="B450" s="27" t="s">
        <v>237</v>
      </c>
      <c r="C450" s="27" t="s">
        <v>141</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244</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164</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row>
    <row r="454" spans="1:12">
      <c r="A454" s="20" t="s">
        <v>344</v>
      </c>
    </row>
    <row r="455" spans="1:12">
      <c r="A455" s="20" t="s">
        <v>138</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139</v>
      </c>
      <c r="B456" s="27" t="s">
        <v>140</v>
      </c>
      <c r="C456" s="27" t="s">
        <v>141</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t="s">
        <v>269</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259</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143</v>
      </c>
      <c r="B459" s="27" t="s">
        <v>171</v>
      </c>
      <c r="C459" s="27" t="s">
        <v>145</v>
      </c>
      <c r="D459" s="27" t="s">
        <v>146</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153</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308</v>
      </c>
      <c r="B461" s="27" t="s">
        <v>201</v>
      </c>
      <c r="C461" s="27" t="s">
        <v>186</v>
      </c>
      <c r="D461" s="27" t="s">
        <v>146</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169</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t="s">
        <v>205</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t="s">
        <v>309</v>
      </c>
      <c r="B464" s="27" t="s">
        <v>171</v>
      </c>
      <c r="C464" s="27" t="s">
        <v>163</v>
      </c>
      <c r="D464" s="27" t="s">
        <v>146</v>
      </c>
      <c r="E464" s="21">
        <f>IF(D464="?OLD","!!!","")</f>
        <v/>
      </c>
      <c r="F464" s="22" t="str">
        <f>IF(OR(E464="",E464="!!!"),"",IF(NOT(ISNA(VLOOKUP(E464,E$1:E463,1,FALSE()))),"OLD",IF(AND(E464&lt;&gt;"",E464&lt;&gt;"!!!"),"NEW","")))</f>
        <v> </v>
      </c>
      <c r="G464" s="23" t="str">
        <f>IF(OR(E464="",E464="!!!"),"",IF(OR(J464=0,AND(J464=1,K464=1),AND(J464=1,I464="SBJ"),AND(J464=1,I464=0)),"?IN_FOCUS",IF(J464&lt;=2,"?ACTIVATED",IF(J464&lt;&gt;"","?FAMILIAR",IF(F464="NEW",IF(ISNA(VLOOKUP(E464,#REF!,1,FALSE())),"?TYPE_IDENTIFIABLE","?REFERENTIAL"),"_")))))</f>
        <v> </v>
      </c>
      <c r="H464" s="24" t="str">
        <f>IF(J464&lt;&gt;1,"",IF(I464="SBJ","CB","?"))</f>
        <v> </v>
      </c>
      <c r="I464" s="25" t="str">
        <f>IF(OR(E464="",E464="!!!",F464="NEW"),"",INDEX(B463:B$2,-1+SUMPRODUCT(MAX(ROW(E463:E$2)*(E464=E463:E$2)))))</f>
        <v> </v>
      </c>
      <c r="J464" s="25" t="str">
        <f>IF(OR(E464="",E464="!!!",F464="NEW"),"",COUNTBLANK(OFFSET(A$1,,,SUMPRODUCT(MAX(ROW(E$2:E464)*(E464=E$2:E464)))))-COUNTBLANK(OFFSET(A$1,,,SUMPRODUCT(MAX(ROW(E$1:E463)*(E2=E$1:E463))))))</f>
        <v> </v>
      </c>
      <c r="K464" s="25" t="str">
        <f>IF(OR(E464="",E464="!!!",F464="NEW"),"",INDEX(J$1:J463,SUMPRODUCT(MAX(ROW(E$1:E463)*(E464=E$1:E463)))))</f>
        <v> </v>
      </c>
      <c r="L464" s="26"/>
    </row>
    <row r="465" spans="1:12">
      <c r="A465" s="20" t="s">
        <v>231</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t="s">
        <v>310</v>
      </c>
      <c r="B466" s="27" t="s">
        <v>150</v>
      </c>
      <c r="C466" s="27" t="s">
        <v>163</v>
      </c>
      <c r="D466" s="27" t="s">
        <v>146</v>
      </c>
      <c r="E466" s="21">
        <f>IF(D466="?OLD","!!!","")</f>
        <v/>
      </c>
      <c r="F466" s="22" t="str">
        <f>IF(OR(E466="",E466="!!!"),"",IF(NOT(ISNA(VLOOKUP(E466,E$1:E465,1,FALSE()))),"OLD",IF(AND(E466&lt;&gt;"",E466&lt;&gt;"!!!"),"NEW","")))</f>
        <v> </v>
      </c>
      <c r="G466" s="23" t="str">
        <f>IF(OR(E466="",E466="!!!"),"",IF(OR(J466=0,AND(J466=1,K466=1),AND(J466=1,I466="SBJ"),AND(J466=1,I466=0)),"?IN_FOCUS",IF(J466&lt;=2,"?ACTIVATED",IF(J466&lt;&gt;"","?FAMILIAR",IF(F466="NEW",IF(ISNA(VLOOKUP(E466,#REF!,1,FALSE())),"?TYPE_IDENTIFIABLE","?REFERENTIAL"),"_")))))</f>
        <v> </v>
      </c>
      <c r="H466" s="24" t="str">
        <f>IF(J466&lt;&gt;1,"",IF(I466="SBJ","CB","?"))</f>
        <v> </v>
      </c>
      <c r="I466" s="25" t="str">
        <f>IF(OR(E466="",E466="!!!",F466="NEW"),"",INDEX(B465:B$2,-1+SUMPRODUCT(MAX(ROW(E465:E$2)*(E466=E465:E$2)))))</f>
        <v> </v>
      </c>
      <c r="J466" s="25" t="str">
        <f>IF(OR(E466="",E466="!!!",F466="NEW"),"",COUNTBLANK(OFFSET(A$1,,,SUMPRODUCT(MAX(ROW(E$2:E466)*(E466=E$2:E466)))))-COUNTBLANK(OFFSET(A$1,,,SUMPRODUCT(MAX(ROW(E$1:E465)*(E2=E$1:E465))))))</f>
        <v> </v>
      </c>
      <c r="K466" s="25" t="str">
        <f>IF(OR(E466="",E466="!!!",F466="NEW"),"",INDEX(J$1:J465,SUMPRODUCT(MAX(ROW(E$1:E465)*(E466=E$1:E465)))))</f>
        <v> </v>
      </c>
      <c r="L466" s="26"/>
    </row>
    <row r="467" spans="1:12">
      <c r="A467" s="20" t="s">
        <v>181</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258</v>
      </c>
      <c r="B468" s="27" t="s">
        <v>233</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224</v>
      </c>
      <c r="B469" s="27" t="s">
        <v>185</v>
      </c>
      <c r="C469" s="27" t="s">
        <v>159</v>
      </c>
      <c r="D469" s="27" t="s">
        <v>146</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t="s">
        <v>345</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t="s">
        <v>211</v>
      </c>
      <c r="E471" s="21">
        <f>IF(D471="?OLD","!!!","")</f>
        <v/>
      </c>
      <c r="F471" s="22" t="str">
        <f>IF(OR(E471="",E471="!!!"),"",IF(NOT(ISNA(VLOOKUP(E471,E$1:E470,1,FALSE()))),"OLD",IF(AND(E471&lt;&gt;"",E471&lt;&gt;"!!!"),"NEW","")))</f>
        <v> </v>
      </c>
      <c r="G471" s="23" t="str">
        <f>IF(OR(E471="",E471="!!!"),"",IF(OR(J471=0,AND(J471=1,K471=1),AND(J471=1,I471="SBJ"),AND(J471=1,I471=0)),"?IN_FOCUS",IF(J471&lt;=2,"?ACTIVATED",IF(J471&lt;&gt;"","?FAMILIAR",IF(F471="NEW",IF(ISNA(VLOOKUP(E471,#REF!,1,FALSE())),"?TYPE_IDENTIFIABLE","?REFERENTIAL"),"_")))))</f>
        <v> </v>
      </c>
      <c r="H471" s="24" t="str">
        <f>IF(J471&lt;&gt;1,"",IF(I471="SBJ","CB","?"))</f>
        <v> </v>
      </c>
      <c r="I471" s="25" t="str">
        <f>IF(OR(E471="",E471="!!!",F471="NEW"),"",INDEX(B470:B$2,-1+SUMPRODUCT(MAX(ROW(E470:E$2)*(E471=E470:E$2)))))</f>
        <v> </v>
      </c>
      <c r="J471" s="25" t="str">
        <f>IF(OR(E471="",E471="!!!",F471="NEW"),"",COUNTBLANK(OFFSET(A$1,,,SUMPRODUCT(MAX(ROW(E$2:E471)*(E471=E$2:E471)))))-COUNTBLANK(OFFSET(A$1,,,SUMPRODUCT(MAX(ROW(E$1:E470)*(E2=E$1:E470))))))</f>
        <v> </v>
      </c>
      <c r="K471" s="25" t="str">
        <f>IF(OR(E471="",E471="!!!",F471="NEW"),"",INDEX(J$1:J470,SUMPRODUCT(MAX(ROW(E$1:E470)*(E471=E$1:E470)))))</f>
        <v> </v>
      </c>
      <c r="L471" s="26"/>
    </row>
    <row r="472" spans="1:12">
      <c r="A472" s="20" t="s">
        <v>311</v>
      </c>
      <c r="E472" s="21">
        <f>IF(D472="?OLD","!!!","")</f>
        <v/>
      </c>
      <c r="F472" s="22" t="str">
        <f>IF(OR(E472="",E472="!!!"),"",IF(NOT(ISNA(VLOOKUP(E472,E$1:E471,1,FALSE()))),"OLD",IF(AND(E472&lt;&gt;"",E472&lt;&gt;"!!!"),"NEW","")))</f>
        <v> </v>
      </c>
      <c r="G472" s="23" t="str">
        <f>IF(OR(E472="",E472="!!!"),"",IF(OR(J472=0,AND(J472=1,K472=1),AND(J472=1,I472="SBJ"),AND(J472=1,I472=0)),"?IN_FOCUS",IF(J472&lt;=2,"?ACTIVATED",IF(J472&lt;&gt;"","?FAMILIAR",IF(F472="NEW",IF(ISNA(VLOOKUP(E472,#REF!,1,FALSE())),"?TYPE_IDENTIFIABLE","?REFERENTIAL"),"_")))))</f>
        <v> </v>
      </c>
      <c r="H472" s="24" t="str">
        <f>IF(J472&lt;&gt;1,"",IF(I472="SBJ","CB","?"))</f>
        <v> </v>
      </c>
      <c r="I472" s="25" t="str">
        <f>IF(OR(E472="",E472="!!!",F472="NEW"),"",INDEX(B471:B$2,-1+SUMPRODUCT(MAX(ROW(E471:E$2)*(E472=E471:E$2)))))</f>
        <v> </v>
      </c>
      <c r="J472" s="25" t="str">
        <f>IF(OR(E472="",E472="!!!",F472="NEW"),"",COUNTBLANK(OFFSET(A$1,,,SUMPRODUCT(MAX(ROW(E$2:E472)*(E472=E$2:E472)))))-COUNTBLANK(OFFSET(A$1,,,SUMPRODUCT(MAX(ROW(E$1:E471)*(E2=E$1:E471))))))</f>
        <v> </v>
      </c>
      <c r="K472" s="25" t="str">
        <f>IF(OR(E472="",E472="!!!",F472="NEW"),"",INDEX(J$1:J471,SUMPRODUCT(MAX(ROW(E$1:E471)*(E472=E$1:E471)))))</f>
        <v> </v>
      </c>
      <c r="L472" s="26"/>
    </row>
    <row r="473" spans="1:12">
      <c r="A473" s="20" t="s">
        <v>312</v>
      </c>
      <c r="B473" s="27" t="s">
        <v>183</v>
      </c>
      <c r="C473" s="27" t="s">
        <v>159</v>
      </c>
      <c r="D473" s="27" t="s">
        <v>146</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147</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283</v>
      </c>
      <c r="B475" s="27" t="s">
        <v>237</v>
      </c>
      <c r="C475" s="27" t="s">
        <v>172</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216</v>
      </c>
      <c r="B476" s="27" t="s">
        <v>238</v>
      </c>
      <c r="C476" s="27" t="s">
        <v>174</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175</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176</v>
      </c>
      <c r="B478" s="27" t="s">
        <v>237</v>
      </c>
      <c r="C478" s="27" t="s">
        <v>141</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164</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row>
    <row r="481" spans="1:12">
      <c r="A481" s="20" t="s">
        <v>346</v>
      </c>
    </row>
    <row r="482" spans="1:12">
      <c r="A482" s="20" t="s">
        <v>347</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149</v>
      </c>
      <c r="B483" s="27" t="s">
        <v>140</v>
      </c>
      <c r="C483" s="27" t="s">
        <v>163</v>
      </c>
      <c r="D483" s="27" t="s">
        <v>146</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t="s">
        <v>348</v>
      </c>
      <c r="B484" s="27" t="s">
        <v>150</v>
      </c>
      <c r="C484" s="27" t="s">
        <v>145</v>
      </c>
      <c r="D484" s="27" t="s">
        <v>146</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t="s">
        <v>181</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t="s">
        <v>161</v>
      </c>
      <c r="B486" s="27" t="s">
        <v>349</v>
      </c>
      <c r="E486" s="21">
        <f>IF(D486="?OLD","!!!","")</f>
        <v/>
      </c>
      <c r="F486" s="22" t="str">
        <f>IF(OR(E486="",E486="!!!"),"",IF(NOT(ISNA(VLOOKUP(E486,E$1:E485,1,FALSE()))),"OLD",IF(AND(E486&lt;&gt;"",E486&lt;&gt;"!!!"),"NEW","")))</f>
        <v> </v>
      </c>
      <c r="G486" s="23" t="str">
        <f>IF(OR(E486="",E486="!!!"),"",IF(OR(J486=0,AND(J486=1,K486=1),AND(J486=1,I486="SBJ"),AND(J486=1,I486=0)),"?IN_FOCUS",IF(J486&lt;=2,"?ACTIVATED",IF(J486&lt;&gt;"","?FAMILIAR",IF(F486="NEW",IF(ISNA(VLOOKUP(E486,#REF!,1,FALSE())),"?TYPE_IDENTIFIABLE","?REFERENTIAL"),"_")))))</f>
        <v> </v>
      </c>
      <c r="H486" s="24" t="str">
        <f>IF(J486&lt;&gt;1,"",IF(I486="SBJ","CB","?"))</f>
        <v> </v>
      </c>
      <c r="I486" s="25" t="str">
        <f>IF(OR(E486="",E486="!!!",F486="NEW"),"",INDEX(B485:B$2,-1+SUMPRODUCT(MAX(ROW(E485:E$2)*(E486=E485:E$2)))))</f>
        <v> </v>
      </c>
      <c r="J486" s="25" t="str">
        <f>IF(OR(E486="",E486="!!!",F486="NEW"),"",COUNTBLANK(OFFSET(A$1,,,SUMPRODUCT(MAX(ROW(E$2:E486)*(E486=E$2:E486)))))-COUNTBLANK(OFFSET(A$1,,,SUMPRODUCT(MAX(ROW(E$1:E485)*(E2=E$1:E485))))))</f>
        <v> </v>
      </c>
      <c r="K486" s="25" t="str">
        <f>IF(OR(E486="",E486="!!!",F486="NEW"),"",INDEX(J$1:J485,SUMPRODUCT(MAX(ROW(E$1:E485)*(E486=E$1:E485)))))</f>
        <v> </v>
      </c>
      <c r="L486" s="26"/>
    </row>
    <row r="487" spans="1:12">
      <c r="A487" s="20" t="s">
        <v>289</v>
      </c>
      <c r="E487" s="21">
        <f>IF(D487="?OLD","!!!","")</f>
        <v/>
      </c>
      <c r="F487" s="22" t="str">
        <f>IF(OR(E487="",E487="!!!"),"",IF(NOT(ISNA(VLOOKUP(E487,E$1:E486,1,FALSE()))),"OLD",IF(AND(E487&lt;&gt;"",E487&lt;&gt;"!!!"),"NEW","")))</f>
        <v> </v>
      </c>
      <c r="G487" s="23" t="str">
        <f>IF(OR(E487="",E487="!!!"),"",IF(OR(J487=0,AND(J487=1,K487=1),AND(J487=1,I487="SBJ"),AND(J487=1,I487=0)),"?IN_FOCUS",IF(J487&lt;=2,"?ACTIVATED",IF(J487&lt;&gt;"","?FAMILIAR",IF(F487="NEW",IF(ISNA(VLOOKUP(E487,#REF!,1,FALSE())),"?TYPE_IDENTIFIABLE","?REFERENTIAL"),"_")))))</f>
        <v> </v>
      </c>
      <c r="H487" s="24" t="str">
        <f>IF(J487&lt;&gt;1,"",IF(I487="SBJ","CB","?"))</f>
        <v> </v>
      </c>
      <c r="I487" s="25" t="str">
        <f>IF(OR(E487="",E487="!!!",F487="NEW"),"",INDEX(B486:B$2,-1+SUMPRODUCT(MAX(ROW(E486:E$2)*(E487=E486:E$2)))))</f>
        <v> </v>
      </c>
      <c r="J487" s="25" t="str">
        <f>IF(OR(E487="",E487="!!!",F487="NEW"),"",COUNTBLANK(OFFSET(A$1,,,SUMPRODUCT(MAX(ROW(E$2:E487)*(E487=E$2:E487)))))-COUNTBLANK(OFFSET(A$1,,,SUMPRODUCT(MAX(ROW(E$1:E486)*(E2=E$1:E486))))))</f>
        <v> </v>
      </c>
      <c r="K487" s="25" t="str">
        <f>IF(OR(E487="",E487="!!!",F487="NEW"),"",INDEX(J$1:J486,SUMPRODUCT(MAX(ROW(E$1:E486)*(E487=E$1:E486)))))</f>
        <v> </v>
      </c>
      <c r="L487" s="26"/>
    </row>
    <row r="488" spans="1:12">
      <c r="A488" s="20" t="s">
        <v>179</v>
      </c>
      <c r="E488" s="21">
        <f>IF(D488="?OLD","!!!","")</f>
        <v/>
      </c>
      <c r="F488" s="22" t="str">
        <f>IF(OR(E488="",E488="!!!"),"",IF(NOT(ISNA(VLOOKUP(E488,E$1:E487,1,FALSE()))),"OLD",IF(AND(E488&lt;&gt;"",E488&lt;&gt;"!!!"),"NEW","")))</f>
        <v> </v>
      </c>
      <c r="G488" s="23" t="str">
        <f>IF(OR(E488="",E488="!!!"),"",IF(OR(J488=0,AND(J488=1,K488=1),AND(J488=1,I488="SBJ"),AND(J488=1,I488=0)),"?IN_FOCUS",IF(J488&lt;=2,"?ACTIVATED",IF(J488&lt;&gt;"","?FAMILIAR",IF(F488="NEW",IF(ISNA(VLOOKUP(E488,#REF!,1,FALSE())),"?TYPE_IDENTIFIABLE","?REFERENTIAL"),"_")))))</f>
        <v> </v>
      </c>
      <c r="H488" s="24" t="str">
        <f>IF(J488&lt;&gt;1,"",IF(I488="SBJ","CB","?"))</f>
        <v> </v>
      </c>
      <c r="I488" s="25" t="str">
        <f>IF(OR(E488="",E488="!!!",F488="NEW"),"",INDEX(B487:B$2,-1+SUMPRODUCT(MAX(ROW(E487:E$2)*(E488=E487:E$2)))))</f>
        <v> </v>
      </c>
      <c r="J488" s="25" t="str">
        <f>IF(OR(E488="",E488="!!!",F488="NEW"),"",COUNTBLANK(OFFSET(A$1,,,SUMPRODUCT(MAX(ROW(E$2:E488)*(E488=E$2:E488)))))-COUNTBLANK(OFFSET(A$1,,,SUMPRODUCT(MAX(ROW(E$1:E487)*(E2=E$1:E487))))))</f>
        <v> </v>
      </c>
      <c r="K488" s="25" t="str">
        <f>IF(OR(E488="",E488="!!!",F488="NEW"),"",INDEX(J$1:J487,SUMPRODUCT(MAX(ROW(E$1:E487)*(E488=E$1:E487)))))</f>
        <v> </v>
      </c>
      <c r="L488" s="26"/>
    </row>
    <row r="489" spans="1:12">
      <c r="A489" s="20" t="s">
        <v>290</v>
      </c>
      <c r="B489" s="27" t="s">
        <v>238</v>
      </c>
      <c r="C489" s="27" t="s">
        <v>163</v>
      </c>
      <c r="D489" s="27" t="s">
        <v>146</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350</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181</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294</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351</v>
      </c>
      <c r="B493" s="27" t="s">
        <v>171</v>
      </c>
      <c r="C493" s="27" t="s">
        <v>206</v>
      </c>
      <c r="D493" s="27" t="s">
        <v>146</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t="s">
        <v>153</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352</v>
      </c>
      <c r="B495" s="27" t="s">
        <v>171</v>
      </c>
      <c r="C495" s="27" t="s">
        <v>145</v>
      </c>
      <c r="D495" s="27" t="s">
        <v>146</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t="s">
        <v>181</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t="s">
        <v>353</v>
      </c>
      <c r="B497" s="27" t="s">
        <v>150</v>
      </c>
      <c r="C497" s="27" t="s">
        <v>145</v>
      </c>
      <c r="D497" s="27" t="s">
        <v>146</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t="s">
        <v>147</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t="s">
        <v>354</v>
      </c>
      <c r="B499" s="27" t="s">
        <v>150</v>
      </c>
      <c r="C499" s="27" t="s">
        <v>145</v>
      </c>
      <c r="D499" s="27" t="s">
        <v>146</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t="s">
        <v>164</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row>
    <row r="502" spans="1:12">
      <c r="A502" s="20" t="s">
        <v>355</v>
      </c>
    </row>
    <row r="503" spans="1:12">
      <c r="A503" s="20" t="s">
        <v>353</v>
      </c>
      <c r="B503" s="27" t="s">
        <v>140</v>
      </c>
      <c r="C503" s="27" t="s">
        <v>145</v>
      </c>
      <c r="D503" s="27" t="s">
        <v>146</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356</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t="s">
        <v>244</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t="s">
        <v>241</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357</v>
      </c>
      <c r="B507" s="27" t="s">
        <v>171</v>
      </c>
      <c r="C507" s="27" t="s">
        <v>163</v>
      </c>
      <c r="D507" s="27" t="s">
        <v>146</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358</v>
      </c>
      <c r="B508" s="27" t="s">
        <v>171</v>
      </c>
      <c r="C508" s="27" t="s">
        <v>145</v>
      </c>
      <c r="D508" s="27" t="s">
        <v>146</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t="s">
        <v>164</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row>
    <row r="511" spans="1:12">
      <c r="A511" s="20" t="s">
        <v>359</v>
      </c>
    </row>
    <row r="512" spans="1:12">
      <c r="A512" s="20" t="s">
        <v>308</v>
      </c>
      <c r="B512" s="27" t="s">
        <v>140</v>
      </c>
      <c r="C512" s="27" t="s">
        <v>206</v>
      </c>
      <c r="D512" s="27" t="s">
        <v>146</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294</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t="s">
        <v>161</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t="s">
        <v>360</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149</v>
      </c>
      <c r="B516" s="27" t="s">
        <v>171</v>
      </c>
      <c r="C516" s="27" t="s">
        <v>361</v>
      </c>
      <c r="D516" s="27" t="s">
        <v>146</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348</v>
      </c>
      <c r="B517" s="27" t="s">
        <v>171</v>
      </c>
      <c r="C517" s="27" t="s">
        <v>145</v>
      </c>
      <c r="D517" s="27" t="s">
        <v>146</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t="s">
        <v>181</v>
      </c>
      <c r="E518" s="21">
        <f>IF(D518="?OLD","!!!","")</f>
        <v/>
      </c>
      <c r="F518" s="22" t="str">
        <f>IF(OR(E518="",E518="!!!"),"",IF(NOT(ISNA(VLOOKUP(E518,E$1:E517,1,FALSE()))),"OLD",IF(AND(E518&lt;&gt;"",E518&lt;&gt;"!!!"),"NEW","")))</f>
        <v> </v>
      </c>
      <c r="G518" s="23" t="str">
        <f>IF(OR(E518="",E518="!!!"),"",IF(OR(J518=0,AND(J518=1,K518=1),AND(J518=1,I518="SBJ"),AND(J518=1,I518=0)),"?IN_FOCUS",IF(J518&lt;=2,"?ACTIVATED",IF(J518&lt;&gt;"","?FAMILIAR",IF(F518="NEW",IF(ISNA(VLOOKUP(E518,#REF!,1,FALSE())),"?TYPE_IDENTIFIABLE","?REFERENTIAL"),"_")))))</f>
        <v> </v>
      </c>
      <c r="H518" s="24" t="str">
        <f>IF(J518&lt;&gt;1,"",IF(I518="SBJ","CB","?"))</f>
        <v> </v>
      </c>
      <c r="I518" s="25" t="str">
        <f>IF(OR(E518="",E518="!!!",F518="NEW"),"",INDEX(B517:B$2,-1+SUMPRODUCT(MAX(ROW(E517:E$2)*(E518=E517:E$2)))))</f>
        <v> </v>
      </c>
      <c r="J518" s="25" t="str">
        <f>IF(OR(E518="",E518="!!!",F518="NEW"),"",COUNTBLANK(OFFSET(A$1,,,SUMPRODUCT(MAX(ROW(E$2:E518)*(E518=E$2:E518)))))-COUNTBLANK(OFFSET(A$1,,,SUMPRODUCT(MAX(ROW(E$1:E517)*(E2=E$1:E517))))))</f>
        <v> </v>
      </c>
      <c r="K518" s="25" t="str">
        <f>IF(OR(E518="",E518="!!!",F518="NEW"),"",INDEX(J$1:J517,SUMPRODUCT(MAX(ROW(E$1:E517)*(E518=E$1:E517)))))</f>
        <v> </v>
      </c>
      <c r="L518" s="26"/>
    </row>
    <row r="519" spans="1:12">
      <c r="A519" s="20" t="s">
        <v>288</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t="s">
        <v>362</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t="s">
        <v>244</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182</v>
      </c>
      <c r="B522" s="27" t="s">
        <v>238</v>
      </c>
      <c r="C522" s="27" t="s">
        <v>172</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363</v>
      </c>
      <c r="B523" s="27" t="s">
        <v>185</v>
      </c>
      <c r="C523" s="27" t="s">
        <v>174</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t="s">
        <v>364</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t="s">
        <v>164</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row>
    <row r="527" spans="1:12">
      <c r="A527" s="20" t="s">
        <v>365</v>
      </c>
    </row>
    <row r="528" spans="1:12">
      <c r="A528" s="20" t="s">
        <v>143</v>
      </c>
      <c r="B528" s="27" t="s">
        <v>140</v>
      </c>
      <c r="C528" s="27" t="s">
        <v>145</v>
      </c>
      <c r="D528" s="27" t="s">
        <v>146</v>
      </c>
      <c r="E528" s="21">
        <f>IF(D528="?OLD","!!!","")</f>
        <v/>
      </c>
      <c r="F528" s="22" t="str">
        <f>IF(OR(E528="",E528="!!!"),"",IF(NOT(ISNA(VLOOKUP(E528,E$1:E527,1,FALSE()))),"OLD",IF(AND(E528&lt;&gt;"",E528&lt;&gt;"!!!"),"NEW","")))</f>
        <v> </v>
      </c>
      <c r="G528" s="23" t="str">
        <f>IF(OR(E528="",E528="!!!"),"",IF(OR(J528=0,AND(J528=1,K528=1),AND(J528=1,I528="SBJ"),AND(J528=1,I528=0)),"?IN_FOCUS",IF(J528&lt;=2,"?ACTIVATED",IF(J528&lt;&gt;"","?FAMILIAR",IF(F528="NEW",IF(ISNA(VLOOKUP(E528,#REF!,1,FALSE())),"?TYPE_IDENTIFIABLE","?REFERENTIAL"),"_")))))</f>
        <v> </v>
      </c>
      <c r="H528" s="24" t="str">
        <f>IF(J528&lt;&gt;1,"",IF(I528="SBJ","CB","?"))</f>
        <v> </v>
      </c>
      <c r="I528" s="25" t="str">
        <f>IF(OR(E528="",E528="!!!",F528="NEW"),"",INDEX(B527:B$2,-1+SUMPRODUCT(MAX(ROW(E527:E$2)*(E528=E527:E$2)))))</f>
        <v> </v>
      </c>
      <c r="J528" s="25" t="str">
        <f>IF(OR(E528="",E528="!!!",F528="NEW"),"",COUNTBLANK(OFFSET(A$1,,,SUMPRODUCT(MAX(ROW(E$2:E528)*(E528=E$2:E528)))))-COUNTBLANK(OFFSET(A$1,,,SUMPRODUCT(MAX(ROW(E$1:E527)*(E2=E$1:E527))))))</f>
        <v> </v>
      </c>
      <c r="K528" s="25" t="str">
        <f>IF(OR(E528="",E528="!!!",F528="NEW"),"",INDEX(J$1:J527,SUMPRODUCT(MAX(ROW(E$1:E527)*(E528=E$1:E527)))))</f>
        <v> </v>
      </c>
      <c r="L528" s="26"/>
    </row>
    <row r="529" spans="1:12">
      <c r="A529" s="20" t="s">
        <v>356</v>
      </c>
      <c r="E529" s="21">
        <f>IF(D529="?OLD","!!!","")</f>
        <v/>
      </c>
      <c r="F529" s="22" t="str">
        <f>IF(OR(E529="",E529="!!!"),"",IF(NOT(ISNA(VLOOKUP(E529,E$1:E528,1,FALSE()))),"OLD",IF(AND(E529&lt;&gt;"",E529&lt;&gt;"!!!"),"NEW","")))</f>
        <v> </v>
      </c>
      <c r="G529" s="23" t="str">
        <f>IF(OR(E529="",E529="!!!"),"",IF(OR(J529=0,AND(J529=1,K529=1),AND(J529=1,I529="SBJ"),AND(J529=1,I529=0)),"?IN_FOCUS",IF(J529&lt;=2,"?ACTIVATED",IF(J529&lt;&gt;"","?FAMILIAR",IF(F529="NEW",IF(ISNA(VLOOKUP(E529,#REF!,1,FALSE())),"?TYPE_IDENTIFIABLE","?REFERENTIAL"),"_")))))</f>
        <v> </v>
      </c>
      <c r="H529" s="24" t="str">
        <f>IF(J529&lt;&gt;1,"",IF(I529="SBJ","CB","?"))</f>
        <v> </v>
      </c>
      <c r="I529" s="25" t="str">
        <f>IF(OR(E529="",E529="!!!",F529="NEW"),"",INDEX(B528:B$2,-1+SUMPRODUCT(MAX(ROW(E528:E$2)*(E529=E528:E$2)))))</f>
        <v> </v>
      </c>
      <c r="J529" s="25" t="str">
        <f>IF(OR(E529="",E529="!!!",F529="NEW"),"",COUNTBLANK(OFFSET(A$1,,,SUMPRODUCT(MAX(ROW(E$2:E529)*(E529=E$2:E529)))))-COUNTBLANK(OFFSET(A$1,,,SUMPRODUCT(MAX(ROW(E$1:E528)*(E2=E$1:E528))))))</f>
        <v> </v>
      </c>
      <c r="K529" s="25" t="str">
        <f>IF(OR(E529="",E529="!!!",F529="NEW"),"",INDEX(J$1:J528,SUMPRODUCT(MAX(ROW(E$1:E528)*(E529=E$1:E528)))))</f>
        <v> </v>
      </c>
      <c r="L529" s="26"/>
    </row>
    <row r="530" spans="1:12">
      <c r="A530" s="20" t="s">
        <v>366</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t="s">
        <v>228</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147</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t="s">
        <v>367</v>
      </c>
      <c r="B533" s="27" t="s">
        <v>183</v>
      </c>
      <c r="C533" s="27" t="s">
        <v>186</v>
      </c>
      <c r="D533" s="27" t="s">
        <v>146</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t="s">
        <v>368</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t="s">
        <v>369</v>
      </c>
      <c r="B535" s="27" t="s">
        <v>171</v>
      </c>
      <c r="C535" s="27" t="s">
        <v>239</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t="s">
        <v>147</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370</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t="s">
        <v>371</v>
      </c>
      <c r="B538" s="27" t="s">
        <v>150</v>
      </c>
      <c r="C538" s="27" t="s">
        <v>141</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t="s">
        <v>164</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row>
    <row r="541" spans="1:12">
      <c r="A541" s="20" t="s">
        <v>372</v>
      </c>
    </row>
    <row r="542" spans="1:12">
      <c r="A542" s="20" t="s">
        <v>138</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t="s">
        <v>373</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t="s">
        <v>374</v>
      </c>
      <c r="B544" s="27" t="s">
        <v>201</v>
      </c>
      <c r="C544" s="27" t="s">
        <v>159</v>
      </c>
      <c r="D544" s="27" t="s">
        <v>146</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t="s">
        <v>288</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179</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t="s">
        <v>375</v>
      </c>
      <c r="B547" s="27" t="s">
        <v>150</v>
      </c>
      <c r="C547" s="27" t="s">
        <v>163</v>
      </c>
      <c r="D547" s="27" t="s">
        <v>146</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376</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t="s">
        <v>181</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367</v>
      </c>
      <c r="B550" s="27" t="s">
        <v>233</v>
      </c>
      <c r="C550" s="27" t="s">
        <v>186</v>
      </c>
      <c r="D550" s="27" t="s">
        <v>146</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t="s">
        <v>374</v>
      </c>
      <c r="B551" s="27" t="s">
        <v>185</v>
      </c>
      <c r="C551" s="27" t="s">
        <v>159</v>
      </c>
      <c r="D551" s="27" t="s">
        <v>146</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377</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147</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378</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190</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t="s">
        <v>241</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t="s">
        <v>379</v>
      </c>
      <c r="B557" s="27" t="s">
        <v>150</v>
      </c>
      <c r="C557" s="27" t="s">
        <v>163</v>
      </c>
      <c r="D557" s="27" t="s">
        <v>146</v>
      </c>
      <c r="E557" s="21">
        <f>IF(D557="?OLD","!!!","")</f>
        <v/>
      </c>
      <c r="F557" s="22" t="str">
        <f>IF(OR(E557="",E557="!!!"),"",IF(NOT(ISNA(VLOOKUP(E557,E$1:E556,1,FALSE()))),"OLD",IF(AND(E557&lt;&gt;"",E557&lt;&gt;"!!!"),"NEW","")))</f>
        <v> </v>
      </c>
      <c r="G557" s="23" t="str">
        <f>IF(OR(E557="",E557="!!!"),"",IF(OR(J557=0,AND(J557=1,K557=1),AND(J557=1,I557="SBJ"),AND(J557=1,I557=0)),"?IN_FOCUS",IF(J557&lt;=2,"?ACTIVATED",IF(J557&lt;&gt;"","?FAMILIAR",IF(F557="NEW",IF(ISNA(VLOOKUP(E557,#REF!,1,FALSE())),"?TYPE_IDENTIFIABLE","?REFERENTIAL"),"_")))))</f>
        <v> </v>
      </c>
      <c r="H557" s="24" t="str">
        <f>IF(J557&lt;&gt;1,"",IF(I557="SBJ","CB","?"))</f>
        <v> </v>
      </c>
      <c r="I557" s="25" t="str">
        <f>IF(OR(E557="",E557="!!!",F557="NEW"),"",INDEX(B556:B$2,-1+SUMPRODUCT(MAX(ROW(E556:E$2)*(E557=E556:E$2)))))</f>
        <v> </v>
      </c>
      <c r="J557" s="25" t="str">
        <f>IF(OR(E557="",E557="!!!",F557="NEW"),"",COUNTBLANK(OFFSET(A$1,,,SUMPRODUCT(MAX(ROW(E$2:E557)*(E557=E$2:E557)))))-COUNTBLANK(OFFSET(A$1,,,SUMPRODUCT(MAX(ROW(E$1:E556)*(E2=E$1:E556))))))</f>
        <v> </v>
      </c>
      <c r="K557" s="25" t="str">
        <f>IF(OR(E557="",E557="!!!",F557="NEW"),"",INDEX(J$1:J556,SUMPRODUCT(MAX(ROW(E$1:E556)*(E557=E$1:E556)))))</f>
        <v> </v>
      </c>
      <c r="L557" s="26"/>
    </row>
    <row r="558" spans="1:12">
      <c r="A558" s="20" t="s">
        <v>380</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t="s">
        <v>164</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row>
    <row r="561" spans="1:12">
      <c r="A561" s="20" t="s">
        <v>381</v>
      </c>
    </row>
    <row r="562" spans="1:12">
      <c r="A562" s="20" t="s">
        <v>382</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t="s">
        <v>383</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t="s">
        <v>353</v>
      </c>
      <c r="B564" s="27" t="s">
        <v>201</v>
      </c>
      <c r="C564" s="27" t="s">
        <v>145</v>
      </c>
      <c r="D564" s="27" t="s">
        <v>146</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t="s">
        <v>181</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t="s">
        <v>358</v>
      </c>
      <c r="B566" s="27" t="s">
        <v>183</v>
      </c>
      <c r="C566" s="27" t="s">
        <v>145</v>
      </c>
      <c r="D566" s="27" t="s">
        <v>146</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t="s">
        <v>357</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181</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t="s">
        <v>384</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385</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t="s">
        <v>386</v>
      </c>
      <c r="B571" s="27" t="s">
        <v>150</v>
      </c>
      <c r="C571" s="27" t="s">
        <v>151</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t="s">
        <v>387</v>
      </c>
      <c r="B572" s="27" t="s">
        <v>183</v>
      </c>
      <c r="C572" s="27" t="s">
        <v>145</v>
      </c>
      <c r="D572" s="27" t="s">
        <v>146</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t="s">
        <v>181</v>
      </c>
      <c r="E573" s="21">
        <f>IF(D573="?OLD","!!!","")</f>
        <v/>
      </c>
      <c r="F573" s="22" t="str">
        <f>IF(OR(E573="",E573="!!!"),"",IF(NOT(ISNA(VLOOKUP(E573,E$1:E572,1,FALSE()))),"OLD",IF(AND(E573&lt;&gt;"",E573&lt;&gt;"!!!"),"NEW","")))</f>
        <v> </v>
      </c>
      <c r="G573" s="23" t="str">
        <f>IF(OR(E573="",E573="!!!"),"",IF(OR(J573=0,AND(J573=1,K573=1),AND(J573=1,I573="SBJ"),AND(J573=1,I573=0)),"?IN_FOCUS",IF(J573&lt;=2,"?ACTIVATED",IF(J573&lt;&gt;"","?FAMILIAR",IF(F573="NEW",IF(ISNA(VLOOKUP(E573,#REF!,1,FALSE())),"?TYPE_IDENTIFIABLE","?REFERENTIAL"),"_")))))</f>
        <v> </v>
      </c>
      <c r="H573" s="24" t="str">
        <f>IF(J573&lt;&gt;1,"",IF(I573="SBJ","CB","?"))</f>
        <v> </v>
      </c>
      <c r="I573" s="25" t="str">
        <f>IF(OR(E573="",E573="!!!",F573="NEW"),"",INDEX(B572:B$2,-1+SUMPRODUCT(MAX(ROW(E572:E$2)*(E573=E572:E$2)))))</f>
        <v> </v>
      </c>
      <c r="J573" s="25" t="str">
        <f>IF(OR(E573="",E573="!!!",F573="NEW"),"",COUNTBLANK(OFFSET(A$1,,,SUMPRODUCT(MAX(ROW(E$2:E573)*(E573=E$2:E573)))))-COUNTBLANK(OFFSET(A$1,,,SUMPRODUCT(MAX(ROW(E$1:E572)*(E2=E$1:E572))))))</f>
        <v> </v>
      </c>
      <c r="K573" s="25" t="str">
        <f>IF(OR(E573="",E573="!!!",F573="NEW"),"",INDEX(J$1:J572,SUMPRODUCT(MAX(ROW(E$1:E572)*(E573=E$1:E572)))))</f>
        <v> </v>
      </c>
      <c r="L573" s="26"/>
    </row>
    <row r="574" spans="1:12">
      <c r="A574" s="20" t="s">
        <v>269</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t="s">
        <v>388</v>
      </c>
      <c r="B575" s="27" t="s">
        <v>140</v>
      </c>
      <c r="E575" s="21">
        <f>IF(D575="?OLD","!!!","")</f>
        <v/>
      </c>
      <c r="F575" s="22" t="str">
        <f>IF(OR(E575="",E575="!!!"),"",IF(NOT(ISNA(VLOOKUP(E575,E$1:E574,1,FALSE()))),"OLD",IF(AND(E575&lt;&gt;"",E575&lt;&gt;"!!!"),"NEW","")))</f>
        <v> </v>
      </c>
      <c r="G575" s="23" t="str">
        <f>IF(OR(E575="",E575="!!!"),"",IF(OR(J575=0,AND(J575=1,K575=1),AND(J575=1,I575="SBJ"),AND(J575=1,I575=0)),"?IN_FOCUS",IF(J575&lt;=2,"?ACTIVATED",IF(J575&lt;&gt;"","?FAMILIAR",IF(F575="NEW",IF(ISNA(VLOOKUP(E575,#REF!,1,FALSE())),"?TYPE_IDENTIFIABLE","?REFERENTIAL"),"_")))))</f>
        <v> </v>
      </c>
      <c r="H575" s="24" t="str">
        <f>IF(J575&lt;&gt;1,"",IF(I575="SBJ","CB","?"))</f>
        <v> </v>
      </c>
      <c r="I575" s="25" t="str">
        <f>IF(OR(E575="",E575="!!!",F575="NEW"),"",INDEX(B574:B$2,-1+SUMPRODUCT(MAX(ROW(E574:E$2)*(E575=E574:E$2)))))</f>
        <v> </v>
      </c>
      <c r="J575" s="25" t="str">
        <f>IF(OR(E575="",E575="!!!",F575="NEW"),"",COUNTBLANK(OFFSET(A$1,,,SUMPRODUCT(MAX(ROW(E$2:E575)*(E575=E$2:E575)))))-COUNTBLANK(OFFSET(A$1,,,SUMPRODUCT(MAX(ROW(E$1:E574)*(E2=E$1:E574))))))</f>
        <v> </v>
      </c>
      <c r="K575" s="25" t="str">
        <f>IF(OR(E575="",E575="!!!",F575="NEW"),"",INDEX(J$1:J574,SUMPRODUCT(MAX(ROW(E$1:E574)*(E575=E$1:E574)))))</f>
        <v> </v>
      </c>
      <c r="L575" s="26"/>
    </row>
    <row r="576" spans="1:12">
      <c r="A576" s="20" t="s">
        <v>270</v>
      </c>
      <c r="E576" s="21">
        <f>IF(D576="?OLD","!!!","")</f>
        <v/>
      </c>
      <c r="F576" s="22" t="str">
        <f>IF(OR(E576="",E576="!!!"),"",IF(NOT(ISNA(VLOOKUP(E576,E$1:E575,1,FALSE()))),"OLD",IF(AND(E576&lt;&gt;"",E576&lt;&gt;"!!!"),"NEW","")))</f>
        <v> </v>
      </c>
      <c r="G576" s="23" t="str">
        <f>IF(OR(E576="",E576="!!!"),"",IF(OR(J576=0,AND(J576=1,K576=1),AND(J576=1,I576="SBJ"),AND(J576=1,I576=0)),"?IN_FOCUS",IF(J576&lt;=2,"?ACTIVATED",IF(J576&lt;&gt;"","?FAMILIAR",IF(F576="NEW",IF(ISNA(VLOOKUP(E576,#REF!,1,FALSE())),"?TYPE_IDENTIFIABLE","?REFERENTIAL"),"_")))))</f>
        <v> </v>
      </c>
      <c r="H576" s="24" t="str">
        <f>IF(J576&lt;&gt;1,"",IF(I576="SBJ","CB","?"))</f>
        <v> </v>
      </c>
      <c r="I576" s="25" t="str">
        <f>IF(OR(E576="",E576="!!!",F576="NEW"),"",INDEX(B575:B$2,-1+SUMPRODUCT(MAX(ROW(E575:E$2)*(E576=E575:E$2)))))</f>
        <v> </v>
      </c>
      <c r="J576" s="25" t="str">
        <f>IF(OR(E576="",E576="!!!",F576="NEW"),"",COUNTBLANK(OFFSET(A$1,,,SUMPRODUCT(MAX(ROW(E$2:E576)*(E576=E$2:E576)))))-COUNTBLANK(OFFSET(A$1,,,SUMPRODUCT(MAX(ROW(E$1:E575)*(E2=E$1:E575))))))</f>
        <v> </v>
      </c>
      <c r="K576" s="25" t="str">
        <f>IF(OR(E576="",E576="!!!",F576="NEW"),"",INDEX(J$1:J575,SUMPRODUCT(MAX(ROW(E$1:E575)*(E576=E$1:E575)))))</f>
        <v> </v>
      </c>
      <c r="L576" s="26"/>
    </row>
    <row r="577" spans="1:12">
      <c r="A577" s="20" t="s">
        <v>389</v>
      </c>
      <c r="B577" s="27" t="s">
        <v>150</v>
      </c>
      <c r="C577" s="27" t="s">
        <v>172</v>
      </c>
      <c r="E577" s="21">
        <f>IF(D577="?OLD","!!!","")</f>
        <v/>
      </c>
      <c r="F577" s="22" t="str">
        <f>IF(OR(E577="",E577="!!!"),"",IF(NOT(ISNA(VLOOKUP(E577,E$1:E576,1,FALSE()))),"OLD",IF(AND(E577&lt;&gt;"",E577&lt;&gt;"!!!"),"NEW","")))</f>
        <v> </v>
      </c>
      <c r="G577" s="23" t="str">
        <f>IF(OR(E577="",E577="!!!"),"",IF(OR(J577=0,AND(J577=1,K577=1),AND(J577=1,I577="SBJ"),AND(J577=1,I577=0)),"?IN_FOCUS",IF(J577&lt;=2,"?ACTIVATED",IF(J577&lt;&gt;"","?FAMILIAR",IF(F577="NEW",IF(ISNA(VLOOKUP(E577,#REF!,1,FALSE())),"?TYPE_IDENTIFIABLE","?REFERENTIAL"),"_")))))</f>
        <v> </v>
      </c>
      <c r="H577" s="24" t="str">
        <f>IF(J577&lt;&gt;1,"",IF(I577="SBJ","CB","?"))</f>
        <v> </v>
      </c>
      <c r="I577" s="25" t="str">
        <f>IF(OR(E577="",E577="!!!",F577="NEW"),"",INDEX(B576:B$2,-1+SUMPRODUCT(MAX(ROW(E576:E$2)*(E577=E576:E$2)))))</f>
        <v> </v>
      </c>
      <c r="J577" s="25" t="str">
        <f>IF(OR(E577="",E577="!!!",F577="NEW"),"",COUNTBLANK(OFFSET(A$1,,,SUMPRODUCT(MAX(ROW(E$2:E577)*(E577=E$2:E577)))))-COUNTBLANK(OFFSET(A$1,,,SUMPRODUCT(MAX(ROW(E$1:E576)*(E2=E$1:E576))))))</f>
        <v> </v>
      </c>
      <c r="K577" s="25" t="str">
        <f>IF(OR(E577="",E577="!!!",F577="NEW"),"",INDEX(J$1:J576,SUMPRODUCT(MAX(ROW(E$1:E576)*(E577=E$1:E576)))))</f>
        <v> </v>
      </c>
      <c r="L577" s="26"/>
    </row>
    <row r="578" spans="1:12">
      <c r="A578" s="20" t="s">
        <v>390</v>
      </c>
      <c r="B578" s="27" t="s">
        <v>144</v>
      </c>
      <c r="C578" s="27" t="s">
        <v>361</v>
      </c>
      <c r="D578" s="27" t="s">
        <v>146</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t="s">
        <v>391</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164</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row>
    <row r="582" spans="1:12">
      <c r="A582" s="20" t="s">
        <v>392</v>
      </c>
    </row>
    <row r="583" spans="1:12">
      <c r="A583" s="20" t="s">
        <v>382</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t="s">
        <v>393</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t="s">
        <v>352</v>
      </c>
      <c r="B585" s="27" t="s">
        <v>140</v>
      </c>
      <c r="C585" s="27" t="s">
        <v>145</v>
      </c>
      <c r="D585" s="27" t="s">
        <v>146</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t="s">
        <v>147</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354</v>
      </c>
      <c r="B587" s="27" t="s">
        <v>150</v>
      </c>
      <c r="C587" s="27" t="s">
        <v>145</v>
      </c>
      <c r="D587" s="27" t="s">
        <v>146</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t="s">
        <v>368</v>
      </c>
      <c r="E588" s="21">
        <f>IF(D588="?OLD","!!!","")</f>
        <v/>
      </c>
      <c r="F588" s="22" t="str">
        <f>IF(OR(E588="",E588="!!!"),"",IF(NOT(ISNA(VLOOKUP(E588,E$1:E587,1,FALSE()))),"OLD",IF(AND(E588&lt;&gt;"",E588&lt;&gt;"!!!"),"NEW","")))</f>
        <v> </v>
      </c>
      <c r="G588" s="23" t="str">
        <f>IF(OR(E588="",E588="!!!"),"",IF(OR(J588=0,AND(J588=1,K588=1),AND(J588=1,I588="SBJ"),AND(J588=1,I588=0)),"?IN_FOCUS",IF(J588&lt;=2,"?ACTIVATED",IF(J588&lt;&gt;"","?FAMILIAR",IF(F588="NEW",IF(ISNA(VLOOKUP(E588,#REF!,1,FALSE())),"?TYPE_IDENTIFIABLE","?REFERENTIAL"),"_")))))</f>
        <v> </v>
      </c>
      <c r="H588" s="24" t="str">
        <f>IF(J588&lt;&gt;1,"",IF(I588="SBJ","CB","?"))</f>
        <v> </v>
      </c>
      <c r="I588" s="25" t="str">
        <f>IF(OR(E588="",E588="!!!",F588="NEW"),"",INDEX(B587:B$2,-1+SUMPRODUCT(MAX(ROW(E587:E$2)*(E588=E587:E$2)))))</f>
        <v> </v>
      </c>
      <c r="J588" s="25" t="str">
        <f>IF(OR(E588="",E588="!!!",F588="NEW"),"",COUNTBLANK(OFFSET(A$1,,,SUMPRODUCT(MAX(ROW(E$2:E588)*(E588=E$2:E588)))))-COUNTBLANK(OFFSET(A$1,,,SUMPRODUCT(MAX(ROW(E$1:E587)*(E2=E$1:E587))))))</f>
        <v> </v>
      </c>
      <c r="K588" s="25" t="str">
        <f>IF(OR(E588="",E588="!!!",F588="NEW"),"",INDEX(J$1:J587,SUMPRODUCT(MAX(ROW(E$1:E587)*(E588=E$1:E587)))))</f>
        <v> </v>
      </c>
      <c r="L588" s="26"/>
    </row>
    <row r="589" spans="1:12">
      <c r="A589" s="20" t="s">
        <v>394</v>
      </c>
      <c r="B589" s="27" t="s">
        <v>144</v>
      </c>
      <c r="C589" s="27" t="s">
        <v>239</v>
      </c>
      <c r="E589" s="21">
        <f>IF(D589="?OLD","!!!","")</f>
        <v/>
      </c>
      <c r="F589" s="22" t="str">
        <f>IF(OR(E589="",E589="!!!"),"",IF(NOT(ISNA(VLOOKUP(E589,E$1:E588,1,FALSE()))),"OLD",IF(AND(E589&lt;&gt;"",E589&lt;&gt;"!!!"),"NEW","")))</f>
        <v> </v>
      </c>
      <c r="G589" s="23" t="str">
        <f>IF(OR(E589="",E589="!!!"),"",IF(OR(J589=0,AND(J589=1,K589=1),AND(J589=1,I589="SBJ"),AND(J589=1,I589=0)),"?IN_FOCUS",IF(J589&lt;=2,"?ACTIVATED",IF(J589&lt;&gt;"","?FAMILIAR",IF(F589="NEW",IF(ISNA(VLOOKUP(E589,#REF!,1,FALSE())),"?TYPE_IDENTIFIABLE","?REFERENTIAL"),"_")))))</f>
        <v> </v>
      </c>
      <c r="H589" s="24" t="str">
        <f>IF(J589&lt;&gt;1,"",IF(I589="SBJ","CB","?"))</f>
        <v> </v>
      </c>
      <c r="I589" s="25" t="str">
        <f>IF(OR(E589="",E589="!!!",F589="NEW"),"",INDEX(B588:B$2,-1+SUMPRODUCT(MAX(ROW(E588:E$2)*(E589=E588:E$2)))))</f>
        <v> </v>
      </c>
      <c r="J589" s="25" t="str">
        <f>IF(OR(E589="",E589="!!!",F589="NEW"),"",COUNTBLANK(OFFSET(A$1,,,SUMPRODUCT(MAX(ROW(E$2:E589)*(E589=E$2:E589)))))-COUNTBLANK(OFFSET(A$1,,,SUMPRODUCT(MAX(ROW(E$1:E588)*(E2=E$1:E588))))))</f>
        <v> </v>
      </c>
      <c r="K589" s="25" t="str">
        <f>IF(OR(E589="",E589="!!!",F589="NEW"),"",INDEX(J$1:J588,SUMPRODUCT(MAX(ROW(E$1:E588)*(E589=E$1:E588)))))</f>
        <v> </v>
      </c>
      <c r="L589" s="26"/>
    </row>
    <row r="590" spans="1:12">
      <c r="A590" s="20" t="s">
        <v>147</v>
      </c>
      <c r="E590" s="21">
        <f>IF(D590="?OLD","!!!","")</f>
        <v/>
      </c>
      <c r="F590" s="22" t="str">
        <f>IF(OR(E590="",E590="!!!"),"",IF(NOT(ISNA(VLOOKUP(E590,E$1:E589,1,FALSE()))),"OLD",IF(AND(E590&lt;&gt;"",E590&lt;&gt;"!!!"),"NEW","")))</f>
        <v> </v>
      </c>
      <c r="G590" s="23" t="str">
        <f>IF(OR(E590="",E590="!!!"),"",IF(OR(J590=0,AND(J590=1,K590=1),AND(J590=1,I590="SBJ"),AND(J590=1,I590=0)),"?IN_FOCUS",IF(J590&lt;=2,"?ACTIVATED",IF(J590&lt;&gt;"","?FAMILIAR",IF(F590="NEW",IF(ISNA(VLOOKUP(E590,#REF!,1,FALSE())),"?TYPE_IDENTIFIABLE","?REFERENTIAL"),"_")))))</f>
        <v> </v>
      </c>
      <c r="H590" s="24" t="str">
        <f>IF(J590&lt;&gt;1,"",IF(I590="SBJ","CB","?"))</f>
        <v> </v>
      </c>
      <c r="I590" s="25" t="str">
        <f>IF(OR(E590="",E590="!!!",F590="NEW"),"",INDEX(B589:B$2,-1+SUMPRODUCT(MAX(ROW(E589:E$2)*(E590=E589:E$2)))))</f>
        <v> </v>
      </c>
      <c r="J590" s="25" t="str">
        <f>IF(OR(E590="",E590="!!!",F590="NEW"),"",COUNTBLANK(OFFSET(A$1,,,SUMPRODUCT(MAX(ROW(E$2:E590)*(E590=E$2:E590)))))-COUNTBLANK(OFFSET(A$1,,,SUMPRODUCT(MAX(ROW(E$1:E589)*(E2=E$1:E589))))))</f>
        <v> </v>
      </c>
      <c r="K590" s="25" t="str">
        <f>IF(OR(E590="",E590="!!!",F590="NEW"),"",INDEX(J$1:J589,SUMPRODUCT(MAX(ROW(E$1:E589)*(E590=E$1:E589)))))</f>
        <v> </v>
      </c>
      <c r="L590" s="26"/>
    </row>
    <row r="591" spans="1:12">
      <c r="A591" s="20" t="s">
        <v>395</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t="s">
        <v>293</v>
      </c>
      <c r="B592" s="27" t="s">
        <v>158</v>
      </c>
      <c r="C592" s="27" t="s">
        <v>159</v>
      </c>
      <c r="D592" s="27" t="s">
        <v>146</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175</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396</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397</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398</v>
      </c>
      <c r="B596" s="27" t="s">
        <v>150</v>
      </c>
      <c r="C596" s="27" t="s">
        <v>151</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147</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350</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t="s">
        <v>399</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t="s">
        <v>400</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t="s">
        <v>147</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t="s">
        <v>401</v>
      </c>
      <c r="E602" s="21">
        <f>IF(D602="?OLD","!!!","")</f>
        <v/>
      </c>
      <c r="F602" s="22" t="str">
        <f>IF(OR(E602="",E602="!!!"),"",IF(NOT(ISNA(VLOOKUP(E602,E$1:E601,1,FALSE()))),"OLD",IF(AND(E602&lt;&gt;"",E602&lt;&gt;"!!!"),"NEW","")))</f>
        <v> </v>
      </c>
      <c r="G602" s="23" t="str">
        <f>IF(OR(E602="",E602="!!!"),"",IF(OR(J602=0,AND(J602=1,K602=1),AND(J602=1,I602="SBJ"),AND(J602=1,I602=0)),"?IN_FOCUS",IF(J602&lt;=2,"?ACTIVATED",IF(J602&lt;&gt;"","?FAMILIAR",IF(F602="NEW",IF(ISNA(VLOOKUP(E602,#REF!,1,FALSE())),"?TYPE_IDENTIFIABLE","?REFERENTIAL"),"_")))))</f>
        <v> </v>
      </c>
      <c r="H602" s="24" t="str">
        <f>IF(J602&lt;&gt;1,"",IF(I602="SBJ","CB","?"))</f>
        <v> </v>
      </c>
      <c r="I602" s="25" t="str">
        <f>IF(OR(E602="",E602="!!!",F602="NEW"),"",INDEX(B601:B$2,-1+SUMPRODUCT(MAX(ROW(E601:E$2)*(E602=E601:E$2)))))</f>
        <v> </v>
      </c>
      <c r="J602" s="25" t="str">
        <f>IF(OR(E602="",E602="!!!",F602="NEW"),"",COUNTBLANK(OFFSET(A$1,,,SUMPRODUCT(MAX(ROW(E$2:E602)*(E602=E$2:E602)))))-COUNTBLANK(OFFSET(A$1,,,SUMPRODUCT(MAX(ROW(E$1:E601)*(E2=E$1:E601))))))</f>
        <v> </v>
      </c>
      <c r="K602" s="25" t="str">
        <f>IF(OR(E602="",E602="!!!",F602="NEW"),"",INDEX(J$1:J601,SUMPRODUCT(MAX(ROW(E$1:E601)*(E602=E$1:E601)))))</f>
        <v> </v>
      </c>
      <c r="L602" s="26"/>
    </row>
    <row r="603" spans="1:12">
      <c r="A603" s="20" t="s">
        <v>231</v>
      </c>
      <c r="E603" s="21">
        <f>IF(D603="?OLD","!!!","")</f>
        <v/>
      </c>
      <c r="F603" s="22" t="str">
        <f>IF(OR(E603="",E603="!!!"),"",IF(NOT(ISNA(VLOOKUP(E603,E$1:E602,1,FALSE()))),"OLD",IF(AND(E603&lt;&gt;"",E603&lt;&gt;"!!!"),"NEW","")))</f>
        <v> </v>
      </c>
      <c r="G603" s="23" t="str">
        <f>IF(OR(E603="",E603="!!!"),"",IF(OR(J603=0,AND(J603=1,K603=1),AND(J603=1,I603="SBJ"),AND(J603=1,I603=0)),"?IN_FOCUS",IF(J603&lt;=2,"?ACTIVATED",IF(J603&lt;&gt;"","?FAMILIAR",IF(F603="NEW",IF(ISNA(VLOOKUP(E603,#REF!,1,FALSE())),"?TYPE_IDENTIFIABLE","?REFERENTIAL"),"_")))))</f>
        <v> </v>
      </c>
      <c r="H603" s="24" t="str">
        <f>IF(J603&lt;&gt;1,"",IF(I603="SBJ","CB","?"))</f>
        <v> </v>
      </c>
      <c r="I603" s="25" t="str">
        <f>IF(OR(E603="",E603="!!!",F603="NEW"),"",INDEX(B602:B$2,-1+SUMPRODUCT(MAX(ROW(E602:E$2)*(E603=E602:E$2)))))</f>
        <v> </v>
      </c>
      <c r="J603" s="25" t="str">
        <f>IF(OR(E603="",E603="!!!",F603="NEW"),"",COUNTBLANK(OFFSET(A$1,,,SUMPRODUCT(MAX(ROW(E$2:E603)*(E603=E$2:E603)))))-COUNTBLANK(OFFSET(A$1,,,SUMPRODUCT(MAX(ROW(E$1:E602)*(E2=E$1:E602))))))</f>
        <v> </v>
      </c>
      <c r="K603" s="25" t="str">
        <f>IF(OR(E603="",E603="!!!",F603="NEW"),"",INDEX(J$1:J602,SUMPRODUCT(MAX(ROW(E$1:E602)*(E603=E$1:E602)))))</f>
        <v> </v>
      </c>
      <c r="L603" s="26"/>
    </row>
    <row r="604" spans="1:12">
      <c r="A604" s="20" t="s">
        <v>386</v>
      </c>
      <c r="B604" s="27" t="s">
        <v>158</v>
      </c>
      <c r="C604" s="27" t="s">
        <v>163</v>
      </c>
      <c r="D604" s="27" t="s">
        <v>146</v>
      </c>
      <c r="E604" s="21">
        <f>IF(D604="?OLD","!!!","")</f>
        <v/>
      </c>
      <c r="F604" s="22" t="str">
        <f>IF(OR(E604="",E604="!!!"),"",IF(NOT(ISNA(VLOOKUP(E604,E$1:E603,1,FALSE()))),"OLD",IF(AND(E604&lt;&gt;"",E604&lt;&gt;"!!!"),"NEW","")))</f>
        <v> </v>
      </c>
      <c r="G604" s="23" t="str">
        <f>IF(OR(E604="",E604="!!!"),"",IF(OR(J604=0,AND(J604=1,K604=1),AND(J604=1,I604="SBJ"),AND(J604=1,I604=0)),"?IN_FOCUS",IF(J604&lt;=2,"?ACTIVATED",IF(J604&lt;&gt;"","?FAMILIAR",IF(F604="NEW",IF(ISNA(VLOOKUP(E604,#REF!,1,FALSE())),"?TYPE_IDENTIFIABLE","?REFERENTIAL"),"_")))))</f>
        <v> </v>
      </c>
      <c r="H604" s="24" t="str">
        <f>IF(J604&lt;&gt;1,"",IF(I604="SBJ","CB","?"))</f>
        <v> </v>
      </c>
      <c r="I604" s="25" t="str">
        <f>IF(OR(E604="",E604="!!!",F604="NEW"),"",INDEX(B603:B$2,-1+SUMPRODUCT(MAX(ROW(E603:E$2)*(E604=E603:E$2)))))</f>
        <v> </v>
      </c>
      <c r="J604" s="25" t="str">
        <f>IF(OR(E604="",E604="!!!",F604="NEW"),"",COUNTBLANK(OFFSET(A$1,,,SUMPRODUCT(MAX(ROW(E$2:E604)*(E604=E$2:E604)))))-COUNTBLANK(OFFSET(A$1,,,SUMPRODUCT(MAX(ROW(E$1:E603)*(E2=E$1:E603))))))</f>
        <v> </v>
      </c>
      <c r="K604" s="25" t="str">
        <f>IF(OR(E604="",E604="!!!",F604="NEW"),"",INDEX(J$1:J603,SUMPRODUCT(MAX(ROW(E$1:E603)*(E604=E$1:E603)))))</f>
        <v> </v>
      </c>
      <c r="L604" s="26"/>
    </row>
    <row r="605" spans="1:12">
      <c r="A605" s="20" t="s">
        <v>387</v>
      </c>
      <c r="B605" s="27" t="s">
        <v>183</v>
      </c>
      <c r="C605" s="27" t="s">
        <v>145</v>
      </c>
      <c r="D605" s="27" t="s">
        <v>146</v>
      </c>
      <c r="E605" s="21">
        <f>IF(D605="?OLD","!!!","")</f>
        <v/>
      </c>
      <c r="F605" s="22" t="str">
        <f>IF(OR(E605="",E605="!!!"),"",IF(NOT(ISNA(VLOOKUP(E605,E$1:E604,1,FALSE()))),"OLD",IF(AND(E605&lt;&gt;"",E605&lt;&gt;"!!!"),"NEW","")))</f>
        <v> </v>
      </c>
      <c r="G605" s="23" t="str">
        <f>IF(OR(E605="",E605="!!!"),"",IF(OR(J605=0,AND(J605=1,K605=1),AND(J605=1,I605="SBJ"),AND(J605=1,I605=0)),"?IN_FOCUS",IF(J605&lt;=2,"?ACTIVATED",IF(J605&lt;&gt;"","?FAMILIAR",IF(F605="NEW",IF(ISNA(VLOOKUP(E605,#REF!,1,FALSE())),"?TYPE_IDENTIFIABLE","?REFERENTIAL"),"_")))))</f>
        <v> </v>
      </c>
      <c r="H605" s="24" t="str">
        <f>IF(J605&lt;&gt;1,"",IF(I605="SBJ","CB","?"))</f>
        <v> </v>
      </c>
      <c r="I605" s="25" t="str">
        <f>IF(OR(E605="",E605="!!!",F605="NEW"),"",INDEX(B604:B$2,-1+SUMPRODUCT(MAX(ROW(E604:E$2)*(E605=E604:E$2)))))</f>
        <v> </v>
      </c>
      <c r="J605" s="25" t="str">
        <f>IF(OR(E605="",E605="!!!",F605="NEW"),"",COUNTBLANK(OFFSET(A$1,,,SUMPRODUCT(MAX(ROW(E$2:E605)*(E605=E$2:E605)))))-COUNTBLANK(OFFSET(A$1,,,SUMPRODUCT(MAX(ROW(E$1:E604)*(E2=E$1:E604))))))</f>
        <v> </v>
      </c>
      <c r="K605" s="25" t="str">
        <f>IF(OR(E605="",E605="!!!",F605="NEW"),"",INDEX(J$1:J604,SUMPRODUCT(MAX(ROW(E$1:E604)*(E605=E$1:E604)))))</f>
        <v> </v>
      </c>
      <c r="L605" s="26"/>
    </row>
    <row r="606" spans="1:12">
      <c r="A606" s="20" t="s">
        <v>259</v>
      </c>
      <c r="E606" s="21">
        <f>IF(D606="?OLD","!!!","")</f>
        <v/>
      </c>
      <c r="F606" s="22" t="str">
        <f>IF(OR(E606="",E606="!!!"),"",IF(NOT(ISNA(VLOOKUP(E606,E$1:E605,1,FALSE()))),"OLD",IF(AND(E606&lt;&gt;"",E606&lt;&gt;"!!!"),"NEW","")))</f>
        <v> </v>
      </c>
      <c r="G606" s="23" t="str">
        <f>IF(OR(E606="",E606="!!!"),"",IF(OR(J606=0,AND(J606=1,K606=1),AND(J606=1,I606="SBJ"),AND(J606=1,I606=0)),"?IN_FOCUS",IF(J606&lt;=2,"?ACTIVATED",IF(J606&lt;&gt;"","?FAMILIAR",IF(F606="NEW",IF(ISNA(VLOOKUP(E606,#REF!,1,FALSE())),"?TYPE_IDENTIFIABLE","?REFERENTIAL"),"_")))))</f>
        <v> </v>
      </c>
      <c r="H606" s="24" t="str">
        <f>IF(J606&lt;&gt;1,"",IF(I606="SBJ","CB","?"))</f>
        <v> </v>
      </c>
      <c r="I606" s="25" t="str">
        <f>IF(OR(E606="",E606="!!!",F606="NEW"),"",INDEX(B605:B$2,-1+SUMPRODUCT(MAX(ROW(E605:E$2)*(E606=E605:E$2)))))</f>
        <v> </v>
      </c>
      <c r="J606" s="25" t="str">
        <f>IF(OR(E606="",E606="!!!",F606="NEW"),"",COUNTBLANK(OFFSET(A$1,,,SUMPRODUCT(MAX(ROW(E$2:E606)*(E606=E$2:E606)))))-COUNTBLANK(OFFSET(A$1,,,SUMPRODUCT(MAX(ROW(E$1:E605)*(E2=E$1:E605))))))</f>
        <v> </v>
      </c>
      <c r="K606" s="25" t="str">
        <f>IF(OR(E606="",E606="!!!",F606="NEW"),"",INDEX(J$1:J605,SUMPRODUCT(MAX(ROW(E$1:E605)*(E606=E$1:E605)))))</f>
        <v> </v>
      </c>
      <c r="L606" s="26"/>
    </row>
    <row r="607" spans="1:12">
      <c r="A607" s="20" t="s">
        <v>192</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t="s">
        <v>147</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402</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t="s">
        <v>403</v>
      </c>
      <c r="B610" s="27" t="s">
        <v>201</v>
      </c>
      <c r="C610" s="27" t="s">
        <v>151</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t="s">
        <v>404</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t="s">
        <v>405</v>
      </c>
      <c r="E612" s="21">
        <f>IF(D612="?OLD","!!!","")</f>
        <v/>
      </c>
      <c r="F612" s="22" t="str">
        <f>IF(OR(E612="",E612="!!!"),"",IF(NOT(ISNA(VLOOKUP(E612,E$1:E611,1,FALSE()))),"OLD",IF(AND(E612&lt;&gt;"",E612&lt;&gt;"!!!"),"NEW","")))</f>
        <v> </v>
      </c>
      <c r="G612" s="23" t="str">
        <f>IF(OR(E612="",E612="!!!"),"",IF(OR(J612=0,AND(J612=1,K612=1),AND(J612=1,I612="SBJ"),AND(J612=1,I612=0)),"?IN_FOCUS",IF(J612&lt;=2,"?ACTIVATED",IF(J612&lt;&gt;"","?FAMILIAR",IF(F612="NEW",IF(ISNA(VLOOKUP(E612,#REF!,1,FALSE())),"?TYPE_IDENTIFIABLE","?REFERENTIAL"),"_")))))</f>
        <v> </v>
      </c>
      <c r="H612" s="24" t="str">
        <f>IF(J612&lt;&gt;1,"",IF(I612="SBJ","CB","?"))</f>
        <v> </v>
      </c>
      <c r="I612" s="25" t="str">
        <f>IF(OR(E612="",E612="!!!",F612="NEW"),"",INDEX(B611:B$2,-1+SUMPRODUCT(MAX(ROW(E611:E$2)*(E612=E611:E$2)))))</f>
        <v> </v>
      </c>
      <c r="J612" s="25" t="str">
        <f>IF(OR(E612="",E612="!!!",F612="NEW"),"",COUNTBLANK(OFFSET(A$1,,,SUMPRODUCT(MAX(ROW(E$2:E612)*(E612=E$2:E612)))))-COUNTBLANK(OFFSET(A$1,,,SUMPRODUCT(MAX(ROW(E$1:E611)*(E2=E$1:E611))))))</f>
        <v> </v>
      </c>
      <c r="K612" s="25" t="str">
        <f>IF(OR(E612="",E612="!!!",F612="NEW"),"",INDEX(J$1:J611,SUMPRODUCT(MAX(ROW(E$1:E611)*(E612=E$1:E611)))))</f>
        <v> </v>
      </c>
      <c r="L612" s="26"/>
    </row>
    <row r="613" spans="1:12">
      <c r="A613" s="20" t="s">
        <v>181</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t="s">
        <v>263</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197</v>
      </c>
      <c r="B615" s="27" t="s">
        <v>185</v>
      </c>
      <c r="C615" s="27" t="s">
        <v>186</v>
      </c>
      <c r="D615" s="27" t="s">
        <v>146</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406</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t="s">
        <v>357</v>
      </c>
      <c r="B617" s="27" t="s">
        <v>185</v>
      </c>
      <c r="C617" s="27" t="s">
        <v>151</v>
      </c>
      <c r="E617" s="21">
        <f>IF(D617="?OLD","!!!","")</f>
        <v/>
      </c>
      <c r="F617" s="22" t="str">
        <f>IF(OR(E617="",E617="!!!"),"",IF(NOT(ISNA(VLOOKUP(E617,E$1:E616,1,FALSE()))),"OLD",IF(AND(E617&lt;&gt;"",E617&lt;&gt;"!!!"),"NEW","")))</f>
        <v> </v>
      </c>
      <c r="G617" s="23" t="str">
        <f>IF(OR(E617="",E617="!!!"),"",IF(OR(J617=0,AND(J617=1,K617=1),AND(J617=1,I617="SBJ"),AND(J617=1,I617=0)),"?IN_FOCUS",IF(J617&lt;=2,"?ACTIVATED",IF(J617&lt;&gt;"","?FAMILIAR",IF(F617="NEW",IF(ISNA(VLOOKUP(E617,#REF!,1,FALSE())),"?TYPE_IDENTIFIABLE","?REFERENTIAL"),"_")))))</f>
        <v> </v>
      </c>
      <c r="H617" s="24" t="str">
        <f>IF(J617&lt;&gt;1,"",IF(I617="SBJ","CB","?"))</f>
        <v> </v>
      </c>
      <c r="I617" s="25" t="str">
        <f>IF(OR(E617="",E617="!!!",F617="NEW"),"",INDEX(B616:B$2,-1+SUMPRODUCT(MAX(ROW(E616:E$2)*(E617=E616:E$2)))))</f>
        <v> </v>
      </c>
      <c r="J617" s="25" t="str">
        <f>IF(OR(E617="",E617="!!!",F617="NEW"),"",COUNTBLANK(OFFSET(A$1,,,SUMPRODUCT(MAX(ROW(E$2:E617)*(E617=E$2:E617)))))-COUNTBLANK(OFFSET(A$1,,,SUMPRODUCT(MAX(ROW(E$1:E616)*(E2=E$1:E616))))))</f>
        <v> </v>
      </c>
      <c r="K617" s="25" t="str">
        <f>IF(OR(E617="",E617="!!!",F617="NEW"),"",INDEX(J$1:J616,SUMPRODUCT(MAX(ROW(E$1:E616)*(E617=E$1:E616)))))</f>
        <v> </v>
      </c>
      <c r="L617" s="26"/>
    </row>
    <row r="618" spans="1:12">
      <c r="A618" s="20" t="s">
        <v>387</v>
      </c>
      <c r="B618" s="27" t="s">
        <v>238</v>
      </c>
      <c r="C618" s="27" t="s">
        <v>145</v>
      </c>
      <c r="D618" s="27" t="s">
        <v>146</v>
      </c>
      <c r="E618" s="21">
        <f>IF(D618="?OLD","!!!","")</f>
        <v/>
      </c>
      <c r="F618" s="22" t="str">
        <f>IF(OR(E618="",E618="!!!"),"",IF(NOT(ISNA(VLOOKUP(E618,E$1:E617,1,FALSE()))),"OLD",IF(AND(E618&lt;&gt;"",E618&lt;&gt;"!!!"),"NEW","")))</f>
        <v> </v>
      </c>
      <c r="G618" s="23" t="str">
        <f>IF(OR(E618="",E618="!!!"),"",IF(OR(J618=0,AND(J618=1,K618=1),AND(J618=1,I618="SBJ"),AND(J618=1,I618=0)),"?IN_FOCUS",IF(J618&lt;=2,"?ACTIVATED",IF(J618&lt;&gt;"","?FAMILIAR",IF(F618="NEW",IF(ISNA(VLOOKUP(E618,#REF!,1,FALSE())),"?TYPE_IDENTIFIABLE","?REFERENTIAL"),"_")))))</f>
        <v> </v>
      </c>
      <c r="H618" s="24" t="str">
        <f>IF(J618&lt;&gt;1,"",IF(I618="SBJ","CB","?"))</f>
        <v> </v>
      </c>
      <c r="I618" s="25" t="str">
        <f>IF(OR(E618="",E618="!!!",F618="NEW"),"",INDEX(B617:B$2,-1+SUMPRODUCT(MAX(ROW(E617:E$2)*(E618=E617:E$2)))))</f>
        <v> </v>
      </c>
      <c r="J618" s="25" t="str">
        <f>IF(OR(E618="",E618="!!!",F618="NEW"),"",COUNTBLANK(OFFSET(A$1,,,SUMPRODUCT(MAX(ROW(E$2:E618)*(E618=E$2:E618)))))-COUNTBLANK(OFFSET(A$1,,,SUMPRODUCT(MAX(ROW(E$1:E617)*(E2=E$1:E617))))))</f>
        <v> </v>
      </c>
      <c r="K618" s="25" t="str">
        <f>IF(OR(E618="",E618="!!!",F618="NEW"),"",INDEX(J$1:J617,SUMPRODUCT(MAX(ROW(E$1:E617)*(E618=E$1:E617)))))</f>
        <v> </v>
      </c>
      <c r="L618" s="26"/>
    </row>
    <row r="619" spans="1:12">
      <c r="A619" s="20" t="s">
        <v>217</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t="s">
        <v>407</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t="s">
        <v>164</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row>
    <row r="623" spans="1:12">
      <c r="A623" s="20" t="s">
        <v>408</v>
      </c>
    </row>
    <row r="624" spans="1:12">
      <c r="A624" s="20" t="s">
        <v>409</v>
      </c>
      <c r="E624" s="21">
        <f>IF(D624="?OLD","!!!","")</f>
        <v/>
      </c>
      <c r="F624" s="22" t="str">
        <f>IF(OR(E624="",E624="!!!"),"",IF(NOT(ISNA(VLOOKUP(E624,E$1:E623,1,FALSE()))),"OLD",IF(AND(E624&lt;&gt;"",E624&lt;&gt;"!!!"),"NEW","")))</f>
        <v> </v>
      </c>
      <c r="G624" s="23" t="str">
        <f>IF(OR(E624="",E624="!!!"),"",IF(OR(J624=0,AND(J624=1,K624=1),AND(J624=1,I624="SBJ"),AND(J624=1,I624=0)),"?IN_FOCUS",IF(J624&lt;=2,"?ACTIVATED",IF(J624&lt;&gt;"","?FAMILIAR",IF(F624="NEW",IF(ISNA(VLOOKUP(E624,#REF!,1,FALSE())),"?TYPE_IDENTIFIABLE","?REFERENTIAL"),"_")))))</f>
        <v> </v>
      </c>
      <c r="H624" s="24" t="str">
        <f>IF(J624&lt;&gt;1,"",IF(I624="SBJ","CB","?"))</f>
        <v> </v>
      </c>
      <c r="I624" s="25" t="str">
        <f>IF(OR(E624="",E624="!!!",F624="NEW"),"",INDEX(B623:B$2,-1+SUMPRODUCT(MAX(ROW(E623:E$2)*(E624=E623:E$2)))))</f>
        <v> </v>
      </c>
      <c r="J624" s="25" t="str">
        <f>IF(OR(E624="",E624="!!!",F624="NEW"),"",COUNTBLANK(OFFSET(A$1,,,SUMPRODUCT(MAX(ROW(E$2:E624)*(E624=E$2:E624)))))-COUNTBLANK(OFFSET(A$1,,,SUMPRODUCT(MAX(ROW(E$1:E623)*(E2=E$1:E623))))))</f>
        <v> </v>
      </c>
      <c r="K624" s="25" t="str">
        <f>IF(OR(E624="",E624="!!!",F624="NEW"),"",INDEX(J$1:J623,SUMPRODUCT(MAX(ROW(E$1:E623)*(E624=E$1:E623)))))</f>
        <v> </v>
      </c>
      <c r="L624" s="26"/>
    </row>
    <row r="625" spans="1:12">
      <c r="A625" s="20" t="s">
        <v>383</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143</v>
      </c>
      <c r="B626" s="27" t="s">
        <v>140</v>
      </c>
      <c r="C626" s="27" t="s">
        <v>145</v>
      </c>
      <c r="D626" s="27" t="s">
        <v>146</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t="s">
        <v>410</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t="s">
        <v>288</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t="s">
        <v>219</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t="s">
        <v>375</v>
      </c>
      <c r="B630" s="27" t="s">
        <v>171</v>
      </c>
      <c r="C630" s="27" t="s">
        <v>151</v>
      </c>
      <c r="E630" s="21">
        <f>IF(D630="?OLD","!!!","")</f>
        <v/>
      </c>
      <c r="F630" s="22" t="str">
        <f>IF(OR(E630="",E630="!!!"),"",IF(NOT(ISNA(VLOOKUP(E630,E$1:E629,1,FALSE()))),"OLD",IF(AND(E630&lt;&gt;"",E630&lt;&gt;"!!!"),"NEW","")))</f>
        <v> </v>
      </c>
      <c r="G630" s="23" t="str">
        <f>IF(OR(E630="",E630="!!!"),"",IF(OR(J630=0,AND(J630=1,K630=1),AND(J630=1,I630="SBJ"),AND(J630=1,I630=0)),"?IN_FOCUS",IF(J630&lt;=2,"?ACTIVATED",IF(J630&lt;&gt;"","?FAMILIAR",IF(F630="NEW",IF(ISNA(VLOOKUP(E630,#REF!,1,FALSE())),"?TYPE_IDENTIFIABLE","?REFERENTIAL"),"_")))))</f>
        <v> </v>
      </c>
      <c r="H630" s="24" t="str">
        <f>IF(J630&lt;&gt;1,"",IF(I630="SBJ","CB","?"))</f>
        <v> </v>
      </c>
      <c r="I630" s="25" t="str">
        <f>IF(OR(E630="",E630="!!!",F630="NEW"),"",INDEX(B629:B$2,-1+SUMPRODUCT(MAX(ROW(E629:E$2)*(E630=E629:E$2)))))</f>
        <v> </v>
      </c>
      <c r="J630" s="25" t="str">
        <f>IF(OR(E630="",E630="!!!",F630="NEW"),"",COUNTBLANK(OFFSET(A$1,,,SUMPRODUCT(MAX(ROW(E$2:E630)*(E630=E$2:E630)))))-COUNTBLANK(OFFSET(A$1,,,SUMPRODUCT(MAX(ROW(E$1:E629)*(E2=E$1:E629))))))</f>
        <v> </v>
      </c>
      <c r="K630" s="25" t="str">
        <f>IF(OR(E630="",E630="!!!",F630="NEW"),"",INDEX(J$1:J629,SUMPRODUCT(MAX(ROW(E$1:E629)*(E630=E$1:E629)))))</f>
        <v> </v>
      </c>
      <c r="L630" s="26"/>
    </row>
    <row r="631" spans="1:12">
      <c r="A631" s="20" t="s">
        <v>147</v>
      </c>
      <c r="E631" s="21">
        <f>IF(D631="?OLD","!!!","")</f>
        <v/>
      </c>
      <c r="F631" s="22" t="str">
        <f>IF(OR(E631="",E631="!!!"),"",IF(NOT(ISNA(VLOOKUP(E631,E$1:E630,1,FALSE()))),"OLD",IF(AND(E631&lt;&gt;"",E631&lt;&gt;"!!!"),"NEW","")))</f>
        <v> </v>
      </c>
      <c r="G631" s="23" t="str">
        <f>IF(OR(E631="",E631="!!!"),"",IF(OR(J631=0,AND(J631=1,K631=1),AND(J631=1,I631="SBJ"),AND(J631=1,I631=0)),"?IN_FOCUS",IF(J631&lt;=2,"?ACTIVATED",IF(J631&lt;&gt;"","?FAMILIAR",IF(F631="NEW",IF(ISNA(VLOOKUP(E631,#REF!,1,FALSE())),"?TYPE_IDENTIFIABLE","?REFERENTIAL"),"_")))))</f>
        <v> </v>
      </c>
      <c r="H631" s="24" t="str">
        <f>IF(J631&lt;&gt;1,"",IF(I631="SBJ","CB","?"))</f>
        <v> </v>
      </c>
      <c r="I631" s="25" t="str">
        <f>IF(OR(E631="",E631="!!!",F631="NEW"),"",INDEX(B630:B$2,-1+SUMPRODUCT(MAX(ROW(E630:E$2)*(E631=E630:E$2)))))</f>
        <v> </v>
      </c>
      <c r="J631" s="25" t="str">
        <f>IF(OR(E631="",E631="!!!",F631="NEW"),"",COUNTBLANK(OFFSET(A$1,,,SUMPRODUCT(MAX(ROW(E$2:E631)*(E631=E$2:E631)))))-COUNTBLANK(OFFSET(A$1,,,SUMPRODUCT(MAX(ROW(E$1:E630)*(E2=E$1:E630))))))</f>
        <v> </v>
      </c>
      <c r="K631" s="25" t="str">
        <f>IF(OR(E631="",E631="!!!",F631="NEW"),"",INDEX(J$1:J630,SUMPRODUCT(MAX(ROW(E$1:E630)*(E631=E$1:E630)))))</f>
        <v> </v>
      </c>
      <c r="L631" s="26"/>
    </row>
    <row r="632" spans="1:12">
      <c r="A632" s="20" t="s">
        <v>411</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181</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t="s">
        <v>184</v>
      </c>
      <c r="B634" s="27" t="s">
        <v>233</v>
      </c>
      <c r="C634" s="27" t="s">
        <v>186</v>
      </c>
      <c r="D634" s="27" t="s">
        <v>146</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t="s">
        <v>273</v>
      </c>
      <c r="B635" s="27" t="s">
        <v>233</v>
      </c>
      <c r="C635" s="27" t="s">
        <v>159</v>
      </c>
      <c r="D635" s="27" t="s">
        <v>146</v>
      </c>
      <c r="E635" s="21">
        <f>IF(D635="?OLD","!!!","")</f>
        <v/>
      </c>
      <c r="F635" s="22" t="str">
        <f>IF(OR(E635="",E635="!!!"),"",IF(NOT(ISNA(VLOOKUP(E635,E$1:E634,1,FALSE()))),"OLD",IF(AND(E635&lt;&gt;"",E635&lt;&gt;"!!!"),"NEW","")))</f>
        <v> </v>
      </c>
      <c r="G635" s="23" t="str">
        <f>IF(OR(E635="",E635="!!!"),"",IF(OR(J635=0,AND(J635=1,K635=1),AND(J635=1,I635="SBJ"),AND(J635=1,I635=0)),"?IN_FOCUS",IF(J635&lt;=2,"?ACTIVATED",IF(J635&lt;&gt;"","?FAMILIAR",IF(F635="NEW",IF(ISNA(VLOOKUP(E635,#REF!,1,FALSE())),"?TYPE_IDENTIFIABLE","?REFERENTIAL"),"_")))))</f>
        <v> </v>
      </c>
      <c r="H635" s="24" t="str">
        <f>IF(J635&lt;&gt;1,"",IF(I635="SBJ","CB","?"))</f>
        <v> </v>
      </c>
      <c r="I635" s="25" t="str">
        <f>IF(OR(E635="",E635="!!!",F635="NEW"),"",INDEX(B634:B$2,-1+SUMPRODUCT(MAX(ROW(E634:E$2)*(E635=E634:E$2)))))</f>
        <v> </v>
      </c>
      <c r="J635" s="25" t="str">
        <f>IF(OR(E635="",E635="!!!",F635="NEW"),"",COUNTBLANK(OFFSET(A$1,,,SUMPRODUCT(MAX(ROW(E$2:E635)*(E635=E$2:E635)))))-COUNTBLANK(OFFSET(A$1,,,SUMPRODUCT(MAX(ROW(E$1:E634)*(E2=E$1:E634))))))</f>
        <v> </v>
      </c>
      <c r="K635" s="25" t="str">
        <f>IF(OR(E635="",E635="!!!",F635="NEW"),"",INDEX(J$1:J634,SUMPRODUCT(MAX(ROW(E$1:E634)*(E635=E$1:E634)))))</f>
        <v> </v>
      </c>
      <c r="L635" s="26"/>
    </row>
    <row r="636" spans="1:12">
      <c r="A636" s="20" t="s">
        <v>78</v>
      </c>
      <c r="E636" s="21">
        <f>IF(D636="?OLD","!!!","")</f>
        <v/>
      </c>
      <c r="F636" s="22" t="str">
        <f>IF(OR(E636="",E636="!!!"),"",IF(NOT(ISNA(VLOOKUP(E636,E$1:E635,1,FALSE()))),"OLD",IF(AND(E636&lt;&gt;"",E636&lt;&gt;"!!!"),"NEW","")))</f>
        <v> </v>
      </c>
      <c r="G636" s="23" t="str">
        <f>IF(OR(E636="",E636="!!!"),"",IF(OR(J636=0,AND(J636=1,K636=1),AND(J636=1,I636="SBJ"),AND(J636=1,I636=0)),"?IN_FOCUS",IF(J636&lt;=2,"?ACTIVATED",IF(J636&lt;&gt;"","?FAMILIAR",IF(F636="NEW",IF(ISNA(VLOOKUP(E636,#REF!,1,FALSE())),"?TYPE_IDENTIFIABLE","?REFERENTIAL"),"_")))))</f>
        <v> </v>
      </c>
      <c r="H636" s="24" t="str">
        <f>IF(J636&lt;&gt;1,"",IF(I636="SBJ","CB","?"))</f>
        <v> </v>
      </c>
      <c r="I636" s="25" t="str">
        <f>IF(OR(E636="",E636="!!!",F636="NEW"),"",INDEX(B635:B$2,-1+SUMPRODUCT(MAX(ROW(E635:E$2)*(E636=E635:E$2)))))</f>
        <v> </v>
      </c>
      <c r="J636" s="25" t="str">
        <f>IF(OR(E636="",E636="!!!",F636="NEW"),"",COUNTBLANK(OFFSET(A$1,,,SUMPRODUCT(MAX(ROW(E$2:E636)*(E636=E$2:E636)))))-COUNTBLANK(OFFSET(A$1,,,SUMPRODUCT(MAX(ROW(E$1:E635)*(E2=E$1:E635))))))</f>
        <v> </v>
      </c>
      <c r="K636" s="25" t="str">
        <f>IF(OR(E636="",E636="!!!",F636="NEW"),"",INDEX(J$1:J635,SUMPRODUCT(MAX(ROW(E$1:E635)*(E636=E$1:E635)))))</f>
        <v> </v>
      </c>
      <c r="L636" s="26"/>
    </row>
    <row r="637" spans="1:12">
      <c r="A637" s="20" t="s">
        <v>412</v>
      </c>
      <c r="E637" s="21">
        <f>IF(D637="?OLD","!!!","")</f>
        <v/>
      </c>
      <c r="F637" s="22" t="str">
        <f>IF(OR(E637="",E637="!!!"),"",IF(NOT(ISNA(VLOOKUP(E637,E$1:E636,1,FALSE()))),"OLD",IF(AND(E637&lt;&gt;"",E637&lt;&gt;"!!!"),"NEW","")))</f>
        <v> </v>
      </c>
      <c r="G637" s="23" t="str">
        <f>IF(OR(E637="",E637="!!!"),"",IF(OR(J637=0,AND(J637=1,K637=1),AND(J637=1,I637="SBJ"),AND(J637=1,I637=0)),"?IN_FOCUS",IF(J637&lt;=2,"?ACTIVATED",IF(J637&lt;&gt;"","?FAMILIAR",IF(F637="NEW",IF(ISNA(VLOOKUP(E637,#REF!,1,FALSE())),"?TYPE_IDENTIFIABLE","?REFERENTIAL"),"_")))))</f>
        <v> </v>
      </c>
      <c r="H637" s="24" t="str">
        <f>IF(J637&lt;&gt;1,"",IF(I637="SBJ","CB","?"))</f>
        <v> </v>
      </c>
      <c r="I637" s="25" t="str">
        <f>IF(OR(E637="",E637="!!!",F637="NEW"),"",INDEX(B636:B$2,-1+SUMPRODUCT(MAX(ROW(E636:E$2)*(E637=E636:E$2)))))</f>
        <v> </v>
      </c>
      <c r="J637" s="25" t="str">
        <f>IF(OR(E637="",E637="!!!",F637="NEW"),"",COUNTBLANK(OFFSET(A$1,,,SUMPRODUCT(MAX(ROW(E$2:E637)*(E637=E$2:E637)))))-COUNTBLANK(OFFSET(A$1,,,SUMPRODUCT(MAX(ROW(E$1:E636)*(E2=E$1:E636))))))</f>
        <v> </v>
      </c>
      <c r="K637" s="25" t="str">
        <f>IF(OR(E637="",E637="!!!",F637="NEW"),"",INDEX(J$1:J636,SUMPRODUCT(MAX(ROW(E$1:E636)*(E637=E$1:E636)))))</f>
        <v> </v>
      </c>
      <c r="L637" s="26"/>
    </row>
    <row r="638" spans="1:12">
      <c r="A638" s="20" t="s">
        <v>413</v>
      </c>
      <c r="B638" s="27" t="s">
        <v>185</v>
      </c>
      <c r="C638" s="27" t="s">
        <v>151</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t="s">
        <v>414</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t="s">
        <v>415</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181</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row>
    <row r="643" spans="1:12">
      <c r="A643" s="20" t="s">
        <v>416</v>
      </c>
    </row>
    <row r="644" spans="1:12">
      <c r="A644" s="20" t="s">
        <v>152</v>
      </c>
      <c r="E644" s="21">
        <f>IF(D644="?OLD","!!!","")</f>
        <v/>
      </c>
      <c r="F644" s="22" t="str">
        <f>IF(OR(E644="",E644="!!!"),"",IF(NOT(ISNA(VLOOKUP(E644,E$1:E643,1,FALSE()))),"OLD",IF(AND(E644&lt;&gt;"",E644&lt;&gt;"!!!"),"NEW","")))</f>
        <v> </v>
      </c>
      <c r="G644" s="23" t="str">
        <f>IF(OR(E644="",E644="!!!"),"",IF(OR(J644=0,AND(J644=1,K644=1),AND(J644=1,I644="SBJ"),AND(J644=1,I644=0)),"?IN_FOCUS",IF(J644&lt;=2,"?ACTIVATED",IF(J644&lt;&gt;"","?FAMILIAR",IF(F644="NEW",IF(ISNA(VLOOKUP(E644,#REF!,1,FALSE())),"?TYPE_IDENTIFIABLE","?REFERENTIAL"),"_")))))</f>
        <v> </v>
      </c>
      <c r="H644" s="24" t="str">
        <f>IF(J644&lt;&gt;1,"",IF(I644="SBJ","CB","?"))</f>
        <v> </v>
      </c>
      <c r="I644" s="25" t="str">
        <f>IF(OR(E644="",E644="!!!",F644="NEW"),"",INDEX(B643:B$2,-1+SUMPRODUCT(MAX(ROW(E643:E$2)*(E644=E643:E$2)))))</f>
        <v> </v>
      </c>
      <c r="J644" s="25" t="str">
        <f>IF(OR(E644="",E644="!!!",F644="NEW"),"",COUNTBLANK(OFFSET(A$1,,,SUMPRODUCT(MAX(ROW(E$2:E644)*(E644=E$2:E644)))))-COUNTBLANK(OFFSET(A$1,,,SUMPRODUCT(MAX(ROW(E$1:E643)*(E2=E$1:E643))))))</f>
        <v> </v>
      </c>
      <c r="K644" s="25" t="str">
        <f>IF(OR(E644="",E644="!!!",F644="NEW"),"",INDEX(J$1:J643,SUMPRODUCT(MAX(ROW(E$1:E643)*(E644=E$1:E643)))))</f>
        <v> </v>
      </c>
      <c r="L644" s="26"/>
    </row>
    <row r="645" spans="1:12">
      <c r="A645" s="20" t="s">
        <v>374</v>
      </c>
      <c r="B645" s="27" t="s">
        <v>140</v>
      </c>
      <c r="C645" s="27" t="s">
        <v>159</v>
      </c>
      <c r="D645" s="27" t="s">
        <v>146</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t="s">
        <v>153</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417</v>
      </c>
      <c r="B647" s="27" t="s">
        <v>185</v>
      </c>
      <c r="C647" s="27" t="s">
        <v>141</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t="s">
        <v>169</v>
      </c>
      <c r="E648" s="21">
        <f>IF(D648="?OLD","!!!","")</f>
        <v/>
      </c>
      <c r="F648" s="22" t="str">
        <f>IF(OR(E648="",E648="!!!"),"",IF(NOT(ISNA(VLOOKUP(E648,E$1:E647,1,FALSE()))),"OLD",IF(AND(E648&lt;&gt;"",E648&lt;&gt;"!!!"),"NEW","")))</f>
        <v> </v>
      </c>
      <c r="G648" s="23" t="str">
        <f>IF(OR(E648="",E648="!!!"),"",IF(OR(J648=0,AND(J648=1,K648=1),AND(J648=1,I648="SBJ"),AND(J648=1,I648=0)),"?IN_FOCUS",IF(J648&lt;=2,"?ACTIVATED",IF(J648&lt;&gt;"","?FAMILIAR",IF(F648="NEW",IF(ISNA(VLOOKUP(E648,#REF!,1,FALSE())),"?TYPE_IDENTIFIABLE","?REFERENTIAL"),"_")))))</f>
        <v> </v>
      </c>
      <c r="H648" s="24" t="str">
        <f>IF(J648&lt;&gt;1,"",IF(I648="SBJ","CB","?"))</f>
        <v> </v>
      </c>
      <c r="I648" s="25" t="str">
        <f>IF(OR(E648="",E648="!!!",F648="NEW"),"",INDEX(B647:B$2,-1+SUMPRODUCT(MAX(ROW(E647:E$2)*(E648=E647:E$2)))))</f>
        <v> </v>
      </c>
      <c r="J648" s="25" t="str">
        <f>IF(OR(E648="",E648="!!!",F648="NEW"),"",COUNTBLANK(OFFSET(A$1,,,SUMPRODUCT(MAX(ROW(E$2:E648)*(E648=E$2:E648)))))-COUNTBLANK(OFFSET(A$1,,,SUMPRODUCT(MAX(ROW(E$1:E647)*(E2=E$1:E647))))))</f>
        <v> </v>
      </c>
      <c r="K648" s="25" t="str">
        <f>IF(OR(E648="",E648="!!!",F648="NEW"),"",INDEX(J$1:J647,SUMPRODUCT(MAX(ROW(E$1:E647)*(E648=E$1:E647)))))</f>
        <v> </v>
      </c>
      <c r="L648" s="26"/>
    </row>
    <row r="649" spans="1:12">
      <c r="A649" s="20" t="s">
        <v>418</v>
      </c>
      <c r="B649" s="27" t="s">
        <v>201</v>
      </c>
      <c r="C649" s="27" t="s">
        <v>145</v>
      </c>
      <c r="D649" s="27" t="s">
        <v>146</v>
      </c>
      <c r="E649" s="21">
        <f>IF(D649="?OLD","!!!","")</f>
        <v/>
      </c>
      <c r="F649" s="22" t="str">
        <f>IF(OR(E649="",E649="!!!"),"",IF(NOT(ISNA(VLOOKUP(E649,E$1:E648,1,FALSE()))),"OLD",IF(AND(E649&lt;&gt;"",E649&lt;&gt;"!!!"),"NEW","")))</f>
        <v> </v>
      </c>
      <c r="G649" s="23" t="str">
        <f>IF(OR(E649="",E649="!!!"),"",IF(OR(J649=0,AND(J649=1,K649=1),AND(J649=1,I649="SBJ"),AND(J649=1,I649=0)),"?IN_FOCUS",IF(J649&lt;=2,"?ACTIVATED",IF(J649&lt;&gt;"","?FAMILIAR",IF(F649="NEW",IF(ISNA(VLOOKUP(E649,#REF!,1,FALSE())),"?TYPE_IDENTIFIABLE","?REFERENTIAL"),"_")))))</f>
        <v> </v>
      </c>
      <c r="H649" s="24" t="str">
        <f>IF(J649&lt;&gt;1,"",IF(I649="SBJ","CB","?"))</f>
        <v> </v>
      </c>
      <c r="I649" s="25" t="str">
        <f>IF(OR(E649="",E649="!!!",F649="NEW"),"",INDEX(B648:B$2,-1+SUMPRODUCT(MAX(ROW(E648:E$2)*(E649=E648:E$2)))))</f>
        <v> </v>
      </c>
      <c r="J649" s="25" t="str">
        <f>IF(OR(E649="",E649="!!!",F649="NEW"),"",COUNTBLANK(OFFSET(A$1,,,SUMPRODUCT(MAX(ROW(E$2:E649)*(E649=E$2:E649)))))-COUNTBLANK(OFFSET(A$1,,,SUMPRODUCT(MAX(ROW(E$1:E648)*(E2=E$1:E648))))))</f>
        <v> </v>
      </c>
      <c r="K649" s="25" t="str">
        <f>IF(OR(E649="",E649="!!!",F649="NEW"),"",INDEX(J$1:J648,SUMPRODUCT(MAX(ROW(E$1:E648)*(E649=E$1:E648)))))</f>
        <v> </v>
      </c>
      <c r="L649" s="26"/>
    </row>
    <row r="650" spans="1:12">
      <c r="A650" s="20" t="s">
        <v>147</v>
      </c>
      <c r="E650" s="21">
        <f>IF(D650="?OLD","!!!","")</f>
        <v/>
      </c>
      <c r="F650" s="22" t="str">
        <f>IF(OR(E650="",E650="!!!"),"",IF(NOT(ISNA(VLOOKUP(E650,E$1:E649,1,FALSE()))),"OLD",IF(AND(E650&lt;&gt;"",E650&lt;&gt;"!!!"),"NEW","")))</f>
        <v> </v>
      </c>
      <c r="G650" s="23" t="str">
        <f>IF(OR(E650="",E650="!!!"),"",IF(OR(J650=0,AND(J650=1,K650=1),AND(J650=1,I650="SBJ"),AND(J650=1,I650=0)),"?IN_FOCUS",IF(J650&lt;=2,"?ACTIVATED",IF(J650&lt;&gt;"","?FAMILIAR",IF(F650="NEW",IF(ISNA(VLOOKUP(E650,#REF!,1,FALSE())),"?TYPE_IDENTIFIABLE","?REFERENTIAL"),"_")))))</f>
        <v> </v>
      </c>
      <c r="H650" s="24" t="str">
        <f>IF(J650&lt;&gt;1,"",IF(I650="SBJ","CB","?"))</f>
        <v> </v>
      </c>
      <c r="I650" s="25" t="str">
        <f>IF(OR(E650="",E650="!!!",F650="NEW"),"",INDEX(B649:B$2,-1+SUMPRODUCT(MAX(ROW(E649:E$2)*(E650=E649:E$2)))))</f>
        <v> </v>
      </c>
      <c r="J650" s="25" t="str">
        <f>IF(OR(E650="",E650="!!!",F650="NEW"),"",COUNTBLANK(OFFSET(A$1,,,SUMPRODUCT(MAX(ROW(E$2:E650)*(E650=E$2:E650)))))-COUNTBLANK(OFFSET(A$1,,,SUMPRODUCT(MAX(ROW(E$1:E649)*(E2=E$1:E649))))))</f>
        <v> </v>
      </c>
      <c r="K650" s="25" t="str">
        <f>IF(OR(E650="",E650="!!!",F650="NEW"),"",INDEX(J$1:J649,SUMPRODUCT(MAX(ROW(E$1:E649)*(E650=E$1:E649)))))</f>
        <v> </v>
      </c>
      <c r="L650" s="26"/>
    </row>
    <row r="651" spans="1:12">
      <c r="A651" s="20" t="s">
        <v>169</v>
      </c>
      <c r="E651" s="21">
        <f>IF(D651="?OLD","!!!","")</f>
        <v/>
      </c>
      <c r="F651" s="22" t="str">
        <f>IF(OR(E651="",E651="!!!"),"",IF(NOT(ISNA(VLOOKUP(E651,E$1:E650,1,FALSE()))),"OLD",IF(AND(E651&lt;&gt;"",E651&lt;&gt;"!!!"),"NEW","")))</f>
        <v> </v>
      </c>
      <c r="G651" s="23" t="str">
        <f>IF(OR(E651="",E651="!!!"),"",IF(OR(J651=0,AND(J651=1,K651=1),AND(J651=1,I651="SBJ"),AND(J651=1,I651=0)),"?IN_FOCUS",IF(J651&lt;=2,"?ACTIVATED",IF(J651&lt;&gt;"","?FAMILIAR",IF(F651="NEW",IF(ISNA(VLOOKUP(E651,#REF!,1,FALSE())),"?TYPE_IDENTIFIABLE","?REFERENTIAL"),"_")))))</f>
        <v> </v>
      </c>
      <c r="H651" s="24" t="str">
        <f>IF(J651&lt;&gt;1,"",IF(I651="SBJ","CB","?"))</f>
        <v> </v>
      </c>
      <c r="I651" s="25" t="str">
        <f>IF(OR(E651="",E651="!!!",F651="NEW"),"",INDEX(B650:B$2,-1+SUMPRODUCT(MAX(ROW(E650:E$2)*(E651=E650:E$2)))))</f>
        <v> </v>
      </c>
      <c r="J651" s="25" t="str">
        <f>IF(OR(E651="",E651="!!!",F651="NEW"),"",COUNTBLANK(OFFSET(A$1,,,SUMPRODUCT(MAX(ROW(E$2:E651)*(E651=E$2:E651)))))-COUNTBLANK(OFFSET(A$1,,,SUMPRODUCT(MAX(ROW(E$1:E650)*(E2=E$1:E650))))))</f>
        <v> </v>
      </c>
      <c r="K651" s="25" t="str">
        <f>IF(OR(E651="",E651="!!!",F651="NEW"),"",INDEX(J$1:J650,SUMPRODUCT(MAX(ROW(E$1:E650)*(E651=E$1:E650)))))</f>
        <v> </v>
      </c>
      <c r="L651" s="26"/>
    </row>
    <row r="652" spans="1:12">
      <c r="A652" s="20" t="s">
        <v>368</v>
      </c>
      <c r="E652" s="21">
        <f>IF(D652="?OLD","!!!","")</f>
        <v/>
      </c>
      <c r="F652" s="22" t="str">
        <f>IF(OR(E652="",E652="!!!"),"",IF(NOT(ISNA(VLOOKUP(E652,E$1:E651,1,FALSE()))),"OLD",IF(AND(E652&lt;&gt;"",E652&lt;&gt;"!!!"),"NEW","")))</f>
        <v> </v>
      </c>
      <c r="G652" s="23" t="str">
        <f>IF(OR(E652="",E652="!!!"),"",IF(OR(J652=0,AND(J652=1,K652=1),AND(J652=1,I652="SBJ"),AND(J652=1,I652=0)),"?IN_FOCUS",IF(J652&lt;=2,"?ACTIVATED",IF(J652&lt;&gt;"","?FAMILIAR",IF(F652="NEW",IF(ISNA(VLOOKUP(E652,#REF!,1,FALSE())),"?TYPE_IDENTIFIABLE","?REFERENTIAL"),"_")))))</f>
        <v> </v>
      </c>
      <c r="H652" s="24" t="str">
        <f>IF(J652&lt;&gt;1,"",IF(I652="SBJ","CB","?"))</f>
        <v> </v>
      </c>
      <c r="I652" s="25" t="str">
        <f>IF(OR(E652="",E652="!!!",F652="NEW"),"",INDEX(B651:B$2,-1+SUMPRODUCT(MAX(ROW(E651:E$2)*(E652=E651:E$2)))))</f>
        <v> </v>
      </c>
      <c r="J652" s="25" t="str">
        <f>IF(OR(E652="",E652="!!!",F652="NEW"),"",COUNTBLANK(OFFSET(A$1,,,SUMPRODUCT(MAX(ROW(E$2:E652)*(E652=E$2:E652)))))-COUNTBLANK(OFFSET(A$1,,,SUMPRODUCT(MAX(ROW(E$1:E651)*(E2=E$1:E651))))))</f>
        <v> </v>
      </c>
      <c r="K652" s="25" t="str">
        <f>IF(OR(E652="",E652="!!!",F652="NEW"),"",INDEX(J$1:J651,SUMPRODUCT(MAX(ROW(E$1:E651)*(E652=E$1:E651)))))</f>
        <v> </v>
      </c>
      <c r="L652" s="26"/>
    </row>
    <row r="653" spans="1:12">
      <c r="A653" s="20" t="s">
        <v>419</v>
      </c>
      <c r="B653" s="27" t="s">
        <v>171</v>
      </c>
      <c r="C653" s="27" t="s">
        <v>239</v>
      </c>
      <c r="E653" s="21">
        <f>IF(D653="?OLD","!!!","")</f>
        <v/>
      </c>
      <c r="F653" s="22" t="str">
        <f>IF(OR(E653="",E653="!!!"),"",IF(NOT(ISNA(VLOOKUP(E653,E$1:E652,1,FALSE()))),"OLD",IF(AND(E653&lt;&gt;"",E653&lt;&gt;"!!!"),"NEW","")))</f>
        <v> </v>
      </c>
      <c r="G653" s="23" t="str">
        <f>IF(OR(E653="",E653="!!!"),"",IF(OR(J653=0,AND(J653=1,K653=1),AND(J653=1,I653="SBJ"),AND(J653=1,I653=0)),"?IN_FOCUS",IF(J653&lt;=2,"?ACTIVATED",IF(J653&lt;&gt;"","?FAMILIAR",IF(F653="NEW",IF(ISNA(VLOOKUP(E653,#REF!,1,FALSE())),"?TYPE_IDENTIFIABLE","?REFERENTIAL"),"_")))))</f>
        <v> </v>
      </c>
      <c r="H653" s="24" t="str">
        <f>IF(J653&lt;&gt;1,"",IF(I653="SBJ","CB","?"))</f>
        <v> </v>
      </c>
      <c r="I653" s="25" t="str">
        <f>IF(OR(E653="",E653="!!!",F653="NEW"),"",INDEX(B652:B$2,-1+SUMPRODUCT(MAX(ROW(E652:E$2)*(E653=E652:E$2)))))</f>
        <v> </v>
      </c>
      <c r="J653" s="25" t="str">
        <f>IF(OR(E653="",E653="!!!",F653="NEW"),"",COUNTBLANK(OFFSET(A$1,,,SUMPRODUCT(MAX(ROW(E$2:E653)*(E653=E$2:E653)))))-COUNTBLANK(OFFSET(A$1,,,SUMPRODUCT(MAX(ROW(E$1:E652)*(E2=E$1:E652))))))</f>
        <v> </v>
      </c>
      <c r="K653" s="25" t="str">
        <f>IF(OR(E653="",E653="!!!",F653="NEW"),"",INDEX(J$1:J652,SUMPRODUCT(MAX(ROW(E$1:E652)*(E653=E$1:E652)))))</f>
        <v> </v>
      </c>
      <c r="L653" s="26"/>
    </row>
    <row r="654" spans="1:12">
      <c r="A654" s="20" t="s">
        <v>420</v>
      </c>
      <c r="B654" s="27" t="s">
        <v>183</v>
      </c>
      <c r="C654" s="27" t="s">
        <v>172</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t="s">
        <v>421</v>
      </c>
      <c r="B655" s="27" t="s">
        <v>150</v>
      </c>
      <c r="C655" s="27" t="s">
        <v>174</v>
      </c>
      <c r="E655" s="21">
        <f>IF(D655="?OLD","!!!","")</f>
        <v/>
      </c>
      <c r="F655" s="22" t="str">
        <f>IF(OR(E655="",E655="!!!"),"",IF(NOT(ISNA(VLOOKUP(E655,E$1:E654,1,FALSE()))),"OLD",IF(AND(E655&lt;&gt;"",E655&lt;&gt;"!!!"),"NEW","")))</f>
        <v> </v>
      </c>
      <c r="G655" s="23" t="str">
        <f>IF(OR(E655="",E655="!!!"),"",IF(OR(J655=0,AND(J655=1,K655=1),AND(J655=1,I655="SBJ"),AND(J655=1,I655=0)),"?IN_FOCUS",IF(J655&lt;=2,"?ACTIVATED",IF(J655&lt;&gt;"","?FAMILIAR",IF(F655="NEW",IF(ISNA(VLOOKUP(E655,#REF!,1,FALSE())),"?TYPE_IDENTIFIABLE","?REFERENTIAL"),"_")))))</f>
        <v> </v>
      </c>
      <c r="H655" s="24" t="str">
        <f>IF(J655&lt;&gt;1,"",IF(I655="SBJ","CB","?"))</f>
        <v> </v>
      </c>
      <c r="I655" s="25" t="str">
        <f>IF(OR(E655="",E655="!!!",F655="NEW"),"",INDEX(B654:B$2,-1+SUMPRODUCT(MAX(ROW(E654:E$2)*(E655=E654:E$2)))))</f>
        <v> </v>
      </c>
      <c r="J655" s="25" t="str">
        <f>IF(OR(E655="",E655="!!!",F655="NEW"),"",COUNTBLANK(OFFSET(A$1,,,SUMPRODUCT(MAX(ROW(E$2:E655)*(E655=E$2:E655)))))-COUNTBLANK(OFFSET(A$1,,,SUMPRODUCT(MAX(ROW(E$1:E654)*(E2=E$1:E654))))))</f>
        <v> </v>
      </c>
      <c r="K655" s="25" t="str">
        <f>IF(OR(E655="",E655="!!!",F655="NEW"),"",INDEX(J$1:J654,SUMPRODUCT(MAX(ROW(E$1:E654)*(E655=E$1:E654)))))</f>
        <v> </v>
      </c>
      <c r="L655" s="26"/>
    </row>
    <row r="656" spans="1:12">
      <c r="A656" s="20" t="s">
        <v>178</v>
      </c>
      <c r="E656" s="21">
        <f>IF(D656="?OLD","!!!","")</f>
        <v/>
      </c>
      <c r="F656" s="22" t="str">
        <f>IF(OR(E656="",E656="!!!"),"",IF(NOT(ISNA(VLOOKUP(E656,E$1:E655,1,FALSE()))),"OLD",IF(AND(E656&lt;&gt;"",E656&lt;&gt;"!!!"),"NEW","")))</f>
        <v> </v>
      </c>
      <c r="G656" s="23" t="str">
        <f>IF(OR(E656="",E656="!!!"),"",IF(OR(J656=0,AND(J656=1,K656=1),AND(J656=1,I656="SBJ"),AND(J656=1,I656=0)),"?IN_FOCUS",IF(J656&lt;=2,"?ACTIVATED",IF(J656&lt;&gt;"","?FAMILIAR",IF(F656="NEW",IF(ISNA(VLOOKUP(E656,#REF!,1,FALSE())),"?TYPE_IDENTIFIABLE","?REFERENTIAL"),"_")))))</f>
        <v> </v>
      </c>
      <c r="H656" s="24" t="str">
        <f>IF(J656&lt;&gt;1,"",IF(I656="SBJ","CB","?"))</f>
        <v> </v>
      </c>
      <c r="I656" s="25" t="str">
        <f>IF(OR(E656="",E656="!!!",F656="NEW"),"",INDEX(B655:B$2,-1+SUMPRODUCT(MAX(ROW(E655:E$2)*(E656=E655:E$2)))))</f>
        <v> </v>
      </c>
      <c r="J656" s="25" t="str">
        <f>IF(OR(E656="",E656="!!!",F656="NEW"),"",COUNTBLANK(OFFSET(A$1,,,SUMPRODUCT(MAX(ROW(E$2:E656)*(E656=E$2:E656)))))-COUNTBLANK(OFFSET(A$1,,,SUMPRODUCT(MAX(ROW(E$1:E655)*(E2=E$1:E655))))))</f>
        <v> </v>
      </c>
      <c r="K656" s="25" t="str">
        <f>IF(OR(E656="",E656="!!!",F656="NEW"),"",INDEX(J$1:J655,SUMPRODUCT(MAX(ROW(E$1:E655)*(E656=E$1:E655)))))</f>
        <v> </v>
      </c>
      <c r="L656" s="26"/>
    </row>
    <row r="657" spans="1:12">
      <c r="A657" s="20" t="s">
        <v>270</v>
      </c>
      <c r="E657" s="21">
        <f>IF(D657="?OLD","!!!","")</f>
        <v/>
      </c>
      <c r="F657" s="22" t="str">
        <f>IF(OR(E657="",E657="!!!"),"",IF(NOT(ISNA(VLOOKUP(E657,E$1:E656,1,FALSE()))),"OLD",IF(AND(E657&lt;&gt;"",E657&lt;&gt;"!!!"),"NEW","")))</f>
        <v> </v>
      </c>
      <c r="G657" s="23" t="str">
        <f>IF(OR(E657="",E657="!!!"),"",IF(OR(J657=0,AND(J657=1,K657=1),AND(J657=1,I657="SBJ"),AND(J657=1,I657=0)),"?IN_FOCUS",IF(J657&lt;=2,"?ACTIVATED",IF(J657&lt;&gt;"","?FAMILIAR",IF(F657="NEW",IF(ISNA(VLOOKUP(E657,#REF!,1,FALSE())),"?TYPE_IDENTIFIABLE","?REFERENTIAL"),"_")))))</f>
        <v> </v>
      </c>
      <c r="H657" s="24" t="str">
        <f>IF(J657&lt;&gt;1,"",IF(I657="SBJ","CB","?"))</f>
        <v> </v>
      </c>
      <c r="I657" s="25" t="str">
        <f>IF(OR(E657="",E657="!!!",F657="NEW"),"",INDEX(B656:B$2,-1+SUMPRODUCT(MAX(ROW(E656:E$2)*(E657=E656:E$2)))))</f>
        <v> </v>
      </c>
      <c r="J657" s="25" t="str">
        <f>IF(OR(E657="",E657="!!!",F657="NEW"),"",COUNTBLANK(OFFSET(A$1,,,SUMPRODUCT(MAX(ROW(E$2:E657)*(E657=E$2:E657)))))-COUNTBLANK(OFFSET(A$1,,,SUMPRODUCT(MAX(ROW(E$1:E656)*(E2=E$1:E656))))))</f>
        <v> </v>
      </c>
      <c r="K657" s="25" t="str">
        <f>IF(OR(E657="",E657="!!!",F657="NEW"),"",INDEX(J$1:J656,SUMPRODUCT(MAX(ROW(E$1:E656)*(E657=E$1:E656)))))</f>
        <v> </v>
      </c>
      <c r="L657" s="26"/>
    </row>
    <row r="658" spans="1:12">
      <c r="A658" s="20" t="s">
        <v>390</v>
      </c>
      <c r="B658" s="27" t="s">
        <v>171</v>
      </c>
      <c r="C658" s="27" t="s">
        <v>151</v>
      </c>
      <c r="E658" s="21">
        <f>IF(D658="?OLD","!!!","")</f>
        <v/>
      </c>
      <c r="F658" s="22" t="str">
        <f>IF(OR(E658="",E658="!!!"),"",IF(NOT(ISNA(VLOOKUP(E658,E$1:E657,1,FALSE()))),"OLD",IF(AND(E658&lt;&gt;"",E658&lt;&gt;"!!!"),"NEW","")))</f>
        <v> </v>
      </c>
      <c r="G658" s="23" t="str">
        <f>IF(OR(E658="",E658="!!!"),"",IF(OR(J658=0,AND(J658=1,K658=1),AND(J658=1,I658="SBJ"),AND(J658=1,I658=0)),"?IN_FOCUS",IF(J658&lt;=2,"?ACTIVATED",IF(J658&lt;&gt;"","?FAMILIAR",IF(F658="NEW",IF(ISNA(VLOOKUP(E658,#REF!,1,FALSE())),"?TYPE_IDENTIFIABLE","?REFERENTIAL"),"_")))))</f>
        <v> </v>
      </c>
      <c r="H658" s="24" t="str">
        <f>IF(J658&lt;&gt;1,"",IF(I658="SBJ","CB","?"))</f>
        <v> </v>
      </c>
      <c r="I658" s="25" t="str">
        <f>IF(OR(E658="",E658="!!!",F658="NEW"),"",INDEX(B657:B$2,-1+SUMPRODUCT(MAX(ROW(E657:E$2)*(E658=E657:E$2)))))</f>
        <v> </v>
      </c>
      <c r="J658" s="25" t="str">
        <f>IF(OR(E658="",E658="!!!",F658="NEW"),"",COUNTBLANK(OFFSET(A$1,,,SUMPRODUCT(MAX(ROW(E$2:E658)*(E658=E$2:E658)))))-COUNTBLANK(OFFSET(A$1,,,SUMPRODUCT(MAX(ROW(E$1:E657)*(E2=E$1:E657))))))</f>
        <v> </v>
      </c>
      <c r="K658" s="25" t="str">
        <f>IF(OR(E658="",E658="!!!",F658="NEW"),"",INDEX(J$1:J657,SUMPRODUCT(MAX(ROW(E$1:E657)*(E658=E$1:E657)))))</f>
        <v> </v>
      </c>
      <c r="L658" s="26"/>
    </row>
    <row r="659" spans="1:12">
      <c r="A659" s="20" t="s">
        <v>422</v>
      </c>
      <c r="E659" s="21">
        <f>IF(D659="?OLD","!!!","")</f>
        <v/>
      </c>
      <c r="F659" s="22" t="str">
        <f>IF(OR(E659="",E659="!!!"),"",IF(NOT(ISNA(VLOOKUP(E659,E$1:E658,1,FALSE()))),"OLD",IF(AND(E659&lt;&gt;"",E659&lt;&gt;"!!!"),"NEW","")))</f>
        <v> </v>
      </c>
      <c r="G659" s="23" t="str">
        <f>IF(OR(E659="",E659="!!!"),"",IF(OR(J659=0,AND(J659=1,K659=1),AND(J659=1,I659="SBJ"),AND(J659=1,I659=0)),"?IN_FOCUS",IF(J659&lt;=2,"?ACTIVATED",IF(J659&lt;&gt;"","?FAMILIAR",IF(F659="NEW",IF(ISNA(VLOOKUP(E659,#REF!,1,FALSE())),"?TYPE_IDENTIFIABLE","?REFERENTIAL"),"_")))))</f>
        <v> </v>
      </c>
      <c r="H659" s="24" t="str">
        <f>IF(J659&lt;&gt;1,"",IF(I659="SBJ","CB","?"))</f>
        <v> </v>
      </c>
      <c r="I659" s="25" t="str">
        <f>IF(OR(E659="",E659="!!!",F659="NEW"),"",INDEX(B658:B$2,-1+SUMPRODUCT(MAX(ROW(E658:E$2)*(E659=E658:E$2)))))</f>
        <v> </v>
      </c>
      <c r="J659" s="25" t="str">
        <f>IF(OR(E659="",E659="!!!",F659="NEW"),"",COUNTBLANK(OFFSET(A$1,,,SUMPRODUCT(MAX(ROW(E$2:E659)*(E659=E$2:E659)))))-COUNTBLANK(OFFSET(A$1,,,SUMPRODUCT(MAX(ROW(E$1:E658)*(E2=E$1:E658))))))</f>
        <v> </v>
      </c>
      <c r="K659" s="25" t="str">
        <f>IF(OR(E659="",E659="!!!",F659="NEW"),"",INDEX(J$1:J658,SUMPRODUCT(MAX(ROW(E$1:E658)*(E659=E$1:E658)))))</f>
        <v> </v>
      </c>
      <c r="L659" s="26"/>
    </row>
    <row r="660" spans="1:12">
      <c r="A660" s="20"/>
    </row>
    <row r="661" spans="1:12">
      <c r="A661" s="20" t="s">
        <v>423</v>
      </c>
    </row>
    <row r="662" spans="1:12">
      <c r="A662" s="20" t="s">
        <v>147</v>
      </c>
      <c r="E662" s="21">
        <f>IF(D662="?OLD","!!!","")</f>
        <v/>
      </c>
      <c r="F662" s="22" t="str">
        <f>IF(OR(E662="",E662="!!!"),"",IF(NOT(ISNA(VLOOKUP(E662,E$1:E661,1,FALSE()))),"OLD",IF(AND(E662&lt;&gt;"",E662&lt;&gt;"!!!"),"NEW","")))</f>
        <v> </v>
      </c>
      <c r="G662" s="23" t="str">
        <f>IF(OR(E662="",E662="!!!"),"",IF(OR(J662=0,AND(J662=1,K662=1),AND(J662=1,I662="SBJ"),AND(J662=1,I662=0)),"?IN_FOCUS",IF(J662&lt;=2,"?ACTIVATED",IF(J662&lt;&gt;"","?FAMILIAR",IF(F662="NEW",IF(ISNA(VLOOKUP(E662,#REF!,1,FALSE())),"?TYPE_IDENTIFIABLE","?REFERENTIAL"),"_")))))</f>
        <v> </v>
      </c>
      <c r="H662" s="24" t="str">
        <f>IF(J662&lt;&gt;1,"",IF(I662="SBJ","CB","?"))</f>
        <v> </v>
      </c>
      <c r="I662" s="25" t="str">
        <f>IF(OR(E662="",E662="!!!",F662="NEW"),"",INDEX(B661:B$2,-1+SUMPRODUCT(MAX(ROW(E661:E$2)*(E662=E661:E$2)))))</f>
        <v> </v>
      </c>
      <c r="J662" s="25" t="str">
        <f>IF(OR(E662="",E662="!!!",F662="NEW"),"",COUNTBLANK(OFFSET(A$1,,,SUMPRODUCT(MAX(ROW(E$2:E662)*(E662=E$2:E662)))))-COUNTBLANK(OFFSET(A$1,,,SUMPRODUCT(MAX(ROW(E$1:E661)*(E2=E$1:E661))))))</f>
        <v> </v>
      </c>
      <c r="K662" s="25" t="str">
        <f>IF(OR(E662="",E662="!!!",F662="NEW"),"",INDEX(J$1:J661,SUMPRODUCT(MAX(ROW(E$1:E661)*(E662=E$1:E661)))))</f>
        <v> </v>
      </c>
      <c r="L662" s="26"/>
    </row>
    <row r="663" spans="1:12">
      <c r="A663" s="20" t="s">
        <v>152</v>
      </c>
      <c r="E663" s="21">
        <f>IF(D663="?OLD","!!!","")</f>
        <v/>
      </c>
      <c r="F663" s="22" t="str">
        <f>IF(OR(E663="",E663="!!!"),"",IF(NOT(ISNA(VLOOKUP(E663,E$1:E662,1,FALSE()))),"OLD",IF(AND(E663&lt;&gt;"",E663&lt;&gt;"!!!"),"NEW","")))</f>
        <v> </v>
      </c>
      <c r="G663" s="23" t="str">
        <f>IF(OR(E663="",E663="!!!"),"",IF(OR(J663=0,AND(J663=1,K663=1),AND(J663=1,I663="SBJ"),AND(J663=1,I663=0)),"?IN_FOCUS",IF(J663&lt;=2,"?ACTIVATED",IF(J663&lt;&gt;"","?FAMILIAR",IF(F663="NEW",IF(ISNA(VLOOKUP(E663,#REF!,1,FALSE())),"?TYPE_IDENTIFIABLE","?REFERENTIAL"),"_")))))</f>
        <v> </v>
      </c>
      <c r="H663" s="24" t="str">
        <f>IF(J663&lt;&gt;1,"",IF(I663="SBJ","CB","?"))</f>
        <v> </v>
      </c>
      <c r="I663" s="25" t="str">
        <f>IF(OR(E663="",E663="!!!",F663="NEW"),"",INDEX(B662:B$2,-1+SUMPRODUCT(MAX(ROW(E662:E$2)*(E663=E662:E$2)))))</f>
        <v> </v>
      </c>
      <c r="J663" s="25" t="str">
        <f>IF(OR(E663="",E663="!!!",F663="NEW"),"",COUNTBLANK(OFFSET(A$1,,,SUMPRODUCT(MAX(ROW(E$2:E663)*(E663=E$2:E663)))))-COUNTBLANK(OFFSET(A$1,,,SUMPRODUCT(MAX(ROW(E$1:E662)*(E2=E$1:E662))))))</f>
        <v> </v>
      </c>
      <c r="K663" s="25" t="str">
        <f>IF(OR(E663="",E663="!!!",F663="NEW"),"",INDEX(J$1:J662,SUMPRODUCT(MAX(ROW(E$1:E662)*(E663=E$1:E662)))))</f>
        <v> </v>
      </c>
      <c r="L663" s="26"/>
    </row>
    <row r="664" spans="1:12">
      <c r="A664" s="20" t="s">
        <v>424</v>
      </c>
      <c r="E664" s="21">
        <f>IF(D664="?OLD","!!!","")</f>
        <v/>
      </c>
      <c r="F664" s="22" t="str">
        <f>IF(OR(E664="",E664="!!!"),"",IF(NOT(ISNA(VLOOKUP(E664,E$1:E663,1,FALSE()))),"OLD",IF(AND(E664&lt;&gt;"",E664&lt;&gt;"!!!"),"NEW","")))</f>
        <v> </v>
      </c>
      <c r="G664" s="23" t="str">
        <f>IF(OR(E664="",E664="!!!"),"",IF(OR(J664=0,AND(J664=1,K664=1),AND(J664=1,I664="SBJ"),AND(J664=1,I664=0)),"?IN_FOCUS",IF(J664&lt;=2,"?ACTIVATED",IF(J664&lt;&gt;"","?FAMILIAR",IF(F664="NEW",IF(ISNA(VLOOKUP(E664,#REF!,1,FALSE())),"?TYPE_IDENTIFIABLE","?REFERENTIAL"),"_")))))</f>
        <v> </v>
      </c>
      <c r="H664" s="24" t="str">
        <f>IF(J664&lt;&gt;1,"",IF(I664="SBJ","CB","?"))</f>
        <v> </v>
      </c>
      <c r="I664" s="25" t="str">
        <f>IF(OR(E664="",E664="!!!",F664="NEW"),"",INDEX(B663:B$2,-1+SUMPRODUCT(MAX(ROW(E663:E$2)*(E664=E663:E$2)))))</f>
        <v> </v>
      </c>
      <c r="J664" s="25" t="str">
        <f>IF(OR(E664="",E664="!!!",F664="NEW"),"",COUNTBLANK(OFFSET(A$1,,,SUMPRODUCT(MAX(ROW(E$2:E664)*(E664=E$2:E664)))))-COUNTBLANK(OFFSET(A$1,,,SUMPRODUCT(MAX(ROW(E$1:E663)*(E2=E$1:E663))))))</f>
        <v> </v>
      </c>
      <c r="K664" s="25" t="str">
        <f>IF(OR(E664="",E664="!!!",F664="NEW"),"",INDEX(J$1:J663,SUMPRODUCT(MAX(ROW(E$1:E663)*(E664=E$1:E663)))))</f>
        <v> </v>
      </c>
      <c r="L664" s="26"/>
    </row>
    <row r="665" spans="1:12">
      <c r="A665" s="20" t="s">
        <v>153</v>
      </c>
      <c r="E665" s="21">
        <f>IF(D665="?OLD","!!!","")</f>
        <v/>
      </c>
      <c r="F665" s="22" t="str">
        <f>IF(OR(E665="",E665="!!!"),"",IF(NOT(ISNA(VLOOKUP(E665,E$1:E664,1,FALSE()))),"OLD",IF(AND(E665&lt;&gt;"",E665&lt;&gt;"!!!"),"NEW","")))</f>
        <v> </v>
      </c>
      <c r="G665" s="23" t="str">
        <f>IF(OR(E665="",E665="!!!"),"",IF(OR(J665=0,AND(J665=1,K665=1),AND(J665=1,I665="SBJ"),AND(J665=1,I665=0)),"?IN_FOCUS",IF(J665&lt;=2,"?ACTIVATED",IF(J665&lt;&gt;"","?FAMILIAR",IF(F665="NEW",IF(ISNA(VLOOKUP(E665,#REF!,1,FALSE())),"?TYPE_IDENTIFIABLE","?REFERENTIAL"),"_")))))</f>
        <v> </v>
      </c>
      <c r="H665" s="24" t="str">
        <f>IF(J665&lt;&gt;1,"",IF(I665="SBJ","CB","?"))</f>
        <v> </v>
      </c>
      <c r="I665" s="25" t="str">
        <f>IF(OR(E665="",E665="!!!",F665="NEW"),"",INDEX(B664:B$2,-1+SUMPRODUCT(MAX(ROW(E664:E$2)*(E665=E664:E$2)))))</f>
        <v> </v>
      </c>
      <c r="J665" s="25" t="str">
        <f>IF(OR(E665="",E665="!!!",F665="NEW"),"",COUNTBLANK(OFFSET(A$1,,,SUMPRODUCT(MAX(ROW(E$2:E665)*(E665=E$2:E665)))))-COUNTBLANK(OFFSET(A$1,,,SUMPRODUCT(MAX(ROW(E$1:E664)*(E2=E$1:E664))))))</f>
        <v> </v>
      </c>
      <c r="K665" s="25" t="str">
        <f>IF(OR(E665="",E665="!!!",F665="NEW"),"",INDEX(J$1:J664,SUMPRODUCT(MAX(ROW(E$1:E664)*(E665=E$1:E664)))))</f>
        <v> </v>
      </c>
      <c r="L665" s="26"/>
    </row>
    <row r="666" spans="1:12">
      <c r="A666" s="20" t="s">
        <v>425</v>
      </c>
      <c r="E666" s="21">
        <f>IF(D666="?OLD","!!!","")</f>
        <v/>
      </c>
      <c r="F666" s="22" t="str">
        <f>IF(OR(E666="",E666="!!!"),"",IF(NOT(ISNA(VLOOKUP(E666,E$1:E665,1,FALSE()))),"OLD",IF(AND(E666&lt;&gt;"",E666&lt;&gt;"!!!"),"NEW","")))</f>
        <v> </v>
      </c>
      <c r="G666" s="23" t="str">
        <f>IF(OR(E666="",E666="!!!"),"",IF(OR(J666=0,AND(J666=1,K666=1),AND(J666=1,I666="SBJ"),AND(J666=1,I666=0)),"?IN_FOCUS",IF(J666&lt;=2,"?ACTIVATED",IF(J666&lt;&gt;"","?FAMILIAR",IF(F666="NEW",IF(ISNA(VLOOKUP(E666,#REF!,1,FALSE())),"?TYPE_IDENTIFIABLE","?REFERENTIAL"),"_")))))</f>
        <v> </v>
      </c>
      <c r="H666" s="24" t="str">
        <f>IF(J666&lt;&gt;1,"",IF(I666="SBJ","CB","?"))</f>
        <v> </v>
      </c>
      <c r="I666" s="25" t="str">
        <f>IF(OR(E666="",E666="!!!",F666="NEW"),"",INDEX(B665:B$2,-1+SUMPRODUCT(MAX(ROW(E665:E$2)*(E666=E665:E$2)))))</f>
        <v> </v>
      </c>
      <c r="J666" s="25" t="str">
        <f>IF(OR(E666="",E666="!!!",F666="NEW"),"",COUNTBLANK(OFFSET(A$1,,,SUMPRODUCT(MAX(ROW(E$2:E666)*(E666=E$2:E666)))))-COUNTBLANK(OFFSET(A$1,,,SUMPRODUCT(MAX(ROW(E$1:E665)*(E2=E$1:E665))))))</f>
        <v> </v>
      </c>
      <c r="K666" s="25" t="str">
        <f>IF(OR(E666="",E666="!!!",F666="NEW"),"",INDEX(J$1:J665,SUMPRODUCT(MAX(ROW(E$1:E665)*(E666=E$1:E665)))))</f>
        <v> </v>
      </c>
      <c r="L666" s="26"/>
    </row>
    <row r="667" spans="1:12">
      <c r="A667" s="20" t="s">
        <v>169</v>
      </c>
      <c r="E667" s="21">
        <f>IF(D667="?OLD","!!!","")</f>
        <v/>
      </c>
      <c r="F667" s="22" t="str">
        <f>IF(OR(E667="",E667="!!!"),"",IF(NOT(ISNA(VLOOKUP(E667,E$1:E666,1,FALSE()))),"OLD",IF(AND(E667&lt;&gt;"",E667&lt;&gt;"!!!"),"NEW","")))</f>
        <v> </v>
      </c>
      <c r="G667" s="23" t="str">
        <f>IF(OR(E667="",E667="!!!"),"",IF(OR(J667=0,AND(J667=1,K667=1),AND(J667=1,I667="SBJ"),AND(J667=1,I667=0)),"?IN_FOCUS",IF(J667&lt;=2,"?ACTIVATED",IF(J667&lt;&gt;"","?FAMILIAR",IF(F667="NEW",IF(ISNA(VLOOKUP(E667,#REF!,1,FALSE())),"?TYPE_IDENTIFIABLE","?REFERENTIAL"),"_")))))</f>
        <v> </v>
      </c>
      <c r="H667" s="24" t="str">
        <f>IF(J667&lt;&gt;1,"",IF(I667="SBJ","CB","?"))</f>
        <v> </v>
      </c>
      <c r="I667" s="25" t="str">
        <f>IF(OR(E667="",E667="!!!",F667="NEW"),"",INDEX(B666:B$2,-1+SUMPRODUCT(MAX(ROW(E666:E$2)*(E667=E666:E$2)))))</f>
        <v> </v>
      </c>
      <c r="J667" s="25" t="str">
        <f>IF(OR(E667="",E667="!!!",F667="NEW"),"",COUNTBLANK(OFFSET(A$1,,,SUMPRODUCT(MAX(ROW(E$2:E667)*(E667=E$2:E667)))))-COUNTBLANK(OFFSET(A$1,,,SUMPRODUCT(MAX(ROW(E$1:E666)*(E2=E$1:E666))))))</f>
        <v> </v>
      </c>
      <c r="K667" s="25" t="str">
        <f>IF(OR(E667="",E667="!!!",F667="NEW"),"",INDEX(J$1:J666,SUMPRODUCT(MAX(ROW(E$1:E666)*(E667=E$1:E666)))))</f>
        <v> </v>
      </c>
      <c r="L667" s="26"/>
    </row>
    <row r="668" spans="1:12">
      <c r="A668" s="20" t="s">
        <v>241</v>
      </c>
      <c r="E668" s="21">
        <f>IF(D668="?OLD","!!!","")</f>
        <v/>
      </c>
      <c r="F668" s="22" t="str">
        <f>IF(OR(E668="",E668="!!!"),"",IF(NOT(ISNA(VLOOKUP(E668,E$1:E667,1,FALSE()))),"OLD",IF(AND(E668&lt;&gt;"",E668&lt;&gt;"!!!"),"NEW","")))</f>
        <v> </v>
      </c>
      <c r="G668" s="23" t="str">
        <f>IF(OR(E668="",E668="!!!"),"",IF(OR(J668=0,AND(J668=1,K668=1),AND(J668=1,I668="SBJ"),AND(J668=1,I668=0)),"?IN_FOCUS",IF(J668&lt;=2,"?ACTIVATED",IF(J668&lt;&gt;"","?FAMILIAR",IF(F668="NEW",IF(ISNA(VLOOKUP(E668,#REF!,1,FALSE())),"?TYPE_IDENTIFIABLE","?REFERENTIAL"),"_")))))</f>
        <v> </v>
      </c>
      <c r="H668" s="24" t="str">
        <f>IF(J668&lt;&gt;1,"",IF(I668="SBJ","CB","?"))</f>
        <v> </v>
      </c>
      <c r="I668" s="25" t="str">
        <f>IF(OR(E668="",E668="!!!",F668="NEW"),"",INDEX(B667:B$2,-1+SUMPRODUCT(MAX(ROW(E667:E$2)*(E668=E667:E$2)))))</f>
        <v> </v>
      </c>
      <c r="J668" s="25" t="str">
        <f>IF(OR(E668="",E668="!!!",F668="NEW"),"",COUNTBLANK(OFFSET(A$1,,,SUMPRODUCT(MAX(ROW(E$2:E668)*(E668=E$2:E668)))))-COUNTBLANK(OFFSET(A$1,,,SUMPRODUCT(MAX(ROW(E$1:E667)*(E2=E$1:E667))))))</f>
        <v> </v>
      </c>
      <c r="K668" s="25" t="str">
        <f>IF(OR(E668="",E668="!!!",F668="NEW"),"",INDEX(J$1:J667,SUMPRODUCT(MAX(ROW(E$1:E667)*(E668=E$1:E667)))))</f>
        <v> </v>
      </c>
      <c r="L668" s="26"/>
    </row>
    <row r="669" spans="1:12">
      <c r="A669" s="20" t="s">
        <v>426</v>
      </c>
      <c r="B669" s="27" t="s">
        <v>201</v>
      </c>
      <c r="C669" s="27" t="s">
        <v>145</v>
      </c>
      <c r="D669" s="27" t="s">
        <v>146</v>
      </c>
      <c r="E669" s="21">
        <f>IF(D669="?OLD","!!!","")</f>
        <v/>
      </c>
      <c r="F669" s="22" t="str">
        <f>IF(OR(E669="",E669="!!!"),"",IF(NOT(ISNA(VLOOKUP(E669,E$1:E668,1,FALSE()))),"OLD",IF(AND(E669&lt;&gt;"",E669&lt;&gt;"!!!"),"NEW","")))</f>
        <v> </v>
      </c>
      <c r="G669" s="23" t="str">
        <f>IF(OR(E669="",E669="!!!"),"",IF(OR(J669=0,AND(J669=1,K669=1),AND(J669=1,I669="SBJ"),AND(J669=1,I669=0)),"?IN_FOCUS",IF(J669&lt;=2,"?ACTIVATED",IF(J669&lt;&gt;"","?FAMILIAR",IF(F669="NEW",IF(ISNA(VLOOKUP(E669,#REF!,1,FALSE())),"?TYPE_IDENTIFIABLE","?REFERENTIAL"),"_")))))</f>
        <v> </v>
      </c>
      <c r="H669" s="24" t="str">
        <f>IF(J669&lt;&gt;1,"",IF(I669="SBJ","CB","?"))</f>
        <v> </v>
      </c>
      <c r="I669" s="25" t="str">
        <f>IF(OR(E669="",E669="!!!",F669="NEW"),"",INDEX(B668:B$2,-1+SUMPRODUCT(MAX(ROW(E668:E$2)*(E669=E668:E$2)))))</f>
        <v> </v>
      </c>
      <c r="J669" s="25" t="str">
        <f>IF(OR(E669="",E669="!!!",F669="NEW"),"",COUNTBLANK(OFFSET(A$1,,,SUMPRODUCT(MAX(ROW(E$2:E669)*(E669=E$2:E669)))))-COUNTBLANK(OFFSET(A$1,,,SUMPRODUCT(MAX(ROW(E$1:E668)*(E2=E$1:E668))))))</f>
        <v> </v>
      </c>
      <c r="K669" s="25" t="str">
        <f>IF(OR(E669="",E669="!!!",F669="NEW"),"",INDEX(J$1:J668,SUMPRODUCT(MAX(ROW(E$1:E668)*(E669=E$1:E668)))))</f>
        <v> </v>
      </c>
      <c r="L669" s="26"/>
    </row>
    <row r="670" spans="1:12">
      <c r="A670" s="20" t="s">
        <v>181</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t="s">
        <v>241</v>
      </c>
      <c r="E671" s="21">
        <f>IF(D671="?OLD","!!!","")</f>
        <v/>
      </c>
      <c r="F671" s="22" t="str">
        <f>IF(OR(E671="",E671="!!!"),"",IF(NOT(ISNA(VLOOKUP(E671,E$1:E670,1,FALSE()))),"OLD",IF(AND(E671&lt;&gt;"",E671&lt;&gt;"!!!"),"NEW","")))</f>
        <v> </v>
      </c>
      <c r="G671" s="23" t="str">
        <f>IF(OR(E671="",E671="!!!"),"",IF(OR(J671=0,AND(J671=1,K671=1),AND(J671=1,I671="SBJ"),AND(J671=1,I671=0)),"?IN_FOCUS",IF(J671&lt;=2,"?ACTIVATED",IF(J671&lt;&gt;"","?FAMILIAR",IF(F671="NEW",IF(ISNA(VLOOKUP(E671,#REF!,1,FALSE())),"?TYPE_IDENTIFIABLE","?REFERENTIAL"),"_")))))</f>
        <v> </v>
      </c>
      <c r="H671" s="24" t="str">
        <f>IF(J671&lt;&gt;1,"",IF(I671="SBJ","CB","?"))</f>
        <v> </v>
      </c>
      <c r="I671" s="25" t="str">
        <f>IF(OR(E671="",E671="!!!",F671="NEW"),"",INDEX(B670:B$2,-1+SUMPRODUCT(MAX(ROW(E670:E$2)*(E671=E670:E$2)))))</f>
        <v> </v>
      </c>
      <c r="J671" s="25" t="str">
        <f>IF(OR(E671="",E671="!!!",F671="NEW"),"",COUNTBLANK(OFFSET(A$1,,,SUMPRODUCT(MAX(ROW(E$2:E671)*(E671=E$2:E671)))))-COUNTBLANK(OFFSET(A$1,,,SUMPRODUCT(MAX(ROW(E$1:E670)*(E2=E$1:E670))))))</f>
        <v> </v>
      </c>
      <c r="K671" s="25" t="str">
        <f>IF(OR(E671="",E671="!!!",F671="NEW"),"",INDEX(J$1:J670,SUMPRODUCT(MAX(ROW(E$1:E670)*(E671=E$1:E670)))))</f>
        <v> </v>
      </c>
      <c r="L671" s="26"/>
    </row>
    <row r="672" spans="1:12">
      <c r="A672" s="20" t="s">
        <v>139</v>
      </c>
      <c r="B672" s="27" t="s">
        <v>201</v>
      </c>
      <c r="C672" s="27" t="s">
        <v>145</v>
      </c>
      <c r="D672" s="27" t="s">
        <v>146</v>
      </c>
      <c r="E672" s="21">
        <f>IF(D672="?OLD","!!!","")</f>
        <v/>
      </c>
      <c r="F672" s="22" t="str">
        <f>IF(OR(E672="",E672="!!!"),"",IF(NOT(ISNA(VLOOKUP(E672,E$1:E671,1,FALSE()))),"OLD",IF(AND(E672&lt;&gt;"",E672&lt;&gt;"!!!"),"NEW","")))</f>
        <v> </v>
      </c>
      <c r="G672" s="23" t="str">
        <f>IF(OR(E672="",E672="!!!"),"",IF(OR(J672=0,AND(J672=1,K672=1),AND(J672=1,I672="SBJ"),AND(J672=1,I672=0)),"?IN_FOCUS",IF(J672&lt;=2,"?ACTIVATED",IF(J672&lt;&gt;"","?FAMILIAR",IF(F672="NEW",IF(ISNA(VLOOKUP(E672,#REF!,1,FALSE())),"?TYPE_IDENTIFIABLE","?REFERENTIAL"),"_")))))</f>
        <v> </v>
      </c>
      <c r="H672" s="24" t="str">
        <f>IF(J672&lt;&gt;1,"",IF(I672="SBJ","CB","?"))</f>
        <v> </v>
      </c>
      <c r="I672" s="25" t="str">
        <f>IF(OR(E672="",E672="!!!",F672="NEW"),"",INDEX(B671:B$2,-1+SUMPRODUCT(MAX(ROW(E671:E$2)*(E672=E671:E$2)))))</f>
        <v> </v>
      </c>
      <c r="J672" s="25" t="str">
        <f>IF(OR(E672="",E672="!!!",F672="NEW"),"",COUNTBLANK(OFFSET(A$1,,,SUMPRODUCT(MAX(ROW(E$2:E672)*(E672=E$2:E672)))))-COUNTBLANK(OFFSET(A$1,,,SUMPRODUCT(MAX(ROW(E$1:E671)*(E2=E$1:E671))))))</f>
        <v> </v>
      </c>
      <c r="K672" s="25" t="str">
        <f>IF(OR(E672="",E672="!!!",F672="NEW"),"",INDEX(J$1:J671,SUMPRODUCT(MAX(ROW(E$1:E671)*(E672=E$1:E671)))))</f>
        <v> </v>
      </c>
      <c r="L672" s="26"/>
    </row>
    <row r="673" spans="1:12">
      <c r="A673" s="20" t="s">
        <v>427</v>
      </c>
      <c r="B673" s="27" t="s">
        <v>183</v>
      </c>
      <c r="C673" s="27" t="s">
        <v>145</v>
      </c>
      <c r="D673" s="27" t="s">
        <v>146</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t="s">
        <v>192</v>
      </c>
      <c r="E674" s="21">
        <f>IF(D674="?OLD","!!!","")</f>
        <v/>
      </c>
      <c r="F674" s="22" t="str">
        <f>IF(OR(E674="",E674="!!!"),"",IF(NOT(ISNA(VLOOKUP(E674,E$1:E673,1,FALSE()))),"OLD",IF(AND(E674&lt;&gt;"",E674&lt;&gt;"!!!"),"NEW","")))</f>
        <v> </v>
      </c>
      <c r="G674" s="23" t="str">
        <f>IF(OR(E674="",E674="!!!"),"",IF(OR(J674=0,AND(J674=1,K674=1),AND(J674=1,I674="SBJ"),AND(J674=1,I674=0)),"?IN_FOCUS",IF(J674&lt;=2,"?ACTIVATED",IF(J674&lt;&gt;"","?FAMILIAR",IF(F674="NEW",IF(ISNA(VLOOKUP(E674,#REF!,1,FALSE())),"?TYPE_IDENTIFIABLE","?REFERENTIAL"),"_")))))</f>
        <v> </v>
      </c>
      <c r="H674" s="24" t="str">
        <f>IF(J674&lt;&gt;1,"",IF(I674="SBJ","CB","?"))</f>
        <v> </v>
      </c>
      <c r="I674" s="25" t="str">
        <f>IF(OR(E674="",E674="!!!",F674="NEW"),"",INDEX(B673:B$2,-1+SUMPRODUCT(MAX(ROW(E673:E$2)*(E674=E673:E$2)))))</f>
        <v> </v>
      </c>
      <c r="J674" s="25" t="str">
        <f>IF(OR(E674="",E674="!!!",F674="NEW"),"",COUNTBLANK(OFFSET(A$1,,,SUMPRODUCT(MAX(ROW(E$2:E674)*(E674=E$2:E674)))))-COUNTBLANK(OFFSET(A$1,,,SUMPRODUCT(MAX(ROW(E$1:E673)*(E2=E$1:E673))))))</f>
        <v> </v>
      </c>
      <c r="K674" s="25" t="str">
        <f>IF(OR(E674="",E674="!!!",F674="NEW"),"",INDEX(J$1:J673,SUMPRODUCT(MAX(ROW(E$1:E673)*(E674=E$1:E673)))))</f>
        <v> </v>
      </c>
      <c r="L674" s="26"/>
    </row>
    <row r="675" spans="1:12">
      <c r="A675" s="20" t="s">
        <v>147</v>
      </c>
      <c r="E675" s="21">
        <f>IF(D675="?OLD","!!!","")</f>
        <v/>
      </c>
      <c r="F675" s="22" t="str">
        <f>IF(OR(E675="",E675="!!!"),"",IF(NOT(ISNA(VLOOKUP(E675,E$1:E674,1,FALSE()))),"OLD",IF(AND(E675&lt;&gt;"",E675&lt;&gt;"!!!"),"NEW","")))</f>
        <v> </v>
      </c>
      <c r="G675" s="23" t="str">
        <f>IF(OR(E675="",E675="!!!"),"",IF(OR(J675=0,AND(J675=1,K675=1),AND(J675=1,I675="SBJ"),AND(J675=1,I675=0)),"?IN_FOCUS",IF(J675&lt;=2,"?ACTIVATED",IF(J675&lt;&gt;"","?FAMILIAR",IF(F675="NEW",IF(ISNA(VLOOKUP(E675,#REF!,1,FALSE())),"?TYPE_IDENTIFIABLE","?REFERENTIAL"),"_")))))</f>
        <v> </v>
      </c>
      <c r="H675" s="24" t="str">
        <f>IF(J675&lt;&gt;1,"",IF(I675="SBJ","CB","?"))</f>
        <v> </v>
      </c>
      <c r="I675" s="25" t="str">
        <f>IF(OR(E675="",E675="!!!",F675="NEW"),"",INDEX(B674:B$2,-1+SUMPRODUCT(MAX(ROW(E674:E$2)*(E675=E674:E$2)))))</f>
        <v> </v>
      </c>
      <c r="J675" s="25" t="str">
        <f>IF(OR(E675="",E675="!!!",F675="NEW"),"",COUNTBLANK(OFFSET(A$1,,,SUMPRODUCT(MAX(ROW(E$2:E675)*(E675=E$2:E675)))))-COUNTBLANK(OFFSET(A$1,,,SUMPRODUCT(MAX(ROW(E$1:E674)*(E2=E$1:E674))))))</f>
        <v> </v>
      </c>
      <c r="K675" s="25" t="str">
        <f>IF(OR(E675="",E675="!!!",F675="NEW"),"",INDEX(J$1:J674,SUMPRODUCT(MAX(ROW(E$1:E674)*(E675=E$1:E674)))))</f>
        <v> </v>
      </c>
      <c r="L675" s="26"/>
    </row>
    <row r="676" spans="1:12">
      <c r="A676" s="20" t="s">
        <v>418</v>
      </c>
      <c r="B676" s="27" t="s">
        <v>238</v>
      </c>
      <c r="C676" s="27" t="s">
        <v>145</v>
      </c>
      <c r="D676" s="27" t="s">
        <v>146</v>
      </c>
      <c r="E676" s="21">
        <f>IF(D676="?OLD","!!!","")</f>
        <v/>
      </c>
      <c r="F676" s="22" t="str">
        <f>IF(OR(E676="",E676="!!!"),"",IF(NOT(ISNA(VLOOKUP(E676,E$1:E675,1,FALSE()))),"OLD",IF(AND(E676&lt;&gt;"",E676&lt;&gt;"!!!"),"NEW","")))</f>
        <v> </v>
      </c>
      <c r="G676" s="23" t="str">
        <f>IF(OR(E676="",E676="!!!"),"",IF(OR(J676=0,AND(J676=1,K676=1),AND(J676=1,I676="SBJ"),AND(J676=1,I676=0)),"?IN_FOCUS",IF(J676&lt;=2,"?ACTIVATED",IF(J676&lt;&gt;"","?FAMILIAR",IF(F676="NEW",IF(ISNA(VLOOKUP(E676,#REF!,1,FALSE())),"?TYPE_IDENTIFIABLE","?REFERENTIAL"),"_")))))</f>
        <v> </v>
      </c>
      <c r="H676" s="24" t="str">
        <f>IF(J676&lt;&gt;1,"",IF(I676="SBJ","CB","?"))</f>
        <v> </v>
      </c>
      <c r="I676" s="25" t="str">
        <f>IF(OR(E676="",E676="!!!",F676="NEW"),"",INDEX(B675:B$2,-1+SUMPRODUCT(MAX(ROW(E675:E$2)*(E676=E675:E$2)))))</f>
        <v> </v>
      </c>
      <c r="J676" s="25" t="str">
        <f>IF(OR(E676="",E676="!!!",F676="NEW"),"",COUNTBLANK(OFFSET(A$1,,,SUMPRODUCT(MAX(ROW(E$2:E676)*(E676=E$2:E676)))))-COUNTBLANK(OFFSET(A$1,,,SUMPRODUCT(MAX(ROW(E$1:E675)*(E2=E$1:E675))))))</f>
        <v> </v>
      </c>
      <c r="K676" s="25" t="str">
        <f>IF(OR(E676="",E676="!!!",F676="NEW"),"",INDEX(J$1:J675,SUMPRODUCT(MAX(ROW(E$1:E675)*(E676=E$1:E675)))))</f>
        <v> </v>
      </c>
      <c r="L676" s="26"/>
    </row>
    <row r="677" spans="1:12">
      <c r="A677" s="20" t="s">
        <v>169</v>
      </c>
      <c r="E677" s="21">
        <f>IF(D677="?OLD","!!!","")</f>
        <v/>
      </c>
      <c r="F677" s="22" t="str">
        <f>IF(OR(E677="",E677="!!!"),"",IF(NOT(ISNA(VLOOKUP(E677,E$1:E676,1,FALSE()))),"OLD",IF(AND(E677&lt;&gt;"",E677&lt;&gt;"!!!"),"NEW","")))</f>
        <v> </v>
      </c>
      <c r="G677" s="23" t="str">
        <f>IF(OR(E677="",E677="!!!"),"",IF(OR(J677=0,AND(J677=1,K677=1),AND(J677=1,I677="SBJ"),AND(J677=1,I677=0)),"?IN_FOCUS",IF(J677&lt;=2,"?ACTIVATED",IF(J677&lt;&gt;"","?FAMILIAR",IF(F677="NEW",IF(ISNA(VLOOKUP(E677,#REF!,1,FALSE())),"?TYPE_IDENTIFIABLE","?REFERENTIAL"),"_")))))</f>
        <v> </v>
      </c>
      <c r="H677" s="24" t="str">
        <f>IF(J677&lt;&gt;1,"",IF(I677="SBJ","CB","?"))</f>
        <v> </v>
      </c>
      <c r="I677" s="25" t="str">
        <f>IF(OR(E677="",E677="!!!",F677="NEW"),"",INDEX(B676:B$2,-1+SUMPRODUCT(MAX(ROW(E676:E$2)*(E677=E676:E$2)))))</f>
        <v> </v>
      </c>
      <c r="J677" s="25" t="str">
        <f>IF(OR(E677="",E677="!!!",F677="NEW"),"",COUNTBLANK(OFFSET(A$1,,,SUMPRODUCT(MAX(ROW(E$2:E677)*(E677=E$2:E677)))))-COUNTBLANK(OFFSET(A$1,,,SUMPRODUCT(MAX(ROW(E$1:E676)*(E2=E$1:E676))))))</f>
        <v> </v>
      </c>
      <c r="K677" s="25" t="str">
        <f>IF(OR(E677="",E677="!!!",F677="NEW"),"",INDEX(J$1:J676,SUMPRODUCT(MAX(ROW(E$1:E676)*(E677=E$1:E676)))))</f>
        <v> </v>
      </c>
      <c r="L677" s="26"/>
    </row>
    <row r="678" spans="1:12">
      <c r="A678" s="20" t="s">
        <v>78</v>
      </c>
      <c r="E678" s="21">
        <f>IF(D678="?OLD","!!!","")</f>
        <v/>
      </c>
      <c r="F678" s="22" t="str">
        <f>IF(OR(E678="",E678="!!!"),"",IF(NOT(ISNA(VLOOKUP(E678,E$1:E677,1,FALSE()))),"OLD",IF(AND(E678&lt;&gt;"",E678&lt;&gt;"!!!"),"NEW","")))</f>
        <v> </v>
      </c>
      <c r="G678" s="23" t="str">
        <f>IF(OR(E678="",E678="!!!"),"",IF(OR(J678=0,AND(J678=1,K678=1),AND(J678=1,I678="SBJ"),AND(J678=1,I678=0)),"?IN_FOCUS",IF(J678&lt;=2,"?ACTIVATED",IF(J678&lt;&gt;"","?FAMILIAR",IF(F678="NEW",IF(ISNA(VLOOKUP(E678,#REF!,1,FALSE())),"?TYPE_IDENTIFIABLE","?REFERENTIAL"),"_")))))</f>
        <v> </v>
      </c>
      <c r="H678" s="24" t="str">
        <f>IF(J678&lt;&gt;1,"",IF(I678="SBJ","CB","?"))</f>
        <v> </v>
      </c>
      <c r="I678" s="25" t="str">
        <f>IF(OR(E678="",E678="!!!",F678="NEW"),"",INDEX(B677:B$2,-1+SUMPRODUCT(MAX(ROW(E677:E$2)*(E678=E677:E$2)))))</f>
        <v> </v>
      </c>
      <c r="J678" s="25" t="str">
        <f>IF(OR(E678="",E678="!!!",F678="NEW"),"",COUNTBLANK(OFFSET(A$1,,,SUMPRODUCT(MAX(ROW(E$2:E678)*(E678=E$2:E678)))))-COUNTBLANK(OFFSET(A$1,,,SUMPRODUCT(MAX(ROW(E$1:E677)*(E2=E$1:E677))))))</f>
        <v> </v>
      </c>
      <c r="K678" s="25" t="str">
        <f>IF(OR(E678="",E678="!!!",F678="NEW"),"",INDEX(J$1:J677,SUMPRODUCT(MAX(ROW(E$1:E677)*(E678=E$1:E677)))))</f>
        <v> </v>
      </c>
      <c r="L678" s="26"/>
    </row>
    <row r="679" spans="1:12">
      <c r="A679" s="20" t="s">
        <v>419</v>
      </c>
      <c r="B679" s="27" t="s">
        <v>171</v>
      </c>
      <c r="C679" s="27" t="s">
        <v>151</v>
      </c>
      <c r="E679" s="21">
        <f>IF(D679="?OLD","!!!","")</f>
        <v/>
      </c>
      <c r="F679" s="22" t="str">
        <f>IF(OR(E679="",E679="!!!"),"",IF(NOT(ISNA(VLOOKUP(E679,E$1:E678,1,FALSE()))),"OLD",IF(AND(E679&lt;&gt;"",E679&lt;&gt;"!!!"),"NEW","")))</f>
        <v> </v>
      </c>
      <c r="G679" s="23" t="str">
        <f>IF(OR(E679="",E679="!!!"),"",IF(OR(J679=0,AND(J679=1,K679=1),AND(J679=1,I679="SBJ"),AND(J679=1,I679=0)),"?IN_FOCUS",IF(J679&lt;=2,"?ACTIVATED",IF(J679&lt;&gt;"","?FAMILIAR",IF(F679="NEW",IF(ISNA(VLOOKUP(E679,#REF!,1,FALSE())),"?TYPE_IDENTIFIABLE","?REFERENTIAL"),"_")))))</f>
        <v> </v>
      </c>
      <c r="H679" s="24" t="str">
        <f>IF(J679&lt;&gt;1,"",IF(I679="SBJ","CB","?"))</f>
        <v> </v>
      </c>
      <c r="I679" s="25" t="str">
        <f>IF(OR(E679="",E679="!!!",F679="NEW"),"",INDEX(B678:B$2,-1+SUMPRODUCT(MAX(ROW(E678:E$2)*(E679=E678:E$2)))))</f>
        <v> </v>
      </c>
      <c r="J679" s="25" t="str">
        <f>IF(OR(E679="",E679="!!!",F679="NEW"),"",COUNTBLANK(OFFSET(A$1,,,SUMPRODUCT(MAX(ROW(E$2:E679)*(E679=E$2:E679)))))-COUNTBLANK(OFFSET(A$1,,,SUMPRODUCT(MAX(ROW(E$1:E678)*(E2=E$1:E678))))))</f>
        <v> </v>
      </c>
      <c r="K679" s="25" t="str">
        <f>IF(OR(E679="",E679="!!!",F679="NEW"),"",INDEX(J$1:J678,SUMPRODUCT(MAX(ROW(E$1:E678)*(E679=E$1:E678)))))</f>
        <v> </v>
      </c>
      <c r="L679" s="26"/>
    </row>
    <row r="680" spans="1:12">
      <c r="A680" s="20" t="s">
        <v>422</v>
      </c>
      <c r="E680" s="21">
        <f>IF(D680="?OLD","!!!","")</f>
        <v/>
      </c>
      <c r="F680" s="22" t="str">
        <f>IF(OR(E680="",E680="!!!"),"",IF(NOT(ISNA(VLOOKUP(E680,E$1:E679,1,FALSE()))),"OLD",IF(AND(E680&lt;&gt;"",E680&lt;&gt;"!!!"),"NEW","")))</f>
        <v> </v>
      </c>
      <c r="G680" s="23" t="str">
        <f>IF(OR(E680="",E680="!!!"),"",IF(OR(J680=0,AND(J680=1,K680=1),AND(J680=1,I680="SBJ"),AND(J680=1,I680=0)),"?IN_FOCUS",IF(J680&lt;=2,"?ACTIVATED",IF(J680&lt;&gt;"","?FAMILIAR",IF(F680="NEW",IF(ISNA(VLOOKUP(E680,#REF!,1,FALSE())),"?TYPE_IDENTIFIABLE","?REFERENTIAL"),"_")))))</f>
        <v> </v>
      </c>
      <c r="H680" s="24" t="str">
        <f>IF(J680&lt;&gt;1,"",IF(I680="SBJ","CB","?"))</f>
        <v> </v>
      </c>
      <c r="I680" s="25" t="str">
        <f>IF(OR(E680="",E680="!!!",F680="NEW"),"",INDEX(B679:B$2,-1+SUMPRODUCT(MAX(ROW(E679:E$2)*(E680=E679:E$2)))))</f>
        <v> </v>
      </c>
      <c r="J680" s="25" t="str">
        <f>IF(OR(E680="",E680="!!!",F680="NEW"),"",COUNTBLANK(OFFSET(A$1,,,SUMPRODUCT(MAX(ROW(E$2:E680)*(E680=E$2:E680)))))-COUNTBLANK(OFFSET(A$1,,,SUMPRODUCT(MAX(ROW(E$1:E679)*(E2=E$1:E679))))))</f>
        <v> </v>
      </c>
      <c r="K680" s="25" t="str">
        <f>IF(OR(E680="",E680="!!!",F680="NEW"),"",INDEX(J$1:J679,SUMPRODUCT(MAX(ROW(E$1:E679)*(E680=E$1:E679)))))</f>
        <v> </v>
      </c>
      <c r="L680" s="26"/>
    </row>
    <row r="681" spans="1:12">
      <c r="A681" s="20"/>
    </row>
    <row r="682" spans="1:12">
      <c r="A682" s="20" t="s">
        <v>428</v>
      </c>
    </row>
    <row r="683" spans="1:12">
      <c r="A683" s="20" t="s">
        <v>139</v>
      </c>
      <c r="B683" s="27" t="s">
        <v>140</v>
      </c>
      <c r="C683" s="27" t="s">
        <v>141</v>
      </c>
      <c r="E683" s="21">
        <f>IF(D683="?OLD","!!!","")</f>
        <v/>
      </c>
      <c r="F683" s="22" t="str">
        <f>IF(OR(E683="",E683="!!!"),"",IF(NOT(ISNA(VLOOKUP(E683,E$1:E682,1,FALSE()))),"OLD",IF(AND(E683&lt;&gt;"",E683&lt;&gt;"!!!"),"NEW","")))</f>
        <v> </v>
      </c>
      <c r="G683" s="23" t="str">
        <f>IF(OR(E683="",E683="!!!"),"",IF(OR(J683=0,AND(J683=1,K683=1),AND(J683=1,I683="SBJ"),AND(J683=1,I683=0)),"?IN_FOCUS",IF(J683&lt;=2,"?ACTIVATED",IF(J683&lt;&gt;"","?FAMILIAR",IF(F683="NEW",IF(ISNA(VLOOKUP(E683,#REF!,1,FALSE())),"?TYPE_IDENTIFIABLE","?REFERENTIAL"),"_")))))</f>
        <v> </v>
      </c>
      <c r="H683" s="24" t="str">
        <f>IF(J683&lt;&gt;1,"",IF(I683="SBJ","CB","?"))</f>
        <v> </v>
      </c>
      <c r="I683" s="25" t="str">
        <f>IF(OR(E683="",E683="!!!",F683="NEW"),"",INDEX(B682:B$2,-1+SUMPRODUCT(MAX(ROW(E682:E$2)*(E683=E682:E$2)))))</f>
        <v> </v>
      </c>
      <c r="J683" s="25" t="str">
        <f>IF(OR(E683="",E683="!!!",F683="NEW"),"",COUNTBLANK(OFFSET(A$1,,,SUMPRODUCT(MAX(ROW(E$2:E683)*(E683=E$2:E683)))))-COUNTBLANK(OFFSET(A$1,,,SUMPRODUCT(MAX(ROW(E$1:E682)*(E2=E$1:E682))))))</f>
        <v> </v>
      </c>
      <c r="K683" s="25" t="str">
        <f>IF(OR(E683="",E683="!!!",F683="NEW"),"",INDEX(J$1:J682,SUMPRODUCT(MAX(ROW(E$1:E682)*(E683=E$1:E682)))))</f>
        <v> </v>
      </c>
      <c r="L683" s="26"/>
    </row>
    <row r="684" spans="1:12">
      <c r="A684" s="20" t="s">
        <v>429</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t="s">
        <v>354</v>
      </c>
      <c r="B685" s="27" t="s">
        <v>144</v>
      </c>
      <c r="C685" s="27" t="s">
        <v>145</v>
      </c>
      <c r="D685" s="27" t="s">
        <v>146</v>
      </c>
      <c r="E685" s="21">
        <f>IF(D685="?OLD","!!!","")</f>
        <v/>
      </c>
      <c r="F685" s="22" t="str">
        <f>IF(OR(E685="",E685="!!!"),"",IF(NOT(ISNA(VLOOKUP(E685,E$1:E684,1,FALSE()))),"OLD",IF(AND(E685&lt;&gt;"",E685&lt;&gt;"!!!"),"NEW","")))</f>
        <v> </v>
      </c>
      <c r="G685" s="23" t="str">
        <f>IF(OR(E685="",E685="!!!"),"",IF(OR(J685=0,AND(J685=1,K685=1),AND(J685=1,I685="SBJ"),AND(J685=1,I685=0)),"?IN_FOCUS",IF(J685&lt;=2,"?ACTIVATED",IF(J685&lt;&gt;"","?FAMILIAR",IF(F685="NEW",IF(ISNA(VLOOKUP(E685,#REF!,1,FALSE())),"?TYPE_IDENTIFIABLE","?REFERENTIAL"),"_")))))</f>
        <v> </v>
      </c>
      <c r="H685" s="24" t="str">
        <f>IF(J685&lt;&gt;1,"",IF(I685="SBJ","CB","?"))</f>
        <v> </v>
      </c>
      <c r="I685" s="25" t="str">
        <f>IF(OR(E685="",E685="!!!",F685="NEW"),"",INDEX(B684:B$2,-1+SUMPRODUCT(MAX(ROW(E684:E$2)*(E685=E684:E$2)))))</f>
        <v> </v>
      </c>
      <c r="J685" s="25" t="str">
        <f>IF(OR(E685="",E685="!!!",F685="NEW"),"",COUNTBLANK(OFFSET(A$1,,,SUMPRODUCT(MAX(ROW(E$2:E685)*(E685=E$2:E685)))))-COUNTBLANK(OFFSET(A$1,,,SUMPRODUCT(MAX(ROW(E$1:E684)*(E2=E$1:E684))))))</f>
        <v> </v>
      </c>
      <c r="K685" s="25" t="str">
        <f>IF(OR(E685="",E685="!!!",F685="NEW"),"",INDEX(J$1:J684,SUMPRODUCT(MAX(ROW(E$1:E684)*(E685=E$1:E684)))))</f>
        <v> </v>
      </c>
      <c r="L685" s="26"/>
    </row>
    <row r="686" spans="1:12">
      <c r="A686" s="20" t="s">
        <v>289</v>
      </c>
      <c r="E686" s="21">
        <f>IF(D686="?OLD","!!!","")</f>
        <v/>
      </c>
      <c r="F686" s="22" t="str">
        <f>IF(OR(E686="",E686="!!!"),"",IF(NOT(ISNA(VLOOKUP(E686,E$1:E685,1,FALSE()))),"OLD",IF(AND(E686&lt;&gt;"",E686&lt;&gt;"!!!"),"NEW","")))</f>
        <v> </v>
      </c>
      <c r="G686" s="23" t="str">
        <f>IF(OR(E686="",E686="!!!"),"",IF(OR(J686=0,AND(J686=1,K686=1),AND(J686=1,I686="SBJ"),AND(J686=1,I686=0)),"?IN_FOCUS",IF(J686&lt;=2,"?ACTIVATED",IF(J686&lt;&gt;"","?FAMILIAR",IF(F686="NEW",IF(ISNA(VLOOKUP(E686,#REF!,1,FALSE())),"?TYPE_IDENTIFIABLE","?REFERENTIAL"),"_")))))</f>
        <v> </v>
      </c>
      <c r="H686" s="24" t="str">
        <f>IF(J686&lt;&gt;1,"",IF(I686="SBJ","CB","?"))</f>
        <v> </v>
      </c>
      <c r="I686" s="25" t="str">
        <f>IF(OR(E686="",E686="!!!",F686="NEW"),"",INDEX(B685:B$2,-1+SUMPRODUCT(MAX(ROW(E685:E$2)*(E686=E685:E$2)))))</f>
        <v> </v>
      </c>
      <c r="J686" s="25" t="str">
        <f>IF(OR(E686="",E686="!!!",F686="NEW"),"",COUNTBLANK(OFFSET(A$1,,,SUMPRODUCT(MAX(ROW(E$2:E686)*(E686=E$2:E686)))))-COUNTBLANK(OFFSET(A$1,,,SUMPRODUCT(MAX(ROW(E$1:E685)*(E2=E$1:E685))))))</f>
        <v> </v>
      </c>
      <c r="K686" s="25" t="str">
        <f>IF(OR(E686="",E686="!!!",F686="NEW"),"",INDEX(J$1:J685,SUMPRODUCT(MAX(ROW(E$1:E685)*(E686=E$1:E685)))))</f>
        <v> </v>
      </c>
      <c r="L686" s="26"/>
    </row>
    <row r="687" spans="1:12">
      <c r="A687" s="20" t="s">
        <v>181</v>
      </c>
      <c r="E687" s="21">
        <f>IF(D687="?OLD","!!!","")</f>
        <v/>
      </c>
      <c r="F687" s="22" t="str">
        <f>IF(OR(E687="",E687="!!!"),"",IF(NOT(ISNA(VLOOKUP(E687,E$1:E686,1,FALSE()))),"OLD",IF(AND(E687&lt;&gt;"",E687&lt;&gt;"!!!"),"NEW","")))</f>
        <v> </v>
      </c>
      <c r="G687" s="23" t="str">
        <f>IF(OR(E687="",E687="!!!"),"",IF(OR(J687=0,AND(J687=1,K687=1),AND(J687=1,I687="SBJ"),AND(J687=1,I687=0)),"?IN_FOCUS",IF(J687&lt;=2,"?ACTIVATED",IF(J687&lt;&gt;"","?FAMILIAR",IF(F687="NEW",IF(ISNA(VLOOKUP(E687,#REF!,1,FALSE())),"?TYPE_IDENTIFIABLE","?REFERENTIAL"),"_")))))</f>
        <v> </v>
      </c>
      <c r="H687" s="24" t="str">
        <f>IF(J687&lt;&gt;1,"",IF(I687="SBJ","CB","?"))</f>
        <v> </v>
      </c>
      <c r="I687" s="25" t="str">
        <f>IF(OR(E687="",E687="!!!",F687="NEW"),"",INDEX(B686:B$2,-1+SUMPRODUCT(MAX(ROW(E686:E$2)*(E687=E686:E$2)))))</f>
        <v> </v>
      </c>
      <c r="J687" s="25" t="str">
        <f>IF(OR(E687="",E687="!!!",F687="NEW"),"",COUNTBLANK(OFFSET(A$1,,,SUMPRODUCT(MAX(ROW(E$2:E687)*(E687=E$2:E687)))))-COUNTBLANK(OFFSET(A$1,,,SUMPRODUCT(MAX(ROW(E$1:E686)*(E2=E$1:E686))))))</f>
        <v> </v>
      </c>
      <c r="K687" s="25" t="str">
        <f>IF(OR(E687="",E687="!!!",F687="NEW"),"",INDEX(J$1:J686,SUMPRODUCT(MAX(ROW(E$1:E686)*(E687=E$1:E686)))))</f>
        <v> </v>
      </c>
      <c r="L687" s="26"/>
    </row>
    <row r="688" spans="1:12">
      <c r="A688" s="20" t="s">
        <v>147</v>
      </c>
      <c r="E688" s="21">
        <f>IF(D688="?OLD","!!!","")</f>
        <v/>
      </c>
      <c r="F688" s="22" t="str">
        <f>IF(OR(E688="",E688="!!!"),"",IF(NOT(ISNA(VLOOKUP(E688,E$1:E687,1,FALSE()))),"OLD",IF(AND(E688&lt;&gt;"",E688&lt;&gt;"!!!"),"NEW","")))</f>
        <v> </v>
      </c>
      <c r="G688" s="23" t="str">
        <f>IF(OR(E688="",E688="!!!"),"",IF(OR(J688=0,AND(J688=1,K688=1),AND(J688=1,I688="SBJ"),AND(J688=1,I688=0)),"?IN_FOCUS",IF(J688&lt;=2,"?ACTIVATED",IF(J688&lt;&gt;"","?FAMILIAR",IF(F688="NEW",IF(ISNA(VLOOKUP(E688,#REF!,1,FALSE())),"?TYPE_IDENTIFIABLE","?REFERENTIAL"),"_")))))</f>
        <v> </v>
      </c>
      <c r="H688" s="24" t="str">
        <f>IF(J688&lt;&gt;1,"",IF(I688="SBJ","CB","?"))</f>
        <v> </v>
      </c>
      <c r="I688" s="25" t="str">
        <f>IF(OR(E688="",E688="!!!",F688="NEW"),"",INDEX(B687:B$2,-1+SUMPRODUCT(MAX(ROW(E687:E$2)*(E688=E687:E$2)))))</f>
        <v> </v>
      </c>
      <c r="J688" s="25" t="str">
        <f>IF(OR(E688="",E688="!!!",F688="NEW"),"",COUNTBLANK(OFFSET(A$1,,,SUMPRODUCT(MAX(ROW(E$2:E688)*(E688=E$2:E688)))))-COUNTBLANK(OFFSET(A$1,,,SUMPRODUCT(MAX(ROW(E$1:E687)*(E2=E$1:E687))))))</f>
        <v> </v>
      </c>
      <c r="K688" s="25" t="str">
        <f>IF(OR(E688="",E688="!!!",F688="NEW"),"",INDEX(J$1:J687,SUMPRODUCT(MAX(ROW(E$1:E687)*(E688=E$1:E687)))))</f>
        <v> </v>
      </c>
      <c r="L688" s="26"/>
    </row>
    <row r="689" spans="1:12">
      <c r="A689" s="20" t="s">
        <v>430</v>
      </c>
      <c r="E689" s="21">
        <f>IF(D689="?OLD","!!!","")</f>
        <v/>
      </c>
      <c r="F689" s="22" t="str">
        <f>IF(OR(E689="",E689="!!!"),"",IF(NOT(ISNA(VLOOKUP(E689,E$1:E688,1,FALSE()))),"OLD",IF(AND(E689&lt;&gt;"",E689&lt;&gt;"!!!"),"NEW","")))</f>
        <v> </v>
      </c>
      <c r="G689" s="23" t="str">
        <f>IF(OR(E689="",E689="!!!"),"",IF(OR(J689=0,AND(J689=1,K689=1),AND(J689=1,I689="SBJ"),AND(J689=1,I689=0)),"?IN_FOCUS",IF(J689&lt;=2,"?ACTIVATED",IF(J689&lt;&gt;"","?FAMILIAR",IF(F689="NEW",IF(ISNA(VLOOKUP(E689,#REF!,1,FALSE())),"?TYPE_IDENTIFIABLE","?REFERENTIAL"),"_")))))</f>
        <v> </v>
      </c>
      <c r="H689" s="24" t="str">
        <f>IF(J689&lt;&gt;1,"",IF(I689="SBJ","CB","?"))</f>
        <v> </v>
      </c>
      <c r="I689" s="25" t="str">
        <f>IF(OR(E689="",E689="!!!",F689="NEW"),"",INDEX(B688:B$2,-1+SUMPRODUCT(MAX(ROW(E688:E$2)*(E689=E688:E$2)))))</f>
        <v> </v>
      </c>
      <c r="J689" s="25" t="str">
        <f>IF(OR(E689="",E689="!!!",F689="NEW"),"",COUNTBLANK(OFFSET(A$1,,,SUMPRODUCT(MAX(ROW(E$2:E689)*(E689=E$2:E689)))))-COUNTBLANK(OFFSET(A$1,,,SUMPRODUCT(MAX(ROW(E$1:E688)*(E2=E$1:E688))))))</f>
        <v> </v>
      </c>
      <c r="K689" s="25" t="str">
        <f>IF(OR(E689="",E689="!!!",F689="NEW"),"",INDEX(J$1:J688,SUMPRODUCT(MAX(ROW(E$1:E688)*(E689=E$1:E688)))))</f>
        <v> </v>
      </c>
      <c r="L689" s="26"/>
    </row>
    <row r="690" spans="1:12">
      <c r="A690" s="20" t="s">
        <v>339</v>
      </c>
      <c r="B690" s="27" t="s">
        <v>158</v>
      </c>
      <c r="C690" s="27" t="s">
        <v>159</v>
      </c>
      <c r="D690" s="27" t="s">
        <v>146</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t="s">
        <v>431</v>
      </c>
      <c r="B691" s="27" t="s">
        <v>201</v>
      </c>
      <c r="C691" s="27" t="s">
        <v>141</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t="s">
        <v>190</v>
      </c>
      <c r="E692" s="21">
        <f>IF(D692="?OLD","!!!","")</f>
        <v/>
      </c>
      <c r="F692" s="22" t="str">
        <f>IF(OR(E692="",E692="!!!"),"",IF(NOT(ISNA(VLOOKUP(E692,E$1:E691,1,FALSE()))),"OLD",IF(AND(E692&lt;&gt;"",E692&lt;&gt;"!!!"),"NEW","")))</f>
        <v> </v>
      </c>
      <c r="G692" s="23" t="str">
        <f>IF(OR(E692="",E692="!!!"),"",IF(OR(J692=0,AND(J692=1,K692=1),AND(J692=1,I692="SBJ"),AND(J692=1,I692=0)),"?IN_FOCUS",IF(J692&lt;=2,"?ACTIVATED",IF(J692&lt;&gt;"","?FAMILIAR",IF(F692="NEW",IF(ISNA(VLOOKUP(E692,#REF!,1,FALSE())),"?TYPE_IDENTIFIABLE","?REFERENTIAL"),"_")))))</f>
        <v> </v>
      </c>
      <c r="H692" s="24" t="str">
        <f>IF(J692&lt;&gt;1,"",IF(I692="SBJ","CB","?"))</f>
        <v> </v>
      </c>
      <c r="I692" s="25" t="str">
        <f>IF(OR(E692="",E692="!!!",F692="NEW"),"",INDEX(B691:B$2,-1+SUMPRODUCT(MAX(ROW(E691:E$2)*(E692=E691:E$2)))))</f>
        <v> </v>
      </c>
      <c r="J692" s="25" t="str">
        <f>IF(OR(E692="",E692="!!!",F692="NEW"),"",COUNTBLANK(OFFSET(A$1,,,SUMPRODUCT(MAX(ROW(E$2:E692)*(E692=E$2:E692)))))-COUNTBLANK(OFFSET(A$1,,,SUMPRODUCT(MAX(ROW(E$1:E691)*(E2=E$1:E691))))))</f>
        <v> </v>
      </c>
      <c r="K692" s="25" t="str">
        <f>IF(OR(E692="",E692="!!!",F692="NEW"),"",INDEX(J$1:J691,SUMPRODUCT(MAX(ROW(E$1:E691)*(E692=E$1:E691)))))</f>
        <v> </v>
      </c>
      <c r="L692" s="26"/>
    </row>
    <row r="693" spans="1:12">
      <c r="A693" s="20" t="s">
        <v>258</v>
      </c>
      <c r="E693" s="21">
        <f>IF(D693="?OLD","!!!","")</f>
        <v/>
      </c>
      <c r="F693" s="22" t="str">
        <f>IF(OR(E693="",E693="!!!"),"",IF(NOT(ISNA(VLOOKUP(E693,E$1:E692,1,FALSE()))),"OLD",IF(AND(E693&lt;&gt;"",E693&lt;&gt;"!!!"),"NEW","")))</f>
        <v> </v>
      </c>
      <c r="G693" s="23" t="str">
        <f>IF(OR(E693="",E693="!!!"),"",IF(OR(J693=0,AND(J693=1,K693=1),AND(J693=1,I693="SBJ"),AND(J693=1,I693=0)),"?IN_FOCUS",IF(J693&lt;=2,"?ACTIVATED",IF(J693&lt;&gt;"","?FAMILIAR",IF(F693="NEW",IF(ISNA(VLOOKUP(E693,#REF!,1,FALSE())),"?TYPE_IDENTIFIABLE","?REFERENTIAL"),"_")))))</f>
        <v> </v>
      </c>
      <c r="H693" s="24" t="str">
        <f>IF(J693&lt;&gt;1,"",IF(I693="SBJ","CB","?"))</f>
        <v> </v>
      </c>
      <c r="I693" s="25" t="str">
        <f>IF(OR(E693="",E693="!!!",F693="NEW"),"",INDEX(B692:B$2,-1+SUMPRODUCT(MAX(ROW(E692:E$2)*(E693=E692:E$2)))))</f>
        <v> </v>
      </c>
      <c r="J693" s="25" t="str">
        <f>IF(OR(E693="",E693="!!!",F693="NEW"),"",COUNTBLANK(OFFSET(A$1,,,SUMPRODUCT(MAX(ROW(E$2:E693)*(E693=E$2:E693)))))-COUNTBLANK(OFFSET(A$1,,,SUMPRODUCT(MAX(ROW(E$1:E692)*(E2=E$1:E692))))))</f>
        <v> </v>
      </c>
      <c r="K693" s="25" t="str">
        <f>IF(OR(E693="",E693="!!!",F693="NEW"),"",INDEX(J$1:J692,SUMPRODUCT(MAX(ROW(E$1:E692)*(E693=E$1:E692)))))</f>
        <v> </v>
      </c>
      <c r="L693" s="26"/>
    </row>
    <row r="694" spans="1:12">
      <c r="A694" s="20" t="s">
        <v>432</v>
      </c>
      <c r="B694" s="27" t="s">
        <v>150</v>
      </c>
      <c r="C694" s="27" t="s">
        <v>163</v>
      </c>
      <c r="D694" s="27" t="s">
        <v>146</v>
      </c>
      <c r="E694" s="21">
        <f>IF(D694="?OLD","!!!","")</f>
        <v/>
      </c>
      <c r="F694" s="22" t="str">
        <f>IF(OR(E694="",E694="!!!"),"",IF(NOT(ISNA(VLOOKUP(E694,E$1:E693,1,FALSE()))),"OLD",IF(AND(E694&lt;&gt;"",E694&lt;&gt;"!!!"),"NEW","")))</f>
        <v> </v>
      </c>
      <c r="G694" s="23" t="str">
        <f>IF(OR(E694="",E694="!!!"),"",IF(OR(J694=0,AND(J694=1,K694=1),AND(J694=1,I694="SBJ"),AND(J694=1,I694=0)),"?IN_FOCUS",IF(J694&lt;=2,"?ACTIVATED",IF(J694&lt;&gt;"","?FAMILIAR",IF(F694="NEW",IF(ISNA(VLOOKUP(E694,#REF!,1,FALSE())),"?TYPE_IDENTIFIABLE","?REFERENTIAL"),"_")))))</f>
        <v> </v>
      </c>
      <c r="H694" s="24" t="str">
        <f>IF(J694&lt;&gt;1,"",IF(I694="SBJ","CB","?"))</f>
        <v> </v>
      </c>
      <c r="I694" s="25" t="str">
        <f>IF(OR(E694="",E694="!!!",F694="NEW"),"",INDEX(B693:B$2,-1+SUMPRODUCT(MAX(ROW(E693:E$2)*(E694=E693:E$2)))))</f>
        <v> </v>
      </c>
      <c r="J694" s="25" t="str">
        <f>IF(OR(E694="",E694="!!!",F694="NEW"),"",COUNTBLANK(OFFSET(A$1,,,SUMPRODUCT(MAX(ROW(E$2:E694)*(E694=E$2:E694)))))-COUNTBLANK(OFFSET(A$1,,,SUMPRODUCT(MAX(ROW(E$1:E693)*(E2=E$1:E693))))))</f>
        <v> </v>
      </c>
      <c r="K694" s="25" t="str">
        <f>IF(OR(E694="",E694="!!!",F694="NEW"),"",INDEX(J$1:J693,SUMPRODUCT(MAX(ROW(E$1:E693)*(E694=E$1:E693)))))</f>
        <v> </v>
      </c>
      <c r="L694" s="26"/>
    </row>
    <row r="695" spans="1:12">
      <c r="A695" s="20" t="s">
        <v>231</v>
      </c>
      <c r="E695" s="21">
        <f>IF(D695="?OLD","!!!","")</f>
        <v/>
      </c>
      <c r="F695" s="22" t="str">
        <f>IF(OR(E695="",E695="!!!"),"",IF(NOT(ISNA(VLOOKUP(E695,E$1:E694,1,FALSE()))),"OLD",IF(AND(E695&lt;&gt;"",E695&lt;&gt;"!!!"),"NEW","")))</f>
        <v> </v>
      </c>
      <c r="G695" s="23" t="str">
        <f>IF(OR(E695="",E695="!!!"),"",IF(OR(J695=0,AND(J695=1,K695=1),AND(J695=1,I695="SBJ"),AND(J695=1,I695=0)),"?IN_FOCUS",IF(J695&lt;=2,"?ACTIVATED",IF(J695&lt;&gt;"","?FAMILIAR",IF(F695="NEW",IF(ISNA(VLOOKUP(E695,#REF!,1,FALSE())),"?TYPE_IDENTIFIABLE","?REFERENTIAL"),"_")))))</f>
        <v> </v>
      </c>
      <c r="H695" s="24" t="str">
        <f>IF(J695&lt;&gt;1,"",IF(I695="SBJ","CB","?"))</f>
        <v> </v>
      </c>
      <c r="I695" s="25" t="str">
        <f>IF(OR(E695="",E695="!!!",F695="NEW"),"",INDEX(B694:B$2,-1+SUMPRODUCT(MAX(ROW(E694:E$2)*(E695=E694:E$2)))))</f>
        <v> </v>
      </c>
      <c r="J695" s="25" t="str">
        <f>IF(OR(E695="",E695="!!!",F695="NEW"),"",COUNTBLANK(OFFSET(A$1,,,SUMPRODUCT(MAX(ROW(E$2:E695)*(E695=E$2:E695)))))-COUNTBLANK(OFFSET(A$1,,,SUMPRODUCT(MAX(ROW(E$1:E694)*(E2=E$1:E694))))))</f>
        <v> </v>
      </c>
      <c r="K695" s="25" t="str">
        <f>IF(OR(E695="",E695="!!!",F695="NEW"),"",INDEX(J$1:J694,SUMPRODUCT(MAX(ROW(E$1:E694)*(E695=E$1:E694)))))</f>
        <v> </v>
      </c>
      <c r="L695" s="26"/>
    </row>
    <row r="696" spans="1:12">
      <c r="A696" s="20" t="s">
        <v>352</v>
      </c>
      <c r="B696" s="27" t="s">
        <v>183</v>
      </c>
      <c r="C696" s="27" t="s">
        <v>163</v>
      </c>
      <c r="D696" s="27" t="s">
        <v>146</v>
      </c>
      <c r="E696" s="21">
        <f>IF(D696="?OLD","!!!","")</f>
        <v/>
      </c>
      <c r="F696" s="22" t="str">
        <f>IF(OR(E696="",E696="!!!"),"",IF(NOT(ISNA(VLOOKUP(E696,E$1:E695,1,FALSE()))),"OLD",IF(AND(E696&lt;&gt;"",E696&lt;&gt;"!!!"),"NEW","")))</f>
        <v> </v>
      </c>
      <c r="G696" s="23" t="str">
        <f>IF(OR(E696="",E696="!!!"),"",IF(OR(J696=0,AND(J696=1,K696=1),AND(J696=1,I696="SBJ"),AND(J696=1,I696=0)),"?IN_FOCUS",IF(J696&lt;=2,"?ACTIVATED",IF(J696&lt;&gt;"","?FAMILIAR",IF(F696="NEW",IF(ISNA(VLOOKUP(E696,#REF!,1,FALSE())),"?TYPE_IDENTIFIABLE","?REFERENTIAL"),"_")))))</f>
        <v> </v>
      </c>
      <c r="H696" s="24" t="str">
        <f>IF(J696&lt;&gt;1,"",IF(I696="SBJ","CB","?"))</f>
        <v> </v>
      </c>
      <c r="I696" s="25" t="str">
        <f>IF(OR(E696="",E696="!!!",F696="NEW"),"",INDEX(B695:B$2,-1+SUMPRODUCT(MAX(ROW(E695:E$2)*(E696=E695:E$2)))))</f>
        <v> </v>
      </c>
      <c r="J696" s="25" t="str">
        <f>IF(OR(E696="",E696="!!!",F696="NEW"),"",COUNTBLANK(OFFSET(A$1,,,SUMPRODUCT(MAX(ROW(E$2:E696)*(E696=E$2:E696)))))-COUNTBLANK(OFFSET(A$1,,,SUMPRODUCT(MAX(ROW(E$1:E695)*(E2=E$1:E695))))))</f>
        <v> </v>
      </c>
      <c r="K696" s="25" t="str">
        <f>IF(OR(E696="",E696="!!!",F696="NEW"),"",INDEX(J$1:J695,SUMPRODUCT(MAX(ROW(E$1:E695)*(E696=E$1:E695)))))</f>
        <v> </v>
      </c>
      <c r="L696" s="26"/>
    </row>
    <row r="697" spans="1:12">
      <c r="A697" s="20" t="s">
        <v>192</v>
      </c>
      <c r="E697" s="21">
        <f>IF(D697="?OLD","!!!","")</f>
        <v/>
      </c>
      <c r="F697" s="22" t="str">
        <f>IF(OR(E697="",E697="!!!"),"",IF(NOT(ISNA(VLOOKUP(E697,E$1:E696,1,FALSE()))),"OLD",IF(AND(E697&lt;&gt;"",E697&lt;&gt;"!!!"),"NEW","")))</f>
        <v> </v>
      </c>
      <c r="G697" s="23" t="str">
        <f>IF(OR(E697="",E697="!!!"),"",IF(OR(J697=0,AND(J697=1,K697=1),AND(J697=1,I697="SBJ"),AND(J697=1,I697=0)),"?IN_FOCUS",IF(J697&lt;=2,"?ACTIVATED",IF(J697&lt;&gt;"","?FAMILIAR",IF(F697="NEW",IF(ISNA(VLOOKUP(E697,#REF!,1,FALSE())),"?TYPE_IDENTIFIABLE","?REFERENTIAL"),"_")))))</f>
        <v> </v>
      </c>
      <c r="H697" s="24" t="str">
        <f>IF(J697&lt;&gt;1,"",IF(I697="SBJ","CB","?"))</f>
        <v> </v>
      </c>
      <c r="I697" s="25" t="str">
        <f>IF(OR(E697="",E697="!!!",F697="NEW"),"",INDEX(B696:B$2,-1+SUMPRODUCT(MAX(ROW(E696:E$2)*(E697=E696:E$2)))))</f>
        <v> </v>
      </c>
      <c r="J697" s="25" t="str">
        <f>IF(OR(E697="",E697="!!!",F697="NEW"),"",COUNTBLANK(OFFSET(A$1,,,SUMPRODUCT(MAX(ROW(E$2:E697)*(E697=E$2:E697)))))-COUNTBLANK(OFFSET(A$1,,,SUMPRODUCT(MAX(ROW(E$1:E696)*(E2=E$1:E696))))))</f>
        <v> </v>
      </c>
      <c r="K697" s="25" t="str">
        <f>IF(OR(E697="",E697="!!!",F697="NEW"),"",INDEX(J$1:J696,SUMPRODUCT(MAX(ROW(E$1:E696)*(E697=E$1:E696)))))</f>
        <v> </v>
      </c>
      <c r="L697" s="26"/>
    </row>
    <row r="698" spans="1:12">
      <c r="A698" s="20" t="s">
        <v>147</v>
      </c>
      <c r="E698" s="21">
        <f>IF(D698="?OLD","!!!","")</f>
        <v/>
      </c>
      <c r="F698" s="22" t="str">
        <f>IF(OR(E698="",E698="!!!"),"",IF(NOT(ISNA(VLOOKUP(E698,E$1:E697,1,FALSE()))),"OLD",IF(AND(E698&lt;&gt;"",E698&lt;&gt;"!!!"),"NEW","")))</f>
        <v> </v>
      </c>
      <c r="G698" s="23" t="str">
        <f>IF(OR(E698="",E698="!!!"),"",IF(OR(J698=0,AND(J698=1,K698=1),AND(J698=1,I698="SBJ"),AND(J698=1,I698=0)),"?IN_FOCUS",IF(J698&lt;=2,"?ACTIVATED",IF(J698&lt;&gt;"","?FAMILIAR",IF(F698="NEW",IF(ISNA(VLOOKUP(E698,#REF!,1,FALSE())),"?TYPE_IDENTIFIABLE","?REFERENTIAL"),"_")))))</f>
        <v> </v>
      </c>
      <c r="H698" s="24" t="str">
        <f>IF(J698&lt;&gt;1,"",IF(I698="SBJ","CB","?"))</f>
        <v> </v>
      </c>
      <c r="I698" s="25" t="str">
        <f>IF(OR(E698="",E698="!!!",F698="NEW"),"",INDEX(B697:B$2,-1+SUMPRODUCT(MAX(ROW(E697:E$2)*(E698=E697:E$2)))))</f>
        <v> </v>
      </c>
      <c r="J698" s="25" t="str">
        <f>IF(OR(E698="",E698="!!!",F698="NEW"),"",COUNTBLANK(OFFSET(A$1,,,SUMPRODUCT(MAX(ROW(E$2:E698)*(E698=E$2:E698)))))-COUNTBLANK(OFFSET(A$1,,,SUMPRODUCT(MAX(ROW(E$1:E697)*(E2=E$1:E697))))))</f>
        <v> </v>
      </c>
      <c r="K698" s="25" t="str">
        <f>IF(OR(E698="",E698="!!!",F698="NEW"),"",INDEX(J$1:J697,SUMPRODUCT(MAX(ROW(E$1:E697)*(E698=E$1:E697)))))</f>
        <v> </v>
      </c>
      <c r="L698" s="26"/>
    </row>
    <row r="699" spans="1:12">
      <c r="A699" s="20" t="s">
        <v>418</v>
      </c>
      <c r="B699" s="27" t="s">
        <v>201</v>
      </c>
      <c r="C699" s="27" t="s">
        <v>145</v>
      </c>
      <c r="D699" s="27" t="s">
        <v>146</v>
      </c>
      <c r="E699" s="21">
        <f>IF(D699="?OLD","!!!","")</f>
        <v/>
      </c>
      <c r="F699" s="22" t="str">
        <f>IF(OR(E699="",E699="!!!"),"",IF(NOT(ISNA(VLOOKUP(E699,E$1:E698,1,FALSE()))),"OLD",IF(AND(E699&lt;&gt;"",E699&lt;&gt;"!!!"),"NEW","")))</f>
        <v> </v>
      </c>
      <c r="G699" s="23" t="str">
        <f>IF(OR(E699="",E699="!!!"),"",IF(OR(J699=0,AND(J699=1,K699=1),AND(J699=1,I699="SBJ"),AND(J699=1,I699=0)),"?IN_FOCUS",IF(J699&lt;=2,"?ACTIVATED",IF(J699&lt;&gt;"","?FAMILIAR",IF(F699="NEW",IF(ISNA(VLOOKUP(E699,#REF!,1,FALSE())),"?TYPE_IDENTIFIABLE","?REFERENTIAL"),"_")))))</f>
        <v> </v>
      </c>
      <c r="H699" s="24" t="str">
        <f>IF(J699&lt;&gt;1,"",IF(I699="SBJ","CB","?"))</f>
        <v> </v>
      </c>
      <c r="I699" s="25" t="str">
        <f>IF(OR(E699="",E699="!!!",F699="NEW"),"",INDEX(B698:B$2,-1+SUMPRODUCT(MAX(ROW(E698:E$2)*(E699=E698:E$2)))))</f>
        <v> </v>
      </c>
      <c r="J699" s="25" t="str">
        <f>IF(OR(E699="",E699="!!!",F699="NEW"),"",COUNTBLANK(OFFSET(A$1,,,SUMPRODUCT(MAX(ROW(E$2:E699)*(E699=E$2:E699)))))-COUNTBLANK(OFFSET(A$1,,,SUMPRODUCT(MAX(ROW(E$1:E698)*(E2=E$1:E698))))))</f>
        <v> </v>
      </c>
      <c r="K699" s="25" t="str">
        <f>IF(OR(E699="",E699="!!!",F699="NEW"),"",INDEX(J$1:J698,SUMPRODUCT(MAX(ROW(E$1:E698)*(E699=E$1:E698)))))</f>
        <v> </v>
      </c>
      <c r="L699" s="26"/>
    </row>
    <row r="700" spans="1:12">
      <c r="A700" s="20" t="s">
        <v>169</v>
      </c>
      <c r="E700" s="21">
        <f>IF(D700="?OLD","!!!","")</f>
        <v/>
      </c>
      <c r="F700" s="22" t="str">
        <f>IF(OR(E700="",E700="!!!"),"",IF(NOT(ISNA(VLOOKUP(E700,E$1:E699,1,FALSE()))),"OLD",IF(AND(E700&lt;&gt;"",E700&lt;&gt;"!!!"),"NEW","")))</f>
        <v> </v>
      </c>
      <c r="G700" s="23" t="str">
        <f>IF(OR(E700="",E700="!!!"),"",IF(OR(J700=0,AND(J700=1,K700=1),AND(J700=1,I700="SBJ"),AND(J700=1,I700=0)),"?IN_FOCUS",IF(J700&lt;=2,"?ACTIVATED",IF(J700&lt;&gt;"","?FAMILIAR",IF(F700="NEW",IF(ISNA(VLOOKUP(E700,#REF!,1,FALSE())),"?TYPE_IDENTIFIABLE","?REFERENTIAL"),"_")))))</f>
        <v> </v>
      </c>
      <c r="H700" s="24" t="str">
        <f>IF(J700&lt;&gt;1,"",IF(I700="SBJ","CB","?"))</f>
        <v> </v>
      </c>
      <c r="I700" s="25" t="str">
        <f>IF(OR(E700="",E700="!!!",F700="NEW"),"",INDEX(B699:B$2,-1+SUMPRODUCT(MAX(ROW(E699:E$2)*(E700=E699:E$2)))))</f>
        <v> </v>
      </c>
      <c r="J700" s="25" t="str">
        <f>IF(OR(E700="",E700="!!!",F700="NEW"),"",COUNTBLANK(OFFSET(A$1,,,SUMPRODUCT(MAX(ROW(E$2:E700)*(E700=E$2:E700)))))-COUNTBLANK(OFFSET(A$1,,,SUMPRODUCT(MAX(ROW(E$1:E699)*(E2=E$1:E699))))))</f>
        <v> </v>
      </c>
      <c r="K700" s="25" t="str">
        <f>IF(OR(E700="",E700="!!!",F700="NEW"),"",INDEX(J$1:J699,SUMPRODUCT(MAX(ROW(E$1:E699)*(E700=E$1:E699)))))</f>
        <v> </v>
      </c>
      <c r="L700" s="26"/>
    </row>
    <row r="701" spans="1:12">
      <c r="A701" s="20" t="s">
        <v>78</v>
      </c>
      <c r="E701" s="21">
        <f>IF(D701="?OLD","!!!","")</f>
        <v/>
      </c>
      <c r="F701" s="22" t="str">
        <f>IF(OR(E701="",E701="!!!"),"",IF(NOT(ISNA(VLOOKUP(E701,E$1:E700,1,FALSE()))),"OLD",IF(AND(E701&lt;&gt;"",E701&lt;&gt;"!!!"),"NEW","")))</f>
        <v> </v>
      </c>
      <c r="G701" s="23" t="str">
        <f>IF(OR(E701="",E701="!!!"),"",IF(OR(J701=0,AND(J701=1,K701=1),AND(J701=1,I701="SBJ"),AND(J701=1,I701=0)),"?IN_FOCUS",IF(J701&lt;=2,"?ACTIVATED",IF(J701&lt;&gt;"","?FAMILIAR",IF(F701="NEW",IF(ISNA(VLOOKUP(E701,#REF!,1,FALSE())),"?TYPE_IDENTIFIABLE","?REFERENTIAL"),"_")))))</f>
        <v> </v>
      </c>
      <c r="H701" s="24" t="str">
        <f>IF(J701&lt;&gt;1,"",IF(I701="SBJ","CB","?"))</f>
        <v> </v>
      </c>
      <c r="I701" s="25" t="str">
        <f>IF(OR(E701="",E701="!!!",F701="NEW"),"",INDEX(B700:B$2,-1+SUMPRODUCT(MAX(ROW(E700:E$2)*(E701=E700:E$2)))))</f>
        <v> </v>
      </c>
      <c r="J701" s="25" t="str">
        <f>IF(OR(E701="",E701="!!!",F701="NEW"),"",COUNTBLANK(OFFSET(A$1,,,SUMPRODUCT(MAX(ROW(E$2:E701)*(E701=E$2:E701)))))-COUNTBLANK(OFFSET(A$1,,,SUMPRODUCT(MAX(ROW(E$1:E700)*(E2=E$1:E700))))))</f>
        <v> </v>
      </c>
      <c r="K701" s="25" t="str">
        <f>IF(OR(E701="",E701="!!!",F701="NEW"),"",INDEX(J$1:J700,SUMPRODUCT(MAX(ROW(E$1:E700)*(E701=E$1:E700)))))</f>
        <v> </v>
      </c>
      <c r="L701" s="26"/>
    </row>
    <row r="702" spans="1:12">
      <c r="A702" s="20" t="s">
        <v>419</v>
      </c>
      <c r="B702" s="27" t="s">
        <v>171</v>
      </c>
      <c r="C702" s="27" t="s">
        <v>151</v>
      </c>
      <c r="E702" s="21">
        <f>IF(D702="?OLD","!!!","")</f>
        <v/>
      </c>
      <c r="F702" s="22" t="str">
        <f>IF(OR(E702="",E702="!!!"),"",IF(NOT(ISNA(VLOOKUP(E702,E$1:E701,1,FALSE()))),"OLD",IF(AND(E702&lt;&gt;"",E702&lt;&gt;"!!!"),"NEW","")))</f>
        <v> </v>
      </c>
      <c r="G702" s="23" t="str">
        <f>IF(OR(E702="",E702="!!!"),"",IF(OR(J702=0,AND(J702=1,K702=1),AND(J702=1,I702="SBJ"),AND(J702=1,I702=0)),"?IN_FOCUS",IF(J702&lt;=2,"?ACTIVATED",IF(J702&lt;&gt;"","?FAMILIAR",IF(F702="NEW",IF(ISNA(VLOOKUP(E702,#REF!,1,FALSE())),"?TYPE_IDENTIFIABLE","?REFERENTIAL"),"_")))))</f>
        <v> </v>
      </c>
      <c r="H702" s="24" t="str">
        <f>IF(J702&lt;&gt;1,"",IF(I702="SBJ","CB","?"))</f>
        <v> </v>
      </c>
      <c r="I702" s="25" t="str">
        <f>IF(OR(E702="",E702="!!!",F702="NEW"),"",INDEX(B701:B$2,-1+SUMPRODUCT(MAX(ROW(E701:E$2)*(E702=E701:E$2)))))</f>
        <v> </v>
      </c>
      <c r="J702" s="25" t="str">
        <f>IF(OR(E702="",E702="!!!",F702="NEW"),"",COUNTBLANK(OFFSET(A$1,,,SUMPRODUCT(MAX(ROW(E$2:E702)*(E702=E$2:E702)))))-COUNTBLANK(OFFSET(A$1,,,SUMPRODUCT(MAX(ROW(E$1:E701)*(E2=E$1:E701))))))</f>
        <v> </v>
      </c>
      <c r="K702" s="25" t="str">
        <f>IF(OR(E702="",E702="!!!",F702="NEW"),"",INDEX(J$1:J701,SUMPRODUCT(MAX(ROW(E$1:E701)*(E702=E$1:E701)))))</f>
        <v> </v>
      </c>
      <c r="L702" s="26"/>
    </row>
    <row r="703" spans="1:12">
      <c r="A703" s="20" t="s">
        <v>422</v>
      </c>
      <c r="E703" s="21">
        <f>IF(D703="?OLD","!!!","")</f>
        <v/>
      </c>
      <c r="F703" s="22" t="str">
        <f>IF(OR(E703="",E703="!!!"),"",IF(NOT(ISNA(VLOOKUP(E703,E$1:E702,1,FALSE()))),"OLD",IF(AND(E703&lt;&gt;"",E703&lt;&gt;"!!!"),"NEW","")))</f>
        <v> </v>
      </c>
      <c r="G703" s="23" t="str">
        <f>IF(OR(E703="",E703="!!!"),"",IF(OR(J703=0,AND(J703=1,K703=1),AND(J703=1,I703="SBJ"),AND(J703=1,I703=0)),"?IN_FOCUS",IF(J703&lt;=2,"?ACTIVATED",IF(J703&lt;&gt;"","?FAMILIAR",IF(F703="NEW",IF(ISNA(VLOOKUP(E703,#REF!,1,FALSE())),"?TYPE_IDENTIFIABLE","?REFERENTIAL"),"_")))))</f>
        <v> </v>
      </c>
      <c r="H703" s="24" t="str">
        <f>IF(J703&lt;&gt;1,"",IF(I703="SBJ","CB","?"))</f>
        <v> </v>
      </c>
      <c r="I703" s="25" t="str">
        <f>IF(OR(E703="",E703="!!!",F703="NEW"),"",INDEX(B702:B$2,-1+SUMPRODUCT(MAX(ROW(E702:E$2)*(E703=E702:E$2)))))</f>
        <v> </v>
      </c>
      <c r="J703" s="25" t="str">
        <f>IF(OR(E703="",E703="!!!",F703="NEW"),"",COUNTBLANK(OFFSET(A$1,,,SUMPRODUCT(MAX(ROW(E$2:E703)*(E703=E$2:E703)))))-COUNTBLANK(OFFSET(A$1,,,SUMPRODUCT(MAX(ROW(E$1:E702)*(E2=E$1:E702))))))</f>
        <v> </v>
      </c>
      <c r="K703" s="25" t="str">
        <f>IF(OR(E703="",E703="!!!",F703="NEW"),"",INDEX(J$1:J702,SUMPRODUCT(MAX(ROW(E$1:E702)*(E703=E$1:E702)))))</f>
        <v> </v>
      </c>
      <c r="L703" s="26"/>
    </row>
    <row r="704" spans="1:12">
      <c r="A704" s="20"/>
    </row>
    <row r="705" spans="1:12">
      <c r="A705" s="20" t="s">
        <v>433</v>
      </c>
    </row>
    <row r="706" spans="1:12">
      <c r="A706" s="20" t="s">
        <v>143</v>
      </c>
      <c r="B706" s="27" t="s">
        <v>140</v>
      </c>
      <c r="C706" s="27" t="s">
        <v>145</v>
      </c>
      <c r="D706" s="27" t="s">
        <v>146</v>
      </c>
      <c r="E706" s="21">
        <f>IF(D706="?OLD","!!!","")</f>
        <v/>
      </c>
      <c r="F706" s="22" t="str">
        <f>IF(OR(E706="",E706="!!!"),"",IF(NOT(ISNA(VLOOKUP(E706,E$1:E705,1,FALSE()))),"OLD",IF(AND(E706&lt;&gt;"",E706&lt;&gt;"!!!"),"NEW","")))</f>
        <v> </v>
      </c>
      <c r="G706" s="23" t="str">
        <f>IF(OR(E706="",E706="!!!"),"",IF(OR(J706=0,AND(J706=1,K706=1),AND(J706=1,I706="SBJ"),AND(J706=1,I706=0)),"?IN_FOCUS",IF(J706&lt;=2,"?ACTIVATED",IF(J706&lt;&gt;"","?FAMILIAR",IF(F706="NEW",IF(ISNA(VLOOKUP(E706,#REF!,1,FALSE())),"?TYPE_IDENTIFIABLE","?REFERENTIAL"),"_")))))</f>
        <v> </v>
      </c>
      <c r="H706" s="24" t="str">
        <f>IF(J706&lt;&gt;1,"",IF(I706="SBJ","CB","?"))</f>
        <v> </v>
      </c>
      <c r="I706" s="25" t="str">
        <f>IF(OR(E706="",E706="!!!",F706="NEW"),"",INDEX(B705:B$2,-1+SUMPRODUCT(MAX(ROW(E705:E$2)*(E706=E705:E$2)))))</f>
        <v> </v>
      </c>
      <c r="J706" s="25" t="str">
        <f>IF(OR(E706="",E706="!!!",F706="NEW"),"",COUNTBLANK(OFFSET(A$1,,,SUMPRODUCT(MAX(ROW(E$2:E706)*(E706=E$2:E706)))))-COUNTBLANK(OFFSET(A$1,,,SUMPRODUCT(MAX(ROW(E$1:E705)*(E2=E$1:E705))))))</f>
        <v> </v>
      </c>
      <c r="K706" s="25" t="str">
        <f>IF(OR(E706="",E706="!!!",F706="NEW"),"",INDEX(J$1:J705,SUMPRODUCT(MAX(ROW(E$1:E705)*(E706=E$1:E705)))))</f>
        <v> </v>
      </c>
      <c r="L706" s="26"/>
    </row>
    <row r="707" spans="1:12">
      <c r="A707" s="20" t="s">
        <v>356</v>
      </c>
      <c r="E707" s="21">
        <f>IF(D707="?OLD","!!!","")</f>
        <v/>
      </c>
      <c r="F707" s="22" t="str">
        <f>IF(OR(E707="",E707="!!!"),"",IF(NOT(ISNA(VLOOKUP(E707,E$1:E706,1,FALSE()))),"OLD",IF(AND(E707&lt;&gt;"",E707&lt;&gt;"!!!"),"NEW","")))</f>
        <v> </v>
      </c>
      <c r="G707" s="23" t="str">
        <f>IF(OR(E707="",E707="!!!"),"",IF(OR(J707=0,AND(J707=1,K707=1),AND(J707=1,I707="SBJ"),AND(J707=1,I707=0)),"?IN_FOCUS",IF(J707&lt;=2,"?ACTIVATED",IF(J707&lt;&gt;"","?FAMILIAR",IF(F707="NEW",IF(ISNA(VLOOKUP(E707,#REF!,1,FALSE())),"?TYPE_IDENTIFIABLE","?REFERENTIAL"),"_")))))</f>
        <v> </v>
      </c>
      <c r="H707" s="24" t="str">
        <f>IF(J707&lt;&gt;1,"",IF(I707="SBJ","CB","?"))</f>
        <v> </v>
      </c>
      <c r="I707" s="25" t="str">
        <f>IF(OR(E707="",E707="!!!",F707="NEW"),"",INDEX(B706:B$2,-1+SUMPRODUCT(MAX(ROW(E706:E$2)*(E707=E706:E$2)))))</f>
        <v> </v>
      </c>
      <c r="J707" s="25" t="str">
        <f>IF(OR(E707="",E707="!!!",F707="NEW"),"",COUNTBLANK(OFFSET(A$1,,,SUMPRODUCT(MAX(ROW(E$2:E707)*(E707=E$2:E707)))))-COUNTBLANK(OFFSET(A$1,,,SUMPRODUCT(MAX(ROW(E$1:E706)*(E2=E$1:E706))))))</f>
        <v> </v>
      </c>
      <c r="K707" s="25" t="str">
        <f>IF(OR(E707="",E707="!!!",F707="NEW"),"",INDEX(J$1:J706,SUMPRODUCT(MAX(ROW(E$1:E706)*(E707=E$1:E706)))))</f>
        <v> </v>
      </c>
      <c r="L707" s="26"/>
    </row>
    <row r="708" spans="1:12">
      <c r="A708" s="20" t="s">
        <v>434</v>
      </c>
      <c r="E708" s="21">
        <f>IF(D708="?OLD","!!!","")</f>
        <v/>
      </c>
      <c r="F708" s="22" t="str">
        <f>IF(OR(E708="",E708="!!!"),"",IF(NOT(ISNA(VLOOKUP(E708,E$1:E707,1,FALSE()))),"OLD",IF(AND(E708&lt;&gt;"",E708&lt;&gt;"!!!"),"NEW","")))</f>
        <v> </v>
      </c>
      <c r="G708" s="23" t="str">
        <f>IF(OR(E708="",E708="!!!"),"",IF(OR(J708=0,AND(J708=1,K708=1),AND(J708=1,I708="SBJ"),AND(J708=1,I708=0)),"?IN_FOCUS",IF(J708&lt;=2,"?ACTIVATED",IF(J708&lt;&gt;"","?FAMILIAR",IF(F708="NEW",IF(ISNA(VLOOKUP(E708,#REF!,1,FALSE())),"?TYPE_IDENTIFIABLE","?REFERENTIAL"),"_")))))</f>
        <v> </v>
      </c>
      <c r="H708" s="24" t="str">
        <f>IF(J708&lt;&gt;1,"",IF(I708="SBJ","CB","?"))</f>
        <v> </v>
      </c>
      <c r="I708" s="25" t="str">
        <f>IF(OR(E708="",E708="!!!",F708="NEW"),"",INDEX(B707:B$2,-1+SUMPRODUCT(MAX(ROW(E707:E$2)*(E708=E707:E$2)))))</f>
        <v> </v>
      </c>
      <c r="J708" s="25" t="str">
        <f>IF(OR(E708="",E708="!!!",F708="NEW"),"",COUNTBLANK(OFFSET(A$1,,,SUMPRODUCT(MAX(ROW(E$2:E708)*(E708=E$2:E708)))))-COUNTBLANK(OFFSET(A$1,,,SUMPRODUCT(MAX(ROW(E$1:E707)*(E2=E$1:E707))))))</f>
        <v> </v>
      </c>
      <c r="K708" s="25" t="str">
        <f>IF(OR(E708="",E708="!!!",F708="NEW"),"",INDEX(J$1:J707,SUMPRODUCT(MAX(ROW(E$1:E707)*(E708=E$1:E707)))))</f>
        <v> </v>
      </c>
      <c r="L708" s="26"/>
    </row>
    <row r="709" spans="1:12">
      <c r="A709" s="20" t="s">
        <v>281</v>
      </c>
      <c r="E709" s="21">
        <f>IF(D709="?OLD","!!!","")</f>
        <v/>
      </c>
      <c r="F709" s="22" t="str">
        <f>IF(OR(E709="",E709="!!!"),"",IF(NOT(ISNA(VLOOKUP(E709,E$1:E708,1,FALSE()))),"OLD",IF(AND(E709&lt;&gt;"",E709&lt;&gt;"!!!"),"NEW","")))</f>
        <v> </v>
      </c>
      <c r="G709" s="23" t="str">
        <f>IF(OR(E709="",E709="!!!"),"",IF(OR(J709=0,AND(J709=1,K709=1),AND(J709=1,I709="SBJ"),AND(J709=1,I709=0)),"?IN_FOCUS",IF(J709&lt;=2,"?ACTIVATED",IF(J709&lt;&gt;"","?FAMILIAR",IF(F709="NEW",IF(ISNA(VLOOKUP(E709,#REF!,1,FALSE())),"?TYPE_IDENTIFIABLE","?REFERENTIAL"),"_")))))</f>
        <v> </v>
      </c>
      <c r="H709" s="24" t="str">
        <f>IF(J709&lt;&gt;1,"",IF(I709="SBJ","CB","?"))</f>
        <v> </v>
      </c>
      <c r="I709" s="25" t="str">
        <f>IF(OR(E709="",E709="!!!",F709="NEW"),"",INDEX(B708:B$2,-1+SUMPRODUCT(MAX(ROW(E708:E$2)*(E709=E708:E$2)))))</f>
        <v> </v>
      </c>
      <c r="J709" s="25" t="str">
        <f>IF(OR(E709="",E709="!!!",F709="NEW"),"",COUNTBLANK(OFFSET(A$1,,,SUMPRODUCT(MAX(ROW(E$2:E709)*(E709=E$2:E709)))))-COUNTBLANK(OFFSET(A$1,,,SUMPRODUCT(MAX(ROW(E$1:E708)*(E2=E$1:E708))))))</f>
        <v> </v>
      </c>
      <c r="K709" s="25" t="str">
        <f>IF(OR(E709="",E709="!!!",F709="NEW"),"",INDEX(J$1:J708,SUMPRODUCT(MAX(ROW(E$1:E708)*(E709=E$1:E708)))))</f>
        <v> </v>
      </c>
      <c r="L709" s="26"/>
    </row>
    <row r="710" spans="1:12">
      <c r="A710" s="20" t="s">
        <v>241</v>
      </c>
      <c r="E710" s="21">
        <f>IF(D710="?OLD","!!!","")</f>
        <v/>
      </c>
      <c r="F710" s="22" t="str">
        <f>IF(OR(E710="",E710="!!!"),"",IF(NOT(ISNA(VLOOKUP(E710,E$1:E709,1,FALSE()))),"OLD",IF(AND(E710&lt;&gt;"",E710&lt;&gt;"!!!"),"NEW","")))</f>
        <v> </v>
      </c>
      <c r="G710" s="23" t="str">
        <f>IF(OR(E710="",E710="!!!"),"",IF(OR(J710=0,AND(J710=1,K710=1),AND(J710=1,I710="SBJ"),AND(J710=1,I710=0)),"?IN_FOCUS",IF(J710&lt;=2,"?ACTIVATED",IF(J710&lt;&gt;"","?FAMILIAR",IF(F710="NEW",IF(ISNA(VLOOKUP(E710,#REF!,1,FALSE())),"?TYPE_IDENTIFIABLE","?REFERENTIAL"),"_")))))</f>
        <v> </v>
      </c>
      <c r="H710" s="24" t="str">
        <f>IF(J710&lt;&gt;1,"",IF(I710="SBJ","CB","?"))</f>
        <v> </v>
      </c>
      <c r="I710" s="25" t="str">
        <f>IF(OR(E710="",E710="!!!",F710="NEW"),"",INDEX(B709:B$2,-1+SUMPRODUCT(MAX(ROW(E709:E$2)*(E710=E709:E$2)))))</f>
        <v> </v>
      </c>
      <c r="J710" s="25" t="str">
        <f>IF(OR(E710="",E710="!!!",F710="NEW"),"",COUNTBLANK(OFFSET(A$1,,,SUMPRODUCT(MAX(ROW(E$2:E710)*(E710=E$2:E710)))))-COUNTBLANK(OFFSET(A$1,,,SUMPRODUCT(MAX(ROW(E$1:E709)*(E2=E$1:E709))))))</f>
        <v> </v>
      </c>
      <c r="K710" s="25" t="str">
        <f>IF(OR(E710="",E710="!!!",F710="NEW"),"",INDEX(J$1:J709,SUMPRODUCT(MAX(ROW(E$1:E709)*(E710=E$1:E709)))))</f>
        <v> </v>
      </c>
      <c r="L710" s="26"/>
    </row>
    <row r="711" spans="1:12">
      <c r="A711" s="20" t="s">
        <v>302</v>
      </c>
      <c r="B711" s="27" t="s">
        <v>171</v>
      </c>
      <c r="C711" s="27" t="s">
        <v>163</v>
      </c>
      <c r="D711" s="27" t="s">
        <v>146</v>
      </c>
      <c r="E711" s="21">
        <f>IF(D711="?OLD","!!!","")</f>
        <v/>
      </c>
      <c r="F711" s="22" t="str">
        <f>IF(OR(E711="",E711="!!!"),"",IF(NOT(ISNA(VLOOKUP(E711,E$1:E710,1,FALSE()))),"OLD",IF(AND(E711&lt;&gt;"",E711&lt;&gt;"!!!"),"NEW","")))</f>
        <v> </v>
      </c>
      <c r="G711" s="23" t="str">
        <f>IF(OR(E711="",E711="!!!"),"",IF(OR(J711=0,AND(J711=1,K711=1),AND(J711=1,I711="SBJ"),AND(J711=1,I711=0)),"?IN_FOCUS",IF(J711&lt;=2,"?ACTIVATED",IF(J711&lt;&gt;"","?FAMILIAR",IF(F711="NEW",IF(ISNA(VLOOKUP(E711,#REF!,1,FALSE())),"?TYPE_IDENTIFIABLE","?REFERENTIAL"),"_")))))</f>
        <v> </v>
      </c>
      <c r="H711" s="24" t="str">
        <f>IF(J711&lt;&gt;1,"",IF(I711="SBJ","CB","?"))</f>
        <v> </v>
      </c>
      <c r="I711" s="25" t="str">
        <f>IF(OR(E711="",E711="!!!",F711="NEW"),"",INDEX(B710:B$2,-1+SUMPRODUCT(MAX(ROW(E710:E$2)*(E711=E710:E$2)))))</f>
        <v> </v>
      </c>
      <c r="J711" s="25" t="str">
        <f>IF(OR(E711="",E711="!!!",F711="NEW"),"",COUNTBLANK(OFFSET(A$1,,,SUMPRODUCT(MAX(ROW(E$2:E711)*(E711=E$2:E711)))))-COUNTBLANK(OFFSET(A$1,,,SUMPRODUCT(MAX(ROW(E$1:E710)*(E2=E$1:E710))))))</f>
        <v> </v>
      </c>
      <c r="K711" s="25" t="str">
        <f>IF(OR(E711="",E711="!!!",F711="NEW"),"",INDEX(J$1:J710,SUMPRODUCT(MAX(ROW(E$1:E710)*(E711=E$1:E710)))))</f>
        <v> </v>
      </c>
      <c r="L711" s="26"/>
    </row>
    <row r="712" spans="1:12">
      <c r="A712" s="20" t="s">
        <v>435</v>
      </c>
      <c r="E712" s="21">
        <f>IF(D712="?OLD","!!!","")</f>
        <v/>
      </c>
      <c r="F712" s="22" t="str">
        <f>IF(OR(E712="",E712="!!!"),"",IF(NOT(ISNA(VLOOKUP(E712,E$1:E711,1,FALSE()))),"OLD",IF(AND(E712&lt;&gt;"",E712&lt;&gt;"!!!"),"NEW","")))</f>
        <v> </v>
      </c>
      <c r="G712" s="23" t="str">
        <f>IF(OR(E712="",E712="!!!"),"",IF(OR(J712=0,AND(J712=1,K712=1),AND(J712=1,I712="SBJ"),AND(J712=1,I712=0)),"?IN_FOCUS",IF(J712&lt;=2,"?ACTIVATED",IF(J712&lt;&gt;"","?FAMILIAR",IF(F712="NEW",IF(ISNA(VLOOKUP(E712,#REF!,1,FALSE())),"?TYPE_IDENTIFIABLE","?REFERENTIAL"),"_")))))</f>
        <v> </v>
      </c>
      <c r="H712" s="24" t="str">
        <f>IF(J712&lt;&gt;1,"",IF(I712="SBJ","CB","?"))</f>
        <v> </v>
      </c>
      <c r="I712" s="25" t="str">
        <f>IF(OR(E712="",E712="!!!",F712="NEW"),"",INDEX(B711:B$2,-1+SUMPRODUCT(MAX(ROW(E711:E$2)*(E712=E711:E$2)))))</f>
        <v> </v>
      </c>
      <c r="J712" s="25" t="str">
        <f>IF(OR(E712="",E712="!!!",F712="NEW"),"",COUNTBLANK(OFFSET(A$1,,,SUMPRODUCT(MAX(ROW(E$2:E712)*(E712=E$2:E712)))))-COUNTBLANK(OFFSET(A$1,,,SUMPRODUCT(MAX(ROW(E$1:E711)*(E2=E$1:E711))))))</f>
        <v> </v>
      </c>
      <c r="K712" s="25" t="str">
        <f>IF(OR(E712="",E712="!!!",F712="NEW"),"",INDEX(J$1:J711,SUMPRODUCT(MAX(ROW(E$1:E711)*(E712=E$1:E711)))))</f>
        <v> </v>
      </c>
      <c r="L712" s="26"/>
    </row>
    <row r="713" spans="1:12">
      <c r="A713" s="20" t="s">
        <v>436</v>
      </c>
      <c r="B713" s="27" t="s">
        <v>171</v>
      </c>
      <c r="C713" s="27" t="s">
        <v>141</v>
      </c>
      <c r="E713" s="21">
        <f>IF(D713="?OLD","!!!","")</f>
        <v/>
      </c>
      <c r="F713" s="22" t="str">
        <f>IF(OR(E713="",E713="!!!"),"",IF(NOT(ISNA(VLOOKUP(E713,E$1:E712,1,FALSE()))),"OLD",IF(AND(E713&lt;&gt;"",E713&lt;&gt;"!!!"),"NEW","")))</f>
        <v> </v>
      </c>
      <c r="G713" s="23" t="str">
        <f>IF(OR(E713="",E713="!!!"),"",IF(OR(J713=0,AND(J713=1,K713=1),AND(J713=1,I713="SBJ"),AND(J713=1,I713=0)),"?IN_FOCUS",IF(J713&lt;=2,"?ACTIVATED",IF(J713&lt;&gt;"","?FAMILIAR",IF(F713="NEW",IF(ISNA(VLOOKUP(E713,#REF!,1,FALSE())),"?TYPE_IDENTIFIABLE","?REFERENTIAL"),"_")))))</f>
        <v> </v>
      </c>
      <c r="H713" s="24" t="str">
        <f>IF(J713&lt;&gt;1,"",IF(I713="SBJ","CB","?"))</f>
        <v> </v>
      </c>
      <c r="I713" s="25" t="str">
        <f>IF(OR(E713="",E713="!!!",F713="NEW"),"",INDEX(B712:B$2,-1+SUMPRODUCT(MAX(ROW(E712:E$2)*(E713=E712:E$2)))))</f>
        <v> </v>
      </c>
      <c r="J713" s="25" t="str">
        <f>IF(OR(E713="",E713="!!!",F713="NEW"),"",COUNTBLANK(OFFSET(A$1,,,SUMPRODUCT(MAX(ROW(E$2:E713)*(E713=E$2:E713)))))-COUNTBLANK(OFFSET(A$1,,,SUMPRODUCT(MAX(ROW(E$1:E712)*(E2=E$1:E712))))))</f>
        <v> </v>
      </c>
      <c r="K713" s="25" t="str">
        <f>IF(OR(E713="",E713="!!!",F713="NEW"),"",INDEX(J$1:J712,SUMPRODUCT(MAX(ROW(E$1:E712)*(E713=E$1:E712)))))</f>
        <v> </v>
      </c>
      <c r="L713" s="26"/>
    </row>
    <row r="714" spans="1:12">
      <c r="A714" s="20" t="s">
        <v>181</v>
      </c>
      <c r="E714" s="21">
        <f>IF(D714="?OLD","!!!","")</f>
        <v/>
      </c>
      <c r="F714" s="22" t="str">
        <f>IF(OR(E714="",E714="!!!"),"",IF(NOT(ISNA(VLOOKUP(E714,E$1:E713,1,FALSE()))),"OLD",IF(AND(E714&lt;&gt;"",E714&lt;&gt;"!!!"),"NEW","")))</f>
        <v> </v>
      </c>
      <c r="G714" s="23" t="str">
        <f>IF(OR(E714="",E714="!!!"),"",IF(OR(J714=0,AND(J714=1,K714=1),AND(J714=1,I714="SBJ"),AND(J714=1,I714=0)),"?IN_FOCUS",IF(J714&lt;=2,"?ACTIVATED",IF(J714&lt;&gt;"","?FAMILIAR",IF(F714="NEW",IF(ISNA(VLOOKUP(E714,#REF!,1,FALSE())),"?TYPE_IDENTIFIABLE","?REFERENTIAL"),"_")))))</f>
        <v> </v>
      </c>
      <c r="H714" s="24" t="str">
        <f>IF(J714&lt;&gt;1,"",IF(I714="SBJ","CB","?"))</f>
        <v> </v>
      </c>
      <c r="I714" s="25" t="str">
        <f>IF(OR(E714="",E714="!!!",F714="NEW"),"",INDEX(B713:B$2,-1+SUMPRODUCT(MAX(ROW(E713:E$2)*(E714=E713:E$2)))))</f>
        <v> </v>
      </c>
      <c r="J714" s="25" t="str">
        <f>IF(OR(E714="",E714="!!!",F714="NEW"),"",COUNTBLANK(OFFSET(A$1,,,SUMPRODUCT(MAX(ROW(E$2:E714)*(E714=E$2:E714)))))-COUNTBLANK(OFFSET(A$1,,,SUMPRODUCT(MAX(ROW(E$1:E713)*(E2=E$1:E713))))))</f>
        <v> </v>
      </c>
      <c r="K714" s="25" t="str">
        <f>IF(OR(E714="",E714="!!!",F714="NEW"),"",INDEX(J$1:J713,SUMPRODUCT(MAX(ROW(E$1:E713)*(E714=E$1:E713)))))</f>
        <v> </v>
      </c>
      <c r="L714" s="26"/>
    </row>
    <row r="715" spans="1:12">
      <c r="A715" s="20"/>
    </row>
    <row r="716" spans="1:12">
      <c r="A716" s="20" t="s">
        <v>437</v>
      </c>
    </row>
    <row r="717" spans="1:12">
      <c r="A717" s="20" t="s">
        <v>263</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t="s">
        <v>78</v>
      </c>
      <c r="E718" s="21">
        <f>IF(D718="?OLD","!!!","")</f>
        <v/>
      </c>
      <c r="F718" s="22" t="str">
        <f>IF(OR(E718="",E718="!!!"),"",IF(NOT(ISNA(VLOOKUP(E718,E$1:E717,1,FALSE()))),"OLD",IF(AND(E718&lt;&gt;"",E718&lt;&gt;"!!!"),"NEW","")))</f>
        <v> </v>
      </c>
      <c r="G718" s="23" t="str">
        <f>IF(OR(E718="",E718="!!!"),"",IF(OR(J718=0,AND(J718=1,K718=1),AND(J718=1,I718="SBJ"),AND(J718=1,I718=0)),"?IN_FOCUS",IF(J718&lt;=2,"?ACTIVATED",IF(J718&lt;&gt;"","?FAMILIAR",IF(F718="NEW",IF(ISNA(VLOOKUP(E718,#REF!,1,FALSE())),"?TYPE_IDENTIFIABLE","?REFERENTIAL"),"_")))))</f>
        <v> </v>
      </c>
      <c r="H718" s="24" t="str">
        <f>IF(J718&lt;&gt;1,"",IF(I718="SBJ","CB","?"))</f>
        <v> </v>
      </c>
      <c r="I718" s="25" t="str">
        <f>IF(OR(E718="",E718="!!!",F718="NEW"),"",INDEX(B717:B$2,-1+SUMPRODUCT(MAX(ROW(E717:E$2)*(E718=E717:E$2)))))</f>
        <v> </v>
      </c>
      <c r="J718" s="25" t="str">
        <f>IF(OR(E718="",E718="!!!",F718="NEW"),"",COUNTBLANK(OFFSET(A$1,,,SUMPRODUCT(MAX(ROW(E$2:E718)*(E718=E$2:E718)))))-COUNTBLANK(OFFSET(A$1,,,SUMPRODUCT(MAX(ROW(E$1:E717)*(E2=E$1:E717))))))</f>
        <v> </v>
      </c>
      <c r="K718" s="25" t="str">
        <f>IF(OR(E718="",E718="!!!",F718="NEW"),"",INDEX(J$1:J717,SUMPRODUCT(MAX(ROW(E$1:E717)*(E718=E$1:E717)))))</f>
        <v> </v>
      </c>
      <c r="L718" s="26"/>
    </row>
    <row r="719" spans="1:12">
      <c r="A719" s="20" t="s">
        <v>438</v>
      </c>
      <c r="E719" s="21">
        <f>IF(D719="?OLD","!!!","")</f>
        <v/>
      </c>
      <c r="F719" s="22" t="str">
        <f>IF(OR(E719="",E719="!!!"),"",IF(NOT(ISNA(VLOOKUP(E719,E$1:E718,1,FALSE()))),"OLD",IF(AND(E719&lt;&gt;"",E719&lt;&gt;"!!!"),"NEW","")))</f>
        <v> </v>
      </c>
      <c r="G719" s="23" t="str">
        <f>IF(OR(E719="",E719="!!!"),"",IF(OR(J719=0,AND(J719=1,K719=1),AND(J719=1,I719="SBJ"),AND(J719=1,I719=0)),"?IN_FOCUS",IF(J719&lt;=2,"?ACTIVATED",IF(J719&lt;&gt;"","?FAMILIAR",IF(F719="NEW",IF(ISNA(VLOOKUP(E719,#REF!,1,FALSE())),"?TYPE_IDENTIFIABLE","?REFERENTIAL"),"_")))))</f>
        <v> </v>
      </c>
      <c r="H719" s="24" t="str">
        <f>IF(J719&lt;&gt;1,"",IF(I719="SBJ","CB","?"))</f>
        <v> </v>
      </c>
      <c r="I719" s="25" t="str">
        <f>IF(OR(E719="",E719="!!!",F719="NEW"),"",INDEX(B718:B$2,-1+SUMPRODUCT(MAX(ROW(E718:E$2)*(E719=E718:E$2)))))</f>
        <v> </v>
      </c>
      <c r="J719" s="25" t="str">
        <f>IF(OR(E719="",E719="!!!",F719="NEW"),"",COUNTBLANK(OFFSET(A$1,,,SUMPRODUCT(MAX(ROW(E$2:E719)*(E719=E$2:E719)))))-COUNTBLANK(OFFSET(A$1,,,SUMPRODUCT(MAX(ROW(E$1:E718)*(E2=E$1:E718))))))</f>
        <v> </v>
      </c>
      <c r="K719" s="25" t="str">
        <f>IF(OR(E719="",E719="!!!",F719="NEW"),"",INDEX(J$1:J718,SUMPRODUCT(MAX(ROW(E$1:E718)*(E719=E$1:E718)))))</f>
        <v> </v>
      </c>
      <c r="L719" s="26"/>
    </row>
    <row r="720" spans="1:12">
      <c r="A720" s="20" t="s">
        <v>439</v>
      </c>
      <c r="B720" s="27" t="s">
        <v>201</v>
      </c>
      <c r="C720" s="27" t="s">
        <v>151</v>
      </c>
      <c r="E720" s="21">
        <f>IF(D720="?OLD","!!!","")</f>
        <v/>
      </c>
      <c r="F720" s="22" t="str">
        <f>IF(OR(E720="",E720="!!!"),"",IF(NOT(ISNA(VLOOKUP(E720,E$1:E719,1,FALSE()))),"OLD",IF(AND(E720&lt;&gt;"",E720&lt;&gt;"!!!"),"NEW","")))</f>
        <v> </v>
      </c>
      <c r="G720" s="23" t="str">
        <f>IF(OR(E720="",E720="!!!"),"",IF(OR(J720=0,AND(J720=1,K720=1),AND(J720=1,I720="SBJ"),AND(J720=1,I720=0)),"?IN_FOCUS",IF(J720&lt;=2,"?ACTIVATED",IF(J720&lt;&gt;"","?FAMILIAR",IF(F720="NEW",IF(ISNA(VLOOKUP(E720,#REF!,1,FALSE())),"?TYPE_IDENTIFIABLE","?REFERENTIAL"),"_")))))</f>
        <v> </v>
      </c>
      <c r="H720" s="24" t="str">
        <f>IF(J720&lt;&gt;1,"",IF(I720="SBJ","CB","?"))</f>
        <v> </v>
      </c>
      <c r="I720" s="25" t="str">
        <f>IF(OR(E720="",E720="!!!",F720="NEW"),"",INDEX(B719:B$2,-1+SUMPRODUCT(MAX(ROW(E719:E$2)*(E720=E719:E$2)))))</f>
        <v> </v>
      </c>
      <c r="J720" s="25" t="str">
        <f>IF(OR(E720="",E720="!!!",F720="NEW"),"",COUNTBLANK(OFFSET(A$1,,,SUMPRODUCT(MAX(ROW(E$2:E720)*(E720=E$2:E720)))))-COUNTBLANK(OFFSET(A$1,,,SUMPRODUCT(MAX(ROW(E$1:E719)*(E2=E$1:E719))))))</f>
        <v> </v>
      </c>
      <c r="K720" s="25" t="str">
        <f>IF(OR(E720="",E720="!!!",F720="NEW"),"",INDEX(J$1:J719,SUMPRODUCT(MAX(ROW(E$1:E719)*(E720=E$1:E719)))))</f>
        <v> </v>
      </c>
      <c r="L720" s="26"/>
    </row>
    <row r="721" spans="1:12">
      <c r="A721" s="20" t="s">
        <v>367</v>
      </c>
      <c r="E721" s="21">
        <f>IF(D721="?OLD","!!!","")</f>
        <v/>
      </c>
      <c r="F721" s="22" t="str">
        <f>IF(OR(E721="",E721="!!!"),"",IF(NOT(ISNA(VLOOKUP(E721,E$1:E720,1,FALSE()))),"OLD",IF(AND(E721&lt;&gt;"",E721&lt;&gt;"!!!"),"NEW","")))</f>
        <v> </v>
      </c>
      <c r="G721" s="23" t="str">
        <f>IF(OR(E721="",E721="!!!"),"",IF(OR(J721=0,AND(J721=1,K721=1),AND(J721=1,I721="SBJ"),AND(J721=1,I721=0)),"?IN_FOCUS",IF(J721&lt;=2,"?ACTIVATED",IF(J721&lt;&gt;"","?FAMILIAR",IF(F721="NEW",IF(ISNA(VLOOKUP(E721,#REF!,1,FALSE())),"?TYPE_IDENTIFIABLE","?REFERENTIAL"),"_")))))</f>
        <v> </v>
      </c>
      <c r="H721" s="24" t="str">
        <f>IF(J721&lt;&gt;1,"",IF(I721="SBJ","CB","?"))</f>
        <v> </v>
      </c>
      <c r="I721" s="25" t="str">
        <f>IF(OR(E721="",E721="!!!",F721="NEW"),"",INDEX(B720:B$2,-1+SUMPRODUCT(MAX(ROW(E720:E$2)*(E721=E720:E$2)))))</f>
        <v> </v>
      </c>
      <c r="J721" s="25" t="str">
        <f>IF(OR(E721="",E721="!!!",F721="NEW"),"",COUNTBLANK(OFFSET(A$1,,,SUMPRODUCT(MAX(ROW(E$2:E721)*(E721=E$2:E721)))))-COUNTBLANK(OFFSET(A$1,,,SUMPRODUCT(MAX(ROW(E$1:E720)*(E2=E$1:E720))))))</f>
        <v> </v>
      </c>
      <c r="K721" s="25" t="str">
        <f>IF(OR(E721="",E721="!!!",F721="NEW"),"",INDEX(J$1:J720,SUMPRODUCT(MAX(ROW(E$1:E720)*(E721=E$1:E720)))))</f>
        <v> </v>
      </c>
      <c r="L721" s="26"/>
    </row>
    <row r="722" spans="1:12">
      <c r="A722" s="20" t="s">
        <v>440</v>
      </c>
      <c r="E722" s="21">
        <f>IF(D722="?OLD","!!!","")</f>
        <v/>
      </c>
      <c r="F722" s="22" t="str">
        <f>IF(OR(E722="",E722="!!!"),"",IF(NOT(ISNA(VLOOKUP(E722,E$1:E721,1,FALSE()))),"OLD",IF(AND(E722&lt;&gt;"",E722&lt;&gt;"!!!"),"NEW","")))</f>
        <v> </v>
      </c>
      <c r="G722" s="23" t="str">
        <f>IF(OR(E722="",E722="!!!"),"",IF(OR(J722=0,AND(J722=1,K722=1),AND(J722=1,I722="SBJ"),AND(J722=1,I722=0)),"?IN_FOCUS",IF(J722&lt;=2,"?ACTIVATED",IF(J722&lt;&gt;"","?FAMILIAR",IF(F722="NEW",IF(ISNA(VLOOKUP(E722,#REF!,1,FALSE())),"?TYPE_IDENTIFIABLE","?REFERENTIAL"),"_")))))</f>
        <v> </v>
      </c>
      <c r="H722" s="24" t="str">
        <f>IF(J722&lt;&gt;1,"",IF(I722="SBJ","CB","?"))</f>
        <v> </v>
      </c>
      <c r="I722" s="25" t="str">
        <f>IF(OR(E722="",E722="!!!",F722="NEW"),"",INDEX(B721:B$2,-1+SUMPRODUCT(MAX(ROW(E721:E$2)*(E722=E721:E$2)))))</f>
        <v> </v>
      </c>
      <c r="J722" s="25" t="str">
        <f>IF(OR(E722="",E722="!!!",F722="NEW"),"",COUNTBLANK(OFFSET(A$1,,,SUMPRODUCT(MAX(ROW(E$2:E722)*(E722=E$2:E722)))))-COUNTBLANK(OFFSET(A$1,,,SUMPRODUCT(MAX(ROW(E$1:E721)*(E2=E$1:E721))))))</f>
        <v> </v>
      </c>
      <c r="K722" s="25" t="str">
        <f>IF(OR(E722="",E722="!!!",F722="NEW"),"",INDEX(J$1:J721,SUMPRODUCT(MAX(ROW(E$1:E721)*(E722=E$1:E721)))))</f>
        <v> </v>
      </c>
      <c r="L722" s="26"/>
    </row>
    <row r="723" spans="1:12">
      <c r="A723" s="20" t="s">
        <v>436</v>
      </c>
      <c r="B723" s="27" t="s">
        <v>171</v>
      </c>
      <c r="C723" s="27" t="s">
        <v>141</v>
      </c>
      <c r="E723" s="21">
        <f>IF(D723="?OLD","!!!","")</f>
        <v/>
      </c>
      <c r="F723" s="22" t="str">
        <f>IF(OR(E723="",E723="!!!"),"",IF(NOT(ISNA(VLOOKUP(E723,E$1:E722,1,FALSE()))),"OLD",IF(AND(E723&lt;&gt;"",E723&lt;&gt;"!!!"),"NEW","")))</f>
        <v> </v>
      </c>
      <c r="G723" s="23" t="str">
        <f>IF(OR(E723="",E723="!!!"),"",IF(OR(J723=0,AND(J723=1,K723=1),AND(J723=1,I723="SBJ"),AND(J723=1,I723=0)),"?IN_FOCUS",IF(J723&lt;=2,"?ACTIVATED",IF(J723&lt;&gt;"","?FAMILIAR",IF(F723="NEW",IF(ISNA(VLOOKUP(E723,#REF!,1,FALSE())),"?TYPE_IDENTIFIABLE","?REFERENTIAL"),"_")))))</f>
        <v> </v>
      </c>
      <c r="H723" s="24" t="str">
        <f>IF(J723&lt;&gt;1,"",IF(I723="SBJ","CB","?"))</f>
        <v> </v>
      </c>
      <c r="I723" s="25" t="str">
        <f>IF(OR(E723="",E723="!!!",F723="NEW"),"",INDEX(B722:B$2,-1+SUMPRODUCT(MAX(ROW(E722:E$2)*(E723=E722:E$2)))))</f>
        <v> </v>
      </c>
      <c r="J723" s="25" t="str">
        <f>IF(OR(E723="",E723="!!!",F723="NEW"),"",COUNTBLANK(OFFSET(A$1,,,SUMPRODUCT(MAX(ROW(E$2:E723)*(E723=E$2:E723)))))-COUNTBLANK(OFFSET(A$1,,,SUMPRODUCT(MAX(ROW(E$1:E722)*(E2=E$1:E722))))))</f>
        <v> </v>
      </c>
      <c r="K723" s="25" t="str">
        <f>IF(OR(E723="",E723="!!!",F723="NEW"),"",INDEX(J$1:J722,SUMPRODUCT(MAX(ROW(E$1:E722)*(E723=E$1:E722)))))</f>
        <v> </v>
      </c>
      <c r="L723" s="26"/>
    </row>
    <row r="724" spans="1:12">
      <c r="A724" s="20" t="s">
        <v>181</v>
      </c>
      <c r="E724" s="21">
        <f>IF(D724="?OLD","!!!","")</f>
        <v/>
      </c>
      <c r="F724" s="22" t="str">
        <f>IF(OR(E724="",E724="!!!"),"",IF(NOT(ISNA(VLOOKUP(E724,E$1:E723,1,FALSE()))),"OLD",IF(AND(E724&lt;&gt;"",E724&lt;&gt;"!!!"),"NEW","")))</f>
        <v> </v>
      </c>
      <c r="G724" s="23" t="str">
        <f>IF(OR(E724="",E724="!!!"),"",IF(OR(J724=0,AND(J724=1,K724=1),AND(J724=1,I724="SBJ"),AND(J724=1,I724=0)),"?IN_FOCUS",IF(J724&lt;=2,"?ACTIVATED",IF(J724&lt;&gt;"","?FAMILIAR",IF(F724="NEW",IF(ISNA(VLOOKUP(E724,#REF!,1,FALSE())),"?TYPE_IDENTIFIABLE","?REFERENTIAL"),"_")))))</f>
        <v> </v>
      </c>
      <c r="H724" s="24" t="str">
        <f>IF(J724&lt;&gt;1,"",IF(I724="SBJ","CB","?"))</f>
        <v> </v>
      </c>
      <c r="I724" s="25" t="str">
        <f>IF(OR(E724="",E724="!!!",F724="NEW"),"",INDEX(B723:B$2,-1+SUMPRODUCT(MAX(ROW(E723:E$2)*(E724=E723:E$2)))))</f>
        <v> </v>
      </c>
      <c r="J724" s="25" t="str">
        <f>IF(OR(E724="",E724="!!!",F724="NEW"),"",COUNTBLANK(OFFSET(A$1,,,SUMPRODUCT(MAX(ROW(E$2:E724)*(E724=E$2:E724)))))-COUNTBLANK(OFFSET(A$1,,,SUMPRODUCT(MAX(ROW(E$1:E723)*(E2=E$1:E723))))))</f>
        <v> </v>
      </c>
      <c r="K724" s="25" t="str">
        <f>IF(OR(E724="",E724="!!!",F724="NEW"),"",INDEX(J$1:J723,SUMPRODUCT(MAX(ROW(E$1:E723)*(E724=E$1:E723)))))</f>
        <v> </v>
      </c>
      <c r="L724" s="26"/>
    </row>
    <row r="725" spans="1:12">
      <c r="A725" s="20" t="s">
        <v>147</v>
      </c>
      <c r="E725" s="21">
        <f>IF(D725="?OLD","!!!","")</f>
        <v/>
      </c>
      <c r="F725" s="22" t="str">
        <f>IF(OR(E725="",E725="!!!"),"",IF(NOT(ISNA(VLOOKUP(E725,E$1:E724,1,FALSE()))),"OLD",IF(AND(E725&lt;&gt;"",E725&lt;&gt;"!!!"),"NEW","")))</f>
        <v> </v>
      </c>
      <c r="G725" s="23" t="str">
        <f>IF(OR(E725="",E725="!!!"),"",IF(OR(J725=0,AND(J725=1,K725=1),AND(J725=1,I725="SBJ"),AND(J725=1,I725=0)),"?IN_FOCUS",IF(J725&lt;=2,"?ACTIVATED",IF(J725&lt;&gt;"","?FAMILIAR",IF(F725="NEW",IF(ISNA(VLOOKUP(E725,#REF!,1,FALSE())),"?TYPE_IDENTIFIABLE","?REFERENTIAL"),"_")))))</f>
        <v> </v>
      </c>
      <c r="H725" s="24" t="str">
        <f>IF(J725&lt;&gt;1,"",IF(I725="SBJ","CB","?"))</f>
        <v> </v>
      </c>
      <c r="I725" s="25" t="str">
        <f>IF(OR(E725="",E725="!!!",F725="NEW"),"",INDEX(B724:B$2,-1+SUMPRODUCT(MAX(ROW(E724:E$2)*(E725=E724:E$2)))))</f>
        <v> </v>
      </c>
      <c r="J725" s="25" t="str">
        <f>IF(OR(E725="",E725="!!!",F725="NEW"),"",COUNTBLANK(OFFSET(A$1,,,SUMPRODUCT(MAX(ROW(E$2:E725)*(E725=E$2:E725)))))-COUNTBLANK(OFFSET(A$1,,,SUMPRODUCT(MAX(ROW(E$1:E724)*(E2=E$1:E724))))))</f>
        <v> </v>
      </c>
      <c r="K725" s="25" t="str">
        <f>IF(OR(E725="",E725="!!!",F725="NEW"),"",INDEX(J$1:J724,SUMPRODUCT(MAX(ROW(E$1:E724)*(E725=E$1:E724)))))</f>
        <v> </v>
      </c>
      <c r="L725" s="26"/>
    </row>
    <row r="726" spans="1:12">
      <c r="A726" s="20" t="s">
        <v>441</v>
      </c>
      <c r="E726" s="21">
        <f>IF(D726="?OLD","!!!","")</f>
        <v/>
      </c>
      <c r="F726" s="22" t="str">
        <f>IF(OR(E726="",E726="!!!"),"",IF(NOT(ISNA(VLOOKUP(E726,E$1:E725,1,FALSE()))),"OLD",IF(AND(E726&lt;&gt;"",E726&lt;&gt;"!!!"),"NEW","")))</f>
        <v> </v>
      </c>
      <c r="G726" s="23" t="str">
        <f>IF(OR(E726="",E726="!!!"),"",IF(OR(J726=0,AND(J726=1,K726=1),AND(J726=1,I726="SBJ"),AND(J726=1,I726=0)),"?IN_FOCUS",IF(J726&lt;=2,"?ACTIVATED",IF(J726&lt;&gt;"","?FAMILIAR",IF(F726="NEW",IF(ISNA(VLOOKUP(E726,#REF!,1,FALSE())),"?TYPE_IDENTIFIABLE","?REFERENTIAL"),"_")))))</f>
        <v> </v>
      </c>
      <c r="H726" s="24" t="str">
        <f>IF(J726&lt;&gt;1,"",IF(I726="SBJ","CB","?"))</f>
        <v> </v>
      </c>
      <c r="I726" s="25" t="str">
        <f>IF(OR(E726="",E726="!!!",F726="NEW"),"",INDEX(B725:B$2,-1+SUMPRODUCT(MAX(ROW(E725:E$2)*(E726=E725:E$2)))))</f>
        <v> </v>
      </c>
      <c r="J726" s="25" t="str">
        <f>IF(OR(E726="",E726="!!!",F726="NEW"),"",COUNTBLANK(OFFSET(A$1,,,SUMPRODUCT(MAX(ROW(E$2:E726)*(E726=E$2:E726)))))-COUNTBLANK(OFFSET(A$1,,,SUMPRODUCT(MAX(ROW(E$1:E725)*(E2=E$1:E725))))))</f>
        <v> </v>
      </c>
      <c r="K726" s="25" t="str">
        <f>IF(OR(E726="",E726="!!!",F726="NEW"),"",INDEX(J$1:J725,SUMPRODUCT(MAX(ROW(E$1:E725)*(E726=E$1:E725)))))</f>
        <v> </v>
      </c>
      <c r="L726" s="26"/>
    </row>
    <row r="727" spans="1:12">
      <c r="A727" s="20" t="s">
        <v>164</v>
      </c>
      <c r="E727" s="21">
        <f>IF(D727="?OLD","!!!","")</f>
        <v/>
      </c>
      <c r="F727" s="22" t="str">
        <f>IF(OR(E727="",E727="!!!"),"",IF(NOT(ISNA(VLOOKUP(E727,E$1:E726,1,FALSE()))),"OLD",IF(AND(E727&lt;&gt;"",E727&lt;&gt;"!!!"),"NEW","")))</f>
        <v> </v>
      </c>
      <c r="G727" s="23" t="str">
        <f>IF(OR(E727="",E727="!!!"),"",IF(OR(J727=0,AND(J727=1,K727=1),AND(J727=1,I727="SBJ"),AND(J727=1,I727=0)),"?IN_FOCUS",IF(J727&lt;=2,"?ACTIVATED",IF(J727&lt;&gt;"","?FAMILIAR",IF(F727="NEW",IF(ISNA(VLOOKUP(E727,#REF!,1,FALSE())),"?TYPE_IDENTIFIABLE","?REFERENTIAL"),"_")))))</f>
        <v> </v>
      </c>
      <c r="H727" s="24" t="str">
        <f>IF(J727&lt;&gt;1,"",IF(I727="SBJ","CB","?"))</f>
        <v> </v>
      </c>
      <c r="I727" s="25" t="str">
        <f>IF(OR(E727="",E727="!!!",F727="NEW"),"",INDEX(B726:B$2,-1+SUMPRODUCT(MAX(ROW(E726:E$2)*(E727=E726:E$2)))))</f>
        <v> </v>
      </c>
      <c r="J727" s="25" t="str">
        <f>IF(OR(E727="",E727="!!!",F727="NEW"),"",COUNTBLANK(OFFSET(A$1,,,SUMPRODUCT(MAX(ROW(E$2:E727)*(E727=E$2:E727)))))-COUNTBLANK(OFFSET(A$1,,,SUMPRODUCT(MAX(ROW(E$1:E726)*(E2=E$1:E726))))))</f>
        <v> </v>
      </c>
      <c r="K727" s="25" t="str">
        <f>IF(OR(E727="",E727="!!!",F727="NEW"),"",INDEX(J$1:J726,SUMPRODUCT(MAX(ROW(E$1:E726)*(E727=E$1:E726)))))</f>
        <v> </v>
      </c>
      <c r="L727" s="26"/>
    </row>
    <row r="728" spans="1:12">
      <c r="A728"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2026-01-26T16:52:17Z</dcterms:created>
  <dcterms:modified xsi:type="dcterms:W3CDTF">2026-01-26T16:52:17Z</dcterms:modified>
</cp:coreProperties>
</file>