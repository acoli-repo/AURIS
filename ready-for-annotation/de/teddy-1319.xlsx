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<sst xmlns="http://schemas.openxmlformats.org/spreadsheetml/2006/main" count="13785" uniqueCount="2955">
  <si>
    <t>ID</t>
  </si>
  <si>
    <t>PRED_ID</t>
  </si>
  <si>
    <t>MARKER_AUTO</t>
  </si>
  <si>
    <t>PREDICATE</t>
  </si>
  <si>
    <t>TEXT</t>
  </si>
  <si>
    <t>SENTENCE</t>
  </si>
  <si>
    <t>MARKER</t>
  </si>
  <si>
    <t>TARGET</t>
  </si>
  <si>
    <t>RELATION</t>
  </si>
  <si>
    <t>COMMENT</t>
  </si>
  <si>
    <t>1</t>
  </si>
  <si>
    <t>_</t>
  </si>
  <si>
    <t>Chris</t>
  </si>
  <si>
    <t>Chris Anderson : Bürgerrechte , die Zukunft des Internet .</t>
  </si>
  <si>
    <t>file://conllu/de/teddy-1319.conllu#s1_0</t>
  </si>
  <si>
    <t>2</t>
  </si>
  <si>
    <t>13</t>
  </si>
  <si>
    <t>begrüßen</t>
  </si>
  <si>
    <t>Ich möchte auf der Bühne von TED den Mann hinter diesen Enthüllungen begrüßen : Ed Snowden .</t>
  </si>
  <si>
    <t>file://conllu/de/teddy-1319.conllu#s2_0</t>
  </si>
  <si>
    <t>3</t>
  </si>
  <si>
    <t>5</t>
  </si>
  <si>
    <t>halten</t>
  </si>
  <si>
    <t>( Applaus ) Ed hält sich an einem entfernten Ort in Russland auf .</t>
  </si>
  <si>
    <t>file://conllu/de/teddy-1319.conllu#s3_0</t>
  </si>
  <si>
    <t>4</t>
  </si>
  <si>
    <t>steuern</t>
  </si>
  <si>
    <t>Er steuert diesen Roboter von seinem Laptop aus .</t>
  </si>
  <si>
    <t>file://conllu/de/teddy-1319.conllu#s4_0</t>
  </si>
  <si>
    <t>7</t>
  </si>
  <si>
    <t>Was?</t>
  </si>
  <si>
    <t>sehen (sehen sehen)</t>
  </si>
  <si>
    <t>Er sieht , was der Bot sieht .</t>
  </si>
  <si>
    <t>file://conllu/de/teddy-1319.conllu#s5_0</t>
  </si>
  <si>
    <t>6</t>
  </si>
  <si>
    <t>willkommen</t>
  </si>
  <si>
    <t>Ed , willkommen bei TED !</t>
  </si>
  <si>
    <t>file://conllu/de/teddy-1319.conllu#s6_0</t>
  </si>
  <si>
    <t>sehen</t>
  </si>
  <si>
    <t>Was kannst du eigentlich wirklich sehen ?</t>
  </si>
  <si>
    <t>file://conllu/de/teddy-1319.conllu#s7_0</t>
  </si>
  <si>
    <t>8</t>
  </si>
  <si>
    <t>Edward</t>
  </si>
  <si>
    <t>Edward Snowden :</t>
  </si>
  <si>
    <t>file://conllu/de/teddy-1319.conllu#s8_0</t>
  </si>
  <si>
    <t>9</t>
  </si>
  <si>
    <t>Ich kann alle sehen .</t>
  </si>
  <si>
    <t>file://conllu/de/teddy-1319.conllu#s9_0</t>
  </si>
  <si>
    <t>10</t>
  </si>
  <si>
    <t>sein (sein fantastisch)</t>
  </si>
  <si>
    <t>Es ist fantastisch .</t>
  </si>
  <si>
    <t>file://conllu/de/teddy-1319.conllu#s10_0</t>
  </si>
  <si>
    <t>11</t>
  </si>
  <si>
    <t>Lachen</t>
  </si>
  <si>
    <t>( Lachen im in dem Publikum ) CA : Ed , ich habe ein paar Fragen an dich .</t>
  </si>
  <si>
    <t>file://conllu/de/teddy-1319.conllu#s11_0</t>
  </si>
  <si>
    <t>12</t>
  </si>
  <si>
    <t>du</t>
  </si>
  <si>
    <t>Man hat dich vieles genannt in den letzten Monaten : einen Whistleblower , einen Verräter , einen Helden .</t>
  </si>
  <si>
    <t>file://conllu/de/teddy-1319.conllu#s12_0</t>
  </si>
  <si>
    <t>beschreiben</t>
  </si>
  <si>
    <t>In welchen Worten würdest du dich beschreiben ?</t>
  </si>
  <si>
    <t>file://conllu/de/teddy-1319.conllu#s13_0</t>
  </si>
  <si>
    <t>14</t>
  </si>
  <si>
    <t>19</t>
  </si>
  <si>
    <t>beschäftigen</t>
  </si>
  <si>
    <t>ES : Jeder , der an dieser Debatte beteiligt ist , hat sich mit mir und meiner Persönlichkeit beschäftigt und damit , wie man mich beschreiben sollte .</t>
  </si>
  <si>
    <t>file://conllu/de/teddy-1319.conllu#s14_0</t>
  </si>
  <si>
    <t>15</t>
  </si>
  <si>
    <t>nachdenk</t>
  </si>
  <si>
    <t>Aber , wenn ich darüber nachdenke : Das ist nicht die Frage , mit der wir ringen sollten .</t>
  </si>
  <si>
    <t>file://conllu/de/teddy-1319.conllu#s15_0</t>
  </si>
  <si>
    <t>16</t>
  </si>
  <si>
    <t>spielen</t>
  </si>
  <si>
    <t>Wer ich bin , spielt keine Rolle .</t>
  </si>
  <si>
    <t>file://conllu/de/teddy-1319.conllu#s16_0</t>
  </si>
  <si>
    <t>17</t>
  </si>
  <si>
    <t>hassen</t>
  </si>
  <si>
    <t>Wenn ich der schlimmste Mensch der Welt bin , kann man mich hassen und zur zu der Tagesordnung übergehen .</t>
  </si>
  <si>
    <t>file://conllu/de/teddy-1319.conllu#s17_0</t>
  </si>
  <si>
    <t>18</t>
  </si>
  <si>
    <t>sein (sein Sachfrage)</t>
  </si>
  <si>
    <t>Was zählt , sind die Sachfragen .</t>
  </si>
  <si>
    <t>file://conllu/de/teddy-1319.conllu#s18_0</t>
  </si>
  <si>
    <t>zählen</t>
  </si>
  <si>
    <t>Was zählt , ist die Art von Regierung , die wir wollen , die Art von Internet , die wir wollen , die Art von Beziehung zwischen Menschen und Gesellschaften .</t>
  </si>
  <si>
    <t>file://conllu/de/teddy-1319.conllu#s19_0</t>
  </si>
  <si>
    <t>20</t>
  </si>
  <si>
    <t>sein (sein Richtung)</t>
  </si>
  <si>
    <t>Das ist die Richtung , die ich mir für diese Diskussion erhoffe .</t>
  </si>
  <si>
    <t>file://conllu/de/teddy-1319.conllu#s20_0</t>
  </si>
  <si>
    <t>21</t>
  </si>
  <si>
    <t>Wir haben gesehen , dass dies zunehmend der Fall ist .</t>
  </si>
  <si>
    <t>file://conllu/de/teddy-1319.conllu#s21_0</t>
  </si>
  <si>
    <t>22</t>
  </si>
  <si>
    <t>23</t>
  </si>
  <si>
    <t>sagen</t>
  </si>
  <si>
    <t>Wenn ich mich beschreiben müsste , würde ich keine Wörter wie &amp;quot; Held &amp;quot; benutzen , Ich würde nicht &amp;quot; Patriot &amp;quot; sagen oder &amp;quot; Verräter &amp;quot; .</t>
  </si>
  <si>
    <t>file://conllu/de/teddy-1319.conllu#s22_0</t>
  </si>
  <si>
    <t>Ich würde sagen , ich bin Amerikaner und ein Bürger , so wie jeder andere auch .</t>
  </si>
  <si>
    <t>file://conllu/de/teddy-1319.conllu#s23_0</t>
  </si>
  <si>
    <t>24</t>
  </si>
  <si>
    <t>liefern</t>
  </si>
  <si>
    <t>CA : Um jenen etwas Kontext zu liefern , die nicht mit der ganzen Geschichte vertraut sind :</t>
  </si>
  <si>
    <t>file://conllu/de/teddy-1319.conllu#s24_0</t>
  </si>
  <si>
    <t>25</t>
  </si>
  <si>
    <t>warsen</t>
  </si>
  <si>
    <t>Vor einem Jahr warst du noch in Hawaii und hast im in dem Auftrag der NSA gearbeitet .</t>
  </si>
  <si>
    <t>file://conllu/de/teddy-1319.conllu#s25_0</t>
  </si>
  <si>
    <t>26</t>
  </si>
  <si>
    <t>hattesen</t>
  </si>
  <si>
    <t>Als Systemadministrator hattest du Zugang zu ihren Systemen .</t>
  </si>
  <si>
    <t>file://conllu/de/teddy-1319.conllu#s26_0</t>
  </si>
  <si>
    <t>27</t>
  </si>
  <si>
    <t>übergeben</t>
  </si>
  <si>
    <t>Du hast angefangen , vertrauliche Dokumente ausgewählten Journalisten zu übergeben .</t>
  </si>
  <si>
    <t>file://conllu/de/teddy-1319.conllu#s27_0</t>
  </si>
  <si>
    <t>28</t>
  </si>
  <si>
    <t>führen</t>
  </si>
  <si>
    <t>Das hat dann zu den Enthüllungen im in dem Juni geführt .</t>
  </si>
  <si>
    <t>file://conllu/de/teddy-1319.conllu#s28_0</t>
  </si>
  <si>
    <t>29</t>
  </si>
  <si>
    <t>veranlassen</t>
  </si>
  <si>
    <t>Was hat dich dazu veranlasst ?</t>
  </si>
  <si>
    <t>file://conllu/de/teddy-1319.conllu#s29_0</t>
  </si>
  <si>
    <t>30</t>
  </si>
  <si>
    <t>weißen|wissen</t>
  </si>
  <si>
    <t>ES : Weißt du , als ich auf Hawaii saß , und in den Jahren davor , als ich für die Nachrichtendienste arbeitete , sah ich viele Dinge , die mich beunruhigten .</t>
  </si>
  <si>
    <t>file://conllu/de/teddy-1319.conllu#s30_0</t>
  </si>
  <si>
    <t>31</t>
  </si>
  <si>
    <t>tun</t>
  </si>
  <si>
    <t>Wir tun viel Gutes in den Nachrichtendiensten , Dinge , die getan werden müssen , Dinge , die allen helfen .</t>
  </si>
  <si>
    <t>file://conllu/de/teddy-1319.conllu#s31_0</t>
  </si>
  <si>
    <t>32</t>
  </si>
  <si>
    <t>geben</t>
  </si>
  <si>
    <t>Aber es gibt auch Dinge , die zu weit gehen .</t>
  </si>
  <si>
    <t>file://conllu/de/teddy-1319.conllu#s32_0</t>
  </si>
  <si>
    <t>33</t>
  </si>
  <si>
    <t>sein (sein Entscheidung)</t>
  </si>
  <si>
    <t>Da sind Dinge , die man nicht tun sollte , und Entscheidungen , die im in dem Geheimen getroffen wurden , von denen die Öffentlichkeit nichts wusste , ohne Zustimmung der Öffentlichkeit , und sogar unsere Regierungsvertreter wussten nichts von diesen Programmen .</t>
  </si>
  <si>
    <t>file://conllu/de/teddy-1319.conllu#s33_0</t>
  </si>
  <si>
    <t>34</t>
  </si>
  <si>
    <t>fragen</t>
  </si>
  <si>
    <t>Als ich anfing , mich an diesen Problemen zu stoßen , habe ich mich gefragt : Wie kann ich diese Sache so verantwortungsbewusst wie möglich angehen , damit die Öffentlichkeit den maximalen Nutzen zieht , aber die Risiken minimal bleiben ?</t>
  </si>
  <si>
    <t>file://conllu/de/teddy-1319.conllu#s34_0</t>
  </si>
  <si>
    <t>35</t>
  </si>
  <si>
    <t>wend</t>
  </si>
  <si>
    <t>Bei allen Lösungen , die mir einfielen , außer &amp;quot; Ich wende mich an den Kongress &amp;quot; , wenn es keine Gesetze gab , wenn es keinen rechtlichen Schutz gab für eine angestellte Privatperson , für einen Subunternehmer im in dem Nachrichtendienst wie mich , bestand das Risiko , dass man mich mit der Information begraben würde , ohne dass die Öffentlichkeit davon je erführe .</t>
  </si>
  <si>
    <t>file://conllu/de/teddy-1319.conllu#s35_0</t>
  </si>
  <si>
    <t>36</t>
  </si>
  <si>
    <t>garantieren</t>
  </si>
  <si>
    <t>Aber der erste Zusatzartikel der amerikanischen Verfassung garantiert uns die Pressefreiheit aus gutem Grund , nämlich um eine Presse zu ermöglichen , die unbequem ist , die die Regierung herausfordert , aber auch mit der Regierung arbeitet , um Dialog und Debatte zu ermöglichen , wie wir die Öffentlichkeit über entscheidende Fragen informieren können , ohne die nationale Sicherheit zu gefährden .</t>
  </si>
  <si>
    <t>file://conllu/de/teddy-1319.conllu#s36_0</t>
  </si>
  <si>
    <t>37</t>
  </si>
  <si>
    <t>Debatte</t>
  </si>
  <si>
    <t>Indem ich mit Journalisten gearbeitet habe , indem ich all meine Informationen dem amerikanischen Volk zurückgegeben habe , statt nur auf mich selbst zu vertrauen bei Entscheidungen über die Veröffentlichung , hatten wir eine handfeste Debatte , an der sich die Regierung intensiv beteiligt und die allen einen Nutzen gebracht hat .</t>
  </si>
  <si>
    <t>file://conllu/de/teddy-1319.conllu#s37_0</t>
  </si>
  <si>
    <t>38</t>
  </si>
  <si>
    <t>materialisieren</t>
  </si>
  <si>
    <t>Die Risiken , mit denen gedroht wurde , die Risiken , die von der Regierung hochgespielt wurden , haben sich nie materialisiert .</t>
  </si>
  <si>
    <t>file://conllu/de/teddy-1319.conllu#s38_0</t>
  </si>
  <si>
    <t>39</t>
  </si>
  <si>
    <t>Und deshalb?</t>
  </si>
  <si>
    <t>haben</t>
  </si>
  <si>
    <t>Wir haben keinerlei Hinweis , dass auch nur ein Schaden entstanden wäre , und deshalb kann ich mit meinen Entscheidungen gut leben .</t>
  </si>
  <si>
    <t>file://conllu/de/teddy-1319.conllu#s39_0</t>
  </si>
  <si>
    <t>40</t>
  </si>
  <si>
    <t>CA : Lass mich dem Publikum ein paar Beispiele für deine Enthüllungen geben .</t>
  </si>
  <si>
    <t>file://conllu/de/teddy-1319.conllu#s40_0</t>
  </si>
  <si>
    <t>41</t>
  </si>
  <si>
    <t>Können wir jetzt bitte das Schaubild haben ?</t>
  </si>
  <si>
    <t>file://conllu/de/teddy-1319.conllu#s41_0</t>
  </si>
  <si>
    <t>42</t>
  </si>
  <si>
    <t>sein (sein da)</t>
  </si>
  <si>
    <t>Ed , ich weiß nicht , ob du dies sehen kannst : Die Bilder der Präsentation sind da .</t>
  </si>
  <si>
    <t>file://conllu/de/teddy-1319.conllu#s42_0</t>
  </si>
  <si>
    <t>43</t>
  </si>
  <si>
    <t>zeigen</t>
  </si>
  <si>
    <t>Diese Grafik zeigt das Programm PRISM .</t>
  </si>
  <si>
    <t>file://conllu/de/teddy-1319.conllu#s43_0</t>
  </si>
  <si>
    <t>44</t>
  </si>
  <si>
    <t>erläutern</t>
  </si>
  <si>
    <t>Kannst du dem Publikum erläutern , was darüber bekannt wurde ?</t>
  </si>
  <si>
    <t>file://conllu/de/teddy-1319.conllu#s44_0</t>
  </si>
  <si>
    <t>45</t>
  </si>
  <si>
    <t>es</t>
  </si>
  <si>
    <t>ES : Um zu verstehen , was PRISM ist , denn da war man geteilter Ansicht sollte man erst klären , was es nicht ist .</t>
  </si>
  <si>
    <t>file://conllu/de/teddy-1319.conllu#s45_0</t>
  </si>
  <si>
    <t>46</t>
  </si>
  <si>
    <t>beziehen</t>
  </si>
  <si>
    <t>Ein großer Teil der Debatte in den USA bezog sich auf Metadaten .</t>
  </si>
  <si>
    <t>file://conllu/de/teddy-1319.conllu#s46_0</t>
  </si>
  <si>
    <t>47</t>
  </si>
  <si>
    <t>Sie sagten , es seien nur Metadaten .</t>
  </si>
  <si>
    <t>file://conllu/de/teddy-1319.conllu#s47_0</t>
  </si>
  <si>
    <t>48</t>
  </si>
  <si>
    <t>Sie beziehen sich dabei auf eine rechtliche Grundlage : den Abschnitt 215 des Patriot Act .</t>
  </si>
  <si>
    <t>file://conllu/de/teddy-1319.conllu#s48_0</t>
  </si>
  <si>
    <t>49</t>
  </si>
  <si>
    <t>erlaubt</t>
  </si>
  <si>
    <t>Er erlaubt eine Art Abhören ohne richterlichen Beschluss , eine Massenüberwachung der Verbindungsdaten des ganzen Landes , solche Dinge ... Mit wem du sprichst , wann du mit jemandem sprichst , wohin du gereist bist .</t>
  </si>
  <si>
    <t>file://conllu/de/teddy-1319.conllu#s49_0</t>
  </si>
  <si>
    <t>50</t>
  </si>
  <si>
    <t>sein (sein Ereignis)</t>
  </si>
  <si>
    <t>All das sind Metadaten Ereignisse .</t>
  </si>
  <si>
    <t>file://conllu/de/teddy-1319.conllu#s50_0</t>
  </si>
  <si>
    <t>51</t>
  </si>
  <si>
    <t>gehen</t>
  </si>
  <si>
    <t>Bei PRISM geht es um Inhalt .</t>
  </si>
  <si>
    <t>file://conllu/de/teddy-1319.conllu#s51_0</t>
  </si>
  <si>
    <t>52</t>
  </si>
  <si>
    <t>sein (sein Programm)</t>
  </si>
  <si>
    <t>Es ist ein Programm , mit dem die Regierung die Unternehmen Amerikas zwingen kann , an ihrer Stelle und in ihrem Namen die Dreckarbeit für die NSA zu übernehmen .</t>
  </si>
  <si>
    <t>file://conllu/de/teddy-1319.conllu#s52_0</t>
  </si>
  <si>
    <t>53</t>
  </si>
  <si>
    <t>denken</t>
  </si>
  <si>
    <t>Obwohl sich einige Unternehmen gewehrt haben und obwohl einige ich denke , Yahoo war eines von ihnen vor Gericht zogen , haben alle verloren , weil die Fälle nie öffentlich verhandelt wurden .</t>
  </si>
  <si>
    <t>file://conllu/de/teddy-1319.conllu#s53_0</t>
  </si>
  <si>
    <t>54</t>
  </si>
  <si>
    <t>entscheiden</t>
  </si>
  <si>
    <t>Über sie entschied ein geheimes Gericht .</t>
  </si>
  <si>
    <t>file://conllu/de/teddy-1319.conllu#s54_0</t>
  </si>
  <si>
    <t>55</t>
  </si>
  <si>
    <t>feststellen</t>
  </si>
  <si>
    <t>Wir haben im in dem Zusammenhang mit Prism etwas festgestellt , das ich besorgniserregend finde :</t>
  </si>
  <si>
    <t>file://conllu/de/teddy-1319.conllu#s55_0</t>
  </si>
  <si>
    <t>56</t>
  </si>
  <si>
    <t>Es gab Gespräche in der US Regierung , in denen gesagt wurde , 15 Bundesrichter hätten diese Programme begutachtet und als gesetzmäßig befunden .</t>
  </si>
  <si>
    <t>file://conllu/de/teddy-1319.conllu#s56_0</t>
  </si>
  <si>
    <t>57</t>
  </si>
  <si>
    <t>verraten</t>
  </si>
  <si>
    <t>Aber sie verraten nicht , dass dies geheime Richter sind in einem geheimen Gericht , das auf der Grundlage vertraulicher Rechtsauslegungen über 34.000 Überwachungsanträge entschieden hat im in dem Lauf von 33 Jahren und in 33 Jahren nur elf Anträge der Regierung abgelehnt hat .</t>
  </si>
  <si>
    <t>file://conllu/de/teddy-1319.conllu#s57_0</t>
  </si>
  <si>
    <t>58</t>
  </si>
  <si>
    <t>sein (sein Leute)</t>
  </si>
  <si>
    <t>Dies sind nicht die Leute , die wir als Entscheider wollen , wenn es um die Rolle amerikanischer Konzerne in einem freien und offenen Internet geht .</t>
  </si>
  <si>
    <t>file://conllu/de/teddy-1319.conllu#s58_0</t>
  </si>
  <si>
    <t>59</t>
  </si>
  <si>
    <t>listen</t>
  </si>
  <si>
    <t>CA : Die Grafik , die wir hier zeigen , listet die Daten auf , wann diverse Technologie und Internetunternehmen sich dem Programm mutmaßlich anschlossen und wann die Sammlung von Daten bei ihnen begann .</t>
  </si>
  <si>
    <t>file://conllu/de/teddy-1319.conllu#s59_0</t>
  </si>
  <si>
    <t>60</t>
  </si>
  <si>
    <t>bestreiten</t>
  </si>
  <si>
    <t>Sie haben die Kooperation mit der NSA bestritten .</t>
  </si>
  <si>
    <t>file://conllu/de/teddy-1319.conllu#s60_0</t>
  </si>
  <si>
    <t>61</t>
  </si>
  <si>
    <t>sammeln</t>
  </si>
  <si>
    <t>Wie hat die NSA diese Daten gesammelt ?</t>
  </si>
  <si>
    <t>file://conllu/de/teddy-1319.conllu#s61_0</t>
  </si>
  <si>
    <t>62</t>
  </si>
  <si>
    <t>ES : Die eigenen Präsentationen der NSA bezeichnen das als direkten Zugang .</t>
  </si>
  <si>
    <t>file://conllu/de/teddy-1319.conllu#s62_0</t>
  </si>
  <si>
    <t>63</t>
  </si>
  <si>
    <t>bedeuten</t>
  </si>
  <si>
    <t>Für einen tatsächlichen NSA Analysten , jemanden wie mich , der in Hawaii als Analyst für den Geheimdienst chinesische Cyber Hacker oder ähnliches im in dem Visier hatte , bedeutet das , dass die Daten direkt von ihren Servern kommen .</t>
  </si>
  <si>
    <t>file://conllu/de/teddy-1319.conllu#s63_0</t>
  </si>
  <si>
    <t>64</t>
  </si>
  <si>
    <t>heißen</t>
  </si>
  <si>
    <t>Das heißt nicht , dass eine Gruppe von Mitarbeitern des Unternehmens mit der NSA in einem verrauchten Raum sitzt , sich langweilt und im in dem Hinterzimmer aushandelt , wie sie dieses Zeug weitergeben werden .</t>
  </si>
  <si>
    <t>file://conllu/de/teddy-1319.conllu#s64_0</t>
  </si>
  <si>
    <t>65</t>
  </si>
  <si>
    <t>handhabt</t>
  </si>
  <si>
    <t>Jedes Unternehmen handhabt das anders .</t>
  </si>
  <si>
    <t>file://conllu/de/teddy-1319.conllu#s65_0</t>
  </si>
  <si>
    <t>66</t>
  </si>
  <si>
    <t>sein (sein verantwortungsbewussen)</t>
  </si>
  <si>
    <t>Manche sind verantwortungsbewusst .</t>
  </si>
  <si>
    <t>file://conllu/de/teddy-1319.conllu#s66_0</t>
  </si>
  <si>
    <t>67</t>
  </si>
  <si>
    <t>Manche sind etwas weniger verantwortungsbewusst .</t>
  </si>
  <si>
    <t>file://conllu/de/teddy-1319.conllu#s67_0</t>
  </si>
  <si>
    <t>68</t>
  </si>
  <si>
    <t>Unterm</t>
  </si>
  <si>
    <t>Unterm Strich aber , wenn wir davon sprechen , wie diese Informationen übergeben werden :</t>
  </si>
  <si>
    <t>file://conllu/de/teddy-1319.conllu#s68_0</t>
  </si>
  <si>
    <t>69</t>
  </si>
  <si>
    <t>kommen</t>
  </si>
  <si>
    <t>Sie kommen von den Unternehmen selbst .</t>
  </si>
  <si>
    <t>file://conllu/de/teddy-1319.conllu#s69_0</t>
  </si>
  <si>
    <t>70</t>
  </si>
  <si>
    <t>stehlen</t>
  </si>
  <si>
    <t>Sie werden nicht aus Leitungen gestohlen .</t>
  </si>
  <si>
    <t>file://conllu/de/teddy-1319.conllu#s70_0</t>
  </si>
  <si>
    <t>71</t>
  </si>
  <si>
    <t>vergessen</t>
  </si>
  <si>
    <t>Man darf einen wichtigen Punkt nicht vergessen :</t>
  </si>
  <si>
    <t>file://conllu/de/teddy-1319.conllu#s71_0</t>
  </si>
  <si>
    <t>72</t>
  </si>
  <si>
    <t>wehrn</t>
  </si>
  <si>
    <t>Obwohl die Unternehmen sich wehrten , obwohl die Unternehmen forderten : &amp;quot; Lasst uns das mit einem Genehmigungsverfahren machen .</t>
  </si>
  <si>
    <t>file://conllu/de/teddy-1319.conllu#s72_0</t>
  </si>
  <si>
    <t>73</t>
  </si>
  <si>
    <t>machen</t>
  </si>
  <si>
    <t>Lasst uns das so machen , dass wir eine Art rechtlicher Prüfung haben , eine Art Grundlage für die Herausgabe von Anwenderdaten haben . &amp;quot;</t>
  </si>
  <si>
    <t>file://conllu/de/teddy-1319.conllu#s73_0</t>
  </si>
  <si>
    <t>74</t>
  </si>
  <si>
    <t>bringen</t>
  </si>
  <si>
    <t>Letztes Jahr brachte die Washington Post Berichte , die weniger Medienecho hatten als der Bericht über Prism , in denen es hieß , die NSA sei in die interne Kommunikation zwischen Google Datenzentren und Yahoo Datenzentren eingedrungen .</t>
  </si>
  <si>
    <t>file://conllu/de/teddy-1319.conllu#s74_0</t>
  </si>
  <si>
    <t>75</t>
  </si>
  <si>
    <t>Also selbst bei Unternehmen , die unter gewissem Zwang , aber auf hoffentlich legale Weise mit der NSA kooperieren , gibt sich die NSA damit nicht zufrieden .</t>
  </si>
  <si>
    <t>file://conllu/de/teddy-1319.conllu#s75_0</t>
  </si>
  <si>
    <t>76</t>
  </si>
  <si>
    <t>brauchen</t>
  </si>
  <si>
    <t>Deshalb brauchen wir Unternehmen , die sich intensiv engagieren , um zu garantieren , dass sie die Interessen der Nutzer vertreten werden und sich für die Rechte der Nutzer einsetzen .</t>
  </si>
  <si>
    <t>file://conllu/de/teddy-1319.conllu#s76_0</t>
  </si>
  <si>
    <t>78</t>
  </si>
  <si>
    <t>ermutigen</t>
  </si>
  <si>
    <t>Ich ermutige sie , weiterzumachen .</t>
  </si>
  <si>
    <t>file://conllu/de/teddy-1319.conllu#s78_0</t>
  </si>
  <si>
    <t>79</t>
  </si>
  <si>
    <t>CA : Was sollten sie denn noch tun ?</t>
  </si>
  <si>
    <t>file://conllu/de/teddy-1319.conllu#s79_0</t>
  </si>
  <si>
    <t>80</t>
  </si>
  <si>
    <t>ziehen</t>
  </si>
  <si>
    <t>ES : Das Größte , was ein Internetunternehmen in Amerika jetzt und heute tun kann , ohne Anwälte zu Rate zu ziehen , um die Rechte ihrer Nutzer weltweit zu schützen , ist das Ermöglichen von SSL Netzverschlüsselung auf jeder Seite , die man besucht .</t>
  </si>
  <si>
    <t>file://conllu/de/teddy-1319.conllu#s80_0</t>
  </si>
  <si>
    <t>81</t>
  </si>
  <si>
    <t>sein (sein wichtig)</t>
  </si>
  <si>
    <t>Der Grund , weshalb das wichtig ist : Wenn du dir heute auf Amazon.com eine Ausgabe von &amp;quot; 1984 &amp;quot; ansiehst , kann die NSA das in einem Protokoll sehen .</t>
  </si>
  <si>
    <t>file://conllu/de/teddy-1319.conllu#s81_0</t>
  </si>
  <si>
    <t>82</t>
  </si>
  <si>
    <t>Der russische Geheimdienst kann das in einem Protokoll sehen .</t>
  </si>
  <si>
    <t>file://conllu/de/teddy-1319.conllu#s82_0</t>
  </si>
  <si>
    <t>83</t>
  </si>
  <si>
    <t>Geheimdienst</t>
  </si>
  <si>
    <t>Der chinesische Geheimdienst , der französische , der deutsche und der Geheimdienst von Andorra .</t>
  </si>
  <si>
    <t>file://conllu/de/teddy-1319.conllu#s83_0</t>
  </si>
  <si>
    <t>84</t>
  </si>
  <si>
    <t>Sie alle können das sehen , weil es nicht verschlüsselt ist .</t>
  </si>
  <si>
    <t>file://conllu/de/teddy-1319.conllu#s84_0</t>
  </si>
  <si>
    <t>85</t>
  </si>
  <si>
    <t>sein (sein Bibliothek)</t>
  </si>
  <si>
    <t>Amazon.com ist die Bibliothek der Welt .</t>
  </si>
  <si>
    <t>file://conllu/de/teddy-1319.conllu#s85_0</t>
  </si>
  <si>
    <t>86</t>
  </si>
  <si>
    <t>verzichten</t>
  </si>
  <si>
    <t>Aber es verzichtet nicht nur auf Verschlüsselung als generellen Standard , man kann auch Verschlüsselung nicht wählen , wenn man in den Büchern stöbert .</t>
  </si>
  <si>
    <t>file://conllu/de/teddy-1319.conllu#s86_0</t>
  </si>
  <si>
    <t>87</t>
  </si>
  <si>
    <t>sein (sein etwas)</t>
  </si>
  <si>
    <t>Das ist etwas , das wir ändern müssen , nicht nur bei Amazon .</t>
  </si>
  <si>
    <t>file://conllu/de/teddy-1319.conllu#s87_0</t>
  </si>
  <si>
    <t>88</t>
  </si>
  <si>
    <t>herausgreifen</t>
  </si>
  <si>
    <t>Ich möchte die Seite nicht herausgreifen , aber sie ist ein großartiges Beispiel .</t>
  </si>
  <si>
    <t>file://conllu/de/teddy-1319.conllu#s88_0</t>
  </si>
  <si>
    <t>89</t>
  </si>
  <si>
    <t>übergehen</t>
  </si>
  <si>
    <t>Alle Unternehmen müssen zum zu dem gewohnheitsmäßig verschlüsselten Surfen als Standard übergehen für alle Nutzer , die nicht selbst Maßnahmen ergriffen oder eine eigene Methode gewählt haben .</t>
  </si>
  <si>
    <t>file://conllu/de/teddy-1319.conllu#s89_0</t>
  </si>
  <si>
    <t>90</t>
  </si>
  <si>
    <t>stärken</t>
  </si>
  <si>
    <t>Das stärkt die Privatsphäre und die Rechte , die Menschen weltweit genießen .</t>
  </si>
  <si>
    <t>file://conllu/de/teddy-1319.conllu#s90_0</t>
  </si>
  <si>
    <t>91</t>
  </si>
  <si>
    <t>Komm</t>
  </si>
  <si>
    <t>CA : Komm mit mir auf diese Seite der Bühne .</t>
  </si>
  <si>
    <t>file://conllu/de/teddy-1319.conllu#s91_0</t>
  </si>
  <si>
    <t>92</t>
  </si>
  <si>
    <t>Ich möchte dir das nächste Bild zeigen .</t>
  </si>
  <si>
    <t>file://conllu/de/teddy-1319.conllu#s92_0</t>
  </si>
  <si>
    <t>93</t>
  </si>
  <si>
    <t>Dieses Programm heißt &amp;quot; Boundless Informant &amp;quot; .</t>
  </si>
  <si>
    <t>file://conllu/de/teddy-1319.conllu#s93_0</t>
  </si>
  <si>
    <t>94</t>
  </si>
  <si>
    <t>sein</t>
  </si>
  <si>
    <t>Was ist das ?</t>
  </si>
  <si>
    <t>file://conllu/de/teddy-1319.conllu#s94_0</t>
  </si>
  <si>
    <t>95</t>
  </si>
  <si>
    <t>ES : Ich muss der NSA hier Anerkennung zollen für die Verwendung treffender Namen .</t>
  </si>
  <si>
    <t>file://conllu/de/teddy-1319.conllu#s95_0</t>
  </si>
  <si>
    <t>96</t>
  </si>
  <si>
    <t>sein (sein Lieblingscodename)</t>
  </si>
  <si>
    <t>Dies ist einer meiner Lieblingscodenamen der NSA .</t>
  </si>
  <si>
    <t>file://conllu/de/teddy-1319.conllu#s96_0</t>
  </si>
  <si>
    <t>97</t>
  </si>
  <si>
    <t>&amp;quot; Boundless Informant &amp;quot; [ &amp;quot; Informant ohne Grenzen &amp;quot; ] ist ein Programm , das die NSA vor dem Kongress verborgen hielt .</t>
  </si>
  <si>
    <t>file://conllu/de/teddy-1319.conllu#s97_0</t>
  </si>
  <si>
    <t>98</t>
  </si>
  <si>
    <t>Der Kongress hatte die NSA im in dem Vorfeld gefragt , ob sie irgendeine Möglichkeit besäße , eine sehr grobe Schätzung abzugeben über den Umfang an amerikanischer Kommunikation , den sie überwachen .</t>
  </si>
  <si>
    <t>file://conllu/de/teddy-1319.conllu#s98_0</t>
  </si>
  <si>
    <t>99</t>
  </si>
  <si>
    <t>Sie sagte : Nein , wir erheben diese Daten nicht und wir können diese Daten nicht erheben .</t>
  </si>
  <si>
    <t>file://conllu/de/teddy-1319.conllu#s99_0</t>
  </si>
  <si>
    <t>100</t>
  </si>
  <si>
    <t>Wir können Ihnen nicht sagen , wie viel Kommunikation wir weltweit überwachen , weil wir Ihre Privatsphäre verletzen würden , wenn wir Ihnen das mitteilen .</t>
  </si>
  <si>
    <t>file://conllu/de/teddy-1319.conllu#s100_0</t>
  </si>
  <si>
    <t>101</t>
  </si>
  <si>
    <t>sein (sein Haltung)</t>
  </si>
  <si>
    <t>Das ist eine Haltung , die ich begrüße .</t>
  </si>
  <si>
    <t>file://conllu/de/teddy-1319.conllu#s101_0</t>
  </si>
  <si>
    <t>102</t>
  </si>
  <si>
    <t>sein (sein Tatsache)</t>
  </si>
  <si>
    <t>Tatsache aber ist , wie diese Grafik zeigt , dass sie dazu nicht nur fähig sind , sondern die Fähigkeit selbst bereits existiert .</t>
  </si>
  <si>
    <t>file://conllu/de/teddy-1319.conllu#s102_0</t>
  </si>
  <si>
    <t>103</t>
  </si>
  <si>
    <t>sein (sein umsetzen)</t>
  </si>
  <si>
    <t>Sie ist bereits umgesetzt .</t>
  </si>
  <si>
    <t>file://conllu/de/teddy-1319.conllu#s103_0</t>
  </si>
  <si>
    <t>104</t>
  </si>
  <si>
    <t>verwenden</t>
  </si>
  <si>
    <t>Die NSA verwendet ein eigenes internes Datenformat , das beide Endpunkte einer Kommunikation erfasst .</t>
  </si>
  <si>
    <t>file://conllu/de/teddy-1319.conllu#s104_0</t>
  </si>
  <si>
    <t>105</t>
  </si>
  <si>
    <t>besagen</t>
  </si>
  <si>
    <t>Wenn es besagt , dass die Kommunikation aus den USA kommt , dann können sie dem Kongress auch sagen , wie viel solcher Kommunikation sie haben , heute , in diesem Moment .</t>
  </si>
  <si>
    <t>file://conllu/de/teddy-1319.conllu#s105_0</t>
  </si>
  <si>
    <t>106</t>
  </si>
  <si>
    <t>&amp;quot; Informant ohne Grenzen &amp;quot; verrät uns , dass mehr Kommunikation abgehört wird , in Amerika , über Amerikaner , als in Russland über Russen .</t>
  </si>
  <si>
    <t>file://conllu/de/teddy-1319.conllu#s106_0</t>
  </si>
  <si>
    <t>107</t>
  </si>
  <si>
    <t>sein (sein sicher)</t>
  </si>
  <si>
    <t>Ich bin nicht sicher , ob dies das Ziel eines Geheimdienstes sein sollte .</t>
  </si>
  <si>
    <t>file://conllu/de/teddy-1319.conllu#s107_0</t>
  </si>
  <si>
    <t>108</t>
  </si>
  <si>
    <t>ca</t>
  </si>
  <si>
    <t>CA :</t>
  </si>
  <si>
    <t>file://conllu/de/teddy-1319.conllu#s108_0</t>
  </si>
  <si>
    <t>109</t>
  </si>
  <si>
    <t>Die Washington Post hat einen Artikel gebracht , der ebenfalls auf deinen Daten fußt .</t>
  </si>
  <si>
    <t>file://conllu/de/teddy-1319.conllu#s109_0</t>
  </si>
  <si>
    <t>110</t>
  </si>
  <si>
    <t>lauten</t>
  </si>
  <si>
    <t>Die Schlagzeile lautet : &amp;quot; Die NSA hat Datenschutzbestimmungen Tausende Male pro Jahr verletzt . &amp;quot;</t>
  </si>
  <si>
    <t>file://conllu/de/teddy-1319.conllu#s110_0</t>
  </si>
  <si>
    <t>111</t>
  </si>
  <si>
    <t>wir</t>
  </si>
  <si>
    <t>Erzähl uns darüber .</t>
  </si>
  <si>
    <t>file://conllu/de/teddy-1319.conllu#s111_0</t>
  </si>
  <si>
    <t>112</t>
  </si>
  <si>
    <t>ES : Wir haben bei der Anhörung im in dem Kongressausschuss letztes Jahr auch gehört und es hat mich erstaunt , als jemand , der von der NSA kam und die internen Unterlagen gesehen hat und weiß , was darin steht , zu beobachten , wie Beamte unter Eid aussagen , dass es keinen Missbrauch gegeben hat , dass die NSA Bestimmungen nicht verletzt wurden , obwohl wir wussten , dass dieser Artikel kommen würde .</t>
  </si>
  <si>
    <t>file://conllu/de/teddy-1319.conllu#s112_0</t>
  </si>
  <si>
    <t>113</t>
  </si>
  <si>
    <t>sein (sein interessant)</t>
  </si>
  <si>
    <t>Aber was daran besonders interessant ist , an der Tatsache , dass die NSA ihre eigenen Regeln , ihre Gesetze tausende Male in einem einzigen Jahr verletzt , darunter ein Vorfall , der für sich genommen , ein Vorfall unter diesen 2776 Fällen , der über 3000 Menschen betraf .</t>
  </si>
  <si>
    <t>file://conllu/de/teddy-1319.conllu#s113_0</t>
  </si>
  <si>
    <t>114</t>
  </si>
  <si>
    <t>In einem anderen Fall haben sie alle Anrufe in Washington , D.C. abgehört aus Versehen .</t>
  </si>
  <si>
    <t>file://conllu/de/teddy-1319.conllu#s114_0</t>
  </si>
  <si>
    <t>115</t>
  </si>
  <si>
    <t>erregen</t>
  </si>
  <si>
    <t>Was an diesem Bericht erstaunlich ist , der für sich genommen nicht viel Aufsehen erregte , ist nicht nur , dass es 2776 Übergriffe gab , sondern , dass die Vorsitzende des Ausschusses für Nachrichtendienste , Dianne Feinstein , den Bericht nicht gesehen hatte , bis die Washington Post sie kontaktierte und um eine Stellungnahme bat .</t>
  </si>
  <si>
    <t>file://conllu/de/teddy-1319.conllu#s115_0</t>
  </si>
  <si>
    <t>116</t>
  </si>
  <si>
    <t>fordern</t>
  </si>
  <si>
    <t>Sie forderte daraufhin eine Kopie von der NSA an und bekam sie , hatte den Bericht aber vorher nie gesehen .</t>
  </si>
  <si>
    <t>file://conllu/de/teddy-1319.conllu#s116_0</t>
  </si>
  <si>
    <t>117</t>
  </si>
  <si>
    <t>Was sagt das über den Zustand der Aufsicht über den amerikanischen Nachrichtendienst , wenn die Vorsitzende des Senatsausschusses für Nachrichtendienste keine Ahnung davon hat , dass die Bestimmungen tausende Male jedes Jahr verletzt werden ?</t>
  </si>
  <si>
    <t>file://conllu/de/teddy-1319.conllu#s117_0</t>
  </si>
  <si>
    <t>118</t>
  </si>
  <si>
    <t>Warum?</t>
  </si>
  <si>
    <t>ausmachen</t>
  </si>
  <si>
    <t>CA : Ed , eine Reaktion auf diese ganze Debatte ist : Warum sollte uns die ganze Überwachung etwas ausmachen ?</t>
  </si>
  <si>
    <t>file://conllu/de/teddy-1319.conllu#s118_0</t>
  </si>
  <si>
    <t>119</t>
  </si>
  <si>
    <t>Wenn man nichts verbrochen hat , muss man sich auch keine Gedanken machen .</t>
  </si>
  <si>
    <t>file://conllu/de/teddy-1319.conllu#s119_0</t>
  </si>
  <si>
    <t>120</t>
  </si>
  <si>
    <t>sein (sein falsch)</t>
  </si>
  <si>
    <t>Was ist an dieser Einstellung falsch ?</t>
  </si>
  <si>
    <t>file://conllu/de/teddy-1319.conllu#s120_0</t>
  </si>
  <si>
    <t>121</t>
  </si>
  <si>
    <t>ES : Der erste Punkt ist :</t>
  </si>
  <si>
    <t>file://conllu/de/teddy-1319.conllu#s121_0</t>
  </si>
  <si>
    <t>122</t>
  </si>
  <si>
    <t>verzichtesen</t>
  </si>
  <si>
    <t>Du verzichtest auf deine Rechte .</t>
  </si>
  <si>
    <t>file://conllu/de/teddy-1319.conllu#s122_0</t>
  </si>
  <si>
    <t>123</t>
  </si>
  <si>
    <t>Du sagst : &amp;quot; Weißt du , ich glaube , ich werde sie nicht brauchen .</t>
  </si>
  <si>
    <t>file://conllu/de/teddy-1319.conllu#s123_0</t>
  </si>
  <si>
    <t>124</t>
  </si>
  <si>
    <t>vertrauen</t>
  </si>
  <si>
    <t>Also vertraue ich einfach darauf .</t>
  </si>
  <si>
    <t>file://conllu/de/teddy-1319.conllu#s124_0</t>
  </si>
  <si>
    <t>125</t>
  </si>
  <si>
    <t>schaffen</t>
  </si>
  <si>
    <t>Wir schaffen sie ab , es ist nicht wirklich wichtig .</t>
  </si>
  <si>
    <t>file://conllu/de/teddy-1319.conllu#s125_0</t>
  </si>
  <si>
    <t>126</t>
  </si>
  <si>
    <t>Diese Leute werden schon das Richtige tun . &amp;quot;</t>
  </si>
  <si>
    <t>file://conllu/de/teddy-1319.conllu#s126_0</t>
  </si>
  <si>
    <t>127</t>
  </si>
  <si>
    <t>Eure Rechte sind wichtig , weil ihr nie wisst , wann ihr sie brauchen werdet .</t>
  </si>
  <si>
    <t>file://conllu/de/teddy-1319.conllu#s127_0</t>
  </si>
  <si>
    <t>128</t>
  </si>
  <si>
    <t>sein (sein Teil)</t>
  </si>
  <si>
    <t>Darüber hinaus ist es Teil unserer kulturellen Identität , nicht nur in Amerika , sondern auch in westlichen Gesellschaften und in demokratischen Gesellschaften in der ganzen Welt .</t>
  </si>
  <si>
    <t>file://conllu/de/teddy-1319.conllu#s128_0</t>
  </si>
  <si>
    <t>129</t>
  </si>
  <si>
    <t>Leute sollten in der Lage sein , einen Hörer in die Hand zu nehmen und ihre Familie anzurufen ;</t>
  </si>
  <si>
    <t>file://conllu/de/teddy-1319.conllu#s129_0</t>
  </si>
  <si>
    <t>130</t>
  </si>
  <si>
    <t>schicken</t>
  </si>
  <si>
    <t>ihren Lieben eine SMS zu schicken ;</t>
  </si>
  <si>
    <t>file://conllu/de/teddy-1319.conllu#s130_0</t>
  </si>
  <si>
    <t>131</t>
  </si>
  <si>
    <t>Leute sollten in der Lage sein , online ein Buch zu kaufen ;</t>
  </si>
  <si>
    <t>file://conllu/de/teddy-1319.conllu#s131_0</t>
  </si>
  <si>
    <t>132</t>
  </si>
  <si>
    <t>reisen</t>
  </si>
  <si>
    <t>sie sollten mit dem Zug reisen können ;</t>
  </si>
  <si>
    <t>file://conllu/de/teddy-1319.conllu#s132_0</t>
  </si>
  <si>
    <t>133</t>
  </si>
  <si>
    <t>kaufen</t>
  </si>
  <si>
    <t>sie sollten sich ein Flugticket kaufen können , ohne sich fragen zu müssen , wie diese Handlungen für eine Agenten der Regierung aussehen werden , vielleicht nicht einmal deiner Regierung , Jahre in der Zukunft , wie sie misinterpretiert werden , und wie sie deine Absichten deuten .</t>
  </si>
  <si>
    <t>file://conllu/de/teddy-1319.conllu#s133_0</t>
  </si>
  <si>
    <t>134</t>
  </si>
  <si>
    <t>Wir haben ein Recht auf Privatsphäre .</t>
  </si>
  <si>
    <t>file://conllu/de/teddy-1319.conllu#s134_0</t>
  </si>
  <si>
    <t>135</t>
  </si>
  <si>
    <t>verlangen</t>
  </si>
  <si>
    <t>Als Grundlage für einen Haftbefehl verlangen wir einen hinreichenden Verdacht oder eine Art von Verdacht gegen ein Individuum , weil wir wissen , dass irgendjemandem zu vertrauen , irgendeiner Regierungsbehörde , wenn es um die Summe menschlicher Kommunikationen , im in dem Geheimen und ohne Aufsicht geht , einfach eine zu große Versuchung darstellt , als dass wir darüber hinwegsehen könnten .</t>
  </si>
  <si>
    <t>file://conllu/de/teddy-1319.conllu#s135_0</t>
  </si>
  <si>
    <t>136</t>
  </si>
  <si>
    <t>aufbringen</t>
  </si>
  <si>
    <t>CA : Einige Leute sind über das , was du getan hast , aufgebracht .</t>
  </si>
  <si>
    <t>file://conllu/de/teddy-1319.conllu#s136_0</t>
  </si>
  <si>
    <t>137</t>
  </si>
  <si>
    <t>gehören</t>
  </si>
  <si>
    <t>Ich habe kürzlich ein Zitat von Dick Cheney gehört , der sagte : &amp;quot; Julian Assange war ein Flohbiss .</t>
  </si>
  <si>
    <t>file://conllu/de/teddy-1319.conllu#s137_0</t>
  </si>
  <si>
    <t>138</t>
  </si>
  <si>
    <t>sein (sein Löwe)</t>
  </si>
  <si>
    <t>Edward Snowden ist der Löwe , der dem Hund den Kopf abgebissen hat . &amp;quot;</t>
  </si>
  <si>
    <t>file://conllu/de/teddy-1319.conllu#s138_0</t>
  </si>
  <si>
    <t>139</t>
  </si>
  <si>
    <t>Er denkt , du hättest einen der schlimmsten Akte des Verrats in der US Geschichte begangen .</t>
  </si>
  <si>
    <t>file://conllu/de/teddy-1319.conllu#s139_0</t>
  </si>
  <si>
    <t>140</t>
  </si>
  <si>
    <t>würdesen</t>
  </si>
  <si>
    <t>Was würdest du Leuten entgegnen , die das denken ?</t>
  </si>
  <si>
    <t>file://conllu/de/teddy-1319.conllu#s140_0</t>
  </si>
  <si>
    <t>141</t>
  </si>
  <si>
    <t>sein (sein Marke)</t>
  </si>
  <si>
    <t>ES : Dick Cheney ist eine ganz eigene Marke .</t>
  </si>
  <si>
    <t>file://conllu/de/teddy-1319.conllu#s141_0</t>
  </si>
  <si>
    <t>142</t>
  </si>
  <si>
    <t>Dank</t>
  </si>
  <si>
    <t>( Gelächter ) Danke .</t>
  </si>
  <si>
    <t>file://conllu/de/teddy-1319.conllu#s142_0</t>
  </si>
  <si>
    <t>143</t>
  </si>
  <si>
    <t>sagen (sagen sagen)</t>
  </si>
  <si>
    <t>Es ist bemerkenswert , weil damals , als Julian Assange einige seiner wichtigsten Aktionen unternahm , sagte Dick Cheney , dass er das Ende für Regierungen in aller Welt bedeute , der Himmel würde in Flammen aufgehen und die Ozeane würden überkochen , und nun sagt er , das ist ein Flohbiss .</t>
  </si>
  <si>
    <t>file://conllu/de/teddy-1319.conllu#s143_0</t>
  </si>
  <si>
    <t>144</t>
  </si>
  <si>
    <t>sein (sein misstrauisch)</t>
  </si>
  <si>
    <t>Wir sollten also misstrauisch sein bei aufgebauschten Behauptungen von solchen Amtsträgern , was den Schaden für die nationale Sicherheit angeht .</t>
  </si>
  <si>
    <t>file://conllu/de/teddy-1319.conllu#s144_0</t>
  </si>
  <si>
    <t>145</t>
  </si>
  <si>
    <t>sagen (sagen glauben annehmen)</t>
  </si>
  <si>
    <t>Aber angenommen , diese Leute glauben , was sie sagen .</t>
  </si>
  <si>
    <t>file://conllu/de/teddy-1319.conllu#s145_0</t>
  </si>
  <si>
    <t>146</t>
  </si>
  <si>
    <t>entgegenhalten</t>
  </si>
  <si>
    <t>Ich würde entgegenhalten , dass sie eine enge Sicht auf die nationale Sicherheit haben .</t>
  </si>
  <si>
    <t>file://conllu/de/teddy-1319.conllu#s146_0</t>
  </si>
  <si>
    <t>147</t>
  </si>
  <si>
    <t>tragen</t>
  </si>
  <si>
    <t>Die Vorrechte von Leuten wie Dick Cheney tragen nicht zur zu der Sicherheit der Nation bei .</t>
  </si>
  <si>
    <t>file://conllu/de/teddy-1319.conllu#s147_0</t>
  </si>
  <si>
    <t>148</t>
  </si>
  <si>
    <t>decken</t>
  </si>
  <si>
    <t>Das öffentliche Interesse deckt sich nicht immer mit dem nationalen Interesse .</t>
  </si>
  <si>
    <t>file://conllu/de/teddy-1319.conllu#s148_0</t>
  </si>
  <si>
    <t>149</t>
  </si>
  <si>
    <t>In den Krieg zu ziehen , gegen Leute , die nicht unsere Feinde sind , an Orten , die keine Bedrohung darstellen , gibt uns keine Sicherheit , und das trifft zu , ob es im in dem Irak ist oder im in dem Internet .</t>
  </si>
  <si>
    <t>file://conllu/de/teddy-1319.conllu#s149_0</t>
  </si>
  <si>
    <t>150</t>
  </si>
  <si>
    <t>sein (sein Feind)</t>
  </si>
  <si>
    <t>Das Internet ist nicht der Feind .</t>
  </si>
  <si>
    <t>file://conllu/de/teddy-1319.conllu#s150_0</t>
  </si>
  <si>
    <t>151</t>
  </si>
  <si>
    <t>Unsere Wirtschaft ist nicht der Feind .</t>
  </si>
  <si>
    <t>file://conllu/de/teddy-1319.conllu#s151_0</t>
  </si>
  <si>
    <t>152</t>
  </si>
  <si>
    <t>Unternehmen</t>
  </si>
  <si>
    <t>Amerikanische Unternehmen , chinesische Unternehmen und jedes andere Unternehmen da draußen sind Teil unserer Gesellschaft .</t>
  </si>
  <si>
    <t>file://conllu/de/teddy-1319.conllu#s152_0</t>
  </si>
  <si>
    <t>153</t>
  </si>
  <si>
    <t>Sie sind Teil unserer vernetzten Welt .</t>
  </si>
  <si>
    <t>file://conllu/de/teddy-1319.conllu#s153_0</t>
  </si>
  <si>
    <t>154</t>
  </si>
  <si>
    <t>Es gibt Bande der Bruderschaft , die uns verbinden .</t>
  </si>
  <si>
    <t>file://conllu/de/teddy-1319.conllu#s154_0</t>
  </si>
  <si>
    <t>155</t>
  </si>
  <si>
    <t>zerstören</t>
  </si>
  <si>
    <t>Wenn wir diese zerstören , in dem wir die Normen unterminieren , die Sicherheit , die Verhaltensregeln , von denen Nationen und Bürger in aller Welt erwarten , dass wir sie befolgen .</t>
  </si>
  <si>
    <t>file://conllu/de/teddy-1319.conllu#s155_0</t>
  </si>
  <si>
    <t>156</t>
  </si>
  <si>
    <t>vorwerfen</t>
  </si>
  <si>
    <t>CA : Man hat dir vorgeworfen , du hättest 1,7 Millionen Dokumente gestohlen .</t>
  </si>
  <si>
    <t>file://conllu/de/teddy-1319.conllu#s156_0</t>
  </si>
  <si>
    <t>157</t>
  </si>
  <si>
    <t>scheinen</t>
  </si>
  <si>
    <t>Es scheint , als seien bisher nur ein paar Hundert an Journalisten weitergegeben worden .</t>
  </si>
  <si>
    <t>file://conllu/de/teddy-1319.conllu#s157_0</t>
  </si>
  <si>
    <t>158</t>
  </si>
  <si>
    <t>Wird es weitere Enthüllungen geben ?</t>
  </si>
  <si>
    <t>file://conllu/de/teddy-1319.conllu#s158_0</t>
  </si>
  <si>
    <t>159</t>
  </si>
  <si>
    <t>ES : Es wird auf jeden Fall weitere Enthüllungen geben .</t>
  </si>
  <si>
    <t>file://conllu/de/teddy-1319.conllu#s159_0</t>
  </si>
  <si>
    <t>160</t>
  </si>
  <si>
    <t>stehen</t>
  </si>
  <si>
    <t>Es steht außer Frage , dass einige der wichtigsten Berichterstattungen erst noch kommen werden .</t>
  </si>
  <si>
    <t>file://conllu/de/teddy-1319.conllu#s160_0</t>
  </si>
  <si>
    <t>161</t>
  </si>
  <si>
    <t>stellen</t>
  </si>
  <si>
    <t>CA : Komm hier herüber , ich möchte dir eine Frage stellen zu dieser speziellen Enthüllung .</t>
  </si>
  <si>
    <t>file://conllu/de/teddy-1319.conllu#s161_0</t>
  </si>
  <si>
    <t>162</t>
  </si>
  <si>
    <t>derden</t>
  </si>
  <si>
    <t>Komm und sieh dir dies an .</t>
  </si>
  <si>
    <t>file://conllu/de/teddy-1319.conllu#s162_0</t>
  </si>
  <si>
    <t>163</t>
  </si>
  <si>
    <t>Sache</t>
  </si>
  <si>
    <t>Womöglich ist diese Geschichte für die Tech Freunde in diesem Raum die schockierendste Sache , die sie in den letzten Monaten gehört haben .</t>
  </si>
  <si>
    <t>file://conllu/de/teddy-1319.conllu#s163_0</t>
  </si>
  <si>
    <t>164</t>
  </si>
  <si>
    <t>Es geht um ein Programm namens &amp;quot; Bullrun &amp;quot; .</t>
  </si>
  <si>
    <t>file://conllu/de/teddy-1319.conllu#s164_0</t>
  </si>
  <si>
    <t>165</t>
  </si>
  <si>
    <t>erklären</t>
  </si>
  <si>
    <t>Könntest du uns erklären , was das ist ?</t>
  </si>
  <si>
    <t>file://conllu/de/teddy-1319.conllu#s165_0</t>
  </si>
  <si>
    <t>166</t>
  </si>
  <si>
    <t>ES : Bullrun , also .</t>
  </si>
  <si>
    <t>file://conllu/de/teddy-1319.conllu#s166_0</t>
  </si>
  <si>
    <t>167</t>
  </si>
  <si>
    <t>Fall</t>
  </si>
  <si>
    <t>Wieder ein Fall , wo ich der NSA für ihre Freimütigkeit danke .</t>
  </si>
  <si>
    <t>file://conllu/de/teddy-1319.conllu#s167_0</t>
  </si>
  <si>
    <t>168</t>
  </si>
  <si>
    <t>benennen</t>
  </si>
  <si>
    <t>Dieses Programm wurde nach einer Schlacht im in dem amerikanischen Bürgerkrieg benannt .</t>
  </si>
  <si>
    <t>file://conllu/de/teddy-1319.conllu#s168_0</t>
  </si>
  <si>
    <t>169</t>
  </si>
  <si>
    <t>Das britische Gegenstück heißt &amp;quot; Edgehill &amp;quot; , nach einer britischen Bürgerkriegsschlacht .</t>
  </si>
  <si>
    <t>file://conllu/de/teddy-1319.conllu#s169_0</t>
  </si>
  <si>
    <t>170</t>
  </si>
  <si>
    <t>Ich denke , dass sie es so nennen , weil das Ziel unsere eigene Infrastruktur ist .</t>
  </si>
  <si>
    <t>file://conllu/de/teddy-1319.conllu#s170_0</t>
  </si>
  <si>
    <t>171</t>
  </si>
  <si>
    <t>Es sind Programme , mit denen die NSA gezielt Partnerunternehmen in die Irre führt .</t>
  </si>
  <si>
    <t>file://conllu/de/teddy-1319.conllu#s171_0</t>
  </si>
  <si>
    <t>172</t>
  </si>
  <si>
    <t>Sie sagen Partnerunternehmen , dass dies sichere Standards sind .</t>
  </si>
  <si>
    <t>file://conllu/de/teddy-1319.conllu#s172_0</t>
  </si>
  <si>
    <t>173</t>
  </si>
  <si>
    <t>Sie sagen : &amp;quot; Wir müssen mit dir arbeiten , um deine Systeme abzusichern . &amp;quot;</t>
  </si>
  <si>
    <t>file://conllu/de/teddy-1319.conllu#s173_0</t>
  </si>
  <si>
    <t>174</t>
  </si>
  <si>
    <t>In Wirklichkeit geben sie diesen Unternehmen schlechte Ratschläge , die die Sicherheit ihrer Systeme schwächen .</t>
  </si>
  <si>
    <t>file://conllu/de/teddy-1319.conllu#s174_0</t>
  </si>
  <si>
    <t>175</t>
  </si>
  <si>
    <t>bauen</t>
  </si>
  <si>
    <t>Sie bauen Hintertüren ein , die nicht nur die NSA ausbeuten kann , sondern jeder , der Zeit und Geld hat , sie zu recherchieren und zu finden , kann sie nutzen , um sich Zugang zu verschaffen in die Kommunikationen der Welt .</t>
  </si>
  <si>
    <t>file://conllu/de/teddy-1319.conllu#s175_0</t>
  </si>
  <si>
    <t>176</t>
  </si>
  <si>
    <t>sein (sein gefährlich)</t>
  </si>
  <si>
    <t>Das ist wirklich gefährlich .</t>
  </si>
  <si>
    <t>file://conllu/de/teddy-1319.conllu#s176_0</t>
  </si>
  <si>
    <t>177</t>
  </si>
  <si>
    <t>leben</t>
  </si>
  <si>
    <t>Denn wenn wir auch nur einen Standard verlieren , wenn wir das Vertrauen in so etwas wie SSL verlieren , das ein ausgemachtes Ziel des Programms Bullrun war , werden wir in einer Welt leben , die insgesamt weniger sicher ist .</t>
  </si>
  <si>
    <t>file://conllu/de/teddy-1319.conllu#s177_0</t>
  </si>
  <si>
    <t>178</t>
  </si>
  <si>
    <t>werden</t>
  </si>
  <si>
    <t>Wir werden keinen Zugriff auf unsere Banken haben , wir werden keinen Zugang zum zu dem Handel haben , ohne uns über Leute zu sorgen , die diese Kommunikation überwachen oder für ihre Zwecke missbrauchen könnten .</t>
  </si>
  <si>
    <t>file://conllu/de/teddy-1319.conllu#s178_0</t>
  </si>
  <si>
    <t>179</t>
  </si>
  <si>
    <t>CA : Und machen dieselben Entscheidungen Amerika potenziell verwundbar für Cyberangriffe von anderer Seite ?</t>
  </si>
  <si>
    <t>file://conllu/de/teddy-1319.conllu#s179_0</t>
  </si>
  <si>
    <t>180</t>
  </si>
  <si>
    <t>ES : Absolut .</t>
  </si>
  <si>
    <t>file://conllu/de/teddy-1319.conllu#s180_0</t>
  </si>
  <si>
    <t>181</t>
  </si>
  <si>
    <t>ein</t>
  </si>
  <si>
    <t>Eines der Probleme , eines der gefährlichen Vermächtnisse in der Ära nach dem 11 .</t>
  </si>
  <si>
    <t>file://conllu/de/teddy-1319.conllu#s181_0</t>
  </si>
  <si>
    <t>182</t>
  </si>
  <si>
    <t>sein (sein Erkenntnis)</t>
  </si>
  <si>
    <t>September ist die Erkenntnis , dass die NSA schon immer zwei Gesichter hatte .</t>
  </si>
  <si>
    <t>file://conllu/de/teddy-1319.conllu#s182_0</t>
  </si>
  <si>
    <t>183</t>
  </si>
  <si>
    <t>sein (sein verantwortlich)</t>
  </si>
  <si>
    <t>Sie waren verantwortlich für offensive Operationen , in denen es um Hacking ging .</t>
  </si>
  <si>
    <t>file://conllu/de/teddy-1319.conllu#s183_0</t>
  </si>
  <si>
    <t>184</t>
  </si>
  <si>
    <t>leiten</t>
  </si>
  <si>
    <t>Aber sie leitete auch defensive Operationen .</t>
  </si>
  <si>
    <t>file://conllu/de/teddy-1319.conllu#s184_0</t>
  </si>
  <si>
    <t>185</t>
  </si>
  <si>
    <t>vorgeziehen</t>
  </si>
  <si>
    <t>Traditionsgemäß hat die NSA stets die Defensive der Offensive vorgezogen , ausgehend von dem Prinzip , dass amerikanische Geheimnisse schlicht wertvoller sind .</t>
  </si>
  <si>
    <t>file://conllu/de/teddy-1319.conllu#s185_0</t>
  </si>
  <si>
    <t>186</t>
  </si>
  <si>
    <t>sein (sein wertvoll)</t>
  </si>
  <si>
    <t>Wenn wir ein chinesisches Unternehmen hacken und seine Geheimnisse stehlen ; wenn wir eine Regierungsbehörde in Berlin hacken und ihre Geheimnisse stehlen , dann ist das für das amerikanische Volk weniger wertvoll , als sicherzustellen , dass die Chinesen keinen Zugang zu unseren Geheimnissen haben .</t>
  </si>
  <si>
    <t>file://conllu/de/teddy-1319.conllu#s186_0</t>
  </si>
  <si>
    <t>187</t>
  </si>
  <si>
    <t>setzen</t>
  </si>
  <si>
    <t>Also indem sie die Sicherheit unserer Kommunikationen schwächen , setzen sie nicht nur die Welt Risiken aus , sie gefährden auch die USA auf fundamentale Weise , weil geistiges Eigentum die Grundlage unserer Wirtschaft ist .</t>
  </si>
  <si>
    <t>file://conllu/de/teddy-1319.conllu#s187_0</t>
  </si>
  <si>
    <t>188</t>
  </si>
  <si>
    <t>zahlen</t>
  </si>
  <si>
    <t>Wenn wir das durch schwache Sicherheit gefährden , werden wir auf Jahre hinaus dafür zahlen .</t>
  </si>
  <si>
    <t>file://conllu/de/teddy-1319.conllu#s188_0</t>
  </si>
  <si>
    <t>189</t>
  </si>
  <si>
    <t>ausgerechnet</t>
  </si>
  <si>
    <t>CA : Aber die NSA hat ich ausgerechnet , dass es diese Maßnahme als Teil der US Verteidigung gegen Terrorismus wert ist .</t>
  </si>
  <si>
    <t>file://conllu/de/teddy-1319.conllu#s189_0</t>
  </si>
  <si>
    <t>190</t>
  </si>
  <si>
    <t>sein (sein Preis)</t>
  </si>
  <si>
    <t>Dann ist das doch gewiss ein Preis , der sich lohnt .</t>
  </si>
  <si>
    <t>file://conllu/de/teddy-1319.conllu#s190_0</t>
  </si>
  <si>
    <t>191</t>
  </si>
  <si>
    <t>ansehen (ansehen sehen)</t>
  </si>
  <si>
    <t>ES : Wenn man sich die Resultate dieser Programme beim bei dem Verhindern von Terrorismus ansieht , sieht man , dass es dafür keine Belege gibt .</t>
  </si>
  <si>
    <t>file://conllu/de/teddy-1319.conllu#s191_0</t>
  </si>
  <si>
    <t>192</t>
  </si>
  <si>
    <t>verlassen</t>
  </si>
  <si>
    <t>Sie müssen sich nicht auf mein Wort verlassen , weil wir das erste öffentliche Gerichtsverfahren haben .</t>
  </si>
  <si>
    <t>file://conllu/de/teddy-1319.conllu#s192_0</t>
  </si>
  <si>
    <t>193</t>
  </si>
  <si>
    <t>nennen</t>
  </si>
  <si>
    <t>Der erste Bundesgerichtshof , der sie außerhalb der Geheimhaltungsvereinbarungen untersuchte , nannte sie Orwellsche Programme und wahrscheinlich verfassungswidrig .</t>
  </si>
  <si>
    <t>file://conllu/de/teddy-1319.conllu#s193_0</t>
  </si>
  <si>
    <t>194</t>
  </si>
  <si>
    <t>vorlegen</t>
  </si>
  <si>
    <t>Der Kongress , der in diesen Angelegenheiten Auskunft verlangen kann und nun auch einfordern möchte , hat Gesetze vorgelegt , um es zu reformieren .</t>
  </si>
  <si>
    <t>file://conllu/de/teddy-1319.conllu#s194_0</t>
  </si>
  <si>
    <t>195</t>
  </si>
  <si>
    <t>Zwei unabhängige Ausschüsse des Weißen Hauses , die all das vertrauliche Beweismaterial geprüft haben , sagen , diese Programme haben nie auch nur einen Terroristenangriff verhindert , der in den USA bevorstand .</t>
  </si>
  <si>
    <t>file://conllu/de/teddy-1319.conllu#s195_0</t>
  </si>
  <si>
    <t>196</t>
  </si>
  <si>
    <t>sein (sein Terrorismus)</t>
  </si>
  <si>
    <t>Also ist es wirklich Terrorismus , den wir verhindern ?</t>
  </si>
  <si>
    <t>file://conllu/de/teddy-1319.conllu#s196_0</t>
  </si>
  <si>
    <t>197</t>
  </si>
  <si>
    <t>Haben diese Programme überhaupt einen Wert ?</t>
  </si>
  <si>
    <t>file://conllu/de/teddy-1319.conllu#s197_0</t>
  </si>
  <si>
    <t>198</t>
  </si>
  <si>
    <t>Ich sage nein , und auch alle drei Staatsorgane der amerikanischen Regierung sagen nein .</t>
  </si>
  <si>
    <t>file://conllu/de/teddy-1319.conllu#s198_0</t>
  </si>
  <si>
    <t>199</t>
  </si>
  <si>
    <t>CA : Denkst du , es gibt einen tieferen Beweggrund für sie als den Krieg gegen den Terror ?</t>
  </si>
  <si>
    <t>file://conllu/de/teddy-1319.conllu#s199_0</t>
  </si>
  <si>
    <t>200</t>
  </si>
  <si>
    <t>ES : Verzeihung , ich konnte dich nicht hören .</t>
  </si>
  <si>
    <t>file://conllu/de/teddy-1319.conllu#s200_0</t>
  </si>
  <si>
    <t>201</t>
  </si>
  <si>
    <t>wiederholen</t>
  </si>
  <si>
    <t>Kannst du das wiederholen ?</t>
  </si>
  <si>
    <t>file://conllu/de/teddy-1319.conllu#s201_0</t>
  </si>
  <si>
    <t>202</t>
  </si>
  <si>
    <t>Entschuldig</t>
  </si>
  <si>
    <t>CA : Entschuldige .</t>
  </si>
  <si>
    <t>file://conllu/de/teddy-1319.conllu#s202_0</t>
  </si>
  <si>
    <t>203</t>
  </si>
  <si>
    <t>Denkst du , es gibt einen anderen , tieferliegenden Beweggrund ES : Ja .</t>
  </si>
  <si>
    <t>file://conllu/de/teddy-1319.conllu#s203_0</t>
  </si>
  <si>
    <t>204</t>
  </si>
  <si>
    <t>Unterm Strich ist Terrorismus immer das gewesen , was wir in der Welt der Geheimdienste eine Auftragslegende nennen würden .</t>
  </si>
  <si>
    <t>file://conllu/de/teddy-1319.conllu#s204_0</t>
  </si>
  <si>
    <t>205</t>
  </si>
  <si>
    <t>Terrorismus ist etwas , das eine emotionale Reaktion hervorruft , die es Leuten ermöglicht , das Autorisieren von Vollmachten und Programmen zu rationalisieren , denen sie sonst nicht zustimmen würden .</t>
  </si>
  <si>
    <t>file://conllu/de/teddy-1319.conllu#s205_0</t>
  </si>
  <si>
    <t>206</t>
  </si>
  <si>
    <t>bitten</t>
  </si>
  <si>
    <t>Für Programme , die Bullrun oder Edgehill ähneln , bat die NSA bereits in den 1990er Jahren um Ermächtigungen .</t>
  </si>
  <si>
    <t>file://conllu/de/teddy-1319.conllu#s206_0</t>
  </si>
  <si>
    <t>207</t>
  </si>
  <si>
    <t>Sie bat das FBI , sich beim bei dem Kongress dafür einzusetzen .</t>
  </si>
  <si>
    <t>file://conllu/de/teddy-1319.conllu#s207_0</t>
  </si>
  <si>
    <t>208</t>
  </si>
  <si>
    <t>Und das FBI setzte sich beim bei dem Kongress dafür ein .</t>
  </si>
  <si>
    <t>file://conllu/de/teddy-1319.conllu#s208_0</t>
  </si>
  <si>
    <t>209</t>
  </si>
  <si>
    <t>Aber der Kongress und das amerikanische Volk sagten nein .</t>
  </si>
  <si>
    <t>file://conllu/de/teddy-1319.conllu#s209_0</t>
  </si>
  <si>
    <t>210</t>
  </si>
  <si>
    <t>Sie sagten , es sei das Risiko für unsere Wirtschaft nicht wert .</t>
  </si>
  <si>
    <t>file://conllu/de/teddy-1319.conllu#s210_0</t>
  </si>
  <si>
    <t>211</t>
  </si>
  <si>
    <t>Sie sagten , der Schaden für die Gesellschaft sei zu groß , um den Nutzen zu rechtfertigen .</t>
  </si>
  <si>
    <t>file://conllu/de/teddy-1319.conllu#s211_0</t>
  </si>
  <si>
    <t>212</t>
  </si>
  <si>
    <t>Aber wir haben in der Zeit nach dem 11 .</t>
  </si>
  <si>
    <t>file://conllu/de/teddy-1319.conllu#s212_0</t>
  </si>
  <si>
    <t>213</t>
  </si>
  <si>
    <t>fragen (fragen sehen)</t>
  </si>
  <si>
    <t>September gesehen , dass sie zur zu der Geheimhaltung griffen und den Terrorismus als Rechtfertigung benutzten , um die Programme im in dem Geheimen zu starten , ohne den Kongress zu fragen , ohne das amerikanische Volk zu fragen , und es ist diese Art von Regierung hinter verschlossenen Türen , vor der wir uns schützen müssen , weil sie unsere Sicherheit schwächt und keinen Gegenwert bietet .</t>
  </si>
  <si>
    <t>file://conllu/de/teddy-1319.conllu#s213_0</t>
  </si>
  <si>
    <t>214</t>
  </si>
  <si>
    <t>Moment</t>
  </si>
  <si>
    <t>CA : Kommst du einen Moment mit mir ?</t>
  </si>
  <si>
    <t>file://conllu/de/teddy-1319.conllu#s214_0</t>
  </si>
  <si>
    <t>215</t>
  </si>
  <si>
    <t>Ich habe eine etwas persönlichere Frage an dich .</t>
  </si>
  <si>
    <t>file://conllu/de/teddy-1319.conllu#s215_0</t>
  </si>
  <si>
    <t>216</t>
  </si>
  <si>
    <t>sprechen</t>
  </si>
  <si>
    <t>Wo wir gerade von Terror sprechen :</t>
  </si>
  <si>
    <t>file://conllu/de/teddy-1319.conllu#s216_0</t>
  </si>
  <si>
    <t>217</t>
  </si>
  <si>
    <t>finden</t>
  </si>
  <si>
    <t>Die meisten Leute finden deine gegenwärtige Situation in Russland recht furchteinflößend .</t>
  </si>
  <si>
    <t>file://conllu/de/teddy-1319.conllu#s217_0</t>
  </si>
  <si>
    <t>218</t>
  </si>
  <si>
    <t>Du hast offensichtlich gehört , welche Behandlung Bradley Manning widerfahren ist , Chelsea Manning , wie sie jetzt heißt .</t>
  </si>
  <si>
    <t>file://conllu/de/teddy-1319.conllu#s218_0</t>
  </si>
  <si>
    <t>219</t>
  </si>
  <si>
    <t>schreiben</t>
  </si>
  <si>
    <t>Ein Beitrag auf Buzzfeed schrieb , es gibt Leute in der Geheimdienstgemeinde die dich tot sehen möchten .</t>
  </si>
  <si>
    <t>file://conllu/de/teddy-1319.conllu#s219_0</t>
  </si>
  <si>
    <t>220</t>
  </si>
  <si>
    <t>Wie gehst du damit um ?</t>
  </si>
  <si>
    <t>file://conllu/de/teddy-1319.conllu#s220_0</t>
  </si>
  <si>
    <t>221</t>
  </si>
  <si>
    <t>Wie gehst du mit der Angst um ?</t>
  </si>
  <si>
    <t>file://conllu/de/teddy-1319.conllu#s221_0</t>
  </si>
  <si>
    <t>222</t>
  </si>
  <si>
    <t>.</t>
  </si>
  <si>
    <t>ES : Es ist kein Geheimnis , dass es da draußen Regierungen gibt , die mich tot sehen möchten .</t>
  </si>
  <si>
    <t>file://conllu/de/teddy-1319.conllu#s222_0</t>
  </si>
  <si>
    <t>223</t>
  </si>
  <si>
    <t>betonen</t>
  </si>
  <si>
    <t>Ich habe immer und immer wieder betont , dass ich jeden Morgen , wenn ich schlafen gehe , darüber nachdenke , was ich für das amerikanische Volk tun kann .</t>
  </si>
  <si>
    <t>file://conllu/de/teddy-1319.conllu#s223_0</t>
  </si>
  <si>
    <t>224</t>
  </si>
  <si>
    <t>schaden</t>
  </si>
  <si>
    <t>Ich möchte meiner Regierung nicht schaden .</t>
  </si>
  <si>
    <t>file://conllu/de/teddy-1319.conllu#s224_0</t>
  </si>
  <si>
    <t>225</t>
  </si>
  <si>
    <t>helfen</t>
  </si>
  <si>
    <t>Ich möchte meiner Regierung helfen , aber die Tatsache , dass sie bereit ist , die Rechtstaatlichkeit völlig zu ignorieren , dass sie bereit ist , jemanden schuldig zu erklären , ohne jemals ein Verfahren zu sehen , das sind Dinge , gegen die wir uns einsetzen müssen als Gesellschaft , und sagen : &amp;quot; Hey , dies ist nicht angemessen . &amp;quot;</t>
  </si>
  <si>
    <t>file://conllu/de/teddy-1319.conllu#s225_0</t>
  </si>
  <si>
    <t>226</t>
  </si>
  <si>
    <t>bedrohen</t>
  </si>
  <si>
    <t>Wir sollten Dissidenten nicht bedrohen .</t>
  </si>
  <si>
    <t>file://conllu/de/teddy-1319.conllu#s226_0</t>
  </si>
  <si>
    <t>227</t>
  </si>
  <si>
    <t>kriminalisieren</t>
  </si>
  <si>
    <t>Wir sollten Journalismus nicht kriminalisieren .</t>
  </si>
  <si>
    <t>file://conllu/de/teddy-1319.conllu#s227_0</t>
  </si>
  <si>
    <t>228</t>
  </si>
  <si>
    <t>ungeachtet</t>
  </si>
  <si>
    <t>Was auch immer ich tun kann , um das zu erreichen , tue ich gern , ungeachtet der Risiken .</t>
  </si>
  <si>
    <t>file://conllu/de/teddy-1319.conllu#s228_0</t>
  </si>
  <si>
    <t>229</t>
  </si>
  <si>
    <t>CA : Ich möchte an dieser Stelle um Stimmen aus dem Pubikum bitten , weil ich weiß , dass es sehr unterschiedliche Reaktionen auf Edward Snowden gibt .</t>
  </si>
  <si>
    <t>file://conllu/de/teddy-1319.conllu#s229_0</t>
  </si>
  <si>
    <t>230</t>
  </si>
  <si>
    <t>annehmen</t>
  </si>
  <si>
    <t>Angenommen Sie hätten die Wahl zwischen zwei Optionen : Sie könnten das , was er getan hat , als im in dem Wesentlichen rücksichtslose Tat sehen , die die USA in Gefahr gebracht hat , oder Sie können es im in dem Wesentlichen als Heldentat sehen , die den USA und und der Welt langfristig zum zu dem Vorteil gereichen wird ?</t>
  </si>
  <si>
    <t>file://conllu/de/teddy-1319.conllu#s230_0</t>
  </si>
  <si>
    <t>231</t>
  </si>
  <si>
    <t>sein (sein Option)</t>
  </si>
  <si>
    <t>Dies sind de beiden Optionen , die ich Ihnen gebe .</t>
  </si>
  <si>
    <t>file://conllu/de/teddy-1319.conllu#s231_0</t>
  </si>
  <si>
    <t>232</t>
  </si>
  <si>
    <t>spannen</t>
  </si>
  <si>
    <t>Ich bin gespannt , zu sehen , wer bereit ist , die erste Option zu wählen , dass es eine rücksichtslose Aktion war .</t>
  </si>
  <si>
    <t>file://conllu/de/teddy-1319.conllu#s232_0</t>
  </si>
  <si>
    <t>233</t>
  </si>
  <si>
    <t>Da gehen ein paar Hände hoch .</t>
  </si>
  <si>
    <t>file://conllu/de/teddy-1319.conllu#s233_0</t>
  </si>
  <si>
    <t>234</t>
  </si>
  <si>
    <t>Einige Hände gehen hoch .</t>
  </si>
  <si>
    <t>file://conllu/de/teddy-1319.conllu#s234_0</t>
  </si>
  <si>
    <t>235</t>
  </si>
  <si>
    <t>sein (sein schwer)</t>
  </si>
  <si>
    <t>Es ist schwer , seine Hand zu heben , wenn der Mann direkt hier steht , aber ich sehe sie .</t>
  </si>
  <si>
    <t>file://conllu/de/teddy-1319.conllu#s235_0</t>
  </si>
  <si>
    <t>236</t>
  </si>
  <si>
    <t>ES : Ich kann euch sehen .</t>
  </si>
  <si>
    <t>file://conllu/de/teddy-1319.conllu#s236_0</t>
  </si>
  <si>
    <t>237</t>
  </si>
  <si>
    <t>wählen</t>
  </si>
  <si>
    <t>CA : Und wer wählt die zweite Option , dass dies im in dem Grunde eine Heldentat ist ?</t>
  </si>
  <si>
    <t>file://conllu/de/teddy-1319.conllu#s237_0</t>
  </si>
  <si>
    <t>238</t>
  </si>
  <si>
    <t>( Hochrufe ) Ich denke , da waren viele , die ihre Hand nicht gehoben haben und die , wie ich glaube , über dieses Thema noch nachdenken , weil die Debatte um dich , wie mir scheint , nicht zwischen traditionellen politischen Lagern entbrennt .</t>
  </si>
  <si>
    <t>file://conllu/de/teddy-1319.conllu#s238_0</t>
  </si>
  <si>
    <t>239</t>
  </si>
  <si>
    <t>Es geht nicht um links oder rechts , es geht nicht wirklich darum , ob du pro Regierung , libertär bist , oder nicht nur darum .</t>
  </si>
  <si>
    <t>file://conllu/de/teddy-1319.conllu#s239_0</t>
  </si>
  <si>
    <t>240</t>
  </si>
  <si>
    <t>sein (sein Generationenfrage)</t>
  </si>
  <si>
    <t>Ein Aspekt davon ist geradezu eine Generationenfrage .</t>
  </si>
  <si>
    <t>file://conllu/de/teddy-1319.conllu#s240_0</t>
  </si>
  <si>
    <t>241</t>
  </si>
  <si>
    <t>Du gehörst einer Generation an , die mit dem Internet aufgewachsen ist .</t>
  </si>
  <si>
    <t>file://conllu/de/teddy-1319.conllu#s241_0</t>
  </si>
  <si>
    <t>242</t>
  </si>
  <si>
    <t>denken (denken scheinen)</t>
  </si>
  <si>
    <t>Es scheint fast , als würde es dich zutiefst kränken , wenn du beobachtest , wie etwas getan wird , von dem du denkst , dass es dem Internet schaden wird .</t>
  </si>
  <si>
    <t>file://conllu/de/teddy-1319.conllu#s242_0</t>
  </si>
  <si>
    <t>243</t>
  </si>
  <si>
    <t>sein (sein dran)</t>
  </si>
  <si>
    <t>Ist da etwas dran ?</t>
  </si>
  <si>
    <t>file://conllu/de/teddy-1319.conllu#s243_0</t>
  </si>
  <si>
    <t>244</t>
  </si>
  <si>
    <t>ES : Das ist so , weißt du Das ist sehr wahr .</t>
  </si>
  <si>
    <t>file://conllu/de/teddy-1319.conllu#s244_0</t>
  </si>
  <si>
    <t>245</t>
  </si>
  <si>
    <t>sein (sein Frage)</t>
  </si>
  <si>
    <t>Es ist keine Frage von links oder rechts .</t>
  </si>
  <si>
    <t>file://conllu/de/teddy-1319.conllu#s245_0</t>
  </si>
  <si>
    <t>246</t>
  </si>
  <si>
    <t>Freiheit</t>
  </si>
  <si>
    <t>Unsere grundlegenden Freiheiten , und wenn ich &amp;quot; unsere &amp;quot; sage , meine ich nicht nur Amerikaner , ich meine Leute überall in der Welt , sind keine Frage der Partei .</t>
  </si>
  <si>
    <t>file://conllu/de/teddy-1319.conllu#s246_0</t>
  </si>
  <si>
    <t>247</t>
  </si>
  <si>
    <t>sein (sein Ding)</t>
  </si>
  <si>
    <t>Es sind die Dinge , an die alle Menschen glauben , und es liegt an uns , sie zu schützen , an denen , die ein freies und offenes Internet gesehen und genossen haben .</t>
  </si>
  <si>
    <t>file://conllu/de/teddy-1319.conllu#s247_0</t>
  </si>
  <si>
    <t>248</t>
  </si>
  <si>
    <t>liegen</t>
  </si>
  <si>
    <t>Es liegt an uns , diese Freiheit zu erhalten , damit die nächste Generation in ihren Genuss kommt .</t>
  </si>
  <si>
    <t>file://conllu/de/teddy-1319.conllu#s248_0</t>
  </si>
  <si>
    <t>249</t>
  </si>
  <si>
    <t>schützen</t>
  </si>
  <si>
    <t>Wenn wir die Dinge nicht verändern , wenn wir nicht die Stirn bieten , um diese Veränderungen zu erreichen wir müssen das Internet schützen , nicht nur für uns , sondern für alle werden wir es verlieren , Das wäre ein gewaltiger Verlust , nicht nur für uns , sondern für die Welt .</t>
  </si>
  <si>
    <t>file://conllu/de/teddy-1319.conllu#s249_0</t>
  </si>
  <si>
    <t>250</t>
  </si>
  <si>
    <t>CA : Ich habe ähnliche Worte kürzlich vom von dem Gründer des World Wide Web gehört , der , glaube ich , sogar bei uns ist : Sir Tim Berners Lee .</t>
  </si>
  <si>
    <t>file://conllu/de/teddy-1319.conllu#s250_0</t>
  </si>
  <si>
    <t>251</t>
  </si>
  <si>
    <t>Tim</t>
  </si>
  <si>
    <t>Tim , möchtest du hochkommen und etwas sagen ?</t>
  </si>
  <si>
    <t>file://conllu/de/teddy-1319.conllu#s251_0</t>
  </si>
  <si>
    <t>252</t>
  </si>
  <si>
    <t>Mikrofon</t>
  </si>
  <si>
    <t>Haben wir ein Mikrofon für Tim ?</t>
  </si>
  <si>
    <t>file://conllu/de/teddy-1319.conllu#s252_0</t>
  </si>
  <si>
    <t>253</t>
  </si>
  <si>
    <t>Tim , gut dich zu sehen .</t>
  </si>
  <si>
    <t>file://conllu/de/teddy-1319.conllu#s253_0</t>
  </si>
  <si>
    <t>254</t>
  </si>
  <si>
    <t>hoch</t>
  </si>
  <si>
    <t>Komm dort hoch .</t>
  </si>
  <si>
    <t>file://conllu/de/teddy-1319.conllu#s254_0</t>
  </si>
  <si>
    <t>255</t>
  </si>
  <si>
    <t>sein (sein du)</t>
  </si>
  <si>
    <t>Übrigens , in welchem Lager bist du ?</t>
  </si>
  <si>
    <t>file://conllu/de/teddy-1319.conllu#s255_0</t>
  </si>
  <si>
    <t>256</t>
  </si>
  <si>
    <t>Verräter</t>
  </si>
  <si>
    <t>Verräter oder Held ?</t>
  </si>
  <si>
    <t>file://conllu/de/teddy-1319.conllu#s256_0</t>
  </si>
  <si>
    <t>257</t>
  </si>
  <si>
    <t>Ich habe eine Theorie , aber ... Tim Berners Lee : Ich habe auf diese Frage wesentlich längere Antworten gegeben , aber &amp;quot; Held &amp;quot; , wenn ich zwischen diesen beiden wählen muss .</t>
  </si>
  <si>
    <t>file://conllu/de/teddy-1319.conllu#s257_0</t>
  </si>
  <si>
    <t>258</t>
  </si>
  <si>
    <t>Und</t>
  </si>
  <si>
    <t>CA : Und Ed , ich denke , du hast den Vorschlag gelesen , von dem Sir Tim gesprochen hat , über eine neue Magna Charta , um das Internet zurückzuerobern .</t>
  </si>
  <si>
    <t>file://conllu/de/teddy-1319.conllu#s258_0</t>
  </si>
  <si>
    <t>259</t>
  </si>
  <si>
    <t>Ist das etwas , das Sinn macht ?</t>
  </si>
  <si>
    <t>file://conllu/de/teddy-1319.conllu#s259_0</t>
  </si>
  <si>
    <t>260</t>
  </si>
  <si>
    <t>file://conllu/de/teddy-1319.conllu#s260_0</t>
  </si>
  <si>
    <t>261</t>
  </si>
  <si>
    <t>aufwachsen</t>
  </si>
  <si>
    <t>Meine Generation ... Ich bin nicht nur mit Gedanken über das Internet aufgewachsen , ich bin im in dem Internet aufgewachsen , und obwohl ich nie erwartet hätte , die Chance zu haben , es auf eine so direkte und praktische Art und Weise zu verteidigen und es auf so ungewöhnliche Weise fast wie ein Avatar zu verkörpern .</t>
  </si>
  <si>
    <t>file://conllu/de/teddy-1319.conllu#s261_0</t>
  </si>
  <si>
    <t>262</t>
  </si>
  <si>
    <t>sein (sein Poetisch)</t>
  </si>
  <si>
    <t>Es ist etwas Poetisches an der Tatsache , dass einer der Söhne des Internet dem Internet so nahe gekommen ist durch eine politische Meinungsäußerung .</t>
  </si>
  <si>
    <t>file://conllu/de/teddy-1319.conllu#s262_0</t>
  </si>
  <si>
    <t>263</t>
  </si>
  <si>
    <t>glauben</t>
  </si>
  <si>
    <t>Ich glaube , eine Magna Charta für das Internet ist genau , was wir brauchen .</t>
  </si>
  <si>
    <t>file://conllu/de/teddy-1319.conllu#s263_0</t>
  </si>
  <si>
    <t>264</t>
  </si>
  <si>
    <t>festschreiben</t>
  </si>
  <si>
    <t>Wir müssen unsere Werte festschreiben nicht nur in Worten , sondern in der Struktur des Internet .</t>
  </si>
  <si>
    <t>file://conllu/de/teddy-1319.conllu#s264_0</t>
  </si>
  <si>
    <t>265</t>
  </si>
  <si>
    <t>Es ist etwas , auf das ich hoffe .</t>
  </si>
  <si>
    <t>file://conllu/de/teddy-1319.conllu#s265_0</t>
  </si>
  <si>
    <t>266</t>
  </si>
  <si>
    <t>lade</t>
  </si>
  <si>
    <t>Ich lade jeden im in dem Publikum , nicht nur hier in Vancouver , sondern in der ganzen Welt ein , sich anzuschließen und mitzumachen .</t>
  </si>
  <si>
    <t>file://conllu/de/teddy-1319.conllu#s266_0</t>
  </si>
  <si>
    <t>267</t>
  </si>
  <si>
    <t>CA : Hast du eine Frage an Ed ? TBL : Zwei Fragen : eine allgemeine Frage ... CA : Ed , kannst du uns noch hören ?</t>
  </si>
  <si>
    <t>file://conllu/de/teddy-1319.conllu#s267_0</t>
  </si>
  <si>
    <t>268</t>
  </si>
  <si>
    <t>ES : Ja , ich kann dich hören .</t>
  </si>
  <si>
    <t>file://conllu/de/teddy-1319.conllu#s268_0</t>
  </si>
  <si>
    <t>269</t>
  </si>
  <si>
    <t>CA : Er ist wieder da .</t>
  </si>
  <si>
    <t>file://conllu/de/teddy-1319.conllu#s269_0</t>
  </si>
  <si>
    <t>270</t>
  </si>
  <si>
    <t>TBL : Die Wanze an deiner Leitung hatte für einen Moment Schluckauf .</t>
  </si>
  <si>
    <t>file://conllu/de/teddy-1319.conllu#s270_0</t>
  </si>
  <si>
    <t>271</t>
  </si>
  <si>
    <t>Lach</t>
  </si>
  <si>
    <t>( Lachen ) ES : Es ist ein kleines NSA Problem .</t>
  </si>
  <si>
    <t>file://conllu/de/teddy-1319.conllu#s271_0</t>
  </si>
  <si>
    <t>272</t>
  </si>
  <si>
    <t>zurücktreten</t>
  </si>
  <si>
    <t>TBL : Wenn wir von den 25 Jahren einen Schritt zurücktreten und nachdenken , was denkst du , wäre das Beste , was wir erreichen könnten , aus all den Diskussionen , die wir über das Netz führen , das wir haben wollen ?</t>
  </si>
  <si>
    <t>file://conllu/de/teddy-1319.conllu#s272_0</t>
  </si>
  <si>
    <t>273</t>
  </si>
  <si>
    <t>ES : Wenn wir darüber nachdenken , was wir erreichen können , dann , denke ich , wird das nur begrenzt durch das , was wir bereit sind , hineinzustecken Ich denke , das Internet , in dessen Genuss wir in der Vergangenheit gekommen sind , ist genau das , was wir nicht nur als Nation , sondern als ein Volk in aller Welt brauchen und das wir verteidigen müssen , indem wir kooperieren , indem wir nicht nur die technologischen Gesellschaftsanteile einbeziehen , sondern , wie du sagtest , die Nutzer , die Leute in aller Welt , die beitragen durch das Internet , durch soziale Medien , die nur nach dem Wetter sehen , die darauf als alltäglichen Teil ihres Lebens angewiesen sind .</t>
  </si>
  <si>
    <t>file://conllu/de/teddy-1319.conllu#s273_0</t>
  </si>
  <si>
    <t>274</t>
  </si>
  <si>
    <t>erhalten</t>
  </si>
  <si>
    <t>Wir erhalten nicht nur das Internet , das wir hatten , sondern ein besseres Internet , ein besseres Jetzt , etwas , das wir nutzen können , um eine Zukunft aufzubauen , die nicht nur besser sein wird , als wir erhoffen , sondern besser , als wir uns vorstellen können .</t>
  </si>
  <si>
    <t>file://conllu/de/teddy-1319.conllu#s274_0</t>
  </si>
  <si>
    <t>275</t>
  </si>
  <si>
    <t>gründen</t>
  </si>
  <si>
    <t>CA : Vor 30 Jahren wurde TED gegründet , 1984 .</t>
  </si>
  <si>
    <t>file://conllu/de/teddy-1319.conllu#s275_0</t>
  </si>
  <si>
    <t>276</t>
  </si>
  <si>
    <t>drehen</t>
  </si>
  <si>
    <t>Viele Gespräche habe sich seither darum gedreht , dass George Orwell sich getäuscht hat .</t>
  </si>
  <si>
    <t>file://conllu/de/teddy-1319.conllu#s276_0</t>
  </si>
  <si>
    <t>277</t>
  </si>
  <si>
    <t>sein (sein Bruder)</t>
  </si>
  <si>
    <t>Es ist nicht der Große Bruder , der uns überwacht .</t>
  </si>
  <si>
    <t>file://conllu/de/teddy-1319.conllu#s277_0</t>
  </si>
  <si>
    <t>278</t>
  </si>
  <si>
    <t>krafen</t>
  </si>
  <si>
    <t>Wir , kraft der Macht des Netzes und der Transparenz , überwachen nun den Großen Bruder .</t>
  </si>
  <si>
    <t>file://conllu/de/teddy-1319.conllu#s278_0</t>
  </si>
  <si>
    <t>279</t>
  </si>
  <si>
    <t>Durch?</t>
  </si>
  <si>
    <t>treiben</t>
  </si>
  <si>
    <t>Deine Enthüllungen haben einen Holzpflock durch das Herz dieser recht optimistischen Sicht getrieben , aber du glaubst dennoch , dass es einen Weg gibt , etwas dagegen zu tun .</t>
  </si>
  <si>
    <t>file://conllu/de/teddy-1319.conllu#s279_0</t>
  </si>
  <si>
    <t>280</t>
  </si>
  <si>
    <t>auch</t>
  </si>
  <si>
    <t>Und das tust du auch .</t>
  </si>
  <si>
    <t>file://conllu/de/teddy-1319.conllu#s280_0</t>
  </si>
  <si>
    <t>281</t>
  </si>
  <si>
    <t>ES : Richtig .</t>
  </si>
  <si>
    <t>file://conllu/de/teddy-1319.conllu#s281_0</t>
  </si>
  <si>
    <t>282</t>
  </si>
  <si>
    <t>argumentieren</t>
  </si>
  <si>
    <t>Man kann argumentieren , dass die Möglichkeiten des Großen Bruders gewaltig zugenommen haben .</t>
  </si>
  <si>
    <t>file://conllu/de/teddy-1319.conllu#s282_0</t>
  </si>
  <si>
    <t>283</t>
  </si>
  <si>
    <t>Es gab kürzlich einen juristischen Aufsatz in Yale , der das sogenannte Bankston Soltani Prinzip formulierte .</t>
  </si>
  <si>
    <t>file://conllu/de/teddy-1319.conllu#s283_0</t>
  </si>
  <si>
    <t>284</t>
  </si>
  <si>
    <t>Es besagt , dass unser Anspruch auf Privatsphäre verletzt wird , wenn die Technologien staatlicher Überwachung um einen Faktor zehn billiger geworden sind .</t>
  </si>
  <si>
    <t>file://conllu/de/teddy-1319.conllu#s284_0</t>
  </si>
  <si>
    <t>285</t>
  </si>
  <si>
    <t>Jedes Mal , wenn das passiert , müssen wir uns aufs auf das Neue mit unserem Recht auf Datenschutz beschäftigen und es anpassen .</t>
  </si>
  <si>
    <t>file://conllu/de/teddy-1319.conllu#s285_0</t>
  </si>
  <si>
    <t>286</t>
  </si>
  <si>
    <t>sein (sein geschehen)</t>
  </si>
  <si>
    <t>Nun ist das nicht mehr geschehen , seit die Überwachungstechnologien der Regierung um ein Vielfaches des Faktors zehn zugenommen haben , und deshalb stecken wir in den heutigen Schwierigkeiten .</t>
  </si>
  <si>
    <t>file://conllu/de/teddy-1319.conllu#s286_0</t>
  </si>
  <si>
    <t>287</t>
  </si>
  <si>
    <t>Aber es gibt immer noch Hoffnung , weil auch die Macht des Einzelnen durch Technologie zugenommen hat .</t>
  </si>
  <si>
    <t>file://conllu/de/teddy-1319.conllu#s287_0</t>
  </si>
  <si>
    <t>288</t>
  </si>
  <si>
    <t>sein (sein Beweis)</t>
  </si>
  <si>
    <t>Ich bin der lebende Beweis , dass ein Einzelner den mächtigsten Gegnern die Stirn bieten kann , den mächtigsten Nachrichtendiensten der Welt , und gewinnen kann .</t>
  </si>
  <si>
    <t>file://conllu/de/teddy-1319.conllu#s288_0</t>
  </si>
  <si>
    <t>289</t>
  </si>
  <si>
    <t>Das ist etwas , das wir brauchen , um daraus Hoffnung zu schöpfen und darauf aufzubauen , um es nicht nur technischen Fachleuten zugänglich zu machen , sondern einfachen Bürgern in aller Welt .</t>
  </si>
  <si>
    <t>file://conllu/de/teddy-1319.conllu#s289_0</t>
  </si>
  <si>
    <t>290</t>
  </si>
  <si>
    <t>sein (sein Verbrechen)</t>
  </si>
  <si>
    <t>Journalismus ist kein Verbrechen .</t>
  </si>
  <si>
    <t>file://conllu/de/teddy-1319.conllu#s290_0</t>
  </si>
  <si>
    <t>291</t>
  </si>
  <si>
    <t>Kommunikation ist kein Verbrechen , und wir sollten bei unseren Aktivitäten im in dem Alltag nicht überwacht werden .</t>
  </si>
  <si>
    <t>file://conllu/de/teddy-1319.conllu#s291_0</t>
  </si>
  <si>
    <t>292</t>
  </si>
  <si>
    <t>CA .</t>
  </si>
  <si>
    <t>file://conllu/de/teddy-1319.conllu#s292_0</t>
  </si>
  <si>
    <t>293</t>
  </si>
  <si>
    <t>Ich bin mit nicht sicher , wie man einem Bot die Hand schüttelt , aber ich schätze , das hier ist die Hand .</t>
  </si>
  <si>
    <t>file://conllu/de/teddy-1319.conllu#s293_0</t>
  </si>
  <si>
    <t>294</t>
  </si>
  <si>
    <t>TBL : Auch die kommt sehr bald .</t>
  </si>
  <si>
    <t>file://conllu/de/teddy-1319.conllu#s294_0</t>
  </si>
  <si>
    <t>295</t>
  </si>
  <si>
    <t>ES : Es freut mich , Sie kennenzulernen .</t>
  </si>
  <si>
    <t>file://conllu/de/teddy-1319.conllu#s295_0</t>
  </si>
  <si>
    <t>296</t>
  </si>
  <si>
    <t>hoffen</t>
  </si>
  <si>
    <t>Ich hoffe , meine Übertragung sieht so gut aus wie mein Bild von euch zwei .</t>
  </si>
  <si>
    <t>file://conllu/de/teddy-1319.conllu#s296_0</t>
  </si>
  <si>
    <t>297</t>
  </si>
  <si>
    <t>Rank|Danke</t>
  </si>
  <si>
    <t>CA : Danke , Tim .</t>
  </si>
  <si>
    <t>file://conllu/de/teddy-1319.conllu#s297_0</t>
  </si>
  <si>
    <t>298</t>
  </si>
  <si>
    <t>Die New York Times forderte kürzlich eine Amnestie für dich .</t>
  </si>
  <si>
    <t>file://conllu/de/teddy-1319.conllu#s298_0</t>
  </si>
  <si>
    <t>299</t>
  </si>
  <si>
    <t>zurückzukommen</t>
  </si>
  <si>
    <t>Würdest du die Chance , nach Amerika zurückzukommen , begrüßen ?</t>
  </si>
  <si>
    <t>file://conllu/de/teddy-1319.conllu#s299_0</t>
  </si>
  <si>
    <t>300</t>
  </si>
  <si>
    <t>file://conllu/de/teddy-1319.conllu#s300_0</t>
  </si>
  <si>
    <t>301</t>
  </si>
  <si>
    <t>Das steht außer Frage .</t>
  </si>
  <si>
    <t>file://conllu/de/teddy-1319.conllu#s301_0</t>
  </si>
  <si>
    <t>302</t>
  </si>
  <si>
    <t>sein (sein Interesse)</t>
  </si>
  <si>
    <t>Die Prinzipien , die die Grundlage dieses Projektes bilden , sind das öffentliche Interesse und die Prinzipen , die den etablierten journalistischen Organen in den USA und rund um die Welt zugrundeliegen , und ich denke , wenn die Presse sagt , wir unterstützen das , das ist etwas , das passieren muss , dann ist das ein kräftiges Argument , aber es ist nicht das letzte Argument .</t>
  </si>
  <si>
    <t>file://conllu/de/teddy-1319.conllu#s302_0</t>
  </si>
  <si>
    <t>303</t>
  </si>
  <si>
    <t>Ich denke , das ist etwas , das die Öffentlichkeit entscheiden sollte .</t>
  </si>
  <si>
    <t>file://conllu/de/teddy-1319.conllu#s303_0</t>
  </si>
  <si>
    <t>304</t>
  </si>
  <si>
    <t>angedeuten</t>
  </si>
  <si>
    <t>Aber zur zu der gleichen Zeit hat die Regierung angedeutet , dass sie eine Art Handel wünscht , dass sie möchte , dass ich die Journalisten , die mit mir gearbeitet haben , kompromittiere , damit ich zurückkommen kann .</t>
  </si>
  <si>
    <t>file://conllu/de/teddy-1319.conllu#s304_0</t>
  </si>
  <si>
    <t>305</t>
  </si>
  <si>
    <t>Ich möchte sehr deutlich machen , dass ich das nicht für meine Sicherheit getan habe .</t>
  </si>
  <si>
    <t>file://conllu/de/teddy-1319.conllu#s305_0</t>
  </si>
  <si>
    <t>306</t>
  </si>
  <si>
    <t>Ich habe das getan , um das Richtige zu tun , und ich werde meine Arbeit für das öffentliche Interesse nicht zu meinem eigenen Vorteil aufgeben .</t>
  </si>
  <si>
    <t>file://conllu/de/teddy-1319.conllu#s306_0</t>
  </si>
  <si>
    <t>307</t>
  </si>
  <si>
    <t>Zwischenzeit</t>
  </si>
  <si>
    <t>CA : In der Zwischenzeit , dank des Internets und dieser Technologie , bist du wieder zurück in Nordamerika , nicht ganz die USA , aber in Kanada in dieser Form .</t>
  </si>
  <si>
    <t>file://conllu/de/teddy-1319.conllu#s307_0</t>
  </si>
  <si>
    <t>308</t>
  </si>
  <si>
    <t>sein (sein neugierig)</t>
  </si>
  <si>
    <t>Ich bin neugierig , wie fühlt sich das an ?</t>
  </si>
  <si>
    <t>file://conllu/de/teddy-1319.conllu#s308_0</t>
  </si>
  <si>
    <t>309</t>
  </si>
  <si>
    <t>sein (sein anders)</t>
  </si>
  <si>
    <t>ES : Kanada ist anders , als ich es erwartet hatte .</t>
  </si>
  <si>
    <t>file://conllu/de/teddy-1319.conllu#s309_0</t>
  </si>
  <si>
    <t>310</t>
  </si>
  <si>
    <t>sein (sein wärmer)</t>
  </si>
  <si>
    <t>Es ist viel wärmer .</t>
  </si>
  <si>
    <t>file://conllu/de/teddy-1319.conllu#s310_0</t>
  </si>
  <si>
    <t>311</t>
  </si>
  <si>
    <t>sein (sein Idee)</t>
  </si>
  <si>
    <t>CA : Die Mission von TED sind &amp;quot; Ideen mit Verbreitungswert &amp;quot; .</t>
  </si>
  <si>
    <t>file://conllu/de/teddy-1319.conllu#s311_0</t>
  </si>
  <si>
    <t>312</t>
  </si>
  <si>
    <t>zusammenfassen</t>
  </si>
  <si>
    <t>Wenn du es in einer einzigen Idee zusammenfassen könntest , Was ist deine Idee , die es wert ist , hier und jetzt verbreitet zu werden ?</t>
  </si>
  <si>
    <t>file://conllu/de/teddy-1319.conllu#s312_0</t>
  </si>
  <si>
    <t>313</t>
  </si>
  <si>
    <t>erinnern (erinnern sagen)</t>
  </si>
  <si>
    <t>ES : Ich würde sagen , dass das letzte Jahr uns daran erinnert hat , dass Demokratie hinter verschlossenen Türen sterben kann , aber wir als Individuen werden hinter denselben verschlossenen Türen geboren , und wir müssen unsere Privatspäre nicht aufgeben , um eine gute Regierung zu haben .</t>
  </si>
  <si>
    <t>file://conllu/de/teddy-1319.conllu#s313_0</t>
  </si>
  <si>
    <t>314</t>
  </si>
  <si>
    <t>aufgeben</t>
  </si>
  <si>
    <t>Wir müssen unsere Freiheit nicht aufgeben , um Sicherheit zu haben .</t>
  </si>
  <si>
    <t>file://conllu/de/teddy-1319.conllu#s314_0</t>
  </si>
  <si>
    <t>315</t>
  </si>
  <si>
    <t>Und ich denke , indem wir zusammenarbeiten , können wir eine offene Regierung haben und Privatsphäre .</t>
  </si>
  <si>
    <t>file://conllu/de/teddy-1319.conllu#s315_0</t>
  </si>
  <si>
    <t>316</t>
  </si>
  <si>
    <t>freuen</t>
  </si>
  <si>
    <t>Ich freue mich darauf , mit jedem in der Welt zusammenzuarbeiten , um das durchzusetzen .</t>
  </si>
  <si>
    <t>file://conllu/de/teddy-1319.conllu#s316_0</t>
  </si>
  <si>
    <t>317</t>
  </si>
  <si>
    <t>danken</t>
  </si>
  <si>
    <t>Ich danke euch sehr .</t>
  </si>
  <si>
    <t>file://conllu/de/teddy-1319.conllu#s317_0</t>
  </si>
  <si>
    <t>318</t>
  </si>
  <si>
    <t>CA : Ed , danke !</t>
  </si>
  <si>
    <t>file://conllu/de/teddy-1319.conllu#s318_0</t>
  </si>
  <si>
    <t>WORD</t>
  </si>
  <si>
    <t>GR</t>
  </si>
  <si>
    <t>NP_TYPE</t>
  </si>
  <si>
    <t>REF_AUTO</t>
  </si>
  <si>
    <t>COREF</t>
  </si>
  <si>
    <t>REF</t>
  </si>
  <si>
    <t>IS</t>
  </si>
  <si>
    <t>CB</t>
  </si>
  <si>
    <t>GR_ANTE</t>
  </si>
  <si>
    <t>REF_DIST</t>
  </si>
  <si>
    <t>REF_DIST_ANTE</t>
  </si>
  <si>
    <t># text = Chris Anderson: Bürgerrechte, die Zukunft des Internet.</t>
  </si>
  <si>
    <t>other</t>
  </si>
  <si>
    <t>ne</t>
  </si>
  <si>
    <t>?OLD</t>
  </si>
  <si>
    <t>Anderson</t>
  </si>
  <si>
    <t>:</t>
  </si>
  <si>
    <t>Bürgerrechte</t>
  </si>
  <si>
    <t>indef-np.bare</t>
  </si>
  <si>
    <t>,</t>
  </si>
  <si>
    <t>die</t>
  </si>
  <si>
    <t>Zukunft</t>
  </si>
  <si>
    <t>def-np.the</t>
  </si>
  <si>
    <t>des</t>
  </si>
  <si>
    <t>Internet</t>
  </si>
  <si>
    <t>other_2</t>
  </si>
  <si>
    <t># text = Ich möchte auf der Bühne von TED den Mann hinter diesen Enthüllungen begrüßen: Ed Snowden.</t>
  </si>
  <si>
    <t>Ich</t>
  </si>
  <si>
    <t>SBJ</t>
  </si>
  <si>
    <t>pron.pper</t>
  </si>
  <si>
    <t>möchte</t>
  </si>
  <si>
    <t>auf</t>
  </si>
  <si>
    <t>der</t>
  </si>
  <si>
    <t>Bühne</t>
  </si>
  <si>
    <t>von</t>
  </si>
  <si>
    <t>TED</t>
  </si>
  <si>
    <t>den</t>
  </si>
  <si>
    <t>Mann</t>
  </si>
  <si>
    <t>OBJ</t>
  </si>
  <si>
    <t>hinter</t>
  </si>
  <si>
    <t>diesen</t>
  </si>
  <si>
    <t>other_3</t>
  </si>
  <si>
    <t>pron.pds</t>
  </si>
  <si>
    <t>Enthüllungen</t>
  </si>
  <si>
    <t>def-np.dem</t>
  </si>
  <si>
    <t>Ed</t>
  </si>
  <si>
    <t>Snowden</t>
  </si>
  <si>
    <t># text = (Applaus) Ed hält sich an einem entfernten Ort in Russland auf.</t>
  </si>
  <si>
    <t>(</t>
  </si>
  <si>
    <t>Applaus</t>
  </si>
  <si>
    <t>)</t>
  </si>
  <si>
    <t>hält</t>
  </si>
  <si>
    <t>sich</t>
  </si>
  <si>
    <t>an</t>
  </si>
  <si>
    <t>einem</t>
  </si>
  <si>
    <t>entfernten</t>
  </si>
  <si>
    <t>Ort</t>
  </si>
  <si>
    <t>indef-np.a</t>
  </si>
  <si>
    <t>in</t>
  </si>
  <si>
    <t>Russland</t>
  </si>
  <si>
    <t># text = Er steuert diesen Roboter von seinem Laptop aus.</t>
  </si>
  <si>
    <t>Er</t>
  </si>
  <si>
    <t>steuert</t>
  </si>
  <si>
    <t>Roboter</t>
  </si>
  <si>
    <t>seinem</t>
  </si>
  <si>
    <t>Laptop</t>
  </si>
  <si>
    <t>indef-np</t>
  </si>
  <si>
    <t>aus</t>
  </si>
  <si>
    <t># text = Er sieht, was der Bot sieht.</t>
  </si>
  <si>
    <t>sieht</t>
  </si>
  <si>
    <t>was</t>
  </si>
  <si>
    <t>OBJ_2</t>
  </si>
  <si>
    <t>pron</t>
  </si>
  <si>
    <t>Bot</t>
  </si>
  <si>
    <t>SBJ_2</t>
  </si>
  <si>
    <t># text = Ed, willkommen bei TED!</t>
  </si>
  <si>
    <t>bei</t>
  </si>
  <si>
    <t>!</t>
  </si>
  <si>
    <t># text = Was kannst du eigentlich wirklich sehen?</t>
  </si>
  <si>
    <t>Was</t>
  </si>
  <si>
    <t>kannst</t>
  </si>
  <si>
    <t>eigentlich</t>
  </si>
  <si>
    <t>wirklich</t>
  </si>
  <si>
    <t>?</t>
  </si>
  <si>
    <t># text = Edward Snowden:</t>
  </si>
  <si>
    <t># text = Ich kann alle sehen.</t>
  </si>
  <si>
    <t>kann</t>
  </si>
  <si>
    <t>alle</t>
  </si>
  <si>
    <t>pron.pind</t>
  </si>
  <si>
    <t># text = Es ist fantastisch.</t>
  </si>
  <si>
    <t>Es</t>
  </si>
  <si>
    <t>ist</t>
  </si>
  <si>
    <t>fantastisch</t>
  </si>
  <si>
    <t># text = (Lachen im Publikum) CA: Ed, ich habe ein paar Fragen an dich.</t>
  </si>
  <si>
    <t>dem</t>
  </si>
  <si>
    <t>Publikum</t>
  </si>
  <si>
    <t>CA</t>
  </si>
  <si>
    <t>ich</t>
  </si>
  <si>
    <t>habe</t>
  </si>
  <si>
    <t>paar</t>
  </si>
  <si>
    <t>Fragen</t>
  </si>
  <si>
    <t>dich</t>
  </si>
  <si>
    <t># text = Man hat dich vieles genannt in den letzten Monaten: einen Whistleblower, einen Verräter, einen Helden.</t>
  </si>
  <si>
    <t>Man</t>
  </si>
  <si>
    <t>hat</t>
  </si>
  <si>
    <t>vieles</t>
  </si>
  <si>
    <t>genannt</t>
  </si>
  <si>
    <t>letzten</t>
  </si>
  <si>
    <t>Monaten</t>
  </si>
  <si>
    <t>einen</t>
  </si>
  <si>
    <t>Whistleblower</t>
  </si>
  <si>
    <t>other_4</t>
  </si>
  <si>
    <t>Helden</t>
  </si>
  <si>
    <t># text = In welchen Worten würdest du dich beschreiben?</t>
  </si>
  <si>
    <t>In</t>
  </si>
  <si>
    <t>welchen</t>
  </si>
  <si>
    <t>pron.pint</t>
  </si>
  <si>
    <t>Worten</t>
  </si>
  <si>
    <t>würdest</t>
  </si>
  <si>
    <t># text = ES: Jeder, der an dieser Debatte beteiligt ist, hat sich mit mir und meiner Persönlichkeit beschäftigt und damit, wie man mich beschreiben sollte.</t>
  </si>
  <si>
    <t>ES</t>
  </si>
  <si>
    <t>Jeder</t>
  </si>
  <si>
    <t>SBJ_4</t>
  </si>
  <si>
    <t>dieser</t>
  </si>
  <si>
    <t>other_5</t>
  </si>
  <si>
    <t>beteiligt</t>
  </si>
  <si>
    <t>mit</t>
  </si>
  <si>
    <t>mir</t>
  </si>
  <si>
    <t>und</t>
  </si>
  <si>
    <t>meiner</t>
  </si>
  <si>
    <t>pron.ppos</t>
  </si>
  <si>
    <t>Persönlichkeit</t>
  </si>
  <si>
    <t>beschäftigt</t>
  </si>
  <si>
    <t>damit</t>
  </si>
  <si>
    <t>pron.padv</t>
  </si>
  <si>
    <t>wie</t>
  </si>
  <si>
    <t>man</t>
  </si>
  <si>
    <t>SBJ_3</t>
  </si>
  <si>
    <t>mich</t>
  </si>
  <si>
    <t>OBJ_3</t>
  </si>
  <si>
    <t>sollte</t>
  </si>
  <si>
    <t># text = Aber, wenn ich darüber nachdenke: Das ist nicht die Frage, mit der wir ringen sollten.</t>
  </si>
  <si>
    <t>Aber</t>
  </si>
  <si>
    <t>wenn</t>
  </si>
  <si>
    <t>darüber</t>
  </si>
  <si>
    <t>nachdenke</t>
  </si>
  <si>
    <t>Das</t>
  </si>
  <si>
    <t>nicht</t>
  </si>
  <si>
    <t>Frage</t>
  </si>
  <si>
    <t>ringen</t>
  </si>
  <si>
    <t>sollten</t>
  </si>
  <si>
    <t># text = Wer ich bin, spielt keine Rolle.</t>
  </si>
  <si>
    <t>Wer</t>
  </si>
  <si>
    <t>bin</t>
  </si>
  <si>
    <t>spielt</t>
  </si>
  <si>
    <t>keine</t>
  </si>
  <si>
    <t>Rolle</t>
  </si>
  <si>
    <t>indef-np.quant</t>
  </si>
  <si>
    <t># text = Wenn ich der schlimmste Mensch der Welt bin, kann man mich hassen und zur Tagesordnung übergehen.</t>
  </si>
  <si>
    <t>Wenn</t>
  </si>
  <si>
    <t>schlimmste</t>
  </si>
  <si>
    <t>Mensch</t>
  </si>
  <si>
    <t>Welt</t>
  </si>
  <si>
    <t>zu</t>
  </si>
  <si>
    <t>Tagesordnung</t>
  </si>
  <si>
    <t># text = Was zählt, sind die Sachfragen.</t>
  </si>
  <si>
    <t>zählt</t>
  </si>
  <si>
    <t>sind</t>
  </si>
  <si>
    <t>Sachfragen</t>
  </si>
  <si>
    <t># text = Was zählt, ist die Art von Regierung, die wir wollen, die Art von Internet, die wir wollen, die Art von Beziehung zwischen Menschen und Gesellschaften.</t>
  </si>
  <si>
    <t>Art</t>
  </si>
  <si>
    <t>Regierung</t>
  </si>
  <si>
    <t>wollen</t>
  </si>
  <si>
    <t>OBJ_4</t>
  </si>
  <si>
    <t>SBJ_7</t>
  </si>
  <si>
    <t>OBJ_7</t>
  </si>
  <si>
    <t>Beziehung</t>
  </si>
  <si>
    <t>other_8</t>
  </si>
  <si>
    <t>zwischen</t>
  </si>
  <si>
    <t>Menschen</t>
  </si>
  <si>
    <t>other_9</t>
  </si>
  <si>
    <t>Gesellschaften</t>
  </si>
  <si>
    <t>other_10</t>
  </si>
  <si>
    <t># text = Das ist die Richtung, die ich mir für diese Diskussion erhoffe.</t>
  </si>
  <si>
    <t>Richtung</t>
  </si>
  <si>
    <t>für</t>
  </si>
  <si>
    <t>diese</t>
  </si>
  <si>
    <t>Diskussion</t>
  </si>
  <si>
    <t>erhoffe</t>
  </si>
  <si>
    <t># text = Wir haben gesehen, dass dies zunehmend der Fall ist.</t>
  </si>
  <si>
    <t>Wir</t>
  </si>
  <si>
    <t>gesehen</t>
  </si>
  <si>
    <t>dass</t>
  </si>
  <si>
    <t>dies</t>
  </si>
  <si>
    <t>zunehmend</t>
  </si>
  <si>
    <t>--</t>
  </si>
  <si>
    <t># text = Wenn ich mich beschreiben müsste, würde ich keine Wörter wie \"Held\" benutzen, Ich würde nicht \"Patriot\" sagen oder \"Verräter\".</t>
  </si>
  <si>
    <t>müsste</t>
  </si>
  <si>
    <t>würde</t>
  </si>
  <si>
    <t>Wörter</t>
  </si>
  <si>
    <t>&amp;quot;</t>
  </si>
  <si>
    <t>Held</t>
  </si>
  <si>
    <t>benutzen</t>
  </si>
  <si>
    <t>Patriot</t>
  </si>
  <si>
    <t>oder</t>
  </si>
  <si>
    <t># text = Ich würde sagen, ich bin Amerikaner und ein Bürger, so wie jeder andere auch.</t>
  </si>
  <si>
    <t>Amerikaner</t>
  </si>
  <si>
    <t>Bürger</t>
  </si>
  <si>
    <t>so</t>
  </si>
  <si>
    <t>jeder</t>
  </si>
  <si>
    <t>andere</t>
  </si>
  <si>
    <t># text = CA: Um jenen etwas Kontext zu liefern, die nicht mit der ganzen Geschichte vertraut sind:</t>
  </si>
  <si>
    <t>Um</t>
  </si>
  <si>
    <t>jenen</t>
  </si>
  <si>
    <t>etwas</t>
  </si>
  <si>
    <t>Kontext</t>
  </si>
  <si>
    <t>ganzen</t>
  </si>
  <si>
    <t>Geschichte</t>
  </si>
  <si>
    <t>vertraut</t>
  </si>
  <si>
    <t># text = Vor einem Jahr warst du noch in Hawaii und hast im Auftrag der NSA gearbeitet.</t>
  </si>
  <si>
    <t>Vor</t>
  </si>
  <si>
    <t>Jahr</t>
  </si>
  <si>
    <t>warst</t>
  </si>
  <si>
    <t>noch</t>
  </si>
  <si>
    <t>Hawaii</t>
  </si>
  <si>
    <t>hast</t>
  </si>
  <si>
    <t>Auftrag</t>
  </si>
  <si>
    <t>def-np.poss</t>
  </si>
  <si>
    <t>NSA</t>
  </si>
  <si>
    <t>gearbeitet</t>
  </si>
  <si>
    <t># text = Als Systemadministrator hattest du Zugang zu ihren Systemen.</t>
  </si>
  <si>
    <t>Als</t>
  </si>
  <si>
    <t>Systemadministrator</t>
  </si>
  <si>
    <t>hattest</t>
  </si>
  <si>
    <t>Zugang</t>
  </si>
  <si>
    <t>ihren</t>
  </si>
  <si>
    <t>Systemen</t>
  </si>
  <si>
    <t># text = Du hast angefangen, vertrauliche Dokumente ausgewählten Journalisten zu übergeben.</t>
  </si>
  <si>
    <t>Du</t>
  </si>
  <si>
    <t>angefangen</t>
  </si>
  <si>
    <t>vertrauliche</t>
  </si>
  <si>
    <t>Dokumente</t>
  </si>
  <si>
    <t>ausgewählten</t>
  </si>
  <si>
    <t>Journalisten</t>
  </si>
  <si>
    <t># text = Das hat dann zu den Enthüllungen im Juni geführt.</t>
  </si>
  <si>
    <t>dann</t>
  </si>
  <si>
    <t>Juni</t>
  </si>
  <si>
    <t>geführt</t>
  </si>
  <si>
    <t># text = Was hat dich dazu veranlasst?</t>
  </si>
  <si>
    <t>dazu</t>
  </si>
  <si>
    <t>veranlasst</t>
  </si>
  <si>
    <t># text = ES: Weißt du, als ich auf Hawaii saß, und in den Jahren davor, als ich für die Nachrichtendienste arbeitete, sah ich viele Dinge, die mich beunruhigten.</t>
  </si>
  <si>
    <t>Weißt</t>
  </si>
  <si>
    <t>als</t>
  </si>
  <si>
    <t>saß</t>
  </si>
  <si>
    <t>Jahren</t>
  </si>
  <si>
    <t>davor</t>
  </si>
  <si>
    <t>Nachrichtendienste</t>
  </si>
  <si>
    <t>arbeitete</t>
  </si>
  <si>
    <t>sah</t>
  </si>
  <si>
    <t>viele</t>
  </si>
  <si>
    <t>Dinge</t>
  </si>
  <si>
    <t>SBJ_5</t>
  </si>
  <si>
    <t>OBJ_5</t>
  </si>
  <si>
    <t>beunruhigten</t>
  </si>
  <si>
    <t># text = Wir tun viel Gutes in den Nachrichtendiensten, Dinge, die getan werden müssen, Dinge, die allen helfen.</t>
  </si>
  <si>
    <t>viel</t>
  </si>
  <si>
    <t>Gutes</t>
  </si>
  <si>
    <t>Nachrichtendiensten</t>
  </si>
  <si>
    <t>getan</t>
  </si>
  <si>
    <t>müssen</t>
  </si>
  <si>
    <t>allen</t>
  </si>
  <si>
    <t># text = Aber es gibt auch Dinge, die zu weit gehen.</t>
  </si>
  <si>
    <t>gibt</t>
  </si>
  <si>
    <t>weit</t>
  </si>
  <si>
    <t># text = Da sind Dinge, die man nicht tun sollte, und Entscheidungen, die im Geheimen getroffen wurden, von denen die Öffentlichkeit nichts wusste, ohne Zustimmung der Öffentlichkeit, und sogar unsere Regierungsvertreter wussten nichts von diesen Programmen.</t>
  </si>
  <si>
    <t>Da</t>
  </si>
  <si>
    <t>Entscheidungen</t>
  </si>
  <si>
    <t>Geheimen</t>
  </si>
  <si>
    <t>getroffen</t>
  </si>
  <si>
    <t>wurden</t>
  </si>
  <si>
    <t>denen</t>
  </si>
  <si>
    <t>Öffentlichkeit</t>
  </si>
  <si>
    <t>nichts</t>
  </si>
  <si>
    <t>wusste</t>
  </si>
  <si>
    <t>ohne</t>
  </si>
  <si>
    <t>Zustimmung</t>
  </si>
  <si>
    <t>sogar</t>
  </si>
  <si>
    <t>unsere</t>
  </si>
  <si>
    <t>Regierungsvertreter</t>
  </si>
  <si>
    <t>wussten</t>
  </si>
  <si>
    <t>Programmen</t>
  </si>
  <si>
    <t># text = Als ich anfing, mich an diesen Problemen zu stoßen, habe ich mich gefragt: Wie kann ich diese Sache so verantwortungsbewusst wie möglich angehen, damit die Öffentlichkeit den maximalen Nutzen zieht, aber die Risiken minimal bleiben?</t>
  </si>
  <si>
    <t>anfing</t>
  </si>
  <si>
    <t>Problemen</t>
  </si>
  <si>
    <t>stoßen</t>
  </si>
  <si>
    <t>gefragt</t>
  </si>
  <si>
    <t>Wie</t>
  </si>
  <si>
    <t>verantwortungsbewusst</t>
  </si>
  <si>
    <t>möglich</t>
  </si>
  <si>
    <t>angehen</t>
  </si>
  <si>
    <t>maximalen</t>
  </si>
  <si>
    <t>Nutzen</t>
  </si>
  <si>
    <t>zieht</t>
  </si>
  <si>
    <t>aber</t>
  </si>
  <si>
    <t>Risiken</t>
  </si>
  <si>
    <t>minimal</t>
  </si>
  <si>
    <t>bleiben</t>
  </si>
  <si>
    <t># text = Bei allen Lösungen, die mir einfielen, außer "Ich wende mich an den Kongress", wenn es keine Gesetze gab, wenn es keinen rechtlichen Schutz gab für eine angestellte Privatperson, für einen Subunternehmer im Nachrichtendienst wie mich, bestand das Risiko, dass man mich mit der Information begraben würde, ohne dass die Öffentlichkeit davon je erführe.</t>
  </si>
  <si>
    <t>Bei</t>
  </si>
  <si>
    <t>Lösungen</t>
  </si>
  <si>
    <t>einfielen</t>
  </si>
  <si>
    <t>außer</t>
  </si>
  <si>
    <t>wende</t>
  </si>
  <si>
    <t>Kongress</t>
  </si>
  <si>
    <t>Gesetze</t>
  </si>
  <si>
    <t>gab</t>
  </si>
  <si>
    <t>keinen</t>
  </si>
  <si>
    <t>rechtlichen</t>
  </si>
  <si>
    <t>Schutz</t>
  </si>
  <si>
    <t>eine</t>
  </si>
  <si>
    <t>angestellte</t>
  </si>
  <si>
    <t>Privatperson</t>
  </si>
  <si>
    <t>Subunternehmer</t>
  </si>
  <si>
    <t>Nachrichtendienst</t>
  </si>
  <si>
    <t>other_6</t>
  </si>
  <si>
    <t>other_7</t>
  </si>
  <si>
    <t>bestand</t>
  </si>
  <si>
    <t>das</t>
  </si>
  <si>
    <t>Risiko</t>
  </si>
  <si>
    <t>Information</t>
  </si>
  <si>
    <t>begraben</t>
  </si>
  <si>
    <t>davon</t>
  </si>
  <si>
    <t>je</t>
  </si>
  <si>
    <t>erführe</t>
  </si>
  <si>
    <t># text = Aber der erste Zusatzartikel der amerikanischen Verfassung garantiert uns die Pressefreiheit aus gutem Grund, nämlich um eine Presse zu ermöglichen, die unbequem ist, die die Regierung herausfordert, aber auch mit der Regierung arbeitet, um Dialog und Debatte zu ermöglichen, wie wir die Öffentlichkeit über entscheidende Fragen informieren können, ohne die nationale Sicherheit zu gefährden.</t>
  </si>
  <si>
    <t>erste</t>
  </si>
  <si>
    <t>Zusatzartikel</t>
  </si>
  <si>
    <t>amerikanischen</t>
  </si>
  <si>
    <t>Verfassung</t>
  </si>
  <si>
    <t>garantiert</t>
  </si>
  <si>
    <t>uns</t>
  </si>
  <si>
    <t>Pressefreiheit</t>
  </si>
  <si>
    <t>gutem</t>
  </si>
  <si>
    <t>Grund</t>
  </si>
  <si>
    <t>nämlich</t>
  </si>
  <si>
    <t>um</t>
  </si>
  <si>
    <t>Presse</t>
  </si>
  <si>
    <t>ermöglichen</t>
  </si>
  <si>
    <t>unbequem</t>
  </si>
  <si>
    <t>herausfordert</t>
  </si>
  <si>
    <t>arbeitet</t>
  </si>
  <si>
    <t>Dialog</t>
  </si>
  <si>
    <t>über</t>
  </si>
  <si>
    <t>entscheidende</t>
  </si>
  <si>
    <t>informieren</t>
  </si>
  <si>
    <t>können</t>
  </si>
  <si>
    <t>nationale</t>
  </si>
  <si>
    <t>Sicherheit</t>
  </si>
  <si>
    <t>OBJ_6</t>
  </si>
  <si>
    <t>gefährden</t>
  </si>
  <si>
    <t># text = Indem ich mit Journalisten gearbeitet habe, indem ich all meine Informationen dem amerikanischen Volk zurückgegeben habe, statt nur auf mich selbst zu vertrauen bei Entscheidungen über die Veröffentlichung, hatten wir eine handfeste Debatte, an der sich die Regierung intensiv beteiligt und die allen einen Nutzen gebracht hat.</t>
  </si>
  <si>
    <t>Indem</t>
  </si>
  <si>
    <t>indem</t>
  </si>
  <si>
    <t>all</t>
  </si>
  <si>
    <t>meine</t>
  </si>
  <si>
    <t>Informationen</t>
  </si>
  <si>
    <t>Volk</t>
  </si>
  <si>
    <t>zurückgegeben</t>
  </si>
  <si>
    <t>statt</t>
  </si>
  <si>
    <t>nur</t>
  </si>
  <si>
    <t>selbst</t>
  </si>
  <si>
    <t>Veröffentlichung</t>
  </si>
  <si>
    <t>hatten</t>
  </si>
  <si>
    <t>handfeste</t>
  </si>
  <si>
    <t>intensiv</t>
  </si>
  <si>
    <t>gebracht</t>
  </si>
  <si>
    <t># text = Die Risiken, mit denen gedroht wurde, die Risiken, die von der Regierung hochgespielt wurden, haben sich nie materialisiert.</t>
  </si>
  <si>
    <t>Die</t>
  </si>
  <si>
    <t>gedroht</t>
  </si>
  <si>
    <t>wurde</t>
  </si>
  <si>
    <t>hochgespielt</t>
  </si>
  <si>
    <t>nie</t>
  </si>
  <si>
    <t>materialisiert</t>
  </si>
  <si>
    <t># text = Wir haben keinerlei Hinweis, dass auch nur ein Schaden entstanden wäre, und deshalb kann ich mit meinen Entscheidungen gut leben.</t>
  </si>
  <si>
    <t>keinerlei</t>
  </si>
  <si>
    <t>Hinweis</t>
  </si>
  <si>
    <t>Schaden</t>
  </si>
  <si>
    <t>entstanden</t>
  </si>
  <si>
    <t>wäre</t>
  </si>
  <si>
    <t>deshalb</t>
  </si>
  <si>
    <t>meinen</t>
  </si>
  <si>
    <t>gut</t>
  </si>
  <si>
    <t># text = CA: Lass mich dem Publikum ein paar Beispiele für deine Enthüllungen geben.</t>
  </si>
  <si>
    <t>Lass</t>
  </si>
  <si>
    <t>Beispiele</t>
  </si>
  <si>
    <t>deine</t>
  </si>
  <si>
    <t># text = Können wir jetzt bitte das Schaubild haben?</t>
  </si>
  <si>
    <t>Können</t>
  </si>
  <si>
    <t>jetzt</t>
  </si>
  <si>
    <t>bitte</t>
  </si>
  <si>
    <t>Schaubild</t>
  </si>
  <si>
    <t># text = Ed, ich weiß nicht, ob du dies sehen kannst: Die Bilder der Präsentation sind da.</t>
  </si>
  <si>
    <t>weiß</t>
  </si>
  <si>
    <t>ob</t>
  </si>
  <si>
    <t>Bilder</t>
  </si>
  <si>
    <t>Präsentation</t>
  </si>
  <si>
    <t>da</t>
  </si>
  <si>
    <t># text = Diese Grafik zeigt das Programm PRISM.</t>
  </si>
  <si>
    <t>Diese</t>
  </si>
  <si>
    <t>Grafik</t>
  </si>
  <si>
    <t>zeigt</t>
  </si>
  <si>
    <t>Programm</t>
  </si>
  <si>
    <t>PRISM</t>
  </si>
  <si>
    <t># text = Kannst du dem Publikum erläutern, was darüber bekannt wurde?</t>
  </si>
  <si>
    <t>Kannst</t>
  </si>
  <si>
    <t>bekannt</t>
  </si>
  <si>
    <t># text = ES: Um zu verstehen, was PRISM ist, -- denn da war man geteilter Ansicht -- sollte man erst klären, was es nicht ist.</t>
  </si>
  <si>
    <t>verstehen</t>
  </si>
  <si>
    <t>denn</t>
  </si>
  <si>
    <t>war</t>
  </si>
  <si>
    <t>geteilter</t>
  </si>
  <si>
    <t>Ansicht</t>
  </si>
  <si>
    <t>erst</t>
  </si>
  <si>
    <t>klären</t>
  </si>
  <si>
    <t># text = Ein großer Teil der Debatte in den USA bezog sich auf Metadaten.</t>
  </si>
  <si>
    <t>Ein</t>
  </si>
  <si>
    <t>großer</t>
  </si>
  <si>
    <t>Teil</t>
  </si>
  <si>
    <t>USA</t>
  </si>
  <si>
    <t>bezog</t>
  </si>
  <si>
    <t>Metadaten</t>
  </si>
  <si>
    <t># text = Sie sagten, es seien nur Metadaten.</t>
  </si>
  <si>
    <t>Sie</t>
  </si>
  <si>
    <t>sagten</t>
  </si>
  <si>
    <t>seien</t>
  </si>
  <si>
    <t># text = Sie beziehen sich dabei auf eine rechtliche Grundlage: den Abschnitt 215 des Patriot Act.</t>
  </si>
  <si>
    <t>dabei</t>
  </si>
  <si>
    <t>rechtliche</t>
  </si>
  <si>
    <t>Grundlage</t>
  </si>
  <si>
    <t>Abschnitt</t>
  </si>
  <si>
    <t>def-np.quant</t>
  </si>
  <si>
    <t>Act</t>
  </si>
  <si>
    <t># text = Er erlaubt eine Art Abhören ohne richterlichen Beschluss, eine Massenüberwachung der Verbindungsdaten des ganzen Landes, solche Dinge ... Mit wem du sprichst, wann du mit jemandem sprichst, wohin du gereist bist.</t>
  </si>
  <si>
    <t>Abhören</t>
  </si>
  <si>
    <t>richterlichen</t>
  </si>
  <si>
    <t>Beschluss</t>
  </si>
  <si>
    <t>Massenüberwachung</t>
  </si>
  <si>
    <t>Verbindungsdaten</t>
  </si>
  <si>
    <t>Landes</t>
  </si>
  <si>
    <t>solche</t>
  </si>
  <si>
    <t>...</t>
  </si>
  <si>
    <t>Mit</t>
  </si>
  <si>
    <t>wem</t>
  </si>
  <si>
    <t>sprichst</t>
  </si>
  <si>
    <t>wann</t>
  </si>
  <si>
    <t>jemandem</t>
  </si>
  <si>
    <t>wohin</t>
  </si>
  <si>
    <t>gereist</t>
  </si>
  <si>
    <t>bist</t>
  </si>
  <si>
    <t># text = All das sind Metadaten-Ereignisse.</t>
  </si>
  <si>
    <t>All</t>
  </si>
  <si>
    <t>Ereignisse</t>
  </si>
  <si>
    <t># text = Bei PRISM geht es um Inhalt.</t>
  </si>
  <si>
    <t>geht</t>
  </si>
  <si>
    <t>Inhalt</t>
  </si>
  <si>
    <t># text = Es ist ein Programm, mit dem die Regierung die Unternehmen Amerikas zwingen kann, an ihrer Stelle und in ihrem Namen die Dreckarbeit für die NSA zu übernehmen.</t>
  </si>
  <si>
    <t>Amerikas</t>
  </si>
  <si>
    <t>zwingen</t>
  </si>
  <si>
    <t>ihrer</t>
  </si>
  <si>
    <t>Stelle</t>
  </si>
  <si>
    <t>ihrem</t>
  </si>
  <si>
    <t>Namen</t>
  </si>
  <si>
    <t>Dreckarbeit</t>
  </si>
  <si>
    <t>übernehmen</t>
  </si>
  <si>
    <t># text = Obwohl sich einige Unternehmen gewehrt haben und obwohl einige -- ich denke, Yahoo war eines von ihnen -- vor Gericht zogen, haben alle verloren, weil die Fälle nie öffentlich verhandelt wurden.</t>
  </si>
  <si>
    <t>Obwohl</t>
  </si>
  <si>
    <t>einige</t>
  </si>
  <si>
    <t>gewehrt</t>
  </si>
  <si>
    <t>obwohl</t>
  </si>
  <si>
    <t>denke</t>
  </si>
  <si>
    <t>Yahoo</t>
  </si>
  <si>
    <t>eines</t>
  </si>
  <si>
    <t>ihnen</t>
  </si>
  <si>
    <t>vor</t>
  </si>
  <si>
    <t>Gericht</t>
  </si>
  <si>
    <t>zogen</t>
  </si>
  <si>
    <t>verloren</t>
  </si>
  <si>
    <t>weil</t>
  </si>
  <si>
    <t>Fälle</t>
  </si>
  <si>
    <t>öffentlich</t>
  </si>
  <si>
    <t>verhandelt</t>
  </si>
  <si>
    <t># text = Über sie entschied ein geheimes Gericht.</t>
  </si>
  <si>
    <t>Über</t>
  </si>
  <si>
    <t>sie</t>
  </si>
  <si>
    <t>entschied</t>
  </si>
  <si>
    <t>geheimes</t>
  </si>
  <si>
    <t># text = Wir haben im Zusammenhang mit Prism etwas festgestellt, das ich besorgniserregend finde:</t>
  </si>
  <si>
    <t>Zusammenhang</t>
  </si>
  <si>
    <t>Prism</t>
  </si>
  <si>
    <t>festgestellt</t>
  </si>
  <si>
    <t>besorgniserregend</t>
  </si>
  <si>
    <t>finde</t>
  </si>
  <si>
    <t># text = Es gab Gespräche in der US-Regierung, in denen gesagt wurde, 15 Bundesrichter hätten diese Programme begutachtet und als gesetzmäßig befunden.</t>
  </si>
  <si>
    <t>Gespräche</t>
  </si>
  <si>
    <t>US</t>
  </si>
  <si>
    <t>gesagt</t>
  </si>
  <si>
    <t>Bundesrichter</t>
  </si>
  <si>
    <t>hätten</t>
  </si>
  <si>
    <t>Programme</t>
  </si>
  <si>
    <t>begutachtet</t>
  </si>
  <si>
    <t>gesetzmäßig</t>
  </si>
  <si>
    <t>befunden</t>
  </si>
  <si>
    <t># text = Aber sie verraten nicht, dass dies geheime Richter sind in einem geheimen Gericht, das auf der Grundlage vertraulicher Rechtsauslegungen über 34.000 Überwachungsanträge entschieden hat im Lauf von 33 Jahren und in 33 Jahren nur elf Anträge der Regierung abgelehnt hat.</t>
  </si>
  <si>
    <t>geheime</t>
  </si>
  <si>
    <t>Richter</t>
  </si>
  <si>
    <t>geheimen</t>
  </si>
  <si>
    <t>vertraulicher</t>
  </si>
  <si>
    <t>Rechtsauslegungen</t>
  </si>
  <si>
    <t>34.000</t>
  </si>
  <si>
    <t>Überwachungsanträge</t>
  </si>
  <si>
    <t>entschieden</t>
  </si>
  <si>
    <t>Lauf</t>
  </si>
  <si>
    <t>elf</t>
  </si>
  <si>
    <t>Anträge</t>
  </si>
  <si>
    <t>abgelehnt</t>
  </si>
  <si>
    <t># text = Dies sind nicht die Leute, die wir als Entscheider wollen, wenn es um die Rolle amerikanischer Konzerne in einem freien und offenen Internet geht.</t>
  </si>
  <si>
    <t>Dies</t>
  </si>
  <si>
    <t>Leute</t>
  </si>
  <si>
    <t>Entscheider</t>
  </si>
  <si>
    <t>amerikanischer</t>
  </si>
  <si>
    <t>Konzerne</t>
  </si>
  <si>
    <t>freien</t>
  </si>
  <si>
    <t>offenen</t>
  </si>
  <si>
    <t># text = CA: Die Grafik, die wir hier zeigen, listet die Daten auf, wann diverse Technologie- und Internetunternehmen sich dem Programm mutmaßlich anschlossen und wann die Sammlung von Daten bei ihnen begann.</t>
  </si>
  <si>
    <t>hier</t>
  </si>
  <si>
    <t>listet</t>
  </si>
  <si>
    <t>Daten</t>
  </si>
  <si>
    <t>diverse</t>
  </si>
  <si>
    <t>Technologie</t>
  </si>
  <si>
    <t>Internetunternehmen</t>
  </si>
  <si>
    <t>mutmaßlich</t>
  </si>
  <si>
    <t>anschlossen</t>
  </si>
  <si>
    <t>Sammlung</t>
  </si>
  <si>
    <t>begann</t>
  </si>
  <si>
    <t># text = Sie haben die Kooperation mit der NSA bestritten.</t>
  </si>
  <si>
    <t>Kooperation</t>
  </si>
  <si>
    <t>bestritten</t>
  </si>
  <si>
    <t># text = Wie hat die NSA diese Daten gesammelt?</t>
  </si>
  <si>
    <t>gesammelt</t>
  </si>
  <si>
    <t># text = ES: Die eigenen Präsentationen der NSA bezeichnen das als direkten Zugang.</t>
  </si>
  <si>
    <t>eigenen</t>
  </si>
  <si>
    <t>Präsentationen</t>
  </si>
  <si>
    <t>bezeichnen</t>
  </si>
  <si>
    <t>direkten</t>
  </si>
  <si>
    <t># text = Für einen tatsächlichen NSA-Analysten, jemanden wie mich, der in Hawaii als Analyst für den Geheimdienst chinesische Cyber-Hacker oder ähnliches im Visier hatte, bedeutet das, dass die Daten direkt von ihren Servern kommen.</t>
  </si>
  <si>
    <t>Für</t>
  </si>
  <si>
    <t>tatsächlichen</t>
  </si>
  <si>
    <t>Analysten</t>
  </si>
  <si>
    <t>jemanden</t>
  </si>
  <si>
    <t>Analyst</t>
  </si>
  <si>
    <t>chinesische</t>
  </si>
  <si>
    <t>Cyber</t>
  </si>
  <si>
    <t>Hacker</t>
  </si>
  <si>
    <t>ähnliches</t>
  </si>
  <si>
    <t>Visier</t>
  </si>
  <si>
    <t>hatte</t>
  </si>
  <si>
    <t>bedeutet</t>
  </si>
  <si>
    <t>direkt</t>
  </si>
  <si>
    <t>Servern</t>
  </si>
  <si>
    <t># text = Das heißt nicht, dass eine Gruppe von Mitarbeitern des Unternehmens mit der NSA in einem verrauchten Raum sitzt, sich langweilt und im Hinterzimmer aushandelt, wie sie dieses Zeug weitergeben werden.</t>
  </si>
  <si>
    <t>heißt</t>
  </si>
  <si>
    <t>Gruppe</t>
  </si>
  <si>
    <t>Mitarbeitern</t>
  </si>
  <si>
    <t>Unternehmens</t>
  </si>
  <si>
    <t>verrauchten</t>
  </si>
  <si>
    <t>Raum</t>
  </si>
  <si>
    <t>sitzt</t>
  </si>
  <si>
    <t>langweilt</t>
  </si>
  <si>
    <t>Hinterzimmer</t>
  </si>
  <si>
    <t>aushandelt</t>
  </si>
  <si>
    <t>dieses</t>
  </si>
  <si>
    <t>Zeug</t>
  </si>
  <si>
    <t>weitergeben</t>
  </si>
  <si>
    <t># text = Jedes Unternehmen handhabt das anders.</t>
  </si>
  <si>
    <t>Jedes</t>
  </si>
  <si>
    <t>anders</t>
  </si>
  <si>
    <t># text = Manche sind verantwortungsbewusst.</t>
  </si>
  <si>
    <t>Manche</t>
  </si>
  <si>
    <t># text = Manche sind etwas weniger verantwortungsbewusst.</t>
  </si>
  <si>
    <t>weniger</t>
  </si>
  <si>
    <t># text = Unterm Strich aber, wenn wir davon sprechen, wie diese Informationen übergeben werden:</t>
  </si>
  <si>
    <t>Strich</t>
  </si>
  <si>
    <t># text = Sie kommen von den Unternehmen selbst.</t>
  </si>
  <si>
    <t># text = Sie werden nicht aus Leitungen gestohlen.</t>
  </si>
  <si>
    <t>Leitungen</t>
  </si>
  <si>
    <t>gestohlen</t>
  </si>
  <si>
    <t># text = Man darf einen wichtigen Punkt nicht vergessen:</t>
  </si>
  <si>
    <t>darf</t>
  </si>
  <si>
    <t>wichtigen</t>
  </si>
  <si>
    <t>Punkt</t>
  </si>
  <si>
    <t># text = Obwohl die Unternehmen sich wehrten, obwohl die Unternehmen forderten: "Lasst uns das mit einem Genehmigungsverfahren machen.</t>
  </si>
  <si>
    <t>wehrten</t>
  </si>
  <si>
    <t>forderten</t>
  </si>
  <si>
    <t>Lasst</t>
  </si>
  <si>
    <t>Genehmigungsverfahren</t>
  </si>
  <si>
    <t># text = Lasst uns das so machen, dass wir eine Art rechtlicher Prüfung haben, eine Art Grundlage für die Herausgabe von Anwenderdaten haben."</t>
  </si>
  <si>
    <t>rechtlicher</t>
  </si>
  <si>
    <t>Prüfung</t>
  </si>
  <si>
    <t>Herausgabe</t>
  </si>
  <si>
    <t>Anwenderdaten</t>
  </si>
  <si>
    <t># text = Letztes Jahr brachte die Washington Post Berichte, die weniger Medienecho hatten als der Bericht über Prism, in denen es hieß, die NSA sei in die interne Kommunikation zwischen Google-Datenzentren und Yahoo-Datenzentren eingedrungen.</t>
  </si>
  <si>
    <t>Letztes</t>
  </si>
  <si>
    <t>brachte</t>
  </si>
  <si>
    <t>Washington</t>
  </si>
  <si>
    <t>Post</t>
  </si>
  <si>
    <t>Berichte</t>
  </si>
  <si>
    <t>Medienecho</t>
  </si>
  <si>
    <t>Bericht</t>
  </si>
  <si>
    <t>hieß</t>
  </si>
  <si>
    <t>sei</t>
  </si>
  <si>
    <t>interne</t>
  </si>
  <si>
    <t>Kommunikation</t>
  </si>
  <si>
    <t>Google</t>
  </si>
  <si>
    <t>Datenzentren</t>
  </si>
  <si>
    <t>eingedrungen</t>
  </si>
  <si>
    <t># text = Also selbst bei Unternehmen, die -- unter gewissem Zwang, aber auf hoffentlich legale Weise -- mit der NSA kooperieren, gibt sich die NSA damit nicht zufrieden.</t>
  </si>
  <si>
    <t>Also</t>
  </si>
  <si>
    <t>unter</t>
  </si>
  <si>
    <t>gewissem</t>
  </si>
  <si>
    <t>Zwang</t>
  </si>
  <si>
    <t>hoffentlich</t>
  </si>
  <si>
    <t>legale</t>
  </si>
  <si>
    <t>Weise</t>
  </si>
  <si>
    <t>kooperieren</t>
  </si>
  <si>
    <t>zufrieden</t>
  </si>
  <si>
    <t># text = Deshalb brauchen wir Unternehmen, die sich intensiv engagieren, um zu garantieren, dass sie die Interessen der Nutzer vertreten werden und sich für die Rechte der Nutzer einsetzen.</t>
  </si>
  <si>
    <t>Deshalb</t>
  </si>
  <si>
    <t>engagieren</t>
  </si>
  <si>
    <t>Interessen</t>
  </si>
  <si>
    <t>Nutzer</t>
  </si>
  <si>
    <t>vertreten</t>
  </si>
  <si>
    <t>Rechte</t>
  </si>
  <si>
    <t>einsetzen</t>
  </si>
  <si>
    <t># text = Im letzten Jahr haben wir gesehen, dass die Unternehmen in den Prism-Präsentationen große Anstrengungen unternehmen, das zu tun.</t>
  </si>
  <si>
    <t>große</t>
  </si>
  <si>
    <t>Anstrengungen</t>
  </si>
  <si>
    <t>unternehmen</t>
  </si>
  <si>
    <t># text = Ich ermutige sie, weiterzumachen.</t>
  </si>
  <si>
    <t>ermutige</t>
  </si>
  <si>
    <t>weiterzumachen</t>
  </si>
  <si>
    <t># text = CA: Was sollten sie denn noch tun?</t>
  </si>
  <si>
    <t># text = ES: Das Größte, was ein Internetunternehmen in Amerika jetzt und heute tun kann, ohne Anwälte zu Rate zu ziehen, um die Rechte ihrer Nutzer weltweit zu schützen, ist das Ermöglichen von SSL-Netzverschlüsselung auf jeder Seite, die man besucht.</t>
  </si>
  <si>
    <t>Größte</t>
  </si>
  <si>
    <t>Amerika</t>
  </si>
  <si>
    <t>heute</t>
  </si>
  <si>
    <t>Anwälte</t>
  </si>
  <si>
    <t>Rate</t>
  </si>
  <si>
    <t>weltweit</t>
  </si>
  <si>
    <t>Ermöglichen</t>
  </si>
  <si>
    <t>SSL</t>
  </si>
  <si>
    <t>Netzverschlüsselung</t>
  </si>
  <si>
    <t>Seite</t>
  </si>
  <si>
    <t>besucht</t>
  </si>
  <si>
    <t># text = Der Grund, weshalb das wichtig ist: Wenn du dir heute auf Amazon.com eine Ausgabe von "1984" ansiehst, kann die NSA das in einem Protokoll sehen.</t>
  </si>
  <si>
    <t>Der</t>
  </si>
  <si>
    <t>weshalb</t>
  </si>
  <si>
    <t>wichtig</t>
  </si>
  <si>
    <t>dir</t>
  </si>
  <si>
    <t>Amazon.com</t>
  </si>
  <si>
    <t>Ausgabe</t>
  </si>
  <si>
    <t>1984</t>
  </si>
  <si>
    <t>ansiehst</t>
  </si>
  <si>
    <t>Protokoll</t>
  </si>
  <si>
    <t># text = Der russische Geheimdienst kann das in einem Protokoll sehen.</t>
  </si>
  <si>
    <t>russische</t>
  </si>
  <si>
    <t># text = Der chinesische Geheimdienst, der französische, der deutsche und der Geheimdienst von Andorra.</t>
  </si>
  <si>
    <t>französische</t>
  </si>
  <si>
    <t>deutsche</t>
  </si>
  <si>
    <t>Andorra</t>
  </si>
  <si>
    <t># text = Sie alle können das sehen, weil es nicht verschlüsselt ist.</t>
  </si>
  <si>
    <t>verschlüsselt</t>
  </si>
  <si>
    <t># text = Amazon.com ist die Bibliothek der Welt.</t>
  </si>
  <si>
    <t>Bibliothek</t>
  </si>
  <si>
    <t># text = Aber es verzichtet nicht nur auf Verschlüsselung als generellen Standard, man kann auch Verschlüsselung nicht wählen, wenn man in den Büchern stöbert.</t>
  </si>
  <si>
    <t>verzichtet</t>
  </si>
  <si>
    <t>Verschlüsselung</t>
  </si>
  <si>
    <t>generellen</t>
  </si>
  <si>
    <t>Standard</t>
  </si>
  <si>
    <t>Büchern</t>
  </si>
  <si>
    <t>stöbert</t>
  </si>
  <si>
    <t># text = Das ist etwas, das wir ändern müssen, nicht nur bei Amazon.</t>
  </si>
  <si>
    <t>ändern</t>
  </si>
  <si>
    <t>Amazon</t>
  </si>
  <si>
    <t># text = Ich möchte die Seite nicht herausgreifen, aber sie ist ein großartiges Beispiel.</t>
  </si>
  <si>
    <t>großartiges</t>
  </si>
  <si>
    <t>Beispiel</t>
  </si>
  <si>
    <t># text = Alle Unternehmen müssen zum gewohnheitsmäßig verschlüsselten Surfen als Standard übergehen für alle Nutzer, die nicht selbst Maßnahmen ergriffen oder eine eigene Methode gewählt haben.</t>
  </si>
  <si>
    <t>Alle</t>
  </si>
  <si>
    <t>gewohnheitsmäßig</t>
  </si>
  <si>
    <t>verschlüsselten</t>
  </si>
  <si>
    <t>Surfen</t>
  </si>
  <si>
    <t>Maßnahmen</t>
  </si>
  <si>
    <t>ergriffen</t>
  </si>
  <si>
    <t>eigene</t>
  </si>
  <si>
    <t>Methode</t>
  </si>
  <si>
    <t>gewählt</t>
  </si>
  <si>
    <t># text = Das stärkt die Privatsphäre und die Rechte, die Menschen weltweit genießen.</t>
  </si>
  <si>
    <t>stärkt</t>
  </si>
  <si>
    <t>Privatsphäre</t>
  </si>
  <si>
    <t>genießen</t>
  </si>
  <si>
    <t># text = CA: Komm mit mir auf diese Seite der Bühne.</t>
  </si>
  <si>
    <t># text = Ich möchte dir das nächste Bild zeigen.</t>
  </si>
  <si>
    <t>nächste</t>
  </si>
  <si>
    <t>Bild</t>
  </si>
  <si>
    <t># text = Dieses Programm heißt "Boundless Informant".</t>
  </si>
  <si>
    <t>Dieses</t>
  </si>
  <si>
    <t>Boundless</t>
  </si>
  <si>
    <t>Informant</t>
  </si>
  <si>
    <t># text = Was ist das?</t>
  </si>
  <si>
    <t># text = ES: Ich muss der NSA hier Anerkennung zollen für die Verwendung treffender Namen.</t>
  </si>
  <si>
    <t>muss</t>
  </si>
  <si>
    <t>Anerkennung</t>
  </si>
  <si>
    <t>zollen</t>
  </si>
  <si>
    <t>Verwendung</t>
  </si>
  <si>
    <t>treffender</t>
  </si>
  <si>
    <t># text = Dies ist einer meiner Lieblingscodenamen der NSA.</t>
  </si>
  <si>
    <t>einer</t>
  </si>
  <si>
    <t>Lieblingscodenamen</t>
  </si>
  <si>
    <t># text = "Boundless Informant" ["Informant ohne Grenzen"] ist ein Programm, das die NSA vor dem Kongress verborgen hielt.</t>
  </si>
  <si>
    <t>[</t>
  </si>
  <si>
    <t>Grenzen</t>
  </si>
  <si>
    <t>]</t>
  </si>
  <si>
    <t>verborgen</t>
  </si>
  <si>
    <t>hielt</t>
  </si>
  <si>
    <t># text = Der Kongress hatte die NSA im Vorfeld gefragt, ob sie irgendeine Möglichkeit besäße, eine sehr grobe Schätzung abzugeben über den Umfang an amerikanischer Kommunikation, den sie überwachen.</t>
  </si>
  <si>
    <t>Vorfeld</t>
  </si>
  <si>
    <t>irgendeine</t>
  </si>
  <si>
    <t>Möglichkeit</t>
  </si>
  <si>
    <t>besäße</t>
  </si>
  <si>
    <t>sehr</t>
  </si>
  <si>
    <t>grobe</t>
  </si>
  <si>
    <t>Schätzung</t>
  </si>
  <si>
    <t>abzugeben</t>
  </si>
  <si>
    <t>Umfang</t>
  </si>
  <si>
    <t>SBJ_6</t>
  </si>
  <si>
    <t>überwachen</t>
  </si>
  <si>
    <t># text = Sie sagte: Nein, wir erheben diese Daten nicht und wir können diese Daten nicht erheben.</t>
  </si>
  <si>
    <t>sagte</t>
  </si>
  <si>
    <t>Nein</t>
  </si>
  <si>
    <t>erheben</t>
  </si>
  <si>
    <t># text = Wir können Ihnen nicht sagen, wie viel Kommunikation wir weltweit überwachen, weil wir Ihre Privatsphäre verletzen würden, wenn wir Ihnen das mitteilen.</t>
  </si>
  <si>
    <t>Ihnen</t>
  </si>
  <si>
    <t>Ihre</t>
  </si>
  <si>
    <t>verletzen</t>
  </si>
  <si>
    <t>würden</t>
  </si>
  <si>
    <t>mitteilen</t>
  </si>
  <si>
    <t># text = Das ist eine Haltung, die ich begrüße.</t>
  </si>
  <si>
    <t>Haltung</t>
  </si>
  <si>
    <t>begrüße</t>
  </si>
  <si>
    <t># text = Tatsache aber ist, wie diese Grafik zeigt, dass sie dazu nicht nur fähig sind, sondern die Fähigkeit selbst bereits existiert.</t>
  </si>
  <si>
    <t>Tatsache</t>
  </si>
  <si>
    <t>fähig</t>
  </si>
  <si>
    <t>sondern</t>
  </si>
  <si>
    <t>Fähigkeit</t>
  </si>
  <si>
    <t>bereits</t>
  </si>
  <si>
    <t>existiert</t>
  </si>
  <si>
    <t># text = Sie ist bereits umgesetzt.</t>
  </si>
  <si>
    <t>umgesetzt</t>
  </si>
  <si>
    <t># text = Die NSA verwendet ein eigenes internes Datenformat, das beide Endpunkte einer Kommunikation erfasst.</t>
  </si>
  <si>
    <t>verwendet</t>
  </si>
  <si>
    <t>eigenes</t>
  </si>
  <si>
    <t>internes</t>
  </si>
  <si>
    <t>Datenformat</t>
  </si>
  <si>
    <t>beide</t>
  </si>
  <si>
    <t>Endpunkte</t>
  </si>
  <si>
    <t>erfasst</t>
  </si>
  <si>
    <t># text = Wenn es besagt, dass die Kommunikation aus den USA kommt, dann können sie dem Kongress auch sagen, wie viel solcher Kommunikation sie haben, heute, in diesem Moment.</t>
  </si>
  <si>
    <t>besagt</t>
  </si>
  <si>
    <t>kommt</t>
  </si>
  <si>
    <t>solcher</t>
  </si>
  <si>
    <t>diesem</t>
  </si>
  <si>
    <t># text = \"Informant ohne Grenzen\" verrät uns, dass mehr Kommunikation abgehört wird, in Amerika, über Amerikaner, als in Russland über Russen.</t>
  </si>
  <si>
    <t>verrät</t>
  </si>
  <si>
    <t>mehr</t>
  </si>
  <si>
    <t>abgehört</t>
  </si>
  <si>
    <t>wird</t>
  </si>
  <si>
    <t>Russen</t>
  </si>
  <si>
    <t># text = Ich bin nicht sicher, ob dies das Ziel eines Geheimdienstes sein sollte.</t>
  </si>
  <si>
    <t>sicher</t>
  </si>
  <si>
    <t>Ziel</t>
  </si>
  <si>
    <t>Geheimdienstes</t>
  </si>
  <si>
    <t># text = CA:</t>
  </si>
  <si>
    <t># text = Die Washington Post hat einen Artikel gebracht, der ebenfalls auf deinen Daten fußt.</t>
  </si>
  <si>
    <t>Artikel</t>
  </si>
  <si>
    <t>ebenfalls</t>
  </si>
  <si>
    <t>deinen</t>
  </si>
  <si>
    <t>fußt</t>
  </si>
  <si>
    <t># text = Die Schlagzeile lautet: \"Die NSA hat Datenschutzbestimmungen Tausende Male pro Jahr verletzt.\"</t>
  </si>
  <si>
    <t>Schlagzeile</t>
  </si>
  <si>
    <t>lautet</t>
  </si>
  <si>
    <t>Datenschutzbestimmungen</t>
  </si>
  <si>
    <t>Tausende</t>
  </si>
  <si>
    <t>Male</t>
  </si>
  <si>
    <t>pro</t>
  </si>
  <si>
    <t>verletzt</t>
  </si>
  <si>
    <t># text = Erzähl uns darüber.</t>
  </si>
  <si>
    <t>Erzähl</t>
  </si>
  <si>
    <t># text = ES: Wir haben bei der Anhörung im Kongressausschuss letztes Jahr auch gehört -- und es hat mich erstaunt, als jemand, der von der NSA kam und die internen Unterlagen gesehen hat und weiß, was darin steht, zu beobachten, wie Beamte unter Eid aussagen, -- dass es keinen Missbrauch gegeben hat, dass die NSA-Bestimmungen nicht verletzt wurden, obwohl wir wussten, dass dieser Artikel kommen würde.</t>
  </si>
  <si>
    <t>Anhörung</t>
  </si>
  <si>
    <t>Kongressausschuss</t>
  </si>
  <si>
    <t>letztes</t>
  </si>
  <si>
    <t>gehört</t>
  </si>
  <si>
    <t>erstaunt</t>
  </si>
  <si>
    <t>jemand</t>
  </si>
  <si>
    <t>kam</t>
  </si>
  <si>
    <t>internen</t>
  </si>
  <si>
    <t>Unterlagen</t>
  </si>
  <si>
    <t>SBJ_8</t>
  </si>
  <si>
    <t>darin</t>
  </si>
  <si>
    <t>steht</t>
  </si>
  <si>
    <t>beobachten</t>
  </si>
  <si>
    <t>Beamte</t>
  </si>
  <si>
    <t>Eid</t>
  </si>
  <si>
    <t>other_11</t>
  </si>
  <si>
    <t>aussagen</t>
  </si>
  <si>
    <t>SBJ_9</t>
  </si>
  <si>
    <t>Missbrauch</t>
  </si>
  <si>
    <t>OBJ_9</t>
  </si>
  <si>
    <t>gegeben</t>
  </si>
  <si>
    <t>SBJ_10</t>
  </si>
  <si>
    <t>Bestimmungen</t>
  </si>
  <si>
    <t>SBJ_11</t>
  </si>
  <si>
    <t>other_13</t>
  </si>
  <si>
    <t>SBJ_12</t>
  </si>
  <si>
    <t># text = Aber was daran besonders interessant ist, an der Tatsache, dass die NSA ihre eigenen Regeln, ihre Gesetze tausende Male in einem einzigen Jahr verletzt, darunter ein Vorfall, der für sich genommen, ein Vorfall unter diesen 2776 Fällen, der über 3000 Menschen betraf.</t>
  </si>
  <si>
    <t>daran</t>
  </si>
  <si>
    <t>besonders</t>
  </si>
  <si>
    <t>interessant</t>
  </si>
  <si>
    <t>ihre</t>
  </si>
  <si>
    <t>Regeln</t>
  </si>
  <si>
    <t>tausende</t>
  </si>
  <si>
    <t>einzigen</t>
  </si>
  <si>
    <t>darunter</t>
  </si>
  <si>
    <t>Vorfall</t>
  </si>
  <si>
    <t>genommen</t>
  </si>
  <si>
    <t>2776</t>
  </si>
  <si>
    <t>Fällen</t>
  </si>
  <si>
    <t>3000</t>
  </si>
  <si>
    <t>betraf</t>
  </si>
  <si>
    <t># text = In einem anderen Fall haben sie alle Anrufe in Washington, D.C. abgehört -- aus Versehen.</t>
  </si>
  <si>
    <t>anderen</t>
  </si>
  <si>
    <t>Anrufe</t>
  </si>
  <si>
    <t>D.C.</t>
  </si>
  <si>
    <t>Versehen</t>
  </si>
  <si>
    <t># text = Was an diesem Bericht erstaunlich ist, der für sich genommen nicht viel Aufsehen erregte, ist nicht nur, dass es 2776 Übergriffe gab, sondern, dass die Vorsitzende des Ausschusses für Nachrichtendienste, Dianne Feinstein, den Bericht nicht gesehen hatte, bis die Washington Post sie kontaktierte und um eine Stellungnahme bat.</t>
  </si>
  <si>
    <t>erstaunlich</t>
  </si>
  <si>
    <t>Aufsehen</t>
  </si>
  <si>
    <t>erregte</t>
  </si>
  <si>
    <t>Übergriffe</t>
  </si>
  <si>
    <t>Vorsitzende</t>
  </si>
  <si>
    <t>Ausschusses</t>
  </si>
  <si>
    <t>Dianne</t>
  </si>
  <si>
    <t>Feinstein</t>
  </si>
  <si>
    <t>bis</t>
  </si>
  <si>
    <t>kontaktierte</t>
  </si>
  <si>
    <t>Stellungnahme</t>
  </si>
  <si>
    <t>bat</t>
  </si>
  <si>
    <t># text = Sie forderte daraufhin eine Kopie von der NSA an und bekam sie, hatte den Bericht aber vorher nie gesehen.</t>
  </si>
  <si>
    <t>forderte</t>
  </si>
  <si>
    <t>daraufhin</t>
  </si>
  <si>
    <t>Kopie</t>
  </si>
  <si>
    <t>bekam</t>
  </si>
  <si>
    <t>vorher</t>
  </si>
  <si>
    <t># text = Was sagt das über den Zustand der Aufsicht über den amerikanischen Nachrichtendienst, wenn die Vorsitzende des Senatsausschusses für Nachrichtendienste keine Ahnung davon hat, dass die Bestimmungen tausende Male jedes Jahr verletzt werden?</t>
  </si>
  <si>
    <t>sagt</t>
  </si>
  <si>
    <t>Zustand</t>
  </si>
  <si>
    <t>Aufsicht</t>
  </si>
  <si>
    <t>Senatsausschusses</t>
  </si>
  <si>
    <t>Ahnung</t>
  </si>
  <si>
    <t>jedes</t>
  </si>
  <si>
    <t># text = CA: Ed, eine Reaktion auf diese ganze Debatte ist: Warum sollte uns die ganze Überwachung etwas ausmachen?</t>
  </si>
  <si>
    <t>Reaktion</t>
  </si>
  <si>
    <t>ganze</t>
  </si>
  <si>
    <t>Warum</t>
  </si>
  <si>
    <t>Überwachung</t>
  </si>
  <si>
    <t># text = Wenn man nichts verbrochen hat, muss man sich auch keine Gedanken machen.</t>
  </si>
  <si>
    <t>verbrochen</t>
  </si>
  <si>
    <t>Gedanken</t>
  </si>
  <si>
    <t># text = Was ist an dieser Einstellung falsch?</t>
  </si>
  <si>
    <t>Einstellung</t>
  </si>
  <si>
    <t>falsch</t>
  </si>
  <si>
    <t># text = ES: Der erste Punkt ist:</t>
  </si>
  <si>
    <t># text = Du verzichtest auf deine Rechte.</t>
  </si>
  <si>
    <t>verzichtest</t>
  </si>
  <si>
    <t># text = Du sagst: \"Weißt du, ich glaube, ich werde sie nicht brauchen.</t>
  </si>
  <si>
    <t>sagst</t>
  </si>
  <si>
    <t>glaube</t>
  </si>
  <si>
    <t>werde</t>
  </si>
  <si>
    <t># text = Also vertraue ich einfach darauf.</t>
  </si>
  <si>
    <t>vertraue</t>
  </si>
  <si>
    <t>einfach</t>
  </si>
  <si>
    <t>darauf</t>
  </si>
  <si>
    <t># text = Wir schaffen sie ab, es ist nicht wirklich wichtig.</t>
  </si>
  <si>
    <t>ab</t>
  </si>
  <si>
    <t># text = Diese Leute werden schon das Richtige tun."</t>
  </si>
  <si>
    <t>schon</t>
  </si>
  <si>
    <t>Richtige</t>
  </si>
  <si>
    <t># text = Eure Rechte sind wichtig, weil ihr nie wisst, wann ihr sie brauchen werdet.</t>
  </si>
  <si>
    <t>Eure</t>
  </si>
  <si>
    <t>ihr</t>
  </si>
  <si>
    <t>wisst</t>
  </si>
  <si>
    <t>werdet</t>
  </si>
  <si>
    <t># text = Darüber hinaus ist es Teil unserer kulturellen Identität, nicht nur in Amerika, sondern auch in westlichen Gesellschaften und in demokratischen Gesellschaften in der ganzen Welt.</t>
  </si>
  <si>
    <t>Darüber</t>
  </si>
  <si>
    <t>hinaus</t>
  </si>
  <si>
    <t>unserer</t>
  </si>
  <si>
    <t>kulturellen</t>
  </si>
  <si>
    <t>Identität</t>
  </si>
  <si>
    <t>westlichen</t>
  </si>
  <si>
    <t>demokratischen</t>
  </si>
  <si>
    <t># text = Leute sollten in der Lage sein, einen Hörer in die Hand zu nehmen und ihre Familie anzurufen;</t>
  </si>
  <si>
    <t>Lage</t>
  </si>
  <si>
    <t>Hörer</t>
  </si>
  <si>
    <t>Hand</t>
  </si>
  <si>
    <t>nehmen</t>
  </si>
  <si>
    <t>Familie</t>
  </si>
  <si>
    <t>anzurufen</t>
  </si>
  <si>
    <t>;</t>
  </si>
  <si>
    <t># text = ihren Lieben eine SMS zu schicken;</t>
  </si>
  <si>
    <t>Lieben</t>
  </si>
  <si>
    <t>SMS</t>
  </si>
  <si>
    <t># text = Leute sollten in der Lage sein, online ein Buch zu kaufen;</t>
  </si>
  <si>
    <t>online</t>
  </si>
  <si>
    <t>Buch</t>
  </si>
  <si>
    <t># text = sie sollten mit dem Zug reisen können;</t>
  </si>
  <si>
    <t>Zug</t>
  </si>
  <si>
    <t># text = sie sollten sich ein Flugticket kaufen können, ohne sich fragen zu müssen, wie diese Handlungen für eine Agenten der Regierung aussehen werden, vielleicht nicht einmal deiner Regierung, Jahre in der Zukunft, wie sie misinterpretiert werden, und wie sie deine Absichten deuten.</t>
  </si>
  <si>
    <t>Flugticket</t>
  </si>
  <si>
    <t>Handlungen</t>
  </si>
  <si>
    <t>Agenten</t>
  </si>
  <si>
    <t>aussehen</t>
  </si>
  <si>
    <t>vielleicht</t>
  </si>
  <si>
    <t>einmal</t>
  </si>
  <si>
    <t>deiner</t>
  </si>
  <si>
    <t>Jahre</t>
  </si>
  <si>
    <t>misinterpretiert</t>
  </si>
  <si>
    <t>Absichten</t>
  </si>
  <si>
    <t>deuten</t>
  </si>
  <si>
    <t># text = Wir haben ein Recht auf Privatsphäre.</t>
  </si>
  <si>
    <t>Recht</t>
  </si>
  <si>
    <t># text = Als Grundlage für einen Haftbefehl verlangen wir einen hinreichenden Verdacht oder eine Art von Verdacht gegen ein Individuum, weil wir wissen, dass irgendjemandem zu vertrauen, irgendeiner Regierungsbehörde, wenn es um die Summe menschlicher Kommunikationen, im Geheimen und ohne Aufsicht geht, einfach eine zu große Versuchung darstellt, als dass wir darüber hinwegsehen könnten.</t>
  </si>
  <si>
    <t>Haftbefehl</t>
  </si>
  <si>
    <t>hinreichenden</t>
  </si>
  <si>
    <t>Verdacht</t>
  </si>
  <si>
    <t>gegen</t>
  </si>
  <si>
    <t>Individuum</t>
  </si>
  <si>
    <t>wissen</t>
  </si>
  <si>
    <t>irgendjemandem</t>
  </si>
  <si>
    <t>irgendeiner</t>
  </si>
  <si>
    <t>Regierungsbehörde</t>
  </si>
  <si>
    <t>Summe</t>
  </si>
  <si>
    <t>menschlicher</t>
  </si>
  <si>
    <t>Kommunikationen</t>
  </si>
  <si>
    <t>Versuchung</t>
  </si>
  <si>
    <t>darstellt</t>
  </si>
  <si>
    <t>hinwegsehen</t>
  </si>
  <si>
    <t>könnten</t>
  </si>
  <si>
    <t># text = CA: Einige Leute sind über das, was du getan hast, aufgebracht.</t>
  </si>
  <si>
    <t>Einige</t>
  </si>
  <si>
    <t>aufgebracht</t>
  </si>
  <si>
    <t># text = Ich habe kürzlich ein Zitat von Dick Cheney gehört, der sagte: "Julian Assange war ein Flohbiss.</t>
  </si>
  <si>
    <t>kürzlich</t>
  </si>
  <si>
    <t>Zitat</t>
  </si>
  <si>
    <t>Dick</t>
  </si>
  <si>
    <t>Cheney</t>
  </si>
  <si>
    <t>Julian</t>
  </si>
  <si>
    <t>Assange</t>
  </si>
  <si>
    <t>Flohbiss</t>
  </si>
  <si>
    <t># text = Edward Snowden ist der Löwe, der dem Hund den Kopf abgebissen hat."</t>
  </si>
  <si>
    <t>Löwe</t>
  </si>
  <si>
    <t>Hund</t>
  </si>
  <si>
    <t>Kopf</t>
  </si>
  <si>
    <t>abgebissen</t>
  </si>
  <si>
    <t># text = Er denkt, du hättest einen der schlimmsten Akte des Verrats in der US-Geschichte begangen.</t>
  </si>
  <si>
    <t>denkt</t>
  </si>
  <si>
    <t>hättest</t>
  </si>
  <si>
    <t>schlimmsten</t>
  </si>
  <si>
    <t>Akte</t>
  </si>
  <si>
    <t>Verrats</t>
  </si>
  <si>
    <t>begangen</t>
  </si>
  <si>
    <t># text = Was würdest du Leuten entgegnen, die das denken?</t>
  </si>
  <si>
    <t>Leuten</t>
  </si>
  <si>
    <t>entgegnen</t>
  </si>
  <si>
    <t># text = ES: Dick Cheney ist eine ganz eigene Marke.</t>
  </si>
  <si>
    <t>ganz</t>
  </si>
  <si>
    <t>Marke</t>
  </si>
  <si>
    <t># text = (Gelächter) Danke.</t>
  </si>
  <si>
    <t>Gelächter</t>
  </si>
  <si>
    <t>Danke</t>
  </si>
  <si>
    <t># text = Es ist bemerkenswert, weil damals, als Julian Assange einige seiner wichtigsten Aktionen unternahm, sagte Dick Cheney, dass er das Ende für Regierungen in aller Welt bedeute, der Himmel würde in Flammen aufgehen und die Ozeane würden überkochen, und nun sagt er, das ist ein Flohbiss.</t>
  </si>
  <si>
    <t>bemerkenswert</t>
  </si>
  <si>
    <t>damals</t>
  </si>
  <si>
    <t>seiner</t>
  </si>
  <si>
    <t>wichtigsten</t>
  </si>
  <si>
    <t>Aktionen</t>
  </si>
  <si>
    <t>unternahm</t>
  </si>
  <si>
    <t>er</t>
  </si>
  <si>
    <t>Ende</t>
  </si>
  <si>
    <t>Regierungen</t>
  </si>
  <si>
    <t>aller</t>
  </si>
  <si>
    <t>bedeute</t>
  </si>
  <si>
    <t>Himmel</t>
  </si>
  <si>
    <t>Flammen</t>
  </si>
  <si>
    <t>aufgehen</t>
  </si>
  <si>
    <t>Ozeane</t>
  </si>
  <si>
    <t>überkochen</t>
  </si>
  <si>
    <t>nun</t>
  </si>
  <si>
    <t># text = Wir sollten also misstrauisch sein bei aufgebauschten Behauptungen von solchen Amtsträgern, was den Schaden für die nationale Sicherheit angeht.</t>
  </si>
  <si>
    <t>also</t>
  </si>
  <si>
    <t>misstrauisch</t>
  </si>
  <si>
    <t>aufgebauschten</t>
  </si>
  <si>
    <t>Behauptungen</t>
  </si>
  <si>
    <t>solchen</t>
  </si>
  <si>
    <t>Amtsträgern</t>
  </si>
  <si>
    <t>angeht</t>
  </si>
  <si>
    <t># text = Aber angenommen, diese Leute glauben, was sie sagen.</t>
  </si>
  <si>
    <t>angenommen</t>
  </si>
  <si>
    <t># text = Ich würde entgegenhalten, dass sie eine enge Sicht auf die nationale Sicherheit haben.</t>
  </si>
  <si>
    <t>enge</t>
  </si>
  <si>
    <t>Sicht</t>
  </si>
  <si>
    <t># text = Die Vorrechte von Leuten wie Dick Cheney tragen nicht zur Sicherheit der Nation bei.</t>
  </si>
  <si>
    <t>Vorrechte</t>
  </si>
  <si>
    <t>Nation</t>
  </si>
  <si>
    <t># text = Das öffentliche Interesse deckt sich nicht immer mit dem nationalen Interesse.</t>
  </si>
  <si>
    <t>öffentliche</t>
  </si>
  <si>
    <t>Interesse</t>
  </si>
  <si>
    <t>deckt</t>
  </si>
  <si>
    <t>immer</t>
  </si>
  <si>
    <t>nationalen</t>
  </si>
  <si>
    <t># text = In den Krieg zu ziehen, gegen Leute, die nicht unsere Feinde sind, an Orten, die keine Bedrohung darstellen, gibt uns keine Sicherheit, und das trifft zu, ob es im Irak ist oder im Internet.</t>
  </si>
  <si>
    <t>Krieg</t>
  </si>
  <si>
    <t>Feinde</t>
  </si>
  <si>
    <t>Orten</t>
  </si>
  <si>
    <t>Bedrohung</t>
  </si>
  <si>
    <t>darstellen</t>
  </si>
  <si>
    <t>trifft</t>
  </si>
  <si>
    <t>Irak</t>
  </si>
  <si>
    <t># text = Das Internet ist nicht der Feind.</t>
  </si>
  <si>
    <t>Feind</t>
  </si>
  <si>
    <t># text = Unsere Wirtschaft ist nicht der Feind.</t>
  </si>
  <si>
    <t>Unsere</t>
  </si>
  <si>
    <t>Wirtschaft</t>
  </si>
  <si>
    <t># text = Amerikanische Unternehmen, chinesische Unternehmen und jedes andere Unternehmen da draußen sind Teil unserer Gesellschaft.</t>
  </si>
  <si>
    <t>Amerikanische</t>
  </si>
  <si>
    <t>draußen</t>
  </si>
  <si>
    <t>Gesellschaft</t>
  </si>
  <si>
    <t># text = Sie sind Teil unserer vernetzten Welt.</t>
  </si>
  <si>
    <t>vernetzten</t>
  </si>
  <si>
    <t># text = Es gibt Bande der Bruderschaft, die uns verbinden.</t>
  </si>
  <si>
    <t>Bande</t>
  </si>
  <si>
    <t>Bruderschaft</t>
  </si>
  <si>
    <t>verbinden</t>
  </si>
  <si>
    <t># text = Wenn wir diese zerstören, in dem wir die Normen unterminieren, die Sicherheit, die Verhaltensregeln, von denen Nationen und Bürger in aller Welt erwarten, dass wir sie befolgen.</t>
  </si>
  <si>
    <t>Normen</t>
  </si>
  <si>
    <t>unterminieren</t>
  </si>
  <si>
    <t>Verhaltensregeln</t>
  </si>
  <si>
    <t>Nationen</t>
  </si>
  <si>
    <t>erwarten</t>
  </si>
  <si>
    <t>befolgen</t>
  </si>
  <si>
    <t># text = CA: Man hat dir vorgeworfen, du hättest 1,7 Millionen Dokumente gestohlen.</t>
  </si>
  <si>
    <t>vorgeworfen</t>
  </si>
  <si>
    <t>1,7</t>
  </si>
  <si>
    <t>Millionen</t>
  </si>
  <si>
    <t># text = Es scheint, als seien bisher nur ein paar Hundert an Journalisten weitergegeben worden.</t>
  </si>
  <si>
    <t>scheint</t>
  </si>
  <si>
    <t>bisher</t>
  </si>
  <si>
    <t>Hundert</t>
  </si>
  <si>
    <t>weitergegeben</t>
  </si>
  <si>
    <t>worden</t>
  </si>
  <si>
    <t># text = Wird es weitere Enthüllungen geben?</t>
  </si>
  <si>
    <t>Wird</t>
  </si>
  <si>
    <t>weitere</t>
  </si>
  <si>
    <t># text = ES: Es wird auf jeden Fall weitere Enthüllungen geben.</t>
  </si>
  <si>
    <t>jeden</t>
  </si>
  <si>
    <t># text = Es steht außer Frage, dass einige der wichtigsten Berichterstattungen erst noch kommen werden.</t>
  </si>
  <si>
    <t>Berichterstattungen</t>
  </si>
  <si>
    <t># text = CA: Komm hier herüber, ich möchte dir eine Frage stellen zu dieser speziellen Enthüllung.</t>
  </si>
  <si>
    <t>herüber</t>
  </si>
  <si>
    <t>speziellen</t>
  </si>
  <si>
    <t>Enthüllung</t>
  </si>
  <si>
    <t># text = Komm und sieh dir dies an.</t>
  </si>
  <si>
    <t>sieh</t>
  </si>
  <si>
    <t># text = Womöglich ist diese Geschichte für die Tech-Freunde in diesem Raum die schockierendste Sache, die sie in den letzten Monaten gehört haben.</t>
  </si>
  <si>
    <t>Womöglich</t>
  </si>
  <si>
    <t>Tech</t>
  </si>
  <si>
    <t>Freunde</t>
  </si>
  <si>
    <t>schockierendste</t>
  </si>
  <si>
    <t># text = Es geht um ein Programm namens "Bullrun".</t>
  </si>
  <si>
    <t>namens</t>
  </si>
  <si>
    <t>Bullrun</t>
  </si>
  <si>
    <t># text = Könntest du uns erklären, was das ist?</t>
  </si>
  <si>
    <t>Könntest</t>
  </si>
  <si>
    <t># text = ES: Bullrun, also.</t>
  </si>
  <si>
    <t># text = Wieder ein Fall, wo ich der NSA für ihre Freimütigkeit danke.</t>
  </si>
  <si>
    <t>Wieder</t>
  </si>
  <si>
    <t>wo</t>
  </si>
  <si>
    <t>Freimütigkeit</t>
  </si>
  <si>
    <t>danke</t>
  </si>
  <si>
    <t># text = Dieses Programm wurde nach einer Schlacht im amerikanischen Bürgerkrieg benannt.</t>
  </si>
  <si>
    <t>nach</t>
  </si>
  <si>
    <t>Schlacht</t>
  </si>
  <si>
    <t>Bürgerkrieg</t>
  </si>
  <si>
    <t>benannt</t>
  </si>
  <si>
    <t># text = Das britische Gegenstück heißt "Edgehill", nach einer britischen Bürgerkriegsschlacht.</t>
  </si>
  <si>
    <t>britische</t>
  </si>
  <si>
    <t>Gegenstück</t>
  </si>
  <si>
    <t>Edgehill</t>
  </si>
  <si>
    <t>britischen</t>
  </si>
  <si>
    <t>Bürgerkriegsschlacht</t>
  </si>
  <si>
    <t># text = Ich denke, dass sie es so nennen, weil das Ziel unsere eigene Infrastruktur ist.</t>
  </si>
  <si>
    <t>Infrastruktur</t>
  </si>
  <si>
    <t># text = Es sind Programme, mit denen die NSA gezielt Partnerunternehmen in die Irre führt.</t>
  </si>
  <si>
    <t>gezielt</t>
  </si>
  <si>
    <t>Partnerunternehmen</t>
  </si>
  <si>
    <t>Irre</t>
  </si>
  <si>
    <t>führt</t>
  </si>
  <si>
    <t># text = Sie sagen Partnerunternehmen, dass dies sichere Standards sind.</t>
  </si>
  <si>
    <t>sichere</t>
  </si>
  <si>
    <t>Standards</t>
  </si>
  <si>
    <t># text = Sie sagen: \"Wir müssen mit dir arbeiten, um deine Systeme abzusichern.\"</t>
  </si>
  <si>
    <t>arbeiten</t>
  </si>
  <si>
    <t>Systeme</t>
  </si>
  <si>
    <t>abzusichern</t>
  </si>
  <si>
    <t># text = In Wirklichkeit geben sie diesen Unternehmen schlechte Ratschläge, die die Sicherheit ihrer Systeme schwächen.</t>
  </si>
  <si>
    <t>Wirklichkeit</t>
  </si>
  <si>
    <t>schlechte</t>
  </si>
  <si>
    <t>Ratschläge</t>
  </si>
  <si>
    <t>schwächen</t>
  </si>
  <si>
    <t># text = Sie bauen Hintertüren ein, die nicht nur die NSA ausbeuten kann, sondern jeder, der Zeit und Geld hat, sie zu recherchieren und zu finden, kann sie nutzen, um sich Zugang zu verschaffen in die Kommunikationen der Welt.</t>
  </si>
  <si>
    <t>Hintertüren</t>
  </si>
  <si>
    <t>ausbeuten</t>
  </si>
  <si>
    <t>Zeit</t>
  </si>
  <si>
    <t>Geld</t>
  </si>
  <si>
    <t>recherchieren</t>
  </si>
  <si>
    <t>nutzen</t>
  </si>
  <si>
    <t>verschaffen</t>
  </si>
  <si>
    <t># text = Das ist wirklich gefährlich.</t>
  </si>
  <si>
    <t>gefährlich</t>
  </si>
  <si>
    <t># text = Denn wenn wir auch nur einen Standard verlieren, wenn wir das Vertrauen in so etwas wie SSL verlieren, das ein ausgemachtes Ziel des Programms Bullrun war, werden wir in einer Welt leben, die insgesamt weniger sicher ist.</t>
  </si>
  <si>
    <t>Denn</t>
  </si>
  <si>
    <t>verlieren</t>
  </si>
  <si>
    <t>Vertrauen</t>
  </si>
  <si>
    <t>ausgemachtes</t>
  </si>
  <si>
    <t>Programms</t>
  </si>
  <si>
    <t>insgesamt</t>
  </si>
  <si>
    <t># text = Wir werden keinen Zugriff auf unsere Banken haben, wir werden keinen Zugang zum Handel haben, ohne uns über Leute zu sorgen, die diese Kommunikation überwachen oder für ihre Zwecke missbrauchen könnten.</t>
  </si>
  <si>
    <t>Zugriff</t>
  </si>
  <si>
    <t>Banken</t>
  </si>
  <si>
    <t>Handel</t>
  </si>
  <si>
    <t>sorgen</t>
  </si>
  <si>
    <t>Zwecke</t>
  </si>
  <si>
    <t>missbrauchen</t>
  </si>
  <si>
    <t># text = CA: Und machen dieselben Entscheidungen Amerika potenziell verwundbar für Cyberangriffe von anderer Seite?</t>
  </si>
  <si>
    <t>dieselben</t>
  </si>
  <si>
    <t>potenziell</t>
  </si>
  <si>
    <t>verwundbar</t>
  </si>
  <si>
    <t>Cyberangriffe</t>
  </si>
  <si>
    <t>anderer</t>
  </si>
  <si>
    <t># text = ES: Absolut.</t>
  </si>
  <si>
    <t>Absolut</t>
  </si>
  <si>
    <t># text = Eines der Probleme, eines der gefährlichen Vermächtnisse in der Ära nach dem 11.</t>
  </si>
  <si>
    <t>Eines</t>
  </si>
  <si>
    <t>Probleme</t>
  </si>
  <si>
    <t>gefährlichen</t>
  </si>
  <si>
    <t>Vermächtnisse</t>
  </si>
  <si>
    <t>Ära</t>
  </si>
  <si>
    <t># text = September ist die Erkenntnis, dass die NSA schon immer zwei Gesichter hatte.</t>
  </si>
  <si>
    <t>September</t>
  </si>
  <si>
    <t>Erkenntnis</t>
  </si>
  <si>
    <t>zwei</t>
  </si>
  <si>
    <t>Gesichter</t>
  </si>
  <si>
    <t># text = Sie waren verantwortlich für offensive Operationen, in denen es um Hacking ging.</t>
  </si>
  <si>
    <t>waren</t>
  </si>
  <si>
    <t>verantwortlich</t>
  </si>
  <si>
    <t>offensive</t>
  </si>
  <si>
    <t>Operationen</t>
  </si>
  <si>
    <t>Hacking</t>
  </si>
  <si>
    <t>ging</t>
  </si>
  <si>
    <t># text = Aber sie leitete auch defensive Operationen.</t>
  </si>
  <si>
    <t>leitete</t>
  </si>
  <si>
    <t>defensive</t>
  </si>
  <si>
    <t># text = Traditionsgemäß hat die NSA stets die Defensive der Offensive vorgezogen, ausgehend von dem Prinzip, dass amerikanische Geheimnisse schlicht wertvoller sind.</t>
  </si>
  <si>
    <t>Traditionsgemäß</t>
  </si>
  <si>
    <t>stets</t>
  </si>
  <si>
    <t>Defensive</t>
  </si>
  <si>
    <t>Offensive</t>
  </si>
  <si>
    <t>vorgezogen</t>
  </si>
  <si>
    <t>ausgehend</t>
  </si>
  <si>
    <t>Prinzip</t>
  </si>
  <si>
    <t>amerikanische</t>
  </si>
  <si>
    <t>Geheimnisse</t>
  </si>
  <si>
    <t>schlicht</t>
  </si>
  <si>
    <t>wertvoller</t>
  </si>
  <si>
    <t># text = Wenn wir ein chinesisches Unternehmen hacken und seine Geheimnisse stehlen; wenn wir eine Regierungsbehörde in Berlin hacken und ihre Geheimnisse stehlen, dann ist das für das amerikanische Volk weniger wertvoll, als sicherzustellen, dass die Chinesen keinen Zugang zu unseren Geheimnissen haben.</t>
  </si>
  <si>
    <t>chinesisches</t>
  </si>
  <si>
    <t>hacken</t>
  </si>
  <si>
    <t>seine</t>
  </si>
  <si>
    <t>Berlin</t>
  </si>
  <si>
    <t>wertvoll</t>
  </si>
  <si>
    <t>sicherzustellen</t>
  </si>
  <si>
    <t>Chinesen</t>
  </si>
  <si>
    <t>unseren</t>
  </si>
  <si>
    <t>Geheimnissen</t>
  </si>
  <si>
    <t># text = Also indem sie die Sicherheit unserer Kommunikationen schwächen, setzen sie nicht nur die Welt Risiken aus, sie gefährden auch die USA auf fundamentale Weise, weil geistiges Eigentum die Grundlage unserer Wirtschaft ist.</t>
  </si>
  <si>
    <t>fundamentale</t>
  </si>
  <si>
    <t>geistiges</t>
  </si>
  <si>
    <t>Eigentum</t>
  </si>
  <si>
    <t># text = Wenn wir das durch schwache Sicherheit gefährden, werden wir auf Jahre hinaus dafür zahlen.</t>
  </si>
  <si>
    <t>durch</t>
  </si>
  <si>
    <t>schwache</t>
  </si>
  <si>
    <t>dafür</t>
  </si>
  <si>
    <t># text = CA: Aber die NSA hat ich ausgerechnet, dass es diese Maßnahme als Teil der US-Verteidigung gegen Terrorismus wert ist.</t>
  </si>
  <si>
    <t>Maßnahme</t>
  </si>
  <si>
    <t>Verteidigung</t>
  </si>
  <si>
    <t>Terrorismus</t>
  </si>
  <si>
    <t>wert</t>
  </si>
  <si>
    <t># text = Dann ist das doch gewiss ein Preis, der sich lohnt.</t>
  </si>
  <si>
    <t>Dann</t>
  </si>
  <si>
    <t>doch</t>
  </si>
  <si>
    <t>gewiss</t>
  </si>
  <si>
    <t>Preis</t>
  </si>
  <si>
    <t>lohnt</t>
  </si>
  <si>
    <t># text = ES: Wenn man sich die Resultate dieser Programme beim Verhindern von Terrorismus ansieht, sieht man, dass es dafür keine Belege gibt.</t>
  </si>
  <si>
    <t>Resultate</t>
  </si>
  <si>
    <t>Verhindern</t>
  </si>
  <si>
    <t>ansieht</t>
  </si>
  <si>
    <t>Belege</t>
  </si>
  <si>
    <t># text = Sie müssen sich nicht auf mein Wort verlassen, weil wir das erste öffentliche Gerichtsverfahren haben.</t>
  </si>
  <si>
    <t>mein</t>
  </si>
  <si>
    <t>Wort</t>
  </si>
  <si>
    <t>Gerichtsverfahren</t>
  </si>
  <si>
    <t># text = Der erste Bundesgerichtshof, der sie außerhalb der Geheimhaltungsvereinbarungen untersuchte, nannte sie Orwellsche Programme und wahrscheinlich verfassungswidrig.</t>
  </si>
  <si>
    <t>Bundesgerichtshof</t>
  </si>
  <si>
    <t>außerhalb</t>
  </si>
  <si>
    <t>Geheimhaltungsvereinbarungen</t>
  </si>
  <si>
    <t>untersuchte</t>
  </si>
  <si>
    <t>nannte</t>
  </si>
  <si>
    <t>Orwellsche</t>
  </si>
  <si>
    <t>wahrscheinlich</t>
  </si>
  <si>
    <t>verfassungswidrig</t>
  </si>
  <si>
    <t># text = Der Kongress, der in diesen Angelegenheiten Auskunft verlangen kann und nun auch einfordern möchte, hat Gesetze vorgelegt, um es zu reformieren.</t>
  </si>
  <si>
    <t>Angelegenheiten</t>
  </si>
  <si>
    <t>Auskunft</t>
  </si>
  <si>
    <t>einfordern</t>
  </si>
  <si>
    <t>vorgelegt</t>
  </si>
  <si>
    <t>reformieren</t>
  </si>
  <si>
    <t># text = Zwei unabhängige Ausschüsse des Weißen Hauses, die all das vertrauliche Beweismaterial geprüft haben, sagen, diese Programme haben nie auch nur einen Terroristenangriff verhindert, der in den USA bevorstand.</t>
  </si>
  <si>
    <t>Zwei</t>
  </si>
  <si>
    <t>unabhängige</t>
  </si>
  <si>
    <t>Ausschüsse</t>
  </si>
  <si>
    <t>Weißen</t>
  </si>
  <si>
    <t>Hauses</t>
  </si>
  <si>
    <t>Beweismaterial</t>
  </si>
  <si>
    <t>geprüft</t>
  </si>
  <si>
    <t>Terroristenangriff</t>
  </si>
  <si>
    <t>verhindert</t>
  </si>
  <si>
    <t>bevorstand</t>
  </si>
  <si>
    <t># text = Also ist es wirklich Terrorismus, den wir verhindern?</t>
  </si>
  <si>
    <t>verhindern</t>
  </si>
  <si>
    <t># text = Haben diese Programme überhaupt einen Wert?</t>
  </si>
  <si>
    <t>Haben</t>
  </si>
  <si>
    <t>überhaupt</t>
  </si>
  <si>
    <t>Wert</t>
  </si>
  <si>
    <t># text = Ich sage nein, und auch alle drei Staatsorgane der amerikanischen Regierung sagen nein.</t>
  </si>
  <si>
    <t>sage</t>
  </si>
  <si>
    <t>nein</t>
  </si>
  <si>
    <t>drei</t>
  </si>
  <si>
    <t>Staatsorgane</t>
  </si>
  <si>
    <t># text = CA: Denkst du, es gibt einen tieferen Beweggrund für sie als den Krieg gegen den Terror?</t>
  </si>
  <si>
    <t>Denkst</t>
  </si>
  <si>
    <t>tieferen</t>
  </si>
  <si>
    <t>Beweggrund</t>
  </si>
  <si>
    <t>Terror</t>
  </si>
  <si>
    <t># text = ES: Verzeihung, ich konnte dich nicht hören.</t>
  </si>
  <si>
    <t>Verzeihung</t>
  </si>
  <si>
    <t>konnte</t>
  </si>
  <si>
    <t>hören</t>
  </si>
  <si>
    <t># text = Kannst du das wiederholen?</t>
  </si>
  <si>
    <t># text = CA: Entschuldige.</t>
  </si>
  <si>
    <t>Entschuldige</t>
  </si>
  <si>
    <t># text = Denkst du, es gibt einen anderen, tieferliegenden Beweggrund ES: Ja.</t>
  </si>
  <si>
    <t>tieferliegenden</t>
  </si>
  <si>
    <t>Ja</t>
  </si>
  <si>
    <t># text = Unterm Strich ist Terrorismus immer das gewesen, was wir in der Welt der Geheimdienste eine Auftragslegende nennen würden.</t>
  </si>
  <si>
    <t>gewesen</t>
  </si>
  <si>
    <t>Geheimdienste</t>
  </si>
  <si>
    <t>Auftragslegende</t>
  </si>
  <si>
    <t># text = Terrorismus ist etwas, das eine emotionale Reaktion hervorruft, die es Leuten ermöglicht, das Autorisieren von Vollmachten und Programmen zu rationalisieren, denen sie sonst nicht zustimmen würden.</t>
  </si>
  <si>
    <t>emotionale</t>
  </si>
  <si>
    <t>hervorruft</t>
  </si>
  <si>
    <t>ermöglicht</t>
  </si>
  <si>
    <t>Autorisieren</t>
  </si>
  <si>
    <t>Vollmachten</t>
  </si>
  <si>
    <t>rationalisieren</t>
  </si>
  <si>
    <t>sonst</t>
  </si>
  <si>
    <t>zustimmen</t>
  </si>
  <si>
    <t># text = Für Programme, die Bullrun oder Edgehill ähneln, bat die NSA bereits in den 1990er-Jahren um Ermächtigungen.</t>
  </si>
  <si>
    <t>ähneln</t>
  </si>
  <si>
    <t>1990er</t>
  </si>
  <si>
    <t>Ermächtigungen</t>
  </si>
  <si>
    <t># text = Sie bat das FBI, sich beim Kongress dafür einzusetzen.</t>
  </si>
  <si>
    <t>FBI</t>
  </si>
  <si>
    <t>einzusetzen</t>
  </si>
  <si>
    <t># text = Und das FBI setzte sich beim Kongress dafür ein.</t>
  </si>
  <si>
    <t>setzte</t>
  </si>
  <si>
    <t># text = Aber der Kongress und das amerikanische Volk sagten nein.</t>
  </si>
  <si>
    <t># text = Sie sagten, es sei das Risiko für unsere Wirtschaft nicht wert.</t>
  </si>
  <si>
    <t># text = Sie sagten, der Schaden für die Gesellschaft sei zu groß, um den Nutzen zu rechtfertigen.</t>
  </si>
  <si>
    <t>groß</t>
  </si>
  <si>
    <t>rechtfertigen</t>
  </si>
  <si>
    <t># text = Aber wir haben in der Zeit nach dem 11.</t>
  </si>
  <si>
    <t># text = September gesehen, dass sie zur Geheimhaltung griffen und den Terrorismus als Rechtfertigung benutzten, um die Programme im Geheimen zu starten, ohne den Kongress zu fragen, ohne das amerikanische Volk zu fragen, und es ist diese Art von Regierung hinter verschlossenen Türen, vor der wir uns schützen müssen, weil sie unsere Sicherheit schwächt und keinen Gegenwert bietet.</t>
  </si>
  <si>
    <t>Geheimhaltung</t>
  </si>
  <si>
    <t>griffen</t>
  </si>
  <si>
    <t>Rechtfertigung</t>
  </si>
  <si>
    <t>benutzten</t>
  </si>
  <si>
    <t>starten</t>
  </si>
  <si>
    <t>verschlossenen</t>
  </si>
  <si>
    <t>Türen</t>
  </si>
  <si>
    <t>schwächt</t>
  </si>
  <si>
    <t>Gegenwert</t>
  </si>
  <si>
    <t>bietet</t>
  </si>
  <si>
    <t># text = CA: Kommst du einen Moment mit mir?</t>
  </si>
  <si>
    <t>Kommst</t>
  </si>
  <si>
    <t># text = Ich habe eine etwas persönlichere Frage an dich.</t>
  </si>
  <si>
    <t>persönlichere</t>
  </si>
  <si>
    <t># text = Wo wir gerade von Terror sprechen:</t>
  </si>
  <si>
    <t>Wo</t>
  </si>
  <si>
    <t>gerade</t>
  </si>
  <si>
    <t># text = Die meisten Leute finden deine gegenwärtige Situation in Russland recht furchteinflößend.</t>
  </si>
  <si>
    <t>meisten</t>
  </si>
  <si>
    <t>gegenwärtige</t>
  </si>
  <si>
    <t>Situation</t>
  </si>
  <si>
    <t>recht</t>
  </si>
  <si>
    <t>furchteinflößend</t>
  </si>
  <si>
    <t># text = Du hast offensichtlich gehört, welche Behandlung Bradley Manning widerfahren ist, Chelsea Manning, wie sie jetzt heißt.</t>
  </si>
  <si>
    <t>offensichtlich</t>
  </si>
  <si>
    <t>welche</t>
  </si>
  <si>
    <t>Behandlung</t>
  </si>
  <si>
    <t>Bradley</t>
  </si>
  <si>
    <t>Manning</t>
  </si>
  <si>
    <t>widerfahren</t>
  </si>
  <si>
    <t>Chelsea</t>
  </si>
  <si>
    <t># text = Ein Beitrag auf Buzzfeed schrieb, es gibt Leute in der Geheimdienstgemeinde die dich tot sehen möchten.</t>
  </si>
  <si>
    <t>Beitrag</t>
  </si>
  <si>
    <t>Buzzfeed</t>
  </si>
  <si>
    <t>schrieb</t>
  </si>
  <si>
    <t>Geheimdienstgemeinde</t>
  </si>
  <si>
    <t>tot</t>
  </si>
  <si>
    <t>möchten</t>
  </si>
  <si>
    <t># text = Wie gehst du damit um?</t>
  </si>
  <si>
    <t>gehst</t>
  </si>
  <si>
    <t># text = Wie gehst du mit der Angst um?</t>
  </si>
  <si>
    <t>Angst</t>
  </si>
  <si>
    <t># text = ES: Es ist kein Geheimnis, dass es da draußen Regierungen gibt, die mich tot sehen möchten.</t>
  </si>
  <si>
    <t>kein</t>
  </si>
  <si>
    <t>Geheimnis</t>
  </si>
  <si>
    <t># text = Ich habe immer und immer wieder betont, dass ich jeden Morgen, wenn ich schlafen gehe, darüber nachdenke, was ich für das amerikanische Volk tun kann.</t>
  </si>
  <si>
    <t>wieder</t>
  </si>
  <si>
    <t>betont</t>
  </si>
  <si>
    <t>Morgen</t>
  </si>
  <si>
    <t>schlafen</t>
  </si>
  <si>
    <t>gehe</t>
  </si>
  <si>
    <t># text = Ich möchte meiner Regierung nicht schaden.</t>
  </si>
  <si>
    <t># text = Ich möchte meiner Regierung helfen, aber die Tatsache, dass sie bereit ist, die Rechtstaatlichkeit völlig zu ignorieren, dass sie bereit ist, jemanden schuldig zu erklären, ohne jemals ein Verfahren zu sehen, das sind Dinge, gegen die wir uns einsetzen müssen als Gesellschaft, und sagen: "Hey, dies ist nicht angemessen."</t>
  </si>
  <si>
    <t>bereit</t>
  </si>
  <si>
    <t>Rechtstaatlichkeit</t>
  </si>
  <si>
    <t>völlig</t>
  </si>
  <si>
    <t>ignorieren</t>
  </si>
  <si>
    <t>schuldig</t>
  </si>
  <si>
    <t>jemals</t>
  </si>
  <si>
    <t>Verfahren</t>
  </si>
  <si>
    <t>Hey</t>
  </si>
  <si>
    <t>angemessen</t>
  </si>
  <si>
    <t># text = Wir sollten Dissidenten nicht bedrohen.</t>
  </si>
  <si>
    <t>Dissidenten</t>
  </si>
  <si>
    <t># text = Wir sollten Journalismus nicht kriminalisieren.</t>
  </si>
  <si>
    <t>Journalismus</t>
  </si>
  <si>
    <t># text = Was auch immer ich tun kann, um das zu erreichen, tue ich gern, ungeachtet der Risiken.</t>
  </si>
  <si>
    <t>erreichen</t>
  </si>
  <si>
    <t>tue</t>
  </si>
  <si>
    <t>gern</t>
  </si>
  <si>
    <t># text = CA: Ich möchte an dieser Stelle um Stimmen aus dem Pubikum bitten, weil ich weiß, dass es sehr unterschiedliche Reaktionen auf Edward Snowden gibt.</t>
  </si>
  <si>
    <t>Stimmen</t>
  </si>
  <si>
    <t>Pubikum</t>
  </si>
  <si>
    <t>unterschiedliche</t>
  </si>
  <si>
    <t>Reaktionen</t>
  </si>
  <si>
    <t># text = Angenommen Sie hätten die Wahl zwischen zwei Optionen: Sie könnten das, was er getan hat, als im Wesentlichen rücksichtslose Tat sehen, die die USA in Gefahr gebracht hat, oder Sie können es im Wesentlichen als Heldentat sehen, die den USA und und der Welt langfristig zum Vorteil gereichen wird?</t>
  </si>
  <si>
    <t>Angenommen</t>
  </si>
  <si>
    <t>Wahl</t>
  </si>
  <si>
    <t>Optionen</t>
  </si>
  <si>
    <t>Wesentlichen</t>
  </si>
  <si>
    <t>rücksichtslose</t>
  </si>
  <si>
    <t>Tat</t>
  </si>
  <si>
    <t>Gefahr</t>
  </si>
  <si>
    <t>Heldentat</t>
  </si>
  <si>
    <t>langfristig</t>
  </si>
  <si>
    <t>Vorteil</t>
  </si>
  <si>
    <t>gereichen</t>
  </si>
  <si>
    <t># text = Dies sind de beiden Optionen, die ich Ihnen gebe.</t>
  </si>
  <si>
    <t>de</t>
  </si>
  <si>
    <t>beiden</t>
  </si>
  <si>
    <t>gebe</t>
  </si>
  <si>
    <t># text = Ich bin gespannt, zu sehen, wer bereit ist, die erste Option zu wählen, dass es eine rücksichtslose Aktion war.</t>
  </si>
  <si>
    <t>gespannt</t>
  </si>
  <si>
    <t>wer</t>
  </si>
  <si>
    <t>Option</t>
  </si>
  <si>
    <t>Aktion</t>
  </si>
  <si>
    <t># text = Da gehen ein paar Hände hoch.</t>
  </si>
  <si>
    <t>Hände</t>
  </si>
  <si>
    <t># text = Einige Hände gehen hoch.</t>
  </si>
  <si>
    <t># text = Es ist schwer, seine Hand zu heben, wenn der Mann direkt hier steht, aber ich sehe sie.</t>
  </si>
  <si>
    <t>schwer</t>
  </si>
  <si>
    <t>heben</t>
  </si>
  <si>
    <t>sehe</t>
  </si>
  <si>
    <t># text = ES: Ich kann euch sehen.</t>
  </si>
  <si>
    <t>euch</t>
  </si>
  <si>
    <t># text = CA: Und wer wählt die zweite Option, dass dies im Grunde eine Heldentat ist?</t>
  </si>
  <si>
    <t>wählt</t>
  </si>
  <si>
    <t>zweite</t>
  </si>
  <si>
    <t>Grunde</t>
  </si>
  <si>
    <t># text = (Hochrufe) Ich denke, da waren viele, die ihre Hand nicht gehoben haben und die, wie ich glaube, über dieses Thema noch nachdenken, weil die Debatte um dich, wie mir scheint, nicht zwischen traditionellen politischen Lagern entbrennt.</t>
  </si>
  <si>
    <t>Hochrufe</t>
  </si>
  <si>
    <t>gehoben</t>
  </si>
  <si>
    <t>Thema</t>
  </si>
  <si>
    <t>nachdenken</t>
  </si>
  <si>
    <t>traditionellen</t>
  </si>
  <si>
    <t>politischen</t>
  </si>
  <si>
    <t>Lagern</t>
  </si>
  <si>
    <t>entbrennt</t>
  </si>
  <si>
    <t># text = Es geht nicht um links oder rechts, es geht nicht wirklich darum, ob du pro Regierung, libertär bist, oder nicht nur darum.</t>
  </si>
  <si>
    <t>links</t>
  </si>
  <si>
    <t>rechts</t>
  </si>
  <si>
    <t>darum</t>
  </si>
  <si>
    <t>libertär</t>
  </si>
  <si>
    <t># text = Ein Aspekt davon ist geradezu eine Generationenfrage.</t>
  </si>
  <si>
    <t>Aspekt</t>
  </si>
  <si>
    <t>geradezu</t>
  </si>
  <si>
    <t>Generationenfrage</t>
  </si>
  <si>
    <t># text = Du gehörst einer Generation an, die mit dem Internet aufgewachsen ist.</t>
  </si>
  <si>
    <t>gehörst</t>
  </si>
  <si>
    <t>Generation</t>
  </si>
  <si>
    <t>aufgewachsen</t>
  </si>
  <si>
    <t># text = Es scheint fast, als würde es dich zutiefst kränken, wenn du beobachtest, wie etwas getan wird, von dem du denkst, dass es dem Internet schaden wird.</t>
  </si>
  <si>
    <t>fast</t>
  </si>
  <si>
    <t>zutiefst</t>
  </si>
  <si>
    <t>kränken</t>
  </si>
  <si>
    <t>beobachtest</t>
  </si>
  <si>
    <t>denkst</t>
  </si>
  <si>
    <t># text = Ist da etwas dran?</t>
  </si>
  <si>
    <t>Ist</t>
  </si>
  <si>
    <t>dran</t>
  </si>
  <si>
    <t># text = ES: Das ist so, weißt du -- Das ist sehr wahr.</t>
  </si>
  <si>
    <t>weißt</t>
  </si>
  <si>
    <t>wahr</t>
  </si>
  <si>
    <t># text = Es ist keine Frage von links oder rechts.</t>
  </si>
  <si>
    <t># text = Unsere grundlegenden Freiheiten, und wenn ich "unsere" sage, meine ich nicht nur Amerikaner, ich meine Leute überall in der Welt, sind keine Frage der Partei.</t>
  </si>
  <si>
    <t>grundlegenden</t>
  </si>
  <si>
    <t>Freiheiten</t>
  </si>
  <si>
    <t>überall</t>
  </si>
  <si>
    <t>Partei</t>
  </si>
  <si>
    <t># text = Es sind die Dinge, an die alle Menschen glauben, und es liegt an uns, sie zu schützen, an denen, die ein freies und offenes Internet gesehen und genossen haben.</t>
  </si>
  <si>
    <t>liegt</t>
  </si>
  <si>
    <t>freies</t>
  </si>
  <si>
    <t>offenes</t>
  </si>
  <si>
    <t>genossen</t>
  </si>
  <si>
    <t># text = Es liegt an uns, diese Freiheit zu erhalten, damit die nächste Generation in ihren Genuss kommt.</t>
  </si>
  <si>
    <t>Genuss</t>
  </si>
  <si>
    <t># text = Wenn wir die Dinge nicht verändern, wenn wir nicht die Stirn bieten, um diese Veränderungen zu erreichen -- wir müssen das Internet schützen, nicht nur für uns, sondern für alle -- werden wir es verlieren, Das wäre ein gewaltiger Verlust, nicht nur für uns, sondern für die Welt.</t>
  </si>
  <si>
    <t>verändern</t>
  </si>
  <si>
    <t>Stirn</t>
  </si>
  <si>
    <t>bieten</t>
  </si>
  <si>
    <t>Veränderungen</t>
  </si>
  <si>
    <t>gewaltiger</t>
  </si>
  <si>
    <t>Verlust</t>
  </si>
  <si>
    <t># text = CA: Ich habe ähnliche Worte kürzlich vom Gründer des World-Wide-Web gehört, der, glaube ich, sogar bei uns ist: Sir Tim Berners-Lee.</t>
  </si>
  <si>
    <t>ähnliche</t>
  </si>
  <si>
    <t>Worte</t>
  </si>
  <si>
    <t>Gründer</t>
  </si>
  <si>
    <t>World</t>
  </si>
  <si>
    <t>Wide</t>
  </si>
  <si>
    <t>Web</t>
  </si>
  <si>
    <t>Sir</t>
  </si>
  <si>
    <t>Berners</t>
  </si>
  <si>
    <t>Lee</t>
  </si>
  <si>
    <t># text = Tim, möchtest du hochkommen und etwas sagen?</t>
  </si>
  <si>
    <t>möchtest</t>
  </si>
  <si>
    <t>hochkommen</t>
  </si>
  <si>
    <t># text = Haben wir ein Mikrofon für Tim?</t>
  </si>
  <si>
    <t># text = Tim, gut dich zu sehen.</t>
  </si>
  <si>
    <t># text = Komm dort hoch.</t>
  </si>
  <si>
    <t>dort</t>
  </si>
  <si>
    <t># text = Übrigens, in welchem Lager bist du?</t>
  </si>
  <si>
    <t>Übrigens</t>
  </si>
  <si>
    <t>welchem</t>
  </si>
  <si>
    <t>Lager</t>
  </si>
  <si>
    <t># text = Verräter oder Held?</t>
  </si>
  <si>
    <t># text = Ich habe eine Theorie, aber ... Tim Berners-Lee: Ich habe auf diese Frage wesentlich längere Antworten gegeben, aber \"Held\", wenn ich zwischen diesen beiden wählen muss.</t>
  </si>
  <si>
    <t>Theorie</t>
  </si>
  <si>
    <t>wesentlich</t>
  </si>
  <si>
    <t>längere</t>
  </si>
  <si>
    <t>Antworten</t>
  </si>
  <si>
    <t># text = CA: Und Ed, ich denke, du hast den Vorschlag gelesen, von dem Sir Tim gesprochen hat, über eine neue Magna Charta, um das Internet zurückzuerobern.</t>
  </si>
  <si>
    <t>Vorschlag</t>
  </si>
  <si>
    <t>gelesen</t>
  </si>
  <si>
    <t>gesprochen</t>
  </si>
  <si>
    <t>neue</t>
  </si>
  <si>
    <t>Magna</t>
  </si>
  <si>
    <t>Charta</t>
  </si>
  <si>
    <t>zurückzuerobern</t>
  </si>
  <si>
    <t># text = Ist das etwas, das Sinn macht?</t>
  </si>
  <si>
    <t>Sinn</t>
  </si>
  <si>
    <t>macht</t>
  </si>
  <si>
    <t># text = Meine Generation ... Ich bin nicht nur mit Gedanken über das Internet aufgewachsen, ich bin im Internet aufgewachsen, und obwohl ich nie erwartet hätte, die Chance zu haben, es auf eine so direkte und praktische Art und Weise zu verteidigen und es auf so ungewöhnliche Weise fast wie ein Avatar zu verkörpern.</t>
  </si>
  <si>
    <t>Meine</t>
  </si>
  <si>
    <t>erwartet</t>
  </si>
  <si>
    <t>hätte</t>
  </si>
  <si>
    <t>Chance</t>
  </si>
  <si>
    <t>direkte</t>
  </si>
  <si>
    <t>praktische</t>
  </si>
  <si>
    <t>verteidigen</t>
  </si>
  <si>
    <t>ungewöhnliche</t>
  </si>
  <si>
    <t>Avatar</t>
  </si>
  <si>
    <t>verkörpern</t>
  </si>
  <si>
    <t># text = Es ist etwas Poetisches an der Tatsache, dass einer der Söhne des Internet dem Internet so nahe gekommen ist durch eine politische Meinungsäußerung.</t>
  </si>
  <si>
    <t>Poetisches</t>
  </si>
  <si>
    <t>Söhne</t>
  </si>
  <si>
    <t>nahe</t>
  </si>
  <si>
    <t>gekommen</t>
  </si>
  <si>
    <t>politische</t>
  </si>
  <si>
    <t>Meinungsäußerung</t>
  </si>
  <si>
    <t># text = Ich glaube, eine Magna Charta für das Internet ist genau, was wir brauchen.</t>
  </si>
  <si>
    <t>genau</t>
  </si>
  <si>
    <t># text = Wir müssen unsere Werte festschreiben nicht nur in Worten, sondern in der Struktur des Internet.</t>
  </si>
  <si>
    <t>Werte</t>
  </si>
  <si>
    <t>Struktur</t>
  </si>
  <si>
    <t># text = Es ist etwas, auf das ich hoffe.</t>
  </si>
  <si>
    <t>hoffe</t>
  </si>
  <si>
    <t># text = Ich lade jeden im Publikum, nicht nur hier in Vancouver, sondern in der ganzen Welt ein, sich anzuschließen und mitzumachen.</t>
  </si>
  <si>
    <t>Vancouver</t>
  </si>
  <si>
    <t>anzuschließen</t>
  </si>
  <si>
    <t>mitzumachen</t>
  </si>
  <si>
    <t># text = CA: Hast du eine Frage an Ed? TBL: Zwei Fragen: eine allgemeine Frage ... CA: Ed, kannst du uns noch hören?</t>
  </si>
  <si>
    <t>Hast</t>
  </si>
  <si>
    <t>TBL</t>
  </si>
  <si>
    <t>allgemeine</t>
  </si>
  <si>
    <t># text = ES: Ja, ich kann dich hören.</t>
  </si>
  <si>
    <t># text = CA: Er ist wieder da.</t>
  </si>
  <si>
    <t># text = TBL: Die Wanze an deiner Leitung hatte für einen Moment Schluckauf.</t>
  </si>
  <si>
    <t>Wanze</t>
  </si>
  <si>
    <t>Leitung</t>
  </si>
  <si>
    <t>Schluckauf</t>
  </si>
  <si>
    <t># text = (Lachen) ES: Es ist ein kleines NSA-Problem.</t>
  </si>
  <si>
    <t>kleines</t>
  </si>
  <si>
    <t>Problem</t>
  </si>
  <si>
    <t># text = TBL: Wenn wir von den 25 Jahren einen Schritt zurücktreten und nachdenken, was denkst du, wäre das Beste, was wir erreichen könnten, aus all den Diskussionen, die wir über das Netz führen, das wir haben wollen?</t>
  </si>
  <si>
    <t>Schritt</t>
  </si>
  <si>
    <t>Beste</t>
  </si>
  <si>
    <t>Diskussionen</t>
  </si>
  <si>
    <t>Netz</t>
  </si>
  <si>
    <t># text = ES: Wenn wir darüber nachdenken, was wir erreichen können, dann, denke ich, wird das nur begrenzt durch das, was wir bereit sind, hineinzustecken Ich denke, das Internet, in dessen Genuss wir in der Vergangenheit gekommen sind, ist genau das, was wir -- nicht nur als Nation, sondern als ein Volk in aller Welt -- brauchen und das wir verteidigen müssen, indem wir kooperieren, indem wir nicht nur die technologischen Gesellschaftsanteile einbeziehen, sondern, wie du sagtest, die Nutzer, die Leute in aller Welt, die beitragen durch das Internet, durch soziale Medien, die nur nach dem Wetter sehen, die darauf als alltäglichen Teil ihres Lebens angewiesen sind.</t>
  </si>
  <si>
    <t>begrenzt</t>
  </si>
  <si>
    <t>hineinzustecken</t>
  </si>
  <si>
    <t>dessen</t>
  </si>
  <si>
    <t>Vergangenheit</t>
  </si>
  <si>
    <t>technologischen</t>
  </si>
  <si>
    <t>Gesellschaftsanteile</t>
  </si>
  <si>
    <t>einbeziehen</t>
  </si>
  <si>
    <t>sagtest</t>
  </si>
  <si>
    <t>beitragen</t>
  </si>
  <si>
    <t>soziale</t>
  </si>
  <si>
    <t>Medien</t>
  </si>
  <si>
    <t>Wetter</t>
  </si>
  <si>
    <t>alltäglichen</t>
  </si>
  <si>
    <t>other_12</t>
  </si>
  <si>
    <t>ihres</t>
  </si>
  <si>
    <t>Lebens</t>
  </si>
  <si>
    <t>angewiesen</t>
  </si>
  <si>
    <t># text = Wir erhalten nicht nur das Internet, das wir hatten, sondern ein besseres Internet, ein besseres Jetzt, etwas, das wir nutzen können, um eine Zukunft aufzubauen, die nicht nur besser sein wird, als wir erhoffen, sondern besser, als wir uns vorstellen können.</t>
  </si>
  <si>
    <t>besseres</t>
  </si>
  <si>
    <t>Jetzt</t>
  </si>
  <si>
    <t>aufzubauen</t>
  </si>
  <si>
    <t>besser</t>
  </si>
  <si>
    <t>erhoffen</t>
  </si>
  <si>
    <t>OBJ_8</t>
  </si>
  <si>
    <t>vorstellen</t>
  </si>
  <si>
    <t># text = CA: Vor 30 Jahren wurde TED gegründet, 1984.</t>
  </si>
  <si>
    <t>gegründet</t>
  </si>
  <si>
    <t># text = Viele Gespräche habe sich seither darum gedreht, dass George Orwell sich getäuscht hat.</t>
  </si>
  <si>
    <t>Viele</t>
  </si>
  <si>
    <t>seither</t>
  </si>
  <si>
    <t>gedreht</t>
  </si>
  <si>
    <t>George</t>
  </si>
  <si>
    <t>Orwell</t>
  </si>
  <si>
    <t>getäuscht</t>
  </si>
  <si>
    <t># text = Es ist nicht der Große Bruder, der uns überwacht.</t>
  </si>
  <si>
    <t>Große</t>
  </si>
  <si>
    <t>Bruder</t>
  </si>
  <si>
    <t>überwacht</t>
  </si>
  <si>
    <t># text = Wir, kraft der Macht des Netzes und der Transparenz, überwachen nun den Großen Bruder.</t>
  </si>
  <si>
    <t>kraft</t>
  </si>
  <si>
    <t>Macht</t>
  </si>
  <si>
    <t>Netzes</t>
  </si>
  <si>
    <t>Transparenz</t>
  </si>
  <si>
    <t>Großen</t>
  </si>
  <si>
    <t># text = Deine Enthüllungen haben einen Holzpflock durch das Herz dieser recht optimistischen Sicht getrieben, aber du glaubst dennoch, dass es einen Weg gibt, etwas dagegen zu tun.</t>
  </si>
  <si>
    <t>Deine</t>
  </si>
  <si>
    <t>Holzpflock</t>
  </si>
  <si>
    <t>Herz</t>
  </si>
  <si>
    <t>optimistischen</t>
  </si>
  <si>
    <t>getrieben</t>
  </si>
  <si>
    <t>glaubst</t>
  </si>
  <si>
    <t>dennoch</t>
  </si>
  <si>
    <t>Weg</t>
  </si>
  <si>
    <t>dagegen</t>
  </si>
  <si>
    <t># text = Und das tust du auch.</t>
  </si>
  <si>
    <t>tust</t>
  </si>
  <si>
    <t># text = ES: Richtig.</t>
  </si>
  <si>
    <t>Richtig</t>
  </si>
  <si>
    <t># text = Man kann argumentieren, dass die Möglichkeiten des Großen Bruders gewaltig zugenommen haben.</t>
  </si>
  <si>
    <t>Möglichkeiten</t>
  </si>
  <si>
    <t>Bruders</t>
  </si>
  <si>
    <t>gewaltig</t>
  </si>
  <si>
    <t>zugenommen</t>
  </si>
  <si>
    <t># text = Es gab kürzlich einen juristischen Aufsatz in Yale, der das sogenannte Bankston-Soltani-Prinzip formulierte.</t>
  </si>
  <si>
    <t>juristischen</t>
  </si>
  <si>
    <t>Aufsatz</t>
  </si>
  <si>
    <t>Yale</t>
  </si>
  <si>
    <t>sogenannte</t>
  </si>
  <si>
    <t>Bankston</t>
  </si>
  <si>
    <t>Soltani</t>
  </si>
  <si>
    <t>formulierte</t>
  </si>
  <si>
    <t># text = Es besagt, dass unser Anspruch auf Privatsphäre verletzt wird, wenn die Technologien staatlicher Überwachung um einen Faktor zehn billiger geworden sind.</t>
  </si>
  <si>
    <t>unser</t>
  </si>
  <si>
    <t>Anspruch</t>
  </si>
  <si>
    <t>Technologien</t>
  </si>
  <si>
    <t>staatlicher</t>
  </si>
  <si>
    <t>Faktor</t>
  </si>
  <si>
    <t>zehn</t>
  </si>
  <si>
    <t>billiger</t>
  </si>
  <si>
    <t>geworden</t>
  </si>
  <si>
    <t># text = Jedes Mal, wenn das passiert, müssen wir uns aufs Neue mit unserem Recht auf Datenschutz beschäftigen und es anpassen.</t>
  </si>
  <si>
    <t>Mal</t>
  </si>
  <si>
    <t>passiert</t>
  </si>
  <si>
    <t>Neue</t>
  </si>
  <si>
    <t>unserem</t>
  </si>
  <si>
    <t>Datenschutz</t>
  </si>
  <si>
    <t>anpassen</t>
  </si>
  <si>
    <t># text = Nun ist das nicht mehr geschehen, seit die Überwachungstechnologien der Regierung um ein Vielfaches des Faktors zehn zugenommen haben, und deshalb stecken wir in den heutigen Schwierigkeiten.</t>
  </si>
  <si>
    <t>Nun</t>
  </si>
  <si>
    <t>geschehen</t>
  </si>
  <si>
    <t>seit</t>
  </si>
  <si>
    <t>Überwachungstechnologien</t>
  </si>
  <si>
    <t>Vielfaches</t>
  </si>
  <si>
    <t>Faktors</t>
  </si>
  <si>
    <t>stecken</t>
  </si>
  <si>
    <t>heutigen</t>
  </si>
  <si>
    <t>Schwierigkeiten</t>
  </si>
  <si>
    <t># text = Aber es gibt immer noch Hoffnung, weil auch die Macht des Einzelnen durch Technologie zugenommen hat.</t>
  </si>
  <si>
    <t>Hoffnung</t>
  </si>
  <si>
    <t>Einzelnen</t>
  </si>
  <si>
    <t># text = Ich bin der lebende Beweis, dass ein Einzelner den mächtigsten Gegnern die Stirn bieten kann, den mächtigsten Nachrichtendiensten der Welt, und gewinnen kann.</t>
  </si>
  <si>
    <t>lebende</t>
  </si>
  <si>
    <t>Beweis</t>
  </si>
  <si>
    <t>Einzelner</t>
  </si>
  <si>
    <t>mächtigsten</t>
  </si>
  <si>
    <t>Gegnern</t>
  </si>
  <si>
    <t>gewinnen</t>
  </si>
  <si>
    <t># text = Das ist etwas, das wir brauchen, um daraus Hoffnung zu schöpfen und darauf aufzubauen, um es nicht nur technischen Fachleuten zugänglich zu machen, sondern einfachen Bürgern in aller Welt.</t>
  </si>
  <si>
    <t>daraus</t>
  </si>
  <si>
    <t>schöpfen</t>
  </si>
  <si>
    <t>technischen</t>
  </si>
  <si>
    <t>Fachleuten</t>
  </si>
  <si>
    <t>zugänglich</t>
  </si>
  <si>
    <t>einfachen</t>
  </si>
  <si>
    <t>Bürgern</t>
  </si>
  <si>
    <t># text = Journalismus ist kein Verbrechen.</t>
  </si>
  <si>
    <t>Verbrechen</t>
  </si>
  <si>
    <t># text = Kommunikation ist kein Verbrechen, und wir sollten bei unseren Aktivitäten im Alltag nicht überwacht werden.</t>
  </si>
  <si>
    <t>Aktivitäten</t>
  </si>
  <si>
    <t>Alltag</t>
  </si>
  <si>
    <t># text = CA.</t>
  </si>
  <si>
    <t># text = Ich bin mit nicht sicher, wie man einem Bot die Hand schüttelt, aber ich schätze, das hier ist die Hand.</t>
  </si>
  <si>
    <t>schüttelt</t>
  </si>
  <si>
    <t>schätze</t>
  </si>
  <si>
    <t># text = TBL: Auch die kommt sehr bald.</t>
  </si>
  <si>
    <t>Auch</t>
  </si>
  <si>
    <t>bald</t>
  </si>
  <si>
    <t># text = ES: Es freut mich, Sie kennenzulernen.</t>
  </si>
  <si>
    <t>freut</t>
  </si>
  <si>
    <t>kennenzulernen</t>
  </si>
  <si>
    <t># text = Ich hoffe, meine Übertragung sieht so gut aus wie mein Bild von euch zwei.</t>
  </si>
  <si>
    <t>Übertragung</t>
  </si>
  <si>
    <t># text = CA: Danke, Tim.</t>
  </si>
  <si>
    <t># text = Die New York Times forderte kürzlich eine Amnestie für dich.</t>
  </si>
  <si>
    <t>New</t>
  </si>
  <si>
    <t>York</t>
  </si>
  <si>
    <t>Times</t>
  </si>
  <si>
    <t>Amnestie</t>
  </si>
  <si>
    <t># text = Würdest du die Chance, nach Amerika zurückzukommen, begrüßen?</t>
  </si>
  <si>
    <t>Würdest</t>
  </si>
  <si>
    <t># text = Das steht außer Frage.</t>
  </si>
  <si>
    <t># text = Die Prinzipien, die die Grundlage dieses Projektes bilden, sind das öffentliche Interesse und die Prinzipen, die den etablierten journalistischen Organen in den USA und rund um die Welt zugrundeliegen, und ich denke, wenn die Presse sagt, wir unterstützen das, das ist etwas, das passieren muss, dann ist das ein kräftiges Argument, aber es ist nicht das letzte Argument.</t>
  </si>
  <si>
    <t>Prinzipien</t>
  </si>
  <si>
    <t>Projektes</t>
  </si>
  <si>
    <t>bilden</t>
  </si>
  <si>
    <t>Prinzipen</t>
  </si>
  <si>
    <t>etablierten</t>
  </si>
  <si>
    <t>journalistischen</t>
  </si>
  <si>
    <t>Organen</t>
  </si>
  <si>
    <t>rund</t>
  </si>
  <si>
    <t>zugrundeliegen</t>
  </si>
  <si>
    <t>unterstützen</t>
  </si>
  <si>
    <t>passieren</t>
  </si>
  <si>
    <t>kräftiges</t>
  </si>
  <si>
    <t>Argument</t>
  </si>
  <si>
    <t>letzte</t>
  </si>
  <si>
    <t># text = Ich denke, das ist etwas, das die Öffentlichkeit entscheiden sollte.</t>
  </si>
  <si>
    <t># text = Aber zur gleichen Zeit hat die Regierung angedeutet, dass sie eine Art Handel wünscht, dass sie möchte, dass ich die Journalisten, die mit mir gearbeitet haben, kompromittiere, damit ich zurückkommen kann.</t>
  </si>
  <si>
    <t>gleichen</t>
  </si>
  <si>
    <t>angedeutet</t>
  </si>
  <si>
    <t>wünscht</t>
  </si>
  <si>
    <t>kompromittiere</t>
  </si>
  <si>
    <t>zurückkommen</t>
  </si>
  <si>
    <t># text = Ich möchte sehr deutlich machen, dass ich das nicht für meine Sicherheit getan habe.</t>
  </si>
  <si>
    <t>deutlich</t>
  </si>
  <si>
    <t># text = Ich habe das getan, um das Richtige zu tun, und ich werde meine Arbeit für das öffentliche Interesse nicht zu meinem eigenen Vorteil aufgeben.</t>
  </si>
  <si>
    <t>Arbeit</t>
  </si>
  <si>
    <t>meinem</t>
  </si>
  <si>
    <t># text = CA: In der Zwischenzeit, dank des Internets und dieser Technologie, bist du wieder zurück in Nordamerika, nicht ganz die USA, aber in Kanada in dieser Form.</t>
  </si>
  <si>
    <t>dank</t>
  </si>
  <si>
    <t>Internets</t>
  </si>
  <si>
    <t>zurück</t>
  </si>
  <si>
    <t>Nordamerika</t>
  </si>
  <si>
    <t>Kanada</t>
  </si>
  <si>
    <t>Form</t>
  </si>
  <si>
    <t># text = Ich bin neugierig, wie fühlt sich das an?</t>
  </si>
  <si>
    <t>neugierig</t>
  </si>
  <si>
    <t>fühlt</t>
  </si>
  <si>
    <t># text = ES: Kanada ist anders, als ich es erwartet hatte.</t>
  </si>
  <si>
    <t># text = Es ist viel wärmer.</t>
  </si>
  <si>
    <t>wärmer</t>
  </si>
  <si>
    <t># text = CA: Die Mission von TED sind "Ideen mit Verbreitungswert".</t>
  </si>
  <si>
    <t>Mission</t>
  </si>
  <si>
    <t>Ideen</t>
  </si>
  <si>
    <t>Verbreitungswert</t>
  </si>
  <si>
    <t># text = Wenn du es in einer einzigen Idee zusammenfassen könntest, Was ist deine Idee, die es wert ist, hier und jetzt verbreitet zu werden?</t>
  </si>
  <si>
    <t>Idee</t>
  </si>
  <si>
    <t>könntest</t>
  </si>
  <si>
    <t>verbreitet</t>
  </si>
  <si>
    <t># text = ES: Ich würde sagen, dass das letzte Jahr uns daran erinnert hat, dass Demokratie hinter verschlossenen Türen sterben kann, aber wir als Individuen werden hinter denselben verschlossenen Türen geboren, und wir müssen unsere Privatspäre nicht aufgeben, um eine gute Regierung zu haben.</t>
  </si>
  <si>
    <t>erinnert</t>
  </si>
  <si>
    <t>Demokratie</t>
  </si>
  <si>
    <t>sterben</t>
  </si>
  <si>
    <t>Individuen</t>
  </si>
  <si>
    <t>denselben</t>
  </si>
  <si>
    <t>geboren</t>
  </si>
  <si>
    <t>Privatspäre</t>
  </si>
  <si>
    <t>gute</t>
  </si>
  <si>
    <t># text = Wir müssen unsere Freiheit nicht aufgeben, um Sicherheit zu haben.</t>
  </si>
  <si>
    <t># text = Und ich denke, indem wir zusammenarbeiten, können wir eine offene Regierung haben und Privatsphäre.</t>
  </si>
  <si>
    <t>zusammenarbeiten</t>
  </si>
  <si>
    <t>offene</t>
  </si>
  <si>
    <t># text = Ich freue mich darauf, mit jedem in der Welt zusammenzuarbeiten, um das durchzusetzen.</t>
  </si>
  <si>
    <t>freue</t>
  </si>
  <si>
    <t>jedem</t>
  </si>
  <si>
    <t>zusammenzuarbeiten</t>
  </si>
  <si>
    <t>durchzusetzen</t>
  </si>
  <si>
    <t># text = Ich danke euch sehr.</t>
  </si>
  <si>
    <t># text = CA: Ed, 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</si>
</sst>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1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11</v>
      </c>
      <c r="D3" s="7" t="s">
        <v>17</v>
      </c>
      <c r="E3" s="8" t="s">
        <v>18</v>
      </c>
      <c r="F3" s="6" t="s">
        <v>19</v>
      </c>
      <c r="G3" s="9">
        <f>IF(A3=1,"_",IF(C3="_","???",C3))</f>
        <v/>
      </c>
      <c r="H3" s="10" t="s">
        <v>11</v>
      </c>
      <c r="I3" s="11" t="s">
        <v>11</v>
      </c>
      <c r="J3" s="12"/>
    </row>
    <row r="4" spans="1:10" ht="60" customHeight="1">
      <c r="A4" s="6" t="s">
        <v>20</v>
      </c>
      <c r="B4" s="6" t="s">
        <v>21</v>
      </c>
      <c r="C4" s="6" t="s">
        <v>11</v>
      </c>
      <c r="D4" s="7" t="s">
        <v>22</v>
      </c>
      <c r="E4" s="8" t="s">
        <v>23</v>
      </c>
      <c r="F4" s="6" t="s">
        <v>24</v>
      </c>
      <c r="G4" s="9">
        <f>IF(A4=1,"_",IF(C4="_","???",C4))</f>
        <v/>
      </c>
      <c r="H4" s="10" t="s">
        <v>11</v>
      </c>
      <c r="I4" s="11" t="s">
        <v>11</v>
      </c>
      <c r="J4" s="12"/>
    </row>
    <row r="5" spans="1:10" ht="60" customHeight="1">
      <c r="A5" s="6" t="s">
        <v>25</v>
      </c>
      <c r="B5" s="6" t="s">
        <v>15</v>
      </c>
      <c r="C5" s="6" t="s">
        <v>11</v>
      </c>
      <c r="D5" s="7" t="s">
        <v>26</v>
      </c>
      <c r="E5" s="8" t="s">
        <v>27</v>
      </c>
      <c r="F5" s="6" t="s">
        <v>28</v>
      </c>
      <c r="G5" s="9">
        <f>IF(A5=1,"_",IF(C5="_","???",C5))</f>
        <v/>
      </c>
      <c r="H5" s="10" t="s">
        <v>11</v>
      </c>
      <c r="I5" s="11" t="s">
        <v>11</v>
      </c>
      <c r="J5" s="12"/>
    </row>
    <row r="6" spans="1:10" ht="60" customHeight="1">
      <c r="A6" s="6" t="s">
        <v>21</v>
      </c>
      <c r="B6" s="6" t="s">
        <v>29</v>
      </c>
      <c r="C6" s="6" t="s">
        <v>30</v>
      </c>
      <c r="D6" s="7" t="s">
        <v>31</v>
      </c>
      <c r="E6" s="8" t="s">
        <v>32</v>
      </c>
      <c r="F6" s="6" t="s">
        <v>33</v>
      </c>
      <c r="G6" s="9">
        <f>IF(A6=1,"_",IF(C6="_","???",C6))</f>
        <v/>
      </c>
      <c r="H6" s="10" t="s">
        <v>11</v>
      </c>
      <c r="I6" s="11" t="s">
        <v>11</v>
      </c>
      <c r="J6" s="12"/>
    </row>
    <row r="7" spans="1:10" ht="60" customHeight="1">
      <c r="A7" s="6" t="s">
        <v>34</v>
      </c>
      <c r="B7" s="6" t="s">
        <v>20</v>
      </c>
      <c r="C7" s="6" t="s">
        <v>11</v>
      </c>
      <c r="D7" s="7" t="s">
        <v>35</v>
      </c>
      <c r="E7" s="8" t="s">
        <v>36</v>
      </c>
      <c r="F7" s="6" t="s">
        <v>37</v>
      </c>
      <c r="G7" s="9">
        <f>IF(A7=1,"_",IF(C7="_","???",C7))</f>
        <v/>
      </c>
      <c r="H7" s="10" t="s">
        <v>11</v>
      </c>
      <c r="I7" s="11" t="s">
        <v>11</v>
      </c>
      <c r="J7" s="12"/>
    </row>
    <row r="8" spans="1:10" ht="60" customHeight="1">
      <c r="A8" s="6" t="s">
        <v>29</v>
      </c>
      <c r="B8" s="6" t="s">
        <v>34</v>
      </c>
      <c r="C8" s="6" t="s">
        <v>30</v>
      </c>
      <c r="D8" s="7" t="s">
        <v>38</v>
      </c>
      <c r="E8" s="8" t="s">
        <v>39</v>
      </c>
      <c r="F8" s="6" t="s">
        <v>40</v>
      </c>
      <c r="G8" s="9">
        <f>IF(A8=1,"_",IF(C8="_","???",C8))</f>
        <v/>
      </c>
      <c r="H8" s="10" t="s">
        <v>11</v>
      </c>
      <c r="I8" s="11" t="s">
        <v>11</v>
      </c>
      <c r="J8" s="12"/>
    </row>
    <row r="9" spans="1:10" ht="60" customHeight="1">
      <c r="A9" s="6" t="s">
        <v>41</v>
      </c>
      <c r="B9" s="6" t="s">
        <v>10</v>
      </c>
      <c r="C9" s="6" t="s">
        <v>11</v>
      </c>
      <c r="D9" s="7" t="s">
        <v>42</v>
      </c>
      <c r="E9" s="8" t="s">
        <v>43</v>
      </c>
      <c r="F9" s="6" t="s">
        <v>44</v>
      </c>
      <c r="G9" s="9">
        <f>IF(A9=1,"_",IF(C9="_","???",C9))</f>
        <v/>
      </c>
      <c r="H9" s="10" t="s">
        <v>11</v>
      </c>
      <c r="I9" s="11" t="s">
        <v>11</v>
      </c>
      <c r="J9" s="12"/>
    </row>
    <row r="10" spans="1:10" ht="60" customHeight="1">
      <c r="A10" s="6" t="s">
        <v>45</v>
      </c>
      <c r="B10" s="6" t="s">
        <v>25</v>
      </c>
      <c r="C10" s="6" t="s">
        <v>11</v>
      </c>
      <c r="D10" s="7" t="s">
        <v>38</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15</v>
      </c>
      <c r="C12" s="6" t="s">
        <v>11</v>
      </c>
      <c r="D12" s="7" t="s">
        <v>53</v>
      </c>
      <c r="E12" s="8" t="s">
        <v>54</v>
      </c>
      <c r="F12" s="6" t="s">
        <v>55</v>
      </c>
      <c r="G12" s="9">
        <f>IF(A12=1,"_",IF(C12="_","???",C12))</f>
        <v/>
      </c>
      <c r="H12" s="10" t="s">
        <v>11</v>
      </c>
      <c r="I12" s="11" t="s">
        <v>11</v>
      </c>
      <c r="J12" s="12"/>
    </row>
    <row r="13" spans="1:10" ht="60" customHeight="1">
      <c r="A13" s="6" t="s">
        <v>56</v>
      </c>
      <c r="B13" s="6" t="s">
        <v>20</v>
      </c>
      <c r="C13" s="6" t="s">
        <v>11</v>
      </c>
      <c r="D13" s="7" t="s">
        <v>57</v>
      </c>
      <c r="E13" s="8" t="s">
        <v>58</v>
      </c>
      <c r="F13" s="6" t="s">
        <v>59</v>
      </c>
      <c r="G13" s="9">
        <f>IF(A13=1,"_",IF(C13="_","???",C13))</f>
        <v/>
      </c>
      <c r="H13" s="10" t="s">
        <v>11</v>
      </c>
      <c r="I13" s="11" t="s">
        <v>11</v>
      </c>
      <c r="J13" s="12"/>
    </row>
    <row r="14" spans="1:10" ht="60" customHeight="1">
      <c r="A14" s="6" t="s">
        <v>16</v>
      </c>
      <c r="B14" s="6" t="s">
        <v>29</v>
      </c>
      <c r="C14" s="6" t="s">
        <v>11</v>
      </c>
      <c r="D14" s="7" t="s">
        <v>60</v>
      </c>
      <c r="E14" s="8" t="s">
        <v>61</v>
      </c>
      <c r="F14" s="6" t="s">
        <v>62</v>
      </c>
      <c r="G14" s="9">
        <f>IF(A14=1,"_",IF(C14="_","???",C14))</f>
        <v/>
      </c>
      <c r="H14" s="10" t="s">
        <v>11</v>
      </c>
      <c r="I14" s="11" t="s">
        <v>11</v>
      </c>
      <c r="J14" s="12"/>
    </row>
    <row r="15" spans="1:10" ht="60" customHeight="1">
      <c r="A15" s="6" t="s">
        <v>63</v>
      </c>
      <c r="B15" s="6" t="s">
        <v>64</v>
      </c>
      <c r="C15" s="6" t="s">
        <v>11</v>
      </c>
      <c r="D15" s="7" t="s">
        <v>65</v>
      </c>
      <c r="E15" s="8" t="s">
        <v>66</v>
      </c>
      <c r="F15" s="6" t="s">
        <v>67</v>
      </c>
      <c r="G15" s="9">
        <f>IF(A15=1,"_",IF(C15="_","???",C15))</f>
        <v/>
      </c>
      <c r="H15" s="10" t="s">
        <v>11</v>
      </c>
      <c r="I15" s="11" t="s">
        <v>11</v>
      </c>
      <c r="J15" s="12"/>
    </row>
    <row r="16" spans="1:10" ht="60" customHeight="1">
      <c r="A16" s="6" t="s">
        <v>68</v>
      </c>
      <c r="B16" s="6" t="s">
        <v>34</v>
      </c>
      <c r="C16" s="6" t="s">
        <v>11</v>
      </c>
      <c r="D16" s="7" t="s">
        <v>69</v>
      </c>
      <c r="E16" s="8" t="s">
        <v>70</v>
      </c>
      <c r="F16" s="6" t="s">
        <v>71</v>
      </c>
      <c r="G16" s="9">
        <f>IF(A16=1,"_",IF(C16="_","???",C16))</f>
        <v/>
      </c>
      <c r="H16" s="10" t="s">
        <v>11</v>
      </c>
      <c r="I16" s="11" t="s">
        <v>11</v>
      </c>
      <c r="J16" s="12"/>
    </row>
    <row r="17" spans="1:10" ht="60" customHeight="1">
      <c r="A17" s="6" t="s">
        <v>72</v>
      </c>
      <c r="B17" s="6" t="s">
        <v>21</v>
      </c>
      <c r="C17" s="6" t="s">
        <v>11</v>
      </c>
      <c r="D17" s="7" t="s">
        <v>73</v>
      </c>
      <c r="E17" s="8" t="s">
        <v>74</v>
      </c>
      <c r="F17" s="6" t="s">
        <v>75</v>
      </c>
      <c r="G17" s="9">
        <f>IF(A17=1,"_",IF(C17="_","???",C17))</f>
        <v/>
      </c>
      <c r="H17" s="10" t="s">
        <v>11</v>
      </c>
      <c r="I17" s="11" t="s">
        <v>11</v>
      </c>
      <c r="J17" s="12"/>
    </row>
    <row r="18" spans="1:10" ht="60" customHeight="1">
      <c r="A18" s="6" t="s">
        <v>76</v>
      </c>
      <c r="B18" s="6" t="s">
        <v>16</v>
      </c>
      <c r="C18" s="6" t="s">
        <v>11</v>
      </c>
      <c r="D18" s="7" t="s">
        <v>77</v>
      </c>
      <c r="E18" s="8" t="s">
        <v>78</v>
      </c>
      <c r="F18" s="6" t="s">
        <v>79</v>
      </c>
      <c r="G18" s="9">
        <f>IF(A18=1,"_",IF(C18="_","???",C18))</f>
        <v/>
      </c>
      <c r="H18" s="10" t="s">
        <v>11</v>
      </c>
      <c r="I18" s="11" t="s">
        <v>11</v>
      </c>
      <c r="J18" s="12"/>
    </row>
    <row r="19" spans="1:10" ht="60" customHeight="1">
      <c r="A19" s="6" t="s">
        <v>80</v>
      </c>
      <c r="B19" s="6" t="s">
        <v>25</v>
      </c>
      <c r="C19" s="6" t="s">
        <v>30</v>
      </c>
      <c r="D19" s="7" t="s">
        <v>81</v>
      </c>
      <c r="E19" s="8" t="s">
        <v>82</v>
      </c>
      <c r="F19" s="6" t="s">
        <v>83</v>
      </c>
      <c r="G19" s="9">
        <f>IF(A19=1,"_",IF(C19="_","???",C19))</f>
        <v/>
      </c>
      <c r="H19" s="10" t="s">
        <v>11</v>
      </c>
      <c r="I19" s="11" t="s">
        <v>11</v>
      </c>
      <c r="J19" s="12"/>
    </row>
    <row r="20" spans="1:10" ht="60" customHeight="1">
      <c r="A20" s="6" t="s">
        <v>64</v>
      </c>
      <c r="B20" s="6" t="s">
        <v>15</v>
      </c>
      <c r="C20" s="6" t="s">
        <v>30</v>
      </c>
      <c r="D20" s="7" t="s">
        <v>84</v>
      </c>
      <c r="E20" s="8" t="s">
        <v>85</v>
      </c>
      <c r="F20" s="6" t="s">
        <v>86</v>
      </c>
      <c r="G20" s="9">
        <f>IF(A20=1,"_",IF(C20="_","???",C20))</f>
        <v/>
      </c>
      <c r="H20" s="10" t="s">
        <v>11</v>
      </c>
      <c r="I20" s="11" t="s">
        <v>11</v>
      </c>
      <c r="J20" s="12"/>
    </row>
    <row r="21" spans="1:10" ht="60" customHeight="1">
      <c r="A21" s="6" t="s">
        <v>87</v>
      </c>
      <c r="B21" s="6" t="s">
        <v>15</v>
      </c>
      <c r="C21" s="6" t="s">
        <v>11</v>
      </c>
      <c r="D21" s="7" t="s">
        <v>88</v>
      </c>
      <c r="E21" s="8" t="s">
        <v>89</v>
      </c>
      <c r="F21" s="6" t="s">
        <v>90</v>
      </c>
      <c r="G21" s="9">
        <f>IF(A21=1,"_",IF(C21="_","???",C21))</f>
        <v/>
      </c>
      <c r="H21" s="10" t="s">
        <v>11</v>
      </c>
      <c r="I21" s="11" t="s">
        <v>11</v>
      </c>
      <c r="J21" s="12"/>
    </row>
    <row r="22" spans="1:10" ht="60" customHeight="1">
      <c r="A22" s="6" t="s">
        <v>91</v>
      </c>
      <c r="B22" s="6" t="s">
        <v>20</v>
      </c>
      <c r="C22" s="6" t="s">
        <v>11</v>
      </c>
      <c r="D22" s="7" t="s">
        <v>38</v>
      </c>
      <c r="E22" s="8" t="s">
        <v>92</v>
      </c>
      <c r="F22" s="6" t="s">
        <v>93</v>
      </c>
      <c r="G22" s="9">
        <f>IF(A22=1,"_",IF(C22="_","???",C22))</f>
        <v/>
      </c>
      <c r="H22" s="10" t="s">
        <v>11</v>
      </c>
      <c r="I22" s="11" t="s">
        <v>11</v>
      </c>
      <c r="J22" s="12"/>
    </row>
    <row r="23" spans="1:10" ht="60" customHeight="1">
      <c r="A23" s="6" t="s">
        <v>94</v>
      </c>
      <c r="B23" s="6" t="s">
        <v>95</v>
      </c>
      <c r="C23" s="6" t="s">
        <v>11</v>
      </c>
      <c r="D23" s="7" t="s">
        <v>96</v>
      </c>
      <c r="E23" s="8" t="s">
        <v>97</v>
      </c>
      <c r="F23" s="6" t="s">
        <v>98</v>
      </c>
      <c r="G23" s="9">
        <f>IF(A23=1,"_",IF(C23="_","???",C23))</f>
        <v/>
      </c>
      <c r="H23" s="10" t="s">
        <v>11</v>
      </c>
      <c r="I23" s="11" t="s">
        <v>11</v>
      </c>
      <c r="J23" s="12"/>
    </row>
    <row r="24" spans="1:10" ht="60" customHeight="1">
      <c r="A24" s="6" t="s">
        <v>95</v>
      </c>
      <c r="B24" s="6" t="s">
        <v>20</v>
      </c>
      <c r="C24" s="6" t="s">
        <v>11</v>
      </c>
      <c r="D24" s="7" t="s">
        <v>96</v>
      </c>
      <c r="E24" s="8" t="s">
        <v>99</v>
      </c>
      <c r="F24" s="6" t="s">
        <v>100</v>
      </c>
      <c r="G24" s="9">
        <f>IF(A24=1,"_",IF(C24="_","???",C24))</f>
        <v/>
      </c>
      <c r="H24" s="10" t="s">
        <v>11</v>
      </c>
      <c r="I24" s="11" t="s">
        <v>11</v>
      </c>
      <c r="J24" s="12"/>
    </row>
    <row r="25" spans="1:10" ht="60" customHeight="1">
      <c r="A25" s="6" t="s">
        <v>101</v>
      </c>
      <c r="B25" s="6" t="s">
        <v>41</v>
      </c>
      <c r="C25" s="6" t="s">
        <v>11</v>
      </c>
      <c r="D25" s="7" t="s">
        <v>102</v>
      </c>
      <c r="E25" s="8" t="s">
        <v>103</v>
      </c>
      <c r="F25" s="6" t="s">
        <v>104</v>
      </c>
      <c r="G25" s="9">
        <f>IF(A25=1,"_",IF(C25="_","???",C25))</f>
        <v/>
      </c>
      <c r="H25" s="10" t="s">
        <v>11</v>
      </c>
      <c r="I25" s="11" t="s">
        <v>11</v>
      </c>
      <c r="J25" s="12"/>
    </row>
    <row r="26" spans="1:10" ht="60" customHeight="1">
      <c r="A26" s="6" t="s">
        <v>105</v>
      </c>
      <c r="B26" s="6" t="s">
        <v>25</v>
      </c>
      <c r="C26" s="6" t="s">
        <v>11</v>
      </c>
      <c r="D26" s="7" t="s">
        <v>106</v>
      </c>
      <c r="E26" s="8" t="s">
        <v>107</v>
      </c>
      <c r="F26" s="6" t="s">
        <v>108</v>
      </c>
      <c r="G26" s="9">
        <f>IF(A26=1,"_",IF(C26="_","???",C26))</f>
        <v/>
      </c>
      <c r="H26" s="10" t="s">
        <v>11</v>
      </c>
      <c r="I26" s="11" t="s">
        <v>11</v>
      </c>
      <c r="J26" s="12"/>
    </row>
    <row r="27" spans="1:10" ht="60" customHeight="1">
      <c r="A27" s="6" t="s">
        <v>109</v>
      </c>
      <c r="B27" s="6" t="s">
        <v>20</v>
      </c>
      <c r="C27" s="6" t="s">
        <v>11</v>
      </c>
      <c r="D27" s="7" t="s">
        <v>110</v>
      </c>
      <c r="E27" s="8" t="s">
        <v>111</v>
      </c>
      <c r="F27" s="6" t="s">
        <v>112</v>
      </c>
      <c r="G27" s="9">
        <f>IF(A27=1,"_",IF(C27="_","???",C27))</f>
        <v/>
      </c>
      <c r="H27" s="10" t="s">
        <v>11</v>
      </c>
      <c r="I27" s="11" t="s">
        <v>11</v>
      </c>
      <c r="J27" s="12"/>
    </row>
    <row r="28" spans="1:10" ht="60" customHeight="1">
      <c r="A28" s="6" t="s">
        <v>113</v>
      </c>
      <c r="B28" s="6" t="s">
        <v>48</v>
      </c>
      <c r="C28" s="6" t="s">
        <v>11</v>
      </c>
      <c r="D28" s="7" t="s">
        <v>114</v>
      </c>
      <c r="E28" s="8" t="s">
        <v>115</v>
      </c>
      <c r="F28" s="6" t="s">
        <v>116</v>
      </c>
      <c r="G28" s="9">
        <f>IF(A28=1,"_",IF(C28="_","???",C28))</f>
        <v/>
      </c>
      <c r="H28" s="10" t="s">
        <v>11</v>
      </c>
      <c r="I28" s="11" t="s">
        <v>11</v>
      </c>
      <c r="J28" s="12"/>
    </row>
    <row r="29" spans="1:10" ht="60" customHeight="1">
      <c r="A29" s="6" t="s">
        <v>117</v>
      </c>
      <c r="B29" s="6" t="s">
        <v>48</v>
      </c>
      <c r="C29" s="6" t="s">
        <v>11</v>
      </c>
      <c r="D29" s="7" t="s">
        <v>118</v>
      </c>
      <c r="E29" s="8" t="s">
        <v>119</v>
      </c>
      <c r="F29" s="6" t="s">
        <v>120</v>
      </c>
      <c r="G29" s="9">
        <f>IF(A29=1,"_",IF(C29="_","???",C29))</f>
        <v/>
      </c>
      <c r="H29" s="10" t="s">
        <v>11</v>
      </c>
      <c r="I29" s="11" t="s">
        <v>11</v>
      </c>
      <c r="J29" s="12"/>
    </row>
    <row r="30" spans="1:10" ht="60" customHeight="1">
      <c r="A30" s="6" t="s">
        <v>121</v>
      </c>
      <c r="B30" s="6" t="s">
        <v>21</v>
      </c>
      <c r="C30" s="6" t="s">
        <v>30</v>
      </c>
      <c r="D30" s="7" t="s">
        <v>122</v>
      </c>
      <c r="E30" s="8" t="s">
        <v>123</v>
      </c>
      <c r="F30" s="6" t="s">
        <v>124</v>
      </c>
      <c r="G30" s="9">
        <f>IF(A30=1,"_",IF(C30="_","???",C30))</f>
        <v/>
      </c>
      <c r="H30" s="10" t="s">
        <v>11</v>
      </c>
      <c r="I30" s="11" t="s">
        <v>11</v>
      </c>
      <c r="J30" s="12"/>
    </row>
    <row r="31" spans="1:10" ht="60" customHeight="1">
      <c r="A31" s="6" t="s">
        <v>125</v>
      </c>
      <c r="B31" s="6" t="s">
        <v>20</v>
      </c>
      <c r="C31" s="6" t="s">
        <v>11</v>
      </c>
      <c r="D31" s="7" t="s">
        <v>126</v>
      </c>
      <c r="E31" s="8" t="s">
        <v>127</v>
      </c>
      <c r="F31" s="6" t="s">
        <v>128</v>
      </c>
      <c r="G31" s="9">
        <f>IF(A31=1,"_",IF(C31="_","???",C31))</f>
        <v/>
      </c>
      <c r="H31" s="10" t="s">
        <v>11</v>
      </c>
      <c r="I31" s="11" t="s">
        <v>11</v>
      </c>
      <c r="J31" s="12"/>
    </row>
    <row r="32" spans="1:10" ht="60" customHeight="1">
      <c r="A32" s="6" t="s">
        <v>129</v>
      </c>
      <c r="B32" s="6" t="s">
        <v>15</v>
      </c>
      <c r="C32" s="6" t="s">
        <v>11</v>
      </c>
      <c r="D32" s="7" t="s">
        <v>130</v>
      </c>
      <c r="E32" s="8" t="s">
        <v>131</v>
      </c>
      <c r="F32" s="6" t="s">
        <v>132</v>
      </c>
      <c r="G32" s="9">
        <f>IF(A32=1,"_",IF(C32="_","???",C32))</f>
        <v/>
      </c>
      <c r="H32" s="10" t="s">
        <v>11</v>
      </c>
      <c r="I32" s="11" t="s">
        <v>11</v>
      </c>
      <c r="J32" s="12"/>
    </row>
    <row r="33" spans="1:10" ht="60" customHeight="1">
      <c r="A33" s="6" t="s">
        <v>133</v>
      </c>
      <c r="B33" s="6" t="s">
        <v>20</v>
      </c>
      <c r="C33" s="6" t="s">
        <v>11</v>
      </c>
      <c r="D33" s="7" t="s">
        <v>134</v>
      </c>
      <c r="E33" s="8" t="s">
        <v>135</v>
      </c>
      <c r="F33" s="6" t="s">
        <v>136</v>
      </c>
      <c r="G33" s="9">
        <f>IF(A33=1,"_",IF(C33="_","???",C33))</f>
        <v/>
      </c>
      <c r="H33" s="10" t="s">
        <v>11</v>
      </c>
      <c r="I33" s="11" t="s">
        <v>11</v>
      </c>
      <c r="J33" s="12"/>
    </row>
    <row r="34" spans="1:10" ht="60" customHeight="1">
      <c r="A34" s="6" t="s">
        <v>137</v>
      </c>
      <c r="B34" s="6" t="s">
        <v>15</v>
      </c>
      <c r="C34" s="6" t="s">
        <v>11</v>
      </c>
      <c r="D34" s="7" t="s">
        <v>138</v>
      </c>
      <c r="E34" s="8" t="s">
        <v>139</v>
      </c>
      <c r="F34" s="6" t="s">
        <v>140</v>
      </c>
      <c r="G34" s="9">
        <f>IF(A34=1,"_",IF(C34="_","???",C34))</f>
        <v/>
      </c>
      <c r="H34" s="10" t="s">
        <v>11</v>
      </c>
      <c r="I34" s="11" t="s">
        <v>11</v>
      </c>
      <c r="J34" s="12"/>
    </row>
    <row r="35" spans="1:10" ht="60" customHeight="1">
      <c r="A35" s="6" t="s">
        <v>141</v>
      </c>
      <c r="B35" s="6" t="s">
        <v>68</v>
      </c>
      <c r="C35" s="6" t="s">
        <v>11</v>
      </c>
      <c r="D35" s="7" t="s">
        <v>142</v>
      </c>
      <c r="E35" s="8" t="s">
        <v>143</v>
      </c>
      <c r="F35" s="6" t="s">
        <v>144</v>
      </c>
      <c r="G35" s="9">
        <f>IF(A35=1,"_",IF(C35="_","???",C35))</f>
        <v/>
      </c>
      <c r="H35" s="10" t="s">
        <v>11</v>
      </c>
      <c r="I35" s="11" t="s">
        <v>11</v>
      </c>
      <c r="J35" s="12"/>
    </row>
    <row r="36" spans="1:10" ht="60" customHeight="1">
      <c r="A36" s="6" t="s">
        <v>145</v>
      </c>
      <c r="B36" s="6" t="s">
        <v>56</v>
      </c>
      <c r="C36" s="6" t="s">
        <v>11</v>
      </c>
      <c r="D36" s="7" t="s">
        <v>146</v>
      </c>
      <c r="E36" s="8" t="s">
        <v>147</v>
      </c>
      <c r="F36" s="6" t="s">
        <v>148</v>
      </c>
      <c r="G36" s="9">
        <f>IF(A36=1,"_",IF(C36="_","???",C36))</f>
        <v/>
      </c>
      <c r="H36" s="10" t="s">
        <v>11</v>
      </c>
      <c r="I36" s="11" t="s">
        <v>11</v>
      </c>
      <c r="J36" s="12"/>
    </row>
    <row r="37" spans="1:10" ht="60" customHeight="1">
      <c r="A37" s="6" t="s">
        <v>149</v>
      </c>
      <c r="B37" s="6" t="s">
        <v>41</v>
      </c>
      <c r="C37" s="6" t="s">
        <v>11</v>
      </c>
      <c r="D37" s="7" t="s">
        <v>150</v>
      </c>
      <c r="E37" s="8" t="s">
        <v>151</v>
      </c>
      <c r="F37" s="6" t="s">
        <v>152</v>
      </c>
      <c r="G37" s="9">
        <f>IF(A37=1,"_",IF(C37="_","???",C37))</f>
        <v/>
      </c>
      <c r="H37" s="10" t="s">
        <v>11</v>
      </c>
      <c r="I37" s="11" t="s">
        <v>11</v>
      </c>
      <c r="J37" s="12"/>
    </row>
    <row r="38" spans="1:10" ht="60" customHeight="1">
      <c r="A38" s="6" t="s">
        <v>153</v>
      </c>
      <c r="B38" s="6" t="s">
        <v>149</v>
      </c>
      <c r="C38" s="6" t="s">
        <v>11</v>
      </c>
      <c r="D38" s="7" t="s">
        <v>154</v>
      </c>
      <c r="E38" s="8" t="s">
        <v>155</v>
      </c>
      <c r="F38" s="6" t="s">
        <v>156</v>
      </c>
      <c r="G38" s="9">
        <f>IF(A38=1,"_",IF(C38="_","???",C38))</f>
        <v/>
      </c>
      <c r="H38" s="10" t="s">
        <v>11</v>
      </c>
      <c r="I38" s="11" t="s">
        <v>11</v>
      </c>
      <c r="J38" s="12"/>
    </row>
    <row r="39" spans="1:10" ht="60" customHeight="1">
      <c r="A39" s="6" t="s">
        <v>157</v>
      </c>
      <c r="B39" s="6" t="s">
        <v>94</v>
      </c>
      <c r="C39" s="6" t="s">
        <v>11</v>
      </c>
      <c r="D39" s="7" t="s">
        <v>158</v>
      </c>
      <c r="E39" s="8" t="s">
        <v>159</v>
      </c>
      <c r="F39" s="6" t="s">
        <v>160</v>
      </c>
      <c r="G39" s="9">
        <f>IF(A39=1,"_",IF(C39="_","???",C39))</f>
        <v/>
      </c>
      <c r="H39" s="10" t="s">
        <v>11</v>
      </c>
      <c r="I39" s="11" t="s">
        <v>11</v>
      </c>
      <c r="J39" s="12"/>
    </row>
    <row r="40" spans="1:10" ht="60" customHeight="1">
      <c r="A40" s="6" t="s">
        <v>161</v>
      </c>
      <c r="B40" s="6" t="s">
        <v>15</v>
      </c>
      <c r="C40" s="6" t="s">
        <v>162</v>
      </c>
      <c r="D40" s="7" t="s">
        <v>163</v>
      </c>
      <c r="E40" s="8" t="s">
        <v>164</v>
      </c>
      <c r="F40" s="6" t="s">
        <v>165</v>
      </c>
      <c r="G40" s="9">
        <f>IF(A40=1,"_",IF(C40="_","???",C40))</f>
        <v/>
      </c>
      <c r="H40" s="10" t="s">
        <v>11</v>
      </c>
      <c r="I40" s="11" t="s">
        <v>11</v>
      </c>
      <c r="J40" s="12"/>
    </row>
    <row r="41" spans="1:10" ht="60" customHeight="1">
      <c r="A41" s="6" t="s">
        <v>166</v>
      </c>
      <c r="B41" s="6" t="s">
        <v>16</v>
      </c>
      <c r="C41" s="6" t="s">
        <v>11</v>
      </c>
      <c r="D41" s="7" t="s">
        <v>134</v>
      </c>
      <c r="E41" s="8" t="s">
        <v>167</v>
      </c>
      <c r="F41" s="6" t="s">
        <v>168</v>
      </c>
      <c r="G41" s="9">
        <f>IF(A41=1,"_",IF(C41="_","???",C41))</f>
        <v/>
      </c>
      <c r="H41" s="10" t="s">
        <v>11</v>
      </c>
      <c r="I41" s="11" t="s">
        <v>11</v>
      </c>
      <c r="J41" s="12"/>
    </row>
    <row r="42" spans="1:10" ht="60" customHeight="1">
      <c r="A42" s="6" t="s">
        <v>169</v>
      </c>
      <c r="B42" s="6" t="s">
        <v>29</v>
      </c>
      <c r="C42" s="6" t="s">
        <v>11</v>
      </c>
      <c r="D42" s="7" t="s">
        <v>163</v>
      </c>
      <c r="E42" s="8" t="s">
        <v>170</v>
      </c>
      <c r="F42" s="6" t="s">
        <v>171</v>
      </c>
      <c r="G42" s="9">
        <f>IF(A42=1,"_",IF(C42="_","???",C42))</f>
        <v/>
      </c>
      <c r="H42" s="10" t="s">
        <v>11</v>
      </c>
      <c r="I42" s="11" t="s">
        <v>11</v>
      </c>
      <c r="J42" s="12"/>
    </row>
    <row r="43" spans="1:10" ht="60" customHeight="1">
      <c r="A43" s="6" t="s">
        <v>172</v>
      </c>
      <c r="B43" s="6" t="s">
        <v>76</v>
      </c>
      <c r="C43" s="6" t="s">
        <v>11</v>
      </c>
      <c r="D43" s="7" t="s">
        <v>173</v>
      </c>
      <c r="E43" s="8" t="s">
        <v>174</v>
      </c>
      <c r="F43" s="6" t="s">
        <v>175</v>
      </c>
      <c r="G43" s="9">
        <f>IF(A43=1,"_",IF(C43="_","???",C43))</f>
        <v/>
      </c>
      <c r="H43" s="10" t="s">
        <v>11</v>
      </c>
      <c r="I43" s="11" t="s">
        <v>11</v>
      </c>
      <c r="J43" s="12"/>
    </row>
    <row r="44" spans="1:10" ht="60" customHeight="1">
      <c r="A44" s="6" t="s">
        <v>176</v>
      </c>
      <c r="B44" s="6" t="s">
        <v>20</v>
      </c>
      <c r="C44" s="6" t="s">
        <v>11</v>
      </c>
      <c r="D44" s="7" t="s">
        <v>177</v>
      </c>
      <c r="E44" s="8" t="s">
        <v>178</v>
      </c>
      <c r="F44" s="6" t="s">
        <v>179</v>
      </c>
      <c r="G44" s="9">
        <f>IF(A44=1,"_",IF(C44="_","???",C44))</f>
        <v/>
      </c>
      <c r="H44" s="10" t="s">
        <v>11</v>
      </c>
      <c r="I44" s="11" t="s">
        <v>11</v>
      </c>
      <c r="J44" s="12"/>
    </row>
    <row r="45" spans="1:10" ht="60" customHeight="1">
      <c r="A45" s="6" t="s">
        <v>180</v>
      </c>
      <c r="B45" s="6" t="s">
        <v>21</v>
      </c>
      <c r="C45" s="6" t="s">
        <v>30</v>
      </c>
      <c r="D45" s="7" t="s">
        <v>181</v>
      </c>
      <c r="E45" s="8" t="s">
        <v>182</v>
      </c>
      <c r="F45" s="6" t="s">
        <v>183</v>
      </c>
      <c r="G45" s="9">
        <f>IF(A45=1,"_",IF(C45="_","???",C45))</f>
        <v/>
      </c>
      <c r="H45" s="10" t="s">
        <v>11</v>
      </c>
      <c r="I45" s="11" t="s">
        <v>11</v>
      </c>
      <c r="J45" s="12"/>
    </row>
    <row r="46" spans="1:10" ht="60" customHeight="1">
      <c r="A46" s="6" t="s">
        <v>184</v>
      </c>
      <c r="B46" s="6" t="s">
        <v>10</v>
      </c>
      <c r="C46" s="6" t="s">
        <v>11</v>
      </c>
      <c r="D46" s="7" t="s">
        <v>185</v>
      </c>
      <c r="E46" s="8" t="s">
        <v>186</v>
      </c>
      <c r="F46" s="6" t="s">
        <v>187</v>
      </c>
      <c r="G46" s="9">
        <f>IF(A46=1,"_",IF(C46="_","???",C46))</f>
        <v/>
      </c>
      <c r="H46" s="10" t="s">
        <v>11</v>
      </c>
      <c r="I46" s="11" t="s">
        <v>11</v>
      </c>
      <c r="J46" s="12"/>
    </row>
    <row r="47" spans="1:10" ht="60" customHeight="1">
      <c r="A47" s="6" t="s">
        <v>188</v>
      </c>
      <c r="B47" s="6" t="s">
        <v>45</v>
      </c>
      <c r="C47" s="6" t="s">
        <v>11</v>
      </c>
      <c r="D47" s="7" t="s">
        <v>189</v>
      </c>
      <c r="E47" s="8" t="s">
        <v>190</v>
      </c>
      <c r="F47" s="6" t="s">
        <v>191</v>
      </c>
      <c r="G47" s="9">
        <f>IF(A47=1,"_",IF(C47="_","???",C47))</f>
        <v/>
      </c>
      <c r="H47" s="10" t="s">
        <v>11</v>
      </c>
      <c r="I47" s="11" t="s">
        <v>11</v>
      </c>
      <c r="J47" s="12"/>
    </row>
    <row r="48" spans="1:10" ht="60" customHeight="1">
      <c r="A48" s="6" t="s">
        <v>192</v>
      </c>
      <c r="B48" s="6" t="s">
        <v>15</v>
      </c>
      <c r="C48" s="6" t="s">
        <v>11</v>
      </c>
      <c r="D48" s="7" t="s">
        <v>96</v>
      </c>
      <c r="E48" s="8" t="s">
        <v>193</v>
      </c>
      <c r="F48" s="6" t="s">
        <v>194</v>
      </c>
      <c r="G48" s="9">
        <f>IF(A48=1,"_",IF(C48="_","???",C48))</f>
        <v/>
      </c>
      <c r="H48" s="10" t="s">
        <v>11</v>
      </c>
      <c r="I48" s="11" t="s">
        <v>11</v>
      </c>
      <c r="J48" s="12"/>
    </row>
    <row r="49" spans="1:10" ht="60" customHeight="1">
      <c r="A49" s="6" t="s">
        <v>195</v>
      </c>
      <c r="B49" s="6" t="s">
        <v>15</v>
      </c>
      <c r="C49" s="6" t="s">
        <v>11</v>
      </c>
      <c r="D49" s="7" t="s">
        <v>189</v>
      </c>
      <c r="E49" s="8" t="s">
        <v>196</v>
      </c>
      <c r="F49" s="6" t="s">
        <v>197</v>
      </c>
      <c r="G49" s="9">
        <f>IF(A49=1,"_",IF(C49="_","???",C49))</f>
        <v/>
      </c>
      <c r="H49" s="10" t="s">
        <v>11</v>
      </c>
      <c r="I49" s="11" t="s">
        <v>11</v>
      </c>
      <c r="J49" s="12"/>
    </row>
    <row r="50" spans="1:10" ht="60" customHeight="1">
      <c r="A50" s="6" t="s">
        <v>198</v>
      </c>
      <c r="B50" s="6" t="s">
        <v>15</v>
      </c>
      <c r="C50" s="6" t="s">
        <v>11</v>
      </c>
      <c r="D50" s="7" t="s">
        <v>199</v>
      </c>
      <c r="E50" s="8" t="s">
        <v>200</v>
      </c>
      <c r="F50" s="6" t="s">
        <v>201</v>
      </c>
      <c r="G50" s="9">
        <f>IF(A50=1,"_",IF(C50="_","???",C50))</f>
        <v/>
      </c>
      <c r="H50" s="10" t="s">
        <v>11</v>
      </c>
      <c r="I50" s="11" t="s">
        <v>11</v>
      </c>
      <c r="J50" s="12"/>
    </row>
    <row r="51" spans="1:10" ht="60" customHeight="1">
      <c r="A51" s="6" t="s">
        <v>202</v>
      </c>
      <c r="B51" s="6" t="s">
        <v>20</v>
      </c>
      <c r="C51" s="6" t="s">
        <v>11</v>
      </c>
      <c r="D51" s="7" t="s">
        <v>203</v>
      </c>
      <c r="E51" s="8" t="s">
        <v>204</v>
      </c>
      <c r="F51" s="6" t="s">
        <v>205</v>
      </c>
      <c r="G51" s="9">
        <f>IF(A51=1,"_",IF(C51="_","???",C51))</f>
        <v/>
      </c>
      <c r="H51" s="10" t="s">
        <v>11</v>
      </c>
      <c r="I51" s="11" t="s">
        <v>11</v>
      </c>
      <c r="J51" s="12"/>
    </row>
    <row r="52" spans="1:10" ht="60" customHeight="1">
      <c r="A52" s="6" t="s">
        <v>206</v>
      </c>
      <c r="B52" s="6" t="s">
        <v>20</v>
      </c>
      <c r="C52" s="6" t="s">
        <v>11</v>
      </c>
      <c r="D52" s="7" t="s">
        <v>207</v>
      </c>
      <c r="E52" s="8" t="s">
        <v>208</v>
      </c>
      <c r="F52" s="6" t="s">
        <v>209</v>
      </c>
      <c r="G52" s="9">
        <f>IF(A52=1,"_",IF(C52="_","???",C52))</f>
        <v/>
      </c>
      <c r="H52" s="10" t="s">
        <v>11</v>
      </c>
      <c r="I52" s="11" t="s">
        <v>11</v>
      </c>
      <c r="J52" s="12"/>
    </row>
    <row r="53" spans="1:10" ht="60" customHeight="1">
      <c r="A53" s="6" t="s">
        <v>210</v>
      </c>
      <c r="B53" s="6" t="s">
        <v>15</v>
      </c>
      <c r="C53" s="6" t="s">
        <v>11</v>
      </c>
      <c r="D53" s="7" t="s">
        <v>211</v>
      </c>
      <c r="E53" s="8" t="s">
        <v>212</v>
      </c>
      <c r="F53" s="6" t="s">
        <v>213</v>
      </c>
      <c r="G53" s="9">
        <f>IF(A53=1,"_",IF(C53="_","???",C53))</f>
        <v/>
      </c>
      <c r="H53" s="10" t="s">
        <v>11</v>
      </c>
      <c r="I53" s="11" t="s">
        <v>11</v>
      </c>
      <c r="J53" s="12"/>
    </row>
    <row r="54" spans="1:10" ht="60" customHeight="1">
      <c r="A54" s="6" t="s">
        <v>214</v>
      </c>
      <c r="B54" s="6" t="s">
        <v>56</v>
      </c>
      <c r="C54" s="6" t="s">
        <v>11</v>
      </c>
      <c r="D54" s="7" t="s">
        <v>215</v>
      </c>
      <c r="E54" s="8" t="s">
        <v>216</v>
      </c>
      <c r="F54" s="6" t="s">
        <v>217</v>
      </c>
      <c r="G54" s="9">
        <f>IF(A54=1,"_",IF(C54="_","???",C54))</f>
        <v/>
      </c>
      <c r="H54" s="10" t="s">
        <v>11</v>
      </c>
      <c r="I54" s="11" t="s">
        <v>11</v>
      </c>
      <c r="J54" s="12"/>
    </row>
    <row r="55" spans="1:10" ht="60" customHeight="1">
      <c r="A55" s="6" t="s">
        <v>218</v>
      </c>
      <c r="B55" s="6" t="s">
        <v>20</v>
      </c>
      <c r="C55" s="6" t="s">
        <v>11</v>
      </c>
      <c r="D55" s="7" t="s">
        <v>219</v>
      </c>
      <c r="E55" s="8" t="s">
        <v>220</v>
      </c>
      <c r="F55" s="6" t="s">
        <v>221</v>
      </c>
      <c r="G55" s="9">
        <f>IF(A55=1,"_",IF(C55="_","???",C55))</f>
        <v/>
      </c>
      <c r="H55" s="10" t="s">
        <v>11</v>
      </c>
      <c r="I55" s="11" t="s">
        <v>11</v>
      </c>
      <c r="J55" s="12"/>
    </row>
    <row r="56" spans="1:10" ht="60" customHeight="1">
      <c r="A56" s="6" t="s">
        <v>222</v>
      </c>
      <c r="B56" s="6" t="s">
        <v>45</v>
      </c>
      <c r="C56" s="6" t="s">
        <v>11</v>
      </c>
      <c r="D56" s="7" t="s">
        <v>223</v>
      </c>
      <c r="E56" s="8" t="s">
        <v>224</v>
      </c>
      <c r="F56" s="6" t="s">
        <v>225</v>
      </c>
      <c r="G56" s="9">
        <f>IF(A56=1,"_",IF(C56="_","???",C56))</f>
        <v/>
      </c>
      <c r="H56" s="10" t="s">
        <v>11</v>
      </c>
      <c r="I56" s="11" t="s">
        <v>11</v>
      </c>
      <c r="J56" s="12"/>
    </row>
    <row r="57" spans="1:10" ht="60" customHeight="1">
      <c r="A57" s="6" t="s">
        <v>226</v>
      </c>
      <c r="B57" s="6" t="s">
        <v>15</v>
      </c>
      <c r="C57" s="6" t="s">
        <v>11</v>
      </c>
      <c r="D57" s="7" t="s">
        <v>134</v>
      </c>
      <c r="E57" s="8" t="s">
        <v>227</v>
      </c>
      <c r="F57" s="6" t="s">
        <v>228</v>
      </c>
      <c r="G57" s="9">
        <f>IF(A57=1,"_",IF(C57="_","???",C57))</f>
        <v/>
      </c>
      <c r="H57" s="10" t="s">
        <v>11</v>
      </c>
      <c r="I57" s="11" t="s">
        <v>11</v>
      </c>
      <c r="J57" s="12"/>
    </row>
    <row r="58" spans="1:10" ht="60" customHeight="1">
      <c r="A58" s="6" t="s">
        <v>229</v>
      </c>
      <c r="B58" s="6" t="s">
        <v>20</v>
      </c>
      <c r="C58" s="6" t="s">
        <v>11</v>
      </c>
      <c r="D58" s="7" t="s">
        <v>230</v>
      </c>
      <c r="E58" s="8" t="s">
        <v>231</v>
      </c>
      <c r="F58" s="6" t="s">
        <v>232</v>
      </c>
      <c r="G58" s="9">
        <f>IF(A58=1,"_",IF(C58="_","???",C58))</f>
        <v/>
      </c>
      <c r="H58" s="10" t="s">
        <v>11</v>
      </c>
      <c r="I58" s="11" t="s">
        <v>11</v>
      </c>
      <c r="J58" s="12"/>
    </row>
    <row r="59" spans="1:10" ht="60" customHeight="1">
      <c r="A59" s="6" t="s">
        <v>233</v>
      </c>
      <c r="B59" s="6" t="s">
        <v>15</v>
      </c>
      <c r="C59" s="6" t="s">
        <v>11</v>
      </c>
      <c r="D59" s="7" t="s">
        <v>234</v>
      </c>
      <c r="E59" s="8" t="s">
        <v>235</v>
      </c>
      <c r="F59" s="6" t="s">
        <v>236</v>
      </c>
      <c r="G59" s="9">
        <f>IF(A59=1,"_",IF(C59="_","???",C59))</f>
        <v/>
      </c>
      <c r="H59" s="10" t="s">
        <v>11</v>
      </c>
      <c r="I59" s="11" t="s">
        <v>11</v>
      </c>
      <c r="J59" s="12"/>
    </row>
    <row r="60" spans="1:10" ht="60" customHeight="1">
      <c r="A60" s="6" t="s">
        <v>237</v>
      </c>
      <c r="B60" s="6" t="s">
        <v>52</v>
      </c>
      <c r="C60" s="6" t="s">
        <v>11</v>
      </c>
      <c r="D60" s="7" t="s">
        <v>238</v>
      </c>
      <c r="E60" s="8" t="s">
        <v>239</v>
      </c>
      <c r="F60" s="6" t="s">
        <v>240</v>
      </c>
      <c r="G60" s="9">
        <f>IF(A60=1,"_",IF(C60="_","???",C60))</f>
        <v/>
      </c>
      <c r="H60" s="10" t="s">
        <v>11</v>
      </c>
      <c r="I60" s="11" t="s">
        <v>11</v>
      </c>
      <c r="J60" s="12"/>
    </row>
    <row r="61" spans="1:10" ht="60" customHeight="1">
      <c r="A61" s="6" t="s">
        <v>241</v>
      </c>
      <c r="B61" s="6" t="s">
        <v>41</v>
      </c>
      <c r="C61" s="6" t="s">
        <v>11</v>
      </c>
      <c r="D61" s="7" t="s">
        <v>242</v>
      </c>
      <c r="E61" s="8" t="s">
        <v>243</v>
      </c>
      <c r="F61" s="6" t="s">
        <v>244</v>
      </c>
      <c r="G61" s="9">
        <f>IF(A61=1,"_",IF(C61="_","???",C61))</f>
        <v/>
      </c>
      <c r="H61" s="10" t="s">
        <v>11</v>
      </c>
      <c r="I61" s="11" t="s">
        <v>11</v>
      </c>
      <c r="J61" s="12"/>
    </row>
    <row r="62" spans="1:10" ht="60" customHeight="1">
      <c r="A62" s="6" t="s">
        <v>245</v>
      </c>
      <c r="B62" s="6" t="s">
        <v>29</v>
      </c>
      <c r="C62" s="6" t="s">
        <v>11</v>
      </c>
      <c r="D62" s="7" t="s">
        <v>246</v>
      </c>
      <c r="E62" s="8" t="s">
        <v>247</v>
      </c>
      <c r="F62" s="6" t="s">
        <v>248</v>
      </c>
      <c r="G62" s="9">
        <f>IF(A62=1,"_",IF(C62="_","???",C62))</f>
        <v/>
      </c>
      <c r="H62" s="10" t="s">
        <v>11</v>
      </c>
      <c r="I62" s="11" t="s">
        <v>11</v>
      </c>
      <c r="J62" s="12"/>
    </row>
    <row r="63" spans="1:10" ht="60" customHeight="1">
      <c r="A63" s="6" t="s">
        <v>249</v>
      </c>
      <c r="B63" s="6" t="s">
        <v>10</v>
      </c>
      <c r="C63" s="6" t="s">
        <v>11</v>
      </c>
      <c r="D63" s="7" t="s">
        <v>185</v>
      </c>
      <c r="E63" s="8" t="s">
        <v>250</v>
      </c>
      <c r="F63" s="6" t="s">
        <v>251</v>
      </c>
      <c r="G63" s="9">
        <f>IF(A63=1,"_",IF(C63="_","???",C63))</f>
        <v/>
      </c>
      <c r="H63" s="10" t="s">
        <v>11</v>
      </c>
      <c r="I63" s="11" t="s">
        <v>11</v>
      </c>
      <c r="J63" s="12"/>
    </row>
    <row r="64" spans="1:10" ht="60" customHeight="1">
      <c r="A64" s="6" t="s">
        <v>252</v>
      </c>
      <c r="B64" s="6" t="s">
        <v>129</v>
      </c>
      <c r="C64" s="6" t="s">
        <v>11</v>
      </c>
      <c r="D64" s="7" t="s">
        <v>253</v>
      </c>
      <c r="E64" s="8" t="s">
        <v>254</v>
      </c>
      <c r="F64" s="6" t="s">
        <v>255</v>
      </c>
      <c r="G64" s="9">
        <f>IF(A64=1,"_",IF(C64="_","???",C64))</f>
        <v/>
      </c>
      <c r="H64" s="10" t="s">
        <v>11</v>
      </c>
      <c r="I64" s="11" t="s">
        <v>11</v>
      </c>
      <c r="J64" s="12"/>
    </row>
    <row r="65" spans="1:10" ht="60" customHeight="1">
      <c r="A65" s="6" t="s">
        <v>256</v>
      </c>
      <c r="B65" s="6" t="s">
        <v>15</v>
      </c>
      <c r="C65" s="6" t="s">
        <v>11</v>
      </c>
      <c r="D65" s="7" t="s">
        <v>257</v>
      </c>
      <c r="E65" s="8" t="s">
        <v>258</v>
      </c>
      <c r="F65" s="6" t="s">
        <v>259</v>
      </c>
      <c r="G65" s="9">
        <f>IF(A65=1,"_",IF(C65="_","???",C65))</f>
        <v/>
      </c>
      <c r="H65" s="10" t="s">
        <v>11</v>
      </c>
      <c r="I65" s="11" t="s">
        <v>11</v>
      </c>
      <c r="J65" s="12"/>
    </row>
    <row r="66" spans="1:10" ht="60" customHeight="1">
      <c r="A66" s="6" t="s">
        <v>260</v>
      </c>
      <c r="B66" s="6" t="s">
        <v>20</v>
      </c>
      <c r="C66" s="6" t="s">
        <v>11</v>
      </c>
      <c r="D66" s="7" t="s">
        <v>261</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15</v>
      </c>
      <c r="C68" s="6" t="s">
        <v>11</v>
      </c>
      <c r="D68" s="7" t="s">
        <v>265</v>
      </c>
      <c r="E68" s="8" t="s">
        <v>269</v>
      </c>
      <c r="F68" s="6" t="s">
        <v>270</v>
      </c>
      <c r="G68" s="9">
        <f>IF(A68=1,"_",IF(C68="_","???",C68))</f>
        <v/>
      </c>
      <c r="H68" s="10" t="s">
        <v>11</v>
      </c>
      <c r="I68" s="11" t="s">
        <v>11</v>
      </c>
      <c r="J68" s="12"/>
    </row>
    <row r="69" spans="1:10" ht="60" customHeight="1">
      <c r="A69" s="6" t="s">
        <v>271</v>
      </c>
      <c r="B69" s="6" t="s">
        <v>10</v>
      </c>
      <c r="C69" s="6" t="s">
        <v>11</v>
      </c>
      <c r="D69" s="7" t="s">
        <v>272</v>
      </c>
      <c r="E69" s="8" t="s">
        <v>273</v>
      </c>
      <c r="F69" s="6" t="s">
        <v>274</v>
      </c>
      <c r="G69" s="9">
        <f>IF(A69=1,"_",IF(C69="_","???",C69))</f>
        <v/>
      </c>
      <c r="H69" s="10" t="s">
        <v>11</v>
      </c>
      <c r="I69" s="11" t="s">
        <v>11</v>
      </c>
      <c r="J69" s="12"/>
    </row>
    <row r="70" spans="1:10" ht="60" customHeight="1">
      <c r="A70" s="6" t="s">
        <v>275</v>
      </c>
      <c r="B70" s="6" t="s">
        <v>15</v>
      </c>
      <c r="C70" s="6" t="s">
        <v>11</v>
      </c>
      <c r="D70" s="7" t="s">
        <v>276</v>
      </c>
      <c r="E70" s="8" t="s">
        <v>277</v>
      </c>
      <c r="F70" s="6" t="s">
        <v>278</v>
      </c>
      <c r="G70" s="9">
        <f>IF(A70=1,"_",IF(C70="_","???",C70))</f>
        <v/>
      </c>
      <c r="H70" s="10" t="s">
        <v>11</v>
      </c>
      <c r="I70" s="11" t="s">
        <v>11</v>
      </c>
      <c r="J70" s="12"/>
    </row>
    <row r="71" spans="1:10" ht="60" customHeight="1">
      <c r="A71" s="6" t="s">
        <v>279</v>
      </c>
      <c r="B71" s="6" t="s">
        <v>34</v>
      </c>
      <c r="C71" s="6" t="s">
        <v>11</v>
      </c>
      <c r="D71" s="7" t="s">
        <v>280</v>
      </c>
      <c r="E71" s="8" t="s">
        <v>281</v>
      </c>
      <c r="F71" s="6" t="s">
        <v>282</v>
      </c>
      <c r="G71" s="9">
        <f>IF(A71=1,"_",IF(C71="_","???",C71))</f>
        <v/>
      </c>
      <c r="H71" s="10" t="s">
        <v>11</v>
      </c>
      <c r="I71" s="11" t="s">
        <v>11</v>
      </c>
      <c r="J71" s="12"/>
    </row>
    <row r="72" spans="1:10" ht="60" customHeight="1">
      <c r="A72" s="6" t="s">
        <v>283</v>
      </c>
      <c r="B72" s="6" t="s">
        <v>29</v>
      </c>
      <c r="C72" s="6" t="s">
        <v>11</v>
      </c>
      <c r="D72" s="7" t="s">
        <v>284</v>
      </c>
      <c r="E72" s="8" t="s">
        <v>285</v>
      </c>
      <c r="F72" s="6" t="s">
        <v>286</v>
      </c>
      <c r="G72" s="9">
        <f>IF(A72=1,"_",IF(C72="_","???",C72))</f>
        <v/>
      </c>
      <c r="H72" s="10" t="s">
        <v>11</v>
      </c>
      <c r="I72" s="11" t="s">
        <v>11</v>
      </c>
      <c r="J72" s="12"/>
    </row>
    <row r="73" spans="1:10" ht="60" customHeight="1">
      <c r="A73" s="6" t="s">
        <v>287</v>
      </c>
      <c r="B73" s="6" t="s">
        <v>21</v>
      </c>
      <c r="C73" s="6" t="s">
        <v>11</v>
      </c>
      <c r="D73" s="7" t="s">
        <v>288</v>
      </c>
      <c r="E73" s="8" t="s">
        <v>289</v>
      </c>
      <c r="F73" s="6" t="s">
        <v>290</v>
      </c>
      <c r="G73" s="9">
        <f>IF(A73=1,"_",IF(C73="_","???",C73))</f>
        <v/>
      </c>
      <c r="H73" s="10" t="s">
        <v>11</v>
      </c>
      <c r="I73" s="11" t="s">
        <v>11</v>
      </c>
      <c r="J73" s="12"/>
    </row>
    <row r="74" spans="1:10" ht="60" customHeight="1">
      <c r="A74" s="6" t="s">
        <v>291</v>
      </c>
      <c r="B74" s="6" t="s">
        <v>21</v>
      </c>
      <c r="C74" s="6" t="s">
        <v>11</v>
      </c>
      <c r="D74" s="7" t="s">
        <v>292</v>
      </c>
      <c r="E74" s="8" t="s">
        <v>293</v>
      </c>
      <c r="F74" s="6" t="s">
        <v>294</v>
      </c>
      <c r="G74" s="9">
        <f>IF(A74=1,"_",IF(C74="_","???",C74))</f>
        <v/>
      </c>
      <c r="H74" s="10" t="s">
        <v>11</v>
      </c>
      <c r="I74" s="11" t="s">
        <v>11</v>
      </c>
      <c r="J74" s="12"/>
    </row>
    <row r="75" spans="1:10" ht="60" customHeight="1">
      <c r="A75" s="6" t="s">
        <v>295</v>
      </c>
      <c r="B75" s="6" t="s">
        <v>20</v>
      </c>
      <c r="C75" s="6" t="s">
        <v>11</v>
      </c>
      <c r="D75" s="7" t="s">
        <v>296</v>
      </c>
      <c r="E75" s="8" t="s">
        <v>297</v>
      </c>
      <c r="F75" s="6" t="s">
        <v>298</v>
      </c>
      <c r="G75" s="9">
        <f>IF(A75=1,"_",IF(C75="_","???",C75))</f>
        <v/>
      </c>
      <c r="H75" s="10" t="s">
        <v>11</v>
      </c>
      <c r="I75" s="11" t="s">
        <v>11</v>
      </c>
      <c r="J75" s="12"/>
    </row>
    <row r="76" spans="1:10" ht="60" customHeight="1">
      <c r="A76" s="6" t="s">
        <v>299</v>
      </c>
      <c r="B76" s="6" t="s">
        <v>95</v>
      </c>
      <c r="C76" s="6" t="s">
        <v>11</v>
      </c>
      <c r="D76" s="7" t="s">
        <v>134</v>
      </c>
      <c r="E76" s="8" t="s">
        <v>300</v>
      </c>
      <c r="F76" s="6" t="s">
        <v>301</v>
      </c>
      <c r="G76" s="9">
        <f>IF(A76=1,"_",IF(C76="_","???",C76))</f>
        <v/>
      </c>
      <c r="H76" s="10" t="s">
        <v>11</v>
      </c>
      <c r="I76" s="11" t="s">
        <v>11</v>
      </c>
      <c r="J76" s="12"/>
    </row>
    <row r="77" spans="1:10" ht="60" customHeight="1">
      <c r="A77" s="6" t="s">
        <v>302</v>
      </c>
      <c r="B77" s="6" t="s">
        <v>15</v>
      </c>
      <c r="C77" s="6" t="s">
        <v>11</v>
      </c>
      <c r="D77" s="7" t="s">
        <v>303</v>
      </c>
      <c r="E77" s="8" t="s">
        <v>304</v>
      </c>
      <c r="F77" s="6" t="s">
        <v>305</v>
      </c>
      <c r="G77" s="9">
        <f>IF(A77=1,"_",IF(C77="_","???",C77))</f>
        <v/>
      </c>
      <c r="H77" s="10" t="s">
        <v>11</v>
      </c>
      <c r="I77" s="11" t="s">
        <v>11</v>
      </c>
      <c r="J77" s="12"/>
    </row>
    <row r="78" spans="1:10" ht="60" customHeight="1">
      <c r="A78" s="6" t="s">
        <v>306</v>
      </c>
      <c r="B78" s="6" t="s">
        <v>15</v>
      </c>
      <c r="C78" s="6" t="s">
        <v>11</v>
      </c>
      <c r="D78" s="7" t="s">
        <v>307</v>
      </c>
      <c r="E78" s="8" t="s">
        <v>308</v>
      </c>
      <c r="F78" s="6" t="s">
        <v>309</v>
      </c>
      <c r="G78" s="9">
        <f>IF(A78=1,"_",IF(C78="_","???",C78))</f>
        <v/>
      </c>
      <c r="H78" s="10" t="s">
        <v>11</v>
      </c>
      <c r="I78" s="11" t="s">
        <v>11</v>
      </c>
      <c r="J78" s="12"/>
    </row>
    <row r="79" spans="1:10" ht="60" customHeight="1">
      <c r="A79" s="6" t="s">
        <v>310</v>
      </c>
      <c r="B79" s="6" t="s">
        <v>41</v>
      </c>
      <c r="C79" s="6" t="s">
        <v>30</v>
      </c>
      <c r="D79" s="7" t="s">
        <v>130</v>
      </c>
      <c r="E79" s="8" t="s">
        <v>311</v>
      </c>
      <c r="F79" s="6" t="s">
        <v>312</v>
      </c>
      <c r="G79" s="9">
        <f>IF(A79=1,"_",IF(C79="_","???",C79))</f>
        <v/>
      </c>
      <c r="H79" s="10" t="s">
        <v>11</v>
      </c>
      <c r="I79" s="11" t="s">
        <v>11</v>
      </c>
      <c r="J79" s="12"/>
    </row>
    <row r="80" spans="1:10" ht="60" customHeight="1">
      <c r="A80" s="6" t="s">
        <v>313</v>
      </c>
      <c r="B80" s="6" t="s">
        <v>94</v>
      </c>
      <c r="C80" s="6" t="s">
        <v>11</v>
      </c>
      <c r="D80" s="7" t="s">
        <v>314</v>
      </c>
      <c r="E80" s="8" t="s">
        <v>315</v>
      </c>
      <c r="F80" s="6" t="s">
        <v>316</v>
      </c>
      <c r="G80" s="9">
        <f>IF(A80=1,"_",IF(C80="_","???",C80))</f>
        <v/>
      </c>
      <c r="H80" s="10" t="s">
        <v>11</v>
      </c>
      <c r="I80" s="11" t="s">
        <v>11</v>
      </c>
      <c r="J80" s="12"/>
    </row>
    <row r="81" spans="1:10" ht="60" customHeight="1">
      <c r="A81" s="6" t="s">
        <v>317</v>
      </c>
      <c r="B81" s="6" t="s">
        <v>29</v>
      </c>
      <c r="C81" s="6" t="s">
        <v>11</v>
      </c>
      <c r="D81" s="7" t="s">
        <v>318</v>
      </c>
      <c r="E81" s="8" t="s">
        <v>319</v>
      </c>
      <c r="F81" s="6" t="s">
        <v>320</v>
      </c>
      <c r="G81" s="9">
        <f>IF(A81=1,"_",IF(C81="_","???",C81))</f>
        <v/>
      </c>
      <c r="H81" s="10" t="s">
        <v>11</v>
      </c>
      <c r="I81" s="11" t="s">
        <v>11</v>
      </c>
      <c r="J81" s="12"/>
    </row>
    <row r="82" spans="1:10" ht="60" customHeight="1">
      <c r="A82" s="6" t="s">
        <v>321</v>
      </c>
      <c r="B82" s="6" t="s">
        <v>45</v>
      </c>
      <c r="C82" s="6" t="s">
        <v>11</v>
      </c>
      <c r="D82" s="7" t="s">
        <v>38</v>
      </c>
      <c r="E82" s="8" t="s">
        <v>322</v>
      </c>
      <c r="F82" s="6" t="s">
        <v>323</v>
      </c>
      <c r="G82" s="9">
        <f>IF(A82=1,"_",IF(C82="_","???",C82))</f>
        <v/>
      </c>
      <c r="H82" s="10" t="s">
        <v>11</v>
      </c>
      <c r="I82" s="11" t="s">
        <v>11</v>
      </c>
      <c r="J82" s="12"/>
    </row>
    <row r="83" spans="1:10" ht="60" customHeight="1">
      <c r="A83" s="6" t="s">
        <v>324</v>
      </c>
      <c r="B83" s="6" t="s">
        <v>20</v>
      </c>
      <c r="C83" s="6" t="s">
        <v>11</v>
      </c>
      <c r="D83" s="7" t="s">
        <v>325</v>
      </c>
      <c r="E83" s="8" t="s">
        <v>326</v>
      </c>
      <c r="F83" s="6" t="s">
        <v>327</v>
      </c>
      <c r="G83" s="9">
        <f>IF(A83=1,"_",IF(C83="_","???",C83))</f>
        <v/>
      </c>
      <c r="H83" s="10" t="s">
        <v>11</v>
      </c>
      <c r="I83" s="11" t="s">
        <v>11</v>
      </c>
      <c r="J83" s="12"/>
    </row>
    <row r="84" spans="1:10" ht="60" customHeight="1">
      <c r="A84" s="6" t="s">
        <v>328</v>
      </c>
      <c r="B84" s="6" t="s">
        <v>21</v>
      </c>
      <c r="C84" s="6" t="s">
        <v>11</v>
      </c>
      <c r="D84" s="7" t="s">
        <v>38</v>
      </c>
      <c r="E84" s="8" t="s">
        <v>329</v>
      </c>
      <c r="F84" s="6" t="s">
        <v>330</v>
      </c>
      <c r="G84" s="9">
        <f>IF(A84=1,"_",IF(C84="_","???",C84))</f>
        <v/>
      </c>
      <c r="H84" s="10" t="s">
        <v>11</v>
      </c>
      <c r="I84" s="11" t="s">
        <v>11</v>
      </c>
      <c r="J84" s="12"/>
    </row>
    <row r="85" spans="1:10" ht="60" customHeight="1">
      <c r="A85" s="6" t="s">
        <v>331</v>
      </c>
      <c r="B85" s="6" t="s">
        <v>15</v>
      </c>
      <c r="C85" s="6" t="s">
        <v>11</v>
      </c>
      <c r="D85" s="7" t="s">
        <v>332</v>
      </c>
      <c r="E85" s="8" t="s">
        <v>333</v>
      </c>
      <c r="F85" s="6" t="s">
        <v>334</v>
      </c>
      <c r="G85" s="9">
        <f>IF(A85=1,"_",IF(C85="_","???",C85))</f>
        <v/>
      </c>
      <c r="H85" s="10" t="s">
        <v>11</v>
      </c>
      <c r="I85" s="11" t="s">
        <v>11</v>
      </c>
      <c r="J85" s="12"/>
    </row>
    <row r="86" spans="1:10" ht="60" customHeight="1">
      <c r="A86" s="6" t="s">
        <v>335</v>
      </c>
      <c r="B86" s="6" t="s">
        <v>20</v>
      </c>
      <c r="C86" s="6" t="s">
        <v>11</v>
      </c>
      <c r="D86" s="7" t="s">
        <v>336</v>
      </c>
      <c r="E86" s="8" t="s">
        <v>337</v>
      </c>
      <c r="F86" s="6" t="s">
        <v>338</v>
      </c>
      <c r="G86" s="9">
        <f>IF(A86=1,"_",IF(C86="_","???",C86))</f>
        <v/>
      </c>
      <c r="H86" s="10" t="s">
        <v>11</v>
      </c>
      <c r="I86" s="11" t="s">
        <v>11</v>
      </c>
      <c r="J86" s="12"/>
    </row>
    <row r="87" spans="1:10" ht="60" customHeight="1">
      <c r="A87" s="6" t="s">
        <v>339</v>
      </c>
      <c r="B87" s="6" t="s">
        <v>15</v>
      </c>
      <c r="C87" s="6" t="s">
        <v>11</v>
      </c>
      <c r="D87" s="7" t="s">
        <v>340</v>
      </c>
      <c r="E87" s="8" t="s">
        <v>341</v>
      </c>
      <c r="F87" s="6" t="s">
        <v>342</v>
      </c>
      <c r="G87" s="9">
        <f>IF(A87=1,"_",IF(C87="_","???",C87))</f>
        <v/>
      </c>
      <c r="H87" s="10" t="s">
        <v>11</v>
      </c>
      <c r="I87" s="11" t="s">
        <v>11</v>
      </c>
      <c r="J87" s="12"/>
    </row>
    <row r="88" spans="1:10" ht="60" customHeight="1">
      <c r="A88" s="6" t="s">
        <v>343</v>
      </c>
      <c r="B88" s="6" t="s">
        <v>34</v>
      </c>
      <c r="C88" s="6" t="s">
        <v>11</v>
      </c>
      <c r="D88" s="7" t="s">
        <v>344</v>
      </c>
      <c r="E88" s="8" t="s">
        <v>345</v>
      </c>
      <c r="F88" s="6" t="s">
        <v>346</v>
      </c>
      <c r="G88" s="9">
        <f>IF(A88=1,"_",IF(C88="_","???",C88))</f>
        <v/>
      </c>
      <c r="H88" s="10" t="s">
        <v>11</v>
      </c>
      <c r="I88" s="11" t="s">
        <v>11</v>
      </c>
      <c r="J88" s="12"/>
    </row>
    <row r="89" spans="1:10" ht="60" customHeight="1">
      <c r="A89" s="6" t="s">
        <v>347</v>
      </c>
      <c r="B89" s="6" t="s">
        <v>52</v>
      </c>
      <c r="C89" s="6" t="s">
        <v>11</v>
      </c>
      <c r="D89" s="7" t="s">
        <v>348</v>
      </c>
      <c r="E89" s="8" t="s">
        <v>349</v>
      </c>
      <c r="F89" s="6" t="s">
        <v>350</v>
      </c>
      <c r="G89" s="9">
        <f>IF(A89=1,"_",IF(C89="_","???",C89))</f>
        <v/>
      </c>
      <c r="H89" s="10" t="s">
        <v>11</v>
      </c>
      <c r="I89" s="11" t="s">
        <v>11</v>
      </c>
      <c r="J89" s="12"/>
    </row>
    <row r="90" spans="1:10" ht="60" customHeight="1">
      <c r="A90" s="6" t="s">
        <v>351</v>
      </c>
      <c r="B90" s="6" t="s">
        <v>15</v>
      </c>
      <c r="C90" s="6" t="s">
        <v>11</v>
      </c>
      <c r="D90" s="7" t="s">
        <v>352</v>
      </c>
      <c r="E90" s="8" t="s">
        <v>353</v>
      </c>
      <c r="F90" s="6" t="s">
        <v>354</v>
      </c>
      <c r="G90" s="9">
        <f>IF(A90=1,"_",IF(C90="_","???",C90))</f>
        <v/>
      </c>
      <c r="H90" s="10" t="s">
        <v>11</v>
      </c>
      <c r="I90" s="11" t="s">
        <v>11</v>
      </c>
      <c r="J90" s="12"/>
    </row>
    <row r="91" spans="1:10" ht="60" customHeight="1">
      <c r="A91" s="6" t="s">
        <v>355</v>
      </c>
      <c r="B91" s="6" t="s">
        <v>20</v>
      </c>
      <c r="C91" s="6" t="s">
        <v>11</v>
      </c>
      <c r="D91" s="7" t="s">
        <v>356</v>
      </c>
      <c r="E91" s="8" t="s">
        <v>357</v>
      </c>
      <c r="F91" s="6" t="s">
        <v>358</v>
      </c>
      <c r="G91" s="9">
        <f>IF(A91=1,"_",IF(C91="_","???",C91))</f>
        <v/>
      </c>
      <c r="H91" s="10" t="s">
        <v>11</v>
      </c>
      <c r="I91" s="11" t="s">
        <v>11</v>
      </c>
      <c r="J91" s="12"/>
    </row>
    <row r="92" spans="1:10" ht="60" customHeight="1">
      <c r="A92" s="6" t="s">
        <v>359</v>
      </c>
      <c r="B92" s="6" t="s">
        <v>29</v>
      </c>
      <c r="C92" s="6" t="s">
        <v>11</v>
      </c>
      <c r="D92" s="7" t="s">
        <v>177</v>
      </c>
      <c r="E92" s="8" t="s">
        <v>360</v>
      </c>
      <c r="F92" s="6" t="s">
        <v>361</v>
      </c>
      <c r="G92" s="9">
        <f>IF(A92=1,"_",IF(C92="_","???",C92))</f>
        <v/>
      </c>
      <c r="H92" s="10" t="s">
        <v>11</v>
      </c>
      <c r="I92" s="11" t="s">
        <v>11</v>
      </c>
      <c r="J92" s="12"/>
    </row>
    <row r="93" spans="1:10" ht="60" customHeight="1">
      <c r="A93" s="6" t="s">
        <v>362</v>
      </c>
      <c r="B93" s="6" t="s">
        <v>20</v>
      </c>
      <c r="C93" s="6" t="s">
        <v>11</v>
      </c>
      <c r="D93" s="7" t="s">
        <v>257</v>
      </c>
      <c r="E93" s="8" t="s">
        <v>363</v>
      </c>
      <c r="F93" s="6" t="s">
        <v>364</v>
      </c>
      <c r="G93" s="9">
        <f>IF(A93=1,"_",IF(C93="_","???",C93))</f>
        <v/>
      </c>
      <c r="H93" s="10" t="s">
        <v>11</v>
      </c>
      <c r="I93" s="11" t="s">
        <v>11</v>
      </c>
      <c r="J93" s="12"/>
    </row>
    <row r="94" spans="1:10" ht="60" customHeight="1">
      <c r="A94" s="6" t="s">
        <v>365</v>
      </c>
      <c r="B94" s="6" t="s">
        <v>15</v>
      </c>
      <c r="C94" s="6" t="s">
        <v>30</v>
      </c>
      <c r="D94" s="7" t="s">
        <v>366</v>
      </c>
      <c r="E94" s="8" t="s">
        <v>367</v>
      </c>
      <c r="F94" s="6" t="s">
        <v>368</v>
      </c>
      <c r="G94" s="9">
        <f>IF(A94=1,"_",IF(C94="_","???",C94))</f>
        <v/>
      </c>
      <c r="H94" s="10" t="s">
        <v>11</v>
      </c>
      <c r="I94" s="11" t="s">
        <v>11</v>
      </c>
      <c r="J94" s="12"/>
    </row>
    <row r="95" spans="1:10" ht="60" customHeight="1">
      <c r="A95" s="6" t="s">
        <v>369</v>
      </c>
      <c r="B95" s="6" t="s">
        <v>10</v>
      </c>
      <c r="C95" s="6" t="s">
        <v>11</v>
      </c>
      <c r="D95" s="7" t="s">
        <v>185</v>
      </c>
      <c r="E95" s="8" t="s">
        <v>370</v>
      </c>
      <c r="F95" s="6" t="s">
        <v>371</v>
      </c>
      <c r="G95" s="9">
        <f>IF(A95=1,"_",IF(C95="_","???",C95))</f>
        <v/>
      </c>
      <c r="H95" s="10" t="s">
        <v>11</v>
      </c>
      <c r="I95" s="11" t="s">
        <v>11</v>
      </c>
      <c r="J95" s="12"/>
    </row>
    <row r="96" spans="1:10" ht="60" customHeight="1">
      <c r="A96" s="6" t="s">
        <v>372</v>
      </c>
      <c r="B96" s="6" t="s">
        <v>15</v>
      </c>
      <c r="C96" s="6" t="s">
        <v>11</v>
      </c>
      <c r="D96" s="7" t="s">
        <v>373</v>
      </c>
      <c r="E96" s="8" t="s">
        <v>374</v>
      </c>
      <c r="F96" s="6" t="s">
        <v>375</v>
      </c>
      <c r="G96" s="9">
        <f>IF(A96=1,"_",IF(C96="_","???",C96))</f>
        <v/>
      </c>
      <c r="H96" s="10" t="s">
        <v>11</v>
      </c>
      <c r="I96" s="11" t="s">
        <v>11</v>
      </c>
      <c r="J96" s="12"/>
    </row>
    <row r="97" spans="1:10" ht="60" customHeight="1">
      <c r="A97" s="6" t="s">
        <v>376</v>
      </c>
      <c r="B97" s="6" t="s">
        <v>56</v>
      </c>
      <c r="C97" s="6" t="s">
        <v>11</v>
      </c>
      <c r="D97" s="7" t="s">
        <v>211</v>
      </c>
      <c r="E97" s="8" t="s">
        <v>377</v>
      </c>
      <c r="F97" s="6" t="s">
        <v>378</v>
      </c>
      <c r="G97" s="9">
        <f>IF(A97=1,"_",IF(C97="_","???",C97))</f>
        <v/>
      </c>
      <c r="H97" s="10" t="s">
        <v>11</v>
      </c>
      <c r="I97" s="11" t="s">
        <v>11</v>
      </c>
      <c r="J97" s="12"/>
    </row>
    <row r="98" spans="1:10" ht="60" customHeight="1">
      <c r="A98" s="6" t="s">
        <v>379</v>
      </c>
      <c r="B98" s="6" t="s">
        <v>45</v>
      </c>
      <c r="C98" s="6" t="s">
        <v>11</v>
      </c>
      <c r="D98" s="7" t="s">
        <v>142</v>
      </c>
      <c r="E98" s="8" t="s">
        <v>380</v>
      </c>
      <c r="F98" s="6" t="s">
        <v>381</v>
      </c>
      <c r="G98" s="9">
        <f>IF(A98=1,"_",IF(C98="_","???",C98))</f>
        <v/>
      </c>
      <c r="H98" s="10" t="s">
        <v>11</v>
      </c>
      <c r="I98" s="11" t="s">
        <v>11</v>
      </c>
      <c r="J98" s="12"/>
    </row>
    <row r="99" spans="1:10" ht="60" customHeight="1">
      <c r="A99" s="6" t="s">
        <v>382</v>
      </c>
      <c r="B99" s="6" t="s">
        <v>15</v>
      </c>
      <c r="C99" s="6" t="s">
        <v>11</v>
      </c>
      <c r="D99" s="7" t="s">
        <v>96</v>
      </c>
      <c r="E99" s="8" t="s">
        <v>383</v>
      </c>
      <c r="F99" s="6" t="s">
        <v>384</v>
      </c>
      <c r="G99" s="9">
        <f>IF(A99=1,"_",IF(C99="_","???",C99))</f>
        <v/>
      </c>
      <c r="H99" s="10" t="s">
        <v>11</v>
      </c>
      <c r="I99" s="11" t="s">
        <v>11</v>
      </c>
      <c r="J99" s="12"/>
    </row>
    <row r="100" spans="1:10" ht="60" customHeight="1">
      <c r="A100" s="6" t="s">
        <v>385</v>
      </c>
      <c r="B100" s="6" t="s">
        <v>21</v>
      </c>
      <c r="C100" s="6" t="s">
        <v>11</v>
      </c>
      <c r="D100" s="7" t="s">
        <v>96</v>
      </c>
      <c r="E100" s="8" t="s">
        <v>386</v>
      </c>
      <c r="F100" s="6" t="s">
        <v>387</v>
      </c>
      <c r="G100" s="9">
        <f>IF(A100=1,"_",IF(C100="_","???",C100))</f>
        <v/>
      </c>
      <c r="H100" s="10" t="s">
        <v>11</v>
      </c>
      <c r="I100" s="11" t="s">
        <v>11</v>
      </c>
      <c r="J100" s="12"/>
    </row>
    <row r="101" spans="1:10" ht="60" customHeight="1">
      <c r="A101" s="6" t="s">
        <v>388</v>
      </c>
      <c r="B101" s="6" t="s">
        <v>15</v>
      </c>
      <c r="C101" s="6" t="s">
        <v>11</v>
      </c>
      <c r="D101" s="7" t="s">
        <v>389</v>
      </c>
      <c r="E101" s="8" t="s">
        <v>390</v>
      </c>
      <c r="F101" s="6" t="s">
        <v>391</v>
      </c>
      <c r="G101" s="9">
        <f>IF(A101=1,"_",IF(C101="_","???",C101))</f>
        <v/>
      </c>
      <c r="H101" s="10" t="s">
        <v>11</v>
      </c>
      <c r="I101" s="11" t="s">
        <v>11</v>
      </c>
      <c r="J101" s="12"/>
    </row>
    <row r="102" spans="1:10" ht="60" customHeight="1">
      <c r="A102" s="6" t="s">
        <v>392</v>
      </c>
      <c r="B102" s="6" t="s">
        <v>20</v>
      </c>
      <c r="C102" s="6" t="s">
        <v>11</v>
      </c>
      <c r="D102" s="7" t="s">
        <v>393</v>
      </c>
      <c r="E102" s="8" t="s">
        <v>394</v>
      </c>
      <c r="F102" s="6" t="s">
        <v>395</v>
      </c>
      <c r="G102" s="9">
        <f>IF(A102=1,"_",IF(C102="_","???",C102))</f>
        <v/>
      </c>
      <c r="H102" s="10" t="s">
        <v>11</v>
      </c>
      <c r="I102" s="11" t="s">
        <v>11</v>
      </c>
      <c r="J102" s="12"/>
    </row>
    <row r="103" spans="1:10" ht="60" customHeight="1">
      <c r="A103" s="6" t="s">
        <v>396</v>
      </c>
      <c r="B103" s="6" t="s">
        <v>15</v>
      </c>
      <c r="C103" s="6" t="s">
        <v>11</v>
      </c>
      <c r="D103" s="7" t="s">
        <v>397</v>
      </c>
      <c r="E103" s="8" t="s">
        <v>398</v>
      </c>
      <c r="F103" s="6" t="s">
        <v>399</v>
      </c>
      <c r="G103" s="9">
        <f>IF(A103=1,"_",IF(C103="_","???",C103))</f>
        <v/>
      </c>
      <c r="H103" s="10" t="s">
        <v>11</v>
      </c>
      <c r="I103" s="11" t="s">
        <v>11</v>
      </c>
      <c r="J103" s="12"/>
    </row>
    <row r="104" spans="1:10" ht="60" customHeight="1">
      <c r="A104" s="6" t="s">
        <v>400</v>
      </c>
      <c r="B104" s="6" t="s">
        <v>20</v>
      </c>
      <c r="C104" s="6" t="s">
        <v>11</v>
      </c>
      <c r="D104" s="7" t="s">
        <v>401</v>
      </c>
      <c r="E104" s="8" t="s">
        <v>402</v>
      </c>
      <c r="F104" s="6" t="s">
        <v>403</v>
      </c>
      <c r="G104" s="9">
        <f>IF(A104=1,"_",IF(C104="_","???",C104))</f>
        <v/>
      </c>
      <c r="H104" s="10" t="s">
        <v>11</v>
      </c>
      <c r="I104" s="11" t="s">
        <v>11</v>
      </c>
      <c r="J104" s="12"/>
    </row>
    <row r="105" spans="1:10" ht="60" customHeight="1">
      <c r="A105" s="6" t="s">
        <v>404</v>
      </c>
      <c r="B105" s="6" t="s">
        <v>20</v>
      </c>
      <c r="C105" s="6" t="s">
        <v>11</v>
      </c>
      <c r="D105" s="7" t="s">
        <v>405</v>
      </c>
      <c r="E105" s="8" t="s">
        <v>406</v>
      </c>
      <c r="F105" s="6" t="s">
        <v>407</v>
      </c>
      <c r="G105" s="9">
        <f>IF(A105=1,"_",IF(C105="_","???",C105))</f>
        <v/>
      </c>
      <c r="H105" s="10" t="s">
        <v>11</v>
      </c>
      <c r="I105" s="11" t="s">
        <v>11</v>
      </c>
      <c r="J105" s="12"/>
    </row>
    <row r="106" spans="1:10" ht="60" customHeight="1">
      <c r="A106" s="6" t="s">
        <v>408</v>
      </c>
      <c r="B106" s="6" t="s">
        <v>34</v>
      </c>
      <c r="C106" s="6" t="s">
        <v>11</v>
      </c>
      <c r="D106" s="7" t="s">
        <v>230</v>
      </c>
      <c r="E106" s="8" t="s">
        <v>409</v>
      </c>
      <c r="F106" s="6" t="s">
        <v>410</v>
      </c>
      <c r="G106" s="9">
        <f>IF(A106=1,"_",IF(C106="_","???",C106))</f>
        <v/>
      </c>
      <c r="H106" s="10" t="s">
        <v>11</v>
      </c>
      <c r="I106" s="11" t="s">
        <v>11</v>
      </c>
      <c r="J106" s="12"/>
    </row>
    <row r="107" spans="1:10" ht="60" customHeight="1">
      <c r="A107" s="6" t="s">
        <v>411</v>
      </c>
      <c r="B107" s="6" t="s">
        <v>15</v>
      </c>
      <c r="C107" s="6" t="s">
        <v>11</v>
      </c>
      <c r="D107" s="7" t="s">
        <v>412</v>
      </c>
      <c r="E107" s="8" t="s">
        <v>413</v>
      </c>
      <c r="F107" s="6" t="s">
        <v>414</v>
      </c>
      <c r="G107" s="9">
        <f>IF(A107=1,"_",IF(C107="_","???",C107))</f>
        <v/>
      </c>
      <c r="H107" s="10" t="s">
        <v>11</v>
      </c>
      <c r="I107" s="11" t="s">
        <v>11</v>
      </c>
      <c r="J107" s="12"/>
    </row>
    <row r="108" spans="1:10" ht="60" customHeight="1">
      <c r="A108" s="6" t="s">
        <v>415</v>
      </c>
      <c r="B108" s="6" t="s">
        <v>10</v>
      </c>
      <c r="C108" s="6" t="s">
        <v>11</v>
      </c>
      <c r="D108" s="7" t="s">
        <v>416</v>
      </c>
      <c r="E108" s="8" t="s">
        <v>417</v>
      </c>
      <c r="F108" s="6" t="s">
        <v>418</v>
      </c>
      <c r="G108" s="9">
        <f>IF(A108=1,"_",IF(C108="_","???",C108))</f>
        <v/>
      </c>
      <c r="H108" s="10" t="s">
        <v>11</v>
      </c>
      <c r="I108" s="11" t="s">
        <v>11</v>
      </c>
      <c r="J108" s="12"/>
    </row>
    <row r="109" spans="1:10" ht="60" customHeight="1">
      <c r="A109" s="6" t="s">
        <v>419</v>
      </c>
      <c r="B109" s="6" t="s">
        <v>29</v>
      </c>
      <c r="C109" s="6" t="s">
        <v>11</v>
      </c>
      <c r="D109" s="7" t="s">
        <v>296</v>
      </c>
      <c r="E109" s="8" t="s">
        <v>420</v>
      </c>
      <c r="F109" s="6" t="s">
        <v>421</v>
      </c>
      <c r="G109" s="9">
        <f>IF(A109=1,"_",IF(C109="_","???",C109))</f>
        <v/>
      </c>
      <c r="H109" s="10" t="s">
        <v>11</v>
      </c>
      <c r="I109" s="11" t="s">
        <v>11</v>
      </c>
      <c r="J109" s="12"/>
    </row>
    <row r="110" spans="1:10" ht="60" customHeight="1">
      <c r="A110" s="6" t="s">
        <v>422</v>
      </c>
      <c r="B110" s="6" t="s">
        <v>20</v>
      </c>
      <c r="C110" s="6" t="s">
        <v>11</v>
      </c>
      <c r="D110" s="7" t="s">
        <v>423</v>
      </c>
      <c r="E110" s="8" t="s">
        <v>424</v>
      </c>
      <c r="F110" s="6" t="s">
        <v>425</v>
      </c>
      <c r="G110" s="9">
        <f>IF(A110=1,"_",IF(C110="_","???",C110))</f>
        <v/>
      </c>
      <c r="H110" s="10" t="s">
        <v>11</v>
      </c>
      <c r="I110" s="11" t="s">
        <v>11</v>
      </c>
      <c r="J110" s="12"/>
    </row>
    <row r="111" spans="1:10" ht="60" customHeight="1">
      <c r="A111" s="6" t="s">
        <v>426</v>
      </c>
      <c r="B111" s="6" t="s">
        <v>15</v>
      </c>
      <c r="C111" s="6" t="s">
        <v>11</v>
      </c>
      <c r="D111" s="7" t="s">
        <v>427</v>
      </c>
      <c r="E111" s="8" t="s">
        <v>428</v>
      </c>
      <c r="F111" s="6" t="s">
        <v>429</v>
      </c>
      <c r="G111" s="9">
        <f>IF(A111=1,"_",IF(C111="_","???",C111))</f>
        <v/>
      </c>
      <c r="H111" s="10" t="s">
        <v>11</v>
      </c>
      <c r="I111" s="11" t="s">
        <v>11</v>
      </c>
      <c r="J111" s="12"/>
    </row>
    <row r="112" spans="1:10" ht="60" customHeight="1">
      <c r="A112" s="6" t="s">
        <v>430</v>
      </c>
      <c r="B112" s="6" t="s">
        <v>10</v>
      </c>
      <c r="C112" s="6" t="s">
        <v>11</v>
      </c>
      <c r="D112" s="7" t="s">
        <v>185</v>
      </c>
      <c r="E112" s="8" t="s">
        <v>431</v>
      </c>
      <c r="F112" s="6" t="s">
        <v>432</v>
      </c>
      <c r="G112" s="9">
        <f>IF(A112=1,"_",IF(C112="_","???",C112))</f>
        <v/>
      </c>
      <c r="H112" s="10" t="s">
        <v>11</v>
      </c>
      <c r="I112" s="11" t="s">
        <v>11</v>
      </c>
      <c r="J112" s="12"/>
    </row>
    <row r="113" spans="1:10" ht="60" customHeight="1">
      <c r="A113" s="6" t="s">
        <v>433</v>
      </c>
      <c r="B113" s="6" t="s">
        <v>34</v>
      </c>
      <c r="C113" s="6" t="s">
        <v>30</v>
      </c>
      <c r="D113" s="7" t="s">
        <v>434</v>
      </c>
      <c r="E113" s="8" t="s">
        <v>435</v>
      </c>
      <c r="F113" s="6" t="s">
        <v>436</v>
      </c>
      <c r="G113" s="9">
        <f>IF(A113=1,"_",IF(C113="_","???",C113))</f>
        <v/>
      </c>
      <c r="H113" s="10" t="s">
        <v>11</v>
      </c>
      <c r="I113" s="11" t="s">
        <v>11</v>
      </c>
      <c r="J113" s="12"/>
    </row>
    <row r="114" spans="1:10" ht="60" customHeight="1">
      <c r="A114" s="6" t="s">
        <v>437</v>
      </c>
      <c r="B114" s="6" t="s">
        <v>21</v>
      </c>
      <c r="C114" s="6" t="s">
        <v>11</v>
      </c>
      <c r="D114" s="7" t="s">
        <v>163</v>
      </c>
      <c r="E114" s="8" t="s">
        <v>438</v>
      </c>
      <c r="F114" s="6" t="s">
        <v>439</v>
      </c>
      <c r="G114" s="9">
        <f>IF(A114=1,"_",IF(C114="_","???",C114))</f>
        <v/>
      </c>
      <c r="H114" s="10" t="s">
        <v>11</v>
      </c>
      <c r="I114" s="11" t="s">
        <v>11</v>
      </c>
      <c r="J114" s="12"/>
    </row>
    <row r="115" spans="1:10" ht="60" customHeight="1">
      <c r="A115" s="6" t="s">
        <v>440</v>
      </c>
      <c r="B115" s="6" t="s">
        <v>68</v>
      </c>
      <c r="C115" s="6" t="s">
        <v>11</v>
      </c>
      <c r="D115" s="7" t="s">
        <v>441</v>
      </c>
      <c r="E115" s="8" t="s">
        <v>442</v>
      </c>
      <c r="F115" s="6" t="s">
        <v>443</v>
      </c>
      <c r="G115" s="9">
        <f>IF(A115=1,"_",IF(C115="_","???",C115))</f>
        <v/>
      </c>
      <c r="H115" s="10" t="s">
        <v>11</v>
      </c>
      <c r="I115" s="11" t="s">
        <v>11</v>
      </c>
      <c r="J115" s="12"/>
    </row>
    <row r="116" spans="1:10" ht="60" customHeight="1">
      <c r="A116" s="6" t="s">
        <v>444</v>
      </c>
      <c r="B116" s="6" t="s">
        <v>15</v>
      </c>
      <c r="C116" s="6" t="s">
        <v>11</v>
      </c>
      <c r="D116" s="7" t="s">
        <v>445</v>
      </c>
      <c r="E116" s="8" t="s">
        <v>446</v>
      </c>
      <c r="F116" s="6" t="s">
        <v>447</v>
      </c>
      <c r="G116" s="9">
        <f>IF(A116=1,"_",IF(C116="_","???",C116))</f>
        <v/>
      </c>
      <c r="H116" s="10" t="s">
        <v>11</v>
      </c>
      <c r="I116" s="11" t="s">
        <v>11</v>
      </c>
      <c r="J116" s="12"/>
    </row>
    <row r="117" spans="1:10" ht="60" customHeight="1">
      <c r="A117" s="6" t="s">
        <v>448</v>
      </c>
      <c r="B117" s="6" t="s">
        <v>15</v>
      </c>
      <c r="C117" s="6" t="s">
        <v>30</v>
      </c>
      <c r="D117" s="7" t="s">
        <v>96</v>
      </c>
      <c r="E117" s="8" t="s">
        <v>449</v>
      </c>
      <c r="F117" s="6" t="s">
        <v>450</v>
      </c>
      <c r="G117" s="9">
        <f>IF(A117=1,"_",IF(C117="_","???",C117))</f>
        <v/>
      </c>
      <c r="H117" s="10" t="s">
        <v>11</v>
      </c>
      <c r="I117" s="11" t="s">
        <v>11</v>
      </c>
      <c r="J117" s="12"/>
    </row>
    <row r="118" spans="1:10" ht="60" customHeight="1">
      <c r="A118" s="6" t="s">
        <v>451</v>
      </c>
      <c r="B118" s="6" t="s">
        <v>87</v>
      </c>
      <c r="C118" s="6" t="s">
        <v>452</v>
      </c>
      <c r="D118" s="7" t="s">
        <v>453</v>
      </c>
      <c r="E118" s="8" t="s">
        <v>454</v>
      </c>
      <c r="F118" s="6" t="s">
        <v>455</v>
      </c>
      <c r="G118" s="9">
        <f>IF(A118=1,"_",IF(C118="_","???",C118))</f>
        <v/>
      </c>
      <c r="H118" s="10" t="s">
        <v>11</v>
      </c>
      <c r="I118" s="11" t="s">
        <v>11</v>
      </c>
      <c r="J118" s="12"/>
    </row>
    <row r="119" spans="1:10" ht="60" customHeight="1">
      <c r="A119" s="6" t="s">
        <v>456</v>
      </c>
      <c r="B119" s="6" t="s">
        <v>16</v>
      </c>
      <c r="C119" s="6" t="s">
        <v>11</v>
      </c>
      <c r="D119" s="7" t="s">
        <v>292</v>
      </c>
      <c r="E119" s="8" t="s">
        <v>457</v>
      </c>
      <c r="F119" s="6" t="s">
        <v>458</v>
      </c>
      <c r="G119" s="9">
        <f>IF(A119=1,"_",IF(C119="_","???",C119))</f>
        <v/>
      </c>
      <c r="H119" s="10" t="s">
        <v>11</v>
      </c>
      <c r="I119" s="11" t="s">
        <v>11</v>
      </c>
      <c r="J119" s="12"/>
    </row>
    <row r="120" spans="1:10" ht="60" customHeight="1">
      <c r="A120" s="6" t="s">
        <v>459</v>
      </c>
      <c r="B120" s="6" t="s">
        <v>15</v>
      </c>
      <c r="C120" s="6" t="s">
        <v>30</v>
      </c>
      <c r="D120" s="7" t="s">
        <v>460</v>
      </c>
      <c r="E120" s="8" t="s">
        <v>461</v>
      </c>
      <c r="F120" s="6" t="s">
        <v>462</v>
      </c>
      <c r="G120" s="9">
        <f>IF(A120=1,"_",IF(C120="_","???",C120))</f>
        <v/>
      </c>
      <c r="H120" s="10" t="s">
        <v>11</v>
      </c>
      <c r="I120" s="11" t="s">
        <v>11</v>
      </c>
      <c r="J120" s="12"/>
    </row>
    <row r="121" spans="1:10" ht="60" customHeight="1">
      <c r="A121" s="6" t="s">
        <v>463</v>
      </c>
      <c r="B121" s="6" t="s">
        <v>10</v>
      </c>
      <c r="C121" s="6" t="s">
        <v>11</v>
      </c>
      <c r="D121" s="7" t="s">
        <v>185</v>
      </c>
      <c r="E121" s="8" t="s">
        <v>464</v>
      </c>
      <c r="F121" s="6" t="s">
        <v>465</v>
      </c>
      <c r="G121" s="9">
        <f>IF(A121=1,"_",IF(C121="_","???",C121))</f>
        <v/>
      </c>
      <c r="H121" s="10" t="s">
        <v>11</v>
      </c>
      <c r="I121" s="11" t="s">
        <v>11</v>
      </c>
      <c r="J121" s="12"/>
    </row>
    <row r="122" spans="1:10" ht="60" customHeight="1">
      <c r="A122" s="6" t="s">
        <v>466</v>
      </c>
      <c r="B122" s="6" t="s">
        <v>15</v>
      </c>
      <c r="C122" s="6" t="s">
        <v>11</v>
      </c>
      <c r="D122" s="7" t="s">
        <v>467</v>
      </c>
      <c r="E122" s="8" t="s">
        <v>468</v>
      </c>
      <c r="F122" s="6" t="s">
        <v>469</v>
      </c>
      <c r="G122" s="9">
        <f>IF(A122=1,"_",IF(C122="_","???",C122))</f>
        <v/>
      </c>
      <c r="H122" s="10" t="s">
        <v>11</v>
      </c>
      <c r="I122" s="11" t="s">
        <v>11</v>
      </c>
      <c r="J122" s="12"/>
    </row>
    <row r="123" spans="1:10" ht="60" customHeight="1">
      <c r="A123" s="6" t="s">
        <v>470</v>
      </c>
      <c r="B123" s="6" t="s">
        <v>15</v>
      </c>
      <c r="C123" s="6" t="s">
        <v>11</v>
      </c>
      <c r="D123" s="7" t="s">
        <v>96</v>
      </c>
      <c r="E123" s="8" t="s">
        <v>471</v>
      </c>
      <c r="F123" s="6" t="s">
        <v>472</v>
      </c>
      <c r="G123" s="9">
        <f>IF(A123=1,"_",IF(C123="_","???",C123))</f>
        <v/>
      </c>
      <c r="H123" s="10" t="s">
        <v>11</v>
      </c>
      <c r="I123" s="11" t="s">
        <v>11</v>
      </c>
      <c r="J123" s="12"/>
    </row>
    <row r="124" spans="1:10" ht="60" customHeight="1">
      <c r="A124" s="6" t="s">
        <v>473</v>
      </c>
      <c r="B124" s="6" t="s">
        <v>15</v>
      </c>
      <c r="C124" s="6" t="s">
        <v>11</v>
      </c>
      <c r="D124" s="7" t="s">
        <v>474</v>
      </c>
      <c r="E124" s="8" t="s">
        <v>475</v>
      </c>
      <c r="F124" s="6" t="s">
        <v>476</v>
      </c>
      <c r="G124" s="9">
        <f>IF(A124=1,"_",IF(C124="_","???",C124))</f>
        <v/>
      </c>
      <c r="H124" s="10" t="s">
        <v>11</v>
      </c>
      <c r="I124" s="11" t="s">
        <v>11</v>
      </c>
      <c r="J124" s="12"/>
    </row>
    <row r="125" spans="1:10" ht="60" customHeight="1">
      <c r="A125" s="6" t="s">
        <v>477</v>
      </c>
      <c r="B125" s="6" t="s">
        <v>15</v>
      </c>
      <c r="C125" s="6" t="s">
        <v>11</v>
      </c>
      <c r="D125" s="7" t="s">
        <v>478</v>
      </c>
      <c r="E125" s="8" t="s">
        <v>479</v>
      </c>
      <c r="F125" s="6" t="s">
        <v>480</v>
      </c>
      <c r="G125" s="9">
        <f>IF(A125=1,"_",IF(C125="_","???",C125))</f>
        <v/>
      </c>
      <c r="H125" s="10" t="s">
        <v>11</v>
      </c>
      <c r="I125" s="11" t="s">
        <v>11</v>
      </c>
      <c r="J125" s="12"/>
    </row>
    <row r="126" spans="1:10" ht="60" customHeight="1">
      <c r="A126" s="6" t="s">
        <v>481</v>
      </c>
      <c r="B126" s="6" t="s">
        <v>29</v>
      </c>
      <c r="C126" s="6" t="s">
        <v>11</v>
      </c>
      <c r="D126" s="7" t="s">
        <v>130</v>
      </c>
      <c r="E126" s="8" t="s">
        <v>482</v>
      </c>
      <c r="F126" s="6" t="s">
        <v>483</v>
      </c>
      <c r="G126" s="9">
        <f>IF(A126=1,"_",IF(C126="_","???",C126))</f>
        <v/>
      </c>
      <c r="H126" s="10" t="s">
        <v>11</v>
      </c>
      <c r="I126" s="11" t="s">
        <v>11</v>
      </c>
      <c r="J126" s="12"/>
    </row>
    <row r="127" spans="1:10" ht="60" customHeight="1">
      <c r="A127" s="6" t="s">
        <v>484</v>
      </c>
      <c r="B127" s="6" t="s">
        <v>20</v>
      </c>
      <c r="C127" s="6" t="s">
        <v>11</v>
      </c>
      <c r="D127" s="7" t="s">
        <v>318</v>
      </c>
      <c r="E127" s="8" t="s">
        <v>485</v>
      </c>
      <c r="F127" s="6" t="s">
        <v>486</v>
      </c>
      <c r="G127" s="9">
        <f>IF(A127=1,"_",IF(C127="_","???",C127))</f>
        <v/>
      </c>
      <c r="H127" s="10" t="s">
        <v>11</v>
      </c>
      <c r="I127" s="11" t="s">
        <v>11</v>
      </c>
      <c r="J127" s="12"/>
    </row>
    <row r="128" spans="1:10" ht="60" customHeight="1">
      <c r="A128" s="6" t="s">
        <v>487</v>
      </c>
      <c r="B128" s="6" t="s">
        <v>20</v>
      </c>
      <c r="C128" s="6" t="s">
        <v>11</v>
      </c>
      <c r="D128" s="7" t="s">
        <v>488</v>
      </c>
      <c r="E128" s="8" t="s">
        <v>489</v>
      </c>
      <c r="F128" s="6" t="s">
        <v>490</v>
      </c>
      <c r="G128" s="9">
        <f>IF(A128=1,"_",IF(C128="_","???",C128))</f>
        <v/>
      </c>
      <c r="H128" s="10" t="s">
        <v>11</v>
      </c>
      <c r="I128" s="11" t="s">
        <v>11</v>
      </c>
      <c r="J128" s="12"/>
    </row>
    <row r="129" spans="1:10" ht="60" customHeight="1">
      <c r="A129" s="6" t="s">
        <v>491</v>
      </c>
      <c r="B129" s="6" t="s">
        <v>34</v>
      </c>
      <c r="C129" s="6" t="s">
        <v>11</v>
      </c>
      <c r="D129" s="7" t="s">
        <v>366</v>
      </c>
      <c r="E129" s="8" t="s">
        <v>492</v>
      </c>
      <c r="F129" s="6" t="s">
        <v>493</v>
      </c>
      <c r="G129" s="9">
        <f>IF(A129=1,"_",IF(C129="_","???",C129))</f>
        <v/>
      </c>
      <c r="H129" s="10" t="s">
        <v>11</v>
      </c>
      <c r="I129" s="11" t="s">
        <v>11</v>
      </c>
      <c r="J129" s="12"/>
    </row>
    <row r="130" spans="1:10" ht="60" customHeight="1">
      <c r="A130" s="6" t="s">
        <v>494</v>
      </c>
      <c r="B130" s="6" t="s">
        <v>34</v>
      </c>
      <c r="C130" s="6" t="s">
        <v>11</v>
      </c>
      <c r="D130" s="7" t="s">
        <v>495</v>
      </c>
      <c r="E130" s="8" t="s">
        <v>496</v>
      </c>
      <c r="F130" s="6" t="s">
        <v>497</v>
      </c>
      <c r="G130" s="9">
        <f>IF(A130=1,"_",IF(C130="_","???",C130))</f>
        <v/>
      </c>
      <c r="H130" s="10" t="s">
        <v>11</v>
      </c>
      <c r="I130" s="11" t="s">
        <v>11</v>
      </c>
      <c r="J130" s="12"/>
    </row>
    <row r="131" spans="1:10" ht="60" customHeight="1">
      <c r="A131" s="6" t="s">
        <v>498</v>
      </c>
      <c r="B131" s="6" t="s">
        <v>34</v>
      </c>
      <c r="C131" s="6" t="s">
        <v>11</v>
      </c>
      <c r="D131" s="7" t="s">
        <v>366</v>
      </c>
      <c r="E131" s="8" t="s">
        <v>499</v>
      </c>
      <c r="F131" s="6" t="s">
        <v>500</v>
      </c>
      <c r="G131" s="9">
        <f>IF(A131=1,"_",IF(C131="_","???",C131))</f>
        <v/>
      </c>
      <c r="H131" s="10" t="s">
        <v>11</v>
      </c>
      <c r="I131" s="11" t="s">
        <v>11</v>
      </c>
      <c r="J131" s="12"/>
    </row>
    <row r="132" spans="1:10" ht="60" customHeight="1">
      <c r="A132" s="6" t="s">
        <v>501</v>
      </c>
      <c r="B132" s="6" t="s">
        <v>34</v>
      </c>
      <c r="C132" s="6" t="s">
        <v>11</v>
      </c>
      <c r="D132" s="7" t="s">
        <v>502</v>
      </c>
      <c r="E132" s="8" t="s">
        <v>503</v>
      </c>
      <c r="F132" s="6" t="s">
        <v>504</v>
      </c>
      <c r="G132" s="9">
        <f>IF(A132=1,"_",IF(C132="_","???",C132))</f>
        <v/>
      </c>
      <c r="H132" s="10" t="s">
        <v>11</v>
      </c>
      <c r="I132" s="11" t="s">
        <v>11</v>
      </c>
      <c r="J132" s="12"/>
    </row>
    <row r="133" spans="1:10" ht="60" customHeight="1">
      <c r="A133" s="6" t="s">
        <v>505</v>
      </c>
      <c r="B133" s="6" t="s">
        <v>34</v>
      </c>
      <c r="C133" s="6" t="s">
        <v>11</v>
      </c>
      <c r="D133" s="7" t="s">
        <v>506</v>
      </c>
      <c r="E133" s="8" t="s">
        <v>507</v>
      </c>
      <c r="F133" s="6" t="s">
        <v>508</v>
      </c>
      <c r="G133" s="9">
        <f>IF(A133=1,"_",IF(C133="_","???",C133))</f>
        <v/>
      </c>
      <c r="H133" s="10" t="s">
        <v>11</v>
      </c>
      <c r="I133" s="11" t="s">
        <v>11</v>
      </c>
      <c r="J133" s="12"/>
    </row>
    <row r="134" spans="1:10" ht="60" customHeight="1">
      <c r="A134" s="6" t="s">
        <v>509</v>
      </c>
      <c r="B134" s="6" t="s">
        <v>15</v>
      </c>
      <c r="C134" s="6" t="s">
        <v>11</v>
      </c>
      <c r="D134" s="7" t="s">
        <v>163</v>
      </c>
      <c r="E134" s="8" t="s">
        <v>510</v>
      </c>
      <c r="F134" s="6" t="s">
        <v>511</v>
      </c>
      <c r="G134" s="9">
        <f>IF(A134=1,"_",IF(C134="_","???",C134))</f>
        <v/>
      </c>
      <c r="H134" s="10" t="s">
        <v>11</v>
      </c>
      <c r="I134" s="11" t="s">
        <v>11</v>
      </c>
      <c r="J134" s="12"/>
    </row>
    <row r="135" spans="1:10" ht="60" customHeight="1">
      <c r="A135" s="6" t="s">
        <v>512</v>
      </c>
      <c r="B135" s="6" t="s">
        <v>34</v>
      </c>
      <c r="C135" s="6" t="s">
        <v>11</v>
      </c>
      <c r="D135" s="7" t="s">
        <v>513</v>
      </c>
      <c r="E135" s="8" t="s">
        <v>514</v>
      </c>
      <c r="F135" s="6" t="s">
        <v>515</v>
      </c>
      <c r="G135" s="9">
        <f>IF(A135=1,"_",IF(C135="_","???",C135))</f>
        <v/>
      </c>
      <c r="H135" s="10" t="s">
        <v>11</v>
      </c>
      <c r="I135" s="11" t="s">
        <v>11</v>
      </c>
      <c r="J135" s="12"/>
    </row>
    <row r="136" spans="1:10" ht="60" customHeight="1">
      <c r="A136" s="6" t="s">
        <v>516</v>
      </c>
      <c r="B136" s="6" t="s">
        <v>63</v>
      </c>
      <c r="C136" s="6" t="s">
        <v>11</v>
      </c>
      <c r="D136" s="7" t="s">
        <v>517</v>
      </c>
      <c r="E136" s="8" t="s">
        <v>518</v>
      </c>
      <c r="F136" s="6" t="s">
        <v>519</v>
      </c>
      <c r="G136" s="9">
        <f>IF(A136=1,"_",IF(C136="_","???",C136))</f>
        <v/>
      </c>
      <c r="H136" s="10" t="s">
        <v>11</v>
      </c>
      <c r="I136" s="11" t="s">
        <v>11</v>
      </c>
      <c r="J136" s="12"/>
    </row>
    <row r="137" spans="1:10" ht="60" customHeight="1">
      <c r="A137" s="6" t="s">
        <v>520</v>
      </c>
      <c r="B137" s="6" t="s">
        <v>45</v>
      </c>
      <c r="C137" s="6" t="s">
        <v>11</v>
      </c>
      <c r="D137" s="7" t="s">
        <v>521</v>
      </c>
      <c r="E137" s="8" t="s">
        <v>522</v>
      </c>
      <c r="F137" s="6" t="s">
        <v>523</v>
      </c>
      <c r="G137" s="9">
        <f>IF(A137=1,"_",IF(C137="_","???",C137))</f>
        <v/>
      </c>
      <c r="H137" s="10" t="s">
        <v>11</v>
      </c>
      <c r="I137" s="11" t="s">
        <v>11</v>
      </c>
      <c r="J137" s="12"/>
    </row>
    <row r="138" spans="1:10" ht="60" customHeight="1">
      <c r="A138" s="6" t="s">
        <v>524</v>
      </c>
      <c r="B138" s="6" t="s">
        <v>20</v>
      </c>
      <c r="C138" s="6" t="s">
        <v>11</v>
      </c>
      <c r="D138" s="7" t="s">
        <v>525</v>
      </c>
      <c r="E138" s="8" t="s">
        <v>526</v>
      </c>
      <c r="F138" s="6" t="s">
        <v>527</v>
      </c>
      <c r="G138" s="9">
        <f>IF(A138=1,"_",IF(C138="_","???",C138))</f>
        <v/>
      </c>
      <c r="H138" s="10" t="s">
        <v>11</v>
      </c>
      <c r="I138" s="11" t="s">
        <v>11</v>
      </c>
      <c r="J138" s="12"/>
    </row>
    <row r="139" spans="1:10" ht="60" customHeight="1">
      <c r="A139" s="6" t="s">
        <v>528</v>
      </c>
      <c r="B139" s="6" t="s">
        <v>15</v>
      </c>
      <c r="C139" s="6" t="s">
        <v>11</v>
      </c>
      <c r="D139" s="7" t="s">
        <v>215</v>
      </c>
      <c r="E139" s="8" t="s">
        <v>529</v>
      </c>
      <c r="F139" s="6" t="s">
        <v>530</v>
      </c>
      <c r="G139" s="9">
        <f>IF(A139=1,"_",IF(C139="_","???",C139))</f>
        <v/>
      </c>
      <c r="H139" s="10" t="s">
        <v>11</v>
      </c>
      <c r="I139" s="11" t="s">
        <v>11</v>
      </c>
      <c r="J139" s="12"/>
    </row>
    <row r="140" spans="1:10" ht="60" customHeight="1">
      <c r="A140" s="6" t="s">
        <v>531</v>
      </c>
      <c r="B140" s="6" t="s">
        <v>15</v>
      </c>
      <c r="C140" s="6" t="s">
        <v>30</v>
      </c>
      <c r="D140" s="7" t="s">
        <v>532</v>
      </c>
      <c r="E140" s="8" t="s">
        <v>533</v>
      </c>
      <c r="F140" s="6" t="s">
        <v>534</v>
      </c>
      <c r="G140" s="9">
        <f>IF(A140=1,"_",IF(C140="_","???",C140))</f>
        <v/>
      </c>
      <c r="H140" s="10" t="s">
        <v>11</v>
      </c>
      <c r="I140" s="11" t="s">
        <v>11</v>
      </c>
      <c r="J140" s="12"/>
    </row>
    <row r="141" spans="1:10" ht="60" customHeight="1">
      <c r="A141" s="6" t="s">
        <v>535</v>
      </c>
      <c r="B141" s="6" t="s">
        <v>21</v>
      </c>
      <c r="C141" s="6" t="s">
        <v>11</v>
      </c>
      <c r="D141" s="7" t="s">
        <v>536</v>
      </c>
      <c r="E141" s="8" t="s">
        <v>537</v>
      </c>
      <c r="F141" s="6" t="s">
        <v>538</v>
      </c>
      <c r="G141" s="9">
        <f>IF(A141=1,"_",IF(C141="_","???",C141))</f>
        <v/>
      </c>
      <c r="H141" s="10" t="s">
        <v>11</v>
      </c>
      <c r="I141" s="11" t="s">
        <v>11</v>
      </c>
      <c r="J141" s="12"/>
    </row>
    <row r="142" spans="1:10" ht="60" customHeight="1">
      <c r="A142" s="6" t="s">
        <v>539</v>
      </c>
      <c r="B142" s="6" t="s">
        <v>25</v>
      </c>
      <c r="C142" s="6" t="s">
        <v>11</v>
      </c>
      <c r="D142" s="7" t="s">
        <v>540</v>
      </c>
      <c r="E142" s="8" t="s">
        <v>541</v>
      </c>
      <c r="F142" s="6" t="s">
        <v>542</v>
      </c>
      <c r="G142" s="9">
        <f>IF(A142=1,"_",IF(C142="_","???",C142))</f>
        <v/>
      </c>
      <c r="H142" s="10" t="s">
        <v>11</v>
      </c>
      <c r="I142" s="11" t="s">
        <v>11</v>
      </c>
      <c r="J142" s="12"/>
    </row>
    <row r="143" spans="1:10" ht="60" customHeight="1">
      <c r="A143" s="6" t="s">
        <v>543</v>
      </c>
      <c r="B143" s="6" t="s">
        <v>188</v>
      </c>
      <c r="C143" s="6" t="s">
        <v>11</v>
      </c>
      <c r="D143" s="7" t="s">
        <v>544</v>
      </c>
      <c r="E143" s="8" t="s">
        <v>545</v>
      </c>
      <c r="F143" s="6" t="s">
        <v>546</v>
      </c>
      <c r="G143" s="9">
        <f>IF(A143=1,"_",IF(C143="_","???",C143))</f>
        <v/>
      </c>
      <c r="H143" s="10" t="s">
        <v>11</v>
      </c>
      <c r="I143" s="11" t="s">
        <v>11</v>
      </c>
      <c r="J143" s="12"/>
    </row>
    <row r="144" spans="1:10" ht="60" customHeight="1">
      <c r="A144" s="6" t="s">
        <v>547</v>
      </c>
      <c r="B144" s="6" t="s">
        <v>21</v>
      </c>
      <c r="C144" s="6" t="s">
        <v>11</v>
      </c>
      <c r="D144" s="7" t="s">
        <v>548</v>
      </c>
      <c r="E144" s="8" t="s">
        <v>549</v>
      </c>
      <c r="F144" s="6" t="s">
        <v>550</v>
      </c>
      <c r="G144" s="9">
        <f>IF(A144=1,"_",IF(C144="_","???",C144))</f>
        <v/>
      </c>
      <c r="H144" s="10" t="s">
        <v>11</v>
      </c>
      <c r="I144" s="11" t="s">
        <v>11</v>
      </c>
      <c r="J144" s="12"/>
    </row>
    <row r="145" spans="1:10" ht="60" customHeight="1">
      <c r="A145" s="6" t="s">
        <v>551</v>
      </c>
      <c r="B145" s="6" t="s">
        <v>48</v>
      </c>
      <c r="C145" s="6" t="s">
        <v>11</v>
      </c>
      <c r="D145" s="7" t="s">
        <v>552</v>
      </c>
      <c r="E145" s="8" t="s">
        <v>553</v>
      </c>
      <c r="F145" s="6" t="s">
        <v>554</v>
      </c>
      <c r="G145" s="9">
        <f>IF(A145=1,"_",IF(C145="_","???",C145))</f>
        <v/>
      </c>
      <c r="H145" s="10" t="s">
        <v>11</v>
      </c>
      <c r="I145" s="11" t="s">
        <v>11</v>
      </c>
      <c r="J145" s="12"/>
    </row>
    <row r="146" spans="1:10" ht="60" customHeight="1">
      <c r="A146" s="6" t="s">
        <v>555</v>
      </c>
      <c r="B146" s="6" t="s">
        <v>20</v>
      </c>
      <c r="C146" s="6" t="s">
        <v>11</v>
      </c>
      <c r="D146" s="7" t="s">
        <v>556</v>
      </c>
      <c r="E146" s="8" t="s">
        <v>557</v>
      </c>
      <c r="F146" s="6" t="s">
        <v>558</v>
      </c>
      <c r="G146" s="9">
        <f>IF(A146=1,"_",IF(C146="_","???",C146))</f>
        <v/>
      </c>
      <c r="H146" s="10" t="s">
        <v>11</v>
      </c>
      <c r="I146" s="11" t="s">
        <v>11</v>
      </c>
      <c r="J146" s="12"/>
    </row>
    <row r="147" spans="1:10" ht="60" customHeight="1">
      <c r="A147" s="6" t="s">
        <v>559</v>
      </c>
      <c r="B147" s="6" t="s">
        <v>41</v>
      </c>
      <c r="C147" s="6" t="s">
        <v>11</v>
      </c>
      <c r="D147" s="7" t="s">
        <v>560</v>
      </c>
      <c r="E147" s="8" t="s">
        <v>561</v>
      </c>
      <c r="F147" s="6" t="s">
        <v>562</v>
      </c>
      <c r="G147" s="9">
        <f>IF(A147=1,"_",IF(C147="_","???",C147))</f>
        <v/>
      </c>
      <c r="H147" s="10" t="s">
        <v>11</v>
      </c>
      <c r="I147" s="11" t="s">
        <v>11</v>
      </c>
      <c r="J147" s="12"/>
    </row>
    <row r="148" spans="1:10" ht="60" customHeight="1">
      <c r="A148" s="6" t="s">
        <v>563</v>
      </c>
      <c r="B148" s="6" t="s">
        <v>25</v>
      </c>
      <c r="C148" s="6" t="s">
        <v>11</v>
      </c>
      <c r="D148" s="7" t="s">
        <v>564</v>
      </c>
      <c r="E148" s="8" t="s">
        <v>565</v>
      </c>
      <c r="F148" s="6" t="s">
        <v>566</v>
      </c>
      <c r="G148" s="9">
        <f>IF(A148=1,"_",IF(C148="_","???",C148))</f>
        <v/>
      </c>
      <c r="H148" s="10" t="s">
        <v>11</v>
      </c>
      <c r="I148" s="11" t="s">
        <v>11</v>
      </c>
      <c r="J148" s="12"/>
    </row>
    <row r="149" spans="1:10" ht="60" customHeight="1">
      <c r="A149" s="6" t="s">
        <v>567</v>
      </c>
      <c r="B149" s="6" t="s">
        <v>21</v>
      </c>
      <c r="C149" s="6" t="s">
        <v>11</v>
      </c>
      <c r="D149" s="7" t="s">
        <v>314</v>
      </c>
      <c r="E149" s="8" t="s">
        <v>568</v>
      </c>
      <c r="F149" s="6" t="s">
        <v>569</v>
      </c>
      <c r="G149" s="9">
        <f>IF(A149=1,"_",IF(C149="_","???",C149))</f>
        <v/>
      </c>
      <c r="H149" s="10" t="s">
        <v>11</v>
      </c>
      <c r="I149" s="11" t="s">
        <v>11</v>
      </c>
      <c r="J149" s="12"/>
    </row>
    <row r="150" spans="1:10" ht="60" customHeight="1">
      <c r="A150" s="6" t="s">
        <v>570</v>
      </c>
      <c r="B150" s="6" t="s">
        <v>20</v>
      </c>
      <c r="C150" s="6" t="s">
        <v>11</v>
      </c>
      <c r="D150" s="7" t="s">
        <v>571</v>
      </c>
      <c r="E150" s="8" t="s">
        <v>572</v>
      </c>
      <c r="F150" s="6" t="s">
        <v>573</v>
      </c>
      <c r="G150" s="9">
        <f>IF(A150=1,"_",IF(C150="_","???",C150))</f>
        <v/>
      </c>
      <c r="H150" s="10" t="s">
        <v>11</v>
      </c>
      <c r="I150" s="11" t="s">
        <v>11</v>
      </c>
      <c r="J150" s="12"/>
    </row>
    <row r="151" spans="1:10" ht="60" customHeight="1">
      <c r="A151" s="6" t="s">
        <v>574</v>
      </c>
      <c r="B151" s="6" t="s">
        <v>20</v>
      </c>
      <c r="C151" s="6" t="s">
        <v>11</v>
      </c>
      <c r="D151" s="7" t="s">
        <v>571</v>
      </c>
      <c r="E151" s="8" t="s">
        <v>575</v>
      </c>
      <c r="F151" s="6" t="s">
        <v>576</v>
      </c>
      <c r="G151" s="9">
        <f>IF(A151=1,"_",IF(C151="_","???",C151))</f>
        <v/>
      </c>
      <c r="H151" s="10" t="s">
        <v>11</v>
      </c>
      <c r="I151" s="11" t="s">
        <v>11</v>
      </c>
      <c r="J151" s="12"/>
    </row>
    <row r="152" spans="1:10" ht="60" customHeight="1">
      <c r="A152" s="6" t="s">
        <v>577</v>
      </c>
      <c r="B152" s="6" t="s">
        <v>15</v>
      </c>
      <c r="C152" s="6" t="s">
        <v>11</v>
      </c>
      <c r="D152" s="7" t="s">
        <v>578</v>
      </c>
      <c r="E152" s="8" t="s">
        <v>579</v>
      </c>
      <c r="F152" s="6" t="s">
        <v>580</v>
      </c>
      <c r="G152" s="9">
        <f>IF(A152=1,"_",IF(C152="_","???",C152))</f>
        <v/>
      </c>
      <c r="H152" s="10" t="s">
        <v>11</v>
      </c>
      <c r="I152" s="11" t="s">
        <v>11</v>
      </c>
      <c r="J152" s="12"/>
    </row>
    <row r="153" spans="1:10" ht="60" customHeight="1">
      <c r="A153" s="6" t="s">
        <v>581</v>
      </c>
      <c r="B153" s="6" t="s">
        <v>15</v>
      </c>
      <c r="C153" s="6" t="s">
        <v>11</v>
      </c>
      <c r="D153" s="7" t="s">
        <v>488</v>
      </c>
      <c r="E153" s="8" t="s">
        <v>582</v>
      </c>
      <c r="F153" s="6" t="s">
        <v>583</v>
      </c>
      <c r="G153" s="9">
        <f>IF(A153=1,"_",IF(C153="_","???",C153))</f>
        <v/>
      </c>
      <c r="H153" s="10" t="s">
        <v>11</v>
      </c>
      <c r="I153" s="11" t="s">
        <v>11</v>
      </c>
      <c r="J153" s="12"/>
    </row>
    <row r="154" spans="1:10" ht="60" customHeight="1">
      <c r="A154" s="6" t="s">
        <v>584</v>
      </c>
      <c r="B154" s="6" t="s">
        <v>15</v>
      </c>
      <c r="C154" s="6" t="s">
        <v>11</v>
      </c>
      <c r="D154" s="7" t="s">
        <v>134</v>
      </c>
      <c r="E154" s="8" t="s">
        <v>585</v>
      </c>
      <c r="F154" s="6" t="s">
        <v>586</v>
      </c>
      <c r="G154" s="9">
        <f>IF(A154=1,"_",IF(C154="_","???",C154))</f>
        <v/>
      </c>
      <c r="H154" s="10" t="s">
        <v>11</v>
      </c>
      <c r="I154" s="11" t="s">
        <v>11</v>
      </c>
      <c r="J154" s="12"/>
    </row>
    <row r="155" spans="1:10" ht="60" customHeight="1">
      <c r="A155" s="6" t="s">
        <v>587</v>
      </c>
      <c r="B155" s="6" t="s">
        <v>25</v>
      </c>
      <c r="C155" s="6" t="s">
        <v>11</v>
      </c>
      <c r="D155" s="7" t="s">
        <v>588</v>
      </c>
      <c r="E155" s="8" t="s">
        <v>589</v>
      </c>
      <c r="F155" s="6" t="s">
        <v>590</v>
      </c>
      <c r="G155" s="9">
        <f>IF(A155=1,"_",IF(C155="_","???",C155))</f>
        <v/>
      </c>
      <c r="H155" s="10" t="s">
        <v>11</v>
      </c>
      <c r="I155" s="11" t="s">
        <v>11</v>
      </c>
      <c r="J155" s="12"/>
    </row>
    <row r="156" spans="1:10" ht="60" customHeight="1">
      <c r="A156" s="6" t="s">
        <v>591</v>
      </c>
      <c r="B156" s="6" t="s">
        <v>34</v>
      </c>
      <c r="C156" s="6" t="s">
        <v>11</v>
      </c>
      <c r="D156" s="7" t="s">
        <v>592</v>
      </c>
      <c r="E156" s="8" t="s">
        <v>593</v>
      </c>
      <c r="F156" s="6" t="s">
        <v>594</v>
      </c>
      <c r="G156" s="9">
        <f>IF(A156=1,"_",IF(C156="_","???",C156))</f>
        <v/>
      </c>
      <c r="H156" s="10" t="s">
        <v>11</v>
      </c>
      <c r="I156" s="11" t="s">
        <v>11</v>
      </c>
      <c r="J156" s="12"/>
    </row>
    <row r="157" spans="1:10" ht="60" customHeight="1">
      <c r="A157" s="6" t="s">
        <v>595</v>
      </c>
      <c r="B157" s="6" t="s">
        <v>15</v>
      </c>
      <c r="C157" s="6" t="s">
        <v>11</v>
      </c>
      <c r="D157" s="7" t="s">
        <v>596</v>
      </c>
      <c r="E157" s="8" t="s">
        <v>597</v>
      </c>
      <c r="F157" s="6" t="s">
        <v>598</v>
      </c>
      <c r="G157" s="9">
        <f>IF(A157=1,"_",IF(C157="_","???",C157))</f>
        <v/>
      </c>
      <c r="H157" s="10" t="s">
        <v>11</v>
      </c>
      <c r="I157" s="11" t="s">
        <v>11</v>
      </c>
      <c r="J157" s="12"/>
    </row>
    <row r="158" spans="1:10" ht="60" customHeight="1">
      <c r="A158" s="6" t="s">
        <v>599</v>
      </c>
      <c r="B158" s="6" t="s">
        <v>21</v>
      </c>
      <c r="C158" s="6" t="s">
        <v>11</v>
      </c>
      <c r="D158" s="7" t="s">
        <v>134</v>
      </c>
      <c r="E158" s="8" t="s">
        <v>600</v>
      </c>
      <c r="F158" s="6" t="s">
        <v>601</v>
      </c>
      <c r="G158" s="9">
        <f>IF(A158=1,"_",IF(C158="_","???",C158))</f>
        <v/>
      </c>
      <c r="H158" s="10" t="s">
        <v>11</v>
      </c>
      <c r="I158" s="11" t="s">
        <v>11</v>
      </c>
      <c r="J158" s="12"/>
    </row>
    <row r="159" spans="1:10" ht="60" customHeight="1">
      <c r="A159" s="6" t="s">
        <v>602</v>
      </c>
      <c r="B159" s="6" t="s">
        <v>10</v>
      </c>
      <c r="C159" s="6" t="s">
        <v>11</v>
      </c>
      <c r="D159" s="7" t="s">
        <v>185</v>
      </c>
      <c r="E159" s="8" t="s">
        <v>603</v>
      </c>
      <c r="F159" s="6" t="s">
        <v>604</v>
      </c>
      <c r="G159" s="9">
        <f>IF(A159=1,"_",IF(C159="_","???",C159))</f>
        <v/>
      </c>
      <c r="H159" s="10" t="s">
        <v>11</v>
      </c>
      <c r="I159" s="11" t="s">
        <v>11</v>
      </c>
      <c r="J159" s="12"/>
    </row>
    <row r="160" spans="1:10" ht="60" customHeight="1">
      <c r="A160" s="6" t="s">
        <v>605</v>
      </c>
      <c r="B160" s="6" t="s">
        <v>15</v>
      </c>
      <c r="C160" s="6" t="s">
        <v>11</v>
      </c>
      <c r="D160" s="7" t="s">
        <v>606</v>
      </c>
      <c r="E160" s="8" t="s">
        <v>607</v>
      </c>
      <c r="F160" s="6" t="s">
        <v>608</v>
      </c>
      <c r="G160" s="9">
        <f>IF(A160=1,"_",IF(C160="_","???",C160))</f>
        <v/>
      </c>
      <c r="H160" s="10" t="s">
        <v>11</v>
      </c>
      <c r="I160" s="11" t="s">
        <v>11</v>
      </c>
      <c r="J160" s="12"/>
    </row>
    <row r="161" spans="1:10" ht="60" customHeight="1">
      <c r="A161" s="6" t="s">
        <v>609</v>
      </c>
      <c r="B161" s="6" t="s">
        <v>56</v>
      </c>
      <c r="C161" s="6" t="s">
        <v>11</v>
      </c>
      <c r="D161" s="7" t="s">
        <v>610</v>
      </c>
      <c r="E161" s="8" t="s">
        <v>611</v>
      </c>
      <c r="F161" s="6" t="s">
        <v>612</v>
      </c>
      <c r="G161" s="9">
        <f>IF(A161=1,"_",IF(C161="_","???",C161))</f>
        <v/>
      </c>
      <c r="H161" s="10" t="s">
        <v>11</v>
      </c>
      <c r="I161" s="11" t="s">
        <v>11</v>
      </c>
      <c r="J161" s="12"/>
    </row>
    <row r="162" spans="1:10" ht="60" customHeight="1">
      <c r="A162" s="6" t="s">
        <v>613</v>
      </c>
      <c r="B162" s="6" t="s">
        <v>25</v>
      </c>
      <c r="C162" s="6" t="s">
        <v>11</v>
      </c>
      <c r="D162" s="7" t="s">
        <v>614</v>
      </c>
      <c r="E162" s="8" t="s">
        <v>615</v>
      </c>
      <c r="F162" s="6" t="s">
        <v>616</v>
      </c>
      <c r="G162" s="9">
        <f>IF(A162=1,"_",IF(C162="_","???",C162))</f>
        <v/>
      </c>
      <c r="H162" s="10" t="s">
        <v>11</v>
      </c>
      <c r="I162" s="11" t="s">
        <v>11</v>
      </c>
      <c r="J162" s="12"/>
    </row>
    <row r="163" spans="1:10" ht="60" customHeight="1">
      <c r="A163" s="6" t="s">
        <v>617</v>
      </c>
      <c r="B163" s="6" t="s">
        <v>68</v>
      </c>
      <c r="C163" s="6" t="s">
        <v>11</v>
      </c>
      <c r="D163" s="7" t="s">
        <v>618</v>
      </c>
      <c r="E163" s="8" t="s">
        <v>619</v>
      </c>
      <c r="F163" s="6" t="s">
        <v>620</v>
      </c>
      <c r="G163" s="9">
        <f>IF(A163=1,"_",IF(C163="_","???",C163))</f>
        <v/>
      </c>
      <c r="H163" s="10" t="s">
        <v>11</v>
      </c>
      <c r="I163" s="11" t="s">
        <v>11</v>
      </c>
      <c r="J163" s="12"/>
    </row>
    <row r="164" spans="1:10" ht="60" customHeight="1">
      <c r="A164" s="6" t="s">
        <v>621</v>
      </c>
      <c r="B164" s="6" t="s">
        <v>15</v>
      </c>
      <c r="C164" s="6" t="s">
        <v>11</v>
      </c>
      <c r="D164" s="7" t="s">
        <v>207</v>
      </c>
      <c r="E164" s="8" t="s">
        <v>622</v>
      </c>
      <c r="F164" s="6" t="s">
        <v>623</v>
      </c>
      <c r="G164" s="9">
        <f>IF(A164=1,"_",IF(C164="_","???",C164))</f>
        <v/>
      </c>
      <c r="H164" s="10" t="s">
        <v>11</v>
      </c>
      <c r="I164" s="11" t="s">
        <v>11</v>
      </c>
      <c r="J164" s="12"/>
    </row>
    <row r="165" spans="1:10" ht="60" customHeight="1">
      <c r="A165" s="6" t="s">
        <v>624</v>
      </c>
      <c r="B165" s="6" t="s">
        <v>25</v>
      </c>
      <c r="C165" s="6" t="s">
        <v>30</v>
      </c>
      <c r="D165" s="7" t="s">
        <v>625</v>
      </c>
      <c r="E165" s="8" t="s">
        <v>626</v>
      </c>
      <c r="F165" s="6" t="s">
        <v>627</v>
      </c>
      <c r="G165" s="9">
        <f>IF(A165=1,"_",IF(C165="_","???",C165))</f>
        <v/>
      </c>
      <c r="H165" s="10" t="s">
        <v>11</v>
      </c>
      <c r="I165" s="11" t="s">
        <v>11</v>
      </c>
      <c r="J165" s="12"/>
    </row>
    <row r="166" spans="1:10" ht="60" customHeight="1">
      <c r="A166" s="6" t="s">
        <v>628</v>
      </c>
      <c r="B166" s="6" t="s">
        <v>10</v>
      </c>
      <c r="C166" s="6" t="s">
        <v>11</v>
      </c>
      <c r="D166" s="7" t="s">
        <v>185</v>
      </c>
      <c r="E166" s="8" t="s">
        <v>629</v>
      </c>
      <c r="F166" s="6" t="s">
        <v>630</v>
      </c>
      <c r="G166" s="9">
        <f>IF(A166=1,"_",IF(C166="_","???",C166))</f>
        <v/>
      </c>
      <c r="H166" s="10" t="s">
        <v>11</v>
      </c>
      <c r="I166" s="11" t="s">
        <v>11</v>
      </c>
      <c r="J166" s="12"/>
    </row>
    <row r="167" spans="1:10" ht="60" customHeight="1">
      <c r="A167" s="6" t="s">
        <v>631</v>
      </c>
      <c r="B167" s="6" t="s">
        <v>20</v>
      </c>
      <c r="C167" s="6" t="s">
        <v>11</v>
      </c>
      <c r="D167" s="7" t="s">
        <v>632</v>
      </c>
      <c r="E167" s="8" t="s">
        <v>633</v>
      </c>
      <c r="F167" s="6" t="s">
        <v>634</v>
      </c>
      <c r="G167" s="9">
        <f>IF(A167=1,"_",IF(C167="_","???",C167))</f>
        <v/>
      </c>
      <c r="H167" s="10" t="s">
        <v>11</v>
      </c>
      <c r="I167" s="11" t="s">
        <v>11</v>
      </c>
      <c r="J167" s="12"/>
    </row>
    <row r="168" spans="1:10" ht="60" customHeight="1">
      <c r="A168" s="6" t="s">
        <v>635</v>
      </c>
      <c r="B168" s="6" t="s">
        <v>52</v>
      </c>
      <c r="C168" s="6" t="s">
        <v>11</v>
      </c>
      <c r="D168" s="7" t="s">
        <v>636</v>
      </c>
      <c r="E168" s="8" t="s">
        <v>637</v>
      </c>
      <c r="F168" s="6" t="s">
        <v>638</v>
      </c>
      <c r="G168" s="9">
        <f>IF(A168=1,"_",IF(C168="_","???",C168))</f>
        <v/>
      </c>
      <c r="H168" s="10" t="s">
        <v>11</v>
      </c>
      <c r="I168" s="11" t="s">
        <v>11</v>
      </c>
      <c r="J168" s="12"/>
    </row>
    <row r="169" spans="1:10" ht="60" customHeight="1">
      <c r="A169" s="6" t="s">
        <v>639</v>
      </c>
      <c r="B169" s="6" t="s">
        <v>25</v>
      </c>
      <c r="C169" s="6" t="s">
        <v>11</v>
      </c>
      <c r="D169" s="7" t="s">
        <v>257</v>
      </c>
      <c r="E169" s="8" t="s">
        <v>640</v>
      </c>
      <c r="F169" s="6" t="s">
        <v>641</v>
      </c>
      <c r="G169" s="9">
        <f>IF(A169=1,"_",IF(C169="_","???",C169))</f>
        <v/>
      </c>
      <c r="H169" s="10" t="s">
        <v>11</v>
      </c>
      <c r="I169" s="11" t="s">
        <v>11</v>
      </c>
      <c r="J169" s="12"/>
    </row>
    <row r="170" spans="1:10" ht="60" customHeight="1">
      <c r="A170" s="6" t="s">
        <v>642</v>
      </c>
      <c r="B170" s="6" t="s">
        <v>15</v>
      </c>
      <c r="C170" s="6" t="s">
        <v>11</v>
      </c>
      <c r="D170" s="7" t="s">
        <v>215</v>
      </c>
      <c r="E170" s="8" t="s">
        <v>643</v>
      </c>
      <c r="F170" s="6" t="s">
        <v>644</v>
      </c>
      <c r="G170" s="9">
        <f>IF(A170=1,"_",IF(C170="_","???",C170))</f>
        <v/>
      </c>
      <c r="H170" s="10" t="s">
        <v>11</v>
      </c>
      <c r="I170" s="11" t="s">
        <v>11</v>
      </c>
      <c r="J170" s="12"/>
    </row>
    <row r="171" spans="1:10" ht="60" customHeight="1">
      <c r="A171" s="6" t="s">
        <v>645</v>
      </c>
      <c r="B171" s="6" t="s">
        <v>15</v>
      </c>
      <c r="C171" s="6" t="s">
        <v>11</v>
      </c>
      <c r="D171" s="7" t="s">
        <v>211</v>
      </c>
      <c r="E171" s="8" t="s">
        <v>646</v>
      </c>
      <c r="F171" s="6" t="s">
        <v>647</v>
      </c>
      <c r="G171" s="9">
        <f>IF(A171=1,"_",IF(C171="_","???",C171))</f>
        <v/>
      </c>
      <c r="H171" s="10" t="s">
        <v>11</v>
      </c>
      <c r="I171" s="11" t="s">
        <v>11</v>
      </c>
      <c r="J171" s="12"/>
    </row>
    <row r="172" spans="1:10" ht="60" customHeight="1">
      <c r="A172" s="6" t="s">
        <v>648</v>
      </c>
      <c r="B172" s="6" t="s">
        <v>15</v>
      </c>
      <c r="C172" s="6" t="s">
        <v>11</v>
      </c>
      <c r="D172" s="7" t="s">
        <v>96</v>
      </c>
      <c r="E172" s="8" t="s">
        <v>649</v>
      </c>
      <c r="F172" s="6" t="s">
        <v>650</v>
      </c>
      <c r="G172" s="9">
        <f>IF(A172=1,"_",IF(C172="_","???",C172))</f>
        <v/>
      </c>
      <c r="H172" s="10" t="s">
        <v>11</v>
      </c>
      <c r="I172" s="11" t="s">
        <v>11</v>
      </c>
      <c r="J172" s="12"/>
    </row>
    <row r="173" spans="1:10" ht="60" customHeight="1">
      <c r="A173" s="6" t="s">
        <v>651</v>
      </c>
      <c r="B173" s="6" t="s">
        <v>15</v>
      </c>
      <c r="C173" s="6" t="s">
        <v>11</v>
      </c>
      <c r="D173" s="7" t="s">
        <v>96</v>
      </c>
      <c r="E173" s="8" t="s">
        <v>652</v>
      </c>
      <c r="F173" s="6" t="s">
        <v>653</v>
      </c>
      <c r="G173" s="9">
        <f>IF(A173=1,"_",IF(C173="_","???",C173))</f>
        <v/>
      </c>
      <c r="H173" s="10" t="s">
        <v>11</v>
      </c>
      <c r="I173" s="11" t="s">
        <v>11</v>
      </c>
      <c r="J173" s="12"/>
    </row>
    <row r="174" spans="1:10" ht="60" customHeight="1">
      <c r="A174" s="6" t="s">
        <v>654</v>
      </c>
      <c r="B174" s="6" t="s">
        <v>20</v>
      </c>
      <c r="C174" s="6" t="s">
        <v>11</v>
      </c>
      <c r="D174" s="7" t="s">
        <v>134</v>
      </c>
      <c r="E174" s="8" t="s">
        <v>655</v>
      </c>
      <c r="F174" s="6" t="s">
        <v>656</v>
      </c>
      <c r="G174" s="9">
        <f>IF(A174=1,"_",IF(C174="_","???",C174))</f>
        <v/>
      </c>
      <c r="H174" s="10" t="s">
        <v>11</v>
      </c>
      <c r="I174" s="11" t="s">
        <v>11</v>
      </c>
      <c r="J174" s="12"/>
    </row>
    <row r="175" spans="1:10" ht="60" customHeight="1">
      <c r="A175" s="6" t="s">
        <v>657</v>
      </c>
      <c r="B175" s="6" t="s">
        <v>15</v>
      </c>
      <c r="C175" s="6" t="s">
        <v>11</v>
      </c>
      <c r="D175" s="7" t="s">
        <v>658</v>
      </c>
      <c r="E175" s="8" t="s">
        <v>659</v>
      </c>
      <c r="F175" s="6" t="s">
        <v>660</v>
      </c>
      <c r="G175" s="9">
        <f>IF(A175=1,"_",IF(C175="_","???",C175))</f>
        <v/>
      </c>
      <c r="H175" s="10" t="s">
        <v>11</v>
      </c>
      <c r="I175" s="11" t="s">
        <v>11</v>
      </c>
      <c r="J175" s="12"/>
    </row>
    <row r="176" spans="1:10" ht="60" customHeight="1">
      <c r="A176" s="6" t="s">
        <v>661</v>
      </c>
      <c r="B176" s="6" t="s">
        <v>15</v>
      </c>
      <c r="C176" s="6" t="s">
        <v>11</v>
      </c>
      <c r="D176" s="7" t="s">
        <v>662</v>
      </c>
      <c r="E176" s="8" t="s">
        <v>663</v>
      </c>
      <c r="F176" s="6" t="s">
        <v>664</v>
      </c>
      <c r="G176" s="9">
        <f>IF(A176=1,"_",IF(C176="_","???",C176))</f>
        <v/>
      </c>
      <c r="H176" s="10" t="s">
        <v>11</v>
      </c>
      <c r="I176" s="11" t="s">
        <v>11</v>
      </c>
      <c r="J176" s="12"/>
    </row>
    <row r="177" spans="1:10" ht="60" customHeight="1">
      <c r="A177" s="6" t="s">
        <v>665</v>
      </c>
      <c r="B177" s="6" t="s">
        <v>145</v>
      </c>
      <c r="C177" s="6" t="s">
        <v>11</v>
      </c>
      <c r="D177" s="7" t="s">
        <v>666</v>
      </c>
      <c r="E177" s="8" t="s">
        <v>667</v>
      </c>
      <c r="F177" s="6" t="s">
        <v>668</v>
      </c>
      <c r="G177" s="9">
        <f>IF(A177=1,"_",IF(C177="_","???",C177))</f>
        <v/>
      </c>
      <c r="H177" s="10" t="s">
        <v>11</v>
      </c>
      <c r="I177" s="11" t="s">
        <v>11</v>
      </c>
      <c r="J177" s="12"/>
    </row>
    <row r="178" spans="1:10" ht="60" customHeight="1">
      <c r="A178" s="6" t="s">
        <v>669</v>
      </c>
      <c r="B178" s="6" t="s">
        <v>15</v>
      </c>
      <c r="C178" s="6" t="s">
        <v>11</v>
      </c>
      <c r="D178" s="7" t="s">
        <v>670</v>
      </c>
      <c r="E178" s="8" t="s">
        <v>671</v>
      </c>
      <c r="F178" s="6" t="s">
        <v>672</v>
      </c>
      <c r="G178" s="9">
        <f>IF(A178=1,"_",IF(C178="_","???",C178))</f>
        <v/>
      </c>
      <c r="H178" s="10" t="s">
        <v>11</v>
      </c>
      <c r="I178" s="11" t="s">
        <v>11</v>
      </c>
      <c r="J178" s="12"/>
    </row>
    <row r="179" spans="1:10" ht="60" customHeight="1">
      <c r="A179" s="6" t="s">
        <v>673</v>
      </c>
      <c r="B179" s="6" t="s">
        <v>25</v>
      </c>
      <c r="C179" s="6" t="s">
        <v>11</v>
      </c>
      <c r="D179" s="7" t="s">
        <v>292</v>
      </c>
      <c r="E179" s="8" t="s">
        <v>674</v>
      </c>
      <c r="F179" s="6" t="s">
        <v>675</v>
      </c>
      <c r="G179" s="9">
        <f>IF(A179=1,"_",IF(C179="_","???",C179))</f>
        <v/>
      </c>
      <c r="H179" s="10" t="s">
        <v>11</v>
      </c>
      <c r="I179" s="11" t="s">
        <v>11</v>
      </c>
      <c r="J179" s="12"/>
    </row>
    <row r="180" spans="1:10" ht="60" customHeight="1">
      <c r="A180" s="6" t="s">
        <v>676</v>
      </c>
      <c r="B180" s="6" t="s">
        <v>10</v>
      </c>
      <c r="C180" s="6" t="s">
        <v>11</v>
      </c>
      <c r="D180" s="7" t="s">
        <v>185</v>
      </c>
      <c r="E180" s="8" t="s">
        <v>677</v>
      </c>
      <c r="F180" s="6" t="s">
        <v>678</v>
      </c>
      <c r="G180" s="9">
        <f>IF(A180=1,"_",IF(C180="_","???",C180))</f>
        <v/>
      </c>
      <c r="H180" s="10" t="s">
        <v>11</v>
      </c>
      <c r="I180" s="11" t="s">
        <v>11</v>
      </c>
      <c r="J180" s="12"/>
    </row>
    <row r="181" spans="1:10" ht="60" customHeight="1">
      <c r="A181" s="6" t="s">
        <v>679</v>
      </c>
      <c r="B181" s="6" t="s">
        <v>10</v>
      </c>
      <c r="C181" s="6" t="s">
        <v>11</v>
      </c>
      <c r="D181" s="7" t="s">
        <v>680</v>
      </c>
      <c r="E181" s="8" t="s">
        <v>681</v>
      </c>
      <c r="F181" s="6" t="s">
        <v>682</v>
      </c>
      <c r="G181" s="9">
        <f>IF(A181=1,"_",IF(C181="_","???",C181))</f>
        <v/>
      </c>
      <c r="H181" s="10" t="s">
        <v>11</v>
      </c>
      <c r="I181" s="11" t="s">
        <v>11</v>
      </c>
      <c r="J181" s="12"/>
    </row>
    <row r="182" spans="1:10" ht="60" customHeight="1">
      <c r="A182" s="6" t="s">
        <v>683</v>
      </c>
      <c r="B182" s="6" t="s">
        <v>15</v>
      </c>
      <c r="C182" s="6" t="s">
        <v>11</v>
      </c>
      <c r="D182" s="7" t="s">
        <v>684</v>
      </c>
      <c r="E182" s="8" t="s">
        <v>685</v>
      </c>
      <c r="F182" s="6" t="s">
        <v>686</v>
      </c>
      <c r="G182" s="9">
        <f>IF(A182=1,"_",IF(C182="_","???",C182))</f>
        <v/>
      </c>
      <c r="H182" s="10" t="s">
        <v>11</v>
      </c>
      <c r="I182" s="11" t="s">
        <v>11</v>
      </c>
      <c r="J182" s="12"/>
    </row>
    <row r="183" spans="1:10" ht="60" customHeight="1">
      <c r="A183" s="6" t="s">
        <v>687</v>
      </c>
      <c r="B183" s="6" t="s">
        <v>15</v>
      </c>
      <c r="C183" s="6" t="s">
        <v>11</v>
      </c>
      <c r="D183" s="7" t="s">
        <v>688</v>
      </c>
      <c r="E183" s="8" t="s">
        <v>689</v>
      </c>
      <c r="F183" s="6" t="s">
        <v>690</v>
      </c>
      <c r="G183" s="9">
        <f>IF(A183=1,"_",IF(C183="_","???",C183))</f>
        <v/>
      </c>
      <c r="H183" s="10" t="s">
        <v>11</v>
      </c>
      <c r="I183" s="11" t="s">
        <v>11</v>
      </c>
      <c r="J183" s="12"/>
    </row>
    <row r="184" spans="1:10" ht="60" customHeight="1">
      <c r="A184" s="6" t="s">
        <v>691</v>
      </c>
      <c r="B184" s="6" t="s">
        <v>20</v>
      </c>
      <c r="C184" s="6" t="s">
        <v>11</v>
      </c>
      <c r="D184" s="7" t="s">
        <v>692</v>
      </c>
      <c r="E184" s="8" t="s">
        <v>693</v>
      </c>
      <c r="F184" s="6" t="s">
        <v>694</v>
      </c>
      <c r="G184" s="9">
        <f>IF(A184=1,"_",IF(C184="_","???",C184))</f>
        <v/>
      </c>
      <c r="H184" s="10" t="s">
        <v>11</v>
      </c>
      <c r="I184" s="11" t="s">
        <v>11</v>
      </c>
      <c r="J184" s="12"/>
    </row>
    <row r="185" spans="1:10" ht="60" customHeight="1">
      <c r="A185" s="6" t="s">
        <v>695</v>
      </c>
      <c r="B185" s="6" t="s">
        <v>48</v>
      </c>
      <c r="C185" s="6" t="s">
        <v>11</v>
      </c>
      <c r="D185" s="7" t="s">
        <v>696</v>
      </c>
      <c r="E185" s="8" t="s">
        <v>697</v>
      </c>
      <c r="F185" s="6" t="s">
        <v>698</v>
      </c>
      <c r="G185" s="9">
        <f>IF(A185=1,"_",IF(C185="_","???",C185))</f>
        <v/>
      </c>
      <c r="H185" s="10" t="s">
        <v>11</v>
      </c>
      <c r="I185" s="11" t="s">
        <v>11</v>
      </c>
      <c r="J185" s="12"/>
    </row>
    <row r="186" spans="1:10" ht="60" customHeight="1">
      <c r="A186" s="6" t="s">
        <v>699</v>
      </c>
      <c r="B186" s="6" t="s">
        <v>105</v>
      </c>
      <c r="C186" s="6" t="s">
        <v>11</v>
      </c>
      <c r="D186" s="7" t="s">
        <v>700</v>
      </c>
      <c r="E186" s="8" t="s">
        <v>701</v>
      </c>
      <c r="F186" s="6" t="s">
        <v>702</v>
      </c>
      <c r="G186" s="9">
        <f>IF(A186=1,"_",IF(C186="_","???",C186))</f>
        <v/>
      </c>
      <c r="H186" s="10" t="s">
        <v>11</v>
      </c>
      <c r="I186" s="11" t="s">
        <v>11</v>
      </c>
      <c r="J186" s="12"/>
    </row>
    <row r="187" spans="1:10" ht="60" customHeight="1">
      <c r="A187" s="6" t="s">
        <v>703</v>
      </c>
      <c r="B187" s="6" t="s">
        <v>48</v>
      </c>
      <c r="C187" s="6" t="s">
        <v>11</v>
      </c>
      <c r="D187" s="7" t="s">
        <v>704</v>
      </c>
      <c r="E187" s="8" t="s">
        <v>705</v>
      </c>
      <c r="F187" s="6" t="s">
        <v>706</v>
      </c>
      <c r="G187" s="9">
        <f>IF(A187=1,"_",IF(C187="_","???",C187))</f>
        <v/>
      </c>
      <c r="H187" s="10" t="s">
        <v>11</v>
      </c>
      <c r="I187" s="11" t="s">
        <v>11</v>
      </c>
      <c r="J187" s="12"/>
    </row>
    <row r="188" spans="1:10" ht="60" customHeight="1">
      <c r="A188" s="6" t="s">
        <v>707</v>
      </c>
      <c r="B188" s="6" t="s">
        <v>68</v>
      </c>
      <c r="C188" s="6" t="s">
        <v>11</v>
      </c>
      <c r="D188" s="7" t="s">
        <v>708</v>
      </c>
      <c r="E188" s="8" t="s">
        <v>709</v>
      </c>
      <c r="F188" s="6" t="s">
        <v>710</v>
      </c>
      <c r="G188" s="9">
        <f>IF(A188=1,"_",IF(C188="_","???",C188))</f>
        <v/>
      </c>
      <c r="H188" s="10" t="s">
        <v>11</v>
      </c>
      <c r="I188" s="11" t="s">
        <v>11</v>
      </c>
      <c r="J188" s="12"/>
    </row>
    <row r="189" spans="1:10" ht="60" customHeight="1">
      <c r="A189" s="6" t="s">
        <v>711</v>
      </c>
      <c r="B189" s="6" t="s">
        <v>41</v>
      </c>
      <c r="C189" s="6" t="s">
        <v>11</v>
      </c>
      <c r="D189" s="7" t="s">
        <v>712</v>
      </c>
      <c r="E189" s="8" t="s">
        <v>713</v>
      </c>
      <c r="F189" s="6" t="s">
        <v>714</v>
      </c>
      <c r="G189" s="9">
        <f>IF(A189=1,"_",IF(C189="_","???",C189))</f>
        <v/>
      </c>
      <c r="H189" s="10" t="s">
        <v>11</v>
      </c>
      <c r="I189" s="11" t="s">
        <v>11</v>
      </c>
      <c r="J189" s="12"/>
    </row>
    <row r="190" spans="1:10" ht="60" customHeight="1">
      <c r="A190" s="6" t="s">
        <v>715</v>
      </c>
      <c r="B190" s="6" t="s">
        <v>15</v>
      </c>
      <c r="C190" s="6" t="s">
        <v>11</v>
      </c>
      <c r="D190" s="7" t="s">
        <v>716</v>
      </c>
      <c r="E190" s="8" t="s">
        <v>717</v>
      </c>
      <c r="F190" s="6" t="s">
        <v>718</v>
      </c>
      <c r="G190" s="9">
        <f>IF(A190=1,"_",IF(C190="_","???",C190))</f>
        <v/>
      </c>
      <c r="H190" s="10" t="s">
        <v>11</v>
      </c>
      <c r="I190" s="11" t="s">
        <v>11</v>
      </c>
      <c r="J190" s="12"/>
    </row>
    <row r="191" spans="1:10" ht="60" customHeight="1">
      <c r="A191" s="6" t="s">
        <v>719</v>
      </c>
      <c r="B191" s="6" t="s">
        <v>68</v>
      </c>
      <c r="C191" s="6" t="s">
        <v>11</v>
      </c>
      <c r="D191" s="7" t="s">
        <v>720</v>
      </c>
      <c r="E191" s="8" t="s">
        <v>721</v>
      </c>
      <c r="F191" s="6" t="s">
        <v>722</v>
      </c>
      <c r="G191" s="9">
        <f>IF(A191=1,"_",IF(C191="_","???",C191))</f>
        <v/>
      </c>
      <c r="H191" s="10" t="s">
        <v>11</v>
      </c>
      <c r="I191" s="11" t="s">
        <v>11</v>
      </c>
      <c r="J191" s="12"/>
    </row>
    <row r="192" spans="1:10" ht="60" customHeight="1">
      <c r="A192" s="6" t="s">
        <v>723</v>
      </c>
      <c r="B192" s="6" t="s">
        <v>41</v>
      </c>
      <c r="C192" s="6" t="s">
        <v>11</v>
      </c>
      <c r="D192" s="7" t="s">
        <v>724</v>
      </c>
      <c r="E192" s="8" t="s">
        <v>725</v>
      </c>
      <c r="F192" s="6" t="s">
        <v>726</v>
      </c>
      <c r="G192" s="9">
        <f>IF(A192=1,"_",IF(C192="_","???",C192))</f>
        <v/>
      </c>
      <c r="H192" s="10" t="s">
        <v>11</v>
      </c>
      <c r="I192" s="11" t="s">
        <v>11</v>
      </c>
      <c r="J192" s="12"/>
    </row>
    <row r="193" spans="1:10" ht="60" customHeight="1">
      <c r="A193" s="6" t="s">
        <v>727</v>
      </c>
      <c r="B193" s="6" t="s">
        <v>56</v>
      </c>
      <c r="C193" s="6" t="s">
        <v>11</v>
      </c>
      <c r="D193" s="7" t="s">
        <v>728</v>
      </c>
      <c r="E193" s="8" t="s">
        <v>729</v>
      </c>
      <c r="F193" s="6" t="s">
        <v>730</v>
      </c>
      <c r="G193" s="9">
        <f>IF(A193=1,"_",IF(C193="_","???",C193))</f>
        <v/>
      </c>
      <c r="H193" s="10" t="s">
        <v>11</v>
      </c>
      <c r="I193" s="11" t="s">
        <v>11</v>
      </c>
      <c r="J193" s="12"/>
    </row>
    <row r="194" spans="1:10" ht="60" customHeight="1">
      <c r="A194" s="6" t="s">
        <v>731</v>
      </c>
      <c r="B194" s="6" t="s">
        <v>64</v>
      </c>
      <c r="C194" s="6" t="s">
        <v>11</v>
      </c>
      <c r="D194" s="7" t="s">
        <v>732</v>
      </c>
      <c r="E194" s="8" t="s">
        <v>733</v>
      </c>
      <c r="F194" s="6" t="s">
        <v>734</v>
      </c>
      <c r="G194" s="9">
        <f>IF(A194=1,"_",IF(C194="_","???",C194))</f>
        <v/>
      </c>
      <c r="H194" s="10" t="s">
        <v>11</v>
      </c>
      <c r="I194" s="11" t="s">
        <v>11</v>
      </c>
      <c r="J194" s="12"/>
    </row>
    <row r="195" spans="1:10" ht="60" customHeight="1">
      <c r="A195" s="6" t="s">
        <v>735</v>
      </c>
      <c r="B195" s="6" t="s">
        <v>72</v>
      </c>
      <c r="C195" s="6" t="s">
        <v>11</v>
      </c>
      <c r="D195" s="7" t="s">
        <v>96</v>
      </c>
      <c r="E195" s="8" t="s">
        <v>736</v>
      </c>
      <c r="F195" s="6" t="s">
        <v>737</v>
      </c>
      <c r="G195" s="9">
        <f>IF(A195=1,"_",IF(C195="_","???",C195))</f>
        <v/>
      </c>
      <c r="H195" s="10" t="s">
        <v>11</v>
      </c>
      <c r="I195" s="11" t="s">
        <v>11</v>
      </c>
      <c r="J195" s="12"/>
    </row>
    <row r="196" spans="1:10" ht="60" customHeight="1">
      <c r="A196" s="6" t="s">
        <v>738</v>
      </c>
      <c r="B196" s="6" t="s">
        <v>15</v>
      </c>
      <c r="C196" s="6" t="s">
        <v>11</v>
      </c>
      <c r="D196" s="7" t="s">
        <v>739</v>
      </c>
      <c r="E196" s="8" t="s">
        <v>740</v>
      </c>
      <c r="F196" s="6" t="s">
        <v>741</v>
      </c>
      <c r="G196" s="9">
        <f>IF(A196=1,"_",IF(C196="_","???",C196))</f>
        <v/>
      </c>
      <c r="H196" s="10" t="s">
        <v>11</v>
      </c>
      <c r="I196" s="11" t="s">
        <v>11</v>
      </c>
      <c r="J196" s="12"/>
    </row>
    <row r="197" spans="1:10" ht="60" customHeight="1">
      <c r="A197" s="6" t="s">
        <v>742</v>
      </c>
      <c r="B197" s="6" t="s">
        <v>10</v>
      </c>
      <c r="C197" s="6" t="s">
        <v>11</v>
      </c>
      <c r="D197" s="7" t="s">
        <v>163</v>
      </c>
      <c r="E197" s="8" t="s">
        <v>743</v>
      </c>
      <c r="F197" s="6" t="s">
        <v>744</v>
      </c>
      <c r="G197" s="9">
        <f>IF(A197=1,"_",IF(C197="_","???",C197))</f>
        <v/>
      </c>
      <c r="H197" s="10" t="s">
        <v>11</v>
      </c>
      <c r="I197" s="11" t="s">
        <v>11</v>
      </c>
      <c r="J197" s="12"/>
    </row>
    <row r="198" spans="1:10" ht="60" customHeight="1">
      <c r="A198" s="6" t="s">
        <v>745</v>
      </c>
      <c r="B198" s="6" t="s">
        <v>16</v>
      </c>
      <c r="C198" s="6" t="s">
        <v>11</v>
      </c>
      <c r="D198" s="7" t="s">
        <v>544</v>
      </c>
      <c r="E198" s="8" t="s">
        <v>746</v>
      </c>
      <c r="F198" s="6" t="s">
        <v>747</v>
      </c>
      <c r="G198" s="9">
        <f>IF(A198=1,"_",IF(C198="_","???",C198))</f>
        <v/>
      </c>
      <c r="H198" s="10" t="s">
        <v>11</v>
      </c>
      <c r="I198" s="11" t="s">
        <v>11</v>
      </c>
      <c r="J198" s="12"/>
    </row>
    <row r="199" spans="1:10" ht="60" customHeight="1">
      <c r="A199" s="6" t="s">
        <v>748</v>
      </c>
      <c r="B199" s="6" t="s">
        <v>29</v>
      </c>
      <c r="C199" s="6" t="s">
        <v>11</v>
      </c>
      <c r="D199" s="7" t="s">
        <v>134</v>
      </c>
      <c r="E199" s="8" t="s">
        <v>749</v>
      </c>
      <c r="F199" s="6" t="s">
        <v>750</v>
      </c>
      <c r="G199" s="9">
        <f>IF(A199=1,"_",IF(C199="_","???",C199))</f>
        <v/>
      </c>
      <c r="H199" s="10" t="s">
        <v>11</v>
      </c>
      <c r="I199" s="11" t="s">
        <v>11</v>
      </c>
      <c r="J199" s="12"/>
    </row>
    <row r="200" spans="1:10" ht="60" customHeight="1">
      <c r="A200" s="6" t="s">
        <v>751</v>
      </c>
      <c r="B200" s="6" t="s">
        <v>10</v>
      </c>
      <c r="C200" s="6" t="s">
        <v>11</v>
      </c>
      <c r="D200" s="7" t="s">
        <v>185</v>
      </c>
      <c r="E200" s="8" t="s">
        <v>752</v>
      </c>
      <c r="F200" s="6" t="s">
        <v>753</v>
      </c>
      <c r="G200" s="9">
        <f>IF(A200=1,"_",IF(C200="_","???",C200))</f>
        <v/>
      </c>
      <c r="H200" s="10" t="s">
        <v>11</v>
      </c>
      <c r="I200" s="11" t="s">
        <v>11</v>
      </c>
      <c r="J200" s="12"/>
    </row>
    <row r="201" spans="1:10" ht="60" customHeight="1">
      <c r="A201" s="6" t="s">
        <v>754</v>
      </c>
      <c r="B201" s="6" t="s">
        <v>25</v>
      </c>
      <c r="C201" s="6" t="s">
        <v>11</v>
      </c>
      <c r="D201" s="7" t="s">
        <v>755</v>
      </c>
      <c r="E201" s="8" t="s">
        <v>756</v>
      </c>
      <c r="F201" s="6" t="s">
        <v>757</v>
      </c>
      <c r="G201" s="9">
        <f>IF(A201=1,"_",IF(C201="_","???",C201))</f>
        <v/>
      </c>
      <c r="H201" s="10" t="s">
        <v>11</v>
      </c>
      <c r="I201" s="11" t="s">
        <v>11</v>
      </c>
      <c r="J201" s="12"/>
    </row>
    <row r="202" spans="1:10" ht="60" customHeight="1">
      <c r="A202" s="6" t="s">
        <v>758</v>
      </c>
      <c r="B202" s="6" t="s">
        <v>20</v>
      </c>
      <c r="C202" s="6" t="s">
        <v>11</v>
      </c>
      <c r="D202" s="7" t="s">
        <v>759</v>
      </c>
      <c r="E202" s="8" t="s">
        <v>760</v>
      </c>
      <c r="F202" s="6" t="s">
        <v>761</v>
      </c>
      <c r="G202" s="9">
        <f>IF(A202=1,"_",IF(C202="_","???",C202))</f>
        <v/>
      </c>
      <c r="H202" s="10" t="s">
        <v>11</v>
      </c>
      <c r="I202" s="11" t="s">
        <v>11</v>
      </c>
      <c r="J202" s="12"/>
    </row>
    <row r="203" spans="1:10" ht="60" customHeight="1">
      <c r="A203" s="6" t="s">
        <v>762</v>
      </c>
      <c r="B203" s="6" t="s">
        <v>21</v>
      </c>
      <c r="C203" s="6" t="s">
        <v>11</v>
      </c>
      <c r="D203" s="7" t="s">
        <v>134</v>
      </c>
      <c r="E203" s="8" t="s">
        <v>763</v>
      </c>
      <c r="F203" s="6" t="s">
        <v>764</v>
      </c>
      <c r="G203" s="9">
        <f>IF(A203=1,"_",IF(C203="_","???",C203))</f>
        <v/>
      </c>
      <c r="H203" s="10" t="s">
        <v>11</v>
      </c>
      <c r="I203" s="11" t="s">
        <v>11</v>
      </c>
      <c r="J203" s="12"/>
    </row>
    <row r="204" spans="1:10" ht="60" customHeight="1">
      <c r="A204" s="6" t="s">
        <v>765</v>
      </c>
      <c r="B204" s="6" t="s">
        <v>29</v>
      </c>
      <c r="C204" s="6" t="s">
        <v>30</v>
      </c>
      <c r="D204" s="7" t="s">
        <v>739</v>
      </c>
      <c r="E204" s="8" t="s">
        <v>766</v>
      </c>
      <c r="F204" s="6" t="s">
        <v>767</v>
      </c>
      <c r="G204" s="9">
        <f>IF(A204=1,"_",IF(C204="_","???",C204))</f>
        <v/>
      </c>
      <c r="H204" s="10" t="s">
        <v>11</v>
      </c>
      <c r="I204" s="11" t="s">
        <v>11</v>
      </c>
      <c r="J204" s="12"/>
    </row>
    <row r="205" spans="1:10" ht="60" customHeight="1">
      <c r="A205" s="6" t="s">
        <v>768</v>
      </c>
      <c r="B205" s="6" t="s">
        <v>15</v>
      </c>
      <c r="C205" s="6" t="s">
        <v>11</v>
      </c>
      <c r="D205" s="7" t="s">
        <v>340</v>
      </c>
      <c r="E205" s="8" t="s">
        <v>769</v>
      </c>
      <c r="F205" s="6" t="s">
        <v>770</v>
      </c>
      <c r="G205" s="9">
        <f>IF(A205=1,"_",IF(C205="_","???",C205))</f>
        <v/>
      </c>
      <c r="H205" s="10" t="s">
        <v>11</v>
      </c>
      <c r="I205" s="11" t="s">
        <v>11</v>
      </c>
      <c r="J205" s="12"/>
    </row>
    <row r="206" spans="1:10" ht="60" customHeight="1">
      <c r="A206" s="6" t="s">
        <v>771</v>
      </c>
      <c r="B206" s="6" t="s">
        <v>48</v>
      </c>
      <c r="C206" s="6" t="s">
        <v>11</v>
      </c>
      <c r="D206" s="7" t="s">
        <v>772</v>
      </c>
      <c r="E206" s="8" t="s">
        <v>773</v>
      </c>
      <c r="F206" s="6" t="s">
        <v>774</v>
      </c>
      <c r="G206" s="9">
        <f>IF(A206=1,"_",IF(C206="_","???",C206))</f>
        <v/>
      </c>
      <c r="H206" s="10" t="s">
        <v>11</v>
      </c>
      <c r="I206" s="11" t="s">
        <v>11</v>
      </c>
      <c r="J206" s="12"/>
    </row>
    <row r="207" spans="1:10" ht="60" customHeight="1">
      <c r="A207" s="6" t="s">
        <v>775</v>
      </c>
      <c r="B207" s="6" t="s">
        <v>15</v>
      </c>
      <c r="C207" s="6" t="s">
        <v>11</v>
      </c>
      <c r="D207" s="7" t="s">
        <v>772</v>
      </c>
      <c r="E207" s="8" t="s">
        <v>776</v>
      </c>
      <c r="F207" s="6" t="s">
        <v>777</v>
      </c>
      <c r="G207" s="9">
        <f>IF(A207=1,"_",IF(C207="_","???",C207))</f>
        <v/>
      </c>
      <c r="H207" s="10" t="s">
        <v>11</v>
      </c>
      <c r="I207" s="11" t="s">
        <v>11</v>
      </c>
      <c r="J207" s="12"/>
    </row>
    <row r="208" spans="1:10" ht="60" customHeight="1">
      <c r="A208" s="6" t="s">
        <v>778</v>
      </c>
      <c r="B208" s="6" t="s">
        <v>25</v>
      </c>
      <c r="C208" s="6" t="s">
        <v>11</v>
      </c>
      <c r="D208" s="7" t="s">
        <v>704</v>
      </c>
      <c r="E208" s="8" t="s">
        <v>779</v>
      </c>
      <c r="F208" s="6" t="s">
        <v>780</v>
      </c>
      <c r="G208" s="9">
        <f>IF(A208=1,"_",IF(C208="_","???",C208))</f>
        <v/>
      </c>
      <c r="H208" s="10" t="s">
        <v>11</v>
      </c>
      <c r="I208" s="11" t="s">
        <v>11</v>
      </c>
      <c r="J208" s="12"/>
    </row>
    <row r="209" spans="1:10" ht="60" customHeight="1">
      <c r="A209" s="6" t="s">
        <v>781</v>
      </c>
      <c r="B209" s="6" t="s">
        <v>41</v>
      </c>
      <c r="C209" s="6" t="s">
        <v>11</v>
      </c>
      <c r="D209" s="7" t="s">
        <v>96</v>
      </c>
      <c r="E209" s="8" t="s">
        <v>782</v>
      </c>
      <c r="F209" s="6" t="s">
        <v>783</v>
      </c>
      <c r="G209" s="9">
        <f>IF(A209=1,"_",IF(C209="_","???",C209))</f>
        <v/>
      </c>
      <c r="H209" s="10" t="s">
        <v>11</v>
      </c>
      <c r="I209" s="11" t="s">
        <v>11</v>
      </c>
      <c r="J209" s="12"/>
    </row>
    <row r="210" spans="1:10" ht="60" customHeight="1">
      <c r="A210" s="6" t="s">
        <v>784</v>
      </c>
      <c r="B210" s="6" t="s">
        <v>15</v>
      </c>
      <c r="C210" s="6" t="s">
        <v>11</v>
      </c>
      <c r="D210" s="7" t="s">
        <v>96</v>
      </c>
      <c r="E210" s="8" t="s">
        <v>785</v>
      </c>
      <c r="F210" s="6" t="s">
        <v>786</v>
      </c>
      <c r="G210" s="9">
        <f>IF(A210=1,"_",IF(C210="_","???",C210))</f>
        <v/>
      </c>
      <c r="H210" s="10" t="s">
        <v>11</v>
      </c>
      <c r="I210" s="11" t="s">
        <v>11</v>
      </c>
      <c r="J210" s="12"/>
    </row>
    <row r="211" spans="1:10" ht="60" customHeight="1">
      <c r="A211" s="6" t="s">
        <v>787</v>
      </c>
      <c r="B211" s="6" t="s">
        <v>15</v>
      </c>
      <c r="C211" s="6" t="s">
        <v>11</v>
      </c>
      <c r="D211" s="7" t="s">
        <v>96</v>
      </c>
      <c r="E211" s="8" t="s">
        <v>788</v>
      </c>
      <c r="F211" s="6" t="s">
        <v>789</v>
      </c>
      <c r="G211" s="9">
        <f>IF(A211=1,"_",IF(C211="_","???",C211))</f>
        <v/>
      </c>
      <c r="H211" s="10" t="s">
        <v>11</v>
      </c>
      <c r="I211" s="11" t="s">
        <v>11</v>
      </c>
      <c r="J211" s="12"/>
    </row>
    <row r="212" spans="1:10" ht="60" customHeight="1">
      <c r="A212" s="6" t="s">
        <v>790</v>
      </c>
      <c r="B212" s="6" t="s">
        <v>20</v>
      </c>
      <c r="C212" s="6" t="s">
        <v>11</v>
      </c>
      <c r="D212" s="7" t="s">
        <v>163</v>
      </c>
      <c r="E212" s="8" t="s">
        <v>791</v>
      </c>
      <c r="F212" s="6" t="s">
        <v>792</v>
      </c>
      <c r="G212" s="9">
        <f>IF(A212=1,"_",IF(C212="_","???",C212))</f>
        <v/>
      </c>
      <c r="H212" s="10" t="s">
        <v>11</v>
      </c>
      <c r="I212" s="11" t="s">
        <v>11</v>
      </c>
      <c r="J212" s="12"/>
    </row>
    <row r="213" spans="1:10" ht="60" customHeight="1">
      <c r="A213" s="6" t="s">
        <v>793</v>
      </c>
      <c r="B213" s="6" t="s">
        <v>153</v>
      </c>
      <c r="C213" s="6" t="s">
        <v>11</v>
      </c>
      <c r="D213" s="7" t="s">
        <v>794</v>
      </c>
      <c r="E213" s="8" t="s">
        <v>795</v>
      </c>
      <c r="F213" s="6" t="s">
        <v>796</v>
      </c>
      <c r="G213" s="9">
        <f>IF(A213=1,"_",IF(C213="_","???",C213))</f>
        <v/>
      </c>
      <c r="H213" s="10" t="s">
        <v>11</v>
      </c>
      <c r="I213" s="11" t="s">
        <v>11</v>
      </c>
      <c r="J213" s="12"/>
    </row>
    <row r="214" spans="1:10" ht="60" customHeight="1">
      <c r="A214" s="6" t="s">
        <v>797</v>
      </c>
      <c r="B214" s="6" t="s">
        <v>34</v>
      </c>
      <c r="C214" s="6" t="s">
        <v>11</v>
      </c>
      <c r="D214" s="7" t="s">
        <v>798</v>
      </c>
      <c r="E214" s="8" t="s">
        <v>799</v>
      </c>
      <c r="F214" s="6" t="s">
        <v>800</v>
      </c>
      <c r="G214" s="9">
        <f>IF(A214=1,"_",IF(C214="_","???",C214))</f>
        <v/>
      </c>
      <c r="H214" s="10" t="s">
        <v>11</v>
      </c>
      <c r="I214" s="11" t="s">
        <v>11</v>
      </c>
      <c r="J214" s="12"/>
    </row>
    <row r="215" spans="1:10" ht="60" customHeight="1">
      <c r="A215" s="6" t="s">
        <v>801</v>
      </c>
      <c r="B215" s="6" t="s">
        <v>15</v>
      </c>
      <c r="C215" s="6" t="s">
        <v>11</v>
      </c>
      <c r="D215" s="7" t="s">
        <v>163</v>
      </c>
      <c r="E215" s="8" t="s">
        <v>802</v>
      </c>
      <c r="F215" s="6" t="s">
        <v>803</v>
      </c>
      <c r="G215" s="9">
        <f>IF(A215=1,"_",IF(C215="_","???",C215))</f>
        <v/>
      </c>
      <c r="H215" s="10" t="s">
        <v>11</v>
      </c>
      <c r="I215" s="11" t="s">
        <v>11</v>
      </c>
      <c r="J215" s="12"/>
    </row>
    <row r="216" spans="1:10" ht="60" customHeight="1">
      <c r="A216" s="6" t="s">
        <v>804</v>
      </c>
      <c r="B216" s="6" t="s">
        <v>34</v>
      </c>
      <c r="C216" s="6" t="s">
        <v>11</v>
      </c>
      <c r="D216" s="7" t="s">
        <v>805</v>
      </c>
      <c r="E216" s="8" t="s">
        <v>806</v>
      </c>
      <c r="F216" s="6" t="s">
        <v>807</v>
      </c>
      <c r="G216" s="9">
        <f>IF(A216=1,"_",IF(C216="_","???",C216))</f>
        <v/>
      </c>
      <c r="H216" s="10" t="s">
        <v>11</v>
      </c>
      <c r="I216" s="11" t="s">
        <v>11</v>
      </c>
      <c r="J216" s="12"/>
    </row>
    <row r="217" spans="1:10" ht="60" customHeight="1">
      <c r="A217" s="6" t="s">
        <v>808</v>
      </c>
      <c r="B217" s="6" t="s">
        <v>25</v>
      </c>
      <c r="C217" s="6" t="s">
        <v>11</v>
      </c>
      <c r="D217" s="7" t="s">
        <v>809</v>
      </c>
      <c r="E217" s="8" t="s">
        <v>810</v>
      </c>
      <c r="F217" s="6" t="s">
        <v>811</v>
      </c>
      <c r="G217" s="9">
        <f>IF(A217=1,"_",IF(C217="_","???",C217))</f>
        <v/>
      </c>
      <c r="H217" s="10" t="s">
        <v>11</v>
      </c>
      <c r="I217" s="11" t="s">
        <v>11</v>
      </c>
      <c r="J217" s="12"/>
    </row>
    <row r="218" spans="1:10" ht="60" customHeight="1">
      <c r="A218" s="6" t="s">
        <v>812</v>
      </c>
      <c r="B218" s="6" t="s">
        <v>25</v>
      </c>
      <c r="C218" s="6" t="s">
        <v>11</v>
      </c>
      <c r="D218" s="7" t="s">
        <v>521</v>
      </c>
      <c r="E218" s="8" t="s">
        <v>813</v>
      </c>
      <c r="F218" s="6" t="s">
        <v>814</v>
      </c>
      <c r="G218" s="9">
        <f>IF(A218=1,"_",IF(C218="_","???",C218))</f>
        <v/>
      </c>
      <c r="H218" s="10" t="s">
        <v>11</v>
      </c>
      <c r="I218" s="11" t="s">
        <v>11</v>
      </c>
      <c r="J218" s="12"/>
    </row>
    <row r="219" spans="1:10" ht="60" customHeight="1">
      <c r="A219" s="6" t="s">
        <v>815</v>
      </c>
      <c r="B219" s="6" t="s">
        <v>21</v>
      </c>
      <c r="C219" s="6" t="s">
        <v>11</v>
      </c>
      <c r="D219" s="7" t="s">
        <v>816</v>
      </c>
      <c r="E219" s="8" t="s">
        <v>817</v>
      </c>
      <c r="F219" s="6" t="s">
        <v>818</v>
      </c>
      <c r="G219" s="9">
        <f>IF(A219=1,"_",IF(C219="_","???",C219))</f>
        <v/>
      </c>
      <c r="H219" s="10" t="s">
        <v>11</v>
      </c>
      <c r="I219" s="11" t="s">
        <v>11</v>
      </c>
      <c r="J219" s="12"/>
    </row>
    <row r="220" spans="1:10" ht="60" customHeight="1">
      <c r="A220" s="6" t="s">
        <v>819</v>
      </c>
      <c r="B220" s="6" t="s">
        <v>15</v>
      </c>
      <c r="C220" s="6" t="s">
        <v>11</v>
      </c>
      <c r="D220" s="7" t="s">
        <v>207</v>
      </c>
      <c r="E220" s="8" t="s">
        <v>820</v>
      </c>
      <c r="F220" s="6" t="s">
        <v>821</v>
      </c>
      <c r="G220" s="9">
        <f>IF(A220=1,"_",IF(C220="_","???",C220))</f>
        <v/>
      </c>
      <c r="H220" s="10" t="s">
        <v>11</v>
      </c>
      <c r="I220" s="11" t="s">
        <v>11</v>
      </c>
      <c r="J220" s="12"/>
    </row>
    <row r="221" spans="1:10" ht="60" customHeight="1">
      <c r="A221" s="6" t="s">
        <v>822</v>
      </c>
      <c r="B221" s="6" t="s">
        <v>15</v>
      </c>
      <c r="C221" s="6" t="s">
        <v>11</v>
      </c>
      <c r="D221" s="7" t="s">
        <v>207</v>
      </c>
      <c r="E221" s="8" t="s">
        <v>823</v>
      </c>
      <c r="F221" s="6" t="s">
        <v>824</v>
      </c>
      <c r="G221" s="9">
        <f>IF(A221=1,"_",IF(C221="_","???",C221))</f>
        <v/>
      </c>
      <c r="H221" s="10" t="s">
        <v>11</v>
      </c>
      <c r="I221" s="11" t="s">
        <v>11</v>
      </c>
      <c r="J221" s="12"/>
    </row>
    <row r="222" spans="1:10" ht="60" customHeight="1">
      <c r="A222" s="6" t="s">
        <v>825</v>
      </c>
      <c r="B222" s="6" t="s">
        <v>87</v>
      </c>
      <c r="C222" s="6" t="s">
        <v>11</v>
      </c>
      <c r="D222" s="7" t="s">
        <v>826</v>
      </c>
      <c r="E222" s="8" t="s">
        <v>827</v>
      </c>
      <c r="F222" s="6" t="s">
        <v>828</v>
      </c>
      <c r="G222" s="9">
        <f>IF(A222=1,"_",IF(C222="_","???",C222))</f>
        <v/>
      </c>
      <c r="H222" s="10" t="s">
        <v>11</v>
      </c>
      <c r="I222" s="11" t="s">
        <v>11</v>
      </c>
      <c r="J222" s="12"/>
    </row>
    <row r="223" spans="1:10" ht="60" customHeight="1">
      <c r="A223" s="6" t="s">
        <v>829</v>
      </c>
      <c r="B223" s="6" t="s">
        <v>29</v>
      </c>
      <c r="C223" s="6" t="s">
        <v>30</v>
      </c>
      <c r="D223" s="7" t="s">
        <v>830</v>
      </c>
      <c r="E223" s="8" t="s">
        <v>831</v>
      </c>
      <c r="F223" s="6" t="s">
        <v>832</v>
      </c>
      <c r="G223" s="9">
        <f>IF(A223=1,"_",IF(C223="_","???",C223))</f>
        <v/>
      </c>
      <c r="H223" s="10" t="s">
        <v>11</v>
      </c>
      <c r="I223" s="11" t="s">
        <v>11</v>
      </c>
      <c r="J223" s="12"/>
    </row>
    <row r="224" spans="1:10" ht="60" customHeight="1">
      <c r="A224" s="6" t="s">
        <v>833</v>
      </c>
      <c r="B224" s="6" t="s">
        <v>34</v>
      </c>
      <c r="C224" s="6" t="s">
        <v>11</v>
      </c>
      <c r="D224" s="7" t="s">
        <v>834</v>
      </c>
      <c r="E224" s="8" t="s">
        <v>835</v>
      </c>
      <c r="F224" s="6" t="s">
        <v>836</v>
      </c>
      <c r="G224" s="9">
        <f>IF(A224=1,"_",IF(C224="_","???",C224))</f>
        <v/>
      </c>
      <c r="H224" s="10" t="s">
        <v>11</v>
      </c>
      <c r="I224" s="11" t="s">
        <v>11</v>
      </c>
      <c r="J224" s="12"/>
    </row>
    <row r="225" spans="1:10" ht="60" customHeight="1">
      <c r="A225" s="6" t="s">
        <v>837</v>
      </c>
      <c r="B225" s="6" t="s">
        <v>21</v>
      </c>
      <c r="C225" s="6" t="s">
        <v>11</v>
      </c>
      <c r="D225" s="7" t="s">
        <v>838</v>
      </c>
      <c r="E225" s="8" t="s">
        <v>839</v>
      </c>
      <c r="F225" s="6" t="s">
        <v>840</v>
      </c>
      <c r="G225" s="9">
        <f>IF(A225=1,"_",IF(C225="_","???",C225))</f>
        <v/>
      </c>
      <c r="H225" s="10" t="s">
        <v>11</v>
      </c>
      <c r="I225" s="11" t="s">
        <v>11</v>
      </c>
      <c r="J225" s="12"/>
    </row>
    <row r="226" spans="1:10" ht="60" customHeight="1">
      <c r="A226" s="6" t="s">
        <v>841</v>
      </c>
      <c r="B226" s="6" t="s">
        <v>21</v>
      </c>
      <c r="C226" s="6" t="s">
        <v>11</v>
      </c>
      <c r="D226" s="7" t="s">
        <v>842</v>
      </c>
      <c r="E226" s="8" t="s">
        <v>843</v>
      </c>
      <c r="F226" s="6" t="s">
        <v>844</v>
      </c>
      <c r="G226" s="9">
        <f>IF(A226=1,"_",IF(C226="_","???",C226))</f>
        <v/>
      </c>
      <c r="H226" s="10" t="s">
        <v>11</v>
      </c>
      <c r="I226" s="11" t="s">
        <v>11</v>
      </c>
      <c r="J226" s="12"/>
    </row>
    <row r="227" spans="1:10" ht="60" customHeight="1">
      <c r="A227" s="6" t="s">
        <v>845</v>
      </c>
      <c r="B227" s="6" t="s">
        <v>21</v>
      </c>
      <c r="C227" s="6" t="s">
        <v>11</v>
      </c>
      <c r="D227" s="7" t="s">
        <v>846</v>
      </c>
      <c r="E227" s="8" t="s">
        <v>847</v>
      </c>
      <c r="F227" s="6" t="s">
        <v>848</v>
      </c>
      <c r="G227" s="9">
        <f>IF(A227=1,"_",IF(C227="_","???",C227))</f>
        <v/>
      </c>
      <c r="H227" s="10" t="s">
        <v>11</v>
      </c>
      <c r="I227" s="11" t="s">
        <v>11</v>
      </c>
      <c r="J227" s="12"/>
    </row>
    <row r="228" spans="1:10" ht="60" customHeight="1">
      <c r="A228" s="6" t="s">
        <v>849</v>
      </c>
      <c r="B228" s="6" t="s">
        <v>76</v>
      </c>
      <c r="C228" s="6" t="s">
        <v>11</v>
      </c>
      <c r="D228" s="7" t="s">
        <v>850</v>
      </c>
      <c r="E228" s="8" t="s">
        <v>851</v>
      </c>
      <c r="F228" s="6" t="s">
        <v>852</v>
      </c>
      <c r="G228" s="9">
        <f>IF(A228=1,"_",IF(C228="_","???",C228))</f>
        <v/>
      </c>
      <c r="H228" s="10" t="s">
        <v>11</v>
      </c>
      <c r="I228" s="11" t="s">
        <v>11</v>
      </c>
      <c r="J228" s="12"/>
    </row>
    <row r="229" spans="1:10" ht="60" customHeight="1">
      <c r="A229" s="6" t="s">
        <v>853</v>
      </c>
      <c r="B229" s="6" t="s">
        <v>16</v>
      </c>
      <c r="C229" s="6" t="s">
        <v>11</v>
      </c>
      <c r="D229" s="7" t="s">
        <v>772</v>
      </c>
      <c r="E229" s="8" t="s">
        <v>854</v>
      </c>
      <c r="F229" s="6" t="s">
        <v>855</v>
      </c>
      <c r="G229" s="9">
        <f>IF(A229=1,"_",IF(C229="_","???",C229))</f>
        <v/>
      </c>
      <c r="H229" s="10" t="s">
        <v>11</v>
      </c>
      <c r="I229" s="11" t="s">
        <v>11</v>
      </c>
      <c r="J229" s="12"/>
    </row>
    <row r="230" spans="1:10" ht="60" customHeight="1">
      <c r="A230" s="6" t="s">
        <v>856</v>
      </c>
      <c r="B230" s="6" t="s">
        <v>10</v>
      </c>
      <c r="C230" s="6" t="s">
        <v>30</v>
      </c>
      <c r="D230" s="7" t="s">
        <v>857</v>
      </c>
      <c r="E230" s="8" t="s">
        <v>858</v>
      </c>
      <c r="F230" s="6" t="s">
        <v>859</v>
      </c>
      <c r="G230" s="9">
        <f>IF(A230=1,"_",IF(C230="_","???",C230))</f>
        <v/>
      </c>
      <c r="H230" s="10" t="s">
        <v>11</v>
      </c>
      <c r="I230" s="11" t="s">
        <v>11</v>
      </c>
      <c r="J230" s="12"/>
    </row>
    <row r="231" spans="1:10" ht="60" customHeight="1">
      <c r="A231" s="6" t="s">
        <v>860</v>
      </c>
      <c r="B231" s="6" t="s">
        <v>15</v>
      </c>
      <c r="C231" s="6" t="s">
        <v>11</v>
      </c>
      <c r="D231" s="7" t="s">
        <v>861</v>
      </c>
      <c r="E231" s="8" t="s">
        <v>862</v>
      </c>
      <c r="F231" s="6" t="s">
        <v>863</v>
      </c>
      <c r="G231" s="9">
        <f>IF(A231=1,"_",IF(C231="_","???",C231))</f>
        <v/>
      </c>
      <c r="H231" s="10" t="s">
        <v>11</v>
      </c>
      <c r="I231" s="11" t="s">
        <v>11</v>
      </c>
      <c r="J231" s="12"/>
    </row>
    <row r="232" spans="1:10" ht="60" customHeight="1">
      <c r="A232" s="6" t="s">
        <v>864</v>
      </c>
      <c r="B232" s="6" t="s">
        <v>20</v>
      </c>
      <c r="C232" s="6" t="s">
        <v>11</v>
      </c>
      <c r="D232" s="7" t="s">
        <v>865</v>
      </c>
      <c r="E232" s="8" t="s">
        <v>866</v>
      </c>
      <c r="F232" s="6" t="s">
        <v>867</v>
      </c>
      <c r="G232" s="9">
        <f>IF(A232=1,"_",IF(C232="_","???",C232))</f>
        <v/>
      </c>
      <c r="H232" s="10" t="s">
        <v>11</v>
      </c>
      <c r="I232" s="11" t="s">
        <v>11</v>
      </c>
      <c r="J232" s="12"/>
    </row>
    <row r="233" spans="1:10" ht="60" customHeight="1">
      <c r="A233" s="6" t="s">
        <v>868</v>
      </c>
      <c r="B233" s="6" t="s">
        <v>15</v>
      </c>
      <c r="C233" s="6" t="s">
        <v>11</v>
      </c>
      <c r="D233" s="7" t="s">
        <v>207</v>
      </c>
      <c r="E233" s="8" t="s">
        <v>869</v>
      </c>
      <c r="F233" s="6" t="s">
        <v>870</v>
      </c>
      <c r="G233" s="9">
        <f>IF(A233=1,"_",IF(C233="_","???",C233))</f>
        <v/>
      </c>
      <c r="H233" s="10" t="s">
        <v>11</v>
      </c>
      <c r="I233" s="11" t="s">
        <v>11</v>
      </c>
      <c r="J233" s="12"/>
    </row>
    <row r="234" spans="1:10" ht="60" customHeight="1">
      <c r="A234" s="6" t="s">
        <v>871</v>
      </c>
      <c r="B234" s="6" t="s">
        <v>20</v>
      </c>
      <c r="C234" s="6" t="s">
        <v>11</v>
      </c>
      <c r="D234" s="7" t="s">
        <v>207</v>
      </c>
      <c r="E234" s="8" t="s">
        <v>872</v>
      </c>
      <c r="F234" s="6" t="s">
        <v>873</v>
      </c>
      <c r="G234" s="9">
        <f>IF(A234=1,"_",IF(C234="_","???",C234))</f>
        <v/>
      </c>
      <c r="H234" s="10" t="s">
        <v>11</v>
      </c>
      <c r="I234" s="11" t="s">
        <v>11</v>
      </c>
      <c r="J234" s="12"/>
    </row>
    <row r="235" spans="1:10" ht="60" customHeight="1">
      <c r="A235" s="6" t="s">
        <v>874</v>
      </c>
      <c r="B235" s="6" t="s">
        <v>15</v>
      </c>
      <c r="C235" s="6" t="s">
        <v>11</v>
      </c>
      <c r="D235" s="7" t="s">
        <v>875</v>
      </c>
      <c r="E235" s="8" t="s">
        <v>876</v>
      </c>
      <c r="F235" s="6" t="s">
        <v>877</v>
      </c>
      <c r="G235" s="9">
        <f>IF(A235=1,"_",IF(C235="_","???",C235))</f>
        <v/>
      </c>
      <c r="H235" s="10" t="s">
        <v>11</v>
      </c>
      <c r="I235" s="11" t="s">
        <v>11</v>
      </c>
      <c r="J235" s="12"/>
    </row>
    <row r="236" spans="1:10" ht="60" customHeight="1">
      <c r="A236" s="6" t="s">
        <v>878</v>
      </c>
      <c r="B236" s="6" t="s">
        <v>10</v>
      </c>
      <c r="C236" s="6" t="s">
        <v>11</v>
      </c>
      <c r="D236" s="7" t="s">
        <v>185</v>
      </c>
      <c r="E236" s="8" t="s">
        <v>879</v>
      </c>
      <c r="F236" s="6" t="s">
        <v>880</v>
      </c>
      <c r="G236" s="9">
        <f>IF(A236=1,"_",IF(C236="_","???",C236))</f>
        <v/>
      </c>
      <c r="H236" s="10" t="s">
        <v>11</v>
      </c>
      <c r="I236" s="11" t="s">
        <v>11</v>
      </c>
      <c r="J236" s="12"/>
    </row>
    <row r="237" spans="1:10" ht="60" customHeight="1">
      <c r="A237" s="6" t="s">
        <v>881</v>
      </c>
      <c r="B237" s="6" t="s">
        <v>21</v>
      </c>
      <c r="C237" s="6" t="s">
        <v>11</v>
      </c>
      <c r="D237" s="7" t="s">
        <v>882</v>
      </c>
      <c r="E237" s="8" t="s">
        <v>883</v>
      </c>
      <c r="F237" s="6" t="s">
        <v>884</v>
      </c>
      <c r="G237" s="9">
        <f>IF(A237=1,"_",IF(C237="_","???",C237))</f>
        <v/>
      </c>
      <c r="H237" s="10" t="s">
        <v>11</v>
      </c>
      <c r="I237" s="11" t="s">
        <v>11</v>
      </c>
      <c r="J237" s="12"/>
    </row>
    <row r="238" spans="1:10" ht="60" customHeight="1">
      <c r="A238" s="6" t="s">
        <v>885</v>
      </c>
      <c r="B238" s="6" t="s">
        <v>21</v>
      </c>
      <c r="C238" s="6" t="s">
        <v>11</v>
      </c>
      <c r="D238" s="7" t="s">
        <v>215</v>
      </c>
      <c r="E238" s="8" t="s">
        <v>886</v>
      </c>
      <c r="F238" s="6" t="s">
        <v>887</v>
      </c>
      <c r="G238" s="9">
        <f>IF(A238=1,"_",IF(C238="_","???",C238))</f>
        <v/>
      </c>
      <c r="H238" s="10" t="s">
        <v>11</v>
      </c>
      <c r="I238" s="11" t="s">
        <v>11</v>
      </c>
      <c r="J238" s="12"/>
    </row>
    <row r="239" spans="1:10" ht="60" customHeight="1">
      <c r="A239" s="6" t="s">
        <v>888</v>
      </c>
      <c r="B239" s="6" t="s">
        <v>15</v>
      </c>
      <c r="C239" s="6" t="s">
        <v>11</v>
      </c>
      <c r="D239" s="7" t="s">
        <v>207</v>
      </c>
      <c r="E239" s="8" t="s">
        <v>889</v>
      </c>
      <c r="F239" s="6" t="s">
        <v>890</v>
      </c>
      <c r="G239" s="9">
        <f>IF(A239=1,"_",IF(C239="_","???",C239))</f>
        <v/>
      </c>
      <c r="H239" s="10" t="s">
        <v>11</v>
      </c>
      <c r="I239" s="11" t="s">
        <v>11</v>
      </c>
      <c r="J239" s="12"/>
    </row>
    <row r="240" spans="1:10" ht="60" customHeight="1">
      <c r="A240" s="6" t="s">
        <v>891</v>
      </c>
      <c r="B240" s="6" t="s">
        <v>25</v>
      </c>
      <c r="C240" s="6" t="s">
        <v>11</v>
      </c>
      <c r="D240" s="7" t="s">
        <v>892</v>
      </c>
      <c r="E240" s="8" t="s">
        <v>893</v>
      </c>
      <c r="F240" s="6" t="s">
        <v>894</v>
      </c>
      <c r="G240" s="9">
        <f>IF(A240=1,"_",IF(C240="_","???",C240))</f>
        <v/>
      </c>
      <c r="H240" s="10" t="s">
        <v>11</v>
      </c>
      <c r="I240" s="11" t="s">
        <v>11</v>
      </c>
      <c r="J240" s="12"/>
    </row>
    <row r="241" spans="1:10" ht="60" customHeight="1">
      <c r="A241" s="6" t="s">
        <v>895</v>
      </c>
      <c r="B241" s="6" t="s">
        <v>15</v>
      </c>
      <c r="C241" s="6" t="s">
        <v>11</v>
      </c>
      <c r="D241" s="7" t="s">
        <v>521</v>
      </c>
      <c r="E241" s="8" t="s">
        <v>896</v>
      </c>
      <c r="F241" s="6" t="s">
        <v>897</v>
      </c>
      <c r="G241" s="9">
        <f>IF(A241=1,"_",IF(C241="_","???",C241))</f>
        <v/>
      </c>
      <c r="H241" s="10" t="s">
        <v>11</v>
      </c>
      <c r="I241" s="11" t="s">
        <v>11</v>
      </c>
      <c r="J241" s="12"/>
    </row>
    <row r="242" spans="1:10" ht="60" customHeight="1">
      <c r="A242" s="6" t="s">
        <v>898</v>
      </c>
      <c r="B242" s="6" t="s">
        <v>101</v>
      </c>
      <c r="C242" s="6" t="s">
        <v>11</v>
      </c>
      <c r="D242" s="7" t="s">
        <v>899</v>
      </c>
      <c r="E242" s="8" t="s">
        <v>900</v>
      </c>
      <c r="F242" s="6" t="s">
        <v>901</v>
      </c>
      <c r="G242" s="9">
        <f>IF(A242=1,"_",IF(C242="_","???",C242))</f>
        <v/>
      </c>
      <c r="H242" s="10" t="s">
        <v>11</v>
      </c>
      <c r="I242" s="11" t="s">
        <v>11</v>
      </c>
      <c r="J242" s="12"/>
    </row>
    <row r="243" spans="1:10" ht="60" customHeight="1">
      <c r="A243" s="6" t="s">
        <v>902</v>
      </c>
      <c r="B243" s="6" t="s">
        <v>10</v>
      </c>
      <c r="C243" s="6" t="s">
        <v>11</v>
      </c>
      <c r="D243" s="7" t="s">
        <v>903</v>
      </c>
      <c r="E243" s="8" t="s">
        <v>904</v>
      </c>
      <c r="F243" s="6" t="s">
        <v>905</v>
      </c>
      <c r="G243" s="9">
        <f>IF(A243=1,"_",IF(C243="_","???",C243))</f>
        <v/>
      </c>
      <c r="H243" s="10" t="s">
        <v>11</v>
      </c>
      <c r="I243" s="11" t="s">
        <v>11</v>
      </c>
      <c r="J243" s="12"/>
    </row>
    <row r="244" spans="1:10" ht="60" customHeight="1">
      <c r="A244" s="6" t="s">
        <v>906</v>
      </c>
      <c r="B244" s="6" t="s">
        <v>29</v>
      </c>
      <c r="C244" s="6" t="s">
        <v>11</v>
      </c>
      <c r="D244" s="7" t="s">
        <v>126</v>
      </c>
      <c r="E244" s="8" t="s">
        <v>907</v>
      </c>
      <c r="F244" s="6" t="s">
        <v>908</v>
      </c>
      <c r="G244" s="9">
        <f>IF(A244=1,"_",IF(C244="_","???",C244))</f>
        <v/>
      </c>
      <c r="H244" s="10" t="s">
        <v>11</v>
      </c>
      <c r="I244" s="11" t="s">
        <v>11</v>
      </c>
      <c r="J244" s="12"/>
    </row>
    <row r="245" spans="1:10" ht="60" customHeight="1">
      <c r="A245" s="6" t="s">
        <v>909</v>
      </c>
      <c r="B245" s="6" t="s">
        <v>15</v>
      </c>
      <c r="C245" s="6" t="s">
        <v>11</v>
      </c>
      <c r="D245" s="7" t="s">
        <v>910</v>
      </c>
      <c r="E245" s="8" t="s">
        <v>911</v>
      </c>
      <c r="F245" s="6" t="s">
        <v>912</v>
      </c>
      <c r="G245" s="9">
        <f>IF(A245=1,"_",IF(C245="_","???",C245))</f>
        <v/>
      </c>
      <c r="H245" s="10" t="s">
        <v>11</v>
      </c>
      <c r="I245" s="11" t="s">
        <v>11</v>
      </c>
      <c r="J245" s="12"/>
    </row>
    <row r="246" spans="1:10" ht="60" customHeight="1">
      <c r="A246" s="6" t="s">
        <v>913</v>
      </c>
      <c r="B246" s="6" t="s">
        <v>20</v>
      </c>
      <c r="C246" s="6" t="s">
        <v>11</v>
      </c>
      <c r="D246" s="7" t="s">
        <v>914</v>
      </c>
      <c r="E246" s="8" t="s">
        <v>915</v>
      </c>
      <c r="F246" s="6" t="s">
        <v>916</v>
      </c>
      <c r="G246" s="9">
        <f>IF(A246=1,"_",IF(C246="_","???",C246))</f>
        <v/>
      </c>
      <c r="H246" s="10" t="s">
        <v>11</v>
      </c>
      <c r="I246" s="11" t="s">
        <v>11</v>
      </c>
      <c r="J246" s="12"/>
    </row>
    <row r="247" spans="1:10" ht="60" customHeight="1">
      <c r="A247" s="6" t="s">
        <v>917</v>
      </c>
      <c r="B247" s="6" t="s">
        <v>15</v>
      </c>
      <c r="C247" s="6" t="s">
        <v>11</v>
      </c>
      <c r="D247" s="7" t="s">
        <v>918</v>
      </c>
      <c r="E247" s="8" t="s">
        <v>919</v>
      </c>
      <c r="F247" s="6" t="s">
        <v>920</v>
      </c>
      <c r="G247" s="9">
        <f>IF(A247=1,"_",IF(C247="_","???",C247))</f>
        <v/>
      </c>
      <c r="H247" s="10" t="s">
        <v>11</v>
      </c>
      <c r="I247" s="11" t="s">
        <v>11</v>
      </c>
      <c r="J247" s="12"/>
    </row>
    <row r="248" spans="1:10" ht="60" customHeight="1">
      <c r="A248" s="6" t="s">
        <v>921</v>
      </c>
      <c r="B248" s="6" t="s">
        <v>15</v>
      </c>
      <c r="C248" s="6" t="s">
        <v>11</v>
      </c>
      <c r="D248" s="7" t="s">
        <v>922</v>
      </c>
      <c r="E248" s="8" t="s">
        <v>923</v>
      </c>
      <c r="F248" s="6" t="s">
        <v>924</v>
      </c>
      <c r="G248" s="9">
        <f>IF(A248=1,"_",IF(C248="_","???",C248))</f>
        <v/>
      </c>
      <c r="H248" s="10" t="s">
        <v>11</v>
      </c>
      <c r="I248" s="11" t="s">
        <v>11</v>
      </c>
      <c r="J248" s="12"/>
    </row>
    <row r="249" spans="1:10" ht="60" customHeight="1">
      <c r="A249" s="6" t="s">
        <v>925</v>
      </c>
      <c r="B249" s="6" t="s">
        <v>105</v>
      </c>
      <c r="C249" s="6" t="s">
        <v>11</v>
      </c>
      <c r="D249" s="7" t="s">
        <v>926</v>
      </c>
      <c r="E249" s="8" t="s">
        <v>927</v>
      </c>
      <c r="F249" s="6" t="s">
        <v>928</v>
      </c>
      <c r="G249" s="9">
        <f>IF(A249=1,"_",IF(C249="_","???",C249))</f>
        <v/>
      </c>
      <c r="H249" s="10" t="s">
        <v>11</v>
      </c>
      <c r="I249" s="11" t="s">
        <v>11</v>
      </c>
      <c r="J249" s="12"/>
    </row>
    <row r="250" spans="1:10" ht="60" customHeight="1">
      <c r="A250" s="6" t="s">
        <v>929</v>
      </c>
      <c r="B250" s="6" t="s">
        <v>76</v>
      </c>
      <c r="C250" s="6" t="s">
        <v>11</v>
      </c>
      <c r="D250" s="7" t="s">
        <v>521</v>
      </c>
      <c r="E250" s="8" t="s">
        <v>930</v>
      </c>
      <c r="F250" s="6" t="s">
        <v>931</v>
      </c>
      <c r="G250" s="9">
        <f>IF(A250=1,"_",IF(C250="_","???",C250))</f>
        <v/>
      </c>
      <c r="H250" s="10" t="s">
        <v>11</v>
      </c>
      <c r="I250" s="11" t="s">
        <v>11</v>
      </c>
      <c r="J250" s="12"/>
    </row>
    <row r="251" spans="1:10" ht="60" customHeight="1">
      <c r="A251" s="6" t="s">
        <v>932</v>
      </c>
      <c r="B251" s="6" t="s">
        <v>10</v>
      </c>
      <c r="C251" s="6" t="s">
        <v>11</v>
      </c>
      <c r="D251" s="7" t="s">
        <v>933</v>
      </c>
      <c r="E251" s="8" t="s">
        <v>934</v>
      </c>
      <c r="F251" s="6" t="s">
        <v>935</v>
      </c>
      <c r="G251" s="9">
        <f>IF(A251=1,"_",IF(C251="_","???",C251))</f>
        <v/>
      </c>
      <c r="H251" s="10" t="s">
        <v>11</v>
      </c>
      <c r="I251" s="11" t="s">
        <v>11</v>
      </c>
      <c r="J251" s="12"/>
    </row>
    <row r="252" spans="1:10" ht="60" customHeight="1">
      <c r="A252" s="6" t="s">
        <v>936</v>
      </c>
      <c r="B252" s="6" t="s">
        <v>25</v>
      </c>
      <c r="C252" s="6" t="s">
        <v>11</v>
      </c>
      <c r="D252" s="7" t="s">
        <v>937</v>
      </c>
      <c r="E252" s="8" t="s">
        <v>938</v>
      </c>
      <c r="F252" s="6" t="s">
        <v>939</v>
      </c>
      <c r="G252" s="9">
        <f>IF(A252=1,"_",IF(C252="_","???",C252))</f>
        <v/>
      </c>
      <c r="H252" s="10" t="s">
        <v>11</v>
      </c>
      <c r="I252" s="11" t="s">
        <v>11</v>
      </c>
      <c r="J252" s="12"/>
    </row>
    <row r="253" spans="1:10" ht="60" customHeight="1">
      <c r="A253" s="6" t="s">
        <v>940</v>
      </c>
      <c r="B253" s="6" t="s">
        <v>10</v>
      </c>
      <c r="C253" s="6" t="s">
        <v>11</v>
      </c>
      <c r="D253" s="7" t="s">
        <v>933</v>
      </c>
      <c r="E253" s="8" t="s">
        <v>941</v>
      </c>
      <c r="F253" s="6" t="s">
        <v>942</v>
      </c>
      <c r="G253" s="9">
        <f>IF(A253=1,"_",IF(C253="_","???",C253))</f>
        <v/>
      </c>
      <c r="H253" s="10" t="s">
        <v>11</v>
      </c>
      <c r="I253" s="11" t="s">
        <v>11</v>
      </c>
      <c r="J253" s="12"/>
    </row>
    <row r="254" spans="1:10" ht="60" customHeight="1">
      <c r="A254" s="6" t="s">
        <v>943</v>
      </c>
      <c r="B254" s="6" t="s">
        <v>20</v>
      </c>
      <c r="C254" s="6" t="s">
        <v>11</v>
      </c>
      <c r="D254" s="7" t="s">
        <v>944</v>
      </c>
      <c r="E254" s="8" t="s">
        <v>945</v>
      </c>
      <c r="F254" s="6" t="s">
        <v>946</v>
      </c>
      <c r="G254" s="9">
        <f>IF(A254=1,"_",IF(C254="_","???",C254))</f>
        <v/>
      </c>
      <c r="H254" s="10" t="s">
        <v>11</v>
      </c>
      <c r="I254" s="11" t="s">
        <v>11</v>
      </c>
      <c r="J254" s="12"/>
    </row>
    <row r="255" spans="1:10" ht="60" customHeight="1">
      <c r="A255" s="6" t="s">
        <v>947</v>
      </c>
      <c r="B255" s="6" t="s">
        <v>34</v>
      </c>
      <c r="C255" s="6" t="s">
        <v>11</v>
      </c>
      <c r="D255" s="7" t="s">
        <v>948</v>
      </c>
      <c r="E255" s="8" t="s">
        <v>949</v>
      </c>
      <c r="F255" s="6" t="s">
        <v>950</v>
      </c>
      <c r="G255" s="9">
        <f>IF(A255=1,"_",IF(C255="_","???",C255))</f>
        <v/>
      </c>
      <c r="H255" s="10" t="s">
        <v>11</v>
      </c>
      <c r="I255" s="11" t="s">
        <v>11</v>
      </c>
      <c r="J255" s="12"/>
    </row>
    <row r="256" spans="1:10" ht="60" customHeight="1">
      <c r="A256" s="6" t="s">
        <v>951</v>
      </c>
      <c r="B256" s="6" t="s">
        <v>10</v>
      </c>
      <c r="C256" s="6" t="s">
        <v>11</v>
      </c>
      <c r="D256" s="7" t="s">
        <v>952</v>
      </c>
      <c r="E256" s="8" t="s">
        <v>953</v>
      </c>
      <c r="F256" s="6" t="s">
        <v>954</v>
      </c>
      <c r="G256" s="9">
        <f>IF(A256=1,"_",IF(C256="_","???",C256))</f>
        <v/>
      </c>
      <c r="H256" s="10" t="s">
        <v>11</v>
      </c>
      <c r="I256" s="11" t="s">
        <v>11</v>
      </c>
      <c r="J256" s="12"/>
    </row>
    <row r="257" spans="1:10" ht="60" customHeight="1">
      <c r="A257" s="6" t="s">
        <v>955</v>
      </c>
      <c r="B257" s="6" t="s">
        <v>15</v>
      </c>
      <c r="C257" s="6" t="s">
        <v>11</v>
      </c>
      <c r="D257" s="7" t="s">
        <v>163</v>
      </c>
      <c r="E257" s="8" t="s">
        <v>956</v>
      </c>
      <c r="F257" s="6" t="s">
        <v>957</v>
      </c>
      <c r="G257" s="9">
        <f>IF(A257=1,"_",IF(C257="_","???",C257))</f>
        <v/>
      </c>
      <c r="H257" s="10" t="s">
        <v>11</v>
      </c>
      <c r="I257" s="11" t="s">
        <v>11</v>
      </c>
      <c r="J257" s="12"/>
    </row>
    <row r="258" spans="1:10" ht="60" customHeight="1">
      <c r="A258" s="6" t="s">
        <v>958</v>
      </c>
      <c r="B258" s="6" t="s">
        <v>20</v>
      </c>
      <c r="C258" s="6" t="s">
        <v>11</v>
      </c>
      <c r="D258" s="7" t="s">
        <v>959</v>
      </c>
      <c r="E258" s="8" t="s">
        <v>960</v>
      </c>
      <c r="F258" s="6" t="s">
        <v>961</v>
      </c>
      <c r="G258" s="9">
        <f>IF(A258=1,"_",IF(C258="_","???",C258))</f>
        <v/>
      </c>
      <c r="H258" s="10" t="s">
        <v>11</v>
      </c>
      <c r="I258" s="11" t="s">
        <v>11</v>
      </c>
      <c r="J258" s="12"/>
    </row>
    <row r="259" spans="1:10" ht="60" customHeight="1">
      <c r="A259" s="6" t="s">
        <v>962</v>
      </c>
      <c r="B259" s="6" t="s">
        <v>10</v>
      </c>
      <c r="C259" s="6" t="s">
        <v>11</v>
      </c>
      <c r="D259" s="7" t="s">
        <v>366</v>
      </c>
      <c r="E259" s="8" t="s">
        <v>963</v>
      </c>
      <c r="F259" s="6" t="s">
        <v>964</v>
      </c>
      <c r="G259" s="9">
        <f>IF(A259=1,"_",IF(C259="_","???",C259))</f>
        <v/>
      </c>
      <c r="H259" s="10" t="s">
        <v>11</v>
      </c>
      <c r="I259" s="11" t="s">
        <v>11</v>
      </c>
      <c r="J259" s="12"/>
    </row>
    <row r="260" spans="1:10" ht="60" customHeight="1">
      <c r="A260" s="6" t="s">
        <v>965</v>
      </c>
      <c r="B260" s="6" t="s">
        <v>10</v>
      </c>
      <c r="C260" s="6" t="s">
        <v>11</v>
      </c>
      <c r="D260" s="7" t="s">
        <v>185</v>
      </c>
      <c r="E260" s="8" t="s">
        <v>677</v>
      </c>
      <c r="F260" s="6" t="s">
        <v>966</v>
      </c>
      <c r="G260" s="9">
        <f>IF(A260=1,"_",IF(C260="_","???",C260))</f>
        <v/>
      </c>
      <c r="H260" s="10" t="s">
        <v>11</v>
      </c>
      <c r="I260" s="11" t="s">
        <v>11</v>
      </c>
      <c r="J260" s="12"/>
    </row>
    <row r="261" spans="1:10" ht="60" customHeight="1">
      <c r="A261" s="6" t="s">
        <v>967</v>
      </c>
      <c r="B261" s="6" t="s">
        <v>16</v>
      </c>
      <c r="C261" s="6" t="s">
        <v>11</v>
      </c>
      <c r="D261" s="7" t="s">
        <v>968</v>
      </c>
      <c r="E261" s="8" t="s">
        <v>969</v>
      </c>
      <c r="F261" s="6" t="s">
        <v>970</v>
      </c>
      <c r="G261" s="9">
        <f>IF(A261=1,"_",IF(C261="_","???",C261))</f>
        <v/>
      </c>
      <c r="H261" s="10" t="s">
        <v>11</v>
      </c>
      <c r="I261" s="11" t="s">
        <v>11</v>
      </c>
      <c r="J261" s="12"/>
    </row>
    <row r="262" spans="1:10" ht="60" customHeight="1">
      <c r="A262" s="6" t="s">
        <v>971</v>
      </c>
      <c r="B262" s="6" t="s">
        <v>15</v>
      </c>
      <c r="C262" s="6" t="s">
        <v>11</v>
      </c>
      <c r="D262" s="7" t="s">
        <v>972</v>
      </c>
      <c r="E262" s="8" t="s">
        <v>973</v>
      </c>
      <c r="F262" s="6" t="s">
        <v>974</v>
      </c>
      <c r="G262" s="9">
        <f>IF(A262=1,"_",IF(C262="_","???",C262))</f>
        <v/>
      </c>
      <c r="H262" s="10" t="s">
        <v>11</v>
      </c>
      <c r="I262" s="11" t="s">
        <v>11</v>
      </c>
      <c r="J262" s="12"/>
    </row>
    <row r="263" spans="1:10" ht="60" customHeight="1">
      <c r="A263" s="6" t="s">
        <v>975</v>
      </c>
      <c r="B263" s="6" t="s">
        <v>15</v>
      </c>
      <c r="C263" s="6" t="s">
        <v>11</v>
      </c>
      <c r="D263" s="7" t="s">
        <v>976</v>
      </c>
      <c r="E263" s="8" t="s">
        <v>977</v>
      </c>
      <c r="F263" s="6" t="s">
        <v>978</v>
      </c>
      <c r="G263" s="9">
        <f>IF(A263=1,"_",IF(C263="_","???",C263))</f>
        <v/>
      </c>
      <c r="H263" s="10" t="s">
        <v>11</v>
      </c>
      <c r="I263" s="11" t="s">
        <v>11</v>
      </c>
      <c r="J263" s="12"/>
    </row>
    <row r="264" spans="1:10" ht="60" customHeight="1">
      <c r="A264" s="6" t="s">
        <v>979</v>
      </c>
      <c r="B264" s="6" t="s">
        <v>21</v>
      </c>
      <c r="C264" s="6" t="s">
        <v>11</v>
      </c>
      <c r="D264" s="7" t="s">
        <v>980</v>
      </c>
      <c r="E264" s="8" t="s">
        <v>981</v>
      </c>
      <c r="F264" s="6" t="s">
        <v>982</v>
      </c>
      <c r="G264" s="9">
        <f>IF(A264=1,"_",IF(C264="_","???",C264))</f>
        <v/>
      </c>
      <c r="H264" s="10" t="s">
        <v>11</v>
      </c>
      <c r="I264" s="11" t="s">
        <v>11</v>
      </c>
      <c r="J264" s="12"/>
    </row>
    <row r="265" spans="1:10" ht="60" customHeight="1">
      <c r="A265" s="6" t="s">
        <v>983</v>
      </c>
      <c r="B265" s="6" t="s">
        <v>15</v>
      </c>
      <c r="C265" s="6" t="s">
        <v>11</v>
      </c>
      <c r="D265" s="7" t="s">
        <v>340</v>
      </c>
      <c r="E265" s="8" t="s">
        <v>984</v>
      </c>
      <c r="F265" s="6" t="s">
        <v>985</v>
      </c>
      <c r="G265" s="9">
        <f>IF(A265=1,"_",IF(C265="_","???",C265))</f>
        <v/>
      </c>
      <c r="H265" s="10" t="s">
        <v>11</v>
      </c>
      <c r="I265" s="11" t="s">
        <v>11</v>
      </c>
      <c r="J265" s="12"/>
    </row>
    <row r="266" spans="1:10" ht="60" customHeight="1">
      <c r="A266" s="6" t="s">
        <v>986</v>
      </c>
      <c r="B266" s="6" t="s">
        <v>15</v>
      </c>
      <c r="C266" s="6" t="s">
        <v>11</v>
      </c>
      <c r="D266" s="7" t="s">
        <v>987</v>
      </c>
      <c r="E266" s="8" t="s">
        <v>988</v>
      </c>
      <c r="F266" s="6" t="s">
        <v>989</v>
      </c>
      <c r="G266" s="9">
        <f>IF(A266=1,"_",IF(C266="_","???",C266))</f>
        <v/>
      </c>
      <c r="H266" s="10" t="s">
        <v>11</v>
      </c>
      <c r="I266" s="11" t="s">
        <v>11</v>
      </c>
      <c r="J266" s="12"/>
    </row>
    <row r="267" spans="1:10" ht="60" customHeight="1">
      <c r="A267" s="6" t="s">
        <v>990</v>
      </c>
      <c r="B267" s="6" t="s">
        <v>20</v>
      </c>
      <c r="C267" s="6" t="s">
        <v>11</v>
      </c>
      <c r="D267" s="7" t="s">
        <v>163</v>
      </c>
      <c r="E267" s="8" t="s">
        <v>991</v>
      </c>
      <c r="F267" s="6" t="s">
        <v>992</v>
      </c>
      <c r="G267" s="9">
        <f>IF(A267=1,"_",IF(C267="_","???",C267))</f>
        <v/>
      </c>
      <c r="H267" s="10" t="s">
        <v>11</v>
      </c>
      <c r="I267" s="11" t="s">
        <v>11</v>
      </c>
      <c r="J267" s="12"/>
    </row>
    <row r="268" spans="1:10" ht="60" customHeight="1">
      <c r="A268" s="6" t="s">
        <v>993</v>
      </c>
      <c r="B268" s="6" t="s">
        <v>10</v>
      </c>
      <c r="C268" s="6" t="s">
        <v>11</v>
      </c>
      <c r="D268" s="7" t="s">
        <v>185</v>
      </c>
      <c r="E268" s="8" t="s">
        <v>994</v>
      </c>
      <c r="F268" s="6" t="s">
        <v>995</v>
      </c>
      <c r="G268" s="9">
        <f>IF(A268=1,"_",IF(C268="_","???",C268))</f>
        <v/>
      </c>
      <c r="H268" s="10" t="s">
        <v>11</v>
      </c>
      <c r="I268" s="11" t="s">
        <v>11</v>
      </c>
      <c r="J268" s="12"/>
    </row>
    <row r="269" spans="1:10" ht="60" customHeight="1">
      <c r="A269" s="6" t="s">
        <v>996</v>
      </c>
      <c r="B269" s="6" t="s">
        <v>25</v>
      </c>
      <c r="C269" s="6" t="s">
        <v>11</v>
      </c>
      <c r="D269" s="7" t="s">
        <v>173</v>
      </c>
      <c r="E269" s="8" t="s">
        <v>997</v>
      </c>
      <c r="F269" s="6" t="s">
        <v>998</v>
      </c>
      <c r="G269" s="9">
        <f>IF(A269=1,"_",IF(C269="_","???",C269))</f>
        <v/>
      </c>
      <c r="H269" s="10" t="s">
        <v>11</v>
      </c>
      <c r="I269" s="11" t="s">
        <v>11</v>
      </c>
      <c r="J269" s="12"/>
    </row>
    <row r="270" spans="1:10" ht="60" customHeight="1">
      <c r="A270" s="6" t="s">
        <v>999</v>
      </c>
      <c r="B270" s="6" t="s">
        <v>41</v>
      </c>
      <c r="C270" s="6" t="s">
        <v>11</v>
      </c>
      <c r="D270" s="7" t="s">
        <v>163</v>
      </c>
      <c r="E270" s="8" t="s">
        <v>1000</v>
      </c>
      <c r="F270" s="6" t="s">
        <v>1001</v>
      </c>
      <c r="G270" s="9">
        <f>IF(A270=1,"_",IF(C270="_","???",C270))</f>
        <v/>
      </c>
      <c r="H270" s="10" t="s">
        <v>11</v>
      </c>
      <c r="I270" s="11" t="s">
        <v>11</v>
      </c>
      <c r="J270" s="12"/>
    </row>
    <row r="271" spans="1:10" ht="60" customHeight="1">
      <c r="A271" s="6" t="s">
        <v>1002</v>
      </c>
      <c r="B271" s="6" t="s">
        <v>15</v>
      </c>
      <c r="C271" s="6" t="s">
        <v>11</v>
      </c>
      <c r="D271" s="7" t="s">
        <v>1003</v>
      </c>
      <c r="E271" s="8" t="s">
        <v>1004</v>
      </c>
      <c r="F271" s="6" t="s">
        <v>1005</v>
      </c>
      <c r="G271" s="9">
        <f>IF(A271=1,"_",IF(C271="_","???",C271))</f>
        <v/>
      </c>
      <c r="H271" s="10" t="s">
        <v>11</v>
      </c>
      <c r="I271" s="11" t="s">
        <v>11</v>
      </c>
      <c r="J271" s="12"/>
    </row>
    <row r="272" spans="1:10" ht="60" customHeight="1">
      <c r="A272" s="6" t="s">
        <v>1006</v>
      </c>
      <c r="B272" s="6" t="s">
        <v>52</v>
      </c>
      <c r="C272" s="6" t="s">
        <v>11</v>
      </c>
      <c r="D272" s="7" t="s">
        <v>1007</v>
      </c>
      <c r="E272" s="8" t="s">
        <v>1008</v>
      </c>
      <c r="F272" s="6" t="s">
        <v>1009</v>
      </c>
      <c r="G272" s="9">
        <f>IF(A272=1,"_",IF(C272="_","???",C272))</f>
        <v/>
      </c>
      <c r="H272" s="10" t="s">
        <v>11</v>
      </c>
      <c r="I272" s="11" t="s">
        <v>11</v>
      </c>
      <c r="J272" s="12"/>
    </row>
    <row r="273" spans="1:10" ht="60" customHeight="1">
      <c r="A273" s="6" t="s">
        <v>1010</v>
      </c>
      <c r="B273" s="6" t="s">
        <v>68</v>
      </c>
      <c r="C273" s="6" t="s">
        <v>11</v>
      </c>
      <c r="D273" s="7" t="s">
        <v>215</v>
      </c>
      <c r="E273" s="8" t="s">
        <v>1011</v>
      </c>
      <c r="F273" s="6" t="s">
        <v>1012</v>
      </c>
      <c r="G273" s="9">
        <f>IF(A273=1,"_",IF(C273="_","???",C273))</f>
        <v/>
      </c>
      <c r="H273" s="10" t="s">
        <v>11</v>
      </c>
      <c r="I273" s="11" t="s">
        <v>11</v>
      </c>
      <c r="J273" s="12"/>
    </row>
    <row r="274" spans="1:10" ht="60" customHeight="1">
      <c r="A274" s="6" t="s">
        <v>1013</v>
      </c>
      <c r="B274" s="6" t="s">
        <v>15</v>
      </c>
      <c r="C274" s="6" t="s">
        <v>11</v>
      </c>
      <c r="D274" s="7" t="s">
        <v>1014</v>
      </c>
      <c r="E274" s="8" t="s">
        <v>1015</v>
      </c>
      <c r="F274" s="6" t="s">
        <v>1016</v>
      </c>
      <c r="G274" s="9">
        <f>IF(A274=1,"_",IF(C274="_","???",C274))</f>
        <v/>
      </c>
      <c r="H274" s="10" t="s">
        <v>11</v>
      </c>
      <c r="I274" s="11" t="s">
        <v>11</v>
      </c>
      <c r="J274" s="12"/>
    </row>
    <row r="275" spans="1:10" ht="60" customHeight="1">
      <c r="A275" s="6" t="s">
        <v>1017</v>
      </c>
      <c r="B275" s="6" t="s">
        <v>41</v>
      </c>
      <c r="C275" s="6" t="s">
        <v>11</v>
      </c>
      <c r="D275" s="7" t="s">
        <v>1018</v>
      </c>
      <c r="E275" s="8" t="s">
        <v>1019</v>
      </c>
      <c r="F275" s="6" t="s">
        <v>1020</v>
      </c>
      <c r="G275" s="9">
        <f>IF(A275=1,"_",IF(C275="_","???",C275))</f>
        <v/>
      </c>
      <c r="H275" s="10" t="s">
        <v>11</v>
      </c>
      <c r="I275" s="11" t="s">
        <v>11</v>
      </c>
      <c r="J275" s="12"/>
    </row>
    <row r="276" spans="1:10" ht="60" customHeight="1">
      <c r="A276" s="6" t="s">
        <v>1021</v>
      </c>
      <c r="B276" s="6" t="s">
        <v>29</v>
      </c>
      <c r="C276" s="6" t="s">
        <v>11</v>
      </c>
      <c r="D276" s="7" t="s">
        <v>1022</v>
      </c>
      <c r="E276" s="8" t="s">
        <v>1023</v>
      </c>
      <c r="F276" s="6" t="s">
        <v>1024</v>
      </c>
      <c r="G276" s="9">
        <f>IF(A276=1,"_",IF(C276="_","???",C276))</f>
        <v/>
      </c>
      <c r="H276" s="10" t="s">
        <v>11</v>
      </c>
      <c r="I276" s="11" t="s">
        <v>11</v>
      </c>
      <c r="J276" s="12"/>
    </row>
    <row r="277" spans="1:10" ht="60" customHeight="1">
      <c r="A277" s="6" t="s">
        <v>1025</v>
      </c>
      <c r="B277" s="6" t="s">
        <v>15</v>
      </c>
      <c r="C277" s="6" t="s">
        <v>11</v>
      </c>
      <c r="D277" s="7" t="s">
        <v>1026</v>
      </c>
      <c r="E277" s="8" t="s">
        <v>1027</v>
      </c>
      <c r="F277" s="6" t="s">
        <v>1028</v>
      </c>
      <c r="G277" s="9">
        <f>IF(A277=1,"_",IF(C277="_","???",C277))</f>
        <v/>
      </c>
      <c r="H277" s="10" t="s">
        <v>11</v>
      </c>
      <c r="I277" s="11" t="s">
        <v>11</v>
      </c>
      <c r="J277" s="12"/>
    </row>
    <row r="278" spans="1:10" ht="60" customHeight="1">
      <c r="A278" s="6" t="s">
        <v>1029</v>
      </c>
      <c r="B278" s="6" t="s">
        <v>20</v>
      </c>
      <c r="C278" s="6" t="s">
        <v>11</v>
      </c>
      <c r="D278" s="7" t="s">
        <v>1030</v>
      </c>
      <c r="E278" s="8" t="s">
        <v>1031</v>
      </c>
      <c r="F278" s="6" t="s">
        <v>1032</v>
      </c>
      <c r="G278" s="9">
        <f>IF(A278=1,"_",IF(C278="_","???",C278))</f>
        <v/>
      </c>
      <c r="H278" s="10" t="s">
        <v>11</v>
      </c>
      <c r="I278" s="11" t="s">
        <v>11</v>
      </c>
      <c r="J278" s="12"/>
    </row>
    <row r="279" spans="1:10" ht="60" customHeight="1">
      <c r="A279" s="6" t="s">
        <v>1033</v>
      </c>
      <c r="B279" s="6" t="s">
        <v>16</v>
      </c>
      <c r="C279" s="6" t="s">
        <v>1034</v>
      </c>
      <c r="D279" s="7" t="s">
        <v>1035</v>
      </c>
      <c r="E279" s="8" t="s">
        <v>1036</v>
      </c>
      <c r="F279" s="6" t="s">
        <v>1037</v>
      </c>
      <c r="G279" s="9">
        <f>IF(A279=1,"_",IF(C279="_","???",C279))</f>
        <v/>
      </c>
      <c r="H279" s="10" t="s">
        <v>11</v>
      </c>
      <c r="I279" s="11" t="s">
        <v>11</v>
      </c>
      <c r="J279" s="12"/>
    </row>
    <row r="280" spans="1:10" ht="60" customHeight="1">
      <c r="A280" s="6" t="s">
        <v>1038</v>
      </c>
      <c r="B280" s="6" t="s">
        <v>21</v>
      </c>
      <c r="C280" s="6" t="s">
        <v>11</v>
      </c>
      <c r="D280" s="7" t="s">
        <v>1039</v>
      </c>
      <c r="E280" s="8" t="s">
        <v>1040</v>
      </c>
      <c r="F280" s="6" t="s">
        <v>1041</v>
      </c>
      <c r="G280" s="9">
        <f>IF(A280=1,"_",IF(C280="_","???",C280))</f>
        <v/>
      </c>
      <c r="H280" s="10" t="s">
        <v>11</v>
      </c>
      <c r="I280" s="11" t="s">
        <v>11</v>
      </c>
      <c r="J280" s="12"/>
    </row>
    <row r="281" spans="1:10" ht="60" customHeight="1">
      <c r="A281" s="6" t="s">
        <v>1042</v>
      </c>
      <c r="B281" s="6" t="s">
        <v>10</v>
      </c>
      <c r="C281" s="6" t="s">
        <v>11</v>
      </c>
      <c r="D281" s="7" t="s">
        <v>185</v>
      </c>
      <c r="E281" s="8" t="s">
        <v>1043</v>
      </c>
      <c r="F281" s="6" t="s">
        <v>1044</v>
      </c>
      <c r="G281" s="9">
        <f>IF(A281=1,"_",IF(C281="_","???",C281))</f>
        <v/>
      </c>
      <c r="H281" s="10" t="s">
        <v>11</v>
      </c>
      <c r="I281" s="11" t="s">
        <v>11</v>
      </c>
      <c r="J281" s="12"/>
    </row>
    <row r="282" spans="1:10" ht="60" customHeight="1">
      <c r="A282" s="6" t="s">
        <v>1045</v>
      </c>
      <c r="B282" s="6" t="s">
        <v>20</v>
      </c>
      <c r="C282" s="6" t="s">
        <v>11</v>
      </c>
      <c r="D282" s="7" t="s">
        <v>1046</v>
      </c>
      <c r="E282" s="8" t="s">
        <v>1047</v>
      </c>
      <c r="F282" s="6" t="s">
        <v>1048</v>
      </c>
      <c r="G282" s="9">
        <f>IF(A282=1,"_",IF(C282="_","???",C282))</f>
        <v/>
      </c>
      <c r="H282" s="10" t="s">
        <v>11</v>
      </c>
      <c r="I282" s="11" t="s">
        <v>11</v>
      </c>
      <c r="J282" s="12"/>
    </row>
    <row r="283" spans="1:10" ht="60" customHeight="1">
      <c r="A283" s="6" t="s">
        <v>1049</v>
      </c>
      <c r="B283" s="6" t="s">
        <v>15</v>
      </c>
      <c r="C283" s="6" t="s">
        <v>11</v>
      </c>
      <c r="D283" s="7" t="s">
        <v>134</v>
      </c>
      <c r="E283" s="8" t="s">
        <v>1050</v>
      </c>
      <c r="F283" s="6" t="s">
        <v>1051</v>
      </c>
      <c r="G283" s="9">
        <f>IF(A283=1,"_",IF(C283="_","???",C283))</f>
        <v/>
      </c>
      <c r="H283" s="10" t="s">
        <v>11</v>
      </c>
      <c r="I283" s="11" t="s">
        <v>11</v>
      </c>
      <c r="J283" s="12"/>
    </row>
    <row r="284" spans="1:10" ht="60" customHeight="1">
      <c r="A284" s="6" t="s">
        <v>1052</v>
      </c>
      <c r="B284" s="6" t="s">
        <v>15</v>
      </c>
      <c r="C284" s="6" t="s">
        <v>11</v>
      </c>
      <c r="D284" s="7" t="s">
        <v>405</v>
      </c>
      <c r="E284" s="8" t="s">
        <v>1053</v>
      </c>
      <c r="F284" s="6" t="s">
        <v>1054</v>
      </c>
      <c r="G284" s="9">
        <f>IF(A284=1,"_",IF(C284="_","???",C284))</f>
        <v/>
      </c>
      <c r="H284" s="10" t="s">
        <v>11</v>
      </c>
      <c r="I284" s="11" t="s">
        <v>11</v>
      </c>
      <c r="J284" s="12"/>
    </row>
    <row r="285" spans="1:10" ht="60" customHeight="1">
      <c r="A285" s="6" t="s">
        <v>1055</v>
      </c>
      <c r="B285" s="6" t="s">
        <v>64</v>
      </c>
      <c r="C285" s="6" t="s">
        <v>11</v>
      </c>
      <c r="D285" s="7" t="s">
        <v>65</v>
      </c>
      <c r="E285" s="8" t="s">
        <v>1056</v>
      </c>
      <c r="F285" s="6" t="s">
        <v>1057</v>
      </c>
      <c r="G285" s="9">
        <f>IF(A285=1,"_",IF(C285="_","???",C285))</f>
        <v/>
      </c>
      <c r="H285" s="10" t="s">
        <v>11</v>
      </c>
      <c r="I285" s="11" t="s">
        <v>11</v>
      </c>
      <c r="J285" s="12"/>
    </row>
    <row r="286" spans="1:10" ht="60" customHeight="1">
      <c r="A286" s="6" t="s">
        <v>1058</v>
      </c>
      <c r="B286" s="6" t="s">
        <v>15</v>
      </c>
      <c r="C286" s="6" t="s">
        <v>162</v>
      </c>
      <c r="D286" s="7" t="s">
        <v>1059</v>
      </c>
      <c r="E286" s="8" t="s">
        <v>1060</v>
      </c>
      <c r="F286" s="6" t="s">
        <v>1061</v>
      </c>
      <c r="G286" s="9">
        <f>IF(A286=1,"_",IF(C286="_","???",C286))</f>
        <v/>
      </c>
      <c r="H286" s="10" t="s">
        <v>11</v>
      </c>
      <c r="I286" s="11" t="s">
        <v>11</v>
      </c>
      <c r="J286" s="12"/>
    </row>
    <row r="287" spans="1:10" ht="60" customHeight="1">
      <c r="A287" s="6" t="s">
        <v>1062</v>
      </c>
      <c r="B287" s="6" t="s">
        <v>20</v>
      </c>
      <c r="C287" s="6" t="s">
        <v>11</v>
      </c>
      <c r="D287" s="7" t="s">
        <v>134</v>
      </c>
      <c r="E287" s="8" t="s">
        <v>1063</v>
      </c>
      <c r="F287" s="6" t="s">
        <v>1064</v>
      </c>
      <c r="G287" s="9">
        <f>IF(A287=1,"_",IF(C287="_","???",C287))</f>
        <v/>
      </c>
      <c r="H287" s="10" t="s">
        <v>11</v>
      </c>
      <c r="I287" s="11" t="s">
        <v>11</v>
      </c>
      <c r="J287" s="12"/>
    </row>
    <row r="288" spans="1:10" ht="60" customHeight="1">
      <c r="A288" s="6" t="s">
        <v>1065</v>
      </c>
      <c r="B288" s="6" t="s">
        <v>15</v>
      </c>
      <c r="C288" s="6" t="s">
        <v>11</v>
      </c>
      <c r="D288" s="7" t="s">
        <v>1066</v>
      </c>
      <c r="E288" s="8" t="s">
        <v>1067</v>
      </c>
      <c r="F288" s="6" t="s">
        <v>1068</v>
      </c>
      <c r="G288" s="9">
        <f>IF(A288=1,"_",IF(C288="_","???",C288))</f>
        <v/>
      </c>
      <c r="H288" s="10" t="s">
        <v>11</v>
      </c>
      <c r="I288" s="11" t="s">
        <v>11</v>
      </c>
      <c r="J288" s="12"/>
    </row>
    <row r="289" spans="1:10" ht="60" customHeight="1">
      <c r="A289" s="6" t="s">
        <v>1069</v>
      </c>
      <c r="B289" s="6" t="s">
        <v>15</v>
      </c>
      <c r="C289" s="6" t="s">
        <v>11</v>
      </c>
      <c r="D289" s="7" t="s">
        <v>340</v>
      </c>
      <c r="E289" s="8" t="s">
        <v>1070</v>
      </c>
      <c r="F289" s="6" t="s">
        <v>1071</v>
      </c>
      <c r="G289" s="9">
        <f>IF(A289=1,"_",IF(C289="_","???",C289))</f>
        <v/>
      </c>
      <c r="H289" s="10" t="s">
        <v>11</v>
      </c>
      <c r="I289" s="11" t="s">
        <v>11</v>
      </c>
      <c r="J289" s="12"/>
    </row>
    <row r="290" spans="1:10" ht="60" customHeight="1">
      <c r="A290" s="6" t="s">
        <v>1072</v>
      </c>
      <c r="B290" s="6" t="s">
        <v>15</v>
      </c>
      <c r="C290" s="6" t="s">
        <v>11</v>
      </c>
      <c r="D290" s="7" t="s">
        <v>1073</v>
      </c>
      <c r="E290" s="8" t="s">
        <v>1074</v>
      </c>
      <c r="F290" s="6" t="s">
        <v>1075</v>
      </c>
      <c r="G290" s="9">
        <f>IF(A290=1,"_",IF(C290="_","???",C290))</f>
        <v/>
      </c>
      <c r="H290" s="10" t="s">
        <v>11</v>
      </c>
      <c r="I290" s="11" t="s">
        <v>11</v>
      </c>
      <c r="J290" s="12"/>
    </row>
    <row r="291" spans="1:10" ht="60" customHeight="1">
      <c r="A291" s="6" t="s">
        <v>1076</v>
      </c>
      <c r="B291" s="6" t="s">
        <v>15</v>
      </c>
      <c r="C291" s="6" t="s">
        <v>11</v>
      </c>
      <c r="D291" s="7" t="s">
        <v>1073</v>
      </c>
      <c r="E291" s="8" t="s">
        <v>1077</v>
      </c>
      <c r="F291" s="6" t="s">
        <v>1078</v>
      </c>
      <c r="G291" s="9">
        <f>IF(A291=1,"_",IF(C291="_","???",C291))</f>
        <v/>
      </c>
      <c r="H291" s="10" t="s">
        <v>11</v>
      </c>
      <c r="I291" s="11" t="s">
        <v>11</v>
      </c>
      <c r="J291" s="12"/>
    </row>
    <row r="292" spans="1:10" ht="60" customHeight="1">
      <c r="A292" s="6" t="s">
        <v>1079</v>
      </c>
      <c r="B292" s="6" t="s">
        <v>10</v>
      </c>
      <c r="C292" s="6" t="s">
        <v>11</v>
      </c>
      <c r="D292" s="7" t="s">
        <v>416</v>
      </c>
      <c r="E292" s="8" t="s">
        <v>1080</v>
      </c>
      <c r="F292" s="6" t="s">
        <v>1081</v>
      </c>
      <c r="G292" s="9">
        <f>IF(A292=1,"_",IF(C292="_","???",C292))</f>
        <v/>
      </c>
      <c r="H292" s="10" t="s">
        <v>11</v>
      </c>
      <c r="I292" s="11" t="s">
        <v>11</v>
      </c>
      <c r="J292" s="12"/>
    </row>
    <row r="293" spans="1:10" ht="60" customHeight="1">
      <c r="A293" s="6" t="s">
        <v>1082</v>
      </c>
      <c r="B293" s="6" t="s">
        <v>15</v>
      </c>
      <c r="C293" s="6" t="s">
        <v>11</v>
      </c>
      <c r="D293" s="7" t="s">
        <v>366</v>
      </c>
      <c r="E293" s="8" t="s">
        <v>1083</v>
      </c>
      <c r="F293" s="6" t="s">
        <v>1084</v>
      </c>
      <c r="G293" s="9">
        <f>IF(A293=1,"_",IF(C293="_","???",C293))</f>
        <v/>
      </c>
      <c r="H293" s="10" t="s">
        <v>11</v>
      </c>
      <c r="I293" s="11" t="s">
        <v>11</v>
      </c>
      <c r="J293" s="12"/>
    </row>
    <row r="294" spans="1:10" ht="60" customHeight="1">
      <c r="A294" s="6" t="s">
        <v>1085</v>
      </c>
      <c r="B294" s="6" t="s">
        <v>21</v>
      </c>
      <c r="C294" s="6" t="s">
        <v>11</v>
      </c>
      <c r="D294" s="7" t="s">
        <v>276</v>
      </c>
      <c r="E294" s="8" t="s">
        <v>1086</v>
      </c>
      <c r="F294" s="6" t="s">
        <v>1087</v>
      </c>
      <c r="G294" s="9">
        <f>IF(A294=1,"_",IF(C294="_","???",C294))</f>
        <v/>
      </c>
      <c r="H294" s="10" t="s">
        <v>11</v>
      </c>
      <c r="I294" s="11" t="s">
        <v>11</v>
      </c>
      <c r="J294" s="12"/>
    </row>
    <row r="295" spans="1:10" ht="60" customHeight="1">
      <c r="A295" s="6" t="s">
        <v>1088</v>
      </c>
      <c r="B295" s="6" t="s">
        <v>10</v>
      </c>
      <c r="C295" s="6" t="s">
        <v>11</v>
      </c>
      <c r="D295" s="7" t="s">
        <v>185</v>
      </c>
      <c r="E295" s="8" t="s">
        <v>1089</v>
      </c>
      <c r="F295" s="6" t="s">
        <v>1090</v>
      </c>
      <c r="G295" s="9">
        <f>IF(A295=1,"_",IF(C295="_","???",C295))</f>
        <v/>
      </c>
      <c r="H295" s="10" t="s">
        <v>11</v>
      </c>
      <c r="I295" s="11" t="s">
        <v>11</v>
      </c>
      <c r="J295" s="12"/>
    </row>
    <row r="296" spans="1:10" ht="60" customHeight="1">
      <c r="A296" s="6" t="s">
        <v>1091</v>
      </c>
      <c r="B296" s="6" t="s">
        <v>15</v>
      </c>
      <c r="C296" s="6" t="s">
        <v>11</v>
      </c>
      <c r="D296" s="7" t="s">
        <v>1092</v>
      </c>
      <c r="E296" s="8" t="s">
        <v>1093</v>
      </c>
      <c r="F296" s="6" t="s">
        <v>1094</v>
      </c>
      <c r="G296" s="9">
        <f>IF(A296=1,"_",IF(C296="_","???",C296))</f>
        <v/>
      </c>
      <c r="H296" s="10" t="s">
        <v>11</v>
      </c>
      <c r="I296" s="11" t="s">
        <v>11</v>
      </c>
      <c r="J296" s="12"/>
    </row>
    <row r="297" spans="1:10" ht="60" customHeight="1">
      <c r="A297" s="6" t="s">
        <v>1095</v>
      </c>
      <c r="B297" s="6" t="s">
        <v>20</v>
      </c>
      <c r="C297" s="6" t="s">
        <v>11</v>
      </c>
      <c r="D297" s="7" t="s">
        <v>1096</v>
      </c>
      <c r="E297" s="8" t="s">
        <v>1097</v>
      </c>
      <c r="F297" s="6" t="s">
        <v>1098</v>
      </c>
      <c r="G297" s="9">
        <f>IF(A297=1,"_",IF(C297="_","???",C297))</f>
        <v/>
      </c>
      <c r="H297" s="10" t="s">
        <v>11</v>
      </c>
      <c r="I297" s="11" t="s">
        <v>11</v>
      </c>
      <c r="J297" s="12"/>
    </row>
    <row r="298" spans="1:10" ht="60" customHeight="1">
      <c r="A298" s="6" t="s">
        <v>1099</v>
      </c>
      <c r="B298" s="6" t="s">
        <v>21</v>
      </c>
      <c r="C298" s="6" t="s">
        <v>11</v>
      </c>
      <c r="D298" s="7" t="s">
        <v>445</v>
      </c>
      <c r="E298" s="8" t="s">
        <v>1100</v>
      </c>
      <c r="F298" s="6" t="s">
        <v>1101</v>
      </c>
      <c r="G298" s="9">
        <f>IF(A298=1,"_",IF(C298="_","???",C298))</f>
        <v/>
      </c>
      <c r="H298" s="10" t="s">
        <v>11</v>
      </c>
      <c r="I298" s="11" t="s">
        <v>11</v>
      </c>
      <c r="J298" s="12"/>
    </row>
    <row r="299" spans="1:10" ht="60" customHeight="1">
      <c r="A299" s="6" t="s">
        <v>1102</v>
      </c>
      <c r="B299" s="6" t="s">
        <v>41</v>
      </c>
      <c r="C299" s="6" t="s">
        <v>11</v>
      </c>
      <c r="D299" s="7" t="s">
        <v>1103</v>
      </c>
      <c r="E299" s="8" t="s">
        <v>1104</v>
      </c>
      <c r="F299" s="6" t="s">
        <v>1105</v>
      </c>
      <c r="G299" s="9">
        <f>IF(A299=1,"_",IF(C299="_","???",C299))</f>
        <v/>
      </c>
      <c r="H299" s="10" t="s">
        <v>11</v>
      </c>
      <c r="I299" s="11" t="s">
        <v>11</v>
      </c>
      <c r="J299" s="12"/>
    </row>
    <row r="300" spans="1:10" ht="60" customHeight="1">
      <c r="A300" s="6" t="s">
        <v>1106</v>
      </c>
      <c r="B300" s="6" t="s">
        <v>10</v>
      </c>
      <c r="C300" s="6" t="s">
        <v>11</v>
      </c>
      <c r="D300" s="7" t="s">
        <v>185</v>
      </c>
      <c r="E300" s="8" t="s">
        <v>677</v>
      </c>
      <c r="F300" s="6" t="s">
        <v>1107</v>
      </c>
      <c r="G300" s="9">
        <f>IF(A300=1,"_",IF(C300="_","???",C300))</f>
        <v/>
      </c>
      <c r="H300" s="10" t="s">
        <v>11</v>
      </c>
      <c r="I300" s="11" t="s">
        <v>11</v>
      </c>
      <c r="J300" s="12"/>
    </row>
    <row r="301" spans="1:10" ht="60" customHeight="1">
      <c r="A301" s="6" t="s">
        <v>1108</v>
      </c>
      <c r="B301" s="6" t="s">
        <v>15</v>
      </c>
      <c r="C301" s="6" t="s">
        <v>11</v>
      </c>
      <c r="D301" s="7" t="s">
        <v>606</v>
      </c>
      <c r="E301" s="8" t="s">
        <v>1109</v>
      </c>
      <c r="F301" s="6" t="s">
        <v>1110</v>
      </c>
      <c r="G301" s="9">
        <f>IF(A301=1,"_",IF(C301="_","???",C301))</f>
        <v/>
      </c>
      <c r="H301" s="10" t="s">
        <v>11</v>
      </c>
      <c r="I301" s="11" t="s">
        <v>11</v>
      </c>
      <c r="J301" s="12"/>
    </row>
    <row r="302" spans="1:10" ht="60" customHeight="1">
      <c r="A302" s="6" t="s">
        <v>1111</v>
      </c>
      <c r="B302" s="6" t="s">
        <v>52</v>
      </c>
      <c r="C302" s="6" t="s">
        <v>11</v>
      </c>
      <c r="D302" s="7" t="s">
        <v>1112</v>
      </c>
      <c r="E302" s="8" t="s">
        <v>1113</v>
      </c>
      <c r="F302" s="6" t="s">
        <v>1114</v>
      </c>
      <c r="G302" s="9">
        <f>IF(A302=1,"_",IF(C302="_","???",C302))</f>
        <v/>
      </c>
      <c r="H302" s="10" t="s">
        <v>11</v>
      </c>
      <c r="I302" s="11" t="s">
        <v>11</v>
      </c>
      <c r="J302" s="12"/>
    </row>
    <row r="303" spans="1:10" ht="60" customHeight="1">
      <c r="A303" s="6" t="s">
        <v>1115</v>
      </c>
      <c r="B303" s="6" t="s">
        <v>15</v>
      </c>
      <c r="C303" s="6" t="s">
        <v>11</v>
      </c>
      <c r="D303" s="7" t="s">
        <v>215</v>
      </c>
      <c r="E303" s="8" t="s">
        <v>1116</v>
      </c>
      <c r="F303" s="6" t="s">
        <v>1117</v>
      </c>
      <c r="G303" s="9">
        <f>IF(A303=1,"_",IF(C303="_","???",C303))</f>
        <v/>
      </c>
      <c r="H303" s="10" t="s">
        <v>11</v>
      </c>
      <c r="I303" s="11" t="s">
        <v>11</v>
      </c>
      <c r="J303" s="12"/>
    </row>
    <row r="304" spans="1:10" ht="60" customHeight="1">
      <c r="A304" s="6" t="s">
        <v>1118</v>
      </c>
      <c r="B304" s="6" t="s">
        <v>45</v>
      </c>
      <c r="C304" s="6" t="s">
        <v>11</v>
      </c>
      <c r="D304" s="7" t="s">
        <v>1119</v>
      </c>
      <c r="E304" s="8" t="s">
        <v>1120</v>
      </c>
      <c r="F304" s="6" t="s">
        <v>1121</v>
      </c>
      <c r="G304" s="9">
        <f>IF(A304=1,"_",IF(C304="_","???",C304))</f>
        <v/>
      </c>
      <c r="H304" s="10" t="s">
        <v>11</v>
      </c>
      <c r="I304" s="11" t="s">
        <v>11</v>
      </c>
      <c r="J304" s="12"/>
    </row>
    <row r="305" spans="1:10" ht="60" customHeight="1">
      <c r="A305" s="6" t="s">
        <v>1122</v>
      </c>
      <c r="B305" s="6" t="s">
        <v>21</v>
      </c>
      <c r="C305" s="6" t="s">
        <v>11</v>
      </c>
      <c r="D305" s="7" t="s">
        <v>292</v>
      </c>
      <c r="E305" s="8" t="s">
        <v>1123</v>
      </c>
      <c r="F305" s="6" t="s">
        <v>1124</v>
      </c>
      <c r="G305" s="9">
        <f>IF(A305=1,"_",IF(C305="_","???",C305))</f>
        <v/>
      </c>
      <c r="H305" s="10" t="s">
        <v>11</v>
      </c>
      <c r="I305" s="11" t="s">
        <v>11</v>
      </c>
      <c r="J305" s="12"/>
    </row>
    <row r="306" spans="1:10" ht="60" customHeight="1">
      <c r="A306" s="6" t="s">
        <v>1125</v>
      </c>
      <c r="B306" s="6" t="s">
        <v>25</v>
      </c>
      <c r="C306" s="6" t="s">
        <v>11</v>
      </c>
      <c r="D306" s="7" t="s">
        <v>130</v>
      </c>
      <c r="E306" s="8" t="s">
        <v>1126</v>
      </c>
      <c r="F306" s="6" t="s">
        <v>1127</v>
      </c>
      <c r="G306" s="9">
        <f>IF(A306=1,"_",IF(C306="_","???",C306))</f>
        <v/>
      </c>
      <c r="H306" s="10" t="s">
        <v>11</v>
      </c>
      <c r="I306" s="11" t="s">
        <v>11</v>
      </c>
      <c r="J306" s="12"/>
    </row>
    <row r="307" spans="1:10" ht="60" customHeight="1">
      <c r="A307" s="6" t="s">
        <v>1128</v>
      </c>
      <c r="B307" s="6" t="s">
        <v>21</v>
      </c>
      <c r="C307" s="6" t="s">
        <v>11</v>
      </c>
      <c r="D307" s="7" t="s">
        <v>1129</v>
      </c>
      <c r="E307" s="8" t="s">
        <v>1130</v>
      </c>
      <c r="F307" s="6" t="s">
        <v>1131</v>
      </c>
      <c r="G307" s="9">
        <f>IF(A307=1,"_",IF(C307="_","???",C307))</f>
        <v/>
      </c>
      <c r="H307" s="10" t="s">
        <v>11</v>
      </c>
      <c r="I307" s="11" t="s">
        <v>11</v>
      </c>
      <c r="J307" s="12"/>
    </row>
    <row r="308" spans="1:10" ht="60" customHeight="1">
      <c r="A308" s="6" t="s">
        <v>1132</v>
      </c>
      <c r="B308" s="6" t="s">
        <v>15</v>
      </c>
      <c r="C308" s="6" t="s">
        <v>11</v>
      </c>
      <c r="D308" s="7" t="s">
        <v>1133</v>
      </c>
      <c r="E308" s="8" t="s">
        <v>1134</v>
      </c>
      <c r="F308" s="6" t="s">
        <v>1135</v>
      </c>
      <c r="G308" s="9">
        <f>IF(A308=1,"_",IF(C308="_","???",C308))</f>
        <v/>
      </c>
      <c r="H308" s="10" t="s">
        <v>11</v>
      </c>
      <c r="I308" s="11" t="s">
        <v>11</v>
      </c>
      <c r="J308" s="12"/>
    </row>
    <row r="309" spans="1:10" ht="60" customHeight="1">
      <c r="A309" s="6" t="s">
        <v>1136</v>
      </c>
      <c r="B309" s="6" t="s">
        <v>25</v>
      </c>
      <c r="C309" s="6" t="s">
        <v>11</v>
      </c>
      <c r="D309" s="7" t="s">
        <v>1137</v>
      </c>
      <c r="E309" s="8" t="s">
        <v>1138</v>
      </c>
      <c r="F309" s="6" t="s">
        <v>1139</v>
      </c>
      <c r="G309" s="9">
        <f>IF(A309=1,"_",IF(C309="_","???",C309))</f>
        <v/>
      </c>
      <c r="H309" s="10" t="s">
        <v>11</v>
      </c>
      <c r="I309" s="11" t="s">
        <v>11</v>
      </c>
      <c r="J309" s="12"/>
    </row>
    <row r="310" spans="1:10" ht="60" customHeight="1">
      <c r="A310" s="6" t="s">
        <v>1140</v>
      </c>
      <c r="B310" s="6" t="s">
        <v>15</v>
      </c>
      <c r="C310" s="6" t="s">
        <v>11</v>
      </c>
      <c r="D310" s="7" t="s">
        <v>1141</v>
      </c>
      <c r="E310" s="8" t="s">
        <v>1142</v>
      </c>
      <c r="F310" s="6" t="s">
        <v>1143</v>
      </c>
      <c r="G310" s="9">
        <f>IF(A310=1,"_",IF(C310="_","???",C310))</f>
        <v/>
      </c>
      <c r="H310" s="10" t="s">
        <v>11</v>
      </c>
      <c r="I310" s="11" t="s">
        <v>11</v>
      </c>
      <c r="J310" s="12"/>
    </row>
    <row r="311" spans="1:10" ht="60" customHeight="1">
      <c r="A311" s="6" t="s">
        <v>1144</v>
      </c>
      <c r="B311" s="6" t="s">
        <v>29</v>
      </c>
      <c r="C311" s="6" t="s">
        <v>11</v>
      </c>
      <c r="D311" s="7" t="s">
        <v>1145</v>
      </c>
      <c r="E311" s="8" t="s">
        <v>1146</v>
      </c>
      <c r="F311" s="6" t="s">
        <v>1147</v>
      </c>
      <c r="G311" s="9">
        <f>IF(A311=1,"_",IF(C311="_","???",C311))</f>
        <v/>
      </c>
      <c r="H311" s="10" t="s">
        <v>11</v>
      </c>
      <c r="I311" s="11" t="s">
        <v>11</v>
      </c>
      <c r="J311" s="12"/>
    </row>
    <row r="312" spans="1:10" ht="60" customHeight="1">
      <c r="A312" s="6" t="s">
        <v>1148</v>
      </c>
      <c r="B312" s="6" t="s">
        <v>41</v>
      </c>
      <c r="C312" s="6" t="s">
        <v>30</v>
      </c>
      <c r="D312" s="7" t="s">
        <v>1149</v>
      </c>
      <c r="E312" s="8" t="s">
        <v>1150</v>
      </c>
      <c r="F312" s="6" t="s">
        <v>1151</v>
      </c>
      <c r="G312" s="9">
        <f>IF(A312=1,"_",IF(C312="_","???",C312))</f>
        <v/>
      </c>
      <c r="H312" s="10" t="s">
        <v>11</v>
      </c>
      <c r="I312" s="11" t="s">
        <v>11</v>
      </c>
      <c r="J312" s="12"/>
    </row>
    <row r="313" spans="1:10" ht="60" customHeight="1">
      <c r="A313" s="6" t="s">
        <v>1152</v>
      </c>
      <c r="B313" s="6" t="s">
        <v>16</v>
      </c>
      <c r="C313" s="6" t="s">
        <v>11</v>
      </c>
      <c r="D313" s="7" t="s">
        <v>1153</v>
      </c>
      <c r="E313" s="8" t="s">
        <v>1154</v>
      </c>
      <c r="F313" s="6" t="s">
        <v>1155</v>
      </c>
      <c r="G313" s="9">
        <f>IF(A313=1,"_",IF(C313="_","???",C313))</f>
        <v/>
      </c>
      <c r="H313" s="10" t="s">
        <v>11</v>
      </c>
      <c r="I313" s="11" t="s">
        <v>11</v>
      </c>
      <c r="J313" s="12"/>
    </row>
    <row r="314" spans="1:10" ht="60" customHeight="1">
      <c r="A314" s="6" t="s">
        <v>1156</v>
      </c>
      <c r="B314" s="6" t="s">
        <v>34</v>
      </c>
      <c r="C314" s="6" t="s">
        <v>11</v>
      </c>
      <c r="D314" s="7" t="s">
        <v>1157</v>
      </c>
      <c r="E314" s="8" t="s">
        <v>1158</v>
      </c>
      <c r="F314" s="6" t="s">
        <v>1159</v>
      </c>
      <c r="G314" s="9">
        <f>IF(A314=1,"_",IF(C314="_","???",C314))</f>
        <v/>
      </c>
      <c r="H314" s="10" t="s">
        <v>11</v>
      </c>
      <c r="I314" s="11" t="s">
        <v>11</v>
      </c>
      <c r="J314" s="12"/>
    </row>
    <row r="315" spans="1:10" ht="60" customHeight="1">
      <c r="A315" s="6" t="s">
        <v>1160</v>
      </c>
      <c r="B315" s="6" t="s">
        <v>20</v>
      </c>
      <c r="C315" s="6" t="s">
        <v>11</v>
      </c>
      <c r="D315" s="7" t="s">
        <v>215</v>
      </c>
      <c r="E315" s="8" t="s">
        <v>1161</v>
      </c>
      <c r="F315" s="6" t="s">
        <v>1162</v>
      </c>
      <c r="G315" s="9">
        <f>IF(A315=1,"_",IF(C315="_","???",C315))</f>
        <v/>
      </c>
      <c r="H315" s="10" t="s">
        <v>11</v>
      </c>
      <c r="I315" s="11" t="s">
        <v>11</v>
      </c>
      <c r="J315" s="12"/>
    </row>
    <row r="316" spans="1:10" ht="60" customHeight="1">
      <c r="A316" s="6" t="s">
        <v>1163</v>
      </c>
      <c r="B316" s="6" t="s">
        <v>15</v>
      </c>
      <c r="C316" s="6" t="s">
        <v>11</v>
      </c>
      <c r="D316" s="7" t="s">
        <v>1164</v>
      </c>
      <c r="E316" s="8" t="s">
        <v>1165</v>
      </c>
      <c r="F316" s="6" t="s">
        <v>1166</v>
      </c>
      <c r="G316" s="9">
        <f>IF(A316=1,"_",IF(C316="_","???",C316))</f>
        <v/>
      </c>
      <c r="H316" s="10" t="s">
        <v>11</v>
      </c>
      <c r="I316" s="11" t="s">
        <v>11</v>
      </c>
      <c r="J316" s="12"/>
    </row>
    <row r="317" spans="1:10" ht="60" customHeight="1">
      <c r="A317" s="6" t="s">
        <v>1167</v>
      </c>
      <c r="B317" s="6" t="s">
        <v>15</v>
      </c>
      <c r="C317" s="6" t="s">
        <v>11</v>
      </c>
      <c r="D317" s="7" t="s">
        <v>1168</v>
      </c>
      <c r="E317" s="8" t="s">
        <v>1169</v>
      </c>
      <c r="F317" s="6" t="s">
        <v>1170</v>
      </c>
      <c r="G317" s="9">
        <f>IF(A317=1,"_",IF(C317="_","???",C317))</f>
        <v/>
      </c>
      <c r="H317" s="10" t="s">
        <v>11</v>
      </c>
      <c r="I317" s="11" t="s">
        <v>11</v>
      </c>
      <c r="J317" s="12"/>
    </row>
    <row r="318" spans="1:10" ht="60" customHeight="1">
      <c r="A318" s="6" t="s">
        <v>1171</v>
      </c>
      <c r="B318" s="6" t="s">
        <v>21</v>
      </c>
      <c r="C318" s="6" t="s">
        <v>11</v>
      </c>
      <c r="D318" s="7" t="s">
        <v>1168</v>
      </c>
      <c r="E318" s="8" t="s">
        <v>1172</v>
      </c>
      <c r="F318" s="6" t="s">
        <v>1173</v>
      </c>
      <c r="G318" s="9">
        <f>IF(A318=1,"_",IF(C318="_","???",C318))</f>
        <v/>
      </c>
      <c r="H318" s="10" t="s">
        <v>11</v>
      </c>
      <c r="I318" s="11" t="s">
        <v>11</v>
      </c>
      <c r="J31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68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1174</v>
      </c>
      <c r="B1" s="13" t="s">
        <v>1175</v>
      </c>
      <c r="C1" s="13" t="s">
        <v>1176</v>
      </c>
      <c r="D1" s="13" t="s">
        <v>1177</v>
      </c>
      <c r="E1" s="14" t="s">
        <v>1178</v>
      </c>
      <c r="F1" s="15" t="s">
        <v>1179</v>
      </c>
      <c r="G1" s="16" t="s">
        <v>1180</v>
      </c>
      <c r="H1" s="17" t="s">
        <v>1181</v>
      </c>
      <c r="I1" s="18" t="s">
        <v>1182</v>
      </c>
      <c r="J1" s="18" t="s">
        <v>1183</v>
      </c>
      <c r="K1" s="18" t="s">
        <v>1184</v>
      </c>
      <c r="L1" s="19" t="s">
        <v>9</v>
      </c>
    </row>
    <row r="2" spans="1:12">
      <c r="A2" s="20" t="s">
        <v>1185</v>
      </c>
    </row>
    <row r="3" spans="1:12">
      <c r="A3" s="20" t="s">
        <v>12</v>
      </c>
      <c r="B3" s="21" t="s">
        <v>1186</v>
      </c>
      <c r="C3" s="21" t="s">
        <v>1187</v>
      </c>
      <c r="D3" s="21" t="s">
        <v>1188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1189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1190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1191</v>
      </c>
      <c r="B6" s="21" t="s">
        <v>1186</v>
      </c>
      <c r="C6" s="21" t="s">
        <v>1192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1193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1194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1195</v>
      </c>
      <c r="B9" s="21" t="s">
        <v>1186</v>
      </c>
      <c r="C9" s="21" t="s">
        <v>1196</v>
      </c>
      <c r="D9" s="21" t="s">
        <v>1188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1197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1198</v>
      </c>
      <c r="B11" s="21" t="s">
        <v>1199</v>
      </c>
      <c r="C11" s="21" t="s">
        <v>1196</v>
      </c>
      <c r="D11" s="21" t="s">
        <v>1188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826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1200</v>
      </c>
    </row>
    <row r="15" spans="1:12">
      <c r="A15" s="20" t="s">
        <v>1201</v>
      </c>
      <c r="B15" s="21" t="s">
        <v>1202</v>
      </c>
      <c r="C15" s="21" t="s">
        <v>1203</v>
      </c>
      <c r="D15" s="21" t="s">
        <v>1188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1204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1205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1206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1207</v>
      </c>
      <c r="B19" s="21" t="s">
        <v>1186</v>
      </c>
      <c r="C19" s="21" t="s">
        <v>1196</v>
      </c>
      <c r="D19" s="21" t="s">
        <v>1188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1208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1209</v>
      </c>
      <c r="B21" s="21" t="s">
        <v>1199</v>
      </c>
      <c r="C21" s="21" t="s">
        <v>1187</v>
      </c>
      <c r="D21" s="21" t="s">
        <v>1188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1210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1211</v>
      </c>
      <c r="B23" s="21" t="s">
        <v>1212</v>
      </c>
      <c r="C23" s="21" t="s">
        <v>1196</v>
      </c>
      <c r="D23" s="21" t="s">
        <v>1188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1213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1214</v>
      </c>
      <c r="B25" s="21" t="s">
        <v>1215</v>
      </c>
      <c r="C25" s="21" t="s">
        <v>1216</v>
      </c>
      <c r="D25" s="21" t="s">
        <v>1188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1217</v>
      </c>
      <c r="B26" s="21" t="s">
        <v>1199</v>
      </c>
      <c r="C26" s="21" t="s">
        <v>1218</v>
      </c>
      <c r="D26" s="21" t="s">
        <v>1188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1190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1219</v>
      </c>
      <c r="B29" s="21" t="s">
        <v>1186</v>
      </c>
      <c r="C29" s="21" t="s">
        <v>1187</v>
      </c>
      <c r="D29" s="21" t="s">
        <v>1188</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1220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826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row>
    <row r="33" spans="1:12">
      <c r="A33" s="20" t="s">
        <v>1221</v>
      </c>
    </row>
    <row r="34" spans="1:12">
      <c r="A34" s="20" t="s">
        <v>1222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1223</v>
      </c>
      <c r="B35" s="21" t="s">
        <v>1186</v>
      </c>
      <c r="C35" s="21" t="s">
        <v>1187</v>
      </c>
      <c r="D35" s="21" t="s">
        <v>1188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1224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1219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1225</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1226</v>
      </c>
      <c r="B39" s="21" t="s">
        <v>1212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1227</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1228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1229</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1230</v>
      </c>
      <c r="B43" s="21" t="s">
        <v>1186</v>
      </c>
      <c r="C43" s="21" t="s">
        <v>1231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1232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1233</v>
      </c>
      <c r="B45" s="21" t="s">
        <v>1199</v>
      </c>
      <c r="C45" s="21" t="s">
        <v>1187</v>
      </c>
      <c r="D45" s="21" t="s">
        <v>1188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1205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826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row>
    <row r="49" spans="1:12">
      <c r="A49" s="20" t="s">
        <v>1234</v>
      </c>
    </row>
    <row r="50" spans="1:12">
      <c r="A50" s="20" t="s">
        <v>1235</v>
      </c>
      <c r="B50" s="21" t="s">
        <v>1202</v>
      </c>
      <c r="C50" s="21" t="s">
        <v>1203</v>
      </c>
      <c r="D50" s="21" t="s">
        <v>1188</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1236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1214</v>
      </c>
      <c r="B52" s="21" t="s">
        <v>1199</v>
      </c>
      <c r="C52" s="21" t="s">
        <v>1216</v>
      </c>
      <c r="D52" s="21" t="s">
        <v>1188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1237</v>
      </c>
      <c r="B53" s="21" t="s">
        <v>1212</v>
      </c>
      <c r="C53" s="21" t="s">
        <v>1218</v>
      </c>
      <c r="D53" s="21" t="s">
        <v>1188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1208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1238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1239</v>
      </c>
      <c r="B56" s="21" t="s">
        <v>1186</v>
      </c>
      <c r="C56" s="21" t="s">
        <v>1240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1241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826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row>
    <row r="60" spans="1:12">
      <c r="A60" s="20" t="s">
        <v>1242</v>
      </c>
    </row>
    <row r="61" spans="1:12">
      <c r="A61" s="20" t="s">
        <v>1235</v>
      </c>
      <c r="B61" s="21" t="s">
        <v>1202</v>
      </c>
      <c r="C61" s="21" t="s">
        <v>1203</v>
      </c>
      <c r="D61" s="21" t="s">
        <v>1188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1243</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1193</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1244</v>
      </c>
      <c r="B64" s="21" t="s">
        <v>1245</v>
      </c>
      <c r="C64" s="21" t="s">
        <v>1246</v>
      </c>
      <c r="D64" s="21" t="s">
        <v>1188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1206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1247</v>
      </c>
      <c r="B66" s="21" t="s">
        <v>1248</v>
      </c>
      <c r="C66" s="21" t="s">
        <v>1196</v>
      </c>
      <c r="D66" s="21" t="s">
        <v>1188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1243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826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1249</v>
      </c>
    </row>
    <row r="71" spans="1:12">
      <c r="A71" s="20" t="s">
        <v>1219</v>
      </c>
      <c r="B71" s="21" t="s">
        <v>1202</v>
      </c>
      <c r="C71" s="21" t="s">
        <v>1187</v>
      </c>
      <c r="D71" s="21" t="s">
        <v>1188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1193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35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1250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1209</v>
      </c>
      <c r="B75" s="21" t="s">
        <v>1186</v>
      </c>
      <c r="C75" s="21" t="s">
        <v>1187</v>
      </c>
      <c r="D75" s="21" t="s">
        <v>1188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1251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row>
    <row r="78" spans="1:12">
      <c r="A78" s="20" t="s">
        <v>1252</v>
      </c>
    </row>
    <row r="79" spans="1:12">
      <c r="A79" s="20" t="s">
        <v>1253</v>
      </c>
      <c r="B79" s="21" t="s">
        <v>1202</v>
      </c>
      <c r="C79" s="21" t="s">
        <v>1246</v>
      </c>
      <c r="D79" s="21" t="s">
        <v>1188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1254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57</v>
      </c>
      <c r="B81" s="21" t="s">
        <v>1202</v>
      </c>
      <c r="C81" s="21" t="s">
        <v>1203</v>
      </c>
      <c r="D81" s="21" t="s">
        <v>1188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1255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1256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38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1257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1258</v>
      </c>
    </row>
    <row r="88" spans="1:12">
      <c r="A88" s="20" t="s">
        <v>42</v>
      </c>
      <c r="B88" s="21" t="s">
        <v>1186</v>
      </c>
      <c r="C88" s="21" t="s">
        <v>1187</v>
      </c>
      <c r="D88" s="21" t="s">
        <v>1188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1220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1190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row>
    <row r="92" spans="1:12">
      <c r="A92" s="20" t="s">
        <v>1259</v>
      </c>
    </row>
    <row r="93" spans="1:12">
      <c r="A93" s="20" t="s">
        <v>1201</v>
      </c>
      <c r="B93" s="21" t="s">
        <v>1202</v>
      </c>
      <c r="C93" s="21" t="s">
        <v>1203</v>
      </c>
      <c r="D93" s="21" t="s">
        <v>1188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1260</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1261</v>
      </c>
      <c r="B95" s="21" t="s">
        <v>1212</v>
      </c>
      <c r="C95" s="21" t="s">
        <v>1262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38</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826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row>
    <row r="99" spans="1:12">
      <c r="A99" s="20" t="s">
        <v>1263</v>
      </c>
    </row>
    <row r="100" spans="1:12">
      <c r="A100" s="20" t="s">
        <v>1264</v>
      </c>
      <c r="B100" s="21" t="s">
        <v>1202</v>
      </c>
      <c r="C100" s="21" t="s">
        <v>1203</v>
      </c>
      <c r="D100" s="21" t="s">
        <v>1188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1265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1266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826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row>
    <row r="105" spans="1:12">
      <c r="A105" s="20" t="s">
        <v>1267</v>
      </c>
    </row>
    <row r="106" spans="1:12">
      <c r="A106" s="20" t="s">
        <v>1222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1232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1268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1269</v>
      </c>
      <c r="B110" s="21" t="s">
        <v>1186</v>
      </c>
      <c r="C110" s="21" t="s">
        <v>1196</v>
      </c>
      <c r="D110" s="21" t="s">
        <v>1188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1224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1270</v>
      </c>
      <c r="B112" s="21" t="s">
        <v>1186</v>
      </c>
      <c r="C112" s="21" t="s">
        <v>1187</v>
      </c>
      <c r="D112" s="21" t="s">
        <v>1188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1190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1219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1193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1271</v>
      </c>
      <c r="B116" s="21" t="s">
        <v>1248</v>
      </c>
      <c r="C116" s="21" t="s">
        <v>1203</v>
      </c>
      <c r="D116" s="21" t="s">
        <v>1188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1272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680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1273</v>
      </c>
      <c r="B119" s="21" t="s">
        <v>1215</v>
      </c>
      <c r="C119" s="21" t="s">
        <v>1262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1274</v>
      </c>
      <c r="B120" s="21" t="s">
        <v>1245</v>
      </c>
      <c r="C120" s="21" t="s">
        <v>1231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1227</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1275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826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row>
    <row r="125" spans="1:12">
      <c r="A125" s="20" t="s">
        <v>1276</v>
      </c>
    </row>
    <row r="126" spans="1:12">
      <c r="A126" s="20" t="s">
        <v>1277</v>
      </c>
      <c r="B126" s="21" t="s">
        <v>1202</v>
      </c>
      <c r="C126" s="21" t="s">
        <v>1262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1278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1275</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1279</v>
      </c>
      <c r="B129" s="21" t="s">
        <v>1248</v>
      </c>
      <c r="C129" s="21" t="s">
        <v>1262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1280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1232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1210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1281</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1282</v>
      </c>
      <c r="B134" s="21" t="s">
        <v>1199</v>
      </c>
      <c r="C134" s="21" t="s">
        <v>1196</v>
      </c>
      <c r="D134" s="21" t="s">
        <v>1188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1190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1283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1284</v>
      </c>
      <c r="B137" s="21" t="s">
        <v>1215</v>
      </c>
      <c r="C137" s="21" t="s">
        <v>1231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1193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1283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952</v>
      </c>
      <c r="B140" s="21" t="s">
        <v>1285</v>
      </c>
      <c r="C140" s="21" t="s">
        <v>1231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1193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1283</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1286</v>
      </c>
      <c r="B143" s="21" t="s">
        <v>1285</v>
      </c>
      <c r="C143" s="21" t="s">
        <v>1231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826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row>
    <row r="146" spans="1:12">
      <c r="A146" s="20" t="s">
        <v>1287</v>
      </c>
    </row>
    <row r="147" spans="1:12">
      <c r="A147" s="20" t="s">
        <v>1288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1289</v>
      </c>
      <c r="B148" s="21" t="s">
        <v>1199</v>
      </c>
      <c r="C148" s="21" t="s">
        <v>1290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1291</v>
      </c>
      <c r="B149" s="21" t="s">
        <v>1186</v>
      </c>
      <c r="C149" s="21" t="s">
        <v>1192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1292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57</v>
      </c>
      <c r="B151" s="21" t="s">
        <v>1202</v>
      </c>
      <c r="C151" s="21" t="s">
        <v>1203</v>
      </c>
      <c r="D151" s="21" t="s">
        <v>1188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1275</v>
      </c>
      <c r="B152" s="21" t="s">
        <v>1212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1257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1293</v>
      </c>
    </row>
    <row r="157" spans="1:12">
      <c r="A157" s="20" t="s">
        <v>1294</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1190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1295</v>
      </c>
      <c r="B159" s="21" t="s">
        <v>1202</v>
      </c>
      <c r="C159" s="21" t="s">
        <v>1262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1193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1206</v>
      </c>
      <c r="B161" s="21" t="s">
        <v>1296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1227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1297</v>
      </c>
      <c r="B163" s="21" t="s">
        <v>1298</v>
      </c>
      <c r="C163" s="21" t="s">
        <v>1216</v>
      </c>
      <c r="D163" s="21" t="s">
        <v>1188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154</v>
      </c>
      <c r="B164" s="21" t="s">
        <v>1285</v>
      </c>
      <c r="C164" s="21" t="s">
        <v>1218</v>
      </c>
      <c r="D164" s="21" t="s">
        <v>1188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1299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1265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1193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1278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1226</v>
      </c>
      <c r="B169" s="21" t="s">
        <v>1212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1300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1301</v>
      </c>
      <c r="B171" s="21" t="s">
        <v>1186</v>
      </c>
      <c r="C171" s="21" t="s">
        <v>1203</v>
      </c>
      <c r="D171" s="21" t="s">
        <v>1188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1302</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1303</v>
      </c>
      <c r="B173" s="21" t="s">
        <v>1215</v>
      </c>
      <c r="C173" s="21" t="s">
        <v>1304</v>
      </c>
      <c r="D173" s="21" t="s">
        <v>1188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1305</v>
      </c>
      <c r="B174" s="21" t="s">
        <v>1199</v>
      </c>
      <c r="C174" s="21" t="s">
        <v>1192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1306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1302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1307</v>
      </c>
      <c r="B177" s="21" t="s">
        <v>1186</v>
      </c>
      <c r="C177" s="21" t="s">
        <v>1308</v>
      </c>
      <c r="D177" s="21" t="s">
        <v>1188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1193</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1309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1310</v>
      </c>
      <c r="B180" s="21" t="s">
        <v>1311</v>
      </c>
      <c r="C180" s="21" t="s">
        <v>1262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1312</v>
      </c>
      <c r="B181" s="21" t="s">
        <v>1313</v>
      </c>
      <c r="C181" s="21" t="s">
        <v>1203</v>
      </c>
      <c r="D181" s="21" t="s">
        <v>1188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1314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826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row>
    <row r="186" spans="1:12">
      <c r="A186" s="20" t="s">
        <v>1315</v>
      </c>
    </row>
    <row r="187" spans="1:12">
      <c r="A187" s="20" t="s">
        <v>1316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1193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1317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1271</v>
      </c>
      <c r="B190" s="21" t="s">
        <v>1202</v>
      </c>
      <c r="C190" s="21" t="s">
        <v>1203</v>
      </c>
      <c r="D190" s="21" t="s">
        <v>1188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1318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1319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1190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1320</v>
      </c>
      <c r="B194" s="21" t="s">
        <v>1215</v>
      </c>
      <c r="C194" s="21" t="s">
        <v>1192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1265</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1321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1194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1322</v>
      </c>
      <c r="B198" s="21" t="s">
        <v>1186</v>
      </c>
      <c r="C198" s="21" t="s">
        <v>1196</v>
      </c>
      <c r="D198" s="21" t="s">
        <v>1188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1193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1300</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1206</v>
      </c>
      <c r="B201" s="21" t="s">
        <v>1215</v>
      </c>
      <c r="C201" s="21" t="s">
        <v>1246</v>
      </c>
      <c r="D201" s="21" t="s">
        <v>1188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427</v>
      </c>
      <c r="B202" s="21" t="s">
        <v>1311</v>
      </c>
      <c r="C202" s="21" t="s">
        <v>1246</v>
      </c>
      <c r="D202" s="21" t="s">
        <v>1188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1323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1324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826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1325</v>
      </c>
    </row>
    <row r="208" spans="1:12">
      <c r="A208" s="20" t="s">
        <v>1326</v>
      </c>
      <c r="B208" s="21" t="s">
        <v>1296</v>
      </c>
      <c r="C208" s="21" t="s">
        <v>1290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1271</v>
      </c>
      <c r="B209" s="21" t="s">
        <v>1311</v>
      </c>
      <c r="C209" s="21" t="s">
        <v>1203</v>
      </c>
      <c r="D209" s="21" t="s">
        <v>1188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1327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1193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1328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1329</v>
      </c>
      <c r="B213" s="21" t="s">
        <v>1199</v>
      </c>
      <c r="C213" s="21" t="s">
        <v>1246</v>
      </c>
      <c r="D213" s="21" t="s">
        <v>1188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1330</v>
      </c>
      <c r="B214" s="21" t="s">
        <v>1212</v>
      </c>
      <c r="C214" s="21" t="s">
        <v>1331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826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row>
    <row r="217" spans="1:12">
      <c r="A217" s="20" t="s">
        <v>1332</v>
      </c>
    </row>
    <row r="218" spans="1:12">
      <c r="A218" s="20" t="s">
        <v>1333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1271</v>
      </c>
      <c r="B219" s="21" t="s">
        <v>1248</v>
      </c>
      <c r="C219" s="21" t="s">
        <v>1203</v>
      </c>
      <c r="D219" s="21" t="s">
        <v>1188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1206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1334</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1335</v>
      </c>
      <c r="B222" s="21" t="s">
        <v>1248</v>
      </c>
      <c r="C222" s="21" t="s">
        <v>1196</v>
      </c>
      <c r="D222" s="21" t="s">
        <v>1188</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1206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1336</v>
      </c>
      <c r="B224" s="21" t="s">
        <v>1215</v>
      </c>
      <c r="C224" s="21" t="s">
        <v>1196</v>
      </c>
      <c r="D224" s="21" t="s">
        <v>1188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1327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1193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1260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1310</v>
      </c>
      <c r="B228" s="21" t="s">
        <v>1202</v>
      </c>
      <c r="C228" s="21" t="s">
        <v>1262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1312</v>
      </c>
      <c r="B229" s="21" t="s">
        <v>1212</v>
      </c>
      <c r="C229" s="21" t="s">
        <v>1203</v>
      </c>
      <c r="D229" s="21" t="s">
        <v>1188</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1302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1337</v>
      </c>
      <c r="B232" s="21" t="s">
        <v>1215</v>
      </c>
      <c r="C232" s="21" t="s">
        <v>1262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1206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1338</v>
      </c>
      <c r="B234" s="21" t="s">
        <v>1199</v>
      </c>
      <c r="C234" s="21" t="s">
        <v>1196</v>
      </c>
      <c r="D234" s="21" t="s">
        <v>1188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348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826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1339</v>
      </c>
    </row>
    <row r="239" spans="1:12">
      <c r="A239" s="20" t="s">
        <v>1253</v>
      </c>
      <c r="B239" s="21" t="s">
        <v>1248</v>
      </c>
      <c r="C239" s="21" t="s">
        <v>1246</v>
      </c>
      <c r="D239" s="21" t="s">
        <v>1188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1340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1193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1341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1194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1342</v>
      </c>
      <c r="B244" s="21" t="s">
        <v>1186</v>
      </c>
      <c r="C244" s="21" t="s">
        <v>1196</v>
      </c>
      <c r="D244" s="21" t="s">
        <v>1188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826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row>
    <row r="247" spans="1:12">
      <c r="A247" s="20" t="s">
        <v>1343</v>
      </c>
    </row>
    <row r="248" spans="1:12">
      <c r="A248" s="20" t="s">
        <v>1253</v>
      </c>
      <c r="B248" s="21" t="s">
        <v>1202</v>
      </c>
      <c r="C248" s="21" t="s">
        <v>1246</v>
      </c>
      <c r="D248" s="21" t="s">
        <v>1188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1340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1193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1265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1194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1344</v>
      </c>
      <c r="B253" s="21" t="s">
        <v>1202</v>
      </c>
      <c r="C253" s="21" t="s">
        <v>1196</v>
      </c>
      <c r="D253" s="21" t="s">
        <v>1188</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1208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1345</v>
      </c>
      <c r="B255" s="21" t="s">
        <v>1199</v>
      </c>
      <c r="C255" s="21" t="s">
        <v>1192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1193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1194</v>
      </c>
      <c r="B257" s="21" t="s">
        <v>1296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427</v>
      </c>
      <c r="B258" s="21" t="s">
        <v>1296</v>
      </c>
      <c r="C258" s="21" t="s">
        <v>1246</v>
      </c>
      <c r="D258" s="21" t="s">
        <v>1188</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1346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1193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1194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1344</v>
      </c>
      <c r="B262" s="21" t="s">
        <v>1347</v>
      </c>
      <c r="C262" s="21" t="s">
        <v>1196</v>
      </c>
      <c r="D262" s="21" t="s">
        <v>1188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1208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1198</v>
      </c>
      <c r="B264" s="21" t="s">
        <v>1298</v>
      </c>
      <c r="C264" s="21" t="s">
        <v>1192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1193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1194</v>
      </c>
      <c r="B266" s="21" t="s">
        <v>1348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427</v>
      </c>
      <c r="B267" s="21" t="s">
        <v>1348</v>
      </c>
      <c r="C267" s="21" t="s">
        <v>1246</v>
      </c>
      <c r="D267" s="21" t="s">
        <v>1188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1346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1193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1194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1344</v>
      </c>
      <c r="B271" s="21" t="s">
        <v>1349</v>
      </c>
      <c r="C271" s="21" t="s">
        <v>1196</v>
      </c>
      <c r="D271" s="21" t="s">
        <v>1188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1208</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1350</v>
      </c>
      <c r="B273" s="21" t="s">
        <v>1351</v>
      </c>
      <c r="C273" s="21" t="s">
        <v>1192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1352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1353</v>
      </c>
      <c r="B275" s="21" t="s">
        <v>1354</v>
      </c>
      <c r="C275" s="21" t="s">
        <v>1192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1302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1355</v>
      </c>
      <c r="B277" s="21" t="s">
        <v>1356</v>
      </c>
      <c r="C277" s="21" t="s">
        <v>1192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826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row>
    <row r="280" spans="1:12">
      <c r="A280" s="20" t="s">
        <v>1357</v>
      </c>
    </row>
    <row r="281" spans="1:12">
      <c r="A281" s="20" t="s">
        <v>1320</v>
      </c>
      <c r="B281" s="21" t="s">
        <v>1202</v>
      </c>
      <c r="C281" s="21" t="s">
        <v>1216</v>
      </c>
      <c r="D281" s="21" t="s">
        <v>1188</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1265</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1194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1358</v>
      </c>
      <c r="B284" s="21" t="s">
        <v>1186</v>
      </c>
      <c r="C284" s="21" t="s">
        <v>1196</v>
      </c>
      <c r="D284" s="21" t="s">
        <v>1188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1193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1194</v>
      </c>
      <c r="B286" s="21" t="s">
        <v>1245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1271</v>
      </c>
      <c r="B287" s="21" t="s">
        <v>1248</v>
      </c>
      <c r="C287" s="21" t="s">
        <v>1203</v>
      </c>
      <c r="D287" s="21" t="s">
        <v>1188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1301</v>
      </c>
      <c r="B288" s="21" t="s">
        <v>1245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1359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1360</v>
      </c>
      <c r="B290" s="21" t="s">
        <v>1215</v>
      </c>
      <c r="C290" s="21" t="s">
        <v>1216</v>
      </c>
      <c r="D290" s="21" t="s">
        <v>1188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1361</v>
      </c>
      <c r="B291" s="21" t="s">
        <v>1199</v>
      </c>
      <c r="C291" s="21" t="s">
        <v>1218</v>
      </c>
      <c r="D291" s="21" t="s">
        <v>1188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1362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826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1363</v>
      </c>
    </row>
    <row r="296" spans="1:12">
      <c r="A296" s="20" t="s">
        <v>1364</v>
      </c>
      <c r="B296" s="21" t="s">
        <v>1202</v>
      </c>
      <c r="C296" s="21" t="s">
        <v>1246</v>
      </c>
      <c r="D296" s="21" t="s">
        <v>1188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163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1365</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1366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1367</v>
      </c>
      <c r="B301" s="21" t="s">
        <v>1248</v>
      </c>
      <c r="C301" s="21" t="s">
        <v>1216</v>
      </c>
      <c r="D301" s="21" t="s">
        <v>1188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1368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1206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632</v>
      </c>
      <c r="B304" s="21" t="s">
        <v>1186</v>
      </c>
      <c r="C304" s="21" t="s">
        <v>1196</v>
      </c>
      <c r="D304" s="21" t="s">
        <v>1188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1265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826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1369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1370</v>
      </c>
    </row>
    <row r="310" spans="1:12">
      <c r="A310" s="20" t="s">
        <v>1333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1271</v>
      </c>
      <c r="B311" s="21" t="s">
        <v>1296</v>
      </c>
      <c r="C311" s="21" t="s">
        <v>1203</v>
      </c>
      <c r="D311" s="21" t="s">
        <v>1188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1312</v>
      </c>
      <c r="B312" s="21" t="s">
        <v>1347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1371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1193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1372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1271</v>
      </c>
      <c r="B317" s="21" t="s">
        <v>1311</v>
      </c>
      <c r="C317" s="21" t="s">
        <v>1203</v>
      </c>
      <c r="D317" s="21" t="s">
        <v>1188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1329</v>
      </c>
      <c r="B318" s="21" t="s">
        <v>1215</v>
      </c>
      <c r="C318" s="21" t="s">
        <v>1246</v>
      </c>
      <c r="D318" s="21" t="s">
        <v>1188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1373</v>
      </c>
      <c r="B319" s="21" t="s">
        <v>1245</v>
      </c>
      <c r="C319" s="21" t="s">
        <v>1331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1309</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1374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1375</v>
      </c>
      <c r="B322" s="21" t="s">
        <v>1199</v>
      </c>
      <c r="C322" s="21" t="s">
        <v>1187</v>
      </c>
      <c r="D322" s="21" t="s">
        <v>1188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1374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1376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1193</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1201</v>
      </c>
      <c r="B326" s="21" t="s">
        <v>1202</v>
      </c>
      <c r="C326" s="21" t="s">
        <v>1203</v>
      </c>
      <c r="D326" s="21" t="s">
        <v>1188</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1372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1321</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1374</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1377</v>
      </c>
      <c r="B330" s="21" t="s">
        <v>1212</v>
      </c>
      <c r="C330" s="21" t="s">
        <v>1192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1374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1378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1374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952</v>
      </c>
      <c r="B335" s="21" t="s">
        <v>1186</v>
      </c>
      <c r="C335" s="21" t="s">
        <v>1192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1374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826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1379</v>
      </c>
    </row>
    <row r="340" spans="1:12">
      <c r="A340" s="20" t="s">
        <v>1201</v>
      </c>
      <c r="B340" s="21" t="s">
        <v>1202</v>
      </c>
      <c r="C340" s="21" t="s">
        <v>1203</v>
      </c>
      <c r="D340" s="21" t="s">
        <v>1188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1372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1193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1271</v>
      </c>
      <c r="B344" s="21" t="s">
        <v>1248</v>
      </c>
      <c r="C344" s="21" t="s">
        <v>1203</v>
      </c>
      <c r="D344" s="21" t="s">
        <v>1188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1327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1380</v>
      </c>
      <c r="B346" s="21" t="s">
        <v>1186</v>
      </c>
      <c r="C346" s="21" t="s">
        <v>1192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1302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680</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1381</v>
      </c>
      <c r="B349" s="21" t="s">
        <v>1199</v>
      </c>
      <c r="C349" s="21" t="s">
        <v>1231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1193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1382</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1309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1383</v>
      </c>
      <c r="B353" s="21" t="s">
        <v>1215</v>
      </c>
      <c r="C353" s="21" t="s">
        <v>1262</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1384</v>
      </c>
      <c r="B354" s="21" t="s">
        <v>1248</v>
      </c>
      <c r="C354" s="21" t="s">
        <v>1246</v>
      </c>
      <c r="D354" s="21" t="s">
        <v>1188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1039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826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row>
    <row r="358" spans="1:12">
      <c r="A358" s="20" t="s">
        <v>1385</v>
      </c>
    </row>
    <row r="359" spans="1:12">
      <c r="A359" s="20" t="s">
        <v>1270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1190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1386</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1387</v>
      </c>
      <c r="B362" s="21" t="s">
        <v>1212</v>
      </c>
      <c r="C362" s="21" t="s">
        <v>1216</v>
      </c>
      <c r="D362" s="21" t="s">
        <v>1188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1388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1389</v>
      </c>
      <c r="B364" s="21" t="s">
        <v>1212</v>
      </c>
      <c r="C364" s="21" t="s">
        <v>1192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1337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1193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1194</v>
      </c>
      <c r="B368" s="21" t="s">
        <v>1248</v>
      </c>
      <c r="C368" s="21" t="s">
        <v>1246</v>
      </c>
      <c r="D368" s="21" t="s">
        <v>1188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1321</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1300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1206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1390</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1391</v>
      </c>
      <c r="B373" s="21" t="s">
        <v>1199</v>
      </c>
      <c r="C373" s="21" t="s">
        <v>1196</v>
      </c>
      <c r="D373" s="21" t="s">
        <v>1188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1392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1341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1190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1393</v>
      </c>
    </row>
    <row r="379" spans="1:12">
      <c r="A379" s="20" t="s">
        <v>1394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1228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1395</v>
      </c>
      <c r="B381" s="21" t="s">
        <v>1186</v>
      </c>
      <c r="C381" s="21" t="s">
        <v>1231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1396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57</v>
      </c>
      <c r="B383" s="21" t="s">
        <v>1202</v>
      </c>
      <c r="C383" s="21" t="s">
        <v>1203</v>
      </c>
      <c r="D383" s="21" t="s">
        <v>1188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1397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1232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1398</v>
      </c>
      <c r="B386" s="21" t="s">
        <v>1186</v>
      </c>
      <c r="C386" s="21" t="s">
        <v>1187</v>
      </c>
      <c r="D386" s="21" t="s">
        <v>1188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1302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1399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1232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1268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1400</v>
      </c>
      <c r="B391" s="21" t="s">
        <v>1199</v>
      </c>
      <c r="C391" s="21" t="s">
        <v>1401</v>
      </c>
      <c r="D391" s="21" t="s">
        <v>1188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1206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1402</v>
      </c>
      <c r="B393" s="21" t="s">
        <v>1215</v>
      </c>
      <c r="C393" s="21" t="s">
        <v>1187</v>
      </c>
      <c r="D393" s="21" t="s">
        <v>1188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1403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826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1404</v>
      </c>
    </row>
    <row r="398" spans="1:12">
      <c r="A398" s="20" t="s">
        <v>1405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1406</v>
      </c>
      <c r="B399" s="21" t="s">
        <v>1186</v>
      </c>
      <c r="C399" s="21" t="s">
        <v>1192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1407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57</v>
      </c>
      <c r="B401" s="21" t="s">
        <v>1202</v>
      </c>
      <c r="C401" s="21" t="s">
        <v>1203</v>
      </c>
      <c r="D401" s="21" t="s">
        <v>1188</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1408</v>
      </c>
      <c r="B402" s="21" t="s">
        <v>1212</v>
      </c>
      <c r="C402" s="21" t="s">
        <v>1192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1337</v>
      </c>
      <c r="B403" s="21" t="s">
        <v>1215</v>
      </c>
      <c r="C403" s="21" t="s">
        <v>1262</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1409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1410</v>
      </c>
      <c r="B405" s="21" t="s">
        <v>1199</v>
      </c>
      <c r="C405" s="21" t="s">
        <v>1240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826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1411</v>
      </c>
    </row>
    <row r="409" spans="1:12">
      <c r="A409" s="20" t="s">
        <v>1412</v>
      </c>
      <c r="B409" s="21" t="s">
        <v>1202</v>
      </c>
      <c r="C409" s="21" t="s">
        <v>1203</v>
      </c>
      <c r="D409" s="21" t="s">
        <v>1188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1399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1413</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1193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1414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1415</v>
      </c>
      <c r="B414" s="21" t="s">
        <v>1212</v>
      </c>
      <c r="C414" s="21" t="s">
        <v>1192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1416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1417</v>
      </c>
      <c r="B416" s="21" t="s">
        <v>1199</v>
      </c>
      <c r="C416" s="21" t="s">
        <v>1192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1337</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826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1418</v>
      </c>
    </row>
    <row r="422" spans="1:12">
      <c r="A422" s="20" t="s">
        <v>1320</v>
      </c>
      <c r="B422" s="21" t="s">
        <v>1202</v>
      </c>
      <c r="C422" s="21" t="s">
        <v>1216</v>
      </c>
      <c r="D422" s="21" t="s">
        <v>1188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1278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1419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1337</v>
      </c>
      <c r="B425" s="21" t="s">
        <v>1199</v>
      </c>
      <c r="C425" s="21" t="s">
        <v>1262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1210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1217</v>
      </c>
      <c r="B427" s="21" t="s">
        <v>1186</v>
      </c>
      <c r="C427" s="21" t="s">
        <v>1196</v>
      </c>
      <c r="D427" s="21" t="s">
        <v>1188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1420</v>
      </c>
      <c r="B430" s="21" t="s">
        <v>1199</v>
      </c>
      <c r="C430" s="21" t="s">
        <v>1187</v>
      </c>
      <c r="D430" s="21" t="s">
        <v>1188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1421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826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row>
    <row r="434" spans="1:12">
      <c r="A434" s="20" t="s">
        <v>1422</v>
      </c>
    </row>
    <row r="435" spans="1:12">
      <c r="A435" s="20" t="s">
        <v>1253</v>
      </c>
      <c r="B435" s="21" t="s">
        <v>1202</v>
      </c>
      <c r="C435" s="21" t="s">
        <v>1246</v>
      </c>
      <c r="D435" s="21" t="s">
        <v>1188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1278</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1275</v>
      </c>
      <c r="B437" s="21" t="s">
        <v>1202</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1423</v>
      </c>
      <c r="B438" s="21" t="s">
        <v>1186</v>
      </c>
      <c r="C438" s="21" t="s">
        <v>1308</v>
      </c>
      <c r="D438" s="21" t="s">
        <v>1188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1424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1257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1425</v>
      </c>
    </row>
    <row r="443" spans="1:12">
      <c r="A443" s="20" t="s">
        <v>1294</v>
      </c>
      <c r="B443" s="21" t="s">
        <v>1186</v>
      </c>
      <c r="C443" s="21" t="s">
        <v>1203</v>
      </c>
      <c r="D443" s="21" t="s">
        <v>1188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1190</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1426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v>
      </c>
      <c r="B446" s="21" t="s">
        <v>1202</v>
      </c>
      <c r="C446" s="21" t="s">
        <v>1203</v>
      </c>
      <c r="D446" s="21" t="s">
        <v>1188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1193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1427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1271</v>
      </c>
      <c r="B449" s="21" t="s">
        <v>1248</v>
      </c>
      <c r="C449" s="21" t="s">
        <v>1203</v>
      </c>
      <c r="D449" s="21" t="s">
        <v>1188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1205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1398</v>
      </c>
      <c r="B451" s="21" t="s">
        <v>1199</v>
      </c>
      <c r="C451" s="21" t="s">
        <v>1187</v>
      </c>
      <c r="D451" s="21" t="s">
        <v>1188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1428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1193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1302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1232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1210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1429</v>
      </c>
      <c r="B457" s="21" t="s">
        <v>1215</v>
      </c>
      <c r="C457" s="21" t="s">
        <v>1196</v>
      </c>
      <c r="D457" s="21" t="s">
        <v>1188</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1430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1193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1427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1271</v>
      </c>
      <c r="B461" s="21" t="s">
        <v>1296</v>
      </c>
      <c r="C461" s="21" t="s">
        <v>1203</v>
      </c>
      <c r="D461" s="21" t="s">
        <v>1188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1359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1194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1431</v>
      </c>
      <c r="B464" s="21" t="s">
        <v>1285</v>
      </c>
      <c r="C464" s="21" t="s">
        <v>1196</v>
      </c>
      <c r="D464" s="21" t="s">
        <v>1188</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1432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1193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1433</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1271</v>
      </c>
      <c r="B468" s="21" t="s">
        <v>1311</v>
      </c>
      <c r="C468" s="21" t="s">
        <v>1203</v>
      </c>
      <c r="D468" s="21" t="s">
        <v>1188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1434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1435</v>
      </c>
      <c r="B470" s="21" t="s">
        <v>1313</v>
      </c>
      <c r="C470" s="21" t="s">
        <v>1331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1193</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1194</v>
      </c>
      <c r="B472" s="21" t="s">
        <v>1436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1312</v>
      </c>
      <c r="B473" s="21" t="s">
        <v>1437</v>
      </c>
      <c r="C473" s="21" t="s">
        <v>1203</v>
      </c>
      <c r="D473" s="21" t="s">
        <v>1188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1438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row>
    <row r="477" spans="1:12">
      <c r="A477" s="20" t="s">
        <v>1439</v>
      </c>
    </row>
    <row r="478" spans="1:12">
      <c r="A478" s="20" t="s">
        <v>1364</v>
      </c>
      <c r="B478" s="21" t="s">
        <v>1202</v>
      </c>
      <c r="C478" s="21" t="s">
        <v>1246</v>
      </c>
      <c r="D478" s="21" t="s">
        <v>1188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130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1440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1441</v>
      </c>
      <c r="B481" s="21" t="s">
        <v>1212</v>
      </c>
      <c r="C481" s="21" t="s">
        <v>1331</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1232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1210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1442</v>
      </c>
      <c r="B484" s="21" t="s">
        <v>1186</v>
      </c>
      <c r="C484" s="21" t="s">
        <v>1196</v>
      </c>
      <c r="D484" s="21" t="s">
        <v>1188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1193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1435</v>
      </c>
      <c r="B486" s="21" t="s">
        <v>1199</v>
      </c>
      <c r="C486" s="21" t="s">
        <v>1192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1193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1194</v>
      </c>
      <c r="B488" s="21" t="s">
        <v>1296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1443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670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1444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1193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1435</v>
      </c>
      <c r="B493" s="21" t="s">
        <v>1199</v>
      </c>
      <c r="C493" s="21" t="s">
        <v>1192</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1193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1194</v>
      </c>
      <c r="B495" s="21" t="s">
        <v>1311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1445</v>
      </c>
      <c r="B496" s="21" t="s">
        <v>1313</v>
      </c>
      <c r="C496" s="21" t="s">
        <v>1262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838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826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1446</v>
      </c>
    </row>
    <row r="501" spans="1:12">
      <c r="A501" s="20" t="s">
        <v>1316</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185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1447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1435</v>
      </c>
      <c r="B505" s="21" t="s">
        <v>1202</v>
      </c>
      <c r="C505" s="21" t="s">
        <v>1192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1193</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1194</v>
      </c>
      <c r="B507" s="21" t="s">
        <v>1311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1448</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207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826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row>
    <row r="513" spans="1:12">
      <c r="A513" s="20" t="s">
        <v>1449</v>
      </c>
    </row>
    <row r="514" spans="1:12">
      <c r="A514" s="20" t="s">
        <v>1450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1341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1435</v>
      </c>
      <c r="B516" s="21" t="s">
        <v>1202</v>
      </c>
      <c r="C516" s="21" t="s">
        <v>1192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1193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1194</v>
      </c>
      <c r="B518" s="21" t="s">
        <v>1313</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1310</v>
      </c>
      <c r="B519" s="21" t="s">
        <v>1311</v>
      </c>
      <c r="C519" s="21" t="s">
        <v>1262</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1321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130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1314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1193</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1302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1451</v>
      </c>
      <c r="B525" s="21" t="s">
        <v>1186</v>
      </c>
      <c r="C525" s="21" t="s">
        <v>1192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1193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1194</v>
      </c>
      <c r="B527" s="21" t="s">
        <v>1248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1232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1268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1452</v>
      </c>
      <c r="B530" s="21" t="s">
        <v>1199</v>
      </c>
      <c r="C530" s="21" t="s">
        <v>1196</v>
      </c>
      <c r="D530" s="21" t="s">
        <v>1188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1453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1454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1193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1208</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1455</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1194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1456</v>
      </c>
      <c r="B537" s="21" t="s">
        <v>1311</v>
      </c>
      <c r="C537" s="21" t="s">
        <v>1196</v>
      </c>
      <c r="D537" s="21" t="s">
        <v>1188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1457</v>
      </c>
      <c r="B538" s="21" t="s">
        <v>1313</v>
      </c>
      <c r="C538" s="21" t="s">
        <v>1246</v>
      </c>
      <c r="D538" s="21" t="s">
        <v>1188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1458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1193</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1459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1460</v>
      </c>
      <c r="B542" s="21" t="s">
        <v>1215</v>
      </c>
      <c r="C542" s="21" t="s">
        <v>1192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1206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1456</v>
      </c>
      <c r="B544" s="21" t="s">
        <v>1285</v>
      </c>
      <c r="C544" s="21" t="s">
        <v>1196</v>
      </c>
      <c r="D544" s="21" t="s">
        <v>1188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1193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1302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1461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1462</v>
      </c>
      <c r="B548" s="21" t="s">
        <v>1298</v>
      </c>
      <c r="C548" s="21" t="s">
        <v>1304</v>
      </c>
      <c r="D548" s="21" t="s">
        <v>1188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1463</v>
      </c>
      <c r="B549" s="21" t="s">
        <v>1296</v>
      </c>
      <c r="C549" s="21" t="s">
        <v>1192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1464</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1457</v>
      </c>
      <c r="B551" s="21" t="s">
        <v>1347</v>
      </c>
      <c r="C551" s="21" t="s">
        <v>1246</v>
      </c>
      <c r="D551" s="21" t="s">
        <v>1188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1208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1214</v>
      </c>
      <c r="B553" s="21" t="s">
        <v>1298</v>
      </c>
      <c r="C553" s="21" t="s">
        <v>1216</v>
      </c>
      <c r="D553" s="21" t="s">
        <v>1188</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1465</v>
      </c>
      <c r="B554" s="21" t="s">
        <v>1285</v>
      </c>
      <c r="C554" s="21" t="s">
        <v>1218</v>
      </c>
      <c r="D554" s="21" t="s">
        <v>1188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826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row>
    <row r="557" spans="1:12">
      <c r="A557" s="20" t="s">
        <v>1466</v>
      </c>
    </row>
    <row r="558" spans="1:12">
      <c r="A558" s="20" t="s">
        <v>1405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1271</v>
      </c>
      <c r="B559" s="21" t="s">
        <v>1248</v>
      </c>
      <c r="C559" s="21" t="s">
        <v>1203</v>
      </c>
      <c r="D559" s="21" t="s">
        <v>1188</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1467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1193</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1312</v>
      </c>
      <c r="B562" s="21" t="s">
        <v>1245</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1227</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1214</v>
      </c>
      <c r="B564" s="21" t="s">
        <v>1215</v>
      </c>
      <c r="C564" s="21" t="s">
        <v>1216</v>
      </c>
      <c r="D564" s="21" t="s">
        <v>1188</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1468</v>
      </c>
      <c r="B565" s="21" t="s">
        <v>1199</v>
      </c>
      <c r="C565" s="21" t="s">
        <v>1218</v>
      </c>
      <c r="D565" s="21" t="s">
        <v>1188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1337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1469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1193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1272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1271</v>
      </c>
      <c r="B570" s="21" t="s">
        <v>1202</v>
      </c>
      <c r="C570" s="21" t="s">
        <v>1203</v>
      </c>
      <c r="D570" s="21" t="s">
        <v>1188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1312</v>
      </c>
      <c r="B571" s="21" t="s">
        <v>1212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1470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1190</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1471</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1260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1271</v>
      </c>
      <c r="B576" s="21" t="s">
        <v>1248</v>
      </c>
      <c r="C576" s="21" t="s">
        <v>1203</v>
      </c>
      <c r="D576" s="21" t="s">
        <v>1188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1360</v>
      </c>
      <c r="B577" s="21" t="s">
        <v>1215</v>
      </c>
      <c r="C577" s="21" t="s">
        <v>1216</v>
      </c>
      <c r="D577" s="21" t="s">
        <v>1188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618</v>
      </c>
      <c r="B578" s="21" t="s">
        <v>1245</v>
      </c>
      <c r="C578" s="21" t="s">
        <v>1218</v>
      </c>
      <c r="D578" s="21" t="s">
        <v>1188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1382</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1472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1309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1473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1474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1193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1307</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1194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1456</v>
      </c>
      <c r="B587" s="21" t="s">
        <v>1311</v>
      </c>
      <c r="C587" s="21" t="s">
        <v>1196</v>
      </c>
      <c r="D587" s="21" t="s">
        <v>1188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1210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1475</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1476</v>
      </c>
      <c r="B590" s="21" t="s">
        <v>1313</v>
      </c>
      <c r="C590" s="21" t="s">
        <v>1196</v>
      </c>
      <c r="D590" s="21" t="s">
        <v>1188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1477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1193</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1478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1194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1479</v>
      </c>
      <c r="B595" s="21" t="s">
        <v>1296</v>
      </c>
      <c r="C595" s="21" t="s">
        <v>1196</v>
      </c>
      <c r="D595" s="21" t="s">
        <v>1188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1480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1481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1257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1369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1482</v>
      </c>
    </row>
    <row r="602" spans="1:12">
      <c r="A602" s="20" t="s">
        <v>1483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1445</v>
      </c>
      <c r="B603" s="21" t="s">
        <v>1199</v>
      </c>
      <c r="C603" s="21" t="s">
        <v>1262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1484</v>
      </c>
      <c r="B604" s="21" t="s">
        <v>1186</v>
      </c>
      <c r="C604" s="21" t="s">
        <v>1331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1193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1194</v>
      </c>
      <c r="B606" s="21" t="s">
        <v>1311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1301</v>
      </c>
      <c r="B607" s="21" t="s">
        <v>1313</v>
      </c>
      <c r="C607" s="21" t="s">
        <v>1203</v>
      </c>
      <c r="D607" s="21" t="s">
        <v>1188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1485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1193</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1486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1374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1201</v>
      </c>
      <c r="B612" s="21" t="s">
        <v>1202</v>
      </c>
      <c r="C612" s="21" t="s">
        <v>1203</v>
      </c>
      <c r="D612" s="21" t="s">
        <v>1188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1487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1312</v>
      </c>
      <c r="B614" s="21" t="s">
        <v>1212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1227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1210</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1488</v>
      </c>
      <c r="B617" s="21" t="s">
        <v>1186</v>
      </c>
      <c r="C617" s="21" t="s">
        <v>1196</v>
      </c>
      <c r="D617" s="21" t="s">
        <v>1188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1374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1193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1317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185</v>
      </c>
      <c r="B621" s="21" t="s">
        <v>1248</v>
      </c>
      <c r="C621" s="21" t="s">
        <v>1203</v>
      </c>
      <c r="D621" s="21" t="s">
        <v>1188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1329</v>
      </c>
      <c r="B622" s="21" t="s">
        <v>1215</v>
      </c>
      <c r="C622" s="21" t="s">
        <v>1246</v>
      </c>
      <c r="D622" s="21" t="s">
        <v>1188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1489</v>
      </c>
      <c r="B623" s="21" t="s">
        <v>1245</v>
      </c>
      <c r="C623" s="21" t="s">
        <v>1331</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1490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1193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1317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185</v>
      </c>
      <c r="B627" s="21" t="s">
        <v>1296</v>
      </c>
      <c r="C627" s="21" t="s">
        <v>1203</v>
      </c>
      <c r="D627" s="21" t="s">
        <v>1188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1491</v>
      </c>
      <c r="B628" s="21" t="s">
        <v>1298</v>
      </c>
      <c r="C628" s="21" t="s">
        <v>1246</v>
      </c>
      <c r="D628" s="21" t="s">
        <v>1188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1492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1493</v>
      </c>
      <c r="B630" s="21" t="s">
        <v>1347</v>
      </c>
      <c r="C630" s="21" t="s">
        <v>1331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1490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1359</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1494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1495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1496</v>
      </c>
      <c r="B635" s="21" t="s">
        <v>1285</v>
      </c>
      <c r="C635" s="21" t="s">
        <v>1231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1193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1359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1283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1497</v>
      </c>
      <c r="B639" s="21" t="s">
        <v>1298</v>
      </c>
      <c r="C639" s="21" t="s">
        <v>1231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1232</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1268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1498</v>
      </c>
      <c r="B642" s="21" t="s">
        <v>1499</v>
      </c>
      <c r="C642" s="21" t="s">
        <v>1196</v>
      </c>
      <c r="D642" s="21" t="s">
        <v>1188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1309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1312</v>
      </c>
      <c r="B644" s="21" t="s">
        <v>1500</v>
      </c>
      <c r="C644" s="21" t="s">
        <v>1203</v>
      </c>
      <c r="D644" s="21" t="s">
        <v>1188</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1193</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1501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1502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1503</v>
      </c>
      <c r="B648" s="21" t="s">
        <v>1311</v>
      </c>
      <c r="C648" s="21" t="s">
        <v>1196</v>
      </c>
      <c r="D648" s="21" t="s">
        <v>1188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1193</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1366</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1310</v>
      </c>
      <c r="B651" s="21" t="s">
        <v>1436</v>
      </c>
      <c r="C651" s="21" t="s">
        <v>1262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1312</v>
      </c>
      <c r="B652" s="21" t="s">
        <v>1437</v>
      </c>
      <c r="C652" s="21" t="s">
        <v>1203</v>
      </c>
      <c r="D652" s="21" t="s">
        <v>1188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1300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1206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1504</v>
      </c>
      <c r="B655" s="21" t="s">
        <v>1298</v>
      </c>
      <c r="C655" s="21" t="s">
        <v>1196</v>
      </c>
      <c r="D655" s="21" t="s">
        <v>1188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1505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1372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1193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1459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1366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1456</v>
      </c>
      <c r="B662" s="21" t="s">
        <v>1296</v>
      </c>
      <c r="C662" s="21" t="s">
        <v>1196</v>
      </c>
      <c r="D662" s="21" t="s">
        <v>1188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1506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1507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1508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826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row>
    <row r="668" spans="1:12">
      <c r="A668" s="20" t="s">
        <v>1509</v>
      </c>
    </row>
    <row r="669" spans="1:12">
      <c r="A669" s="20" t="s">
        <v>1316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1206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1510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1511</v>
      </c>
      <c r="B672" s="21" t="s">
        <v>1202</v>
      </c>
      <c r="C672" s="21" t="s">
        <v>1196</v>
      </c>
      <c r="D672" s="21" t="s">
        <v>1188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1206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1512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1513</v>
      </c>
      <c r="B675" s="21" t="s">
        <v>1199</v>
      </c>
      <c r="C675" s="21" t="s">
        <v>1196</v>
      </c>
      <c r="D675" s="21" t="s">
        <v>1188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1514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1515</v>
      </c>
      <c r="B677" s="21" t="s">
        <v>1212</v>
      </c>
      <c r="C677" s="21" t="s">
        <v>1246</v>
      </c>
      <c r="D677" s="21" t="s">
        <v>1188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1194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1516</v>
      </c>
      <c r="B679" s="21" t="s">
        <v>1212</v>
      </c>
      <c r="C679" s="21" t="s">
        <v>1196</v>
      </c>
      <c r="D679" s="21" t="s">
        <v>1188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1241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1518</v>
      </c>
      <c r="B682" s="21" t="s">
        <v>1186</v>
      </c>
      <c r="C682" s="21" t="s">
        <v>1192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1193</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1519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1520</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1494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1521</v>
      </c>
      <c r="B687" s="21" t="s">
        <v>1245</v>
      </c>
      <c r="C687" s="21" t="s">
        <v>1231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1337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1522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1193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1194</v>
      </c>
      <c r="B691" s="21" t="s">
        <v>1311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1523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1265</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1193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1194</v>
      </c>
      <c r="B695" s="21" t="s">
        <v>1248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1194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1345</v>
      </c>
      <c r="B697" s="21" t="s">
        <v>1245</v>
      </c>
      <c r="C697" s="21" t="s">
        <v>1196</v>
      </c>
      <c r="D697" s="21" t="s">
        <v>1188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1524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1193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1478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1039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1300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1206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1345</v>
      </c>
      <c r="B704" s="21" t="s">
        <v>1215</v>
      </c>
      <c r="C704" s="21" t="s">
        <v>1196</v>
      </c>
      <c r="D704" s="21" t="s">
        <v>1188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1525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1193</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1520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1526</v>
      </c>
      <c r="B708" s="21" t="s">
        <v>1347</v>
      </c>
      <c r="C708" s="21" t="s">
        <v>1192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1302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154</v>
      </c>
      <c r="B710" s="21" t="s">
        <v>1298</v>
      </c>
      <c r="C710" s="21" t="s">
        <v>1192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1337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1522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1193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1309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427</v>
      </c>
      <c r="B715" s="21" t="s">
        <v>1436</v>
      </c>
      <c r="C715" s="21" t="s">
        <v>1246</v>
      </c>
      <c r="D715" s="21" t="s">
        <v>1188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1194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1456</v>
      </c>
      <c r="B717" s="21" t="s">
        <v>1437</v>
      </c>
      <c r="C717" s="21" t="s">
        <v>1196</v>
      </c>
      <c r="D717" s="21" t="s">
        <v>1188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1527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1528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1274</v>
      </c>
      <c r="B720" s="21" t="s">
        <v>1298</v>
      </c>
      <c r="C720" s="21" t="s">
        <v>1192</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1529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1530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1193</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1459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1194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1531</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1532</v>
      </c>
      <c r="B727" s="21" t="s">
        <v>1533</v>
      </c>
      <c r="C727" s="21" t="s">
        <v>1196</v>
      </c>
      <c r="D727" s="21" t="s">
        <v>1188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1337</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1534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826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1535</v>
      </c>
    </row>
    <row r="733" spans="1:12">
      <c r="A733" s="20" t="s">
        <v>1536</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1271</v>
      </c>
      <c r="B734" s="21" t="s">
        <v>1248</v>
      </c>
      <c r="C734" s="21" t="s">
        <v>1203</v>
      </c>
      <c r="D734" s="21" t="s">
        <v>1188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1300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1417</v>
      </c>
      <c r="B736" s="21" t="s">
        <v>1199</v>
      </c>
      <c r="C736" s="21" t="s">
        <v>1192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1403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1272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1193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1537</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1271</v>
      </c>
      <c r="B741" s="21" t="s">
        <v>1248</v>
      </c>
      <c r="C741" s="21" t="s">
        <v>1203</v>
      </c>
      <c r="D741" s="21" t="s">
        <v>1188</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1538</v>
      </c>
      <c r="B742" s="21" t="s">
        <v>1215</v>
      </c>
      <c r="C742" s="21" t="s">
        <v>1262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1539</v>
      </c>
      <c r="B743" s="21" t="s">
        <v>1215</v>
      </c>
      <c r="C743" s="21" t="s">
        <v>1304</v>
      </c>
      <c r="D743" s="21" t="s">
        <v>1188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1540</v>
      </c>
      <c r="B744" s="21" t="s">
        <v>1245</v>
      </c>
      <c r="C744" s="21" t="s">
        <v>1331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1268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1512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1541</v>
      </c>
      <c r="B747" s="21" t="s">
        <v>1245</v>
      </c>
      <c r="C747" s="21" t="s">
        <v>1196</v>
      </c>
      <c r="D747" s="21" t="s">
        <v>1188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1542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1272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1193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1543</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1544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1205</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1312</v>
      </c>
      <c r="B754" s="21" t="s">
        <v>1285</v>
      </c>
      <c r="C754" s="21" t="s">
        <v>1203</v>
      </c>
      <c r="D754" s="21" t="s">
        <v>1188</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1545</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1337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474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1250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1451</v>
      </c>
      <c r="B759" s="21" t="s">
        <v>1215</v>
      </c>
      <c r="C759" s="21" t="s">
        <v>1192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1527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1194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1546</v>
      </c>
      <c r="B762" s="21" t="s">
        <v>1285</v>
      </c>
      <c r="C762" s="21" t="s">
        <v>1196</v>
      </c>
      <c r="D762" s="21" t="s">
        <v>1188</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1193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1547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427</v>
      </c>
      <c r="B765" s="21" t="s">
        <v>1202</v>
      </c>
      <c r="C765" s="21" t="s">
        <v>1246</v>
      </c>
      <c r="D765" s="21" t="s">
        <v>1188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1494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1548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154</v>
      </c>
      <c r="B768" s="21" t="s">
        <v>1186</v>
      </c>
      <c r="C768" s="21" t="s">
        <v>1231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1193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1227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1206</v>
      </c>
      <c r="B771" s="21" t="s">
        <v>1199</v>
      </c>
      <c r="C771" s="21" t="s">
        <v>1246</v>
      </c>
      <c r="D771" s="21" t="s">
        <v>1188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1226</v>
      </c>
      <c r="B772" s="21" t="s">
        <v>1245</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1194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1345</v>
      </c>
      <c r="B774" s="21" t="s">
        <v>1248</v>
      </c>
      <c r="C774" s="21" t="s">
        <v>1196</v>
      </c>
      <c r="D774" s="21" t="s">
        <v>1188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1549</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1299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1302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1194</v>
      </c>
      <c r="B778" s="21" t="s">
        <v>1313</v>
      </c>
      <c r="C778" s="21" t="s">
        <v>1246</v>
      </c>
      <c r="D778" s="21" t="s">
        <v>1188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1445</v>
      </c>
      <c r="B779" s="21" t="s">
        <v>1311</v>
      </c>
      <c r="C779" s="21" t="s">
        <v>1262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1283</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1476</v>
      </c>
      <c r="B781" s="21" t="s">
        <v>1313</v>
      </c>
      <c r="C781" s="21" t="s">
        <v>1231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1550</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1278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826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1551</v>
      </c>
    </row>
    <row r="787" spans="1:12">
      <c r="A787" s="20" t="s">
        <v>1552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1479</v>
      </c>
      <c r="B788" s="21" t="s">
        <v>1202</v>
      </c>
      <c r="C788" s="21" t="s">
        <v>1196</v>
      </c>
      <c r="D788" s="21" t="s">
        <v>1188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1193</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1300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1455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1553</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1554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1193</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1194</v>
      </c>
      <c r="B795" s="21" t="s">
        <v>1215</v>
      </c>
      <c r="C795" s="21" t="s">
        <v>1246</v>
      </c>
      <c r="D795" s="21" t="s">
        <v>1188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1479</v>
      </c>
      <c r="B796" s="21" t="s">
        <v>1199</v>
      </c>
      <c r="C796" s="21" t="s">
        <v>1196</v>
      </c>
      <c r="D796" s="21" t="s">
        <v>1188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1193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1194</v>
      </c>
      <c r="B798" s="21" t="s">
        <v>1296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1208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1206</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1345</v>
      </c>
      <c r="B801" s="21" t="s">
        <v>1285</v>
      </c>
      <c r="C801" s="21" t="s">
        <v>1196</v>
      </c>
      <c r="D801" s="21" t="s">
        <v>1188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1555</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1454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1193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163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1226</v>
      </c>
      <c r="B806" s="21" t="s">
        <v>1212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1556</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1557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826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1558</v>
      </c>
    </row>
    <row r="812" spans="1:12">
      <c r="A812" s="20" t="s">
        <v>1364</v>
      </c>
      <c r="B812" s="21" t="s">
        <v>1202</v>
      </c>
      <c r="C812" s="21" t="s">
        <v>1246</v>
      </c>
      <c r="D812" s="21" t="s">
        <v>1188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163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1559</v>
      </c>
      <c r="B814" s="21" t="s">
        <v>1199</v>
      </c>
      <c r="C814" s="21" t="s">
        <v>1246</v>
      </c>
      <c r="D814" s="21" t="s">
        <v>1188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1560</v>
      </c>
      <c r="B815" s="21" t="s">
        <v>1212</v>
      </c>
      <c r="C815" s="21" t="s">
        <v>1192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1193</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1366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1039</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1544</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680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1561</v>
      </c>
      <c r="B821" s="21" t="s">
        <v>1311</v>
      </c>
      <c r="C821" s="21" t="s">
        <v>1231</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1562</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1563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1193</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1302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1564</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1260</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1271</v>
      </c>
      <c r="B828" s="21" t="s">
        <v>1248</v>
      </c>
      <c r="C828" s="21" t="s">
        <v>1203</v>
      </c>
      <c r="D828" s="21" t="s">
        <v>1188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1300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1565</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1451</v>
      </c>
      <c r="B831" s="21" t="s">
        <v>1199</v>
      </c>
      <c r="C831" s="21" t="s">
        <v>1240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1566</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666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826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1567</v>
      </c>
    </row>
    <row r="837" spans="1:12">
      <c r="A837" s="20" t="s">
        <v>1270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1190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1568</v>
      </c>
      <c r="B839" s="21" t="s">
        <v>1202</v>
      </c>
      <c r="C839" s="21" t="s">
        <v>1187</v>
      </c>
      <c r="D839" s="21" t="s">
        <v>1188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1312</v>
      </c>
      <c r="B840" s="21" t="s">
        <v>1212</v>
      </c>
      <c r="C840" s="21" t="s">
        <v>1203</v>
      </c>
      <c r="D840" s="21" t="s">
        <v>1188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1268</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1269</v>
      </c>
      <c r="B842" s="21" t="s">
        <v>1212</v>
      </c>
      <c r="C842" s="21" t="s">
        <v>1196</v>
      </c>
      <c r="D842" s="21" t="s">
        <v>1188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680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1273</v>
      </c>
      <c r="B844" s="21" t="s">
        <v>1199</v>
      </c>
      <c r="C844" s="21" t="s">
        <v>1262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1569</v>
      </c>
      <c r="B845" s="21" t="s">
        <v>1212</v>
      </c>
      <c r="C845" s="21" t="s">
        <v>1231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1359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1570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1217</v>
      </c>
      <c r="B848" s="21" t="s">
        <v>1199</v>
      </c>
      <c r="C848" s="21" t="s">
        <v>1240</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826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1571</v>
      </c>
    </row>
    <row r="853" spans="1:12">
      <c r="A853" s="20" t="s">
        <v>1572</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427</v>
      </c>
      <c r="B854" s="21" t="s">
        <v>1202</v>
      </c>
      <c r="C854" s="21" t="s">
        <v>1246</v>
      </c>
      <c r="D854" s="21" t="s">
        <v>1188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1573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1574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1502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1575</v>
      </c>
      <c r="B858" s="21" t="s">
        <v>1212</v>
      </c>
      <c r="C858" s="21" t="s">
        <v>1196</v>
      </c>
      <c r="D858" s="21" t="s">
        <v>1188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1257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row>
    <row r="862" spans="1:12">
      <c r="A862" s="20" t="s">
        <v>1576</v>
      </c>
    </row>
    <row r="863" spans="1:12">
      <c r="A863" s="20" t="s">
        <v>1219</v>
      </c>
      <c r="B863" s="21" t="s">
        <v>1202</v>
      </c>
      <c r="C863" s="21" t="s">
        <v>1187</v>
      </c>
      <c r="D863" s="21" t="s">
        <v>1188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1193</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1271</v>
      </c>
      <c r="B865" s="21" t="s">
        <v>1311</v>
      </c>
      <c r="C865" s="21" t="s">
        <v>1203</v>
      </c>
      <c r="D865" s="21" t="s">
        <v>1188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1577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1321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1193</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1578</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57</v>
      </c>
      <c r="B870" s="21" t="s">
        <v>1296</v>
      </c>
      <c r="C870" s="21" t="s">
        <v>1203</v>
      </c>
      <c r="D870" s="21" t="s">
        <v>1188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1367</v>
      </c>
      <c r="B871" s="21" t="s">
        <v>1347</v>
      </c>
      <c r="C871" s="21" t="s">
        <v>1216</v>
      </c>
      <c r="D871" s="21" t="s">
        <v>1188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1254</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1190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1552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1579</v>
      </c>
      <c r="B876" s="21" t="s">
        <v>1199</v>
      </c>
      <c r="C876" s="21" t="s">
        <v>1196</v>
      </c>
      <c r="D876" s="21" t="s">
        <v>1188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1206</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1580</v>
      </c>
      <c r="B878" s="21" t="s">
        <v>1215</v>
      </c>
      <c r="C878" s="21" t="s">
        <v>1196</v>
      </c>
      <c r="D878" s="21" t="s">
        <v>1188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1341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1581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826</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row>
    <row r="883" spans="1:12">
      <c r="A883" s="20" t="s">
        <v>1582</v>
      </c>
    </row>
    <row r="884" spans="1:12">
      <c r="A884" s="20" t="s">
        <v>1583</v>
      </c>
      <c r="B884" s="21" t="s">
        <v>1199</v>
      </c>
      <c r="C884" s="21" t="s">
        <v>1216</v>
      </c>
      <c r="D884" s="21" t="s">
        <v>1188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1584</v>
      </c>
      <c r="B885" s="21" t="s">
        <v>1202</v>
      </c>
      <c r="C885" s="21" t="s">
        <v>1218</v>
      </c>
      <c r="D885" s="21" t="s">
        <v>1188</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1585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1502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1586</v>
      </c>
      <c r="B888" s="21" t="s">
        <v>1212</v>
      </c>
      <c r="C888" s="21" t="s">
        <v>1196</v>
      </c>
      <c r="D888" s="21" t="s">
        <v>1188</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1587</v>
      </c>
      <c r="B889" s="21" t="s">
        <v>1199</v>
      </c>
      <c r="C889" s="21" t="s">
        <v>1187</v>
      </c>
      <c r="D889" s="21" t="s">
        <v>1188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826</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1588</v>
      </c>
    </row>
    <row r="893" spans="1:12">
      <c r="A893" s="20" t="s">
        <v>1589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v>
      </c>
      <c r="B894" s="21" t="s">
        <v>1202</v>
      </c>
      <c r="C894" s="21" t="s">
        <v>1203</v>
      </c>
      <c r="D894" s="21" t="s">
        <v>1188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1268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1269</v>
      </c>
      <c r="B896" s="21" t="s">
        <v>1212</v>
      </c>
      <c r="C896" s="21" t="s">
        <v>1196</v>
      </c>
      <c r="D896" s="21" t="s">
        <v>1188</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181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1193</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1244</v>
      </c>
      <c r="B899" s="21" t="s">
        <v>1248</v>
      </c>
      <c r="C899" s="21" t="s">
        <v>1246</v>
      </c>
      <c r="D899" s="21" t="s">
        <v>1188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1318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1590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1554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1257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row>
    <row r="905" spans="1:12">
      <c r="A905" s="20" t="s">
        <v>1591</v>
      </c>
    </row>
    <row r="906" spans="1:12">
      <c r="A906" s="20" t="s">
        <v>1294</v>
      </c>
      <c r="B906" s="21" t="s">
        <v>1186</v>
      </c>
      <c r="C906" s="21" t="s">
        <v>1203</v>
      </c>
      <c r="D906" s="21" t="s">
        <v>1188</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1190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1386</v>
      </c>
      <c r="B908" s="21" t="s">
        <v>1248</v>
      </c>
      <c r="C908" s="21" t="s">
        <v>1187</v>
      </c>
      <c r="D908" s="21" t="s">
        <v>1188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1337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1592</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1193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1244</v>
      </c>
      <c r="B912" s="21" t="s">
        <v>1296</v>
      </c>
      <c r="C912" s="21" t="s">
        <v>1246</v>
      </c>
      <c r="D912" s="21" t="s">
        <v>1188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1587</v>
      </c>
      <c r="B913" s="21" t="s">
        <v>1311</v>
      </c>
      <c r="C913" s="21" t="s">
        <v>1187</v>
      </c>
      <c r="D913" s="21" t="s">
        <v>1188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1265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1193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1593</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1581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1594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1310</v>
      </c>
      <c r="B920" s="21" t="s">
        <v>1296</v>
      </c>
      <c r="C920" s="21" t="s">
        <v>1262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1595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1596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11</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1314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1310</v>
      </c>
      <c r="B925" s="21" t="s">
        <v>1311</v>
      </c>
      <c r="C925" s="21" t="s">
        <v>1262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1597</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1598</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1193</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1244</v>
      </c>
      <c r="B929" s="21" t="s">
        <v>1296</v>
      </c>
      <c r="C929" s="21" t="s">
        <v>1246</v>
      </c>
      <c r="D929" s="21" t="s">
        <v>1188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185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1321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1265</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826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row>
    <row r="935" spans="1:12">
      <c r="A935" s="20" t="s">
        <v>1599</v>
      </c>
    </row>
    <row r="936" spans="1:12">
      <c r="A936" s="20" t="s">
        <v>1600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1601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1602</v>
      </c>
      <c r="B938" s="21" t="s">
        <v>1202</v>
      </c>
      <c r="C938" s="21" t="s">
        <v>1231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1206</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154</v>
      </c>
      <c r="B940" s="21" t="s">
        <v>1199</v>
      </c>
      <c r="C940" s="21" t="s">
        <v>1196</v>
      </c>
      <c r="D940" s="21" t="s">
        <v>1188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1232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1210</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1603</v>
      </c>
      <c r="B943" s="21" t="s">
        <v>1215</v>
      </c>
      <c r="C943" s="21" t="s">
        <v>1187</v>
      </c>
      <c r="D943" s="21" t="s">
        <v>1188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1604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1226</v>
      </c>
      <c r="B945" s="21" t="s">
        <v>1212</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1205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1605</v>
      </c>
      <c r="B947" s="21" t="s">
        <v>1186</v>
      </c>
      <c r="C947" s="21" t="s">
        <v>1192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826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1606</v>
      </c>
    </row>
    <row r="951" spans="1:12">
      <c r="A951" s="20" t="s">
        <v>1607</v>
      </c>
      <c r="B951" s="21" t="s">
        <v>1202</v>
      </c>
      <c r="C951" s="21" t="s">
        <v>1203</v>
      </c>
      <c r="D951" s="21" t="s">
        <v>1188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1608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1193</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185</v>
      </c>
      <c r="B954" s="21" t="s">
        <v>1248</v>
      </c>
      <c r="C954" s="21" t="s">
        <v>1203</v>
      </c>
      <c r="D954" s="21" t="s">
        <v>1188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1609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1544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1605</v>
      </c>
      <c r="B957" s="21" t="s">
        <v>1186</v>
      </c>
      <c r="C957" s="21" t="s">
        <v>1192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826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1610</v>
      </c>
    </row>
    <row r="961" spans="1:12">
      <c r="A961" s="20" t="s">
        <v>1607</v>
      </c>
      <c r="B961" s="21" t="s">
        <v>1202</v>
      </c>
      <c r="C961" s="21" t="s">
        <v>1203</v>
      </c>
      <c r="D961" s="21" t="s">
        <v>1188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189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1226</v>
      </c>
      <c r="B963" s="21" t="s">
        <v>1212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1611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1205</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1494</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1612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1613</v>
      </c>
      <c r="B968" s="21" t="s">
        <v>1186</v>
      </c>
      <c r="C968" s="21" t="s">
        <v>1231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1190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1210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1614</v>
      </c>
      <c r="B971" s="21" t="s">
        <v>1199</v>
      </c>
      <c r="C971" s="21" t="s">
        <v>1615</v>
      </c>
      <c r="D971" s="21" t="s">
        <v>1188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801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1197</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1377</v>
      </c>
      <c r="B974" s="21" t="s">
        <v>1215</v>
      </c>
      <c r="C974" s="21" t="s">
        <v>1196</v>
      </c>
      <c r="D974" s="21" t="s">
        <v>1188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1616</v>
      </c>
      <c r="B975" s="21" t="s">
        <v>1285</v>
      </c>
      <c r="C975" s="21" t="s">
        <v>1187</v>
      </c>
      <c r="D975" s="21" t="s">
        <v>1188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826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row>
    <row r="978" spans="1:12">
      <c r="A978" s="20" t="s">
        <v>1617</v>
      </c>
    </row>
    <row r="979" spans="1:12">
      <c r="A979" s="20" t="s">
        <v>1235</v>
      </c>
      <c r="B979" s="21" t="s">
        <v>1202</v>
      </c>
      <c r="C979" s="21" t="s">
        <v>1203</v>
      </c>
      <c r="D979" s="21" t="s">
        <v>1188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199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1494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1344</v>
      </c>
      <c r="B982" s="21" t="s">
        <v>1212</v>
      </c>
      <c r="C982" s="21" t="s">
        <v>1231</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1618</v>
      </c>
      <c r="B983" s="21" t="s">
        <v>1199</v>
      </c>
      <c r="C983" s="21" t="s">
        <v>1192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1459</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1619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1620</v>
      </c>
      <c r="B986" s="21" t="s">
        <v>1186</v>
      </c>
      <c r="C986" s="21" t="s">
        <v>1192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1193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1621</v>
      </c>
      <c r="B989" s="21" t="s">
        <v>1199</v>
      </c>
      <c r="C989" s="21" t="s">
        <v>1231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1206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1622</v>
      </c>
      <c r="B991" s="21" t="s">
        <v>1215</v>
      </c>
      <c r="C991" s="21" t="s">
        <v>1196</v>
      </c>
      <c r="D991" s="21" t="s">
        <v>1188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1197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1390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1623</v>
      </c>
      <c r="B994" s="21" t="s">
        <v>1285</v>
      </c>
      <c r="C994" s="21" t="s">
        <v>1196</v>
      </c>
      <c r="D994" s="21" t="s">
        <v>1188</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1193</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1624</v>
      </c>
      <c r="B996" s="21" t="s">
        <v>1499</v>
      </c>
      <c r="C996" s="21" t="s">
        <v>1246</v>
      </c>
      <c r="D996" s="21" t="s">
        <v>1188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1435</v>
      </c>
      <c r="B997" s="21" t="s">
        <v>1298</v>
      </c>
      <c r="C997" s="21" t="s">
        <v>1216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1625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1626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1627</v>
      </c>
      <c r="B1000" s="21" t="s">
        <v>1199</v>
      </c>
      <c r="C1000" s="21" t="s">
        <v>1290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57</v>
      </c>
      <c r="B1001" s="21" t="s">
        <v>1311</v>
      </c>
      <c r="C1001" s="21" t="s">
        <v>1203</v>
      </c>
      <c r="D1001" s="21" t="s">
        <v>1188</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1628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1193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1629</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57</v>
      </c>
      <c r="B1005" s="21" t="s">
        <v>1311</v>
      </c>
      <c r="C1005" s="21" t="s">
        <v>1203</v>
      </c>
      <c r="D1005" s="21" t="s">
        <v>1188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1300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1630</v>
      </c>
      <c r="B1007" s="21" t="s">
        <v>1285</v>
      </c>
      <c r="C1007" s="21" t="s">
        <v>1246</v>
      </c>
      <c r="D1007" s="21" t="s">
        <v>1188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1628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1193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1631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v>
      </c>
      <c r="B1011" s="21" t="s">
        <v>1248</v>
      </c>
      <c r="C1011" s="21" t="s">
        <v>1246</v>
      </c>
      <c r="D1011" s="21" t="s">
        <v>1188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1632</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1633</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row>
    <row r="1016" spans="1:12">
      <c r="A1016" s="20" t="s">
        <v>1634</v>
      </c>
    </row>
    <row r="1017" spans="1:12">
      <c r="A1017" s="20" t="s">
        <v>1635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1502</v>
      </c>
      <c r="B1018" s="21" t="s">
        <v>1202</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1341</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1605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11</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1636</v>
      </c>
      <c r="B1022" s="21" t="s">
        <v>1186</v>
      </c>
      <c r="C1022" s="21" t="s">
        <v>1240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826</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1637</v>
      </c>
    </row>
    <row r="1026" spans="1:12">
      <c r="A1026" s="20" t="s">
        <v>1483</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1587</v>
      </c>
      <c r="B1027" s="21" t="s">
        <v>1186</v>
      </c>
      <c r="C1027" s="21" t="s">
        <v>1187</v>
      </c>
      <c r="D1027" s="21" t="s">
        <v>1188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1638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185</v>
      </c>
      <c r="B1029" s="21" t="s">
        <v>1202</v>
      </c>
      <c r="C1029" s="21" t="s">
        <v>1203</v>
      </c>
      <c r="D1029" s="21" t="s">
        <v>1188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1520</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1639</v>
      </c>
      <c r="B1031" s="21" t="s">
        <v>1186</v>
      </c>
      <c r="C1031" s="21" t="s">
        <v>1192</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826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1640</v>
      </c>
    </row>
    <row r="1035" spans="1:12">
      <c r="A1035" s="20" t="s">
        <v>1264</v>
      </c>
      <c r="B1035" s="21" t="s">
        <v>1202</v>
      </c>
      <c r="C1035" s="21" t="s">
        <v>1203</v>
      </c>
      <c r="D1035" s="21" t="s">
        <v>1188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1265</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680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1586</v>
      </c>
      <c r="B1038" s="21" t="s">
        <v>1186</v>
      </c>
      <c r="C1038" s="21" t="s">
        <v>1231</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1193</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1300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1268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1194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1345</v>
      </c>
      <c r="B1043" s="21" t="s">
        <v>1248</v>
      </c>
      <c r="C1043" s="21" t="s">
        <v>1196</v>
      </c>
      <c r="D1043" s="21" t="s">
        <v>1188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1194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578</v>
      </c>
      <c r="B1045" s="21" t="s">
        <v>1245</v>
      </c>
      <c r="C1045" s="21" t="s">
        <v>1196</v>
      </c>
      <c r="D1045" s="21" t="s">
        <v>1188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1641</v>
      </c>
      <c r="B1046" s="21" t="s">
        <v>1215</v>
      </c>
      <c r="C1046" s="21" t="s">
        <v>1187</v>
      </c>
      <c r="D1046" s="21" t="s">
        <v>1188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1642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1260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1193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1227</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1643</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1644</v>
      </c>
      <c r="B1052" s="21" t="s">
        <v>1215</v>
      </c>
      <c r="C1052" s="21" t="s">
        <v>1240</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1302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1232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1645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1646</v>
      </c>
      <c r="B1056" s="21" t="s">
        <v>1215</v>
      </c>
      <c r="C1056" s="21" t="s">
        <v>1240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1194</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1647</v>
      </c>
      <c r="B1058" s="21" t="s">
        <v>1313</v>
      </c>
      <c r="C1058" s="21" t="s">
        <v>1196</v>
      </c>
      <c r="D1058" s="21" t="s">
        <v>1188</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1359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1194</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1402</v>
      </c>
      <c r="B1061" s="21" t="s">
        <v>1285</v>
      </c>
      <c r="C1061" s="21" t="s">
        <v>1187</v>
      </c>
      <c r="D1061" s="21" t="s">
        <v>1188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1337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1648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826</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row>
    <row r="1066" spans="1:12">
      <c r="A1066" s="20" t="s">
        <v>1649</v>
      </c>
    </row>
    <row r="1067" spans="1:12">
      <c r="A1067" s="20" t="s">
        <v>1650</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1226</v>
      </c>
      <c r="B1068" s="21" t="s">
        <v>1245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1651</v>
      </c>
      <c r="B1069" s="21" t="s">
        <v>1215</v>
      </c>
      <c r="C1069" s="21" t="s">
        <v>1262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578</v>
      </c>
      <c r="B1070" s="21" t="s">
        <v>1248</v>
      </c>
      <c r="C1070" s="21" t="s">
        <v>1331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1652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163</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1302</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1653</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1651</v>
      </c>
      <c r="B1075" s="21" t="s">
        <v>1186</v>
      </c>
      <c r="C1075" s="21" t="s">
        <v>1262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1271</v>
      </c>
      <c r="B1077" s="21" t="s">
        <v>1202</v>
      </c>
      <c r="C1077" s="21" t="s">
        <v>1203</v>
      </c>
      <c r="D1077" s="21" t="s">
        <v>1188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1654</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1193</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1655</v>
      </c>
      <c r="B1080" s="21" t="s">
        <v>1248</v>
      </c>
      <c r="C1080" s="21" t="s">
        <v>1187</v>
      </c>
      <c r="D1080" s="21" t="s">
        <v>1188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1594</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1656</v>
      </c>
      <c r="B1082" s="21" t="s">
        <v>1248</v>
      </c>
      <c r="C1082" s="21" t="s">
        <v>1262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1208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1657</v>
      </c>
      <c r="B1084" s="21" t="s">
        <v>1199</v>
      </c>
      <c r="C1084" s="21" t="s">
        <v>1203</v>
      </c>
      <c r="D1084" s="21" t="s">
        <v>1188</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11</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1658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1659</v>
      </c>
      <c r="B1087" s="21" t="s">
        <v>1199</v>
      </c>
      <c r="C1087" s="21" t="s">
        <v>1192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1660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1193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163</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1261</v>
      </c>
      <c r="B1091" s="21" t="s">
        <v>1311</v>
      </c>
      <c r="C1091" s="21" t="s">
        <v>1262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1661</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1193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1662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1663</v>
      </c>
      <c r="B1096" s="21" t="s">
        <v>1296</v>
      </c>
      <c r="C1096" s="21" t="s">
        <v>1196</v>
      </c>
      <c r="D1096" s="21" t="s">
        <v>1188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1556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1664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1665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1454</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826</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row>
    <row r="1103" spans="1:12">
      <c r="A1103" s="20" t="s">
        <v>1666</v>
      </c>
    </row>
    <row r="1104" spans="1:12">
      <c r="A1104" s="20" t="s">
        <v>1667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1668</v>
      </c>
      <c r="B1105" s="21" t="s">
        <v>1186</v>
      </c>
      <c r="C1105" s="21" t="s">
        <v>1246</v>
      </c>
      <c r="D1105" s="21" t="s">
        <v>1188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1669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680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1670</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1659</v>
      </c>
      <c r="B1109" s="21" t="s">
        <v>1202</v>
      </c>
      <c r="C1109" s="21" t="s">
        <v>1231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826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row>
    <row r="1112" spans="1:12">
      <c r="A1112" s="20" t="s">
        <v>1671</v>
      </c>
    </row>
    <row r="1113" spans="1:12">
      <c r="A1113" s="20" t="s">
        <v>1364</v>
      </c>
      <c r="B1113" s="21" t="s">
        <v>1248</v>
      </c>
      <c r="C1113" s="21" t="s">
        <v>1246</v>
      </c>
      <c r="D1113" s="21" t="s">
        <v>1188</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163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1232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1268</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1672</v>
      </c>
      <c r="B1117" s="21" t="s">
        <v>1186</v>
      </c>
      <c r="C1117" s="21" t="s">
        <v>1196</v>
      </c>
      <c r="D1117" s="21" t="s">
        <v>1188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1300</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1673</v>
      </c>
      <c r="B1119" s="21" t="s">
        <v>1199</v>
      </c>
      <c r="C1119" s="21" t="s">
        <v>1192</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1388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1674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1193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1502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1271</v>
      </c>
      <c r="B1124" s="21" t="s">
        <v>1248</v>
      </c>
      <c r="C1124" s="21" t="s">
        <v>1203</v>
      </c>
      <c r="D1124" s="21" t="s">
        <v>1188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1675</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1676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1190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row>
    <row r="1129" spans="1:12">
      <c r="A1129" s="20" t="s">
        <v>1677</v>
      </c>
    </row>
    <row r="1130" spans="1:12">
      <c r="A1130" s="20" t="s">
        <v>1264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1490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1678</v>
      </c>
      <c r="B1132" s="21" t="s">
        <v>1202</v>
      </c>
      <c r="C1132" s="21" t="s">
        <v>1192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1232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1206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1679</v>
      </c>
      <c r="B1135" s="21" t="s">
        <v>1199</v>
      </c>
      <c r="C1135" s="21" t="s">
        <v>1187</v>
      </c>
      <c r="D1135" s="21" t="s">
        <v>1188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1345</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1193</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1232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1455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1680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1554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1193</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1681</v>
      </c>
      <c r="B1145" s="21" t="s">
        <v>1248</v>
      </c>
      <c r="C1145" s="21" t="s">
        <v>1331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1682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1360</v>
      </c>
      <c r="B1147" s="21" t="s">
        <v>1215</v>
      </c>
      <c r="C1147" s="21" t="s">
        <v>1216</v>
      </c>
      <c r="D1147" s="21" t="s">
        <v>1188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1683</v>
      </c>
      <c r="B1148" s="21" t="s">
        <v>1245</v>
      </c>
      <c r="C1148" s="21" t="s">
        <v>1218</v>
      </c>
      <c r="D1148" s="21" t="s">
        <v>1188</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1684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1302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1427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1685</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1686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826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1687</v>
      </c>
    </row>
    <row r="1157" spans="1:12">
      <c r="A1157" s="20" t="s">
        <v>1316</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1668</v>
      </c>
      <c r="B1158" s="21" t="s">
        <v>1202</v>
      </c>
      <c r="C1158" s="21" t="s">
        <v>1246</v>
      </c>
      <c r="D1158" s="21" t="s">
        <v>1188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230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1321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1193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1366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1367</v>
      </c>
      <c r="B1163" s="21" t="s">
        <v>1311</v>
      </c>
      <c r="C1163" s="21" t="s">
        <v>1216</v>
      </c>
      <c r="D1163" s="21" t="s">
        <v>1188</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1688</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1689</v>
      </c>
      <c r="B1165" s="21" t="s">
        <v>1248</v>
      </c>
      <c r="C1165" s="21" t="s">
        <v>1192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1341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1232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1228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1690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1659</v>
      </c>
      <c r="B1170" s="21" t="s">
        <v>1248</v>
      </c>
      <c r="C1170" s="21" t="s">
        <v>1231</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1193</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1502</v>
      </c>
      <c r="B1172" s="21" t="s">
        <v>1296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1205</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1206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1613</v>
      </c>
      <c r="B1175" s="21" t="s">
        <v>1285</v>
      </c>
      <c r="C1175" s="21" t="s">
        <v>1196</v>
      </c>
      <c r="D1175" s="21" t="s">
        <v>1188</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1691</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1692</v>
      </c>
      <c r="B1177" s="21" t="s">
        <v>1298</v>
      </c>
      <c r="C1177" s="21" t="s">
        <v>1192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1527</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1693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1694</v>
      </c>
      <c r="B1180" s="21" t="s">
        <v>1285</v>
      </c>
      <c r="C1180" s="21" t="s">
        <v>1331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1695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1278</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1232</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1268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1696</v>
      </c>
      <c r="B1185" s="21" t="s">
        <v>1199</v>
      </c>
      <c r="C1185" s="21" t="s">
        <v>1196</v>
      </c>
      <c r="D1185" s="21" t="s">
        <v>1188</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1208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137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1429</v>
      </c>
      <c r="B1188" s="21" t="s">
        <v>1199</v>
      </c>
      <c r="C1188" s="21" t="s">
        <v>1331</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1302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1232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1429</v>
      </c>
      <c r="B1192" s="21" t="s">
        <v>1199</v>
      </c>
      <c r="C1192" s="21" t="s">
        <v>1331</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1544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1697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1698</v>
      </c>
      <c r="B1195" s="21" t="s">
        <v>1245</v>
      </c>
      <c r="C1195" s="21" t="s">
        <v>1331</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1206</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1345</v>
      </c>
      <c r="B1197" s="21" t="s">
        <v>1215</v>
      </c>
      <c r="C1197" s="21" t="s">
        <v>1196</v>
      </c>
      <c r="D1197" s="21" t="s">
        <v>1188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1699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1278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826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1700</v>
      </c>
    </row>
    <row r="1203" spans="1:12">
      <c r="A1203" s="20" t="s">
        <v>1701</v>
      </c>
      <c r="B1203" s="21" t="s">
        <v>1202</v>
      </c>
      <c r="C1203" s="21" t="s">
        <v>1216</v>
      </c>
      <c r="D1203" s="21" t="s">
        <v>1188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1341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1321</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1194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1702</v>
      </c>
      <c r="B1207" s="21" t="s">
        <v>1186</v>
      </c>
      <c r="C1207" s="21" t="s">
        <v>1196</v>
      </c>
      <c r="D1207" s="21" t="s">
        <v>1188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1193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1194</v>
      </c>
      <c r="B1209" s="21" t="s">
        <v>1248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427</v>
      </c>
      <c r="B1210" s="21" t="s">
        <v>1248</v>
      </c>
      <c r="C1210" s="21" t="s">
        <v>1246</v>
      </c>
      <c r="D1210" s="21" t="s">
        <v>1188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1427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1703</v>
      </c>
      <c r="B1212" s="21" t="s">
        <v>1199</v>
      </c>
      <c r="C1212" s="21" t="s">
        <v>1192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1346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1193</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1317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185</v>
      </c>
      <c r="B1216" s="21" t="s">
        <v>1311</v>
      </c>
      <c r="C1216" s="21" t="s">
        <v>1203</v>
      </c>
      <c r="D1216" s="21" t="s">
        <v>1188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1520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1194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1330</v>
      </c>
      <c r="B1219" s="21" t="s">
        <v>1313</v>
      </c>
      <c r="C1219" s="21" t="s">
        <v>1196</v>
      </c>
      <c r="D1219" s="21" t="s">
        <v>1188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1704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1705</v>
      </c>
      <c r="B1221" s="21" t="s">
        <v>1311</v>
      </c>
      <c r="C1221" s="21" t="s">
        <v>1192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1232</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1228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1706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1302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1707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1198</v>
      </c>
      <c r="B1227" s="21" t="s">
        <v>1215</v>
      </c>
      <c r="C1227" s="21" t="s">
        <v>1231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1638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826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row>
    <row r="1231" spans="1:12">
      <c r="A1231" s="20" t="s">
        <v>1708</v>
      </c>
    </row>
    <row r="1232" spans="1:12">
      <c r="A1232" s="20" t="s">
        <v>1270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1190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1552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1584</v>
      </c>
      <c r="B1235" s="21" t="s">
        <v>1202</v>
      </c>
      <c r="C1235" s="21" t="s">
        <v>1196</v>
      </c>
      <c r="D1235" s="21" t="s">
        <v>1188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1193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1194</v>
      </c>
      <c r="B1237" s="21" t="s">
        <v>1311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427</v>
      </c>
      <c r="B1238" s="21" t="s">
        <v>1311</v>
      </c>
      <c r="C1238" s="21" t="s">
        <v>1246</v>
      </c>
      <c r="D1238" s="21" t="s">
        <v>1188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1709</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177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1193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1710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1194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1711</v>
      </c>
      <c r="B1244" s="21" t="s">
        <v>1212</v>
      </c>
      <c r="C1244" s="21" t="s">
        <v>1196</v>
      </c>
      <c r="D1244" s="21" t="s">
        <v>1188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1205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1193</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1629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1712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1713</v>
      </c>
      <c r="B1249" s="21" t="s">
        <v>1311</v>
      </c>
      <c r="C1249" s="21" t="s">
        <v>1192</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1302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1714</v>
      </c>
      <c r="B1252" s="21" t="s">
        <v>1285</v>
      </c>
      <c r="C1252" s="21" t="s">
        <v>1192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1226</v>
      </c>
      <c r="B1253" s="21" t="s">
        <v>1313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1268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1586</v>
      </c>
      <c r="B1255" s="21" t="s">
        <v>1313</v>
      </c>
      <c r="C1255" s="21" t="s">
        <v>1196</v>
      </c>
      <c r="D1255" s="21" t="s">
        <v>1188</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1715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1716</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1302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1629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1194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1717</v>
      </c>
      <c r="B1261" s="21" t="s">
        <v>1245</v>
      </c>
      <c r="C1261" s="21" t="s">
        <v>1196</v>
      </c>
      <c r="D1261" s="21" t="s">
        <v>1188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1208</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1711</v>
      </c>
      <c r="B1263" s="21" t="s">
        <v>1199</v>
      </c>
      <c r="C1263" s="21" t="s">
        <v>1192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1250</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1657</v>
      </c>
      <c r="B1265" s="21" t="s">
        <v>1215</v>
      </c>
      <c r="C1265" s="21" t="s">
        <v>1203</v>
      </c>
      <c r="D1265" s="21" t="s">
        <v>1188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1718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826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1719</v>
      </c>
    </row>
    <row r="1270" spans="1:12">
      <c r="A1270" s="20" t="s">
        <v>1607</v>
      </c>
      <c r="B1270" s="21" t="s">
        <v>1248</v>
      </c>
      <c r="C1270" s="21" t="s">
        <v>1203</v>
      </c>
      <c r="D1270" s="21" t="s">
        <v>1188</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163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1194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1720</v>
      </c>
      <c r="B1273" s="21" t="s">
        <v>1212</v>
      </c>
      <c r="C1273" s="21" t="s">
        <v>1196</v>
      </c>
      <c r="D1273" s="21" t="s">
        <v>1188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1300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1206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1402</v>
      </c>
      <c r="B1276" s="21" t="s">
        <v>1199</v>
      </c>
      <c r="C1276" s="21" t="s">
        <v>1187</v>
      </c>
      <c r="D1276" s="21" t="s">
        <v>1188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1721</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826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row>
    <row r="1280" spans="1:12">
      <c r="A1280" s="20" t="s">
        <v>1722</v>
      </c>
    </row>
    <row r="1281" spans="1:12">
      <c r="A1281" s="20" t="s">
        <v>1471</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1278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1194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1402</v>
      </c>
      <c r="B1284" s="21" t="s">
        <v>1202</v>
      </c>
      <c r="C1284" s="21" t="s">
        <v>1187</v>
      </c>
      <c r="D1284" s="21" t="s">
        <v>1188</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1360</v>
      </c>
      <c r="B1285" s="21" t="s">
        <v>1199</v>
      </c>
      <c r="C1285" s="21" t="s">
        <v>1216</v>
      </c>
      <c r="D1285" s="21" t="s">
        <v>1188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1711</v>
      </c>
      <c r="B1286" s="21" t="s">
        <v>1212</v>
      </c>
      <c r="C1286" s="21" t="s">
        <v>1218</v>
      </c>
      <c r="D1286" s="21" t="s">
        <v>1188</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1723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1257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row>
    <row r="1290" spans="1:12">
      <c r="A1290" s="20" t="s">
        <v>1724</v>
      </c>
    </row>
    <row r="1291" spans="1:12">
      <c r="A1291" s="20" t="s">
        <v>1294</v>
      </c>
      <c r="B1291" s="21" t="s">
        <v>1186</v>
      </c>
      <c r="C1291" s="21" t="s">
        <v>1203</v>
      </c>
      <c r="D1291" s="21" t="s">
        <v>1188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1552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1725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1726</v>
      </c>
      <c r="B1295" s="21" t="s">
        <v>1248</v>
      </c>
      <c r="C1295" s="21" t="s">
        <v>1401</v>
      </c>
      <c r="D1295" s="21" t="s">
        <v>1188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1206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1402</v>
      </c>
      <c r="B1297" s="21" t="s">
        <v>1215</v>
      </c>
      <c r="C1297" s="21" t="s">
        <v>1187</v>
      </c>
      <c r="D1297" s="21" t="s">
        <v>1188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1727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1502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1427</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1728</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1408</v>
      </c>
      <c r="B1302" s="21" t="s">
        <v>1199</v>
      </c>
      <c r="C1302" s="21" t="s">
        <v>1196</v>
      </c>
      <c r="D1302" s="21" t="s">
        <v>1188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826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row>
    <row r="1305" spans="1:12">
      <c r="A1305" s="20" t="s">
        <v>1729</v>
      </c>
    </row>
    <row r="1306" spans="1:12">
      <c r="A1306" s="20" t="s">
        <v>1730</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1283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1731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1402</v>
      </c>
      <c r="B1309" s="21" t="s">
        <v>1186</v>
      </c>
      <c r="C1309" s="21" t="s">
        <v>1187</v>
      </c>
      <c r="D1309" s="21" t="s">
        <v>1188</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1732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1193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1733</v>
      </c>
      <c r="B1313" s="21" t="s">
        <v>1199</v>
      </c>
      <c r="C1313" s="21" t="s">
        <v>1262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1309</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1312</v>
      </c>
      <c r="B1315" s="21" t="s">
        <v>1313</v>
      </c>
      <c r="C1315" s="21" t="s">
        <v>1203</v>
      </c>
      <c r="D1315" s="21" t="s">
        <v>1188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1193</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1206</v>
      </c>
      <c r="B1317" s="21" t="s">
        <v>1296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1232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1398</v>
      </c>
      <c r="B1319" s="21" t="s">
        <v>1285</v>
      </c>
      <c r="C1319" s="21" t="s">
        <v>1187</v>
      </c>
      <c r="D1319" s="21" t="s">
        <v>1188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1427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1734</v>
      </c>
      <c r="B1321" s="21" t="s">
        <v>1285</v>
      </c>
      <c r="C1321" s="21" t="s">
        <v>1192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1359</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1210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325</v>
      </c>
      <c r="B1324" s="21" t="s">
        <v>1285</v>
      </c>
      <c r="C1324" s="21" t="s">
        <v>1196</v>
      </c>
      <c r="D1324" s="21" t="s">
        <v>1188</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1735</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1736</v>
      </c>
      <c r="B1326" s="21" t="s">
        <v>1296</v>
      </c>
      <c r="C1326" s="21" t="s">
        <v>1187</v>
      </c>
      <c r="D1326" s="21" t="s">
        <v>1188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1737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1378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1738</v>
      </c>
      <c r="B1330" s="21" t="s">
        <v>1347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1232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1268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1739</v>
      </c>
      <c r="B1333" s="21" t="s">
        <v>1285</v>
      </c>
      <c r="C1333" s="21" t="s">
        <v>1196</v>
      </c>
      <c r="D1333" s="21" t="s">
        <v>1188</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1740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1193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1741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1502</v>
      </c>
      <c r="B1337" s="21" t="s">
        <v>1202</v>
      </c>
      <c r="C1337" s="21" t="s">
        <v>1216</v>
      </c>
      <c r="D1337" s="21" t="s">
        <v>1188</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1193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1366</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1194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1711</v>
      </c>
      <c r="B1341" s="21" t="s">
        <v>1248</v>
      </c>
      <c r="C1341" s="21" t="s">
        <v>1196</v>
      </c>
      <c r="D1341" s="21" t="s">
        <v>1188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1742</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1208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1409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1743</v>
      </c>
      <c r="B1345" s="21" t="s">
        <v>1199</v>
      </c>
      <c r="C1345" s="21" t="s">
        <v>1240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276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826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row>
    <row r="1349" spans="1:12">
      <c r="A1349" s="20" t="s">
        <v>1744</v>
      </c>
    </row>
    <row r="1350" spans="1:12">
      <c r="A1350" s="20" t="s">
        <v>1320</v>
      </c>
      <c r="B1350" s="21" t="s">
        <v>1202</v>
      </c>
      <c r="C1350" s="21" t="s">
        <v>1216</v>
      </c>
      <c r="D1350" s="21" t="s">
        <v>1188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1745</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1321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1193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1366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1494</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1746</v>
      </c>
      <c r="B1356" s="21" t="s">
        <v>1248</v>
      </c>
      <c r="C1356" s="21" t="s">
        <v>1401</v>
      </c>
      <c r="D1356" s="21" t="s">
        <v>1188</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1208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1747</v>
      </c>
      <c r="B1358" s="21" t="s">
        <v>1215</v>
      </c>
      <c r="C1358" s="21" t="s">
        <v>1192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1197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1748</v>
      </c>
      <c r="B1360" s="21" t="s">
        <v>1285</v>
      </c>
      <c r="C1360" s="21" t="s">
        <v>1196</v>
      </c>
      <c r="D1360" s="21" t="s">
        <v>1188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1300</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1206</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1402</v>
      </c>
      <c r="B1363" s="21" t="s">
        <v>1215</v>
      </c>
      <c r="C1363" s="21" t="s">
        <v>1187</v>
      </c>
      <c r="D1363" s="21" t="s">
        <v>1188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1232</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1228</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1749</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1750</v>
      </c>
      <c r="B1367" s="21" t="s">
        <v>1199</v>
      </c>
      <c r="C1367" s="21" t="s">
        <v>1231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1751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1193</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1226</v>
      </c>
      <c r="B1370" s="21" t="s">
        <v>1313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1752</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1302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1232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1268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1753</v>
      </c>
      <c r="B1375" s="21" t="s">
        <v>1199</v>
      </c>
      <c r="C1375" s="21" t="s">
        <v>1196</v>
      </c>
      <c r="D1375" s="21" t="s">
        <v>1188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1754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1193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1309</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1668</v>
      </c>
      <c r="B1379" s="21" t="s">
        <v>1311</v>
      </c>
      <c r="C1379" s="21" t="s">
        <v>1246</v>
      </c>
      <c r="D1379" s="21" t="s">
        <v>1188</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1755</v>
      </c>
      <c r="B1380" s="21" t="s">
        <v>1285</v>
      </c>
      <c r="C1380" s="21" t="s">
        <v>1216</v>
      </c>
      <c r="D1380" s="21" t="s">
        <v>1188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1756</v>
      </c>
      <c r="B1381" s="21" t="s">
        <v>1313</v>
      </c>
      <c r="C1381" s="21" t="s">
        <v>1218</v>
      </c>
      <c r="D1381" s="21" t="s">
        <v>1188</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1757</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670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826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row>
    <row r="1386" spans="1:12">
      <c r="A1386" s="20" t="s">
        <v>1758</v>
      </c>
    </row>
    <row r="1387" spans="1:12">
      <c r="A1387" s="20" t="s">
        <v>1759</v>
      </c>
      <c r="B1387" s="21" t="s">
        <v>1199</v>
      </c>
      <c r="C1387" s="21" t="s">
        <v>1262</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578</v>
      </c>
      <c r="B1388" s="21" t="s">
        <v>1202</v>
      </c>
      <c r="C1388" s="21" t="s">
        <v>1192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261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1502</v>
      </c>
      <c r="B1390" s="21" t="s">
        <v>1212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1760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826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1761</v>
      </c>
    </row>
    <row r="1395" spans="1:12">
      <c r="A1395" s="20" t="s">
        <v>1762</v>
      </c>
      <c r="B1395" s="21" t="s">
        <v>1202</v>
      </c>
      <c r="C1395" s="21" t="s">
        <v>1262</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1341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1472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826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1763</v>
      </c>
    </row>
    <row r="1401" spans="1:12">
      <c r="A1401" s="20" t="s">
        <v>1762</v>
      </c>
      <c r="B1401" s="21" t="s">
        <v>1202</v>
      </c>
      <c r="C1401" s="21" t="s">
        <v>1262</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1341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1388</v>
      </c>
      <c r="B1403" s="21" t="s">
        <v>1202</v>
      </c>
      <c r="C1403" s="21" t="s">
        <v>1246</v>
      </c>
      <c r="D1403" s="21" t="s">
        <v>1188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1764</v>
      </c>
      <c r="B1404" s="21" t="s">
        <v>1212</v>
      </c>
      <c r="C1404" s="21" t="s">
        <v>1246</v>
      </c>
      <c r="D1404" s="21" t="s">
        <v>1188</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1472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826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1765</v>
      </c>
    </row>
    <row r="1409" spans="1:12">
      <c r="A1409" s="20" t="s">
        <v>272</v>
      </c>
      <c r="B1409" s="21" t="s">
        <v>1186</v>
      </c>
      <c r="C1409" s="21" t="s">
        <v>1192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1766</v>
      </c>
      <c r="B1410" s="21" t="s">
        <v>1186</v>
      </c>
      <c r="C1410" s="21" t="s">
        <v>1187</v>
      </c>
      <c r="D1410" s="21" t="s">
        <v>1188</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1478</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1193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1317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427</v>
      </c>
      <c r="B1414" s="21" t="s">
        <v>1248</v>
      </c>
      <c r="C1414" s="21" t="s">
        <v>1246</v>
      </c>
      <c r="D1414" s="21" t="s">
        <v>1188</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1506</v>
      </c>
      <c r="B1415" s="21" t="s">
        <v>1245</v>
      </c>
      <c r="C1415" s="21" t="s">
        <v>1308</v>
      </c>
      <c r="D1415" s="21" t="s">
        <v>1188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805</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1193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1309</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1360</v>
      </c>
      <c r="B1419" s="21" t="s">
        <v>1285</v>
      </c>
      <c r="C1419" s="21" t="s">
        <v>1216</v>
      </c>
      <c r="D1419" s="21" t="s">
        <v>1188</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1540</v>
      </c>
      <c r="B1420" s="21" t="s">
        <v>1311</v>
      </c>
      <c r="C1420" s="21" t="s">
        <v>1218</v>
      </c>
      <c r="D1420" s="21" t="s">
        <v>1188</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114</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670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row>
    <row r="1425" spans="1:12">
      <c r="A1425" s="20" t="s">
        <v>1767</v>
      </c>
    </row>
    <row r="1426" spans="1:12">
      <c r="A1426" s="20" t="s">
        <v>1607</v>
      </c>
      <c r="B1426" s="21" t="s">
        <v>1202</v>
      </c>
      <c r="C1426" s="21" t="s">
        <v>1203</v>
      </c>
      <c r="D1426" s="21" t="s">
        <v>1188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276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1208</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1210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578</v>
      </c>
      <c r="B1430" s="21" t="s">
        <v>1186</v>
      </c>
      <c r="C1430" s="21" t="s">
        <v>1196</v>
      </c>
      <c r="D1430" s="21" t="s">
        <v>1188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1545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826</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1768</v>
      </c>
    </row>
    <row r="1435" spans="1:12">
      <c r="A1435" s="20" t="s">
        <v>1607</v>
      </c>
      <c r="B1435" s="21" t="s">
        <v>1202</v>
      </c>
      <c r="C1435" s="21" t="s">
        <v>1203</v>
      </c>
      <c r="D1435" s="21" t="s">
        <v>1188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670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1321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1241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1769</v>
      </c>
      <c r="B1439" s="21" t="s">
        <v>1186</v>
      </c>
      <c r="C1439" s="21" t="s">
        <v>1192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1770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826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row>
    <row r="1443" spans="1:12">
      <c r="A1443" s="20" t="s">
        <v>1771</v>
      </c>
    </row>
    <row r="1444" spans="1:12">
      <c r="A1444" s="20" t="s">
        <v>1277</v>
      </c>
      <c r="B1444" s="21" t="s">
        <v>1202</v>
      </c>
      <c r="C1444" s="21" t="s">
        <v>1262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1772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1283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1773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1774</v>
      </c>
      <c r="B1448" s="21" t="s">
        <v>1212</v>
      </c>
      <c r="C1448" s="21" t="s">
        <v>1231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1321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284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1190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row>
    <row r="1453" spans="1:12">
      <c r="A1453" s="20" t="s">
        <v>1369</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1775</v>
      </c>
    </row>
    <row r="1455" spans="1:12">
      <c r="A1455" s="20" t="s">
        <v>1650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1194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578</v>
      </c>
      <c r="B1457" s="21" t="s">
        <v>1202</v>
      </c>
      <c r="C1457" s="21" t="s">
        <v>1196</v>
      </c>
      <c r="D1457" s="21" t="s">
        <v>1188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1226</v>
      </c>
      <c r="B1458" s="21" t="s">
        <v>1212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1776</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1193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1653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1194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578</v>
      </c>
      <c r="B1463" s="21" t="s">
        <v>1248</v>
      </c>
      <c r="C1463" s="21" t="s">
        <v>1196</v>
      </c>
      <c r="D1463" s="21" t="s">
        <v>1188</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1777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1190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1374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1778</v>
      </c>
      <c r="B1467" s="21" t="s">
        <v>1311</v>
      </c>
      <c r="C1467" s="21" t="s">
        <v>1187</v>
      </c>
      <c r="D1467" s="21" t="s">
        <v>1188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1515</v>
      </c>
      <c r="B1468" s="21" t="s">
        <v>1347</v>
      </c>
      <c r="C1468" s="21" t="s">
        <v>1246</v>
      </c>
      <c r="D1468" s="21" t="s">
        <v>1188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1502</v>
      </c>
      <c r="B1469" s="21" t="s">
        <v>1313</v>
      </c>
      <c r="C1469" s="21" t="s">
        <v>1246</v>
      </c>
      <c r="D1469" s="21" t="s">
        <v>1188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1300</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1228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1779</v>
      </c>
      <c r="B1472" s="21" t="s">
        <v>1215</v>
      </c>
      <c r="C1472" s="21" t="s">
        <v>1231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292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826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row>
    <row r="1476" spans="1:12">
      <c r="A1476" s="20" t="s">
        <v>1369</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1780</v>
      </c>
    </row>
    <row r="1478" spans="1:12">
      <c r="A1478" s="20" t="s">
        <v>1778</v>
      </c>
      <c r="B1478" s="21" t="s">
        <v>1202</v>
      </c>
      <c r="C1478" s="21" t="s">
        <v>1187</v>
      </c>
      <c r="D1478" s="21" t="s">
        <v>1188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1515</v>
      </c>
      <c r="B1479" s="21" t="s">
        <v>1245</v>
      </c>
      <c r="C1479" s="21" t="s">
        <v>1246</v>
      </c>
      <c r="D1479" s="21" t="s">
        <v>1188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1502</v>
      </c>
      <c r="B1480" s="21" t="s">
        <v>1212</v>
      </c>
      <c r="C1480" s="21" t="s">
        <v>1246</v>
      </c>
      <c r="D1480" s="21" t="s">
        <v>1188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1382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292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1193</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1366</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427</v>
      </c>
      <c r="B1485" s="21" t="s">
        <v>1248</v>
      </c>
      <c r="C1485" s="21" t="s">
        <v>1246</v>
      </c>
      <c r="D1485" s="21" t="s">
        <v>1188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1494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1344</v>
      </c>
      <c r="B1487" s="21" t="s">
        <v>1245</v>
      </c>
      <c r="C1487" s="21" t="s">
        <v>1231</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1781</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1782</v>
      </c>
      <c r="B1489" s="21" t="s">
        <v>1215</v>
      </c>
      <c r="C1489" s="21" t="s">
        <v>1240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163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1193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1494</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1344</v>
      </c>
      <c r="B1493" s="21" t="s">
        <v>1311</v>
      </c>
      <c r="C1493" s="21" t="s">
        <v>1231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1613</v>
      </c>
      <c r="B1494" s="21" t="s">
        <v>1313</v>
      </c>
      <c r="C1494" s="21" t="s">
        <v>1192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1359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1194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1783</v>
      </c>
      <c r="B1497" s="21" t="s">
        <v>1285</v>
      </c>
      <c r="C1497" s="21" t="s">
        <v>1196</v>
      </c>
      <c r="D1497" s="21" t="s">
        <v>1188</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1208</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1784</v>
      </c>
      <c r="B1499" s="21" t="s">
        <v>1298</v>
      </c>
      <c r="C1499" s="21" t="s">
        <v>1192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163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826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1374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1785</v>
      </c>
    </row>
    <row r="1505" spans="1:12">
      <c r="A1505" s="20" t="s">
        <v>1786</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1395</v>
      </c>
      <c r="B1506" s="21" t="s">
        <v>1186</v>
      </c>
      <c r="C1506" s="21" t="s">
        <v>1192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1787</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1194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1788</v>
      </c>
      <c r="B1509" s="21" t="s">
        <v>1202</v>
      </c>
      <c r="C1509" s="21" t="s">
        <v>1187</v>
      </c>
      <c r="D1509" s="21" t="s">
        <v>1188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1789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1790</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1193</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1194</v>
      </c>
      <c r="B1513" s="21" t="s">
        <v>1311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1764</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1791</v>
      </c>
      <c r="B1515" s="21" t="s">
        <v>1313</v>
      </c>
      <c r="C1515" s="21" t="s">
        <v>1331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1547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1427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1206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1792</v>
      </c>
      <c r="B1519" s="21" t="s">
        <v>1215</v>
      </c>
      <c r="C1519" s="21" t="s">
        <v>1196</v>
      </c>
      <c r="D1519" s="21" t="s">
        <v>1188</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1527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1673</v>
      </c>
      <c r="B1521" s="21" t="s">
        <v>1298</v>
      </c>
      <c r="C1521" s="21" t="s">
        <v>1187</v>
      </c>
      <c r="D1521" s="21" t="s">
        <v>1188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1193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1232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1455</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185</v>
      </c>
      <c r="B1525" s="21" t="s">
        <v>1436</v>
      </c>
      <c r="C1525" s="21" t="s">
        <v>1203</v>
      </c>
      <c r="D1525" s="21" t="s">
        <v>1188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1793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1193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1194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1402</v>
      </c>
      <c r="B1529" s="21" t="s">
        <v>1348</v>
      </c>
      <c r="C1529" s="21" t="s">
        <v>1187</v>
      </c>
      <c r="D1529" s="21" t="s">
        <v>1188</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1794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1232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1194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1795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1796</v>
      </c>
      <c r="B1534" s="21" t="s">
        <v>1533</v>
      </c>
      <c r="C1534" s="21" t="s">
        <v>1196</v>
      </c>
      <c r="D1534" s="21" t="s">
        <v>1188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1352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1797</v>
      </c>
      <c r="B1536" s="21" t="s">
        <v>1500</v>
      </c>
      <c r="C1536" s="21" t="s">
        <v>1187</v>
      </c>
      <c r="D1536" s="21" t="s">
        <v>1188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1798</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1302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1655</v>
      </c>
      <c r="B1540" s="21" t="s">
        <v>1351</v>
      </c>
      <c r="C1540" s="21" t="s">
        <v>1187</v>
      </c>
      <c r="D1540" s="21" t="s">
        <v>1188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1798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1799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826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row>
    <row r="1546" spans="1:12">
      <c r="A1546" s="20" t="s">
        <v>1800</v>
      </c>
    </row>
    <row r="1547" spans="1:12">
      <c r="A1547" s="20" t="s">
        <v>1801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1545</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1250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578</v>
      </c>
      <c r="B1550" s="21" t="s">
        <v>1186</v>
      </c>
      <c r="C1550" s="21" t="s">
        <v>1192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1193</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1194</v>
      </c>
      <c r="B1552" s="21" t="s">
        <v>1311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1802</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1803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1804</v>
      </c>
      <c r="B1556" s="21" t="s">
        <v>1215</v>
      </c>
      <c r="C1556" s="21" t="s">
        <v>1192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1193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1478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1205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1805</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1806</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1807</v>
      </c>
      <c r="B1562" s="21" t="s">
        <v>1285</v>
      </c>
      <c r="C1562" s="21" t="s">
        <v>1192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1300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1206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1402</v>
      </c>
      <c r="B1566" s="21" t="s">
        <v>1215</v>
      </c>
      <c r="C1566" s="21" t="s">
        <v>1187</v>
      </c>
      <c r="D1566" s="21" t="s">
        <v>1188</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1808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1193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1447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1226</v>
      </c>
      <c r="B1570" s="21" t="s">
        <v>1212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1194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1402</v>
      </c>
      <c r="B1572" s="21" t="s">
        <v>1202</v>
      </c>
      <c r="C1572" s="21" t="s">
        <v>1187</v>
      </c>
      <c r="D1572" s="21" t="s">
        <v>1188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1307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1321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1809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826</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1810</v>
      </c>
    </row>
    <row r="1579" spans="1:12">
      <c r="A1579" s="20" t="s">
        <v>1811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303</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427</v>
      </c>
      <c r="B1581" s="21" t="s">
        <v>1202</v>
      </c>
      <c r="C1581" s="21" t="s">
        <v>1246</v>
      </c>
      <c r="D1581" s="21" t="s">
        <v>1188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578</v>
      </c>
      <c r="B1582" s="21" t="s">
        <v>1212</v>
      </c>
      <c r="C1582" s="21" t="s">
        <v>1192</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1193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1194</v>
      </c>
      <c r="B1584" s="21" t="s">
        <v>1311</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1226</v>
      </c>
      <c r="B1585" s="21" t="s">
        <v>1313</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1812</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1193</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1520</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1337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150</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1193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1366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1668</v>
      </c>
      <c r="B1594" s="21" t="s">
        <v>1436</v>
      </c>
      <c r="C1594" s="21" t="s">
        <v>1246</v>
      </c>
      <c r="D1594" s="21" t="s">
        <v>1188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1194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1813</v>
      </c>
      <c r="B1596" s="21" t="s">
        <v>1437</v>
      </c>
      <c r="C1596" s="21" t="s">
        <v>1196</v>
      </c>
      <c r="D1596" s="21" t="s">
        <v>1188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1206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1814</v>
      </c>
      <c r="B1598" s="21" t="s">
        <v>1499</v>
      </c>
      <c r="C1598" s="21" t="s">
        <v>1196</v>
      </c>
      <c r="D1598" s="21" t="s">
        <v>1188</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1815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670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1302</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1226</v>
      </c>
      <c r="B1602" s="21" t="s">
        <v>1533</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1359</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1194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1816</v>
      </c>
      <c r="B1605" s="21" t="s">
        <v>1499</v>
      </c>
      <c r="C1605" s="21" t="s">
        <v>1196</v>
      </c>
      <c r="D1605" s="21" t="s">
        <v>1188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1206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1814</v>
      </c>
      <c r="B1607" s="21" t="s">
        <v>1500</v>
      </c>
      <c r="C1607" s="21" t="s">
        <v>1196</v>
      </c>
      <c r="D1607" s="21" t="s">
        <v>1188</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1817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826</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1818</v>
      </c>
    </row>
    <row r="1612" spans="1:12">
      <c r="A1612" s="20" t="s">
        <v>1288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1268</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1281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1395</v>
      </c>
      <c r="B1615" s="21" t="s">
        <v>1186</v>
      </c>
      <c r="C1615" s="21" t="s">
        <v>1196</v>
      </c>
      <c r="D1615" s="21" t="s">
        <v>1188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163</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427</v>
      </c>
      <c r="B1617" s="21" t="s">
        <v>1202</v>
      </c>
      <c r="C1617" s="21" t="s">
        <v>1246</v>
      </c>
      <c r="D1617" s="21" t="s">
        <v>1188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1365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1193</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1366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1194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578</v>
      </c>
      <c r="B1622" s="21" t="s">
        <v>1248</v>
      </c>
      <c r="C1622" s="21" t="s">
        <v>1196</v>
      </c>
      <c r="D1622" s="21" t="s">
        <v>1188</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1232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1210</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1673</v>
      </c>
      <c r="B1625" s="21" t="s">
        <v>1199</v>
      </c>
      <c r="C1625" s="21" t="s">
        <v>1187</v>
      </c>
      <c r="D1625" s="21" t="s">
        <v>1188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11</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1726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1819</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1820</v>
      </c>
      <c r="B1629" s="21" t="s">
        <v>1245</v>
      </c>
      <c r="C1629" s="21" t="s">
        <v>1192</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1821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1193</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1502</v>
      </c>
      <c r="B1632" s="21" t="s">
        <v>1248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1337</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130</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826</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row>
    <row r="1637" spans="1:12">
      <c r="A1637" s="20" t="s">
        <v>1822</v>
      </c>
    </row>
    <row r="1638" spans="1:12">
      <c r="A1638" s="20" t="s">
        <v>1201</v>
      </c>
      <c r="B1638" s="21" t="s">
        <v>1202</v>
      </c>
      <c r="C1638" s="21" t="s">
        <v>1203</v>
      </c>
      <c r="D1638" s="21" t="s">
        <v>1188</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1823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1668</v>
      </c>
      <c r="B1640" s="21" t="s">
        <v>1212</v>
      </c>
      <c r="C1640" s="21" t="s">
        <v>1246</v>
      </c>
      <c r="D1640" s="21" t="s">
        <v>1188</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1193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1824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826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row>
    <row r="1645" spans="1:12">
      <c r="A1645" s="20" t="s">
        <v>1825</v>
      </c>
    </row>
    <row r="1646" spans="1:12">
      <c r="A1646" s="20" t="s">
        <v>1270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1190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1253</v>
      </c>
      <c r="B1648" s="21" t="s">
        <v>1202</v>
      </c>
      <c r="C1648" s="21" t="s">
        <v>1246</v>
      </c>
      <c r="D1648" s="21" t="s">
        <v>1188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1324</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1668</v>
      </c>
      <c r="B1650" s="21" t="s">
        <v>1202</v>
      </c>
      <c r="C1650" s="21" t="s">
        <v>1246</v>
      </c>
      <c r="D1650" s="21" t="s">
        <v>1188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1593</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1397</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1257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1826</v>
      </c>
    </row>
    <row r="1657" spans="1:12">
      <c r="A1657" s="20" t="s">
        <v>1294</v>
      </c>
      <c r="B1657" s="21" t="s">
        <v>1186</v>
      </c>
      <c r="C1657" s="21" t="s">
        <v>1203</v>
      </c>
      <c r="D1657" s="21" t="s">
        <v>1188</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1190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1320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1827</v>
      </c>
      <c r="B1660" s="21" t="s">
        <v>1212</v>
      </c>
      <c r="C1660" s="21" t="s">
        <v>1196</v>
      </c>
      <c r="D1660" s="21" t="s">
        <v>1188</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1193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1244</v>
      </c>
      <c r="B1662" s="21" t="s">
        <v>1313</v>
      </c>
      <c r="C1662" s="21" t="s">
        <v>1246</v>
      </c>
      <c r="D1662" s="21" t="s">
        <v>1188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680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1714</v>
      </c>
      <c r="B1664" s="21" t="s">
        <v>1313</v>
      </c>
      <c r="C1664" s="21" t="s">
        <v>1231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1232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1828</v>
      </c>
      <c r="B1666" s="21" t="s">
        <v>1285</v>
      </c>
      <c r="C1666" s="21" t="s">
        <v>1187</v>
      </c>
      <c r="D1666" s="21" t="s">
        <v>1188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1573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1302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1829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130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1260</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1193</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1459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1830</v>
      </c>
      <c r="B1674" s="21" t="s">
        <v>1186</v>
      </c>
      <c r="C1674" s="21" t="s">
        <v>1192</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1337</v>
      </c>
      <c r="B1675" s="21" t="s">
        <v>1215</v>
      </c>
      <c r="C1675" s="21" t="s">
        <v>1262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1831</v>
      </c>
      <c r="B1676" s="21" t="s">
        <v>1199</v>
      </c>
      <c r="C1676" s="21" t="s">
        <v>1192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1337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314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1193</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1520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1194</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1816</v>
      </c>
      <c r="B1682" s="21" t="s">
        <v>1245</v>
      </c>
      <c r="C1682" s="21" t="s">
        <v>1196</v>
      </c>
      <c r="D1682" s="21" t="s">
        <v>1188</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1643</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1814</v>
      </c>
      <c r="B1684" s="21" t="s">
        <v>1215</v>
      </c>
      <c r="C1684" s="21" t="s">
        <v>1240</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1832</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1337</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926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1193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1265</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1502</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1833</v>
      </c>
      <c r="B1691" s="21" t="s">
        <v>1202</v>
      </c>
      <c r="C1691" s="21" t="s">
        <v>1196</v>
      </c>
      <c r="D1691" s="21" t="s">
        <v>1188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1208</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1834</v>
      </c>
      <c r="B1693" s="21" t="s">
        <v>1199</v>
      </c>
      <c r="C1693" s="21" t="s">
        <v>1187</v>
      </c>
      <c r="D1693" s="21" t="s">
        <v>1188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1835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1205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1383</v>
      </c>
      <c r="B1697" s="21" t="s">
        <v>1215</v>
      </c>
      <c r="C1697" s="21" t="s">
        <v>1262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1836</v>
      </c>
      <c r="B1698" s="21" t="s">
        <v>1199</v>
      </c>
      <c r="C1698" s="21" t="s">
        <v>1192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1193</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1194</v>
      </c>
      <c r="B1700" s="21" t="s">
        <v>1347</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1310</v>
      </c>
      <c r="B1701" s="21" t="s">
        <v>1296</v>
      </c>
      <c r="C1701" s="21" t="s">
        <v>1262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1837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826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1369</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1838</v>
      </c>
    </row>
    <row r="1707" spans="1:12">
      <c r="A1707" s="20" t="s">
        <v>1839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1518</v>
      </c>
      <c r="B1708" s="21" t="s">
        <v>1202</v>
      </c>
      <c r="C1708" s="21" t="s">
        <v>1196</v>
      </c>
      <c r="D1708" s="21" t="s">
        <v>1188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1193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1840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1502</v>
      </c>
      <c r="B1711" s="21" t="s">
        <v>1202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1841</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1265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1190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1333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57</v>
      </c>
      <c r="B1716" s="21" t="s">
        <v>1311</v>
      </c>
      <c r="C1716" s="21" t="s">
        <v>1203</v>
      </c>
      <c r="D1716" s="21" t="s">
        <v>1188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1842</v>
      </c>
      <c r="B1717" s="21" t="s">
        <v>1311</v>
      </c>
      <c r="C1717" s="21" t="s">
        <v>1203</v>
      </c>
      <c r="D1717" s="21" t="s">
        <v>1188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1829</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1205</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1843</v>
      </c>
      <c r="B1720" s="21" t="s">
        <v>1215</v>
      </c>
      <c r="C1720" s="21" t="s">
        <v>1187</v>
      </c>
      <c r="D1720" s="21" t="s">
        <v>1188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1494</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1844</v>
      </c>
      <c r="B1722" s="21" t="s">
        <v>1313</v>
      </c>
      <c r="C1722" s="21" t="s">
        <v>1231</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1208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1374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1845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1374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1846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1193</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1260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1194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1402</v>
      </c>
      <c r="B1731" s="21" t="s">
        <v>1248</v>
      </c>
      <c r="C1731" s="21" t="s">
        <v>1187</v>
      </c>
      <c r="D1731" s="21" t="s">
        <v>1188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1502</v>
      </c>
      <c r="B1732" s="21" t="s">
        <v>1245</v>
      </c>
      <c r="C1732" s="21" t="s">
        <v>1246</v>
      </c>
      <c r="D1732" s="21" t="s">
        <v>1188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1232</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1228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1847</v>
      </c>
      <c r="B1735" s="21" t="s">
        <v>1199</v>
      </c>
      <c r="C1735" s="21" t="s">
        <v>1231</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38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826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row>
    <row r="1739" spans="1:12">
      <c r="A1739" s="20" t="s">
        <v>1848</v>
      </c>
    </row>
    <row r="1740" spans="1:12">
      <c r="A1740" s="20" t="s">
        <v>1839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1849</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325</v>
      </c>
      <c r="B1742" s="21" t="s">
        <v>1202</v>
      </c>
      <c r="C1742" s="21" t="s">
        <v>1196</v>
      </c>
      <c r="D1742" s="21" t="s">
        <v>1188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1260</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1502</v>
      </c>
      <c r="B1744" s="21" t="s">
        <v>1212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1232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1228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1847</v>
      </c>
      <c r="B1747" s="21" t="s">
        <v>1186</v>
      </c>
      <c r="C1747" s="21" t="s">
        <v>1231</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38</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826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row>
    <row r="1751" spans="1:12">
      <c r="A1751" s="20" t="s">
        <v>1850</v>
      </c>
    </row>
    <row r="1752" spans="1:12">
      <c r="A1752" s="20" t="s">
        <v>1839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1735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325</v>
      </c>
      <c r="B1754" s="21" t="s">
        <v>1186</v>
      </c>
      <c r="C1754" s="21" t="s">
        <v>1196</v>
      </c>
      <c r="D1754" s="21" t="s">
        <v>1188</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1193</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1206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1851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1193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1206</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1852</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1302</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1206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325</v>
      </c>
      <c r="B1763" s="21" t="s">
        <v>1186</v>
      </c>
      <c r="C1763" s="21" t="s">
        <v>1196</v>
      </c>
      <c r="D1763" s="21" t="s">
        <v>1188</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1853</v>
      </c>
      <c r="B1765" s="21" t="s">
        <v>1199</v>
      </c>
      <c r="C1765" s="21" t="s">
        <v>1187</v>
      </c>
      <c r="D1765" s="21" t="s">
        <v>1188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826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row>
    <row r="1768" spans="1:12">
      <c r="A1768" s="20" t="s">
        <v>1854</v>
      </c>
    </row>
    <row r="1769" spans="1:12">
      <c r="A1769" s="20" t="s">
        <v>1607</v>
      </c>
      <c r="B1769" s="21" t="s">
        <v>1202</v>
      </c>
      <c r="C1769" s="21" t="s">
        <v>1203</v>
      </c>
      <c r="D1769" s="21" t="s">
        <v>1188</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1261</v>
      </c>
      <c r="B1770" s="21" t="s">
        <v>1199</v>
      </c>
      <c r="C1770" s="21" t="s">
        <v>1262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1530</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1502</v>
      </c>
      <c r="B1772" s="21" t="s">
        <v>1202</v>
      </c>
      <c r="C1772" s="21" t="s">
        <v>1216</v>
      </c>
      <c r="D1772" s="21" t="s">
        <v>1188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38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1193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1662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185</v>
      </c>
      <c r="B1776" s="21" t="s">
        <v>1248</v>
      </c>
      <c r="C1776" s="21" t="s">
        <v>1203</v>
      </c>
      <c r="D1776" s="21" t="s">
        <v>1188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1321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1855</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1265</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826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1856</v>
      </c>
    </row>
    <row r="1783" spans="1:12">
      <c r="A1783" s="20" t="s">
        <v>1843</v>
      </c>
      <c r="B1783" s="21" t="s">
        <v>1202</v>
      </c>
      <c r="C1783" s="21" t="s">
        <v>1187</v>
      </c>
      <c r="D1783" s="21" t="s">
        <v>1188</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1265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1194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1857</v>
      </c>
      <c r="B1786" s="21" t="s">
        <v>1186</v>
      </c>
      <c r="C1786" s="21" t="s">
        <v>1196</v>
      </c>
      <c r="D1786" s="21" t="s">
        <v>1188</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1206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1336</v>
      </c>
      <c r="B1788" s="21" t="s">
        <v>1186</v>
      </c>
      <c r="C1788" s="21" t="s">
        <v>1196</v>
      </c>
      <c r="D1788" s="21" t="s">
        <v>1188</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826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row>
    <row r="1791" spans="1:12">
      <c r="A1791" s="20" t="s">
        <v>1858</v>
      </c>
    </row>
    <row r="1792" spans="1:12">
      <c r="A1792" s="20" t="s">
        <v>1316</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185</v>
      </c>
      <c r="B1793" s="21" t="s">
        <v>1202</v>
      </c>
      <c r="C1793" s="21" t="s">
        <v>1203</v>
      </c>
      <c r="D1793" s="21" t="s">
        <v>1188</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1859</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1321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1544</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1205</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1860</v>
      </c>
      <c r="B1798" s="21" t="s">
        <v>1186</v>
      </c>
      <c r="C1798" s="21" t="s">
        <v>1192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1427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1861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1862</v>
      </c>
      <c r="B1801" s="21" t="s">
        <v>1186</v>
      </c>
      <c r="C1801" s="21" t="s">
        <v>1192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1193</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1310</v>
      </c>
      <c r="B1803" s="21" t="s">
        <v>1248</v>
      </c>
      <c r="C1803" s="21" t="s">
        <v>1262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1260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1039</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1860</v>
      </c>
      <c r="B1806" s="21" t="s">
        <v>1245</v>
      </c>
      <c r="C1806" s="21" t="s">
        <v>1192</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1321</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882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1193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1317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1310</v>
      </c>
      <c r="B1811" s="21" t="s">
        <v>1311</v>
      </c>
      <c r="C1811" s="21" t="s">
        <v>1262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1232</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1210</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1863</v>
      </c>
      <c r="B1814" s="21" t="s">
        <v>1215</v>
      </c>
      <c r="C1814" s="21" t="s">
        <v>1196</v>
      </c>
      <c r="D1814" s="21" t="s">
        <v>1188</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1864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826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row>
    <row r="1818" spans="1:12">
      <c r="A1818" s="20" t="s">
        <v>1865</v>
      </c>
    </row>
    <row r="1819" spans="1:12">
      <c r="A1819" s="20" t="s">
        <v>1320</v>
      </c>
      <c r="B1819" s="21" t="s">
        <v>1202</v>
      </c>
      <c r="C1819" s="21" t="s">
        <v>1216</v>
      </c>
      <c r="D1819" s="21" t="s">
        <v>1188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1265</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1388</v>
      </c>
      <c r="B1821" s="21" t="s">
        <v>1186</v>
      </c>
      <c r="C1821" s="21" t="s">
        <v>1262</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1193</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1502</v>
      </c>
      <c r="B1823" s="21" t="s">
        <v>1245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427</v>
      </c>
      <c r="B1824" s="21" t="s">
        <v>1248</v>
      </c>
      <c r="C1824" s="21" t="s">
        <v>1246</v>
      </c>
      <c r="D1824" s="21" t="s">
        <v>1188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1866</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1444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1193</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1321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1544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1250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1867</v>
      </c>
      <c r="B1831" s="21" t="s">
        <v>1186</v>
      </c>
      <c r="C1831" s="21" t="s">
        <v>1187</v>
      </c>
      <c r="D1831" s="21" t="s">
        <v>1188</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826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row>
    <row r="1834" spans="1:12">
      <c r="A1834" s="20" t="s">
        <v>1868</v>
      </c>
    </row>
    <row r="1835" spans="1:12">
      <c r="A1835" s="20" t="s">
        <v>1201</v>
      </c>
      <c r="B1835" s="21" t="s">
        <v>1202</v>
      </c>
      <c r="C1835" s="21" t="s">
        <v>1203</v>
      </c>
      <c r="D1835" s="21" t="s">
        <v>1188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1204</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1194</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1836</v>
      </c>
      <c r="B1838" s="21" t="s">
        <v>1212</v>
      </c>
      <c r="C1838" s="21" t="s">
        <v>1196</v>
      </c>
      <c r="D1838" s="21" t="s">
        <v>1188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1321</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344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1193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1478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1668</v>
      </c>
      <c r="B1843" s="21" t="s">
        <v>1248</v>
      </c>
      <c r="C1843" s="21" t="s">
        <v>1246</v>
      </c>
      <c r="D1843" s="21" t="s">
        <v>1188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1265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680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1869</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1870</v>
      </c>
      <c r="B1847" s="21" t="s">
        <v>1186</v>
      </c>
      <c r="C1847" s="21" t="s">
        <v>1231</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826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row>
    <row r="1850" spans="1:12">
      <c r="A1850" s="20" t="s">
        <v>1871</v>
      </c>
    </row>
    <row r="1851" spans="1:12">
      <c r="A1851" s="20" t="s">
        <v>1872</v>
      </c>
      <c r="B1851" s="21" t="s">
        <v>1199</v>
      </c>
      <c r="C1851" s="21" t="s">
        <v>1262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578</v>
      </c>
      <c r="B1852" s="21" t="s">
        <v>1202</v>
      </c>
      <c r="C1852" s="21" t="s">
        <v>1331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1444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1337</v>
      </c>
      <c r="B1854" s="21" t="s">
        <v>1199</v>
      </c>
      <c r="C1854" s="21" t="s">
        <v>1262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1268</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1873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1874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1875</v>
      </c>
      <c r="B1858" s="21" t="s">
        <v>1186</v>
      </c>
      <c r="C1858" s="21" t="s">
        <v>1196</v>
      </c>
      <c r="D1858" s="21" t="s">
        <v>1188</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1427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1862</v>
      </c>
      <c r="B1860" s="21" t="s">
        <v>1186</v>
      </c>
      <c r="C1860" s="21" t="s">
        <v>1192</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348</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1359</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1261</v>
      </c>
      <c r="B1863" s="21" t="s">
        <v>1199</v>
      </c>
      <c r="C1863" s="21" t="s">
        <v>1262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1814</v>
      </c>
      <c r="B1864" s="21" t="s">
        <v>1186</v>
      </c>
      <c r="C1864" s="21" t="s">
        <v>1331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1193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1194</v>
      </c>
      <c r="B1866" s="21" t="s">
        <v>1311</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1321</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1545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1876</v>
      </c>
      <c r="B1869" s="21" t="s">
        <v>1311</v>
      </c>
      <c r="C1869" s="21" t="s">
        <v>1192</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1877</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1378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1494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1878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1879</v>
      </c>
      <c r="B1874" s="21" t="s">
        <v>1347</v>
      </c>
      <c r="C1874" s="21" t="s">
        <v>1231</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1880</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163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826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1881</v>
      </c>
    </row>
    <row r="1880" spans="1:12">
      <c r="A1880" s="20" t="s">
        <v>1320</v>
      </c>
      <c r="B1880" s="21" t="s">
        <v>1202</v>
      </c>
      <c r="C1880" s="21" t="s">
        <v>1216</v>
      </c>
      <c r="D1880" s="21" t="s">
        <v>1188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1882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1194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1883</v>
      </c>
      <c r="B1883" s="21" t="s">
        <v>1212</v>
      </c>
      <c r="C1883" s="21" t="s">
        <v>1196</v>
      </c>
      <c r="D1883" s="21" t="s">
        <v>1188</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1302</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1194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1816</v>
      </c>
      <c r="B1886" s="21" t="s">
        <v>1199</v>
      </c>
      <c r="C1886" s="21" t="s">
        <v>1196</v>
      </c>
      <c r="D1886" s="21" t="s">
        <v>1188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1193</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1194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1353</v>
      </c>
      <c r="B1889" s="21" t="s">
        <v>1248</v>
      </c>
      <c r="C1889" s="21" t="s">
        <v>1196</v>
      </c>
      <c r="D1889" s="21" t="s">
        <v>1188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1832</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1884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826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1885</v>
      </c>
    </row>
    <row r="1895" spans="1:12">
      <c r="A1895" s="20" t="s">
        <v>1270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1190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356</v>
      </c>
      <c r="B1897" s="21" t="s">
        <v>1186</v>
      </c>
      <c r="C1897" s="21" t="s">
        <v>1192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1300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1301</v>
      </c>
      <c r="B1899" s="21" t="s">
        <v>1186</v>
      </c>
      <c r="C1899" s="21" t="s">
        <v>1203</v>
      </c>
      <c r="D1899" s="21" t="s">
        <v>1188</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1205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1360</v>
      </c>
      <c r="B1901" s="21" t="s">
        <v>1199</v>
      </c>
      <c r="C1901" s="21" t="s">
        <v>1216</v>
      </c>
      <c r="D1901" s="21" t="s">
        <v>1188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1836</v>
      </c>
      <c r="B1902" s="21" t="s">
        <v>1186</v>
      </c>
      <c r="C1902" s="21" t="s">
        <v>1218</v>
      </c>
      <c r="D1902" s="21" t="s">
        <v>1188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1206</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1207</v>
      </c>
      <c r="B1904" s="21" t="s">
        <v>1199</v>
      </c>
      <c r="C1904" s="21" t="s">
        <v>1196</v>
      </c>
      <c r="D1904" s="21" t="s">
        <v>1188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826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row>
    <row r="1907" spans="1:12">
      <c r="A1907" s="20" t="s">
        <v>1886</v>
      </c>
    </row>
    <row r="1908" spans="1:12">
      <c r="A1908" s="20" t="s">
        <v>1201</v>
      </c>
      <c r="B1908" s="21" t="s">
        <v>1202</v>
      </c>
      <c r="C1908" s="21" t="s">
        <v>1203</v>
      </c>
      <c r="D1908" s="21" t="s">
        <v>1188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1204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1842</v>
      </c>
      <c r="B1910" s="21" t="s">
        <v>1202</v>
      </c>
      <c r="C1910" s="21" t="s">
        <v>1203</v>
      </c>
      <c r="D1910" s="21" t="s">
        <v>1188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1502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1887</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1888</v>
      </c>
      <c r="B1913" s="21" t="s">
        <v>1212</v>
      </c>
      <c r="C1913" s="21" t="s">
        <v>1196</v>
      </c>
      <c r="D1913" s="21" t="s">
        <v>1188</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177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1369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1889</v>
      </c>
    </row>
    <row r="1919" spans="1:12">
      <c r="A1919" s="20" t="s">
        <v>1890</v>
      </c>
      <c r="B1919" s="21" t="s">
        <v>1199</v>
      </c>
      <c r="C1919" s="21" t="s">
        <v>1216</v>
      </c>
      <c r="D1919" s="21" t="s">
        <v>1188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1586</v>
      </c>
      <c r="B1920" s="21" t="s">
        <v>1202</v>
      </c>
      <c r="C1920" s="21" t="s">
        <v>1218</v>
      </c>
      <c r="D1920" s="21" t="s">
        <v>1188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1745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1374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1891</v>
      </c>
      <c r="B1923" s="21" t="s">
        <v>1186</v>
      </c>
      <c r="C1923" s="21" t="s">
        <v>1187</v>
      </c>
      <c r="D1923" s="21" t="s">
        <v>1188</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1892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1374</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826</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row>
    <row r="1928" spans="1:12">
      <c r="A1928" s="20" t="s">
        <v>1893</v>
      </c>
    </row>
    <row r="1929" spans="1:12">
      <c r="A1929" s="20" t="s">
        <v>1253</v>
      </c>
      <c r="B1929" s="21" t="s">
        <v>1202</v>
      </c>
      <c r="C1929" s="21" t="s">
        <v>1246</v>
      </c>
      <c r="D1929" s="21" t="s">
        <v>1188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1265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1502</v>
      </c>
      <c r="B1931" s="21" t="s">
        <v>1202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1257</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row>
    <row r="1934" spans="1:12">
      <c r="A1934" s="20" t="s">
        <v>1894</v>
      </c>
    </row>
    <row r="1935" spans="1:12">
      <c r="A1935" s="20" t="s">
        <v>1294</v>
      </c>
      <c r="B1935" s="21" t="s">
        <v>1186</v>
      </c>
      <c r="C1935" s="21" t="s">
        <v>1203</v>
      </c>
      <c r="D1935" s="21" t="s">
        <v>1188</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1190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1201</v>
      </c>
      <c r="B1937" s="21" t="s">
        <v>1248</v>
      </c>
      <c r="C1937" s="21" t="s">
        <v>1203</v>
      </c>
      <c r="D1937" s="21" t="s">
        <v>1188</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1895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1206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1402</v>
      </c>
      <c r="B1940" s="21" t="s">
        <v>1248</v>
      </c>
      <c r="C1940" s="21" t="s">
        <v>1187</v>
      </c>
      <c r="D1940" s="21" t="s">
        <v>1188</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1709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1896</v>
      </c>
      <c r="B1942" s="21" t="s">
        <v>1245</v>
      </c>
      <c r="C1942" s="21" t="s">
        <v>1192</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1897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1359</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1194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1898</v>
      </c>
      <c r="B1946" s="21" t="s">
        <v>1199</v>
      </c>
      <c r="C1946" s="21" t="s">
        <v>1196</v>
      </c>
      <c r="D1946" s="21" t="s">
        <v>1188</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1899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1646</v>
      </c>
      <c r="B1948" s="21" t="s">
        <v>1215</v>
      </c>
      <c r="C1948" s="21" t="s">
        <v>1192</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826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row>
    <row r="1951" spans="1:12">
      <c r="A1951" s="20" t="s">
        <v>1900</v>
      </c>
    </row>
    <row r="1952" spans="1:12">
      <c r="A1952" s="20" t="s">
        <v>1701</v>
      </c>
      <c r="B1952" s="21" t="s">
        <v>1202</v>
      </c>
      <c r="C1952" s="21" t="s">
        <v>1216</v>
      </c>
      <c r="D1952" s="21" t="s">
        <v>1188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1265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1901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1303</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1902</v>
      </c>
      <c r="B1956" s="21" t="s">
        <v>1186</v>
      </c>
      <c r="C1956" s="21" t="s">
        <v>1401</v>
      </c>
      <c r="D1956" s="21" t="s">
        <v>1188</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1206</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1402</v>
      </c>
      <c r="B1958" s="21" t="s">
        <v>1186</v>
      </c>
      <c r="C1958" s="21" t="s">
        <v>1187</v>
      </c>
      <c r="D1958" s="21" t="s">
        <v>1188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826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row>
    <row r="1961" spans="1:12">
      <c r="A1961" s="20" t="s">
        <v>1369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1903</v>
      </c>
    </row>
    <row r="1963" spans="1:12">
      <c r="A1963" s="20" t="s">
        <v>1374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1891</v>
      </c>
      <c r="B1964" s="21" t="s">
        <v>1202</v>
      </c>
      <c r="C1964" s="21" t="s">
        <v>1187</v>
      </c>
      <c r="D1964" s="21" t="s">
        <v>1188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1892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1374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1904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1374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1892</v>
      </c>
      <c r="B1969" s="21" t="s">
        <v>1199</v>
      </c>
      <c r="C1969" s="21" t="s">
        <v>1192</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1459</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1905</v>
      </c>
      <c r="B1971" s="21" t="s">
        <v>1215</v>
      </c>
      <c r="C1971" s="21" t="s">
        <v>1192</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1374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1906</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1265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680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1586</v>
      </c>
      <c r="B1976" s="21" t="s">
        <v>1186</v>
      </c>
      <c r="C1976" s="21" t="s">
        <v>1231</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1193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1502</v>
      </c>
      <c r="B1978" s="21" t="s">
        <v>1248</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1194</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1402</v>
      </c>
      <c r="B1980" s="21" t="s">
        <v>1245</v>
      </c>
      <c r="C1980" s="21" t="s">
        <v>1187</v>
      </c>
      <c r="D1980" s="21" t="s">
        <v>1188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1658</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1268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1488</v>
      </c>
      <c r="B1983" s="21" t="s">
        <v>1199</v>
      </c>
      <c r="C1983" s="21" t="s">
        <v>1196</v>
      </c>
      <c r="D1983" s="21" t="s">
        <v>1188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1907</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1908</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826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row>
    <row r="1988" spans="1:12">
      <c r="A1988" s="20" t="s">
        <v>1909</v>
      </c>
    </row>
    <row r="1989" spans="1:12">
      <c r="A1989" s="20" t="s">
        <v>1839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1488</v>
      </c>
      <c r="B1990" s="21" t="s">
        <v>1248</v>
      </c>
      <c r="C1990" s="21" t="s">
        <v>1196</v>
      </c>
      <c r="D1990" s="21" t="s">
        <v>1188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1740</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1194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1402</v>
      </c>
      <c r="B1993" s="21" t="s">
        <v>1202</v>
      </c>
      <c r="C1993" s="21" t="s">
        <v>1187</v>
      </c>
      <c r="D1993" s="21" t="s">
        <v>1188</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1232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1268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1910</v>
      </c>
      <c r="B1996" s="21" t="s">
        <v>1186</v>
      </c>
      <c r="C1996" s="21" t="s">
        <v>1196</v>
      </c>
      <c r="D1996" s="21" t="s">
        <v>1188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1470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1193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1578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1668</v>
      </c>
      <c r="B2000" s="21" t="s">
        <v>1248</v>
      </c>
      <c r="C2000" s="21" t="s">
        <v>1246</v>
      </c>
      <c r="D2000" s="21" t="s">
        <v>1188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1911</v>
      </c>
      <c r="B2001" s="21" t="s">
        <v>1215</v>
      </c>
      <c r="C2001" s="21" t="s">
        <v>1262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1912</v>
      </c>
      <c r="B2002" s="21" t="s">
        <v>1245</v>
      </c>
      <c r="C2002" s="21" t="s">
        <v>1192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1913</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1193</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1494</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1914</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1915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1916</v>
      </c>
      <c r="B2008" s="21" t="s">
        <v>1313</v>
      </c>
      <c r="C2008" s="21" t="s">
        <v>1231</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1917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1527</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1210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1918</v>
      </c>
      <c r="B2012" s="21" t="s">
        <v>1215</v>
      </c>
      <c r="C2012" s="21" t="s">
        <v>1196</v>
      </c>
      <c r="D2012" s="21" t="s">
        <v>1188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1227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1704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1796</v>
      </c>
      <c r="B2015" s="21" t="s">
        <v>1285</v>
      </c>
      <c r="C2015" s="21" t="s">
        <v>1192</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1193</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1210</v>
      </c>
      <c r="B2017" s="21" t="s">
        <v>1533</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1668</v>
      </c>
      <c r="B2018" s="21" t="s">
        <v>1919</v>
      </c>
      <c r="C2018" s="21" t="s">
        <v>1246</v>
      </c>
      <c r="D2018" s="21" t="s">
        <v>1188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1920</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826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row>
    <row r="2022" spans="1:12">
      <c r="A2022" s="20" t="s">
        <v>1921</v>
      </c>
    </row>
    <row r="2023" spans="1:12">
      <c r="A2023" s="20" t="s">
        <v>1607</v>
      </c>
      <c r="B2023" s="21" t="s">
        <v>1202</v>
      </c>
      <c r="C2023" s="21" t="s">
        <v>1203</v>
      </c>
      <c r="D2023" s="21" t="s">
        <v>1188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1922</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1190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1923</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1193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427</v>
      </c>
      <c r="B2028" s="21" t="s">
        <v>1311</v>
      </c>
      <c r="C2028" s="21" t="s">
        <v>1246</v>
      </c>
      <c r="D2028" s="21" t="s">
        <v>1188</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1924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1360</v>
      </c>
      <c r="B2030" s="21" t="s">
        <v>1285</v>
      </c>
      <c r="C2030" s="21" t="s">
        <v>1216</v>
      </c>
      <c r="D2030" s="21" t="s">
        <v>1188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1711</v>
      </c>
      <c r="B2031" s="21" t="s">
        <v>1313</v>
      </c>
      <c r="C2031" s="21" t="s">
        <v>1218</v>
      </c>
      <c r="D2031" s="21" t="s">
        <v>1188</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1321</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1302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427</v>
      </c>
      <c r="B2034" s="21" t="s">
        <v>1296</v>
      </c>
      <c r="C2034" s="21" t="s">
        <v>1246</v>
      </c>
      <c r="D2034" s="21" t="s">
        <v>1188</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1530</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1360</v>
      </c>
      <c r="B2036" s="21" t="s">
        <v>1298</v>
      </c>
      <c r="C2036" s="21" t="s">
        <v>1216</v>
      </c>
      <c r="D2036" s="21" t="s">
        <v>1188</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1711</v>
      </c>
      <c r="B2037" s="21" t="s">
        <v>1296</v>
      </c>
      <c r="C2037" s="21" t="s">
        <v>1218</v>
      </c>
      <c r="D2037" s="21" t="s">
        <v>1188</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1321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1924</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826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1925</v>
      </c>
    </row>
    <row r="2043" spans="1:12">
      <c r="A2043" s="20" t="s">
        <v>1364</v>
      </c>
      <c r="B2043" s="21" t="s">
        <v>1202</v>
      </c>
      <c r="C2043" s="21" t="s">
        <v>1246</v>
      </c>
      <c r="D2043" s="21" t="s">
        <v>1188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1530</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1926</v>
      </c>
      <c r="B2045" s="21" t="s">
        <v>1212</v>
      </c>
      <c r="C2045" s="21" t="s">
        <v>1203</v>
      </c>
      <c r="D2045" s="21" t="s">
        <v>1188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1321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96</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1193</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1309</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1440</v>
      </c>
      <c r="B2050" s="21" t="s">
        <v>1215</v>
      </c>
      <c r="C2050" s="21" t="s">
        <v>1262</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1796</v>
      </c>
      <c r="B2051" s="21" t="s">
        <v>1245</v>
      </c>
      <c r="C2051" s="21" t="s">
        <v>1331</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427</v>
      </c>
      <c r="B2052" s="21" t="s">
        <v>1248</v>
      </c>
      <c r="C2052" s="21" t="s">
        <v>1246</v>
      </c>
      <c r="D2052" s="21" t="s">
        <v>1188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1832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1920</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1193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1662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427</v>
      </c>
      <c r="B2057" s="21" t="s">
        <v>1311</v>
      </c>
      <c r="C2057" s="21" t="s">
        <v>1246</v>
      </c>
      <c r="D2057" s="21" t="s">
        <v>1188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1927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1883</v>
      </c>
      <c r="B2059" s="21" t="s">
        <v>1313</v>
      </c>
      <c r="C2059" s="21" t="s">
        <v>1240</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1928</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1929</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1193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1317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427</v>
      </c>
      <c r="B2064" s="21" t="s">
        <v>1296</v>
      </c>
      <c r="C2064" s="21" t="s">
        <v>1246</v>
      </c>
      <c r="D2064" s="21" t="s">
        <v>1188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1926</v>
      </c>
      <c r="B2065" s="21" t="s">
        <v>1347</v>
      </c>
      <c r="C2065" s="21" t="s">
        <v>1203</v>
      </c>
      <c r="D2065" s="21" t="s">
        <v>1188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1502</v>
      </c>
      <c r="B2066" s="21" t="s">
        <v>1296</v>
      </c>
      <c r="C2066" s="21" t="s">
        <v>1246</v>
      </c>
      <c r="D2066" s="21" t="s">
        <v>1188</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1930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826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1931</v>
      </c>
    </row>
    <row r="2071" spans="1:12">
      <c r="A2071" s="20" t="s">
        <v>1320</v>
      </c>
      <c r="B2071" s="21" t="s">
        <v>1202</v>
      </c>
      <c r="C2071" s="21" t="s">
        <v>1216</v>
      </c>
      <c r="D2071" s="21" t="s">
        <v>1188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1265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1494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1932</v>
      </c>
      <c r="B2074" s="21" t="s">
        <v>1186</v>
      </c>
      <c r="C2074" s="21" t="s">
        <v>1231</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1193</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1194</v>
      </c>
      <c r="B2076" s="21" t="s">
        <v>1245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1271</v>
      </c>
      <c r="B2077" s="21" t="s">
        <v>1248</v>
      </c>
      <c r="C2077" s="21" t="s">
        <v>1203</v>
      </c>
      <c r="D2077" s="21" t="s">
        <v>1188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1933</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826</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row>
    <row r="2081" spans="1:12">
      <c r="A2081" s="20" t="s">
        <v>1934</v>
      </c>
    </row>
    <row r="2082" spans="1:12">
      <c r="A2082" s="20" t="s">
        <v>1935</v>
      </c>
      <c r="B2082" s="21" t="s">
        <v>1186</v>
      </c>
      <c r="C2082" s="21" t="s">
        <v>1192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1478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1265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1193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1309</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1360</v>
      </c>
      <c r="B2087" s="21" t="s">
        <v>1215</v>
      </c>
      <c r="C2087" s="21" t="s">
        <v>1216</v>
      </c>
      <c r="D2087" s="21" t="s">
        <v>1188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1584</v>
      </c>
      <c r="B2088" s="21" t="s">
        <v>1248</v>
      </c>
      <c r="C2088" s="21" t="s">
        <v>1218</v>
      </c>
      <c r="D2088" s="21" t="s">
        <v>1188</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1585</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1193</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1668</v>
      </c>
      <c r="B2092" s="21" t="s">
        <v>1311</v>
      </c>
      <c r="C2092" s="21" t="s">
        <v>1246</v>
      </c>
      <c r="D2092" s="21" t="s">
        <v>1188</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1423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1321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1544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1936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1341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1193</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1937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1194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1938</v>
      </c>
      <c r="B2101" s="21" t="s">
        <v>1296</v>
      </c>
      <c r="C2101" s="21" t="s">
        <v>1196</v>
      </c>
      <c r="D2101" s="21" t="s">
        <v>1188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1545</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1939</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1940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826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1941</v>
      </c>
    </row>
    <row r="2108" spans="1:12">
      <c r="A2108" s="20" t="s">
        <v>1607</v>
      </c>
      <c r="B2108" s="21" t="s">
        <v>1202</v>
      </c>
      <c r="C2108" s="21" t="s">
        <v>1203</v>
      </c>
      <c r="D2108" s="21" t="s">
        <v>1188</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1265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1939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1942</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826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row>
    <row r="2114" spans="1:12">
      <c r="A2114" s="20" t="s">
        <v>1943</v>
      </c>
    </row>
    <row r="2115" spans="1:12">
      <c r="A2115" s="20" t="s">
        <v>1552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1402</v>
      </c>
      <c r="B2116" s="21" t="s">
        <v>1202</v>
      </c>
      <c r="C2116" s="21" t="s">
        <v>1187</v>
      </c>
      <c r="D2116" s="21" t="s">
        <v>1188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1944</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680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1945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1946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1947</v>
      </c>
      <c r="B2121" s="21" t="s">
        <v>1212</v>
      </c>
      <c r="C2121" s="21" t="s">
        <v>1231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1193</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1502</v>
      </c>
      <c r="B2123" s="21" t="s">
        <v>1311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1948</v>
      </c>
      <c r="B2124" s="21" t="s">
        <v>1285</v>
      </c>
      <c r="C2124" s="21" t="s">
        <v>1262</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1949</v>
      </c>
      <c r="B2125" s="21" t="s">
        <v>1313</v>
      </c>
      <c r="C2125" s="21" t="s">
        <v>1615</v>
      </c>
      <c r="D2125" s="21" t="s">
        <v>1188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1901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1796</v>
      </c>
      <c r="B2127" s="21" t="s">
        <v>1285</v>
      </c>
      <c r="C2127" s="21" t="s">
        <v>1231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1950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826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row>
    <row r="2131" spans="1:12">
      <c r="A2131" s="20" t="s">
        <v>1951</v>
      </c>
    </row>
    <row r="2132" spans="1:12">
      <c r="A2132" s="20" t="s">
        <v>1333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185</v>
      </c>
      <c r="B2133" s="21" t="s">
        <v>1202</v>
      </c>
      <c r="C2133" s="21" t="s">
        <v>1203</v>
      </c>
      <c r="D2133" s="21" t="s">
        <v>1188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1952</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1193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1366</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1194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1796</v>
      </c>
      <c r="B2138" s="21" t="s">
        <v>1248</v>
      </c>
      <c r="C2138" s="21" t="s">
        <v>1196</v>
      </c>
      <c r="D2138" s="21" t="s">
        <v>1188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1241</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1210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1603</v>
      </c>
      <c r="B2141" s="21" t="s">
        <v>1215</v>
      </c>
      <c r="C2141" s="21" t="s">
        <v>1187</v>
      </c>
      <c r="D2141" s="21" t="s">
        <v>1188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1953</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1193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1419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1530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1668</v>
      </c>
      <c r="B2146" s="21" t="s">
        <v>1311</v>
      </c>
      <c r="C2146" s="21" t="s">
        <v>1246</v>
      </c>
      <c r="D2146" s="21" t="s">
        <v>1188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1268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1488</v>
      </c>
      <c r="B2148" s="21" t="s">
        <v>1313</v>
      </c>
      <c r="C2148" s="21" t="s">
        <v>1196</v>
      </c>
      <c r="D2148" s="21" t="s">
        <v>1188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1039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96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1193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1309</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1440</v>
      </c>
      <c r="B2153" s="21" t="s">
        <v>1296</v>
      </c>
      <c r="C2153" s="21" t="s">
        <v>1246</v>
      </c>
      <c r="D2153" s="21" t="s">
        <v>1188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1954</v>
      </c>
      <c r="B2154" s="21" t="s">
        <v>1499</v>
      </c>
      <c r="C2154" s="21" t="s">
        <v>1262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1796</v>
      </c>
      <c r="B2155" s="21" t="s">
        <v>1298</v>
      </c>
      <c r="C2155" s="21" t="s">
        <v>1216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1668</v>
      </c>
      <c r="B2156" s="21" t="s">
        <v>1296</v>
      </c>
      <c r="C2156" s="21" t="s">
        <v>1246</v>
      </c>
      <c r="D2156" s="21" t="s">
        <v>1188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163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1193</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1829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1193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1232</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1955</v>
      </c>
      <c r="B2162" s="21" t="s">
        <v>1298</v>
      </c>
      <c r="C2162" s="21" t="s">
        <v>1216</v>
      </c>
      <c r="D2162" s="21" t="s">
        <v>1188</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798</v>
      </c>
      <c r="B2163" s="21" t="s">
        <v>1285</v>
      </c>
      <c r="C2163" s="21" t="s">
        <v>1218</v>
      </c>
      <c r="D2163" s="21" t="s">
        <v>1188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826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1369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1956</v>
      </c>
    </row>
    <row r="2168" spans="1:12">
      <c r="A2168" s="20" t="s">
        <v>1374</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1892</v>
      </c>
      <c r="B2169" s="21" t="s">
        <v>1202</v>
      </c>
      <c r="C2169" s="21" t="s">
        <v>1192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1459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1905</v>
      </c>
      <c r="B2171" s="21" t="s">
        <v>1199</v>
      </c>
      <c r="C2171" s="21" t="s">
        <v>1192</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1374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1957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1515</v>
      </c>
      <c r="B2174" s="21" t="s">
        <v>1212</v>
      </c>
      <c r="C2174" s="21" t="s">
        <v>1246</v>
      </c>
      <c r="D2174" s="21" t="s">
        <v>1188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1193</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1366</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1958</v>
      </c>
      <c r="B2177" s="21" t="s">
        <v>1215</v>
      </c>
      <c r="C2177" s="21" t="s">
        <v>1262</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1796</v>
      </c>
      <c r="B2178" s="21" t="s">
        <v>1248</v>
      </c>
      <c r="C2178" s="21" t="s">
        <v>1192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1959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1960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1193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1232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1828</v>
      </c>
      <c r="B2183" s="21" t="s">
        <v>1186</v>
      </c>
      <c r="C2183" s="21" t="s">
        <v>1187</v>
      </c>
      <c r="D2183" s="21" t="s">
        <v>1188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1193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1527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1380</v>
      </c>
      <c r="B2186" s="21" t="s">
        <v>1186</v>
      </c>
      <c r="C2186" s="21" t="s">
        <v>1192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1193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1427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1232</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1233</v>
      </c>
      <c r="B2190" s="21" t="s">
        <v>1186</v>
      </c>
      <c r="C2190" s="21" t="s">
        <v>1187</v>
      </c>
      <c r="D2190" s="21" t="s">
        <v>1188</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1527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1961</v>
      </c>
      <c r="B2192" s="21" t="s">
        <v>1186</v>
      </c>
      <c r="C2192" s="21" t="s">
        <v>1187</v>
      </c>
      <c r="D2192" s="21" t="s">
        <v>1188</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826</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row>
    <row r="2195" spans="1:12">
      <c r="A2195" s="20" t="s">
        <v>1962</v>
      </c>
    </row>
    <row r="2196" spans="1:12">
      <c r="A2196" s="20" t="s">
        <v>1201</v>
      </c>
      <c r="B2196" s="21" t="s">
        <v>1202</v>
      </c>
      <c r="C2196" s="21" t="s">
        <v>1203</v>
      </c>
      <c r="D2196" s="21" t="s">
        <v>1188</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1327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1321</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1963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1193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1578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1367</v>
      </c>
      <c r="B2202" s="21" t="s">
        <v>1248</v>
      </c>
      <c r="C2202" s="21" t="s">
        <v>1216</v>
      </c>
      <c r="D2202" s="21" t="s">
        <v>1188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1502</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1964</v>
      </c>
      <c r="B2204" s="21" t="s">
        <v>1186</v>
      </c>
      <c r="C2204" s="21" t="s">
        <v>1196</v>
      </c>
      <c r="D2204" s="21" t="s">
        <v>1188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1656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1965</v>
      </c>
      <c r="B2206" s="21" t="s">
        <v>1199</v>
      </c>
      <c r="C2206" s="21" t="s">
        <v>1231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366</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1314</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826</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row>
    <row r="2211" spans="1:12">
      <c r="A2211" s="20" t="s">
        <v>1966</v>
      </c>
    </row>
    <row r="2212" spans="1:12">
      <c r="A2212" s="20" t="s">
        <v>1270</v>
      </c>
      <c r="B2212" s="21" t="s">
        <v>1186</v>
      </c>
      <c r="C2212" s="21" t="s">
        <v>1187</v>
      </c>
      <c r="D2212" s="21" t="s">
        <v>1188</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1190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1967</v>
      </c>
    </row>
    <row r="2216" spans="1:12">
      <c r="A2216" s="20" t="s">
        <v>1552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1788</v>
      </c>
      <c r="B2217" s="21" t="s">
        <v>1248</v>
      </c>
      <c r="C2217" s="21" t="s">
        <v>1187</v>
      </c>
      <c r="D2217" s="21" t="s">
        <v>1188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1789</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1278</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1283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1968</v>
      </c>
      <c r="B2221" s="21" t="s">
        <v>1212</v>
      </c>
      <c r="C2221" s="21" t="s">
        <v>1231</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1550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1193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1206</v>
      </c>
      <c r="B2224" s="21" t="s">
        <v>1248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1969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1205</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1970</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1711</v>
      </c>
      <c r="B2228" s="21" t="s">
        <v>1199</v>
      </c>
      <c r="C2228" s="21" t="s">
        <v>1240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1971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826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1369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1972</v>
      </c>
    </row>
    <row r="2234" spans="1:12">
      <c r="A2234" s="20" t="s">
        <v>1552</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1973</v>
      </c>
      <c r="B2235" s="21" t="s">
        <v>1202</v>
      </c>
      <c r="C2235" s="21" t="s">
        <v>1196</v>
      </c>
      <c r="D2235" s="21" t="s">
        <v>1188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1974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1190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1374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1552</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1402</v>
      </c>
      <c r="B2240" s="21" t="s">
        <v>1248</v>
      </c>
      <c r="C2240" s="21" t="s">
        <v>1187</v>
      </c>
      <c r="D2240" s="21" t="s">
        <v>1188</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1278</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1975</v>
      </c>
      <c r="B2242" s="21" t="s">
        <v>1311</v>
      </c>
      <c r="C2242" s="21" t="s">
        <v>1192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1976</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1977</v>
      </c>
      <c r="B2244" s="21" t="s">
        <v>1215</v>
      </c>
      <c r="C2244" s="21" t="s">
        <v>1331</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1978</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1395</v>
      </c>
      <c r="B2246" s="21" t="s">
        <v>1215</v>
      </c>
      <c r="C2246" s="21" t="s">
        <v>1192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1979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826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1374</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row>
    <row r="2251" spans="1:12">
      <c r="A2251" s="20" t="s">
        <v>1980</v>
      </c>
    </row>
    <row r="2252" spans="1:12">
      <c r="A2252" s="20" t="s">
        <v>1981</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1515</v>
      </c>
      <c r="B2253" s="21" t="s">
        <v>1186</v>
      </c>
      <c r="C2253" s="21" t="s">
        <v>1246</v>
      </c>
      <c r="D2253" s="21" t="s">
        <v>1188</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1318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826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row>
    <row r="2257" spans="1:12">
      <c r="A2257" s="20" t="s">
        <v>1982</v>
      </c>
    </row>
    <row r="2258" spans="1:12">
      <c r="A2258" s="20" t="s">
        <v>1294</v>
      </c>
      <c r="B2258" s="21" t="s">
        <v>1186</v>
      </c>
      <c r="C2258" s="21" t="s">
        <v>1203</v>
      </c>
      <c r="D2258" s="21" t="s">
        <v>1188</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1190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1364</v>
      </c>
      <c r="B2260" s="21" t="s">
        <v>1248</v>
      </c>
      <c r="C2260" s="21" t="s">
        <v>1246</v>
      </c>
      <c r="D2260" s="21" t="s">
        <v>1188</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1250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1206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1983</v>
      </c>
      <c r="B2264" s="21" t="s">
        <v>1199</v>
      </c>
      <c r="C2264" s="21" t="s">
        <v>1196</v>
      </c>
      <c r="D2264" s="21" t="s">
        <v>1188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1232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1268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1984</v>
      </c>
      <c r="B2267" s="21" t="s">
        <v>1215</v>
      </c>
      <c r="C2267" s="21" t="s">
        <v>1187</v>
      </c>
      <c r="D2267" s="21" t="s">
        <v>1188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1985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1395</v>
      </c>
      <c r="B2269" s="21" t="s">
        <v>1199</v>
      </c>
      <c r="C2269" s="21" t="s">
        <v>1192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1039</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1986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1302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185</v>
      </c>
      <c r="B2274" s="21" t="s">
        <v>1296</v>
      </c>
      <c r="C2274" s="21" t="s">
        <v>1203</v>
      </c>
      <c r="D2274" s="21" t="s">
        <v>1188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1278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1312</v>
      </c>
      <c r="B2276" s="21" t="s">
        <v>1347</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1987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1193</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1427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1988</v>
      </c>
      <c r="B2280" s="21" t="s">
        <v>1436</v>
      </c>
      <c r="C2280" s="21" t="s">
        <v>1262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1193</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1206</v>
      </c>
      <c r="B2282" s="21" t="s">
        <v>1437</v>
      </c>
      <c r="C2282" s="21" t="s">
        <v>1246</v>
      </c>
      <c r="D2282" s="21" t="s">
        <v>1188</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1208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1206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1402</v>
      </c>
      <c r="B2285" s="21" t="s">
        <v>1298</v>
      </c>
      <c r="C2285" s="21" t="s">
        <v>1187</v>
      </c>
      <c r="D2285" s="21" t="s">
        <v>1188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1989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1302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1194</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1990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1991</v>
      </c>
      <c r="B2290" s="21" t="s">
        <v>1533</v>
      </c>
      <c r="C2290" s="21" t="s">
        <v>1196</v>
      </c>
      <c r="D2290" s="21" t="s">
        <v>1188</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1365</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1278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1302</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1577</v>
      </c>
      <c r="B2294" s="21" t="s">
        <v>1500</v>
      </c>
      <c r="C2294" s="21" t="s">
        <v>1192</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1193</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1244</v>
      </c>
      <c r="B2296" s="21" t="s">
        <v>1992</v>
      </c>
      <c r="C2296" s="21" t="s">
        <v>1246</v>
      </c>
      <c r="D2296" s="21" t="s">
        <v>1188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1993</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1994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1193</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1337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1995</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1193</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1309</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1996</v>
      </c>
      <c r="B2304" s="21" t="s">
        <v>1354</v>
      </c>
      <c r="C2304" s="21" t="s">
        <v>1192</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1802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1997</v>
      </c>
      <c r="B2306" s="21" t="s">
        <v>1998</v>
      </c>
      <c r="C2306" s="21" t="s">
        <v>1187</v>
      </c>
      <c r="D2306" s="21" t="s">
        <v>1188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1999</v>
      </c>
      <c r="B2307" s="21" t="s">
        <v>1356</v>
      </c>
      <c r="C2307" s="21" t="s">
        <v>1187</v>
      </c>
      <c r="D2307" s="21" t="s">
        <v>1188</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1193</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1366</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185</v>
      </c>
      <c r="B2311" s="21" t="s">
        <v>2000</v>
      </c>
      <c r="C2311" s="21" t="s">
        <v>1203</v>
      </c>
      <c r="D2311" s="21" t="s">
        <v>1188</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1491</v>
      </c>
      <c r="B2312" s="21" t="s">
        <v>1356</v>
      </c>
      <c r="C2312" s="21" t="s">
        <v>1246</v>
      </c>
      <c r="D2312" s="21" t="s">
        <v>1188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2001</v>
      </c>
      <c r="B2313" s="21" t="s">
        <v>2002</v>
      </c>
      <c r="C2313" s="21" t="s">
        <v>1331</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2003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1278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1193</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1366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1194</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1402</v>
      </c>
      <c r="B2319" s="21" t="s">
        <v>2004</v>
      </c>
      <c r="C2319" s="21" t="s">
        <v>1187</v>
      </c>
      <c r="D2319" s="21" t="s">
        <v>1188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2005</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1321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1979</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1454</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1193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1653</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427</v>
      </c>
      <c r="B2327" s="21" t="s">
        <v>2006</v>
      </c>
      <c r="C2327" s="21" t="s">
        <v>1246</v>
      </c>
      <c r="D2327" s="21" t="s">
        <v>1188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1464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1193</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1366</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1297</v>
      </c>
      <c r="B2331" s="21" t="s">
        <v>2007</v>
      </c>
      <c r="C2331" s="21" t="s">
        <v>1216</v>
      </c>
      <c r="D2331" s="21" t="s">
        <v>1188</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1968</v>
      </c>
      <c r="B2332" s="21" t="s">
        <v>2008</v>
      </c>
      <c r="C2332" s="21" t="s">
        <v>1218</v>
      </c>
      <c r="D2332" s="21" t="s">
        <v>1188</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276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1372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826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2009</v>
      </c>
    </row>
    <row r="2338" spans="1:12">
      <c r="A2338" s="20" t="s">
        <v>1316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1244</v>
      </c>
      <c r="B2339" s="21" t="s">
        <v>1202</v>
      </c>
      <c r="C2339" s="21" t="s">
        <v>1246</v>
      </c>
      <c r="D2339" s="21" t="s">
        <v>1188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2010</v>
      </c>
      <c r="B2340" s="21" t="s">
        <v>1202</v>
      </c>
      <c r="C2340" s="21" t="s">
        <v>1308</v>
      </c>
      <c r="D2340" s="21" t="s">
        <v>1188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2011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2012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1265</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1193</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1227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1206</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1935</v>
      </c>
      <c r="B2347" s="21" t="s">
        <v>1186</v>
      </c>
      <c r="C2347" s="21" t="s">
        <v>1196</v>
      </c>
      <c r="D2347" s="21" t="s">
        <v>1188</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1193</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1366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1194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1402</v>
      </c>
      <c r="B2351" s="21" t="s">
        <v>1311</v>
      </c>
      <c r="C2351" s="21" t="s">
        <v>1187</v>
      </c>
      <c r="D2351" s="21" t="s">
        <v>1188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2013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1725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2014</v>
      </c>
      <c r="B2354" s="21" t="s">
        <v>1313</v>
      </c>
      <c r="C2354" s="21" t="s">
        <v>1240</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1193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2013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1489</v>
      </c>
      <c r="B2357" s="21" t="s">
        <v>1313</v>
      </c>
      <c r="C2357" s="21" t="s">
        <v>1240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2015</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1977</v>
      </c>
      <c r="B2359" s="21" t="s">
        <v>1215</v>
      </c>
      <c r="C2359" s="21" t="s">
        <v>1192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1232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1228</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2016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1395</v>
      </c>
      <c r="B2363" s="21" t="s">
        <v>1215</v>
      </c>
      <c r="C2363" s="21" t="s">
        <v>1231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1979</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1193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2017</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680</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2018</v>
      </c>
      <c r="B2368" s="21" t="s">
        <v>1199</v>
      </c>
      <c r="C2368" s="21" t="s">
        <v>1231</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1193</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1206</v>
      </c>
      <c r="B2370" s="21" t="s">
        <v>1919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1359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1226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2019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1193</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680</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2018</v>
      </c>
      <c r="B2376" s="21" t="s">
        <v>1296</v>
      </c>
      <c r="C2376" s="21" t="s">
        <v>1231</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1802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1214</v>
      </c>
      <c r="B2378" s="21" t="s">
        <v>1285</v>
      </c>
      <c r="C2378" s="21" t="s">
        <v>1216</v>
      </c>
      <c r="D2378" s="21" t="s">
        <v>1188</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2020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2021</v>
      </c>
      <c r="B2380" s="21" t="s">
        <v>1215</v>
      </c>
      <c r="C2380" s="21" t="s">
        <v>1218</v>
      </c>
      <c r="D2380" s="21" t="s">
        <v>1188</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1193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1206</v>
      </c>
      <c r="B2382" s="21" t="s">
        <v>1296</v>
      </c>
      <c r="C2382" s="21" t="s">
        <v>1246</v>
      </c>
      <c r="D2382" s="21" t="s">
        <v>1188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1527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2022</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1353</v>
      </c>
      <c r="B2385" s="21" t="s">
        <v>1285</v>
      </c>
      <c r="C2385" s="21" t="s">
        <v>1331</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2023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826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row>
    <row r="2389" spans="1:12">
      <c r="A2389" s="20" t="s">
        <v>2024</v>
      </c>
    </row>
    <row r="2390" spans="1:12">
      <c r="A2390" s="20" t="s">
        <v>1288</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1228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2025</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632</v>
      </c>
      <c r="B2393" s="21" t="s">
        <v>1186</v>
      </c>
      <c r="C2393" s="21" t="s">
        <v>1231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163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1668</v>
      </c>
      <c r="B2395" s="21" t="s">
        <v>1202</v>
      </c>
      <c r="C2395" s="21" t="s">
        <v>1246</v>
      </c>
      <c r="D2395" s="21" t="s">
        <v>1188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1261</v>
      </c>
      <c r="B2396" s="21" t="s">
        <v>1199</v>
      </c>
      <c r="C2396" s="21" t="s">
        <v>1262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2026</v>
      </c>
      <c r="B2397" s="21" t="s">
        <v>1212</v>
      </c>
      <c r="C2397" s="21" t="s">
        <v>1331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1232</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1788</v>
      </c>
      <c r="B2399" s="21" t="s">
        <v>1199</v>
      </c>
      <c r="C2399" s="21" t="s">
        <v>1187</v>
      </c>
      <c r="D2399" s="21" t="s">
        <v>1188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1193</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2027</v>
      </c>
      <c r="B2401" s="21" t="s">
        <v>1248</v>
      </c>
      <c r="C2401" s="21" t="s">
        <v>1187</v>
      </c>
      <c r="D2401" s="21" t="s">
        <v>1188</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1959</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1241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2028</v>
      </c>
      <c r="B2405" s="21" t="s">
        <v>1199</v>
      </c>
      <c r="C2405" s="21" t="s">
        <v>1192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826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2029</v>
      </c>
    </row>
    <row r="2409" spans="1:12">
      <c r="A2409" s="20" t="s">
        <v>1253</v>
      </c>
      <c r="B2409" s="21" t="s">
        <v>1311</v>
      </c>
      <c r="C2409" s="21" t="s">
        <v>1246</v>
      </c>
      <c r="D2409" s="21" t="s">
        <v>1188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1227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1955</v>
      </c>
      <c r="B2411" s="21" t="s">
        <v>1285</v>
      </c>
      <c r="C2411" s="21" t="s">
        <v>1216</v>
      </c>
      <c r="D2411" s="21" t="s">
        <v>1188</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1792</v>
      </c>
      <c r="B2412" s="21" t="s">
        <v>1215</v>
      </c>
      <c r="C2412" s="21" t="s">
        <v>1218</v>
      </c>
      <c r="D2412" s="21" t="s">
        <v>1188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2030</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1265</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1193</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1206</v>
      </c>
      <c r="B2416" s="21" t="s">
        <v>1436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1359</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1226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2019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1321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1440</v>
      </c>
      <c r="B2421" s="21" t="s">
        <v>1215</v>
      </c>
      <c r="C2421" s="21" t="s">
        <v>1262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2031</v>
      </c>
      <c r="B2422" s="21" t="s">
        <v>1212</v>
      </c>
      <c r="C2422" s="21" t="s">
        <v>1192</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2032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1193</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1265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1321</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1544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1193</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1366</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185</v>
      </c>
      <c r="B2430" s="21" t="s">
        <v>1248</v>
      </c>
      <c r="C2430" s="21" t="s">
        <v>1203</v>
      </c>
      <c r="D2430" s="21" t="s">
        <v>1188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2020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2033</v>
      </c>
      <c r="B2432" s="21" t="s">
        <v>1245</v>
      </c>
      <c r="C2432" s="21" t="s">
        <v>1331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1490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1193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1937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1193</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1366</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1194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2034</v>
      </c>
      <c r="B2439" s="21" t="s">
        <v>1311</v>
      </c>
      <c r="C2439" s="21" t="s">
        <v>1196</v>
      </c>
      <c r="D2439" s="21" t="s">
        <v>1188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1197</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2035</v>
      </c>
      <c r="B2441" s="21" t="s">
        <v>1285</v>
      </c>
      <c r="C2441" s="21" t="s">
        <v>1196</v>
      </c>
      <c r="D2441" s="21" t="s">
        <v>1188</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1359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1431</v>
      </c>
      <c r="B2443" s="21" t="s">
        <v>1215</v>
      </c>
      <c r="C2443" s="21" t="s">
        <v>1192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1193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2036</v>
      </c>
      <c r="B2445" s="21" t="s">
        <v>1285</v>
      </c>
      <c r="C2445" s="21" t="s">
        <v>1187</v>
      </c>
      <c r="D2445" s="21" t="s">
        <v>1188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2037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1193</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1210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1792</v>
      </c>
      <c r="B2449" s="21" t="s">
        <v>1313</v>
      </c>
      <c r="C2449" s="21" t="s">
        <v>1196</v>
      </c>
      <c r="D2449" s="21" t="s">
        <v>1188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1321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1365</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1740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1193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2038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1194</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1788</v>
      </c>
      <c r="B2456" s="21" t="s">
        <v>1199</v>
      </c>
      <c r="C2456" s="21" t="s">
        <v>1187</v>
      </c>
      <c r="D2456" s="21" t="s">
        <v>1188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1789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1668</v>
      </c>
      <c r="B2458" s="21" t="s">
        <v>1248</v>
      </c>
      <c r="C2458" s="21" t="s">
        <v>1246</v>
      </c>
      <c r="D2458" s="21" t="s">
        <v>1188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2039</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1302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1520</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1494</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2040</v>
      </c>
      <c r="B2463" s="21" t="s">
        <v>1313</v>
      </c>
      <c r="C2463" s="21" t="s">
        <v>1231</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2041</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826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row>
    <row r="2467" spans="1:12">
      <c r="A2467" s="20" t="s">
        <v>2042</v>
      </c>
    </row>
    <row r="2468" spans="1:12">
      <c r="A2468" s="20" t="s">
        <v>1607</v>
      </c>
      <c r="B2468" s="21" t="s">
        <v>1202</v>
      </c>
      <c r="C2468" s="21" t="s">
        <v>1203</v>
      </c>
      <c r="D2468" s="21" t="s">
        <v>1188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2043</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2044</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1494</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2045</v>
      </c>
      <c r="B2472" s="21" t="s">
        <v>1212</v>
      </c>
      <c r="C2472" s="21" t="s">
        <v>1231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1208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1206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1402</v>
      </c>
      <c r="B2475" s="21" t="s">
        <v>1199</v>
      </c>
      <c r="C2475" s="21" t="s">
        <v>1187</v>
      </c>
      <c r="D2475" s="21" t="s">
        <v>1188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1227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1302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2046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1668</v>
      </c>
      <c r="B2479" s="21" t="s">
        <v>1245</v>
      </c>
      <c r="C2479" s="21" t="s">
        <v>1246</v>
      </c>
      <c r="D2479" s="21" t="s">
        <v>1188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1193</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1740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1210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1792</v>
      </c>
      <c r="B2483" s="21" t="s">
        <v>1313</v>
      </c>
      <c r="C2483" s="21" t="s">
        <v>1196</v>
      </c>
      <c r="D2483" s="21" t="s">
        <v>1188</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1478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2047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1556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1365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826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row>
    <row r="2490" spans="1:12">
      <c r="A2490" s="20" t="s">
        <v>2048</v>
      </c>
    </row>
    <row r="2491" spans="1:12">
      <c r="A2491" s="20" t="s">
        <v>1253</v>
      </c>
      <c r="B2491" s="21" t="s">
        <v>1202</v>
      </c>
      <c r="C2491" s="21" t="s">
        <v>1246</v>
      </c>
      <c r="D2491" s="21" t="s">
        <v>1188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2049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1502</v>
      </c>
      <c r="B2493" s="21" t="s">
        <v>1248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1527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1210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2050</v>
      </c>
      <c r="B2496" s="21" t="s">
        <v>1199</v>
      </c>
      <c r="C2496" s="21" t="s">
        <v>1196</v>
      </c>
      <c r="D2496" s="21" t="s">
        <v>1188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1206</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2051</v>
      </c>
      <c r="B2498" s="21" t="s">
        <v>1215</v>
      </c>
      <c r="C2498" s="21" t="s">
        <v>1196</v>
      </c>
      <c r="D2498" s="21" t="s">
        <v>1188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1527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1210</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1512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1498</v>
      </c>
      <c r="B2502" s="21" t="s">
        <v>1285</v>
      </c>
      <c r="C2502" s="21" t="s">
        <v>1196</v>
      </c>
      <c r="D2502" s="21" t="s">
        <v>1188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1193</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1317</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1194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2034</v>
      </c>
      <c r="B2506" s="21" t="s">
        <v>1248</v>
      </c>
      <c r="C2506" s="21" t="s">
        <v>1196</v>
      </c>
      <c r="D2506" s="21" t="s">
        <v>1188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1197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2052</v>
      </c>
      <c r="B2508" s="21" t="s">
        <v>1215</v>
      </c>
      <c r="C2508" s="21" t="s">
        <v>1196</v>
      </c>
      <c r="D2508" s="21" t="s">
        <v>1188</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1359</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1431</v>
      </c>
      <c r="B2510" s="21" t="s">
        <v>1215</v>
      </c>
      <c r="C2510" s="21" t="s">
        <v>1192</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1329</v>
      </c>
      <c r="B2511" s="21" t="s">
        <v>1215</v>
      </c>
      <c r="C2511" s="21" t="s">
        <v>1246</v>
      </c>
      <c r="D2511" s="21" t="s">
        <v>1188</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2053</v>
      </c>
      <c r="B2512" s="21" t="s">
        <v>1245</v>
      </c>
      <c r="C2512" s="21" t="s">
        <v>1331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1506</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1278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1193</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1366</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1194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2005</v>
      </c>
      <c r="B2518" s="21" t="s">
        <v>1311</v>
      </c>
      <c r="C2518" s="21" t="s">
        <v>1196</v>
      </c>
      <c r="D2518" s="21" t="s">
        <v>1188</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2015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1977</v>
      </c>
      <c r="B2520" s="21" t="s">
        <v>1215</v>
      </c>
      <c r="C2520" s="21" t="s">
        <v>1331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2054</v>
      </c>
      <c r="B2521" s="21" t="s">
        <v>1285</v>
      </c>
      <c r="C2521" s="21" t="s">
        <v>1262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1395</v>
      </c>
      <c r="B2522" s="21" t="s">
        <v>1215</v>
      </c>
      <c r="C2522" s="21" t="s">
        <v>1192</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1979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670</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1257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row>
    <row r="2527" spans="1:12">
      <c r="A2527" s="20" t="s">
        <v>2055</v>
      </c>
    </row>
    <row r="2528" spans="1:12">
      <c r="A2528" s="20" t="s">
        <v>1270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1190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1219</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1193</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1494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2056</v>
      </c>
      <c r="B2533" s="21" t="s">
        <v>1199</v>
      </c>
      <c r="C2533" s="21" t="s">
        <v>1231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1205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1360</v>
      </c>
      <c r="B2535" s="21" t="s">
        <v>1285</v>
      </c>
      <c r="C2535" s="21" t="s">
        <v>1216</v>
      </c>
      <c r="D2535" s="21" t="s">
        <v>1188</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2057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154</v>
      </c>
      <c r="B2537" s="21" t="s">
        <v>1215</v>
      </c>
      <c r="C2537" s="21" t="s">
        <v>1218</v>
      </c>
      <c r="D2537" s="21" t="s">
        <v>1188</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1265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1190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2058</v>
      </c>
      <c r="B2540" s="21" t="s">
        <v>1202</v>
      </c>
      <c r="C2540" s="21" t="s">
        <v>1290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1314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1515</v>
      </c>
      <c r="B2542" s="21" t="s">
        <v>1212</v>
      </c>
      <c r="C2542" s="21" t="s">
        <v>1246</v>
      </c>
      <c r="D2542" s="21" t="s">
        <v>1188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1194</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2057</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2059</v>
      </c>
      <c r="B2545" s="21" t="s">
        <v>1212</v>
      </c>
      <c r="C2545" s="21" t="s">
        <v>1196</v>
      </c>
      <c r="D2545" s="21" t="s">
        <v>1188</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1388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453</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1257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row>
    <row r="2550" spans="1:12">
      <c r="A2550" s="20" t="s">
        <v>2060</v>
      </c>
    </row>
    <row r="2551" spans="1:12">
      <c r="A2551" s="20" t="s">
        <v>1333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1310</v>
      </c>
      <c r="B2552" s="21" t="s">
        <v>1248</v>
      </c>
      <c r="C2552" s="21" t="s">
        <v>1262</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1457</v>
      </c>
      <c r="B2553" s="21" t="s">
        <v>1245</v>
      </c>
      <c r="C2553" s="21" t="s">
        <v>1246</v>
      </c>
      <c r="D2553" s="21" t="s">
        <v>1188</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2061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1278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1193</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1895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1310</v>
      </c>
      <c r="B2558" s="21" t="s">
        <v>1202</v>
      </c>
      <c r="C2558" s="21" t="s">
        <v>1262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1226</v>
      </c>
      <c r="B2559" s="21" t="s">
        <v>1212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1329</v>
      </c>
      <c r="B2561" s="21" t="s">
        <v>1199</v>
      </c>
      <c r="C2561" s="21" t="s">
        <v>1246</v>
      </c>
      <c r="D2561" s="21" t="s">
        <v>1188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2062</v>
      </c>
      <c r="B2562" s="21" t="s">
        <v>1212</v>
      </c>
      <c r="C2562" s="21" t="s">
        <v>1331</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292</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826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row>
    <row r="2566" spans="1:12">
      <c r="A2566" s="20" t="s">
        <v>2063</v>
      </c>
    </row>
    <row r="2567" spans="1:12">
      <c r="A2567" s="20" t="s">
        <v>1253</v>
      </c>
      <c r="B2567" s="21" t="s">
        <v>1202</v>
      </c>
      <c r="C2567" s="21" t="s">
        <v>1246</v>
      </c>
      <c r="D2567" s="21" t="s">
        <v>1188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1265</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1227</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1297</v>
      </c>
      <c r="B2570" s="21" t="s">
        <v>1199</v>
      </c>
      <c r="C2570" s="21" t="s">
        <v>1216</v>
      </c>
      <c r="D2570" s="21" t="s">
        <v>1188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2064</v>
      </c>
      <c r="B2571" s="21" t="s">
        <v>1186</v>
      </c>
      <c r="C2571" s="21" t="s">
        <v>1218</v>
      </c>
      <c r="D2571" s="21" t="s">
        <v>1188</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2065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1257</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row>
    <row r="2575" spans="1:12">
      <c r="A2575" s="20" t="s">
        <v>2066</v>
      </c>
    </row>
    <row r="2576" spans="1:12">
      <c r="A2576" s="20" t="s">
        <v>1294</v>
      </c>
      <c r="B2576" s="21" t="s">
        <v>1186</v>
      </c>
      <c r="C2576" s="21" t="s">
        <v>1203</v>
      </c>
      <c r="D2576" s="21" t="s">
        <v>1188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1190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1839</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1510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1774</v>
      </c>
      <c r="B2580" s="21" t="s">
        <v>1248</v>
      </c>
      <c r="C2580" s="21" t="s">
        <v>1196</v>
      </c>
      <c r="D2580" s="21" t="s">
        <v>1188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1265</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1190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row>
    <row r="2584" spans="1:12">
      <c r="A2584" s="20" t="s">
        <v>2067</v>
      </c>
    </row>
    <row r="2585" spans="1:12">
      <c r="A2585" s="20" t="s">
        <v>1412</v>
      </c>
      <c r="B2585" s="21" t="s">
        <v>1202</v>
      </c>
      <c r="C2585" s="21" t="s">
        <v>1203</v>
      </c>
      <c r="D2585" s="21" t="s">
        <v>1188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2068</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1205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1570</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1816</v>
      </c>
      <c r="B2589" s="21" t="s">
        <v>1186</v>
      </c>
      <c r="C2589" s="21" t="s">
        <v>1240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826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row>
    <row r="2592" spans="1:12">
      <c r="A2592" s="20" t="s">
        <v>1369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2069</v>
      </c>
    </row>
    <row r="2594" spans="1:12">
      <c r="A2594" s="20" t="s">
        <v>1412</v>
      </c>
      <c r="B2594" s="21" t="s">
        <v>1202</v>
      </c>
      <c r="C2594" s="21" t="s">
        <v>1203</v>
      </c>
      <c r="D2594" s="21" t="s">
        <v>1188</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2070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1190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1374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1426</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57</v>
      </c>
      <c r="B2599" s="21" t="s">
        <v>1248</v>
      </c>
      <c r="C2599" s="21" t="s">
        <v>1203</v>
      </c>
      <c r="D2599" s="21" t="s">
        <v>1188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1193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1271</v>
      </c>
      <c r="B2601" s="21" t="s">
        <v>1311</v>
      </c>
      <c r="C2601" s="21" t="s">
        <v>1203</v>
      </c>
      <c r="D2601" s="21" t="s">
        <v>1188</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2071</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1193</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1271</v>
      </c>
      <c r="B2604" s="21" t="s">
        <v>1296</v>
      </c>
      <c r="C2604" s="21" t="s">
        <v>1203</v>
      </c>
      <c r="D2604" s="21" t="s">
        <v>1188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2072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1668</v>
      </c>
      <c r="B2606" s="21" t="s">
        <v>1296</v>
      </c>
      <c r="C2606" s="21" t="s">
        <v>1246</v>
      </c>
      <c r="D2606" s="21" t="s">
        <v>1188</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1321</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303</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826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row>
    <row r="2611" spans="1:12">
      <c r="A2611" s="20" t="s">
        <v>2073</v>
      </c>
    </row>
    <row r="2612" spans="1:12">
      <c r="A2612" s="20" t="s">
        <v>1801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2074</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1271</v>
      </c>
      <c r="B2614" s="21" t="s">
        <v>1202</v>
      </c>
      <c r="C2614" s="21" t="s">
        <v>1203</v>
      </c>
      <c r="D2614" s="21" t="s">
        <v>1188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2075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2076</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826</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row>
    <row r="2619" spans="1:12">
      <c r="A2619" s="20" t="s">
        <v>2077</v>
      </c>
    </row>
    <row r="2620" spans="1:12">
      <c r="A2620" s="20" t="s">
        <v>1364</v>
      </c>
      <c r="B2620" s="21" t="s">
        <v>1202</v>
      </c>
      <c r="C2620" s="21" t="s">
        <v>1246</v>
      </c>
      <c r="D2620" s="21" t="s">
        <v>1188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478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1668</v>
      </c>
      <c r="B2622" s="21" t="s">
        <v>1212</v>
      </c>
      <c r="C2622" s="21" t="s">
        <v>1246</v>
      </c>
      <c r="D2622" s="21" t="s">
        <v>1188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2078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1193</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185</v>
      </c>
      <c r="B2625" s="21" t="s">
        <v>1248</v>
      </c>
      <c r="C2625" s="21" t="s">
        <v>1203</v>
      </c>
      <c r="D2625" s="21" t="s">
        <v>1188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1265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1321</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1256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1841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826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row>
    <row r="2632" spans="1:12">
      <c r="A2632" s="20" t="s">
        <v>1369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2079</v>
      </c>
    </row>
    <row r="2634" spans="1:12">
      <c r="A2634" s="20" t="s">
        <v>1583</v>
      </c>
      <c r="B2634" s="21" t="s">
        <v>1199</v>
      </c>
      <c r="C2634" s="21" t="s">
        <v>1216</v>
      </c>
      <c r="D2634" s="21" t="s">
        <v>1188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1702</v>
      </c>
      <c r="B2635" s="21" t="s">
        <v>1202</v>
      </c>
      <c r="C2635" s="21" t="s">
        <v>1218</v>
      </c>
      <c r="D2635" s="21" t="s">
        <v>1188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670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2080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1502</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2081</v>
      </c>
      <c r="B2639" s="21" t="s">
        <v>1202</v>
      </c>
      <c r="C2639" s="21" t="s">
        <v>1196</v>
      </c>
      <c r="D2639" s="21" t="s">
        <v>1188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130</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826</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1374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row>
    <row r="2644" spans="1:12">
      <c r="A2644" s="20" t="s">
        <v>2082</v>
      </c>
    </row>
    <row r="2645" spans="1:12">
      <c r="A2645" s="20" t="s">
        <v>2083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1816</v>
      </c>
      <c r="B2646" s="21" t="s">
        <v>1202</v>
      </c>
      <c r="C2646" s="21" t="s">
        <v>1240</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1341</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1841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1193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1662</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2084</v>
      </c>
      <c r="B2651" s="21" t="s">
        <v>1248</v>
      </c>
      <c r="C2651" s="21" t="s">
        <v>1203</v>
      </c>
      <c r="D2651" s="21" t="s">
        <v>1188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1556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2085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1193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1629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2084</v>
      </c>
      <c r="B2656" s="21" t="s">
        <v>1245</v>
      </c>
      <c r="C2656" s="21" t="s">
        <v>1203</v>
      </c>
      <c r="D2656" s="21" t="s">
        <v>1188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1668</v>
      </c>
      <c r="B2657" s="21" t="s">
        <v>1248</v>
      </c>
      <c r="C2657" s="21" t="s">
        <v>1246</v>
      </c>
      <c r="D2657" s="21" t="s">
        <v>1188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303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2086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826</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row>
    <row r="2662" spans="1:12">
      <c r="A2662" s="20" t="s">
        <v>2087</v>
      </c>
    </row>
    <row r="2663" spans="1:12">
      <c r="A2663" s="20" t="s">
        <v>2088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2089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1265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185</v>
      </c>
      <c r="B2666" s="21" t="s">
        <v>1202</v>
      </c>
      <c r="C2666" s="21" t="s">
        <v>1203</v>
      </c>
      <c r="D2666" s="21" t="s">
        <v>1188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1602</v>
      </c>
      <c r="B2667" s="21" t="s">
        <v>1186</v>
      </c>
      <c r="C2667" s="21" t="s">
        <v>1192</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2090</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2091</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2092</v>
      </c>
      <c r="B2670" s="21" t="s">
        <v>1186</v>
      </c>
      <c r="C2670" s="21" t="s">
        <v>1192</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1193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1321</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1544</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1232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1828</v>
      </c>
      <c r="B2675" s="21" t="s">
        <v>1186</v>
      </c>
      <c r="C2675" s="21" t="s">
        <v>1187</v>
      </c>
      <c r="D2675" s="21" t="s">
        <v>1188</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1193</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1937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1039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1232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2093</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1355</v>
      </c>
      <c r="B2681" s="21" t="s">
        <v>1186</v>
      </c>
      <c r="C2681" s="21" t="s">
        <v>1192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1302</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1232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2094</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1355</v>
      </c>
      <c r="B2685" s="21" t="s">
        <v>1199</v>
      </c>
      <c r="C2685" s="21" t="s">
        <v>1192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1232</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1206</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1390</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1336</v>
      </c>
      <c r="B2689" s="21" t="s">
        <v>1215</v>
      </c>
      <c r="C2689" s="21" t="s">
        <v>1196</v>
      </c>
      <c r="D2689" s="21" t="s">
        <v>1188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826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2095</v>
      </c>
    </row>
    <row r="2693" spans="1:12">
      <c r="A2693" s="20" t="s">
        <v>1702</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1324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1232</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1206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2096</v>
      </c>
      <c r="B2697" s="21" t="s">
        <v>1186</v>
      </c>
      <c r="C2697" s="21" t="s">
        <v>1196</v>
      </c>
      <c r="D2697" s="21" t="s">
        <v>1188</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366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1193</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1283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2097</v>
      </c>
      <c r="B2701" s="21" t="s">
        <v>1245</v>
      </c>
      <c r="C2701" s="21" t="s">
        <v>1231</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1232</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1194</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2098</v>
      </c>
      <c r="B2704" s="21" t="s">
        <v>1199</v>
      </c>
      <c r="C2704" s="21" t="s">
        <v>1196</v>
      </c>
      <c r="D2704" s="21" t="s">
        <v>1188</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1337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2099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1302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2013</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2100</v>
      </c>
      <c r="B2709" s="21" t="s">
        <v>1245</v>
      </c>
      <c r="C2709" s="21" t="s">
        <v>1240</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2101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2102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2103</v>
      </c>
    </row>
    <row r="2714" spans="1:12">
      <c r="A2714" s="20" t="s">
        <v>1409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2104</v>
      </c>
      <c r="B2715" s="21" t="s">
        <v>1212</v>
      </c>
      <c r="C2715" s="21" t="s">
        <v>1240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1494</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2105</v>
      </c>
      <c r="B2717" s="21" t="s">
        <v>1212</v>
      </c>
      <c r="C2717" s="21" t="s">
        <v>1231</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1337</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495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2102</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2106</v>
      </c>
    </row>
    <row r="2723" spans="1:12">
      <c r="A2723" s="20" t="s">
        <v>1702</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1324</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1232</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1206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2096</v>
      </c>
      <c r="B2727" s="21" t="s">
        <v>1186</v>
      </c>
      <c r="C2727" s="21" t="s">
        <v>1196</v>
      </c>
      <c r="D2727" s="21" t="s">
        <v>1188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366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1193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2107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680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2108</v>
      </c>
      <c r="B2732" s="21" t="s">
        <v>1245</v>
      </c>
      <c r="C2732" s="21" t="s">
        <v>1231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1337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506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2102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2109</v>
      </c>
    </row>
    <row r="2738" spans="1:12">
      <c r="A2738" s="20" t="s">
        <v>1668</v>
      </c>
      <c r="B2738" s="21" t="s">
        <v>1202</v>
      </c>
      <c r="C2738" s="21" t="s">
        <v>1246</v>
      </c>
      <c r="D2738" s="21" t="s">
        <v>1188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1324</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1300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1268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2110</v>
      </c>
      <c r="B2742" s="21" t="s">
        <v>1186</v>
      </c>
      <c r="C2742" s="21" t="s">
        <v>1196</v>
      </c>
      <c r="D2742" s="21" t="s">
        <v>1188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502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1530</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2102</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row>
    <row r="2747" spans="1:12">
      <c r="A2747" s="20" t="s">
        <v>2111</v>
      </c>
    </row>
    <row r="2748" spans="1:12">
      <c r="A2748" s="20" t="s">
        <v>1668</v>
      </c>
      <c r="B2748" s="21" t="s">
        <v>1202</v>
      </c>
      <c r="C2748" s="21" t="s">
        <v>1246</v>
      </c>
      <c r="D2748" s="21" t="s">
        <v>1188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1324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1226</v>
      </c>
      <c r="B2750" s="21" t="s">
        <v>1212</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680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2112</v>
      </c>
      <c r="B2752" s="21" t="s">
        <v>1202</v>
      </c>
      <c r="C2752" s="21" t="s">
        <v>1231</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506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1530</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1193</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1459</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1226</v>
      </c>
      <c r="B2757" s="21" t="s">
        <v>1245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142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1337</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1444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1193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1309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1360</v>
      </c>
      <c r="B2763" s="21" t="s">
        <v>1285</v>
      </c>
      <c r="C2763" s="21" t="s">
        <v>1216</v>
      </c>
      <c r="D2763" s="21" t="s">
        <v>1188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2113</v>
      </c>
      <c r="B2764" s="21" t="s">
        <v>1311</v>
      </c>
      <c r="C2764" s="21" t="s">
        <v>1218</v>
      </c>
      <c r="D2764" s="21" t="s">
        <v>1188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1359</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1494</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2114</v>
      </c>
      <c r="B2767" s="21" t="s">
        <v>1215</v>
      </c>
      <c r="C2767" s="21" t="s">
        <v>1231</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1206</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1345</v>
      </c>
      <c r="B2769" s="21" t="s">
        <v>1285</v>
      </c>
      <c r="C2769" s="21" t="s">
        <v>1196</v>
      </c>
      <c r="D2769" s="21" t="s">
        <v>1188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2115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670</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1193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2116</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1321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2117</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2118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1345</v>
      </c>
      <c r="B2777" s="21" t="s">
        <v>1215</v>
      </c>
      <c r="C2777" s="21" t="s">
        <v>1240</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1193</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2119</v>
      </c>
      <c r="B2779" s="21" t="s">
        <v>1285</v>
      </c>
      <c r="C2779" s="21" t="s">
        <v>1192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1232</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1206</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1195</v>
      </c>
      <c r="B2782" s="21" t="s">
        <v>1298</v>
      </c>
      <c r="C2782" s="21" t="s">
        <v>1196</v>
      </c>
      <c r="D2782" s="21" t="s">
        <v>1188</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1193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1309</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1668</v>
      </c>
      <c r="B2785" s="21" t="s">
        <v>1436</v>
      </c>
      <c r="C2785" s="21" t="s">
        <v>1246</v>
      </c>
      <c r="D2785" s="21" t="s">
        <v>1188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2120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670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1193</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1302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1309</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1668</v>
      </c>
      <c r="B2791" s="21" t="s">
        <v>1436</v>
      </c>
      <c r="C2791" s="21" t="s">
        <v>1246</v>
      </c>
      <c r="D2791" s="21" t="s">
        <v>1188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1570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2121</v>
      </c>
      <c r="B2793" s="21" t="s">
        <v>1437</v>
      </c>
      <c r="C2793" s="21" t="s">
        <v>1240</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2122</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826</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row>
    <row r="2797" spans="1:12">
      <c r="A2797" s="20" t="s">
        <v>2123</v>
      </c>
    </row>
    <row r="2798" spans="1:12">
      <c r="A2798" s="20" t="s">
        <v>1364</v>
      </c>
      <c r="B2798" s="21" t="s">
        <v>1202</v>
      </c>
      <c r="C2798" s="21" t="s">
        <v>1246</v>
      </c>
      <c r="D2798" s="21" t="s">
        <v>1188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680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2124</v>
      </c>
      <c r="B2801" s="21" t="s">
        <v>1212</v>
      </c>
      <c r="C2801" s="21" t="s">
        <v>1231</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1205</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1883</v>
      </c>
      <c r="B2803" s="21" t="s">
        <v>1199</v>
      </c>
      <c r="C2803" s="21" t="s">
        <v>1192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826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row>
    <row r="2806" spans="1:12">
      <c r="A2806" s="20" t="s">
        <v>2125</v>
      </c>
    </row>
    <row r="2807" spans="1:12">
      <c r="A2807" s="20" t="s">
        <v>1405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1613</v>
      </c>
      <c r="B2808" s="21" t="s">
        <v>1186</v>
      </c>
      <c r="C2808" s="21" t="s">
        <v>1192</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1359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1283</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2126</v>
      </c>
      <c r="B2811" s="21" t="s">
        <v>1199</v>
      </c>
      <c r="C2811" s="21" t="s">
        <v>1231</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513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427</v>
      </c>
      <c r="B2813" s="21" t="s">
        <v>1202</v>
      </c>
      <c r="C2813" s="21" t="s">
        <v>1246</v>
      </c>
      <c r="D2813" s="21" t="s">
        <v>1188</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1283</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2127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2128</v>
      </c>
      <c r="B2816" s="21" t="s">
        <v>1245</v>
      </c>
      <c r="C2816" s="21" t="s">
        <v>1231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1378</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1494</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1344</v>
      </c>
      <c r="B2819" s="21" t="s">
        <v>1245</v>
      </c>
      <c r="C2819" s="21" t="s">
        <v>1231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1208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2128</v>
      </c>
      <c r="B2821" s="21" t="s">
        <v>1199</v>
      </c>
      <c r="C2821" s="21" t="s">
        <v>1192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2129</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680</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2130</v>
      </c>
      <c r="B2824" s="21" t="s">
        <v>1199</v>
      </c>
      <c r="C2824" s="21" t="s">
        <v>1231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1193</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1662</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427</v>
      </c>
      <c r="B2827" s="21" t="s">
        <v>1248</v>
      </c>
      <c r="C2827" s="21" t="s">
        <v>1246</v>
      </c>
      <c r="D2827" s="21" t="s">
        <v>1188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2131</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1193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1366</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2132</v>
      </c>
      <c r="B2831" s="21" t="s">
        <v>1313</v>
      </c>
      <c r="C2831" s="21" t="s">
        <v>1246</v>
      </c>
      <c r="D2831" s="21" t="s">
        <v>1188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1337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474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1193</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2133</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2134</v>
      </c>
      <c r="B2836" s="21" t="s">
        <v>1215</v>
      </c>
      <c r="C2836" s="21" t="s">
        <v>1240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1193</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1317</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185</v>
      </c>
      <c r="B2839" s="21" t="s">
        <v>1436</v>
      </c>
      <c r="C2839" s="21" t="s">
        <v>1203</v>
      </c>
      <c r="D2839" s="21" t="s">
        <v>1188</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1520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1194</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2135</v>
      </c>
      <c r="B2842" s="21" t="s">
        <v>1298</v>
      </c>
      <c r="C2842" s="21" t="s">
        <v>1196</v>
      </c>
      <c r="D2842" s="21" t="s">
        <v>1188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2136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2137</v>
      </c>
      <c r="B2844" s="21" t="s">
        <v>1499</v>
      </c>
      <c r="C2844" s="21" t="s">
        <v>1192</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1193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1232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1268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1452</v>
      </c>
      <c r="B2848" s="21" t="s">
        <v>1500</v>
      </c>
      <c r="C2848" s="21" t="s">
        <v>1196</v>
      </c>
      <c r="D2848" s="21" t="s">
        <v>1188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1302</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1459</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2051</v>
      </c>
      <c r="B2851" s="21" t="s">
        <v>1351</v>
      </c>
      <c r="C2851" s="21" t="s">
        <v>1192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1638</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1193</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2075</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1494</v>
      </c>
      <c r="B2855" s="21" t="s">
        <v>1436</v>
      </c>
      <c r="C2855" s="21" t="s">
        <v>1246</v>
      </c>
      <c r="D2855" s="21" t="s">
        <v>1188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1337</v>
      </c>
      <c r="B2856" s="21" t="s">
        <v>1499</v>
      </c>
      <c r="C2856" s="21" t="s">
        <v>1262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1819</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2138</v>
      </c>
      <c r="B2858" s="21" t="s">
        <v>1298</v>
      </c>
      <c r="C2858" s="21" t="s">
        <v>1192</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2139</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1193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1427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1366</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427</v>
      </c>
      <c r="B2863" s="21" t="s">
        <v>1919</v>
      </c>
      <c r="C2863" s="21" t="s">
        <v>1246</v>
      </c>
      <c r="D2863" s="21" t="s">
        <v>1188</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1318</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2140</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2141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826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row>
    <row r="2869" spans="1:12">
      <c r="A2869" s="20" t="s">
        <v>2142</v>
      </c>
    </row>
    <row r="2870" spans="1:12">
      <c r="A2870" s="20" t="s">
        <v>1270</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1190</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2143</v>
      </c>
      <c r="B2872" s="21" t="s">
        <v>1199</v>
      </c>
      <c r="C2872" s="21" t="s">
        <v>1262</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1702</v>
      </c>
      <c r="B2873" s="21" t="s">
        <v>1202</v>
      </c>
      <c r="C2873" s="21" t="s">
        <v>1331</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1341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1527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1502</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1193</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1244</v>
      </c>
      <c r="B2878" s="21" t="s">
        <v>1313</v>
      </c>
      <c r="C2878" s="21" t="s">
        <v>1246</v>
      </c>
      <c r="D2878" s="21" t="s">
        <v>1188</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57</v>
      </c>
      <c r="B2879" s="21" t="s">
        <v>1311</v>
      </c>
      <c r="C2879" s="21" t="s">
        <v>1246</v>
      </c>
      <c r="D2879" s="21" t="s">
        <v>1188</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1443</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1399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1193</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2144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826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row>
    <row r="2886" spans="1:12">
      <c r="A2886" s="20" t="s">
        <v>1369</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2145</v>
      </c>
    </row>
    <row r="2888" spans="1:12">
      <c r="A2888" s="20" t="s">
        <v>1201</v>
      </c>
      <c r="B2888" s="21" t="s">
        <v>1202</v>
      </c>
      <c r="C2888" s="21" t="s">
        <v>1203</v>
      </c>
      <c r="D2888" s="21" t="s">
        <v>1188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1272</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2146</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680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2147</v>
      </c>
      <c r="B2892" s="21" t="s">
        <v>1212</v>
      </c>
      <c r="C2892" s="21" t="s">
        <v>1231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1208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2148</v>
      </c>
      <c r="B2894" s="21" t="s">
        <v>1199</v>
      </c>
      <c r="C2894" s="21" t="s">
        <v>1187</v>
      </c>
      <c r="D2894" s="21" t="s">
        <v>1188</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2149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1986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1193</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1206</v>
      </c>
      <c r="B2898" s="21" t="s">
        <v>1311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1922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1190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1374</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2150</v>
      </c>
      <c r="B2902" s="21" t="s">
        <v>1248</v>
      </c>
      <c r="C2902" s="21" t="s">
        <v>1187</v>
      </c>
      <c r="D2902" s="21" t="s">
        <v>1188</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2151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1594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680</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2152</v>
      </c>
      <c r="B2906" s="21" t="s">
        <v>1186</v>
      </c>
      <c r="C2906" s="21" t="s">
        <v>1231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826</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1369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2153</v>
      </c>
    </row>
    <row r="2911" spans="1:12">
      <c r="A2911" s="20" t="s">
        <v>42</v>
      </c>
      <c r="B2911" s="21" t="s">
        <v>1202</v>
      </c>
      <c r="C2911" s="21" t="s">
        <v>1187</v>
      </c>
      <c r="D2911" s="21" t="s">
        <v>1188</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1220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1265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1206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2154</v>
      </c>
      <c r="B2915" s="21" t="s">
        <v>1186</v>
      </c>
      <c r="C2915" s="21" t="s">
        <v>1196</v>
      </c>
      <c r="D2915" s="21" t="s">
        <v>1188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1193</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1206</v>
      </c>
      <c r="B2917" s="21" t="s">
        <v>1248</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1268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2155</v>
      </c>
      <c r="B2919" s="21" t="s">
        <v>1245</v>
      </c>
      <c r="C2919" s="21" t="s">
        <v>1196</v>
      </c>
      <c r="D2919" s="21" t="s">
        <v>1188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1210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2156</v>
      </c>
      <c r="B2921" s="21" t="s">
        <v>1245</v>
      </c>
      <c r="C2921" s="21" t="s">
        <v>1196</v>
      </c>
      <c r="D2921" s="21" t="s">
        <v>1188</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2157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1278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826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1374</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row>
    <row r="2927" spans="1:12">
      <c r="A2927" s="20" t="s">
        <v>2158</v>
      </c>
    </row>
    <row r="2928" spans="1:12">
      <c r="A2928" s="20" t="s">
        <v>1235</v>
      </c>
      <c r="B2928" s="21" t="s">
        <v>1202</v>
      </c>
      <c r="C2928" s="21" t="s">
        <v>1203</v>
      </c>
      <c r="D2928" s="21" t="s">
        <v>1188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2159</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1193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57</v>
      </c>
      <c r="B2931" s="21" t="s">
        <v>1248</v>
      </c>
      <c r="C2931" s="21" t="s">
        <v>1203</v>
      </c>
      <c r="D2931" s="21" t="s">
        <v>1188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2160</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1283</v>
      </c>
      <c r="B2933" s="21" t="s">
        <v>1245</v>
      </c>
      <c r="C2933" s="21" t="s">
        <v>1262</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1206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2161</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2162</v>
      </c>
      <c r="B2936" s="21" t="s">
        <v>1245</v>
      </c>
      <c r="C2936" s="21" t="s">
        <v>1196</v>
      </c>
      <c r="D2936" s="21" t="s">
        <v>1188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1197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2163</v>
      </c>
      <c r="B2938" s="21" t="s">
        <v>1215</v>
      </c>
      <c r="C2938" s="21" t="s">
        <v>1196</v>
      </c>
      <c r="D2938" s="21" t="s">
        <v>1188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1232</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1206</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1679</v>
      </c>
      <c r="B2941" s="21" t="s">
        <v>1285</v>
      </c>
      <c r="C2941" s="21" t="s">
        <v>1187</v>
      </c>
      <c r="D2941" s="21" t="s">
        <v>1188</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1391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2164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826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row>
    <row r="2947" spans="1:12">
      <c r="A2947" s="20" t="s">
        <v>2165</v>
      </c>
    </row>
    <row r="2948" spans="1:12">
      <c r="A2948" s="20" t="s">
        <v>1253</v>
      </c>
      <c r="B2948" s="21" t="s">
        <v>1212</v>
      </c>
      <c r="C2948" s="21" t="s">
        <v>1246</v>
      </c>
      <c r="D2948" s="21" t="s">
        <v>1188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1292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57</v>
      </c>
      <c r="B2950" s="21" t="s">
        <v>1202</v>
      </c>
      <c r="C2950" s="21" t="s">
        <v>1203</v>
      </c>
      <c r="D2950" s="21" t="s">
        <v>1188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2166</v>
      </c>
      <c r="B2951" s="21" t="s">
        <v>1245</v>
      </c>
      <c r="C2951" s="21" t="s">
        <v>1192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2167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1193</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1194</v>
      </c>
      <c r="B2954" s="21" t="s">
        <v>1248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1502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215</v>
      </c>
      <c r="B2956" s="21" t="s">
        <v>1186</v>
      </c>
      <c r="C2956" s="21" t="s">
        <v>1218</v>
      </c>
      <c r="D2956" s="21" t="s">
        <v>1188</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1257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row>
    <row r="2959" spans="1:12">
      <c r="A2959" s="20" t="s">
        <v>2168</v>
      </c>
    </row>
    <row r="2960" spans="1:12">
      <c r="A2960" s="20" t="s">
        <v>1294</v>
      </c>
      <c r="B2960" s="21" t="s">
        <v>1202</v>
      </c>
      <c r="C2960" s="21" t="s">
        <v>1187</v>
      </c>
      <c r="D2960" s="21" t="s">
        <v>1188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1190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2148</v>
      </c>
      <c r="B2962" s="21" t="s">
        <v>1199</v>
      </c>
      <c r="C2962" s="21" t="s">
        <v>1187</v>
      </c>
      <c r="D2962" s="21" t="s">
        <v>1188</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2149</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1265</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1494</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2169</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1878</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2170</v>
      </c>
      <c r="B2968" s="21" t="s">
        <v>1186</v>
      </c>
      <c r="C2968" s="21" t="s">
        <v>1231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826</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2171</v>
      </c>
    </row>
    <row r="2972" spans="1:12">
      <c r="A2972" s="20" t="s">
        <v>1222</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2172</v>
      </c>
      <c r="B2973" s="21" t="s">
        <v>1186</v>
      </c>
      <c r="C2973" s="21" t="s">
        <v>1192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1224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2173</v>
      </c>
      <c r="B2975" s="21" t="s">
        <v>1186</v>
      </c>
      <c r="C2975" s="21" t="s">
        <v>1192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826</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row>
    <row r="2978" spans="1:12">
      <c r="A2978" s="20" t="s">
        <v>2174</v>
      </c>
    </row>
    <row r="2979" spans="1:12">
      <c r="A2979" s="20" t="s">
        <v>1264</v>
      </c>
      <c r="B2979" s="21" t="s">
        <v>1248</v>
      </c>
      <c r="C2979" s="21" t="s">
        <v>1203</v>
      </c>
      <c r="D2979" s="21" t="s">
        <v>1188</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1265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2175</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1193</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1662</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2176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1193</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1427</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2150</v>
      </c>
      <c r="B2987" s="21" t="s">
        <v>1311</v>
      </c>
      <c r="C2987" s="21" t="s">
        <v>1187</v>
      </c>
      <c r="D2987" s="21" t="s">
        <v>1188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2151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1651</v>
      </c>
      <c r="B2989" s="21" t="s">
        <v>1313</v>
      </c>
      <c r="C2989" s="21" t="s">
        <v>1262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2177</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2178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2179</v>
      </c>
      <c r="B2992" s="21" t="s">
        <v>1285</v>
      </c>
      <c r="C2992" s="21" t="s">
        <v>1240</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2180</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1193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1922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2148</v>
      </c>
      <c r="B2996" s="21" t="s">
        <v>1202</v>
      </c>
      <c r="C2996" s="21" t="s">
        <v>1187</v>
      </c>
      <c r="D2996" s="21" t="s">
        <v>1188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2149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1193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1366</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2181</v>
      </c>
      <c r="B3000" s="21" t="s">
        <v>1248</v>
      </c>
      <c r="C3000" s="21" t="s">
        <v>1203</v>
      </c>
      <c r="D3000" s="21" t="s">
        <v>1188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1502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2182</v>
      </c>
      <c r="B3002" s="21" t="s">
        <v>1245</v>
      </c>
      <c r="C3002" s="21" t="s">
        <v>1196</v>
      </c>
      <c r="D3002" s="21" t="s">
        <v>1188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1359</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2183</v>
      </c>
      <c r="B3004" s="21" t="s">
        <v>1199</v>
      </c>
      <c r="C3004" s="21" t="s">
        <v>1192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1232</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2184</v>
      </c>
      <c r="B3006" s="21" t="s">
        <v>1285</v>
      </c>
      <c r="C3006" s="21" t="s">
        <v>1262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1336</v>
      </c>
      <c r="B3007" s="21" t="s">
        <v>1215</v>
      </c>
      <c r="C3007" s="21" t="s">
        <v>1331</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2185</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1193</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1206</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2186</v>
      </c>
      <c r="B3011" s="21" t="s">
        <v>1311</v>
      </c>
      <c r="C3011" s="21" t="s">
        <v>1196</v>
      </c>
      <c r="D3011" s="21" t="s">
        <v>1188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1372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1232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2187</v>
      </c>
      <c r="B3014" s="21" t="s">
        <v>1215</v>
      </c>
      <c r="C3014" s="21" t="s">
        <v>1192</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2188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1302</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1194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2189</v>
      </c>
      <c r="B3018" s="21" t="s">
        <v>1248</v>
      </c>
      <c r="C3018" s="21" t="s">
        <v>1196</v>
      </c>
      <c r="D3018" s="21" t="s">
        <v>1188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1929</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2190</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1193</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1302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2191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2049</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2181</v>
      </c>
      <c r="B3025" s="21" t="s">
        <v>1248</v>
      </c>
      <c r="C3025" s="21" t="s">
        <v>1203</v>
      </c>
      <c r="D3025" s="21" t="s">
        <v>1188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1193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1502</v>
      </c>
      <c r="B3027" s="21" t="s">
        <v>1311</v>
      </c>
      <c r="C3027" s="21" t="s">
        <v>1216</v>
      </c>
      <c r="D3027" s="21" t="s">
        <v>1188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1265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680</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2152</v>
      </c>
      <c r="B3030" s="21" t="s">
        <v>1199</v>
      </c>
      <c r="C3030" s="21" t="s">
        <v>1231</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826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row>
    <row r="3033" spans="1:12">
      <c r="A3033" s="20" t="s">
        <v>2192</v>
      </c>
    </row>
    <row r="3034" spans="1:12">
      <c r="A3034" s="20" t="s">
        <v>1364</v>
      </c>
      <c r="B3034" s="21" t="s">
        <v>1202</v>
      </c>
      <c r="C3034" s="21" t="s">
        <v>1246</v>
      </c>
      <c r="D3034" s="21" t="s">
        <v>1188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1324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2193</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2194</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366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1250</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2195</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2196</v>
      </c>
      <c r="B3041" s="21" t="s">
        <v>1199</v>
      </c>
      <c r="C3041" s="21" t="s">
        <v>1192</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1208</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2197</v>
      </c>
      <c r="B3043" s="21" t="s">
        <v>1285</v>
      </c>
      <c r="C3043" s="21" t="s">
        <v>1262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2198</v>
      </c>
      <c r="B3044" s="21" t="s">
        <v>1215</v>
      </c>
      <c r="C3044" s="21" t="s">
        <v>1216</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1193</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1244</v>
      </c>
      <c r="B3046" s="21" t="s">
        <v>1436</v>
      </c>
      <c r="C3046" s="21" t="s">
        <v>1246</v>
      </c>
      <c r="D3046" s="21" t="s">
        <v>1188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1210</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1561</v>
      </c>
      <c r="B3048" s="21" t="s">
        <v>1437</v>
      </c>
      <c r="C3048" s="21" t="s">
        <v>1196</v>
      </c>
      <c r="D3048" s="21" t="s">
        <v>1188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1359</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1194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1531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1532</v>
      </c>
      <c r="B3052" s="21" t="s">
        <v>1298</v>
      </c>
      <c r="C3052" s="21" t="s">
        <v>1196</v>
      </c>
      <c r="D3052" s="21" t="s">
        <v>1188</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2199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826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row>
    <row r="3056" spans="1:12">
      <c r="A3056" s="20" t="s">
        <v>2200</v>
      </c>
    </row>
    <row r="3057" spans="1:12">
      <c r="A3057" s="20" t="s">
        <v>1316</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2201</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1193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1360</v>
      </c>
      <c r="B3060" s="21" t="s">
        <v>1215</v>
      </c>
      <c r="C3060" s="21" t="s">
        <v>1216</v>
      </c>
      <c r="D3060" s="21" t="s">
        <v>1188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1702</v>
      </c>
      <c r="B3061" s="21" t="s">
        <v>1248</v>
      </c>
      <c r="C3061" s="21" t="s">
        <v>1218</v>
      </c>
      <c r="D3061" s="21" t="s">
        <v>1188</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976</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1193</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1244</v>
      </c>
      <c r="B3064" s="21" t="s">
        <v>1311</v>
      </c>
      <c r="C3064" s="21" t="s">
        <v>1246</v>
      </c>
      <c r="D3064" s="21" t="s">
        <v>1188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1668</v>
      </c>
      <c r="B3065" s="21" t="s">
        <v>1313</v>
      </c>
      <c r="C3065" s="21" t="s">
        <v>1246</v>
      </c>
      <c r="D3065" s="21" t="s">
        <v>1188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96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826</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2202</v>
      </c>
    </row>
    <row r="3070" spans="1:12">
      <c r="A3070" s="20" t="s">
        <v>1201</v>
      </c>
      <c r="B3070" s="21" t="s">
        <v>1202</v>
      </c>
      <c r="C3070" s="21" t="s">
        <v>1203</v>
      </c>
      <c r="D3070" s="21" t="s">
        <v>1188</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1372</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556</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1193</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1366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1668</v>
      </c>
      <c r="B3075" s="21" t="s">
        <v>1248</v>
      </c>
      <c r="C3075" s="21" t="s">
        <v>1246</v>
      </c>
      <c r="D3075" s="21" t="s">
        <v>1188</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1494</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2203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2204</v>
      </c>
      <c r="B3078" s="21" t="s">
        <v>1245</v>
      </c>
      <c r="C3078" s="21" t="s">
        <v>1231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1205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1194</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1531</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1532</v>
      </c>
      <c r="B3082" s="21" t="s">
        <v>1199</v>
      </c>
      <c r="C3082" s="21" t="s">
        <v>1196</v>
      </c>
      <c r="D3082" s="21" t="s">
        <v>1188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163</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826</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row>
    <row r="3086" spans="1:12">
      <c r="A3086" s="20" t="s">
        <v>2205</v>
      </c>
    </row>
    <row r="3087" spans="1:12">
      <c r="A3087" s="20" t="s">
        <v>1552</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2206</v>
      </c>
      <c r="B3088" s="21" t="s">
        <v>1202</v>
      </c>
      <c r="C3088" s="21" t="s">
        <v>1196</v>
      </c>
      <c r="D3088" s="21" t="s">
        <v>1188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1208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2166</v>
      </c>
      <c r="B3090" s="21" t="s">
        <v>1199</v>
      </c>
      <c r="C3090" s="21" t="s">
        <v>1192</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1309</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2148</v>
      </c>
      <c r="B3092" s="21" t="s">
        <v>1215</v>
      </c>
      <c r="C3092" s="21" t="s">
        <v>1187</v>
      </c>
      <c r="D3092" s="21" t="s">
        <v>1188</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2149</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560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1321</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1337</v>
      </c>
      <c r="B3096" s="21" t="s">
        <v>1199</v>
      </c>
      <c r="C3096" s="21" t="s">
        <v>1262</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1206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1532</v>
      </c>
      <c r="B3098" s="21" t="s">
        <v>1186</v>
      </c>
      <c r="C3098" s="21" t="s">
        <v>1196</v>
      </c>
      <c r="D3098" s="21" t="s">
        <v>1188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1206</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2207</v>
      </c>
      <c r="B3100" s="21" t="s">
        <v>1199</v>
      </c>
      <c r="C3100" s="21" t="s">
        <v>1196</v>
      </c>
      <c r="D3100" s="21" t="s">
        <v>1188</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1250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826</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2208</v>
      </c>
    </row>
    <row r="3105" spans="1:12">
      <c r="A3105" s="20" t="s">
        <v>1320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2209</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2210</v>
      </c>
      <c r="B3107" s="21" t="s">
        <v>1202</v>
      </c>
      <c r="C3107" s="21" t="s">
        <v>1196</v>
      </c>
      <c r="D3107" s="21" t="s">
        <v>1188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2211</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1226</v>
      </c>
      <c r="B3109" s="21" t="s">
        <v>1212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1321</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2212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1300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1268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2213</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2210</v>
      </c>
      <c r="B3115" s="21" t="s">
        <v>1186</v>
      </c>
      <c r="C3115" s="21" t="s">
        <v>1196</v>
      </c>
      <c r="D3115" s="21" t="s">
        <v>1188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826</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row>
    <row r="3118" spans="1:12">
      <c r="A3118" s="20" t="s">
        <v>2214</v>
      </c>
    </row>
    <row r="3119" spans="1:12">
      <c r="A3119" s="20" t="s">
        <v>1288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1210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2215</v>
      </c>
      <c r="B3121" s="21" t="s">
        <v>1186</v>
      </c>
      <c r="C3121" s="21" t="s">
        <v>1196</v>
      </c>
      <c r="D3121" s="21" t="s">
        <v>1188</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1337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314</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1193</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2129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1702</v>
      </c>
      <c r="B3126" s="21" t="s">
        <v>1186</v>
      </c>
      <c r="C3126" s="21" t="s">
        <v>1192</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1193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1194</v>
      </c>
      <c r="B3128" s="21" t="s">
        <v>1311</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1321</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1462</v>
      </c>
      <c r="B3130" s="21" t="s">
        <v>1215</v>
      </c>
      <c r="C3130" s="21" t="s">
        <v>1304</v>
      </c>
      <c r="D3130" s="21" t="s">
        <v>1188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2216</v>
      </c>
      <c r="B3131" s="21" t="s">
        <v>1199</v>
      </c>
      <c r="C3131" s="21" t="s">
        <v>1192</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1341</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1193</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1227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2217</v>
      </c>
      <c r="B3135" s="21" t="s">
        <v>1215</v>
      </c>
      <c r="C3135" s="21" t="s">
        <v>1192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1193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1194</v>
      </c>
      <c r="B3137" s="21" t="s">
        <v>1436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1329</v>
      </c>
      <c r="B3138" s="21" t="s">
        <v>1499</v>
      </c>
      <c r="C3138" s="21" t="s">
        <v>1246</v>
      </c>
      <c r="D3138" s="21" t="s">
        <v>1188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2218</v>
      </c>
      <c r="B3139" s="21" t="s">
        <v>1437</v>
      </c>
      <c r="C3139" s="21" t="s">
        <v>1331</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2219</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1193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1447</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1515</v>
      </c>
      <c r="B3143" s="21" t="s">
        <v>1245</v>
      </c>
      <c r="C3143" s="21" t="s">
        <v>1246</v>
      </c>
      <c r="D3143" s="21" t="s">
        <v>1188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1329</v>
      </c>
      <c r="B3144" s="21" t="s">
        <v>1215</v>
      </c>
      <c r="C3144" s="21" t="s">
        <v>1246</v>
      </c>
      <c r="D3144" s="21" t="s">
        <v>1188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1532</v>
      </c>
      <c r="B3145" s="21" t="s">
        <v>1248</v>
      </c>
      <c r="C3145" s="21" t="s">
        <v>1331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1193</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1302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1502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2220</v>
      </c>
      <c r="B3149" s="21" t="s">
        <v>1186</v>
      </c>
      <c r="C3149" s="21" t="s">
        <v>1218</v>
      </c>
      <c r="D3149" s="21" t="s">
        <v>1188</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1337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1193</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1578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185</v>
      </c>
      <c r="B3153" s="21" t="s">
        <v>1311</v>
      </c>
      <c r="C3153" s="21" t="s">
        <v>1203</v>
      </c>
      <c r="D3153" s="21" t="s">
        <v>1188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1232</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1268</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2221</v>
      </c>
      <c r="B3156" s="21" t="s">
        <v>1215</v>
      </c>
      <c r="C3156" s="21" t="s">
        <v>1187</v>
      </c>
      <c r="D3156" s="21" t="s">
        <v>1188</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1265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1378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1232</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1268</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1198</v>
      </c>
      <c r="B3161" s="21" t="s">
        <v>1215</v>
      </c>
      <c r="C3161" s="21" t="s">
        <v>1196</v>
      </c>
      <c r="D3161" s="21" t="s">
        <v>1188</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826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row>
    <row r="3164" spans="1:12">
      <c r="A3164" s="20" t="s">
        <v>2222</v>
      </c>
    </row>
    <row r="3165" spans="1:12">
      <c r="A3165" s="20" t="s">
        <v>1320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1198</v>
      </c>
      <c r="B3166" s="21" t="s">
        <v>1202</v>
      </c>
      <c r="C3166" s="21" t="s">
        <v>1196</v>
      </c>
      <c r="D3166" s="21" t="s">
        <v>1188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1265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1321</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1206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2223</v>
      </c>
      <c r="B3170" s="21" t="s">
        <v>1186</v>
      </c>
      <c r="C3170" s="21" t="s">
        <v>1196</v>
      </c>
      <c r="D3170" s="21" t="s">
        <v>1188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826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row>
    <row r="3173" spans="1:12">
      <c r="A3173" s="20" t="s">
        <v>2224</v>
      </c>
    </row>
    <row r="3174" spans="1:12">
      <c r="A3174" s="20" t="s">
        <v>2225</v>
      </c>
      <c r="B3174" s="21" t="s">
        <v>1199</v>
      </c>
      <c r="C3174" s="21" t="s">
        <v>1304</v>
      </c>
      <c r="D3174" s="21" t="s">
        <v>1188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2226</v>
      </c>
      <c r="B3175" s="21" t="s">
        <v>1202</v>
      </c>
      <c r="C3175" s="21" t="s">
        <v>1192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1265</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1321</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1206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2223</v>
      </c>
      <c r="B3179" s="21" t="s">
        <v>1186</v>
      </c>
      <c r="C3179" s="21" t="s">
        <v>1196</v>
      </c>
      <c r="D3179" s="21" t="s">
        <v>1188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826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2227</v>
      </c>
    </row>
    <row r="3183" spans="1:12">
      <c r="A3183" s="20" t="s">
        <v>2228</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578</v>
      </c>
      <c r="B3184" s="21" t="s">
        <v>1186</v>
      </c>
      <c r="C3184" s="21" t="s">
        <v>1192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1193</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1735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578</v>
      </c>
      <c r="B3187" s="21" t="s">
        <v>1186</v>
      </c>
      <c r="C3187" s="21" t="s">
        <v>1192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1302</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2054</v>
      </c>
      <c r="B3189" s="21" t="s">
        <v>1199</v>
      </c>
      <c r="C3189" s="21" t="s">
        <v>1262</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1384</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578</v>
      </c>
      <c r="B3191" s="21" t="s">
        <v>1186</v>
      </c>
      <c r="C3191" s="21" t="s">
        <v>1192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1581</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2229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1341</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1602</v>
      </c>
      <c r="B3195" s="21" t="s">
        <v>1199</v>
      </c>
      <c r="C3195" s="21" t="s">
        <v>1192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2090</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2230</v>
      </c>
      <c r="B3197" s="21" t="s">
        <v>1215</v>
      </c>
      <c r="C3197" s="21" t="s">
        <v>1192</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826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2231</v>
      </c>
    </row>
    <row r="3201" spans="1:12">
      <c r="A3201" s="20" t="s">
        <v>1607</v>
      </c>
      <c r="B3201" s="21" t="s">
        <v>1202</v>
      </c>
      <c r="C3201" s="21" t="s">
        <v>1203</v>
      </c>
      <c r="D3201" s="21" t="s">
        <v>1188</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1341</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1602</v>
      </c>
      <c r="B3203" s="21" t="s">
        <v>1186</v>
      </c>
      <c r="C3203" s="21" t="s">
        <v>1192</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2090</v>
      </c>
      <c r="B3204" s="21" t="s">
        <v>1199</v>
      </c>
      <c r="C3204" s="21" t="s">
        <v>1304</v>
      </c>
      <c r="D3204" s="21" t="s">
        <v>1188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2232</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1336</v>
      </c>
      <c r="B3206" s="21" t="s">
        <v>1186</v>
      </c>
      <c r="C3206" s="21" t="s">
        <v>1192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826</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row>
    <row r="3209" spans="1:12">
      <c r="A3209" s="20" t="s">
        <v>2233</v>
      </c>
    </row>
    <row r="3210" spans="1:12">
      <c r="A3210" s="20" t="s">
        <v>1264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1447</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2234</v>
      </c>
      <c r="B3212" s="21" t="s">
        <v>1202</v>
      </c>
      <c r="C3212" s="21" t="s">
        <v>1192</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1206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2235</v>
      </c>
      <c r="B3214" s="21" t="s">
        <v>1199</v>
      </c>
      <c r="C3214" s="21" t="s">
        <v>1196</v>
      </c>
      <c r="D3214" s="21" t="s">
        <v>1188</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1193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1194</v>
      </c>
      <c r="B3216" s="21" t="s">
        <v>1296</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1515</v>
      </c>
      <c r="B3217" s="21" t="s">
        <v>1347</v>
      </c>
      <c r="C3217" s="21" t="s">
        <v>1246</v>
      </c>
      <c r="D3217" s="21" t="s">
        <v>1188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2236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826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row>
    <row r="3221" spans="1:12">
      <c r="A3221" s="20" t="s">
        <v>2237</v>
      </c>
    </row>
    <row r="3222" spans="1:12">
      <c r="A3222" s="20" t="s">
        <v>1333</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427</v>
      </c>
      <c r="B3223" s="21" t="s">
        <v>1202</v>
      </c>
      <c r="C3223" s="21" t="s">
        <v>1246</v>
      </c>
      <c r="D3223" s="21" t="s">
        <v>1188</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1360</v>
      </c>
      <c r="B3224" s="21" t="s">
        <v>1212</v>
      </c>
      <c r="C3224" s="21" t="s">
        <v>1216</v>
      </c>
      <c r="D3224" s="21" t="s">
        <v>1188</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588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1193</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1232</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1268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427</v>
      </c>
      <c r="B3229" s="21" t="s">
        <v>1436</v>
      </c>
      <c r="C3229" s="21" t="s">
        <v>1246</v>
      </c>
      <c r="D3229" s="21" t="s">
        <v>1188</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1194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2238</v>
      </c>
      <c r="B3231" s="21" t="s">
        <v>1437</v>
      </c>
      <c r="C3231" s="21" t="s">
        <v>1196</v>
      </c>
      <c r="D3231" s="21" t="s">
        <v>1188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2239</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1193</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1194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1532</v>
      </c>
      <c r="B3235" s="21" t="s">
        <v>1199</v>
      </c>
      <c r="C3235" s="21" t="s">
        <v>1196</v>
      </c>
      <c r="D3235" s="21" t="s">
        <v>1188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1193</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1194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2240</v>
      </c>
      <c r="B3238" s="21" t="s">
        <v>1212</v>
      </c>
      <c r="C3238" s="21" t="s">
        <v>1196</v>
      </c>
      <c r="D3238" s="21" t="s">
        <v>1188</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1193</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1208</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1455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2241</v>
      </c>
      <c r="B3242" s="21" t="s">
        <v>1285</v>
      </c>
      <c r="C3242" s="21" t="s">
        <v>1192</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1302</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1381</v>
      </c>
      <c r="B3244" s="21" t="s">
        <v>1298</v>
      </c>
      <c r="C3244" s="21" t="s">
        <v>1192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1232</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2184</v>
      </c>
      <c r="B3246" s="21" t="s">
        <v>1499</v>
      </c>
      <c r="C3246" s="21" t="s">
        <v>1262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1336</v>
      </c>
      <c r="B3247" s="21" t="s">
        <v>1298</v>
      </c>
      <c r="C3247" s="21" t="s">
        <v>1331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2242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1193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1366</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427</v>
      </c>
      <c r="B3251" s="21" t="s">
        <v>1296</v>
      </c>
      <c r="C3251" s="21" t="s">
        <v>1246</v>
      </c>
      <c r="D3251" s="21" t="s">
        <v>1188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1668</v>
      </c>
      <c r="B3252" s="21" t="s">
        <v>1347</v>
      </c>
      <c r="C3252" s="21" t="s">
        <v>1246</v>
      </c>
      <c r="D3252" s="21" t="s">
        <v>1188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2243</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826</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2244</v>
      </c>
    </row>
    <row r="3257" spans="1:12">
      <c r="A3257" s="20" t="s">
        <v>1270</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1190</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1277</v>
      </c>
      <c r="B3259" s="21" t="s">
        <v>1202</v>
      </c>
      <c r="C3259" s="21" t="s">
        <v>1262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1278</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1842</v>
      </c>
      <c r="B3261" s="21" t="s">
        <v>1212</v>
      </c>
      <c r="C3261" s="21" t="s">
        <v>1203</v>
      </c>
      <c r="D3261" s="21" t="s">
        <v>1188</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2245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1193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57</v>
      </c>
      <c r="B3264" s="21" t="s">
        <v>1248</v>
      </c>
      <c r="C3264" s="21" t="s">
        <v>1203</v>
      </c>
      <c r="D3264" s="21" t="s">
        <v>1188</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2160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2246</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2247</v>
      </c>
      <c r="B3267" s="21" t="s">
        <v>1215</v>
      </c>
      <c r="C3267" s="21" t="s">
        <v>1331</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1415</v>
      </c>
      <c r="B3268" s="21" t="s">
        <v>1245</v>
      </c>
      <c r="C3268" s="21" t="s">
        <v>1192</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1770</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826</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row>
    <row r="3272" spans="1:12">
      <c r="A3272" s="20" t="s">
        <v>2248</v>
      </c>
    </row>
    <row r="3273" spans="1:12">
      <c r="A3273" s="20" t="s">
        <v>1264</v>
      </c>
      <c r="B3273" s="21" t="s">
        <v>1202</v>
      </c>
      <c r="C3273" s="21" t="s">
        <v>1203</v>
      </c>
      <c r="D3273" s="21" t="s">
        <v>1188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2249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1193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1427</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1609</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2250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1544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680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1273</v>
      </c>
      <c r="B3281" s="21" t="s">
        <v>1215</v>
      </c>
      <c r="C3281" s="21" t="s">
        <v>1262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2251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1227</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1417</v>
      </c>
      <c r="B3284" s="21" t="s">
        <v>1199</v>
      </c>
      <c r="C3284" s="21" t="s">
        <v>1192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2252</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2253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826</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2254</v>
      </c>
    </row>
    <row r="3290" spans="1:12">
      <c r="A3290" s="20" t="s">
        <v>2255</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185</v>
      </c>
      <c r="B3291" s="21" t="s">
        <v>1202</v>
      </c>
      <c r="C3291" s="21" t="s">
        <v>1203</v>
      </c>
      <c r="D3291" s="21" t="s">
        <v>1188</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2256</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1217</v>
      </c>
      <c r="B3293" s="21" t="s">
        <v>1212</v>
      </c>
      <c r="C3293" s="21" t="s">
        <v>1192</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134</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1257</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row>
    <row r="3297" spans="1:12">
      <c r="A3297" s="20" t="s">
        <v>2257</v>
      </c>
    </row>
    <row r="3298" spans="1:12">
      <c r="A3298" s="20" t="s">
        <v>1294</v>
      </c>
      <c r="B3298" s="21" t="s">
        <v>1186</v>
      </c>
      <c r="C3298" s="21" t="s">
        <v>1203</v>
      </c>
      <c r="D3298" s="21" t="s">
        <v>1188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1190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1264</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1960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1205</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2258</v>
      </c>
      <c r="B3303" s="21" t="s">
        <v>1215</v>
      </c>
      <c r="C3303" s="21" t="s">
        <v>1262</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632</v>
      </c>
      <c r="B3304" s="21" t="s">
        <v>1199</v>
      </c>
      <c r="C3304" s="21" t="s">
        <v>1192</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2256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1217</v>
      </c>
      <c r="B3306" s="21" t="s">
        <v>1245</v>
      </c>
      <c r="C3306" s="21" t="s">
        <v>1192</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134</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826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row>
    <row r="3310" spans="1:12">
      <c r="A3310" s="20" t="s">
        <v>2259</v>
      </c>
    </row>
    <row r="3311" spans="1:12">
      <c r="A3311" s="20" t="s">
        <v>1264</v>
      </c>
      <c r="B3311" s="21" t="s">
        <v>1202</v>
      </c>
      <c r="C3311" s="21" t="s">
        <v>1203</v>
      </c>
      <c r="D3311" s="21" t="s">
        <v>1188</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1994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1486</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1322</v>
      </c>
      <c r="B3314" s="21" t="s">
        <v>1186</v>
      </c>
      <c r="C3314" s="21" t="s">
        <v>1192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1193</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1366</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1651</v>
      </c>
      <c r="B3317" s="21" t="s">
        <v>1311</v>
      </c>
      <c r="C3317" s="21" t="s">
        <v>1262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1206</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2178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2260</v>
      </c>
      <c r="B3320" s="21" t="s">
        <v>1285</v>
      </c>
      <c r="C3320" s="21" t="s">
        <v>1196</v>
      </c>
      <c r="D3320" s="21" t="s">
        <v>1188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1597</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1397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276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670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826</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2261</v>
      </c>
    </row>
    <row r="3328" spans="1:12">
      <c r="A3328" s="20" t="s">
        <v>1270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1190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356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1709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2262</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1193</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1271</v>
      </c>
      <c r="B3334" s="21" t="s">
        <v>1202</v>
      </c>
      <c r="C3334" s="21" t="s">
        <v>1203</v>
      </c>
      <c r="D3334" s="21" t="s">
        <v>1188</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1204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1842</v>
      </c>
      <c r="B3336" s="21" t="s">
        <v>1212</v>
      </c>
      <c r="C3336" s="21" t="s">
        <v>1203</v>
      </c>
      <c r="D3336" s="21" t="s">
        <v>1188</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1494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1322</v>
      </c>
      <c r="B3338" s="21" t="s">
        <v>1212</v>
      </c>
      <c r="C3338" s="21" t="s">
        <v>1231</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610</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1337</v>
      </c>
      <c r="B3340" s="21" t="s">
        <v>1199</v>
      </c>
      <c r="C3340" s="21" t="s">
        <v>1262</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1297</v>
      </c>
      <c r="B3341" s="21" t="s">
        <v>1199</v>
      </c>
      <c r="C3341" s="21" t="s">
        <v>1216</v>
      </c>
      <c r="D3341" s="21" t="s">
        <v>1188</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2263</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2264</v>
      </c>
      <c r="B3343" s="21" t="s">
        <v>1186</v>
      </c>
      <c r="C3343" s="21" t="s">
        <v>1218</v>
      </c>
      <c r="D3343" s="21" t="s">
        <v>1188</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826</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2265</v>
      </c>
    </row>
    <row r="3347" spans="1:12">
      <c r="A3347" s="20" t="s">
        <v>356</v>
      </c>
      <c r="B3347" s="21" t="s">
        <v>1202</v>
      </c>
      <c r="C3347" s="21" t="s">
        <v>1192</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1302</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2266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1842</v>
      </c>
      <c r="B3350" s="21" t="s">
        <v>1186</v>
      </c>
      <c r="C3350" s="21" t="s">
        <v>1203</v>
      </c>
      <c r="D3350" s="21" t="s">
        <v>1188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1367</v>
      </c>
      <c r="B3351" s="21" t="s">
        <v>1212</v>
      </c>
      <c r="C3351" s="21" t="s">
        <v>1216</v>
      </c>
      <c r="D3351" s="21" t="s">
        <v>1188</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1227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826</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2267</v>
      </c>
    </row>
    <row r="3356" spans="1:12">
      <c r="A3356" s="20" t="s">
        <v>2268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1265</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1360</v>
      </c>
      <c r="B3358" s="21" t="s">
        <v>1199</v>
      </c>
      <c r="C3358" s="21" t="s">
        <v>1216</v>
      </c>
      <c r="D3358" s="21" t="s">
        <v>1188</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1391</v>
      </c>
      <c r="B3359" s="21" t="s">
        <v>1202</v>
      </c>
      <c r="C3359" s="21" t="s">
        <v>1218</v>
      </c>
      <c r="D3359" s="21" t="s">
        <v>1188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1359</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1194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2269</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2270</v>
      </c>
      <c r="B3364" s="21" t="s">
        <v>1199</v>
      </c>
      <c r="C3364" s="21" t="s">
        <v>1196</v>
      </c>
      <c r="D3364" s="21" t="s">
        <v>1188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1232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1955</v>
      </c>
      <c r="B3366" s="21" t="s">
        <v>1285</v>
      </c>
      <c r="C3366" s="21" t="s">
        <v>1216</v>
      </c>
      <c r="D3366" s="21" t="s">
        <v>1188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1750</v>
      </c>
      <c r="B3367" s="21" t="s">
        <v>1215</v>
      </c>
      <c r="C3367" s="21" t="s">
        <v>1218</v>
      </c>
      <c r="D3367" s="21" t="s">
        <v>1188</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1194</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2271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618</v>
      </c>
      <c r="B3370" s="21" t="s">
        <v>1186</v>
      </c>
      <c r="C3370" s="21" t="s">
        <v>1196</v>
      </c>
      <c r="D3370" s="21" t="s">
        <v>1188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1193</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1194</v>
      </c>
      <c r="B3372" s="21" t="s">
        <v>1248</v>
      </c>
      <c r="C3372" s="21" t="s">
        <v>1246</v>
      </c>
      <c r="D3372" s="21" t="s">
        <v>1188</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1668</v>
      </c>
      <c r="B3373" s="21" t="s">
        <v>1248</v>
      </c>
      <c r="C3373" s="21" t="s">
        <v>1246</v>
      </c>
      <c r="D3373" s="21" t="s">
        <v>1188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1232</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1210</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1281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1282</v>
      </c>
      <c r="B3377" s="21" t="s">
        <v>1199</v>
      </c>
      <c r="C3377" s="21" t="s">
        <v>1196</v>
      </c>
      <c r="D3377" s="21" t="s">
        <v>1188</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1986</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163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826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row>
    <row r="3382" spans="1:12">
      <c r="A3382" s="20" t="s">
        <v>1369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2272</v>
      </c>
    </row>
    <row r="3384" spans="1:12">
      <c r="A3384" s="20" t="s">
        <v>1264</v>
      </c>
      <c r="B3384" s="21" t="s">
        <v>1202</v>
      </c>
      <c r="C3384" s="21" t="s">
        <v>1203</v>
      </c>
      <c r="D3384" s="21" t="s">
        <v>1188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1638</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1520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680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1586</v>
      </c>
      <c r="B3388" s="21" t="s">
        <v>1186</v>
      </c>
      <c r="C3388" s="21" t="s">
        <v>1231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2273</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1374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2274</v>
      </c>
      <c r="B3391" s="21" t="s">
        <v>1199</v>
      </c>
      <c r="C3391" s="21" t="s">
        <v>1187</v>
      </c>
      <c r="D3391" s="21" t="s">
        <v>1188</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1374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826</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row>
    <row r="3395" spans="1:12">
      <c r="A3395" s="20" t="s">
        <v>2275</v>
      </c>
    </row>
    <row r="3396" spans="1:12">
      <c r="A3396" s="20" t="s">
        <v>2276</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57</v>
      </c>
      <c r="B3397" s="21" t="s">
        <v>1202</v>
      </c>
      <c r="C3397" s="21" t="s">
        <v>1203</v>
      </c>
      <c r="D3397" s="21" t="s">
        <v>1188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1515</v>
      </c>
      <c r="B3398" s="21" t="s">
        <v>1245</v>
      </c>
      <c r="C3398" s="21" t="s">
        <v>1246</v>
      </c>
      <c r="D3398" s="21" t="s">
        <v>1188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625</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1193</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1244</v>
      </c>
      <c r="B3401" s="21" t="s">
        <v>1248</v>
      </c>
      <c r="C3401" s="21" t="s">
        <v>1246</v>
      </c>
      <c r="D3401" s="21" t="s">
        <v>1188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1502</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1265</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1257</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row>
    <row r="3406" spans="1:12">
      <c r="A3406" s="20" t="s">
        <v>2277</v>
      </c>
    </row>
    <row r="3407" spans="1:12">
      <c r="A3407" s="20" t="s">
        <v>1294</v>
      </c>
      <c r="B3407" s="21" t="s">
        <v>1186</v>
      </c>
      <c r="C3407" s="21" t="s">
        <v>1203</v>
      </c>
      <c r="D3407" s="21" t="s">
        <v>1188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1190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2274</v>
      </c>
      <c r="B3409" s="21" t="s">
        <v>1186</v>
      </c>
      <c r="C3409" s="21" t="s">
        <v>1187</v>
      </c>
      <c r="D3409" s="21" t="s">
        <v>1188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1193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2193</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826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row>
    <row r="3414" spans="1:12">
      <c r="A3414" s="20" t="s">
        <v>2278</v>
      </c>
    </row>
    <row r="3415" spans="1:12">
      <c r="A3415" s="20" t="s">
        <v>2279</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680</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632</v>
      </c>
      <c r="B3417" s="21" t="s">
        <v>1186</v>
      </c>
      <c r="C3417" s="21" t="s">
        <v>1231</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1193</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2280</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1271</v>
      </c>
      <c r="B3420" s="21" t="s">
        <v>1248</v>
      </c>
      <c r="C3420" s="21" t="s">
        <v>1203</v>
      </c>
      <c r="D3420" s="21" t="s">
        <v>1188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1206</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1402</v>
      </c>
      <c r="B3422" s="21" t="s">
        <v>1245</v>
      </c>
      <c r="C3422" s="21" t="s">
        <v>1187</v>
      </c>
      <c r="D3422" s="21" t="s">
        <v>1188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1359</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2013</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2281</v>
      </c>
      <c r="B3425" s="21" t="s">
        <v>1199</v>
      </c>
      <c r="C3425" s="21" t="s">
        <v>1240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2282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826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row>
    <row r="3429" spans="1:12">
      <c r="A3429" s="20" t="s">
        <v>2283</v>
      </c>
    </row>
    <row r="3430" spans="1:12">
      <c r="A3430" s="20" t="s">
        <v>1890</v>
      </c>
      <c r="B3430" s="21" t="s">
        <v>1199</v>
      </c>
      <c r="C3430" s="21" t="s">
        <v>1216</v>
      </c>
      <c r="D3430" s="21" t="s">
        <v>1188</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1586</v>
      </c>
      <c r="B3431" s="21" t="s">
        <v>1202</v>
      </c>
      <c r="C3431" s="21" t="s">
        <v>1218</v>
      </c>
      <c r="D3431" s="21" t="s">
        <v>1188</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1554</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2284</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1901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2285</v>
      </c>
      <c r="B3435" s="21" t="s">
        <v>1186</v>
      </c>
      <c r="C3435" s="21" t="s">
        <v>1231</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1232</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1268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1512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2286</v>
      </c>
      <c r="B3439" s="21" t="s">
        <v>1186</v>
      </c>
      <c r="C3439" s="21" t="s">
        <v>1196</v>
      </c>
      <c r="D3439" s="21" t="s">
        <v>1188</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2287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826</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row>
    <row r="3443" spans="1:12">
      <c r="A3443" s="20" t="s">
        <v>1369</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2288</v>
      </c>
    </row>
    <row r="3445" spans="1:12">
      <c r="A3445" s="20" t="s">
        <v>1320</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2289</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2290</v>
      </c>
      <c r="B3447" s="21" t="s">
        <v>1202</v>
      </c>
      <c r="C3447" s="21" t="s">
        <v>1196</v>
      </c>
      <c r="D3447" s="21" t="s">
        <v>1188</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1745</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1374</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2291</v>
      </c>
      <c r="B3450" s="21" t="s">
        <v>1186</v>
      </c>
      <c r="C3450" s="21" t="s">
        <v>1187</v>
      </c>
      <c r="D3450" s="21" t="s">
        <v>1188</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1374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1193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2284</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1901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2292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2293</v>
      </c>
      <c r="B3456" s="21" t="s">
        <v>1199</v>
      </c>
      <c r="C3456" s="21" t="s">
        <v>1231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826</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row>
    <row r="3459" spans="1:12">
      <c r="A3459" s="20" t="s">
        <v>2294</v>
      </c>
    </row>
    <row r="3460" spans="1:12">
      <c r="A3460" s="20" t="s">
        <v>1201</v>
      </c>
      <c r="B3460" s="21" t="s">
        <v>1202</v>
      </c>
      <c r="C3460" s="21" t="s">
        <v>1203</v>
      </c>
      <c r="D3460" s="21" t="s">
        <v>1188</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1654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1193</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1366</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1668</v>
      </c>
      <c r="B3464" s="21" t="s">
        <v>1248</v>
      </c>
      <c r="C3464" s="21" t="s">
        <v>1246</v>
      </c>
      <c r="D3464" s="21" t="s">
        <v>1188</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185</v>
      </c>
      <c r="B3465" s="21" t="s">
        <v>1245</v>
      </c>
      <c r="C3465" s="21" t="s">
        <v>1203</v>
      </c>
      <c r="D3465" s="21" t="s">
        <v>1188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1382</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728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1193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1662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1502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1964</v>
      </c>
      <c r="B3471" s="21" t="s">
        <v>1311</v>
      </c>
      <c r="C3471" s="21" t="s">
        <v>1196</v>
      </c>
      <c r="D3471" s="21" t="s">
        <v>1188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1462</v>
      </c>
      <c r="B3472" s="21" t="s">
        <v>1215</v>
      </c>
      <c r="C3472" s="21" t="s">
        <v>1304</v>
      </c>
      <c r="D3472" s="21" t="s">
        <v>1188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1878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2295</v>
      </c>
      <c r="B3474" s="21" t="s">
        <v>1199</v>
      </c>
      <c r="C3474" s="21" t="s">
        <v>1192</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1265</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826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2296</v>
      </c>
    </row>
    <row r="3479" spans="1:12">
      <c r="A3479" s="20" t="s">
        <v>1264</v>
      </c>
      <c r="B3479" s="21" t="s">
        <v>1202</v>
      </c>
      <c r="C3479" s="21" t="s">
        <v>1203</v>
      </c>
      <c r="D3479" s="21" t="s">
        <v>1188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1341</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1683</v>
      </c>
      <c r="B3481" s="21" t="s">
        <v>1186</v>
      </c>
      <c r="C3481" s="21" t="s">
        <v>1192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1193</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1300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1455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1194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1402</v>
      </c>
      <c r="B3486" s="21" t="s">
        <v>1296</v>
      </c>
      <c r="C3486" s="21" t="s">
        <v>1187</v>
      </c>
      <c r="D3486" s="21" t="s">
        <v>1188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2297</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2298</v>
      </c>
      <c r="B3488" s="21" t="s">
        <v>1248</v>
      </c>
      <c r="C3488" s="21" t="s">
        <v>1192</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1232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1194</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2299</v>
      </c>
      <c r="B3491" s="21" t="s">
        <v>1199</v>
      </c>
      <c r="C3491" s="21" t="s">
        <v>1196</v>
      </c>
      <c r="D3491" s="21" t="s">
        <v>1188</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2300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826</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2301</v>
      </c>
    </row>
    <row r="3496" spans="1:12">
      <c r="A3496" s="20" t="s">
        <v>1607</v>
      </c>
      <c r="B3496" s="21" t="s">
        <v>1202</v>
      </c>
      <c r="C3496" s="21" t="s">
        <v>1203</v>
      </c>
      <c r="D3496" s="21" t="s">
        <v>1188</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96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2298</v>
      </c>
      <c r="B3498" s="21" t="s">
        <v>1212</v>
      </c>
      <c r="C3498" s="21" t="s">
        <v>1192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1193</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1366</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1367</v>
      </c>
      <c r="B3501" s="21" t="s">
        <v>1311</v>
      </c>
      <c r="C3501" s="21" t="s">
        <v>1216</v>
      </c>
      <c r="D3501" s="21" t="s">
        <v>1188</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2302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2303</v>
      </c>
      <c r="B3503" s="21" t="s">
        <v>1199</v>
      </c>
      <c r="C3503" s="21" t="s">
        <v>1192</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1341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826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1369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2304</v>
      </c>
    </row>
    <row r="3509" spans="1:12">
      <c r="A3509" s="20" t="s">
        <v>1607</v>
      </c>
      <c r="B3509" s="21" t="s">
        <v>1202</v>
      </c>
      <c r="C3509" s="21" t="s">
        <v>1203</v>
      </c>
      <c r="D3509" s="21" t="s">
        <v>1188</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96</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1190</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1374</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1364</v>
      </c>
      <c r="B3513" s="21" t="s">
        <v>1248</v>
      </c>
      <c r="C3513" s="21" t="s">
        <v>1246</v>
      </c>
      <c r="D3513" s="21" t="s">
        <v>1188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1444</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1300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1842</v>
      </c>
      <c r="B3516" s="21" t="s">
        <v>1199</v>
      </c>
      <c r="C3516" s="21" t="s">
        <v>1203</v>
      </c>
      <c r="D3516" s="21" t="s">
        <v>1188</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2305</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1193</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1520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1570</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2306</v>
      </c>
      <c r="B3521" s="21" t="s">
        <v>1313</v>
      </c>
      <c r="C3521" s="21" t="s">
        <v>1240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2307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826</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1374</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2308</v>
      </c>
    </row>
    <row r="3527" spans="1:12">
      <c r="A3527" s="20" t="s">
        <v>1288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2309</v>
      </c>
      <c r="B3528" s="21" t="s">
        <v>1186</v>
      </c>
      <c r="C3528" s="21" t="s">
        <v>1192</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134</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1668</v>
      </c>
      <c r="B3530" s="21" t="s">
        <v>1202</v>
      </c>
      <c r="C3530" s="21" t="s">
        <v>1246</v>
      </c>
      <c r="D3530" s="21" t="s">
        <v>1188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1214</v>
      </c>
      <c r="B3531" s="21" t="s">
        <v>1199</v>
      </c>
      <c r="C3531" s="21" t="s">
        <v>1216</v>
      </c>
      <c r="D3531" s="21" t="s">
        <v>1188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578</v>
      </c>
      <c r="B3532" s="21" t="s">
        <v>1212</v>
      </c>
      <c r="C3532" s="21" t="s">
        <v>1218</v>
      </c>
      <c r="D3532" s="21" t="s">
        <v>1188</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2310</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2311</v>
      </c>
      <c r="B3534" s="21" t="s">
        <v>1212</v>
      </c>
      <c r="C3534" s="21" t="s">
        <v>1192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1193</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1194</v>
      </c>
      <c r="B3536" s="21" t="s">
        <v>1248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1194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1532</v>
      </c>
      <c r="B3538" s="21" t="s">
        <v>1245</v>
      </c>
      <c r="C3538" s="21" t="s">
        <v>1196</v>
      </c>
      <c r="D3538" s="21" t="s">
        <v>1188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1643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2306</v>
      </c>
      <c r="B3540" s="21" t="s">
        <v>1215</v>
      </c>
      <c r="C3540" s="21" t="s">
        <v>1240</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2312</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826</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row>
    <row r="3544" spans="1:12">
      <c r="A3544" s="20" t="s">
        <v>2313</v>
      </c>
    </row>
    <row r="3545" spans="1:12">
      <c r="A3545" s="20" t="s">
        <v>1607</v>
      </c>
      <c r="B3545" s="21" t="s">
        <v>1202</v>
      </c>
      <c r="C3545" s="21" t="s">
        <v>1203</v>
      </c>
      <c r="D3545" s="21" t="s">
        <v>1188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658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2314</v>
      </c>
      <c r="B3547" s="21" t="s">
        <v>1212</v>
      </c>
      <c r="C3547" s="21" t="s">
        <v>1192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680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1193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1194</v>
      </c>
      <c r="B3550" s="21" t="s">
        <v>1248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1321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1544</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1194</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1402</v>
      </c>
      <c r="B3554" s="21" t="s">
        <v>1248</v>
      </c>
      <c r="C3554" s="21" t="s">
        <v>1187</v>
      </c>
      <c r="D3554" s="21" t="s">
        <v>1188</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2315</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1260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1193</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1937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1383</v>
      </c>
      <c r="B3559" s="21" t="s">
        <v>1186</v>
      </c>
      <c r="C3559" s="21" t="s">
        <v>1262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1193</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1206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2316</v>
      </c>
      <c r="B3562" s="21" t="s">
        <v>1245</v>
      </c>
      <c r="C3562" s="21" t="s">
        <v>1196</v>
      </c>
      <c r="D3562" s="21" t="s">
        <v>1188</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1302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2317</v>
      </c>
      <c r="B3564" s="21" t="s">
        <v>1215</v>
      </c>
      <c r="C3564" s="21" t="s">
        <v>1192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1278</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1193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1668</v>
      </c>
      <c r="B3567" s="21" t="s">
        <v>1248</v>
      </c>
      <c r="C3567" s="21" t="s">
        <v>1246</v>
      </c>
      <c r="D3567" s="21" t="s">
        <v>1188</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1337</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2318</v>
      </c>
      <c r="B3569" s="21" t="s">
        <v>1186</v>
      </c>
      <c r="C3569" s="21" t="s">
        <v>1192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1302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1337</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809</v>
      </c>
      <c r="B3572" s="21" t="s">
        <v>1199</v>
      </c>
      <c r="C3572" s="21" t="s">
        <v>1192</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1193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1260</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1668</v>
      </c>
      <c r="B3575" s="21" t="s">
        <v>1248</v>
      </c>
      <c r="C3575" s="21" t="s">
        <v>1246</v>
      </c>
      <c r="D3575" s="21" t="s">
        <v>1188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2319</v>
      </c>
      <c r="B3576" s="21" t="s">
        <v>1186</v>
      </c>
      <c r="C3576" s="21" t="s">
        <v>1192</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1193</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1520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1226</v>
      </c>
      <c r="B3579" s="21" t="s">
        <v>1313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1408</v>
      </c>
      <c r="B3580" s="21" t="s">
        <v>1313</v>
      </c>
      <c r="C3580" s="21" t="s">
        <v>1192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1337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2320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1232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1194</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2137</v>
      </c>
      <c r="B3585" s="21" t="s">
        <v>1199</v>
      </c>
      <c r="C3585" s="21" t="s">
        <v>1196</v>
      </c>
      <c r="D3585" s="21" t="s">
        <v>1188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1206</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1336</v>
      </c>
      <c r="B3587" s="21" t="s">
        <v>1215</v>
      </c>
      <c r="C3587" s="21" t="s">
        <v>1196</v>
      </c>
      <c r="D3587" s="21" t="s">
        <v>1188</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826</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2321</v>
      </c>
    </row>
    <row r="3591" spans="1:12">
      <c r="A3591" s="20" t="s">
        <v>1320</v>
      </c>
      <c r="B3591" s="21" t="s">
        <v>1202</v>
      </c>
      <c r="C3591" s="21" t="s">
        <v>1216</v>
      </c>
      <c r="D3591" s="21" t="s">
        <v>1188</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1265</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1256</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2322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826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2323</v>
      </c>
    </row>
    <row r="3598" spans="1:12">
      <c r="A3598" s="20" t="s">
        <v>2324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1317</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427</v>
      </c>
      <c r="B3600" s="21" t="s">
        <v>1248</v>
      </c>
      <c r="C3600" s="21" t="s">
        <v>1246</v>
      </c>
      <c r="D3600" s="21" t="s">
        <v>1188</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1039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1544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1283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1862</v>
      </c>
      <c r="B3604" s="21" t="s">
        <v>1245</v>
      </c>
      <c r="C3604" s="21" t="s">
        <v>1231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2325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1193</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1317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427</v>
      </c>
      <c r="B3608" s="21" t="s">
        <v>1311</v>
      </c>
      <c r="C3608" s="21" t="s">
        <v>1246</v>
      </c>
      <c r="D3608" s="21" t="s">
        <v>1188</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1502</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2326</v>
      </c>
      <c r="B3610" s="21" t="s">
        <v>1313</v>
      </c>
      <c r="C3610" s="21" t="s">
        <v>1196</v>
      </c>
      <c r="D3610" s="21" t="s">
        <v>1188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1232</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1382</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1388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1309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1834</v>
      </c>
      <c r="B3615" s="21" t="s">
        <v>1215</v>
      </c>
      <c r="C3615" s="21" t="s">
        <v>1187</v>
      </c>
      <c r="D3615" s="21" t="s">
        <v>1188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2325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1193</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1502</v>
      </c>
      <c r="B3618" s="21" t="s">
        <v>1311</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680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2327</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1964</v>
      </c>
      <c r="B3621" s="21" t="s">
        <v>1199</v>
      </c>
      <c r="C3621" s="21" t="s">
        <v>1231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1197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2328</v>
      </c>
      <c r="B3623" s="21" t="s">
        <v>1215</v>
      </c>
      <c r="C3623" s="21" t="s">
        <v>1196</v>
      </c>
      <c r="D3623" s="21" t="s">
        <v>1188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2274</v>
      </c>
      <c r="B3624" s="21" t="s">
        <v>1285</v>
      </c>
      <c r="C3624" s="21" t="s">
        <v>1187</v>
      </c>
      <c r="D3624" s="21" t="s">
        <v>1188</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1594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1193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670</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427</v>
      </c>
      <c r="B3628" s="21" t="s">
        <v>1202</v>
      </c>
      <c r="C3628" s="21" t="s">
        <v>1246</v>
      </c>
      <c r="D3628" s="21" t="s">
        <v>1188</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1232</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1901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1336</v>
      </c>
      <c r="B3631" s="21" t="s">
        <v>1186</v>
      </c>
      <c r="C3631" s="21" t="s">
        <v>1231</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666</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1193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1194</v>
      </c>
      <c r="B3634" s="21" t="s">
        <v>1248</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2329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1764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1963</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1265</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826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row>
    <row r="3641" spans="1:12">
      <c r="A3641" s="20" t="s">
        <v>2330</v>
      </c>
    </row>
    <row r="3642" spans="1:12">
      <c r="A3642" s="20" t="s">
        <v>1364</v>
      </c>
      <c r="B3642" s="21" t="s">
        <v>1202</v>
      </c>
      <c r="C3642" s="21" t="s">
        <v>1246</v>
      </c>
      <c r="D3642" s="21" t="s">
        <v>1188</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670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1491</v>
      </c>
      <c r="B3644" s="21" t="s">
        <v>1215</v>
      </c>
      <c r="C3644" s="21" t="s">
        <v>1246</v>
      </c>
      <c r="D3644" s="21" t="s">
        <v>1188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2331</v>
      </c>
      <c r="B3645" s="21" t="s">
        <v>1245</v>
      </c>
      <c r="C3645" s="21" t="s">
        <v>1331</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1205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1462</v>
      </c>
      <c r="B3647" s="21" t="s">
        <v>1285</v>
      </c>
      <c r="C3647" s="21" t="s">
        <v>1304</v>
      </c>
      <c r="D3647" s="21" t="s">
        <v>1188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2332</v>
      </c>
      <c r="B3648" s="21" t="s">
        <v>1215</v>
      </c>
      <c r="C3648" s="21" t="s">
        <v>1192</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163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1193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427</v>
      </c>
      <c r="B3651" s="21" t="s">
        <v>1248</v>
      </c>
      <c r="C3651" s="21" t="s">
        <v>1246</v>
      </c>
      <c r="D3651" s="21" t="s">
        <v>1188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670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1491</v>
      </c>
      <c r="B3653" s="21" t="s">
        <v>1215</v>
      </c>
      <c r="C3653" s="21" t="s">
        <v>1246</v>
      </c>
      <c r="D3653" s="21" t="s">
        <v>1188</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1408</v>
      </c>
      <c r="B3654" s="21" t="s">
        <v>1245</v>
      </c>
      <c r="C3654" s="21" t="s">
        <v>1331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1337</v>
      </c>
      <c r="B3655" s="21" t="s">
        <v>1285</v>
      </c>
      <c r="C3655" s="21" t="s">
        <v>1262</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1268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2333</v>
      </c>
      <c r="B3657" s="21" t="s">
        <v>1215</v>
      </c>
      <c r="C3657" s="21" t="s">
        <v>1196</v>
      </c>
      <c r="D3657" s="21" t="s">
        <v>1188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163</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1193</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1459</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1515</v>
      </c>
      <c r="B3661" s="21" t="s">
        <v>1245</v>
      </c>
      <c r="C3661" s="21" t="s">
        <v>1246</v>
      </c>
      <c r="D3661" s="21" t="s">
        <v>1188</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1527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1702</v>
      </c>
      <c r="B3663" s="21" t="s">
        <v>1199</v>
      </c>
      <c r="C3663" s="21" t="s">
        <v>1192</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1337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2334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1193</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1194</v>
      </c>
      <c r="B3667" s="21" t="s">
        <v>1311</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1360</v>
      </c>
      <c r="B3668" s="21" t="s">
        <v>1285</v>
      </c>
      <c r="C3668" s="21" t="s">
        <v>1216</v>
      </c>
      <c r="D3668" s="21" t="s">
        <v>1188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1796</v>
      </c>
      <c r="B3669" s="21" t="s">
        <v>1313</v>
      </c>
      <c r="C3669" s="21" t="s">
        <v>1218</v>
      </c>
      <c r="D3669" s="21" t="s">
        <v>1188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1920</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1378</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1359</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2013</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2335</v>
      </c>
      <c r="B3674" s="21" t="s">
        <v>1285</v>
      </c>
      <c r="C3674" s="21" t="s">
        <v>1240</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2336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2141</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826</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row>
    <row r="3679" spans="1:12">
      <c r="A3679" s="20" t="s">
        <v>2337</v>
      </c>
    </row>
    <row r="3680" spans="1:12">
      <c r="A3680" s="20" t="s">
        <v>1270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1190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959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292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2338</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1451</v>
      </c>
      <c r="B3685" s="21" t="s">
        <v>1202</v>
      </c>
      <c r="C3685" s="21" t="s">
        <v>1192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1828</v>
      </c>
      <c r="B3686" s="21" t="s">
        <v>1199</v>
      </c>
      <c r="C3686" s="21" t="s">
        <v>1187</v>
      </c>
      <c r="D3686" s="21" t="s">
        <v>1188</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2339</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2340</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1359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2341</v>
      </c>
      <c r="B3690" s="21" t="s">
        <v>1186</v>
      </c>
      <c r="C3690" s="21" t="s">
        <v>1192</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1208</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2342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1836</v>
      </c>
      <c r="B3693" s="21" t="s">
        <v>1199</v>
      </c>
      <c r="C3693" s="21" t="s">
        <v>1192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1257</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2343</v>
      </c>
    </row>
    <row r="3697" spans="1:12">
      <c r="A3697" s="20" t="s">
        <v>1294</v>
      </c>
      <c r="B3697" s="21" t="s">
        <v>1186</v>
      </c>
      <c r="C3697" s="21" t="s">
        <v>1203</v>
      </c>
      <c r="D3697" s="21" t="s">
        <v>1188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1190</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2344</v>
      </c>
      <c r="B3699" s="21" t="s">
        <v>1186</v>
      </c>
      <c r="C3699" s="21" t="s">
        <v>1187</v>
      </c>
      <c r="D3699" s="21" t="s">
        <v>1188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826</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row>
    <row r="3702" spans="1:12">
      <c r="A3702" s="20" t="s">
        <v>2345</v>
      </c>
    </row>
    <row r="3703" spans="1:12">
      <c r="A3703" s="20" t="s">
        <v>2346</v>
      </c>
      <c r="B3703" s="21" t="s">
        <v>1186</v>
      </c>
      <c r="C3703" s="21" t="s">
        <v>1262</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1206</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2347</v>
      </c>
      <c r="B3705" s="21" t="s">
        <v>1186</v>
      </c>
      <c r="C3705" s="21" t="s">
        <v>1196</v>
      </c>
      <c r="D3705" s="21" t="s">
        <v>1188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1193</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1656</v>
      </c>
      <c r="B3707" s="21" t="s">
        <v>1186</v>
      </c>
      <c r="C3707" s="21" t="s">
        <v>1262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1206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2348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2349</v>
      </c>
      <c r="B3710" s="21" t="s">
        <v>1199</v>
      </c>
      <c r="C3710" s="21" t="s">
        <v>1196</v>
      </c>
      <c r="D3710" s="21" t="s">
        <v>1188</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1232</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1206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2350</v>
      </c>
      <c r="B3713" s="21" t="s">
        <v>1199</v>
      </c>
      <c r="C3713" s="21" t="s">
        <v>1615</v>
      </c>
      <c r="D3713" s="21" t="s">
        <v>1188</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2284</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1268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52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826</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row>
    <row r="3719" spans="1:12">
      <c r="A3719" s="20" t="s">
        <v>2351</v>
      </c>
    </row>
    <row r="3720" spans="1:12">
      <c r="A3720" s="20" t="s">
        <v>2352</v>
      </c>
      <c r="B3720" s="21" t="s">
        <v>1202</v>
      </c>
      <c r="C3720" s="21" t="s">
        <v>1187</v>
      </c>
      <c r="D3720" s="21" t="s">
        <v>1188</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1265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1194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2353</v>
      </c>
      <c r="B3723" s="21" t="s">
        <v>1186</v>
      </c>
      <c r="C3723" s="21" t="s">
        <v>1196</v>
      </c>
      <c r="D3723" s="21" t="s">
        <v>1188</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1193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1366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1194</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1402</v>
      </c>
      <c r="B3727" s="21" t="s">
        <v>1248</v>
      </c>
      <c r="C3727" s="21" t="s">
        <v>1187</v>
      </c>
      <c r="D3727" s="21" t="s">
        <v>1188</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2080</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2212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2354</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2355</v>
      </c>
      <c r="B3731" s="21" t="s">
        <v>1245</v>
      </c>
      <c r="C3731" s="21" t="s">
        <v>1331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1740</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826</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row>
    <row r="3735" spans="1:12">
      <c r="A3735" s="20" t="s">
        <v>2356</v>
      </c>
    </row>
    <row r="3736" spans="1:12">
      <c r="A3736" s="20" t="s">
        <v>1607</v>
      </c>
      <c r="B3736" s="21" t="s">
        <v>1202</v>
      </c>
      <c r="C3736" s="21" t="s">
        <v>1203</v>
      </c>
      <c r="D3736" s="21" t="s">
        <v>1188</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2357</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2358</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1359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2359</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2360</v>
      </c>
      <c r="B3741" s="21" t="s">
        <v>1186</v>
      </c>
      <c r="C3741" s="21" t="s">
        <v>1192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1193</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1232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1455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185</v>
      </c>
      <c r="B3745" s="21" t="s">
        <v>1311</v>
      </c>
      <c r="C3745" s="21" t="s">
        <v>1203</v>
      </c>
      <c r="D3745" s="21" t="s">
        <v>1188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1520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2361</v>
      </c>
      <c r="B3747" s="21" t="s">
        <v>1215</v>
      </c>
      <c r="C3747" s="21" t="s">
        <v>1187</v>
      </c>
      <c r="D3747" s="21" t="s">
        <v>1188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2362</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826</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2363</v>
      </c>
    </row>
    <row r="3752" spans="1:12">
      <c r="A3752" s="20" t="s">
        <v>1316</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1668</v>
      </c>
      <c r="B3753" s="21" t="s">
        <v>1202</v>
      </c>
      <c r="C3753" s="21" t="s">
        <v>1246</v>
      </c>
      <c r="D3753" s="21" t="s">
        <v>1188</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2364</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1039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2365</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2360</v>
      </c>
      <c r="B3757" s="21" t="s">
        <v>1212</v>
      </c>
      <c r="C3757" s="21" t="s">
        <v>1192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826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row>
    <row r="3760" spans="1:12">
      <c r="A3760" s="20" t="s">
        <v>2366</v>
      </c>
    </row>
    <row r="3761" spans="1:12">
      <c r="A3761" s="20" t="s">
        <v>2367</v>
      </c>
      <c r="B3761" s="21" t="s">
        <v>1202</v>
      </c>
      <c r="C3761" s="21" t="s">
        <v>1192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1278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1194</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1402</v>
      </c>
      <c r="B3764" s="21" t="s">
        <v>1202</v>
      </c>
      <c r="C3764" s="21" t="s">
        <v>1187</v>
      </c>
      <c r="D3764" s="21" t="s">
        <v>1188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2368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1194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2369</v>
      </c>
      <c r="B3767" s="21" t="s">
        <v>1212</v>
      </c>
      <c r="C3767" s="21" t="s">
        <v>1196</v>
      </c>
      <c r="D3767" s="21" t="s">
        <v>1188</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1206</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2370</v>
      </c>
      <c r="B3769" s="21" t="s">
        <v>1212</v>
      </c>
      <c r="C3769" s="21" t="s">
        <v>1196</v>
      </c>
      <c r="D3769" s="21" t="s">
        <v>1188</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2371</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1193</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2372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1208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1268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2373</v>
      </c>
      <c r="B3775" s="21" t="s">
        <v>1199</v>
      </c>
      <c r="C3775" s="21" t="s">
        <v>1196</v>
      </c>
      <c r="D3775" s="21" t="s">
        <v>1188</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1193</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1366</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2374</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2375</v>
      </c>
      <c r="B3779" s="21" t="s">
        <v>1296</v>
      </c>
      <c r="C3779" s="21" t="s">
        <v>1192</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2376</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2377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1341</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826</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row>
    <row r="3785" spans="1:12">
      <c r="A3785" s="20" t="s">
        <v>2378</v>
      </c>
    </row>
    <row r="3786" spans="1:12">
      <c r="A3786" s="20" t="s">
        <v>1333</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427</v>
      </c>
      <c r="B3787" s="21" t="s">
        <v>1311</v>
      </c>
      <c r="C3787" s="21" t="s">
        <v>1246</v>
      </c>
      <c r="D3787" s="21" t="s">
        <v>1188</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680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2379</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578</v>
      </c>
      <c r="B3790" s="21" t="s">
        <v>1313</v>
      </c>
      <c r="C3790" s="21" t="s">
        <v>1231</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2380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1302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2381</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2375</v>
      </c>
      <c r="B3794" s="21" t="s">
        <v>1347</v>
      </c>
      <c r="C3794" s="21" t="s">
        <v>1240</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280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2102</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1317</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427</v>
      </c>
      <c r="B3798" s="21" t="s">
        <v>1248</v>
      </c>
      <c r="C3798" s="21" t="s">
        <v>1246</v>
      </c>
      <c r="D3798" s="21" t="s">
        <v>1188</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1494</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2134</v>
      </c>
      <c r="B3800" s="21" t="s">
        <v>1245</v>
      </c>
      <c r="C3800" s="21" t="s">
        <v>1231</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1232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2382</v>
      </c>
      <c r="B3802" s="21" t="s">
        <v>1215</v>
      </c>
      <c r="C3802" s="21" t="s">
        <v>1187</v>
      </c>
      <c r="D3802" s="21" t="s">
        <v>1188</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2380</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1302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2013</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2375</v>
      </c>
      <c r="B3806" s="21" t="s">
        <v>1313</v>
      </c>
      <c r="C3806" s="21" t="s">
        <v>1240</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280</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1193</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1419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1265</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1502</v>
      </c>
      <c r="B3811" s="21" t="s">
        <v>1202</v>
      </c>
      <c r="C3811" s="21" t="s">
        <v>1246</v>
      </c>
      <c r="D3811" s="21" t="s">
        <v>1188</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1359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1502</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2374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1541</v>
      </c>
      <c r="B3815" s="21" t="s">
        <v>1186</v>
      </c>
      <c r="C3815" s="21" t="s">
        <v>1196</v>
      </c>
      <c r="D3815" s="21" t="s">
        <v>1188</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1764</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2383</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1193</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1427</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2384</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1193</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1366</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1194</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2385</v>
      </c>
      <c r="B3824" s="21" t="s">
        <v>1311</v>
      </c>
      <c r="C3824" s="21" t="s">
        <v>1196</v>
      </c>
      <c r="D3824" s="21" t="s">
        <v>1188</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1491</v>
      </c>
      <c r="B3825" s="21" t="s">
        <v>1285</v>
      </c>
      <c r="C3825" s="21" t="s">
        <v>1246</v>
      </c>
      <c r="D3825" s="21" t="s">
        <v>1188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1408</v>
      </c>
      <c r="B3826" s="21" t="s">
        <v>1313</v>
      </c>
      <c r="C3826" s="21" t="s">
        <v>1331</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1337</v>
      </c>
      <c r="B3827" s="21" t="s">
        <v>1298</v>
      </c>
      <c r="C3827" s="21" t="s">
        <v>1262</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2386</v>
      </c>
      <c r="B3828" s="21" t="s">
        <v>1298</v>
      </c>
      <c r="C3828" s="21" t="s">
        <v>1304</v>
      </c>
      <c r="D3828" s="21" t="s">
        <v>1188</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2387</v>
      </c>
      <c r="B3829" s="21" t="s">
        <v>1285</v>
      </c>
      <c r="C3829" s="21" t="s">
        <v>1192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163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826</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2388</v>
      </c>
    </row>
    <row r="3834" spans="1:12">
      <c r="A3834" s="20" t="s">
        <v>1801</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1537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1668</v>
      </c>
      <c r="B3836" s="21" t="s">
        <v>1248</v>
      </c>
      <c r="C3836" s="21" t="s">
        <v>1246</v>
      </c>
      <c r="D3836" s="21" t="s">
        <v>1188</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1194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1532</v>
      </c>
      <c r="B3838" s="21" t="s">
        <v>1245</v>
      </c>
      <c r="C3838" s="21" t="s">
        <v>1196</v>
      </c>
      <c r="D3838" s="21" t="s">
        <v>1188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2090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2137</v>
      </c>
      <c r="B3840" s="21" t="s">
        <v>1215</v>
      </c>
      <c r="C3840" s="21" t="s">
        <v>1192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2312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1193</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704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1668</v>
      </c>
      <c r="B3844" s="21" t="s">
        <v>1202</v>
      </c>
      <c r="C3844" s="21" t="s">
        <v>1246</v>
      </c>
      <c r="D3844" s="21" t="s">
        <v>1188</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1321</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1544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1194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1336</v>
      </c>
      <c r="B3848" s="21" t="s">
        <v>1212</v>
      </c>
      <c r="C3848" s="21" t="s">
        <v>1196</v>
      </c>
      <c r="D3848" s="21" t="s">
        <v>1188</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1479</v>
      </c>
      <c r="B3849" s="21" t="s">
        <v>1199</v>
      </c>
      <c r="C3849" s="21" t="s">
        <v>1187</v>
      </c>
      <c r="D3849" s="21" t="s">
        <v>1188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1241</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1193</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1668</v>
      </c>
      <c r="B3852" s="21" t="s">
        <v>1248</v>
      </c>
      <c r="C3852" s="21" t="s">
        <v>1246</v>
      </c>
      <c r="D3852" s="21" t="s">
        <v>1188</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1534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1039</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1194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1603</v>
      </c>
      <c r="B3856" s="21" t="s">
        <v>1245</v>
      </c>
      <c r="C3856" s="21" t="s">
        <v>1187</v>
      </c>
      <c r="D3856" s="21" t="s">
        <v>1188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1205</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2389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1807</v>
      </c>
      <c r="B3859" s="21" t="s">
        <v>1199</v>
      </c>
      <c r="C3859" s="21" t="s">
        <v>1192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1193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1662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2390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2391</v>
      </c>
      <c r="B3863" s="21" t="s">
        <v>1311</v>
      </c>
      <c r="C3863" s="21" t="s">
        <v>1192</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1194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1613</v>
      </c>
      <c r="B3865" s="21" t="s">
        <v>1199</v>
      </c>
      <c r="C3865" s="21" t="s">
        <v>1196</v>
      </c>
      <c r="D3865" s="21" t="s">
        <v>1188</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2090</v>
      </c>
      <c r="B3866" s="21" t="s">
        <v>1285</v>
      </c>
      <c r="C3866" s="21" t="s">
        <v>1304</v>
      </c>
      <c r="D3866" s="21" t="s">
        <v>1188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2226</v>
      </c>
      <c r="B3867" s="21" t="s">
        <v>1215</v>
      </c>
      <c r="C3867" s="21" t="s">
        <v>1192</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1265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826</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row>
    <row r="3871" spans="1:12">
      <c r="A3871" s="20" t="s">
        <v>2392</v>
      </c>
    </row>
    <row r="3872" spans="1:12">
      <c r="A3872" s="20" t="s">
        <v>1333</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427</v>
      </c>
      <c r="B3873" s="21" t="s">
        <v>1248</v>
      </c>
      <c r="C3873" s="21" t="s">
        <v>1246</v>
      </c>
      <c r="D3873" s="21" t="s">
        <v>1188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1502</v>
      </c>
      <c r="B3874" s="21" t="s">
        <v>1245</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2393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2394</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1532</v>
      </c>
      <c r="B3877" s="21" t="s">
        <v>1199</v>
      </c>
      <c r="C3877" s="21" t="s">
        <v>1192</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1534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1193</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670</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427</v>
      </c>
      <c r="B3881" s="21" t="s">
        <v>1202</v>
      </c>
      <c r="C3881" s="21" t="s">
        <v>1246</v>
      </c>
      <c r="D3881" s="21" t="s">
        <v>1188</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1205</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2119</v>
      </c>
      <c r="B3883" s="21" t="s">
        <v>1186</v>
      </c>
      <c r="C3883" s="21" t="s">
        <v>1192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2089</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2395</v>
      </c>
      <c r="B3885" s="21" t="s">
        <v>1186</v>
      </c>
      <c r="C3885" s="21" t="s">
        <v>1308</v>
      </c>
      <c r="D3885" s="21" t="s">
        <v>1188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708</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826</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row>
    <row r="3889" spans="1:12">
      <c r="A3889" s="20" t="s">
        <v>2396</v>
      </c>
    </row>
    <row r="3890" spans="1:12">
      <c r="A3890" s="20" t="s">
        <v>1270</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1190</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1316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1194</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1402</v>
      </c>
      <c r="B3894" s="21" t="s">
        <v>1202</v>
      </c>
      <c r="C3894" s="21" t="s">
        <v>1187</v>
      </c>
      <c r="D3894" s="21" t="s">
        <v>1188</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1278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1271</v>
      </c>
      <c r="B3896" s="21" t="s">
        <v>1202</v>
      </c>
      <c r="C3896" s="21" t="s">
        <v>1203</v>
      </c>
      <c r="D3896" s="21" t="s">
        <v>1188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712</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1193</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1366</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185</v>
      </c>
      <c r="B3900" s="21" t="s">
        <v>1248</v>
      </c>
      <c r="C3900" s="21" t="s">
        <v>1203</v>
      </c>
      <c r="D3900" s="21" t="s">
        <v>1188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1360</v>
      </c>
      <c r="B3901" s="21" t="s">
        <v>1215</v>
      </c>
      <c r="C3901" s="21" t="s">
        <v>1216</v>
      </c>
      <c r="D3901" s="21" t="s">
        <v>1188</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2397</v>
      </c>
      <c r="B3902" s="21" t="s">
        <v>1248</v>
      </c>
      <c r="C3902" s="21" t="s">
        <v>1218</v>
      </c>
      <c r="D3902" s="21" t="s">
        <v>1188</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1427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1602</v>
      </c>
      <c r="B3904" s="21" t="s">
        <v>1199</v>
      </c>
      <c r="C3904" s="21" t="s">
        <v>1401</v>
      </c>
      <c r="D3904" s="21" t="s">
        <v>1188</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1206</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1679</v>
      </c>
      <c r="B3906" s="21" t="s">
        <v>1215</v>
      </c>
      <c r="C3906" s="21" t="s">
        <v>1187</v>
      </c>
      <c r="D3906" s="21" t="s">
        <v>1188</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2398</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2129</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2399</v>
      </c>
      <c r="B3910" s="21" t="s">
        <v>1199</v>
      </c>
      <c r="C3910" s="21" t="s">
        <v>1192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2400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1265</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826</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row>
    <row r="3915" spans="1:12">
      <c r="A3915" s="20" t="s">
        <v>2401</v>
      </c>
    </row>
    <row r="3916" spans="1:12">
      <c r="A3916" s="20" t="s">
        <v>2402</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1265</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1502</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2403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2404</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680</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2405</v>
      </c>
      <c r="B3922" s="21" t="s">
        <v>1186</v>
      </c>
      <c r="C3922" s="21" t="s">
        <v>1196</v>
      </c>
      <c r="D3922" s="21" t="s">
        <v>1188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1193</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1206</v>
      </c>
      <c r="B3924" s="21" t="s">
        <v>1248</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1226</v>
      </c>
      <c r="B3925" s="21" t="s">
        <v>1245</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2406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826</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row>
    <row r="3929" spans="1:12">
      <c r="A3929" s="20" t="s">
        <v>2407</v>
      </c>
    </row>
    <row r="3930" spans="1:12">
      <c r="A3930" s="20" t="s">
        <v>1294</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1190</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1333</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1310</v>
      </c>
      <c r="B3933" s="21" t="s">
        <v>1248</v>
      </c>
      <c r="C3933" s="21" t="s">
        <v>1262</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1226</v>
      </c>
      <c r="B3934" s="21" t="s">
        <v>1245</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1194</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2408</v>
      </c>
      <c r="B3936" s="21" t="s">
        <v>1248</v>
      </c>
      <c r="C3936" s="21" t="s">
        <v>1401</v>
      </c>
      <c r="D3936" s="21" t="s">
        <v>1188</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1297</v>
      </c>
      <c r="B3937" s="21" t="s">
        <v>1285</v>
      </c>
      <c r="C3937" s="21" t="s">
        <v>1216</v>
      </c>
      <c r="D3937" s="21" t="s">
        <v>1188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1683</v>
      </c>
      <c r="B3938" s="21" t="s">
        <v>1215</v>
      </c>
      <c r="C3938" s="21" t="s">
        <v>1218</v>
      </c>
      <c r="D3938" s="21" t="s">
        <v>1188</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1250</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1268</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2409</v>
      </c>
      <c r="B3941" s="21" t="s">
        <v>1199</v>
      </c>
      <c r="C3941" s="21" t="s">
        <v>1196</v>
      </c>
      <c r="D3941" s="21" t="s">
        <v>1188</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1208</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2399</v>
      </c>
      <c r="B3943" s="21" t="s">
        <v>1215</v>
      </c>
      <c r="C3943" s="21" t="s">
        <v>1192</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2410</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1193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1243</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1310</v>
      </c>
      <c r="B3947" s="21" t="s">
        <v>1202</v>
      </c>
      <c r="C3947" s="21" t="s">
        <v>1262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1193</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1366</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185</v>
      </c>
      <c r="B3950" s="21" t="s">
        <v>1248</v>
      </c>
      <c r="C3950" s="21" t="s">
        <v>1203</v>
      </c>
      <c r="D3950" s="21" t="s">
        <v>1188</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2395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1329</v>
      </c>
      <c r="B3952" s="21" t="s">
        <v>1215</v>
      </c>
      <c r="C3952" s="21" t="s">
        <v>1246</v>
      </c>
      <c r="D3952" s="21" t="s">
        <v>1188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2411</v>
      </c>
      <c r="B3953" s="21" t="s">
        <v>1248</v>
      </c>
      <c r="C3953" s="21" t="s">
        <v>1331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1447</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826</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2412</v>
      </c>
    </row>
    <row r="3958" spans="1:12">
      <c r="A3958" s="20" t="s">
        <v>1607</v>
      </c>
      <c r="B3958" s="21" t="s">
        <v>1202</v>
      </c>
      <c r="C3958" s="21" t="s">
        <v>1203</v>
      </c>
      <c r="D3958" s="21" t="s">
        <v>1188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1444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1226</v>
      </c>
      <c r="B3960" s="21" t="s">
        <v>1212</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1321</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1205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2413</v>
      </c>
      <c r="B3963" s="21" t="s">
        <v>1199</v>
      </c>
      <c r="C3963" s="21" t="s">
        <v>1304</v>
      </c>
      <c r="D3963" s="21" t="s">
        <v>1188</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2414</v>
      </c>
      <c r="B3964" s="21" t="s">
        <v>1186</v>
      </c>
      <c r="C3964" s="21" t="s">
        <v>1192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724</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1193</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1662</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427</v>
      </c>
      <c r="B3968" s="21" t="s">
        <v>1248</v>
      </c>
      <c r="C3968" s="21" t="s">
        <v>1246</v>
      </c>
      <c r="D3968" s="21" t="s">
        <v>1188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1502</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1510</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2209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2415</v>
      </c>
      <c r="B3972" s="21" t="s">
        <v>1245</v>
      </c>
      <c r="C3972" s="21" t="s">
        <v>1196</v>
      </c>
      <c r="D3972" s="21" t="s">
        <v>1188</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163</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826</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row>
    <row r="3976" spans="1:12">
      <c r="A3976" s="20" t="s">
        <v>2416</v>
      </c>
    </row>
    <row r="3977" spans="1:12">
      <c r="A3977" s="20" t="s">
        <v>1839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1510</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2417</v>
      </c>
      <c r="B3979" s="21" t="s">
        <v>1202</v>
      </c>
      <c r="C3979" s="21" t="s">
        <v>1196</v>
      </c>
      <c r="D3979" s="21" t="s">
        <v>1188</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1193</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1206</v>
      </c>
      <c r="B3981" s="21" t="s">
        <v>1313</v>
      </c>
      <c r="C3981" s="21" t="s">
        <v>1246</v>
      </c>
      <c r="D3981" s="21" t="s">
        <v>1188</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1668</v>
      </c>
      <c r="B3982" s="21" t="s">
        <v>1311</v>
      </c>
      <c r="C3982" s="21" t="s">
        <v>1246</v>
      </c>
      <c r="D3982" s="21" t="s">
        <v>1188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2418</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1206</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2419</v>
      </c>
      <c r="B3985" s="21" t="s">
        <v>1215</v>
      </c>
      <c r="C3985" s="21" t="s">
        <v>1196</v>
      </c>
      <c r="D3985" s="21" t="s">
        <v>1188</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2420</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1193</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2421</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1668</v>
      </c>
      <c r="B3989" s="21" t="s">
        <v>1202</v>
      </c>
      <c r="C3989" s="21" t="s">
        <v>1246</v>
      </c>
      <c r="D3989" s="21" t="s">
        <v>1188</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2422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1683</v>
      </c>
      <c r="B3991" s="21" t="s">
        <v>1212</v>
      </c>
      <c r="C3991" s="21" t="s">
        <v>1192</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1302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2423</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2424</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826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row>
    <row r="3997" spans="1:12">
      <c r="A3997" s="20" t="s">
        <v>2425</v>
      </c>
    </row>
    <row r="3998" spans="1:12">
      <c r="A3998" s="20" t="s">
        <v>1839</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1488</v>
      </c>
      <c r="B3999" s="21" t="s">
        <v>1248</v>
      </c>
      <c r="C3999" s="21" t="s">
        <v>1196</v>
      </c>
      <c r="D3999" s="21" t="s">
        <v>1188</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1193</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1206</v>
      </c>
      <c r="B4001" s="21" t="s">
        <v>1296</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1232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1214</v>
      </c>
      <c r="B4003" s="21" t="s">
        <v>1298</v>
      </c>
      <c r="C4003" s="21" t="s">
        <v>1216</v>
      </c>
      <c r="D4003" s="21" t="s">
        <v>1188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2426</v>
      </c>
      <c r="B4004" s="21" t="s">
        <v>1285</v>
      </c>
      <c r="C4004" s="21" t="s">
        <v>1218</v>
      </c>
      <c r="D4004" s="21" t="s">
        <v>1188</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2427</v>
      </c>
      <c r="B4005" s="21" t="s">
        <v>1347</v>
      </c>
      <c r="C4005" s="21" t="s">
        <v>1192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513</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1260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1302</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2191</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1039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2428</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1204</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1193</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1278</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1489</v>
      </c>
      <c r="B4015" s="21" t="s">
        <v>1212</v>
      </c>
      <c r="C4015" s="21" t="s">
        <v>1192</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2429</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1193</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1520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185</v>
      </c>
      <c r="B4019" s="21" t="s">
        <v>1245</v>
      </c>
      <c r="C4019" s="21" t="s">
        <v>1203</v>
      </c>
      <c r="D4019" s="21" t="s">
        <v>1188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1337</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2430</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826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row>
    <row r="4024" spans="1:12">
      <c r="A4024" s="20" t="s">
        <v>2431</v>
      </c>
    </row>
    <row r="4025" spans="1:12">
      <c r="A4025" s="20" t="s">
        <v>2432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2433</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2434</v>
      </c>
      <c r="B4027" s="21" t="s">
        <v>1212</v>
      </c>
      <c r="C4027" s="21" t="s">
        <v>1401</v>
      </c>
      <c r="D4027" s="21" t="s">
        <v>1188</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1197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2435</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2436</v>
      </c>
      <c r="B4030" s="21" t="s">
        <v>1199</v>
      </c>
      <c r="C4030" s="21" t="s">
        <v>1187</v>
      </c>
      <c r="D4030" s="21" t="s">
        <v>1188</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1193</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1194</v>
      </c>
      <c r="B4032" s="21" t="s">
        <v>1296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1538</v>
      </c>
      <c r="B4033" s="21" t="s">
        <v>1298</v>
      </c>
      <c r="C4033" s="21" t="s">
        <v>1262</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1502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1414</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2437</v>
      </c>
      <c r="B4036" s="21" t="s">
        <v>1347</v>
      </c>
      <c r="C4036" s="21" t="s">
        <v>1196</v>
      </c>
      <c r="D4036" s="21" t="s">
        <v>1188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2438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163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1193</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96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1193</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1360</v>
      </c>
      <c r="B4042" s="21" t="s">
        <v>1285</v>
      </c>
      <c r="C4042" s="21" t="s">
        <v>1216</v>
      </c>
      <c r="D4042" s="21" t="s">
        <v>1188</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1683</v>
      </c>
      <c r="B4043" s="21" t="s">
        <v>1311</v>
      </c>
      <c r="C4043" s="21" t="s">
        <v>1218</v>
      </c>
      <c r="D4043" s="21" t="s">
        <v>1188</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163</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1556</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1039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1544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1283</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2439</v>
      </c>
      <c r="B4049" s="21" t="s">
        <v>1245</v>
      </c>
      <c r="C4049" s="21" t="s">
        <v>1231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2440</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1193</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1206</v>
      </c>
      <c r="B4052" s="21" t="s">
        <v>1311</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1232</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1210</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1603</v>
      </c>
      <c r="B4055" s="21" t="s">
        <v>1215</v>
      </c>
      <c r="C4055" s="21" t="s">
        <v>1187</v>
      </c>
      <c r="D4055" s="21" t="s">
        <v>1188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2441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826</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row>
    <row r="4059" spans="1:12">
      <c r="A4059" s="20" t="s">
        <v>2442</v>
      </c>
    </row>
    <row r="4060" spans="1:12">
      <c r="A4060" s="20" t="s">
        <v>1801</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1265</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185</v>
      </c>
      <c r="B4062" s="21" t="s">
        <v>1202</v>
      </c>
      <c r="C4062" s="21" t="s">
        <v>1203</v>
      </c>
      <c r="D4062" s="21" t="s">
        <v>1188</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1256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2399</v>
      </c>
      <c r="B4064" s="21" t="s">
        <v>1186</v>
      </c>
      <c r="C4064" s="21" t="s">
        <v>1192</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1193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1210</v>
      </c>
      <c r="B4066" s="21" t="s">
        <v>1245</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427</v>
      </c>
      <c r="B4067" s="21" t="s">
        <v>1248</v>
      </c>
      <c r="C4067" s="21" t="s">
        <v>1246</v>
      </c>
      <c r="D4067" s="21" t="s">
        <v>1188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2443</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1257</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2444</v>
      </c>
    </row>
    <row r="4072" spans="1:12">
      <c r="A4072" s="20" t="s">
        <v>2445</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1360</v>
      </c>
      <c r="B4073" s="21" t="s">
        <v>1285</v>
      </c>
      <c r="C4073" s="21" t="s">
        <v>1216</v>
      </c>
      <c r="D4073" s="21" t="s">
        <v>1188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1683</v>
      </c>
      <c r="B4074" s="21" t="s">
        <v>1311</v>
      </c>
      <c r="C4074" s="21" t="s">
        <v>1218</v>
      </c>
      <c r="D4074" s="21" t="s">
        <v>1188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2446</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1283</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2447</v>
      </c>
      <c r="B4077" s="21" t="s">
        <v>1245</v>
      </c>
      <c r="C4077" s="21" t="s">
        <v>1231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1257</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row>
    <row r="4080" spans="1:12">
      <c r="A4080" s="20" t="s">
        <v>2448</v>
      </c>
    </row>
    <row r="4081" spans="1:12">
      <c r="A4081" s="20" t="s">
        <v>1201</v>
      </c>
      <c r="B4081" s="21" t="s">
        <v>1202</v>
      </c>
      <c r="C4081" s="21" t="s">
        <v>1203</v>
      </c>
      <c r="D4081" s="21" t="s">
        <v>1188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2449</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2450</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1193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1302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1039</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1261</v>
      </c>
      <c r="B4087" s="21" t="s">
        <v>1215</v>
      </c>
      <c r="C4087" s="21" t="s">
        <v>1262</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2451</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2452</v>
      </c>
      <c r="B4089" s="21" t="s">
        <v>1248</v>
      </c>
      <c r="C4089" s="21" t="s">
        <v>1331</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1206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1512</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1345</v>
      </c>
      <c r="B4092" s="21" t="s">
        <v>1215</v>
      </c>
      <c r="C4092" s="21" t="s">
        <v>1196</v>
      </c>
      <c r="D4092" s="21" t="s">
        <v>1188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96</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2450</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826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row>
    <row r="4097" spans="1:12">
      <c r="A4097" s="20" t="s">
        <v>2453</v>
      </c>
    </row>
    <row r="4098" spans="1:12">
      <c r="A4098" s="20" t="s">
        <v>1270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1190</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2454</v>
      </c>
      <c r="B4100" s="21" t="s">
        <v>1202</v>
      </c>
      <c r="C4100" s="21" t="s">
        <v>1187</v>
      </c>
      <c r="D4100" s="21" t="s">
        <v>1188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57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1193</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185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1447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1283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2455</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2456</v>
      </c>
      <c r="B4107" s="21" t="s">
        <v>1212</v>
      </c>
      <c r="C4107" s="21" t="s">
        <v>1231</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1359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1668</v>
      </c>
      <c r="B4109" s="21" t="s">
        <v>1199</v>
      </c>
      <c r="C4109" s="21" t="s">
        <v>1246</v>
      </c>
      <c r="D4109" s="21" t="s">
        <v>1188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1427</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1210</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2215</v>
      </c>
      <c r="B4112" s="21" t="s">
        <v>1199</v>
      </c>
      <c r="C4112" s="21" t="s">
        <v>1196</v>
      </c>
      <c r="D4112" s="21" t="s">
        <v>1188</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2129</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1210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2457</v>
      </c>
      <c r="B4115" s="21" t="s">
        <v>1215</v>
      </c>
      <c r="C4115" s="21" t="s">
        <v>1196</v>
      </c>
      <c r="D4115" s="21" t="s">
        <v>1188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1257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row>
    <row r="4118" spans="1:12">
      <c r="A4118" s="20" t="s">
        <v>2458</v>
      </c>
    </row>
    <row r="4119" spans="1:12">
      <c r="A4119" s="20" t="s">
        <v>1294</v>
      </c>
      <c r="B4119" s="21" t="s">
        <v>1186</v>
      </c>
      <c r="C4119" s="21" t="s">
        <v>1203</v>
      </c>
      <c r="D4119" s="21" t="s">
        <v>1188</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1190</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2459</v>
      </c>
      <c r="B4121" s="21" t="s">
        <v>1186</v>
      </c>
      <c r="C4121" s="21" t="s">
        <v>1192</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1193</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1271</v>
      </c>
      <c r="B4123" s="21" t="s">
        <v>1311</v>
      </c>
      <c r="C4123" s="21" t="s">
        <v>1203</v>
      </c>
      <c r="D4123" s="21" t="s">
        <v>1188</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2460</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1275</v>
      </c>
      <c r="B4125" s="21" t="s">
        <v>1313</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1321</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2461</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826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row>
    <row r="4130" spans="1:12">
      <c r="A4130" s="20" t="s">
        <v>2462</v>
      </c>
    </row>
    <row r="4131" spans="1:12">
      <c r="A4131" s="20" t="s">
        <v>1589</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57</v>
      </c>
      <c r="B4132" s="21" t="s">
        <v>1202</v>
      </c>
      <c r="C4132" s="21" t="s">
        <v>1203</v>
      </c>
      <c r="D4132" s="21" t="s">
        <v>1188</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1502</v>
      </c>
      <c r="B4133" s="21" t="s">
        <v>1212</v>
      </c>
      <c r="C4133" s="21" t="s">
        <v>1216</v>
      </c>
      <c r="D4133" s="21" t="s">
        <v>1188</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755</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1257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row>
    <row r="4137" spans="1:12">
      <c r="A4137" s="20" t="s">
        <v>2463</v>
      </c>
    </row>
    <row r="4138" spans="1:12">
      <c r="A4138" s="20" t="s">
        <v>1270</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1190</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2464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826</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row>
    <row r="4143" spans="1:12">
      <c r="A4143" s="20" t="s">
        <v>2465</v>
      </c>
    </row>
    <row r="4144" spans="1:12">
      <c r="A4144" s="20" t="s">
        <v>2454</v>
      </c>
      <c r="B4144" s="21" t="s">
        <v>1202</v>
      </c>
      <c r="C4144" s="21" t="s">
        <v>1187</v>
      </c>
      <c r="D4144" s="21" t="s">
        <v>1188</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57</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1193</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185</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1447</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1283</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2025</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1193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2466</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2456</v>
      </c>
      <c r="B4153" s="21" t="s">
        <v>1212</v>
      </c>
      <c r="C4153" s="21" t="s">
        <v>1231</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1294</v>
      </c>
      <c r="B4154" s="21" t="s">
        <v>1199</v>
      </c>
      <c r="C4154" s="21" t="s">
        <v>1203</v>
      </c>
      <c r="D4154" s="21" t="s">
        <v>1188</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1190</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2467</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826</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row>
    <row r="4159" spans="1:12">
      <c r="A4159" s="20" t="s">
        <v>2468</v>
      </c>
    </row>
    <row r="4160" spans="1:12">
      <c r="A4160" s="20" t="s">
        <v>272</v>
      </c>
      <c r="B4160" s="21" t="s">
        <v>1202</v>
      </c>
      <c r="C4160" s="21" t="s">
        <v>1192</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1766</v>
      </c>
      <c r="B4161" s="21" t="s">
        <v>1199</v>
      </c>
      <c r="C4161" s="21" t="s">
        <v>1187</v>
      </c>
      <c r="D4161" s="21" t="s">
        <v>1188</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1265</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2399</v>
      </c>
      <c r="B4163" s="21" t="s">
        <v>1186</v>
      </c>
      <c r="C4163" s="21" t="s">
        <v>1192</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2212</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1502</v>
      </c>
      <c r="B4165" s="21" t="s">
        <v>1248</v>
      </c>
      <c r="C4165" s="21" t="s">
        <v>1246</v>
      </c>
      <c r="D4165" s="21" t="s">
        <v>1188</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2469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1193</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1244</v>
      </c>
      <c r="B4168" s="21" t="s">
        <v>1248</v>
      </c>
      <c r="C4168" s="21" t="s">
        <v>1246</v>
      </c>
      <c r="D4168" s="21" t="s">
        <v>1188</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427</v>
      </c>
      <c r="B4169" s="21" t="s">
        <v>1248</v>
      </c>
      <c r="C4169" s="21" t="s">
        <v>1246</v>
      </c>
      <c r="D4169" s="21" t="s">
        <v>1188</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1232</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1206</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1336</v>
      </c>
      <c r="B4172" s="21" t="s">
        <v>1199</v>
      </c>
      <c r="C4172" s="21" t="s">
        <v>1196</v>
      </c>
      <c r="D4172" s="21" t="s">
        <v>1188</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1206</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2470</v>
      </c>
      <c r="B4174" s="21" t="s">
        <v>1215</v>
      </c>
      <c r="C4174" s="21" t="s">
        <v>1196</v>
      </c>
      <c r="D4174" s="21" t="s">
        <v>1188</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1494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2471</v>
      </c>
      <c r="B4176" s="21" t="s">
        <v>1245</v>
      </c>
      <c r="C4176" s="21" t="s">
        <v>1231</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728</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1929</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826</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row>
    <row r="4181" spans="1:12">
      <c r="A4181" s="20" t="s">
        <v>2472</v>
      </c>
    </row>
    <row r="4182" spans="1:12">
      <c r="A4182" s="20" t="s">
        <v>2399</v>
      </c>
      <c r="B4182" s="21" t="s">
        <v>1202</v>
      </c>
      <c r="C4182" s="21" t="s">
        <v>1192</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1265</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1388</v>
      </c>
      <c r="B4184" s="21" t="s">
        <v>1186</v>
      </c>
      <c r="C4184" s="21" t="s">
        <v>1262</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1193</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1502</v>
      </c>
      <c r="B4186" s="21" t="s">
        <v>1248</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1494</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2473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2056</v>
      </c>
      <c r="B4189" s="21" t="s">
        <v>1245</v>
      </c>
      <c r="C4189" s="21" t="s">
        <v>1231</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2474</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1193</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1194</v>
      </c>
      <c r="B4192" s="21" t="s">
        <v>1311</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185</v>
      </c>
      <c r="B4193" s="21" t="s">
        <v>1313</v>
      </c>
      <c r="C4193" s="21" t="s">
        <v>1203</v>
      </c>
      <c r="D4193" s="21" t="s">
        <v>1188</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2166</v>
      </c>
      <c r="B4194" s="21" t="s">
        <v>1313</v>
      </c>
      <c r="C4194" s="21" t="s">
        <v>1192</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2475</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1193</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1502</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2476</v>
      </c>
      <c r="B4198" s="21" t="s">
        <v>1347</v>
      </c>
      <c r="C4198" s="21" t="s">
        <v>1196</v>
      </c>
      <c r="D4198" s="21" t="s">
        <v>1188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1208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2477</v>
      </c>
      <c r="B4200" s="21" t="s">
        <v>1298</v>
      </c>
      <c r="C4200" s="21" t="s">
        <v>1192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1302</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1465</v>
      </c>
      <c r="B4202" s="21" t="s">
        <v>1499</v>
      </c>
      <c r="C4202" s="21" t="s">
        <v>1192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1337</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2478</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1193</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1455</v>
      </c>
      <c r="B4206" s="21" t="s">
        <v>1313</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1668</v>
      </c>
      <c r="B4207" s="21" t="s">
        <v>1311</v>
      </c>
      <c r="C4207" s="21" t="s">
        <v>1246</v>
      </c>
      <c r="D4207" s="21" t="s">
        <v>1188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2479</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1321</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2480</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1929</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826</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2481</v>
      </c>
    </row>
    <row r="4215" spans="1:12">
      <c r="A4215" s="20" t="s">
        <v>1730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1683</v>
      </c>
      <c r="B4216" s="21" t="s">
        <v>1186</v>
      </c>
      <c r="C4216" s="21" t="s">
        <v>1192</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1193</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1194</v>
      </c>
      <c r="B4218" s="21" t="s">
        <v>1311</v>
      </c>
      <c r="C4218" s="21" t="s">
        <v>1246</v>
      </c>
      <c r="D4218" s="21" t="s">
        <v>1188</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2274</v>
      </c>
      <c r="B4219" s="21" t="s">
        <v>1313</v>
      </c>
      <c r="C4219" s="21" t="s">
        <v>1187</v>
      </c>
      <c r="D4219" s="21" t="s">
        <v>1188</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1378</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2291</v>
      </c>
      <c r="B4221" s="21" t="s">
        <v>1285</v>
      </c>
      <c r="C4221" s="21" t="s">
        <v>1187</v>
      </c>
      <c r="D4221" s="21" t="s">
        <v>1188</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2482</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1193</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2041</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1194</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1402</v>
      </c>
      <c r="B4226" s="21" t="s">
        <v>1202</v>
      </c>
      <c r="C4226" s="21" t="s">
        <v>1187</v>
      </c>
      <c r="D4226" s="21" t="s">
        <v>1188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1939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1232</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1210</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2483</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1429</v>
      </c>
      <c r="B4232" s="21" t="s">
        <v>1186</v>
      </c>
      <c r="C4232" s="21" t="s">
        <v>1196</v>
      </c>
      <c r="D4232" s="21" t="s">
        <v>1188</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1520</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2484</v>
      </c>
      <c r="B4234" s="21" t="s">
        <v>1186</v>
      </c>
      <c r="C4234" s="21" t="s">
        <v>1192</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826</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row>
    <row r="4237" spans="1:12">
      <c r="A4237" s="20" t="s">
        <v>2485</v>
      </c>
    </row>
    <row r="4238" spans="1:12">
      <c r="A4238" s="20" t="s">
        <v>1607</v>
      </c>
      <c r="B4238" s="21" t="s">
        <v>1202</v>
      </c>
      <c r="C4238" s="21" t="s">
        <v>1203</v>
      </c>
      <c r="D4238" s="21" t="s">
        <v>1188</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2041</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1502</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2486</v>
      </c>
      <c r="B4241" s="21" t="s">
        <v>1212</v>
      </c>
      <c r="C4241" s="21" t="s">
        <v>1196</v>
      </c>
      <c r="D4241" s="21" t="s">
        <v>1188</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1193</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1226</v>
      </c>
      <c r="B4243" s="21" t="s">
        <v>1313</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1250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1268</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1488</v>
      </c>
      <c r="B4246" s="21" t="s">
        <v>1215</v>
      </c>
      <c r="C4246" s="21" t="s">
        <v>1196</v>
      </c>
      <c r="D4246" s="21" t="s">
        <v>1188</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2395</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2487</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826</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row>
    <row r="4251" spans="1:12">
      <c r="A4251" s="20" t="s">
        <v>2488</v>
      </c>
    </row>
    <row r="4252" spans="1:12">
      <c r="A4252" s="20" t="s">
        <v>959</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1502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2486</v>
      </c>
      <c r="B4254" s="21" t="s">
        <v>1202</v>
      </c>
      <c r="C4254" s="21" t="s">
        <v>1187</v>
      </c>
      <c r="D4254" s="21" t="s">
        <v>1188</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2489</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1226</v>
      </c>
      <c r="B4256" s="21" t="s">
        <v>1212</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1250</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1268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1488</v>
      </c>
      <c r="B4259" s="21" t="s">
        <v>1186</v>
      </c>
      <c r="C4259" s="21" t="s">
        <v>1196</v>
      </c>
      <c r="D4259" s="21" t="s">
        <v>1188</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2395</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680</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826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row>
    <row r="4264" spans="1:12">
      <c r="A4264" s="20" t="s">
        <v>2490</v>
      </c>
    </row>
    <row r="4265" spans="1:12">
      <c r="A4265" s="20" t="s">
        <v>1316</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1206</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1488</v>
      </c>
      <c r="B4267" s="21" t="s">
        <v>1202</v>
      </c>
      <c r="C4267" s="21" t="s">
        <v>1196</v>
      </c>
      <c r="D4267" s="21" t="s">
        <v>1188</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1302</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1502</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2374</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1541</v>
      </c>
      <c r="B4271" s="21" t="s">
        <v>1199</v>
      </c>
      <c r="C4271" s="21" t="s">
        <v>1196</v>
      </c>
      <c r="D4271" s="21" t="s">
        <v>1188</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1608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2450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826</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row>
    <row r="4276" spans="1:12">
      <c r="A4276" s="20" t="s">
        <v>2491</v>
      </c>
    </row>
    <row r="4277" spans="1:12">
      <c r="A4277" s="20" t="s">
        <v>1607</v>
      </c>
      <c r="B4277" s="21" t="s">
        <v>1202</v>
      </c>
      <c r="C4277" s="21" t="s">
        <v>1203</v>
      </c>
      <c r="D4277" s="21" t="s">
        <v>1188</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1608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1193</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185</v>
      </c>
      <c r="B4280" s="21" t="s">
        <v>1311</v>
      </c>
      <c r="C4280" s="21" t="s">
        <v>1203</v>
      </c>
      <c r="D4280" s="21" t="s">
        <v>1188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1794</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1502</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1503</v>
      </c>
      <c r="B4283" s="21" t="s">
        <v>1245</v>
      </c>
      <c r="C4283" s="21" t="s">
        <v>1196</v>
      </c>
      <c r="D4283" s="21" t="s">
        <v>1188</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1359</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1462</v>
      </c>
      <c r="B4285" s="21" t="s">
        <v>1285</v>
      </c>
      <c r="C4285" s="21" t="s">
        <v>1304</v>
      </c>
      <c r="D4285" s="21" t="s">
        <v>1188</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2226</v>
      </c>
      <c r="B4286" s="21" t="s">
        <v>1215</v>
      </c>
      <c r="C4286" s="21" t="s">
        <v>1192</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1321</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2400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826</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row>
    <row r="4291" spans="1:12">
      <c r="A4291" s="20" t="s">
        <v>2492</v>
      </c>
    </row>
    <row r="4292" spans="1:12">
      <c r="A4292" s="20" t="s">
        <v>1607</v>
      </c>
      <c r="B4292" s="21" t="s">
        <v>1202</v>
      </c>
      <c r="C4292" s="21" t="s">
        <v>1203</v>
      </c>
      <c r="D4292" s="21" t="s">
        <v>1188</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1608</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1193</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1206</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1561</v>
      </c>
      <c r="B4296" s="21" t="s">
        <v>1248</v>
      </c>
      <c r="C4296" s="21" t="s">
        <v>1187</v>
      </c>
      <c r="D4296" s="21" t="s">
        <v>1188</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1359</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1194</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2230</v>
      </c>
      <c r="B4299" s="21" t="s">
        <v>1215</v>
      </c>
      <c r="C4299" s="21" t="s">
        <v>1196</v>
      </c>
      <c r="D4299" s="21" t="s">
        <v>1188</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1794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1337</v>
      </c>
      <c r="B4301" s="21" t="s">
        <v>1199</v>
      </c>
      <c r="C4301" s="21" t="s">
        <v>1262</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2493</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1193</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1520</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1210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1476</v>
      </c>
      <c r="B4306" s="21" t="s">
        <v>1313</v>
      </c>
      <c r="C4306" s="21" t="s">
        <v>1196</v>
      </c>
      <c r="D4306" s="21" t="s">
        <v>1188</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1337</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2494</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826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row>
    <row r="4311" spans="1:12">
      <c r="A4311" s="20" t="s">
        <v>2495</v>
      </c>
    </row>
    <row r="4312" spans="1:12">
      <c r="A4312" s="20" t="s">
        <v>1316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427</v>
      </c>
      <c r="B4313" s="21" t="s">
        <v>1202</v>
      </c>
      <c r="C4313" s="21" t="s">
        <v>1246</v>
      </c>
      <c r="D4313" s="21" t="s">
        <v>1188</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163</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1232</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1206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2316</v>
      </c>
      <c r="B4317" s="21" t="s">
        <v>1186</v>
      </c>
      <c r="C4317" s="21" t="s">
        <v>1615</v>
      </c>
      <c r="D4317" s="21" t="s">
        <v>1188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2284</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1268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52</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826</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row>
    <row r="4323" spans="1:12">
      <c r="A4323" s="20" t="s">
        <v>2496</v>
      </c>
    </row>
    <row r="4324" spans="1:12">
      <c r="A4324" s="20" t="s">
        <v>2352</v>
      </c>
      <c r="B4324" s="21" t="s">
        <v>1186</v>
      </c>
      <c r="C4324" s="21" t="s">
        <v>1187</v>
      </c>
      <c r="D4324" s="21" t="s">
        <v>1188</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1365</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1193</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1366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1668</v>
      </c>
      <c r="B4328" s="21" t="s">
        <v>1248</v>
      </c>
      <c r="C4328" s="21" t="s">
        <v>1246</v>
      </c>
      <c r="D4328" s="21" t="s">
        <v>1188</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1337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1206</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2497</v>
      </c>
      <c r="B4331" s="21" t="s">
        <v>1199</v>
      </c>
      <c r="C4331" s="21" t="s">
        <v>1196</v>
      </c>
      <c r="D4331" s="21" t="s">
        <v>1188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2498</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1302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1210</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2399</v>
      </c>
      <c r="B4335" s="21" t="s">
        <v>1313</v>
      </c>
      <c r="C4335" s="21" t="s">
        <v>1196</v>
      </c>
      <c r="D4335" s="21" t="s">
        <v>1188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1427</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2499</v>
      </c>
      <c r="B4337" s="21" t="s">
        <v>1215</v>
      </c>
      <c r="C4337" s="21" t="s">
        <v>1192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2500</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1193</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1520</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1194</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1683</v>
      </c>
      <c r="B4342" s="21" t="s">
        <v>1313</v>
      </c>
      <c r="C4342" s="21" t="s">
        <v>1196</v>
      </c>
      <c r="D4342" s="21" t="s">
        <v>1188</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1232</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1268</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1452</v>
      </c>
      <c r="B4345" s="21" t="s">
        <v>1285</v>
      </c>
      <c r="C4345" s="21" t="s">
        <v>1196</v>
      </c>
      <c r="D4345" s="21" t="s">
        <v>1188</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1337</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2501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1193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1459</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1210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1488</v>
      </c>
      <c r="B4351" s="21" t="s">
        <v>1215</v>
      </c>
      <c r="C4351" s="21" t="s">
        <v>1196</v>
      </c>
      <c r="D4351" s="21" t="s">
        <v>1188</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1337</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142</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1193</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1459</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1502</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2374</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1541</v>
      </c>
      <c r="B4358" s="21" t="s">
        <v>1248</v>
      </c>
      <c r="C4358" s="21" t="s">
        <v>1196</v>
      </c>
      <c r="D4358" s="21" t="s">
        <v>1188</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1337</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142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1193</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1302</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185</v>
      </c>
      <c r="B4363" s="21" t="s">
        <v>1248</v>
      </c>
      <c r="C4363" s="21" t="s">
        <v>1203</v>
      </c>
      <c r="D4363" s="21" t="s">
        <v>1188</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1265</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1360</v>
      </c>
      <c r="B4365" s="21" t="s">
        <v>1199</v>
      </c>
      <c r="C4365" s="21" t="s">
        <v>1216</v>
      </c>
      <c r="D4365" s="21" t="s">
        <v>1188</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1344</v>
      </c>
      <c r="B4366" s="21" t="s">
        <v>1186</v>
      </c>
      <c r="C4366" s="21" t="s">
        <v>1218</v>
      </c>
      <c r="D4366" s="21" t="s">
        <v>1188</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1208</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1345</v>
      </c>
      <c r="B4368" s="21" t="s">
        <v>1199</v>
      </c>
      <c r="C4368" s="21" t="s">
        <v>1192</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1213</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2502</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2503</v>
      </c>
      <c r="B4371" s="21" t="s">
        <v>1215</v>
      </c>
      <c r="C4371" s="21" t="s">
        <v>1192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1193</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1658</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1206</v>
      </c>
      <c r="B4374" s="21" t="s">
        <v>1215</v>
      </c>
      <c r="C4374" s="21" t="s">
        <v>1246</v>
      </c>
      <c r="D4374" s="21" t="s">
        <v>1188</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427</v>
      </c>
      <c r="B4375" s="21" t="s">
        <v>1311</v>
      </c>
      <c r="C4375" s="21" t="s">
        <v>1246</v>
      </c>
      <c r="D4375" s="21" t="s">
        <v>1188</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1515</v>
      </c>
      <c r="B4376" s="21" t="s">
        <v>1313</v>
      </c>
      <c r="C4376" s="21" t="s">
        <v>1246</v>
      </c>
      <c r="D4376" s="21" t="s">
        <v>1188</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926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1444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1193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1662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1668</v>
      </c>
      <c r="B4381" s="21" t="s">
        <v>1296</v>
      </c>
      <c r="C4381" s="21" t="s">
        <v>1246</v>
      </c>
      <c r="D4381" s="21" t="s">
        <v>1188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1462</v>
      </c>
      <c r="B4382" s="21" t="s">
        <v>1298</v>
      </c>
      <c r="C4382" s="21" t="s">
        <v>1304</v>
      </c>
      <c r="D4382" s="21" t="s">
        <v>1188</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1532</v>
      </c>
      <c r="B4383" s="21" t="s">
        <v>1347</v>
      </c>
      <c r="C4383" s="21" t="s">
        <v>1192</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2504</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1302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1491</v>
      </c>
      <c r="B4386" s="21" t="s">
        <v>1499</v>
      </c>
      <c r="C4386" s="21" t="s">
        <v>1246</v>
      </c>
      <c r="D4386" s="21" t="s">
        <v>1188</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2505</v>
      </c>
      <c r="B4387" s="21" t="s">
        <v>1437</v>
      </c>
      <c r="C4387" s="21" t="s">
        <v>1331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2506</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826</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row>
    <row r="4391" spans="1:12">
      <c r="A4391" s="20" t="s">
        <v>2507</v>
      </c>
    </row>
    <row r="4392" spans="1:12">
      <c r="A4392" s="20" t="s">
        <v>1270</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1190</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2508</v>
      </c>
      <c r="B4394" s="21" t="s">
        <v>1202</v>
      </c>
      <c r="C4394" s="21" t="s">
        <v>1187</v>
      </c>
      <c r="D4394" s="21" t="s">
        <v>1188</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57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1283</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798</v>
      </c>
      <c r="B4397" s="21" t="s">
        <v>1186</v>
      </c>
      <c r="C4397" s="21" t="s">
        <v>1231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1300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1301</v>
      </c>
      <c r="B4399" s="21" t="s">
        <v>1186</v>
      </c>
      <c r="C4399" s="21" t="s">
        <v>1203</v>
      </c>
      <c r="D4399" s="21" t="s">
        <v>1188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1257</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row>
    <row r="4402" spans="1:12">
      <c r="A4402" s="20" t="s">
        <v>2509</v>
      </c>
    </row>
    <row r="4403" spans="1:12">
      <c r="A4403" s="20" t="s">
        <v>1201</v>
      </c>
      <c r="B4403" s="21" t="s">
        <v>1202</v>
      </c>
      <c r="C4403" s="21" t="s">
        <v>1203</v>
      </c>
      <c r="D4403" s="21" t="s">
        <v>1188</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1272</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1494</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1388</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2510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1322</v>
      </c>
      <c r="B4408" s="21" t="s">
        <v>1212</v>
      </c>
      <c r="C4408" s="21" t="s">
        <v>1231</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1227</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1275</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826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row>
    <row r="4413" spans="1:12">
      <c r="A4413" s="20" t="s">
        <v>2511</v>
      </c>
    </row>
    <row r="4414" spans="1:12">
      <c r="A4414" s="20" t="s">
        <v>2512</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427</v>
      </c>
      <c r="B4415" s="21" t="s">
        <v>1202</v>
      </c>
      <c r="C4415" s="21" t="s">
        <v>1246</v>
      </c>
      <c r="D4415" s="21" t="s">
        <v>1188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2513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1208</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2457</v>
      </c>
      <c r="B4418" s="21" t="s">
        <v>1186</v>
      </c>
      <c r="C4418" s="21" t="s">
        <v>1192</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805</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1190</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row>
    <row r="4422" spans="1:12">
      <c r="A4422" s="20" t="s">
        <v>2514</v>
      </c>
    </row>
    <row r="4423" spans="1:12">
      <c r="A4423" s="20" t="s">
        <v>1552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2515</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1702</v>
      </c>
      <c r="B4425" s="21" t="s">
        <v>1202</v>
      </c>
      <c r="C4425" s="21" t="s">
        <v>1196</v>
      </c>
      <c r="D4425" s="21" t="s">
        <v>1188</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809</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1570</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2516</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2517</v>
      </c>
      <c r="B4429" s="21" t="s">
        <v>1212</v>
      </c>
      <c r="C4429" s="21" t="s">
        <v>1240</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1232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1233</v>
      </c>
      <c r="B4431" s="21" t="s">
        <v>1199</v>
      </c>
      <c r="C4431" s="21" t="s">
        <v>1187</v>
      </c>
      <c r="D4431" s="21" t="s">
        <v>1188</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2518</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2519</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826</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row>
    <row r="4436" spans="1:12">
      <c r="A4436" s="20" t="s">
        <v>2520</v>
      </c>
    </row>
    <row r="4437" spans="1:12">
      <c r="A4437" s="20" t="s">
        <v>1412</v>
      </c>
      <c r="B4437" s="21" t="s">
        <v>1202</v>
      </c>
      <c r="C4437" s="21" t="s">
        <v>1203</v>
      </c>
      <c r="D4437" s="21" t="s">
        <v>1188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1399</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2521</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1986</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1193</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2522</v>
      </c>
      <c r="B4442" s="21" t="s">
        <v>1215</v>
      </c>
      <c r="C4442" s="21" t="s">
        <v>1246</v>
      </c>
      <c r="D4442" s="21" t="s">
        <v>1188</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2523</v>
      </c>
      <c r="B4443" s="21" t="s">
        <v>1248</v>
      </c>
      <c r="C4443" s="21" t="s">
        <v>1192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2524</v>
      </c>
      <c r="B4444" s="21" t="s">
        <v>1215</v>
      </c>
      <c r="C4444" s="21" t="s">
        <v>1187</v>
      </c>
      <c r="D4444" s="21" t="s">
        <v>1188</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2525</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2526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1265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1193</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2527</v>
      </c>
      <c r="B4449" s="21" t="s">
        <v>1186</v>
      </c>
      <c r="C4449" s="21" t="s">
        <v>1187</v>
      </c>
      <c r="D4449" s="21" t="s">
        <v>1188</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2525</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1193</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1309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1668</v>
      </c>
      <c r="B4453" s="21" t="s">
        <v>1311</v>
      </c>
      <c r="C4453" s="21" t="s">
        <v>1246</v>
      </c>
      <c r="D4453" s="21" t="s">
        <v>1188</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1573</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1745</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826</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row>
    <row r="4458" spans="1:12">
      <c r="A4458" s="20" t="s">
        <v>2528</v>
      </c>
    </row>
    <row r="4459" spans="1:12">
      <c r="A4459" s="20" t="s">
        <v>1600</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2529</v>
      </c>
      <c r="B4460" s="21" t="s">
        <v>1202</v>
      </c>
      <c r="C4460" s="21" t="s">
        <v>1231</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1205</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2530</v>
      </c>
      <c r="B4462" s="21" t="s">
        <v>1199</v>
      </c>
      <c r="C4462" s="21" t="s">
        <v>1187</v>
      </c>
      <c r="D4462" s="21" t="s">
        <v>1188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2531</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1193</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185</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1447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1702</v>
      </c>
      <c r="B4467" s="21" t="s">
        <v>1248</v>
      </c>
      <c r="C4467" s="21" t="s">
        <v>1192</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1232</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1206</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2532</v>
      </c>
      <c r="B4470" s="21" t="s">
        <v>1199</v>
      </c>
      <c r="C4470" s="21" t="s">
        <v>1196</v>
      </c>
      <c r="D4470" s="21" t="s">
        <v>1188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1194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1275</v>
      </c>
      <c r="B4472" s="21" t="s">
        <v>1311</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2533</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38</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2534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826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row>
    <row r="4478" spans="1:12">
      <c r="A4478" s="20" t="s">
        <v>2535</v>
      </c>
    </row>
    <row r="4479" spans="1:12">
      <c r="A4479" s="20" t="s">
        <v>1471</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2536</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57</v>
      </c>
      <c r="B4481" s="21" t="s">
        <v>1202</v>
      </c>
      <c r="C4481" s="21" t="s">
        <v>1203</v>
      </c>
      <c r="D4481" s="21" t="s">
        <v>1188</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1307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1520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1257</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row>
    <row r="4486" spans="1:12">
      <c r="A4486" s="20" t="s">
        <v>2537</v>
      </c>
    </row>
    <row r="4487" spans="1:12">
      <c r="A4487" s="20" t="s">
        <v>1471</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2536</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57</v>
      </c>
      <c r="B4489" s="21" t="s">
        <v>1202</v>
      </c>
      <c r="C4489" s="21" t="s">
        <v>1203</v>
      </c>
      <c r="D4489" s="21" t="s">
        <v>1188</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1300</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1206</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2538</v>
      </c>
      <c r="B4492" s="21" t="s">
        <v>1186</v>
      </c>
      <c r="C4492" s="21" t="s">
        <v>1196</v>
      </c>
      <c r="D4492" s="21" t="s">
        <v>1188</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1520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1257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2539</v>
      </c>
    </row>
    <row r="4497" spans="1:12">
      <c r="A4497" s="20" t="s">
        <v>1294</v>
      </c>
      <c r="B4497" s="21" t="s">
        <v>1202</v>
      </c>
      <c r="C4497" s="21" t="s">
        <v>1203</v>
      </c>
      <c r="D4497" s="21" t="s">
        <v>1188</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1190</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1264</v>
      </c>
      <c r="B4499" s="21" t="s">
        <v>1311</v>
      </c>
      <c r="C4499" s="21" t="s">
        <v>1203</v>
      </c>
      <c r="D4499" s="21" t="s">
        <v>1188</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1265</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2540</v>
      </c>
      <c r="B4501" s="21" t="s">
        <v>1215</v>
      </c>
      <c r="C4501" s="21" t="s">
        <v>1246</v>
      </c>
      <c r="D4501" s="21" t="s">
        <v>1188</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2541</v>
      </c>
      <c r="B4502" s="21" t="s">
        <v>1199</v>
      </c>
      <c r="C4502" s="21" t="s">
        <v>1331</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1193</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1366</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185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1581</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2229</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2183</v>
      </c>
      <c r="B4508" s="21" t="s">
        <v>1296</v>
      </c>
      <c r="C4508" s="21" t="s">
        <v>1192</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1447</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1193</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1194</v>
      </c>
      <c r="B4511" s="21" t="s">
        <v>1436</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1312</v>
      </c>
      <c r="B4512" s="21" t="s">
        <v>1437</v>
      </c>
      <c r="C4512" s="21" t="s">
        <v>1203</v>
      </c>
      <c r="D4512" s="21" t="s">
        <v>1188</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2533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38</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2534</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826</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row>
    <row r="4518" spans="1:12">
      <c r="A4518" s="20" t="s">
        <v>2542</v>
      </c>
    </row>
    <row r="4519" spans="1:12">
      <c r="A4519" s="20" t="s">
        <v>1201</v>
      </c>
      <c r="B4519" s="21" t="s">
        <v>1202</v>
      </c>
      <c r="C4519" s="21" t="s">
        <v>1203</v>
      </c>
      <c r="D4519" s="21" t="s">
        <v>1188</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1272</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2212</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1302</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2212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2543</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2544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1193</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1366</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1271</v>
      </c>
      <c r="B4528" s="21" t="s">
        <v>1248</v>
      </c>
      <c r="C4528" s="21" t="s">
        <v>1203</v>
      </c>
      <c r="D4528" s="21" t="s">
        <v>1188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2258</v>
      </c>
      <c r="B4529" s="21" t="s">
        <v>1215</v>
      </c>
      <c r="C4529" s="21" t="s">
        <v>1262</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2545</v>
      </c>
      <c r="B4530" s="21" t="s">
        <v>1245</v>
      </c>
      <c r="C4530" s="21" t="s">
        <v>1192</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1193</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1317</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1271</v>
      </c>
      <c r="B4533" s="21" t="s">
        <v>1296</v>
      </c>
      <c r="C4533" s="21" t="s">
        <v>1203</v>
      </c>
      <c r="D4533" s="21" t="s">
        <v>1188</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2546</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2547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1193</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1318</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1319</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1193</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1244</v>
      </c>
      <c r="B4540" s="21" t="s">
        <v>1245</v>
      </c>
      <c r="C4540" s="21" t="s">
        <v>1246</v>
      </c>
      <c r="D4540" s="21" t="s">
        <v>1188</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1271</v>
      </c>
      <c r="B4541" s="21" t="s">
        <v>1248</v>
      </c>
      <c r="C4541" s="21" t="s">
        <v>1203</v>
      </c>
      <c r="D4541" s="21" t="s">
        <v>1188</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1359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1502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2374</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1541</v>
      </c>
      <c r="B4545" s="21" t="s">
        <v>1199</v>
      </c>
      <c r="C4545" s="21" t="s">
        <v>1196</v>
      </c>
      <c r="D4545" s="21" t="s">
        <v>1188</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130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1260</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826</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row>
    <row r="4550" spans="1:12">
      <c r="A4550" s="20" t="s">
        <v>2548</v>
      </c>
    </row>
    <row r="4551" spans="1:12">
      <c r="A4551" s="20" t="s">
        <v>1201</v>
      </c>
      <c r="B4551" s="21" t="s">
        <v>1202</v>
      </c>
      <c r="C4551" s="21" t="s">
        <v>1203</v>
      </c>
      <c r="D4551" s="21" t="s">
        <v>1188</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1204</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1303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1345</v>
      </c>
      <c r="B4554" s="21" t="s">
        <v>1212</v>
      </c>
      <c r="C4554" s="21" t="s">
        <v>1240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1321</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834</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826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row>
    <row r="4559" spans="1:12">
      <c r="A4559" s="20" t="s">
        <v>1369</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2549</v>
      </c>
    </row>
    <row r="4561" spans="1:12">
      <c r="A4561" s="20" t="s">
        <v>1201</v>
      </c>
      <c r="B4561" s="21" t="s">
        <v>1202</v>
      </c>
      <c r="C4561" s="21" t="s">
        <v>1203</v>
      </c>
      <c r="D4561" s="21" t="s">
        <v>1188</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1204</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1303</v>
      </c>
      <c r="B4563" s="21" t="s">
        <v>1199</v>
      </c>
      <c r="C4563" s="21" t="s">
        <v>1304</v>
      </c>
      <c r="D4563" s="21" t="s">
        <v>1188</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1345</v>
      </c>
      <c r="B4564" s="21" t="s">
        <v>1212</v>
      </c>
      <c r="C4564" s="21" t="s">
        <v>1192</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838</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1193</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1478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1194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1935</v>
      </c>
      <c r="B4569" s="21" t="s">
        <v>1199</v>
      </c>
      <c r="C4569" s="21" t="s">
        <v>1196</v>
      </c>
      <c r="D4569" s="21" t="s">
        <v>1188</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1193</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1366</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1668</v>
      </c>
      <c r="B4572" s="21" t="s">
        <v>1296</v>
      </c>
      <c r="C4572" s="21" t="s">
        <v>1246</v>
      </c>
      <c r="D4572" s="21" t="s">
        <v>1188</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2550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1265</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1193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1194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2551</v>
      </c>
      <c r="B4577" s="21" t="s">
        <v>1437</v>
      </c>
      <c r="C4577" s="21" t="s">
        <v>1196</v>
      </c>
      <c r="D4577" s="21" t="s">
        <v>1188</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2552</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1337</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2553</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1193</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1366</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1668</v>
      </c>
      <c r="B4583" s="21" t="s">
        <v>1296</v>
      </c>
      <c r="C4583" s="21" t="s">
        <v>1246</v>
      </c>
      <c r="D4583" s="21" t="s">
        <v>1188</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2550</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1265</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1193</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1733</v>
      </c>
      <c r="B4587" s="21" t="s">
        <v>1437</v>
      </c>
      <c r="C4587" s="21" t="s">
        <v>1262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2554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1337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625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1193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1459</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2555</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680</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2556</v>
      </c>
      <c r="B4595" s="21" t="s">
        <v>1533</v>
      </c>
      <c r="C4595" s="21" t="s">
        <v>1231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1337</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38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1193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1502</v>
      </c>
      <c r="B4599" s="21" t="s">
        <v>1296</v>
      </c>
      <c r="C4599" s="21" t="s">
        <v>1216</v>
      </c>
      <c r="D4599" s="21" t="s">
        <v>1188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1341</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1435</v>
      </c>
      <c r="B4601" s="21" t="s">
        <v>1215</v>
      </c>
      <c r="C4601" s="21" t="s">
        <v>1192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1193</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2129</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1194</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427</v>
      </c>
      <c r="B4605" s="21" t="s">
        <v>1436</v>
      </c>
      <c r="C4605" s="21" t="s">
        <v>1246</v>
      </c>
      <c r="D4605" s="21" t="s">
        <v>1188</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1515</v>
      </c>
      <c r="B4606" s="21" t="s">
        <v>1437</v>
      </c>
      <c r="C4606" s="21" t="s">
        <v>1246</v>
      </c>
      <c r="D4606" s="21" t="s">
        <v>1188</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1817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1444</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1427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2230</v>
      </c>
      <c r="B4610" s="21" t="s">
        <v>1298</v>
      </c>
      <c r="C4610" s="21" t="s">
        <v>1192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1193</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1302</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96</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1190</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1374</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2557</v>
      </c>
      <c r="B4616" s="21" t="s">
        <v>1248</v>
      </c>
      <c r="C4616" s="21" t="s">
        <v>1187</v>
      </c>
      <c r="D4616" s="21" t="s">
        <v>1188</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1193</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1367</v>
      </c>
      <c r="B4618" s="21" t="s">
        <v>1296</v>
      </c>
      <c r="C4618" s="21" t="s">
        <v>1216</v>
      </c>
      <c r="D4618" s="21" t="s">
        <v>1188</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1265</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1321</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2558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826</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1374</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row>
    <row r="4625" spans="1:12">
      <c r="A4625" s="20" t="s">
        <v>2559</v>
      </c>
    </row>
    <row r="4626" spans="1:12">
      <c r="A4626" s="20" t="s">
        <v>1364</v>
      </c>
      <c r="B4626" s="21" t="s">
        <v>1202</v>
      </c>
      <c r="C4626" s="21" t="s">
        <v>1246</v>
      </c>
      <c r="D4626" s="21" t="s">
        <v>1188</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1324</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2560</v>
      </c>
      <c r="B4628" s="21" t="s">
        <v>1202</v>
      </c>
      <c r="C4628" s="21" t="s">
        <v>1192</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1321</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842</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826</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row>
    <row r="4633" spans="1:12">
      <c r="A4633" s="20" t="s">
        <v>2561</v>
      </c>
    </row>
    <row r="4634" spans="1:12">
      <c r="A4634" s="20" t="s">
        <v>1364</v>
      </c>
      <c r="B4634" s="21" t="s">
        <v>1202</v>
      </c>
      <c r="C4634" s="21" t="s">
        <v>1246</v>
      </c>
      <c r="D4634" s="21" t="s">
        <v>1188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1324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2562</v>
      </c>
      <c r="B4636" s="21" t="s">
        <v>1202</v>
      </c>
      <c r="C4636" s="21" t="s">
        <v>1192</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1321</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846</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826</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row>
    <row r="4641" spans="1:12">
      <c r="A4641" s="20" t="s">
        <v>2563</v>
      </c>
    </row>
    <row r="4642" spans="1:12">
      <c r="A4642" s="20" t="s">
        <v>1253</v>
      </c>
      <c r="B4642" s="21" t="s">
        <v>1347</v>
      </c>
      <c r="C4642" s="21" t="s">
        <v>1246</v>
      </c>
      <c r="D4642" s="21" t="s">
        <v>1188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1039</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2212</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1271</v>
      </c>
      <c r="B4645" s="21" t="s">
        <v>1296</v>
      </c>
      <c r="C4645" s="21" t="s">
        <v>1203</v>
      </c>
      <c r="D4645" s="21" t="s">
        <v>1188</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130</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1260</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1193</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1520</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1502</v>
      </c>
      <c r="B4650" s="21" t="s">
        <v>1437</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1337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2564</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1193</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2565</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1271</v>
      </c>
      <c r="B4655" s="21" t="s">
        <v>1311</v>
      </c>
      <c r="C4655" s="21" t="s">
        <v>1203</v>
      </c>
      <c r="D4655" s="21" t="s">
        <v>1188</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2566</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1193</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850</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1206</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1479</v>
      </c>
      <c r="B4660" s="21" t="s">
        <v>1212</v>
      </c>
      <c r="C4660" s="21" t="s">
        <v>1196</v>
      </c>
      <c r="D4660" s="21" t="s">
        <v>1188</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826</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row>
    <row r="4663" spans="1:12">
      <c r="A4663" s="20" t="s">
        <v>2567</v>
      </c>
    </row>
    <row r="4664" spans="1:12">
      <c r="A4664" s="20" t="s">
        <v>1270</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1190</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1201</v>
      </c>
      <c r="B4666" s="21" t="s">
        <v>1202</v>
      </c>
      <c r="C4666" s="21" t="s">
        <v>1203</v>
      </c>
      <c r="D4666" s="21" t="s">
        <v>1188</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1204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1227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1297</v>
      </c>
      <c r="B4669" s="21" t="s">
        <v>1215</v>
      </c>
      <c r="C4669" s="21" t="s">
        <v>1216</v>
      </c>
      <c r="D4669" s="21" t="s">
        <v>1188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1644</v>
      </c>
      <c r="B4670" s="21" t="s">
        <v>1199</v>
      </c>
      <c r="C4670" s="21" t="s">
        <v>1218</v>
      </c>
      <c r="D4670" s="21" t="s">
        <v>1188</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1520</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2568</v>
      </c>
      <c r="B4672" s="21" t="s">
        <v>1212</v>
      </c>
      <c r="C4672" s="21" t="s">
        <v>1192</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1241</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1268</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2569</v>
      </c>
      <c r="B4675" s="21" t="s">
        <v>1186</v>
      </c>
      <c r="C4675" s="21" t="s">
        <v>1196</v>
      </c>
      <c r="D4675" s="21" t="s">
        <v>1188</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772</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1193</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1662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1271</v>
      </c>
      <c r="B4679" s="21" t="s">
        <v>1248</v>
      </c>
      <c r="C4679" s="21" t="s">
        <v>1203</v>
      </c>
      <c r="D4679" s="21" t="s">
        <v>1188</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1577</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1193</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1366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185</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1914</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2570</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2571</v>
      </c>
      <c r="B4686" s="21" t="s">
        <v>1311</v>
      </c>
      <c r="C4686" s="21" t="s">
        <v>1192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1205</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42</v>
      </c>
      <c r="B4688" s="21" t="s">
        <v>1285</v>
      </c>
      <c r="C4688" s="21" t="s">
        <v>1246</v>
      </c>
      <c r="D4688" s="21" t="s">
        <v>1188</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1220</v>
      </c>
      <c r="B4689" s="21" t="s">
        <v>1215</v>
      </c>
      <c r="C4689" s="21" t="s">
        <v>1192</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1447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826</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row>
    <row r="4693" spans="1:12">
      <c r="A4693" s="20" t="s">
        <v>2572</v>
      </c>
    </row>
    <row r="4694" spans="1:12">
      <c r="A4694" s="20" t="s">
        <v>2573</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1607</v>
      </c>
      <c r="B4695" s="21" t="s">
        <v>1202</v>
      </c>
      <c r="C4695" s="21" t="s">
        <v>1203</v>
      </c>
      <c r="D4695" s="21" t="s">
        <v>1188</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1682</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1194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2574</v>
      </c>
      <c r="B4698" s="21" t="s">
        <v>1245</v>
      </c>
      <c r="C4698" s="21" t="s">
        <v>1196</v>
      </c>
      <c r="D4698" s="21" t="s">
        <v>1188</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1352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2354</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2575</v>
      </c>
      <c r="B4701" s="21" t="s">
        <v>1199</v>
      </c>
      <c r="C4701" s="21" t="s">
        <v>1331</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1190</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1607</v>
      </c>
      <c r="B4703" s="21" t="s">
        <v>1248</v>
      </c>
      <c r="C4703" s="21" t="s">
        <v>1203</v>
      </c>
      <c r="D4703" s="21" t="s">
        <v>1188</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2141</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1502</v>
      </c>
      <c r="B4705" s="21" t="s">
        <v>1248</v>
      </c>
      <c r="C4705" s="21" t="s">
        <v>1246</v>
      </c>
      <c r="D4705" s="21" t="s">
        <v>1188</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1193</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1244</v>
      </c>
      <c r="B4707" s="21" t="s">
        <v>1245</v>
      </c>
      <c r="C4707" s="21" t="s">
        <v>1246</v>
      </c>
      <c r="D4707" s="21" t="s">
        <v>1188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2181</v>
      </c>
      <c r="B4708" s="21" t="s">
        <v>1248</v>
      </c>
      <c r="C4708" s="21" t="s">
        <v>1203</v>
      </c>
      <c r="D4708" s="21" t="s">
        <v>1188</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1443</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1278</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1193</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1427</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1232</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1268</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2576</v>
      </c>
      <c r="B4715" s="21" t="s">
        <v>1215</v>
      </c>
      <c r="C4715" s="21" t="s">
        <v>1196</v>
      </c>
      <c r="D4715" s="21" t="s">
        <v>1188</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2577</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2578</v>
      </c>
      <c r="B4717" s="21" t="s">
        <v>1313</v>
      </c>
      <c r="C4717" s="21" t="s">
        <v>1192</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38</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1193</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1194</v>
      </c>
      <c r="B4720" s="21" t="s">
        <v>1296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1194</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1603</v>
      </c>
      <c r="B4722" s="21" t="s">
        <v>1347</v>
      </c>
      <c r="C4722" s="21" t="s">
        <v>1187</v>
      </c>
      <c r="D4722" s="21" t="s">
        <v>1188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1232</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2579</v>
      </c>
      <c r="B4724" s="21" t="s">
        <v>1285</v>
      </c>
      <c r="C4724" s="21" t="s">
        <v>1192</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1550</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1278</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1193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1378</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1607</v>
      </c>
      <c r="B4729" s="21" t="s">
        <v>1436</v>
      </c>
      <c r="C4729" s="21" t="s">
        <v>1203</v>
      </c>
      <c r="D4729" s="21" t="s">
        <v>1188</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1530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185</v>
      </c>
      <c r="B4731" s="21" t="s">
        <v>1436</v>
      </c>
      <c r="C4731" s="21" t="s">
        <v>1203</v>
      </c>
      <c r="D4731" s="21" t="s">
        <v>1188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1232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1268</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2576</v>
      </c>
      <c r="B4734" s="21" t="s">
        <v>1298</v>
      </c>
      <c r="C4734" s="21" t="s">
        <v>1196</v>
      </c>
      <c r="D4734" s="21" t="s">
        <v>1188</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1427</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2580</v>
      </c>
      <c r="B4736" s="21" t="s">
        <v>1499</v>
      </c>
      <c r="C4736" s="21" t="s">
        <v>1192</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38</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1193</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1194</v>
      </c>
      <c r="B4739" s="21" t="s">
        <v>1919</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1210</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1603</v>
      </c>
      <c r="B4741" s="21" t="s">
        <v>1533</v>
      </c>
      <c r="C4741" s="21" t="s">
        <v>1187</v>
      </c>
      <c r="D4741" s="21" t="s">
        <v>1188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1302</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1302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1206</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1336</v>
      </c>
      <c r="B4745" s="21" t="s">
        <v>1500</v>
      </c>
      <c r="C4745" s="21" t="s">
        <v>1196</v>
      </c>
      <c r="D4745" s="21" t="s">
        <v>1188</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2581</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1337</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1268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2582</v>
      </c>
      <c r="B4749" s="21" t="s">
        <v>1499</v>
      </c>
      <c r="C4749" s="21" t="s">
        <v>1196</v>
      </c>
      <c r="D4749" s="21" t="s">
        <v>1188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2583</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1960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1257</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row>
    <row r="4754" spans="1:12">
      <c r="A4754" s="20" t="s">
        <v>2584</v>
      </c>
    </row>
    <row r="4755" spans="1:12">
      <c r="A4755" s="20" t="s">
        <v>1701</v>
      </c>
      <c r="B4755" s="21" t="s">
        <v>1202</v>
      </c>
      <c r="C4755" s="21" t="s">
        <v>1216</v>
      </c>
      <c r="D4755" s="21" t="s">
        <v>1188</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1341</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2585</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2586</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2575</v>
      </c>
      <c r="B4759" s="21" t="s">
        <v>1186</v>
      </c>
      <c r="C4759" s="21" t="s">
        <v>1615</v>
      </c>
      <c r="D4759" s="21" t="s">
        <v>1188</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1193</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1194</v>
      </c>
      <c r="B4761" s="21" t="s">
        <v>1245</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1271</v>
      </c>
      <c r="B4762" s="21" t="s">
        <v>1248</v>
      </c>
      <c r="C4762" s="21" t="s">
        <v>1203</v>
      </c>
      <c r="D4762" s="21" t="s">
        <v>1188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1926</v>
      </c>
      <c r="B4763" s="21" t="s">
        <v>1245</v>
      </c>
      <c r="C4763" s="21" t="s">
        <v>1203</v>
      </c>
      <c r="D4763" s="21" t="s">
        <v>1188</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2587</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826</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row>
    <row r="4767" spans="1:12">
      <c r="A4767" s="20" t="s">
        <v>2588</v>
      </c>
    </row>
    <row r="4768" spans="1:12">
      <c r="A4768" s="20" t="s">
        <v>1201</v>
      </c>
      <c r="B4768" s="21" t="s">
        <v>1202</v>
      </c>
      <c r="C4768" s="21" t="s">
        <v>1203</v>
      </c>
      <c r="D4768" s="21" t="s">
        <v>1188</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1327</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2589</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1193</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1337</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38</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1193</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2590</v>
      </c>
      <c r="B4775" s="21" t="s">
        <v>1311</v>
      </c>
      <c r="C4775" s="21" t="s">
        <v>1290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2550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1265</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1193</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1194</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1510</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2591</v>
      </c>
      <c r="B4781" s="21" t="s">
        <v>1347</v>
      </c>
      <c r="C4781" s="21" t="s">
        <v>1196</v>
      </c>
      <c r="D4781" s="21" t="s">
        <v>1188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1337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882</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1193</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1366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185</v>
      </c>
      <c r="B4786" s="21" t="s">
        <v>1436</v>
      </c>
      <c r="C4786" s="21" t="s">
        <v>1203</v>
      </c>
      <c r="D4786" s="21" t="s">
        <v>1188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1494</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2577</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2592</v>
      </c>
      <c r="B4789" s="21" t="s">
        <v>1285</v>
      </c>
      <c r="C4789" s="21" t="s">
        <v>1231</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1594</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826</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row>
    <row r="4793" spans="1:12">
      <c r="A4793" s="20" t="s">
        <v>2593</v>
      </c>
    </row>
    <row r="4794" spans="1:12">
      <c r="A4794" s="20" t="s">
        <v>1450</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207</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680</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1273</v>
      </c>
      <c r="B4797" s="21" t="s">
        <v>1199</v>
      </c>
      <c r="C4797" s="21" t="s">
        <v>1262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2594</v>
      </c>
      <c r="B4798" s="21" t="s">
        <v>1202</v>
      </c>
      <c r="C4798" s="21" t="s">
        <v>1231</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944</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826</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row>
    <row r="4802" spans="1:12">
      <c r="A4802" s="20" t="s">
        <v>2595</v>
      </c>
    </row>
    <row r="4803" spans="1:12">
      <c r="A4803" s="20" t="s">
        <v>2143</v>
      </c>
      <c r="B4803" s="21" t="s">
        <v>1199</v>
      </c>
      <c r="C4803" s="21" t="s">
        <v>1262</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2594</v>
      </c>
      <c r="B4804" s="21" t="s">
        <v>1202</v>
      </c>
      <c r="C4804" s="21" t="s">
        <v>1331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207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944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826</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row>
    <row r="4809" spans="1:12">
      <c r="A4809" s="20" t="s">
        <v>2596</v>
      </c>
    </row>
    <row r="4810" spans="1:12">
      <c r="A4810" s="20" t="s">
        <v>1264</v>
      </c>
      <c r="B4810" s="21" t="s">
        <v>1202</v>
      </c>
      <c r="C4810" s="21" t="s">
        <v>1203</v>
      </c>
      <c r="D4810" s="21" t="s">
        <v>1188</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1265</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2597</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1193</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2381</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2098</v>
      </c>
      <c r="B4815" s="21" t="s">
        <v>1245</v>
      </c>
      <c r="C4815" s="21" t="s">
        <v>1240</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1337</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2598</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1193</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1317</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1206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1211</v>
      </c>
      <c r="B4821" s="21" t="s">
        <v>1248</v>
      </c>
      <c r="C4821" s="21" t="s">
        <v>1196</v>
      </c>
      <c r="D4821" s="21" t="s">
        <v>1188</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1742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1709</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1994</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1193</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1478</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1271</v>
      </c>
      <c r="B4827" s="21" t="s">
        <v>1311</v>
      </c>
      <c r="C4827" s="21" t="s">
        <v>1203</v>
      </c>
      <c r="D4827" s="21" t="s">
        <v>1188</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2599</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1668</v>
      </c>
      <c r="B4829" s="21" t="s">
        <v>1313</v>
      </c>
      <c r="C4829" s="21" t="s">
        <v>1246</v>
      </c>
      <c r="D4829" s="21" t="s">
        <v>1188</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826</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row>
    <row r="4832" spans="1:12">
      <c r="A4832" s="20" t="s">
        <v>2600</v>
      </c>
    </row>
    <row r="4833" spans="1:12">
      <c r="A4833" s="20" t="s">
        <v>1294</v>
      </c>
      <c r="B4833" s="21" t="s">
        <v>1186</v>
      </c>
      <c r="C4833" s="21" t="s">
        <v>1203</v>
      </c>
      <c r="D4833" s="21" t="s">
        <v>1188</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1190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1201</v>
      </c>
      <c r="B4835" s="21" t="s">
        <v>1248</v>
      </c>
      <c r="C4835" s="21" t="s">
        <v>1203</v>
      </c>
      <c r="D4835" s="21" t="s">
        <v>1188</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1260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2601</v>
      </c>
      <c r="B4837" s="21" t="s">
        <v>1248</v>
      </c>
      <c r="C4837" s="21" t="s">
        <v>1203</v>
      </c>
      <c r="D4837" s="21" t="s">
        <v>1188</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38</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826</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row>
    <row r="4841" spans="1:12">
      <c r="A4841" s="20" t="s">
        <v>2602</v>
      </c>
    </row>
    <row r="4842" spans="1:12">
      <c r="A4842" s="20" t="s">
        <v>1270</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1190</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959</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2590</v>
      </c>
      <c r="B4845" s="21" t="s">
        <v>1202</v>
      </c>
      <c r="C4845" s="21" t="s">
        <v>1290</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2603</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1194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2604</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2591</v>
      </c>
      <c r="B4849" s="21" t="s">
        <v>1212</v>
      </c>
      <c r="C4849" s="21" t="s">
        <v>1196</v>
      </c>
      <c r="D4849" s="21" t="s">
        <v>1188</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1193</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1366</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1367</v>
      </c>
      <c r="B4852" s="21" t="s">
        <v>1248</v>
      </c>
      <c r="C4852" s="21" t="s">
        <v>1216</v>
      </c>
      <c r="D4852" s="21" t="s">
        <v>1188</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1232</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1268</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2605</v>
      </c>
      <c r="B4855" s="21" t="s">
        <v>1199</v>
      </c>
      <c r="C4855" s="21" t="s">
        <v>1196</v>
      </c>
      <c r="D4855" s="21" t="s">
        <v>1188</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1494</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2580</v>
      </c>
      <c r="B4857" s="21" t="s">
        <v>1186</v>
      </c>
      <c r="C4857" s="21" t="s">
        <v>1231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1265</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1257</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row>
    <row r="4861" spans="1:12">
      <c r="A4861" s="20" t="s">
        <v>2606</v>
      </c>
    </row>
    <row r="4862" spans="1:12">
      <c r="A4862" s="20" t="s">
        <v>1222</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2607</v>
      </c>
      <c r="B4863" s="21" t="s">
        <v>1199</v>
      </c>
      <c r="C4863" s="21" t="s">
        <v>1192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1224</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1201</v>
      </c>
      <c r="B4865" s="21" t="s">
        <v>1202</v>
      </c>
      <c r="C4865" s="21" t="s">
        <v>1203</v>
      </c>
      <c r="D4865" s="21" t="s">
        <v>1188</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1654</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1193</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1581</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2357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1434</v>
      </c>
      <c r="B4870" s="21" t="s">
        <v>1186</v>
      </c>
      <c r="C4870" s="21" t="s">
        <v>1246</v>
      </c>
      <c r="D4870" s="21" t="s">
        <v>1188</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1193</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1194</v>
      </c>
      <c r="B4872" s="21" t="s">
        <v>1248</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2013</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2098</v>
      </c>
      <c r="B4874" s="21" t="s">
        <v>1245</v>
      </c>
      <c r="C4874" s="21" t="s">
        <v>1240</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1321</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2608</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163</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1302</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1194</v>
      </c>
      <c r="B4879" s="21" t="s">
        <v>1215</v>
      </c>
      <c r="C4879" s="21" t="s">
        <v>1246</v>
      </c>
      <c r="D4879" s="21" t="s">
        <v>1188</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1193</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1309</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1271</v>
      </c>
      <c r="B4882" s="21" t="s">
        <v>1296</v>
      </c>
      <c r="C4882" s="21" t="s">
        <v>1203</v>
      </c>
      <c r="D4882" s="21" t="s">
        <v>1188</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2071</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1193</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1527</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1755</v>
      </c>
      <c r="B4886" s="21" t="s">
        <v>1285</v>
      </c>
      <c r="C4886" s="21" t="s">
        <v>1216</v>
      </c>
      <c r="D4886" s="21" t="s">
        <v>1188</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2609</v>
      </c>
      <c r="B4887" s="21" t="s">
        <v>1215</v>
      </c>
      <c r="C4887" s="21" t="s">
        <v>1218</v>
      </c>
      <c r="D4887" s="21" t="s">
        <v>1188</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1397</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2610</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1193</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1662</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1194</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154</v>
      </c>
      <c r="B4893" s="21" t="s">
        <v>1296</v>
      </c>
      <c r="C4893" s="21" t="s">
        <v>1196</v>
      </c>
      <c r="D4893" s="21" t="s">
        <v>1188</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1520</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1275</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1193</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1309</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1301</v>
      </c>
      <c r="B4898" s="21" t="s">
        <v>1347</v>
      </c>
      <c r="C4898" s="21" t="s">
        <v>1203</v>
      </c>
      <c r="D4898" s="21" t="s">
        <v>1188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2249</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1193</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1321</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1352</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2611</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2612</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2613</v>
      </c>
      <c r="B4905" s="21" t="s">
        <v>1298</v>
      </c>
      <c r="C4905" s="21" t="s">
        <v>1192</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2614</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826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row>
    <row r="4909" spans="1:12">
      <c r="A4909" s="20" t="s">
        <v>2615</v>
      </c>
    </row>
    <row r="4910" spans="1:12">
      <c r="A4910" s="20" t="s">
        <v>1264</v>
      </c>
      <c r="B4910" s="21" t="s">
        <v>1202</v>
      </c>
      <c r="C4910" s="21" t="s">
        <v>1203</v>
      </c>
      <c r="D4910" s="21" t="s">
        <v>1188</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1638</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1321</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1520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2616</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1378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2617</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1193</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185</v>
      </c>
      <c r="B4918" s="21" t="s">
        <v>1248</v>
      </c>
      <c r="C4918" s="21" t="s">
        <v>1203</v>
      </c>
      <c r="D4918" s="21" t="s">
        <v>1188</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1638</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1321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1256</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2618</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1193</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1578</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57</v>
      </c>
      <c r="B4925" s="21" t="s">
        <v>1186</v>
      </c>
      <c r="C4925" s="21" t="s">
        <v>1203</v>
      </c>
      <c r="D4925" s="21" t="s">
        <v>1188</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1978</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1345</v>
      </c>
      <c r="B4927" s="21" t="s">
        <v>1199</v>
      </c>
      <c r="C4927" s="21" t="s">
        <v>1192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1193</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2619</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1633</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1193</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1378</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1321</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1544</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2618</v>
      </c>
      <c r="B4935" s="21" t="s">
        <v>1199</v>
      </c>
      <c r="C4935" s="21" t="s">
        <v>1308</v>
      </c>
      <c r="D4935" s="21" t="s">
        <v>1188</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826</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row>
    <row r="4938" spans="1:12">
      <c r="A4938" s="20" t="s">
        <v>2620</v>
      </c>
    </row>
    <row r="4939" spans="1:12">
      <c r="A4939" s="20" t="s">
        <v>1600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2621</v>
      </c>
      <c r="B4940" s="21" t="s">
        <v>1202</v>
      </c>
      <c r="C4940" s="21" t="s">
        <v>1231</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1506</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1265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2622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1494</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2623</v>
      </c>
      <c r="B4945" s="21" t="s">
        <v>1186</v>
      </c>
      <c r="C4945" s="21" t="s">
        <v>1231</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826</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row>
    <row r="4948" spans="1:12">
      <c r="A4948" s="20" t="s">
        <v>2624</v>
      </c>
    </row>
    <row r="4949" spans="1:12">
      <c r="A4949" s="20" t="s">
        <v>1412</v>
      </c>
      <c r="B4949" s="21" t="s">
        <v>1202</v>
      </c>
      <c r="C4949" s="21" t="s">
        <v>1203</v>
      </c>
      <c r="D4949" s="21" t="s">
        <v>1188</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2625</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1901</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2626</v>
      </c>
      <c r="B4952" s="21" t="s">
        <v>1212</v>
      </c>
      <c r="C4952" s="21" t="s">
        <v>1231</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1227</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1193</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1194</v>
      </c>
      <c r="B4955" s="21" t="s">
        <v>1248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1300</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1268</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1198</v>
      </c>
      <c r="B4958" s="21" t="s">
        <v>1199</v>
      </c>
      <c r="C4958" s="21" t="s">
        <v>1196</v>
      </c>
      <c r="D4958" s="21" t="s">
        <v>1188</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2627</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1265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826</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row>
    <row r="4963" spans="1:12">
      <c r="A4963" s="20" t="s">
        <v>2628</v>
      </c>
    </row>
    <row r="4964" spans="1:12">
      <c r="A4964" s="20" t="s">
        <v>1264</v>
      </c>
      <c r="B4964" s="21" t="s">
        <v>1202</v>
      </c>
      <c r="C4964" s="21" t="s">
        <v>1203</v>
      </c>
      <c r="D4964" s="21" t="s">
        <v>1188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2249</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2629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1193</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1427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1372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185</v>
      </c>
      <c r="B4970" s="21" t="s">
        <v>1245</v>
      </c>
      <c r="C4970" s="21" t="s">
        <v>1203</v>
      </c>
      <c r="D4970" s="21" t="s">
        <v>1188</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1275</v>
      </c>
      <c r="B4971" s="21" t="s">
        <v>1245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2630</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2631</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1193</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1317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57</v>
      </c>
      <c r="B4976" s="21" t="s">
        <v>1311</v>
      </c>
      <c r="C4976" s="21" t="s">
        <v>1203</v>
      </c>
      <c r="D4976" s="21" t="s">
        <v>1188</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2632</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1193</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1309</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1388</v>
      </c>
      <c r="B4980" s="21" t="s">
        <v>1311</v>
      </c>
      <c r="C4980" s="21" t="s">
        <v>1246</v>
      </c>
      <c r="D4980" s="21" t="s">
        <v>1188</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1443</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1960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1193</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1208</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1268</v>
      </c>
      <c r="B4985" s="21" t="s">
        <v>1199</v>
      </c>
      <c r="C4985" s="21" t="s">
        <v>1246</v>
      </c>
      <c r="D4985" s="21" t="s">
        <v>1188</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57</v>
      </c>
      <c r="B4986" s="21" t="s">
        <v>1248</v>
      </c>
      <c r="C4986" s="21" t="s">
        <v>1203</v>
      </c>
      <c r="D4986" s="21" t="s">
        <v>1188</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2633</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1193</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1366</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185</v>
      </c>
      <c r="B4990" s="21" t="s">
        <v>1311</v>
      </c>
      <c r="C4990" s="21" t="s">
        <v>1203</v>
      </c>
      <c r="D4990" s="21" t="s">
        <v>1188</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1268</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1198</v>
      </c>
      <c r="B4992" s="21" t="s">
        <v>1313</v>
      </c>
      <c r="C4992" s="21" t="s">
        <v>1196</v>
      </c>
      <c r="D4992" s="21" t="s">
        <v>1188</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834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1960</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826</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row>
    <row r="4997" spans="1:12">
      <c r="A4997" s="20" t="s">
        <v>2634</v>
      </c>
    </row>
    <row r="4998" spans="1:12">
      <c r="A4998" s="20" t="s">
        <v>2635</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1581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1388</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2636</v>
      </c>
      <c r="B5001" s="21" t="s">
        <v>1186</v>
      </c>
      <c r="C5001" s="21" t="s">
        <v>1308</v>
      </c>
      <c r="D5001" s="21" t="s">
        <v>1188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1257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row>
    <row r="5004" spans="1:12">
      <c r="A5004" s="20" t="s">
        <v>2637</v>
      </c>
    </row>
    <row r="5005" spans="1:12">
      <c r="A5005" s="20" t="s">
        <v>1294</v>
      </c>
      <c r="B5005" s="21" t="s">
        <v>1202</v>
      </c>
      <c r="C5005" s="21" t="s">
        <v>1203</v>
      </c>
      <c r="D5005" s="21" t="s">
        <v>1188</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1190</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1320</v>
      </c>
      <c r="B5007" s="21" t="s">
        <v>1248</v>
      </c>
      <c r="C5007" s="21" t="s">
        <v>1216</v>
      </c>
      <c r="D5007" s="21" t="s">
        <v>1188</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1265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1382</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1193</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2638</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57</v>
      </c>
      <c r="B5012" s="21" t="s">
        <v>1202</v>
      </c>
      <c r="C5012" s="21" t="s">
        <v>1203</v>
      </c>
      <c r="D5012" s="21" t="s">
        <v>1188</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11</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1320</v>
      </c>
      <c r="B5014" s="21" t="s">
        <v>1215</v>
      </c>
      <c r="C5014" s="21" t="s">
        <v>1216</v>
      </c>
      <c r="D5014" s="21" t="s">
        <v>1188</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1265</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1914</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2639</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826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row>
    <row r="5020" spans="1:12">
      <c r="A5020" s="20" t="s">
        <v>2640</v>
      </c>
    </row>
    <row r="5021" spans="1:12">
      <c r="A5021" s="20" t="s">
        <v>1264</v>
      </c>
      <c r="B5021" s="21" t="s">
        <v>1202</v>
      </c>
      <c r="C5021" s="21" t="s">
        <v>1203</v>
      </c>
      <c r="D5021" s="21" t="s">
        <v>1188</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1265</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1329</v>
      </c>
      <c r="B5023" s="21" t="s">
        <v>1186</v>
      </c>
      <c r="C5023" s="21" t="s">
        <v>1246</v>
      </c>
      <c r="D5023" s="21" t="s">
        <v>1188</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1322</v>
      </c>
      <c r="B5024" s="21" t="s">
        <v>1186</v>
      </c>
      <c r="C5024" s="21" t="s">
        <v>1331</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1208</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2616</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1378</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2617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826</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row>
    <row r="5031" spans="1:12">
      <c r="A5031" s="20" t="s">
        <v>1369</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2641</v>
      </c>
    </row>
    <row r="5033" spans="1:12">
      <c r="A5033" s="20" t="s">
        <v>2225</v>
      </c>
      <c r="B5033" s="21" t="s">
        <v>1186</v>
      </c>
      <c r="C5033" s="21" t="s">
        <v>1304</v>
      </c>
      <c r="D5033" s="21" t="s">
        <v>1188</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2642</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2643</v>
      </c>
      <c r="B5035" s="21" t="s">
        <v>1186</v>
      </c>
      <c r="C5035" s="21" t="s">
        <v>1192</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1193</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1302</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1317</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1271</v>
      </c>
      <c r="B5039" s="21" t="s">
        <v>1248</v>
      </c>
      <c r="C5039" s="21" t="s">
        <v>1203</v>
      </c>
      <c r="D5039" s="21" t="s">
        <v>1188</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1374</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1462</v>
      </c>
      <c r="B5041" s="21" t="s">
        <v>1199</v>
      </c>
      <c r="C5041" s="21" t="s">
        <v>1304</v>
      </c>
      <c r="D5041" s="21" t="s">
        <v>1188</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1374</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2449</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1193</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1539</v>
      </c>
      <c r="B5045" s="21" t="s">
        <v>1199</v>
      </c>
      <c r="C5045" s="21" t="s">
        <v>1304</v>
      </c>
      <c r="D5045" s="21" t="s">
        <v>1188</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1271</v>
      </c>
      <c r="B5046" s="21" t="s">
        <v>1248</v>
      </c>
      <c r="C5046" s="21" t="s">
        <v>1203</v>
      </c>
      <c r="D5046" s="21" t="s">
        <v>1188</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1321</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1544</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1380</v>
      </c>
      <c r="B5049" s="21" t="s">
        <v>1186</v>
      </c>
      <c r="C5049" s="21" t="s">
        <v>1192</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1193</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1271</v>
      </c>
      <c r="B5051" s="21" t="s">
        <v>1248</v>
      </c>
      <c r="C5051" s="21" t="s">
        <v>1203</v>
      </c>
      <c r="D5051" s="21" t="s">
        <v>1188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1539</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1702</v>
      </c>
      <c r="B5053" s="21" t="s">
        <v>1248</v>
      </c>
      <c r="C5053" s="21" t="s">
        <v>1240</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2644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1232</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1206</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1336</v>
      </c>
      <c r="B5057" s="21" t="s">
        <v>1215</v>
      </c>
      <c r="C5057" s="21" t="s">
        <v>1196</v>
      </c>
      <c r="D5057" s="21" t="s">
        <v>1188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1193</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1341</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1329</v>
      </c>
      <c r="B5060" s="21" t="s">
        <v>1199</v>
      </c>
      <c r="C5060" s="21" t="s">
        <v>1246</v>
      </c>
      <c r="D5060" s="21" t="s">
        <v>1188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1322</v>
      </c>
      <c r="B5061" s="21" t="s">
        <v>1186</v>
      </c>
      <c r="C5061" s="21" t="s">
        <v>1331</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1206</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2645</v>
      </c>
      <c r="B5063" s="21" t="s">
        <v>1199</v>
      </c>
      <c r="C5063" s="21" t="s">
        <v>1196</v>
      </c>
      <c r="D5063" s="21" t="s">
        <v>1188</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826</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row>
    <row r="5066" spans="1:12">
      <c r="A5066" s="20" t="s">
        <v>2646</v>
      </c>
    </row>
    <row r="5067" spans="1:12">
      <c r="A5067" s="20" t="s">
        <v>1264</v>
      </c>
      <c r="B5067" s="21" t="s">
        <v>1202</v>
      </c>
      <c r="C5067" s="21" t="s">
        <v>1203</v>
      </c>
      <c r="D5067" s="21" t="s">
        <v>1188</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1341</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1194</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1435</v>
      </c>
      <c r="B5070" s="21" t="s">
        <v>1186</v>
      </c>
      <c r="C5070" s="21" t="s">
        <v>1196</v>
      </c>
      <c r="D5070" s="21" t="s">
        <v>1188</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1193</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1227</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1194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1261</v>
      </c>
      <c r="B5074" s="21" t="s">
        <v>1215</v>
      </c>
      <c r="C5074" s="21" t="s">
        <v>1262</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1353</v>
      </c>
      <c r="B5075" s="21" t="s">
        <v>1245</v>
      </c>
      <c r="C5075" s="21" t="s">
        <v>1196</v>
      </c>
      <c r="D5075" s="21" t="s">
        <v>1188</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976</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1193</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1302</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185</v>
      </c>
      <c r="B5079" s="21" t="s">
        <v>1248</v>
      </c>
      <c r="C5079" s="21" t="s">
        <v>1203</v>
      </c>
      <c r="D5079" s="21" t="s">
        <v>1188</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2647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1227</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1515</v>
      </c>
      <c r="B5082" s="21" t="s">
        <v>1199</v>
      </c>
      <c r="C5082" s="21" t="s">
        <v>1246</v>
      </c>
      <c r="D5082" s="21" t="s">
        <v>1188</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1193</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1668</v>
      </c>
      <c r="B5084" s="21" t="s">
        <v>1248</v>
      </c>
      <c r="C5084" s="21" t="s">
        <v>1246</v>
      </c>
      <c r="D5084" s="21" t="s">
        <v>1188</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1337</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926</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1193</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1227</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1455</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1193</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1194</v>
      </c>
      <c r="B5091" s="21" t="s">
        <v>1248</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680</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2648</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1302</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2649</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1198</v>
      </c>
      <c r="B5096" s="21" t="s">
        <v>1245</v>
      </c>
      <c r="C5096" s="21" t="s">
        <v>1231</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1365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1302</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2650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163</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826</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row>
    <row r="5103" spans="1:12">
      <c r="A5103" s="20" t="s">
        <v>2651</v>
      </c>
    </row>
    <row r="5104" spans="1:12">
      <c r="A5104" s="20" t="s">
        <v>1264</v>
      </c>
      <c r="B5104" s="21" t="s">
        <v>1202</v>
      </c>
      <c r="C5104" s="21" t="s">
        <v>1203</v>
      </c>
      <c r="D5104" s="21" t="s">
        <v>1188</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2647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1227</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1515</v>
      </c>
      <c r="B5107" s="21" t="s">
        <v>1186</v>
      </c>
      <c r="C5107" s="21" t="s">
        <v>1246</v>
      </c>
      <c r="D5107" s="21" t="s">
        <v>1188</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1193</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1360</v>
      </c>
      <c r="B5109" s="21" t="s">
        <v>1215</v>
      </c>
      <c r="C5109" s="21" t="s">
        <v>1216</v>
      </c>
      <c r="D5109" s="21" t="s">
        <v>1188</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914</v>
      </c>
      <c r="B5110" s="21" t="s">
        <v>1245</v>
      </c>
      <c r="C5110" s="21" t="s">
        <v>1218</v>
      </c>
      <c r="D5110" s="21" t="s">
        <v>1188</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1337</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1014</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1193</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1307</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1194</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1887</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2626</v>
      </c>
      <c r="B5117" s="21" t="s">
        <v>1311</v>
      </c>
      <c r="C5117" s="21" t="s">
        <v>1196</v>
      </c>
      <c r="D5117" s="21" t="s">
        <v>1188</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1232</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1409</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2652</v>
      </c>
      <c r="B5120" s="21" t="s">
        <v>1215</v>
      </c>
      <c r="C5120" s="21" t="s">
        <v>1240</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1953</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826</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row>
    <row r="5124" spans="1:12">
      <c r="A5124" s="20" t="s">
        <v>2653</v>
      </c>
    </row>
    <row r="5125" spans="1:12">
      <c r="A5125" s="20" t="s">
        <v>1333</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427</v>
      </c>
      <c r="B5126" s="21" t="s">
        <v>1248</v>
      </c>
      <c r="C5126" s="21" t="s">
        <v>1246</v>
      </c>
      <c r="D5126" s="21" t="s">
        <v>1188</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1194</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1435</v>
      </c>
      <c r="B5128" s="21" t="s">
        <v>1245</v>
      </c>
      <c r="C5128" s="21" t="s">
        <v>1196</v>
      </c>
      <c r="D5128" s="21" t="s">
        <v>1188</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1321</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2654</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1193</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1317</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427</v>
      </c>
      <c r="B5133" s="21" t="s">
        <v>1311</v>
      </c>
      <c r="C5133" s="21" t="s">
        <v>1246</v>
      </c>
      <c r="D5133" s="21" t="s">
        <v>1188</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1321</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1194</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2655</v>
      </c>
      <c r="B5136" s="21" t="s">
        <v>1311</v>
      </c>
      <c r="C5136" s="21" t="s">
        <v>1196</v>
      </c>
      <c r="D5136" s="21" t="s">
        <v>1188</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2656</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1193</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1520</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1360</v>
      </c>
      <c r="B5140" s="21" t="s">
        <v>1298</v>
      </c>
      <c r="C5140" s="21" t="s">
        <v>1216</v>
      </c>
      <c r="D5140" s="21" t="s">
        <v>1188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2657</v>
      </c>
      <c r="B5141" s="21" t="s">
        <v>1347</v>
      </c>
      <c r="C5141" s="21" t="s">
        <v>1218</v>
      </c>
      <c r="D5141" s="21" t="s">
        <v>1188</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1337</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2564</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427</v>
      </c>
      <c r="B5145" s="21" t="s">
        <v>1202</v>
      </c>
      <c r="C5145" s="21" t="s">
        <v>1246</v>
      </c>
      <c r="D5145" s="21" t="s">
        <v>1188</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1444</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1502</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1198</v>
      </c>
      <c r="B5148" s="21" t="s">
        <v>1212</v>
      </c>
      <c r="C5148" s="21" t="s">
        <v>1196</v>
      </c>
      <c r="D5148" s="21" t="s">
        <v>1188</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926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1193</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1321</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1544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1359</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1515</v>
      </c>
      <c r="B5154" s="21" t="s">
        <v>1186</v>
      </c>
      <c r="C5154" s="21" t="s">
        <v>1246</v>
      </c>
      <c r="D5154" s="21" t="s">
        <v>1188</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1193</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1937</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1359</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1261</v>
      </c>
      <c r="B5158" s="21" t="s">
        <v>1186</v>
      </c>
      <c r="C5158" s="21" t="s">
        <v>1262</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11</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670</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427</v>
      </c>
      <c r="B5161" s="21" t="s">
        <v>1248</v>
      </c>
      <c r="C5161" s="21" t="s">
        <v>1246</v>
      </c>
      <c r="D5161" s="21" t="s">
        <v>1188</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185</v>
      </c>
      <c r="B5162" s="21" t="s">
        <v>1245</v>
      </c>
      <c r="C5162" s="21" t="s">
        <v>1203</v>
      </c>
      <c r="D5162" s="21" t="s">
        <v>1188</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2325</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1193</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1320</v>
      </c>
      <c r="B5165" s="21" t="s">
        <v>1311</v>
      </c>
      <c r="C5165" s="21" t="s">
        <v>1246</v>
      </c>
      <c r="D5165" s="21" t="s">
        <v>1188</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1563</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680</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2658</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2659</v>
      </c>
      <c r="B5169" s="21" t="s">
        <v>1245</v>
      </c>
      <c r="C5169" s="21" t="s">
        <v>1401</v>
      </c>
      <c r="D5169" s="21" t="s">
        <v>1188</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1193</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1321</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1544</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1359</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1515</v>
      </c>
      <c r="B5174" s="21" t="s">
        <v>1215</v>
      </c>
      <c r="C5174" s="21" t="s">
        <v>1246</v>
      </c>
      <c r="D5174" s="21" t="s">
        <v>1188</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1193</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1937</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1359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1194</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1336</v>
      </c>
      <c r="B5179" s="21" t="s">
        <v>1215</v>
      </c>
      <c r="C5179" s="21" t="s">
        <v>1196</v>
      </c>
      <c r="D5179" s="21" t="s">
        <v>1188</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826</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row>
    <row r="5182" spans="1:12">
      <c r="A5182" s="20" t="s">
        <v>2660</v>
      </c>
    </row>
    <row r="5183" spans="1:12">
      <c r="A5183" s="20" t="s">
        <v>1270</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1190</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1201</v>
      </c>
      <c r="B5185" s="21" t="s">
        <v>1202</v>
      </c>
      <c r="C5185" s="21" t="s">
        <v>1203</v>
      </c>
      <c r="D5185" s="21" t="s">
        <v>1188</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1272</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2661</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2662</v>
      </c>
      <c r="B5188" s="21" t="s">
        <v>1202</v>
      </c>
      <c r="C5188" s="21" t="s">
        <v>1192</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2146</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1208</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1268</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2663</v>
      </c>
      <c r="B5192" s="21" t="s">
        <v>1186</v>
      </c>
      <c r="C5192" s="21" t="s">
        <v>1401</v>
      </c>
      <c r="D5192" s="21" t="s">
        <v>1188</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1197</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2664</v>
      </c>
      <c r="B5194" s="21" t="s">
        <v>1199</v>
      </c>
      <c r="C5194" s="21" t="s">
        <v>1187</v>
      </c>
      <c r="D5194" s="21" t="s">
        <v>1188</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2665</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11</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2666</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1986</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1193</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1206</v>
      </c>
      <c r="B5201" s="21" t="s">
        <v>1248</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1193</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2071</v>
      </c>
      <c r="B5203" s="21" t="s">
        <v>1186</v>
      </c>
      <c r="C5203" s="21" t="s">
        <v>1401</v>
      </c>
      <c r="D5203" s="21" t="s">
        <v>1188</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1271</v>
      </c>
      <c r="B5204" s="21" t="s">
        <v>1248</v>
      </c>
      <c r="C5204" s="21" t="s">
        <v>1203</v>
      </c>
      <c r="D5204" s="21" t="s">
        <v>1188</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1193</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1461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1250</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1515</v>
      </c>
      <c r="B5208" s="21" t="s">
        <v>1199</v>
      </c>
      <c r="C5208" s="21" t="s">
        <v>1246</v>
      </c>
      <c r="D5208" s="21" t="s">
        <v>1188</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1265</v>
      </c>
      <c r="B5209" s="21" t="s">
        <v>1199</v>
      </c>
      <c r="C5209" s="21" t="s">
        <v>1187</v>
      </c>
      <c r="D5209" s="21" t="s">
        <v>1188</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1190</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2667</v>
      </c>
      <c r="B5211" s="21" t="s">
        <v>1186</v>
      </c>
      <c r="C5211" s="21" t="s">
        <v>1187</v>
      </c>
      <c r="D5211" s="21" t="s">
        <v>1188</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933</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2668</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11</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2669</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826</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row>
    <row r="5218" spans="1:12">
      <c r="A5218" s="20" t="s">
        <v>2670</v>
      </c>
    </row>
    <row r="5219" spans="1:12">
      <c r="A5219" s="20" t="s">
        <v>933</v>
      </c>
      <c r="B5219" s="21" t="s">
        <v>1186</v>
      </c>
      <c r="C5219" s="21" t="s">
        <v>1187</v>
      </c>
      <c r="D5219" s="21" t="s">
        <v>1188</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1193</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2671</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57</v>
      </c>
      <c r="B5222" s="21" t="s">
        <v>1248</v>
      </c>
      <c r="C5222" s="21" t="s">
        <v>1203</v>
      </c>
      <c r="D5222" s="21" t="s">
        <v>1188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2672</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1302</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1388</v>
      </c>
      <c r="B5225" s="21" t="s">
        <v>1245</v>
      </c>
      <c r="C5225" s="21" t="s">
        <v>1262</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96</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1257</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row>
    <row r="5229" spans="1:12">
      <c r="A5229" s="20" t="s">
        <v>2673</v>
      </c>
    </row>
    <row r="5230" spans="1:12">
      <c r="A5230" s="20" t="s">
        <v>2445</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427</v>
      </c>
      <c r="B5231" s="21" t="s">
        <v>1202</v>
      </c>
      <c r="C5231" s="21" t="s">
        <v>1246</v>
      </c>
      <c r="D5231" s="21" t="s">
        <v>1188</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680</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937</v>
      </c>
      <c r="B5233" s="21" t="s">
        <v>1186</v>
      </c>
      <c r="C5233" s="21" t="s">
        <v>1231</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1359</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933</v>
      </c>
      <c r="B5235" s="21" t="s">
        <v>1186</v>
      </c>
      <c r="C5235" s="21" t="s">
        <v>1187</v>
      </c>
      <c r="D5235" s="21" t="s">
        <v>1188</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1257</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row>
    <row r="5238" spans="1:12">
      <c r="A5238" s="20" t="s">
        <v>2674</v>
      </c>
    </row>
    <row r="5239" spans="1:12">
      <c r="A5239" s="20" t="s">
        <v>933</v>
      </c>
      <c r="B5239" s="21" t="s">
        <v>1186</v>
      </c>
      <c r="C5239" s="21" t="s">
        <v>1187</v>
      </c>
      <c r="D5239" s="21" t="s">
        <v>1188</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1193</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1566</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1275</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1337</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38</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826</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row>
    <row r="5247" spans="1:12">
      <c r="A5247" s="20" t="s">
        <v>2675</v>
      </c>
    </row>
    <row r="5248" spans="1:12">
      <c r="A5248" s="20" t="s">
        <v>356</v>
      </c>
      <c r="B5248" s="21" t="s">
        <v>1202</v>
      </c>
      <c r="C5248" s="21" t="s">
        <v>1192</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2676</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944</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826</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row>
    <row r="5253" spans="1:12">
      <c r="A5253" s="20" t="s">
        <v>2677</v>
      </c>
    </row>
    <row r="5254" spans="1:12">
      <c r="A5254" s="20" t="s">
        <v>2678</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1193</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1232</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2679</v>
      </c>
      <c r="B5257" s="21" t="s">
        <v>1199</v>
      </c>
      <c r="C5257" s="21" t="s">
        <v>1290</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2680</v>
      </c>
      <c r="B5258" s="21" t="s">
        <v>1186</v>
      </c>
      <c r="C5258" s="21" t="s">
        <v>1192</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1633</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57</v>
      </c>
      <c r="B5260" s="21" t="s">
        <v>1186</v>
      </c>
      <c r="C5260" s="21" t="s">
        <v>1203</v>
      </c>
      <c r="D5260" s="21" t="s">
        <v>1188</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1257</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row>
    <row r="5263" spans="1:12">
      <c r="A5263" s="20" t="s">
        <v>2681</v>
      </c>
    </row>
    <row r="5264" spans="1:12">
      <c r="A5264" s="20" t="s">
        <v>952</v>
      </c>
      <c r="B5264" s="21" t="s">
        <v>1186</v>
      </c>
      <c r="C5264" s="21" t="s">
        <v>1192</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1378</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1375</v>
      </c>
      <c r="B5266" s="21" t="s">
        <v>1186</v>
      </c>
      <c r="C5266" s="21" t="s">
        <v>1192</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1257</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row>
    <row r="5269" spans="1:12">
      <c r="A5269" s="20" t="s">
        <v>1369</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2682</v>
      </c>
    </row>
    <row r="5271" spans="1:12">
      <c r="A5271" s="20" t="s">
        <v>1201</v>
      </c>
      <c r="B5271" s="21" t="s">
        <v>1202</v>
      </c>
      <c r="C5271" s="21" t="s">
        <v>1203</v>
      </c>
      <c r="D5271" s="21" t="s">
        <v>1188</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1272</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1494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2683</v>
      </c>
      <c r="B5274" s="21" t="s">
        <v>1212</v>
      </c>
      <c r="C5274" s="21" t="s">
        <v>1231</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1193</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1478</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1625</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933</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2668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2669</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1190</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1201</v>
      </c>
      <c r="B5283" s="21" t="s">
        <v>1248</v>
      </c>
      <c r="C5283" s="21" t="s">
        <v>1203</v>
      </c>
      <c r="D5283" s="21" t="s">
        <v>1188</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1272</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1205</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1360</v>
      </c>
      <c r="B5286" s="21" t="s">
        <v>1215</v>
      </c>
      <c r="C5286" s="21" t="s">
        <v>1216</v>
      </c>
      <c r="D5286" s="21" t="s">
        <v>1188</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1322</v>
      </c>
      <c r="B5287" s="21" t="s">
        <v>1199</v>
      </c>
      <c r="C5287" s="21" t="s">
        <v>1218</v>
      </c>
      <c r="D5287" s="21" t="s">
        <v>1188</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2684</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2685</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2686</v>
      </c>
      <c r="B5290" s="21" t="s">
        <v>1245</v>
      </c>
      <c r="C5290" s="21" t="s">
        <v>1192</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2003</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1193</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1478</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1374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1375</v>
      </c>
      <c r="B5295" s="21" t="s">
        <v>1199</v>
      </c>
      <c r="C5295" s="21" t="s">
        <v>1192</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1374</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1193</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1317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1271</v>
      </c>
      <c r="B5299" s="21" t="s">
        <v>1311</v>
      </c>
      <c r="C5299" s="21" t="s">
        <v>1203</v>
      </c>
      <c r="D5299" s="21" t="s">
        <v>1188</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1352</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1214</v>
      </c>
      <c r="B5301" s="21" t="s">
        <v>1215</v>
      </c>
      <c r="C5301" s="21" t="s">
        <v>1216</v>
      </c>
      <c r="D5301" s="21" t="s">
        <v>1188</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2586</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882</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1895</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826</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row>
    <row r="5307" spans="1:12">
      <c r="A5307" s="20" t="s">
        <v>2687</v>
      </c>
    </row>
    <row r="5308" spans="1:12">
      <c r="A5308" s="20" t="s">
        <v>1270</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1190</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959</v>
      </c>
      <c r="B5310" s="21" t="s">
        <v>1186</v>
      </c>
      <c r="C5310" s="21" t="s">
        <v>1187</v>
      </c>
      <c r="D5310" s="21" t="s">
        <v>1188</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1219</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1193</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1271</v>
      </c>
      <c r="B5313" s="21" t="s">
        <v>1248</v>
      </c>
      <c r="C5313" s="21" t="s">
        <v>1203</v>
      </c>
      <c r="D5313" s="21" t="s">
        <v>1188</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1654</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1193</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57</v>
      </c>
      <c r="B5316" s="21" t="s">
        <v>1296</v>
      </c>
      <c r="C5316" s="21" t="s">
        <v>1203</v>
      </c>
      <c r="D5316" s="21" t="s">
        <v>1188</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1399</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1210</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2688</v>
      </c>
      <c r="B5319" s="21" t="s">
        <v>1347</v>
      </c>
      <c r="C5319" s="21" t="s">
        <v>1196</v>
      </c>
      <c r="D5319" s="21" t="s">
        <v>1188</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2689</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1193</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1208</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1268</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2667</v>
      </c>
      <c r="B5324" s="21" t="s">
        <v>1215</v>
      </c>
      <c r="C5324" s="21" t="s">
        <v>1187</v>
      </c>
      <c r="D5324" s="21" t="s">
        <v>1188</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933</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2690</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1278</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1193</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1527</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1494</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2691</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2692</v>
      </c>
      <c r="B5332" s="21" t="s">
        <v>1215</v>
      </c>
      <c r="C5332" s="21" t="s">
        <v>1187</v>
      </c>
      <c r="D5332" s="21" t="s">
        <v>1188</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2693</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1193</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1520</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1502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1198</v>
      </c>
      <c r="B5337" s="21" t="s">
        <v>1437</v>
      </c>
      <c r="C5337" s="21" t="s">
        <v>1196</v>
      </c>
      <c r="D5337" s="21" t="s">
        <v>1188</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2694</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826</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row>
    <row r="5341" spans="1:12">
      <c r="A5341" s="20" t="s">
        <v>2695</v>
      </c>
    </row>
    <row r="5342" spans="1:12">
      <c r="A5342" s="20" t="s">
        <v>2635</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1502</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1388</v>
      </c>
      <c r="B5344" s="21" t="s">
        <v>1186</v>
      </c>
      <c r="C5344" s="21" t="s">
        <v>1246</v>
      </c>
      <c r="D5344" s="21" t="s">
        <v>1188</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1193</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1502</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2696</v>
      </c>
      <c r="B5347" s="21" t="s">
        <v>1311</v>
      </c>
      <c r="C5347" s="21" t="s">
        <v>1196</v>
      </c>
      <c r="D5347" s="21" t="s">
        <v>1188</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2697</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1257</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row>
    <row r="5351" spans="1:12">
      <c r="A5351" s="20" t="s">
        <v>2343</v>
      </c>
    </row>
    <row r="5352" spans="1:12">
      <c r="A5352" s="20" t="s">
        <v>1294</v>
      </c>
      <c r="B5352" s="21" t="s">
        <v>1186</v>
      </c>
      <c r="C5352" s="21" t="s">
        <v>1203</v>
      </c>
      <c r="D5352" s="21" t="s">
        <v>1188</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1190</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2344</v>
      </c>
      <c r="B5354" s="21" t="s">
        <v>1186</v>
      </c>
      <c r="C5354" s="21" t="s">
        <v>1187</v>
      </c>
      <c r="D5354" s="21" t="s">
        <v>1188</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826</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row>
    <row r="5357" spans="1:12">
      <c r="A5357" s="20" t="s">
        <v>2698</v>
      </c>
    </row>
    <row r="5358" spans="1:12">
      <c r="A5358" s="20" t="s">
        <v>2699</v>
      </c>
      <c r="B5358" s="21" t="s">
        <v>1199</v>
      </c>
      <c r="C5358" s="21" t="s">
        <v>1304</v>
      </c>
      <c r="D5358" s="21" t="s">
        <v>1188</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2626</v>
      </c>
      <c r="B5359" s="21" t="s">
        <v>1202</v>
      </c>
      <c r="C5359" s="21" t="s">
        <v>1192</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1625</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1201</v>
      </c>
      <c r="B5361" s="21" t="s">
        <v>1248</v>
      </c>
      <c r="C5361" s="21" t="s">
        <v>1203</v>
      </c>
      <c r="D5361" s="21" t="s">
        <v>1188</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1327</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1321</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1544</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1300</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2062</v>
      </c>
      <c r="B5366" s="21" t="s">
        <v>1199</v>
      </c>
      <c r="C5366" s="21" t="s">
        <v>1192</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1527</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1502</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1198</v>
      </c>
      <c r="B5369" s="21" t="s">
        <v>1186</v>
      </c>
      <c r="C5369" s="21" t="s">
        <v>1196</v>
      </c>
      <c r="D5369" s="21" t="s">
        <v>1188</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2627</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1193</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1271</v>
      </c>
      <c r="B5372" s="21" t="s">
        <v>1248</v>
      </c>
      <c r="C5372" s="21" t="s">
        <v>1203</v>
      </c>
      <c r="D5372" s="21" t="s">
        <v>1188</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1327</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1232</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1268</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1198</v>
      </c>
      <c r="B5376" s="21" t="s">
        <v>1199</v>
      </c>
      <c r="C5376" s="21" t="s">
        <v>1196</v>
      </c>
      <c r="D5376" s="21" t="s">
        <v>1188</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2627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1193</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1302</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1653</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1271</v>
      </c>
      <c r="B5381" s="21" t="s">
        <v>1248</v>
      </c>
      <c r="C5381" s="21" t="s">
        <v>1203</v>
      </c>
      <c r="D5381" s="21" t="s">
        <v>1188</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1556</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2700</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2701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1193</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1194</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2702</v>
      </c>
      <c r="B5387" s="21" t="s">
        <v>1245</v>
      </c>
      <c r="C5387" s="21" t="s">
        <v>1196</v>
      </c>
      <c r="D5387" s="21" t="s">
        <v>1188</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1337</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163</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1193</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185</v>
      </c>
      <c r="B5391" s="21" t="s">
        <v>1311</v>
      </c>
      <c r="C5391" s="21" t="s">
        <v>1203</v>
      </c>
      <c r="D5391" s="21" t="s">
        <v>1188</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1205</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1494</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1382</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2703</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1302</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2704</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1344</v>
      </c>
      <c r="B5398" s="21" t="s">
        <v>1245</v>
      </c>
      <c r="C5398" s="21" t="s">
        <v>1231</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1302</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1807</v>
      </c>
      <c r="B5400" s="21" t="s">
        <v>1215</v>
      </c>
      <c r="C5400" s="21" t="s">
        <v>1192</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1337</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2705</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1302</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185</v>
      </c>
      <c r="B5404" s="21" t="s">
        <v>1313</v>
      </c>
      <c r="C5404" s="21" t="s">
        <v>1203</v>
      </c>
      <c r="D5404" s="21" t="s">
        <v>1188</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1205</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1382</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2706</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1807</v>
      </c>
      <c r="B5408" s="21" t="s">
        <v>1215</v>
      </c>
      <c r="C5408" s="21" t="s">
        <v>1192</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2629</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1309</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680</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2707</v>
      </c>
      <c r="B5412" s="21" t="s">
        <v>1215</v>
      </c>
      <c r="C5412" s="21" t="s">
        <v>1231</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1337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2708</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826</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row>
    <row r="5417" spans="1:12">
      <c r="A5417" s="20" t="s">
        <v>2709</v>
      </c>
    </row>
    <row r="5418" spans="1:12">
      <c r="A5418" s="20" t="s">
        <v>1264</v>
      </c>
      <c r="B5418" s="21" t="s">
        <v>1202</v>
      </c>
      <c r="C5418" s="21" t="s">
        <v>1203</v>
      </c>
      <c r="D5418" s="21" t="s">
        <v>1188</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1265</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1388</v>
      </c>
      <c r="B5420" s="21" t="s">
        <v>1186</v>
      </c>
      <c r="C5420" s="21" t="s">
        <v>1262</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2710</v>
      </c>
      <c r="B5421" s="21" t="s">
        <v>1186</v>
      </c>
      <c r="C5421" s="21" t="s">
        <v>1331</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1227</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1206</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1935</v>
      </c>
      <c r="B5424" s="21" t="s">
        <v>1186</v>
      </c>
      <c r="C5424" s="21" t="s">
        <v>1196</v>
      </c>
      <c r="D5424" s="21" t="s">
        <v>1188</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1193</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1366</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1901</v>
      </c>
      <c r="B5427" s="21" t="s">
        <v>1311</v>
      </c>
      <c r="C5427" s="21" t="s">
        <v>1262</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1206</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2711</v>
      </c>
      <c r="B5429" s="21" t="s">
        <v>1285</v>
      </c>
      <c r="C5429" s="21" t="s">
        <v>1196</v>
      </c>
      <c r="D5429" s="21" t="s">
        <v>1188</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1197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1198</v>
      </c>
      <c r="B5431" s="21" t="s">
        <v>1298</v>
      </c>
      <c r="C5431" s="21" t="s">
        <v>1196</v>
      </c>
      <c r="D5431" s="21" t="s">
        <v>1188</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1268</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1198</v>
      </c>
      <c r="B5433" s="21" t="s">
        <v>1347</v>
      </c>
      <c r="C5433" s="21" t="s">
        <v>1196</v>
      </c>
      <c r="D5433" s="21" t="s">
        <v>1188</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1382</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2712</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2713</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1265</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2393</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1494</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2714</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2715</v>
      </c>
      <c r="B5441" s="21" t="s">
        <v>1215</v>
      </c>
      <c r="C5441" s="21" t="s">
        <v>1231</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826</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row>
    <row r="5444" spans="1:12">
      <c r="A5444" s="20" t="s">
        <v>2716</v>
      </c>
    </row>
    <row r="5445" spans="1:12">
      <c r="A5445" s="20" t="s">
        <v>1201</v>
      </c>
      <c r="B5445" s="21" t="s">
        <v>1202</v>
      </c>
      <c r="C5445" s="21" t="s">
        <v>1203</v>
      </c>
      <c r="D5445" s="21" t="s">
        <v>1188</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2071</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1193</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1494</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2692</v>
      </c>
      <c r="B5449" s="21" t="s">
        <v>1248</v>
      </c>
      <c r="C5449" s="21" t="s">
        <v>1187</v>
      </c>
      <c r="D5449" s="21" t="s">
        <v>1188</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2693</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1359</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1502</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1198</v>
      </c>
      <c r="B5453" s="21" t="s">
        <v>1215</v>
      </c>
      <c r="C5453" s="21" t="s">
        <v>1196</v>
      </c>
      <c r="D5453" s="21" t="s">
        <v>1188</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1265</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2717</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1193</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1244</v>
      </c>
      <c r="B5457" s="21" t="s">
        <v>1313</v>
      </c>
      <c r="C5457" s="21" t="s">
        <v>1246</v>
      </c>
      <c r="D5457" s="21" t="s">
        <v>1188</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427</v>
      </c>
      <c r="B5458" s="21" t="s">
        <v>1311</v>
      </c>
      <c r="C5458" s="21" t="s">
        <v>1246</v>
      </c>
      <c r="D5458" s="21" t="s">
        <v>1188</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303</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826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row>
    <row r="5462" spans="1:12">
      <c r="A5462" s="20" t="s">
        <v>2718</v>
      </c>
    </row>
    <row r="5463" spans="1:12">
      <c r="A5463" s="20" t="s">
        <v>1364</v>
      </c>
      <c r="B5463" s="21" t="s">
        <v>1202</v>
      </c>
      <c r="C5463" s="21" t="s">
        <v>1246</v>
      </c>
      <c r="D5463" s="21" t="s">
        <v>1188</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1444</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1462</v>
      </c>
      <c r="B5465" s="21" t="s">
        <v>1199</v>
      </c>
      <c r="C5465" s="21" t="s">
        <v>1304</v>
      </c>
      <c r="D5465" s="21" t="s">
        <v>1188</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2719</v>
      </c>
      <c r="B5466" s="21" t="s">
        <v>1202</v>
      </c>
      <c r="C5466" s="21" t="s">
        <v>1192</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980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1321</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1544</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1232</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1291</v>
      </c>
      <c r="B5471" s="21" t="s">
        <v>1186</v>
      </c>
      <c r="C5471" s="21" t="s">
        <v>1192</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1193</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1937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1232</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1206</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2720</v>
      </c>
      <c r="B5476" s="21" t="s">
        <v>1186</v>
      </c>
      <c r="C5476" s="21" t="s">
        <v>1196</v>
      </c>
      <c r="D5476" s="21" t="s">
        <v>1188</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1197</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1198</v>
      </c>
      <c r="B5478" s="21" t="s">
        <v>1199</v>
      </c>
      <c r="C5478" s="21" t="s">
        <v>1196</v>
      </c>
      <c r="D5478" s="21" t="s">
        <v>1188</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826</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row>
    <row r="5481" spans="1:12">
      <c r="A5481" s="20" t="s">
        <v>2721</v>
      </c>
    </row>
    <row r="5482" spans="1:12">
      <c r="A5482" s="20" t="s">
        <v>1264</v>
      </c>
      <c r="B5482" s="21" t="s">
        <v>1202</v>
      </c>
      <c r="C5482" s="21" t="s">
        <v>1203</v>
      </c>
      <c r="D5482" s="21" t="s">
        <v>1188</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1265</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1388</v>
      </c>
      <c r="B5484" s="21" t="s">
        <v>1186</v>
      </c>
      <c r="C5484" s="21" t="s">
        <v>1262</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1193</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1205</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1502</v>
      </c>
      <c r="B5487" s="21" t="s">
        <v>1199</v>
      </c>
      <c r="C5487" s="21" t="s">
        <v>1216</v>
      </c>
      <c r="D5487" s="21" t="s">
        <v>1188</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1271</v>
      </c>
      <c r="B5488" s="21" t="s">
        <v>1248</v>
      </c>
      <c r="C5488" s="21" t="s">
        <v>1203</v>
      </c>
      <c r="D5488" s="21" t="s">
        <v>1188</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2722</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826</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row>
    <row r="5492" spans="1:12">
      <c r="A5492" s="20" t="s">
        <v>2723</v>
      </c>
    </row>
    <row r="5493" spans="1:12">
      <c r="A5493" s="20" t="s">
        <v>1201</v>
      </c>
      <c r="B5493" s="21" t="s">
        <v>1202</v>
      </c>
      <c r="C5493" s="21" t="s">
        <v>1203</v>
      </c>
      <c r="D5493" s="21" t="s">
        <v>1188</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987</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2258</v>
      </c>
      <c r="B5495" s="21" t="s">
        <v>1212</v>
      </c>
      <c r="C5495" s="21" t="s">
        <v>1262</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1232</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1268</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1269</v>
      </c>
      <c r="B5498" s="21" t="s">
        <v>1199</v>
      </c>
      <c r="C5498" s="21" t="s">
        <v>1196</v>
      </c>
      <c r="D5498" s="21" t="s">
        <v>1188</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1193</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1321</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1544</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1709</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1232</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2724</v>
      </c>
      <c r="B5504" s="21" t="s">
        <v>1186</v>
      </c>
      <c r="C5504" s="21" t="s">
        <v>1187</v>
      </c>
      <c r="D5504" s="21" t="s">
        <v>1188</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1193</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1937</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1232</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1206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1390</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1336</v>
      </c>
      <c r="B5510" s="21" t="s">
        <v>1186</v>
      </c>
      <c r="C5510" s="21" t="s">
        <v>1196</v>
      </c>
      <c r="D5510" s="21" t="s">
        <v>1188</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680</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1193</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1226</v>
      </c>
      <c r="B5513" s="21" t="s">
        <v>1245</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2725</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1302</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2726</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826</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row>
    <row r="5519" spans="1:12">
      <c r="A5519" s="20" t="s">
        <v>2727</v>
      </c>
    </row>
    <row r="5520" spans="1:12">
      <c r="A5520" s="20" t="s">
        <v>1270</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1190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2728</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57</v>
      </c>
      <c r="B5523" s="21" t="s">
        <v>1202</v>
      </c>
      <c r="C5523" s="21" t="s">
        <v>1203</v>
      </c>
      <c r="D5523" s="21" t="s">
        <v>1188</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1494</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1322</v>
      </c>
      <c r="B5525" s="21" t="s">
        <v>1212</v>
      </c>
      <c r="C5525" s="21" t="s">
        <v>1231</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1227</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1219</v>
      </c>
      <c r="B5527" s="21" t="s">
        <v>1199</v>
      </c>
      <c r="C5527" s="21" t="s">
        <v>1187</v>
      </c>
      <c r="D5527" s="21" t="s">
        <v>1188</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1257</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2729</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1190</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2432</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1274</v>
      </c>
      <c r="B5532" s="21" t="s">
        <v>1313</v>
      </c>
      <c r="C5532" s="21" t="s">
        <v>1331</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1190</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1494</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2730</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1322</v>
      </c>
      <c r="B5536" s="21" t="s">
        <v>1285</v>
      </c>
      <c r="C5536" s="21" t="s">
        <v>1231</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1625</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1270</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1190</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1219</v>
      </c>
      <c r="B5540" s="21" t="s">
        <v>1285</v>
      </c>
      <c r="C5540" s="21" t="s">
        <v>1187</v>
      </c>
      <c r="D5540" s="21" t="s">
        <v>1188</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1193</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1254</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57</v>
      </c>
      <c r="B5543" s="21" t="s">
        <v>1311</v>
      </c>
      <c r="C5543" s="21" t="s">
        <v>1203</v>
      </c>
      <c r="D5543" s="21" t="s">
        <v>1188</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1515</v>
      </c>
      <c r="B5544" s="21" t="s">
        <v>1347</v>
      </c>
      <c r="C5544" s="21" t="s">
        <v>1246</v>
      </c>
      <c r="D5544" s="21" t="s">
        <v>1188</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1397</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2461</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1257</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row>
    <row r="5549" spans="1:12">
      <c r="A5549" s="20" t="s">
        <v>2731</v>
      </c>
    </row>
    <row r="5550" spans="1:12">
      <c r="A5550" s="20" t="s">
        <v>1294</v>
      </c>
      <c r="B5550" s="21" t="s">
        <v>1186</v>
      </c>
      <c r="C5550" s="21" t="s">
        <v>1203</v>
      </c>
      <c r="D5550" s="21" t="s">
        <v>1188</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1190</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2467</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1193</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1271</v>
      </c>
      <c r="B5554" s="21" t="s">
        <v>1248</v>
      </c>
      <c r="C5554" s="21" t="s">
        <v>1203</v>
      </c>
      <c r="D5554" s="21" t="s">
        <v>1188</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1260</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1275</v>
      </c>
      <c r="B5556" s="21" t="s">
        <v>1245</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2461</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826</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row>
    <row r="5560" spans="1:12">
      <c r="A5560" s="20" t="s">
        <v>2732</v>
      </c>
    </row>
    <row r="5561" spans="1:12">
      <c r="A5561" s="20" t="s">
        <v>1270</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1190</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1235</v>
      </c>
      <c r="B5563" s="21" t="s">
        <v>1202</v>
      </c>
      <c r="C5563" s="21" t="s">
        <v>1203</v>
      </c>
      <c r="D5563" s="21" t="s">
        <v>1188</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1265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2543</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1581</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826</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row>
    <row r="5569" spans="1:12">
      <c r="A5569" s="20" t="s">
        <v>2733</v>
      </c>
    </row>
    <row r="5570" spans="1:12">
      <c r="A5570" s="20" t="s">
        <v>2729</v>
      </c>
      <c r="B5570" s="21" t="s">
        <v>1202</v>
      </c>
      <c r="C5570" s="21" t="s">
        <v>1187</v>
      </c>
      <c r="D5570" s="21" t="s">
        <v>1188</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1190</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1552</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2734</v>
      </c>
      <c r="B5573" s="21" t="s">
        <v>1199</v>
      </c>
      <c r="C5573" s="21" t="s">
        <v>1196</v>
      </c>
      <c r="D5573" s="21" t="s">
        <v>1188</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1227</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2118</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2735</v>
      </c>
      <c r="B5576" s="21" t="s">
        <v>1215</v>
      </c>
      <c r="C5576" s="21" t="s">
        <v>1240</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1740</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1359</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1283</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798</v>
      </c>
      <c r="B5580" s="21" t="s">
        <v>1186</v>
      </c>
      <c r="C5580" s="21" t="s">
        <v>1231</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2736</v>
      </c>
      <c r="B5581" s="21" t="s">
        <v>1199</v>
      </c>
      <c r="C5581" s="21" t="s">
        <v>1187</v>
      </c>
      <c r="D5581" s="21" t="s">
        <v>1188</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826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row>
    <row r="5584" spans="1:12">
      <c r="A5584" s="20" t="s">
        <v>2737</v>
      </c>
    </row>
    <row r="5585" spans="1:12">
      <c r="A5585" s="20" t="s">
        <v>1222</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53</v>
      </c>
      <c r="B5586" s="21" t="s">
        <v>1186</v>
      </c>
      <c r="C5586" s="21" t="s">
        <v>1187</v>
      </c>
      <c r="D5586" s="21" t="s">
        <v>1188</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1224</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1294</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1190</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1264</v>
      </c>
      <c r="B5590" s="21" t="s">
        <v>1248</v>
      </c>
      <c r="C5590" s="21" t="s">
        <v>1203</v>
      </c>
      <c r="D5590" s="21" t="s">
        <v>1188</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1265</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680</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2738</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1402</v>
      </c>
      <c r="B5594" s="21" t="s">
        <v>1186</v>
      </c>
      <c r="C5594" s="21" t="s">
        <v>1187</v>
      </c>
      <c r="D5594" s="21" t="s">
        <v>1188</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11</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2739</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826</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row>
    <row r="5599" spans="1:12">
      <c r="A5599" s="20" t="s">
        <v>2740</v>
      </c>
    </row>
    <row r="5600" spans="1:12">
      <c r="A5600" s="20" t="s">
        <v>2729</v>
      </c>
      <c r="B5600" s="21" t="s">
        <v>1202</v>
      </c>
      <c r="C5600" s="21" t="s">
        <v>1187</v>
      </c>
      <c r="D5600" s="21" t="s">
        <v>1188</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1190</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1333</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427</v>
      </c>
      <c r="B5603" s="21" t="s">
        <v>1202</v>
      </c>
      <c r="C5603" s="21" t="s">
        <v>1246</v>
      </c>
      <c r="D5603" s="21" t="s">
        <v>1188</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1208</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1210</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105</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1429</v>
      </c>
      <c r="B5607" s="21" t="s">
        <v>1186</v>
      </c>
      <c r="C5607" s="21" t="s">
        <v>1615</v>
      </c>
      <c r="D5607" s="21" t="s">
        <v>1188</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1283</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2741</v>
      </c>
      <c r="B5609" s="21" t="s">
        <v>1212</v>
      </c>
      <c r="C5609" s="21" t="s">
        <v>1231</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1007</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1302</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2610</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1193</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1244</v>
      </c>
      <c r="B5614" s="21" t="s">
        <v>1311</v>
      </c>
      <c r="C5614" s="21" t="s">
        <v>1246</v>
      </c>
      <c r="D5614" s="21" t="s">
        <v>1188</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2633</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57</v>
      </c>
      <c r="B5616" s="21" t="s">
        <v>1248</v>
      </c>
      <c r="C5616" s="21" t="s">
        <v>1203</v>
      </c>
      <c r="D5616" s="21" t="s">
        <v>1188</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1193</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1563</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1502</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2742</v>
      </c>
      <c r="B5620" s="21" t="s">
        <v>1186</v>
      </c>
      <c r="C5620" s="21" t="s">
        <v>1218</v>
      </c>
      <c r="D5620" s="21" t="s">
        <v>1188</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1193</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1244</v>
      </c>
      <c r="B5622" s="21" t="s">
        <v>1313</v>
      </c>
      <c r="C5622" s="21" t="s">
        <v>1246</v>
      </c>
      <c r="D5622" s="21" t="s">
        <v>1188</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427</v>
      </c>
      <c r="B5623" s="21" t="s">
        <v>1311</v>
      </c>
      <c r="C5623" s="21" t="s">
        <v>1246</v>
      </c>
      <c r="D5623" s="21" t="s">
        <v>1188</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2564</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2141</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1193</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1241</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1538</v>
      </c>
      <c r="B5628" s="21" t="s">
        <v>1199</v>
      </c>
      <c r="C5628" s="21" t="s">
        <v>1262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1210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2743</v>
      </c>
      <c r="B5630" s="21" t="s">
        <v>1186</v>
      </c>
      <c r="C5630" s="21" t="s">
        <v>1196</v>
      </c>
      <c r="D5630" s="21" t="s">
        <v>1188</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1193</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1194</v>
      </c>
      <c r="B5632" s="21" t="s">
        <v>1313</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427</v>
      </c>
      <c r="B5633" s="21" t="s">
        <v>1311</v>
      </c>
      <c r="C5633" s="21" t="s">
        <v>1246</v>
      </c>
      <c r="D5633" s="21" t="s">
        <v>1188</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1527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1502</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2744</v>
      </c>
      <c r="B5636" s="21" t="s">
        <v>1215</v>
      </c>
      <c r="C5636" s="21" t="s">
        <v>1196</v>
      </c>
      <c r="D5636" s="21" t="s">
        <v>1188</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118</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1193</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1502</v>
      </c>
      <c r="B5639" s="21" t="s">
        <v>1313</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427</v>
      </c>
      <c r="B5640" s="21" t="s">
        <v>1311</v>
      </c>
      <c r="C5640" s="21" t="s">
        <v>1246</v>
      </c>
      <c r="D5640" s="21" t="s">
        <v>1188</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163</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1346</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1257</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row>
    <row r="5645" spans="1:12">
      <c r="A5645" s="20" t="s">
        <v>2745</v>
      </c>
    </row>
    <row r="5646" spans="1:12">
      <c r="A5646" s="20" t="s">
        <v>1294</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1190</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1333</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427</v>
      </c>
      <c r="B5649" s="21" t="s">
        <v>1248</v>
      </c>
      <c r="C5649" s="21" t="s">
        <v>1246</v>
      </c>
      <c r="D5649" s="21" t="s">
        <v>1188</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1318</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2610</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1193</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1244</v>
      </c>
      <c r="B5653" s="21" t="s">
        <v>1313</v>
      </c>
      <c r="C5653" s="21" t="s">
        <v>1246</v>
      </c>
      <c r="D5653" s="21" t="s">
        <v>1188</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427</v>
      </c>
      <c r="B5654" s="21" t="s">
        <v>1311</v>
      </c>
      <c r="C5654" s="21" t="s">
        <v>1246</v>
      </c>
      <c r="D5654" s="21" t="s">
        <v>1188</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2564</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1530</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1193</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1419</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1193</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1654</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1271</v>
      </c>
      <c r="B5661" s="21" t="s">
        <v>1202</v>
      </c>
      <c r="C5661" s="21" t="s">
        <v>1203</v>
      </c>
      <c r="D5661" s="21" t="s">
        <v>1188</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1193</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1960</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1502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1544</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2746</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2393</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1502</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1193</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1244</v>
      </c>
      <c r="B5670" s="21" t="s">
        <v>1533</v>
      </c>
      <c r="C5670" s="21" t="s">
        <v>1246</v>
      </c>
      <c r="D5670" s="21" t="s">
        <v>1188</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427</v>
      </c>
      <c r="B5671" s="21" t="s">
        <v>1919</v>
      </c>
      <c r="C5671" s="21" t="s">
        <v>1246</v>
      </c>
      <c r="D5671" s="21" t="s">
        <v>1188</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2550</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1341</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1193</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2747</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1201</v>
      </c>
      <c r="B5676" s="21" t="s">
        <v>1436</v>
      </c>
      <c r="C5676" s="21" t="s">
        <v>1203</v>
      </c>
      <c r="D5676" s="21" t="s">
        <v>1188</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1654</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1193</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1502</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1198</v>
      </c>
      <c r="B5680" s="21" t="s">
        <v>1437</v>
      </c>
      <c r="C5680" s="21" t="s">
        <v>1196</v>
      </c>
      <c r="D5680" s="21" t="s">
        <v>1188</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1193</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1232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2748</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2652</v>
      </c>
      <c r="B5684" s="21" t="s">
        <v>1500</v>
      </c>
      <c r="C5684" s="21" t="s">
        <v>1218</v>
      </c>
      <c r="D5684" s="21" t="s">
        <v>1188</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427</v>
      </c>
      <c r="B5685" s="21" t="s">
        <v>1348</v>
      </c>
      <c r="C5685" s="21" t="s">
        <v>1246</v>
      </c>
      <c r="D5685" s="21" t="s">
        <v>1188</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1232</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1206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2749</v>
      </c>
      <c r="B5688" s="21" t="s">
        <v>1500</v>
      </c>
      <c r="C5688" s="21" t="s">
        <v>1196</v>
      </c>
      <c r="D5688" s="21" t="s">
        <v>1188</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2713</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1341</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1193</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1265</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2717</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1502</v>
      </c>
      <c r="B5694" s="21" t="s">
        <v>1215</v>
      </c>
      <c r="C5694" s="21" t="s">
        <v>1246</v>
      </c>
      <c r="D5694" s="21" t="s">
        <v>1188</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1193</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1244</v>
      </c>
      <c r="B5696" s="21" t="s">
        <v>1533</v>
      </c>
      <c r="C5696" s="21" t="s">
        <v>1246</v>
      </c>
      <c r="D5696" s="21" t="s">
        <v>1188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427</v>
      </c>
      <c r="B5697" s="21" t="s">
        <v>1919</v>
      </c>
      <c r="C5697" s="21" t="s">
        <v>1246</v>
      </c>
      <c r="D5697" s="21" t="s">
        <v>1188</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11</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1321</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1544</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1427</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2207</v>
      </c>
      <c r="B5702" s="21" t="s">
        <v>1436</v>
      </c>
      <c r="C5702" s="21" t="s">
        <v>1192</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1193</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1937</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1427</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680</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1541</v>
      </c>
      <c r="B5707" s="21" t="s">
        <v>1499</v>
      </c>
      <c r="C5707" s="21" t="s">
        <v>1231</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1232</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2184</v>
      </c>
      <c r="B5709" s="21" t="s">
        <v>1351</v>
      </c>
      <c r="C5709" s="21" t="s">
        <v>1262</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1336</v>
      </c>
      <c r="B5710" s="21" t="s">
        <v>1500</v>
      </c>
      <c r="C5710" s="21" t="s">
        <v>1331</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11</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303</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1302</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1502</v>
      </c>
      <c r="B5714" s="21" t="s">
        <v>1533</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427</v>
      </c>
      <c r="B5715" s="21" t="s">
        <v>1919</v>
      </c>
      <c r="C5715" s="21" t="s">
        <v>1246</v>
      </c>
      <c r="D5715" s="21" t="s">
        <v>1188</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2705</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1444</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1193</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1537</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427</v>
      </c>
      <c r="B5720" s="21" t="s">
        <v>1919</v>
      </c>
      <c r="C5720" s="21" t="s">
        <v>1246</v>
      </c>
      <c r="D5720" s="21" t="s">
        <v>1188</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1808</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1193</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1537</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427</v>
      </c>
      <c r="B5724" s="21" t="s">
        <v>1348</v>
      </c>
      <c r="C5724" s="21" t="s">
        <v>1246</v>
      </c>
      <c r="D5724" s="21" t="s">
        <v>1188</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1321</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1544</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1194</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2750</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2751</v>
      </c>
      <c r="B5729" s="21" t="s">
        <v>1349</v>
      </c>
      <c r="C5729" s="21" t="s">
        <v>1196</v>
      </c>
      <c r="D5729" s="21" t="s">
        <v>1188</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2752</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1193</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1937</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1193</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1309</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57</v>
      </c>
      <c r="B5735" s="21" t="s">
        <v>1351</v>
      </c>
      <c r="C5735" s="21" t="s">
        <v>1203</v>
      </c>
      <c r="D5735" s="21" t="s">
        <v>1188</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2753</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1193</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1194</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1814</v>
      </c>
      <c r="B5739" s="21" t="s">
        <v>1298</v>
      </c>
      <c r="C5739" s="21" t="s">
        <v>1196</v>
      </c>
      <c r="D5739" s="21" t="s">
        <v>1188</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1193</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1194</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1702</v>
      </c>
      <c r="B5742" s="21" t="s">
        <v>1298</v>
      </c>
      <c r="C5742" s="21" t="s">
        <v>1196</v>
      </c>
      <c r="D5742" s="21" t="s">
        <v>1188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1232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2184</v>
      </c>
      <c r="B5744" s="21" t="s">
        <v>1500</v>
      </c>
      <c r="C5744" s="21" t="s">
        <v>1262</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1336</v>
      </c>
      <c r="B5745" s="21" t="s">
        <v>1499</v>
      </c>
      <c r="C5745" s="21" t="s">
        <v>1331</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1193</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1194</v>
      </c>
      <c r="B5747" s="21" t="s">
        <v>1992</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2754</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2393</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1502</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1198</v>
      </c>
      <c r="B5751" s="21" t="s">
        <v>1351</v>
      </c>
      <c r="C5751" s="21" t="s">
        <v>1196</v>
      </c>
      <c r="D5751" s="21" t="s">
        <v>1188</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1193</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2393</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2755</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2756</v>
      </c>
      <c r="B5755" s="21" t="s">
        <v>1354</v>
      </c>
      <c r="C5755" s="21" t="s">
        <v>1192</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1193</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1194</v>
      </c>
      <c r="B5757" s="21" t="s">
        <v>2006</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1544</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2284</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1268</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2757</v>
      </c>
      <c r="B5761" s="21" t="s">
        <v>1998</v>
      </c>
      <c r="C5761" s="21" t="s">
        <v>1196</v>
      </c>
      <c r="D5761" s="21" t="s">
        <v>1188</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38</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1193</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1194</v>
      </c>
      <c r="B5764" s="21" t="s">
        <v>2008</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2076</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1427</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2758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1602</v>
      </c>
      <c r="B5768" s="21" t="s">
        <v>2759</v>
      </c>
      <c r="C5768" s="21" t="s">
        <v>1192</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2760</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2761</v>
      </c>
      <c r="B5770" s="21" t="s">
        <v>2007</v>
      </c>
      <c r="C5770" s="21" t="s">
        <v>1240</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2762</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1341</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826</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row>
    <row r="5775" spans="1:12">
      <c r="A5775" s="20" t="s">
        <v>2763</v>
      </c>
    </row>
    <row r="5776" spans="1:12">
      <c r="A5776" s="20" t="s">
        <v>1364</v>
      </c>
      <c r="B5776" s="21" t="s">
        <v>1202</v>
      </c>
      <c r="C5776" s="21" t="s">
        <v>1246</v>
      </c>
      <c r="D5776" s="21" t="s">
        <v>1188</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1014</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1321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1544</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1502</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1198</v>
      </c>
      <c r="B5781" s="21" t="s">
        <v>1212</v>
      </c>
      <c r="C5781" s="21" t="s">
        <v>1196</v>
      </c>
      <c r="D5781" s="21" t="s">
        <v>1188</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1193</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1502</v>
      </c>
      <c r="B5783" s="21" t="s">
        <v>1313</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427</v>
      </c>
      <c r="B5784" s="21" t="s">
        <v>1311</v>
      </c>
      <c r="C5784" s="21" t="s">
        <v>1246</v>
      </c>
      <c r="D5784" s="21" t="s">
        <v>1188</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1547</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1193</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1937</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680</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2764</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1198</v>
      </c>
      <c r="B5790" s="21" t="s">
        <v>1215</v>
      </c>
      <c r="C5790" s="21" t="s">
        <v>1231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1193</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680</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2764</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2765</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1193</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1388</v>
      </c>
      <c r="B5796" s="21" t="s">
        <v>1298</v>
      </c>
      <c r="C5796" s="21" t="s">
        <v>1262</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1193</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1502</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427</v>
      </c>
      <c r="B5799" s="21" t="s">
        <v>1436</v>
      </c>
      <c r="C5799" s="21" t="s">
        <v>1246</v>
      </c>
      <c r="D5799" s="21" t="s">
        <v>1188</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2319</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1530</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1193</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1520</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1494</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1195</v>
      </c>
      <c r="B5805" s="21" t="s">
        <v>1533</v>
      </c>
      <c r="C5805" s="21" t="s">
        <v>1231</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2766</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1193</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1194</v>
      </c>
      <c r="B5808" s="21" t="s">
        <v>1436</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1321</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1544</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2767</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366</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1960</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1193</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1427</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427</v>
      </c>
      <c r="B5816" s="21" t="s">
        <v>1919</v>
      </c>
      <c r="C5816" s="21" t="s">
        <v>1246</v>
      </c>
      <c r="D5816" s="21" t="s">
        <v>1188</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2768</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1193</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1937</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2767</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1193</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1427</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427</v>
      </c>
      <c r="B5823" s="21" t="s">
        <v>1992</v>
      </c>
      <c r="C5823" s="21" t="s">
        <v>1246</v>
      </c>
      <c r="D5823" s="21" t="s">
        <v>1188</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1515</v>
      </c>
      <c r="B5824" s="21" t="s">
        <v>2769</v>
      </c>
      <c r="C5824" s="21" t="s">
        <v>1246</v>
      </c>
      <c r="D5824" s="21" t="s">
        <v>1188</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2770</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1530</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826</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row>
    <row r="5829" spans="1:12">
      <c r="A5829" s="20" t="s">
        <v>2771</v>
      </c>
    </row>
    <row r="5830" spans="1:12">
      <c r="A5830" s="20" t="s">
        <v>1270</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1190</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1394</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125</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1429</v>
      </c>
      <c r="B5834" s="21" t="s">
        <v>1186</v>
      </c>
      <c r="C5834" s="21" t="s">
        <v>1331</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1554</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1209</v>
      </c>
      <c r="B5836" s="21" t="s">
        <v>1202</v>
      </c>
      <c r="C5836" s="21" t="s">
        <v>1187</v>
      </c>
      <c r="D5836" s="21" t="s">
        <v>1188</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2772</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1193</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1845</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826</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row>
    <row r="5842" spans="1:12">
      <c r="A5842" s="20" t="s">
        <v>2773</v>
      </c>
    </row>
    <row r="5843" spans="1:12">
      <c r="A5843" s="20" t="s">
        <v>2774</v>
      </c>
      <c r="B5843" s="21" t="s">
        <v>1199</v>
      </c>
      <c r="C5843" s="21" t="s">
        <v>1246</v>
      </c>
      <c r="D5843" s="21" t="s">
        <v>1188</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1678</v>
      </c>
      <c r="B5844" s="21" t="s">
        <v>1202</v>
      </c>
      <c r="C5844" s="21" t="s">
        <v>1331</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1272</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1226</v>
      </c>
      <c r="B5846" s="21" t="s">
        <v>1212</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2775</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2618</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2776</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1193</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1366</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2777</v>
      </c>
      <c r="B5852" s="21" t="s">
        <v>1248</v>
      </c>
      <c r="C5852" s="21" t="s">
        <v>1187</v>
      </c>
      <c r="D5852" s="21" t="s">
        <v>1188</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2778</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1226</v>
      </c>
      <c r="B5854" s="21" t="s">
        <v>1245</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2779</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1278</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826</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row>
    <row r="5859" spans="1:12">
      <c r="A5859" s="20" t="s">
        <v>2780</v>
      </c>
    </row>
    <row r="5860" spans="1:12">
      <c r="A5860" s="20" t="s">
        <v>1264</v>
      </c>
      <c r="B5860" s="21" t="s">
        <v>1202</v>
      </c>
      <c r="C5860" s="21" t="s">
        <v>1203</v>
      </c>
      <c r="D5860" s="21" t="s">
        <v>1188</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1265</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1321</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1206</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2781</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2782</v>
      </c>
      <c r="B5865" s="21" t="s">
        <v>1186</v>
      </c>
      <c r="C5865" s="21" t="s">
        <v>1196</v>
      </c>
      <c r="D5865" s="21" t="s">
        <v>1188</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1193</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1206</v>
      </c>
      <c r="B5867" s="21" t="s">
        <v>1248</v>
      </c>
      <c r="C5867" s="21" t="s">
        <v>1246</v>
      </c>
      <c r="D5867" s="21" t="s">
        <v>1188</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1515</v>
      </c>
      <c r="B5868" s="21" t="s">
        <v>1245</v>
      </c>
      <c r="C5868" s="21" t="s">
        <v>1246</v>
      </c>
      <c r="D5868" s="21" t="s">
        <v>1188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2783</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826</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row>
    <row r="5872" spans="1:12">
      <c r="A5872" s="20" t="s">
        <v>2784</v>
      </c>
    </row>
    <row r="5873" spans="1:12">
      <c r="A5873" s="20" t="s">
        <v>1364</v>
      </c>
      <c r="B5873" s="21" t="s">
        <v>1202</v>
      </c>
      <c r="C5873" s="21" t="s">
        <v>1246</v>
      </c>
      <c r="D5873" s="21" t="s">
        <v>1188</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1193</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2785</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1206</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2786</v>
      </c>
      <c r="B5877" s="21" t="s">
        <v>1212</v>
      </c>
      <c r="C5877" s="21" t="s">
        <v>1196</v>
      </c>
      <c r="D5877" s="21" t="s">
        <v>1188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1197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2787</v>
      </c>
      <c r="B5879" s="21" t="s">
        <v>1199</v>
      </c>
      <c r="C5879" s="21" t="s">
        <v>1196</v>
      </c>
      <c r="D5879" s="21" t="s">
        <v>1188</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1302</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1206</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2788</v>
      </c>
      <c r="B5882" s="21" t="s">
        <v>1215</v>
      </c>
      <c r="C5882" s="21" t="s">
        <v>1196</v>
      </c>
      <c r="D5882" s="21" t="s">
        <v>1188</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1193</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1920</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2191</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1210</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2789</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2782</v>
      </c>
      <c r="B5888" s="21" t="s">
        <v>1245</v>
      </c>
      <c r="C5888" s="21" t="s">
        <v>1196</v>
      </c>
      <c r="D5888" s="21" t="s">
        <v>1188</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826</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row>
    <row r="5891" spans="1:12">
      <c r="A5891" s="20" t="s">
        <v>2790</v>
      </c>
    </row>
    <row r="5892" spans="1:12">
      <c r="A5892" s="20" t="s">
        <v>2791</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1217</v>
      </c>
      <c r="B5893" s="21" t="s">
        <v>1248</v>
      </c>
      <c r="C5893" s="21" t="s">
        <v>1240</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163</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1283</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2792</v>
      </c>
      <c r="B5896" s="21" t="s">
        <v>1212</v>
      </c>
      <c r="C5896" s="21" t="s">
        <v>1231</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2393</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1502</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2793</v>
      </c>
      <c r="B5899" s="21" t="s">
        <v>1186</v>
      </c>
      <c r="C5899" s="21" t="s">
        <v>1196</v>
      </c>
      <c r="D5899" s="21" t="s">
        <v>1188</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1297</v>
      </c>
      <c r="B5900" s="21" t="s">
        <v>1215</v>
      </c>
      <c r="C5900" s="21" t="s">
        <v>1216</v>
      </c>
      <c r="D5900" s="21" t="s">
        <v>1188</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2518</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2794</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2204</v>
      </c>
      <c r="B5903" s="21" t="s">
        <v>1199</v>
      </c>
      <c r="C5903" s="21" t="s">
        <v>1218</v>
      </c>
      <c r="D5903" s="21" t="s">
        <v>1188</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2795</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1193</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1478</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57</v>
      </c>
      <c r="B5907" s="21" t="s">
        <v>1186</v>
      </c>
      <c r="C5907" s="21" t="s">
        <v>1203</v>
      </c>
      <c r="D5907" s="21" t="s">
        <v>1188</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2796</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2797</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1193</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1366</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185</v>
      </c>
      <c r="B5912" s="21" t="s">
        <v>1248</v>
      </c>
      <c r="C5912" s="21" t="s">
        <v>1203</v>
      </c>
      <c r="D5912" s="21" t="s">
        <v>1188</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1283</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2798</v>
      </c>
      <c r="B5914" s="21" t="s">
        <v>1245</v>
      </c>
      <c r="C5914" s="21" t="s">
        <v>1231</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1447</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1193</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1388</v>
      </c>
      <c r="B5917" s="21" t="s">
        <v>1313</v>
      </c>
      <c r="C5917" s="21" t="s">
        <v>1262</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2799</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1337</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130</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826</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row>
    <row r="5923" spans="1:12">
      <c r="A5923" s="20" t="s">
        <v>2800</v>
      </c>
    </row>
    <row r="5924" spans="1:12">
      <c r="A5924" s="20" t="s">
        <v>959</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1502</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2801</v>
      </c>
      <c r="B5926" s="21" t="s">
        <v>1202</v>
      </c>
      <c r="C5926" s="21" t="s">
        <v>1187</v>
      </c>
      <c r="D5926" s="21" t="s">
        <v>1188</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57</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1039</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826</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row>
    <row r="5931" spans="1:12">
      <c r="A5931" s="20" t="s">
        <v>2802</v>
      </c>
    </row>
    <row r="5932" spans="1:12">
      <c r="A5932" s="20" t="s">
        <v>1294</v>
      </c>
      <c r="B5932" s="21" t="s">
        <v>1186</v>
      </c>
      <c r="C5932" s="21" t="s">
        <v>1203</v>
      </c>
      <c r="D5932" s="21" t="s">
        <v>1188</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1190</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2803</v>
      </c>
      <c r="B5934" s="21" t="s">
        <v>1186</v>
      </c>
      <c r="C5934" s="21" t="s">
        <v>1187</v>
      </c>
      <c r="D5934" s="21" t="s">
        <v>1188</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826</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row>
    <row r="5937" spans="1:12">
      <c r="A5937" s="20" t="s">
        <v>2804</v>
      </c>
    </row>
    <row r="5938" spans="1:12">
      <c r="A5938" s="20" t="s">
        <v>1277</v>
      </c>
      <c r="B5938" s="21" t="s">
        <v>1202</v>
      </c>
      <c r="C5938" s="21" t="s">
        <v>1262</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1260</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1046</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1193</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1366</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1194</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2805</v>
      </c>
      <c r="B5944" s="21" t="s">
        <v>1248</v>
      </c>
      <c r="C5944" s="21" t="s">
        <v>1401</v>
      </c>
      <c r="D5944" s="21" t="s">
        <v>1188</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1197</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2789</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2806</v>
      </c>
      <c r="B5947" s="21" t="s">
        <v>1215</v>
      </c>
      <c r="C5947" s="21" t="s">
        <v>1187</v>
      </c>
      <c r="D5947" s="21" t="s">
        <v>1188</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2807</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2808</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163</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826</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row>
    <row r="5953" spans="1:12">
      <c r="A5953" s="20" t="s">
        <v>2809</v>
      </c>
    </row>
    <row r="5954" spans="1:12">
      <c r="A5954" s="20" t="s">
        <v>1264</v>
      </c>
      <c r="B5954" s="21" t="s">
        <v>1202</v>
      </c>
      <c r="C5954" s="21" t="s">
        <v>1203</v>
      </c>
      <c r="D5954" s="21" t="s">
        <v>1188</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1490</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2146</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1283</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2810</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2811</v>
      </c>
      <c r="B5959" s="21" t="s">
        <v>1212</v>
      </c>
      <c r="C5959" s="21" t="s">
        <v>1231</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1232</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2812</v>
      </c>
      <c r="B5961" s="21" t="s">
        <v>1199</v>
      </c>
      <c r="C5961" s="21" t="s">
        <v>1187</v>
      </c>
      <c r="D5961" s="21" t="s">
        <v>1188</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1193</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1206</v>
      </c>
      <c r="B5963" s="21" t="s">
        <v>1296</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1502</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2813</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2814</v>
      </c>
      <c r="B5966" s="21" t="s">
        <v>1347</v>
      </c>
      <c r="C5966" s="21" t="s">
        <v>1187</v>
      </c>
      <c r="D5966" s="21" t="s">
        <v>1188</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11</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2815</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11</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2373</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2816</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826</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row>
    <row r="5974" spans="1:12">
      <c r="A5974" s="20" t="s">
        <v>2817</v>
      </c>
    </row>
    <row r="5975" spans="1:12">
      <c r="A5975" s="20" t="s">
        <v>1264</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1952</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1193</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1366</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2818</v>
      </c>
      <c r="B5979" s="21" t="s">
        <v>1215</v>
      </c>
      <c r="C5979" s="21" t="s">
        <v>1304</v>
      </c>
      <c r="D5979" s="21" t="s">
        <v>1188</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2819</v>
      </c>
      <c r="B5980" s="21" t="s">
        <v>1248</v>
      </c>
      <c r="C5980" s="21" t="s">
        <v>1192</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t="s">
        <v>1205</v>
      </c>
      <c r="E5981" s="22">
        <f>IF(D5981="?OLD","!!!","")</f>
        <v/>
      </c>
      <c r="F5981" s="23" t="str">
        <f>IF(OR(E5981="",E5981="!!!"),"",IF(NOT(ISNA(VLOOKUP(E5981,E$1:E5980,1,FALSE()))),"OLD",IF(AND(E5981&lt;&gt;"",E5981&lt;&gt;"!!!"),"NEW","")))</f>
        <v> </v>
      </c>
      <c r="G5981" s="24" t="str">
        <f>IF(OR(E5981="",E5981="!!!"),"",IF(OR(J5981=0,AND(J5981=1,K5981=1),AND(J5981=1,I5981="SBJ"),AND(J5981=1,I5981=0)),"?IN_FOCUS",IF(J5981&lt;=2,"?ACTIVATED",IF(J5981&lt;&gt;"","?FAMILIAR",IF(F5981="NEW",IF(ISNA(VLOOKUP(E5981,#REF!,1,FALSE())),"?TYPE_IDENTIFIABLE","?REFERENTIAL"),"_")))))</f>
        <v> </v>
      </c>
      <c r="H5981" s="25" t="str">
        <f>IF(J5981&lt;&gt;1,"",IF(I5981="SBJ","CB","?"))</f>
        <v> </v>
      </c>
      <c r="I5981" s="26" t="str">
        <f>IF(OR(E5981="",E5981="!!!",F5981="NEW"),"",INDEX(B5980:B$2,-1+SUMPRODUCT(MAX(ROW(E5980:E$2)*(E5981=E5980:E$2)))))</f>
        <v> </v>
      </c>
      <c r="J5981" s="26" t="str">
        <f>IF(OR(E5981="",E5981="!!!",F5981="NEW"),"",COUNTBLANK(OFFSET(A$1,,,SUMPRODUCT(MAX(ROW(E$2:E5981)*(E5981=E$2:E5981)))))-COUNTBLANK(OFFSET(A$1,,,SUMPRODUCT(MAX(ROW(E$1:E5980)*(E2=E$1:E5980))))))</f>
        <v> </v>
      </c>
      <c r="K5981" s="26" t="str">
        <f>IF(OR(E5981="",E5981="!!!",F5981="NEW"),"",INDEX(J$1:J5980,SUMPRODUCT(MAX(ROW(E$1:E5980)*(E5981=E$1:E5980)))))</f>
        <v> </v>
      </c>
      <c r="L5981" s="27"/>
    </row>
    <row r="5982" spans="1:12">
      <c r="A5982" s="20" t="s">
        <v>1883</v>
      </c>
      <c r="B5982" s="21" t="s">
        <v>1199</v>
      </c>
      <c r="C5982" s="21" t="s">
        <v>1192</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1979</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1960</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1193</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1317</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1194</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2820</v>
      </c>
      <c r="B5988" s="21" t="s">
        <v>1311</v>
      </c>
      <c r="C5988" s="21" t="s">
        <v>1196</v>
      </c>
      <c r="D5988" s="21" t="s">
        <v>1188</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2821</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2059</v>
      </c>
      <c r="B5990" s="21" t="s">
        <v>1285</v>
      </c>
      <c r="C5990" s="21" t="s">
        <v>1192</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1520</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1283</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2822</v>
      </c>
      <c r="B5993" s="21" t="s">
        <v>1215</v>
      </c>
      <c r="C5993" s="21" t="s">
        <v>1231</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2823</v>
      </c>
      <c r="B5994" s="21" t="s">
        <v>1311</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2824</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2825</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1341</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826</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row>
    <row r="6000" spans="1:12">
      <c r="A6000" s="20" t="s">
        <v>2826</v>
      </c>
    </row>
    <row r="6001" spans="1:12">
      <c r="A6001" s="20" t="s">
        <v>1759</v>
      </c>
      <c r="B6001" s="21" t="s">
        <v>1199</v>
      </c>
      <c r="C6001" s="21" t="s">
        <v>1262</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2827</v>
      </c>
      <c r="B6002" s="21" t="s">
        <v>1186</v>
      </c>
      <c r="C6002" s="21" t="s">
        <v>1192</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1193</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t="s">
        <v>1317</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1502</v>
      </c>
      <c r="B6005" s="21" t="s">
        <v>1248</v>
      </c>
      <c r="C6005" s="21" t="s">
        <v>1216</v>
      </c>
      <c r="D6005" s="21" t="s">
        <v>1188</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2828</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1193</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1444</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427</v>
      </c>
      <c r="B6009" s="21" t="s">
        <v>1202</v>
      </c>
      <c r="C6009" s="21" t="s">
        <v>1246</v>
      </c>
      <c r="D6009" s="21" t="s">
        <v>1188</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1515</v>
      </c>
      <c r="B6010" s="21" t="s">
        <v>1212</v>
      </c>
      <c r="C6010" s="21" t="s">
        <v>1246</v>
      </c>
      <c r="D6010" s="21" t="s">
        <v>1188</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1205</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1502</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2829</v>
      </c>
      <c r="B6013" s="21" t="s">
        <v>1186</v>
      </c>
      <c r="C6013" s="21" t="s">
        <v>1196</v>
      </c>
      <c r="D6013" s="21" t="s">
        <v>1188</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1300</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2830</v>
      </c>
      <c r="B6015" s="21" t="s">
        <v>1215</v>
      </c>
      <c r="C6015" s="21" t="s">
        <v>1304</v>
      </c>
      <c r="D6015" s="21" t="s">
        <v>1188</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2124</v>
      </c>
      <c r="B6016" s="21" t="s">
        <v>1199</v>
      </c>
      <c r="C6016" s="21" t="s">
        <v>1192</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1205</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2831</v>
      </c>
      <c r="B6018" s="21" t="s">
        <v>1186</v>
      </c>
      <c r="C6018" s="21" t="s">
        <v>1192</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65</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1302</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185</v>
      </c>
      <c r="B6021" s="21" t="s">
        <v>1245</v>
      </c>
      <c r="C6021" s="21" t="s">
        <v>1203</v>
      </c>
      <c r="D6021" s="21" t="s">
        <v>1188</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2832</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826</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row>
    <row r="6025" spans="1:12">
      <c r="A6025" s="20" t="s">
        <v>2833</v>
      </c>
    </row>
    <row r="6026" spans="1:12">
      <c r="A6026" s="20" t="s">
        <v>2834</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1265</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1502</v>
      </c>
      <c r="B6028" s="21" t="s">
        <v>1202</v>
      </c>
      <c r="C6028" s="21" t="s">
        <v>1246</v>
      </c>
      <c r="D6028" s="21" t="s">
        <v>1188</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1321</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1958</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2835</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1193</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2836</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1194</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2837</v>
      </c>
      <c r="B6035" s="21" t="s">
        <v>1248</v>
      </c>
      <c r="C6035" s="21" t="s">
        <v>1196</v>
      </c>
      <c r="D6035" s="21" t="s">
        <v>1188</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1206</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1345</v>
      </c>
      <c r="B6037" s="21" t="s">
        <v>1215</v>
      </c>
      <c r="C6037" s="21" t="s">
        <v>1196</v>
      </c>
      <c r="D6037" s="21" t="s">
        <v>1188</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1520</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680</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2838</v>
      </c>
      <c r="B6040" s="21" t="s">
        <v>1245</v>
      </c>
      <c r="C6040" s="21" t="s">
        <v>1231</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1197</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2839</v>
      </c>
      <c r="B6042" s="21" t="s">
        <v>1215</v>
      </c>
      <c r="C6042" s="21" t="s">
        <v>1615</v>
      </c>
      <c r="D6042" s="21" t="s">
        <v>1188</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2823</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2808</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163</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1193</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1302</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1564</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2840</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427</v>
      </c>
      <c r="B6050" s="21" t="s">
        <v>1248</v>
      </c>
      <c r="C6050" s="21" t="s">
        <v>1246</v>
      </c>
      <c r="D6050" s="21" t="s">
        <v>1188</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1232</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1210</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2841</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2842</v>
      </c>
      <c r="B6054" s="21" t="s">
        <v>1199</v>
      </c>
      <c r="C6054" s="21" t="s">
        <v>1196</v>
      </c>
      <c r="D6054" s="21" t="s">
        <v>1188</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826</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row>
    <row r="6057" spans="1:12">
      <c r="A6057" s="20" t="s">
        <v>2843</v>
      </c>
    </row>
    <row r="6058" spans="1:12">
      <c r="A6058" s="20" t="s">
        <v>1316</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185</v>
      </c>
      <c r="B6059" s="21" t="s">
        <v>1202</v>
      </c>
      <c r="C6059" s="21" t="s">
        <v>1203</v>
      </c>
      <c r="D6059" s="21" t="s">
        <v>1188</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1447</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2212</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1397</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2844</v>
      </c>
      <c r="B6063" s="21" t="s">
        <v>1212</v>
      </c>
      <c r="C6063" s="21" t="s">
        <v>1192</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t="s">
        <v>1193</v>
      </c>
      <c r="E6064" s="22">
        <f>IF(D6064="?OLD","!!!","")</f>
        <v/>
      </c>
      <c r="F6064" s="23" t="str">
        <f>IF(OR(E6064="",E6064="!!!"),"",IF(NOT(ISNA(VLOOKUP(E6064,E$1:E6063,1,FALSE()))),"OLD",IF(AND(E6064&lt;&gt;"",E6064&lt;&gt;"!!!"),"NEW","")))</f>
        <v> </v>
      </c>
      <c r="G6064" s="24" t="str">
        <f>IF(OR(E6064="",E6064="!!!"),"",IF(OR(J6064=0,AND(J6064=1,K6064=1),AND(J6064=1,I6064="SBJ"),AND(J6064=1,I6064=0)),"?IN_FOCUS",IF(J6064&lt;=2,"?ACTIVATED",IF(J6064&lt;&gt;"","?FAMILIAR",IF(F6064="NEW",IF(ISNA(VLOOKUP(E6064,#REF!,1,FALSE())),"?TYPE_IDENTIFIABLE","?REFERENTIAL"),"_")))))</f>
        <v> </v>
      </c>
      <c r="H6064" s="25" t="str">
        <f>IF(J6064&lt;&gt;1,"",IF(I6064="SBJ","CB","?"))</f>
        <v> </v>
      </c>
      <c r="I6064" s="26" t="str">
        <f>IF(OR(E6064="",E6064="!!!",F6064="NEW"),"",INDEX(B6063:B$2,-1+SUMPRODUCT(MAX(ROW(E6063:E$2)*(E6064=E6063:E$2)))))</f>
        <v> </v>
      </c>
      <c r="J6064" s="26" t="str">
        <f>IF(OR(E6064="",E6064="!!!",F6064="NEW"),"",COUNTBLANK(OFFSET(A$1,,,SUMPRODUCT(MAX(ROW(E$2:E6064)*(E6064=E$2:E6064)))))-COUNTBLANK(OFFSET(A$1,,,SUMPRODUCT(MAX(ROW(E$1:E6063)*(E2=E$1:E6063))))))</f>
        <v> </v>
      </c>
      <c r="K6064" s="26" t="str">
        <f>IF(OR(E6064="",E6064="!!!",F6064="NEW"),"",INDEX(J$1:J6063,SUMPRODUCT(MAX(ROW(E$1:E6063)*(E6064=E$1:E6063)))))</f>
        <v> </v>
      </c>
      <c r="L6064" s="27"/>
    </row>
    <row r="6065" spans="1:12">
      <c r="A6065" s="20" t="s">
        <v>1662</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1039</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1194</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2786</v>
      </c>
      <c r="B6068" s="21" t="s">
        <v>1313</v>
      </c>
      <c r="C6068" s="21" t="s">
        <v>1196</v>
      </c>
      <c r="D6068" s="21" t="s">
        <v>1188</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1197</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2845</v>
      </c>
      <c r="B6070" s="21" t="s">
        <v>1285</v>
      </c>
      <c r="C6070" s="21" t="s">
        <v>1196</v>
      </c>
      <c r="D6070" s="21" t="s">
        <v>1188</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2393</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1713</v>
      </c>
      <c r="B6072" s="21" t="s">
        <v>1215</v>
      </c>
      <c r="C6072" s="21" t="s">
        <v>1192</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2808</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1278</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826</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row>
    <row r="6077" spans="1:12">
      <c r="A6077" s="20" t="s">
        <v>2846</v>
      </c>
    </row>
    <row r="6078" spans="1:12">
      <c r="A6078" s="20" t="s">
        <v>1201</v>
      </c>
      <c r="B6078" s="21" t="s">
        <v>1202</v>
      </c>
      <c r="C6078" s="21" t="s">
        <v>1203</v>
      </c>
      <c r="D6078" s="21" t="s">
        <v>1188</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1327</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1206</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2847</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2848</v>
      </c>
      <c r="B6082" s="21" t="s">
        <v>1186</v>
      </c>
      <c r="C6082" s="21" t="s">
        <v>1196</v>
      </c>
      <c r="D6082" s="21" t="s">
        <v>1188</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1193</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1366</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680</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2849</v>
      </c>
      <c r="B6086" s="21" t="s">
        <v>1248</v>
      </c>
      <c r="C6086" s="21" t="s">
        <v>1231</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1210</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2850</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2851</v>
      </c>
      <c r="B6089" s="21" t="s">
        <v>1245</v>
      </c>
      <c r="C6089" s="21" t="s">
        <v>1196</v>
      </c>
      <c r="D6089" s="21" t="s">
        <v>1188</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1194</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2655</v>
      </c>
      <c r="B6091" s="21" t="s">
        <v>1245</v>
      </c>
      <c r="C6091" s="21" t="s">
        <v>1196</v>
      </c>
      <c r="D6091" s="21" t="s">
        <v>1188</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2656</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1260</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1193</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1210</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2850</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1442</v>
      </c>
      <c r="B6097" s="21" t="s">
        <v>1245</v>
      </c>
      <c r="C6097" s="21" t="s">
        <v>1196</v>
      </c>
      <c r="D6097" s="21" t="s">
        <v>1188</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1206</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1336</v>
      </c>
      <c r="B6099" s="21" t="s">
        <v>1215</v>
      </c>
      <c r="C6099" s="21" t="s">
        <v>1196</v>
      </c>
      <c r="D6099" s="21" t="s">
        <v>1188</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1193</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1302</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2852</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1260</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826</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row>
    <row r="6106" spans="1:12">
      <c r="A6106" s="20" t="s">
        <v>2853</v>
      </c>
    </row>
    <row r="6107" spans="1:12">
      <c r="A6107" s="20" t="s">
        <v>1320</v>
      </c>
      <c r="B6107" s="21" t="s">
        <v>1202</v>
      </c>
      <c r="C6107" s="21" t="s">
        <v>1216</v>
      </c>
      <c r="D6107" s="21" t="s">
        <v>1188</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1265</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1388</v>
      </c>
      <c r="B6109" s="21" t="s">
        <v>1186</v>
      </c>
      <c r="C6109" s="21" t="s">
        <v>1262</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1193</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1502</v>
      </c>
      <c r="B6111" s="21" t="s">
        <v>1245</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427</v>
      </c>
      <c r="B6112" s="21" t="s">
        <v>1248</v>
      </c>
      <c r="C6112" s="21" t="s">
        <v>1246</v>
      </c>
      <c r="D6112" s="21" t="s">
        <v>1188</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303</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1193</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1520</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2854</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2844</v>
      </c>
      <c r="B6117" s="21" t="s">
        <v>1313</v>
      </c>
      <c r="C6117" s="21" t="s">
        <v>1192</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1337</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t="s">
        <v>2855</v>
      </c>
      <c r="E6119" s="22">
        <f>IF(D6119="?OLD","!!!","")</f>
        <v/>
      </c>
      <c r="F6119" s="23" t="str">
        <f>IF(OR(E6119="",E6119="!!!"),"",IF(NOT(ISNA(VLOOKUP(E6119,E$1:E6118,1,FALSE()))),"OLD",IF(AND(E6119&lt;&gt;"",E6119&lt;&gt;"!!!"),"NEW","")))</f>
        <v> </v>
      </c>
      <c r="G6119" s="24" t="str">
        <f>IF(OR(E6119="",E6119="!!!"),"",IF(OR(J6119=0,AND(J6119=1,K6119=1),AND(J6119=1,I6119="SBJ"),AND(J6119=1,I6119=0)),"?IN_FOCUS",IF(J6119&lt;=2,"?ACTIVATED",IF(J6119&lt;&gt;"","?FAMILIAR",IF(F6119="NEW",IF(ISNA(VLOOKUP(E6119,#REF!,1,FALSE())),"?TYPE_IDENTIFIABLE","?REFERENTIAL"),"_")))))</f>
        <v> </v>
      </c>
      <c r="H6119" s="25" t="str">
        <f>IF(J6119&lt;&gt;1,"",IF(I6119="SBJ","CB","?"))</f>
        <v> </v>
      </c>
      <c r="I6119" s="26" t="str">
        <f>IF(OR(E6119="",E6119="!!!",F6119="NEW"),"",INDEX(B6118:B$2,-1+SUMPRODUCT(MAX(ROW(E6118:E$2)*(E6119=E6118:E$2)))))</f>
        <v> </v>
      </c>
      <c r="J6119" s="26" t="str">
        <f>IF(OR(E6119="",E6119="!!!",F6119="NEW"),"",COUNTBLANK(OFFSET(A$1,,,SUMPRODUCT(MAX(ROW(E$2:E6119)*(E6119=E$2:E6119)))))-COUNTBLANK(OFFSET(A$1,,,SUMPRODUCT(MAX(ROW(E$1:E6118)*(E2=E$1:E6118))))))</f>
        <v> </v>
      </c>
      <c r="K6119" s="26" t="str">
        <f>IF(OR(E6119="",E6119="!!!",F6119="NEW"),"",INDEX(J$1:J6118,SUMPRODUCT(MAX(ROW(E$1:E6118)*(E6119=E$1:E6118)))))</f>
        <v> </v>
      </c>
      <c r="L6119" s="27"/>
    </row>
    <row r="6120" spans="1:12">
      <c r="A6120" s="20" t="s">
        <v>1302</v>
      </c>
      <c r="E6120" s="22">
        <f>IF(D6120="?OLD","!!!","")</f>
        <v/>
      </c>
      <c r="F6120" s="23" t="str">
        <f>IF(OR(E6120="",E6120="!!!"),"",IF(NOT(ISNA(VLOOKUP(E6120,E$1:E6119,1,FALSE()))),"OLD",IF(AND(E6120&lt;&gt;"",E6120&lt;&gt;"!!!"),"NEW","")))</f>
        <v> </v>
      </c>
      <c r="G6120" s="24" t="str">
        <f>IF(OR(E6120="",E6120="!!!"),"",IF(OR(J6120=0,AND(J6120=1,K6120=1),AND(J6120=1,I6120="SBJ"),AND(J6120=1,I6120=0)),"?IN_FOCUS",IF(J6120&lt;=2,"?ACTIVATED",IF(J6120&lt;&gt;"","?FAMILIAR",IF(F6120="NEW",IF(ISNA(VLOOKUP(E6120,#REF!,1,FALSE())),"?TYPE_IDENTIFIABLE","?REFERENTIAL"),"_")))))</f>
        <v> </v>
      </c>
      <c r="H6120" s="25" t="str">
        <f>IF(J6120&lt;&gt;1,"",IF(I6120="SBJ","CB","?"))</f>
        <v> </v>
      </c>
      <c r="I6120" s="26" t="str">
        <f>IF(OR(E6120="",E6120="!!!",F6120="NEW"),"",INDEX(B6119:B$2,-1+SUMPRODUCT(MAX(ROW(E6119:E$2)*(E6120=E6119:E$2)))))</f>
        <v> </v>
      </c>
      <c r="J6120" s="26" t="str">
        <f>IF(OR(E6120="",E6120="!!!",F6120="NEW"),"",COUNTBLANK(OFFSET(A$1,,,SUMPRODUCT(MAX(ROW(E$2:E6120)*(E6120=E$2:E6120)))))-COUNTBLANK(OFFSET(A$1,,,SUMPRODUCT(MAX(ROW(E$1:E6119)*(E2=E$1:E6119))))))</f>
        <v> </v>
      </c>
      <c r="K6120" s="26" t="str">
        <f>IF(OR(E6120="",E6120="!!!",F6120="NEW"),"",INDEX(J$1:J6119,SUMPRODUCT(MAX(ROW(E$1:E6119)*(E6120=E$1:E6119)))))</f>
        <v> </v>
      </c>
      <c r="L6120" s="27"/>
    </row>
    <row r="6121" spans="1:12">
      <c r="A6121" s="20" t="s">
        <v>2076</v>
      </c>
      <c r="B6121" s="21" t="s">
        <v>1285</v>
      </c>
      <c r="C6121" s="21" t="s">
        <v>1308</v>
      </c>
      <c r="D6121" s="21" t="s">
        <v>1188</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2766</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1193</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1520</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185</v>
      </c>
      <c r="B6125" s="21" t="s">
        <v>1296</v>
      </c>
      <c r="C6125" s="21" t="s">
        <v>1203</v>
      </c>
      <c r="D6125" s="21" t="s">
        <v>1188</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1321</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1544</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2856</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2857</v>
      </c>
      <c r="B6129" s="21" t="s">
        <v>1347</v>
      </c>
      <c r="C6129" s="21" t="s">
        <v>1192</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2858</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1337</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292</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1193</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1937</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2859</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2860</v>
      </c>
      <c r="B6136" s="21" t="s">
        <v>1186</v>
      </c>
      <c r="C6136" s="21" t="s">
        <v>1192</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1232</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2184</v>
      </c>
      <c r="B6138" s="21" t="s">
        <v>1215</v>
      </c>
      <c r="C6138" s="21" t="s">
        <v>1262</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1336</v>
      </c>
      <c r="B6139" s="21" t="s">
        <v>1199</v>
      </c>
      <c r="C6139" s="21" t="s">
        <v>1331</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826</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row>
    <row r="6142" spans="1:12">
      <c r="A6142" s="20" t="s">
        <v>2861</v>
      </c>
    </row>
    <row r="6143" spans="1:12">
      <c r="A6143" s="20" t="s">
        <v>2562</v>
      </c>
      <c r="B6143" s="21" t="s">
        <v>1202</v>
      </c>
      <c r="C6143" s="21" t="s">
        <v>1192</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1265</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2540</v>
      </c>
      <c r="B6145" s="21" t="s">
        <v>1186</v>
      </c>
      <c r="C6145" s="21" t="s">
        <v>1246</v>
      </c>
      <c r="D6145" s="21" t="s">
        <v>1188</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2862</v>
      </c>
      <c r="B6146" s="21" t="s">
        <v>1186</v>
      </c>
      <c r="C6146" s="21" t="s">
        <v>1331</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826</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row>
    <row r="6149" spans="1:12">
      <c r="A6149" s="20" t="s">
        <v>2863</v>
      </c>
    </row>
    <row r="6150" spans="1:12">
      <c r="A6150" s="20" t="s">
        <v>1796</v>
      </c>
      <c r="B6150" s="21" t="s">
        <v>1202</v>
      </c>
      <c r="C6150" s="21" t="s">
        <v>1192</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1265</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2540</v>
      </c>
      <c r="B6152" s="21" t="s">
        <v>1186</v>
      </c>
      <c r="C6152" s="21" t="s">
        <v>1246</v>
      </c>
      <c r="D6152" s="21" t="s">
        <v>1188</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2862</v>
      </c>
      <c r="B6153" s="21" t="s">
        <v>1186</v>
      </c>
      <c r="C6153" s="21" t="s">
        <v>1331</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1193</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1302</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427</v>
      </c>
      <c r="B6156" s="21" t="s">
        <v>1248</v>
      </c>
      <c r="C6156" s="21" t="s">
        <v>1246</v>
      </c>
      <c r="D6156" s="21" t="s">
        <v>1188</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1324</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1250</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2386</v>
      </c>
      <c r="B6159" s="21" t="s">
        <v>1215</v>
      </c>
      <c r="C6159" s="21" t="s">
        <v>1304</v>
      </c>
      <c r="D6159" s="21" t="s">
        <v>1188</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2864</v>
      </c>
      <c r="B6160" s="21" t="s">
        <v>1199</v>
      </c>
      <c r="C6160" s="21" t="s">
        <v>1192</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1232</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1268</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2865</v>
      </c>
      <c r="B6163" s="21" t="s">
        <v>1199</v>
      </c>
      <c r="C6163" s="21" t="s">
        <v>1196</v>
      </c>
      <c r="D6163" s="21" t="s">
        <v>1188</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1321</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2783</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670</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826</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row>
    <row r="6169" spans="1:12">
      <c r="A6169" s="20" t="s">
        <v>2866</v>
      </c>
    </row>
    <row r="6170" spans="1:12">
      <c r="A6170" s="20" t="s">
        <v>1270</v>
      </c>
      <c r="B6170" s="21" t="s">
        <v>1186</v>
      </c>
      <c r="C6170" s="21" t="s">
        <v>1187</v>
      </c>
      <c r="D6170" s="21" t="s">
        <v>1188</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826</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row>
    <row r="6173" spans="1:12">
      <c r="A6173" s="20" t="s">
        <v>2867</v>
      </c>
    </row>
    <row r="6174" spans="1:12">
      <c r="A6174" s="20" t="s">
        <v>1201</v>
      </c>
      <c r="B6174" s="21" t="s">
        <v>1202</v>
      </c>
      <c r="C6174" s="21" t="s">
        <v>1203</v>
      </c>
      <c r="D6174" s="21" t="s">
        <v>1188</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1327</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1300</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1321</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1963</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1193</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1309</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1310</v>
      </c>
      <c r="B6181" s="21" t="s">
        <v>1296</v>
      </c>
      <c r="C6181" s="21" t="s">
        <v>1262</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1228</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1247</v>
      </c>
      <c r="B6183" s="21" t="s">
        <v>1347</v>
      </c>
      <c r="C6183" s="21" t="s">
        <v>1231</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1194</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2098</v>
      </c>
      <c r="B6185" s="21" t="s">
        <v>1347</v>
      </c>
      <c r="C6185" s="21" t="s">
        <v>1196</v>
      </c>
      <c r="D6185" s="21" t="s">
        <v>1188</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2868</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1193</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1478</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1271</v>
      </c>
      <c r="B6189" s="21" t="s">
        <v>1296</v>
      </c>
      <c r="C6189" s="21" t="s">
        <v>1203</v>
      </c>
      <c r="D6189" s="21" t="s">
        <v>1188</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2869</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1193</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1502</v>
      </c>
      <c r="B6192" s="21" t="s">
        <v>1248</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1709</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1265</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1194</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2098</v>
      </c>
      <c r="B6196" s="21" t="s">
        <v>1186</v>
      </c>
      <c r="C6196" s="21" t="s">
        <v>1196</v>
      </c>
      <c r="D6196" s="21" t="s">
        <v>1188</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826</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row>
    <row r="6199" spans="1:12">
      <c r="A6199" s="20" t="s">
        <v>2870</v>
      </c>
    </row>
    <row r="6200" spans="1:12">
      <c r="A6200" s="20" t="s">
        <v>2729</v>
      </c>
      <c r="B6200" s="21" t="s">
        <v>1202</v>
      </c>
      <c r="C6200" s="21" t="s">
        <v>1187</v>
      </c>
      <c r="D6200" s="21" t="s">
        <v>1188</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1190</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2871</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1194</v>
      </c>
      <c r="B6203" s="21" t="s">
        <v>1202</v>
      </c>
      <c r="C6203" s="21" t="s">
        <v>1246</v>
      </c>
      <c r="D6203" s="21" t="s">
        <v>1188</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1953</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1914</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2872</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826</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row>
    <row r="6209" spans="1:12">
      <c r="A6209" s="20" t="s">
        <v>2873</v>
      </c>
    </row>
    <row r="6210" spans="1:12">
      <c r="A6210" s="20" t="s">
        <v>1294</v>
      </c>
      <c r="B6210" s="21" t="s">
        <v>1186</v>
      </c>
      <c r="C6210" s="21" t="s">
        <v>1203</v>
      </c>
      <c r="D6210" s="21" t="s">
        <v>1188</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1190</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1264</v>
      </c>
      <c r="B6212" s="21" t="s">
        <v>1248</v>
      </c>
      <c r="C6212" s="21" t="s">
        <v>1203</v>
      </c>
      <c r="D6212" s="21" t="s">
        <v>1188</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2874</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1312</v>
      </c>
      <c r="B6214" s="21" t="s">
        <v>1245</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t="s">
        <v>1193</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1607</v>
      </c>
      <c r="B6216" s="21" t="s">
        <v>1311</v>
      </c>
      <c r="C6216" s="21" t="s">
        <v>1203</v>
      </c>
      <c r="D6216" s="21" t="s">
        <v>1188</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2875</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826</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row>
    <row r="6220" spans="1:12">
      <c r="A6220" s="20" t="s">
        <v>2876</v>
      </c>
    </row>
    <row r="6221" spans="1:12">
      <c r="A6221" s="20" t="s">
        <v>1201</v>
      </c>
      <c r="B6221" s="21" t="s">
        <v>1202</v>
      </c>
      <c r="C6221" s="21" t="s">
        <v>1203</v>
      </c>
      <c r="D6221" s="21" t="s">
        <v>1188</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2722</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1193</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1539</v>
      </c>
      <c r="B6224" s="21" t="s">
        <v>1215</v>
      </c>
      <c r="C6224" s="21" t="s">
        <v>1304</v>
      </c>
      <c r="D6224" s="21" t="s">
        <v>1188</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2877</v>
      </c>
      <c r="B6225" s="21" t="s">
        <v>1248</v>
      </c>
      <c r="C6225" s="21" t="s">
        <v>1192</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1243</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1382</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1566</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1241</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1309</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2413</v>
      </c>
      <c r="B6231" s="21" t="s">
        <v>1215</v>
      </c>
      <c r="C6231" s="21" t="s">
        <v>1304</v>
      </c>
      <c r="D6231" s="21" t="s">
        <v>1188</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1888</v>
      </c>
      <c r="B6232" s="21" t="s">
        <v>1199</v>
      </c>
      <c r="C6232" s="21" t="s">
        <v>1331</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1208</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2601</v>
      </c>
      <c r="B6234" s="21" t="s">
        <v>1285</v>
      </c>
      <c r="C6234" s="21" t="s">
        <v>1203</v>
      </c>
      <c r="D6234" s="21" t="s">
        <v>1188</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2354</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826</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row>
    <row r="6238" spans="1:12">
      <c r="A6238" s="20" t="s">
        <v>2878</v>
      </c>
    </row>
    <row r="6239" spans="1:12">
      <c r="A6239" s="20" t="s">
        <v>1270</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1190</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2173</v>
      </c>
      <c r="B6241" s="21" t="s">
        <v>1186</v>
      </c>
      <c r="C6241" s="21" t="s">
        <v>1187</v>
      </c>
      <c r="D6241" s="21" t="s">
        <v>1188</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1193</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933</v>
      </c>
      <c r="B6243" s="21" t="s">
        <v>1186</v>
      </c>
      <c r="C6243" s="21" t="s">
        <v>1187</v>
      </c>
      <c r="D6243" s="21" t="s">
        <v>1188</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826</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row>
    <row r="6246" spans="1:12">
      <c r="A6246" s="20" t="s">
        <v>2879</v>
      </c>
    </row>
    <row r="6247" spans="1:12">
      <c r="A6247" s="20" t="s">
        <v>1552</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2880</v>
      </c>
      <c r="B6248" s="21" t="s">
        <v>1202</v>
      </c>
      <c r="C6248" s="21" t="s">
        <v>1187</v>
      </c>
      <c r="D6248" s="21" t="s">
        <v>1188</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2881</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2882</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2043</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2146</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1494</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t="s">
        <v>2883</v>
      </c>
      <c r="B6254" s="21" t="s">
        <v>1212</v>
      </c>
      <c r="C6254" s="21" t="s">
        <v>1231</v>
      </c>
      <c r="E6254" s="22">
        <f>IF(D6254="?OLD","!!!","")</f>
        <v/>
      </c>
      <c r="F6254" s="23" t="str">
        <f>IF(OR(E6254="",E6254="!!!"),"",IF(NOT(ISNA(VLOOKUP(E6254,E$1:E6253,1,FALSE()))),"OLD",IF(AND(E6254&lt;&gt;"",E6254&lt;&gt;"!!!"),"NEW","")))</f>
        <v> </v>
      </c>
      <c r="G6254" s="24" t="str">
        <f>IF(OR(E6254="",E6254="!!!"),"",IF(OR(J6254=0,AND(J6254=1,K6254=1),AND(J6254=1,I6254="SBJ"),AND(J6254=1,I6254=0)),"?IN_FOCUS",IF(J6254&lt;=2,"?ACTIVATED",IF(J6254&lt;&gt;"","?FAMILIAR",IF(F6254="NEW",IF(ISNA(VLOOKUP(E6254,#REF!,1,FALSE())),"?TYPE_IDENTIFIABLE","?REFERENTIAL"),"_")))))</f>
        <v> </v>
      </c>
      <c r="H6254" s="25" t="str">
        <f>IF(J6254&lt;&gt;1,"",IF(I6254="SBJ","CB","?"))</f>
        <v> </v>
      </c>
      <c r="I6254" s="26" t="str">
        <f>IF(OR(E6254="",E6254="!!!",F6254="NEW"),"",INDEX(B6253:B$2,-1+SUMPRODUCT(MAX(ROW(E6253:E$2)*(E6254=E6253:E$2)))))</f>
        <v> </v>
      </c>
      <c r="J6254" s="26" t="str">
        <f>IF(OR(E6254="",E6254="!!!",F6254="NEW"),"",COUNTBLANK(OFFSET(A$1,,,SUMPRODUCT(MAX(ROW(E$2:E6254)*(E6254=E$2:E6254)))))-COUNTBLANK(OFFSET(A$1,,,SUMPRODUCT(MAX(ROW(E$1:E6253)*(E2=E$1:E6253))))))</f>
        <v> </v>
      </c>
      <c r="K6254" s="26" t="str">
        <f>IF(OR(E6254="",E6254="!!!",F6254="NEW"),"",INDEX(J$1:J6253,SUMPRODUCT(MAX(ROW(E$1:E6253)*(E6254=E$1:E6253)))))</f>
        <v> </v>
      </c>
      <c r="L6254" s="27"/>
    </row>
    <row r="6255" spans="1:12">
      <c r="A6255" s="20" t="s">
        <v>1359</v>
      </c>
      <c r="E6255" s="22">
        <f>IF(D6255="?OLD","!!!","")</f>
        <v/>
      </c>
      <c r="F6255" s="23" t="str">
        <f>IF(OR(E6255="",E6255="!!!"),"",IF(NOT(ISNA(VLOOKUP(E6255,E$1:E6254,1,FALSE()))),"OLD",IF(AND(E6255&lt;&gt;"",E6255&lt;&gt;"!!!"),"NEW","")))</f>
        <v> </v>
      </c>
      <c r="G6255" s="24" t="str">
        <f>IF(OR(E6255="",E6255="!!!"),"",IF(OR(J6255=0,AND(J6255=1,K6255=1),AND(J6255=1,I6255="SBJ"),AND(J6255=1,I6255=0)),"?IN_FOCUS",IF(J6255&lt;=2,"?ACTIVATED",IF(J6255&lt;&gt;"","?FAMILIAR",IF(F6255="NEW",IF(ISNA(VLOOKUP(E6255,#REF!,1,FALSE())),"?TYPE_IDENTIFIABLE","?REFERENTIAL"),"_")))))</f>
        <v> </v>
      </c>
      <c r="H6255" s="25" t="str">
        <f>IF(J6255&lt;&gt;1,"",IF(I6255="SBJ","CB","?"))</f>
        <v> </v>
      </c>
      <c r="I6255" s="26" t="str">
        <f>IF(OR(E6255="",E6255="!!!",F6255="NEW"),"",INDEX(B6254:B$2,-1+SUMPRODUCT(MAX(ROW(E6254:E$2)*(E6255=E6254:E$2)))))</f>
        <v> </v>
      </c>
      <c r="J6255" s="26" t="str">
        <f>IF(OR(E6255="",E6255="!!!",F6255="NEW"),"",COUNTBLANK(OFFSET(A$1,,,SUMPRODUCT(MAX(ROW(E$2:E6255)*(E6255=E$2:E6255)))))-COUNTBLANK(OFFSET(A$1,,,SUMPRODUCT(MAX(ROW(E$1:E6254)*(E2=E$1:E6254))))))</f>
        <v> </v>
      </c>
      <c r="K6255" s="26" t="str">
        <f>IF(OR(E6255="",E6255="!!!",F6255="NEW"),"",INDEX(J$1:J6254,SUMPRODUCT(MAX(ROW(E$1:E6254)*(E6255=E$1:E6254)))))</f>
        <v> </v>
      </c>
      <c r="L6255" s="27"/>
    </row>
    <row r="6256" spans="1:12">
      <c r="A6256" s="20" t="s">
        <v>1275</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826</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row>
    <row r="6259" spans="1:12">
      <c r="A6259" s="20" t="s">
        <v>2884</v>
      </c>
    </row>
    <row r="6260" spans="1:12">
      <c r="A6260" s="20" t="s">
        <v>2885</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57</v>
      </c>
      <c r="B6261" s="21" t="s">
        <v>1202</v>
      </c>
      <c r="C6261" s="21" t="s">
        <v>1203</v>
      </c>
      <c r="D6261" s="21" t="s">
        <v>1188</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1194</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2702</v>
      </c>
      <c r="B6263" s="21" t="s">
        <v>1212</v>
      </c>
      <c r="C6263" s="21" t="s">
        <v>1196</v>
      </c>
      <c r="D6263" s="21" t="s">
        <v>1188</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1193</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2284</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1828</v>
      </c>
      <c r="B6266" s="21" t="s">
        <v>1186</v>
      </c>
      <c r="C6266" s="21" t="s">
        <v>1187</v>
      </c>
      <c r="D6266" s="21" t="s">
        <v>1188</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1103</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1193</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17</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1257</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row>
    <row r="6272" spans="1:12">
      <c r="A6272" s="20" t="s">
        <v>2343</v>
      </c>
    </row>
    <row r="6273" spans="1:12">
      <c r="A6273" s="20" t="s">
        <v>1294</v>
      </c>
      <c r="B6273" s="21" t="s">
        <v>1186</v>
      </c>
      <c r="C6273" s="21" t="s">
        <v>1203</v>
      </c>
      <c r="D6273" s="21" t="s">
        <v>1188</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1190</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2344</v>
      </c>
      <c r="B6275" s="21" t="s">
        <v>1186</v>
      </c>
      <c r="C6275" s="21" t="s">
        <v>1187</v>
      </c>
      <c r="D6275" s="21" t="s">
        <v>1188</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826</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row>
    <row r="6278" spans="1:12">
      <c r="A6278" s="20" t="s">
        <v>2886</v>
      </c>
    </row>
    <row r="6279" spans="1:12">
      <c r="A6279" s="20" t="s">
        <v>1320</v>
      </c>
      <c r="B6279" s="21" t="s">
        <v>1202</v>
      </c>
      <c r="C6279" s="21" t="s">
        <v>1216</v>
      </c>
      <c r="D6279" s="21" t="s">
        <v>1188</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t="s">
        <v>1994</v>
      </c>
      <c r="E6280" s="22">
        <f>IF(D6280="?OLD","!!!","")</f>
        <v/>
      </c>
      <c r="F6280" s="23" t="str">
        <f>IF(OR(E6280="",E6280="!!!"),"",IF(NOT(ISNA(VLOOKUP(E6280,E$1:E6279,1,FALSE()))),"OLD",IF(AND(E6280&lt;&gt;"",E6280&lt;&gt;"!!!"),"NEW","")))</f>
        <v> </v>
      </c>
      <c r="G6280" s="24" t="str">
        <f>IF(OR(E6280="",E6280="!!!"),"",IF(OR(J6280=0,AND(J6280=1,K6280=1),AND(J6280=1,I6280="SBJ"),AND(J6280=1,I6280=0)),"?IN_FOCUS",IF(J6280&lt;=2,"?ACTIVATED",IF(J6280&lt;&gt;"","?FAMILIAR",IF(F6280="NEW",IF(ISNA(VLOOKUP(E6280,#REF!,1,FALSE())),"?TYPE_IDENTIFIABLE","?REFERENTIAL"),"_")))))</f>
        <v> </v>
      </c>
      <c r="H6280" s="25" t="str">
        <f>IF(J6280&lt;&gt;1,"",IF(I6280="SBJ","CB","?"))</f>
        <v> </v>
      </c>
      <c r="I6280" s="26" t="str">
        <f>IF(OR(E6280="",E6280="!!!",F6280="NEW"),"",INDEX(B6279:B$2,-1+SUMPRODUCT(MAX(ROW(E6279:E$2)*(E6280=E6279:E$2)))))</f>
        <v> </v>
      </c>
      <c r="J6280" s="26" t="str">
        <f>IF(OR(E6280="",E6280="!!!",F6280="NEW"),"",COUNTBLANK(OFFSET(A$1,,,SUMPRODUCT(MAX(ROW(E$2:E6280)*(E6280=E$2:E6280)))))-COUNTBLANK(OFFSET(A$1,,,SUMPRODUCT(MAX(ROW(E$1:E6279)*(E2=E$1:E6279))))))</f>
        <v> </v>
      </c>
      <c r="K6280" s="26" t="str">
        <f>IF(OR(E6280="",E6280="!!!",F6280="NEW"),"",INDEX(J$1:J6279,SUMPRODUCT(MAX(ROW(E$1:E6279)*(E6280=E$1:E6279)))))</f>
        <v> </v>
      </c>
      <c r="L6280" s="27"/>
    </row>
    <row r="6281" spans="1:12">
      <c r="A6281" s="20" t="s">
        <v>1486</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1322</v>
      </c>
      <c r="B6282" s="21" t="s">
        <v>1186</v>
      </c>
      <c r="C6282" s="21" t="s">
        <v>1192</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826</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row>
    <row r="6285" spans="1:12">
      <c r="A6285" s="20" t="s">
        <v>2887</v>
      </c>
    </row>
    <row r="6286" spans="1:12">
      <c r="A6286" s="20" t="s">
        <v>1552</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2888</v>
      </c>
      <c r="B6287" s="21" t="s">
        <v>1202</v>
      </c>
      <c r="C6287" s="21" t="s">
        <v>1196</v>
      </c>
      <c r="D6287" s="21" t="s">
        <v>1188</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1193</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1194</v>
      </c>
      <c r="B6289" s="21" t="s">
        <v>1311</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1194</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1613</v>
      </c>
      <c r="B6291" s="21" t="s">
        <v>1313</v>
      </c>
      <c r="C6291" s="21" t="s">
        <v>1401</v>
      </c>
      <c r="D6291" s="21" t="s">
        <v>1188</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1755</v>
      </c>
      <c r="B6292" s="21" t="s">
        <v>1298</v>
      </c>
      <c r="C6292" s="21" t="s">
        <v>1216</v>
      </c>
      <c r="D6292" s="21" t="s">
        <v>1188</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2889</v>
      </c>
      <c r="B6293" s="21" t="s">
        <v>1285</v>
      </c>
      <c r="C6293" s="21" t="s">
        <v>1218</v>
      </c>
      <c r="D6293" s="21" t="s">
        <v>1188</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2890</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1193</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1341</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1502</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2209</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2210</v>
      </c>
      <c r="B6299" s="21" t="s">
        <v>1186</v>
      </c>
      <c r="C6299" s="21" t="s">
        <v>1196</v>
      </c>
      <c r="D6299" s="21" t="s">
        <v>1188</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1302</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1194</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2891</v>
      </c>
      <c r="B6302" s="21" t="s">
        <v>1186</v>
      </c>
      <c r="C6302" s="21" t="s">
        <v>1196</v>
      </c>
      <c r="D6302" s="21" t="s">
        <v>1188</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1193</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1194</v>
      </c>
      <c r="B6304" s="21" t="s">
        <v>1311</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1210</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2892</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2893</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2894</v>
      </c>
      <c r="B6308" s="21" t="s">
        <v>1313</v>
      </c>
      <c r="C6308" s="21" t="s">
        <v>1196</v>
      </c>
      <c r="D6308" s="21" t="s">
        <v>1188</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1232</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1210</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1603</v>
      </c>
      <c r="B6311" s="21" t="s">
        <v>1285</v>
      </c>
      <c r="C6311" s="21" t="s">
        <v>1187</v>
      </c>
      <c r="D6311" s="21" t="s">
        <v>1188</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1302</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2895</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1520</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1194</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1336</v>
      </c>
      <c r="B6316" s="21" t="s">
        <v>1215</v>
      </c>
      <c r="C6316" s="21" t="s">
        <v>1196</v>
      </c>
      <c r="D6316" s="21" t="s">
        <v>1188</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2896</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1193</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1302</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1271</v>
      </c>
      <c r="B6320" s="21" t="s">
        <v>1248</v>
      </c>
      <c r="C6320" s="21" t="s">
        <v>1203</v>
      </c>
      <c r="D6320" s="21" t="s">
        <v>1188</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1654</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t="s">
        <v>1193</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1317</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1194</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1521</v>
      </c>
      <c r="B6325" s="21" t="s">
        <v>1311</v>
      </c>
      <c r="C6325" s="21" t="s">
        <v>1196</v>
      </c>
      <c r="D6325" s="21" t="s">
        <v>1188</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t="s">
        <v>2049</v>
      </c>
      <c r="E6326" s="22">
        <f>IF(D6326="?OLD","!!!","")</f>
        <v/>
      </c>
      <c r="F6326" s="23" t="str">
        <f>IF(OR(E6326="",E6326="!!!"),"",IF(NOT(ISNA(VLOOKUP(E6326,E$1:E6325,1,FALSE()))),"OLD",IF(AND(E6326&lt;&gt;"",E6326&lt;&gt;"!!!"),"NEW","")))</f>
        <v> </v>
      </c>
      <c r="G6326" s="24" t="str">
        <f>IF(OR(E6326="",E6326="!!!"),"",IF(OR(J6326=0,AND(J6326=1,K6326=1),AND(J6326=1,I6326="SBJ"),AND(J6326=1,I6326=0)),"?IN_FOCUS",IF(J6326&lt;=2,"?ACTIVATED",IF(J6326&lt;&gt;"","?FAMILIAR",IF(F6326="NEW",IF(ISNA(VLOOKUP(E6326,#REF!,1,FALSE())),"?TYPE_IDENTIFIABLE","?REFERENTIAL"),"_")))))</f>
        <v> </v>
      </c>
      <c r="H6326" s="25" t="str">
        <f>IF(J6326&lt;&gt;1,"",IF(I6326="SBJ","CB","?"))</f>
        <v> </v>
      </c>
      <c r="I6326" s="26" t="str">
        <f>IF(OR(E6326="",E6326="!!!",F6326="NEW"),"",INDEX(B6325:B$2,-1+SUMPRODUCT(MAX(ROW(E6325:E$2)*(E6326=E6325:E$2)))))</f>
        <v> </v>
      </c>
      <c r="J6326" s="26" t="str">
        <f>IF(OR(E6326="",E6326="!!!",F6326="NEW"),"",COUNTBLANK(OFFSET(A$1,,,SUMPRODUCT(MAX(ROW(E$2:E6326)*(E6326=E$2:E6326)))))-COUNTBLANK(OFFSET(A$1,,,SUMPRODUCT(MAX(ROW(E$1:E6325)*(E2=E$1:E6325))))))</f>
        <v> </v>
      </c>
      <c r="K6326" s="26" t="str">
        <f>IF(OR(E6326="",E6326="!!!",F6326="NEW"),"",INDEX(J$1:J6325,SUMPRODUCT(MAX(ROW(E$1:E6325)*(E6326=E$1:E6325)))))</f>
        <v> </v>
      </c>
      <c r="L6326" s="27"/>
    </row>
    <row r="6327" spans="1:12">
      <c r="A6327" s="20" t="s">
        <v>1193</v>
      </c>
      <c r="E6327" s="22">
        <f>IF(D6327="?OLD","!!!","")</f>
        <v/>
      </c>
      <c r="F6327" s="23" t="str">
        <f>IF(OR(E6327="",E6327="!!!"),"",IF(NOT(ISNA(VLOOKUP(E6327,E$1:E6326,1,FALSE()))),"OLD",IF(AND(E6327&lt;&gt;"",E6327&lt;&gt;"!!!"),"NEW","")))</f>
        <v> </v>
      </c>
      <c r="G6327" s="24" t="str">
        <f>IF(OR(E6327="",E6327="!!!"),"",IF(OR(J6327=0,AND(J6327=1,K6327=1),AND(J6327=1,I6327="SBJ"),AND(J6327=1,I6327=0)),"?IN_FOCUS",IF(J6327&lt;=2,"?ACTIVATED",IF(J6327&lt;&gt;"","?FAMILIAR",IF(F6327="NEW",IF(ISNA(VLOOKUP(E6327,#REF!,1,FALSE())),"?TYPE_IDENTIFIABLE","?REFERENTIAL"),"_")))))</f>
        <v> </v>
      </c>
      <c r="H6327" s="25" t="str">
        <f>IF(J6327&lt;&gt;1,"",IF(I6327="SBJ","CB","?"))</f>
        <v> </v>
      </c>
      <c r="I6327" s="26" t="str">
        <f>IF(OR(E6327="",E6327="!!!",F6327="NEW"),"",INDEX(B6326:B$2,-1+SUMPRODUCT(MAX(ROW(E6326:E$2)*(E6327=E6326:E$2)))))</f>
        <v> </v>
      </c>
      <c r="J6327" s="26" t="str">
        <f>IF(OR(E6327="",E6327="!!!",F6327="NEW"),"",COUNTBLANK(OFFSET(A$1,,,SUMPRODUCT(MAX(ROW(E$2:E6327)*(E6327=E$2:E6327)))))-COUNTBLANK(OFFSET(A$1,,,SUMPRODUCT(MAX(ROW(E$1:E6326)*(E2=E$1:E6326))))))</f>
        <v> </v>
      </c>
      <c r="K6327" s="26" t="str">
        <f>IF(OR(E6327="",E6327="!!!",F6327="NEW"),"",INDEX(J$1:J6326,SUMPRODUCT(MAX(ROW(E$1:E6326)*(E6327=E$1:E6326)))))</f>
        <v> </v>
      </c>
      <c r="L6327" s="27"/>
    </row>
    <row r="6328" spans="1:12">
      <c r="A6328" s="20" t="s">
        <v>427</v>
      </c>
      <c r="B6328" s="21" t="s">
        <v>1296</v>
      </c>
      <c r="C6328" s="21" t="s">
        <v>1246</v>
      </c>
      <c r="D6328" s="21" t="s">
        <v>1188</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2897</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1502</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1193</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1502</v>
      </c>
      <c r="B6332" s="21" t="s">
        <v>1919</v>
      </c>
      <c r="C6332" s="21" t="s">
        <v>1216</v>
      </c>
      <c r="D6332" s="21" t="s">
        <v>1188</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1265</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1388</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1193</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1502</v>
      </c>
      <c r="B6336" s="21" t="s">
        <v>1348</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2898</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1895</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1193</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1419</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1265</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1502</v>
      </c>
      <c r="B6342" s="21" t="s">
        <v>1436</v>
      </c>
      <c r="C6342" s="21" t="s">
        <v>1216</v>
      </c>
      <c r="D6342" s="21" t="s">
        <v>1188</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680</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2899</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2900</v>
      </c>
      <c r="B6345" s="21" t="s">
        <v>1347</v>
      </c>
      <c r="C6345" s="21" t="s">
        <v>1218</v>
      </c>
      <c r="D6345" s="21" t="s">
        <v>1188</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1193</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1478</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185</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1265</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1321</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1502</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2901</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2900</v>
      </c>
      <c r="B6353" s="21" t="s">
        <v>1436</v>
      </c>
      <c r="C6353" s="21" t="s">
        <v>1196</v>
      </c>
      <c r="D6353" s="21" t="s">
        <v>1188</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826</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row>
    <row r="6356" spans="1:12">
      <c r="A6356" s="20" t="s">
        <v>2902</v>
      </c>
    </row>
    <row r="6357" spans="1:12">
      <c r="A6357" s="20" t="s">
        <v>1201</v>
      </c>
      <c r="B6357" s="21" t="s">
        <v>1202</v>
      </c>
      <c r="C6357" s="21" t="s">
        <v>1203</v>
      </c>
      <c r="D6357" s="21" t="s">
        <v>1188</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1654</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1193</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1502</v>
      </c>
      <c r="B6360" s="21" t="s">
        <v>1248</v>
      </c>
      <c r="C6360" s="21" t="s">
        <v>1216</v>
      </c>
      <c r="D6360" s="21" t="s">
        <v>1188</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1265</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1388</v>
      </c>
      <c r="B6362" s="21" t="s">
        <v>1212</v>
      </c>
      <c r="C6362" s="21" t="s">
        <v>1262</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1193</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1502</v>
      </c>
      <c r="B6364" s="21" t="s">
        <v>1311</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1194</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1456</v>
      </c>
      <c r="B6366" s="21" t="s">
        <v>1313</v>
      </c>
      <c r="C6366" s="21" t="s">
        <v>1196</v>
      </c>
      <c r="D6366" s="21" t="s">
        <v>1188</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219</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1314</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826</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row>
    <row r="6371" spans="1:12">
      <c r="A6371" s="20" t="s">
        <v>2903</v>
      </c>
    </row>
    <row r="6372" spans="1:12">
      <c r="A6372" s="20" t="s">
        <v>1316</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1337</v>
      </c>
      <c r="B6373" s="21" t="s">
        <v>1199</v>
      </c>
      <c r="C6373" s="21" t="s">
        <v>1262</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1206</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2904</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2316</v>
      </c>
      <c r="B6376" s="21" t="s">
        <v>1186</v>
      </c>
      <c r="C6376" s="21" t="s">
        <v>1196</v>
      </c>
      <c r="D6376" s="21" t="s">
        <v>1188</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1278</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1194</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1345</v>
      </c>
      <c r="B6379" s="21" t="s">
        <v>1202</v>
      </c>
      <c r="C6379" s="21" t="s">
        <v>1196</v>
      </c>
      <c r="D6379" s="21" t="s">
        <v>1188</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2905</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1193</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1366</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1668</v>
      </c>
      <c r="B6383" s="21" t="s">
        <v>1248</v>
      </c>
      <c r="C6383" s="21" t="s">
        <v>1246</v>
      </c>
      <c r="D6383" s="21" t="s">
        <v>1188</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1494</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1344</v>
      </c>
      <c r="B6385" s="21" t="s">
        <v>1245</v>
      </c>
      <c r="C6385" s="21" t="s">
        <v>1231</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2333</v>
      </c>
      <c r="B6386" s="21" t="s">
        <v>1245</v>
      </c>
      <c r="C6386" s="21" t="s">
        <v>1192</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2906</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1193</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1366</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1668</v>
      </c>
      <c r="B6390" s="21" t="s">
        <v>1248</v>
      </c>
      <c r="C6390" s="21" t="s">
        <v>1246</v>
      </c>
      <c r="D6390" s="21" t="s">
        <v>1188</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1204</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1193</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1366</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1271</v>
      </c>
      <c r="B6394" s="21" t="s">
        <v>1311</v>
      </c>
      <c r="C6394" s="21" t="s">
        <v>1203</v>
      </c>
      <c r="D6394" s="21" t="s">
        <v>1188</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1194</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1417</v>
      </c>
      <c r="B6396" s="21" t="s">
        <v>1313</v>
      </c>
      <c r="C6396" s="21" t="s">
        <v>1196</v>
      </c>
      <c r="D6396" s="21" t="s">
        <v>1188</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1193</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1194</v>
      </c>
      <c r="B6398" s="21" t="s">
        <v>1436</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1300</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1301</v>
      </c>
      <c r="B6400" s="21" t="s">
        <v>1298</v>
      </c>
      <c r="C6400" s="21" t="s">
        <v>1203</v>
      </c>
      <c r="D6400" s="21" t="s">
        <v>1188</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1403</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163</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1193</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2907</v>
      </c>
      <c r="B6404" s="21" t="s">
        <v>1215</v>
      </c>
      <c r="C6404" s="21" t="s">
        <v>1246</v>
      </c>
      <c r="D6404" s="21" t="s">
        <v>1188</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1193</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1307</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t="s">
        <v>1271</v>
      </c>
      <c r="B6407" s="21" t="s">
        <v>1311</v>
      </c>
      <c r="C6407" s="21" t="s">
        <v>1203</v>
      </c>
      <c r="D6407" s="21" t="s">
        <v>1188</v>
      </c>
      <c r="E6407" s="22">
        <f>IF(D6407="?OLD","!!!","")</f>
        <v/>
      </c>
      <c r="F6407" s="23" t="str">
        <f>IF(OR(E6407="",E6407="!!!"),"",IF(NOT(ISNA(VLOOKUP(E6407,E$1:E6406,1,FALSE()))),"OLD",IF(AND(E6407&lt;&gt;"",E6407&lt;&gt;"!!!"),"NEW","")))</f>
        <v> </v>
      </c>
      <c r="G6407" s="24" t="str">
        <f>IF(OR(E6407="",E6407="!!!"),"",IF(OR(J6407=0,AND(J6407=1,K6407=1),AND(J6407=1,I6407="SBJ"),AND(J6407=1,I6407=0)),"?IN_FOCUS",IF(J6407&lt;=2,"?ACTIVATED",IF(J6407&lt;&gt;"","?FAMILIAR",IF(F6407="NEW",IF(ISNA(VLOOKUP(E6407,#REF!,1,FALSE())),"?TYPE_IDENTIFIABLE","?REFERENTIAL"),"_")))))</f>
        <v> </v>
      </c>
      <c r="H6407" s="25" t="str">
        <f>IF(J6407&lt;&gt;1,"",IF(I6407="SBJ","CB","?"))</f>
        <v> </v>
      </c>
      <c r="I6407" s="26" t="str">
        <f>IF(OR(E6407="",E6407="!!!",F6407="NEW"),"",INDEX(B6406:B$2,-1+SUMPRODUCT(MAX(ROW(E6406:E$2)*(E6407=E6406:E$2)))))</f>
        <v> </v>
      </c>
      <c r="J6407" s="26" t="str">
        <f>IF(OR(E6407="",E6407="!!!",F6407="NEW"),"",COUNTBLANK(OFFSET(A$1,,,SUMPRODUCT(MAX(ROW(E$2:E6407)*(E6407=E$2:E6407)))))-COUNTBLANK(OFFSET(A$1,,,SUMPRODUCT(MAX(ROW(E$1:E6406)*(E2=E$1:E6406))))))</f>
        <v> </v>
      </c>
      <c r="K6407" s="26" t="str">
        <f>IF(OR(E6407="",E6407="!!!",F6407="NEW"),"",INDEX(J$1:J6406,SUMPRODUCT(MAX(ROW(E$1:E6406)*(E6407=E$1:E6406)))))</f>
        <v> </v>
      </c>
      <c r="L6407" s="27"/>
    </row>
    <row r="6408" spans="1:12">
      <c r="A6408" s="20" t="s">
        <v>2908</v>
      </c>
      <c r="E6408" s="22">
        <f>IF(D6408="?OLD","!!!","")</f>
        <v/>
      </c>
      <c r="F6408" s="23" t="str">
        <f>IF(OR(E6408="",E6408="!!!"),"",IF(NOT(ISNA(VLOOKUP(E6408,E$1:E6407,1,FALSE()))),"OLD",IF(AND(E6408&lt;&gt;"",E6408&lt;&gt;"!!!"),"NEW","")))</f>
        <v> </v>
      </c>
      <c r="G6408" s="24" t="str">
        <f>IF(OR(E6408="",E6408="!!!"),"",IF(OR(J6408=0,AND(J6408=1,K6408=1),AND(J6408=1,I6408="SBJ"),AND(J6408=1,I6408=0)),"?IN_FOCUS",IF(J6408&lt;=2,"?ACTIVATED",IF(J6408&lt;&gt;"","?FAMILIAR",IF(F6408="NEW",IF(ISNA(VLOOKUP(E6408,#REF!,1,FALSE())),"?TYPE_IDENTIFIABLE","?REFERENTIAL"),"_")))))</f>
        <v> </v>
      </c>
      <c r="H6408" s="25" t="str">
        <f>IF(J6408&lt;&gt;1,"",IF(I6408="SBJ","CB","?"))</f>
        <v> </v>
      </c>
      <c r="I6408" s="26" t="str">
        <f>IF(OR(E6408="",E6408="!!!",F6408="NEW"),"",INDEX(B6407:B$2,-1+SUMPRODUCT(MAX(ROW(E6407:E$2)*(E6408=E6407:E$2)))))</f>
        <v> </v>
      </c>
      <c r="J6408" s="26" t="str">
        <f>IF(OR(E6408="",E6408="!!!",F6408="NEW"),"",COUNTBLANK(OFFSET(A$1,,,SUMPRODUCT(MAX(ROW(E$2:E6408)*(E6408=E$2:E6408)))))-COUNTBLANK(OFFSET(A$1,,,SUMPRODUCT(MAX(ROW(E$1:E6407)*(E2=E$1:E6407))))))</f>
        <v> </v>
      </c>
      <c r="K6408" s="26" t="str">
        <f>IF(OR(E6408="",E6408="!!!",F6408="NEW"),"",INDEX(J$1:J6407,SUMPRODUCT(MAX(ROW(E$1:E6407)*(E6408=E$1:E6407)))))</f>
        <v> </v>
      </c>
      <c r="L6408" s="27"/>
    </row>
    <row r="6409" spans="1:12">
      <c r="A6409" s="20" t="s">
        <v>1260</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826</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row>
    <row r="6412" spans="1:12">
      <c r="A6412" s="20" t="s">
        <v>2909</v>
      </c>
    </row>
    <row r="6413" spans="1:12">
      <c r="A6413" s="20" t="s">
        <v>1201</v>
      </c>
      <c r="B6413" s="21" t="s">
        <v>1202</v>
      </c>
      <c r="C6413" s="21" t="s">
        <v>1203</v>
      </c>
      <c r="D6413" s="21" t="s">
        <v>1188</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1204</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1914</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2910</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292</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1193</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1366</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1271</v>
      </c>
      <c r="B6420" s="21" t="s">
        <v>1248</v>
      </c>
      <c r="C6420" s="21" t="s">
        <v>1203</v>
      </c>
      <c r="D6420" s="21" t="s">
        <v>1188</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1502</v>
      </c>
      <c r="B6421" s="21" t="s">
        <v>1245</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1321</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1359</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1539</v>
      </c>
      <c r="B6424" s="21" t="s">
        <v>1215</v>
      </c>
      <c r="C6424" s="21" t="s">
        <v>1304</v>
      </c>
      <c r="D6424" s="21" t="s">
        <v>1188</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1532</v>
      </c>
      <c r="B6425" s="21" t="s">
        <v>1199</v>
      </c>
      <c r="C6425" s="21" t="s">
        <v>1192</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1443</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1272</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826</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row>
    <row r="6430" spans="1:12">
      <c r="A6430" s="20" t="s">
        <v>2911</v>
      </c>
    </row>
    <row r="6431" spans="1:12">
      <c r="A6431" s="20" t="s">
        <v>1201</v>
      </c>
      <c r="B6431" s="21" t="s">
        <v>1202</v>
      </c>
      <c r="C6431" s="21" t="s">
        <v>1203</v>
      </c>
      <c r="D6431" s="21" t="s">
        <v>1188</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1272</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1502</v>
      </c>
      <c r="B6433" s="21" t="s">
        <v>1212</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1443</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1193</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1520</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1502</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2081</v>
      </c>
      <c r="B6438" s="21" t="s">
        <v>1245</v>
      </c>
      <c r="C6438" s="21" t="s">
        <v>1196</v>
      </c>
      <c r="D6438" s="21" t="s">
        <v>1188</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1337</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130</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1193</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1302</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1271</v>
      </c>
      <c r="B6443" s="21" t="s">
        <v>1248</v>
      </c>
      <c r="C6443" s="21" t="s">
        <v>1203</v>
      </c>
      <c r="D6443" s="21" t="s">
        <v>1188</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2072</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1539</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2912</v>
      </c>
      <c r="B6446" s="21" t="s">
        <v>1248</v>
      </c>
      <c r="C6446" s="21" t="s">
        <v>1240</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1359</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1502</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2209</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2210</v>
      </c>
      <c r="B6450" s="21" t="s">
        <v>1199</v>
      </c>
      <c r="C6450" s="21" t="s">
        <v>1196</v>
      </c>
      <c r="D6450" s="21" t="s">
        <v>1188</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1321</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1337</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2913</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1725</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2582</v>
      </c>
      <c r="B6455" s="21" t="s">
        <v>1199</v>
      </c>
      <c r="C6455" s="21" t="s">
        <v>1240</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1157</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826</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row>
    <row r="6459" spans="1:12">
      <c r="A6459" s="20" t="s">
        <v>2914</v>
      </c>
    </row>
    <row r="6460" spans="1:12">
      <c r="A6460" s="20" t="s">
        <v>1270</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1190</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1288</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1206</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1129</v>
      </c>
      <c r="B6464" s="21" t="s">
        <v>1186</v>
      </c>
      <c r="C6464" s="21" t="s">
        <v>1401</v>
      </c>
      <c r="D6464" s="21" t="s">
        <v>1188</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1193</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2915</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1197</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2916</v>
      </c>
      <c r="B6468" s="21" t="s">
        <v>1186</v>
      </c>
      <c r="C6468" s="21" t="s">
        <v>1187</v>
      </c>
      <c r="D6468" s="21" t="s">
        <v>1188</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1302</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1297</v>
      </c>
      <c r="B6470" s="21" t="s">
        <v>1215</v>
      </c>
      <c r="C6470" s="21" t="s">
        <v>1216</v>
      </c>
      <c r="D6470" s="21" t="s">
        <v>1188</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1713</v>
      </c>
      <c r="B6471" s="21" t="s">
        <v>1199</v>
      </c>
      <c r="C6471" s="21" t="s">
        <v>1218</v>
      </c>
      <c r="D6471" s="21" t="s">
        <v>1188</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1193</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1633</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57</v>
      </c>
      <c r="B6474" s="21" t="s">
        <v>1248</v>
      </c>
      <c r="C6474" s="21" t="s">
        <v>1203</v>
      </c>
      <c r="D6474" s="21" t="s">
        <v>1188</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2543</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2917</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1232</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2918</v>
      </c>
      <c r="B6478" s="21" t="s">
        <v>1199</v>
      </c>
      <c r="C6478" s="21" t="s">
        <v>1187</v>
      </c>
      <c r="D6478" s="21" t="s">
        <v>1188</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1193</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1321</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2169</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1194</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1603</v>
      </c>
      <c r="B6483" s="21" t="s">
        <v>1186</v>
      </c>
      <c r="C6483" s="21" t="s">
        <v>1187</v>
      </c>
      <c r="D6483" s="21" t="s">
        <v>1188</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1193</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1478</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1232</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2919</v>
      </c>
      <c r="B6487" s="21" t="s">
        <v>1199</v>
      </c>
      <c r="C6487" s="21" t="s">
        <v>1187</v>
      </c>
      <c r="D6487" s="21" t="s">
        <v>1188</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1232</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1297</v>
      </c>
      <c r="B6489" s="21" t="s">
        <v>1285</v>
      </c>
      <c r="C6489" s="21" t="s">
        <v>1216</v>
      </c>
      <c r="D6489" s="21" t="s">
        <v>1188</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2920</v>
      </c>
      <c r="B6490" s="21" t="s">
        <v>1215</v>
      </c>
      <c r="C6490" s="21" t="s">
        <v>1218</v>
      </c>
      <c r="D6490" s="21" t="s">
        <v>1188</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826</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row>
    <row r="6493" spans="1:12">
      <c r="A6493" s="20" t="s">
        <v>2921</v>
      </c>
    </row>
    <row r="6494" spans="1:12">
      <c r="A6494" s="20" t="s">
        <v>1201</v>
      </c>
      <c r="B6494" s="21" t="s">
        <v>1202</v>
      </c>
      <c r="C6494" s="21" t="s">
        <v>1203</v>
      </c>
      <c r="D6494" s="21" t="s">
        <v>1188</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1327</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2922</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1193</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1309</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2923</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1226</v>
      </c>
      <c r="B6500" s="21" t="s">
        <v>1245</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1502</v>
      </c>
      <c r="B6501" s="21" t="s">
        <v>1248</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1227</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1257</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row>
    <row r="6505" spans="1:12">
      <c r="A6505" s="20" t="s">
        <v>2924</v>
      </c>
    </row>
    <row r="6506" spans="1:12">
      <c r="A6506" s="20" t="s">
        <v>1294</v>
      </c>
      <c r="B6506" s="21" t="s">
        <v>1202</v>
      </c>
      <c r="C6506" s="21" t="s">
        <v>1187</v>
      </c>
      <c r="D6506" s="21" t="s">
        <v>1188</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1190</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2919</v>
      </c>
      <c r="B6508" s="21" t="s">
        <v>1199</v>
      </c>
      <c r="C6508" s="21" t="s">
        <v>1187</v>
      </c>
      <c r="D6508" s="21" t="s">
        <v>1188</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1265</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1760</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1193</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1427</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1271</v>
      </c>
      <c r="B6513" s="21" t="s">
        <v>1248</v>
      </c>
      <c r="C6513" s="21" t="s">
        <v>1203</v>
      </c>
      <c r="D6513" s="21" t="s">
        <v>1188</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185</v>
      </c>
      <c r="B6514" s="21" t="s">
        <v>1245</v>
      </c>
      <c r="C6514" s="21" t="s">
        <v>1203</v>
      </c>
      <c r="D6514" s="21" t="s">
        <v>1188</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2700</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1740</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826</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row>
    <row r="6519" spans="1:12">
      <c r="A6519" s="20" t="s">
        <v>2925</v>
      </c>
    </row>
    <row r="6520" spans="1:12">
      <c r="A6520" s="20" t="s">
        <v>1264</v>
      </c>
      <c r="B6520" s="21" t="s">
        <v>1202</v>
      </c>
      <c r="C6520" s="21" t="s">
        <v>1203</v>
      </c>
      <c r="D6520" s="21" t="s">
        <v>1188</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1265</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1440</v>
      </c>
      <c r="B6522" s="21" t="s">
        <v>1186</v>
      </c>
      <c r="C6522" s="21" t="s">
        <v>1246</v>
      </c>
      <c r="D6522" s="21" t="s">
        <v>1188</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2926</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826</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row>
    <row r="6526" spans="1:12">
      <c r="A6526" s="20" t="s">
        <v>1369</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2927</v>
      </c>
    </row>
    <row r="6528" spans="1:12">
      <c r="A6528" s="20" t="s">
        <v>1270</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1190</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1552</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2928</v>
      </c>
      <c r="B6531" s="21" t="s">
        <v>1202</v>
      </c>
      <c r="C6531" s="21" t="s">
        <v>1196</v>
      </c>
      <c r="D6531" s="21" t="s">
        <v>1188</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1208</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1209</v>
      </c>
      <c r="B6533" s="21" t="s">
        <v>1199</v>
      </c>
      <c r="C6533" s="21" t="s">
        <v>1187</v>
      </c>
      <c r="D6533" s="21" t="s">
        <v>1188</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1341</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1374</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2929</v>
      </c>
      <c r="B6536" s="21" t="s">
        <v>1186</v>
      </c>
      <c r="C6536" s="21" t="s">
        <v>1192</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1300</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2930</v>
      </c>
      <c r="B6538" s="21" t="s">
        <v>1186</v>
      </c>
      <c r="C6538" s="21" t="s">
        <v>1192</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1374</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826</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row>
    <row r="6542" spans="1:12">
      <c r="A6542" s="20" t="s">
        <v>2931</v>
      </c>
    </row>
    <row r="6543" spans="1:12">
      <c r="A6543" s="20" t="s">
        <v>1333</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57</v>
      </c>
      <c r="B6544" s="21" t="s">
        <v>1202</v>
      </c>
      <c r="C6544" s="21" t="s">
        <v>1203</v>
      </c>
      <c r="D6544" s="21" t="s">
        <v>1188</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185</v>
      </c>
      <c r="B6545" s="21" t="s">
        <v>1212</v>
      </c>
      <c r="C6545" s="21" t="s">
        <v>1203</v>
      </c>
      <c r="D6545" s="21" t="s">
        <v>1188</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1232</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1901</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2016</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2932</v>
      </c>
      <c r="B6549" s="21" t="s">
        <v>1186</v>
      </c>
      <c r="C6549" s="21" t="s">
        <v>1231</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1149</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2933</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1193</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t="s">
        <v>1253</v>
      </c>
      <c r="B6553" s="21" t="s">
        <v>1248</v>
      </c>
      <c r="C6553" s="21" t="s">
        <v>1246</v>
      </c>
      <c r="D6553" s="21" t="s">
        <v>1188</v>
      </c>
      <c r="E6553" s="22">
        <f>IF(D6553="?OLD","!!!","")</f>
        <v/>
      </c>
      <c r="F6553" s="23" t="str">
        <f>IF(OR(E6553="",E6553="!!!"),"",IF(NOT(ISNA(VLOOKUP(E6553,E$1:E6552,1,FALSE()))),"OLD",IF(AND(E6553&lt;&gt;"",E6553&lt;&gt;"!!!"),"NEW","")))</f>
        <v> </v>
      </c>
      <c r="G6553" s="24" t="str">
        <f>IF(OR(E6553="",E6553="!!!"),"",IF(OR(J6553=0,AND(J6553=1,K6553=1),AND(J6553=1,I6553="SBJ"),AND(J6553=1,I6553=0)),"?IN_FOCUS",IF(J6553&lt;=2,"?ACTIVATED",IF(J6553&lt;&gt;"","?FAMILIAR",IF(F6553="NEW",IF(ISNA(VLOOKUP(E6553,#REF!,1,FALSE())),"?TYPE_IDENTIFIABLE","?REFERENTIAL"),"_")))))</f>
        <v> </v>
      </c>
      <c r="H6553" s="25" t="str">
        <f>IF(J6553&lt;&gt;1,"",IF(I6553="SBJ","CB","?"))</f>
        <v> </v>
      </c>
      <c r="I6553" s="26" t="str">
        <f>IF(OR(E6553="",E6553="!!!",F6553="NEW"),"",INDEX(B6552:B$2,-1+SUMPRODUCT(MAX(ROW(E6552:E$2)*(E6553=E6552:E$2)))))</f>
        <v> </v>
      </c>
      <c r="J6553" s="26" t="str">
        <f>IF(OR(E6553="",E6553="!!!",F6553="NEW"),"",COUNTBLANK(OFFSET(A$1,,,SUMPRODUCT(MAX(ROW(E$2:E6553)*(E6553=E$2:E6553)))))-COUNTBLANK(OFFSET(A$1,,,SUMPRODUCT(MAX(ROW(E$1:E6552)*(E2=E$1:E6552))))))</f>
        <v> </v>
      </c>
      <c r="K6553" s="26" t="str">
        <f>IF(OR(E6553="",E6553="!!!",F6553="NEW"),"",INDEX(J$1:J6552,SUMPRODUCT(MAX(ROW(E$1:E6552)*(E6553=E$1:E6552)))))</f>
        <v> </v>
      </c>
      <c r="L6553" s="27"/>
    </row>
    <row r="6554" spans="1:12">
      <c r="A6554" s="20" t="s">
        <v>1265</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1570</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2932</v>
      </c>
      <c r="B6556" s="21" t="s">
        <v>1186</v>
      </c>
      <c r="C6556" s="21" t="s">
        <v>1240</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1193</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1194</v>
      </c>
      <c r="B6558" s="21" t="s">
        <v>1311</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185</v>
      </c>
      <c r="B6559" s="21" t="s">
        <v>1311</v>
      </c>
      <c r="C6559" s="21" t="s">
        <v>1203</v>
      </c>
      <c r="D6559" s="21" t="s">
        <v>1188</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t="s">
        <v>2400</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1265</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1193</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t="s">
        <v>1709</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1302</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1573</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2934</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1337</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670</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1257</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row>
    <row r="6571" spans="1:12">
      <c r="A6571" s="20" t="s">
        <v>2935</v>
      </c>
    </row>
    <row r="6572" spans="1:12">
      <c r="A6572" s="20" t="s">
        <v>1294</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1190</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1201</v>
      </c>
      <c r="B6574" s="21" t="s">
        <v>1202</v>
      </c>
      <c r="C6574" s="21" t="s">
        <v>1203</v>
      </c>
      <c r="D6574" s="21" t="s">
        <v>1188</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1372</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96</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t="s">
        <v>1193</v>
      </c>
      <c r="E6577" s="22">
        <f>IF(D6577="?OLD","!!!","")</f>
        <v/>
      </c>
      <c r="F6577" s="23" t="str">
        <f>IF(OR(E6577="",E6577="!!!"),"",IF(NOT(ISNA(VLOOKUP(E6577,E$1:E6576,1,FALSE()))),"OLD",IF(AND(E6577&lt;&gt;"",E6577&lt;&gt;"!!!"),"NEW","")))</f>
        <v> </v>
      </c>
      <c r="G6577" s="24" t="str">
        <f>IF(OR(E6577="",E6577="!!!"),"",IF(OR(J6577=0,AND(J6577=1,K6577=1),AND(J6577=1,I6577="SBJ"),AND(J6577=1,I6577=0)),"?IN_FOCUS",IF(J6577&lt;=2,"?ACTIVATED",IF(J6577&lt;&gt;"","?FAMILIAR",IF(F6577="NEW",IF(ISNA(VLOOKUP(E6577,#REF!,1,FALSE())),"?TYPE_IDENTIFIABLE","?REFERENTIAL"),"_")))))</f>
        <v> </v>
      </c>
      <c r="H6577" s="25" t="str">
        <f>IF(J6577&lt;&gt;1,"",IF(I6577="SBJ","CB","?"))</f>
        <v> </v>
      </c>
      <c r="I6577" s="26" t="str">
        <f>IF(OR(E6577="",E6577="!!!",F6577="NEW"),"",INDEX(B6576:B$2,-1+SUMPRODUCT(MAX(ROW(E6576:E$2)*(E6577=E6576:E$2)))))</f>
        <v> </v>
      </c>
      <c r="J6577" s="26" t="str">
        <f>IF(OR(E6577="",E6577="!!!",F6577="NEW"),"",COUNTBLANK(OFFSET(A$1,,,SUMPRODUCT(MAX(ROW(E$2:E6577)*(E6577=E$2:E6577)))))-COUNTBLANK(OFFSET(A$1,,,SUMPRODUCT(MAX(ROW(E$1:E6576)*(E2=E$1:E6576))))))</f>
        <v> </v>
      </c>
      <c r="K6577" s="26" t="str">
        <f>IF(OR(E6577="",E6577="!!!",F6577="NEW"),"",INDEX(J$1:J6576,SUMPRODUCT(MAX(ROW(E$1:E6576)*(E6577=E$1:E6576)))))</f>
        <v> </v>
      </c>
      <c r="L6577" s="27"/>
    </row>
    <row r="6578" spans="1:12">
      <c r="A6578" s="20" t="s">
        <v>1366</v>
      </c>
      <c r="E6578" s="22">
        <f>IF(D6578="?OLD","!!!","")</f>
        <v/>
      </c>
      <c r="F6578" s="23" t="str">
        <f>IF(OR(E6578="",E6578="!!!"),"",IF(NOT(ISNA(VLOOKUP(E6578,E$1:E6577,1,FALSE()))),"OLD",IF(AND(E6578&lt;&gt;"",E6578&lt;&gt;"!!!"),"NEW","")))</f>
        <v> </v>
      </c>
      <c r="G6578" s="24" t="str">
        <f>IF(OR(E6578="",E6578="!!!"),"",IF(OR(J6578=0,AND(J6578=1,K6578=1),AND(J6578=1,I6578="SBJ"),AND(J6578=1,I6578=0)),"?IN_FOCUS",IF(J6578&lt;=2,"?ACTIVATED",IF(J6578&lt;&gt;"","?FAMILIAR",IF(F6578="NEW",IF(ISNA(VLOOKUP(E6578,#REF!,1,FALSE())),"?TYPE_IDENTIFIABLE","?REFERENTIAL"),"_")))))</f>
        <v> </v>
      </c>
      <c r="H6578" s="25" t="str">
        <f>IF(J6578&lt;&gt;1,"",IF(I6578="SBJ","CB","?"))</f>
        <v> </v>
      </c>
      <c r="I6578" s="26" t="str">
        <f>IF(OR(E6578="",E6578="!!!",F6578="NEW"),"",INDEX(B6577:B$2,-1+SUMPRODUCT(MAX(ROW(E6577:E$2)*(E6578=E6577:E$2)))))</f>
        <v> </v>
      </c>
      <c r="J6578" s="26" t="str">
        <f>IF(OR(E6578="",E6578="!!!",F6578="NEW"),"",COUNTBLANK(OFFSET(A$1,,,SUMPRODUCT(MAX(ROW(E$2:E6578)*(E6578=E$2:E6578)))))-COUNTBLANK(OFFSET(A$1,,,SUMPRODUCT(MAX(ROW(E$1:E6577)*(E2=E$1:E6577))))))</f>
        <v> </v>
      </c>
      <c r="K6578" s="26" t="str">
        <f>IF(OR(E6578="",E6578="!!!",F6578="NEW"),"",INDEX(J$1:J6577,SUMPRODUCT(MAX(ROW(E$1:E6577)*(E6578=E$1:E6577)))))</f>
        <v> </v>
      </c>
      <c r="L6578" s="27"/>
    </row>
    <row r="6579" spans="1:12">
      <c r="A6579" s="20" t="s">
        <v>1502</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2901</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1395</v>
      </c>
      <c r="B6581" s="21" t="s">
        <v>1248</v>
      </c>
      <c r="C6581" s="21" t="s">
        <v>1196</v>
      </c>
      <c r="D6581" s="21" t="s">
        <v>1188</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1515</v>
      </c>
      <c r="B6582" s="21" t="s">
        <v>1245</v>
      </c>
      <c r="C6582" s="21" t="s">
        <v>1246</v>
      </c>
      <c r="D6582" s="21" t="s">
        <v>1188</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2010</v>
      </c>
      <c r="B6583" s="21" t="s">
        <v>1199</v>
      </c>
      <c r="C6583" s="21" t="s">
        <v>1308</v>
      </c>
      <c r="D6583" s="21" t="s">
        <v>1188</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2936</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1278</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1193</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1366</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2937</v>
      </c>
      <c r="B6588" s="21" t="s">
        <v>1311</v>
      </c>
      <c r="C6588" s="21" t="s">
        <v>1192</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1213</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2502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2503</v>
      </c>
      <c r="B6591" s="21" t="s">
        <v>1215</v>
      </c>
      <c r="C6591" s="21" t="s">
        <v>1192</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2938</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1260</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1193</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1478</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427</v>
      </c>
      <c r="B6596" s="21" t="s">
        <v>1296</v>
      </c>
      <c r="C6596" s="21" t="s">
        <v>1246</v>
      </c>
      <c r="D6596" s="21" t="s">
        <v>1188</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1427</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2939</v>
      </c>
      <c r="B6598" s="21" t="s">
        <v>1285</v>
      </c>
      <c r="C6598" s="21" t="s">
        <v>1192</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670</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1213</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t="s">
        <v>2940</v>
      </c>
      <c r="E6601" s="22">
        <f>IF(D6601="?OLD","!!!","")</f>
        <v/>
      </c>
      <c r="F6601" s="23" t="str">
        <f>IF(OR(E6601="",E6601="!!!"),"",IF(NOT(ISNA(VLOOKUP(E6601,E$1:E6600,1,FALSE()))),"OLD",IF(AND(E6601&lt;&gt;"",E6601&lt;&gt;"!!!"),"NEW","")))</f>
        <v> </v>
      </c>
      <c r="G6601" s="24" t="str">
        <f>IF(OR(E6601="",E6601="!!!"),"",IF(OR(J6601=0,AND(J6601=1,K6601=1),AND(J6601=1,I6601="SBJ"),AND(J6601=1,I6601=0)),"?IN_FOCUS",IF(J6601&lt;=2,"?ACTIVATED",IF(J6601&lt;&gt;"","?FAMILIAR",IF(F6601="NEW",IF(ISNA(VLOOKUP(E6601,#REF!,1,FALSE())),"?TYPE_IDENTIFIABLE","?REFERENTIAL"),"_")))))</f>
        <v> </v>
      </c>
      <c r="H6601" s="25" t="str">
        <f>IF(J6601&lt;&gt;1,"",IF(I6601="SBJ","CB","?"))</f>
        <v> </v>
      </c>
      <c r="I6601" s="26" t="str">
        <f>IF(OR(E6601="",E6601="!!!",F6601="NEW"),"",INDEX(B6600:B$2,-1+SUMPRODUCT(MAX(ROW(E6600:E$2)*(E6601=E6600:E$2)))))</f>
        <v> </v>
      </c>
      <c r="J6601" s="26" t="str">
        <f>IF(OR(E6601="",E6601="!!!",F6601="NEW"),"",COUNTBLANK(OFFSET(A$1,,,SUMPRODUCT(MAX(ROW(E$2:E6601)*(E6601=E$2:E6601)))))-COUNTBLANK(OFFSET(A$1,,,SUMPRODUCT(MAX(ROW(E$1:E6600)*(E2=E$1:E6600))))))</f>
        <v> </v>
      </c>
      <c r="K6601" s="26" t="str">
        <f>IF(OR(E6601="",E6601="!!!",F6601="NEW"),"",INDEX(J$1:J6600,SUMPRODUCT(MAX(ROW(E$1:E6600)*(E6601=E$1:E6600)))))</f>
        <v> </v>
      </c>
      <c r="L6601" s="27"/>
    </row>
    <row r="6602" spans="1:12">
      <c r="A6602" s="20" t="s">
        <v>2502</v>
      </c>
      <c r="E6602" s="22">
        <f>IF(D6602="?OLD","!!!","")</f>
        <v/>
      </c>
      <c r="F6602" s="23" t="str">
        <f>IF(OR(E6602="",E6602="!!!"),"",IF(NOT(ISNA(VLOOKUP(E6602,E$1:E6601,1,FALSE()))),"OLD",IF(AND(E6602&lt;&gt;"",E6602&lt;&gt;"!!!"),"NEW","")))</f>
        <v> </v>
      </c>
      <c r="G6602" s="24" t="str">
        <f>IF(OR(E6602="",E6602="!!!"),"",IF(OR(J6602=0,AND(J6602=1,K6602=1),AND(J6602=1,I6602="SBJ"),AND(J6602=1,I6602=0)),"?IN_FOCUS",IF(J6602&lt;=2,"?ACTIVATED",IF(J6602&lt;&gt;"","?FAMILIAR",IF(F6602="NEW",IF(ISNA(VLOOKUP(E6602,#REF!,1,FALSE())),"?TYPE_IDENTIFIABLE","?REFERENTIAL"),"_")))))</f>
        <v> </v>
      </c>
      <c r="H6602" s="25" t="str">
        <f>IF(J6602&lt;&gt;1,"",IF(I6602="SBJ","CB","?"))</f>
        <v> </v>
      </c>
      <c r="I6602" s="26" t="str">
        <f>IF(OR(E6602="",E6602="!!!",F6602="NEW"),"",INDEX(B6601:B$2,-1+SUMPRODUCT(MAX(ROW(E6601:E$2)*(E6602=E6601:E$2)))))</f>
        <v> </v>
      </c>
      <c r="J6602" s="26" t="str">
        <f>IF(OR(E6602="",E6602="!!!",F6602="NEW"),"",COUNTBLANK(OFFSET(A$1,,,SUMPRODUCT(MAX(ROW(E$2:E6602)*(E6602=E$2:E6602)))))-COUNTBLANK(OFFSET(A$1,,,SUMPRODUCT(MAX(ROW(E$1:E6601)*(E2=E$1:E6601))))))</f>
        <v> </v>
      </c>
      <c r="K6602" s="26" t="str">
        <f>IF(OR(E6602="",E6602="!!!",F6602="NEW"),"",INDEX(J$1:J6601,SUMPRODUCT(MAX(ROW(E$1:E6601)*(E6602=E$1:E6601)))))</f>
        <v> </v>
      </c>
      <c r="L6602" s="27"/>
    </row>
    <row r="6603" spans="1:12">
      <c r="A6603" s="20" t="s">
        <v>2503</v>
      </c>
      <c r="B6603" s="21" t="s">
        <v>1285</v>
      </c>
      <c r="C6603" s="21" t="s">
        <v>1192</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2941</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1193</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1302</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427</v>
      </c>
      <c r="B6607" s="21" t="s">
        <v>1248</v>
      </c>
      <c r="C6607" s="21" t="s">
        <v>1246</v>
      </c>
      <c r="D6607" s="21" t="s">
        <v>1188</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1444</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1462</v>
      </c>
      <c r="B6609" s="21" t="s">
        <v>1215</v>
      </c>
      <c r="C6609" s="21" t="s">
        <v>1304</v>
      </c>
      <c r="D6609" s="21" t="s">
        <v>1188</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2942</v>
      </c>
      <c r="B6610" s="21" t="s">
        <v>1245</v>
      </c>
      <c r="C6610" s="21" t="s">
        <v>1192</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1321</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1157</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1193</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1520</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1494</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2943</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1345</v>
      </c>
      <c r="B6617" s="21" t="s">
        <v>1313</v>
      </c>
      <c r="C6617" s="21" t="s">
        <v>1231</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1337</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163</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826</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row>
    <row r="6622" spans="1:12">
      <c r="A6622" s="20" t="s">
        <v>2944</v>
      </c>
    </row>
    <row r="6623" spans="1:12">
      <c r="A6623" s="20" t="s">
        <v>1364</v>
      </c>
      <c r="B6623" s="21" t="s">
        <v>1202</v>
      </c>
      <c r="C6623" s="21" t="s">
        <v>1246</v>
      </c>
      <c r="D6623" s="21" t="s">
        <v>1188</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1444</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1462</v>
      </c>
      <c r="B6625" s="21" t="s">
        <v>1199</v>
      </c>
      <c r="C6625" s="21" t="s">
        <v>1304</v>
      </c>
      <c r="D6625" s="21" t="s">
        <v>1188</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914</v>
      </c>
      <c r="B6626" s="21" t="s">
        <v>1202</v>
      </c>
      <c r="C6626" s="21" t="s">
        <v>1192</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1321</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1157</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1193</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1520</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1532</v>
      </c>
      <c r="B6631" s="21" t="s">
        <v>1245</v>
      </c>
      <c r="C6631" s="21" t="s">
        <v>1192</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1337</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163</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826</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row>
    <row r="6636" spans="1:12">
      <c r="A6636" s="20" t="s">
        <v>2945</v>
      </c>
    </row>
    <row r="6637" spans="1:12">
      <c r="A6637" s="20" t="s">
        <v>959</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1271</v>
      </c>
      <c r="B6638" s="21" t="s">
        <v>1202</v>
      </c>
      <c r="C6638" s="21" t="s">
        <v>1203</v>
      </c>
      <c r="D6638" s="21" t="s">
        <v>1188</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1654</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1193</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1537</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427</v>
      </c>
      <c r="B6642" s="21" t="s">
        <v>1248</v>
      </c>
      <c r="C6642" s="21" t="s">
        <v>1246</v>
      </c>
      <c r="D6642" s="21" t="s">
        <v>1188</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2946</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1193</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1530</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427</v>
      </c>
      <c r="B6646" s="21" t="s">
        <v>1311</v>
      </c>
      <c r="C6646" s="21" t="s">
        <v>1246</v>
      </c>
      <c r="D6646" s="21" t="s">
        <v>1188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1494</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2947</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1345</v>
      </c>
      <c r="B6649" s="21" t="s">
        <v>1313</v>
      </c>
      <c r="C6649" s="21" t="s">
        <v>1231</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t="s">
        <v>163</v>
      </c>
      <c r="E6650" s="22">
        <f>IF(D6650="?OLD","!!!","")</f>
        <v/>
      </c>
      <c r="F6650" s="23" t="str">
        <f>IF(OR(E6650="",E6650="!!!"),"",IF(NOT(ISNA(VLOOKUP(E6650,E$1:E6649,1,FALSE()))),"OLD",IF(AND(E6650&lt;&gt;"",E6650&lt;&gt;"!!!"),"NEW","")))</f>
        <v> </v>
      </c>
      <c r="G6650" s="24" t="str">
        <f>IF(OR(E6650="",E6650="!!!"),"",IF(OR(J6650=0,AND(J6650=1,K6650=1),AND(J6650=1,I6650="SBJ"),AND(J6650=1,I6650=0)),"?IN_FOCUS",IF(J6650&lt;=2,"?ACTIVATED",IF(J6650&lt;&gt;"","?FAMILIAR",IF(F6650="NEW",IF(ISNA(VLOOKUP(E6650,#REF!,1,FALSE())),"?TYPE_IDENTIFIABLE","?REFERENTIAL"),"_")))))</f>
        <v> </v>
      </c>
      <c r="H6650" s="25" t="str">
        <f>IF(J6650&lt;&gt;1,"",IF(I6650="SBJ","CB","?"))</f>
        <v> </v>
      </c>
      <c r="I6650" s="26" t="str">
        <f>IF(OR(E6650="",E6650="!!!",F6650="NEW"),"",INDEX(B6649:B$2,-1+SUMPRODUCT(MAX(ROW(E6649:E$2)*(E6650=E6649:E$2)))))</f>
        <v> </v>
      </c>
      <c r="J6650" s="26" t="str">
        <f>IF(OR(E6650="",E6650="!!!",F6650="NEW"),"",COUNTBLANK(OFFSET(A$1,,,SUMPRODUCT(MAX(ROW(E$2:E6650)*(E6650=E$2:E6650)))))-COUNTBLANK(OFFSET(A$1,,,SUMPRODUCT(MAX(ROW(E$1:E6649)*(E2=E$1:E6649))))))</f>
        <v> </v>
      </c>
      <c r="K6650" s="26" t="str">
        <f>IF(OR(E6650="",E6650="!!!",F6650="NEW"),"",INDEX(J$1:J6649,SUMPRODUCT(MAX(ROW(E$1:E6649)*(E6650=E$1:E6649)))))</f>
        <v> </v>
      </c>
      <c r="L6650" s="27"/>
    </row>
    <row r="6651" spans="1:12">
      <c r="A6651" s="20" t="s">
        <v>1302</v>
      </c>
      <c r="E6651" s="22">
        <f>IF(D6651="?OLD","!!!","")</f>
        <v/>
      </c>
      <c r="F6651" s="23" t="str">
        <f>IF(OR(E6651="",E6651="!!!"),"",IF(NOT(ISNA(VLOOKUP(E6651,E$1:E6650,1,FALSE()))),"OLD",IF(AND(E6651&lt;&gt;"",E6651&lt;&gt;"!!!"),"NEW","")))</f>
        <v> </v>
      </c>
      <c r="G6651" s="24" t="str">
        <f>IF(OR(E6651="",E6651="!!!"),"",IF(OR(J6651=0,AND(J6651=1,K6651=1),AND(J6651=1,I6651="SBJ"),AND(J6651=1,I6651=0)),"?IN_FOCUS",IF(J6651&lt;=2,"?ACTIVATED",IF(J6651&lt;&gt;"","?FAMILIAR",IF(F6651="NEW",IF(ISNA(VLOOKUP(E6651,#REF!,1,FALSE())),"?TYPE_IDENTIFIABLE","?REFERENTIAL"),"_")))))</f>
        <v> </v>
      </c>
      <c r="H6651" s="25" t="str">
        <f>IF(J6651&lt;&gt;1,"",IF(I6651="SBJ","CB","?"))</f>
        <v> </v>
      </c>
      <c r="I6651" s="26" t="str">
        <f>IF(OR(E6651="",E6651="!!!",F6651="NEW"),"",INDEX(B6650:B$2,-1+SUMPRODUCT(MAX(ROW(E6650:E$2)*(E6651=E6650:E$2)))))</f>
        <v> </v>
      </c>
      <c r="J6651" s="26" t="str">
        <f>IF(OR(E6651="",E6651="!!!",F6651="NEW"),"",COUNTBLANK(OFFSET(A$1,,,SUMPRODUCT(MAX(ROW(E$2:E6651)*(E6651=E$2:E6651)))))-COUNTBLANK(OFFSET(A$1,,,SUMPRODUCT(MAX(ROW(E$1:E6650)*(E2=E$1:E6650))))))</f>
        <v> </v>
      </c>
      <c r="K6651" s="26" t="str">
        <f>IF(OR(E6651="",E6651="!!!",F6651="NEW"),"",INDEX(J$1:J6650,SUMPRODUCT(MAX(ROW(E$1:E6650)*(E6651=E$1:E6650)))))</f>
        <v> </v>
      </c>
      <c r="L6651" s="27"/>
    </row>
    <row r="6652" spans="1:12">
      <c r="A6652" s="20" t="s">
        <v>1883</v>
      </c>
      <c r="B6652" s="21" t="s">
        <v>1215</v>
      </c>
      <c r="C6652" s="21" t="s">
        <v>1192</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826</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row>
    <row r="6655" spans="1:12">
      <c r="A6655" s="20" t="s">
        <v>2948</v>
      </c>
    </row>
    <row r="6656" spans="1:12">
      <c r="A6656" s="20" t="s">
        <v>1201</v>
      </c>
      <c r="B6656" s="21" t="s">
        <v>1202</v>
      </c>
      <c r="C6656" s="21" t="s">
        <v>1203</v>
      </c>
      <c r="D6656" s="21" t="s">
        <v>1188</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2949</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1312</v>
      </c>
      <c r="B6658" s="21" t="s">
        <v>1212</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2076</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1193</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1300</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2950</v>
      </c>
      <c r="B6662" s="21" t="s">
        <v>1245</v>
      </c>
      <c r="C6662" s="21" t="s">
        <v>1262</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1232</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1206</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t="s">
        <v>1336</v>
      </c>
      <c r="B6665" s="21" t="s">
        <v>1215</v>
      </c>
      <c r="C6665" s="21" t="s">
        <v>1196</v>
      </c>
      <c r="D6665" s="21" t="s">
        <v>1188</v>
      </c>
      <c r="E6665" s="22">
        <f>IF(D6665="?OLD","!!!","")</f>
        <v/>
      </c>
      <c r="F6665" s="23" t="str">
        <f>IF(OR(E6665="",E6665="!!!"),"",IF(NOT(ISNA(VLOOKUP(E6665,E$1:E6664,1,FALSE()))),"OLD",IF(AND(E6665&lt;&gt;"",E6665&lt;&gt;"!!!"),"NEW","")))</f>
        <v> </v>
      </c>
      <c r="G6665" s="24" t="str">
        <f>IF(OR(E6665="",E6665="!!!"),"",IF(OR(J6665=0,AND(J6665=1,K6665=1),AND(J6665=1,I6665="SBJ"),AND(J6665=1,I6665=0)),"?IN_FOCUS",IF(J6665&lt;=2,"?ACTIVATED",IF(J6665&lt;&gt;"","?FAMILIAR",IF(F6665="NEW",IF(ISNA(VLOOKUP(E6665,#REF!,1,FALSE())),"?TYPE_IDENTIFIABLE","?REFERENTIAL"),"_")))))</f>
        <v> </v>
      </c>
      <c r="H6665" s="25" t="str">
        <f>IF(J6665&lt;&gt;1,"",IF(I6665="SBJ","CB","?"))</f>
        <v> </v>
      </c>
      <c r="I6665" s="26" t="str">
        <f>IF(OR(E6665="",E6665="!!!",F6665="NEW"),"",INDEX(B6664:B$2,-1+SUMPRODUCT(MAX(ROW(E6664:E$2)*(E6665=E6664:E$2)))))</f>
        <v> </v>
      </c>
      <c r="J6665" s="26" t="str">
        <f>IF(OR(E6665="",E6665="!!!",F6665="NEW"),"",COUNTBLANK(OFFSET(A$1,,,SUMPRODUCT(MAX(ROW(E$2:E6665)*(E6665=E$2:E6665)))))-COUNTBLANK(OFFSET(A$1,,,SUMPRODUCT(MAX(ROW(E$1:E6664)*(E2=E$1:E6664))))))</f>
        <v> </v>
      </c>
      <c r="K6665" s="26" t="str">
        <f>IF(OR(E6665="",E6665="!!!",F6665="NEW"),"",INDEX(J$1:J6664,SUMPRODUCT(MAX(ROW(E$1:E6664)*(E6665=E$1:E6664)))))</f>
        <v> </v>
      </c>
      <c r="L6665" s="27"/>
    </row>
    <row r="6666" spans="1:12">
      <c r="A6666" s="20" t="s">
        <v>2951</v>
      </c>
      <c r="E6666" s="22">
        <f>IF(D6666="?OLD","!!!","")</f>
        <v/>
      </c>
      <c r="F6666" s="23" t="str">
        <f>IF(OR(E6666="",E6666="!!!"),"",IF(NOT(ISNA(VLOOKUP(E6666,E$1:E6665,1,FALSE()))),"OLD",IF(AND(E6666&lt;&gt;"",E6666&lt;&gt;"!!!"),"NEW","")))</f>
        <v> </v>
      </c>
      <c r="G6666" s="24" t="str">
        <f>IF(OR(E6666="",E6666="!!!"),"",IF(OR(J6666=0,AND(J6666=1,K6666=1),AND(J6666=1,I6666="SBJ"),AND(J6666=1,I6666=0)),"?IN_FOCUS",IF(J6666&lt;=2,"?ACTIVATED",IF(J6666&lt;&gt;"","?FAMILIAR",IF(F6666="NEW",IF(ISNA(VLOOKUP(E6666,#REF!,1,FALSE())),"?TYPE_IDENTIFIABLE","?REFERENTIAL"),"_")))))</f>
        <v> </v>
      </c>
      <c r="H6666" s="25" t="str">
        <f>IF(J6666&lt;&gt;1,"",IF(I6666="SBJ","CB","?"))</f>
        <v> </v>
      </c>
      <c r="I6666" s="26" t="str">
        <f>IF(OR(E6666="",E6666="!!!",F6666="NEW"),"",INDEX(B6665:B$2,-1+SUMPRODUCT(MAX(ROW(E6665:E$2)*(E6666=E6665:E$2)))))</f>
        <v> </v>
      </c>
      <c r="J6666" s="26" t="str">
        <f>IF(OR(E6666="",E6666="!!!",F6666="NEW"),"",COUNTBLANK(OFFSET(A$1,,,SUMPRODUCT(MAX(ROW(E$2:E6666)*(E6666=E$2:E6666)))))-COUNTBLANK(OFFSET(A$1,,,SUMPRODUCT(MAX(ROW(E$1:E6665)*(E2=E$1:E6665))))))</f>
        <v> </v>
      </c>
      <c r="K6666" s="26" t="str">
        <f>IF(OR(E6666="",E6666="!!!",F6666="NEW"),"",INDEX(J$1:J6665,SUMPRODUCT(MAX(ROW(E$1:E6665)*(E6666=E$1:E6665)))))</f>
        <v> </v>
      </c>
      <c r="L6666" s="27"/>
    </row>
    <row r="6667" spans="1:12">
      <c r="A6667" s="20" t="s">
        <v>1193</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1520</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1502</v>
      </c>
      <c r="B6669" s="21" t="s">
        <v>1313</v>
      </c>
      <c r="C6669" s="21" t="s">
        <v>1216</v>
      </c>
      <c r="D6669" s="21" t="s">
        <v>1188</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2952</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826</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row>
    <row r="6673" spans="1:12">
      <c r="A6673" s="20" t="s">
        <v>2953</v>
      </c>
    </row>
    <row r="6674" spans="1:12">
      <c r="A6674" s="20" t="s">
        <v>1201</v>
      </c>
      <c r="B6674" s="21" t="s">
        <v>1202</v>
      </c>
      <c r="C6674" s="21" t="s">
        <v>1203</v>
      </c>
      <c r="D6674" s="21" t="s">
        <v>1188</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2282</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2601</v>
      </c>
      <c r="B6676" s="21" t="s">
        <v>1212</v>
      </c>
      <c r="C6676" s="21" t="s">
        <v>1203</v>
      </c>
      <c r="D6676" s="21" t="s">
        <v>1188</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1914</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826</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row>
    <row r="6680" spans="1:12">
      <c r="A6680" s="20" t="s">
        <v>2954</v>
      </c>
    </row>
    <row r="6681" spans="1:12">
      <c r="A6681" s="20" t="s">
        <v>1270</v>
      </c>
      <c r="B6681" s="21" t="s">
        <v>1202</v>
      </c>
      <c r="C6681" s="21" t="s">
        <v>1187</v>
      </c>
      <c r="D6681" s="21" t="s">
        <v>1188</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1190</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1219</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1193</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t="s">
        <v>2282</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1251</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2025-07-10T18:03:50Z</dcterms:created>
  <dcterms:modified xsi:type="dcterms:W3CDTF">2025-07-10T18:03:50Z</dcterms:modified>
</cp:coreProperties>
</file>