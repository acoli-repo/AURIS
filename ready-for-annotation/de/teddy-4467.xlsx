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<sst xmlns="http://schemas.openxmlformats.org/spreadsheetml/2006/main" count="10560" uniqueCount="2510">
  <si>
    <t>ID</t>
  </si>
  <si>
    <t>PRED_ID</t>
  </si>
  <si>
    <t>MARKER_AUTO</t>
  </si>
  <si>
    <t>PREDICATE</t>
  </si>
  <si>
    <t>TEXT</t>
  </si>
  <si>
    <t>SENTENCE</t>
  </si>
  <si>
    <t>MARKER</t>
  </si>
  <si>
    <t>TARGET</t>
  </si>
  <si>
    <t>RELATION</t>
  </si>
  <si>
    <t>COMMENT</t>
  </si>
  <si>
    <t>1</t>
  </si>
  <si>
    <t>9</t>
  </si>
  <si>
    <t>_</t>
  </si>
  <si>
    <t>schicken</t>
  </si>
  <si>
    <t>Charlie Rose : Larry hat mir eine Mail geschickt .</t>
  </si>
  <si>
    <t>file://conllu/de/teddy-4467.conllu#s1_0</t>
  </si>
  <si>
    <t>3</t>
  </si>
  <si>
    <t>2</t>
  </si>
  <si>
    <t>sagen</t>
  </si>
  <si>
    <t>Ich sagte , das schmeichele mir ( Gelächter ) weil ich ein wenig älter bin und er einen etwas höheren Nettowert hat als ich .</t>
  </si>
  <si>
    <t>file://conllu/de/teddy-4467.conllu#s3_0</t>
  </si>
  <si>
    <t>4</t>
  </si>
  <si>
    <t>Larry</t>
  </si>
  <si>
    <t>Larry Page : Vielen Dank !</t>
  </si>
  <si>
    <t>file://conllu/de/teddy-4467.conllu#s4_0</t>
  </si>
  <si>
    <t>5</t>
  </si>
  <si>
    <t>12</t>
  </si>
  <si>
    <t>unterhalten</t>
  </si>
  <si>
    <t>CR : Wir werden uns über das Internet und über Google unterhalten .</t>
  </si>
  <si>
    <t>file://conllu/de/teddy-4467.conllu#s5_0</t>
  </si>
  <si>
    <t>6</t>
  </si>
  <si>
    <t>sprechen</t>
  </si>
  <si>
    <t>Wir werden über das Suchen sprechen , über Privatsphäre und auch über deine Philosophie .</t>
  </si>
  <si>
    <t>file://conllu/de/teddy-4467.conllu#s6_0</t>
  </si>
  <si>
    <t>7</t>
  </si>
  <si>
    <t>Warum?</t>
  </si>
  <si>
    <t>sehen</t>
  </si>
  <si>
    <t>Wir werden sehen , wie du diese Punkte verknüpfst , und warum diese Reise , die schon vor einiger Zeit begann , so interessante Perspektiven hat .</t>
  </si>
  <si>
    <t>file://conllu/de/teddy-4467.conllu#s7_0</t>
  </si>
  <si>
    <t>8</t>
  </si>
  <si>
    <t>Vor allem wollen wir über die Zukunft sprechen .</t>
  </si>
  <si>
    <t>file://conllu/de/teddy-4467.conllu#s8_0</t>
  </si>
  <si>
    <t>Frage</t>
  </si>
  <si>
    <t>Meine erste Frage : Wo steht Google und wo will es hin ?</t>
  </si>
  <si>
    <t>file://conllu/de/teddy-4467.conllu#s9_0</t>
  </si>
  <si>
    <t>10</t>
  </si>
  <si>
    <t>denken</t>
  </si>
  <si>
    <t>LP : Darüber denken wir viel nach .</t>
  </si>
  <si>
    <t>file://conllu/de/teddy-4467.conllu#s10_0</t>
  </si>
  <si>
    <t>11</t>
  </si>
  <si>
    <t>stellen</t>
  </si>
  <si>
    <t>Unsere Aufgabe haben wir uns vor langer Zeit gestellt : die Information der Welt organisieren und sie universell zugänglich und nutzbar machen .</t>
  </si>
  <si>
    <t>file://conllu/de/teddy-4467.conllu#s11_0</t>
  </si>
  <si>
    <t>fragen</t>
  </si>
  <si>
    <t>Die Leute fragen immer : Stimmt es denn , dass ihr das noch immer macht ?</t>
  </si>
  <si>
    <t>file://conllu/de/teddy-4467.conllu#s12_0</t>
  </si>
  <si>
    <t>13</t>
  </si>
  <si>
    <t>Darüber denke ich selbst immer nach , und ich bin mir nicht ganz sicher .</t>
  </si>
  <si>
    <t>file://conllu/de/teddy-4467.conllu#s13_0</t>
  </si>
  <si>
    <t>14</t>
  </si>
  <si>
    <t>aber</t>
  </si>
  <si>
    <t>Aber wenn ich über das Suchen nachdenke : Es ist für uns alle ein so tief greifendes Thema wirklich zu verstehen , was wir wollen , die Information der Welt zu verstehen .</t>
  </si>
  <si>
    <t>file://conllu/de/teddy-4467.conllu#s14_0</t>
  </si>
  <si>
    <t>15</t>
  </si>
  <si>
    <t>Was?</t>
  </si>
  <si>
    <t>stehen</t>
  </si>
  <si>
    <t>Wir stehen noch am an dem Anfang was wirklich Wahnsinn ist .</t>
  </si>
  <si>
    <t>file://conllu/de/teddy-4467.conllu#s15_0</t>
  </si>
  <si>
    <t>16</t>
  </si>
  <si>
    <t>arbeiten</t>
  </si>
  <si>
    <t>Wir arbeiten schon seit 15 Jahren daran , aber der Prozess ist längst nicht abgeschlossen .</t>
  </si>
  <si>
    <t>file://conllu/de/teddy-4467.conllu#s16_0</t>
  </si>
  <si>
    <t>17</t>
  </si>
  <si>
    <t>werden</t>
  </si>
  <si>
    <t>CR : Wenn er abgeschlossen ist , wie wird das aussehen ?</t>
  </si>
  <si>
    <t>file://conllu/de/teddy-4467.conllu#s17_0</t>
  </si>
  <si>
    <t>18</t>
  </si>
  <si>
    <t>überlegen</t>
  </si>
  <si>
    <t>LP : Wenn ich überlege , wo wir hingehen : Warum ist [ der Prozess ] nicht abgeschlossen ?</t>
  </si>
  <si>
    <t>file://conllu/de/teddy-4467.conllu#s18_0</t>
  </si>
  <si>
    <t>19</t>
  </si>
  <si>
    <t>sein (sein Unordnung)</t>
  </si>
  <si>
    <t>Ein wichtiger Grund ist die Unordnung im in dem Computerwesen .</t>
  </si>
  <si>
    <t>file://conllu/de/teddy-4467.conllu#s19_0</t>
  </si>
  <si>
    <t>20</t>
  </si>
  <si>
    <t>sein (sein du)</t>
  </si>
  <si>
    <t>Dein Computer weiß nicht , wo du bist .</t>
  </si>
  <si>
    <t>file://conllu/de/teddy-4467.conllu#s20_0</t>
  </si>
  <si>
    <t>21</t>
  </si>
  <si>
    <t>wissen</t>
  </si>
  <si>
    <t>Er weiß nicht , was du tust .</t>
  </si>
  <si>
    <t>file://conllu/de/teddy-4467.conllu#s21_0</t>
  </si>
  <si>
    <t>22</t>
  </si>
  <si>
    <t>Er weiß nicht , was du weißt .</t>
  </si>
  <si>
    <t>file://conllu/de/teddy-4467.conllu#s22_0</t>
  </si>
  <si>
    <t>23</t>
  </si>
  <si>
    <t>versuchen</t>
  </si>
  <si>
    <t>In letzter Zeit versuchen wir vor allem , Geräte dazu zu bringen , dass sie deinen Kontext verstehen .</t>
  </si>
  <si>
    <t>file://conllu/de/teddy-4467.conllu#s23_0</t>
  </si>
  <si>
    <t>24</t>
  </si>
  <si>
    <t>Google Now weiß , wo du bist , weiß , was du brauchen könntest .</t>
  </si>
  <si>
    <t>file://conllu/de/teddy-4467.conllu#s24_0</t>
  </si>
  <si>
    <t>25</t>
  </si>
  <si>
    <t>begreifen</t>
  </si>
  <si>
    <t>Computer , die funktionieren und dich verstehen , die Informationen begreifen , das haben wir noch nicht erreicht .</t>
  </si>
  <si>
    <t>file://conllu/de/teddy-4467.conllu#s25_0</t>
  </si>
  <si>
    <t>26</t>
  </si>
  <si>
    <t>sein (sein klobig)</t>
  </si>
  <si>
    <t>Es ist alles noch sehr klobig .</t>
  </si>
  <si>
    <t>file://conllu/de/teddy-4467.conllu#s26_0</t>
  </si>
  <si>
    <t>27</t>
  </si>
  <si>
    <t>passen</t>
  </si>
  <si>
    <t>CR : Wenn man sich ansieht , was Google macht , wie passt DeepMind da hinein ?</t>
  </si>
  <si>
    <t>file://conllu/de/teddy-4467.conllu#s27_0</t>
  </si>
  <si>
    <t>28</t>
  </si>
  <si>
    <t>sein (sein Unternehmen)</t>
  </si>
  <si>
    <t>LP : DeepMind ist ein Unternehmen , das wir kürzlich erworben haben .</t>
  </si>
  <si>
    <t>file://conllu/de/teddy-4467.conllu#s28_0</t>
  </si>
  <si>
    <t>29</t>
  </si>
  <si>
    <t>sein</t>
  </si>
  <si>
    <t>Es ist in Großbritannien .</t>
  </si>
  <si>
    <t>file://conllu/de/teddy-4467.conllu#s29_0</t>
  </si>
  <si>
    <t>30</t>
  </si>
  <si>
    <t>erzählen</t>
  </si>
  <si>
    <t>Ich möchte zunächst erzählen , wie wir dazu kamen : Wir haben uns mit Suchen und echtem Verstehen befasst .</t>
  </si>
  <si>
    <t>file://conllu/de/teddy-4467.conllu#s30_0</t>
  </si>
  <si>
    <t>31</t>
  </si>
  <si>
    <t>verstehen</t>
  </si>
  <si>
    <t>Wir wollten alles verstehen , Computer weniger schwerfällig machen und erreichen , dass sie dich ganz verstehen .</t>
  </si>
  <si>
    <t>file://conllu/de/teddy-4467.conllu#s31_0</t>
  </si>
  <si>
    <t>32</t>
  </si>
  <si>
    <t>sein (sein wichtig)</t>
  </si>
  <si>
    <t>Stimme war wirklich wichtig .</t>
  </si>
  <si>
    <t>file://conllu/de/teddy-4467.conllu#s32_0</t>
  </si>
  <si>
    <t>33</t>
  </si>
  <si>
    <t>sein (sein Stand)</t>
  </si>
  <si>
    <t>Was ist der neueste Stand in der Spracherkennung ?</t>
  </si>
  <si>
    <t>file://conllu/de/teddy-4467.conllu#s33_0</t>
  </si>
  <si>
    <t>34</t>
  </si>
  <si>
    <t>sein (sein gut)</t>
  </si>
  <si>
    <t>Sie ist nicht sonderlich gut .</t>
  </si>
  <si>
    <t>file://conllu/de/teddy-4467.conllu#s34_0</t>
  </si>
  <si>
    <t>35</t>
  </si>
  <si>
    <t>Sie versteht dich nicht richtig .</t>
  </si>
  <si>
    <t>file://conllu/de/teddy-4467.conllu#s35_0</t>
  </si>
  <si>
    <t>36</t>
  </si>
  <si>
    <t>erforschen</t>
  </si>
  <si>
    <t>Wir haben maschinelles Lernen erforscht , um [ Spracherkennung ] zu verbessern .</t>
  </si>
  <si>
    <t>file://conllu/de/teddy-4467.conllu#s36_0</t>
  </si>
  <si>
    <t>37</t>
  </si>
  <si>
    <t>weitergebrachen</t>
  </si>
  <si>
    <t>Das hat uns weitergebracht .</t>
  </si>
  <si>
    <t>file://conllu/de/teddy-4467.conllu#s37_0</t>
  </si>
  <si>
    <t>38</t>
  </si>
  <si>
    <t>fangen</t>
  </si>
  <si>
    <t>Wir fingen an , uns Sachen wie YouTube anzusehen .</t>
  </si>
  <si>
    <t>file://conllu/de/teddy-4467.conllu#s38_0</t>
  </si>
  <si>
    <t>39</t>
  </si>
  <si>
    <t>Können wir YouTube verstehen ?</t>
  </si>
  <si>
    <t>file://conllu/de/teddy-4467.conllu#s39_0</t>
  </si>
  <si>
    <t>40</t>
  </si>
  <si>
    <t>lassen</t>
  </si>
  <si>
    <t>Wir haben maschinelles Lernen über YouTube laufen lassen .</t>
  </si>
  <si>
    <t>file://conllu/de/teddy-4467.conllu#s40_0</t>
  </si>
  <si>
    <t>41</t>
  </si>
  <si>
    <t>haben</t>
  </si>
  <si>
    <t>Die Maschine hat Katzen entdeckt , ganz von alleine .</t>
  </si>
  <si>
    <t>file://conllu/de/teddy-4467.conllu#s41_0</t>
  </si>
  <si>
    <t>42</t>
  </si>
  <si>
    <t>sein (sein Konzept)</t>
  </si>
  <si>
    <t>Das ist ein wichtiges Konzept .</t>
  </si>
  <si>
    <t>file://conllu/de/teddy-4467.conllu#s42_0</t>
  </si>
  <si>
    <t>43</t>
  </si>
  <si>
    <t>Wir begriffen , dass da wirklich etwas ist .</t>
  </si>
  <si>
    <t>file://conllu/de/teddy-4467.conllu#s43_0</t>
  </si>
  <si>
    <t>44</t>
  </si>
  <si>
    <t>Wenn wir lernen können , was Katzen sind , dann muss das wichtig sein .</t>
  </si>
  <si>
    <t>file://conllu/de/teddy-4467.conllu#s44_0</t>
  </si>
  <si>
    <t>45</t>
  </si>
  <si>
    <t>Ich denke , das Faszinierende an DeepMind ist :</t>
  </si>
  <si>
    <t>file://conllu/de/teddy-4467.conllu#s45_0</t>
  </si>
  <si>
    <t>46</t>
  </si>
  <si>
    <t>lernen</t>
  </si>
  <si>
    <t>Es kann tatsächlich Dinge ohne Anleitung lernen .</t>
  </si>
  <si>
    <t>file://conllu/de/teddy-4467.conllu#s46_0</t>
  </si>
  <si>
    <t>47</t>
  </si>
  <si>
    <t>angefangen</t>
  </si>
  <si>
    <t>Sie haben mit Videospielen angefangen .</t>
  </si>
  <si>
    <t>file://conllu/de/teddy-4467.conllu#s47_0</t>
  </si>
  <si>
    <t>48</t>
  </si>
  <si>
    <t>zeigen</t>
  </si>
  <si>
    <t>Vielleicht kann ich das Video zeigen .</t>
  </si>
  <si>
    <t>file://conllu/de/teddy-4467.conllu#s48_0</t>
  </si>
  <si>
    <t>49</t>
  </si>
  <si>
    <t>spielen</t>
  </si>
  <si>
    <t>Die Computer haben einfach Videospiele gespielt und automatisch gelernt , wie man das macht .</t>
  </si>
  <si>
    <t>file://conllu/de/teddy-4467.conllu#s49_0</t>
  </si>
  <si>
    <t>50</t>
  </si>
  <si>
    <t>CR</t>
  </si>
  <si>
    <t>CR : Sehen Sie sich im in dem Video an , wie Maschinen zunehmend in der Lage sind , Bemerkenswertes zu leisten .</t>
  </si>
  <si>
    <t>file://conllu/de/teddy-4467.conllu#s50_0</t>
  </si>
  <si>
    <t>51</t>
  </si>
  <si>
    <t>LP : Das Faszinierende ist :</t>
  </si>
  <si>
    <t>file://conllu/de/teddy-4467.conllu#s51_0</t>
  </si>
  <si>
    <t>52</t>
  </si>
  <si>
    <t>sein (sein Computerspiel)</t>
  </si>
  <si>
    <t>Das sind zwar offensichtlich alte Computerspiele , aber das System sieht , was du siehst : Pixel .</t>
  </si>
  <si>
    <t>file://conllu/de/teddy-4467.conllu#s52_0</t>
  </si>
  <si>
    <t>53</t>
  </si>
  <si>
    <t>Es hat die Steuerung und den Spielstand .</t>
  </si>
  <si>
    <t>file://conllu/de/teddy-4467.conllu#s53_0</t>
  </si>
  <si>
    <t>54</t>
  </si>
  <si>
    <t>Es hat gelernt , all diese Spiele zu spielen .</t>
  </si>
  <si>
    <t>file://conllu/de/teddy-4467.conllu#s54_0</t>
  </si>
  <si>
    <t>55</t>
  </si>
  <si>
    <t>Dasselbe Programm hat gelernt , Menschen in diesen Spielen zu übertreffen .</t>
  </si>
  <si>
    <t>file://conllu/de/teddy-4467.conllu#s55_0</t>
  </si>
  <si>
    <t>56</t>
  </si>
  <si>
    <t>machen</t>
  </si>
  <si>
    <t>Bisher konnten wir solche Dinge mit Computern nicht machen .</t>
  </si>
  <si>
    <t>file://conllu/de/teddy-4467.conllu#s56_0</t>
  </si>
  <si>
    <t>57</t>
  </si>
  <si>
    <t>sehen (sehen erzählen)</t>
  </si>
  <si>
    <t>Ich erzähle schnell , was wir hier sehen .</t>
  </si>
  <si>
    <t>file://conllu/de/teddy-4467.conllu#s57_0</t>
  </si>
  <si>
    <t>58</t>
  </si>
  <si>
    <t>sein (sein Box|Boxen)</t>
  </si>
  <si>
    <t>Dies ist Boxen .</t>
  </si>
  <si>
    <t>file://conllu/de/teddy-4467.conllu#s58_0</t>
  </si>
  <si>
    <t>59</t>
  </si>
  <si>
    <t>herausgefunden</t>
  </si>
  <si>
    <t>Er hat herausgefunden , dass er den Gegner in die Ecke drängen kann .</t>
  </si>
  <si>
    <t>file://conllu/de/teddy-4467.conllu#s59_0</t>
  </si>
  <si>
    <t>60</t>
  </si>
  <si>
    <t>sein (sein links)</t>
  </si>
  <si>
    <t>Der Computer ist links .</t>
  </si>
  <si>
    <t>file://conllu/de/teddy-4467.conllu#s60_0</t>
  </si>
  <si>
    <t>61</t>
  </si>
  <si>
    <t>haufen</t>
  </si>
  <si>
    <t>Er häuft einfach Punkte an .</t>
  </si>
  <si>
    <t>file://conllu/de/teddy-4467.conllu#s61_0</t>
  </si>
  <si>
    <t>62</t>
  </si>
  <si>
    <t>dir</t>
  </si>
  <si>
    <t>Stell dir vor , man würde diese Intelligenz auf deinen Terminkalender oder auf deine Informationsbedürfnisse oder Ähnliches loslassen !</t>
  </si>
  <si>
    <t>file://conllu/de/teddy-4467.conllu#s62_0</t>
  </si>
  <si>
    <t>63</t>
  </si>
  <si>
    <t>Wir stehen in dieser Sache erst am an dem Anfang .</t>
  </si>
  <si>
    <t>file://conllu/de/teddy-4467.conllu#s63_0</t>
  </si>
  <si>
    <t>64</t>
  </si>
  <si>
    <t>begeistern</t>
  </si>
  <si>
    <t>Das ist es , was mich wirklich begeistert .</t>
  </si>
  <si>
    <t>file://conllu/de/teddy-4467.conllu#s64_0</t>
  </si>
  <si>
    <t>65</t>
  </si>
  <si>
    <t>bewegen</t>
  </si>
  <si>
    <t>CR : Wenn man sich diese Entwicklung mit DeepMind und dem Boxen ansieht , dann bewegen wir uns in Richtung künstliche Intelligenz .</t>
  </si>
  <si>
    <t>file://conllu/de/teddy-4467.conllu#s65_0</t>
  </si>
  <si>
    <t>66</t>
  </si>
  <si>
    <t>Wo stehen wir da aus deiner Sicht ?</t>
  </si>
  <si>
    <t>file://conllu/de/teddy-4467.conllu#s66_0</t>
  </si>
  <si>
    <t>67</t>
  </si>
  <si>
    <t>sein (sein ein)</t>
  </si>
  <si>
    <t>LP : Für mich ist das eine der aufregendsten Sachen , die ich seit Langem gesehen habe .</t>
  </si>
  <si>
    <t>file://conllu/de/teddy-4467.conllu#s67_0</t>
  </si>
  <si>
    <t>68</t>
  </si>
  <si>
    <t>Der Gründer der Firma , Demis , hat Neurowissenschaften und Informatik studiert .</t>
  </si>
  <si>
    <t>file://conllu/de/teddy-4467.conllu#s68_0</t>
  </si>
  <si>
    <t>69</t>
  </si>
  <si>
    <t>gehen</t>
  </si>
  <si>
    <t>Er ging zurück an die Uni , um seinen Doktor in der Gehirnforschung zu machen .</t>
  </si>
  <si>
    <t>file://conllu/de/teddy-4467.conllu#s69_0</t>
  </si>
  <si>
    <t>70</t>
  </si>
  <si>
    <t>Wir sehen also sehr viel aufregende Arbeit , die Informatik und Neurowissenschaft verbindet , um wirklich zu verstehen , wie man etwas &amp;quot; schlau &amp;quot; machen kann , damit es interessante Dinge tut .</t>
  </si>
  <si>
    <t>file://conllu/de/teddy-4467.conllu#s70_0</t>
  </si>
  <si>
    <t>71</t>
  </si>
  <si>
    <t>sein (sein jetzen)</t>
  </si>
  <si>
    <t>CR : Aber in welchem Stadium ist es jetzt ?</t>
  </si>
  <si>
    <t>file://conllu/de/teddy-4467.conllu#s71_0</t>
  </si>
  <si>
    <t>72</t>
  </si>
  <si>
    <t>Wie schnell , denkst du , schreiten wir voran ?</t>
  </si>
  <si>
    <t>file://conllu/de/teddy-4467.conllu#s72_0</t>
  </si>
  <si>
    <t>73</t>
  </si>
  <si>
    <t>LP : Das ist der aktuelle Stand der Dinge : Katzenerkennung auf YouTube und ähnliche Dinge , auch bessere Spracherkennung .</t>
  </si>
  <si>
    <t>file://conllu/de/teddy-4467.conllu#s73_0</t>
  </si>
  <si>
    <t>74</t>
  </si>
  <si>
    <t>einsetzen</t>
  </si>
  <si>
    <t>Wir haben viel maschinelles Lernen eingesetzt , um Dinge schrittweise zu verbessern .</t>
  </si>
  <si>
    <t>file://conllu/de/teddy-4467.conllu#s74_0</t>
  </si>
  <si>
    <t>75</t>
  </si>
  <si>
    <t>sein (sein spannend)</t>
  </si>
  <si>
    <t>Für mich ist dieses Beispiel spannend , weil es ein Programm ist , das viele verschiedene Dinge tun kann .</t>
  </si>
  <si>
    <t>file://conllu/de/teddy-4467.conllu#s75_0</t>
  </si>
  <si>
    <t>76</t>
  </si>
  <si>
    <t>CR : Vielleicht geht das ?</t>
  </si>
  <si>
    <t>file://conllu/de/teddy-4467.conllu#s76_0</t>
  </si>
  <si>
    <t>77</t>
  </si>
  <si>
    <t>Wir haben das Katzenbild .</t>
  </si>
  <si>
    <t>file://conllu/de/teddy-4467.conllu#s77_0</t>
  </si>
  <si>
    <t>78</t>
  </si>
  <si>
    <t>sein (sein wunderbar)</t>
  </si>
  <si>
    <t>Es wäre wunderbar , es zu zeigen .</t>
  </si>
  <si>
    <t>file://conllu/de/teddy-4467.conllu#s78_0</t>
  </si>
  <si>
    <t>79</t>
  </si>
  <si>
    <t>Computer sahen Katzen und dies war das Resultat .</t>
  </si>
  <si>
    <t>file://conllu/de/teddy-4467.conllu#s79_0</t>
  </si>
  <si>
    <t>80</t>
  </si>
  <si>
    <t>Können wir das sehen ?</t>
  </si>
  <si>
    <t>file://conllu/de/teddy-4467.conllu#s80_0</t>
  </si>
  <si>
    <t>81</t>
  </si>
  <si>
    <t>LP</t>
  </si>
  <si>
    <t>LP : Ja .</t>
  </si>
  <si>
    <t>file://conllu/de/teddy-4467.conllu#s81_0</t>
  </si>
  <si>
    <t>82</t>
  </si>
  <si>
    <t>.</t>
  </si>
  <si>
    <t>CR : Da ist es .</t>
  </si>
  <si>
    <t>file://conllu/de/teddy-4467.conllu#s82_0</t>
  </si>
  <si>
    <t>83</t>
  </si>
  <si>
    <t>Sehen Sie die Katze ?</t>
  </si>
  <si>
    <t>file://conllu/de/teddy-4467.conllu#s83_0</t>
  </si>
  <si>
    <t>84</t>
  </si>
  <si>
    <t>Von Computern gesehen und gestaltet .</t>
  </si>
  <si>
    <t>file://conllu/de/teddy-4467.conllu#s84_0</t>
  </si>
  <si>
    <t>85</t>
  </si>
  <si>
    <t>LP : Richtig .</t>
  </si>
  <si>
    <t>file://conllu/de/teddy-4467.conllu#s85_0</t>
  </si>
  <si>
    <t>86</t>
  </si>
  <si>
    <t>Das haben sie nur aus YouTube Videos gelernt .</t>
  </si>
  <si>
    <t>file://conllu/de/teddy-4467.conllu#s86_0</t>
  </si>
  <si>
    <t>87</t>
  </si>
  <si>
    <t>geben</t>
  </si>
  <si>
    <t>Es gab kein Training , keine Vorstellung einer Katze .</t>
  </si>
  <si>
    <t>file://conllu/de/teddy-4467.conllu#s87_0</t>
  </si>
  <si>
    <t>88</t>
  </si>
  <si>
    <t>sein (sein Wichtige)</t>
  </si>
  <si>
    <t>Aber dieses Konzept einer Katze ist etwas Wichtiges , das du verstehen würdest und das nun auch Computer gewissermaßen verstehen .</t>
  </si>
  <si>
    <t>file://conllu/de/teddy-4467.conllu#s88_0</t>
  </si>
  <si>
    <t>89</t>
  </si>
  <si>
    <t>Angefangen</t>
  </si>
  <si>
    <t>Nur um den Teil über die Suche abzuschließen : Angefangen hatte es mit dem Suchen und Verstehen von Zusammenhängen und dem Informationsstand der Menschen .</t>
  </si>
  <si>
    <t>file://conllu/de/teddy-4467.conllu#s89_0</t>
  </si>
  <si>
    <t>90</t>
  </si>
  <si>
    <t>finden</t>
  </si>
  <si>
    <t>Ich habe diesbezüglich ein Video , das ich schnell zeigen wollte , das wir gefunden haben .</t>
  </si>
  <si>
    <t>file://conllu/de/teddy-4467.conllu#s90_0</t>
  </si>
  <si>
    <t>91</t>
  </si>
  <si>
    <t>pflanzen</t>
  </si>
  <si>
    <t>CR : Ja . ( Video ) [ &amp;quot; Soy , Kenya &amp;quot; ] ( Ich , Kenia ) Zack Matere : Vor einer Weile habe ich Kartoffeln gepflanzt .</t>
  </si>
  <si>
    <t>file://conllu/de/teddy-4467.conllu#s91_0</t>
  </si>
  <si>
    <t>92</t>
  </si>
  <si>
    <t>sein (sein eingehen)</t>
  </si>
  <si>
    <t>Dann sind die Pflanzen plötzlich eine nach der anderen eingegangen .</t>
  </si>
  <si>
    <t>file://conllu/de/teddy-4467.conllu#s92_0</t>
  </si>
  <si>
    <t>93</t>
  </si>
  <si>
    <t>lesen</t>
  </si>
  <si>
    <t>Ich habe Bücher gelesen , aber die verrieten nicht viel .</t>
  </si>
  <si>
    <t>file://conllu/de/teddy-4467.conllu#s93_0</t>
  </si>
  <si>
    <t>94</t>
  </si>
  <si>
    <t>starten</t>
  </si>
  <si>
    <t>Also habe ich eine Suche gestartet .</t>
  </si>
  <si>
    <t>file://conllu/de/teddy-4467.conllu#s94_0</t>
  </si>
  <si>
    <t>95</t>
  </si>
  <si>
    <t>Zack?</t>
  </si>
  <si>
    <t>zacken</t>
  </si>
  <si>
    <t>[ » Zack Matere , Landwirt « ] Kartoffelkrankheiten .</t>
  </si>
  <si>
    <t>file://conllu/de/teddy-4467.conllu#s95_0</t>
  </si>
  <si>
    <t>96</t>
  </si>
  <si>
    <t>schreiben</t>
  </si>
  <si>
    <t>Eine der Websites schrieb , Ameisen könnten das Problem sein .</t>
  </si>
  <si>
    <t>file://conllu/de/teddy-4467.conllu#s96_0</t>
  </si>
  <si>
    <t>97</t>
  </si>
  <si>
    <t>streuen</t>
  </si>
  <si>
    <t>Man solle Holzasche über die Pflanzen streuen .</t>
  </si>
  <si>
    <t>file://conllu/de/teddy-4467.conllu#s97_0</t>
  </si>
  <si>
    <t>98</t>
  </si>
  <si>
    <t>sein (sein weg)</t>
  </si>
  <si>
    <t>Nach ein paar Tagen waren die Ameisen weg .</t>
  </si>
  <si>
    <t>file://conllu/de/teddy-4467.conllu#s98_0</t>
  </si>
  <si>
    <t>99</t>
  </si>
  <si>
    <t>Das Internet fing an , mich zu begeistern .</t>
  </si>
  <si>
    <t>file://conllu/de/teddy-4467.conllu#s99_0</t>
  </si>
  <si>
    <t>100</t>
  </si>
  <si>
    <t>Ich habe einen Freund , der sein Geschäft gern ausweiten würde .</t>
  </si>
  <si>
    <t>file://conllu/de/teddy-4467.conllu#s100_0</t>
  </si>
  <si>
    <t>101</t>
  </si>
  <si>
    <t>Also bin ich mit ihm ins in das Internetcafé gegangen , und wir haben uns mehrere Seiten angesehen .</t>
  </si>
  <si>
    <t>file://conllu/de/teddy-4467.conllu#s101_0</t>
  </si>
  <si>
    <t>103</t>
  </si>
  <si>
    <t>sein (sein stolz)</t>
  </si>
  <si>
    <t>Ich war stolz , weil etwas , das vorher nicht existierte , nun plötzlich da war .</t>
  </si>
  <si>
    <t>file://conllu/de/teddy-4467.conllu#s103_0</t>
  </si>
  <si>
    <t>104</t>
  </si>
  <si>
    <t>Ich begriff , dass nicht jeder auf das zugreifen konnte , auf das ich zugreifen konnte .</t>
  </si>
  <si>
    <t>file://conllu/de/teddy-4467.conllu#s104_0</t>
  </si>
  <si>
    <t>105</t>
  </si>
  <si>
    <t>Ich dachte , ich brauche ein Internet , das meine Großmutter nutzen kann .</t>
  </si>
  <si>
    <t>file://conllu/de/teddy-4467.conllu#s105_0</t>
  </si>
  <si>
    <t>106</t>
  </si>
  <si>
    <t>Also dachte ich an ein Schwarzes Brett .</t>
  </si>
  <si>
    <t>file://conllu/de/teddy-4467.conllu#s106_0</t>
  </si>
  <si>
    <t>107</t>
  </si>
  <si>
    <t>schwarz</t>
  </si>
  <si>
    <t>Ein einfaches Schwarzes Brett aus Holz .</t>
  </si>
  <si>
    <t>file://conllu/de/teddy-4467.conllu#s107_0</t>
  </si>
  <si>
    <t>108</t>
  </si>
  <si>
    <t>aushängen</t>
  </si>
  <si>
    <t>Wenn ich auf mein Telefon Informationen bekomme , kann ich diese Informationen am an dem Schwarzen Brett aushängen .</t>
  </si>
  <si>
    <t>file://conllu/de/teddy-4467.conllu#s108_0</t>
  </si>
  <si>
    <t>109</t>
  </si>
  <si>
    <t>sein (sein Grund)</t>
  </si>
  <si>
    <t>Es ist also im in dem Grunde wie ein Computer .</t>
  </si>
  <si>
    <t>file://conllu/de/teddy-4467.conllu#s109_0</t>
  </si>
  <si>
    <t>110</t>
  </si>
  <si>
    <t>nutzen</t>
  </si>
  <si>
    <t>Ich nutze das Internet , um Leuten zu helfen .</t>
  </si>
  <si>
    <t>file://conllu/de/teddy-4467.conllu#s110_0</t>
  </si>
  <si>
    <t>111</t>
  </si>
  <si>
    <t>Ich denke , ich suche nach einem besseren Leben für mich und meine Nachbarn .</t>
  </si>
  <si>
    <t>file://conllu/de/teddy-4467.conllu#s111_0</t>
  </si>
  <si>
    <t>112</t>
  </si>
  <si>
    <t>So viele Leute haben Zugang zu Informationen , aber es entsteht nichts daraus .</t>
  </si>
  <si>
    <t>file://conllu/de/teddy-4467.conllu#s112_0</t>
  </si>
  <si>
    <t>113</t>
  </si>
  <si>
    <t>Ich denke , was daraus entsteht , ist unser Wissen .</t>
  </si>
  <si>
    <t>file://conllu/de/teddy-4467.conllu#s113_0</t>
  </si>
  <si>
    <t>114</t>
  </si>
  <si>
    <t>Wenn Leute Wissen besitzen , können sie Lösungen finden , ohne dass man ihnen helfen muss .</t>
  </si>
  <si>
    <t>file://conllu/de/teddy-4467.conllu#s114_0</t>
  </si>
  <si>
    <t>115</t>
  </si>
  <si>
    <t>sein (sein mächtig)</t>
  </si>
  <si>
    <t>Information ist mächtig , aber die Art , wie wir sie nutzen , wird uns definieren .</t>
  </si>
  <si>
    <t>file://conllu/de/teddy-4467.conllu#s115_0</t>
  </si>
  <si>
    <t>116</t>
  </si>
  <si>
    <t>lasen</t>
  </si>
  <si>
    <t>( Applaus ) LP : Das Erstaunliche an diesem Video : Wir lasen in den Nachrichten davon .</t>
  </si>
  <si>
    <t>file://conllu/de/teddy-4467.conllu#s116_0</t>
  </si>
  <si>
    <t>117</t>
  </si>
  <si>
    <t>besuchen</t>
  </si>
  <si>
    <t>Wir haben diesen Herrn besucht und dieses kurze Video gedreht .</t>
  </si>
  <si>
    <t>file://conllu/de/teddy-4467.conllu#s117_0</t>
  </si>
  <si>
    <t>118</t>
  </si>
  <si>
    <t>sprechen (sprechen sagen)</t>
  </si>
  <si>
    <t>CR : Wenn ich mit Leuten über dich spreche , sagen die , die dich gut kennen :</t>
  </si>
  <si>
    <t>file://conllu/de/teddy-4467.conllu#s118_0</t>
  </si>
  <si>
    <t>119</t>
  </si>
  <si>
    <t>verändern</t>
  </si>
  <si>
    <t>Larry will die Welt verändern und er glaubt , die Technik weist den Weg .</t>
  </si>
  <si>
    <t>file://conllu/de/teddy-4467.conllu#s119_0</t>
  </si>
  <si>
    <t>120</t>
  </si>
  <si>
    <t>bedeuten</t>
  </si>
  <si>
    <t>Das bedeutet Zugang zum zu dem Internet .</t>
  </si>
  <si>
    <t>file://conllu/de/teddy-4467.conllu#s120_0</t>
  </si>
  <si>
    <t>121</t>
  </si>
  <si>
    <t>tun</t>
  </si>
  <si>
    <t>Das hat mit Sprachen zu tun .</t>
  </si>
  <si>
    <t>file://conllu/de/teddy-4467.conllu#s121_0</t>
  </si>
  <si>
    <t>122</t>
  </si>
  <si>
    <t>Es bedeutet auch , dass Menschen Zugang bekommen und etwas tun können , das ihre Gemeinde verändert .</t>
  </si>
  <si>
    <t>file://conllu/de/teddy-4467.conllu#s122_0</t>
  </si>
  <si>
    <t>123</t>
  </si>
  <si>
    <t>sein (sein Beispiel)</t>
  </si>
  <si>
    <t>Dies ist ein Beispiel dafür .</t>
  </si>
  <si>
    <t>file://conllu/de/teddy-4467.conllu#s123_0</t>
  </si>
  <si>
    <t>124</t>
  </si>
  <si>
    <t>sein (sein richtig)</t>
  </si>
  <si>
    <t>LP : Ja , das ist richtig .</t>
  </si>
  <si>
    <t>file://conllu/de/teddy-4467.conllu#s124_0</t>
  </si>
  <si>
    <t>125</t>
  </si>
  <si>
    <t>betreffen</t>
  </si>
  <si>
    <t>Was mich betrifft , ich konzentriere mich mehr auf den Zugang , wenn wir von Zukunft sprechen .</t>
  </si>
  <si>
    <t>file://conllu/de/teddy-4467.conllu#s125_0</t>
  </si>
  <si>
    <t>126</t>
  </si>
  <si>
    <t>Wir haben kürzlich das Loon Projekt gestartet , wobei Ballons eingesetzt werden , um das zu erreichen .</t>
  </si>
  <si>
    <t>file://conllu/de/teddy-4467.conllu#s126_0</t>
  </si>
  <si>
    <t>127</t>
  </si>
  <si>
    <t>klingen</t>
  </si>
  <si>
    <t>Es klingt völlig verrückt .</t>
  </si>
  <si>
    <t>file://conllu/de/teddy-4467.conllu#s127_0</t>
  </si>
  <si>
    <t>128</t>
  </si>
  <si>
    <t>Wir können hier das Video zeigen .</t>
  </si>
  <si>
    <t>file://conllu/de/teddy-4467.conllu#s128_0</t>
  </si>
  <si>
    <t>129</t>
  </si>
  <si>
    <t>Zwei Drittel der Weltbevölkerung hat heute keinen guten Internetzugang .</t>
  </si>
  <si>
    <t>file://conllu/de/teddy-4467.conllu#s129_0</t>
  </si>
  <si>
    <t>130</t>
  </si>
  <si>
    <t>Wir denken , dies könnte Leuten auf günstige Weise helfen .</t>
  </si>
  <si>
    <t>file://conllu/de/teddy-4467.conllu#s130_0</t>
  </si>
  <si>
    <t>131</t>
  </si>
  <si>
    <t>CR : Es ist ein Ballon .</t>
  </si>
  <si>
    <t>file://conllu/de/teddy-4467.conllu#s131_0</t>
  </si>
  <si>
    <t>132</t>
  </si>
  <si>
    <t>LP : Für den Internetzugang .</t>
  </si>
  <si>
    <t>file://conllu/de/teddy-4467.conllu#s132_0</t>
  </si>
  <si>
    <t>133</t>
  </si>
  <si>
    <t>CR : Wie verschafft dir dieser Ballon Zugang zum zu dem Internet ?</t>
  </si>
  <si>
    <t>file://conllu/de/teddy-4467.conllu#s133_0</t>
  </si>
  <si>
    <t>134</t>
  </si>
  <si>
    <t>lösen</t>
  </si>
  <si>
    <t>Du musstest interessante Probleme lösen , damit man die Ballons nicht festbinden muss .</t>
  </si>
  <si>
    <t>file://conllu/de/teddy-4467.conllu#s134_0</t>
  </si>
  <si>
    <t>135</t>
  </si>
  <si>
    <t>LP :</t>
  </si>
  <si>
    <t>file://conllu/de/teddy-4467.conllu#s135_0</t>
  </si>
  <si>
    <t>136</t>
  </si>
  <si>
    <t>Ja , es ist ein gutes Beispiel für Innovation .</t>
  </si>
  <si>
    <t>file://conllu/de/teddy-4467.conllu#s136_0</t>
  </si>
  <si>
    <t>137</t>
  </si>
  <si>
    <t>Wir haben über diese Idee 5 Jahre oder länger nachgedacht , bevor wir mit der Arbeit anfingen .</t>
  </si>
  <si>
    <t>file://conllu/de/teddy-4467.conllu#s137_0</t>
  </si>
  <si>
    <t>139</t>
  </si>
  <si>
    <t>nehmen</t>
  </si>
  <si>
    <t>Normalerweise nimmt man Satelliten .</t>
  </si>
  <si>
    <t>file://conllu/de/teddy-4467.conllu#s139_0</t>
  </si>
  <si>
    <t>140</t>
  </si>
  <si>
    <t>dauern</t>
  </si>
  <si>
    <t>Aber es dauert sehr lange , bis man sie starten kann .</t>
  </si>
  <si>
    <t>file://conllu/de/teddy-4467.conllu#s140_0</t>
  </si>
  <si>
    <t>141</t>
  </si>
  <si>
    <t>Du hast gesehen , wie leicht man Ballons steigen und hoch hinaufbringen kann .</t>
  </si>
  <si>
    <t>file://conllu/de/teddy-4467.conllu#s141_0</t>
  </si>
  <si>
    <t>142</t>
  </si>
  <si>
    <t>sein (sein Macht)</t>
  </si>
  <si>
    <t>Auch das ist die Macht des Internets .</t>
  </si>
  <si>
    <t>file://conllu/de/teddy-4467.conllu#s142_0</t>
  </si>
  <si>
    <t>143</t>
  </si>
  <si>
    <t>nachgeforschen</t>
  </si>
  <si>
    <t>Ich habe nachgeforscht und gelesen , dass jemand vor 30 oder 40 Jahren einen Ballon fliegen ließ , der die Erde mehrere Male umkreiste .</t>
  </si>
  <si>
    <t>file://conllu/de/teddy-4467.conllu#s143_0</t>
  </si>
  <si>
    <t>144</t>
  </si>
  <si>
    <t>Ich dachte , warum machen wir das nicht auch heute ?</t>
  </si>
  <si>
    <t>file://conllu/de/teddy-4467.conllu#s144_0</t>
  </si>
  <si>
    <t>145</t>
  </si>
  <si>
    <t>Damit war der erste Schritt für das Projekt getan .</t>
  </si>
  <si>
    <t>file://conllu/de/teddy-4467.conllu#s145_0</t>
  </si>
  <si>
    <t>146</t>
  </si>
  <si>
    <t>ausliefern</t>
  </si>
  <si>
    <t>CR : Aber bist du nicht dem Wind ausgeliefert ?</t>
  </si>
  <si>
    <t>file://conllu/de/teddy-4467.conllu#s146_0</t>
  </si>
  <si>
    <t>147</t>
  </si>
  <si>
    <t>steuern</t>
  </si>
  <si>
    <t>LP : Ja , aber Wettersimulationen haben gezeigt die man wohl bis dahin noch nicht angestellt hatte dass man die Ballonhöhe kontrollieren kann , indem man Luft in sie hineinpumpt oder andere Methoden einsetzt , und so steuern kann , wo die Ballons ungefähr hinfliegen .</t>
  </si>
  <si>
    <t>file://conllu/de/teddy-4467.conllu#s147_0</t>
  </si>
  <si>
    <t>148</t>
  </si>
  <si>
    <t>Ich denke , wir können ein weltweites Netz mit diesen Ballons errichten , das den ganzen Planeten umspannt .</t>
  </si>
  <si>
    <t>file://conllu/de/teddy-4467.conllu#s148_0</t>
  </si>
  <si>
    <t>149</t>
  </si>
  <si>
    <t>mögen</t>
  </si>
  <si>
    <t>CR : Bevor ich über Zukunft und Verkehr spreche womit du dich schon länger beschäftigst und deine Faszination für Verkehr , automatisiertem Fahren und Fahrrädern , möchte ich kurz darüber sprechen , was hier gerade mit Edward Snowden Thema war .</t>
  </si>
  <si>
    <t>file://conllu/de/teddy-4467.conllu#s149_0</t>
  </si>
  <si>
    <t>150</t>
  </si>
  <si>
    <t>Es geht um Sicherheit und Datenschutz .</t>
  </si>
  <si>
    <t>file://conllu/de/teddy-4467.conllu#s150_0</t>
  </si>
  <si>
    <t>151</t>
  </si>
  <si>
    <t>nachdenken</t>
  </si>
  <si>
    <t>Du musst darüber nachgedacht haben .</t>
  </si>
  <si>
    <t>file://conllu/de/teddy-4467.conllu#s151_0</t>
  </si>
  <si>
    <t>152</t>
  </si>
  <si>
    <t>LP : Absolut .</t>
  </si>
  <si>
    <t>file://conllu/de/teddy-4467.conllu#s152_0</t>
  </si>
  <si>
    <t>153</t>
  </si>
  <si>
    <t>Ich habe das Foto von Sergey und Edward Snowden gestern gesehen .</t>
  </si>
  <si>
    <t>file://conllu/de/teddy-4467.conllu#s153_0</t>
  </si>
  <si>
    <t>154</t>
  </si>
  <si>
    <t>Einige von Ihnen haben es vielleicht gesehen .</t>
  </si>
  <si>
    <t>file://conllu/de/teddy-4467.conllu#s154_0</t>
  </si>
  <si>
    <t>155</t>
  </si>
  <si>
    <t>Ich denke , für mich sind Privatsphäre und Sicherheit wirklich wichtig .</t>
  </si>
  <si>
    <t>file://conllu/de/teddy-4467.conllu#s155_0</t>
  </si>
  <si>
    <t>156</t>
  </si>
  <si>
    <t>hängen</t>
  </si>
  <si>
    <t>Für uns hängt beides zusammen .</t>
  </si>
  <si>
    <t>file://conllu/de/teddy-4467.conllu#s156_0</t>
  </si>
  <si>
    <t>157</t>
  </si>
  <si>
    <t>glauben</t>
  </si>
  <si>
    <t>Ich glaube , ohne Sicherheit gibt es keine Privatsphäre .</t>
  </si>
  <si>
    <t>file://conllu/de/teddy-4467.conllu#s157_0</t>
  </si>
  <si>
    <t>158</t>
  </si>
  <si>
    <t>sagen (sagen fragen sagen)</t>
  </si>
  <si>
    <t>Zuerst möchte ich etwas zur zu der Sicherheit sagen , weil du nach Snowden und all dem gefragt hast , und dann sage ich etwas zur zu der Privatsphäre .</t>
  </si>
  <si>
    <t>file://conllu/de/teddy-4467.conllu#s158_0</t>
  </si>
  <si>
    <t>159</t>
  </si>
  <si>
    <t>enttäuschend</t>
  </si>
  <si>
    <t>Für mich persönlich ist es unglaublich enttäuschend , dass die Regierung all das heimlich getan und uns nichts gesagt hat .</t>
  </si>
  <si>
    <t>file://conllu/de/teddy-4467.conllu#s159_0</t>
  </si>
  <si>
    <t>160</t>
  </si>
  <si>
    <t>Ich denke nicht , dass wir eine Demokratie haben können , wenn wir dich und unsere Nutzer vor der Regierung schützen müssen wegen Dingen , über die nie gesprochen wurde .</t>
  </si>
  <si>
    <t>file://conllu/de/teddy-4467.conllu#s160_0</t>
  </si>
  <si>
    <t>161</t>
  </si>
  <si>
    <t>Ich meine?</t>
  </si>
  <si>
    <t>mein</t>
  </si>
  <si>
    <t>Ich meine nicht , dass wir wissen müssen , vor welchem Terroranschlag genau sie uns beschützen wollen .</t>
  </si>
  <si>
    <t>file://conllu/de/teddy-4467.conllu#s161_0</t>
  </si>
  <si>
    <t>162</t>
  </si>
  <si>
    <t>Aber wir müssen wissen , was die Parameter sind , welche Art von Überwachung die Regierung durchführen wird , wie und warum .</t>
  </si>
  <si>
    <t>file://conllu/de/teddy-4467.conllu#s162_0</t>
  </si>
  <si>
    <t>163</t>
  </si>
  <si>
    <t>sprechen (sprechen denken)</t>
  </si>
  <si>
    <t>Ich denke , darüber ist nicht gesprochen worden .</t>
  </si>
  <si>
    <t>file://conllu/de/teddy-4467.conllu#s163_0</t>
  </si>
  <si>
    <t>164</t>
  </si>
  <si>
    <t>schaden</t>
  </si>
  <si>
    <t>Deshalb meine ich , dass die Regierung sich selbst schwer geschadet hat , indem sie all das heimlich getan hat .</t>
  </si>
  <si>
    <t>file://conllu/de/teddy-4467.conllu#s164_0</t>
  </si>
  <si>
    <t>165</t>
  </si>
  <si>
    <t>CR : Indem sie nie zu Google kamen , um danach zu fragen .</t>
  </si>
  <si>
    <t>file://conllu/de/teddy-4467.conllu#s165_0</t>
  </si>
  <si>
    <t>166</t>
  </si>
  <si>
    <t>LP : Nicht Google , die Öffentlichkeit .</t>
  </si>
  <si>
    <t>file://conllu/de/teddy-4467.conllu#s166_0</t>
  </si>
  <si>
    <t>167</t>
  </si>
  <si>
    <t>führen</t>
  </si>
  <si>
    <t>Ich meine , wir müssen eine Debatte darüber führen , sonst können wir keine funktionierende Demokratie haben .</t>
  </si>
  <si>
    <t>file://conllu/de/teddy-4467.conllu#s167_0</t>
  </si>
  <si>
    <t>168</t>
  </si>
  <si>
    <t>sein (sein möglich)</t>
  </si>
  <si>
    <t>Das ist einfach nicht möglich .</t>
  </si>
  <si>
    <t>file://conllu/de/teddy-4467.conllu#s168_0</t>
  </si>
  <si>
    <t>169</t>
  </si>
  <si>
    <t>sein (sein stimmen)</t>
  </si>
  <si>
    <t>Es stimmt mich traurig , dass Google in der Situation ist , dass wir dich und unsere Nutzer vor der Regierung schützen , die heimlich Dinge tut , von denen keiner weiß .</t>
  </si>
  <si>
    <t>file://conllu/de/teddy-4467.conllu#s169_0</t>
  </si>
  <si>
    <t>170</t>
  </si>
  <si>
    <t>ergeben</t>
  </si>
  <si>
    <t>Das ergibt keinen Sinn .</t>
  </si>
  <si>
    <t>file://conllu/de/teddy-4467.conllu#s170_0</t>
  </si>
  <si>
    <t>171</t>
  </si>
  <si>
    <t>CR : Das Thema hat noch eine Seite , die Privatsphäre .</t>
  </si>
  <si>
    <t>file://conllu/de/teddy-4467.conllu#s171_0</t>
  </si>
  <si>
    <t>172</t>
  </si>
  <si>
    <t>LP : Ja , die Privatsphäre .</t>
  </si>
  <si>
    <t>file://conllu/de/teddy-4467.conllu#s172_0</t>
  </si>
  <si>
    <t>173</t>
  </si>
  <si>
    <t>Ich denke , die Welt verändert sich .</t>
  </si>
  <si>
    <t>file://conllu/de/teddy-4467.conllu#s173_0</t>
  </si>
  <si>
    <t>174</t>
  </si>
  <si>
    <t>Man hat ein Telefon bei sich .</t>
  </si>
  <si>
    <t>file://conllu/de/teddy-4467.conllu#s174_0</t>
  </si>
  <si>
    <t>175</t>
  </si>
  <si>
    <t>Es weiß , wo man ist .</t>
  </si>
  <si>
    <t>file://conllu/de/teddy-4467.conllu#s175_0</t>
  </si>
  <si>
    <t>176</t>
  </si>
  <si>
    <t>Es gibt so viel mehr Informationen über dich her .</t>
  </si>
  <si>
    <t>file://conllu/de/teddy-4467.conllu#s176_0</t>
  </si>
  <si>
    <t>177</t>
  </si>
  <si>
    <t>sein (sein Aspekt)</t>
  </si>
  <si>
    <t>Das ist ein wichtiger Aspekt .</t>
  </si>
  <si>
    <t>file://conllu/de/teddy-4467.conllu#s177_0</t>
  </si>
  <si>
    <t>178</t>
  </si>
  <si>
    <t>leuchten</t>
  </si>
  <si>
    <t>Es leuchtet ein , dass Leute schwierige Fragen stellen .</t>
  </si>
  <si>
    <t>file://conllu/de/teddy-4467.conllu#s178_0</t>
  </si>
  <si>
    <t>179</t>
  </si>
  <si>
    <t>verwenden</t>
  </si>
  <si>
    <t>Wir verwenden viel Zeit darauf , über diese Sache und die auftretenden Probleme nachzudenken .</t>
  </si>
  <si>
    <t>file://conllu/de/teddy-4467.conllu#s179_0</t>
  </si>
  <si>
    <t>180</t>
  </si>
  <si>
    <t>sein (sein Hauptaufgabe)</t>
  </si>
  <si>
    <t>Ich bin ein bisschen ... Unsere Hauptaufgabe ist es , Leuten die Wahl zu lassen , ihnen zu zeigen , welche Daten gesammelt werden : Suchverlauf , Standortdaten .</t>
  </si>
  <si>
    <t>file://conllu/de/teddy-4467.conllu#s180_0</t>
  </si>
  <si>
    <t>181</t>
  </si>
  <si>
    <t>sein (sein begeistert)</t>
  </si>
  <si>
    <t>Wir sind begeistert vom von dem Inkognito Modus in Chrome .</t>
  </si>
  <si>
    <t>file://conllu/de/teddy-4467.conllu#s181_0</t>
  </si>
  <si>
    <t>182</t>
  </si>
  <si>
    <t>bieten</t>
  </si>
  <si>
    <t>Wir wollen mehr Möglichkeiten bieten , Leuten mehr Optionen geben und ein Bewusstsein schaffen für das , was vor sich geht .</t>
  </si>
  <si>
    <t>file://conllu/de/teddy-4467.conllu#s182_0</t>
  </si>
  <si>
    <t>183</t>
  </si>
  <si>
    <t>Ich denke , dass das sehr einfach ist .</t>
  </si>
  <si>
    <t>file://conllu/de/teddy-4467.conllu#s183_0</t>
  </si>
  <si>
    <t>184</t>
  </si>
  <si>
    <t>sein (sein ausschütten)</t>
  </si>
  <si>
    <t>Meine Sorge ist , dass wir das Kind mit dem Bade ausschütten .</t>
  </si>
  <si>
    <t>file://conllu/de/teddy-4467.conllu#s184_0</t>
  </si>
  <si>
    <t>185</t>
  </si>
  <si>
    <t>wissermaßen</t>
  </si>
  <si>
    <t>In deiner Show habe ich gewissermaßen meine Stimme verloren und habe sie noch nicht zurück .</t>
  </si>
  <si>
    <t>file://conllu/de/teddy-4467.conllu#s185_0</t>
  </si>
  <si>
    <t>186</t>
  </si>
  <si>
    <t>hoffen</t>
  </si>
  <si>
    <t>Ich hoffe , indem ich mit dir rede , kommt sie zurück .</t>
  </si>
  <si>
    <t>file://conllu/de/teddy-4467.conllu#s186_0</t>
  </si>
  <si>
    <t>187</t>
  </si>
  <si>
    <t>helfen</t>
  </si>
  <si>
    <t>CR : Ich würde dir helfen , wenn ich könnte .</t>
  </si>
  <si>
    <t>file://conllu/de/teddy-4467.conllu#s187_0</t>
  </si>
  <si>
    <t>188</t>
  </si>
  <si>
    <t>LP : Gut .</t>
  </si>
  <si>
    <t>file://conllu/de/teddy-4467.conllu#s188_0</t>
  </si>
  <si>
    <t>189</t>
  </si>
  <si>
    <t>Hol</t>
  </si>
  <si>
    <t>Hol deine Voodoo Puppe raus und tu , was du tun musst .</t>
  </si>
  <si>
    <t>file://conllu/de/teddy-4467.conllu#s189_0</t>
  </si>
  <si>
    <t>190</t>
  </si>
  <si>
    <t>weißen|wissen</t>
  </si>
  <si>
    <t>Aber weißt du was ?</t>
  </si>
  <si>
    <t>file://conllu/de/teddy-4467.conllu#s190_0</t>
  </si>
  <si>
    <t>191</t>
  </si>
  <si>
    <t>Ich sehe mir das an ... Ich habe es öffentlich gemacht und viele Hinweise erhalten .</t>
  </si>
  <si>
    <t>file://conllu/de/teddy-4467.conllu#s191_0</t>
  </si>
  <si>
    <t>192</t>
  </si>
  <si>
    <t>durchgeführt</t>
  </si>
  <si>
    <t>Wir haben eine Studie über die Erkrankung mit Leuten durchgeführt , die ähnliche Beschwerden haben .</t>
  </si>
  <si>
    <t>file://conllu/de/teddy-4467.conllu#s192_0</t>
  </si>
  <si>
    <t>193</t>
  </si>
  <si>
    <t>sehen (sehen sagen)</t>
  </si>
  <si>
    <t>Wenn ich die Krankenberichte sehe , sage ich mir : Wäre es nicht fantastisch , wenn die Krankenberichte von allen anonym verfügbar wären für Ärzte in der Forschung ?</t>
  </si>
  <si>
    <t>file://conllu/de/teddy-4467.conllu#s193_0</t>
  </si>
  <si>
    <t>194</t>
  </si>
  <si>
    <t>zugreifen</t>
  </si>
  <si>
    <t>Wenn jemand auf deinen Krankenbericht zugreift in der medizinischen Forschung , könntest du sehen , welcher Arzt darauf zugegriffen hat und warum .</t>
  </si>
  <si>
    <t>file://conllu/de/teddy-4467.conllu#s194_0</t>
  </si>
  <si>
    <t>195</t>
  </si>
  <si>
    <t>könntesen</t>
  </si>
  <si>
    <t>Du könntest vielleicht mehr über deine Beschwerden erfahren .</t>
  </si>
  <si>
    <t>file://conllu/de/teddy-4467.conllu#s195_0</t>
  </si>
  <si>
    <t>196</t>
  </si>
  <si>
    <t>retten</t>
  </si>
  <si>
    <t>Wenn wir das machen würden , könnten wir dieses Jahr 100 000 Leben retten .</t>
  </si>
  <si>
    <t>file://conllu/de/teddy-4467.conllu#s196_0</t>
  </si>
  <si>
    <t>197</t>
  </si>
  <si>
    <t>laß</t>
  </si>
  <si>
    <t>CR : Auf jeden Fall , lass mich ... LP : Ich bin einfach sehr besorgt , dass wir beim bei dem Datenschutz im in dem Internet dasselbe tun wie bei Krankenberichten das Kind mit dem Bade ausschütten und eigentlich nicht daran denken , wie enorm viel Gutes durch Informationsaustausch mit den richtigen Leuten auf die richtige Weise entstehen kann .</t>
  </si>
  <si>
    <t>file://conllu/de/teddy-4467.conllu#s197_0</t>
  </si>
  <si>
    <t>198</t>
  </si>
  <si>
    <t>sein (sein Voraussetzung)</t>
  </si>
  <si>
    <t>CR : Die notwendige Voraussetzung ist , dass Leute Vertrauen haben müssen , dass ihre Daten nicht missbraucht werden .</t>
  </si>
  <si>
    <t>file://conllu/de/teddy-4467.conllu#s198_0</t>
  </si>
  <si>
    <t>199</t>
  </si>
  <si>
    <t>file://conllu/de/teddy-4467.conllu#s199_0</t>
  </si>
  <si>
    <t>200</t>
  </si>
  <si>
    <t>Stimmproblem</t>
  </si>
  <si>
    <t>Ich habe ein Stimmproblem .</t>
  </si>
  <si>
    <t>file://conllu/de/teddy-4467.conllu#s200_0</t>
  </si>
  <si>
    <t>201</t>
  </si>
  <si>
    <t>Ich hatte Angst , darüber zu sprechen .</t>
  </si>
  <si>
    <t>file://conllu/de/teddy-4467.conllu#s201_0</t>
  </si>
  <si>
    <t>202</t>
  </si>
  <si>
    <t>ermutigen</t>
  </si>
  <si>
    <t>Sergey hat mich dazu ermutigt , und es war eine großartige Sache .</t>
  </si>
  <si>
    <t>file://conllu/de/teddy-4467.conllu#s202_0</t>
  </si>
  <si>
    <t>203</t>
  </si>
  <si>
    <t>sein (sein überwältigend)</t>
  </si>
  <si>
    <t>CR : Das Echo ist überwältigend .</t>
  </si>
  <si>
    <t>file://conllu/de/teddy-4467.conllu#s203_0</t>
  </si>
  <si>
    <t>204</t>
  </si>
  <si>
    <t>LP : Die Leute sind sehr positiv .</t>
  </si>
  <si>
    <t>file://conllu/de/teddy-4467.conllu#s204_0</t>
  </si>
  <si>
    <t>205</t>
  </si>
  <si>
    <t>Wir haben Tausende und Abertausende mit ähnlichen Beschwerden , über die es heute keinerlei Daten gibt .</t>
  </si>
  <si>
    <t>file://conllu/de/teddy-4467.conllu#s205_0</t>
  </si>
  <si>
    <t>206</t>
  </si>
  <si>
    <t>sein (sein Sache)</t>
  </si>
  <si>
    <t>Es ist eine wirklich gute Sache .</t>
  </si>
  <si>
    <t>file://conllu/de/teddy-4467.conllu#s206_0</t>
  </si>
  <si>
    <t>207</t>
  </si>
  <si>
    <t>CR : Zum Zu dem Thema Zukunft : Um was geht es dir bei Verkehrssystemen ?</t>
  </si>
  <si>
    <t>file://conllu/de/teddy-4467.conllu#s207_0</t>
  </si>
  <si>
    <t>208</t>
  </si>
  <si>
    <t>sein (sein frustrieren)</t>
  </si>
  <si>
    <t>LP : Ja , ich war einfach frustriert , als ich in Michigan im in dem College war .</t>
  </si>
  <si>
    <t>file://conllu/de/teddy-4467.conllu#s208_0</t>
  </si>
  <si>
    <t>209</t>
  </si>
  <si>
    <t>fahren</t>
  </si>
  <si>
    <t>Ich musste mit dem Bus fahren , und auf ihn warten .</t>
  </si>
  <si>
    <t>file://conllu/de/teddy-4467.conllu#s209_0</t>
  </si>
  <si>
    <t>210</t>
  </si>
  <si>
    <t>sein (sein kalt)</t>
  </si>
  <si>
    <t>Es war kalt und es schneite .</t>
  </si>
  <si>
    <t>file://conllu/de/teddy-4467.conllu#s210_0</t>
  </si>
  <si>
    <t>211</t>
  </si>
  <si>
    <t>nachgerechnen</t>
  </si>
  <si>
    <t>Ich habe nachgerechnet , was er kostet , und so entstand mein Interesse an Verkehrssystemen .</t>
  </si>
  <si>
    <t>file://conllu/de/teddy-4467.conllu#s211_0</t>
  </si>
  <si>
    <t>212</t>
  </si>
  <si>
    <t>kamsen</t>
  </si>
  <si>
    <t>CR : So kamst du auf die Idee des automatisierten Fahrens .</t>
  </si>
  <si>
    <t>file://conllu/de/teddy-4467.conllu#s212_0</t>
  </si>
  <si>
    <t>213</t>
  </si>
  <si>
    <t>erfahren</t>
  </si>
  <si>
    <t>LP : Vor 18 Jahren erfuhr ich , dass Leute am an dem automatisierten Fahren arbeiten , und das hat mich fasziniert .</t>
  </si>
  <si>
    <t>file://conllu/de/teddy-4467.conllu#s213_0</t>
  </si>
  <si>
    <t>214</t>
  </si>
  <si>
    <t>Es dauert eine Weile , diese Projekte an den Start zu bringen , aber ich finde ihr Potenzial , die Welt zu verbessern , unglaublich aufregend .</t>
  </si>
  <si>
    <t>file://conllu/de/teddy-4467.conllu#s214_0</t>
  </si>
  <si>
    <t>215</t>
  </si>
  <si>
    <t>Mio</t>
  </si>
  <si>
    <t>Es werden 20 Mio .</t>
  </si>
  <si>
    <t>file://conllu/de/teddy-4467.conllu#s215_0</t>
  </si>
  <si>
    <t>216</t>
  </si>
  <si>
    <t>Mensch</t>
  </si>
  <si>
    <t>Menschen oder mehr pro Jahr verletzt .</t>
  </si>
  <si>
    <t>file://conllu/de/teddy-4467.conllu#s216_0</t>
  </si>
  <si>
    <t>217</t>
  </si>
  <si>
    <t>sein (sein Todesursache)</t>
  </si>
  <si>
    <t>Es ist die führende Todesursache bei US Amerikanern unter 34 Jahren .</t>
  </si>
  <si>
    <t>file://conllu/de/teddy-4467.conllu#s217_0</t>
  </si>
  <si>
    <t>218</t>
  </si>
  <si>
    <t>sprichen</t>
  </si>
  <si>
    <t>CR : Du sprichst davon , Leben zu retten .</t>
  </si>
  <si>
    <t>file://conllu/de/teddy-4467.conllu#s218_0</t>
  </si>
  <si>
    <t>219</t>
  </si>
  <si>
    <t>LP : Ja , und Platz zu sparen und das Leben besser zu machen .</t>
  </si>
  <si>
    <t>file://conllu/de/teddy-4467.conllu#s219_0</t>
  </si>
  <si>
    <t>220</t>
  </si>
  <si>
    <t>bestehen</t>
  </si>
  <si>
    <t>Los Angeles besteht zur zu der Hälfte aus Parkplätzen und Straßen die Hälfte der Fläche .</t>
  </si>
  <si>
    <t>file://conllu/de/teddy-4467.conllu#s220_0</t>
  </si>
  <si>
    <t>221</t>
  </si>
  <si>
    <t>sein (sein weniger)</t>
  </si>
  <si>
    <t>In den meisten Städten ist es nicht viel weniger .</t>
  </si>
  <si>
    <t>file://conllu/de/teddy-4467.conllu#s221_0</t>
  </si>
  <si>
    <t>222</t>
  </si>
  <si>
    <t>sein (sein verrückt)</t>
  </si>
  <si>
    <t>Es ist einfach verrückt , dass wir unseren Raum dafür nutzen .</t>
  </si>
  <si>
    <t>file://conllu/de/teddy-4467.conllu#s222_0</t>
  </si>
  <si>
    <t>223</t>
  </si>
  <si>
    <t>erreichen</t>
  </si>
  <si>
    <t>CR : Wann werden wir das erreicht haben ?</t>
  </si>
  <si>
    <t>file://conllu/de/teddy-4467.conllu#s223_0</t>
  </si>
  <si>
    <t>224</t>
  </si>
  <si>
    <t>LP : Ich schätze sehr , sehr bald .</t>
  </si>
  <si>
    <t>file://conllu/de/teddy-4467.conllu#s224_0</t>
  </si>
  <si>
    <t>225</t>
  </si>
  <si>
    <t>sein (sein fahren)</t>
  </si>
  <si>
    <t>Wir sind jetzt weit über 161 000 km voll automatisiert gefahren .</t>
  </si>
  <si>
    <t>file://conllu/de/teddy-4467.conllu#s225_0</t>
  </si>
  <si>
    <t>226</t>
  </si>
  <si>
    <t>begeistert</t>
  </si>
  <si>
    <t>Ich total begeistert und will es schnell herausbringen .</t>
  </si>
  <si>
    <t>file://conllu/de/teddy-4467.conllu#s226_0</t>
  </si>
  <si>
    <t>227</t>
  </si>
  <si>
    <t>CR : Du sprichst nicht nur vom von dem automatisierten Fahren .</t>
  </si>
  <si>
    <t>file://conllu/de/teddy-4467.conllu#s227_0</t>
  </si>
  <si>
    <t>228</t>
  </si>
  <si>
    <t>Du hast auch eine Idee für Fahrräder .</t>
  </si>
  <si>
    <t>file://conllu/de/teddy-4467.conllu#s228_0</t>
  </si>
  <si>
    <t>229</t>
  </si>
  <si>
    <t>LP : Bei Google hatten wir die Idee , dass wir jedem gratis Fahrräder zur zu der Verfügung stellen sollten .</t>
  </si>
  <si>
    <t>file://conllu/de/teddy-4467.conllu#s229_0</t>
  </si>
  <si>
    <t>230</t>
  </si>
  <si>
    <t>sein (sein fantastisch)</t>
  </si>
  <si>
    <t>Das ist fantastisch für die meisten Fahrten .</t>
  </si>
  <si>
    <t>file://conllu/de/teddy-4467.conllu#s230_0</t>
  </si>
  <si>
    <t>231</t>
  </si>
  <si>
    <t>Man sieht die Fahrräder überall .</t>
  </si>
  <si>
    <t>file://conllu/de/teddy-4467.conllu#s231_0</t>
  </si>
  <si>
    <t>232</t>
  </si>
  <si>
    <t>Die Räder haben Verschleiß .</t>
  </si>
  <si>
    <t>file://conllu/de/teddy-4467.conllu#s232_0</t>
  </si>
  <si>
    <t>233</t>
  </si>
  <si>
    <t>Man nutzt sie rund um die Uhr .</t>
  </si>
  <si>
    <t>file://conllu/de/teddy-4467.conllu#s233_0</t>
  </si>
  <si>
    <t>234</t>
  </si>
  <si>
    <t>bringen</t>
  </si>
  <si>
    <t>CR : Du willst sie auch über die Straße bringen .</t>
  </si>
  <si>
    <t>file://conllu/de/teddy-4467.conllu#s234_0</t>
  </si>
  <si>
    <t>235</t>
  </si>
  <si>
    <t>file://conllu/de/teddy-4467.conllu#s235_0</t>
  </si>
  <si>
    <t>236</t>
  </si>
  <si>
    <t>Ich fragte : Wie bringt man Leute dazu , mehr Rad zu fahren ?</t>
  </si>
  <si>
    <t>file://conllu/de/teddy-4467.conllu#s236_0</t>
  </si>
  <si>
    <t>237</t>
  </si>
  <si>
    <t>CR : Wir haben ein Video .</t>
  </si>
  <si>
    <t>file://conllu/de/teddy-4467.conllu#s237_0</t>
  </si>
  <si>
    <t>238</t>
  </si>
  <si>
    <t>LP : Zeigen wir es .</t>
  </si>
  <si>
    <t>file://conllu/de/teddy-4467.conllu#s238_0</t>
  </si>
  <si>
    <t>239</t>
  </si>
  <si>
    <t>Es hat mich einfach begeistert .</t>
  </si>
  <si>
    <t>file://conllu/de/teddy-4467.conllu#s239_0</t>
  </si>
  <si>
    <t>240</t>
  </si>
  <si>
    <t>trennen</t>
  </si>
  <si>
    <t>( Musik ) So könnten wir bei minimalen Kosten Autos und Fahrräder trennen .</t>
  </si>
  <si>
    <t>file://conllu/de/teddy-4467.conllu#s240_0</t>
  </si>
  <si>
    <t>241</t>
  </si>
  <si>
    <t>denken (denken sehen)</t>
  </si>
  <si>
    <t>Es sieht wirklich verrückt aus , aber ich dachte an unser Firmengelände , an die Arbeit mit den Zippies etc. , und versuchte , die Fahrradnutzung zu erhöhen .</t>
  </si>
  <si>
    <t>file://conllu/de/teddy-4467.conllu#s241_0</t>
  </si>
  <si>
    <t>242</t>
  </si>
  <si>
    <t>überlegt</t>
  </si>
  <si>
    <t>Ich überlegte , wie man Fahrräder und Verkehr kosteneffizient trennen könnte .</t>
  </si>
  <si>
    <t>file://conllu/de/teddy-4467.conllu#s242_0</t>
  </si>
  <si>
    <t>243</t>
  </si>
  <si>
    <t>recherchieren</t>
  </si>
  <si>
    <t>Ich habe recherchiert und das gefunden .</t>
  </si>
  <si>
    <t>file://conllu/de/teddy-4467.conllu#s243_0</t>
  </si>
  <si>
    <t>244</t>
  </si>
  <si>
    <t>Wir arbeiten eigentlich nicht an dieser speziellen Sache , aber es regt die Fantasie an .</t>
  </si>
  <si>
    <t>file://conllu/de/teddy-4467.conllu#s244_0</t>
  </si>
  <si>
    <t>245</t>
  </si>
  <si>
    <t>schließen</t>
  </si>
  <si>
    <t>CR : Ich möchte mit Folgendem schließen : Sag mir etwas über deine persönliche Philosophie .</t>
  </si>
  <si>
    <t>file://conllu/de/teddy-4467.conllu#s245_0</t>
  </si>
  <si>
    <t>246</t>
  </si>
  <si>
    <t>Du hast eine Idee für Google X. Du willst nicht einfach nur einen kleinen messbaren Fortschritt .</t>
  </si>
  <si>
    <t>file://conllu/de/teddy-4467.conllu#s246_0</t>
  </si>
  <si>
    <t>247</t>
  </si>
  <si>
    <t>treffen</t>
  </si>
  <si>
    <t>LP : Das trifft auf vieles zu , worüber wir geredet haben , weil es wirklich ... Ich verwende fast das ökonomische Prinzip der &amp;quot; Zusätzlichkeit &amp;quot; .</t>
  </si>
  <si>
    <t>file://conllu/de/teddy-4467.conllu#s247_0</t>
  </si>
  <si>
    <t>248</t>
  </si>
  <si>
    <t>heißen</t>
  </si>
  <si>
    <t>Das heißt : Du tust etwas , das nicht passieren würde , wenn du es nicht tätest .</t>
  </si>
  <si>
    <t>file://conllu/de/teddy-4467.conllu#s248_0</t>
  </si>
  <si>
    <t>249</t>
  </si>
  <si>
    <t>realisieren</t>
  </si>
  <si>
    <t>Je mehr solcher Dinge du realisieren kannst , desto größer ist die Wirkung , die du erzielst .</t>
  </si>
  <si>
    <t>file://conllu/de/teddy-4467.conllu#s249_0</t>
  </si>
  <si>
    <t>250</t>
  </si>
  <si>
    <t>beziehen</t>
  </si>
  <si>
    <t>Das beziehe ich auf Dinge , die Leute vielleicht für unmöglich halten .</t>
  </si>
  <si>
    <t>file://conllu/de/teddy-4467.conllu#s250_0</t>
  </si>
  <si>
    <t>251</t>
  </si>
  <si>
    <t>erstaunen</t>
  </si>
  <si>
    <t>Es erstaunt mich : Je mehr ich über Technologien lerne , desto klarer wird mir , was ich nicht weiß .</t>
  </si>
  <si>
    <t>file://conllu/de/teddy-4467.conllu#s251_0</t>
  </si>
  <si>
    <t>252</t>
  </si>
  <si>
    <t>liegen</t>
  </si>
  <si>
    <t>Das liegt am an dem technologischen Horizont , also die Sache , die du als nächsten Schritt siehst .</t>
  </si>
  <si>
    <t>file://conllu/de/teddy-4467.conllu#s252_0</t>
  </si>
  <si>
    <t>253</t>
  </si>
  <si>
    <t>erfährsen</t>
  </si>
  <si>
    <t>Je mehr du über Technologien erfährst , desto mehr erfährst du darüber , was möglich ist .</t>
  </si>
  <si>
    <t>file://conllu/de/teddy-4467.conllu#s253_0</t>
  </si>
  <si>
    <t>254</t>
  </si>
  <si>
    <t>Du erfährst , dass Ballons möglich sind , weil es Material gibt , mit dem sie funktionieren .</t>
  </si>
  <si>
    <t>file://conllu/de/teddy-4467.conllu#s254_0</t>
  </si>
  <si>
    <t>255</t>
  </si>
  <si>
    <t>CR : Was ich an dir aber auch interessant finde :</t>
  </si>
  <si>
    <t>file://conllu/de/teddy-4467.conllu#s255_0</t>
  </si>
  <si>
    <t>256</t>
  </si>
  <si>
    <t>Wir haben viele Leute , die über die Zukunft nachdenken ;</t>
  </si>
  <si>
    <t>file://conllu/de/teddy-4467.conllu#s256_0</t>
  </si>
  <si>
    <t>257</t>
  </si>
  <si>
    <t>suchen</t>
  </si>
  <si>
    <t>sie suchen nach Antworten und kommen wieder , aber wir sehen nie eine Umsetzung .</t>
  </si>
  <si>
    <t>file://conllu/de/teddy-4467.conllu#s257_0</t>
  </si>
  <si>
    <t>258</t>
  </si>
  <si>
    <t>lesen (lesen denken)</t>
  </si>
  <si>
    <t>Ich denke an jemanden , den du kennst und von dem du gelesen hast : Tesla .</t>
  </si>
  <si>
    <t>file://conllu/de/teddy-4467.conllu#s258_0</t>
  </si>
  <si>
    <t>259</t>
  </si>
  <si>
    <t>stecken</t>
  </si>
  <si>
    <t>Welches Prinzip steckt für dich dahinter ?</t>
  </si>
  <si>
    <t>file://conllu/de/teddy-4467.conllu#s259_0</t>
  </si>
  <si>
    <t>260</t>
  </si>
  <si>
    <t>LP : Ich denke , Erfindung ist nicht genug Tesla hat die Elektrizität , die wir benutzen , erfunden , aber er hatte Probleme , sie unter die Leute zu bringen .</t>
  </si>
  <si>
    <t>file://conllu/de/teddy-4467.conllu#s260_0</t>
  </si>
  <si>
    <t>261</t>
  </si>
  <si>
    <t>erledigen</t>
  </si>
  <si>
    <t>Das mussten andere Leute erledigen .</t>
  </si>
  <si>
    <t>file://conllu/de/teddy-4467.conllu#s261_0</t>
  </si>
  <si>
    <t>262</t>
  </si>
  <si>
    <t>brauchen|gebrauchen</t>
  </si>
  <si>
    <t>Es hat sehr lang gebraucht .</t>
  </si>
  <si>
    <t>file://conllu/de/teddy-4467.conllu#s262_0</t>
  </si>
  <si>
    <t>263</t>
  </si>
  <si>
    <t>verbinden</t>
  </si>
  <si>
    <t>tatsächlich beides verbinden , wenn wir Innovation und Erfindung in den Fokus rücken und zusätzlich die Fähigkeit haben , ... ein Unternehmen , das Dinge wirklich kommerzialisieren und auf eine Weise unter die Leute bringen kann , die positiv für die Welt ist und den Menschen Hoffnung gibt .</t>
  </si>
  <si>
    <t>file://conllu/de/teddy-4467.conllu#s263_0</t>
  </si>
  <si>
    <t>264</t>
  </si>
  <si>
    <t>Weißt du , das Loon Projekt fasziniert mich wie begeistert die Leute waren , weil es ihnen Hoffnung gab für die zwei Drittel der Welt , die noch kein brauchbares Internet haben .</t>
  </si>
  <si>
    <t>file://conllu/de/teddy-4467.conllu#s264_0</t>
  </si>
  <si>
    <t>265</t>
  </si>
  <si>
    <t>CR : Was uns zum zu dem Thema &amp;quot; Unternehmen &amp;quot; führt .</t>
  </si>
  <si>
    <t>file://conllu/de/teddy-4467.conllu#s265_0</t>
  </si>
  <si>
    <t>266</t>
  </si>
  <si>
    <t>gehören</t>
  </si>
  <si>
    <t>Du gehörst zu den Leuten , die glauben , dass Unternehmen Wandel herbeiführen können , wenn sie gut geführt werden .</t>
  </si>
  <si>
    <t>file://conllu/de/teddy-4467.conllu#s266_0</t>
  </si>
  <si>
    <t>267</t>
  </si>
  <si>
    <t>bestürzen</t>
  </si>
  <si>
    <t>LP : Ja , es bestürzt mich wirklich , dass die meisten Leute denken , Unternehmen seien dem Wesen nach böse .</t>
  </si>
  <si>
    <t>file://conllu/de/teddy-4467.conllu#s267_0</t>
  </si>
  <si>
    <t>268</t>
  </si>
  <si>
    <t>bekommen</t>
  </si>
  <si>
    <t>Sie bekommen einen schlechten Ruf .</t>
  </si>
  <si>
    <t>file://conllu/de/teddy-4467.conllu#s268_0</t>
  </si>
  <si>
    <t>269</t>
  </si>
  <si>
    <t>stimmen</t>
  </si>
  <si>
    <t>In gewisser Weise stimmt das .</t>
  </si>
  <si>
    <t>file://conllu/de/teddy-4467.conllu#s269_0</t>
  </si>
  <si>
    <t>270</t>
  </si>
  <si>
    <t>Unternehmen gehen immer noch so schrittweise vor wie vor 50 Jahren oder vor 20 Jahren .</t>
  </si>
  <si>
    <t>file://conllu/de/teddy-4467.conllu#s270_0</t>
  </si>
  <si>
    <t>271</t>
  </si>
  <si>
    <t>sein (sein nicht)</t>
  </si>
  <si>
    <t>Das ist nicht , was wir brauchen .</t>
  </si>
  <si>
    <t>file://conllu/de/teddy-4467.conllu#s271_0</t>
  </si>
  <si>
    <t>272</t>
  </si>
  <si>
    <t>brauchen</t>
  </si>
  <si>
    <t>Wir brauchen vor allem in der Technikbranche revolutionären Wandel , nicht schrittweise Veränderung .</t>
  </si>
  <si>
    <t>file://conllu/de/teddy-4467.conllu#s272_0</t>
  </si>
  <si>
    <t>273</t>
  </si>
  <si>
    <t>vorstellen (vorstellen sagen glauben sagen)</t>
  </si>
  <si>
    <t>CR : Du hast einmal gesagt ich glaube , ich sage das richtig , du könntest dir eher vorstellen , dein Geld wenn du es schon einem guten Zweck hinterlassen wolltest einfach Elon Musk zu geben , weil du das Vertrauen hättest , dass er die Zukunft verändern würde , und du deshalb LP : Ja , wenn du zum zu dem Mars willst , er will zum zu dem Mars fliegen , um den Fortbestand der Menschheit zu sichern .</t>
  </si>
  <si>
    <t>file://conllu/de/teddy-4467.conllu#s273_0</t>
  </si>
  <si>
    <t>274</t>
  </si>
  <si>
    <t>sein (sein Ziel)</t>
  </si>
  <si>
    <t>Das ist ein würdiges Ziel , aber es ist ein Unternehmen , und es ist philanthropisch .</t>
  </si>
  <si>
    <t>file://conllu/de/teddy-4467.conllu#s274_0</t>
  </si>
  <si>
    <t>275</t>
  </si>
  <si>
    <t>Also denke ich , dass wir Ähnliches erreichen wollen .</t>
  </si>
  <si>
    <t>file://conllu/de/teddy-4467.conllu#s275_0</t>
  </si>
  <si>
    <t>276</t>
  </si>
  <si>
    <t>Wir haben viele Mitarbeiter bei Google , die ziemlich wohlhabend geworden sind .</t>
  </si>
  <si>
    <t>file://conllu/de/teddy-4467.conllu#s276_0</t>
  </si>
  <si>
    <t>277</t>
  </si>
  <si>
    <t>verdienen</t>
  </si>
  <si>
    <t>Leute verdienen viel Geld in der Technikbranche .</t>
  </si>
  <si>
    <t>file://conllu/de/teddy-4467.conllu#s277_0</t>
  </si>
  <si>
    <t>278</t>
  </si>
  <si>
    <t>sein (sein wohlhabend)</t>
  </si>
  <si>
    <t>Viele Leute hier im in dem Raum sind recht wohlhabend .</t>
  </si>
  <si>
    <t>file://conllu/de/teddy-4467.conllu#s278_0</t>
  </si>
  <si>
    <t>279</t>
  </si>
  <si>
    <t>arbeitesen</t>
  </si>
  <si>
    <t>Du arbeitest , weil du die Welt verändern willst .</t>
  </si>
  <si>
    <t>file://conllu/de/teddy-4467.conllu#s279_0</t>
  </si>
  <si>
    <t>280</t>
  </si>
  <si>
    <t>Du willst sie besser machen .</t>
  </si>
  <si>
    <t>file://conllu/de/teddy-4467.conllu#s280_0</t>
  </si>
  <si>
    <t>281</t>
  </si>
  <si>
    <t>Warum soll das Unternehmen , für das du arbeitest , nur deine Zeit wert sein , aber nicht auch dein Geld ?</t>
  </si>
  <si>
    <t>file://conllu/de/teddy-4467.conllu#s281_0</t>
  </si>
  <si>
    <t>282</t>
  </si>
  <si>
    <t>Konzept</t>
  </si>
  <si>
    <t>Aber dafür haben wir kein Konzept .</t>
  </si>
  <si>
    <t>file://conllu/de/teddy-4467.conllu#s282_0</t>
  </si>
  <si>
    <t>283</t>
  </si>
  <si>
    <t>sein (sein Art)</t>
  </si>
  <si>
    <t>Das ist nicht die Art , wie wir Unternehmen sehen .</t>
  </si>
  <si>
    <t>file://conllu/de/teddy-4467.conllu#s283_0</t>
  </si>
  <si>
    <t>284</t>
  </si>
  <si>
    <t>Ich finde das traurig , weil das Gros unserer Bemühungen in Unternehmen fließt .</t>
  </si>
  <si>
    <t>file://conllu/de/teddy-4467.conllu#s284_0</t>
  </si>
  <si>
    <t>285</t>
  </si>
  <si>
    <t>In sie stecken Menschen den Großteil ihrer Zeit und viel Geld .</t>
  </si>
  <si>
    <t>file://conllu/de/teddy-4467.conllu#s285_0</t>
  </si>
  <si>
    <t>286</t>
  </si>
  <si>
    <t>wünschen</t>
  </si>
  <si>
    <t>Ich wünschte , wir wären hilfreicher , als das der Fall ist .</t>
  </si>
  <si>
    <t>file://conllu/de/teddy-4467.conllu#s286_0</t>
  </si>
  <si>
    <t>287</t>
  </si>
  <si>
    <t>CR : Ich beende Gespräche immer gern mit dieser Frage : Welche Geisteshaltung , welche Denkqualität hat dir die besten Dienste geleistet ?</t>
  </si>
  <si>
    <t>file://conllu/de/teddy-4467.conllu#s287_0</t>
  </si>
  <si>
    <t>288</t>
  </si>
  <si>
    <t>Leute wie Rupert Murdoch sagten &amp;quot; Neugier &amp;quot; .</t>
  </si>
  <si>
    <t>file://conllu/de/teddy-4467.conllu#s288_0</t>
  </si>
  <si>
    <t>289</t>
  </si>
  <si>
    <t>antworten</t>
  </si>
  <si>
    <t>Auch andere in den Medien haben so geantwortet .</t>
  </si>
  <si>
    <t>file://conllu/de/teddy-4467.conllu#s289_0</t>
  </si>
  <si>
    <t>290</t>
  </si>
  <si>
    <t>Bill Gates und Warren Buffett sagten &amp;quot; Konzentration &amp;quot; .</t>
  </si>
  <si>
    <t>file://conllu/de/teddy-4467.conllu#s290_0</t>
  </si>
  <si>
    <t>291</t>
  </si>
  <si>
    <t>befähigen</t>
  </si>
  <si>
    <t>Welche Geisteshaltung so verabschiede ich mich vom von dem Publikum hat dich befähigt , über die Zukunft nachzudenken und zugleich die Gegenwart zu verändern ?</t>
  </si>
  <si>
    <t>file://conllu/de/teddy-4467.conllu#s291_0</t>
  </si>
  <si>
    <t>292</t>
  </si>
  <si>
    <t>wichtig</t>
  </si>
  <si>
    <t>LP : Das Wichtigste ... Ich habe mir viele Unternehmen angesehen und nachgedacht , warum sie sich langfristig nicht durchsetzen .</t>
  </si>
  <si>
    <t>file://conllu/de/teddy-4467.conllu#s292_0</t>
  </si>
  <si>
    <t>293</t>
  </si>
  <si>
    <t>Wir haben einen rascheren Umschlag an Unternehmen .</t>
  </si>
  <si>
    <t>file://conllu/de/teddy-4467.conllu#s293_0</t>
  </si>
  <si>
    <t>294</t>
  </si>
  <si>
    <t>Ich fragte mich : Was haben sie grundlegend falsch gemacht ?</t>
  </si>
  <si>
    <t>file://conllu/de/teddy-4467.conllu#s294_0</t>
  </si>
  <si>
    <t>295</t>
  </si>
  <si>
    <t>Was haben diese Unternehmen alle falsch gemacht ?</t>
  </si>
  <si>
    <t>file://conllu/de/teddy-4467.conllu#s295_0</t>
  </si>
  <si>
    <t>296</t>
  </si>
  <si>
    <t>Üblicherweise haben sie nur die Zukunft außer Acht gelassen .</t>
  </si>
  <si>
    <t>file://conllu/de/teddy-4467.conllu#s296_0</t>
  </si>
  <si>
    <t>297</t>
  </si>
  <si>
    <t>aussehen</t>
  </si>
  <si>
    <t>Ich selbst versuche , mich darauf zu konzentrieren und zu fragen : Wie wird die Zukunft aussehen ?</t>
  </si>
  <si>
    <t>file://conllu/de/teddy-4467.conllu#s297_0</t>
  </si>
  <si>
    <t>298</t>
  </si>
  <si>
    <t>erschaffen</t>
  </si>
  <si>
    <t>Wir erschaffen wir sie ?</t>
  </si>
  <si>
    <t>file://conllu/de/teddy-4467.conllu#s298_0</t>
  </si>
  <si>
    <t>299</t>
  </si>
  <si>
    <t>Wie bringen wir unsere Organisation dazu , sich auf sie zu konzentrieren und sie mit Nachdruck voranzutreiben ?</t>
  </si>
  <si>
    <t>file://conllu/de/teddy-4467.conllu#s299_0</t>
  </si>
  <si>
    <t>300</t>
  </si>
  <si>
    <t>sein (sein Neugier)</t>
  </si>
  <si>
    <t>Also war es die Neugier , das Sich Dinge- ansehen , über die andere vielleicht nicht nachdenken ;</t>
  </si>
  <si>
    <t>file://conllu/de/teddy-4467.conllu#s300_0</t>
  </si>
  <si>
    <t>301</t>
  </si>
  <si>
    <t>Arbeit|Arbeiten</t>
  </si>
  <si>
    <t>das Arbeiten an Dingen , an denen kein anderer arbeitet , weil dort echte Zusätzlichkeit liegt ;</t>
  </si>
  <si>
    <t>file://conllu/de/teddy-4467.conllu#s301_0</t>
  </si>
  <si>
    <t>302</t>
  </si>
  <si>
    <t>eingehen</t>
  </si>
  <si>
    <t>die Bereitschaft , das zu tun , das Risiko einzugehen .</t>
  </si>
  <si>
    <t>file://conllu/de/teddy-4467.conllu#s302_0</t>
  </si>
  <si>
    <t>303</t>
  </si>
  <si>
    <t>schlecht</t>
  </si>
  <si>
    <t>Sieh dir Android an ... Ich hatte ein schlechtes Gewissen , an Android zu arbeiten , als es herauskam : Es war ein kleiner Start-up , den wir kauften .</t>
  </si>
  <si>
    <t>file://conllu/de/teddy-4467.conllu#s303_0</t>
  </si>
  <si>
    <t>304</t>
  </si>
  <si>
    <t>Es war nicht , woran wir zu der Zeit arbeiteten .</t>
  </si>
  <si>
    <t>file://conllu/de/teddy-4467.conllu#s304_0</t>
  </si>
  <si>
    <t>305</t>
  </si>
  <si>
    <t>Ich hatte Schuldgefühle , weil ich Zeit darauf verwandte .</t>
  </si>
  <si>
    <t>file://conllu/de/teddy-4467.conllu#s305_0</t>
  </si>
  <si>
    <t>306</t>
  </si>
  <si>
    <t>sein (sein dumm)</t>
  </si>
  <si>
    <t>Das war dumm , denn das war die Zukunft , richtig ?</t>
  </si>
  <si>
    <t>file://conllu/de/teddy-4467.conllu#s306_0</t>
  </si>
  <si>
    <t>307</t>
  </si>
  <si>
    <t>Es war eine gute Sache , daran zu arbeiten .</t>
  </si>
  <si>
    <t>file://conllu/de/teddy-4467.conllu#s307_0</t>
  </si>
  <si>
    <t>308</t>
  </si>
  <si>
    <t>sein (sein toll)</t>
  </si>
  <si>
    <t>CR : Es ist toll , dich hier zu sehen , toll , dich zu hören , und ein Vergnügen , mit dir an diesem Tisch zu sitzen .</t>
  </si>
  <si>
    <t>file://conllu/de/teddy-4467.conllu#s308_0</t>
  </si>
  <si>
    <t>309</t>
  </si>
  <si>
    <t>Dank</t>
  </si>
  <si>
    <t>Danke , Larry !</t>
  </si>
  <si>
    <t>file://conllu/de/teddy-4467.conllu#s309_0</t>
  </si>
  <si>
    <t>310</t>
  </si>
  <si>
    <t>LP : Ich danke dir .</t>
  </si>
  <si>
    <t>file://conllu/de/teddy-4467.conllu#s310_0</t>
  </si>
  <si>
    <t>311</t>
  </si>
  <si>
    <t>CR : Larry Page .</t>
  </si>
  <si>
    <t>file://conllu/de/teddy-4467.conllu#s311_0</t>
  </si>
  <si>
    <t>WORD</t>
  </si>
  <si>
    <t>GR</t>
  </si>
  <si>
    <t>NP_TYPE</t>
  </si>
  <si>
    <t>REF_AUTO</t>
  </si>
  <si>
    <t>COREF</t>
  </si>
  <si>
    <t>REF</t>
  </si>
  <si>
    <t>IS</t>
  </si>
  <si>
    <t>CB</t>
  </si>
  <si>
    <t>GR_ANTE</t>
  </si>
  <si>
    <t>REF_DIST</t>
  </si>
  <si>
    <t>REF_DIST_ANTE</t>
  </si>
  <si>
    <t># text = Charlie Rose: Larry hat mir eine Mail geschickt.</t>
  </si>
  <si>
    <t>Charlie</t>
  </si>
  <si>
    <t>SBJ_2</t>
  </si>
  <si>
    <t>ne</t>
  </si>
  <si>
    <t>?OLD</t>
  </si>
  <si>
    <t>Rose</t>
  </si>
  <si>
    <t>:</t>
  </si>
  <si>
    <t>other_3</t>
  </si>
  <si>
    <t>hat</t>
  </si>
  <si>
    <t>mir</t>
  </si>
  <si>
    <t>OBJ_2</t>
  </si>
  <si>
    <t>pron.pper</t>
  </si>
  <si>
    <t>eine</t>
  </si>
  <si>
    <t>Mail</t>
  </si>
  <si>
    <t>OBJ</t>
  </si>
  <si>
    <t>indef-np.a</t>
  </si>
  <si>
    <t>geschickt</t>
  </si>
  <si>
    <t># text = Im Grunde schrieb er, wir müssten dafür sorgen, dass wir nicht wirken wie ein paar langweilige Männer mittleren Alters.</t>
  </si>
  <si>
    <t>In</t>
  </si>
  <si>
    <t>dem</t>
  </si>
  <si>
    <t>Grunde</t>
  </si>
  <si>
    <t>other</t>
  </si>
  <si>
    <t>def-np.the</t>
  </si>
  <si>
    <t>schrieb</t>
  </si>
  <si>
    <t>er</t>
  </si>
  <si>
    <t>SBJ</t>
  </si>
  <si>
    <t>,</t>
  </si>
  <si>
    <t>wir</t>
  </si>
  <si>
    <t>pron</t>
  </si>
  <si>
    <t>müssten</t>
  </si>
  <si>
    <t>dafür</t>
  </si>
  <si>
    <t>other_2</t>
  </si>
  <si>
    <t>pron.padv</t>
  </si>
  <si>
    <t>sorgen</t>
  </si>
  <si>
    <t>dass</t>
  </si>
  <si>
    <t>SBJ_3</t>
  </si>
  <si>
    <t>nicht</t>
  </si>
  <si>
    <t>wirken</t>
  </si>
  <si>
    <t>wie</t>
  </si>
  <si>
    <t>ein</t>
  </si>
  <si>
    <t>paar</t>
  </si>
  <si>
    <t>other_4</t>
  </si>
  <si>
    <t>pron.pind</t>
  </si>
  <si>
    <t>langweilige</t>
  </si>
  <si>
    <t>Männer</t>
  </si>
  <si>
    <t>mittleren</t>
  </si>
  <si>
    <t>Alters</t>
  </si>
  <si>
    <t>indef-np.bare</t>
  </si>
  <si>
    <t># text = Ich sagte, das schmeichele mir -- (Gelächter) -- weil ich ein wenig älter bin und er einen etwas höheren Nettowert hat als ich.</t>
  </si>
  <si>
    <t>Ich</t>
  </si>
  <si>
    <t>sagte</t>
  </si>
  <si>
    <t>das</t>
  </si>
  <si>
    <t>schmeichele</t>
  </si>
  <si>
    <t>OBJ_3</t>
  </si>
  <si>
    <t>(</t>
  </si>
  <si>
    <t>Gelächter</t>
  </si>
  <si>
    <t>)</t>
  </si>
  <si>
    <t>weil</t>
  </si>
  <si>
    <t>ich</t>
  </si>
  <si>
    <t>SBJ_5</t>
  </si>
  <si>
    <t>wenig</t>
  </si>
  <si>
    <t>älter</t>
  </si>
  <si>
    <t>bin</t>
  </si>
  <si>
    <t>und</t>
  </si>
  <si>
    <t>SBJ_6</t>
  </si>
  <si>
    <t>einen</t>
  </si>
  <si>
    <t>etwas</t>
  </si>
  <si>
    <t>höheren</t>
  </si>
  <si>
    <t>Nettowert</t>
  </si>
  <si>
    <t>OBJ_6</t>
  </si>
  <si>
    <t>als</t>
  </si>
  <si>
    <t># text = Larry Page: Vielen Dank!</t>
  </si>
  <si>
    <t>Page</t>
  </si>
  <si>
    <t>Vielen</t>
  </si>
  <si>
    <t>indef-np.quant</t>
  </si>
  <si>
    <t>!</t>
  </si>
  <si>
    <t># text = CR: Wir werden uns über das Internet und über Google unterhalten.</t>
  </si>
  <si>
    <t>Wir</t>
  </si>
  <si>
    <t>uns</t>
  </si>
  <si>
    <t>über</t>
  </si>
  <si>
    <t>Internet</t>
  </si>
  <si>
    <t>Google</t>
  </si>
  <si>
    <t># text = Wir werden über das Suchen sprechen, über Privatsphäre und auch über deine Philosophie.</t>
  </si>
  <si>
    <t>Suchen</t>
  </si>
  <si>
    <t>Privatsphäre</t>
  </si>
  <si>
    <t>auch</t>
  </si>
  <si>
    <t>deine</t>
  </si>
  <si>
    <t>Philosophie</t>
  </si>
  <si>
    <t>indef-np</t>
  </si>
  <si>
    <t># text = Wir werden sehen, wie du diese Punkte verknüpfst, und warum diese Reise, die schon vor einiger Zeit begann, so interessante Perspektiven hat.</t>
  </si>
  <si>
    <t>du</t>
  </si>
  <si>
    <t>diese</t>
  </si>
  <si>
    <t>pron.pds</t>
  </si>
  <si>
    <t>Punkte</t>
  </si>
  <si>
    <t>def-np.dem</t>
  </si>
  <si>
    <t>verknüpfst</t>
  </si>
  <si>
    <t>warum</t>
  </si>
  <si>
    <t>Reise</t>
  </si>
  <si>
    <t>die</t>
  </si>
  <si>
    <t>schon</t>
  </si>
  <si>
    <t>vor</t>
  </si>
  <si>
    <t>einiger</t>
  </si>
  <si>
    <t>other_6</t>
  </si>
  <si>
    <t>Zeit</t>
  </si>
  <si>
    <t>other_5</t>
  </si>
  <si>
    <t>begann</t>
  </si>
  <si>
    <t>so</t>
  </si>
  <si>
    <t>interessante</t>
  </si>
  <si>
    <t>Perspektiven</t>
  </si>
  <si>
    <t># text = Vor allem wollen wir über die Zukunft sprechen.</t>
  </si>
  <si>
    <t>Vor</t>
  </si>
  <si>
    <t>allem</t>
  </si>
  <si>
    <t>wollen</t>
  </si>
  <si>
    <t>Zukunft</t>
  </si>
  <si>
    <t># text = Meine erste Frage: Wo steht Google und wo will es hin?</t>
  </si>
  <si>
    <t>Meine</t>
  </si>
  <si>
    <t>erste</t>
  </si>
  <si>
    <t>Wo</t>
  </si>
  <si>
    <t>steht</t>
  </si>
  <si>
    <t>wo</t>
  </si>
  <si>
    <t>will</t>
  </si>
  <si>
    <t>es</t>
  </si>
  <si>
    <t>hin</t>
  </si>
  <si>
    <t>?</t>
  </si>
  <si>
    <t># text = LP: Darüber denken wir viel nach.</t>
  </si>
  <si>
    <t>Darüber</t>
  </si>
  <si>
    <t>viel</t>
  </si>
  <si>
    <t>nach</t>
  </si>
  <si>
    <t># text = Unsere Aufgabe haben wir uns vor langer Zeit gestellt: die Information der Welt organisieren und sie universell zugänglich und nutzbar machen.</t>
  </si>
  <si>
    <t>Unsere</t>
  </si>
  <si>
    <t>pron.ppos</t>
  </si>
  <si>
    <t>Aufgabe</t>
  </si>
  <si>
    <t>langer</t>
  </si>
  <si>
    <t>gestellt</t>
  </si>
  <si>
    <t>Information</t>
  </si>
  <si>
    <t>der</t>
  </si>
  <si>
    <t>Welt</t>
  </si>
  <si>
    <t>organisieren</t>
  </si>
  <si>
    <t>sie</t>
  </si>
  <si>
    <t>universell</t>
  </si>
  <si>
    <t>zugänglich</t>
  </si>
  <si>
    <t>nutzbar</t>
  </si>
  <si>
    <t># text = Die Leute fragen immer: Stimmt es denn, dass ihr das noch immer macht?</t>
  </si>
  <si>
    <t>Die</t>
  </si>
  <si>
    <t>Leute</t>
  </si>
  <si>
    <t>immer</t>
  </si>
  <si>
    <t>Stimmt</t>
  </si>
  <si>
    <t>denn</t>
  </si>
  <si>
    <t>ihr</t>
  </si>
  <si>
    <t>noch</t>
  </si>
  <si>
    <t>macht</t>
  </si>
  <si>
    <t># text = Darüber denke ich selbst immer nach, und ich bin mir nicht ganz sicher.</t>
  </si>
  <si>
    <t>denke</t>
  </si>
  <si>
    <t>selbst</t>
  </si>
  <si>
    <t>ganz</t>
  </si>
  <si>
    <t>sicher</t>
  </si>
  <si>
    <t># text = Aber wenn ich über das Suchen nachdenke: Es ist für uns alle ein so tief greifendes Thema -- wirklich zu verstehen, was wir wollen, die Information der Welt zu verstehen.</t>
  </si>
  <si>
    <t>Aber</t>
  </si>
  <si>
    <t>wenn</t>
  </si>
  <si>
    <t>nachdenke</t>
  </si>
  <si>
    <t>Es</t>
  </si>
  <si>
    <t>ist</t>
  </si>
  <si>
    <t>für</t>
  </si>
  <si>
    <t>alle</t>
  </si>
  <si>
    <t>tief</t>
  </si>
  <si>
    <t>greifendes</t>
  </si>
  <si>
    <t>Thema</t>
  </si>
  <si>
    <t>wirklich</t>
  </si>
  <si>
    <t>zu</t>
  </si>
  <si>
    <t>was</t>
  </si>
  <si>
    <t>OBJ_4</t>
  </si>
  <si>
    <t>SBJ_4</t>
  </si>
  <si>
    <t>OBJ_5</t>
  </si>
  <si>
    <t># text = Wir stehen noch am Anfang -- was wirklich Wahnsinn ist.</t>
  </si>
  <si>
    <t>an</t>
  </si>
  <si>
    <t>Anfang</t>
  </si>
  <si>
    <t>Wahnsinn</t>
  </si>
  <si>
    <t># text = Wir arbeiten schon seit 15 Jahren daran, aber der Prozess ist längst nicht abgeschlossen.</t>
  </si>
  <si>
    <t>seit</t>
  </si>
  <si>
    <t>Jahren</t>
  </si>
  <si>
    <t>daran</t>
  </si>
  <si>
    <t>Prozess</t>
  </si>
  <si>
    <t>längst</t>
  </si>
  <si>
    <t>abgeschlossen</t>
  </si>
  <si>
    <t># text = CR: Wenn er abgeschlossen ist, wie wird das aussehen?</t>
  </si>
  <si>
    <t>Wenn</t>
  </si>
  <si>
    <t>wird</t>
  </si>
  <si>
    <t># text = LP: Wenn ich überlege, wo wir hingehen: Warum ist [der Prozess] nicht abgeschlossen?</t>
  </si>
  <si>
    <t>überlege</t>
  </si>
  <si>
    <t>hingehen</t>
  </si>
  <si>
    <t>Warum</t>
  </si>
  <si>
    <t>pron.pint</t>
  </si>
  <si>
    <t>[</t>
  </si>
  <si>
    <t>]</t>
  </si>
  <si>
    <t># text = Ein wichtiger Grund ist die Unordnung im Computerwesen.</t>
  </si>
  <si>
    <t>Ein</t>
  </si>
  <si>
    <t>wichtiger</t>
  </si>
  <si>
    <t>Grund</t>
  </si>
  <si>
    <t>Unordnung</t>
  </si>
  <si>
    <t>in</t>
  </si>
  <si>
    <t>Computerwesen</t>
  </si>
  <si>
    <t># text = Dein Computer weiß nicht, wo du bist.</t>
  </si>
  <si>
    <t>Dein</t>
  </si>
  <si>
    <t>Computer</t>
  </si>
  <si>
    <t>weiß</t>
  </si>
  <si>
    <t>bist</t>
  </si>
  <si>
    <t># text = Er weiß nicht, was du tust.</t>
  </si>
  <si>
    <t>Er</t>
  </si>
  <si>
    <t>tust</t>
  </si>
  <si>
    <t># text = Er weiß nicht, was du weißt.</t>
  </si>
  <si>
    <t>weißt</t>
  </si>
  <si>
    <t># text = In letzter Zeit versuchen wir vor allem, Geräte dazu zu bringen, dass sie deinen Kontext verstehen.</t>
  </si>
  <si>
    <t>letzter</t>
  </si>
  <si>
    <t>Geräte</t>
  </si>
  <si>
    <t>dazu</t>
  </si>
  <si>
    <t>deinen</t>
  </si>
  <si>
    <t>Kontext</t>
  </si>
  <si>
    <t># text = Google Now weiß, wo du bist, weiß, was du brauchen könntest.</t>
  </si>
  <si>
    <t>Now</t>
  </si>
  <si>
    <t>könntest</t>
  </si>
  <si>
    <t># text = Computer, die funktionieren und dich verstehen, die Informationen begreifen, das haben wir noch nicht erreicht.</t>
  </si>
  <si>
    <t>funktionieren</t>
  </si>
  <si>
    <t>dich</t>
  </si>
  <si>
    <t>Informationen</t>
  </si>
  <si>
    <t>erreicht</t>
  </si>
  <si>
    <t># text = Es ist alles noch sehr klobig.</t>
  </si>
  <si>
    <t>alles</t>
  </si>
  <si>
    <t>sehr</t>
  </si>
  <si>
    <t>klobig</t>
  </si>
  <si>
    <t># text = CR: Wenn man sich ansieht, was Google macht, wie passt DeepMind da hinein?</t>
  </si>
  <si>
    <t>man</t>
  </si>
  <si>
    <t>sich</t>
  </si>
  <si>
    <t>ansieht</t>
  </si>
  <si>
    <t>passt</t>
  </si>
  <si>
    <t>DeepMind</t>
  </si>
  <si>
    <t>da</t>
  </si>
  <si>
    <t>hinein</t>
  </si>
  <si>
    <t># text = LP: DeepMind ist ein Unternehmen, das wir kürzlich erworben haben.</t>
  </si>
  <si>
    <t>Unternehmen</t>
  </si>
  <si>
    <t>kürzlich</t>
  </si>
  <si>
    <t>erworben</t>
  </si>
  <si>
    <t># text = Es ist in Großbritannien.</t>
  </si>
  <si>
    <t>Großbritannien</t>
  </si>
  <si>
    <t># text = Ich möchte zunächst erzählen, wie wir dazu kamen: Wir haben uns mit Suchen und echtem Verstehen befasst.</t>
  </si>
  <si>
    <t>möchte</t>
  </si>
  <si>
    <t>zunächst</t>
  </si>
  <si>
    <t>kamen</t>
  </si>
  <si>
    <t>mit</t>
  </si>
  <si>
    <t>echtem</t>
  </si>
  <si>
    <t>Verstehen</t>
  </si>
  <si>
    <t>befasst</t>
  </si>
  <si>
    <t># text = Wir wollten alles verstehen, Computer weniger schwerfällig machen und erreichen, dass sie dich ganz verstehen.</t>
  </si>
  <si>
    <t>wollten</t>
  </si>
  <si>
    <t>weniger</t>
  </si>
  <si>
    <t>schwerfällig</t>
  </si>
  <si>
    <t># text = Stimme war wirklich wichtig.</t>
  </si>
  <si>
    <t>Stimme</t>
  </si>
  <si>
    <t>war</t>
  </si>
  <si>
    <t># text = Was ist der neueste Stand in der Spracherkennung?</t>
  </si>
  <si>
    <t>Was</t>
  </si>
  <si>
    <t>neueste</t>
  </si>
  <si>
    <t>Stand</t>
  </si>
  <si>
    <t>Spracherkennung</t>
  </si>
  <si>
    <t># text = Sie ist nicht sonderlich gut.</t>
  </si>
  <si>
    <t>Sie</t>
  </si>
  <si>
    <t>sonderlich</t>
  </si>
  <si>
    <t>gut</t>
  </si>
  <si>
    <t># text = Sie versteht dich nicht richtig.</t>
  </si>
  <si>
    <t>versteht</t>
  </si>
  <si>
    <t>richtig</t>
  </si>
  <si>
    <t># text = Wir haben maschinelles Lernen erforscht, um [Spracherkennung] zu verbessern.</t>
  </si>
  <si>
    <t>maschinelles</t>
  </si>
  <si>
    <t>Lernen</t>
  </si>
  <si>
    <t>erforscht</t>
  </si>
  <si>
    <t>um</t>
  </si>
  <si>
    <t>verbessern</t>
  </si>
  <si>
    <t># text = Das hat uns weitergebracht.</t>
  </si>
  <si>
    <t>Das</t>
  </si>
  <si>
    <t>weitergebracht</t>
  </si>
  <si>
    <t># text = Wir fingen an, uns Sachen wie YouTube anzusehen.</t>
  </si>
  <si>
    <t>fingen</t>
  </si>
  <si>
    <t>Sachen</t>
  </si>
  <si>
    <t>YouTube</t>
  </si>
  <si>
    <t>anzusehen</t>
  </si>
  <si>
    <t># text = Können wir YouTube verstehen?</t>
  </si>
  <si>
    <t>Können</t>
  </si>
  <si>
    <t># text = Wir haben maschinelles Lernen über YouTube laufen lassen.</t>
  </si>
  <si>
    <t>laufen</t>
  </si>
  <si>
    <t># text = Die Maschine hat Katzen entdeckt, ganz von alleine.</t>
  </si>
  <si>
    <t>Maschine</t>
  </si>
  <si>
    <t>Katzen</t>
  </si>
  <si>
    <t>entdeckt</t>
  </si>
  <si>
    <t>von</t>
  </si>
  <si>
    <t>alleine</t>
  </si>
  <si>
    <t># text = Das ist ein wichtiges Konzept.</t>
  </si>
  <si>
    <t>wichtiges</t>
  </si>
  <si>
    <t># text = Wir begriffen, dass da wirklich etwas ist.</t>
  </si>
  <si>
    <t>begriffen</t>
  </si>
  <si>
    <t># text = Wenn wir lernen können, was Katzen sind, dann muss das wichtig sein.</t>
  </si>
  <si>
    <t>können</t>
  </si>
  <si>
    <t>sind</t>
  </si>
  <si>
    <t>dann</t>
  </si>
  <si>
    <t>muss</t>
  </si>
  <si>
    <t># text = Ich denke, das Faszinierende an DeepMind ist:</t>
  </si>
  <si>
    <t>Faszinierende</t>
  </si>
  <si>
    <t># text = Es kann tatsächlich Dinge ohne Anleitung lernen.</t>
  </si>
  <si>
    <t>kann</t>
  </si>
  <si>
    <t>tatsächlich</t>
  </si>
  <si>
    <t>Dinge</t>
  </si>
  <si>
    <t>ohne</t>
  </si>
  <si>
    <t>Anleitung</t>
  </si>
  <si>
    <t># text = Sie haben mit Videospielen angefangen.</t>
  </si>
  <si>
    <t>Videospielen</t>
  </si>
  <si>
    <t># text = Vielleicht kann ich das Video zeigen.</t>
  </si>
  <si>
    <t>Vielleicht</t>
  </si>
  <si>
    <t>Video</t>
  </si>
  <si>
    <t># text = Die Computer haben einfach Videospiele gespielt und automatisch gelernt, wie man das macht.</t>
  </si>
  <si>
    <t>einfach</t>
  </si>
  <si>
    <t>Videospiele</t>
  </si>
  <si>
    <t>gespielt</t>
  </si>
  <si>
    <t>automatisch</t>
  </si>
  <si>
    <t>gelernt</t>
  </si>
  <si>
    <t># text = CR: Sehen Sie sich im Video an, wie Maschinen zunehmend in der Lage sind, Bemerkenswertes zu leisten.</t>
  </si>
  <si>
    <t>Sehen</t>
  </si>
  <si>
    <t>Maschinen</t>
  </si>
  <si>
    <t>zunehmend</t>
  </si>
  <si>
    <t>Lage</t>
  </si>
  <si>
    <t>Bemerkenswertes</t>
  </si>
  <si>
    <t>leisten</t>
  </si>
  <si>
    <t># text = LP: Das Faszinierende ist:</t>
  </si>
  <si>
    <t># text = Das sind zwar offensichtlich alte Computerspiele, aber das System sieht, was du siehst: Pixel.</t>
  </si>
  <si>
    <t>zwar</t>
  </si>
  <si>
    <t>offensichtlich</t>
  </si>
  <si>
    <t>alte</t>
  </si>
  <si>
    <t>Computerspiele</t>
  </si>
  <si>
    <t>System</t>
  </si>
  <si>
    <t>sieht</t>
  </si>
  <si>
    <t>siehst</t>
  </si>
  <si>
    <t>Pixel</t>
  </si>
  <si>
    <t># text = Es hat die Steuerung und den Spielstand.</t>
  </si>
  <si>
    <t>Steuerung</t>
  </si>
  <si>
    <t>den</t>
  </si>
  <si>
    <t>Spielstand</t>
  </si>
  <si>
    <t># text = Es hat gelernt, all diese Spiele zu spielen.</t>
  </si>
  <si>
    <t>all</t>
  </si>
  <si>
    <t>Spiele</t>
  </si>
  <si>
    <t># text = Dasselbe Programm hat gelernt, Menschen in diesen Spielen zu übertreffen.</t>
  </si>
  <si>
    <t>Dasselbe</t>
  </si>
  <si>
    <t>Programm</t>
  </si>
  <si>
    <t>Menschen</t>
  </si>
  <si>
    <t>diesen</t>
  </si>
  <si>
    <t>Spielen</t>
  </si>
  <si>
    <t>übertreffen</t>
  </si>
  <si>
    <t># text = Bisher konnten wir solche Dinge mit Computern nicht machen.</t>
  </si>
  <si>
    <t>Bisher</t>
  </si>
  <si>
    <t>konnten</t>
  </si>
  <si>
    <t>solche</t>
  </si>
  <si>
    <t>Computern</t>
  </si>
  <si>
    <t># text = Ich erzähle schnell, was wir hier sehen.</t>
  </si>
  <si>
    <t>erzähle</t>
  </si>
  <si>
    <t>schnell</t>
  </si>
  <si>
    <t>hier</t>
  </si>
  <si>
    <t># text = Dies ist Boxen.</t>
  </si>
  <si>
    <t>Dies</t>
  </si>
  <si>
    <t>Boxen</t>
  </si>
  <si>
    <t># text = Er hat herausgefunden, dass er den Gegner in die Ecke drängen kann.</t>
  </si>
  <si>
    <t>Gegner</t>
  </si>
  <si>
    <t>Ecke</t>
  </si>
  <si>
    <t>drängen</t>
  </si>
  <si>
    <t># text = Der Computer ist links.</t>
  </si>
  <si>
    <t>Der</t>
  </si>
  <si>
    <t>links</t>
  </si>
  <si>
    <t># text = Er häuft einfach Punkte an.</t>
  </si>
  <si>
    <t>häuft</t>
  </si>
  <si>
    <t># text = Stell dir vor, man würde diese Intelligenz auf deinen Terminkalender oder auf deine Informationsbedürfnisse oder Ähnliches loslassen!</t>
  </si>
  <si>
    <t>Stell</t>
  </si>
  <si>
    <t>würde</t>
  </si>
  <si>
    <t>Intelligenz</t>
  </si>
  <si>
    <t>auf</t>
  </si>
  <si>
    <t>Terminkalender</t>
  </si>
  <si>
    <t>oder</t>
  </si>
  <si>
    <t>Informationsbedürfnisse</t>
  </si>
  <si>
    <t>Ähnliches</t>
  </si>
  <si>
    <t>loslassen</t>
  </si>
  <si>
    <t># text = Wir stehen in dieser Sache erst am Anfang.</t>
  </si>
  <si>
    <t>dieser</t>
  </si>
  <si>
    <t>Sache</t>
  </si>
  <si>
    <t>erst</t>
  </si>
  <si>
    <t># text = Das ist es, was mich wirklich begeistert.</t>
  </si>
  <si>
    <t>mich</t>
  </si>
  <si>
    <t># text = CR: Wenn man sich diese Entwicklung mit DeepMind und dem Boxen ansieht, dann bewegen wir uns in Richtung künstliche Intelligenz.</t>
  </si>
  <si>
    <t>Entwicklung</t>
  </si>
  <si>
    <t>Richtung</t>
  </si>
  <si>
    <t>künstliche</t>
  </si>
  <si>
    <t># text = Wo stehen wir da aus deiner Sicht?</t>
  </si>
  <si>
    <t>aus</t>
  </si>
  <si>
    <t>deiner</t>
  </si>
  <si>
    <t>Sicht</t>
  </si>
  <si>
    <t># text = LP: Für mich ist das eine der aufregendsten Sachen, die ich seit Langem gesehen habe.</t>
  </si>
  <si>
    <t>Für</t>
  </si>
  <si>
    <t>aufregendsten</t>
  </si>
  <si>
    <t>Langem</t>
  </si>
  <si>
    <t>gesehen</t>
  </si>
  <si>
    <t>habe</t>
  </si>
  <si>
    <t># text = Der Gründer der Firma, Demis, hat Neurowissenschaften und Informatik studiert.</t>
  </si>
  <si>
    <t>Gründer</t>
  </si>
  <si>
    <t>Firma</t>
  </si>
  <si>
    <t>Demis</t>
  </si>
  <si>
    <t>Neurowissenschaften</t>
  </si>
  <si>
    <t>Informatik</t>
  </si>
  <si>
    <t>studiert</t>
  </si>
  <si>
    <t># text = Er ging zurück an die Uni, um seinen Doktor in der Gehirnforschung zu machen.</t>
  </si>
  <si>
    <t>ging</t>
  </si>
  <si>
    <t>zurück</t>
  </si>
  <si>
    <t>Uni</t>
  </si>
  <si>
    <t>seinen</t>
  </si>
  <si>
    <t>Doktor</t>
  </si>
  <si>
    <t>Gehirnforschung</t>
  </si>
  <si>
    <t>--</t>
  </si>
  <si>
    <t># text = Wir sehen also sehr viel aufregende Arbeit, die Informatik und Neurowissenschaft verbindet, um wirklich zu verstehen, wie man etwas "schlau" machen kann, damit es interessante Dinge tut.</t>
  </si>
  <si>
    <t>also</t>
  </si>
  <si>
    <t>aufregende</t>
  </si>
  <si>
    <t>Arbeit</t>
  </si>
  <si>
    <t>Neurowissenschaft</t>
  </si>
  <si>
    <t>verbindet</t>
  </si>
  <si>
    <t>&amp;quot;</t>
  </si>
  <si>
    <t>schlau</t>
  </si>
  <si>
    <t>damit</t>
  </si>
  <si>
    <t>tut</t>
  </si>
  <si>
    <t># text = CR: Aber in welchem Stadium ist es jetzt?</t>
  </si>
  <si>
    <t>welchem</t>
  </si>
  <si>
    <t>Stadium</t>
  </si>
  <si>
    <t>jetzt</t>
  </si>
  <si>
    <t># text = Wie schnell, denkst du, schreiten wir voran?</t>
  </si>
  <si>
    <t>Wie</t>
  </si>
  <si>
    <t>denkst</t>
  </si>
  <si>
    <t>schreiten</t>
  </si>
  <si>
    <t>voran</t>
  </si>
  <si>
    <t># text = LP: Das ist der aktuelle Stand der Dinge: Katzenerkennung auf YouTube und ähnliche Dinge, auch bessere Spracherkennung.</t>
  </si>
  <si>
    <t>aktuelle</t>
  </si>
  <si>
    <t>Katzenerkennung</t>
  </si>
  <si>
    <t>ähnliche</t>
  </si>
  <si>
    <t>bessere</t>
  </si>
  <si>
    <t># text = Wir haben viel maschinelles Lernen eingesetzt, um Dinge schrittweise zu verbessern.</t>
  </si>
  <si>
    <t>eingesetzt</t>
  </si>
  <si>
    <t>schrittweise</t>
  </si>
  <si>
    <t># text = Für mich ist dieses Beispiel spannend, weil es ein Programm ist, das viele verschiedene Dinge tun kann.</t>
  </si>
  <si>
    <t>dieses</t>
  </si>
  <si>
    <t>Beispiel</t>
  </si>
  <si>
    <t>spannend</t>
  </si>
  <si>
    <t>viele</t>
  </si>
  <si>
    <t>verschiedene</t>
  </si>
  <si>
    <t># text = CR: Vielleicht geht das?</t>
  </si>
  <si>
    <t>geht</t>
  </si>
  <si>
    <t># text = Wir haben das Katzenbild.</t>
  </si>
  <si>
    <t>Katzenbild</t>
  </si>
  <si>
    <t># text = Es wäre wunderbar, es zu zeigen.</t>
  </si>
  <si>
    <t>wäre</t>
  </si>
  <si>
    <t>wunderbar</t>
  </si>
  <si>
    <t># text = Computer sahen Katzen und dies war das Resultat.</t>
  </si>
  <si>
    <t>sahen</t>
  </si>
  <si>
    <t>dies</t>
  </si>
  <si>
    <t>Resultat</t>
  </si>
  <si>
    <t># text = Können wir das sehen?</t>
  </si>
  <si>
    <t># text = LP: Ja.</t>
  </si>
  <si>
    <t>Ja</t>
  </si>
  <si>
    <t># text = CR: Da ist es.</t>
  </si>
  <si>
    <t>Da</t>
  </si>
  <si>
    <t># text = Sehen Sie die Katze?</t>
  </si>
  <si>
    <t>Katze</t>
  </si>
  <si>
    <t># text = Von Computern gesehen und gestaltet.</t>
  </si>
  <si>
    <t>Von</t>
  </si>
  <si>
    <t>gestaltet</t>
  </si>
  <si>
    <t># text = LP: Richtig.</t>
  </si>
  <si>
    <t>Richtig</t>
  </si>
  <si>
    <t># text = Das haben sie nur aus YouTube-Videos gelernt.</t>
  </si>
  <si>
    <t>nur</t>
  </si>
  <si>
    <t>Videos</t>
  </si>
  <si>
    <t># text = Es gab kein Training, keine Vorstellung einer Katze.</t>
  </si>
  <si>
    <t>gab</t>
  </si>
  <si>
    <t>kein</t>
  </si>
  <si>
    <t>Training</t>
  </si>
  <si>
    <t>keine</t>
  </si>
  <si>
    <t>Vorstellung</t>
  </si>
  <si>
    <t>einer</t>
  </si>
  <si>
    <t># text = Aber dieses Konzept einer Katze ist etwas Wichtiges, das du verstehen würdest und das nun auch Computer gewissermaßen verstehen.</t>
  </si>
  <si>
    <t>Wichtiges</t>
  </si>
  <si>
    <t>würdest</t>
  </si>
  <si>
    <t>nun</t>
  </si>
  <si>
    <t>gewissermaßen</t>
  </si>
  <si>
    <t># text = Nur um den Teil über die Suche abzuschließen: Angefangen hatte es mit dem Suchen und Verstehen von Zusammenhängen und dem Informationsstand der Menschen.</t>
  </si>
  <si>
    <t>Nur</t>
  </si>
  <si>
    <t>Teil</t>
  </si>
  <si>
    <t>Suche</t>
  </si>
  <si>
    <t>abzuschließen</t>
  </si>
  <si>
    <t>hatte</t>
  </si>
  <si>
    <t>Zusammenhängen</t>
  </si>
  <si>
    <t>Informationsstand</t>
  </si>
  <si>
    <t># text = Ich habe diesbezüglich ein Video, das ich schnell zeigen wollte, das wir gefunden haben.</t>
  </si>
  <si>
    <t>diesbezüglich</t>
  </si>
  <si>
    <t>wollte</t>
  </si>
  <si>
    <t>gefunden</t>
  </si>
  <si>
    <t># text = CR: Ja. (Video) ["Soy, Kenya"] (Ich, Kenia) Zack Matere: Vor einer Weile habe ich Kartoffeln gepflanzt.</t>
  </si>
  <si>
    <t>Soy</t>
  </si>
  <si>
    <t>Kenya</t>
  </si>
  <si>
    <t>Kenia</t>
  </si>
  <si>
    <t>Zack</t>
  </si>
  <si>
    <t>Matere</t>
  </si>
  <si>
    <t>Weile</t>
  </si>
  <si>
    <t>Kartoffeln</t>
  </si>
  <si>
    <t>gepflanzt</t>
  </si>
  <si>
    <t># text = Dann sind die Pflanzen plötzlich eine nach der anderen eingegangen.</t>
  </si>
  <si>
    <t>Dann</t>
  </si>
  <si>
    <t>Pflanzen</t>
  </si>
  <si>
    <t>plötzlich</t>
  </si>
  <si>
    <t>anderen</t>
  </si>
  <si>
    <t>eingegangen</t>
  </si>
  <si>
    <t># text = Ich habe Bücher gelesen, aber die verrieten nicht viel.</t>
  </si>
  <si>
    <t>Bücher</t>
  </si>
  <si>
    <t>gelesen</t>
  </si>
  <si>
    <t>verrieten</t>
  </si>
  <si>
    <t># text = Also habe ich eine Suche gestartet.</t>
  </si>
  <si>
    <t>Also</t>
  </si>
  <si>
    <t>gestartet</t>
  </si>
  <si>
    <t># text = [»Zack Matere, Landwirt«] Kartoffelkrankheiten.</t>
  </si>
  <si>
    <t>»</t>
  </si>
  <si>
    <t>Landwirt</t>
  </si>
  <si>
    <t>«</t>
  </si>
  <si>
    <t>Kartoffelkrankheiten</t>
  </si>
  <si>
    <t># text = Eine der Websites schrieb, Ameisen könnten das Problem sein.</t>
  </si>
  <si>
    <t>Eine</t>
  </si>
  <si>
    <t>Websites</t>
  </si>
  <si>
    <t>Ameisen</t>
  </si>
  <si>
    <t>könnten</t>
  </si>
  <si>
    <t>Problem</t>
  </si>
  <si>
    <t># text = Man solle Holzasche über die Pflanzen streuen.</t>
  </si>
  <si>
    <t>Man</t>
  </si>
  <si>
    <t>solle</t>
  </si>
  <si>
    <t>Holzasche</t>
  </si>
  <si>
    <t># text = Nach ein paar Tagen waren die Ameisen weg.</t>
  </si>
  <si>
    <t>Nach</t>
  </si>
  <si>
    <t>Tagen</t>
  </si>
  <si>
    <t>waren</t>
  </si>
  <si>
    <t>weg</t>
  </si>
  <si>
    <t># text = Das Internet fing an, mich zu begeistern.</t>
  </si>
  <si>
    <t>fing</t>
  </si>
  <si>
    <t># text = Ich habe einen Freund, der sein Geschäft gern ausweiten würde.</t>
  </si>
  <si>
    <t>Freund</t>
  </si>
  <si>
    <t>Geschäft</t>
  </si>
  <si>
    <t>gern</t>
  </si>
  <si>
    <t>ausweiten</t>
  </si>
  <si>
    <t># text = Also bin ich mit ihm ins Internetcafé gegangen, und wir haben uns mehrere Seiten angesehen.</t>
  </si>
  <si>
    <t>ihm</t>
  </si>
  <si>
    <t>Internetcafé</t>
  </si>
  <si>
    <t>gegangen</t>
  </si>
  <si>
    <t>mehrere</t>
  </si>
  <si>
    <t>Seiten</t>
  </si>
  <si>
    <t>angesehen</t>
  </si>
  <si>
    <t># text = Beim nächsten Treffen wollte er ein Windrad in der Dorfschule errichten.</t>
  </si>
  <si>
    <t>Bei</t>
  </si>
  <si>
    <t>nächsten</t>
  </si>
  <si>
    <t>Treffen</t>
  </si>
  <si>
    <t>Windrad</t>
  </si>
  <si>
    <t>Dorfschule</t>
  </si>
  <si>
    <t>errichten</t>
  </si>
  <si>
    <t># text = Ich war stolz, weil etwas, das vorher nicht existierte, nun plötzlich da war.</t>
  </si>
  <si>
    <t>stolz</t>
  </si>
  <si>
    <t>vorher</t>
  </si>
  <si>
    <t>existierte</t>
  </si>
  <si>
    <t># text = Ich begriff, dass nicht jeder auf das zugreifen konnte, auf das ich zugreifen konnte.</t>
  </si>
  <si>
    <t>begriff</t>
  </si>
  <si>
    <t>jeder</t>
  </si>
  <si>
    <t>konnte</t>
  </si>
  <si>
    <t># text = Ich dachte, ich brauche ein Internet, das meine Großmutter nutzen kann.</t>
  </si>
  <si>
    <t>dachte</t>
  </si>
  <si>
    <t>brauche</t>
  </si>
  <si>
    <t>meine</t>
  </si>
  <si>
    <t>Großmutter</t>
  </si>
  <si>
    <t># text = Also dachte ich an ein Schwarzes Brett.</t>
  </si>
  <si>
    <t>Schwarzes</t>
  </si>
  <si>
    <t>Brett</t>
  </si>
  <si>
    <t># text = Ein einfaches Schwarzes Brett aus Holz.</t>
  </si>
  <si>
    <t>einfaches</t>
  </si>
  <si>
    <t>Holz</t>
  </si>
  <si>
    <t># text = Wenn ich auf mein Telefon Informationen bekomme, kann ich diese Informationen am Schwarzen Brett aushängen.</t>
  </si>
  <si>
    <t>Telefon</t>
  </si>
  <si>
    <t>bekomme</t>
  </si>
  <si>
    <t>Schwarzen</t>
  </si>
  <si>
    <t># text = Es ist also im Grunde wie ein Computer.</t>
  </si>
  <si>
    <t># text = Ich nutze das Internet, um Leuten zu helfen.</t>
  </si>
  <si>
    <t>nutze</t>
  </si>
  <si>
    <t>Leuten</t>
  </si>
  <si>
    <t># text = Ich denke, ich suche nach einem besseren Leben für mich und meine Nachbarn.</t>
  </si>
  <si>
    <t>suche</t>
  </si>
  <si>
    <t>einem</t>
  </si>
  <si>
    <t>besseren</t>
  </si>
  <si>
    <t>Leben</t>
  </si>
  <si>
    <t>Nachbarn</t>
  </si>
  <si>
    <t># text = So viele Leute haben Zugang zu Informationen, aber es entsteht nichts daraus.</t>
  </si>
  <si>
    <t>So</t>
  </si>
  <si>
    <t>Zugang</t>
  </si>
  <si>
    <t>entsteht</t>
  </si>
  <si>
    <t>nichts</t>
  </si>
  <si>
    <t>daraus</t>
  </si>
  <si>
    <t># text = Ich denke, was daraus entsteht, ist unser Wissen.</t>
  </si>
  <si>
    <t>unser</t>
  </si>
  <si>
    <t>Wissen</t>
  </si>
  <si>
    <t># text = Wenn Leute Wissen besitzen, können sie Lösungen finden, ohne dass man ihnen helfen muss.</t>
  </si>
  <si>
    <t>besitzen</t>
  </si>
  <si>
    <t>Lösungen</t>
  </si>
  <si>
    <t>ihnen</t>
  </si>
  <si>
    <t># text = Information ist mächtig, aber die Art, wie wir sie nutzen, wird uns definieren.</t>
  </si>
  <si>
    <t>mächtig</t>
  </si>
  <si>
    <t>Art</t>
  </si>
  <si>
    <t>definieren</t>
  </si>
  <si>
    <t># text = (Applaus) LP: Das Erstaunliche an diesem Video: Wir lasen in den Nachrichten davon.</t>
  </si>
  <si>
    <t>Applaus</t>
  </si>
  <si>
    <t>Erstaunliche</t>
  </si>
  <si>
    <t>diesem</t>
  </si>
  <si>
    <t>Nachrichten</t>
  </si>
  <si>
    <t>davon</t>
  </si>
  <si>
    <t># text = Wir haben diesen Herrn besucht und dieses kurze Video gedreht.</t>
  </si>
  <si>
    <t>Herrn</t>
  </si>
  <si>
    <t>besucht</t>
  </si>
  <si>
    <t>kurze</t>
  </si>
  <si>
    <t>gedreht</t>
  </si>
  <si>
    <t># text = CR: Wenn ich mit Leuten über dich spreche, sagen die, die dich gut kennen:</t>
  </si>
  <si>
    <t>spreche</t>
  </si>
  <si>
    <t>kennen</t>
  </si>
  <si>
    <t># text = Larry will die Welt verändern und er glaubt, die Technik weist den Weg.</t>
  </si>
  <si>
    <t>glaubt</t>
  </si>
  <si>
    <t>Technik</t>
  </si>
  <si>
    <t>weist</t>
  </si>
  <si>
    <t>Weg</t>
  </si>
  <si>
    <t># text = Das bedeutet Zugang zum Internet.</t>
  </si>
  <si>
    <t>bedeutet</t>
  </si>
  <si>
    <t># text = Das hat mit Sprachen zu tun.</t>
  </si>
  <si>
    <t>Sprachen</t>
  </si>
  <si>
    <t># text = Es bedeutet auch, dass Menschen Zugang bekommen und etwas tun können, das ihre Gemeinde verändert.</t>
  </si>
  <si>
    <t>ihre</t>
  </si>
  <si>
    <t>Gemeinde</t>
  </si>
  <si>
    <t>verändert</t>
  </si>
  <si>
    <t># text = Dies ist ein Beispiel dafür.</t>
  </si>
  <si>
    <t># text = LP: Ja, das ist richtig.</t>
  </si>
  <si>
    <t># text = Was mich betrifft, ich konzentriere mich mehr auf den Zugang, wenn wir von Zukunft sprechen.</t>
  </si>
  <si>
    <t>betrifft</t>
  </si>
  <si>
    <t>konzentriere</t>
  </si>
  <si>
    <t>mehr</t>
  </si>
  <si>
    <t># text = Wir haben kürzlich das Loon-Projekt gestartet, wobei Ballons eingesetzt werden, um das zu erreichen.</t>
  </si>
  <si>
    <t>Loon</t>
  </si>
  <si>
    <t>Projekt</t>
  </si>
  <si>
    <t>wobei</t>
  </si>
  <si>
    <t>Ballons</t>
  </si>
  <si>
    <t># text = Es klingt völlig verrückt.</t>
  </si>
  <si>
    <t>klingt</t>
  </si>
  <si>
    <t>völlig</t>
  </si>
  <si>
    <t>verrückt</t>
  </si>
  <si>
    <t># text = Wir können hier das Video zeigen.</t>
  </si>
  <si>
    <t># text = Zwei Drittel der Weltbevölkerung hat heute keinen guten Internetzugang.</t>
  </si>
  <si>
    <t>Zwei</t>
  </si>
  <si>
    <t>Drittel</t>
  </si>
  <si>
    <t>Weltbevölkerung</t>
  </si>
  <si>
    <t>heute</t>
  </si>
  <si>
    <t>keinen</t>
  </si>
  <si>
    <t>guten</t>
  </si>
  <si>
    <t>Internetzugang</t>
  </si>
  <si>
    <t># text = Wir denken, dies könnte Leuten auf günstige Weise helfen.</t>
  </si>
  <si>
    <t>könnte</t>
  </si>
  <si>
    <t>günstige</t>
  </si>
  <si>
    <t>Weise</t>
  </si>
  <si>
    <t># text = CR: Es ist ein Ballon.</t>
  </si>
  <si>
    <t>Ballon</t>
  </si>
  <si>
    <t># text = LP: Für den Internetzugang.</t>
  </si>
  <si>
    <t># text = CR: Wie verschafft dir dieser Ballon Zugang zum Internet?</t>
  </si>
  <si>
    <t>verschafft</t>
  </si>
  <si>
    <t># text = Du musstest interessante Probleme lösen, damit man die Ballons nicht festbinden muss.</t>
  </si>
  <si>
    <t>Du</t>
  </si>
  <si>
    <t>musstest</t>
  </si>
  <si>
    <t>Probleme</t>
  </si>
  <si>
    <t>festbinden</t>
  </si>
  <si>
    <t># text = LP:</t>
  </si>
  <si>
    <t># text = Ja, es ist ein gutes Beispiel für Innovation.</t>
  </si>
  <si>
    <t>gutes</t>
  </si>
  <si>
    <t>Innovation</t>
  </si>
  <si>
    <t># text = Wir haben über diese Idee 5 Jahre oder länger nachgedacht, bevor wir mit der Arbeit anfingen.</t>
  </si>
  <si>
    <t>Idee</t>
  </si>
  <si>
    <t>Jahre</t>
  </si>
  <si>
    <t>länger</t>
  </si>
  <si>
    <t>nachgedacht</t>
  </si>
  <si>
    <t>bevor</t>
  </si>
  <si>
    <t>anfingen</t>
  </si>
  <si>
    <t># text = Im Grunde ging es darum: Wie können wir Internetzugang günstig aus großen Höhen anbieten?</t>
  </si>
  <si>
    <t>darum</t>
  </si>
  <si>
    <t>günstig</t>
  </si>
  <si>
    <t>großen</t>
  </si>
  <si>
    <t>Höhen</t>
  </si>
  <si>
    <t>anbieten</t>
  </si>
  <si>
    <t># text = Normalerweise nimmt man Satelliten.</t>
  </si>
  <si>
    <t>Normalerweise</t>
  </si>
  <si>
    <t>nimmt</t>
  </si>
  <si>
    <t>Satelliten</t>
  </si>
  <si>
    <t># text = Aber es dauert sehr lange, bis man sie starten kann.</t>
  </si>
  <si>
    <t>dauert</t>
  </si>
  <si>
    <t>lange</t>
  </si>
  <si>
    <t>bis</t>
  </si>
  <si>
    <t># text = Du hast gesehen, wie leicht man Ballons steigen und hoch hinaufbringen kann.</t>
  </si>
  <si>
    <t>hast</t>
  </si>
  <si>
    <t>leicht</t>
  </si>
  <si>
    <t>steigen</t>
  </si>
  <si>
    <t>hoch</t>
  </si>
  <si>
    <t>hinaufbringen</t>
  </si>
  <si>
    <t># text = Auch das ist die Macht des Internets.</t>
  </si>
  <si>
    <t>Auch</t>
  </si>
  <si>
    <t>Macht</t>
  </si>
  <si>
    <t>des</t>
  </si>
  <si>
    <t>Internets</t>
  </si>
  <si>
    <t># text = Ich habe nachgeforscht und gelesen, dass jemand vor 30 oder 40 Jahren einen Ballon fliegen ließ, der die Erde mehrere Male umkreiste.</t>
  </si>
  <si>
    <t>nachgeforscht</t>
  </si>
  <si>
    <t>jemand</t>
  </si>
  <si>
    <t>fliegen</t>
  </si>
  <si>
    <t>ließ</t>
  </si>
  <si>
    <t>Erde</t>
  </si>
  <si>
    <t>Male</t>
  </si>
  <si>
    <t>umkreiste</t>
  </si>
  <si>
    <t># text = Ich dachte, warum machen wir das nicht auch heute?</t>
  </si>
  <si>
    <t># text = Damit war der erste Schritt für das Projekt getan.</t>
  </si>
  <si>
    <t>Damit</t>
  </si>
  <si>
    <t>Schritt</t>
  </si>
  <si>
    <t>getan</t>
  </si>
  <si>
    <t># text = CR: Aber bist du nicht dem Wind ausgeliefert?</t>
  </si>
  <si>
    <t>Wind</t>
  </si>
  <si>
    <t>ausgeliefert</t>
  </si>
  <si>
    <t># text = LP: Ja, aber Wettersimulationen haben gezeigt -- die man wohl bis dahin noch nicht angestellt hatte -- dass man die Ballonhöhe kontrollieren kann, indem man Luft in sie hineinpumpt oder andere Methoden einsetzt, und so steuern kann, wo die Ballons ungefähr hinfliegen.</t>
  </si>
  <si>
    <t>Wettersimulationen</t>
  </si>
  <si>
    <t>gezeigt</t>
  </si>
  <si>
    <t>wohl</t>
  </si>
  <si>
    <t>dahin</t>
  </si>
  <si>
    <t>angestellt</t>
  </si>
  <si>
    <t>Ballonhöhe</t>
  </si>
  <si>
    <t>kontrollieren</t>
  </si>
  <si>
    <t>indem</t>
  </si>
  <si>
    <t>Luft</t>
  </si>
  <si>
    <t>hineinpumpt</t>
  </si>
  <si>
    <t>andere</t>
  </si>
  <si>
    <t>Methoden</t>
  </si>
  <si>
    <t>other_7</t>
  </si>
  <si>
    <t>einsetzt</t>
  </si>
  <si>
    <t>ungefähr</t>
  </si>
  <si>
    <t>hinfliegen</t>
  </si>
  <si>
    <t># text = Ich denke, wir können ein weltweites Netz mit diesen Ballons errichten, das den ganzen Planeten umspannt.</t>
  </si>
  <si>
    <t>weltweites</t>
  </si>
  <si>
    <t>Netz</t>
  </si>
  <si>
    <t>ganzen</t>
  </si>
  <si>
    <t>Planeten</t>
  </si>
  <si>
    <t>umspannt</t>
  </si>
  <si>
    <t># text = CR: Bevor ich über Zukunft und Verkehr spreche -- womit du dich schon länger beschäftigst -- und deine Faszination für Verkehr, automatisiertem Fahren und Fahrrädern, möchte ich kurz darüber sprechen, was hier gerade mit Edward Snowden Thema war.</t>
  </si>
  <si>
    <t>Bevor</t>
  </si>
  <si>
    <t>Verkehr</t>
  </si>
  <si>
    <t>womit</t>
  </si>
  <si>
    <t>beschäftigst</t>
  </si>
  <si>
    <t>Faszination</t>
  </si>
  <si>
    <t>automatisiertem</t>
  </si>
  <si>
    <t>Fahren</t>
  </si>
  <si>
    <t>Fahrrädern</t>
  </si>
  <si>
    <t>kurz</t>
  </si>
  <si>
    <t>darüber</t>
  </si>
  <si>
    <t>gerade</t>
  </si>
  <si>
    <t>Edward</t>
  </si>
  <si>
    <t>Snowden</t>
  </si>
  <si>
    <t># text = Es geht um Sicherheit und Datenschutz.</t>
  </si>
  <si>
    <t>Sicherheit</t>
  </si>
  <si>
    <t>Datenschutz</t>
  </si>
  <si>
    <t># text = Du musst darüber nachgedacht haben.</t>
  </si>
  <si>
    <t>musst</t>
  </si>
  <si>
    <t># text = LP: Absolut.</t>
  </si>
  <si>
    <t>Absolut</t>
  </si>
  <si>
    <t># text = Ich habe das Foto von Sergey und Edward Snowden gestern gesehen.</t>
  </si>
  <si>
    <t>Foto</t>
  </si>
  <si>
    <t>Sergey</t>
  </si>
  <si>
    <t>gestern</t>
  </si>
  <si>
    <t># text = Einige von Ihnen haben es vielleicht gesehen.</t>
  </si>
  <si>
    <t>Einige</t>
  </si>
  <si>
    <t>Ihnen</t>
  </si>
  <si>
    <t>vielleicht</t>
  </si>
  <si>
    <t># text = Ich denke, für mich sind Privatsphäre und Sicherheit wirklich wichtig.</t>
  </si>
  <si>
    <t># text = Für uns hängt beides zusammen.</t>
  </si>
  <si>
    <t>hängt</t>
  </si>
  <si>
    <t>beides</t>
  </si>
  <si>
    <t>zusammen</t>
  </si>
  <si>
    <t># text = Ich glaube, ohne Sicherheit gibt es keine Privatsphäre.</t>
  </si>
  <si>
    <t>glaube</t>
  </si>
  <si>
    <t>gibt</t>
  </si>
  <si>
    <t># text = Zuerst möchte ich etwas zur Sicherheit sagen, weil du nach Snowden und all dem gefragt hast, und dann sage ich etwas zur Privatsphäre.</t>
  </si>
  <si>
    <t>Zuerst</t>
  </si>
  <si>
    <t>gefragt</t>
  </si>
  <si>
    <t>sage</t>
  </si>
  <si>
    <t># text = Für mich persönlich ist es unglaublich enttäuschend, dass die Regierung all das heimlich getan und uns nichts gesagt hat.</t>
  </si>
  <si>
    <t>persönlich</t>
  </si>
  <si>
    <t>unglaublich</t>
  </si>
  <si>
    <t>Regierung</t>
  </si>
  <si>
    <t>heimlich</t>
  </si>
  <si>
    <t>gesagt</t>
  </si>
  <si>
    <t># text = Ich denke nicht, dass wir eine Demokratie haben können, wenn wir dich und unsere Nutzer vor der Regierung schützen müssen wegen Dingen, über die nie gesprochen wurde.</t>
  </si>
  <si>
    <t>Demokratie</t>
  </si>
  <si>
    <t>unsere</t>
  </si>
  <si>
    <t>Nutzer</t>
  </si>
  <si>
    <t>schützen</t>
  </si>
  <si>
    <t>müssen</t>
  </si>
  <si>
    <t>wegen</t>
  </si>
  <si>
    <t>Dingen</t>
  </si>
  <si>
    <t>nie</t>
  </si>
  <si>
    <t>gesprochen</t>
  </si>
  <si>
    <t>wurde</t>
  </si>
  <si>
    <t># text = Ich meine nicht, dass wir wissen müssen, vor welchem Terroranschlag genau sie uns beschützen wollen.</t>
  </si>
  <si>
    <t>Terroranschlag</t>
  </si>
  <si>
    <t>genau</t>
  </si>
  <si>
    <t>beschützen</t>
  </si>
  <si>
    <t># text = Aber wir müssen wissen, was die Parameter sind, welche Art von Überwachung die Regierung durchführen wird, wie und warum.</t>
  </si>
  <si>
    <t>Parameter</t>
  </si>
  <si>
    <t>welche</t>
  </si>
  <si>
    <t>Überwachung</t>
  </si>
  <si>
    <t>durchführen</t>
  </si>
  <si>
    <t># text = Ich denke, darüber ist nicht gesprochen worden.</t>
  </si>
  <si>
    <t>worden</t>
  </si>
  <si>
    <t># text = Deshalb meine ich, dass die Regierung sich selbst schwer geschadet hat, indem sie all das heimlich getan hat.</t>
  </si>
  <si>
    <t>Deshalb</t>
  </si>
  <si>
    <t>schwer</t>
  </si>
  <si>
    <t>geschadet</t>
  </si>
  <si>
    <t># text = CR: Indem sie nie zu Google kamen, um danach zu fragen.</t>
  </si>
  <si>
    <t>Indem</t>
  </si>
  <si>
    <t>danach</t>
  </si>
  <si>
    <t># text = LP: Nicht Google, die Öffentlichkeit.</t>
  </si>
  <si>
    <t>Nicht</t>
  </si>
  <si>
    <t>Öffentlichkeit</t>
  </si>
  <si>
    <t># text = Ich meine, wir müssen eine Debatte darüber führen, sonst können wir keine funktionierende Demokratie haben.</t>
  </si>
  <si>
    <t>Debatte</t>
  </si>
  <si>
    <t>sonst</t>
  </si>
  <si>
    <t>funktionierende</t>
  </si>
  <si>
    <t># text = Das ist einfach nicht möglich.</t>
  </si>
  <si>
    <t>möglich</t>
  </si>
  <si>
    <t># text = Es stimmt mich traurig, dass Google in der Situation ist, dass wir dich und unsere Nutzer vor der Regierung schützen, die heimlich Dinge tut, von denen keiner weiß.</t>
  </si>
  <si>
    <t>stimmt</t>
  </si>
  <si>
    <t>traurig</t>
  </si>
  <si>
    <t>Situation</t>
  </si>
  <si>
    <t>denen</t>
  </si>
  <si>
    <t>keiner</t>
  </si>
  <si>
    <t># text = Das ergibt keinen Sinn.</t>
  </si>
  <si>
    <t>ergibt</t>
  </si>
  <si>
    <t>Sinn</t>
  </si>
  <si>
    <t># text = CR: Das Thema hat noch eine Seite, die Privatsphäre.</t>
  </si>
  <si>
    <t>Seite</t>
  </si>
  <si>
    <t># text = LP: Ja, die Privatsphäre.</t>
  </si>
  <si>
    <t># text = Ich denke, die Welt verändert sich.</t>
  </si>
  <si>
    <t># text = Man hat ein Telefon bei sich.</t>
  </si>
  <si>
    <t>bei</t>
  </si>
  <si>
    <t># text = Es weiß, wo man ist.</t>
  </si>
  <si>
    <t># text = Es gibt so viel mehr Informationen über dich her.</t>
  </si>
  <si>
    <t>her</t>
  </si>
  <si>
    <t># text = Das ist ein wichtiger Aspekt.</t>
  </si>
  <si>
    <t>Aspekt</t>
  </si>
  <si>
    <t># text = Es leuchtet ein, dass Leute schwierige Fragen stellen.</t>
  </si>
  <si>
    <t>leuchtet</t>
  </si>
  <si>
    <t>schwierige</t>
  </si>
  <si>
    <t>Fragen</t>
  </si>
  <si>
    <t># text = Wir verwenden viel Zeit darauf, über diese Sache und die auftretenden Probleme nachzudenken.</t>
  </si>
  <si>
    <t>darauf</t>
  </si>
  <si>
    <t>auftretenden</t>
  </si>
  <si>
    <t>nachzudenken</t>
  </si>
  <si>
    <t># text = Ich bin ein bisschen ... Unsere Hauptaufgabe ist es, Leuten die Wahl zu lassen, ihnen zu zeigen, welche Daten gesammelt werden: Suchverlauf, Standortdaten.</t>
  </si>
  <si>
    <t>bisschen</t>
  </si>
  <si>
    <t>...</t>
  </si>
  <si>
    <t>Hauptaufgabe</t>
  </si>
  <si>
    <t>Wahl</t>
  </si>
  <si>
    <t>Daten</t>
  </si>
  <si>
    <t>gesammelt</t>
  </si>
  <si>
    <t>Suchverlauf</t>
  </si>
  <si>
    <t>Standortdaten</t>
  </si>
  <si>
    <t># text = Wir sind begeistert vom Inkognito-Modus in Chrome.</t>
  </si>
  <si>
    <t>Inkognito</t>
  </si>
  <si>
    <t>Modus</t>
  </si>
  <si>
    <t>Chrome</t>
  </si>
  <si>
    <t># text = Wir wollen mehr Möglichkeiten bieten, Leuten mehr Optionen geben und ein Bewusstsein schaffen für das, was vor sich geht.</t>
  </si>
  <si>
    <t>Möglichkeiten</t>
  </si>
  <si>
    <t>Optionen</t>
  </si>
  <si>
    <t>Bewusstsein</t>
  </si>
  <si>
    <t>schaffen</t>
  </si>
  <si>
    <t># text = Ich denke, dass das sehr einfach ist.</t>
  </si>
  <si>
    <t># text = Meine Sorge ist, dass wir das Kind mit dem Bade ausschütten.</t>
  </si>
  <si>
    <t>Sorge</t>
  </si>
  <si>
    <t>Kind</t>
  </si>
  <si>
    <t>Bade</t>
  </si>
  <si>
    <t>ausschütten</t>
  </si>
  <si>
    <t># text = In deiner Show habe ich gewissermaßen meine Stimme verloren und habe sie noch nicht zurück.</t>
  </si>
  <si>
    <t>Show</t>
  </si>
  <si>
    <t>verloren</t>
  </si>
  <si>
    <t># text = Ich hoffe, indem ich mit dir rede, kommt sie zurück.</t>
  </si>
  <si>
    <t>hoffe</t>
  </si>
  <si>
    <t>rede</t>
  </si>
  <si>
    <t>kommt</t>
  </si>
  <si>
    <t># text = CR: Ich würde dir helfen, wenn ich könnte.</t>
  </si>
  <si>
    <t># text = LP: Gut.</t>
  </si>
  <si>
    <t>Gut</t>
  </si>
  <si>
    <t># text = Hol deine Voodoo-Puppe raus und tu, was du tun musst.</t>
  </si>
  <si>
    <t>Voodoo</t>
  </si>
  <si>
    <t>Puppe</t>
  </si>
  <si>
    <t>raus</t>
  </si>
  <si>
    <t>tu</t>
  </si>
  <si>
    <t># text = Aber weißt du was?</t>
  </si>
  <si>
    <t># text = Ich sehe mir das an ... Ich habe es öffentlich gemacht und viele Hinweise erhalten.</t>
  </si>
  <si>
    <t>sehe</t>
  </si>
  <si>
    <t>öffentlich</t>
  </si>
  <si>
    <t>gemacht</t>
  </si>
  <si>
    <t>Hinweise</t>
  </si>
  <si>
    <t>erhalten</t>
  </si>
  <si>
    <t># text = Wir haben eine Studie über die Erkrankung mit Leuten durchgeführt, die ähnliche Beschwerden haben.</t>
  </si>
  <si>
    <t>Studie</t>
  </si>
  <si>
    <t>Erkrankung</t>
  </si>
  <si>
    <t>Beschwerden</t>
  </si>
  <si>
    <t># text = Wenn ich die Krankenberichte sehe, sage ich mir: Wäre es nicht fantastisch, wenn die Krankenberichte von allen anonym verfügbar wären für Ärzte in der Forschung?</t>
  </si>
  <si>
    <t>Krankenberichte</t>
  </si>
  <si>
    <t>Wäre</t>
  </si>
  <si>
    <t>fantastisch</t>
  </si>
  <si>
    <t>allen</t>
  </si>
  <si>
    <t>anonym</t>
  </si>
  <si>
    <t>verfügbar</t>
  </si>
  <si>
    <t>wären</t>
  </si>
  <si>
    <t>Ärzte</t>
  </si>
  <si>
    <t>Forschung</t>
  </si>
  <si>
    <t># text = Wenn jemand auf deinen Krankenbericht zugreift -- in der medizinischen Forschung --, könntest du sehen, welcher Arzt darauf zugegriffen hat und warum.</t>
  </si>
  <si>
    <t>Krankenbericht</t>
  </si>
  <si>
    <t>zugreift</t>
  </si>
  <si>
    <t>medizinischen</t>
  </si>
  <si>
    <t>welcher</t>
  </si>
  <si>
    <t>Arzt</t>
  </si>
  <si>
    <t>zugegriffen</t>
  </si>
  <si>
    <t># text = Du könntest vielleicht mehr über deine Beschwerden erfahren.</t>
  </si>
  <si>
    <t># text = Wenn wir das machen würden, könnten wir dieses Jahr 100 000 Leben retten.</t>
  </si>
  <si>
    <t>würden</t>
  </si>
  <si>
    <t>Jahr</t>
  </si>
  <si>
    <t>000</t>
  </si>
  <si>
    <t># text = CR: Auf jeden Fall, lass mich ... LP: Ich bin einfach sehr besorgt, dass wir beim Datenschutz im Internet dasselbe tun wie bei Krankenberichten -- das Kind mit dem Bade ausschütten -- und eigentlich nicht daran denken, wie enorm viel Gutes durch Informationsaustausch mit den richtigen Leuten auf die richtige Weise entstehen kann.</t>
  </si>
  <si>
    <t>Auf</t>
  </si>
  <si>
    <t>jeden</t>
  </si>
  <si>
    <t>Fall</t>
  </si>
  <si>
    <t>lass</t>
  </si>
  <si>
    <t>besorgt</t>
  </si>
  <si>
    <t>dasselbe</t>
  </si>
  <si>
    <t>Krankenberichten</t>
  </si>
  <si>
    <t>eigentlich</t>
  </si>
  <si>
    <t>enorm</t>
  </si>
  <si>
    <t>Gutes</t>
  </si>
  <si>
    <t>durch</t>
  </si>
  <si>
    <t>Informationsaustausch</t>
  </si>
  <si>
    <t>richtigen</t>
  </si>
  <si>
    <t>richtige</t>
  </si>
  <si>
    <t>entstehen</t>
  </si>
  <si>
    <t># text = CR: Die notwendige Voraussetzung ist, dass Leute Vertrauen haben müssen, dass ihre Daten nicht missbraucht werden.</t>
  </si>
  <si>
    <t>notwendige</t>
  </si>
  <si>
    <t>Voraussetzung</t>
  </si>
  <si>
    <t>Vertrauen</t>
  </si>
  <si>
    <t>missbraucht</t>
  </si>
  <si>
    <t># text = Ich habe ein Stimmproblem.</t>
  </si>
  <si>
    <t># text = Ich hatte Angst, darüber zu sprechen.</t>
  </si>
  <si>
    <t>Angst</t>
  </si>
  <si>
    <t># text = Sergey hat mich dazu ermutigt, und es war eine großartige Sache.</t>
  </si>
  <si>
    <t>ermutigt</t>
  </si>
  <si>
    <t>großartige</t>
  </si>
  <si>
    <t># text = CR: Das Echo ist überwältigend.</t>
  </si>
  <si>
    <t>Echo</t>
  </si>
  <si>
    <t>überwältigend</t>
  </si>
  <si>
    <t># text = LP: Die Leute sind sehr positiv.</t>
  </si>
  <si>
    <t>positiv</t>
  </si>
  <si>
    <t># text = Wir haben Tausende und Abertausende mit ähnlichen Beschwerden, über die es heute keinerlei Daten gibt.</t>
  </si>
  <si>
    <t>Tausende</t>
  </si>
  <si>
    <t>Abertausende</t>
  </si>
  <si>
    <t>ähnlichen</t>
  </si>
  <si>
    <t>keinerlei</t>
  </si>
  <si>
    <t># text = Es ist eine wirklich gute Sache.</t>
  </si>
  <si>
    <t>gute</t>
  </si>
  <si>
    <t># text = CR: Zum Thema Zukunft: Um was geht es dir bei Verkehrssystemen?</t>
  </si>
  <si>
    <t>Zu</t>
  </si>
  <si>
    <t>Um</t>
  </si>
  <si>
    <t>Verkehrssystemen</t>
  </si>
  <si>
    <t># text = LP: Ja, ich war einfach frustriert, als ich in Michigan im College war.</t>
  </si>
  <si>
    <t>frustriert</t>
  </si>
  <si>
    <t>Michigan</t>
  </si>
  <si>
    <t>College</t>
  </si>
  <si>
    <t># text = Ich musste mit dem Bus fahren, und auf ihn warten.</t>
  </si>
  <si>
    <t>musste</t>
  </si>
  <si>
    <t>Bus</t>
  </si>
  <si>
    <t>ihn</t>
  </si>
  <si>
    <t>warten</t>
  </si>
  <si>
    <t># text = Es war kalt und es schneite.</t>
  </si>
  <si>
    <t>kalt</t>
  </si>
  <si>
    <t>schneite</t>
  </si>
  <si>
    <t># text = Ich habe nachgerechnet, was er kostet, und so entstand mein Interesse an Verkehrssystemen.</t>
  </si>
  <si>
    <t>nachgerechnet</t>
  </si>
  <si>
    <t>kostet</t>
  </si>
  <si>
    <t>entstand</t>
  </si>
  <si>
    <t>Interesse</t>
  </si>
  <si>
    <t># text = CR: So kamst du auf die Idee des automatisierten Fahrens.</t>
  </si>
  <si>
    <t>kamst</t>
  </si>
  <si>
    <t>automatisierten</t>
  </si>
  <si>
    <t>Fahrens</t>
  </si>
  <si>
    <t># text = LP: Vor 18 Jahren erfuhr ich, dass Leute am automatisierten Fahren arbeiten, und das hat mich fasziniert.</t>
  </si>
  <si>
    <t>erfuhr</t>
  </si>
  <si>
    <t>fasziniert</t>
  </si>
  <si>
    <t># text = Es dauert eine Weile, diese Projekte an den Start zu bringen, aber ich finde ihr Potenzial, die Welt zu verbessern, unglaublich aufregend.</t>
  </si>
  <si>
    <t>Projekte</t>
  </si>
  <si>
    <t>Start</t>
  </si>
  <si>
    <t>finde</t>
  </si>
  <si>
    <t>Potenzial</t>
  </si>
  <si>
    <t>aufregend</t>
  </si>
  <si>
    <t># text = Es werden 20 Mio.</t>
  </si>
  <si>
    <t># text = Menschen oder mehr pro Jahr verletzt.</t>
  </si>
  <si>
    <t>pro</t>
  </si>
  <si>
    <t>verletzt</t>
  </si>
  <si>
    <t># text = Es ist die führende Todesursache bei US-Amerikanern unter 34 Jahren.</t>
  </si>
  <si>
    <t>führende</t>
  </si>
  <si>
    <t>Todesursache</t>
  </si>
  <si>
    <t>US</t>
  </si>
  <si>
    <t>Amerikanern</t>
  </si>
  <si>
    <t>unter</t>
  </si>
  <si>
    <t># text = CR: Du sprichst davon, Leben zu retten.</t>
  </si>
  <si>
    <t>sprichst</t>
  </si>
  <si>
    <t># text = LP: Ja, und Platz zu sparen und das Leben besser zu machen.</t>
  </si>
  <si>
    <t>Platz</t>
  </si>
  <si>
    <t>sparen</t>
  </si>
  <si>
    <t>besser</t>
  </si>
  <si>
    <t># text = Los Angeles besteht zur Hälfte aus Parkplätzen und Straßen -- die Hälfte der Fläche.</t>
  </si>
  <si>
    <t>Los</t>
  </si>
  <si>
    <t>Angeles</t>
  </si>
  <si>
    <t>besteht</t>
  </si>
  <si>
    <t>Hälfte</t>
  </si>
  <si>
    <t>Parkplätzen</t>
  </si>
  <si>
    <t>Straßen</t>
  </si>
  <si>
    <t>Fläche</t>
  </si>
  <si>
    <t># text = In den meisten Städten ist es nicht viel weniger.</t>
  </si>
  <si>
    <t>meisten</t>
  </si>
  <si>
    <t>Städten</t>
  </si>
  <si>
    <t># text = Es ist einfach verrückt, dass wir unseren Raum dafür nutzen.</t>
  </si>
  <si>
    <t>unseren</t>
  </si>
  <si>
    <t>Raum</t>
  </si>
  <si>
    <t># text = CR: Wann werden wir das erreicht haben?</t>
  </si>
  <si>
    <t>Wann</t>
  </si>
  <si>
    <t># text = LP: Ich schätze sehr, sehr bald.</t>
  </si>
  <si>
    <t>schätze</t>
  </si>
  <si>
    <t>bald</t>
  </si>
  <si>
    <t># text = Wir sind jetzt weit über 161 000 km voll automatisiert gefahren.</t>
  </si>
  <si>
    <t>weit</t>
  </si>
  <si>
    <t>km</t>
  </si>
  <si>
    <t>voll</t>
  </si>
  <si>
    <t>automatisiert</t>
  </si>
  <si>
    <t>gefahren</t>
  </si>
  <si>
    <t># text = Ich total begeistert und will es schnell herausbringen.</t>
  </si>
  <si>
    <t>total</t>
  </si>
  <si>
    <t>herausbringen</t>
  </si>
  <si>
    <t># text = CR: Du sprichst nicht nur vom automatisierten Fahren.</t>
  </si>
  <si>
    <t># text = Du hast auch eine Idee für Fahrräder.</t>
  </si>
  <si>
    <t>Fahrräder</t>
  </si>
  <si>
    <t># text = LP: Bei Google hatten wir die Idee, dass wir jedem gratis Fahrräder zur Verfügung stellen sollten.</t>
  </si>
  <si>
    <t>hatten</t>
  </si>
  <si>
    <t>jedem</t>
  </si>
  <si>
    <t>gratis</t>
  </si>
  <si>
    <t>Verfügung</t>
  </si>
  <si>
    <t>sollten</t>
  </si>
  <si>
    <t># text = Das ist fantastisch für die meisten Fahrten.</t>
  </si>
  <si>
    <t>Fahrten</t>
  </si>
  <si>
    <t># text = Man sieht die Fahrräder überall.</t>
  </si>
  <si>
    <t>überall</t>
  </si>
  <si>
    <t># text = Die Räder haben Verschleiß.</t>
  </si>
  <si>
    <t>Räder</t>
  </si>
  <si>
    <t>Verschleiß</t>
  </si>
  <si>
    <t># text = Man nutzt sie rund um die Uhr.</t>
  </si>
  <si>
    <t>nutzt</t>
  </si>
  <si>
    <t>rund</t>
  </si>
  <si>
    <t>Uhr</t>
  </si>
  <si>
    <t># text = CR: Du willst sie auch über die Straße bringen.</t>
  </si>
  <si>
    <t>willst</t>
  </si>
  <si>
    <t>Straße</t>
  </si>
  <si>
    <t># text = Ich fragte: Wie bringt man Leute dazu, mehr Rad zu fahren?</t>
  </si>
  <si>
    <t>fragte</t>
  </si>
  <si>
    <t>bringt</t>
  </si>
  <si>
    <t>Rad</t>
  </si>
  <si>
    <t># text = CR: Wir haben ein Video.</t>
  </si>
  <si>
    <t># text = LP: Zeigen wir es.</t>
  </si>
  <si>
    <t>Zeigen</t>
  </si>
  <si>
    <t># text = Es hat mich einfach begeistert.</t>
  </si>
  <si>
    <t># text = (Musik) So könnten wir bei minimalen Kosten Autos und Fahrräder trennen.</t>
  </si>
  <si>
    <t>Musik</t>
  </si>
  <si>
    <t>minimalen</t>
  </si>
  <si>
    <t>Kosten</t>
  </si>
  <si>
    <t>Autos</t>
  </si>
  <si>
    <t># text = Es sieht wirklich verrückt aus, aber ich dachte an unser Firmengelände, an die Arbeit mit den Zippies etc., und versuchte, die Fahrradnutzung zu erhöhen.</t>
  </si>
  <si>
    <t>Firmengelände</t>
  </si>
  <si>
    <t>Zippies</t>
  </si>
  <si>
    <t>etc.</t>
  </si>
  <si>
    <t>versuchte</t>
  </si>
  <si>
    <t>Fahrradnutzung</t>
  </si>
  <si>
    <t>erhöhen</t>
  </si>
  <si>
    <t># text = Ich überlegte, wie man Fahrräder und Verkehr kosteneffizient trennen könnte.</t>
  </si>
  <si>
    <t>überlegte</t>
  </si>
  <si>
    <t>kosteneffizient</t>
  </si>
  <si>
    <t># text = Ich habe recherchiert und das gefunden.</t>
  </si>
  <si>
    <t>recherchiert</t>
  </si>
  <si>
    <t># text = Wir arbeiten eigentlich nicht an dieser speziellen Sache, aber es regt die Fantasie an.</t>
  </si>
  <si>
    <t>speziellen</t>
  </si>
  <si>
    <t>regt</t>
  </si>
  <si>
    <t>Fantasie</t>
  </si>
  <si>
    <t># text = CR: Ich möchte mit Folgendem schließen: Sag mir etwas über deine persönliche Philosophie.</t>
  </si>
  <si>
    <t>Folgendem</t>
  </si>
  <si>
    <t>Sag</t>
  </si>
  <si>
    <t>persönliche</t>
  </si>
  <si>
    <t># text = Du hast eine Idee für Google X. Du willst nicht einfach nur einen kleinen messbaren Fortschritt.</t>
  </si>
  <si>
    <t>X.</t>
  </si>
  <si>
    <t>kleinen</t>
  </si>
  <si>
    <t>messbaren</t>
  </si>
  <si>
    <t>Fortschritt</t>
  </si>
  <si>
    <t># text = LP: Das trifft auf vieles zu, worüber wir geredet haben, weil es wirklich ... Ich verwende fast das ökonomische Prinzip der \"Zusätzlichkeit\".</t>
  </si>
  <si>
    <t>trifft</t>
  </si>
  <si>
    <t>vieles</t>
  </si>
  <si>
    <t>worüber</t>
  </si>
  <si>
    <t>geredet</t>
  </si>
  <si>
    <t>verwende</t>
  </si>
  <si>
    <t>fast</t>
  </si>
  <si>
    <t>ökonomische</t>
  </si>
  <si>
    <t>Prinzip</t>
  </si>
  <si>
    <t>Zusätzlichkeit</t>
  </si>
  <si>
    <t># text = Das heißt: Du tust etwas, das nicht passieren würde, wenn du es nicht tätest.</t>
  </si>
  <si>
    <t>heißt</t>
  </si>
  <si>
    <t>passieren</t>
  </si>
  <si>
    <t>tätest</t>
  </si>
  <si>
    <t># text = Je mehr solcher Dinge du realisieren kannst, desto größer ist die Wirkung, die du erzielst.</t>
  </si>
  <si>
    <t>Je</t>
  </si>
  <si>
    <t>solcher</t>
  </si>
  <si>
    <t>kannst</t>
  </si>
  <si>
    <t>desto</t>
  </si>
  <si>
    <t>größer</t>
  </si>
  <si>
    <t>Wirkung</t>
  </si>
  <si>
    <t>erzielst</t>
  </si>
  <si>
    <t># text = Das beziehe ich auf Dinge, die Leute vielleicht für unmöglich halten.</t>
  </si>
  <si>
    <t>beziehe</t>
  </si>
  <si>
    <t>unmöglich</t>
  </si>
  <si>
    <t>halten</t>
  </si>
  <si>
    <t># text = Es erstaunt mich: Je mehr ich über Technologien lerne, desto klarer wird mir, was ich nicht weiß.</t>
  </si>
  <si>
    <t>erstaunt</t>
  </si>
  <si>
    <t>Technologien</t>
  </si>
  <si>
    <t>lerne</t>
  </si>
  <si>
    <t>klarer</t>
  </si>
  <si>
    <t># text = Das liegt am technologischen Horizont, also die Sache, die du als nächsten Schritt siehst.</t>
  </si>
  <si>
    <t>liegt</t>
  </si>
  <si>
    <t>technologischen</t>
  </si>
  <si>
    <t>Horizont</t>
  </si>
  <si>
    <t># text = Je mehr du über Technologien erfährst, desto mehr erfährst du darüber, was möglich ist.</t>
  </si>
  <si>
    <t>erfährst</t>
  </si>
  <si>
    <t># text = Du erfährst, dass Ballons möglich sind, weil es Material gibt, mit dem sie funktionieren.</t>
  </si>
  <si>
    <t>Material</t>
  </si>
  <si>
    <t># text = CR: Was ich an dir aber auch interessant finde:</t>
  </si>
  <si>
    <t>interessant</t>
  </si>
  <si>
    <t># text = Wir haben viele Leute, die über die Zukunft nachdenken;</t>
  </si>
  <si>
    <t>;</t>
  </si>
  <si>
    <t># text = sie suchen nach Antworten und kommen wieder, aber wir sehen nie eine Umsetzung.</t>
  </si>
  <si>
    <t>Antworten</t>
  </si>
  <si>
    <t>kommen</t>
  </si>
  <si>
    <t>wieder</t>
  </si>
  <si>
    <t>Umsetzung</t>
  </si>
  <si>
    <t># text = Ich denke an jemanden, den du kennst und von dem du gelesen hast: Tesla.</t>
  </si>
  <si>
    <t>jemanden</t>
  </si>
  <si>
    <t>kennst</t>
  </si>
  <si>
    <t>Tesla</t>
  </si>
  <si>
    <t># text = Welches Prinzip steckt für dich dahinter?</t>
  </si>
  <si>
    <t>Welches</t>
  </si>
  <si>
    <t>steckt</t>
  </si>
  <si>
    <t>dahinter</t>
  </si>
  <si>
    <t># text = LP: Ich denke, Erfindung ist nicht genug -- Tesla hat die Elektrizität, die wir benutzen, erfunden, aber er hatte Probleme, sie unter die Leute zu bringen.</t>
  </si>
  <si>
    <t>Erfindung</t>
  </si>
  <si>
    <t>genug</t>
  </si>
  <si>
    <t>Elektrizität</t>
  </si>
  <si>
    <t>benutzen</t>
  </si>
  <si>
    <t>erfunden</t>
  </si>
  <si>
    <t># text = Das mussten andere Leute erledigen.</t>
  </si>
  <si>
    <t>mussten</t>
  </si>
  <si>
    <t># text = Es hat sehr lang gebraucht.</t>
  </si>
  <si>
    <t>lang</t>
  </si>
  <si>
    <t>gebraucht</t>
  </si>
  <si>
    <t># text = tatsächlich beides verbinden, wenn wir Innovation und Erfindung in den Fokus rücken und zusätzlich die Fähigkeit haben, ... ein Unternehmen, das Dinge wirklich kommerzialisieren und auf eine Weise unter die Leute bringen kann, die positiv für die Welt ist und den Menschen Hoffnung gibt.</t>
  </si>
  <si>
    <t>Fokus</t>
  </si>
  <si>
    <t>rücken</t>
  </si>
  <si>
    <t>zusätzlich</t>
  </si>
  <si>
    <t>Fähigkeit</t>
  </si>
  <si>
    <t>kommerzialisieren</t>
  </si>
  <si>
    <t>Hoffnung</t>
  </si>
  <si>
    <t># text = Weißt du, das Loon-Projekt fasziniert mich -- wie begeistert die Leute waren, weil es ihnen Hoffnung gab für die zwei Drittel der Welt, die noch kein brauchbares Internet haben.</t>
  </si>
  <si>
    <t>Weißt</t>
  </si>
  <si>
    <t>zwei</t>
  </si>
  <si>
    <t>def-np.quant</t>
  </si>
  <si>
    <t>brauchbares</t>
  </si>
  <si>
    <t># text = CR: Was uns zum Thema \"Unternehmen\" führt.</t>
  </si>
  <si>
    <t>führt</t>
  </si>
  <si>
    <t># text = Du gehörst zu den Leuten, die glauben, dass Unternehmen Wandel herbeiführen können, wenn sie gut geführt werden.</t>
  </si>
  <si>
    <t>gehörst</t>
  </si>
  <si>
    <t>Wandel</t>
  </si>
  <si>
    <t>herbeiführen</t>
  </si>
  <si>
    <t>geführt</t>
  </si>
  <si>
    <t># text = LP: Ja, es bestürzt mich wirklich, dass die meisten Leute denken, Unternehmen seien dem Wesen nach böse.</t>
  </si>
  <si>
    <t>bestürzt</t>
  </si>
  <si>
    <t>seien</t>
  </si>
  <si>
    <t>Wesen</t>
  </si>
  <si>
    <t>böse</t>
  </si>
  <si>
    <t># text = Sie bekommen einen schlechten Ruf.</t>
  </si>
  <si>
    <t>schlechten</t>
  </si>
  <si>
    <t>Ruf</t>
  </si>
  <si>
    <t># text = In gewisser Weise stimmt das.</t>
  </si>
  <si>
    <t>gewisser</t>
  </si>
  <si>
    <t># text = Unternehmen gehen immer noch so schrittweise vor wie vor 50 Jahren oder vor 20 Jahren.</t>
  </si>
  <si>
    <t># text = Das ist nicht, was wir brauchen.</t>
  </si>
  <si>
    <t># text = Wir brauchen -- vor allem in der Technikbranche -- revolutionären Wandel, nicht schrittweise Veränderung.</t>
  </si>
  <si>
    <t>Technikbranche</t>
  </si>
  <si>
    <t>revolutionären</t>
  </si>
  <si>
    <t>Veränderung</t>
  </si>
  <si>
    <t># text = CR: Du hast einmal gesagt -- ich glaube, ich sage das richtig --, du könntest dir eher vorstellen, dein Geld -- wenn du es schon einem guten Zweck hinterlassen wolltest -- einfach Elon Musk zu geben, weil du das Vertrauen hättest, dass er die Zukunft verändern würde, und du deshalb -- LP: Ja, wenn du zum Mars willst, er will zum Mars fliegen, um den Fortbestand der Menschheit zu sichern.</t>
  </si>
  <si>
    <t>einmal</t>
  </si>
  <si>
    <t>eher</t>
  </si>
  <si>
    <t>vorstellen</t>
  </si>
  <si>
    <t>dein</t>
  </si>
  <si>
    <t>Geld</t>
  </si>
  <si>
    <t>Zweck</t>
  </si>
  <si>
    <t>hinterlassen</t>
  </si>
  <si>
    <t>wolltest</t>
  </si>
  <si>
    <t>Elon</t>
  </si>
  <si>
    <t>OBJ_7</t>
  </si>
  <si>
    <t>Musk</t>
  </si>
  <si>
    <t>hättest</t>
  </si>
  <si>
    <t>SBJ_7</t>
  </si>
  <si>
    <t>deshalb</t>
  </si>
  <si>
    <t>Mars</t>
  </si>
  <si>
    <t>Fortbestand</t>
  </si>
  <si>
    <t>Menschheit</t>
  </si>
  <si>
    <t>other_8</t>
  </si>
  <si>
    <t>sichern</t>
  </si>
  <si>
    <t># text = Das ist ein würdiges Ziel, aber es ist ein Unternehmen, und es ist philanthropisch.</t>
  </si>
  <si>
    <t>würdiges</t>
  </si>
  <si>
    <t>Ziel</t>
  </si>
  <si>
    <t>philanthropisch</t>
  </si>
  <si>
    <t># text = Also denke ich, dass wir Ähnliches erreichen wollen.</t>
  </si>
  <si>
    <t># text = Wir haben viele Mitarbeiter bei Google, die ziemlich wohlhabend geworden sind.</t>
  </si>
  <si>
    <t>Mitarbeiter</t>
  </si>
  <si>
    <t>ziemlich</t>
  </si>
  <si>
    <t>wohlhabend</t>
  </si>
  <si>
    <t>geworden</t>
  </si>
  <si>
    <t># text = Leute verdienen viel Geld in der Technikbranche.</t>
  </si>
  <si>
    <t># text = Viele Leute hier im Raum sind recht wohlhabend.</t>
  </si>
  <si>
    <t>Viele</t>
  </si>
  <si>
    <t>recht</t>
  </si>
  <si>
    <t># text = Du arbeitest, weil du die Welt verändern willst.</t>
  </si>
  <si>
    <t>arbeitest</t>
  </si>
  <si>
    <t># text = Du willst sie besser machen.</t>
  </si>
  <si>
    <t># text = Warum soll das Unternehmen, für das du arbeitest, nur deine Zeit wert sein, aber nicht auch dein Geld?</t>
  </si>
  <si>
    <t>soll</t>
  </si>
  <si>
    <t>wert</t>
  </si>
  <si>
    <t># text = Aber dafür haben wir kein Konzept.</t>
  </si>
  <si>
    <t># text = Das ist nicht die Art, wie wir Unternehmen sehen.</t>
  </si>
  <si>
    <t># text = Ich finde das traurig, weil das Gros unserer Bemühungen in Unternehmen fließt.</t>
  </si>
  <si>
    <t>Gros</t>
  </si>
  <si>
    <t>unserer</t>
  </si>
  <si>
    <t>Bemühungen</t>
  </si>
  <si>
    <t>fließt</t>
  </si>
  <si>
    <t># text = In sie stecken Menschen den Großteil ihrer Zeit und viel Geld.</t>
  </si>
  <si>
    <t>Großteil</t>
  </si>
  <si>
    <t>ihrer</t>
  </si>
  <si>
    <t># text = Ich wünschte, wir wären hilfreicher, als das der Fall ist.</t>
  </si>
  <si>
    <t>wünschte</t>
  </si>
  <si>
    <t>hilfreicher</t>
  </si>
  <si>
    <t># text = CR: Ich beende Gespräche immer gern mit dieser Frage: Welche Geisteshaltung, welche Denkqualität hat dir die besten Dienste geleistet?</t>
  </si>
  <si>
    <t>beende</t>
  </si>
  <si>
    <t>Gespräche</t>
  </si>
  <si>
    <t>def-np.poss</t>
  </si>
  <si>
    <t>Welche</t>
  </si>
  <si>
    <t>Geisteshaltung</t>
  </si>
  <si>
    <t>Denkqualität</t>
  </si>
  <si>
    <t>besten</t>
  </si>
  <si>
    <t>Dienste</t>
  </si>
  <si>
    <t>geleistet</t>
  </si>
  <si>
    <t># text = Leute wie Rupert Murdoch sagten \"Neugier\".</t>
  </si>
  <si>
    <t>Rupert</t>
  </si>
  <si>
    <t>Murdoch</t>
  </si>
  <si>
    <t>sagten</t>
  </si>
  <si>
    <t>Neugier</t>
  </si>
  <si>
    <t># text = Auch andere in den Medien haben so geantwortet.</t>
  </si>
  <si>
    <t>Medien</t>
  </si>
  <si>
    <t>geantwortet</t>
  </si>
  <si>
    <t># text = Bill Gates und Warren Buffett sagten "Konzentration".</t>
  </si>
  <si>
    <t>Bill</t>
  </si>
  <si>
    <t>Gates</t>
  </si>
  <si>
    <t>Warren</t>
  </si>
  <si>
    <t>Buffett</t>
  </si>
  <si>
    <t>Konzentration</t>
  </si>
  <si>
    <t># text = Welche Geisteshaltung -- so verabschiede ich mich vom Publikum -- hat dich befähigt, über die Zukunft nachzudenken und zugleich die Gegenwart zu verändern?</t>
  </si>
  <si>
    <t>verabschiede</t>
  </si>
  <si>
    <t>Publikum</t>
  </si>
  <si>
    <t>befähigt</t>
  </si>
  <si>
    <t>zugleich</t>
  </si>
  <si>
    <t>Gegenwart</t>
  </si>
  <si>
    <t># text = LP: Das Wichtigste ... Ich habe mir viele Unternehmen angesehen und nachgedacht, warum sie sich langfristig nicht durchsetzen.</t>
  </si>
  <si>
    <t>Wichtigste</t>
  </si>
  <si>
    <t>langfristig</t>
  </si>
  <si>
    <t>durchsetzen</t>
  </si>
  <si>
    <t># text = Wir haben einen rascheren Umschlag an Unternehmen.</t>
  </si>
  <si>
    <t>rascheren</t>
  </si>
  <si>
    <t>Umschlag</t>
  </si>
  <si>
    <t># text = Ich fragte mich: Was haben sie grundlegend falsch gemacht?</t>
  </si>
  <si>
    <t>grundlegend</t>
  </si>
  <si>
    <t>falsch</t>
  </si>
  <si>
    <t># text = Was haben diese Unternehmen alle falsch gemacht?</t>
  </si>
  <si>
    <t># text = Üblicherweise haben sie nur die Zukunft außer Acht gelassen.</t>
  </si>
  <si>
    <t>Üblicherweise</t>
  </si>
  <si>
    <t>außer</t>
  </si>
  <si>
    <t>Acht</t>
  </si>
  <si>
    <t>gelassen</t>
  </si>
  <si>
    <t># text = Ich selbst versuche, mich darauf zu konzentrieren und zu fragen: Wie wird die Zukunft aussehen?</t>
  </si>
  <si>
    <t>versuche</t>
  </si>
  <si>
    <t>konzentrieren</t>
  </si>
  <si>
    <t># text = Wir erschaffen wir sie?</t>
  </si>
  <si>
    <t># text = Wie bringen wir unsere Organisation dazu, sich auf sie zu konzentrieren und sie mit Nachdruck voranzutreiben?</t>
  </si>
  <si>
    <t>Organisation</t>
  </si>
  <si>
    <t>Nachdruck</t>
  </si>
  <si>
    <t>voranzutreiben</t>
  </si>
  <si>
    <t># text = Also war es die Neugier, das Sich-Dinge-ansehen, über die andere vielleicht nicht nachdenken;</t>
  </si>
  <si>
    <t>Sich</t>
  </si>
  <si>
    <t>Dinge-</t>
  </si>
  <si>
    <t>ansehen</t>
  </si>
  <si>
    <t># text = das Arbeiten an Dingen, an denen kein anderer arbeitet, weil dort echte Zusätzlichkeit liegt;</t>
  </si>
  <si>
    <t>Arbeiten</t>
  </si>
  <si>
    <t>anderer</t>
  </si>
  <si>
    <t>arbeitet</t>
  </si>
  <si>
    <t>dort</t>
  </si>
  <si>
    <t>echte</t>
  </si>
  <si>
    <t># text = die Bereitschaft, das zu tun, das Risiko einzugehen.</t>
  </si>
  <si>
    <t>Bereitschaft</t>
  </si>
  <si>
    <t>Risiko</t>
  </si>
  <si>
    <t>einzugehen</t>
  </si>
  <si>
    <t># text = Sieh dir Android an ... Ich hatte ein schlechtes Gewissen, an Android zu arbeiten, als es herauskam: Es war ein kleiner Start-up, den wir kauften.</t>
  </si>
  <si>
    <t>Sieh</t>
  </si>
  <si>
    <t>Android</t>
  </si>
  <si>
    <t>schlechtes</t>
  </si>
  <si>
    <t>Gewissen</t>
  </si>
  <si>
    <t>herauskam</t>
  </si>
  <si>
    <t>kleiner</t>
  </si>
  <si>
    <t>Start-up</t>
  </si>
  <si>
    <t>kauften</t>
  </si>
  <si>
    <t># text = Es war nicht, woran wir zu der Zeit arbeiteten.</t>
  </si>
  <si>
    <t>woran</t>
  </si>
  <si>
    <t>arbeiteten</t>
  </si>
  <si>
    <t># text = Ich hatte Schuldgefühle, weil ich Zeit darauf verwandte.</t>
  </si>
  <si>
    <t>Schuldgefühle</t>
  </si>
  <si>
    <t>verwandte</t>
  </si>
  <si>
    <t># text = Das war dumm, denn das war die Zukunft, richtig?</t>
  </si>
  <si>
    <t>dumm</t>
  </si>
  <si>
    <t># text = Es war eine gute Sache, daran zu arbeiten.</t>
  </si>
  <si>
    <t># text = CR: Es ist toll, dich hier zu sehen, toll, dich zu hören, und ein Vergnügen, mit dir an diesem Tisch zu sitzen.</t>
  </si>
  <si>
    <t>toll</t>
  </si>
  <si>
    <t>hören</t>
  </si>
  <si>
    <t>Vergnügen</t>
  </si>
  <si>
    <t>Tisch</t>
  </si>
  <si>
    <t>sitzen</t>
  </si>
  <si>
    <t># text = Danke, Larry!</t>
  </si>
  <si>
    <t>Danke</t>
  </si>
  <si>
    <t># text = LP: Ich danke dir.</t>
  </si>
  <si>
    <t>danke</t>
  </si>
  <si>
    <t># text = CR: Larry Page.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</si>
</sst>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09"/>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17</v>
      </c>
      <c r="C3" s="6" t="s">
        <v>12</v>
      </c>
      <c r="D3" s="7" t="s">
        <v>18</v>
      </c>
      <c r="E3" s="8" t="s">
        <v>19</v>
      </c>
      <c r="F3" s="6" t="s">
        <v>20</v>
      </c>
      <c r="G3" s="9">
        <f>IF(A3=1,"_",IF(C3="_","???",C3))</f>
        <v/>
      </c>
      <c r="H3" s="10" t="s">
        <v>12</v>
      </c>
      <c r="I3" s="11" t="s">
        <v>12</v>
      </c>
      <c r="J3" s="12"/>
    </row>
    <row r="4" spans="1:10" ht="60" customHeight="1">
      <c r="A4" s="6" t="s">
        <v>21</v>
      </c>
      <c r="B4" s="6" t="s">
        <v>10</v>
      </c>
      <c r="C4" s="6" t="s">
        <v>12</v>
      </c>
      <c r="D4" s="7" t="s">
        <v>22</v>
      </c>
      <c r="E4" s="8" t="s">
        <v>23</v>
      </c>
      <c r="F4" s="6" t="s">
        <v>24</v>
      </c>
      <c r="G4" s="9">
        <f>IF(A4=1,"_",IF(C4="_","???",C4))</f>
        <v/>
      </c>
      <c r="H4" s="10" t="s">
        <v>12</v>
      </c>
      <c r="I4" s="11" t="s">
        <v>12</v>
      </c>
      <c r="J4" s="12"/>
    </row>
    <row r="5" spans="1:10" ht="60" customHeight="1">
      <c r="A5" s="6" t="s">
        <v>25</v>
      </c>
      <c r="B5" s="6" t="s">
        <v>26</v>
      </c>
      <c r="C5" s="6" t="s">
        <v>12</v>
      </c>
      <c r="D5" s="7" t="s">
        <v>27</v>
      </c>
      <c r="E5" s="8" t="s">
        <v>28</v>
      </c>
      <c r="F5" s="6" t="s">
        <v>29</v>
      </c>
      <c r="G5" s="9">
        <f>IF(A5=1,"_",IF(C5="_","???",C5))</f>
        <v/>
      </c>
      <c r="H5" s="10" t="s">
        <v>12</v>
      </c>
      <c r="I5" s="11" t="s">
        <v>12</v>
      </c>
      <c r="J5" s="12"/>
    </row>
    <row r="6" spans="1:10" ht="60" customHeight="1">
      <c r="A6" s="6" t="s">
        <v>30</v>
      </c>
      <c r="B6" s="6" t="s">
        <v>30</v>
      </c>
      <c r="C6" s="6" t="s">
        <v>12</v>
      </c>
      <c r="D6" s="7" t="s">
        <v>31</v>
      </c>
      <c r="E6" s="8" t="s">
        <v>32</v>
      </c>
      <c r="F6" s="6" t="s">
        <v>33</v>
      </c>
      <c r="G6" s="9">
        <f>IF(A6=1,"_",IF(C6="_","???",C6))</f>
        <v/>
      </c>
      <c r="H6" s="10" t="s">
        <v>12</v>
      </c>
      <c r="I6" s="11" t="s">
        <v>12</v>
      </c>
      <c r="J6" s="12"/>
    </row>
    <row r="7" spans="1:10" ht="60" customHeight="1">
      <c r="A7" s="6" t="s">
        <v>34</v>
      </c>
      <c r="B7" s="6" t="s">
        <v>16</v>
      </c>
      <c r="C7" s="6" t="s">
        <v>35</v>
      </c>
      <c r="D7" s="7" t="s">
        <v>36</v>
      </c>
      <c r="E7" s="8" t="s">
        <v>37</v>
      </c>
      <c r="F7" s="6" t="s">
        <v>38</v>
      </c>
      <c r="G7" s="9">
        <f>IF(A7=1,"_",IF(C7="_","???",C7))</f>
        <v/>
      </c>
      <c r="H7" s="10" t="s">
        <v>12</v>
      </c>
      <c r="I7" s="11" t="s">
        <v>12</v>
      </c>
      <c r="J7" s="12"/>
    </row>
    <row r="8" spans="1:10" ht="60" customHeight="1">
      <c r="A8" s="6" t="s">
        <v>39</v>
      </c>
      <c r="B8" s="6" t="s">
        <v>39</v>
      </c>
      <c r="C8" s="6" t="s">
        <v>12</v>
      </c>
      <c r="D8" s="7" t="s">
        <v>31</v>
      </c>
      <c r="E8" s="8" t="s">
        <v>40</v>
      </c>
      <c r="F8" s="6" t="s">
        <v>41</v>
      </c>
      <c r="G8" s="9">
        <f>IF(A8=1,"_",IF(C8="_","???",C8))</f>
        <v/>
      </c>
      <c r="H8" s="10" t="s">
        <v>12</v>
      </c>
      <c r="I8" s="11" t="s">
        <v>12</v>
      </c>
      <c r="J8" s="12"/>
    </row>
    <row r="9" spans="1:10" ht="60" customHeight="1">
      <c r="A9" s="6" t="s">
        <v>11</v>
      </c>
      <c r="B9" s="6" t="s">
        <v>16</v>
      </c>
      <c r="C9" s="6" t="s">
        <v>12</v>
      </c>
      <c r="D9" s="7" t="s">
        <v>42</v>
      </c>
      <c r="E9" s="8" t="s">
        <v>43</v>
      </c>
      <c r="F9" s="6" t="s">
        <v>44</v>
      </c>
      <c r="G9" s="9">
        <f>IF(A9=1,"_",IF(C9="_","???",C9))</f>
        <v/>
      </c>
      <c r="H9" s="10" t="s">
        <v>12</v>
      </c>
      <c r="I9" s="11" t="s">
        <v>12</v>
      </c>
      <c r="J9" s="12"/>
    </row>
    <row r="10" spans="1:10" ht="60" customHeight="1">
      <c r="A10" s="6" t="s">
        <v>45</v>
      </c>
      <c r="B10" s="6" t="s">
        <v>21</v>
      </c>
      <c r="C10" s="6" t="s">
        <v>12</v>
      </c>
      <c r="D10" s="7" t="s">
        <v>46</v>
      </c>
      <c r="E10" s="8" t="s">
        <v>47</v>
      </c>
      <c r="F10" s="6" t="s">
        <v>48</v>
      </c>
      <c r="G10" s="9">
        <f>IF(A10=1,"_",IF(C10="_","???",C10))</f>
        <v/>
      </c>
      <c r="H10" s="10" t="s">
        <v>12</v>
      </c>
      <c r="I10" s="11" t="s">
        <v>12</v>
      </c>
      <c r="J10" s="12"/>
    </row>
    <row r="11" spans="1:10" ht="60" customHeight="1">
      <c r="A11" s="6" t="s">
        <v>49</v>
      </c>
      <c r="B11" s="6" t="s">
        <v>11</v>
      </c>
      <c r="C11" s="6" t="s">
        <v>12</v>
      </c>
      <c r="D11" s="7" t="s">
        <v>50</v>
      </c>
      <c r="E11" s="8" t="s">
        <v>51</v>
      </c>
      <c r="F11" s="6" t="s">
        <v>52</v>
      </c>
      <c r="G11" s="9">
        <f>IF(A11=1,"_",IF(C11="_","???",C11))</f>
        <v/>
      </c>
      <c r="H11" s="10" t="s">
        <v>12</v>
      </c>
      <c r="I11" s="11" t="s">
        <v>12</v>
      </c>
      <c r="J11" s="12"/>
    </row>
    <row r="12" spans="1:10" ht="60" customHeight="1">
      <c r="A12" s="6" t="s">
        <v>26</v>
      </c>
      <c r="B12" s="6" t="s">
        <v>16</v>
      </c>
      <c r="C12" s="6" t="s">
        <v>12</v>
      </c>
      <c r="D12" s="7" t="s">
        <v>53</v>
      </c>
      <c r="E12" s="8" t="s">
        <v>54</v>
      </c>
      <c r="F12" s="6" t="s">
        <v>55</v>
      </c>
      <c r="G12" s="9">
        <f>IF(A12=1,"_",IF(C12="_","???",C12))</f>
        <v/>
      </c>
      <c r="H12" s="10" t="s">
        <v>12</v>
      </c>
      <c r="I12" s="11" t="s">
        <v>12</v>
      </c>
      <c r="J12" s="12"/>
    </row>
    <row r="13" spans="1:10" ht="60" customHeight="1">
      <c r="A13" s="6" t="s">
        <v>56</v>
      </c>
      <c r="B13" s="6" t="s">
        <v>17</v>
      </c>
      <c r="C13" s="6" t="s">
        <v>12</v>
      </c>
      <c r="D13" s="7" t="s">
        <v>46</v>
      </c>
      <c r="E13" s="8" t="s">
        <v>57</v>
      </c>
      <c r="F13" s="6" t="s">
        <v>58</v>
      </c>
      <c r="G13" s="9">
        <f>IF(A13=1,"_",IF(C13="_","???",C13))</f>
        <v/>
      </c>
      <c r="H13" s="10" t="s">
        <v>12</v>
      </c>
      <c r="I13" s="11" t="s">
        <v>12</v>
      </c>
      <c r="J13" s="12"/>
    </row>
    <row r="14" spans="1:10" ht="60" customHeight="1">
      <c r="A14" s="6" t="s">
        <v>59</v>
      </c>
      <c r="B14" s="6" t="s">
        <v>10</v>
      </c>
      <c r="C14" s="6" t="s">
        <v>12</v>
      </c>
      <c r="D14" s="7" t="s">
        <v>60</v>
      </c>
      <c r="E14" s="8" t="s">
        <v>61</v>
      </c>
      <c r="F14" s="6" t="s">
        <v>62</v>
      </c>
      <c r="G14" s="9">
        <f>IF(A14=1,"_",IF(C14="_","???",C14))</f>
        <v/>
      </c>
      <c r="H14" s="10" t="s">
        <v>12</v>
      </c>
      <c r="I14" s="11" t="s">
        <v>12</v>
      </c>
      <c r="J14" s="12"/>
    </row>
    <row r="15" spans="1:10" ht="60" customHeight="1">
      <c r="A15" s="6" t="s">
        <v>63</v>
      </c>
      <c r="B15" s="6" t="s">
        <v>17</v>
      </c>
      <c r="C15" s="6" t="s">
        <v>64</v>
      </c>
      <c r="D15" s="7" t="s">
        <v>65</v>
      </c>
      <c r="E15" s="8" t="s">
        <v>66</v>
      </c>
      <c r="F15" s="6" t="s">
        <v>67</v>
      </c>
      <c r="G15" s="9">
        <f>IF(A15=1,"_",IF(C15="_","???",C15))</f>
        <v/>
      </c>
      <c r="H15" s="10" t="s">
        <v>12</v>
      </c>
      <c r="I15" s="11" t="s">
        <v>12</v>
      </c>
      <c r="J15" s="12"/>
    </row>
    <row r="16" spans="1:10" ht="60" customHeight="1">
      <c r="A16" s="6" t="s">
        <v>68</v>
      </c>
      <c r="B16" s="6" t="s">
        <v>17</v>
      </c>
      <c r="C16" s="6" t="s">
        <v>12</v>
      </c>
      <c r="D16" s="7" t="s">
        <v>69</v>
      </c>
      <c r="E16" s="8" t="s">
        <v>70</v>
      </c>
      <c r="F16" s="6" t="s">
        <v>71</v>
      </c>
      <c r="G16" s="9">
        <f>IF(A16=1,"_",IF(C16="_","???",C16))</f>
        <v/>
      </c>
      <c r="H16" s="10" t="s">
        <v>12</v>
      </c>
      <c r="I16" s="11" t="s">
        <v>12</v>
      </c>
      <c r="J16" s="12"/>
    </row>
    <row r="17" spans="1:10" ht="60" customHeight="1">
      <c r="A17" s="6" t="s">
        <v>72</v>
      </c>
      <c r="B17" s="6" t="s">
        <v>11</v>
      </c>
      <c r="C17" s="6" t="s">
        <v>12</v>
      </c>
      <c r="D17" s="7" t="s">
        <v>73</v>
      </c>
      <c r="E17" s="8" t="s">
        <v>74</v>
      </c>
      <c r="F17" s="6" t="s">
        <v>75</v>
      </c>
      <c r="G17" s="9">
        <f>IF(A17=1,"_",IF(C17="_","???",C17))</f>
        <v/>
      </c>
      <c r="H17" s="10" t="s">
        <v>12</v>
      </c>
      <c r="I17" s="11" t="s">
        <v>12</v>
      </c>
      <c r="J17" s="12"/>
    </row>
    <row r="18" spans="1:10" ht="60" customHeight="1">
      <c r="A18" s="6" t="s">
        <v>76</v>
      </c>
      <c r="B18" s="6" t="s">
        <v>25</v>
      </c>
      <c r="C18" s="6" t="s">
        <v>12</v>
      </c>
      <c r="D18" s="7" t="s">
        <v>77</v>
      </c>
      <c r="E18" s="8" t="s">
        <v>78</v>
      </c>
      <c r="F18" s="6" t="s">
        <v>79</v>
      </c>
      <c r="G18" s="9">
        <f>IF(A18=1,"_",IF(C18="_","???",C18))</f>
        <v/>
      </c>
      <c r="H18" s="10" t="s">
        <v>12</v>
      </c>
      <c r="I18" s="11" t="s">
        <v>12</v>
      </c>
      <c r="J18" s="12"/>
    </row>
    <row r="19" spans="1:10" ht="60" customHeight="1">
      <c r="A19" s="6" t="s">
        <v>80</v>
      </c>
      <c r="B19" s="6" t="s">
        <v>21</v>
      </c>
      <c r="C19" s="6" t="s">
        <v>12</v>
      </c>
      <c r="D19" s="7" t="s">
        <v>81</v>
      </c>
      <c r="E19" s="8" t="s">
        <v>82</v>
      </c>
      <c r="F19" s="6" t="s">
        <v>83</v>
      </c>
      <c r="G19" s="9">
        <f>IF(A19=1,"_",IF(C19="_","???",C19))</f>
        <v/>
      </c>
      <c r="H19" s="10" t="s">
        <v>12</v>
      </c>
      <c r="I19" s="11" t="s">
        <v>12</v>
      </c>
      <c r="J19" s="12"/>
    </row>
    <row r="20" spans="1:10" ht="60" customHeight="1">
      <c r="A20" s="6" t="s">
        <v>84</v>
      </c>
      <c r="B20" s="6" t="s">
        <v>39</v>
      </c>
      <c r="C20" s="6" t="s">
        <v>12</v>
      </c>
      <c r="D20" s="7" t="s">
        <v>85</v>
      </c>
      <c r="E20" s="8" t="s">
        <v>86</v>
      </c>
      <c r="F20" s="6" t="s">
        <v>87</v>
      </c>
      <c r="G20" s="9">
        <f>IF(A20=1,"_",IF(C20="_","???",C20))</f>
        <v/>
      </c>
      <c r="H20" s="10" t="s">
        <v>12</v>
      </c>
      <c r="I20" s="11" t="s">
        <v>12</v>
      </c>
      <c r="J20" s="12"/>
    </row>
    <row r="21" spans="1:10" ht="60" customHeight="1">
      <c r="A21" s="6" t="s">
        <v>88</v>
      </c>
      <c r="B21" s="6" t="s">
        <v>17</v>
      </c>
      <c r="C21" s="6" t="s">
        <v>64</v>
      </c>
      <c r="D21" s="7" t="s">
        <v>89</v>
      </c>
      <c r="E21" s="8" t="s">
        <v>90</v>
      </c>
      <c r="F21" s="6" t="s">
        <v>91</v>
      </c>
      <c r="G21" s="9">
        <f>IF(A21=1,"_",IF(C21="_","???",C21))</f>
        <v/>
      </c>
      <c r="H21" s="10" t="s">
        <v>12</v>
      </c>
      <c r="I21" s="11" t="s">
        <v>12</v>
      </c>
      <c r="J21" s="12"/>
    </row>
    <row r="22" spans="1:10" ht="60" customHeight="1">
      <c r="A22" s="6" t="s">
        <v>92</v>
      </c>
      <c r="B22" s="6" t="s">
        <v>17</v>
      </c>
      <c r="C22" s="6" t="s">
        <v>64</v>
      </c>
      <c r="D22" s="7" t="s">
        <v>89</v>
      </c>
      <c r="E22" s="8" t="s">
        <v>93</v>
      </c>
      <c r="F22" s="6" t="s">
        <v>94</v>
      </c>
      <c r="G22" s="9">
        <f>IF(A22=1,"_",IF(C22="_","???",C22))</f>
        <v/>
      </c>
      <c r="H22" s="10" t="s">
        <v>12</v>
      </c>
      <c r="I22" s="11" t="s">
        <v>12</v>
      </c>
      <c r="J22" s="12"/>
    </row>
    <row r="23" spans="1:10" ht="60" customHeight="1">
      <c r="A23" s="6" t="s">
        <v>95</v>
      </c>
      <c r="B23" s="6" t="s">
        <v>21</v>
      </c>
      <c r="C23" s="6" t="s">
        <v>12</v>
      </c>
      <c r="D23" s="7" t="s">
        <v>96</v>
      </c>
      <c r="E23" s="8" t="s">
        <v>97</v>
      </c>
      <c r="F23" s="6" t="s">
        <v>98</v>
      </c>
      <c r="G23" s="9">
        <f>IF(A23=1,"_",IF(C23="_","???",C23))</f>
        <v/>
      </c>
      <c r="H23" s="10" t="s">
        <v>12</v>
      </c>
      <c r="I23" s="11" t="s">
        <v>12</v>
      </c>
      <c r="J23" s="12"/>
    </row>
    <row r="24" spans="1:10" ht="60" customHeight="1">
      <c r="A24" s="6" t="s">
        <v>99</v>
      </c>
      <c r="B24" s="6" t="s">
        <v>16</v>
      </c>
      <c r="C24" s="6" t="s">
        <v>12</v>
      </c>
      <c r="D24" s="7" t="s">
        <v>89</v>
      </c>
      <c r="E24" s="8" t="s">
        <v>100</v>
      </c>
      <c r="F24" s="6" t="s">
        <v>101</v>
      </c>
      <c r="G24" s="9">
        <f>IF(A24=1,"_",IF(C24="_","???",C24))</f>
        <v/>
      </c>
      <c r="H24" s="10" t="s">
        <v>12</v>
      </c>
      <c r="I24" s="11" t="s">
        <v>12</v>
      </c>
      <c r="J24" s="12"/>
    </row>
    <row r="25" spans="1:10" ht="60" customHeight="1">
      <c r="A25" s="6" t="s">
        <v>102</v>
      </c>
      <c r="B25" s="6" t="s">
        <v>49</v>
      </c>
      <c r="C25" s="6" t="s">
        <v>12</v>
      </c>
      <c r="D25" s="7" t="s">
        <v>103</v>
      </c>
      <c r="E25" s="8" t="s">
        <v>104</v>
      </c>
      <c r="F25" s="6" t="s">
        <v>105</v>
      </c>
      <c r="G25" s="9">
        <f>IF(A25=1,"_",IF(C25="_","???",C25))</f>
        <v/>
      </c>
      <c r="H25" s="10" t="s">
        <v>12</v>
      </c>
      <c r="I25" s="11" t="s">
        <v>12</v>
      </c>
      <c r="J25" s="12"/>
    </row>
    <row r="26" spans="1:10" ht="60" customHeight="1">
      <c r="A26" s="6" t="s">
        <v>106</v>
      </c>
      <c r="B26" s="6" t="s">
        <v>17</v>
      </c>
      <c r="C26" s="6" t="s">
        <v>12</v>
      </c>
      <c r="D26" s="7" t="s">
        <v>107</v>
      </c>
      <c r="E26" s="8" t="s">
        <v>108</v>
      </c>
      <c r="F26" s="6" t="s">
        <v>109</v>
      </c>
      <c r="G26" s="9">
        <f>IF(A26=1,"_",IF(C26="_","???",C26))</f>
        <v/>
      </c>
      <c r="H26" s="10" t="s">
        <v>12</v>
      </c>
      <c r="I26" s="11" t="s">
        <v>12</v>
      </c>
      <c r="J26" s="12"/>
    </row>
    <row r="27" spans="1:10" ht="60" customHeight="1">
      <c r="A27" s="6" t="s">
        <v>110</v>
      </c>
      <c r="B27" s="6" t="s">
        <v>56</v>
      </c>
      <c r="C27" s="6" t="s">
        <v>12</v>
      </c>
      <c r="D27" s="7" t="s">
        <v>111</v>
      </c>
      <c r="E27" s="8" t="s">
        <v>112</v>
      </c>
      <c r="F27" s="6" t="s">
        <v>113</v>
      </c>
      <c r="G27" s="9">
        <f>IF(A27=1,"_",IF(C27="_","???",C27))</f>
        <v/>
      </c>
      <c r="H27" s="10" t="s">
        <v>12</v>
      </c>
      <c r="I27" s="11" t="s">
        <v>12</v>
      </c>
      <c r="J27" s="12"/>
    </row>
    <row r="28" spans="1:10" ht="60" customHeight="1">
      <c r="A28" s="6" t="s">
        <v>114</v>
      </c>
      <c r="B28" s="6" t="s">
        <v>21</v>
      </c>
      <c r="C28" s="6" t="s">
        <v>12</v>
      </c>
      <c r="D28" s="7" t="s">
        <v>115</v>
      </c>
      <c r="E28" s="8" t="s">
        <v>116</v>
      </c>
      <c r="F28" s="6" t="s">
        <v>117</v>
      </c>
      <c r="G28" s="9">
        <f>IF(A28=1,"_",IF(C28="_","???",C28))</f>
        <v/>
      </c>
      <c r="H28" s="10" t="s">
        <v>12</v>
      </c>
      <c r="I28" s="11" t="s">
        <v>12</v>
      </c>
      <c r="J28" s="12"/>
    </row>
    <row r="29" spans="1:10" ht="60" customHeight="1">
      <c r="A29" s="6" t="s">
        <v>118</v>
      </c>
      <c r="B29" s="6" t="s">
        <v>17</v>
      </c>
      <c r="C29" s="6" t="s">
        <v>12</v>
      </c>
      <c r="D29" s="7" t="s">
        <v>119</v>
      </c>
      <c r="E29" s="8" t="s">
        <v>120</v>
      </c>
      <c r="F29" s="6" t="s">
        <v>121</v>
      </c>
      <c r="G29" s="9">
        <f>IF(A29=1,"_",IF(C29="_","???",C29))</f>
        <v/>
      </c>
      <c r="H29" s="10" t="s">
        <v>12</v>
      </c>
      <c r="I29" s="11" t="s">
        <v>12</v>
      </c>
      <c r="J29" s="12"/>
    </row>
    <row r="30" spans="1:10" ht="60" customHeight="1">
      <c r="A30" s="6" t="s">
        <v>122</v>
      </c>
      <c r="B30" s="6" t="s">
        <v>21</v>
      </c>
      <c r="C30" s="6" t="s">
        <v>12</v>
      </c>
      <c r="D30" s="7" t="s">
        <v>123</v>
      </c>
      <c r="E30" s="8" t="s">
        <v>124</v>
      </c>
      <c r="F30" s="6" t="s">
        <v>125</v>
      </c>
      <c r="G30" s="9">
        <f>IF(A30=1,"_",IF(C30="_","???",C30))</f>
        <v/>
      </c>
      <c r="H30" s="10" t="s">
        <v>12</v>
      </c>
      <c r="I30" s="11" t="s">
        <v>12</v>
      </c>
      <c r="J30" s="12"/>
    </row>
    <row r="31" spans="1:10" ht="60" customHeight="1">
      <c r="A31" s="6" t="s">
        <v>126</v>
      </c>
      <c r="B31" s="6" t="s">
        <v>21</v>
      </c>
      <c r="C31" s="6" t="s">
        <v>12</v>
      </c>
      <c r="D31" s="7" t="s">
        <v>127</v>
      </c>
      <c r="E31" s="8" t="s">
        <v>128</v>
      </c>
      <c r="F31" s="6" t="s">
        <v>129</v>
      </c>
      <c r="G31" s="9">
        <f>IF(A31=1,"_",IF(C31="_","???",C31))</f>
        <v/>
      </c>
      <c r="H31" s="10" t="s">
        <v>12</v>
      </c>
      <c r="I31" s="11" t="s">
        <v>12</v>
      </c>
      <c r="J31" s="12"/>
    </row>
    <row r="32" spans="1:10" ht="60" customHeight="1">
      <c r="A32" s="6" t="s">
        <v>130</v>
      </c>
      <c r="B32" s="6" t="s">
        <v>17</v>
      </c>
      <c r="C32" s="6" t="s">
        <v>12</v>
      </c>
      <c r="D32" s="7" t="s">
        <v>131</v>
      </c>
      <c r="E32" s="8" t="s">
        <v>132</v>
      </c>
      <c r="F32" s="6" t="s">
        <v>133</v>
      </c>
      <c r="G32" s="9">
        <f>IF(A32=1,"_",IF(C32="_","???",C32))</f>
        <v/>
      </c>
      <c r="H32" s="10" t="s">
        <v>12</v>
      </c>
      <c r="I32" s="11" t="s">
        <v>12</v>
      </c>
      <c r="J32" s="12"/>
    </row>
    <row r="33" spans="1:10" ht="60" customHeight="1">
      <c r="A33" s="6" t="s">
        <v>134</v>
      </c>
      <c r="B33" s="6" t="s">
        <v>17</v>
      </c>
      <c r="C33" s="6" t="s">
        <v>64</v>
      </c>
      <c r="D33" s="7" t="s">
        <v>135</v>
      </c>
      <c r="E33" s="8" t="s">
        <v>136</v>
      </c>
      <c r="F33" s="6" t="s">
        <v>137</v>
      </c>
      <c r="G33" s="9">
        <f>IF(A33=1,"_",IF(C33="_","???",C33))</f>
        <v/>
      </c>
      <c r="H33" s="10" t="s">
        <v>12</v>
      </c>
      <c r="I33" s="11" t="s">
        <v>12</v>
      </c>
      <c r="J33" s="12"/>
    </row>
    <row r="34" spans="1:10" ht="60" customHeight="1">
      <c r="A34" s="6" t="s">
        <v>138</v>
      </c>
      <c r="B34" s="6" t="s">
        <v>17</v>
      </c>
      <c r="C34" s="6" t="s">
        <v>12</v>
      </c>
      <c r="D34" s="7" t="s">
        <v>139</v>
      </c>
      <c r="E34" s="8" t="s">
        <v>140</v>
      </c>
      <c r="F34" s="6" t="s">
        <v>141</v>
      </c>
      <c r="G34" s="9">
        <f>IF(A34=1,"_",IF(C34="_","???",C34))</f>
        <v/>
      </c>
      <c r="H34" s="10" t="s">
        <v>12</v>
      </c>
      <c r="I34" s="11" t="s">
        <v>12</v>
      </c>
      <c r="J34" s="12"/>
    </row>
    <row r="35" spans="1:10" ht="60" customHeight="1">
      <c r="A35" s="6" t="s">
        <v>142</v>
      </c>
      <c r="B35" s="6" t="s">
        <v>17</v>
      </c>
      <c r="C35" s="6" t="s">
        <v>12</v>
      </c>
      <c r="D35" s="7" t="s">
        <v>127</v>
      </c>
      <c r="E35" s="8" t="s">
        <v>143</v>
      </c>
      <c r="F35" s="6" t="s">
        <v>144</v>
      </c>
      <c r="G35" s="9">
        <f>IF(A35=1,"_",IF(C35="_","???",C35))</f>
        <v/>
      </c>
      <c r="H35" s="10" t="s">
        <v>12</v>
      </c>
      <c r="I35" s="11" t="s">
        <v>12</v>
      </c>
      <c r="J35" s="12"/>
    </row>
    <row r="36" spans="1:10" ht="60" customHeight="1">
      <c r="A36" s="6" t="s">
        <v>145</v>
      </c>
      <c r="B36" s="6" t="s">
        <v>25</v>
      </c>
      <c r="C36" s="6" t="s">
        <v>12</v>
      </c>
      <c r="D36" s="7" t="s">
        <v>146</v>
      </c>
      <c r="E36" s="8" t="s">
        <v>147</v>
      </c>
      <c r="F36" s="6" t="s">
        <v>148</v>
      </c>
      <c r="G36" s="9">
        <f>IF(A36=1,"_",IF(C36="_","???",C36))</f>
        <v/>
      </c>
      <c r="H36" s="10" t="s">
        <v>12</v>
      </c>
      <c r="I36" s="11" t="s">
        <v>12</v>
      </c>
      <c r="J36" s="12"/>
    </row>
    <row r="37" spans="1:10" ht="60" customHeight="1">
      <c r="A37" s="6" t="s">
        <v>149</v>
      </c>
      <c r="B37" s="6" t="s">
        <v>21</v>
      </c>
      <c r="C37" s="6" t="s">
        <v>12</v>
      </c>
      <c r="D37" s="7" t="s">
        <v>150</v>
      </c>
      <c r="E37" s="8" t="s">
        <v>151</v>
      </c>
      <c r="F37" s="6" t="s">
        <v>152</v>
      </c>
      <c r="G37" s="9">
        <f>IF(A37=1,"_",IF(C37="_","???",C37))</f>
        <v/>
      </c>
      <c r="H37" s="10" t="s">
        <v>12</v>
      </c>
      <c r="I37" s="11" t="s">
        <v>12</v>
      </c>
      <c r="J37" s="12"/>
    </row>
    <row r="38" spans="1:10" ht="60" customHeight="1">
      <c r="A38" s="6" t="s">
        <v>153</v>
      </c>
      <c r="B38" s="6" t="s">
        <v>17</v>
      </c>
      <c r="C38" s="6" t="s">
        <v>12</v>
      </c>
      <c r="D38" s="7" t="s">
        <v>154</v>
      </c>
      <c r="E38" s="8" t="s">
        <v>155</v>
      </c>
      <c r="F38" s="6" t="s">
        <v>156</v>
      </c>
      <c r="G38" s="9">
        <f>IF(A38=1,"_",IF(C38="_","???",C38))</f>
        <v/>
      </c>
      <c r="H38" s="10" t="s">
        <v>12</v>
      </c>
      <c r="I38" s="11" t="s">
        <v>12</v>
      </c>
      <c r="J38" s="12"/>
    </row>
    <row r="39" spans="1:10" ht="60" customHeight="1">
      <c r="A39" s="6" t="s">
        <v>157</v>
      </c>
      <c r="B39" s="6" t="s">
        <v>21</v>
      </c>
      <c r="C39" s="6" t="s">
        <v>12</v>
      </c>
      <c r="D39" s="7" t="s">
        <v>127</v>
      </c>
      <c r="E39" s="8" t="s">
        <v>158</v>
      </c>
      <c r="F39" s="6" t="s">
        <v>159</v>
      </c>
      <c r="G39" s="9">
        <f>IF(A39=1,"_",IF(C39="_","???",C39))</f>
        <v/>
      </c>
      <c r="H39" s="10" t="s">
        <v>12</v>
      </c>
      <c r="I39" s="11" t="s">
        <v>12</v>
      </c>
      <c r="J39" s="12"/>
    </row>
    <row r="40" spans="1:10" ht="60" customHeight="1">
      <c r="A40" s="6" t="s">
        <v>160</v>
      </c>
      <c r="B40" s="6" t="s">
        <v>39</v>
      </c>
      <c r="C40" s="6" t="s">
        <v>12</v>
      </c>
      <c r="D40" s="7" t="s">
        <v>161</v>
      </c>
      <c r="E40" s="8" t="s">
        <v>162</v>
      </c>
      <c r="F40" s="6" t="s">
        <v>163</v>
      </c>
      <c r="G40" s="9">
        <f>IF(A40=1,"_",IF(C40="_","???",C40))</f>
        <v/>
      </c>
      <c r="H40" s="10" t="s">
        <v>12</v>
      </c>
      <c r="I40" s="11" t="s">
        <v>12</v>
      </c>
      <c r="J40" s="12"/>
    </row>
    <row r="41" spans="1:10" ht="60" customHeight="1">
      <c r="A41" s="6" t="s">
        <v>164</v>
      </c>
      <c r="B41" s="6" t="s">
        <v>16</v>
      </c>
      <c r="C41" s="6" t="s">
        <v>12</v>
      </c>
      <c r="D41" s="7" t="s">
        <v>165</v>
      </c>
      <c r="E41" s="8" t="s">
        <v>166</v>
      </c>
      <c r="F41" s="6" t="s">
        <v>167</v>
      </c>
      <c r="G41" s="9">
        <f>IF(A41=1,"_",IF(C41="_","???",C41))</f>
        <v/>
      </c>
      <c r="H41" s="10" t="s">
        <v>12</v>
      </c>
      <c r="I41" s="11" t="s">
        <v>12</v>
      </c>
      <c r="J41" s="12"/>
    </row>
    <row r="42" spans="1:10" ht="60" customHeight="1">
      <c r="A42" s="6" t="s">
        <v>168</v>
      </c>
      <c r="B42" s="6" t="s">
        <v>17</v>
      </c>
      <c r="C42" s="6" t="s">
        <v>12</v>
      </c>
      <c r="D42" s="7" t="s">
        <v>169</v>
      </c>
      <c r="E42" s="8" t="s">
        <v>170</v>
      </c>
      <c r="F42" s="6" t="s">
        <v>171</v>
      </c>
      <c r="G42" s="9">
        <f>IF(A42=1,"_",IF(C42="_","???",C42))</f>
        <v/>
      </c>
      <c r="H42" s="10" t="s">
        <v>12</v>
      </c>
      <c r="I42" s="11" t="s">
        <v>12</v>
      </c>
      <c r="J42" s="12"/>
    </row>
    <row r="43" spans="1:10" ht="60" customHeight="1">
      <c r="A43" s="6" t="s">
        <v>172</v>
      </c>
      <c r="B43" s="6" t="s">
        <v>17</v>
      </c>
      <c r="C43" s="6" t="s">
        <v>12</v>
      </c>
      <c r="D43" s="7" t="s">
        <v>103</v>
      </c>
      <c r="E43" s="8" t="s">
        <v>173</v>
      </c>
      <c r="F43" s="6" t="s">
        <v>174</v>
      </c>
      <c r="G43" s="9">
        <f>IF(A43=1,"_",IF(C43="_","???",C43))</f>
        <v/>
      </c>
      <c r="H43" s="10" t="s">
        <v>12</v>
      </c>
      <c r="I43" s="11" t="s">
        <v>12</v>
      </c>
      <c r="J43" s="12"/>
    </row>
    <row r="44" spans="1:10" ht="60" customHeight="1">
      <c r="A44" s="6" t="s">
        <v>175</v>
      </c>
      <c r="B44" s="6" t="s">
        <v>59</v>
      </c>
      <c r="C44" s="6" t="s">
        <v>12</v>
      </c>
      <c r="D44" s="7" t="s">
        <v>131</v>
      </c>
      <c r="E44" s="8" t="s">
        <v>176</v>
      </c>
      <c r="F44" s="6" t="s">
        <v>177</v>
      </c>
      <c r="G44" s="9">
        <f>IF(A44=1,"_",IF(C44="_","???",C44))</f>
        <v/>
      </c>
      <c r="H44" s="10" t="s">
        <v>12</v>
      </c>
      <c r="I44" s="11" t="s">
        <v>12</v>
      </c>
      <c r="J44" s="12"/>
    </row>
    <row r="45" spans="1:10" ht="60" customHeight="1">
      <c r="A45" s="6" t="s">
        <v>178</v>
      </c>
      <c r="B45" s="6" t="s">
        <v>17</v>
      </c>
      <c r="C45" s="6" t="s">
        <v>12</v>
      </c>
      <c r="D45" s="7" t="s">
        <v>46</v>
      </c>
      <c r="E45" s="8" t="s">
        <v>179</v>
      </c>
      <c r="F45" s="6" t="s">
        <v>180</v>
      </c>
      <c r="G45" s="9">
        <f>IF(A45=1,"_",IF(C45="_","???",C45))</f>
        <v/>
      </c>
      <c r="H45" s="10" t="s">
        <v>12</v>
      </c>
      <c r="I45" s="11" t="s">
        <v>12</v>
      </c>
      <c r="J45" s="12"/>
    </row>
    <row r="46" spans="1:10" ht="60" customHeight="1">
      <c r="A46" s="6" t="s">
        <v>181</v>
      </c>
      <c r="B46" s="6" t="s">
        <v>34</v>
      </c>
      <c r="C46" s="6" t="s">
        <v>12</v>
      </c>
      <c r="D46" s="7" t="s">
        <v>182</v>
      </c>
      <c r="E46" s="8" t="s">
        <v>183</v>
      </c>
      <c r="F46" s="6" t="s">
        <v>184</v>
      </c>
      <c r="G46" s="9">
        <f>IF(A46=1,"_",IF(C46="_","???",C46))</f>
        <v/>
      </c>
      <c r="H46" s="10" t="s">
        <v>12</v>
      </c>
      <c r="I46" s="11" t="s">
        <v>12</v>
      </c>
      <c r="J46" s="12"/>
    </row>
    <row r="47" spans="1:10" ht="60" customHeight="1">
      <c r="A47" s="6" t="s">
        <v>185</v>
      </c>
      <c r="B47" s="6" t="s">
        <v>25</v>
      </c>
      <c r="C47" s="6" t="s">
        <v>12</v>
      </c>
      <c r="D47" s="7" t="s">
        <v>186</v>
      </c>
      <c r="E47" s="8" t="s">
        <v>187</v>
      </c>
      <c r="F47" s="6" t="s">
        <v>188</v>
      </c>
      <c r="G47" s="9">
        <f>IF(A47=1,"_",IF(C47="_","???",C47))</f>
        <v/>
      </c>
      <c r="H47" s="10" t="s">
        <v>12</v>
      </c>
      <c r="I47" s="11" t="s">
        <v>12</v>
      </c>
      <c r="J47" s="12"/>
    </row>
    <row r="48" spans="1:10" ht="60" customHeight="1">
      <c r="A48" s="6" t="s">
        <v>189</v>
      </c>
      <c r="B48" s="6" t="s">
        <v>30</v>
      </c>
      <c r="C48" s="6" t="s">
        <v>12</v>
      </c>
      <c r="D48" s="7" t="s">
        <v>190</v>
      </c>
      <c r="E48" s="8" t="s">
        <v>191</v>
      </c>
      <c r="F48" s="6" t="s">
        <v>192</v>
      </c>
      <c r="G48" s="9">
        <f>IF(A48=1,"_",IF(C48="_","???",C48))</f>
        <v/>
      </c>
      <c r="H48" s="10" t="s">
        <v>12</v>
      </c>
      <c r="I48" s="11" t="s">
        <v>12</v>
      </c>
      <c r="J48" s="12"/>
    </row>
    <row r="49" spans="1:10" ht="60" customHeight="1">
      <c r="A49" s="6" t="s">
        <v>193</v>
      </c>
      <c r="B49" s="6" t="s">
        <v>30</v>
      </c>
      <c r="C49" s="6" t="s">
        <v>12</v>
      </c>
      <c r="D49" s="7" t="s">
        <v>194</v>
      </c>
      <c r="E49" s="8" t="s">
        <v>195</v>
      </c>
      <c r="F49" s="6" t="s">
        <v>196</v>
      </c>
      <c r="G49" s="9">
        <f>IF(A49=1,"_",IF(C49="_","???",C49))</f>
        <v/>
      </c>
      <c r="H49" s="10" t="s">
        <v>12</v>
      </c>
      <c r="I49" s="11" t="s">
        <v>12</v>
      </c>
      <c r="J49" s="12"/>
    </row>
    <row r="50" spans="1:10" ht="60" customHeight="1">
      <c r="A50" s="6" t="s">
        <v>197</v>
      </c>
      <c r="B50" s="6" t="s">
        <v>10</v>
      </c>
      <c r="C50" s="6" t="s">
        <v>12</v>
      </c>
      <c r="D50" s="7" t="s">
        <v>198</v>
      </c>
      <c r="E50" s="8" t="s">
        <v>199</v>
      </c>
      <c r="F50" s="6" t="s">
        <v>200</v>
      </c>
      <c r="G50" s="9">
        <f>IF(A50=1,"_",IF(C50="_","???",C50))</f>
        <v/>
      </c>
      <c r="H50" s="10" t="s">
        <v>12</v>
      </c>
      <c r="I50" s="11" t="s">
        <v>12</v>
      </c>
      <c r="J50" s="12"/>
    </row>
    <row r="51" spans="1:10" ht="60" customHeight="1">
      <c r="A51" s="6" t="s">
        <v>201</v>
      </c>
      <c r="B51" s="6" t="s">
        <v>25</v>
      </c>
      <c r="C51" s="6" t="s">
        <v>12</v>
      </c>
      <c r="D51" s="7" t="s">
        <v>119</v>
      </c>
      <c r="E51" s="8" t="s">
        <v>202</v>
      </c>
      <c r="F51" s="6" t="s">
        <v>203</v>
      </c>
      <c r="G51" s="9">
        <f>IF(A51=1,"_",IF(C51="_","???",C51))</f>
        <v/>
      </c>
      <c r="H51" s="10" t="s">
        <v>12</v>
      </c>
      <c r="I51" s="11" t="s">
        <v>12</v>
      </c>
      <c r="J51" s="12"/>
    </row>
    <row r="52" spans="1:10" ht="60" customHeight="1">
      <c r="A52" s="6" t="s">
        <v>204</v>
      </c>
      <c r="B52" s="6" t="s">
        <v>17</v>
      </c>
      <c r="C52" s="6" t="s">
        <v>12</v>
      </c>
      <c r="D52" s="7" t="s">
        <v>205</v>
      </c>
      <c r="E52" s="8" t="s">
        <v>206</v>
      </c>
      <c r="F52" s="6" t="s">
        <v>207</v>
      </c>
      <c r="G52" s="9">
        <f>IF(A52=1,"_",IF(C52="_","???",C52))</f>
        <v/>
      </c>
      <c r="H52" s="10" t="s">
        <v>12</v>
      </c>
      <c r="I52" s="11" t="s">
        <v>12</v>
      </c>
      <c r="J52" s="12"/>
    </row>
    <row r="53" spans="1:10" ht="60" customHeight="1">
      <c r="A53" s="6" t="s">
        <v>208</v>
      </c>
      <c r="B53" s="6" t="s">
        <v>17</v>
      </c>
      <c r="C53" s="6" t="s">
        <v>12</v>
      </c>
      <c r="D53" s="7" t="s">
        <v>165</v>
      </c>
      <c r="E53" s="8" t="s">
        <v>209</v>
      </c>
      <c r="F53" s="6" t="s">
        <v>210</v>
      </c>
      <c r="G53" s="9">
        <f>IF(A53=1,"_",IF(C53="_","???",C53))</f>
        <v/>
      </c>
      <c r="H53" s="10" t="s">
        <v>12</v>
      </c>
      <c r="I53" s="11" t="s">
        <v>12</v>
      </c>
      <c r="J53" s="12"/>
    </row>
    <row r="54" spans="1:10" ht="60" customHeight="1">
      <c r="A54" s="6" t="s">
        <v>211</v>
      </c>
      <c r="B54" s="6" t="s">
        <v>16</v>
      </c>
      <c r="C54" s="6" t="s">
        <v>12</v>
      </c>
      <c r="D54" s="7" t="s">
        <v>182</v>
      </c>
      <c r="E54" s="8" t="s">
        <v>212</v>
      </c>
      <c r="F54" s="6" t="s">
        <v>213</v>
      </c>
      <c r="G54" s="9">
        <f>IF(A54=1,"_",IF(C54="_","???",C54))</f>
        <v/>
      </c>
      <c r="H54" s="10" t="s">
        <v>12</v>
      </c>
      <c r="I54" s="11" t="s">
        <v>12</v>
      </c>
      <c r="J54" s="12"/>
    </row>
    <row r="55" spans="1:10" ht="60" customHeight="1">
      <c r="A55" s="6" t="s">
        <v>214</v>
      </c>
      <c r="B55" s="6" t="s">
        <v>16</v>
      </c>
      <c r="C55" s="6" t="s">
        <v>12</v>
      </c>
      <c r="D55" s="7" t="s">
        <v>165</v>
      </c>
      <c r="E55" s="8" t="s">
        <v>215</v>
      </c>
      <c r="F55" s="6" t="s">
        <v>216</v>
      </c>
      <c r="G55" s="9">
        <f>IF(A55=1,"_",IF(C55="_","???",C55))</f>
        <v/>
      </c>
      <c r="H55" s="10" t="s">
        <v>12</v>
      </c>
      <c r="I55" s="11" t="s">
        <v>12</v>
      </c>
      <c r="J55" s="12"/>
    </row>
    <row r="56" spans="1:10" ht="60" customHeight="1">
      <c r="A56" s="6" t="s">
        <v>217</v>
      </c>
      <c r="B56" s="6" t="s">
        <v>11</v>
      </c>
      <c r="C56" s="6" t="s">
        <v>12</v>
      </c>
      <c r="D56" s="7" t="s">
        <v>218</v>
      </c>
      <c r="E56" s="8" t="s">
        <v>219</v>
      </c>
      <c r="F56" s="6" t="s">
        <v>220</v>
      </c>
      <c r="G56" s="9">
        <f>IF(A56=1,"_",IF(C56="_","???",C56))</f>
        <v/>
      </c>
      <c r="H56" s="10" t="s">
        <v>12</v>
      </c>
      <c r="I56" s="11" t="s">
        <v>12</v>
      </c>
      <c r="J56" s="12"/>
    </row>
    <row r="57" spans="1:10" ht="60" customHeight="1">
      <c r="A57" s="6" t="s">
        <v>221</v>
      </c>
      <c r="B57" s="6" t="s">
        <v>39</v>
      </c>
      <c r="C57" s="6" t="s">
        <v>64</v>
      </c>
      <c r="D57" s="7" t="s">
        <v>222</v>
      </c>
      <c r="E57" s="8" t="s">
        <v>223</v>
      </c>
      <c r="F57" s="6" t="s">
        <v>224</v>
      </c>
      <c r="G57" s="9">
        <f>IF(A57=1,"_",IF(C57="_","???",C57))</f>
        <v/>
      </c>
      <c r="H57" s="10" t="s">
        <v>12</v>
      </c>
      <c r="I57" s="11" t="s">
        <v>12</v>
      </c>
      <c r="J57" s="12"/>
    </row>
    <row r="58" spans="1:10" ht="60" customHeight="1">
      <c r="A58" s="6" t="s">
        <v>225</v>
      </c>
      <c r="B58" s="6" t="s">
        <v>17</v>
      </c>
      <c r="C58" s="6" t="s">
        <v>12</v>
      </c>
      <c r="D58" s="7" t="s">
        <v>226</v>
      </c>
      <c r="E58" s="8" t="s">
        <v>227</v>
      </c>
      <c r="F58" s="6" t="s">
        <v>228</v>
      </c>
      <c r="G58" s="9">
        <f>IF(A58=1,"_",IF(C58="_","???",C58))</f>
        <v/>
      </c>
      <c r="H58" s="10" t="s">
        <v>12</v>
      </c>
      <c r="I58" s="11" t="s">
        <v>12</v>
      </c>
      <c r="J58" s="12"/>
    </row>
    <row r="59" spans="1:10" ht="60" customHeight="1">
      <c r="A59" s="6" t="s">
        <v>229</v>
      </c>
      <c r="B59" s="6" t="s">
        <v>16</v>
      </c>
      <c r="C59" s="6" t="s">
        <v>12</v>
      </c>
      <c r="D59" s="7" t="s">
        <v>230</v>
      </c>
      <c r="E59" s="8" t="s">
        <v>231</v>
      </c>
      <c r="F59" s="6" t="s">
        <v>232</v>
      </c>
      <c r="G59" s="9">
        <f>IF(A59=1,"_",IF(C59="_","???",C59))</f>
        <v/>
      </c>
      <c r="H59" s="10" t="s">
        <v>12</v>
      </c>
      <c r="I59" s="11" t="s">
        <v>12</v>
      </c>
      <c r="J59" s="12"/>
    </row>
    <row r="60" spans="1:10" ht="60" customHeight="1">
      <c r="A60" s="6" t="s">
        <v>233</v>
      </c>
      <c r="B60" s="6" t="s">
        <v>16</v>
      </c>
      <c r="C60" s="6" t="s">
        <v>12</v>
      </c>
      <c r="D60" s="7" t="s">
        <v>234</v>
      </c>
      <c r="E60" s="8" t="s">
        <v>235</v>
      </c>
      <c r="F60" s="6" t="s">
        <v>236</v>
      </c>
      <c r="G60" s="9">
        <f>IF(A60=1,"_",IF(C60="_","???",C60))</f>
        <v/>
      </c>
      <c r="H60" s="10" t="s">
        <v>12</v>
      </c>
      <c r="I60" s="11" t="s">
        <v>12</v>
      </c>
      <c r="J60" s="12"/>
    </row>
    <row r="61" spans="1:10" ht="60" customHeight="1">
      <c r="A61" s="6" t="s">
        <v>237</v>
      </c>
      <c r="B61" s="6" t="s">
        <v>17</v>
      </c>
      <c r="C61" s="6" t="s">
        <v>12</v>
      </c>
      <c r="D61" s="7" t="s">
        <v>238</v>
      </c>
      <c r="E61" s="8" t="s">
        <v>239</v>
      </c>
      <c r="F61" s="6" t="s">
        <v>240</v>
      </c>
      <c r="G61" s="9">
        <f>IF(A61=1,"_",IF(C61="_","???",C61))</f>
        <v/>
      </c>
      <c r="H61" s="10" t="s">
        <v>12</v>
      </c>
      <c r="I61" s="11" t="s">
        <v>12</v>
      </c>
      <c r="J61" s="12"/>
    </row>
    <row r="62" spans="1:10" ht="60" customHeight="1">
      <c r="A62" s="6" t="s">
        <v>241</v>
      </c>
      <c r="B62" s="6" t="s">
        <v>17</v>
      </c>
      <c r="C62" s="6" t="s">
        <v>12</v>
      </c>
      <c r="D62" s="7" t="s">
        <v>242</v>
      </c>
      <c r="E62" s="8" t="s">
        <v>243</v>
      </c>
      <c r="F62" s="6" t="s">
        <v>244</v>
      </c>
      <c r="G62" s="9">
        <f>IF(A62=1,"_",IF(C62="_","???",C62))</f>
        <v/>
      </c>
      <c r="H62" s="10" t="s">
        <v>12</v>
      </c>
      <c r="I62" s="11" t="s">
        <v>12</v>
      </c>
      <c r="J62" s="12"/>
    </row>
    <row r="63" spans="1:10" ht="60" customHeight="1">
      <c r="A63" s="6" t="s">
        <v>245</v>
      </c>
      <c r="B63" s="6" t="s">
        <v>17</v>
      </c>
      <c r="C63" s="6" t="s">
        <v>12</v>
      </c>
      <c r="D63" s="7" t="s">
        <v>65</v>
      </c>
      <c r="E63" s="8" t="s">
        <v>246</v>
      </c>
      <c r="F63" s="6" t="s">
        <v>247</v>
      </c>
      <c r="G63" s="9">
        <f>IF(A63=1,"_",IF(C63="_","???",C63))</f>
        <v/>
      </c>
      <c r="H63" s="10" t="s">
        <v>12</v>
      </c>
      <c r="I63" s="11" t="s">
        <v>12</v>
      </c>
      <c r="J63" s="12"/>
    </row>
    <row r="64" spans="1:10" ht="60" customHeight="1">
      <c r="A64" s="6" t="s">
        <v>248</v>
      </c>
      <c r="B64" s="6" t="s">
        <v>39</v>
      </c>
      <c r="C64" s="6" t="s">
        <v>64</v>
      </c>
      <c r="D64" s="7" t="s">
        <v>249</v>
      </c>
      <c r="E64" s="8" t="s">
        <v>250</v>
      </c>
      <c r="F64" s="6" t="s">
        <v>251</v>
      </c>
      <c r="G64" s="9">
        <f>IF(A64=1,"_",IF(C64="_","???",C64))</f>
        <v/>
      </c>
      <c r="H64" s="10" t="s">
        <v>12</v>
      </c>
      <c r="I64" s="11" t="s">
        <v>12</v>
      </c>
      <c r="J64" s="12"/>
    </row>
    <row r="65" spans="1:10" ht="60" customHeight="1">
      <c r="A65" s="6" t="s">
        <v>252</v>
      </c>
      <c r="B65" s="6" t="s">
        <v>68</v>
      </c>
      <c r="C65" s="6" t="s">
        <v>12</v>
      </c>
      <c r="D65" s="7" t="s">
        <v>253</v>
      </c>
      <c r="E65" s="8" t="s">
        <v>254</v>
      </c>
      <c r="F65" s="6" t="s">
        <v>255</v>
      </c>
      <c r="G65" s="9">
        <f>IF(A65=1,"_",IF(C65="_","???",C65))</f>
        <v/>
      </c>
      <c r="H65" s="10" t="s">
        <v>12</v>
      </c>
      <c r="I65" s="11" t="s">
        <v>12</v>
      </c>
      <c r="J65" s="12"/>
    </row>
    <row r="66" spans="1:10" ht="60" customHeight="1">
      <c r="A66" s="6" t="s">
        <v>256</v>
      </c>
      <c r="B66" s="6" t="s">
        <v>17</v>
      </c>
      <c r="C66" s="6" t="s">
        <v>12</v>
      </c>
      <c r="D66" s="7" t="s">
        <v>65</v>
      </c>
      <c r="E66" s="8" t="s">
        <v>257</v>
      </c>
      <c r="F66" s="6" t="s">
        <v>258</v>
      </c>
      <c r="G66" s="9">
        <f>IF(A66=1,"_",IF(C66="_","???",C66))</f>
        <v/>
      </c>
      <c r="H66" s="10" t="s">
        <v>12</v>
      </c>
      <c r="I66" s="11" t="s">
        <v>12</v>
      </c>
      <c r="J66" s="12"/>
    </row>
    <row r="67" spans="1:10" ht="60" customHeight="1">
      <c r="A67" s="6" t="s">
        <v>259</v>
      </c>
      <c r="B67" s="6" t="s">
        <v>25</v>
      </c>
      <c r="C67" s="6" t="s">
        <v>12</v>
      </c>
      <c r="D67" s="7" t="s">
        <v>260</v>
      </c>
      <c r="E67" s="8" t="s">
        <v>261</v>
      </c>
      <c r="F67" s="6" t="s">
        <v>262</v>
      </c>
      <c r="G67" s="9">
        <f>IF(A67=1,"_",IF(C67="_","???",C67))</f>
        <v/>
      </c>
      <c r="H67" s="10" t="s">
        <v>12</v>
      </c>
      <c r="I67" s="11" t="s">
        <v>12</v>
      </c>
      <c r="J67" s="12"/>
    </row>
    <row r="68" spans="1:10" ht="60" customHeight="1">
      <c r="A68" s="6" t="s">
        <v>263</v>
      </c>
      <c r="B68" s="6" t="s">
        <v>39</v>
      </c>
      <c r="C68" s="6" t="s">
        <v>12</v>
      </c>
      <c r="D68" s="7" t="s">
        <v>165</v>
      </c>
      <c r="E68" s="8" t="s">
        <v>264</v>
      </c>
      <c r="F68" s="6" t="s">
        <v>265</v>
      </c>
      <c r="G68" s="9">
        <f>IF(A68=1,"_",IF(C68="_","???",C68))</f>
        <v/>
      </c>
      <c r="H68" s="10" t="s">
        <v>12</v>
      </c>
      <c r="I68" s="11" t="s">
        <v>12</v>
      </c>
      <c r="J68" s="12"/>
    </row>
    <row r="69" spans="1:10" ht="60" customHeight="1">
      <c r="A69" s="6" t="s">
        <v>266</v>
      </c>
      <c r="B69" s="6" t="s">
        <v>17</v>
      </c>
      <c r="C69" s="6" t="s">
        <v>12</v>
      </c>
      <c r="D69" s="7" t="s">
        <v>267</v>
      </c>
      <c r="E69" s="8" t="s">
        <v>268</v>
      </c>
      <c r="F69" s="6" t="s">
        <v>269</v>
      </c>
      <c r="G69" s="9">
        <f>IF(A69=1,"_",IF(C69="_","???",C69))</f>
        <v/>
      </c>
      <c r="H69" s="10" t="s">
        <v>12</v>
      </c>
      <c r="I69" s="11" t="s">
        <v>12</v>
      </c>
      <c r="J69" s="12"/>
    </row>
    <row r="70" spans="1:10" ht="60" customHeight="1">
      <c r="A70" s="6" t="s">
        <v>270</v>
      </c>
      <c r="B70" s="6" t="s">
        <v>17</v>
      </c>
      <c r="C70" s="6" t="s">
        <v>12</v>
      </c>
      <c r="D70" s="7" t="s">
        <v>36</v>
      </c>
      <c r="E70" s="8" t="s">
        <v>271</v>
      </c>
      <c r="F70" s="6" t="s">
        <v>272</v>
      </c>
      <c r="G70" s="9">
        <f>IF(A70=1,"_",IF(C70="_","???",C70))</f>
        <v/>
      </c>
      <c r="H70" s="10" t="s">
        <v>12</v>
      </c>
      <c r="I70" s="11" t="s">
        <v>12</v>
      </c>
      <c r="J70" s="12"/>
    </row>
    <row r="71" spans="1:10" ht="60" customHeight="1">
      <c r="A71" s="6" t="s">
        <v>273</v>
      </c>
      <c r="B71" s="6" t="s">
        <v>34</v>
      </c>
      <c r="C71" s="6" t="s">
        <v>12</v>
      </c>
      <c r="D71" s="7" t="s">
        <v>274</v>
      </c>
      <c r="E71" s="8" t="s">
        <v>275</v>
      </c>
      <c r="F71" s="6" t="s">
        <v>276</v>
      </c>
      <c r="G71" s="9">
        <f>IF(A71=1,"_",IF(C71="_","???",C71))</f>
        <v/>
      </c>
      <c r="H71" s="10" t="s">
        <v>12</v>
      </c>
      <c r="I71" s="11" t="s">
        <v>12</v>
      </c>
      <c r="J71" s="12"/>
    </row>
    <row r="72" spans="1:10" ht="60" customHeight="1">
      <c r="A72" s="6" t="s">
        <v>277</v>
      </c>
      <c r="B72" s="6" t="s">
        <v>21</v>
      </c>
      <c r="C72" s="6" t="s">
        <v>12</v>
      </c>
      <c r="D72" s="7" t="s">
        <v>46</v>
      </c>
      <c r="E72" s="8" t="s">
        <v>278</v>
      </c>
      <c r="F72" s="6" t="s">
        <v>279</v>
      </c>
      <c r="G72" s="9">
        <f>IF(A72=1,"_",IF(C72="_","???",C72))</f>
        <v/>
      </c>
      <c r="H72" s="10" t="s">
        <v>12</v>
      </c>
      <c r="I72" s="11" t="s">
        <v>12</v>
      </c>
      <c r="J72" s="12"/>
    </row>
    <row r="73" spans="1:10" ht="60" customHeight="1">
      <c r="A73" s="6" t="s">
        <v>280</v>
      </c>
      <c r="B73" s="6" t="s">
        <v>21</v>
      </c>
      <c r="C73" s="6" t="s">
        <v>12</v>
      </c>
      <c r="D73" s="7" t="s">
        <v>135</v>
      </c>
      <c r="E73" s="8" t="s">
        <v>281</v>
      </c>
      <c r="F73" s="6" t="s">
        <v>282</v>
      </c>
      <c r="G73" s="9">
        <f>IF(A73=1,"_",IF(C73="_","???",C73))</f>
        <v/>
      </c>
      <c r="H73" s="10" t="s">
        <v>12</v>
      </c>
      <c r="I73" s="11" t="s">
        <v>12</v>
      </c>
      <c r="J73" s="12"/>
    </row>
    <row r="74" spans="1:10" ht="60" customHeight="1">
      <c r="A74" s="6" t="s">
        <v>283</v>
      </c>
      <c r="B74" s="6" t="s">
        <v>30</v>
      </c>
      <c r="C74" s="6" t="s">
        <v>12</v>
      </c>
      <c r="D74" s="7" t="s">
        <v>284</v>
      </c>
      <c r="E74" s="8" t="s">
        <v>285</v>
      </c>
      <c r="F74" s="6" t="s">
        <v>286</v>
      </c>
      <c r="G74" s="9">
        <f>IF(A74=1,"_",IF(C74="_","???",C74))</f>
        <v/>
      </c>
      <c r="H74" s="10" t="s">
        <v>12</v>
      </c>
      <c r="I74" s="11" t="s">
        <v>12</v>
      </c>
      <c r="J74" s="12"/>
    </row>
    <row r="75" spans="1:10" ht="60" customHeight="1">
      <c r="A75" s="6" t="s">
        <v>287</v>
      </c>
      <c r="B75" s="6" t="s">
        <v>16</v>
      </c>
      <c r="C75" s="6" t="s">
        <v>12</v>
      </c>
      <c r="D75" s="7" t="s">
        <v>288</v>
      </c>
      <c r="E75" s="8" t="s">
        <v>289</v>
      </c>
      <c r="F75" s="6" t="s">
        <v>290</v>
      </c>
      <c r="G75" s="9">
        <f>IF(A75=1,"_",IF(C75="_","???",C75))</f>
        <v/>
      </c>
      <c r="H75" s="10" t="s">
        <v>12</v>
      </c>
      <c r="I75" s="11" t="s">
        <v>12</v>
      </c>
      <c r="J75" s="12"/>
    </row>
    <row r="76" spans="1:10" ht="60" customHeight="1">
      <c r="A76" s="6" t="s">
        <v>291</v>
      </c>
      <c r="B76" s="6" t="s">
        <v>21</v>
      </c>
      <c r="C76" s="6" t="s">
        <v>12</v>
      </c>
      <c r="D76" s="7" t="s">
        <v>267</v>
      </c>
      <c r="E76" s="8" t="s">
        <v>292</v>
      </c>
      <c r="F76" s="6" t="s">
        <v>293</v>
      </c>
      <c r="G76" s="9">
        <f>IF(A76=1,"_",IF(C76="_","???",C76))</f>
        <v/>
      </c>
      <c r="H76" s="10" t="s">
        <v>12</v>
      </c>
      <c r="I76" s="11" t="s">
        <v>12</v>
      </c>
      <c r="J76" s="12"/>
    </row>
    <row r="77" spans="1:10" ht="60" customHeight="1">
      <c r="A77" s="6" t="s">
        <v>294</v>
      </c>
      <c r="B77" s="6" t="s">
        <v>17</v>
      </c>
      <c r="C77" s="6" t="s">
        <v>12</v>
      </c>
      <c r="D77" s="7" t="s">
        <v>165</v>
      </c>
      <c r="E77" s="8" t="s">
        <v>295</v>
      </c>
      <c r="F77" s="6" t="s">
        <v>296</v>
      </c>
      <c r="G77" s="9">
        <f>IF(A77=1,"_",IF(C77="_","???",C77))</f>
        <v/>
      </c>
      <c r="H77" s="10" t="s">
        <v>12</v>
      </c>
      <c r="I77" s="11" t="s">
        <v>12</v>
      </c>
      <c r="J77" s="12"/>
    </row>
    <row r="78" spans="1:10" ht="60" customHeight="1">
      <c r="A78" s="6" t="s">
        <v>297</v>
      </c>
      <c r="B78" s="6" t="s">
        <v>17</v>
      </c>
      <c r="C78" s="6" t="s">
        <v>12</v>
      </c>
      <c r="D78" s="7" t="s">
        <v>298</v>
      </c>
      <c r="E78" s="8" t="s">
        <v>299</v>
      </c>
      <c r="F78" s="6" t="s">
        <v>300</v>
      </c>
      <c r="G78" s="9">
        <f>IF(A78=1,"_",IF(C78="_","???",C78))</f>
        <v/>
      </c>
      <c r="H78" s="10" t="s">
        <v>12</v>
      </c>
      <c r="I78" s="11" t="s">
        <v>12</v>
      </c>
      <c r="J78" s="12"/>
    </row>
    <row r="79" spans="1:10" ht="60" customHeight="1">
      <c r="A79" s="6" t="s">
        <v>301</v>
      </c>
      <c r="B79" s="6" t="s">
        <v>17</v>
      </c>
      <c r="C79" s="6" t="s">
        <v>12</v>
      </c>
      <c r="D79" s="7" t="s">
        <v>36</v>
      </c>
      <c r="E79" s="8" t="s">
        <v>302</v>
      </c>
      <c r="F79" s="6" t="s">
        <v>303</v>
      </c>
      <c r="G79" s="9">
        <f>IF(A79=1,"_",IF(C79="_","???",C79))</f>
        <v/>
      </c>
      <c r="H79" s="10" t="s">
        <v>12</v>
      </c>
      <c r="I79" s="11" t="s">
        <v>12</v>
      </c>
      <c r="J79" s="12"/>
    </row>
    <row r="80" spans="1:10" ht="60" customHeight="1">
      <c r="A80" s="6" t="s">
        <v>304</v>
      </c>
      <c r="B80" s="6" t="s">
        <v>21</v>
      </c>
      <c r="C80" s="6" t="s">
        <v>12</v>
      </c>
      <c r="D80" s="7" t="s">
        <v>36</v>
      </c>
      <c r="E80" s="8" t="s">
        <v>305</v>
      </c>
      <c r="F80" s="6" t="s">
        <v>306</v>
      </c>
      <c r="G80" s="9">
        <f>IF(A80=1,"_",IF(C80="_","???",C80))</f>
        <v/>
      </c>
      <c r="H80" s="10" t="s">
        <v>12</v>
      </c>
      <c r="I80" s="11" t="s">
        <v>12</v>
      </c>
      <c r="J80" s="12"/>
    </row>
    <row r="81" spans="1:10" ht="60" customHeight="1">
      <c r="A81" s="6" t="s">
        <v>307</v>
      </c>
      <c r="B81" s="6" t="s">
        <v>10</v>
      </c>
      <c r="C81" s="6" t="s">
        <v>12</v>
      </c>
      <c r="D81" s="7" t="s">
        <v>308</v>
      </c>
      <c r="E81" s="8" t="s">
        <v>309</v>
      </c>
      <c r="F81" s="6" t="s">
        <v>310</v>
      </c>
      <c r="G81" s="9">
        <f>IF(A81=1,"_",IF(C81="_","???",C81))</f>
        <v/>
      </c>
      <c r="H81" s="10" t="s">
        <v>12</v>
      </c>
      <c r="I81" s="11" t="s">
        <v>12</v>
      </c>
      <c r="J81" s="12"/>
    </row>
    <row r="82" spans="1:10" ht="60" customHeight="1">
      <c r="A82" s="6" t="s">
        <v>311</v>
      </c>
      <c r="B82" s="6" t="s">
        <v>30</v>
      </c>
      <c r="C82" s="6" t="s">
        <v>12</v>
      </c>
      <c r="D82" s="7" t="s">
        <v>312</v>
      </c>
      <c r="E82" s="8" t="s">
        <v>313</v>
      </c>
      <c r="F82" s="6" t="s">
        <v>314</v>
      </c>
      <c r="G82" s="9">
        <f>IF(A82=1,"_",IF(C82="_","???",C82))</f>
        <v/>
      </c>
      <c r="H82" s="10" t="s">
        <v>12</v>
      </c>
      <c r="I82" s="11" t="s">
        <v>12</v>
      </c>
      <c r="J82" s="12"/>
    </row>
    <row r="83" spans="1:10" ht="60" customHeight="1">
      <c r="A83" s="6" t="s">
        <v>315</v>
      </c>
      <c r="B83" s="6" t="s">
        <v>10</v>
      </c>
      <c r="C83" s="6" t="s">
        <v>12</v>
      </c>
      <c r="D83" s="7" t="s">
        <v>36</v>
      </c>
      <c r="E83" s="8" t="s">
        <v>316</v>
      </c>
      <c r="F83" s="6" t="s">
        <v>317</v>
      </c>
      <c r="G83" s="9">
        <f>IF(A83=1,"_",IF(C83="_","???",C83))</f>
        <v/>
      </c>
      <c r="H83" s="10" t="s">
        <v>12</v>
      </c>
      <c r="I83" s="11" t="s">
        <v>12</v>
      </c>
      <c r="J83" s="12"/>
    </row>
    <row r="84" spans="1:10" ht="60" customHeight="1">
      <c r="A84" s="6" t="s">
        <v>318</v>
      </c>
      <c r="B84" s="6" t="s">
        <v>16</v>
      </c>
      <c r="C84" s="6" t="s">
        <v>12</v>
      </c>
      <c r="D84" s="7" t="s">
        <v>36</v>
      </c>
      <c r="E84" s="8" t="s">
        <v>319</v>
      </c>
      <c r="F84" s="6" t="s">
        <v>320</v>
      </c>
      <c r="G84" s="9">
        <f>IF(A84=1,"_",IF(C84="_","???",C84))</f>
        <v/>
      </c>
      <c r="H84" s="10" t="s">
        <v>12</v>
      </c>
      <c r="I84" s="11" t="s">
        <v>12</v>
      </c>
      <c r="J84" s="12"/>
    </row>
    <row r="85" spans="1:10" ht="60" customHeight="1">
      <c r="A85" s="6" t="s">
        <v>321</v>
      </c>
      <c r="B85" s="6" t="s">
        <v>10</v>
      </c>
      <c r="C85" s="6" t="s">
        <v>12</v>
      </c>
      <c r="D85" s="7" t="s">
        <v>308</v>
      </c>
      <c r="E85" s="8" t="s">
        <v>322</v>
      </c>
      <c r="F85" s="6" t="s">
        <v>323</v>
      </c>
      <c r="G85" s="9">
        <f>IF(A85=1,"_",IF(C85="_","???",C85))</f>
        <v/>
      </c>
      <c r="H85" s="10" t="s">
        <v>12</v>
      </c>
      <c r="I85" s="11" t="s">
        <v>12</v>
      </c>
      <c r="J85" s="12"/>
    </row>
    <row r="86" spans="1:10" ht="60" customHeight="1">
      <c r="A86" s="6" t="s">
        <v>324</v>
      </c>
      <c r="B86" s="6" t="s">
        <v>11</v>
      </c>
      <c r="C86" s="6" t="s">
        <v>12</v>
      </c>
      <c r="D86" s="7" t="s">
        <v>182</v>
      </c>
      <c r="E86" s="8" t="s">
        <v>325</v>
      </c>
      <c r="F86" s="6" t="s">
        <v>326</v>
      </c>
      <c r="G86" s="9">
        <f>IF(A86=1,"_",IF(C86="_","???",C86))</f>
        <v/>
      </c>
      <c r="H86" s="10" t="s">
        <v>12</v>
      </c>
      <c r="I86" s="11" t="s">
        <v>12</v>
      </c>
      <c r="J86" s="12"/>
    </row>
    <row r="87" spans="1:10" ht="60" customHeight="1">
      <c r="A87" s="6" t="s">
        <v>327</v>
      </c>
      <c r="B87" s="6" t="s">
        <v>17</v>
      </c>
      <c r="C87" s="6" t="s">
        <v>12</v>
      </c>
      <c r="D87" s="7" t="s">
        <v>328</v>
      </c>
      <c r="E87" s="8" t="s">
        <v>329</v>
      </c>
      <c r="F87" s="6" t="s">
        <v>330</v>
      </c>
      <c r="G87" s="9">
        <f>IF(A87=1,"_",IF(C87="_","???",C87))</f>
        <v/>
      </c>
      <c r="H87" s="10" t="s">
        <v>12</v>
      </c>
      <c r="I87" s="11" t="s">
        <v>12</v>
      </c>
      <c r="J87" s="12"/>
    </row>
    <row r="88" spans="1:10" ht="60" customHeight="1">
      <c r="A88" s="6" t="s">
        <v>331</v>
      </c>
      <c r="B88" s="6" t="s">
        <v>30</v>
      </c>
      <c r="C88" s="6" t="s">
        <v>12</v>
      </c>
      <c r="D88" s="7" t="s">
        <v>332</v>
      </c>
      <c r="E88" s="8" t="s">
        <v>333</v>
      </c>
      <c r="F88" s="6" t="s">
        <v>334</v>
      </c>
      <c r="G88" s="9">
        <f>IF(A88=1,"_",IF(C88="_","???",C88))</f>
        <v/>
      </c>
      <c r="H88" s="10" t="s">
        <v>12</v>
      </c>
      <c r="I88" s="11" t="s">
        <v>12</v>
      </c>
      <c r="J88" s="12"/>
    </row>
    <row r="89" spans="1:10" ht="60" customHeight="1">
      <c r="A89" s="6" t="s">
        <v>335</v>
      </c>
      <c r="B89" s="6" t="s">
        <v>45</v>
      </c>
      <c r="C89" s="6" t="s">
        <v>12</v>
      </c>
      <c r="D89" s="7" t="s">
        <v>336</v>
      </c>
      <c r="E89" s="8" t="s">
        <v>337</v>
      </c>
      <c r="F89" s="6" t="s">
        <v>338</v>
      </c>
      <c r="G89" s="9">
        <f>IF(A89=1,"_",IF(C89="_","???",C89))</f>
        <v/>
      </c>
      <c r="H89" s="10" t="s">
        <v>12</v>
      </c>
      <c r="I89" s="11" t="s">
        <v>12</v>
      </c>
      <c r="J89" s="12"/>
    </row>
    <row r="90" spans="1:10" ht="60" customHeight="1">
      <c r="A90" s="6" t="s">
        <v>339</v>
      </c>
      <c r="B90" s="6" t="s">
        <v>63</v>
      </c>
      <c r="C90" s="6" t="s">
        <v>12</v>
      </c>
      <c r="D90" s="7" t="s">
        <v>340</v>
      </c>
      <c r="E90" s="8" t="s">
        <v>341</v>
      </c>
      <c r="F90" s="6" t="s">
        <v>342</v>
      </c>
      <c r="G90" s="9">
        <f>IF(A90=1,"_",IF(C90="_","???",C90))</f>
        <v/>
      </c>
      <c r="H90" s="10" t="s">
        <v>12</v>
      </c>
      <c r="I90" s="11" t="s">
        <v>12</v>
      </c>
      <c r="J90" s="12"/>
    </row>
    <row r="91" spans="1:10" ht="60" customHeight="1">
      <c r="A91" s="6" t="s">
        <v>343</v>
      </c>
      <c r="B91" s="6" t="s">
        <v>118</v>
      </c>
      <c r="C91" s="6" t="s">
        <v>12</v>
      </c>
      <c r="D91" s="7" t="s">
        <v>344</v>
      </c>
      <c r="E91" s="8" t="s">
        <v>345</v>
      </c>
      <c r="F91" s="6" t="s">
        <v>346</v>
      </c>
      <c r="G91" s="9">
        <f>IF(A91=1,"_",IF(C91="_","???",C91))</f>
        <v/>
      </c>
      <c r="H91" s="10" t="s">
        <v>12</v>
      </c>
      <c r="I91" s="11" t="s">
        <v>12</v>
      </c>
      <c r="J91" s="12"/>
    </row>
    <row r="92" spans="1:10" ht="60" customHeight="1">
      <c r="A92" s="6" t="s">
        <v>347</v>
      </c>
      <c r="B92" s="6" t="s">
        <v>17</v>
      </c>
      <c r="C92" s="6" t="s">
        <v>12</v>
      </c>
      <c r="D92" s="7" t="s">
        <v>348</v>
      </c>
      <c r="E92" s="8" t="s">
        <v>349</v>
      </c>
      <c r="F92" s="6" t="s">
        <v>350</v>
      </c>
      <c r="G92" s="9">
        <f>IF(A92=1,"_",IF(C92="_","???",C92))</f>
        <v/>
      </c>
      <c r="H92" s="10" t="s">
        <v>12</v>
      </c>
      <c r="I92" s="11" t="s">
        <v>12</v>
      </c>
      <c r="J92" s="12"/>
    </row>
    <row r="93" spans="1:10" ht="60" customHeight="1">
      <c r="A93" s="6" t="s">
        <v>351</v>
      </c>
      <c r="B93" s="6" t="s">
        <v>21</v>
      </c>
      <c r="C93" s="6" t="s">
        <v>12</v>
      </c>
      <c r="D93" s="7" t="s">
        <v>352</v>
      </c>
      <c r="E93" s="8" t="s">
        <v>353</v>
      </c>
      <c r="F93" s="6" t="s">
        <v>354</v>
      </c>
      <c r="G93" s="9">
        <f>IF(A93=1,"_",IF(C93="_","???",C93))</f>
        <v/>
      </c>
      <c r="H93" s="10" t="s">
        <v>12</v>
      </c>
      <c r="I93" s="11" t="s">
        <v>12</v>
      </c>
      <c r="J93" s="12"/>
    </row>
    <row r="94" spans="1:10" ht="60" customHeight="1">
      <c r="A94" s="6" t="s">
        <v>355</v>
      </c>
      <c r="B94" s="6" t="s">
        <v>30</v>
      </c>
      <c r="C94" s="6" t="s">
        <v>12</v>
      </c>
      <c r="D94" s="7" t="s">
        <v>356</v>
      </c>
      <c r="E94" s="8" t="s">
        <v>357</v>
      </c>
      <c r="F94" s="6" t="s">
        <v>358</v>
      </c>
      <c r="G94" s="9">
        <f>IF(A94=1,"_",IF(C94="_","???",C94))</f>
        <v/>
      </c>
      <c r="H94" s="10" t="s">
        <v>12</v>
      </c>
      <c r="I94" s="11" t="s">
        <v>12</v>
      </c>
      <c r="J94" s="12"/>
    </row>
    <row r="95" spans="1:10" ht="60" customHeight="1">
      <c r="A95" s="6" t="s">
        <v>359</v>
      </c>
      <c r="B95" s="6" t="s">
        <v>16</v>
      </c>
      <c r="C95" s="6" t="s">
        <v>360</v>
      </c>
      <c r="D95" s="7" t="s">
        <v>361</v>
      </c>
      <c r="E95" s="8" t="s">
        <v>362</v>
      </c>
      <c r="F95" s="6" t="s">
        <v>363</v>
      </c>
      <c r="G95" s="9">
        <f>IF(A95=1,"_",IF(C95="_","???",C95))</f>
        <v/>
      </c>
      <c r="H95" s="10" t="s">
        <v>12</v>
      </c>
      <c r="I95" s="11" t="s">
        <v>12</v>
      </c>
      <c r="J95" s="12"/>
    </row>
    <row r="96" spans="1:10" ht="60" customHeight="1">
      <c r="A96" s="6" t="s">
        <v>364</v>
      </c>
      <c r="B96" s="6" t="s">
        <v>21</v>
      </c>
      <c r="C96" s="6" t="s">
        <v>12</v>
      </c>
      <c r="D96" s="7" t="s">
        <v>365</v>
      </c>
      <c r="E96" s="8" t="s">
        <v>366</v>
      </c>
      <c r="F96" s="6" t="s">
        <v>367</v>
      </c>
      <c r="G96" s="9">
        <f>IF(A96=1,"_",IF(C96="_","???",C96))</f>
        <v/>
      </c>
      <c r="H96" s="10" t="s">
        <v>12</v>
      </c>
      <c r="I96" s="11" t="s">
        <v>12</v>
      </c>
      <c r="J96" s="12"/>
    </row>
    <row r="97" spans="1:10" ht="60" customHeight="1">
      <c r="A97" s="6" t="s">
        <v>368</v>
      </c>
      <c r="B97" s="6" t="s">
        <v>34</v>
      </c>
      <c r="C97" s="6" t="s">
        <v>12</v>
      </c>
      <c r="D97" s="7" t="s">
        <v>369</v>
      </c>
      <c r="E97" s="8" t="s">
        <v>370</v>
      </c>
      <c r="F97" s="6" t="s">
        <v>371</v>
      </c>
      <c r="G97" s="9">
        <f>IF(A97=1,"_",IF(C97="_","???",C97))</f>
        <v/>
      </c>
      <c r="H97" s="10" t="s">
        <v>12</v>
      </c>
      <c r="I97" s="11" t="s">
        <v>12</v>
      </c>
      <c r="J97" s="12"/>
    </row>
    <row r="98" spans="1:10" ht="60" customHeight="1">
      <c r="A98" s="6" t="s">
        <v>372</v>
      </c>
      <c r="B98" s="6" t="s">
        <v>25</v>
      </c>
      <c r="C98" s="6" t="s">
        <v>12</v>
      </c>
      <c r="D98" s="7" t="s">
        <v>373</v>
      </c>
      <c r="E98" s="8" t="s">
        <v>374</v>
      </c>
      <c r="F98" s="6" t="s">
        <v>375</v>
      </c>
      <c r="G98" s="9">
        <f>IF(A98=1,"_",IF(C98="_","???",C98))</f>
        <v/>
      </c>
      <c r="H98" s="10" t="s">
        <v>12</v>
      </c>
      <c r="I98" s="11" t="s">
        <v>12</v>
      </c>
      <c r="J98" s="12"/>
    </row>
    <row r="99" spans="1:10" ht="60" customHeight="1">
      <c r="A99" s="6" t="s">
        <v>376</v>
      </c>
      <c r="B99" s="6" t="s">
        <v>16</v>
      </c>
      <c r="C99" s="6" t="s">
        <v>12</v>
      </c>
      <c r="D99" s="7" t="s">
        <v>154</v>
      </c>
      <c r="E99" s="8" t="s">
        <v>377</v>
      </c>
      <c r="F99" s="6" t="s">
        <v>378</v>
      </c>
      <c r="G99" s="9">
        <f>IF(A99=1,"_",IF(C99="_","???",C99))</f>
        <v/>
      </c>
      <c r="H99" s="10" t="s">
        <v>12</v>
      </c>
      <c r="I99" s="11" t="s">
        <v>12</v>
      </c>
      <c r="J99" s="12"/>
    </row>
    <row r="100" spans="1:10" ht="60" customHeight="1">
      <c r="A100" s="6" t="s">
        <v>379</v>
      </c>
      <c r="B100" s="6" t="s">
        <v>17</v>
      </c>
      <c r="C100" s="6" t="s">
        <v>12</v>
      </c>
      <c r="D100" s="7" t="s">
        <v>165</v>
      </c>
      <c r="E100" s="8" t="s">
        <v>380</v>
      </c>
      <c r="F100" s="6" t="s">
        <v>381</v>
      </c>
      <c r="G100" s="9">
        <f>IF(A100=1,"_",IF(C100="_","???",C100))</f>
        <v/>
      </c>
      <c r="H100" s="10" t="s">
        <v>12</v>
      </c>
      <c r="I100" s="11" t="s">
        <v>12</v>
      </c>
      <c r="J100" s="12"/>
    </row>
    <row r="101" spans="1:10" ht="60" customHeight="1">
      <c r="A101" s="6" t="s">
        <v>382</v>
      </c>
      <c r="B101" s="6" t="s">
        <v>11</v>
      </c>
      <c r="C101" s="6" t="s">
        <v>12</v>
      </c>
      <c r="D101" s="7" t="s">
        <v>267</v>
      </c>
      <c r="E101" s="8" t="s">
        <v>383</v>
      </c>
      <c r="F101" s="6" t="s">
        <v>384</v>
      </c>
      <c r="G101" s="9">
        <f>IF(A101=1,"_",IF(C101="_","???",C101))</f>
        <v/>
      </c>
      <c r="H101" s="10" t="s">
        <v>12</v>
      </c>
      <c r="I101" s="11" t="s">
        <v>12</v>
      </c>
      <c r="J101" s="12"/>
    </row>
    <row r="102" spans="1:10" ht="60" customHeight="1">
      <c r="A102" s="6" t="s">
        <v>385</v>
      </c>
      <c r="B102" s="6" t="s">
        <v>17</v>
      </c>
      <c r="C102" s="6" t="s">
        <v>12</v>
      </c>
      <c r="D102" s="7" t="s">
        <v>386</v>
      </c>
      <c r="E102" s="8" t="s">
        <v>387</v>
      </c>
      <c r="F102" s="6" t="s">
        <v>388</v>
      </c>
      <c r="G102" s="9">
        <f>IF(A102=1,"_",IF(C102="_","???",C102))</f>
        <v/>
      </c>
      <c r="H102" s="10" t="s">
        <v>12</v>
      </c>
      <c r="I102" s="11" t="s">
        <v>12</v>
      </c>
      <c r="J102" s="12"/>
    </row>
    <row r="103" spans="1:10" ht="60" customHeight="1">
      <c r="A103" s="6" t="s">
        <v>389</v>
      </c>
      <c r="B103" s="6" t="s">
        <v>17</v>
      </c>
      <c r="C103" s="6" t="s">
        <v>12</v>
      </c>
      <c r="D103" s="7" t="s">
        <v>103</v>
      </c>
      <c r="E103" s="8" t="s">
        <v>390</v>
      </c>
      <c r="F103" s="6" t="s">
        <v>391</v>
      </c>
      <c r="G103" s="9">
        <f>IF(A103=1,"_",IF(C103="_","???",C103))</f>
        <v/>
      </c>
      <c r="H103" s="10" t="s">
        <v>12</v>
      </c>
      <c r="I103" s="11" t="s">
        <v>12</v>
      </c>
      <c r="J103" s="12"/>
    </row>
    <row r="104" spans="1:10" ht="60" customHeight="1">
      <c r="A104" s="6" t="s">
        <v>392</v>
      </c>
      <c r="B104" s="6" t="s">
        <v>17</v>
      </c>
      <c r="C104" s="6" t="s">
        <v>12</v>
      </c>
      <c r="D104" s="7" t="s">
        <v>46</v>
      </c>
      <c r="E104" s="8" t="s">
        <v>393</v>
      </c>
      <c r="F104" s="6" t="s">
        <v>394</v>
      </c>
      <c r="G104" s="9">
        <f>IF(A104=1,"_",IF(C104="_","???",C104))</f>
        <v/>
      </c>
      <c r="H104" s="10" t="s">
        <v>12</v>
      </c>
      <c r="I104" s="11" t="s">
        <v>12</v>
      </c>
      <c r="J104" s="12"/>
    </row>
    <row r="105" spans="1:10" ht="60" customHeight="1">
      <c r="A105" s="6" t="s">
        <v>395</v>
      </c>
      <c r="B105" s="6" t="s">
        <v>17</v>
      </c>
      <c r="C105" s="6" t="s">
        <v>12</v>
      </c>
      <c r="D105" s="7" t="s">
        <v>46</v>
      </c>
      <c r="E105" s="8" t="s">
        <v>396</v>
      </c>
      <c r="F105" s="6" t="s">
        <v>397</v>
      </c>
      <c r="G105" s="9">
        <f>IF(A105=1,"_",IF(C105="_","???",C105))</f>
        <v/>
      </c>
      <c r="H105" s="10" t="s">
        <v>12</v>
      </c>
      <c r="I105" s="11" t="s">
        <v>12</v>
      </c>
      <c r="J105" s="12"/>
    </row>
    <row r="106" spans="1:10" ht="60" customHeight="1">
      <c r="A106" s="6" t="s">
        <v>398</v>
      </c>
      <c r="B106" s="6" t="s">
        <v>16</v>
      </c>
      <c r="C106" s="6" t="s">
        <v>12</v>
      </c>
      <c r="D106" s="7" t="s">
        <v>399</v>
      </c>
      <c r="E106" s="8" t="s">
        <v>400</v>
      </c>
      <c r="F106" s="6" t="s">
        <v>401</v>
      </c>
      <c r="G106" s="9">
        <f>IF(A106=1,"_",IF(C106="_","???",C106))</f>
        <v/>
      </c>
      <c r="H106" s="10" t="s">
        <v>12</v>
      </c>
      <c r="I106" s="11" t="s">
        <v>12</v>
      </c>
      <c r="J106" s="12"/>
    </row>
    <row r="107" spans="1:10" ht="60" customHeight="1">
      <c r="A107" s="6" t="s">
        <v>402</v>
      </c>
      <c r="B107" s="6" t="s">
        <v>72</v>
      </c>
      <c r="C107" s="6" t="s">
        <v>12</v>
      </c>
      <c r="D107" s="7" t="s">
        <v>403</v>
      </c>
      <c r="E107" s="8" t="s">
        <v>404</v>
      </c>
      <c r="F107" s="6" t="s">
        <v>405</v>
      </c>
      <c r="G107" s="9">
        <f>IF(A107=1,"_",IF(C107="_","???",C107))</f>
        <v/>
      </c>
      <c r="H107" s="10" t="s">
        <v>12</v>
      </c>
      <c r="I107" s="11" t="s">
        <v>12</v>
      </c>
      <c r="J107" s="12"/>
    </row>
    <row r="108" spans="1:10" ht="60" customHeight="1">
      <c r="A108" s="6" t="s">
        <v>406</v>
      </c>
      <c r="B108" s="6" t="s">
        <v>17</v>
      </c>
      <c r="C108" s="6" t="s">
        <v>12</v>
      </c>
      <c r="D108" s="7" t="s">
        <v>407</v>
      </c>
      <c r="E108" s="8" t="s">
        <v>408</v>
      </c>
      <c r="F108" s="6" t="s">
        <v>409</v>
      </c>
      <c r="G108" s="9">
        <f>IF(A108=1,"_",IF(C108="_","???",C108))</f>
        <v/>
      </c>
      <c r="H108" s="10" t="s">
        <v>12</v>
      </c>
      <c r="I108" s="11" t="s">
        <v>12</v>
      </c>
      <c r="J108" s="12"/>
    </row>
    <row r="109" spans="1:10" ht="60" customHeight="1">
      <c r="A109" s="6" t="s">
        <v>410</v>
      </c>
      <c r="B109" s="6" t="s">
        <v>17</v>
      </c>
      <c r="C109" s="6" t="s">
        <v>12</v>
      </c>
      <c r="D109" s="7" t="s">
        <v>411</v>
      </c>
      <c r="E109" s="8" t="s">
        <v>412</v>
      </c>
      <c r="F109" s="6" t="s">
        <v>413</v>
      </c>
      <c r="G109" s="9">
        <f>IF(A109=1,"_",IF(C109="_","???",C109))</f>
        <v/>
      </c>
      <c r="H109" s="10" t="s">
        <v>12</v>
      </c>
      <c r="I109" s="11" t="s">
        <v>12</v>
      </c>
      <c r="J109" s="12"/>
    </row>
    <row r="110" spans="1:10" ht="60" customHeight="1">
      <c r="A110" s="6" t="s">
        <v>414</v>
      </c>
      <c r="B110" s="6" t="s">
        <v>17</v>
      </c>
      <c r="C110" s="6" t="s">
        <v>12</v>
      </c>
      <c r="D110" s="7" t="s">
        <v>46</v>
      </c>
      <c r="E110" s="8" t="s">
        <v>415</v>
      </c>
      <c r="F110" s="6" t="s">
        <v>416</v>
      </c>
      <c r="G110" s="9">
        <f>IF(A110=1,"_",IF(C110="_","???",C110))</f>
        <v/>
      </c>
      <c r="H110" s="10" t="s">
        <v>12</v>
      </c>
      <c r="I110" s="11" t="s">
        <v>12</v>
      </c>
      <c r="J110" s="12"/>
    </row>
    <row r="111" spans="1:10" ht="60" customHeight="1">
      <c r="A111" s="6" t="s">
        <v>417</v>
      </c>
      <c r="B111" s="6" t="s">
        <v>21</v>
      </c>
      <c r="C111" s="6" t="s">
        <v>12</v>
      </c>
      <c r="D111" s="7" t="s">
        <v>165</v>
      </c>
      <c r="E111" s="8" t="s">
        <v>418</v>
      </c>
      <c r="F111" s="6" t="s">
        <v>419</v>
      </c>
      <c r="G111" s="9">
        <f>IF(A111=1,"_",IF(C111="_","???",C111))</f>
        <v/>
      </c>
      <c r="H111" s="10" t="s">
        <v>12</v>
      </c>
      <c r="I111" s="11" t="s">
        <v>12</v>
      </c>
      <c r="J111" s="12"/>
    </row>
    <row r="112" spans="1:10" ht="60" customHeight="1">
      <c r="A112" s="6" t="s">
        <v>420</v>
      </c>
      <c r="B112" s="6" t="s">
        <v>17</v>
      </c>
      <c r="C112" s="6" t="s">
        <v>64</v>
      </c>
      <c r="D112" s="7" t="s">
        <v>46</v>
      </c>
      <c r="E112" s="8" t="s">
        <v>421</v>
      </c>
      <c r="F112" s="6" t="s">
        <v>422</v>
      </c>
      <c r="G112" s="9">
        <f>IF(A112=1,"_",IF(C112="_","???",C112))</f>
        <v/>
      </c>
      <c r="H112" s="10" t="s">
        <v>12</v>
      </c>
      <c r="I112" s="11" t="s">
        <v>12</v>
      </c>
      <c r="J112" s="12"/>
    </row>
    <row r="113" spans="1:10" ht="60" customHeight="1">
      <c r="A113" s="6" t="s">
        <v>423</v>
      </c>
      <c r="B113" s="6" t="s">
        <v>11</v>
      </c>
      <c r="C113" s="6" t="s">
        <v>12</v>
      </c>
      <c r="D113" s="7" t="s">
        <v>340</v>
      </c>
      <c r="E113" s="8" t="s">
        <v>424</v>
      </c>
      <c r="F113" s="6" t="s">
        <v>425</v>
      </c>
      <c r="G113" s="9">
        <f>IF(A113=1,"_",IF(C113="_","???",C113))</f>
        <v/>
      </c>
      <c r="H113" s="10" t="s">
        <v>12</v>
      </c>
      <c r="I113" s="11" t="s">
        <v>12</v>
      </c>
      <c r="J113" s="12"/>
    </row>
    <row r="114" spans="1:10" ht="60" customHeight="1">
      <c r="A114" s="6" t="s">
        <v>426</v>
      </c>
      <c r="B114" s="6" t="s">
        <v>17</v>
      </c>
      <c r="C114" s="6" t="s">
        <v>12</v>
      </c>
      <c r="D114" s="7" t="s">
        <v>427</v>
      </c>
      <c r="E114" s="8" t="s">
        <v>428</v>
      </c>
      <c r="F114" s="6" t="s">
        <v>429</v>
      </c>
      <c r="G114" s="9">
        <f>IF(A114=1,"_",IF(C114="_","???",C114))</f>
        <v/>
      </c>
      <c r="H114" s="10" t="s">
        <v>12</v>
      </c>
      <c r="I114" s="11" t="s">
        <v>12</v>
      </c>
      <c r="J114" s="12"/>
    </row>
    <row r="115" spans="1:10" ht="60" customHeight="1">
      <c r="A115" s="6" t="s">
        <v>430</v>
      </c>
      <c r="B115" s="6" t="s">
        <v>56</v>
      </c>
      <c r="C115" s="6" t="s">
        <v>12</v>
      </c>
      <c r="D115" s="7" t="s">
        <v>431</v>
      </c>
      <c r="E115" s="8" t="s">
        <v>432</v>
      </c>
      <c r="F115" s="6" t="s">
        <v>433</v>
      </c>
      <c r="G115" s="9">
        <f>IF(A115=1,"_",IF(C115="_","???",C115))</f>
        <v/>
      </c>
      <c r="H115" s="10" t="s">
        <v>12</v>
      </c>
      <c r="I115" s="11" t="s">
        <v>12</v>
      </c>
      <c r="J115" s="12"/>
    </row>
    <row r="116" spans="1:10" ht="60" customHeight="1">
      <c r="A116" s="6" t="s">
        <v>434</v>
      </c>
      <c r="B116" s="6" t="s">
        <v>25</v>
      </c>
      <c r="C116" s="6" t="s">
        <v>12</v>
      </c>
      <c r="D116" s="7" t="s">
        <v>435</v>
      </c>
      <c r="E116" s="8" t="s">
        <v>436</v>
      </c>
      <c r="F116" s="6" t="s">
        <v>437</v>
      </c>
      <c r="G116" s="9">
        <f>IF(A116=1,"_",IF(C116="_","???",C116))</f>
        <v/>
      </c>
      <c r="H116" s="10" t="s">
        <v>12</v>
      </c>
      <c r="I116" s="11" t="s">
        <v>12</v>
      </c>
      <c r="J116" s="12"/>
    </row>
    <row r="117" spans="1:10" ht="60" customHeight="1">
      <c r="A117" s="6" t="s">
        <v>438</v>
      </c>
      <c r="B117" s="6" t="s">
        <v>11</v>
      </c>
      <c r="C117" s="6" t="s">
        <v>12</v>
      </c>
      <c r="D117" s="7" t="s">
        <v>439</v>
      </c>
      <c r="E117" s="8" t="s">
        <v>440</v>
      </c>
      <c r="F117" s="6" t="s">
        <v>441</v>
      </c>
      <c r="G117" s="9">
        <f>IF(A117=1,"_",IF(C117="_","???",C117))</f>
        <v/>
      </c>
      <c r="H117" s="10" t="s">
        <v>12</v>
      </c>
      <c r="I117" s="11" t="s">
        <v>12</v>
      </c>
      <c r="J117" s="12"/>
    </row>
    <row r="118" spans="1:10" ht="60" customHeight="1">
      <c r="A118" s="6" t="s">
        <v>442</v>
      </c>
      <c r="B118" s="6" t="s">
        <v>25</v>
      </c>
      <c r="C118" s="6" t="s">
        <v>12</v>
      </c>
      <c r="D118" s="7" t="s">
        <v>443</v>
      </c>
      <c r="E118" s="8" t="s">
        <v>444</v>
      </c>
      <c r="F118" s="6" t="s">
        <v>445</v>
      </c>
      <c r="G118" s="9">
        <f>IF(A118=1,"_",IF(C118="_","???",C118))</f>
        <v/>
      </c>
      <c r="H118" s="10" t="s">
        <v>12</v>
      </c>
      <c r="I118" s="11" t="s">
        <v>12</v>
      </c>
      <c r="J118" s="12"/>
    </row>
    <row r="119" spans="1:10" ht="60" customHeight="1">
      <c r="A119" s="6" t="s">
        <v>446</v>
      </c>
      <c r="B119" s="6" t="s">
        <v>17</v>
      </c>
      <c r="C119" s="6" t="s">
        <v>12</v>
      </c>
      <c r="D119" s="7" t="s">
        <v>447</v>
      </c>
      <c r="E119" s="8" t="s">
        <v>448</v>
      </c>
      <c r="F119" s="6" t="s">
        <v>449</v>
      </c>
      <c r="G119" s="9">
        <f>IF(A119=1,"_",IF(C119="_","???",C119))</f>
        <v/>
      </c>
      <c r="H119" s="10" t="s">
        <v>12</v>
      </c>
      <c r="I119" s="11" t="s">
        <v>12</v>
      </c>
      <c r="J119" s="12"/>
    </row>
    <row r="120" spans="1:10" ht="60" customHeight="1">
      <c r="A120" s="6" t="s">
        <v>450</v>
      </c>
      <c r="B120" s="6" t="s">
        <v>30</v>
      </c>
      <c r="C120" s="6" t="s">
        <v>12</v>
      </c>
      <c r="D120" s="7" t="s">
        <v>451</v>
      </c>
      <c r="E120" s="8" t="s">
        <v>452</v>
      </c>
      <c r="F120" s="6" t="s">
        <v>453</v>
      </c>
      <c r="G120" s="9">
        <f>IF(A120=1,"_",IF(C120="_","???",C120))</f>
        <v/>
      </c>
      <c r="H120" s="10" t="s">
        <v>12</v>
      </c>
      <c r="I120" s="11" t="s">
        <v>12</v>
      </c>
      <c r="J120" s="12"/>
    </row>
    <row r="121" spans="1:10" ht="60" customHeight="1">
      <c r="A121" s="6" t="s">
        <v>454</v>
      </c>
      <c r="B121" s="6" t="s">
        <v>17</v>
      </c>
      <c r="C121" s="6" t="s">
        <v>12</v>
      </c>
      <c r="D121" s="7" t="s">
        <v>447</v>
      </c>
      <c r="E121" s="8" t="s">
        <v>455</v>
      </c>
      <c r="F121" s="6" t="s">
        <v>456</v>
      </c>
      <c r="G121" s="9">
        <f>IF(A121=1,"_",IF(C121="_","???",C121))</f>
        <v/>
      </c>
      <c r="H121" s="10" t="s">
        <v>12</v>
      </c>
      <c r="I121" s="11" t="s">
        <v>12</v>
      </c>
      <c r="J121" s="12"/>
    </row>
    <row r="122" spans="1:10" ht="60" customHeight="1">
      <c r="A122" s="6" t="s">
        <v>457</v>
      </c>
      <c r="B122" s="6" t="s">
        <v>17</v>
      </c>
      <c r="C122" s="6" t="s">
        <v>12</v>
      </c>
      <c r="D122" s="7" t="s">
        <v>458</v>
      </c>
      <c r="E122" s="8" t="s">
        <v>459</v>
      </c>
      <c r="F122" s="6" t="s">
        <v>460</v>
      </c>
      <c r="G122" s="9">
        <f>IF(A122=1,"_",IF(C122="_","???",C122))</f>
        <v/>
      </c>
      <c r="H122" s="10" t="s">
        <v>12</v>
      </c>
      <c r="I122" s="11" t="s">
        <v>12</v>
      </c>
      <c r="J122" s="12"/>
    </row>
    <row r="123" spans="1:10" ht="60" customHeight="1">
      <c r="A123" s="6" t="s">
        <v>461</v>
      </c>
      <c r="B123" s="6" t="s">
        <v>30</v>
      </c>
      <c r="C123" s="6" t="s">
        <v>12</v>
      </c>
      <c r="D123" s="7" t="s">
        <v>462</v>
      </c>
      <c r="E123" s="8" t="s">
        <v>463</v>
      </c>
      <c r="F123" s="6" t="s">
        <v>464</v>
      </c>
      <c r="G123" s="9">
        <f>IF(A123=1,"_",IF(C123="_","???",C123))</f>
        <v/>
      </c>
      <c r="H123" s="10" t="s">
        <v>12</v>
      </c>
      <c r="I123" s="11" t="s">
        <v>12</v>
      </c>
      <c r="J123" s="12"/>
    </row>
    <row r="124" spans="1:10" ht="60" customHeight="1">
      <c r="A124" s="6" t="s">
        <v>465</v>
      </c>
      <c r="B124" s="6" t="s">
        <v>16</v>
      </c>
      <c r="C124" s="6" t="s">
        <v>64</v>
      </c>
      <c r="D124" s="7" t="s">
        <v>466</v>
      </c>
      <c r="E124" s="8" t="s">
        <v>467</v>
      </c>
      <c r="F124" s="6" t="s">
        <v>468</v>
      </c>
      <c r="G124" s="9">
        <f>IF(A124=1,"_",IF(C124="_","???",C124))</f>
        <v/>
      </c>
      <c r="H124" s="10" t="s">
        <v>12</v>
      </c>
      <c r="I124" s="11" t="s">
        <v>12</v>
      </c>
      <c r="J124" s="12"/>
    </row>
    <row r="125" spans="1:10" ht="60" customHeight="1">
      <c r="A125" s="6" t="s">
        <v>469</v>
      </c>
      <c r="B125" s="6" t="s">
        <v>39</v>
      </c>
      <c r="C125" s="6" t="s">
        <v>12</v>
      </c>
      <c r="D125" s="7" t="s">
        <v>356</v>
      </c>
      <c r="E125" s="8" t="s">
        <v>470</v>
      </c>
      <c r="F125" s="6" t="s">
        <v>471</v>
      </c>
      <c r="G125" s="9">
        <f>IF(A125=1,"_",IF(C125="_","???",C125))</f>
        <v/>
      </c>
      <c r="H125" s="10" t="s">
        <v>12</v>
      </c>
      <c r="I125" s="11" t="s">
        <v>12</v>
      </c>
      <c r="J125" s="12"/>
    </row>
    <row r="126" spans="1:10" ht="60" customHeight="1">
      <c r="A126" s="6" t="s">
        <v>472</v>
      </c>
      <c r="B126" s="6" t="s">
        <v>17</v>
      </c>
      <c r="C126" s="6" t="s">
        <v>12</v>
      </c>
      <c r="D126" s="7" t="s">
        <v>473</v>
      </c>
      <c r="E126" s="8" t="s">
        <v>474</v>
      </c>
      <c r="F126" s="6" t="s">
        <v>475</v>
      </c>
      <c r="G126" s="9">
        <f>IF(A126=1,"_",IF(C126="_","???",C126))</f>
        <v/>
      </c>
      <c r="H126" s="10" t="s">
        <v>12</v>
      </c>
      <c r="I126" s="11" t="s">
        <v>12</v>
      </c>
      <c r="J126" s="12"/>
    </row>
    <row r="127" spans="1:10" ht="60" customHeight="1">
      <c r="A127" s="6" t="s">
        <v>476</v>
      </c>
      <c r="B127" s="6" t="s">
        <v>30</v>
      </c>
      <c r="C127" s="6" t="s">
        <v>12</v>
      </c>
      <c r="D127" s="7" t="s">
        <v>190</v>
      </c>
      <c r="E127" s="8" t="s">
        <v>477</v>
      </c>
      <c r="F127" s="6" t="s">
        <v>478</v>
      </c>
      <c r="G127" s="9">
        <f>IF(A127=1,"_",IF(C127="_","???",C127))</f>
        <v/>
      </c>
      <c r="H127" s="10" t="s">
        <v>12</v>
      </c>
      <c r="I127" s="11" t="s">
        <v>12</v>
      </c>
      <c r="J127" s="12"/>
    </row>
    <row r="128" spans="1:10" ht="60" customHeight="1">
      <c r="A128" s="6" t="s">
        <v>479</v>
      </c>
      <c r="B128" s="6" t="s">
        <v>25</v>
      </c>
      <c r="C128" s="6" t="s">
        <v>12</v>
      </c>
      <c r="D128" s="7" t="s">
        <v>165</v>
      </c>
      <c r="E128" s="8" t="s">
        <v>480</v>
      </c>
      <c r="F128" s="6" t="s">
        <v>481</v>
      </c>
      <c r="G128" s="9">
        <f>IF(A128=1,"_",IF(C128="_","???",C128))</f>
        <v/>
      </c>
      <c r="H128" s="10" t="s">
        <v>12</v>
      </c>
      <c r="I128" s="11" t="s">
        <v>12</v>
      </c>
      <c r="J128" s="12"/>
    </row>
    <row r="129" spans="1:10" ht="60" customHeight="1">
      <c r="A129" s="6" t="s">
        <v>482</v>
      </c>
      <c r="B129" s="6" t="s">
        <v>17</v>
      </c>
      <c r="C129" s="6" t="s">
        <v>12</v>
      </c>
      <c r="D129" s="7" t="s">
        <v>46</v>
      </c>
      <c r="E129" s="8" t="s">
        <v>483</v>
      </c>
      <c r="F129" s="6" t="s">
        <v>484</v>
      </c>
      <c r="G129" s="9">
        <f>IF(A129=1,"_",IF(C129="_","???",C129))</f>
        <v/>
      </c>
      <c r="H129" s="10" t="s">
        <v>12</v>
      </c>
      <c r="I129" s="11" t="s">
        <v>12</v>
      </c>
      <c r="J129" s="12"/>
    </row>
    <row r="130" spans="1:10" ht="60" customHeight="1">
      <c r="A130" s="6" t="s">
        <v>485</v>
      </c>
      <c r="B130" s="6" t="s">
        <v>10</v>
      </c>
      <c r="C130" s="6" t="s">
        <v>12</v>
      </c>
      <c r="D130" s="7" t="s">
        <v>198</v>
      </c>
      <c r="E130" s="8" t="s">
        <v>486</v>
      </c>
      <c r="F130" s="6" t="s">
        <v>487</v>
      </c>
      <c r="G130" s="9">
        <f>IF(A130=1,"_",IF(C130="_","???",C130))</f>
        <v/>
      </c>
      <c r="H130" s="10" t="s">
        <v>12</v>
      </c>
      <c r="I130" s="11" t="s">
        <v>12</v>
      </c>
      <c r="J130" s="12"/>
    </row>
    <row r="131" spans="1:10" ht="60" customHeight="1">
      <c r="A131" s="6" t="s">
        <v>488</v>
      </c>
      <c r="B131" s="6" t="s">
        <v>10</v>
      </c>
      <c r="C131" s="6" t="s">
        <v>12</v>
      </c>
      <c r="D131" s="7" t="s">
        <v>308</v>
      </c>
      <c r="E131" s="8" t="s">
        <v>489</v>
      </c>
      <c r="F131" s="6" t="s">
        <v>490</v>
      </c>
      <c r="G131" s="9">
        <f>IF(A131=1,"_",IF(C131="_","???",C131))</f>
        <v/>
      </c>
      <c r="H131" s="10" t="s">
        <v>12</v>
      </c>
      <c r="I131" s="11" t="s">
        <v>12</v>
      </c>
      <c r="J131" s="12"/>
    </row>
    <row r="132" spans="1:10" ht="60" customHeight="1">
      <c r="A132" s="6" t="s">
        <v>491</v>
      </c>
      <c r="B132" s="6" t="s">
        <v>10</v>
      </c>
      <c r="C132" s="6" t="s">
        <v>12</v>
      </c>
      <c r="D132" s="7" t="s">
        <v>198</v>
      </c>
      <c r="E132" s="8" t="s">
        <v>492</v>
      </c>
      <c r="F132" s="6" t="s">
        <v>493</v>
      </c>
      <c r="G132" s="9">
        <f>IF(A132=1,"_",IF(C132="_","???",C132))</f>
        <v/>
      </c>
      <c r="H132" s="10" t="s">
        <v>12</v>
      </c>
      <c r="I132" s="11" t="s">
        <v>12</v>
      </c>
      <c r="J132" s="12"/>
    </row>
    <row r="133" spans="1:10" ht="60" customHeight="1">
      <c r="A133" s="6" t="s">
        <v>494</v>
      </c>
      <c r="B133" s="6" t="s">
        <v>25</v>
      </c>
      <c r="C133" s="6" t="s">
        <v>12</v>
      </c>
      <c r="D133" s="7" t="s">
        <v>495</v>
      </c>
      <c r="E133" s="8" t="s">
        <v>496</v>
      </c>
      <c r="F133" s="6" t="s">
        <v>497</v>
      </c>
      <c r="G133" s="9">
        <f>IF(A133=1,"_",IF(C133="_","???",C133))</f>
        <v/>
      </c>
      <c r="H133" s="10" t="s">
        <v>12</v>
      </c>
      <c r="I133" s="11" t="s">
        <v>12</v>
      </c>
      <c r="J133" s="12"/>
    </row>
    <row r="134" spans="1:10" ht="60" customHeight="1">
      <c r="A134" s="6" t="s">
        <v>498</v>
      </c>
      <c r="B134" s="6" t="s">
        <v>10</v>
      </c>
      <c r="C134" s="6" t="s">
        <v>12</v>
      </c>
      <c r="D134" s="7" t="s">
        <v>308</v>
      </c>
      <c r="E134" s="8" t="s">
        <v>499</v>
      </c>
      <c r="F134" s="6" t="s">
        <v>500</v>
      </c>
      <c r="G134" s="9">
        <f>IF(A134=1,"_",IF(C134="_","???",C134))</f>
        <v/>
      </c>
      <c r="H134" s="10" t="s">
        <v>12</v>
      </c>
      <c r="I134" s="11" t="s">
        <v>12</v>
      </c>
      <c r="J134" s="12"/>
    </row>
    <row r="135" spans="1:10" ht="60" customHeight="1">
      <c r="A135" s="6" t="s">
        <v>501</v>
      </c>
      <c r="B135" s="6" t="s">
        <v>21</v>
      </c>
      <c r="C135" s="6" t="s">
        <v>12</v>
      </c>
      <c r="D135" s="7" t="s">
        <v>458</v>
      </c>
      <c r="E135" s="8" t="s">
        <v>502</v>
      </c>
      <c r="F135" s="6" t="s">
        <v>503</v>
      </c>
      <c r="G135" s="9">
        <f>IF(A135=1,"_",IF(C135="_","???",C135))</f>
        <v/>
      </c>
      <c r="H135" s="10" t="s">
        <v>12</v>
      </c>
      <c r="I135" s="11" t="s">
        <v>12</v>
      </c>
      <c r="J135" s="12"/>
    </row>
    <row r="136" spans="1:10" ht="60" customHeight="1">
      <c r="A136" s="6" t="s">
        <v>504</v>
      </c>
      <c r="B136" s="6" t="s">
        <v>17</v>
      </c>
      <c r="C136" s="6" t="s">
        <v>12</v>
      </c>
      <c r="D136" s="7" t="s">
        <v>165</v>
      </c>
      <c r="E136" s="8" t="s">
        <v>505</v>
      </c>
      <c r="F136" s="6" t="s">
        <v>506</v>
      </c>
      <c r="G136" s="9">
        <f>IF(A136=1,"_",IF(C136="_","???",C136))</f>
        <v/>
      </c>
      <c r="H136" s="10" t="s">
        <v>12</v>
      </c>
      <c r="I136" s="11" t="s">
        <v>12</v>
      </c>
      <c r="J136" s="12"/>
    </row>
    <row r="137" spans="1:10" ht="60" customHeight="1">
      <c r="A137" s="6" t="s">
        <v>507</v>
      </c>
      <c r="B137" s="6" t="s">
        <v>17</v>
      </c>
      <c r="C137" s="6" t="s">
        <v>12</v>
      </c>
      <c r="D137" s="7" t="s">
        <v>508</v>
      </c>
      <c r="E137" s="8" t="s">
        <v>509</v>
      </c>
      <c r="F137" s="6" t="s">
        <v>510</v>
      </c>
      <c r="G137" s="9">
        <f>IF(A137=1,"_",IF(C137="_","???",C137))</f>
        <v/>
      </c>
      <c r="H137" s="10" t="s">
        <v>12</v>
      </c>
      <c r="I137" s="11" t="s">
        <v>12</v>
      </c>
      <c r="J137" s="12"/>
    </row>
    <row r="138" spans="1:10" ht="60" customHeight="1">
      <c r="A138" s="6" t="s">
        <v>511</v>
      </c>
      <c r="B138" s="6" t="s">
        <v>16</v>
      </c>
      <c r="C138" s="6" t="s">
        <v>12</v>
      </c>
      <c r="D138" s="7" t="s">
        <v>512</v>
      </c>
      <c r="E138" s="8" t="s">
        <v>513</v>
      </c>
      <c r="F138" s="6" t="s">
        <v>514</v>
      </c>
      <c r="G138" s="9">
        <f>IF(A138=1,"_",IF(C138="_","???",C138))</f>
        <v/>
      </c>
      <c r="H138" s="10" t="s">
        <v>12</v>
      </c>
      <c r="I138" s="11" t="s">
        <v>12</v>
      </c>
      <c r="J138" s="12"/>
    </row>
    <row r="139" spans="1:10" ht="60" customHeight="1">
      <c r="A139" s="6" t="s">
        <v>515</v>
      </c>
      <c r="B139" s="6" t="s">
        <v>16</v>
      </c>
      <c r="C139" s="6" t="s">
        <v>12</v>
      </c>
      <c r="D139" s="7" t="s">
        <v>36</v>
      </c>
      <c r="E139" s="8" t="s">
        <v>516</v>
      </c>
      <c r="F139" s="6" t="s">
        <v>517</v>
      </c>
      <c r="G139" s="9">
        <f>IF(A139=1,"_",IF(C139="_","???",C139))</f>
        <v/>
      </c>
      <c r="H139" s="10" t="s">
        <v>12</v>
      </c>
      <c r="I139" s="11" t="s">
        <v>12</v>
      </c>
      <c r="J139" s="12"/>
    </row>
    <row r="140" spans="1:10" ht="60" customHeight="1">
      <c r="A140" s="6" t="s">
        <v>518</v>
      </c>
      <c r="B140" s="6" t="s">
        <v>16</v>
      </c>
      <c r="C140" s="6" t="s">
        <v>12</v>
      </c>
      <c r="D140" s="7" t="s">
        <v>519</v>
      </c>
      <c r="E140" s="8" t="s">
        <v>520</v>
      </c>
      <c r="F140" s="6" t="s">
        <v>521</v>
      </c>
      <c r="G140" s="9">
        <f>IF(A140=1,"_",IF(C140="_","???",C140))</f>
        <v/>
      </c>
      <c r="H140" s="10" t="s">
        <v>12</v>
      </c>
      <c r="I140" s="11" t="s">
        <v>12</v>
      </c>
      <c r="J140" s="12"/>
    </row>
    <row r="141" spans="1:10" ht="60" customHeight="1">
      <c r="A141" s="6" t="s">
        <v>522</v>
      </c>
      <c r="B141" s="6" t="s">
        <v>16</v>
      </c>
      <c r="C141" s="6" t="s">
        <v>12</v>
      </c>
      <c r="D141" s="7" t="s">
        <v>523</v>
      </c>
      <c r="E141" s="8" t="s">
        <v>524</v>
      </c>
      <c r="F141" s="6" t="s">
        <v>525</v>
      </c>
      <c r="G141" s="9">
        <f>IF(A141=1,"_",IF(C141="_","???",C141))</f>
        <v/>
      </c>
      <c r="H141" s="10" t="s">
        <v>12</v>
      </c>
      <c r="I141" s="11" t="s">
        <v>12</v>
      </c>
      <c r="J141" s="12"/>
    </row>
    <row r="142" spans="1:10" ht="60" customHeight="1">
      <c r="A142" s="6" t="s">
        <v>526</v>
      </c>
      <c r="B142" s="6" t="s">
        <v>17</v>
      </c>
      <c r="C142" s="6" t="s">
        <v>35</v>
      </c>
      <c r="D142" s="7" t="s">
        <v>46</v>
      </c>
      <c r="E142" s="8" t="s">
        <v>527</v>
      </c>
      <c r="F142" s="6" t="s">
        <v>528</v>
      </c>
      <c r="G142" s="9">
        <f>IF(A142=1,"_",IF(C142="_","???",C142))</f>
        <v/>
      </c>
      <c r="H142" s="10" t="s">
        <v>12</v>
      </c>
      <c r="I142" s="11" t="s">
        <v>12</v>
      </c>
      <c r="J142" s="12"/>
    </row>
    <row r="143" spans="1:10" ht="60" customHeight="1">
      <c r="A143" s="6" t="s">
        <v>529</v>
      </c>
      <c r="B143" s="6" t="s">
        <v>11</v>
      </c>
      <c r="C143" s="6" t="s">
        <v>12</v>
      </c>
      <c r="D143" s="7" t="s">
        <v>451</v>
      </c>
      <c r="E143" s="8" t="s">
        <v>530</v>
      </c>
      <c r="F143" s="6" t="s">
        <v>531</v>
      </c>
      <c r="G143" s="9">
        <f>IF(A143=1,"_",IF(C143="_","???",C143))</f>
        <v/>
      </c>
      <c r="H143" s="10" t="s">
        <v>12</v>
      </c>
      <c r="I143" s="11" t="s">
        <v>12</v>
      </c>
      <c r="J143" s="12"/>
    </row>
    <row r="144" spans="1:10" ht="60" customHeight="1">
      <c r="A144" s="6" t="s">
        <v>532</v>
      </c>
      <c r="B144" s="6" t="s">
        <v>11</v>
      </c>
      <c r="C144" s="6" t="s">
        <v>12</v>
      </c>
      <c r="D144" s="7" t="s">
        <v>533</v>
      </c>
      <c r="E144" s="8" t="s">
        <v>534</v>
      </c>
      <c r="F144" s="6" t="s">
        <v>535</v>
      </c>
      <c r="G144" s="9">
        <f>IF(A144=1,"_",IF(C144="_","???",C144))</f>
        <v/>
      </c>
      <c r="H144" s="10" t="s">
        <v>12</v>
      </c>
      <c r="I144" s="11" t="s">
        <v>12</v>
      </c>
      <c r="J144" s="12"/>
    </row>
    <row r="145" spans="1:10" ht="60" customHeight="1">
      <c r="A145" s="6" t="s">
        <v>536</v>
      </c>
      <c r="B145" s="6" t="s">
        <v>160</v>
      </c>
      <c r="C145" s="6" t="s">
        <v>12</v>
      </c>
      <c r="D145" s="7" t="s">
        <v>537</v>
      </c>
      <c r="E145" s="8" t="s">
        <v>538</v>
      </c>
      <c r="F145" s="6" t="s">
        <v>539</v>
      </c>
      <c r="G145" s="9">
        <f>IF(A145=1,"_",IF(C145="_","???",C145))</f>
        <v/>
      </c>
      <c r="H145" s="10" t="s">
        <v>12</v>
      </c>
      <c r="I145" s="11" t="s">
        <v>12</v>
      </c>
      <c r="J145" s="12"/>
    </row>
    <row r="146" spans="1:10" ht="60" customHeight="1">
      <c r="A146" s="6" t="s">
        <v>540</v>
      </c>
      <c r="B146" s="6" t="s">
        <v>17</v>
      </c>
      <c r="C146" s="6" t="s">
        <v>12</v>
      </c>
      <c r="D146" s="7" t="s">
        <v>46</v>
      </c>
      <c r="E146" s="8" t="s">
        <v>541</v>
      </c>
      <c r="F146" s="6" t="s">
        <v>542</v>
      </c>
      <c r="G146" s="9">
        <f>IF(A146=1,"_",IF(C146="_","???",C146))</f>
        <v/>
      </c>
      <c r="H146" s="10" t="s">
        <v>12</v>
      </c>
      <c r="I146" s="11" t="s">
        <v>12</v>
      </c>
      <c r="J146" s="12"/>
    </row>
    <row r="147" spans="1:10" ht="60" customHeight="1">
      <c r="A147" s="6" t="s">
        <v>543</v>
      </c>
      <c r="B147" s="6" t="s">
        <v>118</v>
      </c>
      <c r="C147" s="6" t="s">
        <v>64</v>
      </c>
      <c r="D147" s="7" t="s">
        <v>544</v>
      </c>
      <c r="E147" s="8" t="s">
        <v>545</v>
      </c>
      <c r="F147" s="6" t="s">
        <v>546</v>
      </c>
      <c r="G147" s="9">
        <f>IF(A147=1,"_",IF(C147="_","???",C147))</f>
        <v/>
      </c>
      <c r="H147" s="10" t="s">
        <v>12</v>
      </c>
      <c r="I147" s="11" t="s">
        <v>12</v>
      </c>
      <c r="J147" s="12"/>
    </row>
    <row r="148" spans="1:10" ht="60" customHeight="1">
      <c r="A148" s="6" t="s">
        <v>547</v>
      </c>
      <c r="B148" s="6" t="s">
        <v>17</v>
      </c>
      <c r="C148" s="6" t="s">
        <v>12</v>
      </c>
      <c r="D148" s="7" t="s">
        <v>267</v>
      </c>
      <c r="E148" s="8" t="s">
        <v>548</v>
      </c>
      <c r="F148" s="6" t="s">
        <v>549</v>
      </c>
      <c r="G148" s="9">
        <f>IF(A148=1,"_",IF(C148="_","???",C148))</f>
        <v/>
      </c>
      <c r="H148" s="10" t="s">
        <v>12</v>
      </c>
      <c r="I148" s="11" t="s">
        <v>12</v>
      </c>
      <c r="J148" s="12"/>
    </row>
    <row r="149" spans="1:10" ht="60" customHeight="1">
      <c r="A149" s="6" t="s">
        <v>550</v>
      </c>
      <c r="B149" s="6" t="s">
        <v>21</v>
      </c>
      <c r="C149" s="6" t="s">
        <v>12</v>
      </c>
      <c r="D149" s="7" t="s">
        <v>551</v>
      </c>
      <c r="E149" s="8" t="s">
        <v>552</v>
      </c>
      <c r="F149" s="6" t="s">
        <v>553</v>
      </c>
      <c r="G149" s="9">
        <f>IF(A149=1,"_",IF(C149="_","???",C149))</f>
        <v/>
      </c>
      <c r="H149" s="10" t="s">
        <v>12</v>
      </c>
      <c r="I149" s="11" t="s">
        <v>12</v>
      </c>
      <c r="J149" s="12"/>
    </row>
    <row r="150" spans="1:10" ht="60" customHeight="1">
      <c r="A150" s="6" t="s">
        <v>554</v>
      </c>
      <c r="B150" s="6" t="s">
        <v>10</v>
      </c>
      <c r="C150" s="6" t="s">
        <v>12</v>
      </c>
      <c r="D150" s="7" t="s">
        <v>308</v>
      </c>
      <c r="E150" s="8" t="s">
        <v>555</v>
      </c>
      <c r="F150" s="6" t="s">
        <v>556</v>
      </c>
      <c r="G150" s="9">
        <f>IF(A150=1,"_",IF(C150="_","???",C150))</f>
        <v/>
      </c>
      <c r="H150" s="10" t="s">
        <v>12</v>
      </c>
      <c r="I150" s="11" t="s">
        <v>12</v>
      </c>
      <c r="J150" s="12"/>
    </row>
    <row r="151" spans="1:10" ht="60" customHeight="1">
      <c r="A151" s="6" t="s">
        <v>557</v>
      </c>
      <c r="B151" s="6" t="s">
        <v>49</v>
      </c>
      <c r="C151" s="6" t="s">
        <v>12</v>
      </c>
      <c r="D151" s="7" t="s">
        <v>36</v>
      </c>
      <c r="E151" s="8" t="s">
        <v>558</v>
      </c>
      <c r="F151" s="6" t="s">
        <v>559</v>
      </c>
      <c r="G151" s="9">
        <f>IF(A151=1,"_",IF(C151="_","???",C151))</f>
        <v/>
      </c>
      <c r="H151" s="10" t="s">
        <v>12</v>
      </c>
      <c r="I151" s="11" t="s">
        <v>12</v>
      </c>
      <c r="J151" s="12"/>
    </row>
    <row r="152" spans="1:10" ht="60" customHeight="1">
      <c r="A152" s="6" t="s">
        <v>560</v>
      </c>
      <c r="B152" s="6" t="s">
        <v>34</v>
      </c>
      <c r="C152" s="6" t="s">
        <v>12</v>
      </c>
      <c r="D152" s="7" t="s">
        <v>36</v>
      </c>
      <c r="E152" s="8" t="s">
        <v>561</v>
      </c>
      <c r="F152" s="6" t="s">
        <v>562</v>
      </c>
      <c r="G152" s="9">
        <f>IF(A152=1,"_",IF(C152="_","???",C152))</f>
        <v/>
      </c>
      <c r="H152" s="10" t="s">
        <v>12</v>
      </c>
      <c r="I152" s="11" t="s">
        <v>12</v>
      </c>
      <c r="J152" s="12"/>
    </row>
    <row r="153" spans="1:10" ht="60" customHeight="1">
      <c r="A153" s="6" t="s">
        <v>563</v>
      </c>
      <c r="B153" s="6" t="s">
        <v>17</v>
      </c>
      <c r="C153" s="6" t="s">
        <v>12</v>
      </c>
      <c r="D153" s="7" t="s">
        <v>46</v>
      </c>
      <c r="E153" s="8" t="s">
        <v>564</v>
      </c>
      <c r="F153" s="6" t="s">
        <v>565</v>
      </c>
      <c r="G153" s="9">
        <f>IF(A153=1,"_",IF(C153="_","???",C153))</f>
        <v/>
      </c>
      <c r="H153" s="10" t="s">
        <v>12</v>
      </c>
      <c r="I153" s="11" t="s">
        <v>12</v>
      </c>
      <c r="J153" s="12"/>
    </row>
    <row r="154" spans="1:10" ht="60" customHeight="1">
      <c r="A154" s="6" t="s">
        <v>566</v>
      </c>
      <c r="B154" s="6" t="s">
        <v>16</v>
      </c>
      <c r="C154" s="6" t="s">
        <v>12</v>
      </c>
      <c r="D154" s="7" t="s">
        <v>567</v>
      </c>
      <c r="E154" s="8" t="s">
        <v>568</v>
      </c>
      <c r="F154" s="6" t="s">
        <v>569</v>
      </c>
      <c r="G154" s="9">
        <f>IF(A154=1,"_",IF(C154="_","???",C154))</f>
        <v/>
      </c>
      <c r="H154" s="10" t="s">
        <v>12</v>
      </c>
      <c r="I154" s="11" t="s">
        <v>12</v>
      </c>
      <c r="J154" s="12"/>
    </row>
    <row r="155" spans="1:10" ht="60" customHeight="1">
      <c r="A155" s="6" t="s">
        <v>570</v>
      </c>
      <c r="B155" s="6" t="s">
        <v>17</v>
      </c>
      <c r="C155" s="6" t="s">
        <v>12</v>
      </c>
      <c r="D155" s="7" t="s">
        <v>571</v>
      </c>
      <c r="E155" s="8" t="s">
        <v>572</v>
      </c>
      <c r="F155" s="6" t="s">
        <v>573</v>
      </c>
      <c r="G155" s="9">
        <f>IF(A155=1,"_",IF(C155="_","???",C155))</f>
        <v/>
      </c>
      <c r="H155" s="10" t="s">
        <v>12</v>
      </c>
      <c r="I155" s="11" t="s">
        <v>12</v>
      </c>
      <c r="J155" s="12"/>
    </row>
    <row r="156" spans="1:10" ht="60" customHeight="1">
      <c r="A156" s="6" t="s">
        <v>574</v>
      </c>
      <c r="B156" s="6" t="s">
        <v>92</v>
      </c>
      <c r="C156" s="6" t="s">
        <v>12</v>
      </c>
      <c r="D156" s="7" t="s">
        <v>575</v>
      </c>
      <c r="E156" s="8" t="s">
        <v>576</v>
      </c>
      <c r="F156" s="6" t="s">
        <v>577</v>
      </c>
      <c r="G156" s="9">
        <f>IF(A156=1,"_",IF(C156="_","???",C156))</f>
        <v/>
      </c>
      <c r="H156" s="10" t="s">
        <v>12</v>
      </c>
      <c r="I156" s="11" t="s">
        <v>12</v>
      </c>
      <c r="J156" s="12"/>
    </row>
    <row r="157" spans="1:10" ht="60" customHeight="1">
      <c r="A157" s="6" t="s">
        <v>578</v>
      </c>
      <c r="B157" s="6" t="s">
        <v>34</v>
      </c>
      <c r="C157" s="6" t="s">
        <v>12</v>
      </c>
      <c r="D157" s="7" t="s">
        <v>579</v>
      </c>
      <c r="E157" s="8" t="s">
        <v>580</v>
      </c>
      <c r="F157" s="6" t="s">
        <v>581</v>
      </c>
      <c r="G157" s="9">
        <f>IF(A157=1,"_",IF(C157="_","???",C157))</f>
        <v/>
      </c>
      <c r="H157" s="10" t="s">
        <v>12</v>
      </c>
      <c r="I157" s="11" t="s">
        <v>12</v>
      </c>
      <c r="J157" s="12"/>
    </row>
    <row r="158" spans="1:10" ht="60" customHeight="1">
      <c r="A158" s="6" t="s">
        <v>582</v>
      </c>
      <c r="B158" s="6" t="s">
        <v>17</v>
      </c>
      <c r="C158" s="6" t="s">
        <v>12</v>
      </c>
      <c r="D158" s="7" t="s">
        <v>46</v>
      </c>
      <c r="E158" s="8" t="s">
        <v>583</v>
      </c>
      <c r="F158" s="6" t="s">
        <v>584</v>
      </c>
      <c r="G158" s="9">
        <f>IF(A158=1,"_",IF(C158="_","???",C158))</f>
        <v/>
      </c>
      <c r="H158" s="10" t="s">
        <v>12</v>
      </c>
      <c r="I158" s="11" t="s">
        <v>12</v>
      </c>
      <c r="J158" s="12"/>
    </row>
    <row r="159" spans="1:10" ht="60" customHeight="1">
      <c r="A159" s="6" t="s">
        <v>585</v>
      </c>
      <c r="B159" s="6" t="s">
        <v>17</v>
      </c>
      <c r="C159" s="6" t="s">
        <v>586</v>
      </c>
      <c r="D159" s="7" t="s">
        <v>587</v>
      </c>
      <c r="E159" s="8" t="s">
        <v>588</v>
      </c>
      <c r="F159" s="6" t="s">
        <v>589</v>
      </c>
      <c r="G159" s="9">
        <f>IF(A159=1,"_",IF(C159="_","???",C159))</f>
        <v/>
      </c>
      <c r="H159" s="10" t="s">
        <v>12</v>
      </c>
      <c r="I159" s="11" t="s">
        <v>12</v>
      </c>
      <c r="J159" s="12"/>
    </row>
    <row r="160" spans="1:10" ht="60" customHeight="1">
      <c r="A160" s="6" t="s">
        <v>590</v>
      </c>
      <c r="B160" s="6" t="s">
        <v>21</v>
      </c>
      <c r="C160" s="6" t="s">
        <v>64</v>
      </c>
      <c r="D160" s="7" t="s">
        <v>89</v>
      </c>
      <c r="E160" s="8" t="s">
        <v>591</v>
      </c>
      <c r="F160" s="6" t="s">
        <v>592</v>
      </c>
      <c r="G160" s="9">
        <f>IF(A160=1,"_",IF(C160="_","???",C160))</f>
        <v/>
      </c>
      <c r="H160" s="10" t="s">
        <v>12</v>
      </c>
      <c r="I160" s="11" t="s">
        <v>12</v>
      </c>
      <c r="J160" s="12"/>
    </row>
    <row r="161" spans="1:10" ht="60" customHeight="1">
      <c r="A161" s="6" t="s">
        <v>593</v>
      </c>
      <c r="B161" s="6" t="s">
        <v>34</v>
      </c>
      <c r="C161" s="6" t="s">
        <v>12</v>
      </c>
      <c r="D161" s="7" t="s">
        <v>594</v>
      </c>
      <c r="E161" s="8" t="s">
        <v>595</v>
      </c>
      <c r="F161" s="6" t="s">
        <v>596</v>
      </c>
      <c r="G161" s="9">
        <f>IF(A161=1,"_",IF(C161="_","???",C161))</f>
        <v/>
      </c>
      <c r="H161" s="10" t="s">
        <v>12</v>
      </c>
      <c r="I161" s="11" t="s">
        <v>12</v>
      </c>
      <c r="J161" s="12"/>
    </row>
    <row r="162" spans="1:10" ht="60" customHeight="1">
      <c r="A162" s="6" t="s">
        <v>597</v>
      </c>
      <c r="B162" s="6" t="s">
        <v>49</v>
      </c>
      <c r="C162" s="6" t="s">
        <v>12</v>
      </c>
      <c r="D162" s="7" t="s">
        <v>598</v>
      </c>
      <c r="E162" s="8" t="s">
        <v>599</v>
      </c>
      <c r="F162" s="6" t="s">
        <v>600</v>
      </c>
      <c r="G162" s="9">
        <f>IF(A162=1,"_",IF(C162="_","???",C162))</f>
        <v/>
      </c>
      <c r="H162" s="10" t="s">
        <v>12</v>
      </c>
      <c r="I162" s="11" t="s">
        <v>12</v>
      </c>
      <c r="J162" s="12"/>
    </row>
    <row r="163" spans="1:10" ht="60" customHeight="1">
      <c r="A163" s="6" t="s">
        <v>601</v>
      </c>
      <c r="B163" s="6" t="s">
        <v>10</v>
      </c>
      <c r="C163" s="6" t="s">
        <v>12</v>
      </c>
      <c r="D163" s="7" t="s">
        <v>198</v>
      </c>
      <c r="E163" s="8" t="s">
        <v>602</v>
      </c>
      <c r="F163" s="6" t="s">
        <v>603</v>
      </c>
      <c r="G163" s="9">
        <f>IF(A163=1,"_",IF(C163="_","???",C163))</f>
        <v/>
      </c>
      <c r="H163" s="10" t="s">
        <v>12</v>
      </c>
      <c r="I163" s="11" t="s">
        <v>12</v>
      </c>
      <c r="J163" s="12"/>
    </row>
    <row r="164" spans="1:10" ht="60" customHeight="1">
      <c r="A164" s="6" t="s">
        <v>604</v>
      </c>
      <c r="B164" s="6" t="s">
        <v>10</v>
      </c>
      <c r="C164" s="6" t="s">
        <v>12</v>
      </c>
      <c r="D164" s="7" t="s">
        <v>308</v>
      </c>
      <c r="E164" s="8" t="s">
        <v>605</v>
      </c>
      <c r="F164" s="6" t="s">
        <v>606</v>
      </c>
      <c r="G164" s="9">
        <f>IF(A164=1,"_",IF(C164="_","???",C164))</f>
        <v/>
      </c>
      <c r="H164" s="10" t="s">
        <v>12</v>
      </c>
      <c r="I164" s="11" t="s">
        <v>12</v>
      </c>
      <c r="J164" s="12"/>
    </row>
    <row r="165" spans="1:10" ht="60" customHeight="1">
      <c r="A165" s="6" t="s">
        <v>607</v>
      </c>
      <c r="B165" s="6" t="s">
        <v>11</v>
      </c>
      <c r="C165" s="6" t="s">
        <v>586</v>
      </c>
      <c r="D165" s="7" t="s">
        <v>608</v>
      </c>
      <c r="E165" s="8" t="s">
        <v>609</v>
      </c>
      <c r="F165" s="6" t="s">
        <v>610</v>
      </c>
      <c r="G165" s="9">
        <f>IF(A165=1,"_",IF(C165="_","???",C165))</f>
        <v/>
      </c>
      <c r="H165" s="10" t="s">
        <v>12</v>
      </c>
      <c r="I165" s="11" t="s">
        <v>12</v>
      </c>
      <c r="J165" s="12"/>
    </row>
    <row r="166" spans="1:10" ht="60" customHeight="1">
      <c r="A166" s="6" t="s">
        <v>611</v>
      </c>
      <c r="B166" s="6" t="s">
        <v>17</v>
      </c>
      <c r="C166" s="6" t="s">
        <v>12</v>
      </c>
      <c r="D166" s="7" t="s">
        <v>612</v>
      </c>
      <c r="E166" s="8" t="s">
        <v>613</v>
      </c>
      <c r="F166" s="6" t="s">
        <v>614</v>
      </c>
      <c r="G166" s="9">
        <f>IF(A166=1,"_",IF(C166="_","???",C166))</f>
        <v/>
      </c>
      <c r="H166" s="10" t="s">
        <v>12</v>
      </c>
      <c r="I166" s="11" t="s">
        <v>12</v>
      </c>
      <c r="J166" s="12"/>
    </row>
    <row r="167" spans="1:10" ht="60" customHeight="1">
      <c r="A167" s="6" t="s">
        <v>615</v>
      </c>
      <c r="B167" s="6" t="s">
        <v>49</v>
      </c>
      <c r="C167" s="6" t="s">
        <v>12</v>
      </c>
      <c r="D167" s="7" t="s">
        <v>616</v>
      </c>
      <c r="E167" s="8" t="s">
        <v>617</v>
      </c>
      <c r="F167" s="6" t="s">
        <v>618</v>
      </c>
      <c r="G167" s="9">
        <f>IF(A167=1,"_",IF(C167="_","???",C167))</f>
        <v/>
      </c>
      <c r="H167" s="10" t="s">
        <v>12</v>
      </c>
      <c r="I167" s="11" t="s">
        <v>12</v>
      </c>
      <c r="J167" s="12"/>
    </row>
    <row r="168" spans="1:10" ht="60" customHeight="1">
      <c r="A168" s="6" t="s">
        <v>619</v>
      </c>
      <c r="B168" s="6" t="s">
        <v>17</v>
      </c>
      <c r="C168" s="6" t="s">
        <v>12</v>
      </c>
      <c r="D168" s="7" t="s">
        <v>620</v>
      </c>
      <c r="E168" s="8" t="s">
        <v>621</v>
      </c>
      <c r="F168" s="6" t="s">
        <v>622</v>
      </c>
      <c r="G168" s="9">
        <f>IF(A168=1,"_",IF(C168="_","???",C168))</f>
        <v/>
      </c>
      <c r="H168" s="10" t="s">
        <v>12</v>
      </c>
      <c r="I168" s="11" t="s">
        <v>12</v>
      </c>
      <c r="J168" s="12"/>
    </row>
    <row r="169" spans="1:10" ht="60" customHeight="1">
      <c r="A169" s="6" t="s">
        <v>623</v>
      </c>
      <c r="B169" s="6" t="s">
        <v>25</v>
      </c>
      <c r="C169" s="6" t="s">
        <v>12</v>
      </c>
      <c r="D169" s="7" t="s">
        <v>165</v>
      </c>
      <c r="E169" s="8" t="s">
        <v>624</v>
      </c>
      <c r="F169" s="6" t="s">
        <v>625</v>
      </c>
      <c r="G169" s="9">
        <f>IF(A169=1,"_",IF(C169="_","???",C169))</f>
        <v/>
      </c>
      <c r="H169" s="10" t="s">
        <v>12</v>
      </c>
      <c r="I169" s="11" t="s">
        <v>12</v>
      </c>
      <c r="J169" s="12"/>
    </row>
    <row r="170" spans="1:10" ht="60" customHeight="1">
      <c r="A170" s="6" t="s">
        <v>626</v>
      </c>
      <c r="B170" s="6" t="s">
        <v>10</v>
      </c>
      <c r="C170" s="6" t="s">
        <v>12</v>
      </c>
      <c r="D170" s="7" t="s">
        <v>308</v>
      </c>
      <c r="E170" s="8" t="s">
        <v>627</v>
      </c>
      <c r="F170" s="6" t="s">
        <v>628</v>
      </c>
      <c r="G170" s="9">
        <f>IF(A170=1,"_",IF(C170="_","???",C170))</f>
        <v/>
      </c>
      <c r="H170" s="10" t="s">
        <v>12</v>
      </c>
      <c r="I170" s="11" t="s">
        <v>12</v>
      </c>
      <c r="J170" s="12"/>
    </row>
    <row r="171" spans="1:10" ht="60" customHeight="1">
      <c r="A171" s="6" t="s">
        <v>629</v>
      </c>
      <c r="B171" s="6" t="s">
        <v>17</v>
      </c>
      <c r="C171" s="6" t="s">
        <v>12</v>
      </c>
      <c r="D171" s="7" t="s">
        <v>46</v>
      </c>
      <c r="E171" s="8" t="s">
        <v>630</v>
      </c>
      <c r="F171" s="6" t="s">
        <v>631</v>
      </c>
      <c r="G171" s="9">
        <f>IF(A171=1,"_",IF(C171="_","???",C171))</f>
        <v/>
      </c>
      <c r="H171" s="10" t="s">
        <v>12</v>
      </c>
      <c r="I171" s="11" t="s">
        <v>12</v>
      </c>
      <c r="J171" s="12"/>
    </row>
    <row r="172" spans="1:10" ht="60" customHeight="1">
      <c r="A172" s="6" t="s">
        <v>632</v>
      </c>
      <c r="B172" s="6" t="s">
        <v>17</v>
      </c>
      <c r="C172" s="6" t="s">
        <v>12</v>
      </c>
      <c r="D172" s="7" t="s">
        <v>165</v>
      </c>
      <c r="E172" s="8" t="s">
        <v>633</v>
      </c>
      <c r="F172" s="6" t="s">
        <v>634</v>
      </c>
      <c r="G172" s="9">
        <f>IF(A172=1,"_",IF(C172="_","???",C172))</f>
        <v/>
      </c>
      <c r="H172" s="10" t="s">
        <v>12</v>
      </c>
      <c r="I172" s="11" t="s">
        <v>12</v>
      </c>
      <c r="J172" s="12"/>
    </row>
    <row r="173" spans="1:10" ht="60" customHeight="1">
      <c r="A173" s="6" t="s">
        <v>635</v>
      </c>
      <c r="B173" s="6" t="s">
        <v>17</v>
      </c>
      <c r="C173" s="6" t="s">
        <v>12</v>
      </c>
      <c r="D173" s="7" t="s">
        <v>89</v>
      </c>
      <c r="E173" s="8" t="s">
        <v>636</v>
      </c>
      <c r="F173" s="6" t="s">
        <v>637</v>
      </c>
      <c r="G173" s="9">
        <f>IF(A173=1,"_",IF(C173="_","???",C173))</f>
        <v/>
      </c>
      <c r="H173" s="10" t="s">
        <v>12</v>
      </c>
      <c r="I173" s="11" t="s">
        <v>12</v>
      </c>
      <c r="J173" s="12"/>
    </row>
    <row r="174" spans="1:10" ht="60" customHeight="1">
      <c r="A174" s="6" t="s">
        <v>638</v>
      </c>
      <c r="B174" s="6" t="s">
        <v>17</v>
      </c>
      <c r="C174" s="6" t="s">
        <v>12</v>
      </c>
      <c r="D174" s="7" t="s">
        <v>328</v>
      </c>
      <c r="E174" s="8" t="s">
        <v>639</v>
      </c>
      <c r="F174" s="6" t="s">
        <v>640</v>
      </c>
      <c r="G174" s="9">
        <f>IF(A174=1,"_",IF(C174="_","???",C174))</f>
        <v/>
      </c>
      <c r="H174" s="10" t="s">
        <v>12</v>
      </c>
      <c r="I174" s="11" t="s">
        <v>12</v>
      </c>
      <c r="J174" s="12"/>
    </row>
    <row r="175" spans="1:10" ht="60" customHeight="1">
      <c r="A175" s="6" t="s">
        <v>641</v>
      </c>
      <c r="B175" s="6" t="s">
        <v>17</v>
      </c>
      <c r="C175" s="6" t="s">
        <v>12</v>
      </c>
      <c r="D175" s="7" t="s">
        <v>642</v>
      </c>
      <c r="E175" s="8" t="s">
        <v>643</v>
      </c>
      <c r="F175" s="6" t="s">
        <v>644</v>
      </c>
      <c r="G175" s="9">
        <f>IF(A175=1,"_",IF(C175="_","???",C175))</f>
        <v/>
      </c>
      <c r="H175" s="10" t="s">
        <v>12</v>
      </c>
      <c r="I175" s="11" t="s">
        <v>12</v>
      </c>
      <c r="J175" s="12"/>
    </row>
    <row r="176" spans="1:10" ht="60" customHeight="1">
      <c r="A176" s="6" t="s">
        <v>645</v>
      </c>
      <c r="B176" s="6" t="s">
        <v>17</v>
      </c>
      <c r="C176" s="6" t="s">
        <v>12</v>
      </c>
      <c r="D176" s="7" t="s">
        <v>646</v>
      </c>
      <c r="E176" s="8" t="s">
        <v>647</v>
      </c>
      <c r="F176" s="6" t="s">
        <v>648</v>
      </c>
      <c r="G176" s="9">
        <f>IF(A176=1,"_",IF(C176="_","???",C176))</f>
        <v/>
      </c>
      <c r="H176" s="10" t="s">
        <v>12</v>
      </c>
      <c r="I176" s="11" t="s">
        <v>12</v>
      </c>
      <c r="J176" s="12"/>
    </row>
    <row r="177" spans="1:10" ht="60" customHeight="1">
      <c r="A177" s="6" t="s">
        <v>649</v>
      </c>
      <c r="B177" s="6" t="s">
        <v>17</v>
      </c>
      <c r="C177" s="6" t="s">
        <v>12</v>
      </c>
      <c r="D177" s="7" t="s">
        <v>650</v>
      </c>
      <c r="E177" s="8" t="s">
        <v>651</v>
      </c>
      <c r="F177" s="6" t="s">
        <v>652</v>
      </c>
      <c r="G177" s="9">
        <f>IF(A177=1,"_",IF(C177="_","???",C177))</f>
        <v/>
      </c>
      <c r="H177" s="10" t="s">
        <v>12</v>
      </c>
      <c r="I177" s="11" t="s">
        <v>12</v>
      </c>
      <c r="J177" s="12"/>
    </row>
    <row r="178" spans="1:10" ht="60" customHeight="1">
      <c r="A178" s="6" t="s">
        <v>653</v>
      </c>
      <c r="B178" s="6" t="s">
        <v>17</v>
      </c>
      <c r="C178" s="6" t="s">
        <v>12</v>
      </c>
      <c r="D178" s="7" t="s">
        <v>654</v>
      </c>
      <c r="E178" s="8" t="s">
        <v>655</v>
      </c>
      <c r="F178" s="6" t="s">
        <v>656</v>
      </c>
      <c r="G178" s="9">
        <f>IF(A178=1,"_",IF(C178="_","???",C178))</f>
        <v/>
      </c>
      <c r="H178" s="10" t="s">
        <v>12</v>
      </c>
      <c r="I178" s="11" t="s">
        <v>12</v>
      </c>
      <c r="J178" s="12"/>
    </row>
    <row r="179" spans="1:10" ht="60" customHeight="1">
      <c r="A179" s="6" t="s">
        <v>657</v>
      </c>
      <c r="B179" s="6" t="s">
        <v>17</v>
      </c>
      <c r="C179" s="6" t="s">
        <v>12</v>
      </c>
      <c r="D179" s="7" t="s">
        <v>658</v>
      </c>
      <c r="E179" s="8" t="s">
        <v>659</v>
      </c>
      <c r="F179" s="6" t="s">
        <v>660</v>
      </c>
      <c r="G179" s="9">
        <f>IF(A179=1,"_",IF(C179="_","???",C179))</f>
        <v/>
      </c>
      <c r="H179" s="10" t="s">
        <v>12</v>
      </c>
      <c r="I179" s="11" t="s">
        <v>12</v>
      </c>
      <c r="J179" s="12"/>
    </row>
    <row r="180" spans="1:10" ht="60" customHeight="1">
      <c r="A180" s="6" t="s">
        <v>661</v>
      </c>
      <c r="B180" s="6" t="s">
        <v>25</v>
      </c>
      <c r="C180" s="6" t="s">
        <v>12</v>
      </c>
      <c r="D180" s="7" t="s">
        <v>662</v>
      </c>
      <c r="E180" s="8" t="s">
        <v>663</v>
      </c>
      <c r="F180" s="6" t="s">
        <v>664</v>
      </c>
      <c r="G180" s="9">
        <f>IF(A180=1,"_",IF(C180="_","???",C180))</f>
        <v/>
      </c>
      <c r="H180" s="10" t="s">
        <v>12</v>
      </c>
      <c r="I180" s="11" t="s">
        <v>12</v>
      </c>
      <c r="J180" s="12"/>
    </row>
    <row r="181" spans="1:10" ht="60" customHeight="1">
      <c r="A181" s="6" t="s">
        <v>665</v>
      </c>
      <c r="B181" s="6" t="s">
        <v>17</v>
      </c>
      <c r="C181" s="6" t="s">
        <v>12</v>
      </c>
      <c r="D181" s="7" t="s">
        <v>46</v>
      </c>
      <c r="E181" s="8" t="s">
        <v>666</v>
      </c>
      <c r="F181" s="6" t="s">
        <v>667</v>
      </c>
      <c r="G181" s="9">
        <f>IF(A181=1,"_",IF(C181="_","???",C181))</f>
        <v/>
      </c>
      <c r="H181" s="10" t="s">
        <v>12</v>
      </c>
      <c r="I181" s="11" t="s">
        <v>12</v>
      </c>
      <c r="J181" s="12"/>
    </row>
    <row r="182" spans="1:10" ht="60" customHeight="1">
      <c r="A182" s="6" t="s">
        <v>668</v>
      </c>
      <c r="B182" s="6" t="s">
        <v>16</v>
      </c>
      <c r="C182" s="6" t="s">
        <v>12</v>
      </c>
      <c r="D182" s="7" t="s">
        <v>669</v>
      </c>
      <c r="E182" s="8" t="s">
        <v>670</v>
      </c>
      <c r="F182" s="6" t="s">
        <v>671</v>
      </c>
      <c r="G182" s="9">
        <f>IF(A182=1,"_",IF(C182="_","???",C182))</f>
        <v/>
      </c>
      <c r="H182" s="10" t="s">
        <v>12</v>
      </c>
      <c r="I182" s="11" t="s">
        <v>12</v>
      </c>
      <c r="J182" s="12"/>
    </row>
    <row r="183" spans="1:10" ht="60" customHeight="1">
      <c r="A183" s="6" t="s">
        <v>672</v>
      </c>
      <c r="B183" s="6" t="s">
        <v>30</v>
      </c>
      <c r="C183" s="6" t="s">
        <v>12</v>
      </c>
      <c r="D183" s="7" t="s">
        <v>673</v>
      </c>
      <c r="E183" s="8" t="s">
        <v>674</v>
      </c>
      <c r="F183" s="6" t="s">
        <v>675</v>
      </c>
      <c r="G183" s="9">
        <f>IF(A183=1,"_",IF(C183="_","???",C183))</f>
        <v/>
      </c>
      <c r="H183" s="10" t="s">
        <v>12</v>
      </c>
      <c r="I183" s="11" t="s">
        <v>12</v>
      </c>
      <c r="J183" s="12"/>
    </row>
    <row r="184" spans="1:10" ht="60" customHeight="1">
      <c r="A184" s="6" t="s">
        <v>676</v>
      </c>
      <c r="B184" s="6" t="s">
        <v>17</v>
      </c>
      <c r="C184" s="6" t="s">
        <v>12</v>
      </c>
      <c r="D184" s="7" t="s">
        <v>677</v>
      </c>
      <c r="E184" s="8" t="s">
        <v>678</v>
      </c>
      <c r="F184" s="6" t="s">
        <v>679</v>
      </c>
      <c r="G184" s="9">
        <f>IF(A184=1,"_",IF(C184="_","???",C184))</f>
        <v/>
      </c>
      <c r="H184" s="10" t="s">
        <v>12</v>
      </c>
      <c r="I184" s="11" t="s">
        <v>12</v>
      </c>
      <c r="J184" s="12"/>
    </row>
    <row r="185" spans="1:10" ht="60" customHeight="1">
      <c r="A185" s="6" t="s">
        <v>680</v>
      </c>
      <c r="B185" s="6" t="s">
        <v>30</v>
      </c>
      <c r="C185" s="6" t="s">
        <v>12</v>
      </c>
      <c r="D185" s="7" t="s">
        <v>681</v>
      </c>
      <c r="E185" s="8" t="s">
        <v>682</v>
      </c>
      <c r="F185" s="6" t="s">
        <v>683</v>
      </c>
      <c r="G185" s="9">
        <f>IF(A185=1,"_",IF(C185="_","???",C185))</f>
        <v/>
      </c>
      <c r="H185" s="10" t="s">
        <v>12</v>
      </c>
      <c r="I185" s="11" t="s">
        <v>12</v>
      </c>
      <c r="J185" s="12"/>
    </row>
    <row r="186" spans="1:10" ht="60" customHeight="1">
      <c r="A186" s="6" t="s">
        <v>684</v>
      </c>
      <c r="B186" s="6" t="s">
        <v>10</v>
      </c>
      <c r="C186" s="6" t="s">
        <v>12</v>
      </c>
      <c r="D186" s="7" t="s">
        <v>308</v>
      </c>
      <c r="E186" s="8" t="s">
        <v>685</v>
      </c>
      <c r="F186" s="6" t="s">
        <v>686</v>
      </c>
      <c r="G186" s="9">
        <f>IF(A186=1,"_",IF(C186="_","???",C186))</f>
        <v/>
      </c>
      <c r="H186" s="10" t="s">
        <v>12</v>
      </c>
      <c r="I186" s="11" t="s">
        <v>12</v>
      </c>
      <c r="J186" s="12"/>
    </row>
    <row r="187" spans="1:10" ht="60" customHeight="1">
      <c r="A187" s="6" t="s">
        <v>687</v>
      </c>
      <c r="B187" s="6" t="s">
        <v>10</v>
      </c>
      <c r="C187" s="6" t="s">
        <v>64</v>
      </c>
      <c r="D187" s="7" t="s">
        <v>688</v>
      </c>
      <c r="E187" s="8" t="s">
        <v>689</v>
      </c>
      <c r="F187" s="6" t="s">
        <v>690</v>
      </c>
      <c r="G187" s="9">
        <f>IF(A187=1,"_",IF(C187="_","???",C187))</f>
        <v/>
      </c>
      <c r="H187" s="10" t="s">
        <v>12</v>
      </c>
      <c r="I187" s="11" t="s">
        <v>12</v>
      </c>
      <c r="J187" s="12"/>
    </row>
    <row r="188" spans="1:10" ht="60" customHeight="1">
      <c r="A188" s="6" t="s">
        <v>691</v>
      </c>
      <c r="B188" s="6" t="s">
        <v>17</v>
      </c>
      <c r="C188" s="6" t="s">
        <v>64</v>
      </c>
      <c r="D188" s="7" t="s">
        <v>692</v>
      </c>
      <c r="E188" s="8" t="s">
        <v>693</v>
      </c>
      <c r="F188" s="6" t="s">
        <v>694</v>
      </c>
      <c r="G188" s="9">
        <f>IF(A188=1,"_",IF(C188="_","???",C188))</f>
        <v/>
      </c>
      <c r="H188" s="10" t="s">
        <v>12</v>
      </c>
      <c r="I188" s="11" t="s">
        <v>12</v>
      </c>
      <c r="J188" s="12"/>
    </row>
    <row r="189" spans="1:10" ht="60" customHeight="1">
      <c r="A189" s="6" t="s">
        <v>695</v>
      </c>
      <c r="B189" s="6" t="s">
        <v>17</v>
      </c>
      <c r="C189" s="6" t="s">
        <v>12</v>
      </c>
      <c r="D189" s="7" t="s">
        <v>36</v>
      </c>
      <c r="E189" s="8" t="s">
        <v>696</v>
      </c>
      <c r="F189" s="6" t="s">
        <v>697</v>
      </c>
      <c r="G189" s="9">
        <f>IF(A189=1,"_",IF(C189="_","???",C189))</f>
        <v/>
      </c>
      <c r="H189" s="10" t="s">
        <v>12</v>
      </c>
      <c r="I189" s="11" t="s">
        <v>12</v>
      </c>
      <c r="J189" s="12"/>
    </row>
    <row r="190" spans="1:10" ht="60" customHeight="1">
      <c r="A190" s="6" t="s">
        <v>698</v>
      </c>
      <c r="B190" s="6" t="s">
        <v>45</v>
      </c>
      <c r="C190" s="6" t="s">
        <v>12</v>
      </c>
      <c r="D190" s="7" t="s">
        <v>699</v>
      </c>
      <c r="E190" s="8" t="s">
        <v>700</v>
      </c>
      <c r="F190" s="6" t="s">
        <v>701</v>
      </c>
      <c r="G190" s="9">
        <f>IF(A190=1,"_",IF(C190="_","???",C190))</f>
        <v/>
      </c>
      <c r="H190" s="10" t="s">
        <v>12</v>
      </c>
      <c r="I190" s="11" t="s">
        <v>12</v>
      </c>
      <c r="J190" s="12"/>
    </row>
    <row r="191" spans="1:10" ht="60" customHeight="1">
      <c r="A191" s="6" t="s">
        <v>702</v>
      </c>
      <c r="B191" s="6" t="s">
        <v>25</v>
      </c>
      <c r="C191" s="6" t="s">
        <v>12</v>
      </c>
      <c r="D191" s="7" t="s">
        <v>703</v>
      </c>
      <c r="E191" s="8" t="s">
        <v>704</v>
      </c>
      <c r="F191" s="6" t="s">
        <v>705</v>
      </c>
      <c r="G191" s="9">
        <f>IF(A191=1,"_",IF(C191="_","???",C191))</f>
        <v/>
      </c>
      <c r="H191" s="10" t="s">
        <v>12</v>
      </c>
      <c r="I191" s="11" t="s">
        <v>12</v>
      </c>
      <c r="J191" s="12"/>
    </row>
    <row r="192" spans="1:10" ht="60" customHeight="1">
      <c r="A192" s="6" t="s">
        <v>706</v>
      </c>
      <c r="B192" s="6" t="s">
        <v>30</v>
      </c>
      <c r="C192" s="6" t="s">
        <v>12</v>
      </c>
      <c r="D192" s="7" t="s">
        <v>707</v>
      </c>
      <c r="E192" s="8" t="s">
        <v>708</v>
      </c>
      <c r="F192" s="6" t="s">
        <v>709</v>
      </c>
      <c r="G192" s="9">
        <f>IF(A192=1,"_",IF(C192="_","???",C192))</f>
        <v/>
      </c>
      <c r="H192" s="10" t="s">
        <v>12</v>
      </c>
      <c r="I192" s="11" t="s">
        <v>12</v>
      </c>
      <c r="J192" s="12"/>
    </row>
    <row r="193" spans="1:10" ht="60" customHeight="1">
      <c r="A193" s="6" t="s">
        <v>710</v>
      </c>
      <c r="B193" s="6" t="s">
        <v>17</v>
      </c>
      <c r="C193" s="6" t="s">
        <v>12</v>
      </c>
      <c r="D193" s="7" t="s">
        <v>711</v>
      </c>
      <c r="E193" s="8" t="s">
        <v>712</v>
      </c>
      <c r="F193" s="6" t="s">
        <v>713</v>
      </c>
      <c r="G193" s="9">
        <f>IF(A193=1,"_",IF(C193="_","???",C193))</f>
        <v/>
      </c>
      <c r="H193" s="10" t="s">
        <v>12</v>
      </c>
      <c r="I193" s="11" t="s">
        <v>12</v>
      </c>
      <c r="J193" s="12"/>
    </row>
    <row r="194" spans="1:10" ht="60" customHeight="1">
      <c r="A194" s="6" t="s">
        <v>714</v>
      </c>
      <c r="B194" s="6" t="s">
        <v>59</v>
      </c>
      <c r="C194" s="6" t="s">
        <v>12</v>
      </c>
      <c r="D194" s="7" t="s">
        <v>715</v>
      </c>
      <c r="E194" s="8" t="s">
        <v>716</v>
      </c>
      <c r="F194" s="6" t="s">
        <v>717</v>
      </c>
      <c r="G194" s="9">
        <f>IF(A194=1,"_",IF(C194="_","???",C194))</f>
        <v/>
      </c>
      <c r="H194" s="10" t="s">
        <v>12</v>
      </c>
      <c r="I194" s="11" t="s">
        <v>12</v>
      </c>
      <c r="J194" s="12"/>
    </row>
    <row r="195" spans="1:10" ht="60" customHeight="1">
      <c r="A195" s="6" t="s">
        <v>718</v>
      </c>
      <c r="B195" s="6" t="s">
        <v>34</v>
      </c>
      <c r="C195" s="6" t="s">
        <v>12</v>
      </c>
      <c r="D195" s="7" t="s">
        <v>719</v>
      </c>
      <c r="E195" s="8" t="s">
        <v>720</v>
      </c>
      <c r="F195" s="6" t="s">
        <v>721</v>
      </c>
      <c r="G195" s="9">
        <f>IF(A195=1,"_",IF(C195="_","???",C195))</f>
        <v/>
      </c>
      <c r="H195" s="10" t="s">
        <v>12</v>
      </c>
      <c r="I195" s="11" t="s">
        <v>12</v>
      </c>
      <c r="J195" s="12"/>
    </row>
    <row r="196" spans="1:10" ht="60" customHeight="1">
      <c r="A196" s="6" t="s">
        <v>722</v>
      </c>
      <c r="B196" s="6" t="s">
        <v>30</v>
      </c>
      <c r="C196" s="6" t="s">
        <v>12</v>
      </c>
      <c r="D196" s="7" t="s">
        <v>723</v>
      </c>
      <c r="E196" s="8" t="s">
        <v>724</v>
      </c>
      <c r="F196" s="6" t="s">
        <v>725</v>
      </c>
      <c r="G196" s="9">
        <f>IF(A196=1,"_",IF(C196="_","???",C196))</f>
        <v/>
      </c>
      <c r="H196" s="10" t="s">
        <v>12</v>
      </c>
      <c r="I196" s="11" t="s">
        <v>12</v>
      </c>
      <c r="J196" s="12"/>
    </row>
    <row r="197" spans="1:10" ht="60" customHeight="1">
      <c r="A197" s="6" t="s">
        <v>726</v>
      </c>
      <c r="B197" s="6" t="s">
        <v>10</v>
      </c>
      <c r="C197" s="6" t="s">
        <v>12</v>
      </c>
      <c r="D197" s="7" t="s">
        <v>308</v>
      </c>
      <c r="E197" s="8" t="s">
        <v>309</v>
      </c>
      <c r="F197" s="6" t="s">
        <v>727</v>
      </c>
      <c r="G197" s="9">
        <f>IF(A197=1,"_",IF(C197="_","???",C197))</f>
        <v/>
      </c>
      <c r="H197" s="10" t="s">
        <v>12</v>
      </c>
      <c r="I197" s="11" t="s">
        <v>12</v>
      </c>
      <c r="J197" s="12"/>
    </row>
    <row r="198" spans="1:10" ht="60" customHeight="1">
      <c r="A198" s="6" t="s">
        <v>728</v>
      </c>
      <c r="B198" s="6" t="s">
        <v>21</v>
      </c>
      <c r="C198" s="6" t="s">
        <v>12</v>
      </c>
      <c r="D198" s="7" t="s">
        <v>729</v>
      </c>
      <c r="E198" s="8" t="s">
        <v>730</v>
      </c>
      <c r="F198" s="6" t="s">
        <v>731</v>
      </c>
      <c r="G198" s="9">
        <f>IF(A198=1,"_",IF(C198="_","???",C198))</f>
        <v/>
      </c>
      <c r="H198" s="10" t="s">
        <v>12</v>
      </c>
      <c r="I198" s="11" t="s">
        <v>12</v>
      </c>
      <c r="J198" s="12"/>
    </row>
    <row r="199" spans="1:10" ht="60" customHeight="1">
      <c r="A199" s="6" t="s">
        <v>732</v>
      </c>
      <c r="B199" s="6" t="s">
        <v>17</v>
      </c>
      <c r="C199" s="6" t="s">
        <v>12</v>
      </c>
      <c r="D199" s="7" t="s">
        <v>165</v>
      </c>
      <c r="E199" s="8" t="s">
        <v>733</v>
      </c>
      <c r="F199" s="6" t="s">
        <v>734</v>
      </c>
      <c r="G199" s="9">
        <f>IF(A199=1,"_",IF(C199="_","???",C199))</f>
        <v/>
      </c>
      <c r="H199" s="10" t="s">
        <v>12</v>
      </c>
      <c r="I199" s="11" t="s">
        <v>12</v>
      </c>
      <c r="J199" s="12"/>
    </row>
    <row r="200" spans="1:10" ht="60" customHeight="1">
      <c r="A200" s="6" t="s">
        <v>735</v>
      </c>
      <c r="B200" s="6" t="s">
        <v>25</v>
      </c>
      <c r="C200" s="6" t="s">
        <v>12</v>
      </c>
      <c r="D200" s="7" t="s">
        <v>736</v>
      </c>
      <c r="E200" s="8" t="s">
        <v>737</v>
      </c>
      <c r="F200" s="6" t="s">
        <v>738</v>
      </c>
      <c r="G200" s="9">
        <f>IF(A200=1,"_",IF(C200="_","???",C200))</f>
        <v/>
      </c>
      <c r="H200" s="10" t="s">
        <v>12</v>
      </c>
      <c r="I200" s="11" t="s">
        <v>12</v>
      </c>
      <c r="J200" s="12"/>
    </row>
    <row r="201" spans="1:10" ht="60" customHeight="1">
      <c r="A201" s="6" t="s">
        <v>739</v>
      </c>
      <c r="B201" s="6" t="s">
        <v>25</v>
      </c>
      <c r="C201" s="6" t="s">
        <v>12</v>
      </c>
      <c r="D201" s="7" t="s">
        <v>740</v>
      </c>
      <c r="E201" s="8" t="s">
        <v>741</v>
      </c>
      <c r="F201" s="6" t="s">
        <v>742</v>
      </c>
      <c r="G201" s="9">
        <f>IF(A201=1,"_",IF(C201="_","???",C201))</f>
        <v/>
      </c>
      <c r="H201" s="10" t="s">
        <v>12</v>
      </c>
      <c r="I201" s="11" t="s">
        <v>12</v>
      </c>
      <c r="J201" s="12"/>
    </row>
    <row r="202" spans="1:10" ht="60" customHeight="1">
      <c r="A202" s="6" t="s">
        <v>743</v>
      </c>
      <c r="B202" s="6" t="s">
        <v>10</v>
      </c>
      <c r="C202" s="6" t="s">
        <v>12</v>
      </c>
      <c r="D202" s="7" t="s">
        <v>308</v>
      </c>
      <c r="E202" s="8" t="s">
        <v>744</v>
      </c>
      <c r="F202" s="6" t="s">
        <v>745</v>
      </c>
      <c r="G202" s="9">
        <f>IF(A202=1,"_",IF(C202="_","???",C202))</f>
        <v/>
      </c>
      <c r="H202" s="10" t="s">
        <v>12</v>
      </c>
      <c r="I202" s="11" t="s">
        <v>12</v>
      </c>
      <c r="J202" s="12"/>
    </row>
    <row r="203" spans="1:10" ht="60" customHeight="1">
      <c r="A203" s="6" t="s">
        <v>746</v>
      </c>
      <c r="B203" s="6" t="s">
        <v>17</v>
      </c>
      <c r="C203" s="6" t="s">
        <v>12</v>
      </c>
      <c r="D203" s="7" t="s">
        <v>165</v>
      </c>
      <c r="E203" s="8" t="s">
        <v>747</v>
      </c>
      <c r="F203" s="6" t="s">
        <v>748</v>
      </c>
      <c r="G203" s="9">
        <f>IF(A203=1,"_",IF(C203="_","???",C203))</f>
        <v/>
      </c>
      <c r="H203" s="10" t="s">
        <v>12</v>
      </c>
      <c r="I203" s="11" t="s">
        <v>12</v>
      </c>
      <c r="J203" s="12"/>
    </row>
    <row r="204" spans="1:10" ht="60" customHeight="1">
      <c r="A204" s="6" t="s">
        <v>749</v>
      </c>
      <c r="B204" s="6" t="s">
        <v>17</v>
      </c>
      <c r="C204" s="6" t="s">
        <v>12</v>
      </c>
      <c r="D204" s="7" t="s">
        <v>750</v>
      </c>
      <c r="E204" s="8" t="s">
        <v>751</v>
      </c>
      <c r="F204" s="6" t="s">
        <v>752</v>
      </c>
      <c r="G204" s="9">
        <f>IF(A204=1,"_",IF(C204="_","???",C204))</f>
        <v/>
      </c>
      <c r="H204" s="10" t="s">
        <v>12</v>
      </c>
      <c r="I204" s="11" t="s">
        <v>12</v>
      </c>
      <c r="J204" s="12"/>
    </row>
    <row r="205" spans="1:10" ht="60" customHeight="1">
      <c r="A205" s="6" t="s">
        <v>753</v>
      </c>
      <c r="B205" s="6" t="s">
        <v>45</v>
      </c>
      <c r="C205" s="6" t="s">
        <v>64</v>
      </c>
      <c r="D205" s="7" t="s">
        <v>267</v>
      </c>
      <c r="E205" s="8" t="s">
        <v>754</v>
      </c>
      <c r="F205" s="6" t="s">
        <v>755</v>
      </c>
      <c r="G205" s="9">
        <f>IF(A205=1,"_",IF(C205="_","???",C205))</f>
        <v/>
      </c>
      <c r="H205" s="10" t="s">
        <v>12</v>
      </c>
      <c r="I205" s="11" t="s">
        <v>12</v>
      </c>
      <c r="J205" s="12"/>
    </row>
    <row r="206" spans="1:10" ht="60" customHeight="1">
      <c r="A206" s="6" t="s">
        <v>756</v>
      </c>
      <c r="B206" s="6" t="s">
        <v>30</v>
      </c>
      <c r="C206" s="6" t="s">
        <v>12</v>
      </c>
      <c r="D206" s="7" t="s">
        <v>757</v>
      </c>
      <c r="E206" s="8" t="s">
        <v>758</v>
      </c>
      <c r="F206" s="6" t="s">
        <v>759</v>
      </c>
      <c r="G206" s="9">
        <f>IF(A206=1,"_",IF(C206="_","???",C206))</f>
        <v/>
      </c>
      <c r="H206" s="10" t="s">
        <v>12</v>
      </c>
      <c r="I206" s="11" t="s">
        <v>12</v>
      </c>
      <c r="J206" s="12"/>
    </row>
    <row r="207" spans="1:10" ht="60" customHeight="1">
      <c r="A207" s="6" t="s">
        <v>760</v>
      </c>
      <c r="B207" s="6" t="s">
        <v>30</v>
      </c>
      <c r="C207" s="6" t="s">
        <v>12</v>
      </c>
      <c r="D207" s="7" t="s">
        <v>761</v>
      </c>
      <c r="E207" s="8" t="s">
        <v>762</v>
      </c>
      <c r="F207" s="6" t="s">
        <v>763</v>
      </c>
      <c r="G207" s="9">
        <f>IF(A207=1,"_",IF(C207="_","???",C207))</f>
        <v/>
      </c>
      <c r="H207" s="10" t="s">
        <v>12</v>
      </c>
      <c r="I207" s="11" t="s">
        <v>12</v>
      </c>
      <c r="J207" s="12"/>
    </row>
    <row r="208" spans="1:10" ht="60" customHeight="1">
      <c r="A208" s="6" t="s">
        <v>764</v>
      </c>
      <c r="B208" s="6" t="s">
        <v>17</v>
      </c>
      <c r="C208" s="6" t="s">
        <v>12</v>
      </c>
      <c r="D208" s="7" t="s">
        <v>765</v>
      </c>
      <c r="E208" s="8" t="s">
        <v>766</v>
      </c>
      <c r="F208" s="6" t="s">
        <v>767</v>
      </c>
      <c r="G208" s="9">
        <f>IF(A208=1,"_",IF(C208="_","???",C208))</f>
        <v/>
      </c>
      <c r="H208" s="10" t="s">
        <v>12</v>
      </c>
      <c r="I208" s="11" t="s">
        <v>12</v>
      </c>
      <c r="J208" s="12"/>
    </row>
    <row r="209" spans="1:10" ht="60" customHeight="1">
      <c r="A209" s="6" t="s">
        <v>768</v>
      </c>
      <c r="B209" s="6" t="s">
        <v>16</v>
      </c>
      <c r="C209" s="6" t="s">
        <v>64</v>
      </c>
      <c r="D209" s="7" t="s">
        <v>769</v>
      </c>
      <c r="E209" s="8" t="s">
        <v>770</v>
      </c>
      <c r="F209" s="6" t="s">
        <v>771</v>
      </c>
      <c r="G209" s="9">
        <f>IF(A209=1,"_",IF(C209="_","???",C209))</f>
        <v/>
      </c>
      <c r="H209" s="10" t="s">
        <v>12</v>
      </c>
      <c r="I209" s="11" t="s">
        <v>12</v>
      </c>
      <c r="J209" s="12"/>
    </row>
    <row r="210" spans="1:10" ht="60" customHeight="1">
      <c r="A210" s="6" t="s">
        <v>772</v>
      </c>
      <c r="B210" s="6" t="s">
        <v>21</v>
      </c>
      <c r="C210" s="6" t="s">
        <v>12</v>
      </c>
      <c r="D210" s="7" t="s">
        <v>773</v>
      </c>
      <c r="E210" s="8" t="s">
        <v>774</v>
      </c>
      <c r="F210" s="6" t="s">
        <v>775</v>
      </c>
      <c r="G210" s="9">
        <f>IF(A210=1,"_",IF(C210="_","???",C210))</f>
        <v/>
      </c>
      <c r="H210" s="10" t="s">
        <v>12</v>
      </c>
      <c r="I210" s="11" t="s">
        <v>12</v>
      </c>
      <c r="J210" s="12"/>
    </row>
    <row r="211" spans="1:10" ht="60" customHeight="1">
      <c r="A211" s="6" t="s">
        <v>776</v>
      </c>
      <c r="B211" s="6" t="s">
        <v>30</v>
      </c>
      <c r="C211" s="6" t="s">
        <v>12</v>
      </c>
      <c r="D211" s="7" t="s">
        <v>777</v>
      </c>
      <c r="E211" s="8" t="s">
        <v>778</v>
      </c>
      <c r="F211" s="6" t="s">
        <v>779</v>
      </c>
      <c r="G211" s="9">
        <f>IF(A211=1,"_",IF(C211="_","???",C211))</f>
        <v/>
      </c>
      <c r="H211" s="10" t="s">
        <v>12</v>
      </c>
      <c r="I211" s="11" t="s">
        <v>12</v>
      </c>
      <c r="J211" s="12"/>
    </row>
    <row r="212" spans="1:10" ht="60" customHeight="1">
      <c r="A212" s="6" t="s">
        <v>780</v>
      </c>
      <c r="B212" s="6" t="s">
        <v>17</v>
      </c>
      <c r="C212" s="6" t="s">
        <v>12</v>
      </c>
      <c r="D212" s="7" t="s">
        <v>512</v>
      </c>
      <c r="E212" s="8" t="s">
        <v>781</v>
      </c>
      <c r="F212" s="6" t="s">
        <v>782</v>
      </c>
      <c r="G212" s="9">
        <f>IF(A212=1,"_",IF(C212="_","???",C212))</f>
        <v/>
      </c>
      <c r="H212" s="10" t="s">
        <v>12</v>
      </c>
      <c r="I212" s="11" t="s">
        <v>12</v>
      </c>
      <c r="J212" s="12"/>
    </row>
    <row r="213" spans="1:10" ht="60" customHeight="1">
      <c r="A213" s="6" t="s">
        <v>783</v>
      </c>
      <c r="B213" s="6" t="s">
        <v>21</v>
      </c>
      <c r="C213" s="6" t="s">
        <v>12</v>
      </c>
      <c r="D213" s="7" t="s">
        <v>784</v>
      </c>
      <c r="E213" s="8" t="s">
        <v>785</v>
      </c>
      <c r="F213" s="6" t="s">
        <v>786</v>
      </c>
      <c r="G213" s="9">
        <f>IF(A213=1,"_",IF(C213="_","???",C213))</f>
        <v/>
      </c>
      <c r="H213" s="10" t="s">
        <v>12</v>
      </c>
      <c r="I213" s="11" t="s">
        <v>12</v>
      </c>
      <c r="J213" s="12"/>
    </row>
    <row r="214" spans="1:10" ht="60" customHeight="1">
      <c r="A214" s="6" t="s">
        <v>787</v>
      </c>
      <c r="B214" s="6" t="s">
        <v>10</v>
      </c>
      <c r="C214" s="6" t="s">
        <v>12</v>
      </c>
      <c r="D214" s="7" t="s">
        <v>788</v>
      </c>
      <c r="E214" s="8" t="s">
        <v>789</v>
      </c>
      <c r="F214" s="6" t="s">
        <v>790</v>
      </c>
      <c r="G214" s="9">
        <f>IF(A214=1,"_",IF(C214="_","???",C214))</f>
        <v/>
      </c>
      <c r="H214" s="10" t="s">
        <v>12</v>
      </c>
      <c r="I214" s="11" t="s">
        <v>12</v>
      </c>
      <c r="J214" s="12"/>
    </row>
    <row r="215" spans="1:10" ht="60" customHeight="1">
      <c r="A215" s="6" t="s">
        <v>791</v>
      </c>
      <c r="B215" s="6" t="s">
        <v>17</v>
      </c>
      <c r="C215" s="6" t="s">
        <v>12</v>
      </c>
      <c r="D215" s="7" t="s">
        <v>792</v>
      </c>
      <c r="E215" s="8" t="s">
        <v>793</v>
      </c>
      <c r="F215" s="6" t="s">
        <v>794</v>
      </c>
      <c r="G215" s="9">
        <f>IF(A215=1,"_",IF(C215="_","???",C215))</f>
        <v/>
      </c>
      <c r="H215" s="10" t="s">
        <v>12</v>
      </c>
      <c r="I215" s="11" t="s">
        <v>12</v>
      </c>
      <c r="J215" s="12"/>
    </row>
    <row r="216" spans="1:10" ht="60" customHeight="1">
      <c r="A216" s="6" t="s">
        <v>795</v>
      </c>
      <c r="B216" s="6" t="s">
        <v>21</v>
      </c>
      <c r="C216" s="6" t="s">
        <v>12</v>
      </c>
      <c r="D216" s="7" t="s">
        <v>796</v>
      </c>
      <c r="E216" s="8" t="s">
        <v>797</v>
      </c>
      <c r="F216" s="6" t="s">
        <v>798</v>
      </c>
      <c r="G216" s="9">
        <f>IF(A216=1,"_",IF(C216="_","???",C216))</f>
        <v/>
      </c>
      <c r="H216" s="10" t="s">
        <v>12</v>
      </c>
      <c r="I216" s="11" t="s">
        <v>12</v>
      </c>
      <c r="J216" s="12"/>
    </row>
    <row r="217" spans="1:10" ht="60" customHeight="1">
      <c r="A217" s="6" t="s">
        <v>799</v>
      </c>
      <c r="B217" s="6" t="s">
        <v>10</v>
      </c>
      <c r="C217" s="6" t="s">
        <v>12</v>
      </c>
      <c r="D217" s="7" t="s">
        <v>308</v>
      </c>
      <c r="E217" s="8" t="s">
        <v>800</v>
      </c>
      <c r="F217" s="6" t="s">
        <v>801</v>
      </c>
      <c r="G217" s="9">
        <f>IF(A217=1,"_",IF(C217="_","???",C217))</f>
        <v/>
      </c>
      <c r="H217" s="10" t="s">
        <v>12</v>
      </c>
      <c r="I217" s="11" t="s">
        <v>12</v>
      </c>
      <c r="J217" s="12"/>
    </row>
    <row r="218" spans="1:10" ht="60" customHeight="1">
      <c r="A218" s="6" t="s">
        <v>802</v>
      </c>
      <c r="B218" s="6" t="s">
        <v>16</v>
      </c>
      <c r="C218" s="6" t="s">
        <v>12</v>
      </c>
      <c r="D218" s="7" t="s">
        <v>803</v>
      </c>
      <c r="E218" s="8" t="s">
        <v>804</v>
      </c>
      <c r="F218" s="6" t="s">
        <v>805</v>
      </c>
      <c r="G218" s="9">
        <f>IF(A218=1,"_",IF(C218="_","???",C218))</f>
        <v/>
      </c>
      <c r="H218" s="10" t="s">
        <v>12</v>
      </c>
      <c r="I218" s="11" t="s">
        <v>12</v>
      </c>
      <c r="J218" s="12"/>
    </row>
    <row r="219" spans="1:10" ht="60" customHeight="1">
      <c r="A219" s="6" t="s">
        <v>806</v>
      </c>
      <c r="B219" s="6" t="s">
        <v>25</v>
      </c>
      <c r="C219" s="6" t="s">
        <v>12</v>
      </c>
      <c r="D219" s="7" t="s">
        <v>807</v>
      </c>
      <c r="E219" s="8" t="s">
        <v>808</v>
      </c>
      <c r="F219" s="6" t="s">
        <v>809</v>
      </c>
      <c r="G219" s="9">
        <f>IF(A219=1,"_",IF(C219="_","???",C219))</f>
        <v/>
      </c>
      <c r="H219" s="10" t="s">
        <v>12</v>
      </c>
      <c r="I219" s="11" t="s">
        <v>12</v>
      </c>
      <c r="J219" s="12"/>
    </row>
    <row r="220" spans="1:10" ht="60" customHeight="1">
      <c r="A220" s="6" t="s">
        <v>810</v>
      </c>
      <c r="B220" s="6" t="s">
        <v>17</v>
      </c>
      <c r="C220" s="6" t="s">
        <v>12</v>
      </c>
      <c r="D220" s="7" t="s">
        <v>811</v>
      </c>
      <c r="E220" s="8" t="s">
        <v>812</v>
      </c>
      <c r="F220" s="6" t="s">
        <v>813</v>
      </c>
      <c r="G220" s="9">
        <f>IF(A220=1,"_",IF(C220="_","???",C220))</f>
        <v/>
      </c>
      <c r="H220" s="10" t="s">
        <v>12</v>
      </c>
      <c r="I220" s="11" t="s">
        <v>12</v>
      </c>
      <c r="J220" s="12"/>
    </row>
    <row r="221" spans="1:10" ht="60" customHeight="1">
      <c r="A221" s="6" t="s">
        <v>814</v>
      </c>
      <c r="B221" s="6" t="s">
        <v>34</v>
      </c>
      <c r="C221" s="6" t="s">
        <v>12</v>
      </c>
      <c r="D221" s="7" t="s">
        <v>815</v>
      </c>
      <c r="E221" s="8" t="s">
        <v>816</v>
      </c>
      <c r="F221" s="6" t="s">
        <v>817</v>
      </c>
      <c r="G221" s="9">
        <f>IF(A221=1,"_",IF(C221="_","???",C221))</f>
        <v/>
      </c>
      <c r="H221" s="10" t="s">
        <v>12</v>
      </c>
      <c r="I221" s="11" t="s">
        <v>12</v>
      </c>
      <c r="J221" s="12"/>
    </row>
    <row r="222" spans="1:10" ht="60" customHeight="1">
      <c r="A222" s="6" t="s">
        <v>818</v>
      </c>
      <c r="B222" s="6" t="s">
        <v>10</v>
      </c>
      <c r="C222" s="6" t="s">
        <v>12</v>
      </c>
      <c r="D222" s="7" t="s">
        <v>308</v>
      </c>
      <c r="E222" s="8" t="s">
        <v>819</v>
      </c>
      <c r="F222" s="6" t="s">
        <v>820</v>
      </c>
      <c r="G222" s="9">
        <f>IF(A222=1,"_",IF(C222="_","???",C222))</f>
        <v/>
      </c>
      <c r="H222" s="10" t="s">
        <v>12</v>
      </c>
      <c r="I222" s="11" t="s">
        <v>12</v>
      </c>
      <c r="J222" s="12"/>
    </row>
    <row r="223" spans="1:10" ht="60" customHeight="1">
      <c r="A223" s="6" t="s">
        <v>821</v>
      </c>
      <c r="B223" s="6" t="s">
        <v>17</v>
      </c>
      <c r="C223" s="6" t="s">
        <v>12</v>
      </c>
      <c r="D223" s="7" t="s">
        <v>822</v>
      </c>
      <c r="E223" s="8" t="s">
        <v>823</v>
      </c>
      <c r="F223" s="6" t="s">
        <v>824</v>
      </c>
      <c r="G223" s="9">
        <f>IF(A223=1,"_",IF(C223="_","???",C223))</f>
        <v/>
      </c>
      <c r="H223" s="10" t="s">
        <v>12</v>
      </c>
      <c r="I223" s="11" t="s">
        <v>12</v>
      </c>
      <c r="J223" s="12"/>
    </row>
    <row r="224" spans="1:10" ht="60" customHeight="1">
      <c r="A224" s="6" t="s">
        <v>825</v>
      </c>
      <c r="B224" s="6" t="s">
        <v>16</v>
      </c>
      <c r="C224" s="6" t="s">
        <v>12</v>
      </c>
      <c r="D224" s="7" t="s">
        <v>826</v>
      </c>
      <c r="E224" s="8" t="s">
        <v>827</v>
      </c>
      <c r="F224" s="6" t="s">
        <v>828</v>
      </c>
      <c r="G224" s="9">
        <f>IF(A224=1,"_",IF(C224="_","???",C224))</f>
        <v/>
      </c>
      <c r="H224" s="10" t="s">
        <v>12</v>
      </c>
      <c r="I224" s="11" t="s">
        <v>12</v>
      </c>
      <c r="J224" s="12"/>
    </row>
    <row r="225" spans="1:10" ht="60" customHeight="1">
      <c r="A225" s="6" t="s">
        <v>829</v>
      </c>
      <c r="B225" s="6" t="s">
        <v>10</v>
      </c>
      <c r="C225" s="6" t="s">
        <v>12</v>
      </c>
      <c r="D225" s="7" t="s">
        <v>198</v>
      </c>
      <c r="E225" s="8" t="s">
        <v>830</v>
      </c>
      <c r="F225" s="6" t="s">
        <v>831</v>
      </c>
      <c r="G225" s="9">
        <f>IF(A225=1,"_",IF(C225="_","???",C225))</f>
        <v/>
      </c>
      <c r="H225" s="10" t="s">
        <v>12</v>
      </c>
      <c r="I225" s="11" t="s">
        <v>12</v>
      </c>
      <c r="J225" s="12"/>
    </row>
    <row r="226" spans="1:10" ht="60" customHeight="1">
      <c r="A226" s="6" t="s">
        <v>832</v>
      </c>
      <c r="B226" s="6" t="s">
        <v>17</v>
      </c>
      <c r="C226" s="6" t="s">
        <v>12</v>
      </c>
      <c r="D226" s="7" t="s">
        <v>165</v>
      </c>
      <c r="E226" s="8" t="s">
        <v>833</v>
      </c>
      <c r="F226" s="6" t="s">
        <v>834</v>
      </c>
      <c r="G226" s="9">
        <f>IF(A226=1,"_",IF(C226="_","???",C226))</f>
        <v/>
      </c>
      <c r="H226" s="10" t="s">
        <v>12</v>
      </c>
      <c r="I226" s="11" t="s">
        <v>12</v>
      </c>
      <c r="J226" s="12"/>
    </row>
    <row r="227" spans="1:10" ht="60" customHeight="1">
      <c r="A227" s="6" t="s">
        <v>835</v>
      </c>
      <c r="B227" s="6" t="s">
        <v>10</v>
      </c>
      <c r="C227" s="6" t="s">
        <v>12</v>
      </c>
      <c r="D227" s="7" t="s">
        <v>308</v>
      </c>
      <c r="E227" s="8" t="s">
        <v>836</v>
      </c>
      <c r="F227" s="6" t="s">
        <v>837</v>
      </c>
      <c r="G227" s="9">
        <f>IF(A227=1,"_",IF(C227="_","???",C227))</f>
        <v/>
      </c>
      <c r="H227" s="10" t="s">
        <v>12</v>
      </c>
      <c r="I227" s="11" t="s">
        <v>12</v>
      </c>
      <c r="J227" s="12"/>
    </row>
    <row r="228" spans="1:10" ht="60" customHeight="1">
      <c r="A228" s="6" t="s">
        <v>838</v>
      </c>
      <c r="B228" s="6" t="s">
        <v>17</v>
      </c>
      <c r="C228" s="6" t="s">
        <v>12</v>
      </c>
      <c r="D228" s="7" t="s">
        <v>839</v>
      </c>
      <c r="E228" s="8" t="s">
        <v>840</v>
      </c>
      <c r="F228" s="6" t="s">
        <v>841</v>
      </c>
      <c r="G228" s="9">
        <f>IF(A228=1,"_",IF(C228="_","???",C228))</f>
        <v/>
      </c>
      <c r="H228" s="10" t="s">
        <v>12</v>
      </c>
      <c r="I228" s="11" t="s">
        <v>12</v>
      </c>
      <c r="J228" s="12"/>
    </row>
    <row r="229" spans="1:10" ht="60" customHeight="1">
      <c r="A229" s="6" t="s">
        <v>842</v>
      </c>
      <c r="B229" s="6" t="s">
        <v>17</v>
      </c>
      <c r="C229" s="6" t="s">
        <v>12</v>
      </c>
      <c r="D229" s="7" t="s">
        <v>36</v>
      </c>
      <c r="E229" s="8" t="s">
        <v>843</v>
      </c>
      <c r="F229" s="6" t="s">
        <v>844</v>
      </c>
      <c r="G229" s="9">
        <f>IF(A229=1,"_",IF(C229="_","???",C229))</f>
        <v/>
      </c>
      <c r="H229" s="10" t="s">
        <v>12</v>
      </c>
      <c r="I229" s="11" t="s">
        <v>12</v>
      </c>
      <c r="J229" s="12"/>
    </row>
    <row r="230" spans="1:10" ht="60" customHeight="1">
      <c r="A230" s="6" t="s">
        <v>845</v>
      </c>
      <c r="B230" s="6" t="s">
        <v>16</v>
      </c>
      <c r="C230" s="6" t="s">
        <v>12</v>
      </c>
      <c r="D230" s="7" t="s">
        <v>165</v>
      </c>
      <c r="E230" s="8" t="s">
        <v>846</v>
      </c>
      <c r="F230" s="6" t="s">
        <v>847</v>
      </c>
      <c r="G230" s="9">
        <f>IF(A230=1,"_",IF(C230="_","???",C230))</f>
        <v/>
      </c>
      <c r="H230" s="10" t="s">
        <v>12</v>
      </c>
      <c r="I230" s="11" t="s">
        <v>12</v>
      </c>
      <c r="J230" s="12"/>
    </row>
    <row r="231" spans="1:10" ht="60" customHeight="1">
      <c r="A231" s="6" t="s">
        <v>848</v>
      </c>
      <c r="B231" s="6" t="s">
        <v>17</v>
      </c>
      <c r="C231" s="6" t="s">
        <v>12</v>
      </c>
      <c r="D231" s="7" t="s">
        <v>411</v>
      </c>
      <c r="E231" s="8" t="s">
        <v>849</v>
      </c>
      <c r="F231" s="6" t="s">
        <v>850</v>
      </c>
      <c r="G231" s="9">
        <f>IF(A231=1,"_",IF(C231="_","???",C231))</f>
        <v/>
      </c>
      <c r="H231" s="10" t="s">
        <v>12</v>
      </c>
      <c r="I231" s="11" t="s">
        <v>12</v>
      </c>
      <c r="J231" s="12"/>
    </row>
    <row r="232" spans="1:10" ht="60" customHeight="1">
      <c r="A232" s="6" t="s">
        <v>851</v>
      </c>
      <c r="B232" s="6" t="s">
        <v>45</v>
      </c>
      <c r="C232" s="6" t="s">
        <v>12</v>
      </c>
      <c r="D232" s="7" t="s">
        <v>852</v>
      </c>
      <c r="E232" s="8" t="s">
        <v>853</v>
      </c>
      <c r="F232" s="6" t="s">
        <v>854</v>
      </c>
      <c r="G232" s="9">
        <f>IF(A232=1,"_",IF(C232="_","???",C232))</f>
        <v/>
      </c>
      <c r="H232" s="10" t="s">
        <v>12</v>
      </c>
      <c r="I232" s="11" t="s">
        <v>12</v>
      </c>
      <c r="J232" s="12"/>
    </row>
    <row r="233" spans="1:10" ht="60" customHeight="1">
      <c r="A233" s="6" t="s">
        <v>855</v>
      </c>
      <c r="B233" s="6" t="s">
        <v>10</v>
      </c>
      <c r="C233" s="6" t="s">
        <v>12</v>
      </c>
      <c r="D233" s="7" t="s">
        <v>308</v>
      </c>
      <c r="E233" s="8" t="s">
        <v>499</v>
      </c>
      <c r="F233" s="6" t="s">
        <v>856</v>
      </c>
      <c r="G233" s="9">
        <f>IF(A233=1,"_",IF(C233="_","???",C233))</f>
        <v/>
      </c>
      <c r="H233" s="10" t="s">
        <v>12</v>
      </c>
      <c r="I233" s="11" t="s">
        <v>12</v>
      </c>
      <c r="J233" s="12"/>
    </row>
    <row r="234" spans="1:10" ht="60" customHeight="1">
      <c r="A234" s="6" t="s">
        <v>857</v>
      </c>
      <c r="B234" s="6" t="s">
        <v>17</v>
      </c>
      <c r="C234" s="6" t="s">
        <v>12</v>
      </c>
      <c r="D234" s="7" t="s">
        <v>53</v>
      </c>
      <c r="E234" s="8" t="s">
        <v>858</v>
      </c>
      <c r="F234" s="6" t="s">
        <v>859</v>
      </c>
      <c r="G234" s="9">
        <f>IF(A234=1,"_",IF(C234="_","???",C234))</f>
        <v/>
      </c>
      <c r="H234" s="10" t="s">
        <v>12</v>
      </c>
      <c r="I234" s="11" t="s">
        <v>12</v>
      </c>
      <c r="J234" s="12"/>
    </row>
    <row r="235" spans="1:10" ht="60" customHeight="1">
      <c r="A235" s="6" t="s">
        <v>860</v>
      </c>
      <c r="B235" s="6" t="s">
        <v>21</v>
      </c>
      <c r="C235" s="6" t="s">
        <v>12</v>
      </c>
      <c r="D235" s="7" t="s">
        <v>165</v>
      </c>
      <c r="E235" s="8" t="s">
        <v>861</v>
      </c>
      <c r="F235" s="6" t="s">
        <v>862</v>
      </c>
      <c r="G235" s="9">
        <f>IF(A235=1,"_",IF(C235="_","???",C235))</f>
        <v/>
      </c>
      <c r="H235" s="10" t="s">
        <v>12</v>
      </c>
      <c r="I235" s="11" t="s">
        <v>12</v>
      </c>
      <c r="J235" s="12"/>
    </row>
    <row r="236" spans="1:10" ht="60" customHeight="1">
      <c r="A236" s="6" t="s">
        <v>863</v>
      </c>
      <c r="B236" s="6" t="s">
        <v>16</v>
      </c>
      <c r="C236" s="6" t="s">
        <v>12</v>
      </c>
      <c r="D236" s="7" t="s">
        <v>190</v>
      </c>
      <c r="E236" s="8" t="s">
        <v>864</v>
      </c>
      <c r="F236" s="6" t="s">
        <v>865</v>
      </c>
      <c r="G236" s="9">
        <f>IF(A236=1,"_",IF(C236="_","???",C236))</f>
        <v/>
      </c>
      <c r="H236" s="10" t="s">
        <v>12</v>
      </c>
      <c r="I236" s="11" t="s">
        <v>12</v>
      </c>
      <c r="J236" s="12"/>
    </row>
    <row r="237" spans="1:10" ht="60" customHeight="1">
      <c r="A237" s="6" t="s">
        <v>866</v>
      </c>
      <c r="B237" s="6" t="s">
        <v>25</v>
      </c>
      <c r="C237" s="6" t="s">
        <v>12</v>
      </c>
      <c r="D237" s="7" t="s">
        <v>249</v>
      </c>
      <c r="E237" s="8" t="s">
        <v>867</v>
      </c>
      <c r="F237" s="6" t="s">
        <v>868</v>
      </c>
      <c r="G237" s="9">
        <f>IF(A237=1,"_",IF(C237="_","???",C237))</f>
        <v/>
      </c>
      <c r="H237" s="10" t="s">
        <v>12</v>
      </c>
      <c r="I237" s="11" t="s">
        <v>12</v>
      </c>
      <c r="J237" s="12"/>
    </row>
    <row r="238" spans="1:10" ht="60" customHeight="1">
      <c r="A238" s="6" t="s">
        <v>869</v>
      </c>
      <c r="B238" s="6" t="s">
        <v>56</v>
      </c>
      <c r="C238" s="6" t="s">
        <v>12</v>
      </c>
      <c r="D238" s="7" t="s">
        <v>870</v>
      </c>
      <c r="E238" s="8" t="s">
        <v>871</v>
      </c>
      <c r="F238" s="6" t="s">
        <v>872</v>
      </c>
      <c r="G238" s="9">
        <f>IF(A238=1,"_",IF(C238="_","???",C238))</f>
        <v/>
      </c>
      <c r="H238" s="10" t="s">
        <v>12</v>
      </c>
      <c r="I238" s="11" t="s">
        <v>12</v>
      </c>
      <c r="J238" s="12"/>
    </row>
    <row r="239" spans="1:10" ht="60" customHeight="1">
      <c r="A239" s="6" t="s">
        <v>873</v>
      </c>
      <c r="B239" s="6" t="s">
        <v>11</v>
      </c>
      <c r="C239" s="6" t="s">
        <v>12</v>
      </c>
      <c r="D239" s="7" t="s">
        <v>874</v>
      </c>
      <c r="E239" s="8" t="s">
        <v>875</v>
      </c>
      <c r="F239" s="6" t="s">
        <v>876</v>
      </c>
      <c r="G239" s="9">
        <f>IF(A239=1,"_",IF(C239="_","???",C239))</f>
        <v/>
      </c>
      <c r="H239" s="10" t="s">
        <v>12</v>
      </c>
      <c r="I239" s="11" t="s">
        <v>12</v>
      </c>
      <c r="J239" s="12"/>
    </row>
    <row r="240" spans="1:10" ht="60" customHeight="1">
      <c r="A240" s="6" t="s">
        <v>877</v>
      </c>
      <c r="B240" s="6" t="s">
        <v>17</v>
      </c>
      <c r="C240" s="6" t="s">
        <v>12</v>
      </c>
      <c r="D240" s="7" t="s">
        <v>878</v>
      </c>
      <c r="E240" s="8" t="s">
        <v>879</v>
      </c>
      <c r="F240" s="6" t="s">
        <v>880</v>
      </c>
      <c r="G240" s="9">
        <f>IF(A240=1,"_",IF(C240="_","???",C240))</f>
        <v/>
      </c>
      <c r="H240" s="10" t="s">
        <v>12</v>
      </c>
      <c r="I240" s="11" t="s">
        <v>12</v>
      </c>
      <c r="J240" s="12"/>
    </row>
    <row r="241" spans="1:10" ht="60" customHeight="1">
      <c r="A241" s="6" t="s">
        <v>881</v>
      </c>
      <c r="B241" s="6" t="s">
        <v>16</v>
      </c>
      <c r="C241" s="6" t="s">
        <v>12</v>
      </c>
      <c r="D241" s="7" t="s">
        <v>882</v>
      </c>
      <c r="E241" s="8" t="s">
        <v>883</v>
      </c>
      <c r="F241" s="6" t="s">
        <v>884</v>
      </c>
      <c r="G241" s="9">
        <f>IF(A241=1,"_",IF(C241="_","???",C241))</f>
        <v/>
      </c>
      <c r="H241" s="10" t="s">
        <v>12</v>
      </c>
      <c r="I241" s="11" t="s">
        <v>12</v>
      </c>
      <c r="J241" s="12"/>
    </row>
    <row r="242" spans="1:10" ht="60" customHeight="1">
      <c r="A242" s="6" t="s">
        <v>885</v>
      </c>
      <c r="B242" s="6" t="s">
        <v>17</v>
      </c>
      <c r="C242" s="6" t="s">
        <v>12</v>
      </c>
      <c r="D242" s="7" t="s">
        <v>69</v>
      </c>
      <c r="E242" s="8" t="s">
        <v>886</v>
      </c>
      <c r="F242" s="6" t="s">
        <v>887</v>
      </c>
      <c r="G242" s="9">
        <f>IF(A242=1,"_",IF(C242="_","???",C242))</f>
        <v/>
      </c>
      <c r="H242" s="10" t="s">
        <v>12</v>
      </c>
      <c r="I242" s="11" t="s">
        <v>12</v>
      </c>
      <c r="J242" s="12"/>
    </row>
    <row r="243" spans="1:10" ht="60" customHeight="1">
      <c r="A243" s="6" t="s">
        <v>888</v>
      </c>
      <c r="B243" s="6" t="s">
        <v>34</v>
      </c>
      <c r="C243" s="6" t="s">
        <v>12</v>
      </c>
      <c r="D243" s="7" t="s">
        <v>889</v>
      </c>
      <c r="E243" s="8" t="s">
        <v>890</v>
      </c>
      <c r="F243" s="6" t="s">
        <v>891</v>
      </c>
      <c r="G243" s="9">
        <f>IF(A243=1,"_",IF(C243="_","???",C243))</f>
        <v/>
      </c>
      <c r="H243" s="10" t="s">
        <v>12</v>
      </c>
      <c r="I243" s="11" t="s">
        <v>12</v>
      </c>
      <c r="J243" s="12"/>
    </row>
    <row r="244" spans="1:10" ht="60" customHeight="1">
      <c r="A244" s="6" t="s">
        <v>892</v>
      </c>
      <c r="B244" s="6" t="s">
        <v>17</v>
      </c>
      <c r="C244" s="6" t="s">
        <v>12</v>
      </c>
      <c r="D244" s="7" t="s">
        <v>165</v>
      </c>
      <c r="E244" s="8" t="s">
        <v>893</v>
      </c>
      <c r="F244" s="6" t="s">
        <v>894</v>
      </c>
      <c r="G244" s="9">
        <f>IF(A244=1,"_",IF(C244="_","???",C244))</f>
        <v/>
      </c>
      <c r="H244" s="10" t="s">
        <v>12</v>
      </c>
      <c r="I244" s="11" t="s">
        <v>12</v>
      </c>
      <c r="J244" s="12"/>
    </row>
    <row r="245" spans="1:10" ht="60" customHeight="1">
      <c r="A245" s="6" t="s">
        <v>895</v>
      </c>
      <c r="B245" s="6" t="s">
        <v>21</v>
      </c>
      <c r="C245" s="6" t="s">
        <v>12</v>
      </c>
      <c r="D245" s="7" t="s">
        <v>896</v>
      </c>
      <c r="E245" s="8" t="s">
        <v>897</v>
      </c>
      <c r="F245" s="6" t="s">
        <v>898</v>
      </c>
      <c r="G245" s="9">
        <f>IF(A245=1,"_",IF(C245="_","???",C245))</f>
        <v/>
      </c>
      <c r="H245" s="10" t="s">
        <v>12</v>
      </c>
      <c r="I245" s="11" t="s">
        <v>12</v>
      </c>
      <c r="J245" s="12"/>
    </row>
    <row r="246" spans="1:10" ht="60" customHeight="1">
      <c r="A246" s="6" t="s">
        <v>899</v>
      </c>
      <c r="B246" s="6" t="s">
        <v>17</v>
      </c>
      <c r="C246" s="6" t="s">
        <v>12</v>
      </c>
      <c r="D246" s="7" t="s">
        <v>900</v>
      </c>
      <c r="E246" s="8" t="s">
        <v>901</v>
      </c>
      <c r="F246" s="6" t="s">
        <v>902</v>
      </c>
      <c r="G246" s="9">
        <f>IF(A246=1,"_",IF(C246="_","???",C246))</f>
        <v/>
      </c>
      <c r="H246" s="10" t="s">
        <v>12</v>
      </c>
      <c r="I246" s="11" t="s">
        <v>12</v>
      </c>
      <c r="J246" s="12"/>
    </row>
    <row r="247" spans="1:10" ht="60" customHeight="1">
      <c r="A247" s="6" t="s">
        <v>903</v>
      </c>
      <c r="B247" s="6" t="s">
        <v>30</v>
      </c>
      <c r="C247" s="6" t="s">
        <v>12</v>
      </c>
      <c r="D247" s="7" t="s">
        <v>904</v>
      </c>
      <c r="E247" s="8" t="s">
        <v>905</v>
      </c>
      <c r="F247" s="6" t="s">
        <v>906</v>
      </c>
      <c r="G247" s="9">
        <f>IF(A247=1,"_",IF(C247="_","???",C247))</f>
        <v/>
      </c>
      <c r="H247" s="10" t="s">
        <v>12</v>
      </c>
      <c r="I247" s="11" t="s">
        <v>12</v>
      </c>
      <c r="J247" s="12"/>
    </row>
    <row r="248" spans="1:10" ht="60" customHeight="1">
      <c r="A248" s="6" t="s">
        <v>907</v>
      </c>
      <c r="B248" s="6" t="s">
        <v>17</v>
      </c>
      <c r="C248" s="6" t="s">
        <v>12</v>
      </c>
      <c r="D248" s="7" t="s">
        <v>908</v>
      </c>
      <c r="E248" s="8" t="s">
        <v>909</v>
      </c>
      <c r="F248" s="6" t="s">
        <v>910</v>
      </c>
      <c r="G248" s="9">
        <f>IF(A248=1,"_",IF(C248="_","???",C248))</f>
        <v/>
      </c>
      <c r="H248" s="10" t="s">
        <v>12</v>
      </c>
      <c r="I248" s="11" t="s">
        <v>12</v>
      </c>
      <c r="J248" s="12"/>
    </row>
    <row r="249" spans="1:10" ht="60" customHeight="1">
      <c r="A249" s="6" t="s">
        <v>911</v>
      </c>
      <c r="B249" s="6" t="s">
        <v>17</v>
      </c>
      <c r="C249" s="6" t="s">
        <v>12</v>
      </c>
      <c r="D249" s="7" t="s">
        <v>912</v>
      </c>
      <c r="E249" s="8" t="s">
        <v>913</v>
      </c>
      <c r="F249" s="6" t="s">
        <v>914</v>
      </c>
      <c r="G249" s="9">
        <f>IF(A249=1,"_",IF(C249="_","???",C249))</f>
        <v/>
      </c>
      <c r="H249" s="10" t="s">
        <v>12</v>
      </c>
      <c r="I249" s="11" t="s">
        <v>12</v>
      </c>
      <c r="J249" s="12"/>
    </row>
    <row r="250" spans="1:10" ht="60" customHeight="1">
      <c r="A250" s="6" t="s">
        <v>915</v>
      </c>
      <c r="B250" s="6" t="s">
        <v>17</v>
      </c>
      <c r="C250" s="6" t="s">
        <v>12</v>
      </c>
      <c r="D250" s="7" t="s">
        <v>916</v>
      </c>
      <c r="E250" s="8" t="s">
        <v>917</v>
      </c>
      <c r="F250" s="6" t="s">
        <v>918</v>
      </c>
      <c r="G250" s="9">
        <f>IF(A250=1,"_",IF(C250="_","???",C250))</f>
        <v/>
      </c>
      <c r="H250" s="10" t="s">
        <v>12</v>
      </c>
      <c r="I250" s="11" t="s">
        <v>12</v>
      </c>
      <c r="J250" s="12"/>
    </row>
    <row r="251" spans="1:10" ht="60" customHeight="1">
      <c r="A251" s="6" t="s">
        <v>919</v>
      </c>
      <c r="B251" s="6" t="s">
        <v>30</v>
      </c>
      <c r="C251" s="6" t="s">
        <v>64</v>
      </c>
      <c r="D251" s="7" t="s">
        <v>920</v>
      </c>
      <c r="E251" s="8" t="s">
        <v>921</v>
      </c>
      <c r="F251" s="6" t="s">
        <v>922</v>
      </c>
      <c r="G251" s="9">
        <f>IF(A251=1,"_",IF(C251="_","???",C251))</f>
        <v/>
      </c>
      <c r="H251" s="10" t="s">
        <v>12</v>
      </c>
      <c r="I251" s="11" t="s">
        <v>12</v>
      </c>
      <c r="J251" s="12"/>
    </row>
    <row r="252" spans="1:10" ht="60" customHeight="1">
      <c r="A252" s="6" t="s">
        <v>923</v>
      </c>
      <c r="B252" s="6" t="s">
        <v>17</v>
      </c>
      <c r="C252" s="6" t="s">
        <v>12</v>
      </c>
      <c r="D252" s="7" t="s">
        <v>920</v>
      </c>
      <c r="E252" s="8" t="s">
        <v>924</v>
      </c>
      <c r="F252" s="6" t="s">
        <v>925</v>
      </c>
      <c r="G252" s="9">
        <f>IF(A252=1,"_",IF(C252="_","???",C252))</f>
        <v/>
      </c>
      <c r="H252" s="10" t="s">
        <v>12</v>
      </c>
      <c r="I252" s="11" t="s">
        <v>12</v>
      </c>
      <c r="J252" s="12"/>
    </row>
    <row r="253" spans="1:10" ht="60" customHeight="1">
      <c r="A253" s="6" t="s">
        <v>926</v>
      </c>
      <c r="B253" s="6" t="s">
        <v>10</v>
      </c>
      <c r="C253" s="6" t="s">
        <v>64</v>
      </c>
      <c r="D253" s="7" t="s">
        <v>198</v>
      </c>
      <c r="E253" s="8" t="s">
        <v>927</v>
      </c>
      <c r="F253" s="6" t="s">
        <v>928</v>
      </c>
      <c r="G253" s="9">
        <f>IF(A253=1,"_",IF(C253="_","???",C253))</f>
        <v/>
      </c>
      <c r="H253" s="10" t="s">
        <v>12</v>
      </c>
      <c r="I253" s="11" t="s">
        <v>12</v>
      </c>
      <c r="J253" s="12"/>
    </row>
    <row r="254" spans="1:10" ht="60" customHeight="1">
      <c r="A254" s="6" t="s">
        <v>929</v>
      </c>
      <c r="B254" s="6" t="s">
        <v>17</v>
      </c>
      <c r="C254" s="6" t="s">
        <v>12</v>
      </c>
      <c r="D254" s="7" t="s">
        <v>165</v>
      </c>
      <c r="E254" s="8" t="s">
        <v>930</v>
      </c>
      <c r="F254" s="6" t="s">
        <v>931</v>
      </c>
      <c r="G254" s="9">
        <f>IF(A254=1,"_",IF(C254="_","???",C254))</f>
        <v/>
      </c>
      <c r="H254" s="10" t="s">
        <v>12</v>
      </c>
      <c r="I254" s="11" t="s">
        <v>12</v>
      </c>
      <c r="J254" s="12"/>
    </row>
    <row r="255" spans="1:10" ht="60" customHeight="1">
      <c r="A255" s="6" t="s">
        <v>932</v>
      </c>
      <c r="B255" s="6" t="s">
        <v>17</v>
      </c>
      <c r="C255" s="6" t="s">
        <v>12</v>
      </c>
      <c r="D255" s="7" t="s">
        <v>933</v>
      </c>
      <c r="E255" s="8" t="s">
        <v>934</v>
      </c>
      <c r="F255" s="6" t="s">
        <v>935</v>
      </c>
      <c r="G255" s="9">
        <f>IF(A255=1,"_",IF(C255="_","???",C255))</f>
        <v/>
      </c>
      <c r="H255" s="10" t="s">
        <v>12</v>
      </c>
      <c r="I255" s="11" t="s">
        <v>12</v>
      </c>
      <c r="J255" s="12"/>
    </row>
    <row r="256" spans="1:10" ht="60" customHeight="1">
      <c r="A256" s="6" t="s">
        <v>936</v>
      </c>
      <c r="B256" s="6" t="s">
        <v>56</v>
      </c>
      <c r="C256" s="6" t="s">
        <v>12</v>
      </c>
      <c r="D256" s="7" t="s">
        <v>937</v>
      </c>
      <c r="E256" s="8" t="s">
        <v>938</v>
      </c>
      <c r="F256" s="6" t="s">
        <v>939</v>
      </c>
      <c r="G256" s="9">
        <f>IF(A256=1,"_",IF(C256="_","???",C256))</f>
        <v/>
      </c>
      <c r="H256" s="10" t="s">
        <v>12</v>
      </c>
      <c r="I256" s="11" t="s">
        <v>12</v>
      </c>
      <c r="J256" s="12"/>
    </row>
    <row r="257" spans="1:10" ht="60" customHeight="1">
      <c r="A257" s="6" t="s">
        <v>940</v>
      </c>
      <c r="B257" s="6" t="s">
        <v>16</v>
      </c>
      <c r="C257" s="6" t="s">
        <v>12</v>
      </c>
      <c r="D257" s="7" t="s">
        <v>941</v>
      </c>
      <c r="E257" s="8" t="s">
        <v>942</v>
      </c>
      <c r="F257" s="6" t="s">
        <v>943</v>
      </c>
      <c r="G257" s="9">
        <f>IF(A257=1,"_",IF(C257="_","???",C257))</f>
        <v/>
      </c>
      <c r="H257" s="10" t="s">
        <v>12</v>
      </c>
      <c r="I257" s="11" t="s">
        <v>12</v>
      </c>
      <c r="J257" s="12"/>
    </row>
    <row r="258" spans="1:10" ht="60" customHeight="1">
      <c r="A258" s="6" t="s">
        <v>944</v>
      </c>
      <c r="B258" s="6" t="s">
        <v>21</v>
      </c>
      <c r="C258" s="6" t="s">
        <v>12</v>
      </c>
      <c r="D258" s="7" t="s">
        <v>46</v>
      </c>
      <c r="E258" s="8" t="s">
        <v>945</v>
      </c>
      <c r="F258" s="6" t="s">
        <v>946</v>
      </c>
      <c r="G258" s="9">
        <f>IF(A258=1,"_",IF(C258="_","???",C258))</f>
        <v/>
      </c>
      <c r="H258" s="10" t="s">
        <v>12</v>
      </c>
      <c r="I258" s="11" t="s">
        <v>12</v>
      </c>
      <c r="J258" s="12"/>
    </row>
    <row r="259" spans="1:10" ht="60" customHeight="1">
      <c r="A259" s="6" t="s">
        <v>947</v>
      </c>
      <c r="B259" s="6" t="s">
        <v>25</v>
      </c>
      <c r="C259" s="6" t="s">
        <v>12</v>
      </c>
      <c r="D259" s="7" t="s">
        <v>948</v>
      </c>
      <c r="E259" s="8" t="s">
        <v>949</v>
      </c>
      <c r="F259" s="6" t="s">
        <v>950</v>
      </c>
      <c r="G259" s="9">
        <f>IF(A259=1,"_",IF(C259="_","???",C259))</f>
        <v/>
      </c>
      <c r="H259" s="10" t="s">
        <v>12</v>
      </c>
      <c r="I259" s="11" t="s">
        <v>12</v>
      </c>
      <c r="J259" s="12"/>
    </row>
    <row r="260" spans="1:10" ht="60" customHeight="1">
      <c r="A260" s="6" t="s">
        <v>951</v>
      </c>
      <c r="B260" s="6" t="s">
        <v>25</v>
      </c>
      <c r="C260" s="6" t="s">
        <v>12</v>
      </c>
      <c r="D260" s="7" t="s">
        <v>952</v>
      </c>
      <c r="E260" s="8" t="s">
        <v>953</v>
      </c>
      <c r="F260" s="6" t="s">
        <v>954</v>
      </c>
      <c r="G260" s="9">
        <f>IF(A260=1,"_",IF(C260="_","???",C260))</f>
        <v/>
      </c>
      <c r="H260" s="10" t="s">
        <v>12</v>
      </c>
      <c r="I260" s="11" t="s">
        <v>12</v>
      </c>
      <c r="J260" s="12"/>
    </row>
    <row r="261" spans="1:10" ht="60" customHeight="1">
      <c r="A261" s="6" t="s">
        <v>955</v>
      </c>
      <c r="B261" s="6" t="s">
        <v>16</v>
      </c>
      <c r="C261" s="6" t="s">
        <v>12</v>
      </c>
      <c r="D261" s="7" t="s">
        <v>956</v>
      </c>
      <c r="E261" s="8" t="s">
        <v>957</v>
      </c>
      <c r="F261" s="6" t="s">
        <v>958</v>
      </c>
      <c r="G261" s="9">
        <f>IF(A261=1,"_",IF(C261="_","???",C261))</f>
        <v/>
      </c>
      <c r="H261" s="10" t="s">
        <v>12</v>
      </c>
      <c r="I261" s="11" t="s">
        <v>12</v>
      </c>
      <c r="J261" s="12"/>
    </row>
    <row r="262" spans="1:10" ht="60" customHeight="1">
      <c r="A262" s="6" t="s">
        <v>959</v>
      </c>
      <c r="B262" s="6" t="s">
        <v>10</v>
      </c>
      <c r="C262" s="6" t="s">
        <v>12</v>
      </c>
      <c r="D262" s="7" t="s">
        <v>692</v>
      </c>
      <c r="E262" s="8" t="s">
        <v>960</v>
      </c>
      <c r="F262" s="6" t="s">
        <v>961</v>
      </c>
      <c r="G262" s="9">
        <f>IF(A262=1,"_",IF(C262="_","???",C262))</f>
        <v/>
      </c>
      <c r="H262" s="10" t="s">
        <v>12</v>
      </c>
      <c r="I262" s="11" t="s">
        <v>12</v>
      </c>
      <c r="J262" s="12"/>
    </row>
    <row r="263" spans="1:10" ht="60" customHeight="1">
      <c r="A263" s="6" t="s">
        <v>962</v>
      </c>
      <c r="B263" s="6" t="s">
        <v>10</v>
      </c>
      <c r="C263" s="6" t="s">
        <v>64</v>
      </c>
      <c r="D263" s="7" t="s">
        <v>198</v>
      </c>
      <c r="E263" s="8" t="s">
        <v>963</v>
      </c>
      <c r="F263" s="6" t="s">
        <v>964</v>
      </c>
      <c r="G263" s="9">
        <f>IF(A263=1,"_",IF(C263="_","???",C263))</f>
        <v/>
      </c>
      <c r="H263" s="10" t="s">
        <v>12</v>
      </c>
      <c r="I263" s="11" t="s">
        <v>12</v>
      </c>
      <c r="J263" s="12"/>
    </row>
    <row r="264" spans="1:10" ht="60" customHeight="1">
      <c r="A264" s="6" t="s">
        <v>965</v>
      </c>
      <c r="B264" s="6" t="s">
        <v>17</v>
      </c>
      <c r="C264" s="6" t="s">
        <v>12</v>
      </c>
      <c r="D264" s="7" t="s">
        <v>966</v>
      </c>
      <c r="E264" s="8" t="s">
        <v>967</v>
      </c>
      <c r="F264" s="6" t="s">
        <v>968</v>
      </c>
      <c r="G264" s="9">
        <f>IF(A264=1,"_",IF(C264="_","???",C264))</f>
        <v/>
      </c>
      <c r="H264" s="10" t="s">
        <v>12</v>
      </c>
      <c r="I264" s="11" t="s">
        <v>12</v>
      </c>
      <c r="J264" s="12"/>
    </row>
    <row r="265" spans="1:10" ht="60" customHeight="1">
      <c r="A265" s="6" t="s">
        <v>969</v>
      </c>
      <c r="B265" s="6" t="s">
        <v>30</v>
      </c>
      <c r="C265" s="6" t="s">
        <v>12</v>
      </c>
      <c r="D265" s="7" t="s">
        <v>970</v>
      </c>
      <c r="E265" s="8" t="s">
        <v>971</v>
      </c>
      <c r="F265" s="6" t="s">
        <v>972</v>
      </c>
      <c r="G265" s="9">
        <f>IF(A265=1,"_",IF(C265="_","???",C265))</f>
        <v/>
      </c>
      <c r="H265" s="10" t="s">
        <v>12</v>
      </c>
      <c r="I265" s="11" t="s">
        <v>12</v>
      </c>
      <c r="J265" s="12"/>
    </row>
    <row r="266" spans="1:10" ht="60" customHeight="1">
      <c r="A266" s="6" t="s">
        <v>973</v>
      </c>
      <c r="B266" s="6" t="s">
        <v>17</v>
      </c>
      <c r="C266" s="6" t="s">
        <v>12</v>
      </c>
      <c r="D266" s="7" t="s">
        <v>974</v>
      </c>
      <c r="E266" s="8" t="s">
        <v>975</v>
      </c>
      <c r="F266" s="6" t="s">
        <v>976</v>
      </c>
      <c r="G266" s="9">
        <f>IF(A266=1,"_",IF(C266="_","???",C266))</f>
        <v/>
      </c>
      <c r="H266" s="10" t="s">
        <v>12</v>
      </c>
      <c r="I266" s="11" t="s">
        <v>12</v>
      </c>
      <c r="J266" s="12"/>
    </row>
    <row r="267" spans="1:10" ht="60" customHeight="1">
      <c r="A267" s="6" t="s">
        <v>977</v>
      </c>
      <c r="B267" s="6" t="s">
        <v>21</v>
      </c>
      <c r="C267" s="6" t="s">
        <v>12</v>
      </c>
      <c r="D267" s="7" t="s">
        <v>978</v>
      </c>
      <c r="E267" s="8" t="s">
        <v>979</v>
      </c>
      <c r="F267" s="6" t="s">
        <v>980</v>
      </c>
      <c r="G267" s="9">
        <f>IF(A267=1,"_",IF(C267="_","???",C267))</f>
        <v/>
      </c>
      <c r="H267" s="10" t="s">
        <v>12</v>
      </c>
      <c r="I267" s="11" t="s">
        <v>12</v>
      </c>
      <c r="J267" s="12"/>
    </row>
    <row r="268" spans="1:10" ht="60" customHeight="1">
      <c r="A268" s="6" t="s">
        <v>981</v>
      </c>
      <c r="B268" s="6" t="s">
        <v>17</v>
      </c>
      <c r="C268" s="6" t="s">
        <v>12</v>
      </c>
      <c r="D268" s="7" t="s">
        <v>267</v>
      </c>
      <c r="E268" s="8" t="s">
        <v>982</v>
      </c>
      <c r="F268" s="6" t="s">
        <v>983</v>
      </c>
      <c r="G268" s="9">
        <f>IF(A268=1,"_",IF(C268="_","???",C268))</f>
        <v/>
      </c>
      <c r="H268" s="10" t="s">
        <v>12</v>
      </c>
      <c r="I268" s="11" t="s">
        <v>12</v>
      </c>
      <c r="J268" s="12"/>
    </row>
    <row r="269" spans="1:10" ht="60" customHeight="1">
      <c r="A269" s="6" t="s">
        <v>984</v>
      </c>
      <c r="B269" s="6" t="s">
        <v>17</v>
      </c>
      <c r="C269" s="6" t="s">
        <v>64</v>
      </c>
      <c r="D269" s="7" t="s">
        <v>985</v>
      </c>
      <c r="E269" s="8" t="s">
        <v>986</v>
      </c>
      <c r="F269" s="6" t="s">
        <v>987</v>
      </c>
      <c r="G269" s="9">
        <f>IF(A269=1,"_",IF(C269="_","???",C269))</f>
        <v/>
      </c>
      <c r="H269" s="10" t="s">
        <v>12</v>
      </c>
      <c r="I269" s="11" t="s">
        <v>12</v>
      </c>
      <c r="J269" s="12"/>
    </row>
    <row r="270" spans="1:10" ht="60" customHeight="1">
      <c r="A270" s="6" t="s">
        <v>988</v>
      </c>
      <c r="B270" s="6" t="s">
        <v>17</v>
      </c>
      <c r="C270" s="6" t="s">
        <v>12</v>
      </c>
      <c r="D270" s="7" t="s">
        <v>989</v>
      </c>
      <c r="E270" s="8" t="s">
        <v>990</v>
      </c>
      <c r="F270" s="6" t="s">
        <v>991</v>
      </c>
      <c r="G270" s="9">
        <f>IF(A270=1,"_",IF(C270="_","???",C270))</f>
        <v/>
      </c>
      <c r="H270" s="10" t="s">
        <v>12</v>
      </c>
      <c r="I270" s="11" t="s">
        <v>12</v>
      </c>
      <c r="J270" s="12"/>
    </row>
    <row r="271" spans="1:10" ht="60" customHeight="1">
      <c r="A271" s="6" t="s">
        <v>992</v>
      </c>
      <c r="B271" s="6" t="s">
        <v>88</v>
      </c>
      <c r="C271" s="6" t="s">
        <v>12</v>
      </c>
      <c r="D271" s="7" t="s">
        <v>993</v>
      </c>
      <c r="E271" s="8" t="s">
        <v>994</v>
      </c>
      <c r="F271" s="6" t="s">
        <v>995</v>
      </c>
      <c r="G271" s="9">
        <f>IF(A271=1,"_",IF(C271="_","???",C271))</f>
        <v/>
      </c>
      <c r="H271" s="10" t="s">
        <v>12</v>
      </c>
      <c r="I271" s="11" t="s">
        <v>12</v>
      </c>
      <c r="J271" s="12"/>
    </row>
    <row r="272" spans="1:10" ht="60" customHeight="1">
      <c r="A272" s="6" t="s">
        <v>996</v>
      </c>
      <c r="B272" s="6" t="s">
        <v>17</v>
      </c>
      <c r="C272" s="6" t="s">
        <v>12</v>
      </c>
      <c r="D272" s="7" t="s">
        <v>997</v>
      </c>
      <c r="E272" s="8" t="s">
        <v>998</v>
      </c>
      <c r="F272" s="6" t="s">
        <v>999</v>
      </c>
      <c r="G272" s="9">
        <f>IF(A272=1,"_",IF(C272="_","???",C272))</f>
        <v/>
      </c>
      <c r="H272" s="10" t="s">
        <v>12</v>
      </c>
      <c r="I272" s="11" t="s">
        <v>12</v>
      </c>
      <c r="J272" s="12"/>
    </row>
    <row r="273" spans="1:10" ht="60" customHeight="1">
      <c r="A273" s="6" t="s">
        <v>1000</v>
      </c>
      <c r="B273" s="6" t="s">
        <v>17</v>
      </c>
      <c r="C273" s="6" t="s">
        <v>12</v>
      </c>
      <c r="D273" s="7" t="s">
        <v>46</v>
      </c>
      <c r="E273" s="8" t="s">
        <v>1001</v>
      </c>
      <c r="F273" s="6" t="s">
        <v>1002</v>
      </c>
      <c r="G273" s="9">
        <f>IF(A273=1,"_",IF(C273="_","???",C273))</f>
        <v/>
      </c>
      <c r="H273" s="10" t="s">
        <v>12</v>
      </c>
      <c r="I273" s="11" t="s">
        <v>12</v>
      </c>
      <c r="J273" s="12"/>
    </row>
    <row r="274" spans="1:10" ht="60" customHeight="1">
      <c r="A274" s="6" t="s">
        <v>1003</v>
      </c>
      <c r="B274" s="6" t="s">
        <v>17</v>
      </c>
      <c r="C274" s="6" t="s">
        <v>12</v>
      </c>
      <c r="D274" s="7" t="s">
        <v>165</v>
      </c>
      <c r="E274" s="8" t="s">
        <v>1004</v>
      </c>
      <c r="F274" s="6" t="s">
        <v>1005</v>
      </c>
      <c r="G274" s="9">
        <f>IF(A274=1,"_",IF(C274="_","???",C274))</f>
        <v/>
      </c>
      <c r="H274" s="10" t="s">
        <v>12</v>
      </c>
      <c r="I274" s="11" t="s">
        <v>12</v>
      </c>
      <c r="J274" s="12"/>
    </row>
    <row r="275" spans="1:10" ht="60" customHeight="1">
      <c r="A275" s="6" t="s">
        <v>1006</v>
      </c>
      <c r="B275" s="6" t="s">
        <v>17</v>
      </c>
      <c r="C275" s="6" t="s">
        <v>12</v>
      </c>
      <c r="D275" s="7" t="s">
        <v>1007</v>
      </c>
      <c r="E275" s="8" t="s">
        <v>1008</v>
      </c>
      <c r="F275" s="6" t="s">
        <v>1009</v>
      </c>
      <c r="G275" s="9">
        <f>IF(A275=1,"_",IF(C275="_","???",C275))</f>
        <v/>
      </c>
      <c r="H275" s="10" t="s">
        <v>12</v>
      </c>
      <c r="I275" s="11" t="s">
        <v>12</v>
      </c>
      <c r="J275" s="12"/>
    </row>
    <row r="276" spans="1:10" ht="60" customHeight="1">
      <c r="A276" s="6" t="s">
        <v>1010</v>
      </c>
      <c r="B276" s="6" t="s">
        <v>34</v>
      </c>
      <c r="C276" s="6" t="s">
        <v>12</v>
      </c>
      <c r="D276" s="7" t="s">
        <v>1011</v>
      </c>
      <c r="E276" s="8" t="s">
        <v>1012</v>
      </c>
      <c r="F276" s="6" t="s">
        <v>1013</v>
      </c>
      <c r="G276" s="9">
        <f>IF(A276=1,"_",IF(C276="_","???",C276))</f>
        <v/>
      </c>
      <c r="H276" s="10" t="s">
        <v>12</v>
      </c>
      <c r="I276" s="11" t="s">
        <v>12</v>
      </c>
      <c r="J276" s="12"/>
    </row>
    <row r="277" spans="1:10" ht="60" customHeight="1">
      <c r="A277" s="6" t="s">
        <v>1014</v>
      </c>
      <c r="B277" s="6" t="s">
        <v>17</v>
      </c>
      <c r="C277" s="6" t="s">
        <v>12</v>
      </c>
      <c r="D277" s="7" t="s">
        <v>1015</v>
      </c>
      <c r="E277" s="8" t="s">
        <v>1016</v>
      </c>
      <c r="F277" s="6" t="s">
        <v>1017</v>
      </c>
      <c r="G277" s="9">
        <f>IF(A277=1,"_",IF(C277="_","???",C277))</f>
        <v/>
      </c>
      <c r="H277" s="10" t="s">
        <v>12</v>
      </c>
      <c r="I277" s="11" t="s">
        <v>12</v>
      </c>
      <c r="J277" s="12"/>
    </row>
    <row r="278" spans="1:10" ht="60" customHeight="1">
      <c r="A278" s="6" t="s">
        <v>1018</v>
      </c>
      <c r="B278" s="6" t="s">
        <v>25</v>
      </c>
      <c r="C278" s="6" t="s">
        <v>12</v>
      </c>
      <c r="D278" s="7" t="s">
        <v>218</v>
      </c>
      <c r="E278" s="8" t="s">
        <v>1019</v>
      </c>
      <c r="F278" s="6" t="s">
        <v>1020</v>
      </c>
      <c r="G278" s="9">
        <f>IF(A278=1,"_",IF(C278="_","???",C278))</f>
        <v/>
      </c>
      <c r="H278" s="10" t="s">
        <v>12</v>
      </c>
      <c r="I278" s="11" t="s">
        <v>12</v>
      </c>
      <c r="J278" s="12"/>
    </row>
    <row r="279" spans="1:10" ht="60" customHeight="1">
      <c r="A279" s="6" t="s">
        <v>1021</v>
      </c>
      <c r="B279" s="6" t="s">
        <v>11</v>
      </c>
      <c r="C279" s="6" t="s">
        <v>35</v>
      </c>
      <c r="D279" s="7" t="s">
        <v>1015</v>
      </c>
      <c r="E279" s="8" t="s">
        <v>1022</v>
      </c>
      <c r="F279" s="6" t="s">
        <v>1023</v>
      </c>
      <c r="G279" s="9">
        <f>IF(A279=1,"_",IF(C279="_","???",C279))</f>
        <v/>
      </c>
      <c r="H279" s="10" t="s">
        <v>12</v>
      </c>
      <c r="I279" s="11" t="s">
        <v>12</v>
      </c>
      <c r="J279" s="12"/>
    </row>
    <row r="280" spans="1:10" ht="60" customHeight="1">
      <c r="A280" s="6" t="s">
        <v>1024</v>
      </c>
      <c r="B280" s="6" t="s">
        <v>30</v>
      </c>
      <c r="C280" s="6" t="s">
        <v>12</v>
      </c>
      <c r="D280" s="7" t="s">
        <v>1025</v>
      </c>
      <c r="E280" s="8" t="s">
        <v>1026</v>
      </c>
      <c r="F280" s="6" t="s">
        <v>1027</v>
      </c>
      <c r="G280" s="9">
        <f>IF(A280=1,"_",IF(C280="_","???",C280))</f>
        <v/>
      </c>
      <c r="H280" s="10" t="s">
        <v>12</v>
      </c>
      <c r="I280" s="11" t="s">
        <v>12</v>
      </c>
      <c r="J280" s="12"/>
    </row>
    <row r="281" spans="1:10" ht="60" customHeight="1">
      <c r="A281" s="6" t="s">
        <v>1028</v>
      </c>
      <c r="B281" s="6" t="s">
        <v>17</v>
      </c>
      <c r="C281" s="6" t="s">
        <v>12</v>
      </c>
      <c r="D281" s="7" t="s">
        <v>1029</v>
      </c>
      <c r="E281" s="8" t="s">
        <v>1030</v>
      </c>
      <c r="F281" s="6" t="s">
        <v>1031</v>
      </c>
      <c r="G281" s="9">
        <f>IF(A281=1,"_",IF(C281="_","???",C281))</f>
        <v/>
      </c>
      <c r="H281" s="10" t="s">
        <v>12</v>
      </c>
      <c r="I281" s="11" t="s">
        <v>12</v>
      </c>
      <c r="J281" s="12"/>
    </row>
    <row r="282" spans="1:10" ht="60" customHeight="1">
      <c r="A282" s="6" t="s">
        <v>1032</v>
      </c>
      <c r="B282" s="6" t="s">
        <v>17</v>
      </c>
      <c r="C282" s="6" t="s">
        <v>12</v>
      </c>
      <c r="D282" s="7" t="s">
        <v>340</v>
      </c>
      <c r="E282" s="8" t="s">
        <v>1033</v>
      </c>
      <c r="F282" s="6" t="s">
        <v>1034</v>
      </c>
      <c r="G282" s="9">
        <f>IF(A282=1,"_",IF(C282="_","???",C282))</f>
        <v/>
      </c>
      <c r="H282" s="10" t="s">
        <v>12</v>
      </c>
      <c r="I282" s="11" t="s">
        <v>12</v>
      </c>
      <c r="J282" s="12"/>
    </row>
    <row r="283" spans="1:10" ht="60" customHeight="1">
      <c r="A283" s="6" t="s">
        <v>1035</v>
      </c>
      <c r="B283" s="6" t="s">
        <v>16</v>
      </c>
      <c r="C283" s="6" t="s">
        <v>12</v>
      </c>
      <c r="D283" s="7" t="s">
        <v>941</v>
      </c>
      <c r="E283" s="8" t="s">
        <v>1036</v>
      </c>
      <c r="F283" s="6" t="s">
        <v>1037</v>
      </c>
      <c r="G283" s="9">
        <f>IF(A283=1,"_",IF(C283="_","???",C283))</f>
        <v/>
      </c>
      <c r="H283" s="10" t="s">
        <v>12</v>
      </c>
      <c r="I283" s="11" t="s">
        <v>12</v>
      </c>
      <c r="J283" s="12"/>
    </row>
    <row r="284" spans="1:10" ht="60" customHeight="1">
      <c r="A284" s="6" t="s">
        <v>1038</v>
      </c>
      <c r="B284" s="6" t="s">
        <v>17</v>
      </c>
      <c r="C284" s="6" t="s">
        <v>12</v>
      </c>
      <c r="D284" s="7" t="s">
        <v>1039</v>
      </c>
      <c r="E284" s="8" t="s">
        <v>1040</v>
      </c>
      <c r="F284" s="6" t="s">
        <v>1041</v>
      </c>
      <c r="G284" s="9">
        <f>IF(A284=1,"_",IF(C284="_","???",C284))</f>
        <v/>
      </c>
      <c r="H284" s="10" t="s">
        <v>12</v>
      </c>
      <c r="I284" s="11" t="s">
        <v>12</v>
      </c>
      <c r="J284" s="12"/>
    </row>
    <row r="285" spans="1:10" ht="60" customHeight="1">
      <c r="A285" s="6" t="s">
        <v>1042</v>
      </c>
      <c r="B285" s="6" t="s">
        <v>10</v>
      </c>
      <c r="C285" s="6" t="s">
        <v>12</v>
      </c>
      <c r="D285" s="7" t="s">
        <v>198</v>
      </c>
      <c r="E285" s="8" t="s">
        <v>1043</v>
      </c>
      <c r="F285" s="6" t="s">
        <v>1044</v>
      </c>
      <c r="G285" s="9">
        <f>IF(A285=1,"_",IF(C285="_","???",C285))</f>
        <v/>
      </c>
      <c r="H285" s="10" t="s">
        <v>12</v>
      </c>
      <c r="I285" s="11" t="s">
        <v>12</v>
      </c>
      <c r="J285" s="12"/>
    </row>
    <row r="286" spans="1:10" ht="60" customHeight="1">
      <c r="A286" s="6" t="s">
        <v>1045</v>
      </c>
      <c r="B286" s="6" t="s">
        <v>25</v>
      </c>
      <c r="C286" s="6" t="s">
        <v>12</v>
      </c>
      <c r="D286" s="7" t="s">
        <v>18</v>
      </c>
      <c r="E286" s="8" t="s">
        <v>1046</v>
      </c>
      <c r="F286" s="6" t="s">
        <v>1047</v>
      </c>
      <c r="G286" s="9">
        <f>IF(A286=1,"_",IF(C286="_","???",C286))</f>
        <v/>
      </c>
      <c r="H286" s="10" t="s">
        <v>12</v>
      </c>
      <c r="I286" s="11" t="s">
        <v>12</v>
      </c>
      <c r="J286" s="12"/>
    </row>
    <row r="287" spans="1:10" ht="60" customHeight="1">
      <c r="A287" s="6" t="s">
        <v>1048</v>
      </c>
      <c r="B287" s="6" t="s">
        <v>39</v>
      </c>
      <c r="C287" s="6" t="s">
        <v>12</v>
      </c>
      <c r="D287" s="7" t="s">
        <v>1049</v>
      </c>
      <c r="E287" s="8" t="s">
        <v>1050</v>
      </c>
      <c r="F287" s="6" t="s">
        <v>1051</v>
      </c>
      <c r="G287" s="9">
        <f>IF(A287=1,"_",IF(C287="_","???",C287))</f>
        <v/>
      </c>
      <c r="H287" s="10" t="s">
        <v>12</v>
      </c>
      <c r="I287" s="11" t="s">
        <v>12</v>
      </c>
      <c r="J287" s="12"/>
    </row>
    <row r="288" spans="1:10" ht="60" customHeight="1">
      <c r="A288" s="6" t="s">
        <v>1052</v>
      </c>
      <c r="B288" s="6" t="s">
        <v>30</v>
      </c>
      <c r="C288" s="6" t="s">
        <v>12</v>
      </c>
      <c r="D288" s="7" t="s">
        <v>18</v>
      </c>
      <c r="E288" s="8" t="s">
        <v>1053</v>
      </c>
      <c r="F288" s="6" t="s">
        <v>1054</v>
      </c>
      <c r="G288" s="9">
        <f>IF(A288=1,"_",IF(C288="_","???",C288))</f>
        <v/>
      </c>
      <c r="H288" s="10" t="s">
        <v>12</v>
      </c>
      <c r="I288" s="11" t="s">
        <v>12</v>
      </c>
      <c r="J288" s="12"/>
    </row>
    <row r="289" spans="1:10" ht="60" customHeight="1">
      <c r="A289" s="6" t="s">
        <v>1055</v>
      </c>
      <c r="B289" s="6" t="s">
        <v>59</v>
      </c>
      <c r="C289" s="6" t="s">
        <v>12</v>
      </c>
      <c r="D289" s="7" t="s">
        <v>1056</v>
      </c>
      <c r="E289" s="8" t="s">
        <v>1057</v>
      </c>
      <c r="F289" s="6" t="s">
        <v>1058</v>
      </c>
      <c r="G289" s="9">
        <f>IF(A289=1,"_",IF(C289="_","???",C289))</f>
        <v/>
      </c>
      <c r="H289" s="10" t="s">
        <v>12</v>
      </c>
      <c r="I289" s="11" t="s">
        <v>12</v>
      </c>
      <c r="J289" s="12"/>
    </row>
    <row r="290" spans="1:10" ht="60" customHeight="1">
      <c r="A290" s="6" t="s">
        <v>1059</v>
      </c>
      <c r="B290" s="6" t="s">
        <v>21</v>
      </c>
      <c r="C290" s="6" t="s">
        <v>12</v>
      </c>
      <c r="D290" s="7" t="s">
        <v>1060</v>
      </c>
      <c r="E290" s="8" t="s">
        <v>1061</v>
      </c>
      <c r="F290" s="6" t="s">
        <v>1062</v>
      </c>
      <c r="G290" s="9">
        <f>IF(A290=1,"_",IF(C290="_","???",C290))</f>
        <v/>
      </c>
      <c r="H290" s="10" t="s">
        <v>12</v>
      </c>
      <c r="I290" s="11" t="s">
        <v>12</v>
      </c>
      <c r="J290" s="12"/>
    </row>
    <row r="291" spans="1:10" ht="60" customHeight="1">
      <c r="A291" s="6" t="s">
        <v>1063</v>
      </c>
      <c r="B291" s="6" t="s">
        <v>17</v>
      </c>
      <c r="C291" s="6" t="s">
        <v>12</v>
      </c>
      <c r="D291" s="7" t="s">
        <v>165</v>
      </c>
      <c r="E291" s="8" t="s">
        <v>1064</v>
      </c>
      <c r="F291" s="6" t="s">
        <v>1065</v>
      </c>
      <c r="G291" s="9">
        <f>IF(A291=1,"_",IF(C291="_","???",C291))</f>
        <v/>
      </c>
      <c r="H291" s="10" t="s">
        <v>12</v>
      </c>
      <c r="I291" s="11" t="s">
        <v>12</v>
      </c>
      <c r="J291" s="12"/>
    </row>
    <row r="292" spans="1:10" ht="60" customHeight="1">
      <c r="A292" s="6" t="s">
        <v>1066</v>
      </c>
      <c r="B292" s="6" t="s">
        <v>17</v>
      </c>
      <c r="C292" s="6" t="s">
        <v>12</v>
      </c>
      <c r="D292" s="7" t="s">
        <v>53</v>
      </c>
      <c r="E292" s="8" t="s">
        <v>1067</v>
      </c>
      <c r="F292" s="6" t="s">
        <v>1068</v>
      </c>
      <c r="G292" s="9">
        <f>IF(A292=1,"_",IF(C292="_","???",C292))</f>
        <v/>
      </c>
      <c r="H292" s="10" t="s">
        <v>12</v>
      </c>
      <c r="I292" s="11" t="s">
        <v>12</v>
      </c>
      <c r="J292" s="12"/>
    </row>
    <row r="293" spans="1:10" ht="60" customHeight="1">
      <c r="A293" s="6" t="s">
        <v>1069</v>
      </c>
      <c r="B293" s="6" t="s">
        <v>34</v>
      </c>
      <c r="C293" s="6" t="s">
        <v>64</v>
      </c>
      <c r="D293" s="7" t="s">
        <v>218</v>
      </c>
      <c r="E293" s="8" t="s">
        <v>1070</v>
      </c>
      <c r="F293" s="6" t="s">
        <v>1071</v>
      </c>
      <c r="G293" s="9">
        <f>IF(A293=1,"_",IF(C293="_","???",C293))</f>
        <v/>
      </c>
      <c r="H293" s="10" t="s">
        <v>12</v>
      </c>
      <c r="I293" s="11" t="s">
        <v>12</v>
      </c>
      <c r="J293" s="12"/>
    </row>
    <row r="294" spans="1:10" ht="60" customHeight="1">
      <c r="A294" s="6" t="s">
        <v>1072</v>
      </c>
      <c r="B294" s="6" t="s">
        <v>11</v>
      </c>
      <c r="C294" s="6" t="s">
        <v>12</v>
      </c>
      <c r="D294" s="7" t="s">
        <v>161</v>
      </c>
      <c r="E294" s="8" t="s">
        <v>1073</v>
      </c>
      <c r="F294" s="6" t="s">
        <v>1074</v>
      </c>
      <c r="G294" s="9">
        <f>IF(A294=1,"_",IF(C294="_","???",C294))</f>
        <v/>
      </c>
      <c r="H294" s="10" t="s">
        <v>12</v>
      </c>
      <c r="I294" s="11" t="s">
        <v>12</v>
      </c>
      <c r="J294" s="12"/>
    </row>
    <row r="295" spans="1:10" ht="60" customHeight="1">
      <c r="A295" s="6" t="s">
        <v>1075</v>
      </c>
      <c r="B295" s="6" t="s">
        <v>72</v>
      </c>
      <c r="C295" s="6" t="s">
        <v>12</v>
      </c>
      <c r="D295" s="7" t="s">
        <v>1076</v>
      </c>
      <c r="E295" s="8" t="s">
        <v>1077</v>
      </c>
      <c r="F295" s="6" t="s">
        <v>1078</v>
      </c>
      <c r="G295" s="9">
        <f>IF(A295=1,"_",IF(C295="_","???",C295))</f>
        <v/>
      </c>
      <c r="H295" s="10" t="s">
        <v>12</v>
      </c>
      <c r="I295" s="11" t="s">
        <v>12</v>
      </c>
      <c r="J295" s="12"/>
    </row>
    <row r="296" spans="1:10" ht="60" customHeight="1">
      <c r="A296" s="6" t="s">
        <v>1079</v>
      </c>
      <c r="B296" s="6" t="s">
        <v>17</v>
      </c>
      <c r="C296" s="6" t="s">
        <v>12</v>
      </c>
      <c r="D296" s="7" t="s">
        <v>1080</v>
      </c>
      <c r="E296" s="8" t="s">
        <v>1081</v>
      </c>
      <c r="F296" s="6" t="s">
        <v>1082</v>
      </c>
      <c r="G296" s="9">
        <f>IF(A296=1,"_",IF(C296="_","???",C296))</f>
        <v/>
      </c>
      <c r="H296" s="10" t="s">
        <v>12</v>
      </c>
      <c r="I296" s="11" t="s">
        <v>12</v>
      </c>
      <c r="J296" s="12"/>
    </row>
    <row r="297" spans="1:10" ht="60" customHeight="1">
      <c r="A297" s="6" t="s">
        <v>1083</v>
      </c>
      <c r="B297" s="6" t="s">
        <v>17</v>
      </c>
      <c r="C297" s="6" t="s">
        <v>12</v>
      </c>
      <c r="D297" s="7" t="s">
        <v>852</v>
      </c>
      <c r="E297" s="8" t="s">
        <v>1084</v>
      </c>
      <c r="F297" s="6" t="s">
        <v>1085</v>
      </c>
      <c r="G297" s="9">
        <f>IF(A297=1,"_",IF(C297="_","???",C297))</f>
        <v/>
      </c>
      <c r="H297" s="10" t="s">
        <v>12</v>
      </c>
      <c r="I297" s="11" t="s">
        <v>12</v>
      </c>
      <c r="J297" s="12"/>
    </row>
    <row r="298" spans="1:10" ht="60" customHeight="1">
      <c r="A298" s="6" t="s">
        <v>1086</v>
      </c>
      <c r="B298" s="6" t="s">
        <v>17</v>
      </c>
      <c r="C298" s="6" t="s">
        <v>12</v>
      </c>
      <c r="D298" s="7" t="s">
        <v>1087</v>
      </c>
      <c r="E298" s="8" t="s">
        <v>1088</v>
      </c>
      <c r="F298" s="6" t="s">
        <v>1089</v>
      </c>
      <c r="G298" s="9">
        <f>IF(A298=1,"_",IF(C298="_","???",C298))</f>
        <v/>
      </c>
      <c r="H298" s="10" t="s">
        <v>12</v>
      </c>
      <c r="I298" s="11" t="s">
        <v>12</v>
      </c>
      <c r="J298" s="12"/>
    </row>
    <row r="299" spans="1:10" ht="60" customHeight="1">
      <c r="A299" s="6" t="s">
        <v>1090</v>
      </c>
      <c r="B299" s="6" t="s">
        <v>17</v>
      </c>
      <c r="C299" s="6" t="s">
        <v>12</v>
      </c>
      <c r="D299" s="7" t="s">
        <v>1091</v>
      </c>
      <c r="E299" s="8" t="s">
        <v>1092</v>
      </c>
      <c r="F299" s="6" t="s">
        <v>1093</v>
      </c>
      <c r="G299" s="9">
        <f>IF(A299=1,"_",IF(C299="_","???",C299))</f>
        <v/>
      </c>
      <c r="H299" s="10" t="s">
        <v>12</v>
      </c>
      <c r="I299" s="11" t="s">
        <v>12</v>
      </c>
      <c r="J299" s="12"/>
    </row>
    <row r="300" spans="1:10" ht="60" customHeight="1">
      <c r="A300" s="6" t="s">
        <v>1094</v>
      </c>
      <c r="B300" s="6" t="s">
        <v>45</v>
      </c>
      <c r="C300" s="6" t="s">
        <v>12</v>
      </c>
      <c r="D300" s="7" t="s">
        <v>1095</v>
      </c>
      <c r="E300" s="8" t="s">
        <v>1096</v>
      </c>
      <c r="F300" s="6" t="s">
        <v>1097</v>
      </c>
      <c r="G300" s="9">
        <f>IF(A300=1,"_",IF(C300="_","???",C300))</f>
        <v/>
      </c>
      <c r="H300" s="10" t="s">
        <v>12</v>
      </c>
      <c r="I300" s="11" t="s">
        <v>12</v>
      </c>
      <c r="J300" s="12"/>
    </row>
    <row r="301" spans="1:10" ht="60" customHeight="1">
      <c r="A301" s="6" t="s">
        <v>1098</v>
      </c>
      <c r="B301" s="6" t="s">
        <v>11</v>
      </c>
      <c r="C301" s="6" t="s">
        <v>12</v>
      </c>
      <c r="D301" s="7" t="s">
        <v>1099</v>
      </c>
      <c r="E301" s="8" t="s">
        <v>1100</v>
      </c>
      <c r="F301" s="6" t="s">
        <v>1101</v>
      </c>
      <c r="G301" s="9">
        <f>IF(A301=1,"_",IF(C301="_","???",C301))</f>
        <v/>
      </c>
      <c r="H301" s="10" t="s">
        <v>12</v>
      </c>
      <c r="I301" s="11" t="s">
        <v>12</v>
      </c>
      <c r="J301" s="12"/>
    </row>
    <row r="302" spans="1:10" ht="60" customHeight="1">
      <c r="A302" s="6" t="s">
        <v>1102</v>
      </c>
      <c r="B302" s="6" t="s">
        <v>45</v>
      </c>
      <c r="C302" s="6" t="s">
        <v>12</v>
      </c>
      <c r="D302" s="7" t="s">
        <v>69</v>
      </c>
      <c r="E302" s="8" t="s">
        <v>1103</v>
      </c>
      <c r="F302" s="6" t="s">
        <v>1104</v>
      </c>
      <c r="G302" s="9">
        <f>IF(A302=1,"_",IF(C302="_","???",C302))</f>
        <v/>
      </c>
      <c r="H302" s="10" t="s">
        <v>12</v>
      </c>
      <c r="I302" s="11" t="s">
        <v>12</v>
      </c>
      <c r="J302" s="12"/>
    </row>
    <row r="303" spans="1:10" ht="60" customHeight="1">
      <c r="A303" s="6" t="s">
        <v>1105</v>
      </c>
      <c r="B303" s="6" t="s">
        <v>17</v>
      </c>
      <c r="C303" s="6" t="s">
        <v>12</v>
      </c>
      <c r="D303" s="7" t="s">
        <v>165</v>
      </c>
      <c r="E303" s="8" t="s">
        <v>1106</v>
      </c>
      <c r="F303" s="6" t="s">
        <v>1107</v>
      </c>
      <c r="G303" s="9">
        <f>IF(A303=1,"_",IF(C303="_","???",C303))</f>
        <v/>
      </c>
      <c r="H303" s="10" t="s">
        <v>12</v>
      </c>
      <c r="I303" s="11" t="s">
        <v>12</v>
      </c>
      <c r="J303" s="12"/>
    </row>
    <row r="304" spans="1:10" ht="60" customHeight="1">
      <c r="A304" s="6" t="s">
        <v>1108</v>
      </c>
      <c r="B304" s="6" t="s">
        <v>17</v>
      </c>
      <c r="C304" s="6" t="s">
        <v>12</v>
      </c>
      <c r="D304" s="7" t="s">
        <v>1109</v>
      </c>
      <c r="E304" s="8" t="s">
        <v>1110</v>
      </c>
      <c r="F304" s="6" t="s">
        <v>1111</v>
      </c>
      <c r="G304" s="9">
        <f>IF(A304=1,"_",IF(C304="_","???",C304))</f>
        <v/>
      </c>
      <c r="H304" s="10" t="s">
        <v>12</v>
      </c>
      <c r="I304" s="11" t="s">
        <v>12</v>
      </c>
      <c r="J304" s="12"/>
    </row>
    <row r="305" spans="1:10" ht="60" customHeight="1">
      <c r="A305" s="6" t="s">
        <v>1112</v>
      </c>
      <c r="B305" s="6" t="s">
        <v>17</v>
      </c>
      <c r="C305" s="6" t="s">
        <v>12</v>
      </c>
      <c r="D305" s="7" t="s">
        <v>750</v>
      </c>
      <c r="E305" s="8" t="s">
        <v>1113</v>
      </c>
      <c r="F305" s="6" t="s">
        <v>1114</v>
      </c>
      <c r="G305" s="9">
        <f>IF(A305=1,"_",IF(C305="_","???",C305))</f>
        <v/>
      </c>
      <c r="H305" s="10" t="s">
        <v>12</v>
      </c>
      <c r="I305" s="11" t="s">
        <v>12</v>
      </c>
      <c r="J305" s="12"/>
    </row>
    <row r="306" spans="1:10" ht="60" customHeight="1">
      <c r="A306" s="6" t="s">
        <v>1115</v>
      </c>
      <c r="B306" s="6" t="s">
        <v>21</v>
      </c>
      <c r="C306" s="6" t="s">
        <v>12</v>
      </c>
      <c r="D306" s="7" t="s">
        <v>1116</v>
      </c>
      <c r="E306" s="8" t="s">
        <v>1117</v>
      </c>
      <c r="F306" s="6" t="s">
        <v>1118</v>
      </c>
      <c r="G306" s="9">
        <f>IF(A306=1,"_",IF(C306="_","???",C306))</f>
        <v/>
      </c>
      <c r="H306" s="10" t="s">
        <v>12</v>
      </c>
      <c r="I306" s="11" t="s">
        <v>12</v>
      </c>
      <c r="J306" s="12"/>
    </row>
    <row r="307" spans="1:10" ht="60" customHeight="1">
      <c r="A307" s="6" t="s">
        <v>1119</v>
      </c>
      <c r="B307" s="6" t="s">
        <v>10</v>
      </c>
      <c r="C307" s="6" t="s">
        <v>12</v>
      </c>
      <c r="D307" s="7" t="s">
        <v>1120</v>
      </c>
      <c r="E307" s="8" t="s">
        <v>1121</v>
      </c>
      <c r="F307" s="6" t="s">
        <v>1122</v>
      </c>
      <c r="G307" s="9">
        <f>IF(A307=1,"_",IF(C307="_","???",C307))</f>
        <v/>
      </c>
      <c r="H307" s="10" t="s">
        <v>12</v>
      </c>
      <c r="I307" s="11" t="s">
        <v>12</v>
      </c>
      <c r="J307" s="12"/>
    </row>
    <row r="308" spans="1:10" ht="60" customHeight="1">
      <c r="A308" s="6" t="s">
        <v>1123</v>
      </c>
      <c r="B308" s="6" t="s">
        <v>10</v>
      </c>
      <c r="C308" s="6" t="s">
        <v>12</v>
      </c>
      <c r="D308" s="7" t="s">
        <v>308</v>
      </c>
      <c r="E308" s="8" t="s">
        <v>1124</v>
      </c>
      <c r="F308" s="6" t="s">
        <v>1125</v>
      </c>
      <c r="G308" s="9">
        <f>IF(A308=1,"_",IF(C308="_","???",C308))</f>
        <v/>
      </c>
      <c r="H308" s="10" t="s">
        <v>12</v>
      </c>
      <c r="I308" s="11" t="s">
        <v>12</v>
      </c>
      <c r="J308" s="12"/>
    </row>
    <row r="309" spans="1:10" ht="60" customHeight="1">
      <c r="A309" s="6" t="s">
        <v>1126</v>
      </c>
      <c r="B309" s="6" t="s">
        <v>10</v>
      </c>
      <c r="C309" s="6" t="s">
        <v>12</v>
      </c>
      <c r="D309" s="7" t="s">
        <v>198</v>
      </c>
      <c r="E309" s="8" t="s">
        <v>1127</v>
      </c>
      <c r="F309" s="6" t="s">
        <v>1128</v>
      </c>
      <c r="G309" s="9">
        <f>IF(A309=1,"_",IF(C309="_","???",C309))</f>
        <v/>
      </c>
      <c r="H309" s="10" t="s">
        <v>12</v>
      </c>
      <c r="I309" s="11" t="s">
        <v>12</v>
      </c>
      <c r="J309"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4823"/>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1129</v>
      </c>
      <c r="B1" s="13" t="s">
        <v>1130</v>
      </c>
      <c r="C1" s="13" t="s">
        <v>1131</v>
      </c>
      <c r="D1" s="13" t="s">
        <v>1132</v>
      </c>
      <c r="E1" s="14" t="s">
        <v>1133</v>
      </c>
      <c r="F1" s="15" t="s">
        <v>1134</v>
      </c>
      <c r="G1" s="16" t="s">
        <v>1135</v>
      </c>
      <c r="H1" s="17" t="s">
        <v>1136</v>
      </c>
      <c r="I1" s="18" t="s">
        <v>1137</v>
      </c>
      <c r="J1" s="18" t="s">
        <v>1138</v>
      </c>
      <c r="K1" s="18" t="s">
        <v>1139</v>
      </c>
      <c r="L1" s="19" t="s">
        <v>9</v>
      </c>
    </row>
    <row r="2" spans="1:12">
      <c r="A2" s="20" t="s">
        <v>1140</v>
      </c>
    </row>
    <row r="3" spans="1:12">
      <c r="A3" s="20" t="s">
        <v>1141</v>
      </c>
      <c r="B3" s="21" t="s">
        <v>1142</v>
      </c>
      <c r="C3" s="21" t="s">
        <v>1143</v>
      </c>
      <c r="D3" s="21" t="s">
        <v>1144</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1145</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1146</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22</v>
      </c>
      <c r="B6" s="21" t="s">
        <v>1147</v>
      </c>
      <c r="C6" s="21" t="s">
        <v>1143</v>
      </c>
      <c r="D6" s="21" t="s">
        <v>1144</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1148</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1149</v>
      </c>
      <c r="B8" s="21" t="s">
        <v>1150</v>
      </c>
      <c r="C8" s="21" t="s">
        <v>1151</v>
      </c>
      <c r="D8" s="21" t="s">
        <v>1144</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1152</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1153</v>
      </c>
      <c r="B10" s="21" t="s">
        <v>1154</v>
      </c>
      <c r="C10" s="21" t="s">
        <v>1155</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1156</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312</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row>
    <row r="14" spans="1:12">
      <c r="A14" s="20" t="s">
        <v>1157</v>
      </c>
    </row>
    <row r="15" spans="1:12">
      <c r="A15" s="20" t="s">
        <v>1158</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1159</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1160</v>
      </c>
      <c r="B17" s="21" t="s">
        <v>1161</v>
      </c>
      <c r="C17" s="21" t="s">
        <v>1162</v>
      </c>
      <c r="D17" s="21" t="s">
        <v>1144</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1163</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1164</v>
      </c>
      <c r="B19" s="21" t="s">
        <v>1165</v>
      </c>
      <c r="C19" s="21" t="s">
        <v>1151</v>
      </c>
      <c r="D19" s="21" t="s">
        <v>1144</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1166</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1167</v>
      </c>
      <c r="B21" s="21" t="s">
        <v>1142</v>
      </c>
      <c r="C21" s="21" t="s">
        <v>1168</v>
      </c>
      <c r="D21" s="21" t="s">
        <v>1144</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1169</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1170</v>
      </c>
      <c r="B23" s="21" t="s">
        <v>1171</v>
      </c>
      <c r="C23" s="21" t="s">
        <v>1172</v>
      </c>
      <c r="D23" s="21" t="s">
        <v>1144</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1173</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1166</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1174</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1167</v>
      </c>
      <c r="B27" s="21" t="s">
        <v>1175</v>
      </c>
      <c r="C27" s="21" t="s">
        <v>1168</v>
      </c>
      <c r="D27" s="21" t="s">
        <v>1144</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1176</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1177</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1178</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1179</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1180</v>
      </c>
      <c r="B32" s="21" t="s">
        <v>1181</v>
      </c>
      <c r="C32" s="21" t="s">
        <v>1182</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1183</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1184</v>
      </c>
      <c r="B34" s="21" t="s">
        <v>1147</v>
      </c>
      <c r="C34" s="21" t="s">
        <v>1155</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1185</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1186</v>
      </c>
      <c r="B36" s="21" t="s">
        <v>1181</v>
      </c>
      <c r="C36" s="21" t="s">
        <v>1187</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312</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row>
    <row r="39" spans="1:12">
      <c r="A39" s="20" t="s">
        <v>1188</v>
      </c>
    </row>
    <row r="40" spans="1:12">
      <c r="A40" s="20" t="s">
        <v>1189</v>
      </c>
      <c r="B40" s="21" t="s">
        <v>1165</v>
      </c>
      <c r="C40" s="21" t="s">
        <v>1151</v>
      </c>
      <c r="D40" s="21" t="s">
        <v>1144</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1190</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1166</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1191</v>
      </c>
      <c r="B43" s="21" t="s">
        <v>1150</v>
      </c>
      <c r="C43" s="21" t="s">
        <v>1168</v>
      </c>
      <c r="D43" s="21" t="s">
        <v>1144</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1192</v>
      </c>
      <c r="B44" s="21" t="s">
        <v>1161</v>
      </c>
      <c r="C44" s="21" t="s">
        <v>1168</v>
      </c>
      <c r="D44" s="21" t="s">
        <v>1144</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1149</v>
      </c>
      <c r="B45" s="21" t="s">
        <v>1193</v>
      </c>
      <c r="C45" s="21" t="s">
        <v>1151</v>
      </c>
      <c r="D45" s="21" t="s">
        <v>1144</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12</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1194</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1195</v>
      </c>
      <c r="B48" s="21" t="s">
        <v>1181</v>
      </c>
      <c r="C48" s="21" t="s">
        <v>1143</v>
      </c>
      <c r="D48" s="21" t="s">
        <v>1144</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1196</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12</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1197</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1198</v>
      </c>
      <c r="B52" s="21" t="s">
        <v>1199</v>
      </c>
      <c r="C52" s="21" t="s">
        <v>1151</v>
      </c>
      <c r="D52" s="21" t="s">
        <v>1144</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1179</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1200</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1201</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1202</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1203</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1164</v>
      </c>
      <c r="B58" s="21" t="s">
        <v>1204</v>
      </c>
      <c r="C58" s="21" t="s">
        <v>1151</v>
      </c>
      <c r="D58" s="21" t="s">
        <v>1144</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1205</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1206</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1207</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1208</v>
      </c>
      <c r="B62" s="21" t="s">
        <v>1209</v>
      </c>
      <c r="C62" s="21" t="s">
        <v>1155</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1148</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1210</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1198</v>
      </c>
      <c r="B65" s="21" t="s">
        <v>1142</v>
      </c>
      <c r="C65" s="21" t="s">
        <v>1151</v>
      </c>
      <c r="D65" s="21" t="s">
        <v>1144</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312</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row>
    <row r="68" spans="1:12">
      <c r="A68" s="20" t="s">
        <v>1211</v>
      </c>
    </row>
    <row r="69" spans="1:12">
      <c r="A69" s="20" t="s">
        <v>22</v>
      </c>
      <c r="B69" s="21" t="s">
        <v>1161</v>
      </c>
      <c r="C69" s="21" t="s">
        <v>1143</v>
      </c>
      <c r="D69" s="21" t="s">
        <v>1144</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1212</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1146</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1213</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1120</v>
      </c>
      <c r="B73" s="21" t="s">
        <v>1161</v>
      </c>
      <c r="C73" s="21" t="s">
        <v>1214</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1215</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row>
    <row r="76" spans="1:12">
      <c r="A76" s="20" t="s">
        <v>1216</v>
      </c>
    </row>
    <row r="77" spans="1:12">
      <c r="A77" s="20" t="s">
        <v>198</v>
      </c>
      <c r="B77" s="21" t="s">
        <v>1165</v>
      </c>
      <c r="C77" s="21" t="s">
        <v>1143</v>
      </c>
      <c r="D77" s="21" t="s">
        <v>1144</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1146</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1217</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73</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1218</v>
      </c>
      <c r="B81" s="21" t="s">
        <v>1154</v>
      </c>
      <c r="C81" s="21" t="s">
        <v>1168</v>
      </c>
      <c r="D81" s="21" t="s">
        <v>1144</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1219</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1191</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1220</v>
      </c>
      <c r="B84" s="21" t="s">
        <v>1161</v>
      </c>
      <c r="C84" s="21" t="s">
        <v>1162</v>
      </c>
      <c r="D84" s="21" t="s">
        <v>1144</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1203</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1219</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1221</v>
      </c>
      <c r="B87" s="21" t="s">
        <v>1171</v>
      </c>
      <c r="C87" s="21" t="s">
        <v>1143</v>
      </c>
      <c r="D87" s="21" t="s">
        <v>1144</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27</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312</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row>
    <row r="91" spans="1:12">
      <c r="A91" s="20" t="s">
        <v>1222</v>
      </c>
    </row>
    <row r="92" spans="1:12">
      <c r="A92" s="20" t="s">
        <v>1217</v>
      </c>
      <c r="B92" s="21" t="s">
        <v>1165</v>
      </c>
      <c r="C92" s="21" t="s">
        <v>1168</v>
      </c>
      <c r="D92" s="21" t="s">
        <v>1144</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73</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1219</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1191</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1223</v>
      </c>
      <c r="B96" s="21" t="s">
        <v>1161</v>
      </c>
      <c r="C96" s="21" t="s">
        <v>1162</v>
      </c>
      <c r="D96" s="21" t="s">
        <v>1144</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31</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1166</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1219</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1224</v>
      </c>
      <c r="B100" s="21" t="s">
        <v>1161</v>
      </c>
      <c r="C100" s="21" t="s">
        <v>1187</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1203</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1225</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1219</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1226</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1227</v>
      </c>
      <c r="B105" s="21" t="s">
        <v>1171</v>
      </c>
      <c r="C105" s="21" t="s">
        <v>1228</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312</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row>
    <row r="108" spans="1:12">
      <c r="A108" s="20" t="s">
        <v>1229</v>
      </c>
    </row>
    <row r="109" spans="1:12">
      <c r="A109" s="20" t="s">
        <v>1217</v>
      </c>
      <c r="B109" s="21" t="s">
        <v>1165</v>
      </c>
      <c r="C109" s="21" t="s">
        <v>1168</v>
      </c>
      <c r="D109" s="21" t="s">
        <v>1144</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73</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36</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1166</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1178</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1230</v>
      </c>
      <c r="B114" s="21" t="s">
        <v>1142</v>
      </c>
      <c r="C114" s="21" t="s">
        <v>1151</v>
      </c>
      <c r="D114" s="21" t="s">
        <v>1144</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1231</v>
      </c>
      <c r="B115" s="21" t="s">
        <v>1147</v>
      </c>
      <c r="C115" s="21" t="s">
        <v>1232</v>
      </c>
      <c r="D115" s="21" t="s">
        <v>1144</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1233</v>
      </c>
      <c r="B116" s="21" t="s">
        <v>1150</v>
      </c>
      <c r="C116" s="21" t="s">
        <v>1234</v>
      </c>
      <c r="D116" s="21" t="s">
        <v>1144</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1235</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1166</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1203</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1236</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1231</v>
      </c>
      <c r="B121" s="21" t="s">
        <v>1181</v>
      </c>
      <c r="C121" s="21" t="s">
        <v>1232</v>
      </c>
      <c r="D121" s="21" t="s">
        <v>1144</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1237</v>
      </c>
      <c r="B122" s="21" t="s">
        <v>1193</v>
      </c>
      <c r="C122" s="21" t="s">
        <v>1234</v>
      </c>
      <c r="D122" s="21" t="s">
        <v>1144</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1166</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1238</v>
      </c>
      <c r="B124" s="21" t="s">
        <v>1199</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1239</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1240</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1241</v>
      </c>
      <c r="B127" s="21" t="s">
        <v>1242</v>
      </c>
      <c r="C127" s="21" t="s">
        <v>1182</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1243</v>
      </c>
      <c r="B128" s="21" t="s">
        <v>1244</v>
      </c>
      <c r="C128" s="21" t="s">
        <v>1214</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1245</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1166</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1246</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1247</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1248</v>
      </c>
      <c r="B133" s="21" t="s">
        <v>1209</v>
      </c>
      <c r="C133" s="21" t="s">
        <v>1187</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1148</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312</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row>
    <row r="137" spans="1:12">
      <c r="A137" s="20" t="s">
        <v>1249</v>
      </c>
    </row>
    <row r="138" spans="1:12">
      <c r="A138" s="20" t="s">
        <v>1250</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1251</v>
      </c>
      <c r="B139" s="21" t="s">
        <v>1161</v>
      </c>
      <c r="C139" s="21" t="s">
        <v>1182</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1252</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1167</v>
      </c>
      <c r="B141" s="21" t="s">
        <v>1165</v>
      </c>
      <c r="C141" s="21" t="s">
        <v>1168</v>
      </c>
      <c r="D141" s="21" t="s">
        <v>1144</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1219</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1238</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1253</v>
      </c>
      <c r="B144" s="21" t="s">
        <v>1161</v>
      </c>
      <c r="C144" s="21" t="s">
        <v>1162</v>
      </c>
      <c r="D144" s="21" t="s">
        <v>1144</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31</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312</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row>
    <row r="148" spans="1:12">
      <c r="A148" s="20" t="s">
        <v>1254</v>
      </c>
    </row>
    <row r="149" spans="1:12">
      <c r="A149" s="20" t="s">
        <v>1255</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1256</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42</v>
      </c>
      <c r="B151" s="21" t="s">
        <v>1161</v>
      </c>
      <c r="C151" s="21" t="s">
        <v>1228</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1146</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1257</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1258</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1221</v>
      </c>
      <c r="B155" s="21" t="s">
        <v>1150</v>
      </c>
      <c r="C155" s="21" t="s">
        <v>1143</v>
      </c>
      <c r="D155" s="21" t="s">
        <v>1144</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1203</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1259</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1260</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1261</v>
      </c>
      <c r="B159" s="21" t="s">
        <v>1193</v>
      </c>
      <c r="C159" s="21" t="s">
        <v>1151</v>
      </c>
      <c r="D159" s="21" t="s">
        <v>1144</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1262</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1263</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row>
    <row r="163" spans="1:12">
      <c r="A163" s="20" t="s">
        <v>1264</v>
      </c>
    </row>
    <row r="164" spans="1:12">
      <c r="A164" s="20" t="s">
        <v>308</v>
      </c>
      <c r="B164" s="21" t="s">
        <v>1165</v>
      </c>
      <c r="C164" s="21" t="s">
        <v>1187</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1146</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1265</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46</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1167</v>
      </c>
      <c r="B168" s="21" t="s">
        <v>1165</v>
      </c>
      <c r="C168" s="21" t="s">
        <v>1168</v>
      </c>
      <c r="D168" s="21" t="s">
        <v>1144</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1266</v>
      </c>
      <c r="B169" s="21" t="s">
        <v>1154</v>
      </c>
      <c r="C169" s="21" t="s">
        <v>1168</v>
      </c>
      <c r="D169" s="21" t="s">
        <v>1144</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1267</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312</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row>
    <row r="173" spans="1:12">
      <c r="A173" s="20" t="s">
        <v>1268</v>
      </c>
    </row>
    <row r="174" spans="1:12">
      <c r="A174" s="20" t="s">
        <v>1269</v>
      </c>
      <c r="B174" s="21" t="s">
        <v>1171</v>
      </c>
      <c r="C174" s="21" t="s">
        <v>1270</v>
      </c>
      <c r="D174" s="21" t="s">
        <v>1144</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1271</v>
      </c>
      <c r="B175" s="21" t="s">
        <v>1154</v>
      </c>
      <c r="C175" s="21" t="s">
        <v>1187</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165</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1167</v>
      </c>
      <c r="B177" s="21" t="s">
        <v>1165</v>
      </c>
      <c r="C177" s="21" t="s">
        <v>1168</v>
      </c>
      <c r="D177" s="21" t="s">
        <v>1144</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1218</v>
      </c>
      <c r="B178" s="21" t="s">
        <v>1154</v>
      </c>
      <c r="C178" s="21" t="s">
        <v>1168</v>
      </c>
      <c r="D178" s="21" t="s">
        <v>1144</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1240</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1272</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1243</v>
      </c>
      <c r="B181" s="21" t="s">
        <v>1161</v>
      </c>
      <c r="C181" s="21" t="s">
        <v>1187</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1273</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1146</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1238</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1274</v>
      </c>
      <c r="B185" s="21" t="s">
        <v>1142</v>
      </c>
      <c r="C185" s="21" t="s">
        <v>1162</v>
      </c>
      <c r="D185" s="21" t="s">
        <v>1144</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1275</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1276</v>
      </c>
      <c r="B187" s="21" t="s">
        <v>1147</v>
      </c>
      <c r="C187" s="21" t="s">
        <v>1162</v>
      </c>
      <c r="D187" s="21" t="s">
        <v>1144</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1277</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1203</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1278</v>
      </c>
      <c r="B190" s="21" t="s">
        <v>1175</v>
      </c>
      <c r="C190" s="21" t="s">
        <v>1168</v>
      </c>
      <c r="D190" s="21" t="s">
        <v>1144</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1279</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1280</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1203</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1281</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218</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312</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row>
    <row r="198" spans="1:12">
      <c r="A198" s="20" t="s">
        <v>1282</v>
      </c>
    </row>
    <row r="199" spans="1:12">
      <c r="A199" s="20" t="s">
        <v>1283</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1284</v>
      </c>
      <c r="B200" s="21" t="s">
        <v>1165</v>
      </c>
      <c r="C200" s="21" t="s">
        <v>1162</v>
      </c>
      <c r="D200" s="21" t="s">
        <v>1144</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53</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1285</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1146</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1286</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1261</v>
      </c>
      <c r="B205" s="21" t="s">
        <v>1142</v>
      </c>
      <c r="C205" s="21" t="s">
        <v>1151</v>
      </c>
      <c r="D205" s="21" t="s">
        <v>1144</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1287</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1166</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1174</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1288</v>
      </c>
      <c r="B209" s="21" t="s">
        <v>1175</v>
      </c>
      <c r="C209" s="21" t="s">
        <v>1151</v>
      </c>
      <c r="D209" s="21" t="s">
        <v>1144</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1191</v>
      </c>
      <c r="B210" s="21" t="s">
        <v>1193</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1289</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1285</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1290</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1263</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row>
    <row r="216" spans="1:12">
      <c r="A216" s="20" t="s">
        <v>1291</v>
      </c>
    </row>
    <row r="217" spans="1:12">
      <c r="A217" s="20" t="s">
        <v>1265</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1292</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1198</v>
      </c>
      <c r="B219" s="21" t="s">
        <v>1165</v>
      </c>
      <c r="C219" s="21" t="s">
        <v>1151</v>
      </c>
      <c r="D219" s="21" t="s">
        <v>1144</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1293</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1285</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1267</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1166</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1203</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1198</v>
      </c>
      <c r="B225" s="21" t="s">
        <v>1142</v>
      </c>
      <c r="C225" s="21" t="s">
        <v>1151</v>
      </c>
      <c r="D225" s="21" t="s">
        <v>1144</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1202</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1149</v>
      </c>
      <c r="B227" s="21" t="s">
        <v>1150</v>
      </c>
      <c r="C227" s="21" t="s">
        <v>1151</v>
      </c>
      <c r="D227" s="21" t="s">
        <v>1144</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1176</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1294</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1295</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312</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row>
    <row r="233" spans="1:12">
      <c r="A233" s="20" t="s">
        <v>1296</v>
      </c>
    </row>
    <row r="234" spans="1:12">
      <c r="A234" s="20" t="s">
        <v>1297</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1298</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1198</v>
      </c>
      <c r="B236" s="21" t="s">
        <v>1142</v>
      </c>
      <c r="C236" s="21" t="s">
        <v>1151</v>
      </c>
      <c r="D236" s="21" t="s">
        <v>1144</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1219</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1191</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1223</v>
      </c>
      <c r="B239" s="21" t="s">
        <v>1171</v>
      </c>
      <c r="C239" s="21" t="s">
        <v>1162</v>
      </c>
      <c r="D239" s="21" t="s">
        <v>1144</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1299</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1146</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1300</v>
      </c>
      <c r="B242" s="21" t="s">
        <v>1142</v>
      </c>
      <c r="C242" s="21" t="s">
        <v>1151</v>
      </c>
      <c r="D242" s="21" t="s">
        <v>1144</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1301</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1302</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1218</v>
      </c>
      <c r="B245" s="21" t="s">
        <v>1147</v>
      </c>
      <c r="C245" s="21" t="s">
        <v>1168</v>
      </c>
      <c r="D245" s="21" t="s">
        <v>1144</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1303</v>
      </c>
      <c r="B246" s="21" t="s">
        <v>1171</v>
      </c>
      <c r="C246" s="21" t="s">
        <v>1182</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1179</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1246</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1304</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1305</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1306</v>
      </c>
      <c r="B251" s="21" t="s">
        <v>1161</v>
      </c>
      <c r="C251" s="21" t="s">
        <v>1155</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12</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1307</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1308</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127</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1166</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1309</v>
      </c>
      <c r="B257" s="21" t="s">
        <v>1310</v>
      </c>
      <c r="C257" s="21" t="s">
        <v>1168</v>
      </c>
      <c r="D257" s="21" t="s">
        <v>1144</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1167</v>
      </c>
      <c r="B258" s="21" t="s">
        <v>1311</v>
      </c>
      <c r="C258" s="21" t="s">
        <v>1168</v>
      </c>
      <c r="D258" s="21" t="s">
        <v>1144</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1252</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1166</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1238</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1274</v>
      </c>
      <c r="B262" s="21" t="s">
        <v>1312</v>
      </c>
      <c r="C262" s="21" t="s">
        <v>1162</v>
      </c>
      <c r="D262" s="21" t="s">
        <v>1144</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1275</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1276</v>
      </c>
      <c r="B264" s="21" t="s">
        <v>1242</v>
      </c>
      <c r="C264" s="21" t="s">
        <v>1162</v>
      </c>
      <c r="D264" s="21" t="s">
        <v>1144</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1308</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127</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312</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row>
    <row r="269" spans="1:12">
      <c r="A269" s="20" t="s">
        <v>1313</v>
      </c>
    </row>
    <row r="270" spans="1:12">
      <c r="A270" s="20" t="s">
        <v>1217</v>
      </c>
      <c r="B270" s="21" t="s">
        <v>1165</v>
      </c>
      <c r="C270" s="21" t="s">
        <v>1168</v>
      </c>
      <c r="D270" s="21" t="s">
        <v>1144</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65</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1289</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1314</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1159</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1315</v>
      </c>
      <c r="B275" s="21" t="s">
        <v>1161</v>
      </c>
      <c r="C275" s="21" t="s">
        <v>1162</v>
      </c>
      <c r="D275" s="21" t="s">
        <v>1144</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12</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1309</v>
      </c>
      <c r="B277" s="21" t="s">
        <v>1142</v>
      </c>
      <c r="C277" s="21" t="s">
        <v>1168</v>
      </c>
      <c r="D277" s="21" t="s">
        <v>1144</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1307</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1316</v>
      </c>
      <c r="B279" s="21" t="s">
        <v>1161</v>
      </c>
      <c r="C279" s="21" t="s">
        <v>1187</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1301</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312</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row>
    <row r="283" spans="1:12">
      <c r="A283" s="20" t="s">
        <v>1317</v>
      </c>
    </row>
    <row r="284" spans="1:12">
      <c r="A284" s="20" t="s">
        <v>1217</v>
      </c>
      <c r="B284" s="21" t="s">
        <v>1165</v>
      </c>
      <c r="C284" s="21" t="s">
        <v>1168</v>
      </c>
      <c r="D284" s="21" t="s">
        <v>1144</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69</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1239</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1318</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63</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1319</v>
      </c>
      <c r="B289" s="21" t="s">
        <v>1161</v>
      </c>
      <c r="C289" s="21" t="s">
        <v>1214</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1320</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1166</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60</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1275</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1321</v>
      </c>
      <c r="B294" s="21" t="s">
        <v>1142</v>
      </c>
      <c r="C294" s="21" t="s">
        <v>1162</v>
      </c>
      <c r="D294" s="21" t="s">
        <v>1144</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1301</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1322</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1176</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1323</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312</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row>
    <row r="301" spans="1:12">
      <c r="A301" s="20" t="s">
        <v>1324</v>
      </c>
    </row>
    <row r="302" spans="1:12">
      <c r="A302" s="20" t="s">
        <v>198</v>
      </c>
      <c r="B302" s="21" t="s">
        <v>1165</v>
      </c>
      <c r="C302" s="21" t="s">
        <v>1143</v>
      </c>
      <c r="D302" s="21" t="s">
        <v>1144</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1146</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1325</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1164</v>
      </c>
      <c r="B305" s="21" t="s">
        <v>1175</v>
      </c>
      <c r="C305" s="21" t="s">
        <v>1151</v>
      </c>
      <c r="D305" s="21" t="s">
        <v>1144</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1323</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1301</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1166</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1178</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1326</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1191</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1076</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1263</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row>
    <row r="315" spans="1:12">
      <c r="A315" s="20" t="s">
        <v>1327</v>
      </c>
    </row>
    <row r="316" spans="1:12">
      <c r="A316" s="20" t="s">
        <v>308</v>
      </c>
      <c r="B316" s="21" t="s">
        <v>1161</v>
      </c>
      <c r="C316" s="21" t="s">
        <v>1187</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1146</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1325</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1198</v>
      </c>
      <c r="B319" s="21" t="s">
        <v>1165</v>
      </c>
      <c r="C319" s="21" t="s">
        <v>1151</v>
      </c>
      <c r="D319" s="21" t="s">
        <v>1144</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1328</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1166</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1259</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1167</v>
      </c>
      <c r="B323" s="21" t="s">
        <v>1142</v>
      </c>
      <c r="C323" s="21" t="s">
        <v>1168</v>
      </c>
      <c r="D323" s="21" t="s">
        <v>1144</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1329</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1146</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1330</v>
      </c>
      <c r="B326" s="21" t="s">
        <v>1175</v>
      </c>
      <c r="C326" s="21" t="s">
        <v>1331</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1301</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1332</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1275</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1321</v>
      </c>
      <c r="B330" s="21" t="s">
        <v>1175</v>
      </c>
      <c r="C330" s="21" t="s">
        <v>1162</v>
      </c>
      <c r="D330" s="21" t="s">
        <v>1144</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1333</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1176</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1323</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1263</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row>
    <row r="336" spans="1:12">
      <c r="A336" s="20" t="s">
        <v>1334</v>
      </c>
    </row>
    <row r="337" spans="1:12">
      <c r="A337" s="20" t="s">
        <v>1335</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1336</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1337</v>
      </c>
      <c r="B339" s="21" t="s">
        <v>1165</v>
      </c>
      <c r="C339" s="21" t="s">
        <v>1155</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1301</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1238</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1338</v>
      </c>
      <c r="B342" s="21" t="s">
        <v>1161</v>
      </c>
      <c r="C342" s="21" t="s">
        <v>1162</v>
      </c>
      <c r="D342" s="21" t="s">
        <v>1144</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1339</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1159</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1340</v>
      </c>
      <c r="B345" s="21" t="s">
        <v>1161</v>
      </c>
      <c r="C345" s="21" t="s">
        <v>1162</v>
      </c>
      <c r="D345" s="21" t="s">
        <v>1144</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312</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row>
    <row r="348" spans="1:12">
      <c r="A348" s="20" t="s">
        <v>1341</v>
      </c>
    </row>
    <row r="349" spans="1:12">
      <c r="A349" s="20" t="s">
        <v>1342</v>
      </c>
      <c r="B349" s="21" t="s">
        <v>1165</v>
      </c>
      <c r="C349" s="21" t="s">
        <v>1143</v>
      </c>
      <c r="D349" s="21" t="s">
        <v>1144</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1343</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1344</v>
      </c>
      <c r="B351" s="21" t="s">
        <v>1171</v>
      </c>
      <c r="C351" s="21" t="s">
        <v>1143</v>
      </c>
      <c r="D351" s="21" t="s">
        <v>1144</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1176</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1166</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1259</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1230</v>
      </c>
      <c r="B355" s="21" t="s">
        <v>1161</v>
      </c>
      <c r="C355" s="21" t="s">
        <v>1151</v>
      </c>
      <c r="D355" s="21" t="s">
        <v>1144</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1345</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312</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row>
    <row r="359" spans="1:12">
      <c r="A359" s="20" t="s">
        <v>1346</v>
      </c>
    </row>
    <row r="360" spans="1:12">
      <c r="A360" s="20" t="s">
        <v>1347</v>
      </c>
      <c r="B360" s="21" t="s">
        <v>1165</v>
      </c>
      <c r="C360" s="21" t="s">
        <v>1151</v>
      </c>
      <c r="D360" s="21" t="s">
        <v>1144</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1344</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1176</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1166</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1309</v>
      </c>
      <c r="B364" s="21" t="s">
        <v>1150</v>
      </c>
      <c r="C364" s="21" t="s">
        <v>1168</v>
      </c>
      <c r="D364" s="21" t="s">
        <v>1144</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1230</v>
      </c>
      <c r="B365" s="21" t="s">
        <v>1142</v>
      </c>
      <c r="C365" s="21" t="s">
        <v>1151</v>
      </c>
      <c r="D365" s="21" t="s">
        <v>1144</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1348</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312</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row>
    <row r="369" spans="1:12">
      <c r="A369" s="20" t="s">
        <v>1349</v>
      </c>
    </row>
    <row r="370" spans="1:12">
      <c r="A370" s="20" t="s">
        <v>1347</v>
      </c>
      <c r="B370" s="21" t="s">
        <v>1165</v>
      </c>
      <c r="C370" s="21" t="s">
        <v>1151</v>
      </c>
      <c r="D370" s="21" t="s">
        <v>1144</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1344</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1176</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1166</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1309</v>
      </c>
      <c r="B374" s="21" t="s">
        <v>1150</v>
      </c>
      <c r="C374" s="21" t="s">
        <v>1168</v>
      </c>
      <c r="D374" s="21" t="s">
        <v>1144</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1230</v>
      </c>
      <c r="B375" s="21" t="s">
        <v>1142</v>
      </c>
      <c r="C375" s="21" t="s">
        <v>1151</v>
      </c>
      <c r="D375" s="21" t="s">
        <v>1144</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1350</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312</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row>
    <row r="379" spans="1:12">
      <c r="A379" s="20" t="s">
        <v>1351</v>
      </c>
    </row>
    <row r="380" spans="1:12">
      <c r="A380" s="20" t="s">
        <v>1158</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1352</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1243</v>
      </c>
      <c r="B382" s="21" t="s">
        <v>1161</v>
      </c>
      <c r="C382" s="21" t="s">
        <v>1187</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96</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1167</v>
      </c>
      <c r="B384" s="21" t="s">
        <v>1165</v>
      </c>
      <c r="C384" s="21" t="s">
        <v>1168</v>
      </c>
      <c r="D384" s="21" t="s">
        <v>1144</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1240</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1251</v>
      </c>
      <c r="B386" s="21" t="s">
        <v>1161</v>
      </c>
      <c r="C386" s="21" t="s">
        <v>1182</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1166</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1353</v>
      </c>
      <c r="B388" s="21" t="s">
        <v>1150</v>
      </c>
      <c r="C388" s="21" t="s">
        <v>1187</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1354</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1308</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852</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1166</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1174</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1278</v>
      </c>
      <c r="B394" s="21" t="s">
        <v>1175</v>
      </c>
      <c r="C394" s="21" t="s">
        <v>1168</v>
      </c>
      <c r="D394" s="21" t="s">
        <v>1144</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1355</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1356</v>
      </c>
      <c r="B396" s="21" t="s">
        <v>1193</v>
      </c>
      <c r="C396" s="21" t="s">
        <v>1228</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127</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312</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row>
    <row r="400" spans="1:12">
      <c r="A400" s="20" t="s">
        <v>1357</v>
      </c>
    </row>
    <row r="401" spans="1:12">
      <c r="A401" s="20" t="s">
        <v>1221</v>
      </c>
      <c r="B401" s="21" t="s">
        <v>1165</v>
      </c>
      <c r="C401" s="21" t="s">
        <v>1143</v>
      </c>
      <c r="D401" s="21" t="s">
        <v>1144</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1358</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1344</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1166</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1259</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1230</v>
      </c>
      <c r="B406" s="21" t="s">
        <v>1142</v>
      </c>
      <c r="C406" s="21" t="s">
        <v>1151</v>
      </c>
      <c r="D406" s="21" t="s">
        <v>1144</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1345</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1166</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1344</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1166</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1309</v>
      </c>
      <c r="B411" s="21" t="s">
        <v>1193</v>
      </c>
      <c r="C411" s="21" t="s">
        <v>1168</v>
      </c>
      <c r="D411" s="21" t="s">
        <v>1144</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1230</v>
      </c>
      <c r="B412" s="21" t="s">
        <v>1175</v>
      </c>
      <c r="C412" s="21" t="s">
        <v>1168</v>
      </c>
      <c r="D412" s="21" t="s">
        <v>1144</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989</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1359</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312</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row>
    <row r="417" spans="1:12">
      <c r="A417" s="20" t="s">
        <v>1360</v>
      </c>
    </row>
    <row r="418" spans="1:12">
      <c r="A418" s="20" t="s">
        <v>1343</v>
      </c>
      <c r="B418" s="21" t="s">
        <v>1165</v>
      </c>
      <c r="C418" s="21" t="s">
        <v>1187</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1166</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1238</v>
      </c>
      <c r="B420" s="21" t="s">
        <v>1175</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1361</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1203</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1362</v>
      </c>
      <c r="B423" s="21" t="s">
        <v>1310</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127</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1166</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1238</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1363</v>
      </c>
      <c r="B427" s="21" t="s">
        <v>1154</v>
      </c>
      <c r="C427" s="21" t="s">
        <v>1162</v>
      </c>
      <c r="D427" s="21" t="s">
        <v>1144</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103</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1166</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1191</v>
      </c>
      <c r="B430" s="21" t="s">
        <v>1150</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165</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1167</v>
      </c>
      <c r="B432" s="21" t="s">
        <v>1142</v>
      </c>
      <c r="C432" s="21" t="s">
        <v>1168</v>
      </c>
      <c r="D432" s="21" t="s">
        <v>1144</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1289</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1176</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1364</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312</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row>
    <row r="438" spans="1:12">
      <c r="A438" s="20" t="s">
        <v>1365</v>
      </c>
    </row>
    <row r="439" spans="1:12">
      <c r="A439" s="20" t="s">
        <v>1300</v>
      </c>
      <c r="B439" s="21" t="s">
        <v>1165</v>
      </c>
      <c r="C439" s="21" t="s">
        <v>1151</v>
      </c>
      <c r="D439" s="21" t="s">
        <v>1144</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1301</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1366</v>
      </c>
      <c r="B441" s="21" t="s">
        <v>1165</v>
      </c>
      <c r="C441" s="21" t="s">
        <v>1182</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1289</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1367</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1368</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312</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row>
    <row r="447" spans="1:12">
      <c r="A447" s="20" t="s">
        <v>1369</v>
      </c>
    </row>
    <row r="448" spans="1:12">
      <c r="A448" s="20" t="s">
        <v>198</v>
      </c>
      <c r="B448" s="21" t="s">
        <v>1165</v>
      </c>
      <c r="C448" s="21" t="s">
        <v>1143</v>
      </c>
      <c r="D448" s="21" t="s">
        <v>1144</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1146</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1325</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1370</v>
      </c>
      <c r="B451" s="21" t="s">
        <v>1175</v>
      </c>
      <c r="C451" s="21" t="s">
        <v>1182</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1371</v>
      </c>
      <c r="B452" s="21" t="s">
        <v>1193</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1372</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1166</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1309</v>
      </c>
      <c r="B455" s="21" t="s">
        <v>1193</v>
      </c>
      <c r="C455" s="21" t="s">
        <v>1168</v>
      </c>
      <c r="D455" s="21" t="s">
        <v>1144</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1221</v>
      </c>
      <c r="B456" s="21" t="s">
        <v>1175</v>
      </c>
      <c r="C456" s="21" t="s">
        <v>1143</v>
      </c>
      <c r="D456" s="21" t="s">
        <v>1144</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1290</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1166</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1178</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1373</v>
      </c>
      <c r="B460" s="21" t="s">
        <v>1161</v>
      </c>
      <c r="C460" s="21" t="s">
        <v>1143</v>
      </c>
      <c r="D460" s="21" t="s">
        <v>1144</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1374</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1375</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1376</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1263</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row>
    <row r="466" spans="1:12">
      <c r="A466" s="20" t="s">
        <v>1377</v>
      </c>
    </row>
    <row r="467" spans="1:12">
      <c r="A467" s="20" t="s">
        <v>308</v>
      </c>
      <c r="B467" s="21" t="s">
        <v>1165</v>
      </c>
      <c r="C467" s="21" t="s">
        <v>1143</v>
      </c>
      <c r="D467" s="21" t="s">
        <v>1144</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1146</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1374</v>
      </c>
      <c r="B469" s="21" t="s">
        <v>1171</v>
      </c>
      <c r="C469" s="21" t="s">
        <v>1143</v>
      </c>
      <c r="D469" s="21" t="s">
        <v>1144</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1301</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1179</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1378</v>
      </c>
      <c r="B472" s="21" t="s">
        <v>1161</v>
      </c>
      <c r="C472" s="21" t="s">
        <v>1155</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1166</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1191</v>
      </c>
      <c r="B474" s="21" t="s">
        <v>1150</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1167</v>
      </c>
      <c r="B475" s="21" t="s">
        <v>1142</v>
      </c>
      <c r="C475" s="21" t="s">
        <v>1168</v>
      </c>
      <c r="D475" s="21" t="s">
        <v>1144</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1379</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1380</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165</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312</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row>
    <row r="481" spans="1:12">
      <c r="A481" s="20" t="s">
        <v>1381</v>
      </c>
    </row>
    <row r="482" spans="1:12">
      <c r="A482" s="20" t="s">
        <v>1300</v>
      </c>
      <c r="B482" s="21" t="s">
        <v>1165</v>
      </c>
      <c r="C482" s="21" t="s">
        <v>1151</v>
      </c>
      <c r="D482" s="21" t="s">
        <v>1144</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1301</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1339</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1382</v>
      </c>
      <c r="B485" s="21" t="s">
        <v>1161</v>
      </c>
      <c r="C485" s="21" t="s">
        <v>1143</v>
      </c>
      <c r="D485" s="21" t="s">
        <v>1144</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312</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row>
    <row r="488" spans="1:12">
      <c r="A488" s="20" t="s">
        <v>1383</v>
      </c>
    </row>
    <row r="489" spans="1:12">
      <c r="A489" s="20" t="s">
        <v>1189</v>
      </c>
      <c r="B489" s="21" t="s">
        <v>1165</v>
      </c>
      <c r="C489" s="21" t="s">
        <v>1151</v>
      </c>
      <c r="D489" s="21" t="s">
        <v>1144</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1384</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1385</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123</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1166</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1178</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1167</v>
      </c>
      <c r="B495" s="21" t="s">
        <v>1142</v>
      </c>
      <c r="C495" s="21" t="s">
        <v>1168</v>
      </c>
      <c r="D495" s="21" t="s">
        <v>1144</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1354</v>
      </c>
      <c r="B496" s="21" t="s">
        <v>1171</v>
      </c>
      <c r="C496" s="21" t="s">
        <v>1172</v>
      </c>
      <c r="D496" s="21" t="s">
        <v>1144</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1386</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1146</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1217</v>
      </c>
      <c r="B499" s="21" t="s">
        <v>1142</v>
      </c>
      <c r="C499" s="21" t="s">
        <v>1168</v>
      </c>
      <c r="D499" s="21" t="s">
        <v>1144</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165</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1218</v>
      </c>
      <c r="B501" s="21" t="s">
        <v>1150</v>
      </c>
      <c r="C501" s="21" t="s">
        <v>1168</v>
      </c>
      <c r="D501" s="21" t="s">
        <v>1144</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1387</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1223</v>
      </c>
      <c r="B503" s="21" t="s">
        <v>1171</v>
      </c>
      <c r="C503" s="21" t="s">
        <v>1187</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1203</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1388</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1389</v>
      </c>
      <c r="B506" s="21" t="s">
        <v>1147</v>
      </c>
      <c r="C506" s="21" t="s">
        <v>1187</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1390</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312</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row>
    <row r="510" spans="1:12">
      <c r="A510" s="20" t="s">
        <v>1391</v>
      </c>
    </row>
    <row r="511" spans="1:12">
      <c r="A511" s="20" t="s">
        <v>1217</v>
      </c>
      <c r="B511" s="21" t="s">
        <v>1165</v>
      </c>
      <c r="C511" s="21" t="s">
        <v>1168</v>
      </c>
      <c r="D511" s="21" t="s">
        <v>1144</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1392</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1366</v>
      </c>
      <c r="B513" s="21" t="s">
        <v>1154</v>
      </c>
      <c r="C513" s="21" t="s">
        <v>1182</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127</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1166</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1343</v>
      </c>
      <c r="B516" s="21" t="s">
        <v>1142</v>
      </c>
      <c r="C516" s="21" t="s">
        <v>1187</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1393</v>
      </c>
      <c r="B517" s="21" t="s">
        <v>1150</v>
      </c>
      <c r="C517" s="21" t="s">
        <v>1168</v>
      </c>
      <c r="D517" s="21" t="s">
        <v>1144</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1394</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218</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1203</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815</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1166</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1174</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1278</v>
      </c>
      <c r="B524" s="21" t="s">
        <v>1175</v>
      </c>
      <c r="C524" s="21" t="s">
        <v>1168</v>
      </c>
      <c r="D524" s="21" t="s">
        <v>1144</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1362</v>
      </c>
      <c r="B525" s="21" t="s">
        <v>1193</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1294</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127</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312</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row>
    <row r="530" spans="1:12">
      <c r="A530" s="20" t="s">
        <v>1395</v>
      </c>
    </row>
    <row r="531" spans="1:12">
      <c r="A531" s="20" t="s">
        <v>1396</v>
      </c>
      <c r="B531" s="21" t="s">
        <v>1165</v>
      </c>
      <c r="C531" s="21" t="s">
        <v>1187</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1397</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1307</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1060</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312</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row>
    <row r="537" spans="1:12">
      <c r="A537" s="20" t="s">
        <v>1398</v>
      </c>
    </row>
    <row r="538" spans="1:12">
      <c r="A538" s="20" t="s">
        <v>1399</v>
      </c>
      <c r="B538" s="21" t="s">
        <v>1165</v>
      </c>
      <c r="C538" s="21" t="s">
        <v>1168</v>
      </c>
      <c r="D538" s="21" t="s">
        <v>1144</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1301</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1275</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1400</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1401</v>
      </c>
      <c r="B542" s="21" t="s">
        <v>1161</v>
      </c>
      <c r="C542" s="21" t="s">
        <v>1162</v>
      </c>
      <c r="D542" s="21" t="s">
        <v>1144</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1339</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1275</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1402</v>
      </c>
      <c r="B545" s="21" t="s">
        <v>1161</v>
      </c>
      <c r="C545" s="21" t="s">
        <v>1162</v>
      </c>
      <c r="D545" s="21" t="s">
        <v>1144</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1263</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row>
    <row r="548" spans="1:12">
      <c r="A548" s="20" t="s">
        <v>1403</v>
      </c>
    </row>
    <row r="549" spans="1:12">
      <c r="A549" s="20" t="s">
        <v>1404</v>
      </c>
      <c r="B549" s="21" t="s">
        <v>1165</v>
      </c>
      <c r="C549" s="21" t="s">
        <v>1151</v>
      </c>
      <c r="D549" s="21" t="s">
        <v>1144</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1301</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1176</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1405</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1406</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312</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row>
    <row r="556" spans="1:12">
      <c r="A556" s="20" t="s">
        <v>1407</v>
      </c>
    </row>
    <row r="557" spans="1:12">
      <c r="A557" s="20" t="s">
        <v>1404</v>
      </c>
      <c r="B557" s="21" t="s">
        <v>1165</v>
      </c>
      <c r="C557" s="21" t="s">
        <v>1151</v>
      </c>
      <c r="D557" s="21" t="s">
        <v>1144</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1408</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1362</v>
      </c>
      <c r="B559" s="21" t="s">
        <v>1142</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1176</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1409</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312</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row>
    <row r="564" spans="1:12">
      <c r="A564" s="20" t="s">
        <v>1410</v>
      </c>
    </row>
    <row r="565" spans="1:12">
      <c r="A565" s="20" t="s">
        <v>1217</v>
      </c>
      <c r="B565" s="21" t="s">
        <v>1165</v>
      </c>
      <c r="C565" s="21" t="s">
        <v>1168</v>
      </c>
      <c r="D565" s="21" t="s">
        <v>1144</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165</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1411</v>
      </c>
      <c r="B567" s="21" t="s">
        <v>1171</v>
      </c>
      <c r="C567" s="21" t="s">
        <v>1182</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1412</v>
      </c>
      <c r="B568" s="21" t="s">
        <v>1165</v>
      </c>
      <c r="C568" s="21" t="s">
        <v>1187</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1413</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1166</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1414</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1332</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1402</v>
      </c>
      <c r="B573" s="21" t="s">
        <v>1171</v>
      </c>
      <c r="C573" s="21" t="s">
        <v>1187</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1333</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1308</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1415</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312</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row>
    <row r="579" spans="1:12">
      <c r="A579" s="20" t="s">
        <v>1416</v>
      </c>
    </row>
    <row r="580" spans="1:12">
      <c r="A580" s="20" t="s">
        <v>1417</v>
      </c>
      <c r="B580" s="21" t="s">
        <v>1165</v>
      </c>
      <c r="C580" s="21" t="s">
        <v>1232</v>
      </c>
      <c r="D580" s="21" t="s">
        <v>1144</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1148</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1218</v>
      </c>
      <c r="B582" s="21" t="s">
        <v>1154</v>
      </c>
      <c r="C582" s="21" t="s">
        <v>1168</v>
      </c>
      <c r="D582" s="21" t="s">
        <v>1144</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1418</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312</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row>
    <row r="586" spans="1:12">
      <c r="A586" s="20" t="s">
        <v>1419</v>
      </c>
    </row>
    <row r="587" spans="1:12">
      <c r="A587" s="20" t="s">
        <v>1217</v>
      </c>
      <c r="B587" s="21" t="s">
        <v>1165</v>
      </c>
      <c r="C587" s="21" t="s">
        <v>1168</v>
      </c>
      <c r="D587" s="21" t="s">
        <v>1144</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1420</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1314</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1166</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1218</v>
      </c>
      <c r="B591" s="21" t="s">
        <v>1150</v>
      </c>
      <c r="C591" s="21" t="s">
        <v>1168</v>
      </c>
      <c r="D591" s="21" t="s">
        <v>1144</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1421</v>
      </c>
      <c r="B592" s="21" t="s">
        <v>1150</v>
      </c>
      <c r="C592" s="21" t="s">
        <v>1187</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1178</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1422</v>
      </c>
      <c r="B594" s="21" t="s">
        <v>1147</v>
      </c>
      <c r="C594" s="21" t="s">
        <v>1143</v>
      </c>
      <c r="D594" s="21" t="s">
        <v>1144</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1423</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312</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row>
    <row r="598" spans="1:12">
      <c r="A598" s="20" t="s">
        <v>1424</v>
      </c>
    </row>
    <row r="599" spans="1:12">
      <c r="A599" s="20" t="s">
        <v>1425</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1167</v>
      </c>
      <c r="B600" s="21" t="s">
        <v>1165</v>
      </c>
      <c r="C600" s="21" t="s">
        <v>1168</v>
      </c>
      <c r="D600" s="21" t="s">
        <v>1144</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1422</v>
      </c>
      <c r="B601" s="21" t="s">
        <v>1154</v>
      </c>
      <c r="C601" s="21" t="s">
        <v>1143</v>
      </c>
      <c r="D601" s="21" t="s">
        <v>1144</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127</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1263</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row>
    <row r="605" spans="1:12">
      <c r="A605" s="20" t="s">
        <v>1426</v>
      </c>
    </row>
    <row r="606" spans="1:12">
      <c r="A606" s="20" t="s">
        <v>1217</v>
      </c>
      <c r="B606" s="21" t="s">
        <v>1165</v>
      </c>
      <c r="C606" s="21" t="s">
        <v>1168</v>
      </c>
      <c r="D606" s="21" t="s">
        <v>1144</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165</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1411</v>
      </c>
      <c r="B608" s="21" t="s">
        <v>1165</v>
      </c>
      <c r="C608" s="21" t="s">
        <v>1182</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1412</v>
      </c>
      <c r="B609" s="21" t="s">
        <v>1154</v>
      </c>
      <c r="C609" s="21" t="s">
        <v>1187</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1219</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1422</v>
      </c>
      <c r="B611" s="21" t="s">
        <v>1171</v>
      </c>
      <c r="C611" s="21" t="s">
        <v>1143</v>
      </c>
      <c r="D611" s="21" t="s">
        <v>1144</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1427</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161</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312</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row>
    <row r="616" spans="1:12">
      <c r="A616" s="20" t="s">
        <v>1428</v>
      </c>
    </row>
    <row r="617" spans="1:12">
      <c r="A617" s="20" t="s">
        <v>1283</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1429</v>
      </c>
      <c r="B618" s="21" t="s">
        <v>1165</v>
      </c>
      <c r="C618" s="21" t="s">
        <v>1162</v>
      </c>
      <c r="D618" s="21" t="s">
        <v>1144</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1148</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1430</v>
      </c>
      <c r="B620" s="21" t="s">
        <v>1154</v>
      </c>
      <c r="C620" s="21" t="s">
        <v>1187</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1431</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1166</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1294</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1432</v>
      </c>
      <c r="B624" s="21" t="s">
        <v>1142</v>
      </c>
      <c r="C624" s="21" t="s">
        <v>1143</v>
      </c>
      <c r="D624" s="21" t="s">
        <v>1144</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1433</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312</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row>
    <row r="628" spans="1:12">
      <c r="A628" s="20" t="s">
        <v>1434</v>
      </c>
    </row>
    <row r="629" spans="1:12">
      <c r="A629" s="20" t="s">
        <v>1417</v>
      </c>
      <c r="B629" s="21" t="s">
        <v>1165</v>
      </c>
      <c r="C629" s="21" t="s">
        <v>1232</v>
      </c>
      <c r="D629" s="21" t="s">
        <v>1144</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1301</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1179</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1435</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1025</v>
      </c>
      <c r="B633" s="21" t="s">
        <v>1161</v>
      </c>
      <c r="C633" s="21" t="s">
        <v>1155</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312</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row>
    <row r="636" spans="1:12">
      <c r="A636" s="20" t="s">
        <v>1436</v>
      </c>
    </row>
    <row r="637" spans="1:12">
      <c r="A637" s="20" t="s">
        <v>1217</v>
      </c>
      <c r="B637" s="21" t="s">
        <v>1165</v>
      </c>
      <c r="C637" s="21" t="s">
        <v>1168</v>
      </c>
      <c r="D637" s="21" t="s">
        <v>1144</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1437</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1166</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1174</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1375</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1307</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1206</v>
      </c>
      <c r="B643" s="21" t="s">
        <v>1161</v>
      </c>
      <c r="C643" s="21" t="s">
        <v>1168</v>
      </c>
      <c r="D643" s="21" t="s">
        <v>1144</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1301</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312</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row>
    <row r="647" spans="1:12">
      <c r="A647" s="20" t="s">
        <v>1438</v>
      </c>
    </row>
    <row r="648" spans="1:12">
      <c r="A648" s="20" t="s">
        <v>1325</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1167</v>
      </c>
      <c r="B649" s="21" t="s">
        <v>1142</v>
      </c>
      <c r="C649" s="21" t="s">
        <v>1168</v>
      </c>
      <c r="D649" s="21" t="s">
        <v>1144</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182</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1439</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1166</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1309</v>
      </c>
      <c r="B653" s="21" t="s">
        <v>1175</v>
      </c>
      <c r="C653" s="21" t="s">
        <v>1168</v>
      </c>
      <c r="D653" s="21" t="s">
        <v>1144</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1430</v>
      </c>
      <c r="B654" s="21" t="s">
        <v>1171</v>
      </c>
      <c r="C654" s="21" t="s">
        <v>1187</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1440</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1166</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1441</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1442</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1191</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1060</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119</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312</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row>
    <row r="664" spans="1:12">
      <c r="A664" s="20" t="s">
        <v>1443</v>
      </c>
    </row>
    <row r="665" spans="1:12">
      <c r="A665" s="20" t="s">
        <v>1189</v>
      </c>
      <c r="B665" s="21" t="s">
        <v>1165</v>
      </c>
      <c r="C665" s="21" t="s">
        <v>1151</v>
      </c>
      <c r="D665" s="21" t="s">
        <v>1144</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1292</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1166</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1191</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1444</v>
      </c>
      <c r="B669" s="21" t="s">
        <v>1161</v>
      </c>
      <c r="C669" s="21" t="s">
        <v>1162</v>
      </c>
      <c r="D669" s="21" t="s">
        <v>1144</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1314</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1374</v>
      </c>
      <c r="B671" s="21" t="s">
        <v>1171</v>
      </c>
      <c r="C671" s="21" t="s">
        <v>1143</v>
      </c>
      <c r="D671" s="21" t="s">
        <v>1144</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1301</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1146</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row>
    <row r="675" spans="1:12">
      <c r="A675" s="20" t="s">
        <v>1445</v>
      </c>
    </row>
    <row r="676" spans="1:12">
      <c r="A676" s="20" t="s">
        <v>1300</v>
      </c>
      <c r="B676" s="21" t="s">
        <v>1165</v>
      </c>
      <c r="C676" s="21" t="s">
        <v>1151</v>
      </c>
      <c r="D676" s="21" t="s">
        <v>1144</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1446</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1447</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1448</v>
      </c>
      <c r="B679" s="21" t="s">
        <v>1154</v>
      </c>
      <c r="C679" s="21" t="s">
        <v>1187</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1449</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1450</v>
      </c>
      <c r="B681" s="21" t="s">
        <v>1171</v>
      </c>
      <c r="C681" s="21" t="s">
        <v>1187</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182</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312</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row>
    <row r="685" spans="1:12">
      <c r="A685" s="20" t="s">
        <v>1451</v>
      </c>
    </row>
    <row r="686" spans="1:12">
      <c r="A686" s="20" t="s">
        <v>1404</v>
      </c>
      <c r="B686" s="21" t="s">
        <v>1165</v>
      </c>
      <c r="C686" s="21" t="s">
        <v>1151</v>
      </c>
      <c r="D686" s="21" t="s">
        <v>1144</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165</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1387</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1452</v>
      </c>
      <c r="B689" s="21" t="s">
        <v>1161</v>
      </c>
      <c r="C689" s="21" t="s">
        <v>1187</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186</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312</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row>
    <row r="693" spans="1:12">
      <c r="A693" s="20" t="s">
        <v>1453</v>
      </c>
    </row>
    <row r="694" spans="1:12">
      <c r="A694" s="20" t="s">
        <v>1454</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1446</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1198</v>
      </c>
      <c r="B696" s="21" t="s">
        <v>1165</v>
      </c>
      <c r="C696" s="21" t="s">
        <v>1151</v>
      </c>
      <c r="D696" s="21" t="s">
        <v>1144</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1191</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1455</v>
      </c>
      <c r="B698" s="21" t="s">
        <v>1154</v>
      </c>
      <c r="C698" s="21" t="s">
        <v>1162</v>
      </c>
      <c r="D698" s="21" t="s">
        <v>1144</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190</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312</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row>
    <row r="702" spans="1:12">
      <c r="A702" s="20" t="s">
        <v>1456</v>
      </c>
    </row>
    <row r="703" spans="1:12">
      <c r="A703" s="20" t="s">
        <v>1283</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1343</v>
      </c>
      <c r="B704" s="21" t="s">
        <v>1165</v>
      </c>
      <c r="C704" s="21" t="s">
        <v>1162</v>
      </c>
      <c r="D704" s="21" t="s">
        <v>1144</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165</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1457</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1458</v>
      </c>
      <c r="B707" s="21" t="s">
        <v>1154</v>
      </c>
      <c r="C707" s="21" t="s">
        <v>1187</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1459</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1203</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1460</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1461</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1166</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1178</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1370</v>
      </c>
      <c r="B714" s="21" t="s">
        <v>1175</v>
      </c>
      <c r="C714" s="21" t="s">
        <v>1182</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1191</v>
      </c>
      <c r="B715" s="21" t="s">
        <v>1193</v>
      </c>
      <c r="C715" s="21" t="s">
        <v>1232</v>
      </c>
      <c r="D715" s="21" t="s">
        <v>1144</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1290</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312</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row>
    <row r="719" spans="1:12">
      <c r="A719" s="20" t="s">
        <v>1462</v>
      </c>
    </row>
    <row r="720" spans="1:12">
      <c r="A720" s="20" t="s">
        <v>198</v>
      </c>
      <c r="B720" s="21" t="s">
        <v>1161</v>
      </c>
      <c r="C720" s="21" t="s">
        <v>1143</v>
      </c>
      <c r="D720" s="21" t="s">
        <v>1144</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1146</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1463</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1404</v>
      </c>
      <c r="B723" s="21" t="s">
        <v>1142</v>
      </c>
      <c r="C723" s="21" t="s">
        <v>1151</v>
      </c>
      <c r="D723" s="21" t="s">
        <v>1144</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1371</v>
      </c>
      <c r="B724" s="21" t="s">
        <v>1150</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1339</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1159</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1455</v>
      </c>
      <c r="B727" s="21" t="s">
        <v>1171</v>
      </c>
      <c r="C727" s="21" t="s">
        <v>1162</v>
      </c>
      <c r="D727" s="21" t="s">
        <v>1144</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1314</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1166</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1178</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1464</v>
      </c>
      <c r="B731" s="21" t="s">
        <v>1171</v>
      </c>
      <c r="C731" s="21" t="s">
        <v>1187</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1465</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1339</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1275</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1466</v>
      </c>
      <c r="B735" s="21" t="s">
        <v>1147</v>
      </c>
      <c r="C735" s="21" t="s">
        <v>1162</v>
      </c>
      <c r="D735" s="21" t="s">
        <v>1144</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1440</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1166</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1467</v>
      </c>
      <c r="B738" s="21" t="s">
        <v>1193</v>
      </c>
      <c r="C738" s="21" t="s">
        <v>1187</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1308</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1468</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312</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row>
    <row r="743" spans="1:12">
      <c r="A743" s="20" t="s">
        <v>1469</v>
      </c>
    </row>
    <row r="744" spans="1:12">
      <c r="A744" s="20" t="s">
        <v>308</v>
      </c>
      <c r="B744" s="21" t="s">
        <v>1165</v>
      </c>
      <c r="C744" s="21" t="s">
        <v>1187</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1146</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1417</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1444</v>
      </c>
      <c r="B747" s="21" t="s">
        <v>1171</v>
      </c>
      <c r="C747" s="21" t="s">
        <v>1162</v>
      </c>
      <c r="D747" s="21" t="s">
        <v>1144</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1301</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1146</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row>
    <row r="751" spans="1:12">
      <c r="A751" s="20" t="s">
        <v>1470</v>
      </c>
    </row>
    <row r="752" spans="1:12">
      <c r="A752" s="20" t="s">
        <v>1417</v>
      </c>
      <c r="B752" s="21" t="s">
        <v>1165</v>
      </c>
      <c r="C752" s="21" t="s">
        <v>1232</v>
      </c>
      <c r="D752" s="21" t="s">
        <v>1144</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1440</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1471</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1472</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1473</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1474</v>
      </c>
      <c r="B757" s="21" t="s">
        <v>1161</v>
      </c>
      <c r="C757" s="21" t="s">
        <v>1187</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1166</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60</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1191</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1475</v>
      </c>
      <c r="B761" s="21" t="s">
        <v>1142</v>
      </c>
      <c r="C761" s="21" t="s">
        <v>1162</v>
      </c>
      <c r="D761" s="21" t="s">
        <v>1144</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1476</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1166</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1309</v>
      </c>
      <c r="B764" s="21" t="s">
        <v>1193</v>
      </c>
      <c r="C764" s="21" t="s">
        <v>1168</v>
      </c>
      <c r="D764" s="21" t="s">
        <v>1144</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1230</v>
      </c>
      <c r="B765" s="21" t="s">
        <v>1175</v>
      </c>
      <c r="C765" s="21" t="s">
        <v>1151</v>
      </c>
      <c r="D765" s="21" t="s">
        <v>1144</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1477</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1146</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1478</v>
      </c>
      <c r="B768" s="21" t="s">
        <v>1147</v>
      </c>
      <c r="C768" s="21" t="s">
        <v>1143</v>
      </c>
      <c r="D768" s="21" t="s">
        <v>1144</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312</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row>
    <row r="771" spans="1:12">
      <c r="A771" s="20" t="s">
        <v>1479</v>
      </c>
    </row>
    <row r="772" spans="1:12">
      <c r="A772" s="20" t="s">
        <v>1300</v>
      </c>
      <c r="B772" s="21" t="s">
        <v>1165</v>
      </c>
      <c r="C772" s="21" t="s">
        <v>1151</v>
      </c>
      <c r="D772" s="21" t="s">
        <v>1144</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1148</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1238</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1480</v>
      </c>
      <c r="B775" s="21" t="s">
        <v>1154</v>
      </c>
      <c r="C775" s="21" t="s">
        <v>1162</v>
      </c>
      <c r="D775" s="21" t="s">
        <v>1144</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1203</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1481</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1482</v>
      </c>
      <c r="B778" s="21" t="s">
        <v>1171</v>
      </c>
      <c r="C778" s="21" t="s">
        <v>1162</v>
      </c>
      <c r="D778" s="21" t="s">
        <v>1144</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312</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row>
    <row r="781" spans="1:12">
      <c r="A781" s="20" t="s">
        <v>1483</v>
      </c>
    </row>
    <row r="782" spans="1:12">
      <c r="A782" s="20" t="s">
        <v>1300</v>
      </c>
      <c r="B782" s="21" t="s">
        <v>1165</v>
      </c>
      <c r="C782" s="21" t="s">
        <v>1151</v>
      </c>
      <c r="D782" s="21" t="s">
        <v>1144</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1148</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1461</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1166</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1484</v>
      </c>
      <c r="B786" s="21" t="s">
        <v>1147</v>
      </c>
      <c r="C786" s="21" t="s">
        <v>1182</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1231</v>
      </c>
      <c r="B787" s="21" t="s">
        <v>1147</v>
      </c>
      <c r="C787" s="21" t="s">
        <v>1232</v>
      </c>
      <c r="D787" s="21" t="s">
        <v>1144</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1485</v>
      </c>
      <c r="B788" s="21" t="s">
        <v>1150</v>
      </c>
      <c r="C788" s="21" t="s">
        <v>1234</v>
      </c>
      <c r="D788" s="21" t="s">
        <v>1144</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1308</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194</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312</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row>
    <row r="793" spans="1:12">
      <c r="A793" s="20" t="s">
        <v>1486</v>
      </c>
    </row>
    <row r="794" spans="1:12">
      <c r="A794" s="20" t="s">
        <v>1487</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1488</v>
      </c>
      <c r="B795" s="21" t="s">
        <v>1165</v>
      </c>
      <c r="C795" s="21" t="s">
        <v>1234</v>
      </c>
      <c r="D795" s="21" t="s">
        <v>1144</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1148</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1461</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1166</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1489</v>
      </c>
      <c r="B799" s="21" t="s">
        <v>1150</v>
      </c>
      <c r="C799" s="21" t="s">
        <v>1187</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1339</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1490</v>
      </c>
      <c r="B801" s="21" t="s">
        <v>1147</v>
      </c>
      <c r="C801" s="21" t="s">
        <v>1232</v>
      </c>
      <c r="D801" s="21" t="s">
        <v>1144</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1491</v>
      </c>
      <c r="B802" s="21" t="s">
        <v>1171</v>
      </c>
      <c r="C802" s="21" t="s">
        <v>1234</v>
      </c>
      <c r="D802" s="21" t="s">
        <v>1144</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1308</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1492</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312</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row>
    <row r="807" spans="1:12">
      <c r="A807" s="20" t="s">
        <v>1493</v>
      </c>
    </row>
    <row r="808" spans="1:12">
      <c r="A808" s="20" t="s">
        <v>1494</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1495</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1167</v>
      </c>
      <c r="B810" s="21" t="s">
        <v>1165</v>
      </c>
      <c r="C810" s="21" t="s">
        <v>1168</v>
      </c>
      <c r="D810" s="21" t="s">
        <v>1144</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1496</v>
      </c>
      <c r="B811" s="21" t="s">
        <v>1171</v>
      </c>
      <c r="C811" s="21" t="s">
        <v>1168</v>
      </c>
      <c r="D811" s="21" t="s">
        <v>1144</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1448</v>
      </c>
      <c r="B812" s="21" t="s">
        <v>1154</v>
      </c>
      <c r="C812" s="21" t="s">
        <v>1232</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1387</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1497</v>
      </c>
      <c r="B814" s="21" t="s">
        <v>1171</v>
      </c>
      <c r="C814" s="21" t="s">
        <v>1187</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1176</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218</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312</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row>
    <row r="819" spans="1:12">
      <c r="A819" s="20" t="s">
        <v>1498</v>
      </c>
    </row>
    <row r="820" spans="1:12">
      <c r="A820" s="20" t="s">
        <v>1189</v>
      </c>
      <c r="B820" s="21" t="s">
        <v>1165</v>
      </c>
      <c r="C820" s="21" t="s">
        <v>1151</v>
      </c>
      <c r="D820" s="21" t="s">
        <v>1144</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1499</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1500</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1166</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1309</v>
      </c>
      <c r="B824" s="21" t="s">
        <v>1150</v>
      </c>
      <c r="C824" s="21" t="s">
        <v>1168</v>
      </c>
      <c r="D824" s="21" t="s">
        <v>1144</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1167</v>
      </c>
      <c r="B825" s="21" t="s">
        <v>1142</v>
      </c>
      <c r="C825" s="21" t="s">
        <v>1168</v>
      </c>
      <c r="D825" s="21" t="s">
        <v>1144</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1501</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36</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312</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row>
    <row r="830" spans="1:12">
      <c r="A830" s="20" t="s">
        <v>1502</v>
      </c>
    </row>
    <row r="831" spans="1:12">
      <c r="A831" s="20" t="s">
        <v>1503</v>
      </c>
      <c r="B831" s="21" t="s">
        <v>1165</v>
      </c>
      <c r="C831" s="21" t="s">
        <v>1232</v>
      </c>
      <c r="D831" s="21" t="s">
        <v>1144</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1301</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1504</v>
      </c>
      <c r="B833" s="21" t="s">
        <v>1161</v>
      </c>
      <c r="C833" s="21" t="s">
        <v>1187</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312</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row>
    <row r="836" spans="1:12">
      <c r="A836" s="20" t="s">
        <v>1505</v>
      </c>
    </row>
    <row r="837" spans="1:12">
      <c r="A837" s="20" t="s">
        <v>1347</v>
      </c>
      <c r="B837" s="21" t="s">
        <v>1165</v>
      </c>
      <c r="C837" s="21" t="s">
        <v>1151</v>
      </c>
      <c r="D837" s="21" t="s">
        <v>1144</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1148</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230</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1166</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1174</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1164</v>
      </c>
      <c r="B842" s="21" t="s">
        <v>1142</v>
      </c>
      <c r="C842" s="21" t="s">
        <v>1151</v>
      </c>
      <c r="D842" s="21" t="s">
        <v>1144</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1481</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1506</v>
      </c>
      <c r="B844" s="21" t="s">
        <v>1150</v>
      </c>
      <c r="C844" s="21" t="s">
        <v>1162</v>
      </c>
      <c r="D844" s="21" t="s">
        <v>1144</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1339</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1238</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1507</v>
      </c>
      <c r="B847" s="21" t="s">
        <v>1171</v>
      </c>
      <c r="C847" s="21" t="s">
        <v>1162</v>
      </c>
      <c r="D847" s="21" t="s">
        <v>1144</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1508</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1446</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312</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row>
    <row r="852" spans="1:12">
      <c r="A852" s="20" t="s">
        <v>1509</v>
      </c>
    </row>
    <row r="853" spans="1:12">
      <c r="A853" s="20" t="s">
        <v>1510</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1343</v>
      </c>
      <c r="B854" s="21" t="s">
        <v>1165</v>
      </c>
      <c r="C854" s="21" t="s">
        <v>1162</v>
      </c>
      <c r="D854" s="21" t="s">
        <v>1144</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1301</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1511</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312</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row>
    <row r="859" spans="1:12">
      <c r="A859" s="20" t="s">
        <v>1512</v>
      </c>
    </row>
    <row r="860" spans="1:12">
      <c r="A860" s="20" t="s">
        <v>1347</v>
      </c>
      <c r="B860" s="21" t="s">
        <v>1165</v>
      </c>
      <c r="C860" s="21" t="s">
        <v>1151</v>
      </c>
      <c r="D860" s="21" t="s">
        <v>1144</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1513</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1457</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1233</v>
      </c>
      <c r="B863" s="21" t="s">
        <v>1154</v>
      </c>
      <c r="C863" s="21" t="s">
        <v>1187</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1314</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312</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row>
    <row r="867" spans="1:12">
      <c r="A867" s="20" t="s">
        <v>1514</v>
      </c>
    </row>
    <row r="868" spans="1:12">
      <c r="A868" s="20" t="s">
        <v>1515</v>
      </c>
      <c r="B868" s="21" t="s">
        <v>1161</v>
      </c>
      <c r="C868" s="21" t="s">
        <v>1187</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242</v>
      </c>
      <c r="B869" s="21" t="s">
        <v>1161</v>
      </c>
      <c r="C869" s="21" t="s">
        <v>1168</v>
      </c>
      <c r="D869" s="21" t="s">
        <v>1144</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1240</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1166</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1370</v>
      </c>
      <c r="B872" s="21" t="s">
        <v>1142</v>
      </c>
      <c r="C872" s="21" t="s">
        <v>1182</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1516</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1231</v>
      </c>
      <c r="B874" s="21" t="s">
        <v>1147</v>
      </c>
      <c r="C874" s="21" t="s">
        <v>1232</v>
      </c>
      <c r="D874" s="21" t="s">
        <v>1144</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1517</v>
      </c>
      <c r="B875" s="21" t="s">
        <v>1142</v>
      </c>
      <c r="C875" s="21" t="s">
        <v>1234</v>
      </c>
      <c r="D875" s="21" t="s">
        <v>1144</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1518</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1355</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1519</v>
      </c>
      <c r="B878" s="21" t="s">
        <v>1171</v>
      </c>
      <c r="C878" s="21" t="s">
        <v>1228</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1520</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1518</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1226</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1521</v>
      </c>
      <c r="B882" s="21" t="s">
        <v>1147</v>
      </c>
      <c r="C882" s="21" t="s">
        <v>1228</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1520</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1522</v>
      </c>
      <c r="B884" s="21" t="s">
        <v>1181</v>
      </c>
      <c r="C884" s="21" t="s">
        <v>1187</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1523</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1215</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row>
    <row r="888" spans="1:12">
      <c r="A888" s="20" t="s">
        <v>1524</v>
      </c>
    </row>
    <row r="889" spans="1:12">
      <c r="A889" s="20" t="s">
        <v>1217</v>
      </c>
      <c r="B889" s="21" t="s">
        <v>1165</v>
      </c>
      <c r="C889" s="21" t="s">
        <v>1168</v>
      </c>
      <c r="D889" s="21" t="s">
        <v>1144</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65</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1339</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1525</v>
      </c>
      <c r="B892" s="21" t="s">
        <v>1171</v>
      </c>
      <c r="C892" s="21" t="s">
        <v>1232</v>
      </c>
      <c r="D892" s="21" t="s">
        <v>1144</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1526</v>
      </c>
      <c r="B893" s="21" t="s">
        <v>1161</v>
      </c>
      <c r="C893" s="21" t="s">
        <v>1234</v>
      </c>
      <c r="D893" s="21" t="s">
        <v>1144</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1527</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1314</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1159</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1315</v>
      </c>
      <c r="B897" s="21" t="s">
        <v>1161</v>
      </c>
      <c r="C897" s="21" t="s">
        <v>1162</v>
      </c>
      <c r="D897" s="21" t="s">
        <v>1144</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312</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row>
    <row r="900" spans="1:12">
      <c r="A900" s="20" t="s">
        <v>1528</v>
      </c>
    </row>
    <row r="901" spans="1:12">
      <c r="A901" s="20" t="s">
        <v>1417</v>
      </c>
      <c r="B901" s="21" t="s">
        <v>1175</v>
      </c>
      <c r="C901" s="21" t="s">
        <v>1232</v>
      </c>
      <c r="D901" s="21" t="s">
        <v>1144</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1301</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1261</v>
      </c>
      <c r="B903" s="21" t="s">
        <v>1142</v>
      </c>
      <c r="C903" s="21" t="s">
        <v>1151</v>
      </c>
      <c r="D903" s="21" t="s">
        <v>1144</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1166</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1309</v>
      </c>
      <c r="B905" s="21" t="s">
        <v>1165</v>
      </c>
      <c r="C905" s="21" t="s">
        <v>1168</v>
      </c>
      <c r="D905" s="21" t="s">
        <v>1144</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1529</v>
      </c>
      <c r="B906" s="21" t="s">
        <v>1154</v>
      </c>
      <c r="C906" s="21" t="s">
        <v>1151</v>
      </c>
      <c r="D906" s="21" t="s">
        <v>1144</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1307</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826</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312</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row>
    <row r="911" spans="1:12">
      <c r="A911" s="20" t="s">
        <v>1530</v>
      </c>
    </row>
    <row r="912" spans="1:12">
      <c r="A912" s="20" t="s">
        <v>198</v>
      </c>
      <c r="B912" s="21" t="s">
        <v>1161</v>
      </c>
      <c r="C912" s="21" t="s">
        <v>1143</v>
      </c>
      <c r="D912" s="21" t="s">
        <v>1144</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1146</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1325</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1370</v>
      </c>
      <c r="B915" s="21" t="s">
        <v>1142</v>
      </c>
      <c r="C915" s="21" t="s">
        <v>1182</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1371</v>
      </c>
      <c r="B916" s="21" t="s">
        <v>1150</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1231</v>
      </c>
      <c r="B917" s="21" t="s">
        <v>1147</v>
      </c>
      <c r="C917" s="21" t="s">
        <v>1232</v>
      </c>
      <c r="D917" s="21" t="s">
        <v>1144</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1531</v>
      </c>
      <c r="B918" s="21" t="s">
        <v>1142</v>
      </c>
      <c r="C918" s="21" t="s">
        <v>1234</v>
      </c>
      <c r="D918" s="21" t="s">
        <v>1144</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1387</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1374</v>
      </c>
      <c r="B920" s="21" t="s">
        <v>1171</v>
      </c>
      <c r="C920" s="21" t="s">
        <v>1187</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1203</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1159</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1504</v>
      </c>
      <c r="B923" s="21" t="s">
        <v>1147</v>
      </c>
      <c r="C923" s="21" t="s">
        <v>1162</v>
      </c>
      <c r="D923" s="21" t="s">
        <v>1144</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1372</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1166</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1441</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253</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1167</v>
      </c>
      <c r="B928" s="21" t="s">
        <v>1165</v>
      </c>
      <c r="C928" s="21" t="s">
        <v>1168</v>
      </c>
      <c r="D928" s="21" t="s">
        <v>1144</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1218</v>
      </c>
      <c r="B929" s="21" t="s">
        <v>1154</v>
      </c>
      <c r="C929" s="21" t="s">
        <v>1168</v>
      </c>
      <c r="D929" s="21" t="s">
        <v>1144</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1339</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1532</v>
      </c>
      <c r="B931" s="21" t="s">
        <v>1171</v>
      </c>
      <c r="C931" s="21" t="s">
        <v>1187</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1533</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1517</v>
      </c>
      <c r="B933" s="21" t="s">
        <v>1154</v>
      </c>
      <c r="C933" s="21" t="s">
        <v>1187</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312</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row>
    <row r="936" spans="1:12">
      <c r="A936" s="20" t="s">
        <v>1534</v>
      </c>
    </row>
    <row r="937" spans="1:12">
      <c r="A937" s="20" t="s">
        <v>1257</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65</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1167</v>
      </c>
      <c r="B939" s="21" t="s">
        <v>1165</v>
      </c>
      <c r="C939" s="21" t="s">
        <v>1168</v>
      </c>
      <c r="D939" s="21" t="s">
        <v>1144</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1375</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1535</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1536</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1537</v>
      </c>
      <c r="B943" s="21" t="s">
        <v>1161</v>
      </c>
      <c r="C943" s="21" t="s">
        <v>1228</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1263</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row>
    <row r="946" spans="1:12">
      <c r="A946" s="20" t="s">
        <v>1538</v>
      </c>
    </row>
    <row r="947" spans="1:12">
      <c r="A947" s="20" t="s">
        <v>308</v>
      </c>
      <c r="B947" s="21" t="s">
        <v>1165</v>
      </c>
      <c r="C947" s="21" t="s">
        <v>1187</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1146</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1539</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1529</v>
      </c>
      <c r="B950" s="21" t="s">
        <v>1171</v>
      </c>
      <c r="C950" s="21" t="s">
        <v>1151</v>
      </c>
      <c r="D950" s="21" t="s">
        <v>1144</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1301</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1191</v>
      </c>
      <c r="B952" s="21" t="s">
        <v>1165</v>
      </c>
      <c r="C952" s="21" t="s">
        <v>1232</v>
      </c>
      <c r="D952" s="21" t="s">
        <v>1144</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1152</v>
      </c>
      <c r="B953" s="21" t="s">
        <v>1161</v>
      </c>
      <c r="C953" s="21" t="s">
        <v>1182</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1275</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1540</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1421</v>
      </c>
      <c r="B956" s="21" t="s">
        <v>1161</v>
      </c>
      <c r="C956" s="21" t="s">
        <v>1162</v>
      </c>
      <c r="D956" s="21" t="s">
        <v>1144</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1166</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1238</v>
      </c>
      <c r="B958" s="21" t="s">
        <v>1193</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1198</v>
      </c>
      <c r="B959" s="21" t="s">
        <v>1175</v>
      </c>
      <c r="C959" s="21" t="s">
        <v>1151</v>
      </c>
      <c r="D959" s="21" t="s">
        <v>1144</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1318</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1541</v>
      </c>
      <c r="B961" s="21" t="s">
        <v>1147</v>
      </c>
      <c r="C961" s="21" t="s">
        <v>1187</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1542</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1543</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312</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row>
    <row r="966" spans="1:12">
      <c r="A966" s="20" t="s">
        <v>1544</v>
      </c>
    </row>
    <row r="967" spans="1:12">
      <c r="A967" s="20" t="s">
        <v>1510</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1545</v>
      </c>
      <c r="B968" s="21" t="s">
        <v>1165</v>
      </c>
      <c r="C968" s="21" t="s">
        <v>1162</v>
      </c>
      <c r="D968" s="21" t="s">
        <v>1144</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1275</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1546</v>
      </c>
      <c r="B970" s="21" t="s">
        <v>1171</v>
      </c>
      <c r="C970" s="21" t="s">
        <v>1162</v>
      </c>
      <c r="D970" s="21" t="s">
        <v>1144</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1166</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1547</v>
      </c>
      <c r="B972" s="21" t="s">
        <v>1147</v>
      </c>
      <c r="C972" s="21" t="s">
        <v>1143</v>
      </c>
      <c r="D972" s="21" t="s">
        <v>1144</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1166</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1148</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1548</v>
      </c>
      <c r="B975" s="21" t="s">
        <v>1142</v>
      </c>
      <c r="C975" s="21" t="s">
        <v>1187</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1203</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1549</v>
      </c>
      <c r="B977" s="21" t="s">
        <v>1147</v>
      </c>
      <c r="C977" s="21" t="s">
        <v>1187</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1550</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312</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row>
    <row r="981" spans="1:12">
      <c r="A981" s="20" t="s">
        <v>1551</v>
      </c>
    </row>
    <row r="982" spans="1:12">
      <c r="A982" s="20" t="s">
        <v>1347</v>
      </c>
      <c r="B982" s="21" t="s">
        <v>1165</v>
      </c>
      <c r="C982" s="21" t="s">
        <v>1151</v>
      </c>
      <c r="D982" s="21" t="s">
        <v>1144</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1552</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1553</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1314</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1238</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1554</v>
      </c>
      <c r="B987" s="21" t="s">
        <v>1161</v>
      </c>
      <c r="C987" s="21" t="s">
        <v>1143</v>
      </c>
      <c r="D987" s="21" t="s">
        <v>1144</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1166</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1414</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1555</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1556</v>
      </c>
      <c r="B991" s="21" t="s">
        <v>1150</v>
      </c>
      <c r="C991" s="21" t="s">
        <v>1228</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1339</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1275</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1557</v>
      </c>
      <c r="B994" s="21" t="s">
        <v>1147</v>
      </c>
      <c r="C994" s="21" t="s">
        <v>1162</v>
      </c>
      <c r="D994" s="21" t="s">
        <v>1144</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1308</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218</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312</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row>
    <row r="999" spans="1:12">
      <c r="A999" s="20" t="s">
        <v>1558</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1559</v>
      </c>
    </row>
    <row r="1001" spans="1:12">
      <c r="A1001" s="20" t="s">
        <v>1217</v>
      </c>
      <c r="B1001" s="21" t="s">
        <v>1165</v>
      </c>
      <c r="C1001" s="21" t="s">
        <v>1168</v>
      </c>
      <c r="D1001" s="21" t="s">
        <v>1144</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36</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1560</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1367</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1266</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1561</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1562</v>
      </c>
      <c r="B1007" s="21" t="s">
        <v>1154</v>
      </c>
      <c r="C1007" s="21" t="s">
        <v>1214</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1166</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1238</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1549</v>
      </c>
      <c r="B1010" s="21" t="s">
        <v>1150</v>
      </c>
      <c r="C1010" s="21" t="s">
        <v>1162</v>
      </c>
      <c r="D1010" s="21" t="s">
        <v>1144</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1203</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1563</v>
      </c>
      <c r="B1012" s="21" t="s">
        <v>1147</v>
      </c>
      <c r="C1012" s="21" t="s">
        <v>1187</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1564</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1166</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1414</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1307</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1308</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127</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1166</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1178</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1370</v>
      </c>
      <c r="B1021" s="21" t="s">
        <v>1311</v>
      </c>
      <c r="C1021" s="21" t="s">
        <v>1182</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1206</v>
      </c>
      <c r="B1022" s="21" t="s">
        <v>1310</v>
      </c>
      <c r="C1022" s="21" t="s">
        <v>1182</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1565</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1566</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1565</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218</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1446</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1166</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1567</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1261</v>
      </c>
      <c r="B1030" s="21" t="s">
        <v>1175</v>
      </c>
      <c r="C1030" s="21" t="s">
        <v>1151</v>
      </c>
      <c r="D1030" s="21" t="s">
        <v>1144</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1247</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1448</v>
      </c>
      <c r="B1032" s="21" t="s">
        <v>1193</v>
      </c>
      <c r="C1032" s="21" t="s">
        <v>1187</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1568</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312</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row>
    <row r="1036" spans="1:12">
      <c r="A1036" s="20" t="s">
        <v>1569</v>
      </c>
    </row>
    <row r="1037" spans="1:12">
      <c r="A1037" s="20" t="s">
        <v>198</v>
      </c>
      <c r="B1037" s="21" t="s">
        <v>1165</v>
      </c>
      <c r="C1037" s="21" t="s">
        <v>1143</v>
      </c>
      <c r="D1037" s="21" t="s">
        <v>1144</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1146</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1297</v>
      </c>
      <c r="B1039" s="21" t="s">
        <v>1161</v>
      </c>
      <c r="C1039" s="21" t="s">
        <v>1143</v>
      </c>
      <c r="D1039" s="21" t="s">
        <v>1144</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1339</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1570</v>
      </c>
      <c r="B1041" s="21" t="s">
        <v>1171</v>
      </c>
      <c r="C1041" s="21" t="s">
        <v>1331</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1571</v>
      </c>
      <c r="B1042" s="21" t="s">
        <v>1161</v>
      </c>
      <c r="C1042" s="21" t="s">
        <v>1187</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1301</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1261</v>
      </c>
      <c r="B1044" s="21" t="s">
        <v>1165</v>
      </c>
      <c r="C1044" s="21" t="s">
        <v>1151</v>
      </c>
      <c r="D1044" s="21" t="s">
        <v>1144</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1572</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1263</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row>
    <row r="1048" spans="1:12">
      <c r="A1048" s="20" t="s">
        <v>1573</v>
      </c>
    </row>
    <row r="1049" spans="1:12">
      <c r="A1049" s="20" t="s">
        <v>1574</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1500</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1166</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1575</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1230</v>
      </c>
      <c r="B1053" s="21" t="s">
        <v>1165</v>
      </c>
      <c r="C1053" s="21" t="s">
        <v>1151</v>
      </c>
      <c r="D1053" s="21" t="s">
        <v>1144</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1166</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1576</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1167</v>
      </c>
      <c r="B1056" s="21" t="s">
        <v>1142</v>
      </c>
      <c r="C1056" s="21" t="s">
        <v>1168</v>
      </c>
      <c r="D1056" s="21" t="s">
        <v>1144</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1577</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1263</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row>
    <row r="1060" spans="1:12">
      <c r="A1060" s="20" t="s">
        <v>1578</v>
      </c>
    </row>
    <row r="1061" spans="1:12">
      <c r="A1061" s="20" t="s">
        <v>308</v>
      </c>
      <c r="B1061" s="21" t="s">
        <v>1165</v>
      </c>
      <c r="C1061" s="21" t="s">
        <v>1143</v>
      </c>
      <c r="D1061" s="21" t="s">
        <v>1144</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1146</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1417</v>
      </c>
      <c r="B1063" s="21" t="s">
        <v>1171</v>
      </c>
      <c r="C1063" s="21" t="s">
        <v>1232</v>
      </c>
      <c r="D1063" s="21" t="s">
        <v>1144</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1301</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1275</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1579</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1401</v>
      </c>
      <c r="B1067" s="21" t="s">
        <v>1161</v>
      </c>
      <c r="C1067" s="21" t="s">
        <v>1162</v>
      </c>
      <c r="D1067" s="21" t="s">
        <v>1144</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1275</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1448</v>
      </c>
      <c r="B1069" s="21" t="s">
        <v>1161</v>
      </c>
      <c r="C1069" s="21" t="s">
        <v>1162</v>
      </c>
      <c r="D1069" s="21" t="s">
        <v>1144</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1146</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1580</v>
      </c>
      <c r="B1071" s="21" t="s">
        <v>1161</v>
      </c>
      <c r="C1071" s="21" t="s">
        <v>1187</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1518</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1422</v>
      </c>
      <c r="B1073" s="21" t="s">
        <v>1171</v>
      </c>
      <c r="C1073" s="21" t="s">
        <v>1187</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1203</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1581</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1448</v>
      </c>
      <c r="B1076" s="21" t="s">
        <v>1147</v>
      </c>
      <c r="C1076" s="21" t="s">
        <v>1187</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1166</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1225</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1582</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1402</v>
      </c>
      <c r="B1080" s="21" t="s">
        <v>1171</v>
      </c>
      <c r="C1080" s="21" t="s">
        <v>1187</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312</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row>
    <row r="1083" spans="1:12">
      <c r="A1083" s="20" t="s">
        <v>1583</v>
      </c>
    </row>
    <row r="1084" spans="1:12">
      <c r="A1084" s="20" t="s">
        <v>1217</v>
      </c>
      <c r="B1084" s="21" t="s">
        <v>1142</v>
      </c>
      <c r="C1084" s="21" t="s">
        <v>1168</v>
      </c>
      <c r="D1084" s="21" t="s">
        <v>1144</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165</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1266</v>
      </c>
      <c r="B1086" s="21" t="s">
        <v>1171</v>
      </c>
      <c r="C1086" s="21" t="s">
        <v>1182</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1411</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1412</v>
      </c>
      <c r="B1088" s="21" t="s">
        <v>1154</v>
      </c>
      <c r="C1088" s="21" t="s">
        <v>1214</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1584</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1166</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1414</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1448</v>
      </c>
      <c r="B1092" s="21" t="s">
        <v>1150</v>
      </c>
      <c r="C1092" s="21" t="s">
        <v>1187</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1585</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1308</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1415</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312</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row>
    <row r="1098" spans="1:12">
      <c r="A1098" s="20" t="s">
        <v>1586</v>
      </c>
    </row>
    <row r="1099" spans="1:12">
      <c r="A1099" s="20" t="s">
        <v>1539</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1529</v>
      </c>
      <c r="B1100" s="21" t="s">
        <v>1161</v>
      </c>
      <c r="C1100" s="21" t="s">
        <v>1151</v>
      </c>
      <c r="D1100" s="21" t="s">
        <v>1144</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1301</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1587</v>
      </c>
      <c r="B1102" s="21" t="s">
        <v>1171</v>
      </c>
      <c r="C1102" s="21" t="s">
        <v>1232</v>
      </c>
      <c r="D1102" s="21" t="s">
        <v>1144</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1588</v>
      </c>
      <c r="B1103" s="21" t="s">
        <v>1161</v>
      </c>
      <c r="C1103" s="21" t="s">
        <v>1234</v>
      </c>
      <c r="D1103" s="21" t="s">
        <v>1144</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1589</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1166</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1197</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1261</v>
      </c>
      <c r="B1107" s="21" t="s">
        <v>1142</v>
      </c>
      <c r="C1107" s="21" t="s">
        <v>1151</v>
      </c>
      <c r="D1107" s="21" t="s">
        <v>1144</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1179</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1488</v>
      </c>
      <c r="B1109" s="21" t="s">
        <v>1165</v>
      </c>
      <c r="C1109" s="21" t="s">
        <v>1155</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1301</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1166</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1191</v>
      </c>
      <c r="B1112" s="21" t="s">
        <v>1175</v>
      </c>
      <c r="C1112" s="21" t="s">
        <v>1168</v>
      </c>
      <c r="D1112" s="21" t="s">
        <v>1144</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1590</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1591</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1448</v>
      </c>
      <c r="B1115" s="21" t="s">
        <v>1193</v>
      </c>
      <c r="C1115" s="21" t="s">
        <v>1214</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451</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1446</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312</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row>
    <row r="1120" spans="1:12">
      <c r="A1120" s="20" t="s">
        <v>1592</v>
      </c>
    </row>
    <row r="1121" spans="1:12">
      <c r="A1121" s="20" t="s">
        <v>198</v>
      </c>
      <c r="B1121" s="21" t="s">
        <v>1165</v>
      </c>
      <c r="C1121" s="21" t="s">
        <v>1143</v>
      </c>
      <c r="D1121" s="21" t="s">
        <v>1144</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1146</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1454</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1593</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1191</v>
      </c>
      <c r="B1125" s="21" t="s">
        <v>1154</v>
      </c>
      <c r="C1125" s="21" t="s">
        <v>1168</v>
      </c>
      <c r="D1125" s="21" t="s">
        <v>1144</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1263</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row>
    <row r="1128" spans="1:12">
      <c r="A1128" s="20" t="s">
        <v>1594</v>
      </c>
    </row>
    <row r="1129" spans="1:12">
      <c r="A1129" s="20" t="s">
        <v>1217</v>
      </c>
      <c r="B1129" s="21" t="s">
        <v>1165</v>
      </c>
      <c r="C1129" s="21" t="s">
        <v>1168</v>
      </c>
      <c r="D1129" s="21" t="s">
        <v>1144</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165</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1191</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1595</v>
      </c>
      <c r="B1132" s="21" t="s">
        <v>1154</v>
      </c>
      <c r="C1132" s="21" t="s">
        <v>1162</v>
      </c>
      <c r="D1132" s="21" t="s">
        <v>1144</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312</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row>
    <row r="1135" spans="1:12">
      <c r="A1135" s="20" t="s">
        <v>1596</v>
      </c>
    </row>
    <row r="1136" spans="1:12">
      <c r="A1136" s="20" t="s">
        <v>1300</v>
      </c>
      <c r="B1136" s="21" t="s">
        <v>1165</v>
      </c>
      <c r="C1136" s="21" t="s">
        <v>1151</v>
      </c>
      <c r="D1136" s="21" t="s">
        <v>1144</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1597</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1598</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1166</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1261</v>
      </c>
      <c r="B1140" s="21" t="s">
        <v>1142</v>
      </c>
      <c r="C1140" s="21" t="s">
        <v>1151</v>
      </c>
      <c r="D1140" s="21" t="s">
        <v>1144</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1308</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190</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312</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row>
    <row r="1145" spans="1:12">
      <c r="A1145" s="20" t="s">
        <v>1599</v>
      </c>
    </row>
    <row r="1146" spans="1:12">
      <c r="A1146" s="20" t="s">
        <v>1343</v>
      </c>
      <c r="B1146" s="21" t="s">
        <v>1165</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1600</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1430</v>
      </c>
      <c r="B1148" s="21" t="s">
        <v>1154</v>
      </c>
      <c r="C1148" s="21" t="s">
        <v>1187</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1203</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1601</v>
      </c>
      <c r="B1150" s="21" t="s">
        <v>1142</v>
      </c>
      <c r="C1150" s="21" t="s">
        <v>1232</v>
      </c>
      <c r="D1150" s="21" t="s">
        <v>1144</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1397</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1191</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1602</v>
      </c>
      <c r="B1153" s="21" t="s">
        <v>1161</v>
      </c>
      <c r="C1153" s="21" t="s">
        <v>1162</v>
      </c>
      <c r="D1153" s="21" t="s">
        <v>1144</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312</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row>
    <row r="1156" spans="1:12">
      <c r="A1156" s="20" t="s">
        <v>1603</v>
      </c>
    </row>
    <row r="1157" spans="1:12">
      <c r="A1157" s="20" t="s">
        <v>1425</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1167</v>
      </c>
      <c r="B1158" s="21" t="s">
        <v>1165</v>
      </c>
      <c r="C1158" s="21" t="s">
        <v>1168</v>
      </c>
      <c r="D1158" s="21" t="s">
        <v>1144</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1191</v>
      </c>
      <c r="B1159" s="21" t="s">
        <v>1154</v>
      </c>
      <c r="C1159" s="21" t="s">
        <v>1232</v>
      </c>
      <c r="D1159" s="21" t="s">
        <v>1144</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36</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1263</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row>
    <row r="1163" spans="1:12">
      <c r="A1163" s="20" t="s">
        <v>1604</v>
      </c>
    </row>
    <row r="1164" spans="1:12">
      <c r="A1164" s="20" t="s">
        <v>308</v>
      </c>
      <c r="B1164" s="21" t="s">
        <v>1161</v>
      </c>
      <c r="C1164" s="21" t="s">
        <v>1143</v>
      </c>
      <c r="D1164" s="21" t="s">
        <v>1144</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1146</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1605</v>
      </c>
      <c r="B1166" s="21" t="s">
        <v>1161</v>
      </c>
      <c r="C1166" s="21" t="s">
        <v>1143</v>
      </c>
      <c r="D1166" s="21" t="s">
        <v>1144</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312</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row>
    <row r="1169" spans="1:12">
      <c r="A1169" s="20" t="s">
        <v>1606</v>
      </c>
    </row>
    <row r="1170" spans="1:12">
      <c r="A1170" s="20" t="s">
        <v>198</v>
      </c>
      <c r="B1170" s="21" t="s">
        <v>1142</v>
      </c>
      <c r="C1170" s="21" t="s">
        <v>1143</v>
      </c>
      <c r="D1170" s="21" t="s">
        <v>1144</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1146</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1607</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1301</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1261</v>
      </c>
      <c r="B1174" s="21" t="s">
        <v>1165</v>
      </c>
      <c r="C1174" s="21" t="s">
        <v>1151</v>
      </c>
      <c r="D1174" s="21" t="s">
        <v>1144</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312</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row>
    <row r="1177" spans="1:12">
      <c r="A1177" s="20" t="s">
        <v>1608</v>
      </c>
    </row>
    <row r="1178" spans="1:12">
      <c r="A1178" s="20" t="s">
        <v>1463</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1404</v>
      </c>
      <c r="B1179" s="21" t="s">
        <v>1165</v>
      </c>
      <c r="C1179" s="21" t="s">
        <v>1151</v>
      </c>
      <c r="D1179" s="21" t="s">
        <v>1144</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1238</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1609</v>
      </c>
      <c r="B1181" s="21" t="s">
        <v>1154</v>
      </c>
      <c r="C1181" s="21" t="s">
        <v>1162</v>
      </c>
      <c r="D1181" s="21" t="s">
        <v>1144</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1263</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row>
    <row r="1184" spans="1:12">
      <c r="A1184" s="20" t="s">
        <v>1610</v>
      </c>
    </row>
    <row r="1185" spans="1:12">
      <c r="A1185" s="20" t="s">
        <v>1611</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1497</v>
      </c>
      <c r="B1186" s="21" t="s">
        <v>1161</v>
      </c>
      <c r="C1186" s="21" t="s">
        <v>1187</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1542</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1203</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1612</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312</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row>
    <row r="1192" spans="1:12">
      <c r="A1192" s="20" t="s">
        <v>1613</v>
      </c>
    </row>
    <row r="1193" spans="1:12">
      <c r="A1193" s="20" t="s">
        <v>308</v>
      </c>
      <c r="B1193" s="21" t="s">
        <v>1161</v>
      </c>
      <c r="C1193" s="21" t="s">
        <v>1143</v>
      </c>
      <c r="D1193" s="21" t="s">
        <v>1144</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1146</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1614</v>
      </c>
      <c r="B1195" s="21" t="s">
        <v>1161</v>
      </c>
      <c r="C1195" s="21" t="s">
        <v>1143</v>
      </c>
      <c r="D1195" s="21" t="s">
        <v>1144</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312</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row>
    <row r="1198" spans="1:12">
      <c r="A1198" s="20" t="s">
        <v>1615</v>
      </c>
    </row>
    <row r="1199" spans="1:12">
      <c r="A1199" s="20" t="s">
        <v>1417</v>
      </c>
      <c r="B1199" s="21" t="s">
        <v>1154</v>
      </c>
      <c r="C1199" s="21" t="s">
        <v>1232</v>
      </c>
      <c r="D1199" s="21" t="s">
        <v>1144</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165</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1278</v>
      </c>
      <c r="B1201" s="21" t="s">
        <v>1165</v>
      </c>
      <c r="C1201" s="21" t="s">
        <v>1168</v>
      </c>
      <c r="D1201" s="21" t="s">
        <v>1144</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1616</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1535</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1422</v>
      </c>
      <c r="B1204" s="21" t="s">
        <v>1161</v>
      </c>
      <c r="C1204" s="21" t="s">
        <v>1143</v>
      </c>
      <c r="D1204" s="21" t="s">
        <v>1144</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12</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1617</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1461</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312</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row>
    <row r="1210" spans="1:12">
      <c r="A1210" s="20" t="s">
        <v>1618</v>
      </c>
    </row>
    <row r="1211" spans="1:12">
      <c r="A1211" s="20" t="s">
        <v>1300</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1619</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1620</v>
      </c>
      <c r="B1213" s="21" t="s">
        <v>1171</v>
      </c>
      <c r="C1213" s="21" t="s">
        <v>1168</v>
      </c>
      <c r="D1213" s="21" t="s">
        <v>1144</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1621</v>
      </c>
      <c r="B1214" s="21" t="s">
        <v>1154</v>
      </c>
      <c r="C1214" s="21" t="s">
        <v>1214</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1166</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1622</v>
      </c>
      <c r="B1216" s="21" t="s">
        <v>1171</v>
      </c>
      <c r="C1216" s="21" t="s">
        <v>1168</v>
      </c>
      <c r="D1216" s="21" t="s">
        <v>1144</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1623</v>
      </c>
      <c r="B1217" s="21" t="s">
        <v>1165</v>
      </c>
      <c r="C1217" s="21" t="s">
        <v>1214</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1624</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1609</v>
      </c>
      <c r="B1219" s="21" t="s">
        <v>1171</v>
      </c>
      <c r="C1219" s="21" t="s">
        <v>1155</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312</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row>
    <row r="1222" spans="1:12">
      <c r="A1222" s="20" t="s">
        <v>1625</v>
      </c>
    </row>
    <row r="1223" spans="1:12">
      <c r="A1223" s="20" t="s">
        <v>1297</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1587</v>
      </c>
      <c r="B1224" s="21" t="s">
        <v>1171</v>
      </c>
      <c r="C1224" s="21" t="s">
        <v>1232</v>
      </c>
      <c r="D1224" s="21" t="s">
        <v>1144</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1025</v>
      </c>
      <c r="B1225" s="21" t="s">
        <v>1165</v>
      </c>
      <c r="C1225" s="21" t="s">
        <v>1234</v>
      </c>
      <c r="D1225" s="21" t="s">
        <v>1144</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1624</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1609</v>
      </c>
      <c r="B1227" s="21" t="s">
        <v>1171</v>
      </c>
      <c r="C1227" s="21" t="s">
        <v>1155</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1301</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1206</v>
      </c>
      <c r="B1229" s="21" t="s">
        <v>1165</v>
      </c>
      <c r="C1229" s="21" t="s">
        <v>1182</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1626</v>
      </c>
      <c r="B1230" s="21" t="s">
        <v>1161</v>
      </c>
      <c r="C1230" s="21" t="s">
        <v>1214</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1166</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1191</v>
      </c>
      <c r="B1232" s="21" t="s">
        <v>1142</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1230</v>
      </c>
      <c r="B1233" s="21" t="s">
        <v>1142</v>
      </c>
      <c r="C1233" s="21" t="s">
        <v>1151</v>
      </c>
      <c r="D1233" s="21" t="s">
        <v>1144</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127</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1627</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1203</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1191</v>
      </c>
      <c r="B1237" s="21" t="s">
        <v>1193</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1628</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1225</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1343</v>
      </c>
      <c r="B1240" s="21" t="s">
        <v>1175</v>
      </c>
      <c r="C1240" s="21" t="s">
        <v>1187</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1629</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127</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312</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row>
    <row r="1245" spans="1:12">
      <c r="A1245" s="20" t="s">
        <v>1630</v>
      </c>
    </row>
    <row r="1246" spans="1:12">
      <c r="A1246" s="20" t="s">
        <v>1631</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1414</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1481</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1632</v>
      </c>
      <c r="B1249" s="21" t="s">
        <v>1150</v>
      </c>
      <c r="C1249" s="21" t="s">
        <v>1162</v>
      </c>
      <c r="D1249" s="21" t="s">
        <v>1144</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1219</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1238</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1633</v>
      </c>
      <c r="B1252" s="21" t="s">
        <v>1171</v>
      </c>
      <c r="C1252" s="21" t="s">
        <v>1162</v>
      </c>
      <c r="D1252" s="21" t="s">
        <v>1144</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1634</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1146</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336</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1635</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1261</v>
      </c>
      <c r="B1257" s="21" t="s">
        <v>1165</v>
      </c>
      <c r="C1257" s="21" t="s">
        <v>1151</v>
      </c>
      <c r="D1257" s="21" t="s">
        <v>1144</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1387</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1159</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1223</v>
      </c>
      <c r="B1260" s="21" t="s">
        <v>1161</v>
      </c>
      <c r="C1260" s="21" t="s">
        <v>1162</v>
      </c>
      <c r="D1260" s="21" t="s">
        <v>1144</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1203</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1389</v>
      </c>
      <c r="B1262" s="21" t="s">
        <v>1171</v>
      </c>
      <c r="C1262" s="21" t="s">
        <v>1187</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1432</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1636</v>
      </c>
      <c r="B1264" s="21" t="s">
        <v>1147</v>
      </c>
      <c r="C1264" s="21" t="s">
        <v>1187</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1203</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1159</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1637</v>
      </c>
      <c r="B1267" s="21" t="s">
        <v>1181</v>
      </c>
      <c r="C1267" s="21" t="s">
        <v>1162</v>
      </c>
      <c r="D1267" s="21" t="s">
        <v>1144</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1275</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1489</v>
      </c>
      <c r="B1269" s="21" t="s">
        <v>1244</v>
      </c>
      <c r="C1269" s="21" t="s">
        <v>1162</v>
      </c>
      <c r="D1269" s="21" t="s">
        <v>1144</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312</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row>
    <row r="1272" spans="1:12">
      <c r="A1272" s="20" t="s">
        <v>1638</v>
      </c>
    </row>
    <row r="1273" spans="1:12">
      <c r="A1273" s="20" t="s">
        <v>1189</v>
      </c>
      <c r="B1273" s="21" t="s">
        <v>1165</v>
      </c>
      <c r="C1273" s="21" t="s">
        <v>1151</v>
      </c>
      <c r="D1273" s="21" t="s">
        <v>1144</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1543</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1639</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1179</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1455</v>
      </c>
      <c r="B1277" s="21" t="s">
        <v>1165</v>
      </c>
      <c r="C1277" s="21" t="s">
        <v>1155</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1166</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1191</v>
      </c>
      <c r="B1279" s="21" t="s">
        <v>1193</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1198</v>
      </c>
      <c r="B1280" s="21" t="s">
        <v>1175</v>
      </c>
      <c r="C1280" s="21" t="s">
        <v>1151</v>
      </c>
      <c r="D1280" s="21" t="s">
        <v>1144</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1500</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190</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1640</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1166</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1191</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1167</v>
      </c>
      <c r="B1286" s="21" t="s">
        <v>1165</v>
      </c>
      <c r="C1286" s="21" t="s">
        <v>1168</v>
      </c>
      <c r="D1286" s="21" t="s">
        <v>1144</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1641</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165</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312</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row>
    <row r="1291" spans="1:12">
      <c r="A1291" s="20" t="s">
        <v>1558</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1642</v>
      </c>
    </row>
    <row r="1293" spans="1:12">
      <c r="A1293" s="20" t="s">
        <v>198</v>
      </c>
      <c r="B1293" s="21" t="s">
        <v>1165</v>
      </c>
      <c r="C1293" s="21" t="s">
        <v>1143</v>
      </c>
      <c r="D1293" s="21" t="s">
        <v>1144</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1146</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1605</v>
      </c>
      <c r="B1295" s="21" t="s">
        <v>1171</v>
      </c>
      <c r="C1295" s="21" t="s">
        <v>1143</v>
      </c>
      <c r="D1295" s="21" t="s">
        <v>1144</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312</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1194</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1455</v>
      </c>
      <c r="B1298" s="21" t="s">
        <v>1171</v>
      </c>
      <c r="C1298" s="21" t="s">
        <v>1187</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1196</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1332</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1565</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1643</v>
      </c>
      <c r="B1302" s="21" t="s">
        <v>1161</v>
      </c>
      <c r="C1302" s="21" t="s">
        <v>1143</v>
      </c>
      <c r="D1302" s="21" t="s">
        <v>1144</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1166</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1644</v>
      </c>
      <c r="B1304" s="21" t="s">
        <v>1161</v>
      </c>
      <c r="C1304" s="21" t="s">
        <v>1143</v>
      </c>
      <c r="D1304" s="21" t="s">
        <v>1144</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1565</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1333</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1194</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1189</v>
      </c>
      <c r="B1308" s="21" t="s">
        <v>1165</v>
      </c>
      <c r="C1308" s="21" t="s">
        <v>1151</v>
      </c>
      <c r="D1308" s="21" t="s">
        <v>1144</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1166</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1645</v>
      </c>
      <c r="B1310" s="21" t="s">
        <v>1171</v>
      </c>
      <c r="C1310" s="21" t="s">
        <v>1143</v>
      </c>
      <c r="D1310" s="21" t="s">
        <v>1144</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1196</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1646</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1647</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1146</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1250</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1624</v>
      </c>
      <c r="B1316" s="21" t="s">
        <v>1171</v>
      </c>
      <c r="C1316" s="21" t="s">
        <v>1182</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1648</v>
      </c>
      <c r="B1317" s="21" t="s">
        <v>1161</v>
      </c>
      <c r="C1317" s="21" t="s">
        <v>1155</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1543</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1198</v>
      </c>
      <c r="B1319" s="21" t="s">
        <v>1165</v>
      </c>
      <c r="C1319" s="21" t="s">
        <v>1151</v>
      </c>
      <c r="D1319" s="21" t="s">
        <v>1144</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1649</v>
      </c>
      <c r="B1320" s="21" t="s">
        <v>1154</v>
      </c>
      <c r="C1320" s="21" t="s">
        <v>1187</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1650</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312</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row>
    <row r="1324" spans="1:12">
      <c r="A1324" s="20" t="s">
        <v>1651</v>
      </c>
    </row>
    <row r="1325" spans="1:12">
      <c r="A1325" s="20" t="s">
        <v>1652</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1440</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1238</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1653</v>
      </c>
      <c r="B1328" s="21" t="s">
        <v>1165</v>
      </c>
      <c r="C1328" s="21" t="s">
        <v>1162</v>
      </c>
      <c r="D1328" s="21" t="s">
        <v>1144</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1654</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1152</v>
      </c>
      <c r="B1330" s="21" t="s">
        <v>1154</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1267</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1275</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1655</v>
      </c>
      <c r="B1333" s="21" t="s">
        <v>1161</v>
      </c>
      <c r="C1333" s="21" t="s">
        <v>1168</v>
      </c>
      <c r="D1333" s="21" t="s">
        <v>1144</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1656</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312</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row>
    <row r="1337" spans="1:12">
      <c r="A1337" s="20" t="s">
        <v>1657</v>
      </c>
    </row>
    <row r="1338" spans="1:12">
      <c r="A1338" s="20" t="s">
        <v>1189</v>
      </c>
      <c r="B1338" s="21" t="s">
        <v>1165</v>
      </c>
      <c r="C1338" s="21" t="s">
        <v>1151</v>
      </c>
      <c r="D1338" s="21" t="s">
        <v>1144</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1543</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1658</v>
      </c>
      <c r="B1340" s="21" t="s">
        <v>1154</v>
      </c>
      <c r="C1340" s="21" t="s">
        <v>1187</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1659</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1166</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60</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1238</v>
      </c>
      <c r="B1344" s="21" t="s">
        <v>1142</v>
      </c>
      <c r="C1344" s="21" t="s">
        <v>1168</v>
      </c>
      <c r="D1344" s="21" t="s">
        <v>1144</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1660</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1176</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1266</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312</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row>
    <row r="1350" spans="1:12">
      <c r="A1350" s="20" t="s">
        <v>1661</v>
      </c>
    </row>
    <row r="1351" spans="1:12">
      <c r="A1351" s="20" t="s">
        <v>1662</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1543</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1198</v>
      </c>
      <c r="B1353" s="21" t="s">
        <v>1165</v>
      </c>
      <c r="C1353" s="21" t="s">
        <v>1151</v>
      </c>
      <c r="D1353" s="21" t="s">
        <v>1144</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1152</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1633</v>
      </c>
      <c r="B1355" s="21" t="s">
        <v>1154</v>
      </c>
      <c r="C1355" s="21" t="s">
        <v>1155</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1663</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312</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row>
    <row r="1359" spans="1:12">
      <c r="A1359" s="20" t="s">
        <v>1664</v>
      </c>
    </row>
    <row r="1360" spans="1:12">
      <c r="A1360" s="20" t="s">
        <v>1332</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1665</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1646</v>
      </c>
      <c r="B1362" s="21" t="s">
        <v>1161</v>
      </c>
      <c r="C1362" s="21" t="s">
        <v>1143</v>
      </c>
      <c r="D1362" s="21" t="s">
        <v>1144</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1647</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1166</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1666</v>
      </c>
      <c r="B1365" s="21" t="s">
        <v>1161</v>
      </c>
      <c r="C1365" s="21" t="s">
        <v>1187</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1667</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1333</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1668</v>
      </c>
      <c r="B1368" s="21" t="s">
        <v>1161</v>
      </c>
      <c r="C1368" s="21" t="s">
        <v>1143</v>
      </c>
      <c r="D1368" s="21" t="s">
        <v>1144</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312</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row>
    <row r="1371" spans="1:12">
      <c r="A1371" s="20" t="s">
        <v>1669</v>
      </c>
    </row>
    <row r="1372" spans="1:12">
      <c r="A1372" s="20" t="s">
        <v>1670</v>
      </c>
      <c r="B1372" s="21" t="s">
        <v>1165</v>
      </c>
      <c r="C1372" s="21" t="s">
        <v>1168</v>
      </c>
      <c r="D1372" s="21" t="s">
        <v>1144</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1275</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1671</v>
      </c>
      <c r="B1374" s="21" t="s">
        <v>1154</v>
      </c>
      <c r="C1374" s="21" t="s">
        <v>1162</v>
      </c>
      <c r="D1374" s="21" t="s">
        <v>1144</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1163</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1166</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1672</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1673</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1191</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1674</v>
      </c>
      <c r="B1380" s="21" t="s">
        <v>1150</v>
      </c>
      <c r="C1380" s="21" t="s">
        <v>1162</v>
      </c>
      <c r="D1380" s="21" t="s">
        <v>1144</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119</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312</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row>
    <row r="1384" spans="1:12">
      <c r="A1384" s="20" t="s">
        <v>1675</v>
      </c>
    </row>
    <row r="1385" spans="1:12">
      <c r="A1385" s="20" t="s">
        <v>1676</v>
      </c>
      <c r="B1385" s="21" t="s">
        <v>1165</v>
      </c>
      <c r="C1385" s="21" t="s">
        <v>1182</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1677</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1678</v>
      </c>
      <c r="B1387" s="21" t="s">
        <v>1165</v>
      </c>
      <c r="C1387" s="21" t="s">
        <v>1187</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1219</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1238</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1653</v>
      </c>
      <c r="B1390" s="21" t="s">
        <v>1161</v>
      </c>
      <c r="C1390" s="21" t="s">
        <v>1162</v>
      </c>
      <c r="D1390" s="21" t="s">
        <v>1144</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369</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312</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row>
    <row r="1394" spans="1:12">
      <c r="A1394" s="20" t="s">
        <v>1679</v>
      </c>
    </row>
    <row r="1395" spans="1:12">
      <c r="A1395" s="20" t="s">
        <v>1680</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1179</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1180</v>
      </c>
      <c r="B1397" s="21" t="s">
        <v>1171</v>
      </c>
      <c r="C1397" s="21" t="s">
        <v>1182</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1681</v>
      </c>
      <c r="B1398" s="21" t="s">
        <v>1161</v>
      </c>
      <c r="C1398" s="21" t="s">
        <v>1155</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1682</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1238</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1672</v>
      </c>
      <c r="B1401" s="21" t="s">
        <v>1165</v>
      </c>
      <c r="C1401" s="21" t="s">
        <v>1162</v>
      </c>
      <c r="D1401" s="21" t="s">
        <v>1144</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1683</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312</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row>
    <row r="1405" spans="1:12">
      <c r="A1405" s="20" t="s">
        <v>1684</v>
      </c>
    </row>
    <row r="1406" spans="1:12">
      <c r="A1406" s="20" t="s">
        <v>1417</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1220</v>
      </c>
      <c r="B1407" s="21" t="s">
        <v>1165</v>
      </c>
      <c r="C1407" s="21" t="s">
        <v>1162</v>
      </c>
      <c r="D1407" s="21" t="s">
        <v>1144</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1685</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1314</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1166</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1529</v>
      </c>
      <c r="B1411" s="21" t="s">
        <v>1150</v>
      </c>
      <c r="C1411" s="21" t="s">
        <v>1151</v>
      </c>
      <c r="D1411" s="21" t="s">
        <v>1144</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1308</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249</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312</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row>
    <row r="1416" spans="1:12">
      <c r="A1416" s="20" t="s">
        <v>1686</v>
      </c>
    </row>
    <row r="1417" spans="1:12">
      <c r="A1417" s="20" t="s">
        <v>1189</v>
      </c>
      <c r="B1417" s="21" t="s">
        <v>1165</v>
      </c>
      <c r="C1417" s="21" t="s">
        <v>1151</v>
      </c>
      <c r="D1417" s="21" t="s">
        <v>1144</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1543</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1205</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1687</v>
      </c>
      <c r="B1420" s="21" t="s">
        <v>1154</v>
      </c>
      <c r="C1420" s="21" t="s">
        <v>1155</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1166</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1275</v>
      </c>
      <c r="B1422" s="21" t="s">
        <v>1175</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119</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1688</v>
      </c>
      <c r="B1424" s="21" t="s">
        <v>1193</v>
      </c>
      <c r="C1424" s="21" t="s">
        <v>1228</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1689</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1690</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1516</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312</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row>
    <row r="1430" spans="1:12">
      <c r="A1430" s="20" t="s">
        <v>1691</v>
      </c>
    </row>
    <row r="1431" spans="1:12">
      <c r="A1431" s="20" t="s">
        <v>1662</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1202</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1198</v>
      </c>
      <c r="B1433" s="21" t="s">
        <v>1165</v>
      </c>
      <c r="C1433" s="21" t="s">
        <v>1151</v>
      </c>
      <c r="D1433" s="21" t="s">
        <v>1144</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1387</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1692</v>
      </c>
      <c r="B1435" s="21" t="s">
        <v>1161</v>
      </c>
      <c r="C1435" s="21" t="s">
        <v>1151</v>
      </c>
      <c r="D1435" s="21" t="s">
        <v>1144</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1339</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1191</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1693</v>
      </c>
      <c r="B1438" s="21" t="s">
        <v>1161</v>
      </c>
      <c r="C1438" s="21" t="s">
        <v>1162</v>
      </c>
      <c r="D1438" s="21" t="s">
        <v>1144</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1694</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1166</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1203</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1167</v>
      </c>
      <c r="B1442" s="21" t="s">
        <v>1142</v>
      </c>
      <c r="C1442" s="21" t="s">
        <v>1168</v>
      </c>
      <c r="D1442" s="21" t="s">
        <v>1144</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165</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1218</v>
      </c>
      <c r="B1444" s="21" t="s">
        <v>1150</v>
      </c>
      <c r="C1444" s="21" t="s">
        <v>1168</v>
      </c>
      <c r="D1444" s="21" t="s">
        <v>1144</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1695</v>
      </c>
      <c r="B1445" s="21" t="s">
        <v>1147</v>
      </c>
      <c r="C1445" s="21" t="s">
        <v>1182</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1696</v>
      </c>
      <c r="B1446" s="21" t="s">
        <v>1142</v>
      </c>
      <c r="C1446" s="21" t="s">
        <v>1187</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1697</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312</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row>
    <row r="1450" spans="1:12">
      <c r="A1450" s="20" t="s">
        <v>1698</v>
      </c>
    </row>
    <row r="1451" spans="1:12">
      <c r="A1451" s="20" t="s">
        <v>1699</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1159</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1700</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1701</v>
      </c>
      <c r="B1454" s="21" t="s">
        <v>1161</v>
      </c>
      <c r="C1454" s="21" t="s">
        <v>1162</v>
      </c>
      <c r="D1454" s="21" t="s">
        <v>1144</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1640</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1164</v>
      </c>
      <c r="B1456" s="21" t="s">
        <v>1142</v>
      </c>
      <c r="C1456" s="21" t="s">
        <v>1151</v>
      </c>
      <c r="D1456" s="21" t="s">
        <v>1144</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1179</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1702</v>
      </c>
      <c r="B1458" s="21" t="s">
        <v>1154</v>
      </c>
      <c r="C1458" s="21" t="s">
        <v>1155</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1339</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1275</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1703</v>
      </c>
      <c r="B1461" s="21" t="s">
        <v>1161</v>
      </c>
      <c r="C1461" s="21" t="s">
        <v>1162</v>
      </c>
      <c r="D1461" s="21" t="s">
        <v>1144</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1704</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312</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row>
    <row r="1465" spans="1:12">
      <c r="A1465" s="20" t="s">
        <v>1705</v>
      </c>
    </row>
    <row r="1466" spans="1:12">
      <c r="A1466" s="20" t="s">
        <v>1189</v>
      </c>
      <c r="B1466" s="21" t="s">
        <v>1165</v>
      </c>
      <c r="C1466" s="21" t="s">
        <v>1151</v>
      </c>
      <c r="D1466" s="21" t="s">
        <v>1144</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1397</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1706</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1166</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1197</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1206</v>
      </c>
      <c r="B1471" s="21" t="s">
        <v>1142</v>
      </c>
      <c r="C1471" s="21" t="s">
        <v>1182</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1166</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1191</v>
      </c>
      <c r="B1473" s="21" t="s">
        <v>1311</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1707</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1176</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1708</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1166</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1628</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1654</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1375</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1397</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312</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row>
    <row r="1484" spans="1:12">
      <c r="A1484" s="20" t="s">
        <v>1709</v>
      </c>
    </row>
    <row r="1485" spans="1:12">
      <c r="A1485" s="20" t="s">
        <v>1189</v>
      </c>
      <c r="B1485" s="21" t="s">
        <v>1165</v>
      </c>
      <c r="C1485" s="21" t="s">
        <v>1151</v>
      </c>
      <c r="D1485" s="21" t="s">
        <v>1144</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1710</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1166</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1174</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1176</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1711</v>
      </c>
      <c r="B1490" s="21" t="s">
        <v>1142</v>
      </c>
      <c r="C1490" s="21" t="s">
        <v>1182</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1518</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1191</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707</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1712</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1166</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1518</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1191</v>
      </c>
      <c r="B1497" s="21" t="s">
        <v>1147</v>
      </c>
      <c r="C1497" s="21" t="s">
        <v>1232</v>
      </c>
      <c r="D1497" s="21" t="s">
        <v>1144</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1198</v>
      </c>
      <c r="B1498" s="21" t="s">
        <v>1175</v>
      </c>
      <c r="C1498" s="21" t="s">
        <v>1151</v>
      </c>
      <c r="D1498" s="21" t="s">
        <v>1144</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707</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1712</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312</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row>
    <row r="1503" spans="1:12">
      <c r="A1503" s="20" t="s">
        <v>1713</v>
      </c>
    </row>
    <row r="1504" spans="1:12">
      <c r="A1504" s="20" t="s">
        <v>1189</v>
      </c>
      <c r="B1504" s="21" t="s">
        <v>1165</v>
      </c>
      <c r="C1504" s="21" t="s">
        <v>1151</v>
      </c>
      <c r="D1504" s="21" t="s">
        <v>1144</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1714</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1166</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1198</v>
      </c>
      <c r="B1507" s="21" t="s">
        <v>1142</v>
      </c>
      <c r="C1507" s="21" t="s">
        <v>1151</v>
      </c>
      <c r="D1507" s="21" t="s">
        <v>1144</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1715</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1179</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1220</v>
      </c>
      <c r="B1510" s="21" t="s">
        <v>1150</v>
      </c>
      <c r="C1510" s="21" t="s">
        <v>1155</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1166</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1191</v>
      </c>
      <c r="B1512" s="21" t="s">
        <v>1311</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1716</v>
      </c>
      <c r="B1513" s="21" t="s">
        <v>1244</v>
      </c>
      <c r="C1513" s="21" t="s">
        <v>1270</v>
      </c>
      <c r="D1513" s="21" t="s">
        <v>1144</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1717</v>
      </c>
      <c r="B1514" s="21" t="s">
        <v>1310</v>
      </c>
      <c r="C1514" s="21" t="s">
        <v>1187</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411</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1446</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312</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row>
    <row r="1519" spans="1:12">
      <c r="A1519" s="20" t="s">
        <v>1718</v>
      </c>
    </row>
    <row r="1520" spans="1:12">
      <c r="A1520" s="20" t="s">
        <v>1662</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1714</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1198</v>
      </c>
      <c r="B1522" s="21" t="s">
        <v>1165</v>
      </c>
      <c r="C1522" s="21" t="s">
        <v>1151</v>
      </c>
      <c r="D1522" s="21" t="s">
        <v>1144</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1314</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1179</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1719</v>
      </c>
      <c r="B1525" s="21" t="s">
        <v>1161</v>
      </c>
      <c r="C1525" s="21" t="s">
        <v>1155</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1720</v>
      </c>
      <c r="B1526" s="21" t="s">
        <v>1171</v>
      </c>
      <c r="C1526" s="21" t="s">
        <v>1143</v>
      </c>
      <c r="D1526" s="21" t="s">
        <v>1144</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312</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row>
    <row r="1529" spans="1:12">
      <c r="A1529" s="20" t="s">
        <v>1721</v>
      </c>
    </row>
    <row r="1530" spans="1:12">
      <c r="A1530" s="20" t="s">
        <v>1335</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1722</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1719</v>
      </c>
      <c r="B1532" s="21" t="s">
        <v>1161</v>
      </c>
      <c r="C1532" s="21" t="s">
        <v>1155</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1720</v>
      </c>
      <c r="B1533" s="21" t="s">
        <v>1161</v>
      </c>
      <c r="C1533" s="21" t="s">
        <v>1143</v>
      </c>
      <c r="D1533" s="21" t="s">
        <v>1144</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1535</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1723</v>
      </c>
      <c r="B1535" s="21" t="s">
        <v>1171</v>
      </c>
      <c r="C1535" s="21" t="s">
        <v>1187</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312</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row>
    <row r="1538" spans="1:12">
      <c r="A1538" s="20" t="s">
        <v>1724</v>
      </c>
    </row>
    <row r="1539" spans="1:12">
      <c r="A1539" s="20" t="s">
        <v>1325</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1198</v>
      </c>
      <c r="B1540" s="21" t="s">
        <v>1142</v>
      </c>
      <c r="C1540" s="21" t="s">
        <v>1151</v>
      </c>
      <c r="D1540" s="21" t="s">
        <v>1144</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1518</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587</v>
      </c>
      <c r="B1542" s="21" t="s">
        <v>1147</v>
      </c>
      <c r="C1542" s="21" t="s">
        <v>1270</v>
      </c>
      <c r="D1542" s="21" t="s">
        <v>1144</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1725</v>
      </c>
      <c r="B1543" s="21" t="s">
        <v>1171</v>
      </c>
      <c r="C1543" s="21" t="s">
        <v>1143</v>
      </c>
      <c r="D1543" s="21" t="s">
        <v>1144</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1363</v>
      </c>
      <c r="B1544" s="21" t="s">
        <v>1150</v>
      </c>
      <c r="C1544" s="21" t="s">
        <v>1187</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1726</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1166</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1446</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1198</v>
      </c>
      <c r="B1548" s="21" t="s">
        <v>1165</v>
      </c>
      <c r="C1548" s="21" t="s">
        <v>1151</v>
      </c>
      <c r="D1548" s="21" t="s">
        <v>1144</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1231</v>
      </c>
      <c r="B1549" s="21" t="s">
        <v>1171</v>
      </c>
      <c r="C1549" s="21" t="s">
        <v>1232</v>
      </c>
      <c r="D1549" s="21" t="s">
        <v>1144</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1363</v>
      </c>
      <c r="B1550" s="21" t="s">
        <v>1154</v>
      </c>
      <c r="C1550" s="21" t="s">
        <v>1234</v>
      </c>
      <c r="D1550" s="21" t="s">
        <v>1144</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1314</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1159</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1727</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1720</v>
      </c>
      <c r="B1554" s="21" t="s">
        <v>1161</v>
      </c>
      <c r="C1554" s="21" t="s">
        <v>1143</v>
      </c>
      <c r="D1554" s="21" t="s">
        <v>1144</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403</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312</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row>
    <row r="1558" spans="1:12">
      <c r="A1558" s="20" t="s">
        <v>1728</v>
      </c>
    </row>
    <row r="1559" spans="1:12">
      <c r="A1559" s="20" t="s">
        <v>1300</v>
      </c>
      <c r="B1559" s="21" t="s">
        <v>1165</v>
      </c>
      <c r="C1559" s="21" t="s">
        <v>1151</v>
      </c>
      <c r="D1559" s="21" t="s">
        <v>1144</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1301</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1560</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1339</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1159</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1160</v>
      </c>
      <c r="B1564" s="21" t="s">
        <v>1161</v>
      </c>
      <c r="C1564" s="21" t="s">
        <v>1162</v>
      </c>
      <c r="D1564" s="21" t="s">
        <v>1144</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1178</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1179</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1343</v>
      </c>
      <c r="B1567" s="21" t="s">
        <v>1161</v>
      </c>
      <c r="C1567" s="21" t="s">
        <v>1155</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312</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row>
    <row r="1570" spans="1:12">
      <c r="A1570" s="20" t="s">
        <v>1729</v>
      </c>
    </row>
    <row r="1571" spans="1:12">
      <c r="A1571" s="20" t="s">
        <v>1189</v>
      </c>
      <c r="B1571" s="21" t="s">
        <v>1165</v>
      </c>
      <c r="C1571" s="21" t="s">
        <v>1151</v>
      </c>
      <c r="D1571" s="21" t="s">
        <v>1144</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1730</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1191</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1220</v>
      </c>
      <c r="B1574" s="21" t="s">
        <v>1154</v>
      </c>
      <c r="C1574" s="21" t="s">
        <v>1162</v>
      </c>
      <c r="D1574" s="21" t="s">
        <v>1144</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1166</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1414</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1731</v>
      </c>
      <c r="B1577" s="21" t="s">
        <v>1150</v>
      </c>
      <c r="C1577" s="21" t="s">
        <v>1187</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1308</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681</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312</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row>
    <row r="1582" spans="1:12">
      <c r="A1582" s="20" t="s">
        <v>1732</v>
      </c>
    </row>
    <row r="1583" spans="1:12">
      <c r="A1583" s="20" t="s">
        <v>1189</v>
      </c>
      <c r="B1583" s="21" t="s">
        <v>1165</v>
      </c>
      <c r="C1583" s="21" t="s">
        <v>1151</v>
      </c>
      <c r="D1583" s="21" t="s">
        <v>1144</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1292</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1166</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1198</v>
      </c>
      <c r="B1586" s="21" t="s">
        <v>1142</v>
      </c>
      <c r="C1586" s="21" t="s">
        <v>1151</v>
      </c>
      <c r="D1586" s="21" t="s">
        <v>1144</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1733</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1267</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1734</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1735</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1736</v>
      </c>
      <c r="B1591" s="21" t="s">
        <v>1171</v>
      </c>
      <c r="C1591" s="21" t="s">
        <v>1155</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1302</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1529</v>
      </c>
      <c r="B1593" s="21" t="s">
        <v>1171</v>
      </c>
      <c r="C1593" s="21" t="s">
        <v>1151</v>
      </c>
      <c r="D1593" s="21" t="s">
        <v>1144</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1203</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1716</v>
      </c>
      <c r="B1595" s="21" t="s">
        <v>1147</v>
      </c>
      <c r="C1595" s="21" t="s">
        <v>1270</v>
      </c>
      <c r="D1595" s="21" t="s">
        <v>1144</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1737</v>
      </c>
      <c r="B1596" s="21" t="s">
        <v>1171</v>
      </c>
      <c r="C1596" s="21" t="s">
        <v>1187</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312</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row>
    <row r="1599" spans="1:12">
      <c r="A1599" s="20" t="s">
        <v>1738</v>
      </c>
    </row>
    <row r="1600" spans="1:12">
      <c r="A1600" s="20" t="s">
        <v>1739</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1590</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1284</v>
      </c>
      <c r="B1602" s="21" t="s">
        <v>1165</v>
      </c>
      <c r="C1602" s="21" t="s">
        <v>1214</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165</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1740</v>
      </c>
      <c r="B1604" s="21" t="s">
        <v>1154</v>
      </c>
      <c r="C1604" s="21" t="s">
        <v>1187</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1308</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1363</v>
      </c>
      <c r="B1606" s="21" t="s">
        <v>1171</v>
      </c>
      <c r="C1606" s="21" t="s">
        <v>1187</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1166</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60</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1261</v>
      </c>
      <c r="B1609" s="21" t="s">
        <v>1142</v>
      </c>
      <c r="C1609" s="21" t="s">
        <v>1151</v>
      </c>
      <c r="D1609" s="21" t="s">
        <v>1144</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1741</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1742</v>
      </c>
      <c r="B1611" s="21" t="s">
        <v>1150</v>
      </c>
      <c r="C1611" s="21" t="s">
        <v>1168</v>
      </c>
      <c r="D1611" s="21" t="s">
        <v>1144</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1743</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312</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row>
    <row r="1615" spans="1:12">
      <c r="A1615" s="20" t="s">
        <v>1744</v>
      </c>
    </row>
    <row r="1616" spans="1:12">
      <c r="A1616" s="20" t="s">
        <v>1189</v>
      </c>
      <c r="B1616" s="21" t="s">
        <v>1165</v>
      </c>
      <c r="C1616" s="21" t="s">
        <v>1151</v>
      </c>
      <c r="D1616" s="21" t="s">
        <v>1144</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1292</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1166</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1309</v>
      </c>
      <c r="B1619" s="21" t="s">
        <v>1142</v>
      </c>
      <c r="C1619" s="21" t="s">
        <v>1168</v>
      </c>
      <c r="D1619" s="21" t="s">
        <v>1144</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1743</v>
      </c>
      <c r="B1620" s="21" t="s">
        <v>1142</v>
      </c>
      <c r="C1620" s="21" t="s">
        <v>1172</v>
      </c>
      <c r="D1620" s="21" t="s">
        <v>1144</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1741</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1166</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1301</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1745</v>
      </c>
      <c r="B1624" s="21" t="s">
        <v>1171</v>
      </c>
      <c r="C1624" s="21" t="s">
        <v>1270</v>
      </c>
      <c r="D1624" s="21" t="s">
        <v>1144</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1746</v>
      </c>
      <c r="B1625" s="21" t="s">
        <v>1154</v>
      </c>
      <c r="C1625" s="21" t="s">
        <v>1187</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312</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row>
    <row r="1628" spans="1:12">
      <c r="A1628" s="20" t="s">
        <v>1747</v>
      </c>
    </row>
    <row r="1629" spans="1:12">
      <c r="A1629" s="20" t="s">
        <v>1325</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1284</v>
      </c>
      <c r="B1630" s="21" t="s">
        <v>1142</v>
      </c>
      <c r="C1630" s="21" t="s">
        <v>1187</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1746</v>
      </c>
      <c r="B1631" s="21" t="s">
        <v>1150</v>
      </c>
      <c r="C1631" s="21" t="s">
        <v>1187</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1748</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1166</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1439</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1278</v>
      </c>
      <c r="B1635" s="21" t="s">
        <v>1165</v>
      </c>
      <c r="C1635" s="21" t="s">
        <v>1168</v>
      </c>
      <c r="D1635" s="21" t="s">
        <v>1144</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1749</v>
      </c>
      <c r="B1636" s="21" t="s">
        <v>1154</v>
      </c>
      <c r="C1636" s="21" t="s">
        <v>1187</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340</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1166</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1449</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1174</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1370</v>
      </c>
      <c r="B1641" s="21" t="s">
        <v>1142</v>
      </c>
      <c r="C1641" s="21" t="s">
        <v>1182</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1750</v>
      </c>
      <c r="B1642" s="21" t="s">
        <v>1150</v>
      </c>
      <c r="C1642" s="21" t="s">
        <v>1151</v>
      </c>
      <c r="D1642" s="21" t="s">
        <v>1144</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681</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1442</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312</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row>
    <row r="1647" spans="1:12">
      <c r="A1647" s="20" t="s">
        <v>1751</v>
      </c>
    </row>
    <row r="1648" spans="1:12">
      <c r="A1648" s="20" t="s">
        <v>1274</v>
      </c>
      <c r="B1648" s="21" t="s">
        <v>1165</v>
      </c>
      <c r="C1648" s="21" t="s">
        <v>1187</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1301</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1752</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1166</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60</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1238</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1753</v>
      </c>
      <c r="B1654" s="21" t="s">
        <v>1161</v>
      </c>
      <c r="C1654" s="21" t="s">
        <v>1162</v>
      </c>
      <c r="D1654" s="21" t="s">
        <v>1144</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1166</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1178</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1167</v>
      </c>
      <c r="B1657" s="21" t="s">
        <v>1175</v>
      </c>
      <c r="C1657" s="21" t="s">
        <v>1168</v>
      </c>
      <c r="D1657" s="21" t="s">
        <v>1144</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1278</v>
      </c>
      <c r="B1658" s="21" t="s">
        <v>1193</v>
      </c>
      <c r="C1658" s="21" t="s">
        <v>1168</v>
      </c>
      <c r="D1658" s="21" t="s">
        <v>1144</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411</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1166</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1326</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1218</v>
      </c>
      <c r="B1662" s="21" t="s">
        <v>1150</v>
      </c>
      <c r="C1662" s="21" t="s">
        <v>1168</v>
      </c>
      <c r="D1662" s="21" t="s">
        <v>1144</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1754</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312</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row>
    <row r="1666" spans="1:12">
      <c r="A1666" s="20" t="s">
        <v>1755</v>
      </c>
    </row>
    <row r="1667" spans="1:12">
      <c r="A1667" s="20" t="s">
        <v>1194</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1756</v>
      </c>
      <c r="B1668" s="21" t="s">
        <v>1171</v>
      </c>
      <c r="C1668" s="21" t="s">
        <v>1143</v>
      </c>
      <c r="D1668" s="21" t="s">
        <v>1144</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1196</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308</v>
      </c>
      <c r="B1670" s="21" t="s">
        <v>1165</v>
      </c>
      <c r="C1670" s="21" t="s">
        <v>1143</v>
      </c>
      <c r="D1670" s="21" t="s">
        <v>1144</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1146</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1417</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1757</v>
      </c>
      <c r="B1673" s="21" t="s">
        <v>1171</v>
      </c>
      <c r="C1673" s="21" t="s">
        <v>1162</v>
      </c>
      <c r="D1673" s="21" t="s">
        <v>1144</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1314</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1758</v>
      </c>
      <c r="B1675" s="21" t="s">
        <v>1181</v>
      </c>
      <c r="C1675" s="21" t="s">
        <v>1232</v>
      </c>
      <c r="D1675" s="21" t="s">
        <v>1144</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1455</v>
      </c>
      <c r="B1676" s="21" t="s">
        <v>1147</v>
      </c>
      <c r="C1676" s="21" t="s">
        <v>1234</v>
      </c>
      <c r="D1676" s="21" t="s">
        <v>1144</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1146</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1217</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431</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1339</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1481</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1759</v>
      </c>
      <c r="B1682" s="21" t="s">
        <v>1161</v>
      </c>
      <c r="C1682" s="21" t="s">
        <v>1162</v>
      </c>
      <c r="D1682" s="21" t="s">
        <v>1144</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1760</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312</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row>
    <row r="1686" spans="1:12">
      <c r="A1686" s="20" t="s">
        <v>1761</v>
      </c>
    </row>
    <row r="1687" spans="1:12">
      <c r="A1687" s="20" t="s">
        <v>1217</v>
      </c>
      <c r="B1687" s="21" t="s">
        <v>1165</v>
      </c>
      <c r="C1687" s="21" t="s">
        <v>1168</v>
      </c>
      <c r="D1687" s="21" t="s">
        <v>1144</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165</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1490</v>
      </c>
      <c r="B1689" s="21" t="s">
        <v>1171</v>
      </c>
      <c r="C1689" s="21" t="s">
        <v>1232</v>
      </c>
      <c r="D1689" s="21" t="s">
        <v>1144</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1762</v>
      </c>
      <c r="B1690" s="21" t="s">
        <v>1154</v>
      </c>
      <c r="C1690" s="21" t="s">
        <v>1234</v>
      </c>
      <c r="D1690" s="21" t="s">
        <v>1144</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1763</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1203</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1587</v>
      </c>
      <c r="B1693" s="21" t="s">
        <v>1147</v>
      </c>
      <c r="C1693" s="21" t="s">
        <v>1232</v>
      </c>
      <c r="D1693" s="21" t="s">
        <v>1144</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1764</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1455</v>
      </c>
      <c r="B1695" s="21" t="s">
        <v>1142</v>
      </c>
      <c r="C1695" s="21" t="s">
        <v>1234</v>
      </c>
      <c r="D1695" s="21" t="s">
        <v>1144</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1765</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312</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row>
    <row r="1699" spans="1:12">
      <c r="A1699" s="20" t="s">
        <v>1766</v>
      </c>
    </row>
    <row r="1700" spans="1:12">
      <c r="A1700" s="20" t="s">
        <v>198</v>
      </c>
      <c r="B1700" s="21" t="s">
        <v>1165</v>
      </c>
      <c r="C1700" s="21" t="s">
        <v>1143</v>
      </c>
      <c r="D1700" s="21" t="s">
        <v>1144</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1146</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1325</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1198</v>
      </c>
      <c r="B1703" s="21" t="s">
        <v>1142</v>
      </c>
      <c r="C1703" s="21" t="s">
        <v>1151</v>
      </c>
      <c r="D1703" s="21" t="s">
        <v>1144</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1387</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1731</v>
      </c>
      <c r="B1705" s="21" t="s">
        <v>1171</v>
      </c>
      <c r="C1705" s="21" t="s">
        <v>1187</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1219</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1362</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1767</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1166</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18</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1238</v>
      </c>
      <c r="B1711" s="21" t="s">
        <v>1154</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1166</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1238</v>
      </c>
      <c r="B1713" s="21" t="s">
        <v>1175</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1362</v>
      </c>
      <c r="B1714" s="21" t="s">
        <v>1193</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1406</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1768</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1146</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row>
    <row r="1719" spans="1:12">
      <c r="A1719" s="20" t="s">
        <v>1769</v>
      </c>
    </row>
    <row r="1720" spans="1:12">
      <c r="A1720" s="20" t="s">
        <v>22</v>
      </c>
      <c r="B1720" s="21" t="s">
        <v>1165</v>
      </c>
      <c r="C1720" s="21" t="s">
        <v>1143</v>
      </c>
      <c r="D1720" s="21" t="s">
        <v>1144</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t="s">
        <v>1260</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1238</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1276</v>
      </c>
      <c r="B1723" s="21" t="s">
        <v>1154</v>
      </c>
      <c r="C1723" s="21" t="s">
        <v>1162</v>
      </c>
      <c r="D1723" s="21" t="s">
        <v>1144</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443</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1203</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1164</v>
      </c>
      <c r="B1726" s="21" t="s">
        <v>1142</v>
      </c>
      <c r="C1726" s="21" t="s">
        <v>1151</v>
      </c>
      <c r="D1726" s="21" t="s">
        <v>1144</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1770</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1166</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1238</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1771</v>
      </c>
      <c r="B1730" s="21" t="s">
        <v>1142</v>
      </c>
      <c r="C1730" s="21" t="s">
        <v>1162</v>
      </c>
      <c r="D1730" s="21" t="s">
        <v>1144</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1772</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1481</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1773</v>
      </c>
      <c r="B1733" s="21" t="s">
        <v>1150</v>
      </c>
      <c r="C1733" s="21" t="s">
        <v>1162</v>
      </c>
      <c r="D1733" s="21" t="s">
        <v>1144</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312</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row>
    <row r="1736" spans="1:12">
      <c r="A1736" s="20" t="s">
        <v>1774</v>
      </c>
    </row>
    <row r="1737" spans="1:12">
      <c r="A1737" s="20" t="s">
        <v>1417</v>
      </c>
      <c r="B1737" s="21" t="s">
        <v>1165</v>
      </c>
      <c r="C1737" s="21" t="s">
        <v>1232</v>
      </c>
      <c r="D1737" s="21" t="s">
        <v>1144</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1775</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1740</v>
      </c>
      <c r="B1739" s="21" t="s">
        <v>1154</v>
      </c>
      <c r="C1739" s="21" t="s">
        <v>1187</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1308</v>
      </c>
      <c r="B1740" s="21" t="s">
        <v>1147</v>
      </c>
      <c r="C1740" s="21" t="s">
        <v>1182</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1159</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1220</v>
      </c>
      <c r="B1742" s="21" t="s">
        <v>1171</v>
      </c>
      <c r="C1742" s="21" t="s">
        <v>1162</v>
      </c>
      <c r="D1742" s="21" t="s">
        <v>1144</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312</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row>
    <row r="1745" spans="1:12">
      <c r="A1745" s="20" t="s">
        <v>1776</v>
      </c>
    </row>
    <row r="1746" spans="1:12">
      <c r="A1746" s="20" t="s">
        <v>1417</v>
      </c>
      <c r="B1746" s="21" t="s">
        <v>1165</v>
      </c>
      <c r="C1746" s="21" t="s">
        <v>1232</v>
      </c>
      <c r="D1746" s="21" t="s">
        <v>1144</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1148</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1387</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1777</v>
      </c>
      <c r="B1749" s="21" t="s">
        <v>1161</v>
      </c>
      <c r="C1749" s="21" t="s">
        <v>1187</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1308</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451</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312</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row>
    <row r="1754" spans="1:12">
      <c r="A1754" s="20" t="s">
        <v>1778</v>
      </c>
    </row>
    <row r="1755" spans="1:12">
      <c r="A1755" s="20" t="s">
        <v>1300</v>
      </c>
      <c r="B1755" s="21" t="s">
        <v>1165</v>
      </c>
      <c r="C1755" s="21" t="s">
        <v>1151</v>
      </c>
      <c r="D1755" s="21" t="s">
        <v>1144</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1775</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1225</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1166</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1174</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1489</v>
      </c>
      <c r="B1760" s="21" t="s">
        <v>1142</v>
      </c>
      <c r="C1760" s="21" t="s">
        <v>1187</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1740</v>
      </c>
      <c r="B1761" s="21" t="s">
        <v>1150</v>
      </c>
      <c r="C1761" s="21" t="s">
        <v>1187</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974</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1203</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1206</v>
      </c>
      <c r="B1764" s="21" t="s">
        <v>1193</v>
      </c>
      <c r="C1764" s="21" t="s">
        <v>1182</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451</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1439</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1166</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1191</v>
      </c>
      <c r="B1768" s="21" t="s">
        <v>1142</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1779</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1780</v>
      </c>
      <c r="B1770" s="21" t="s">
        <v>1150</v>
      </c>
      <c r="C1770" s="21" t="s">
        <v>1228</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1781</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312</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row>
    <row r="1774" spans="1:12">
      <c r="A1774" s="20" t="s">
        <v>1782</v>
      </c>
    </row>
    <row r="1775" spans="1:12">
      <c r="A1775" s="20" t="s">
        <v>1503</v>
      </c>
      <c r="B1775" s="21" t="s">
        <v>1165</v>
      </c>
      <c r="C1775" s="21" t="s">
        <v>1232</v>
      </c>
      <c r="D1775" s="21" t="s">
        <v>1144</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1301</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1179</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1588</v>
      </c>
      <c r="B1778" s="21" t="s">
        <v>1161</v>
      </c>
      <c r="C1778" s="21" t="s">
        <v>1155</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1170</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312</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row>
    <row r="1782" spans="1:12">
      <c r="A1782" s="20" t="s">
        <v>1783</v>
      </c>
    </row>
    <row r="1783" spans="1:12">
      <c r="A1783" s="20" t="s">
        <v>308</v>
      </c>
      <c r="B1783" s="21" t="s">
        <v>1165</v>
      </c>
      <c r="C1783" s="21" t="s">
        <v>1143</v>
      </c>
      <c r="D1783" s="21" t="s">
        <v>1144</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1146</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1605</v>
      </c>
      <c r="B1785" s="21" t="s">
        <v>1171</v>
      </c>
      <c r="C1785" s="21" t="s">
        <v>1143</v>
      </c>
      <c r="D1785" s="21" t="s">
        <v>1144</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1166</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1191</v>
      </c>
      <c r="B1787" s="21" t="s">
        <v>1171</v>
      </c>
      <c r="C1787" s="21" t="s">
        <v>1232</v>
      </c>
      <c r="D1787" s="21" t="s">
        <v>1144</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1301</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1409</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312</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row>
    <row r="1792" spans="1:12">
      <c r="A1792" s="20" t="s">
        <v>1784</v>
      </c>
    </row>
    <row r="1793" spans="1:12">
      <c r="A1793" s="20" t="s">
        <v>1399</v>
      </c>
      <c r="B1793" s="21" t="s">
        <v>1165</v>
      </c>
      <c r="C1793" s="21" t="s">
        <v>1168</v>
      </c>
      <c r="D1793" s="21" t="s">
        <v>1144</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1529</v>
      </c>
      <c r="B1794" s="21" t="s">
        <v>1154</v>
      </c>
      <c r="C1794" s="21" t="s">
        <v>1151</v>
      </c>
      <c r="D1794" s="21" t="s">
        <v>1144</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1785</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1166</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1198</v>
      </c>
      <c r="B1797" s="21" t="s">
        <v>1142</v>
      </c>
      <c r="C1797" s="21" t="s">
        <v>1151</v>
      </c>
      <c r="D1797" s="21" t="s">
        <v>1144</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1786</v>
      </c>
      <c r="B1798" s="21" t="s">
        <v>1150</v>
      </c>
      <c r="C1798" s="21" t="s">
        <v>1168</v>
      </c>
      <c r="D1798" s="21" t="s">
        <v>1144</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1529</v>
      </c>
      <c r="B1799" s="21" t="s">
        <v>1193</v>
      </c>
      <c r="C1799" s="21" t="s">
        <v>1151</v>
      </c>
      <c r="D1799" s="21" t="s">
        <v>1144</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1787</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1518</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1481</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1740</v>
      </c>
      <c r="B1803" s="21" t="s">
        <v>1161</v>
      </c>
      <c r="C1803" s="21" t="s">
        <v>1162</v>
      </c>
      <c r="D1803" s="21" t="s">
        <v>1144</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t="s">
        <v>1166</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1298</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1167</v>
      </c>
      <c r="B1806" s="21" t="s">
        <v>1175</v>
      </c>
      <c r="C1806" s="21" t="s">
        <v>1168</v>
      </c>
      <c r="D1806" s="21" t="s">
        <v>1144</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1432</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1253</v>
      </c>
      <c r="B1808" s="21" t="s">
        <v>1147</v>
      </c>
      <c r="C1808" s="21" t="s">
        <v>1187</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31</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312</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row>
    <row r="1812" spans="1:12">
      <c r="A1812" s="20" t="s">
        <v>1788</v>
      </c>
    </row>
    <row r="1813" spans="1:12">
      <c r="A1813" s="20" t="s">
        <v>1217</v>
      </c>
      <c r="B1813" s="21" t="s">
        <v>1142</v>
      </c>
      <c r="C1813" s="21" t="s">
        <v>1168</v>
      </c>
      <c r="D1813" s="21" t="s">
        <v>1144</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165</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1379</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1191</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1789</v>
      </c>
      <c r="B1817" s="21" t="s">
        <v>1165</v>
      </c>
      <c r="C1817" s="21" t="s">
        <v>1143</v>
      </c>
      <c r="D1817" s="21" t="s">
        <v>1144</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12</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1790</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1663</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1166</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1791</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1792</v>
      </c>
      <c r="B1823" s="21" t="s">
        <v>1142</v>
      </c>
      <c r="C1823" s="21" t="s">
        <v>1187</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1584</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73</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1166</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1414</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1191</v>
      </c>
      <c r="B1828" s="21" t="s">
        <v>1193</v>
      </c>
      <c r="C1828" s="21" t="s">
        <v>1232</v>
      </c>
      <c r="D1828" s="21" t="s">
        <v>1144</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1308</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815</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312</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row>
    <row r="1833" spans="1:12">
      <c r="A1833" s="20" t="s">
        <v>1793</v>
      </c>
    </row>
    <row r="1834" spans="1:12">
      <c r="A1834" s="20" t="s">
        <v>1300</v>
      </c>
      <c r="B1834" s="21" t="s">
        <v>1165</v>
      </c>
      <c r="C1834" s="21" t="s">
        <v>1151</v>
      </c>
      <c r="D1834" s="21" t="s">
        <v>1144</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1794</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1795</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1796</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312</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row>
    <row r="1840" spans="1:12">
      <c r="A1840" s="20" t="s">
        <v>1797</v>
      </c>
    </row>
    <row r="1841" spans="1:12">
      <c r="A1841" s="20" t="s">
        <v>1217</v>
      </c>
      <c r="B1841" s="21" t="s">
        <v>1165</v>
      </c>
      <c r="C1841" s="21" t="s">
        <v>1168</v>
      </c>
      <c r="D1841" s="21" t="s">
        <v>1144</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1439</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1501</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1191</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1455</v>
      </c>
      <c r="B1845" s="21" t="s">
        <v>1154</v>
      </c>
      <c r="C1845" s="21" t="s">
        <v>1162</v>
      </c>
      <c r="D1845" s="21" t="s">
        <v>1144</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190</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312</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row>
    <row r="1849" spans="1:12">
      <c r="A1849" s="20" t="s">
        <v>1798</v>
      </c>
    </row>
    <row r="1850" spans="1:12">
      <c r="A1850" s="20" t="s">
        <v>1799</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1800</v>
      </c>
      <c r="B1851" s="21" t="s">
        <v>1165</v>
      </c>
      <c r="C1851" s="21" t="s">
        <v>1214</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1275</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1801</v>
      </c>
      <c r="B1853" s="21" t="s">
        <v>1171</v>
      </c>
      <c r="C1853" s="21" t="s">
        <v>1162</v>
      </c>
      <c r="D1853" s="21" t="s">
        <v>1144</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1148</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1802</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1803</v>
      </c>
      <c r="B1856" s="21" t="s">
        <v>1171</v>
      </c>
      <c r="C1856" s="21" t="s">
        <v>1168</v>
      </c>
      <c r="D1856" s="21" t="s">
        <v>1144</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1804</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1805</v>
      </c>
      <c r="B1858" s="21" t="s">
        <v>1154</v>
      </c>
      <c r="C1858" s="21" t="s">
        <v>1214</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312</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row>
    <row r="1861" spans="1:12">
      <c r="A1861" s="20" t="s">
        <v>1806</v>
      </c>
    </row>
    <row r="1862" spans="1:12">
      <c r="A1862" s="20" t="s">
        <v>1217</v>
      </c>
      <c r="B1862" s="21" t="s">
        <v>1165</v>
      </c>
      <c r="C1862" s="21" t="s">
        <v>1168</v>
      </c>
      <c r="D1862" s="21" t="s">
        <v>1144</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46</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1166</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1601</v>
      </c>
      <c r="B1865" s="21" t="s">
        <v>1142</v>
      </c>
      <c r="C1865" s="21" t="s">
        <v>1232</v>
      </c>
      <c r="D1865" s="21" t="s">
        <v>1144</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1807</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1731</v>
      </c>
      <c r="B1867" s="21" t="s">
        <v>1150</v>
      </c>
      <c r="C1867" s="21" t="s">
        <v>1187</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1518</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1808</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1809</v>
      </c>
      <c r="B1870" s="21" t="s">
        <v>1171</v>
      </c>
      <c r="C1870" s="21" t="s">
        <v>1187</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681</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312</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row>
    <row r="1874" spans="1:12">
      <c r="A1874" s="20" t="s">
        <v>1810</v>
      </c>
    </row>
    <row r="1875" spans="1:12">
      <c r="A1875" s="20" t="s">
        <v>198</v>
      </c>
      <c r="B1875" s="21" t="s">
        <v>1161</v>
      </c>
      <c r="C1875" s="21" t="s">
        <v>1143</v>
      </c>
      <c r="D1875" s="21" t="s">
        <v>1144</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1146</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1300</v>
      </c>
      <c r="B1877" s="21" t="s">
        <v>1142</v>
      </c>
      <c r="C1877" s="21" t="s">
        <v>1151</v>
      </c>
      <c r="D1877" s="21" t="s">
        <v>1144</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1301</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1179</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1811</v>
      </c>
      <c r="B1880" s="21" t="s">
        <v>1161</v>
      </c>
      <c r="C1880" s="21" t="s">
        <v>1155</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312</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row>
    <row r="1883" spans="1:12">
      <c r="A1883" s="20" t="s">
        <v>1812</v>
      </c>
    </row>
    <row r="1884" spans="1:12">
      <c r="A1884" s="20" t="s">
        <v>308</v>
      </c>
      <c r="B1884" s="21" t="s">
        <v>1161</v>
      </c>
      <c r="C1884" s="21" t="s">
        <v>1187</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1146</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1539</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1481</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1805</v>
      </c>
      <c r="B1888" s="21" t="s">
        <v>1161</v>
      </c>
      <c r="C1888" s="21" t="s">
        <v>1162</v>
      </c>
      <c r="D1888" s="21" t="s">
        <v>1144</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312</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row>
    <row r="1891" spans="1:12">
      <c r="A1891" s="20" t="s">
        <v>1813</v>
      </c>
    </row>
    <row r="1892" spans="1:12">
      <c r="A1892" s="20" t="s">
        <v>198</v>
      </c>
      <c r="B1892" s="21" t="s">
        <v>1161</v>
      </c>
      <c r="C1892" s="21" t="s">
        <v>1143</v>
      </c>
      <c r="D1892" s="21" t="s">
        <v>1144</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1146</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1574</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1814</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242</v>
      </c>
      <c r="B1896" s="21" t="s">
        <v>1147</v>
      </c>
      <c r="C1896" s="21" t="s">
        <v>1151</v>
      </c>
      <c r="D1896" s="21" t="s">
        <v>1144</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1525</v>
      </c>
      <c r="B1897" s="21" t="s">
        <v>1244</v>
      </c>
      <c r="C1897" s="21" t="s">
        <v>1232</v>
      </c>
      <c r="D1897" s="21" t="s">
        <v>1144</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1811</v>
      </c>
      <c r="B1898" s="21" t="s">
        <v>1181</v>
      </c>
      <c r="C1898" s="21" t="s">
        <v>1234</v>
      </c>
      <c r="D1898" s="21" t="s">
        <v>1144</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1740</v>
      </c>
      <c r="B1899" s="21" t="s">
        <v>1150</v>
      </c>
      <c r="C1899" s="21" t="s">
        <v>1187</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1308</v>
      </c>
      <c r="B1900" s="21" t="s">
        <v>1181</v>
      </c>
      <c r="C1900" s="21" t="s">
        <v>1182</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1159</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1220</v>
      </c>
      <c r="B1902" s="21" t="s">
        <v>1147</v>
      </c>
      <c r="C1902" s="21" t="s">
        <v>1162</v>
      </c>
      <c r="D1902" s="21" t="s">
        <v>1144</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1263</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row>
    <row r="1905" spans="1:12">
      <c r="A1905" s="20" t="s">
        <v>1815</v>
      </c>
    </row>
    <row r="1906" spans="1:12">
      <c r="A1906" s="20" t="s">
        <v>1816</v>
      </c>
      <c r="B1906" s="21" t="s">
        <v>1165</v>
      </c>
      <c r="C1906" s="21" t="s">
        <v>1151</v>
      </c>
      <c r="D1906" s="21" t="s">
        <v>1144</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1817</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1247</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1818</v>
      </c>
      <c r="B1909" s="21" t="s">
        <v>1154</v>
      </c>
      <c r="C1909" s="21" t="s">
        <v>1187</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495</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1166</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1567</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1370</v>
      </c>
      <c r="B1913" s="21" t="s">
        <v>1142</v>
      </c>
      <c r="C1913" s="21" t="s">
        <v>1182</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1238</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1792</v>
      </c>
      <c r="B1915" s="21" t="s">
        <v>1150</v>
      </c>
      <c r="C1915" s="21" t="s">
        <v>1162</v>
      </c>
      <c r="D1915" s="21" t="s">
        <v>1144</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1176</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1819</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1442</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312</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row>
    <row r="1921" spans="1:12">
      <c r="A1921" s="20" t="s">
        <v>1820</v>
      </c>
    </row>
    <row r="1922" spans="1:12">
      <c r="A1922" s="20" t="s">
        <v>308</v>
      </c>
      <c r="B1922" s="21" t="s">
        <v>1161</v>
      </c>
      <c r="C1922" s="21" t="s">
        <v>1187</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1146</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row>
    <row r="1925" spans="1:12">
      <c r="A1925" s="20" t="s">
        <v>1821</v>
      </c>
    </row>
    <row r="1926" spans="1:12">
      <c r="A1926" s="20" t="s">
        <v>1605</v>
      </c>
      <c r="B1926" s="21" t="s">
        <v>1165</v>
      </c>
      <c r="C1926" s="21" t="s">
        <v>1143</v>
      </c>
      <c r="D1926" s="21" t="s">
        <v>1144</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1166</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1261</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1301</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1179</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1822</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1588</v>
      </c>
      <c r="B1932" s="21" t="s">
        <v>1161</v>
      </c>
      <c r="C1932" s="21" t="s">
        <v>1155</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1302</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1823</v>
      </c>
      <c r="B1934" s="21" t="s">
        <v>1161</v>
      </c>
      <c r="C1934" s="21" t="s">
        <v>1187</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312</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row>
    <row r="1937" spans="1:12">
      <c r="A1937" s="20" t="s">
        <v>1824</v>
      </c>
    </row>
    <row r="1938" spans="1:12">
      <c r="A1938" s="20" t="s">
        <v>1217</v>
      </c>
      <c r="B1938" s="21" t="s">
        <v>1165</v>
      </c>
      <c r="C1938" s="21" t="s">
        <v>1168</v>
      </c>
      <c r="D1938" s="21" t="s">
        <v>1144</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165</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1219</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1231</v>
      </c>
      <c r="B1941" s="21" t="s">
        <v>1171</v>
      </c>
      <c r="C1941" s="21" t="s">
        <v>1232</v>
      </c>
      <c r="D1941" s="21" t="s">
        <v>1144</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1825</v>
      </c>
      <c r="B1942" s="21" t="s">
        <v>1161</v>
      </c>
      <c r="C1942" s="21" t="s">
        <v>1234</v>
      </c>
      <c r="D1942" s="21" t="s">
        <v>1144</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25</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1826</v>
      </c>
      <c r="B1944" s="21" t="s">
        <v>1171</v>
      </c>
      <c r="C1944" s="21" t="s">
        <v>1214</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1520</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1827</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1828</v>
      </c>
      <c r="B1947" s="21" t="s">
        <v>1147</v>
      </c>
      <c r="C1947" s="21" t="s">
        <v>1187</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1166</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1829</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1167</v>
      </c>
      <c r="B1950" s="21" t="s">
        <v>1142</v>
      </c>
      <c r="C1950" s="21" t="s">
        <v>1168</v>
      </c>
      <c r="D1950" s="21" t="s">
        <v>1144</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1387</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1275</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1562</v>
      </c>
      <c r="B1953" s="21" t="s">
        <v>1171</v>
      </c>
      <c r="C1953" s="21" t="s">
        <v>1162</v>
      </c>
      <c r="D1953" s="21" t="s">
        <v>1144</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1830</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312</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row>
    <row r="1957" spans="1:12">
      <c r="A1957" s="20" t="s">
        <v>1831</v>
      </c>
    </row>
    <row r="1958" spans="1:12">
      <c r="A1958" s="20" t="s">
        <v>1158</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1159</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1160</v>
      </c>
      <c r="B1960" s="21" t="s">
        <v>1161</v>
      </c>
      <c r="C1960" s="21" t="s">
        <v>1162</v>
      </c>
      <c r="D1960" s="21" t="s">
        <v>1144</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1552</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1261</v>
      </c>
      <c r="B1962" s="21" t="s">
        <v>1165</v>
      </c>
      <c r="C1962" s="21" t="s">
        <v>1151</v>
      </c>
      <c r="D1962" s="21" t="s">
        <v>1144</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1832</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1146</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1574</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1439</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1167</v>
      </c>
      <c r="B1967" s="21" t="s">
        <v>1142</v>
      </c>
      <c r="C1967" s="21" t="s">
        <v>1168</v>
      </c>
      <c r="D1967" s="21" t="s">
        <v>1144</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1805</v>
      </c>
      <c r="B1968" s="21" t="s">
        <v>1150</v>
      </c>
      <c r="C1968" s="21" t="s">
        <v>1187</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1833</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1535</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1834</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1835</v>
      </c>
      <c r="B1972" s="21" t="s">
        <v>1171</v>
      </c>
      <c r="C1972" s="21" t="s">
        <v>1187</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1836</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1263</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row>
    <row r="1976" spans="1:12">
      <c r="A1976" s="20" t="s">
        <v>1837</v>
      </c>
    </row>
    <row r="1977" spans="1:12">
      <c r="A1977" s="20" t="s">
        <v>1838</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1839</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1370</v>
      </c>
      <c r="B1979" s="21" t="s">
        <v>1165</v>
      </c>
      <c r="C1979" s="21" t="s">
        <v>1182</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1840</v>
      </c>
      <c r="B1980" s="21" t="s">
        <v>1154</v>
      </c>
      <c r="C1980" s="21" t="s">
        <v>1187</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312</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row>
    <row r="1983" spans="1:12">
      <c r="A1983" s="20" t="s">
        <v>1841</v>
      </c>
    </row>
    <row r="1984" spans="1:12">
      <c r="A1984" s="20" t="s">
        <v>1297</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1261</v>
      </c>
      <c r="B1985" s="21" t="s">
        <v>1165</v>
      </c>
      <c r="C1985" s="21" t="s">
        <v>1151</v>
      </c>
      <c r="D1985" s="21" t="s">
        <v>1144</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1842</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1367</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1843</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1166</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1844</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1370</v>
      </c>
      <c r="B1991" s="21" t="s">
        <v>1142</v>
      </c>
      <c r="C1991" s="21" t="s">
        <v>1182</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1278</v>
      </c>
      <c r="B1992" s="21" t="s">
        <v>1150</v>
      </c>
      <c r="C1992" s="21" t="s">
        <v>1168</v>
      </c>
      <c r="D1992" s="21" t="s">
        <v>1144</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356</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1446</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312</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row>
    <row r="1997" spans="1:12">
      <c r="A1997" s="20" t="s">
        <v>1845</v>
      </c>
    </row>
    <row r="1998" spans="1:12">
      <c r="A1998" s="20" t="s">
        <v>1816</v>
      </c>
      <c r="B1998" s="21" t="s">
        <v>1165</v>
      </c>
      <c r="C1998" s="21" t="s">
        <v>1151</v>
      </c>
      <c r="D1998" s="21" t="s">
        <v>1144</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1846</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1542</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1166</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1178</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1847</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1370</v>
      </c>
      <c r="B2004" s="21" t="s">
        <v>1142</v>
      </c>
      <c r="C2004" s="21" t="s">
        <v>1182</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1792</v>
      </c>
      <c r="B2005" s="21" t="s">
        <v>1193</v>
      </c>
      <c r="C2005" s="21" t="s">
        <v>1187</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1848</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1203</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1849</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1850</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1446</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312</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row>
    <row r="2013" spans="1:12">
      <c r="A2013" s="20" t="s">
        <v>1851</v>
      </c>
    </row>
    <row r="2014" spans="1:12">
      <c r="A2014" s="20" t="s">
        <v>1852</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1191</v>
      </c>
      <c r="B2015" s="21" t="s">
        <v>1165</v>
      </c>
      <c r="C2015" s="21" t="s">
        <v>1232</v>
      </c>
      <c r="D2015" s="21" t="s">
        <v>1144</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1301</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1238</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1853</v>
      </c>
      <c r="B2018" s="21" t="s">
        <v>1161</v>
      </c>
      <c r="C2018" s="21" t="s">
        <v>1162</v>
      </c>
      <c r="D2018" s="21" t="s">
        <v>1144</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1854</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1855</v>
      </c>
      <c r="B2020" s="21" t="s">
        <v>1161</v>
      </c>
      <c r="C2020" s="21" t="s">
        <v>1162</v>
      </c>
      <c r="D2020" s="21" t="s">
        <v>1144</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312</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row>
    <row r="2023" spans="1:12">
      <c r="A2023" s="20" t="s">
        <v>1856</v>
      </c>
    </row>
    <row r="2024" spans="1:12">
      <c r="A2024" s="20" t="s">
        <v>1189</v>
      </c>
      <c r="B2024" s="21" t="s">
        <v>1165</v>
      </c>
      <c r="C2024" s="21" t="s">
        <v>1151</v>
      </c>
      <c r="D2024" s="21" t="s">
        <v>1144</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1543</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1857</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1203</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1659</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1166</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1174</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1858</v>
      </c>
      <c r="B2031" s="21" t="s">
        <v>1175</v>
      </c>
      <c r="C2031" s="21" t="s">
        <v>1182</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1240</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122</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1520</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160</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1319</v>
      </c>
      <c r="B2036" s="21" t="s">
        <v>1147</v>
      </c>
      <c r="C2036" s="21" t="s">
        <v>1214</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1205</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1811</v>
      </c>
      <c r="B2038" s="21" t="s">
        <v>1193</v>
      </c>
      <c r="C2038" s="21" t="s">
        <v>1155</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1859</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1860</v>
      </c>
      <c r="B2040" s="21" t="s">
        <v>1147</v>
      </c>
      <c r="C2040" s="21" t="s">
        <v>1187</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1166</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1275</v>
      </c>
      <c r="B2042" s="21" t="s">
        <v>1199</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1238</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1861</v>
      </c>
      <c r="B2044" s="21" t="s">
        <v>1199</v>
      </c>
      <c r="C2044" s="21" t="s">
        <v>1162</v>
      </c>
      <c r="D2044" s="21" t="s">
        <v>1144</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1695</v>
      </c>
      <c r="B2045" s="21" t="s">
        <v>1242</v>
      </c>
      <c r="C2045" s="21" t="s">
        <v>1182</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1862</v>
      </c>
      <c r="B2046" s="21" t="s">
        <v>1312</v>
      </c>
      <c r="C2046" s="21" t="s">
        <v>1187</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1863</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312</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row>
    <row r="2050" spans="1:12">
      <c r="A2050" s="20" t="s">
        <v>1864</v>
      </c>
    </row>
    <row r="2051" spans="1:12">
      <c r="A2051" s="20" t="s">
        <v>1189</v>
      </c>
      <c r="B2051" s="21" t="s">
        <v>1165</v>
      </c>
      <c r="C2051" s="21" t="s">
        <v>1151</v>
      </c>
      <c r="D2051" s="21" t="s">
        <v>1144</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1714</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1166</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1236</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218</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1167</v>
      </c>
      <c r="B2056" s="21" t="s">
        <v>1165</v>
      </c>
      <c r="C2056" s="21" t="s">
        <v>1168</v>
      </c>
      <c r="D2056" s="21" t="s">
        <v>1144</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1191</v>
      </c>
      <c r="B2057" s="21" t="s">
        <v>1142</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1176</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1225</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1802</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1263</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row>
    <row r="2063" spans="1:12">
      <c r="A2063" s="20" t="s">
        <v>1865</v>
      </c>
    </row>
    <row r="2064" spans="1:12">
      <c r="A2064" s="20" t="s">
        <v>1866</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1397</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1275</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1256</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1867</v>
      </c>
      <c r="B2068" s="21" t="s">
        <v>1165</v>
      </c>
      <c r="C2068" s="21" t="s">
        <v>1162</v>
      </c>
      <c r="D2068" s="21" t="s">
        <v>1144</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1302</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1191</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1790</v>
      </c>
      <c r="B2071" s="21" t="s">
        <v>1161</v>
      </c>
      <c r="C2071" s="21" t="s">
        <v>1162</v>
      </c>
      <c r="D2071" s="21" t="s">
        <v>1144</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1868</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312</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row>
    <row r="2075" spans="1:12">
      <c r="A2075" s="20" t="s">
        <v>1869</v>
      </c>
    </row>
    <row r="2076" spans="1:12">
      <c r="A2076" s="20" t="s">
        <v>198</v>
      </c>
      <c r="B2076" s="21" t="s">
        <v>1165</v>
      </c>
      <c r="C2076" s="21" t="s">
        <v>1143</v>
      </c>
      <c r="D2076" s="21" t="s">
        <v>1144</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1146</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1297</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1345</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1230</v>
      </c>
      <c r="B2080" s="21" t="s">
        <v>1165</v>
      </c>
      <c r="C2080" s="21" t="s">
        <v>1151</v>
      </c>
      <c r="D2080" s="21" t="s">
        <v>1144</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1176</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1159</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1870</v>
      </c>
      <c r="B2083" s="21" t="s">
        <v>1154</v>
      </c>
      <c r="C2083" s="21" t="s">
        <v>1162</v>
      </c>
      <c r="D2083" s="21" t="s">
        <v>1144</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1871</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1263</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row>
    <row r="2087" spans="1:12">
      <c r="A2087" s="20" t="s">
        <v>1872</v>
      </c>
    </row>
    <row r="2088" spans="1:12">
      <c r="A2088" s="20" t="s">
        <v>308</v>
      </c>
      <c r="B2088" s="21" t="s">
        <v>1154</v>
      </c>
      <c r="C2088" s="21" t="s">
        <v>1143</v>
      </c>
      <c r="D2088" s="21" t="s">
        <v>1144</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1146</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1605</v>
      </c>
      <c r="B2090" s="21" t="s">
        <v>1171</v>
      </c>
      <c r="C2090" s="21" t="s">
        <v>1143</v>
      </c>
      <c r="D2090" s="21" t="s">
        <v>1144</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1166</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60</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1873</v>
      </c>
      <c r="B2093" s="21" t="s">
        <v>1175</v>
      </c>
      <c r="C2093" s="21" t="s">
        <v>1187</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165</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1874</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12</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1238</v>
      </c>
      <c r="B2097" s="21" t="s">
        <v>1311</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1370</v>
      </c>
      <c r="B2098" s="21" t="s">
        <v>1311</v>
      </c>
      <c r="C2098" s="21" t="s">
        <v>1182</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1875</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1844</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1876</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1289</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1176</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1877</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1635</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12</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1174</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1370</v>
      </c>
      <c r="B2108" s="21" t="s">
        <v>1199</v>
      </c>
      <c r="C2108" s="21" t="s">
        <v>1182</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1238</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1878</v>
      </c>
      <c r="B2110" s="21" t="s">
        <v>1312</v>
      </c>
      <c r="C2110" s="21" t="s">
        <v>1162</v>
      </c>
      <c r="D2110" s="21" t="s">
        <v>1144</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1879</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1446</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1166</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1880</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t="s">
        <v>1370</v>
      </c>
      <c r="B2115" s="21" t="s">
        <v>1204</v>
      </c>
      <c r="C2115" s="21" t="s">
        <v>1182</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t="s">
        <v>1881</v>
      </c>
      <c r="B2116" s="21" t="s">
        <v>1209</v>
      </c>
      <c r="C2116" s="21" t="s">
        <v>1187</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1339</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1278</v>
      </c>
      <c r="B2118" s="21" t="s">
        <v>1242</v>
      </c>
      <c r="C2118" s="21" t="s">
        <v>1168</v>
      </c>
      <c r="D2118" s="21" t="s">
        <v>1144</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1882</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1520</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1883</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1884</v>
      </c>
      <c r="B2122" s="21" t="s">
        <v>1885</v>
      </c>
      <c r="C2122" s="21" t="s">
        <v>1187</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1886</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1166</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1203</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1246</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537</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1446</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1166</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1259</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1238</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1792</v>
      </c>
      <c r="B2132" s="21" t="s">
        <v>1142</v>
      </c>
      <c r="C2132" s="21" t="s">
        <v>1162</v>
      </c>
      <c r="D2132" s="21" t="s">
        <v>1144</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1887</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1888</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312</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row>
    <row r="2137" spans="1:12">
      <c r="A2137" s="20" t="s">
        <v>1889</v>
      </c>
    </row>
    <row r="2138" spans="1:12">
      <c r="A2138" s="20" t="s">
        <v>1189</v>
      </c>
      <c r="B2138" s="21" t="s">
        <v>1165</v>
      </c>
      <c r="C2138" s="21" t="s">
        <v>1151</v>
      </c>
      <c r="D2138" s="21" t="s">
        <v>1144</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1292</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1166</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1167</v>
      </c>
      <c r="B2141" s="21" t="s">
        <v>1142</v>
      </c>
      <c r="C2141" s="21" t="s">
        <v>1168</v>
      </c>
      <c r="D2141" s="21" t="s">
        <v>1144</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1439</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1179</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1890</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1891</v>
      </c>
      <c r="B2145" s="21" t="s">
        <v>1150</v>
      </c>
      <c r="C2145" s="21" t="s">
        <v>1155</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1387</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1490</v>
      </c>
      <c r="B2147" s="21" t="s">
        <v>1181</v>
      </c>
      <c r="C2147" s="21" t="s">
        <v>1232</v>
      </c>
      <c r="D2147" s="21" t="s">
        <v>1144</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1792</v>
      </c>
      <c r="B2148" s="21" t="s">
        <v>1147</v>
      </c>
      <c r="C2148" s="21" t="s">
        <v>1234</v>
      </c>
      <c r="D2148" s="21" t="s">
        <v>1144</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1704</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1166</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1191</v>
      </c>
      <c r="B2151" s="21" t="s">
        <v>1142</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1481</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1892</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1893</v>
      </c>
      <c r="B2154" s="21" t="s">
        <v>1150</v>
      </c>
      <c r="C2154" s="21" t="s">
        <v>1162</v>
      </c>
      <c r="D2154" s="21" t="s">
        <v>1144</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1894</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312</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row>
    <row r="2158" spans="1:12">
      <c r="A2158" s="20" t="s">
        <v>1895</v>
      </c>
    </row>
    <row r="2159" spans="1:12">
      <c r="A2159" s="20" t="s">
        <v>198</v>
      </c>
      <c r="B2159" s="21" t="s">
        <v>1165</v>
      </c>
      <c r="C2159" s="21" t="s">
        <v>1143</v>
      </c>
      <c r="D2159" s="21" t="s">
        <v>1144</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1146</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1896</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1198</v>
      </c>
      <c r="B2162" s="21" t="s">
        <v>1175</v>
      </c>
      <c r="C2162" s="21" t="s">
        <v>1151</v>
      </c>
      <c r="D2162" s="21" t="s">
        <v>1144</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1219</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1253</v>
      </c>
      <c r="B2164" s="21" t="s">
        <v>1147</v>
      </c>
      <c r="C2164" s="21" t="s">
        <v>1187</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1203</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1897</v>
      </c>
      <c r="B2166" s="21" t="s">
        <v>1181</v>
      </c>
      <c r="C2166" s="21" t="s">
        <v>1187</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1767</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12</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1898</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1230</v>
      </c>
      <c r="B2170" s="21" t="s">
        <v>1311</v>
      </c>
      <c r="C2170" s="21" t="s">
        <v>1151</v>
      </c>
      <c r="D2170" s="21" t="s">
        <v>1144</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1362</v>
      </c>
      <c r="B2171" s="21" t="s">
        <v>1311</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1239</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1827</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1899</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12</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1203</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1226</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1900</v>
      </c>
      <c r="B2178" s="21" t="s">
        <v>1181</v>
      </c>
      <c r="C2178" s="21" t="s">
        <v>1228</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1302</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1897</v>
      </c>
      <c r="B2180" s="21" t="s">
        <v>1244</v>
      </c>
      <c r="C2180" s="21" t="s">
        <v>1187</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1166</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1901</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1902</v>
      </c>
      <c r="B2183" s="21" t="s">
        <v>1242</v>
      </c>
      <c r="C2183" s="21" t="s">
        <v>1187</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1203</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1903</v>
      </c>
      <c r="B2185" s="21" t="s">
        <v>1242</v>
      </c>
      <c r="C2185" s="21" t="s">
        <v>1187</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1166</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1384</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1198</v>
      </c>
      <c r="B2188" s="21" t="s">
        <v>1165</v>
      </c>
      <c r="C2188" s="21" t="s">
        <v>1151</v>
      </c>
      <c r="D2188" s="21" t="s">
        <v>1144</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1904</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1905</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31</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1166</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1309</v>
      </c>
      <c r="B2193" s="21" t="s">
        <v>1142</v>
      </c>
      <c r="C2193" s="21" t="s">
        <v>1168</v>
      </c>
      <c r="D2193" s="21" t="s">
        <v>1144</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1501</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1906</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1387</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1907</v>
      </c>
      <c r="B2197" s="21" t="s">
        <v>1171</v>
      </c>
      <c r="C2197" s="21" t="s">
        <v>1143</v>
      </c>
      <c r="D2197" s="21" t="s">
        <v>1144</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1908</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1306</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1397</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312</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row>
    <row r="2203" spans="1:12">
      <c r="A2203" s="20" t="s">
        <v>1909</v>
      </c>
    </row>
    <row r="2204" spans="1:12">
      <c r="A2204" s="20" t="s">
        <v>1300</v>
      </c>
      <c r="B2204" s="21" t="s">
        <v>1165</v>
      </c>
      <c r="C2204" s="21" t="s">
        <v>1151</v>
      </c>
      <c r="D2204" s="21" t="s">
        <v>1144</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1593</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1414</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1910</v>
      </c>
      <c r="B2207" s="21" t="s">
        <v>1161</v>
      </c>
      <c r="C2207" s="21" t="s">
        <v>1187</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1203</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1911</v>
      </c>
      <c r="B2209" s="21" t="s">
        <v>1171</v>
      </c>
      <c r="C2209" s="21" t="s">
        <v>1187</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312</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row>
    <row r="2212" spans="1:12">
      <c r="A2212" s="20" t="s">
        <v>1912</v>
      </c>
    </row>
    <row r="2213" spans="1:12">
      <c r="A2213" s="20" t="s">
        <v>1816</v>
      </c>
      <c r="B2213" s="21" t="s">
        <v>1165</v>
      </c>
      <c r="C2213" s="21" t="s">
        <v>1151</v>
      </c>
      <c r="D2213" s="21" t="s">
        <v>1144</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1913</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1905</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1828</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165</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312</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row>
    <row r="2220" spans="1:12">
      <c r="A2220" s="20" t="s">
        <v>1914</v>
      </c>
    </row>
    <row r="2221" spans="1:12">
      <c r="A2221" s="20" t="s">
        <v>308</v>
      </c>
      <c r="B2221" s="21" t="s">
        <v>1161</v>
      </c>
      <c r="C2221" s="21" t="s">
        <v>1143</v>
      </c>
      <c r="D2221" s="21" t="s">
        <v>1144</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1146</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1915</v>
      </c>
      <c r="B2223" s="21" t="s">
        <v>1161</v>
      </c>
      <c r="C2223" s="21" t="s">
        <v>1143</v>
      </c>
      <c r="D2223" s="21" t="s">
        <v>1144</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312</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row>
    <row r="2226" spans="1:12">
      <c r="A2226" s="20" t="s">
        <v>1916</v>
      </c>
    </row>
    <row r="2227" spans="1:12">
      <c r="A2227" s="20" t="s">
        <v>1189</v>
      </c>
      <c r="B2227" s="21" t="s">
        <v>1165</v>
      </c>
      <c r="C2227" s="21" t="s">
        <v>1151</v>
      </c>
      <c r="D2227" s="21" t="s">
        <v>1144</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1543</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1191</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1917</v>
      </c>
      <c r="B2230" s="21" t="s">
        <v>1154</v>
      </c>
      <c r="C2230" s="21" t="s">
        <v>1162</v>
      </c>
      <c r="D2230" s="21" t="s">
        <v>1144</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1432</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1918</v>
      </c>
      <c r="B2232" s="21" t="s">
        <v>1171</v>
      </c>
      <c r="C2232" s="21" t="s">
        <v>1143</v>
      </c>
      <c r="D2232" s="21" t="s">
        <v>1144</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1203</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1907</v>
      </c>
      <c r="B2234" s="21" t="s">
        <v>1147</v>
      </c>
      <c r="C2234" s="21" t="s">
        <v>1143</v>
      </c>
      <c r="D2234" s="21" t="s">
        <v>1144</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1908</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1919</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1542</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312</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row>
    <row r="2240" spans="1:12">
      <c r="A2240" s="20" t="s">
        <v>1920</v>
      </c>
    </row>
    <row r="2241" spans="1:12">
      <c r="A2241" s="20" t="s">
        <v>1921</v>
      </c>
      <c r="B2241" s="21" t="s">
        <v>1165</v>
      </c>
      <c r="C2241" s="21" t="s">
        <v>1182</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1432</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1922</v>
      </c>
      <c r="B2243" s="21" t="s">
        <v>1171</v>
      </c>
      <c r="C2243" s="21" t="s">
        <v>1151</v>
      </c>
      <c r="D2243" s="21" t="s">
        <v>1144</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165</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1261</v>
      </c>
      <c r="B2245" s="21" t="s">
        <v>1154</v>
      </c>
      <c r="C2245" s="21" t="s">
        <v>1151</v>
      </c>
      <c r="D2245" s="21" t="s">
        <v>1144</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1923</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1542</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312</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row>
    <row r="2250" spans="1:12">
      <c r="A2250" s="20" t="s">
        <v>1924</v>
      </c>
    </row>
    <row r="2251" spans="1:12">
      <c r="A2251" s="20" t="s">
        <v>1189</v>
      </c>
      <c r="B2251" s="21" t="s">
        <v>1165</v>
      </c>
      <c r="C2251" s="21" t="s">
        <v>1151</v>
      </c>
      <c r="D2251" s="21" t="s">
        <v>1144</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1292</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1166</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1302</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1529</v>
      </c>
      <c r="B2255" s="21" t="s">
        <v>1171</v>
      </c>
      <c r="C2255" s="21" t="s">
        <v>1151</v>
      </c>
      <c r="D2255" s="21" t="s">
        <v>1144</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1440</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1224</v>
      </c>
      <c r="B2257" s="21" t="s">
        <v>1142</v>
      </c>
      <c r="C2257" s="21" t="s">
        <v>1187</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1203</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1910</v>
      </c>
      <c r="B2259" s="21" t="s">
        <v>1147</v>
      </c>
      <c r="C2259" s="21" t="s">
        <v>1187</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1307</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1060</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312</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row>
    <row r="2264" spans="1:12">
      <c r="A2264" s="20" t="s">
        <v>1925</v>
      </c>
    </row>
    <row r="2265" spans="1:12">
      <c r="A2265" s="20" t="s">
        <v>1539</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t="s">
        <v>1218</v>
      </c>
      <c r="B2266" s="21" t="s">
        <v>1161</v>
      </c>
      <c r="C2266" s="21" t="s">
        <v>1168</v>
      </c>
      <c r="D2266" s="21" t="s">
        <v>1144</v>
      </c>
      <c r="E2266" s="22">
        <f>IF(D2266="?OLD","!!!","")</f>
        <v/>
      </c>
      <c r="F2266" s="23" t="str">
        <f>IF(OR(E2266="",E2266="!!!"),"",IF(NOT(ISNA(VLOOKUP(E2266,E$1:E2265,1,FALSE()))),"OLD",IF(AND(E2266&lt;&gt;"",E2266&lt;&gt;"!!!"),"NEW","")))</f>
        <v> </v>
      </c>
      <c r="G2266" s="24" t="str">
        <f>IF(OR(E2266="",E2266="!!!"),"",IF(OR(J2266=0,AND(J2266=1,K2266=1),AND(J2266=1,I2266="SBJ"),AND(J2266=1,I2266=0)),"?IN_FOCUS",IF(J2266&lt;=2,"?ACTIVATED",IF(J2266&lt;&gt;"","?FAMILIAR",IF(F2266="NEW",IF(ISNA(VLOOKUP(E2266,#REF!,1,FALSE())),"?TYPE_IDENTIFIABLE","?REFERENTIAL"),"_")))))</f>
        <v> </v>
      </c>
      <c r="H2266" s="25" t="str">
        <f>IF(J2266&lt;&gt;1,"",IF(I2266="SBJ","CB","?"))</f>
        <v> </v>
      </c>
      <c r="I2266" s="26" t="str">
        <f>IF(OR(E2266="",E2266="!!!",F2266="NEW"),"",INDEX(B2265:B$2,-1+SUMPRODUCT(MAX(ROW(E2265:E$2)*(E2266=E2265:E$2)))))</f>
        <v> </v>
      </c>
      <c r="J2266" s="26" t="str">
        <f>IF(OR(E2266="",E2266="!!!",F2266="NEW"),"",COUNTBLANK(OFFSET(A$1,,,SUMPRODUCT(MAX(ROW(E$2:E2266)*(E2266=E$2:E2266)))))-COUNTBLANK(OFFSET(A$1,,,SUMPRODUCT(MAX(ROW(E$1:E2265)*(E2=E$1:E2265))))))</f>
        <v> </v>
      </c>
      <c r="K2266" s="26" t="str">
        <f>IF(OR(E2266="",E2266="!!!",F2266="NEW"),"",INDEX(J$1:J2265,SUMPRODUCT(MAX(ROW(E$1:E2265)*(E2266=E$1:E2265)))))</f>
        <v> </v>
      </c>
      <c r="L2266" s="27"/>
    </row>
    <row r="2267" spans="1:12">
      <c r="A2267" s="20" t="s">
        <v>1926</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t="s">
        <v>1927</v>
      </c>
      <c r="B2268" s="21" t="s">
        <v>1165</v>
      </c>
      <c r="C2268" s="21" t="s">
        <v>1182</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1928</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312</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row>
    <row r="2272" spans="1:12">
      <c r="A2272" s="20" t="s">
        <v>1929</v>
      </c>
    </row>
    <row r="2273" spans="1:12">
      <c r="A2273" s="20" t="s">
        <v>1189</v>
      </c>
      <c r="B2273" s="21" t="s">
        <v>1165</v>
      </c>
      <c r="C2273" s="21" t="s">
        <v>1151</v>
      </c>
      <c r="D2273" s="21" t="s">
        <v>1144</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1930</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1166</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1449</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1910</v>
      </c>
      <c r="B2277" s="21" t="s">
        <v>1171</v>
      </c>
      <c r="C2277" s="21" t="s">
        <v>1187</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1931</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1261</v>
      </c>
      <c r="B2279" s="21" t="s">
        <v>1142</v>
      </c>
      <c r="C2279" s="21" t="s">
        <v>1151</v>
      </c>
      <c r="D2279" s="21" t="s">
        <v>1144</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1622</v>
      </c>
      <c r="B2280" s="21" t="s">
        <v>1147</v>
      </c>
      <c r="C2280" s="21" t="s">
        <v>1168</v>
      </c>
      <c r="D2280" s="21" t="s">
        <v>1144</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1224</v>
      </c>
      <c r="B2281" s="21" t="s">
        <v>1150</v>
      </c>
      <c r="C2281" s="21" t="s">
        <v>1214</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312</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row>
    <row r="2284" spans="1:12">
      <c r="A2284" s="20" t="s">
        <v>1932</v>
      </c>
    </row>
    <row r="2285" spans="1:12">
      <c r="A2285" s="20" t="s">
        <v>1933</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1384</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1198</v>
      </c>
      <c r="B2287" s="21" t="s">
        <v>1165</v>
      </c>
      <c r="C2287" s="21" t="s">
        <v>1151</v>
      </c>
      <c r="D2287" s="21" t="s">
        <v>1144</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1206</v>
      </c>
      <c r="B2288" s="21" t="s">
        <v>1154</v>
      </c>
      <c r="C2288" s="21" t="s">
        <v>1182</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1308</v>
      </c>
      <c r="B2289" s="21" t="s">
        <v>1147</v>
      </c>
      <c r="C2289" s="21" t="s">
        <v>1182</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t="s">
        <v>1275</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1910</v>
      </c>
      <c r="B2291" s="21" t="s">
        <v>1171</v>
      </c>
      <c r="C2291" s="21" t="s">
        <v>1162</v>
      </c>
      <c r="D2291" s="21" t="s">
        <v>1144</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18</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1166</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1197</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1230</v>
      </c>
      <c r="B2295" s="21" t="s">
        <v>1142</v>
      </c>
      <c r="C2295" s="21" t="s">
        <v>1151</v>
      </c>
      <c r="D2295" s="21" t="s">
        <v>1144</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1267</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1908</v>
      </c>
      <c r="B2297" s="21" t="s">
        <v>1171</v>
      </c>
      <c r="C2297" s="21" t="s">
        <v>1187</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1203</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1484</v>
      </c>
      <c r="B2299" s="21" t="s">
        <v>1171</v>
      </c>
      <c r="C2299" s="21" t="s">
        <v>1182</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1159</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1934</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1846</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1166</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1203</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1441</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1935</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1198</v>
      </c>
      <c r="B2307" s="21" t="s">
        <v>1175</v>
      </c>
      <c r="C2307" s="21" t="s">
        <v>1151</v>
      </c>
      <c r="D2307" s="21" t="s">
        <v>1144</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1206</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1308</v>
      </c>
      <c r="B2309" s="21" t="s">
        <v>1181</v>
      </c>
      <c r="C2309" s="21" t="s">
        <v>1182</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1275</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1224</v>
      </c>
      <c r="B2311" s="21" t="s">
        <v>1147</v>
      </c>
      <c r="C2311" s="21" t="s">
        <v>1162</v>
      </c>
      <c r="D2311" s="21" t="s">
        <v>1144</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312</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row>
    <row r="2314" spans="1:12">
      <c r="A2314" s="20" t="s">
        <v>1936</v>
      </c>
    </row>
    <row r="2315" spans="1:12">
      <c r="A2315" s="20" t="s">
        <v>1539</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1529</v>
      </c>
      <c r="B2316" s="21" t="s">
        <v>1161</v>
      </c>
      <c r="C2316" s="21" t="s">
        <v>1151</v>
      </c>
      <c r="D2316" s="21" t="s">
        <v>1144</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1937</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1301</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1261</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1938</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579</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1166</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1174</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1238</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t="s">
        <v>1939</v>
      </c>
      <c r="B2325" s="21" t="s">
        <v>1142</v>
      </c>
      <c r="C2325" s="21" t="s">
        <v>1162</v>
      </c>
      <c r="D2325" s="21" t="s">
        <v>1144</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1484</v>
      </c>
      <c r="B2326" s="21" t="s">
        <v>1171</v>
      </c>
      <c r="C2326" s="21" t="s">
        <v>1182</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1191</v>
      </c>
      <c r="B2327" s="21" t="s">
        <v>1142</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1940</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1868</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1203</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1218</v>
      </c>
      <c r="B2331" s="21" t="s">
        <v>1193</v>
      </c>
      <c r="C2331" s="21" t="s">
        <v>1168</v>
      </c>
      <c r="D2331" s="21" t="s">
        <v>1144</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1742</v>
      </c>
      <c r="B2332" s="21" t="s">
        <v>1193</v>
      </c>
      <c r="C2332" s="21" t="s">
        <v>1168</v>
      </c>
      <c r="D2332" s="21" t="s">
        <v>1144</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1941</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1148</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312</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row>
    <row r="2337" spans="1:12">
      <c r="A2337" s="20" t="s">
        <v>1942</v>
      </c>
    </row>
    <row r="2338" spans="1:12">
      <c r="A2338" s="20" t="s">
        <v>1189</v>
      </c>
      <c r="B2338" s="21" t="s">
        <v>1165</v>
      </c>
      <c r="C2338" s="21" t="s">
        <v>1151</v>
      </c>
      <c r="D2338" s="21" t="s">
        <v>1144</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1292</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1176</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1166</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t="s">
        <v>1174</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1167</v>
      </c>
      <c r="B2343" s="21" t="s">
        <v>1142</v>
      </c>
      <c r="C2343" s="21" t="s">
        <v>1168</v>
      </c>
      <c r="D2343" s="21" t="s">
        <v>1144</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1152</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1943</v>
      </c>
      <c r="B2345" s="21" t="s">
        <v>1150</v>
      </c>
      <c r="C2345" s="21" t="s">
        <v>1155</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165</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1439</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1166</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1298</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1167</v>
      </c>
      <c r="B2350" s="21" t="s">
        <v>1175</v>
      </c>
      <c r="C2350" s="21" t="s">
        <v>1168</v>
      </c>
      <c r="D2350" s="21" t="s">
        <v>1144</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1362</v>
      </c>
      <c r="B2351" s="21" t="s">
        <v>1193</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1203</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1944</v>
      </c>
      <c r="B2353" s="21" t="s">
        <v>1244</v>
      </c>
      <c r="C2353" s="21" t="s">
        <v>1270</v>
      </c>
      <c r="D2353" s="21" t="s">
        <v>1144</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1945</v>
      </c>
      <c r="B2354" s="21" t="s">
        <v>1181</v>
      </c>
      <c r="C2354" s="21" t="s">
        <v>1187</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1240</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1275</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1939</v>
      </c>
      <c r="B2357" s="21" t="s">
        <v>1147</v>
      </c>
      <c r="C2357" s="21" t="s">
        <v>1162</v>
      </c>
      <c r="D2357" s="21" t="s">
        <v>1144</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1946</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1947</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1948</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1949</v>
      </c>
      <c r="B2361" s="21" t="s">
        <v>1147</v>
      </c>
      <c r="C2361" s="21" t="s">
        <v>1187</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1166</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1219</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1238</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1950</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1951</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1952</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312</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row>
    <row r="2370" spans="1:12">
      <c r="A2370" s="20" t="s">
        <v>1953</v>
      </c>
    </row>
    <row r="2371" spans="1:12">
      <c r="A2371" s="20" t="s">
        <v>1189</v>
      </c>
      <c r="B2371" s="21" t="s">
        <v>1165</v>
      </c>
      <c r="C2371" s="21" t="s">
        <v>1151</v>
      </c>
      <c r="D2371" s="21" t="s">
        <v>1144</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1716</v>
      </c>
      <c r="B2372" s="21" t="s">
        <v>1161</v>
      </c>
      <c r="C2372" s="21" t="s">
        <v>1168</v>
      </c>
      <c r="D2372" s="21" t="s">
        <v>1144</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1176</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1166</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1174</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1167</v>
      </c>
      <c r="B2376" s="21" t="s">
        <v>1142</v>
      </c>
      <c r="C2376" s="21" t="s">
        <v>1168</v>
      </c>
      <c r="D2376" s="21" t="s">
        <v>1144</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89</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1947</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1166</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1240</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1570</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1954</v>
      </c>
      <c r="B2382" s="21" t="s">
        <v>1150</v>
      </c>
      <c r="C2382" s="21" t="s">
        <v>1187</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1955</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1278</v>
      </c>
      <c r="B2384" s="21" t="s">
        <v>1142</v>
      </c>
      <c r="C2384" s="21" t="s">
        <v>1168</v>
      </c>
      <c r="D2384" s="21" t="s">
        <v>1144</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1218</v>
      </c>
      <c r="B2385" s="21" t="s">
        <v>1150</v>
      </c>
      <c r="C2385" s="21" t="s">
        <v>1168</v>
      </c>
      <c r="D2385" s="21" t="s">
        <v>1144</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1956</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1252</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312</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row>
    <row r="2390" spans="1:12">
      <c r="A2390" s="20" t="s">
        <v>1957</v>
      </c>
    </row>
    <row r="2391" spans="1:12">
      <c r="A2391" s="20" t="s">
        <v>1297</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1167</v>
      </c>
      <c r="B2392" s="21" t="s">
        <v>1165</v>
      </c>
      <c r="C2392" s="21" t="s">
        <v>1168</v>
      </c>
      <c r="D2392" s="21" t="s">
        <v>1144</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1947</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89</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1166</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1309</v>
      </c>
      <c r="B2396" s="21" t="s">
        <v>1142</v>
      </c>
      <c r="C2396" s="21" t="s">
        <v>1168</v>
      </c>
      <c r="D2396" s="21" t="s">
        <v>1144</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1238</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1958</v>
      </c>
      <c r="B2398" s="21" t="s">
        <v>1161</v>
      </c>
      <c r="C2398" s="21" t="s">
        <v>1162</v>
      </c>
      <c r="D2398" s="21" t="s">
        <v>1144</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1440</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1166</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1959</v>
      </c>
      <c r="B2401" s="21" t="s">
        <v>1181</v>
      </c>
      <c r="C2401" s="21" t="s">
        <v>1168</v>
      </c>
      <c r="D2401" s="21" t="s">
        <v>1144</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1753</v>
      </c>
      <c r="B2402" s="21" t="s">
        <v>1175</v>
      </c>
      <c r="C2402" s="21" t="s">
        <v>1187</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1432</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1960</v>
      </c>
      <c r="B2404" s="21" t="s">
        <v>1147</v>
      </c>
      <c r="C2404" s="21" t="s">
        <v>1187</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1238</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1939</v>
      </c>
      <c r="B2406" s="21" t="s">
        <v>1193</v>
      </c>
      <c r="C2406" s="21" t="s">
        <v>1162</v>
      </c>
      <c r="D2406" s="21" t="s">
        <v>1144</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1961</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1326</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1166</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1178</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1203</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1236</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312</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row>
    <row r="2415" spans="1:12">
      <c r="A2415" s="20" t="s">
        <v>1962</v>
      </c>
    </row>
    <row r="2416" spans="1:12">
      <c r="A2416" s="20" t="s">
        <v>1189</v>
      </c>
      <c r="B2416" s="21" t="s">
        <v>1165</v>
      </c>
      <c r="C2416" s="21" t="s">
        <v>1151</v>
      </c>
      <c r="D2416" s="21" t="s">
        <v>1144</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1292</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1166</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1905</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1301</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1176</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1951</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1963</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312</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row>
    <row r="2426" spans="1:12">
      <c r="A2426" s="20" t="s">
        <v>1964</v>
      </c>
    </row>
    <row r="2427" spans="1:12">
      <c r="A2427" s="20" t="s">
        <v>1965</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1716</v>
      </c>
      <c r="B2428" s="21" t="s">
        <v>1171</v>
      </c>
      <c r="C2428" s="21" t="s">
        <v>1270</v>
      </c>
      <c r="D2428" s="21" t="s">
        <v>1144</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1198</v>
      </c>
      <c r="B2429" s="21" t="s">
        <v>1165</v>
      </c>
      <c r="C2429" s="21" t="s">
        <v>1151</v>
      </c>
      <c r="D2429" s="21" t="s">
        <v>1144</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1166</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1174</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1238</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1939</v>
      </c>
      <c r="B2433" s="21" t="s">
        <v>1165</v>
      </c>
      <c r="C2433" s="21" t="s">
        <v>1162</v>
      </c>
      <c r="D2433" s="21" t="s">
        <v>1144</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1371</v>
      </c>
      <c r="B2434" s="21" t="s">
        <v>1154</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1293</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1966</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1967</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1148</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1166</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1880</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1278</v>
      </c>
      <c r="B2441" s="21" t="s">
        <v>1142</v>
      </c>
      <c r="C2441" s="21" t="s">
        <v>1168</v>
      </c>
      <c r="D2441" s="21" t="s">
        <v>1144</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1484</v>
      </c>
      <c r="B2442" s="21" t="s">
        <v>1150</v>
      </c>
      <c r="C2442" s="21" t="s">
        <v>1182</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1191</v>
      </c>
      <c r="B2443" s="21" t="s">
        <v>1142</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1940</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1868</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1148</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312</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row>
    <row r="2449" spans="1:12">
      <c r="A2449" s="20" t="s">
        <v>1968</v>
      </c>
    </row>
    <row r="2450" spans="1:12">
      <c r="A2450" s="20" t="s">
        <v>198</v>
      </c>
      <c r="B2450" s="21" t="s">
        <v>1161</v>
      </c>
      <c r="C2450" s="21" t="s">
        <v>1143</v>
      </c>
      <c r="D2450" s="21" t="s">
        <v>1144</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1146</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1969</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1278</v>
      </c>
      <c r="B2453" s="21" t="s">
        <v>1142</v>
      </c>
      <c r="C2453" s="21" t="s">
        <v>1168</v>
      </c>
      <c r="D2453" s="21" t="s">
        <v>1144</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1950</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1308</v>
      </c>
      <c r="B2455" s="21" t="s">
        <v>1147</v>
      </c>
      <c r="C2455" s="21" t="s">
        <v>1182</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1221</v>
      </c>
      <c r="B2456" s="21" t="s">
        <v>1171</v>
      </c>
      <c r="C2456" s="21" t="s">
        <v>1143</v>
      </c>
      <c r="D2456" s="21" t="s">
        <v>1144</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1386</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1166</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1414</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1970</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1308</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53</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312</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row>
    <row r="2465" spans="1:12">
      <c r="A2465" s="20" t="s">
        <v>1971</v>
      </c>
    </row>
    <row r="2466" spans="1:12">
      <c r="A2466" s="20" t="s">
        <v>308</v>
      </c>
      <c r="B2466" s="21" t="s">
        <v>1161</v>
      </c>
      <c r="C2466" s="21" t="s">
        <v>1143</v>
      </c>
      <c r="D2466" s="21" t="s">
        <v>1144</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1146</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1972</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1221</v>
      </c>
      <c r="B2469" s="21" t="s">
        <v>1161</v>
      </c>
      <c r="C2469" s="21" t="s">
        <v>1143</v>
      </c>
      <c r="D2469" s="21" t="s">
        <v>1144</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1166</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1238</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1973</v>
      </c>
      <c r="B2472" s="21" t="s">
        <v>1161</v>
      </c>
      <c r="C2472" s="21" t="s">
        <v>1162</v>
      </c>
      <c r="D2472" s="21" t="s">
        <v>1144</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312</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row>
    <row r="2475" spans="1:12">
      <c r="A2475" s="20" t="s">
        <v>1974</v>
      </c>
    </row>
    <row r="2476" spans="1:12">
      <c r="A2476" s="20" t="s">
        <v>1189</v>
      </c>
      <c r="B2476" s="21" t="s">
        <v>1165</v>
      </c>
      <c r="C2476" s="21" t="s">
        <v>1151</v>
      </c>
      <c r="D2476" s="21" t="s">
        <v>1144</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1716</v>
      </c>
      <c r="B2477" s="21" t="s">
        <v>1154</v>
      </c>
      <c r="C2477" s="21" t="s">
        <v>1168</v>
      </c>
      <c r="D2477" s="21" t="s">
        <v>1144</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1166</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1167</v>
      </c>
      <c r="B2479" s="21" t="s">
        <v>1165</v>
      </c>
      <c r="C2479" s="21" t="s">
        <v>1168</v>
      </c>
      <c r="D2479" s="21" t="s">
        <v>1144</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1947</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1152</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1975</v>
      </c>
      <c r="B2482" s="21" t="s">
        <v>1165</v>
      </c>
      <c r="C2482" s="21" t="s">
        <v>1155</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1905</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608</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1166</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1976</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1439</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1167</v>
      </c>
      <c r="B2488" s="21" t="s">
        <v>1142</v>
      </c>
      <c r="C2488" s="21" t="s">
        <v>1168</v>
      </c>
      <c r="D2488" s="21" t="s">
        <v>1144</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1622</v>
      </c>
      <c r="B2489" s="21" t="s">
        <v>1147</v>
      </c>
      <c r="C2489" s="21" t="s">
        <v>1168</v>
      </c>
      <c r="D2489" s="21" t="s">
        <v>1144</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1977</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1943</v>
      </c>
      <c r="B2491" s="21" t="s">
        <v>1150</v>
      </c>
      <c r="C2491" s="21" t="s">
        <v>1214</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165</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312</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row>
    <row r="2495" spans="1:12">
      <c r="A2495" s="20" t="s">
        <v>1978</v>
      </c>
    </row>
    <row r="2496" spans="1:12">
      <c r="A2496" s="20" t="s">
        <v>1417</v>
      </c>
      <c r="B2496" s="21" t="s">
        <v>1165</v>
      </c>
      <c r="C2496" s="21" t="s">
        <v>1232</v>
      </c>
      <c r="D2496" s="21" t="s">
        <v>1144</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1301</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1457</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1176</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1979</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312</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row>
    <row r="2503" spans="1:12">
      <c r="A2503" s="20" t="s">
        <v>1980</v>
      </c>
    </row>
    <row r="2504" spans="1:12">
      <c r="A2504" s="20" t="s">
        <v>1300</v>
      </c>
      <c r="B2504" s="21" t="s">
        <v>1165</v>
      </c>
      <c r="C2504" s="21" t="s">
        <v>1151</v>
      </c>
      <c r="D2504" s="21" t="s">
        <v>1144</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1981</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1529</v>
      </c>
      <c r="B2506" s="21" t="s">
        <v>1154</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1982</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1166</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1174</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1221</v>
      </c>
      <c r="B2510" s="21" t="s">
        <v>1142</v>
      </c>
      <c r="C2510" s="21" t="s">
        <v>1143</v>
      </c>
      <c r="D2510" s="21" t="s">
        <v>1144</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1339</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1275</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1983</v>
      </c>
      <c r="B2513" s="21" t="s">
        <v>1161</v>
      </c>
      <c r="C2513" s="21" t="s">
        <v>1162</v>
      </c>
      <c r="D2513" s="21" t="s">
        <v>1144</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1301</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1166</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1174</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1167</v>
      </c>
      <c r="B2517" s="21" t="s">
        <v>1142</v>
      </c>
      <c r="C2517" s="21" t="s">
        <v>1168</v>
      </c>
      <c r="D2517" s="21" t="s">
        <v>1144</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1362</v>
      </c>
      <c r="B2518" s="21" t="s">
        <v>1150</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1203</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1944</v>
      </c>
      <c r="B2520" s="21" t="s">
        <v>1181</v>
      </c>
      <c r="C2520" s="21" t="s">
        <v>1270</v>
      </c>
      <c r="D2520" s="21" t="s">
        <v>1144</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1945</v>
      </c>
      <c r="B2521" s="21" t="s">
        <v>1147</v>
      </c>
      <c r="C2521" s="21" t="s">
        <v>1187</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1240</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1275</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1939</v>
      </c>
      <c r="B2524" s="21" t="s">
        <v>1171</v>
      </c>
      <c r="C2524" s="21" t="s">
        <v>1162</v>
      </c>
      <c r="D2524" s="21" t="s">
        <v>1144</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1946</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1166</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1238</v>
      </c>
      <c r="B2527" s="21" t="s">
        <v>1142</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1940</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1448</v>
      </c>
      <c r="B2529" s="21" t="s">
        <v>1150</v>
      </c>
      <c r="C2529" s="21" t="s">
        <v>1187</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1568</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1166</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1432</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1984</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1985</v>
      </c>
      <c r="B2534" s="21" t="s">
        <v>1142</v>
      </c>
      <c r="C2534" s="21" t="s">
        <v>1168</v>
      </c>
      <c r="D2534" s="21" t="s">
        <v>1144</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1344</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312</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row>
    <row r="2538" spans="1:12">
      <c r="A2538" s="20" t="s">
        <v>1986</v>
      </c>
    </row>
    <row r="2539" spans="1:12">
      <c r="A2539" s="20" t="s">
        <v>1417</v>
      </c>
      <c r="B2539" s="21" t="s">
        <v>1165</v>
      </c>
      <c r="C2539" s="21" t="s">
        <v>1232</v>
      </c>
      <c r="D2539" s="21" t="s">
        <v>1144</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1987</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1803</v>
      </c>
      <c r="B2541" s="21" t="s">
        <v>1171</v>
      </c>
      <c r="C2541" s="21" t="s">
        <v>1168</v>
      </c>
      <c r="D2541" s="21" t="s">
        <v>1144</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1988</v>
      </c>
      <c r="B2542" s="21" t="s">
        <v>1154</v>
      </c>
      <c r="C2542" s="21" t="s">
        <v>1214</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312</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row>
    <row r="2545" spans="1:12">
      <c r="A2545" s="20" t="s">
        <v>1989</v>
      </c>
    </row>
    <row r="2546" spans="1:12">
      <c r="A2546" s="20" t="s">
        <v>198</v>
      </c>
      <c r="B2546" s="21" t="s">
        <v>1165</v>
      </c>
      <c r="C2546" s="21" t="s">
        <v>1143</v>
      </c>
      <c r="D2546" s="21" t="s">
        <v>1144</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1146</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1417</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1306</v>
      </c>
      <c r="B2549" s="21" t="s">
        <v>1165</v>
      </c>
      <c r="C2549" s="21" t="s">
        <v>1162</v>
      </c>
      <c r="D2549" s="21" t="s">
        <v>1144</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1148</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1289</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1152</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1990</v>
      </c>
      <c r="B2553" s="21" t="s">
        <v>1154</v>
      </c>
      <c r="C2553" s="21" t="s">
        <v>1155</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1166</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1238</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1224</v>
      </c>
      <c r="B2556" s="21" t="s">
        <v>1154</v>
      </c>
      <c r="C2556" s="21" t="s">
        <v>1162</v>
      </c>
      <c r="D2556" s="21" t="s">
        <v>1144</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312</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row>
    <row r="2559" spans="1:12">
      <c r="A2559" s="20" t="s">
        <v>1991</v>
      </c>
    </row>
    <row r="2560" spans="1:12">
      <c r="A2560" s="20" t="s">
        <v>308</v>
      </c>
      <c r="B2560" s="21" t="s">
        <v>1161</v>
      </c>
      <c r="C2560" s="21" t="s">
        <v>1143</v>
      </c>
      <c r="D2560" s="21" t="s">
        <v>1144</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1146</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1605</v>
      </c>
      <c r="B2562" s="21" t="s">
        <v>1161</v>
      </c>
      <c r="C2562" s="21" t="s">
        <v>1143</v>
      </c>
      <c r="D2562" s="21" t="s">
        <v>1144</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1166</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1238</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t="s">
        <v>1224</v>
      </c>
      <c r="B2565" s="21" t="s">
        <v>1161</v>
      </c>
      <c r="C2565" s="21" t="s">
        <v>1162</v>
      </c>
      <c r="D2565" s="21" t="s">
        <v>1144</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312</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row>
    <row r="2568" spans="1:12">
      <c r="A2568" s="20" t="s">
        <v>1992</v>
      </c>
    </row>
    <row r="2569" spans="1:12">
      <c r="A2569" s="20" t="s">
        <v>1189</v>
      </c>
      <c r="B2569" s="21" t="s">
        <v>1165</v>
      </c>
      <c r="C2569" s="21" t="s">
        <v>1151</v>
      </c>
      <c r="D2569" s="21" t="s">
        <v>1144</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1292</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1166</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1238</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1276</v>
      </c>
      <c r="B2573" s="21" t="s">
        <v>1142</v>
      </c>
      <c r="C2573" s="21" t="s">
        <v>1162</v>
      </c>
      <c r="D2573" s="21" t="s">
        <v>1144</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1781</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1371</v>
      </c>
      <c r="B2575" s="21" t="s">
        <v>1150</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312</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row>
    <row r="2578" spans="1:12">
      <c r="A2578" s="20" t="s">
        <v>1993</v>
      </c>
    </row>
    <row r="2579" spans="1:12">
      <c r="A2579" s="20" t="s">
        <v>1676</v>
      </c>
      <c r="B2579" s="21" t="s">
        <v>1165</v>
      </c>
      <c r="C2579" s="21" t="s">
        <v>1182</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1148</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1179</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1725</v>
      </c>
      <c r="B2582" s="21" t="s">
        <v>1154</v>
      </c>
      <c r="C2582" s="21" t="s">
        <v>1155</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1994</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1371</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t="s">
        <v>312</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row>
    <row r="2587" spans="1:12">
      <c r="A2587" s="20" t="s">
        <v>1995</v>
      </c>
    </row>
    <row r="2588" spans="1:12">
      <c r="A2588" s="20" t="s">
        <v>1300</v>
      </c>
      <c r="B2588" s="21" t="s">
        <v>1165</v>
      </c>
      <c r="C2588" s="21" t="s">
        <v>1151</v>
      </c>
      <c r="D2588" s="21" t="s">
        <v>1144</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1344</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1166</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1259</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t="s">
        <v>1370</v>
      </c>
      <c r="B2592" s="21" t="s">
        <v>1142</v>
      </c>
      <c r="C2592" s="21" t="s">
        <v>1182</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1301</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312</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row>
    <row r="2596" spans="1:12">
      <c r="A2596" s="20" t="s">
        <v>1996</v>
      </c>
    </row>
    <row r="2597" spans="1:12">
      <c r="A2597" s="20" t="s">
        <v>1300</v>
      </c>
      <c r="B2597" s="21" t="s">
        <v>1165</v>
      </c>
      <c r="C2597" s="21" t="s">
        <v>1151</v>
      </c>
      <c r="D2597" s="21" t="s">
        <v>1144</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1931</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1246</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1266</v>
      </c>
      <c r="B2600" s="21" t="s">
        <v>1147</v>
      </c>
      <c r="C2600" s="21" t="s">
        <v>1168</v>
      </c>
      <c r="D2600" s="21" t="s">
        <v>1144</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1787</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1363</v>
      </c>
      <c r="B2602" s="21" t="s">
        <v>1150</v>
      </c>
      <c r="C2602" s="21" t="s">
        <v>1214</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1219</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1362</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1997</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312</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row>
    <row r="2608" spans="1:12">
      <c r="A2608" s="20" t="s">
        <v>1998</v>
      </c>
    </row>
    <row r="2609" spans="1:12">
      <c r="A2609" s="20" t="s">
        <v>1417</v>
      </c>
      <c r="B2609" s="21" t="s">
        <v>1165</v>
      </c>
      <c r="C2609" s="21" t="s">
        <v>1232</v>
      </c>
      <c r="D2609" s="21" t="s">
        <v>1144</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1301</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1179</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t="s">
        <v>1336</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1999</v>
      </c>
      <c r="B2613" s="21" t="s">
        <v>1161</v>
      </c>
      <c r="C2613" s="21" t="s">
        <v>1155</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312</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row>
    <row r="2616" spans="1:12">
      <c r="A2616" s="20" t="s">
        <v>2000</v>
      </c>
    </row>
    <row r="2617" spans="1:12">
      <c r="A2617" s="20" t="s">
        <v>1300</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t="s">
        <v>2001</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t="s">
        <v>1179</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1166</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1174</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1284</v>
      </c>
      <c r="B2622" s="21" t="s">
        <v>1142</v>
      </c>
      <c r="C2622" s="21" t="s">
        <v>1187</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2002</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2003</v>
      </c>
      <c r="B2624" s="21" t="s">
        <v>1150</v>
      </c>
      <c r="C2624" s="21" t="s">
        <v>1187</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50</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312</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row>
    <row r="2628" spans="1:12">
      <c r="A2628" s="20" t="s">
        <v>2004</v>
      </c>
    </row>
    <row r="2629" spans="1:12">
      <c r="A2629" s="20" t="s">
        <v>1217</v>
      </c>
      <c r="B2629" s="21" t="s">
        <v>1165</v>
      </c>
      <c r="C2629" s="21" t="s">
        <v>1168</v>
      </c>
      <c r="D2629" s="21" t="s">
        <v>1144</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650</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1266</v>
      </c>
      <c r="B2631" s="21" t="s">
        <v>1171</v>
      </c>
      <c r="C2631" s="21" t="s">
        <v>1182</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1243</v>
      </c>
      <c r="B2632" s="21" t="s">
        <v>1154</v>
      </c>
      <c r="C2632" s="21" t="s">
        <v>1214</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2005</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1166</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1219</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1231</v>
      </c>
      <c r="B2636" s="21" t="s">
        <v>1171</v>
      </c>
      <c r="C2636" s="21" t="s">
        <v>1232</v>
      </c>
      <c r="D2636" s="21" t="s">
        <v>1144</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1526</v>
      </c>
      <c r="B2637" s="21" t="s">
        <v>1161</v>
      </c>
      <c r="C2637" s="21" t="s">
        <v>1234</v>
      </c>
      <c r="D2637" s="21" t="s">
        <v>1144</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1203</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1238</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2006</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1818</v>
      </c>
      <c r="B2641" s="21" t="s">
        <v>1193</v>
      </c>
      <c r="C2641" s="21" t="s">
        <v>1162</v>
      </c>
      <c r="D2641" s="21" t="s">
        <v>1144</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2007</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t="s">
        <v>312</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row>
    <row r="2645" spans="1:12">
      <c r="A2645" s="20" t="s">
        <v>2008</v>
      </c>
    </row>
    <row r="2646" spans="1:12">
      <c r="A2646" s="20" t="s">
        <v>1189</v>
      </c>
      <c r="B2646" s="21" t="s">
        <v>1165</v>
      </c>
      <c r="C2646" s="21" t="s">
        <v>1151</v>
      </c>
      <c r="D2646" s="21" t="s">
        <v>1144</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1202</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1179</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t="s">
        <v>2009</v>
      </c>
      <c r="B2649" s="21" t="s">
        <v>1161</v>
      </c>
      <c r="C2649" s="21" t="s">
        <v>1182</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t="s">
        <v>2010</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1269</v>
      </c>
      <c r="B2651" s="21" t="s">
        <v>1161</v>
      </c>
      <c r="C2651" s="21" t="s">
        <v>1270</v>
      </c>
      <c r="D2651" s="21" t="s">
        <v>1144</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2011</v>
      </c>
      <c r="B2652" s="21" t="s">
        <v>1161</v>
      </c>
      <c r="C2652" s="21" t="s">
        <v>1155</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1301</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t="s">
        <v>1261</v>
      </c>
      <c r="B2654" s="21" t="s">
        <v>1142</v>
      </c>
      <c r="C2654" s="21" t="s">
        <v>1151</v>
      </c>
      <c r="D2654" s="21" t="s">
        <v>1144</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1166</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1731</v>
      </c>
      <c r="B2656" s="21" t="s">
        <v>1150</v>
      </c>
      <c r="C2656" s="21" t="s">
        <v>1187</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1238</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2012</v>
      </c>
      <c r="B2658" s="21" t="s">
        <v>1150</v>
      </c>
      <c r="C2658" s="21" t="s">
        <v>1162</v>
      </c>
      <c r="D2658" s="21" t="s">
        <v>1144</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1308</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161</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1166</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1750</v>
      </c>
      <c r="B2662" s="21" t="s">
        <v>1150</v>
      </c>
      <c r="C2662" s="21" t="s">
        <v>1151</v>
      </c>
      <c r="D2662" s="21" t="s">
        <v>1144</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1308</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190</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1166</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1959</v>
      </c>
      <c r="B2666" s="21" t="s">
        <v>1142</v>
      </c>
      <c r="C2666" s="21" t="s">
        <v>1168</v>
      </c>
      <c r="D2666" s="21" t="s">
        <v>1144</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2013</v>
      </c>
      <c r="B2667" s="21" t="s">
        <v>1142</v>
      </c>
      <c r="C2667" s="21" t="s">
        <v>1187</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2014</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73</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1146</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2015</v>
      </c>
      <c r="B2671" s="21" t="s">
        <v>1161</v>
      </c>
      <c r="C2671" s="21" t="s">
        <v>1187</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1166</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2016</v>
      </c>
      <c r="B2673" s="21" t="s">
        <v>1171</v>
      </c>
      <c r="C2673" s="21" t="s">
        <v>1187</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312</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row>
    <row r="2676" spans="1:12">
      <c r="A2676" s="20" t="s">
        <v>2017</v>
      </c>
    </row>
    <row r="2677" spans="1:12">
      <c r="A2677" s="20" t="s">
        <v>1217</v>
      </c>
      <c r="B2677" s="21" t="s">
        <v>1165</v>
      </c>
      <c r="C2677" s="21" t="s">
        <v>1168</v>
      </c>
      <c r="D2677" s="21" t="s">
        <v>1144</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1440</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826</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1432</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1159</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2018</v>
      </c>
      <c r="B2682" s="21" t="s">
        <v>1161</v>
      </c>
      <c r="C2682" s="21" t="s">
        <v>1143</v>
      </c>
      <c r="D2682" s="21" t="s">
        <v>1144</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12</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2019</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1339</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2020</v>
      </c>
      <c r="B2686" s="21" t="s">
        <v>1171</v>
      </c>
      <c r="C2686" s="21" t="s">
        <v>1143</v>
      </c>
      <c r="D2686" s="21" t="s">
        <v>1144</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312</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row>
    <row r="2689" spans="1:12">
      <c r="A2689" s="20" t="s">
        <v>2021</v>
      </c>
    </row>
    <row r="2690" spans="1:12">
      <c r="A2690" s="20" t="s">
        <v>1217</v>
      </c>
      <c r="B2690" s="21" t="s">
        <v>1165</v>
      </c>
      <c r="C2690" s="21" t="s">
        <v>1168</v>
      </c>
      <c r="D2690" s="21" t="s">
        <v>1144</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t="s">
        <v>1252</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t="s">
        <v>1787</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2022</v>
      </c>
      <c r="B2693" s="21" t="s">
        <v>1165</v>
      </c>
      <c r="C2693" s="21" t="s">
        <v>1187</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662</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1166</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1731</v>
      </c>
      <c r="B2696" s="21" t="s">
        <v>1150</v>
      </c>
      <c r="C2696" s="21" t="s">
        <v>1187</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1787</v>
      </c>
      <c r="B2697" s="21" t="s">
        <v>1147</v>
      </c>
      <c r="C2697" s="21" t="s">
        <v>1168</v>
      </c>
      <c r="D2697" s="21" t="s">
        <v>1144</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2023</v>
      </c>
      <c r="B2698" s="21" t="s">
        <v>1150</v>
      </c>
      <c r="C2698" s="21" t="s">
        <v>1187</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328</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1203</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1179</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2024</v>
      </c>
      <c r="B2702" s="21" t="s">
        <v>1150</v>
      </c>
      <c r="C2702" s="21" t="s">
        <v>1155</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2025</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1302</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1191</v>
      </c>
      <c r="B2705" s="21" t="s">
        <v>1171</v>
      </c>
      <c r="C2705" s="21" t="s">
        <v>1168</v>
      </c>
      <c r="D2705" s="21" t="s">
        <v>1144</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1166</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1309</v>
      </c>
      <c r="B2707" s="21" t="s">
        <v>1311</v>
      </c>
      <c r="C2707" s="21" t="s">
        <v>1168</v>
      </c>
      <c r="D2707" s="21" t="s">
        <v>1144</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1240</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1371</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1593</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312</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row>
    <row r="2713" spans="1:12">
      <c r="A2713" s="20" t="s">
        <v>2026</v>
      </c>
    </row>
    <row r="2714" spans="1:12">
      <c r="A2714" s="20" t="s">
        <v>1189</v>
      </c>
      <c r="B2714" s="21" t="s">
        <v>1165</v>
      </c>
      <c r="C2714" s="21" t="s">
        <v>1151</v>
      </c>
      <c r="D2714" s="21" t="s">
        <v>1144</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1292</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1166</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1174</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1191</v>
      </c>
      <c r="B2718" s="21" t="s">
        <v>1142</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1367</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1457</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1301</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t="s">
        <v>312</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row>
    <row r="2724" spans="1:12">
      <c r="A2724" s="20" t="s">
        <v>2027</v>
      </c>
    </row>
    <row r="2725" spans="1:12">
      <c r="A2725" s="20" t="s">
        <v>1255</v>
      </c>
      <c r="B2725" s="21" t="s">
        <v>1171</v>
      </c>
      <c r="C2725" s="21" t="s">
        <v>1270</v>
      </c>
      <c r="D2725" s="21" t="s">
        <v>1144</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2028</v>
      </c>
      <c r="B2726" s="21" t="s">
        <v>1165</v>
      </c>
      <c r="C2726" s="21" t="s">
        <v>1187</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1301</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1166</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1174</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1167</v>
      </c>
      <c r="B2730" s="21" t="s">
        <v>1165</v>
      </c>
      <c r="C2730" s="21" t="s">
        <v>1168</v>
      </c>
      <c r="D2730" s="21" t="s">
        <v>1144</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1191</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2029</v>
      </c>
      <c r="B2732" s="21" t="s">
        <v>1154</v>
      </c>
      <c r="C2732" s="21" t="s">
        <v>1162</v>
      </c>
      <c r="D2732" s="21" t="s">
        <v>1144</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1387</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1159</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2030</v>
      </c>
      <c r="B2735" s="21" t="s">
        <v>1161</v>
      </c>
      <c r="C2735" s="21" t="s">
        <v>1162</v>
      </c>
      <c r="D2735" s="21" t="s">
        <v>1144</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2031</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312</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row>
    <row r="2739" spans="1:12">
      <c r="A2739" s="20" t="s">
        <v>2032</v>
      </c>
    </row>
    <row r="2740" spans="1:12">
      <c r="A2740" s="20" t="s">
        <v>1158</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1536</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2033</v>
      </c>
      <c r="B2742" s="21" t="s">
        <v>1161</v>
      </c>
      <c r="C2742" s="21" t="s">
        <v>1228</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1543</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1198</v>
      </c>
      <c r="B2744" s="21" t="s">
        <v>1165</v>
      </c>
      <c r="C2744" s="21" t="s">
        <v>1151</v>
      </c>
      <c r="D2744" s="21" t="s">
        <v>1144</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t="s">
        <v>1629</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t="s">
        <v>1716</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1396</v>
      </c>
      <c r="B2747" s="21" t="s">
        <v>1154</v>
      </c>
      <c r="C2747" s="21" t="s">
        <v>1228</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2034</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1203</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1543</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1278</v>
      </c>
      <c r="B2751" s="21" t="s">
        <v>1175</v>
      </c>
      <c r="C2751" s="21" t="s">
        <v>1168</v>
      </c>
      <c r="D2751" s="21" t="s">
        <v>1144</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1289</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1176</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1553</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312</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row>
    <row r="2757" spans="1:12">
      <c r="A2757" s="20" t="s">
        <v>2035</v>
      </c>
    </row>
    <row r="2758" spans="1:12">
      <c r="A2758" s="20" t="s">
        <v>1189</v>
      </c>
      <c r="B2758" s="21" t="s">
        <v>1165</v>
      </c>
      <c r="C2758" s="21" t="s">
        <v>1151</v>
      </c>
      <c r="D2758" s="21" t="s">
        <v>1144</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2036</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1166</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1880</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1198</v>
      </c>
      <c r="B2762" s="21" t="s">
        <v>1175</v>
      </c>
      <c r="C2762" s="21" t="s">
        <v>1151</v>
      </c>
      <c r="D2762" s="21" t="s">
        <v>1144</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1387</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242</v>
      </c>
      <c r="B2764" s="21" t="s">
        <v>1147</v>
      </c>
      <c r="C2764" s="21" t="s">
        <v>1151</v>
      </c>
      <c r="D2764" s="21" t="s">
        <v>1144</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2037</v>
      </c>
      <c r="B2765" s="21" t="s">
        <v>1171</v>
      </c>
      <c r="C2765" s="21" t="s">
        <v>1182</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1166</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2038</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1278</v>
      </c>
      <c r="B2768" s="21" t="s">
        <v>1142</v>
      </c>
      <c r="C2768" s="21" t="s">
        <v>1168</v>
      </c>
      <c r="D2768" s="21" t="s">
        <v>1144</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1553</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312</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row>
    <row r="2772" spans="1:12">
      <c r="A2772" s="20" t="s">
        <v>2039</v>
      </c>
    </row>
    <row r="2773" spans="1:12">
      <c r="A2773" s="20" t="s">
        <v>198</v>
      </c>
      <c r="B2773" s="21" t="s">
        <v>1165</v>
      </c>
      <c r="C2773" s="21" t="s">
        <v>1143</v>
      </c>
      <c r="D2773" s="21" t="s">
        <v>1144</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t="s">
        <v>1146</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t="s">
        <v>1189</v>
      </c>
      <c r="B2775" s="21" t="s">
        <v>1165</v>
      </c>
      <c r="C2775" s="21" t="s">
        <v>1168</v>
      </c>
      <c r="D2775" s="21" t="s">
        <v>1144</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1516</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242</v>
      </c>
      <c r="B2777" s="21" t="s">
        <v>1154</v>
      </c>
      <c r="C2777" s="21" t="s">
        <v>1168</v>
      </c>
      <c r="D2777" s="21" t="s">
        <v>1144</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681</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1166</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1298</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1198</v>
      </c>
      <c r="B2781" s="21" t="s">
        <v>1142</v>
      </c>
      <c r="C2781" s="21" t="s">
        <v>1151</v>
      </c>
      <c r="D2781" s="21" t="s">
        <v>1144</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1807</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312</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row>
    <row r="2785" spans="1:12">
      <c r="A2785" s="20" t="s">
        <v>2040</v>
      </c>
    </row>
    <row r="2786" spans="1:12">
      <c r="A2786" s="20" t="s">
        <v>308</v>
      </c>
      <c r="B2786" s="21" t="s">
        <v>1161</v>
      </c>
      <c r="C2786" s="21" t="s">
        <v>1143</v>
      </c>
      <c r="D2786" s="21" t="s">
        <v>1144</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1146</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2041</v>
      </c>
      <c r="B2788" s="21" t="s">
        <v>1161</v>
      </c>
      <c r="C2788" s="21" t="s">
        <v>1143</v>
      </c>
      <c r="D2788" s="21" t="s">
        <v>1144</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312</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row>
    <row r="2791" spans="1:12">
      <c r="A2791" s="20" t="s">
        <v>2042</v>
      </c>
    </row>
    <row r="2792" spans="1:12">
      <c r="A2792" s="20" t="s">
        <v>688</v>
      </c>
      <c r="B2792" s="21" t="s">
        <v>1161</v>
      </c>
      <c r="C2792" s="21" t="s">
        <v>1187</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1226</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t="s">
        <v>2043</v>
      </c>
      <c r="B2794" s="21" t="s">
        <v>1161</v>
      </c>
      <c r="C2794" s="21" t="s">
        <v>1143</v>
      </c>
      <c r="D2794" s="21" t="s">
        <v>1144</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12</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t="s">
        <v>2044</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t="s">
        <v>2045</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1203</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2046</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1166</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1309</v>
      </c>
      <c r="B2801" s="21" t="s">
        <v>1150</v>
      </c>
      <c r="C2801" s="21" t="s">
        <v>1168</v>
      </c>
      <c r="D2801" s="21" t="s">
        <v>1144</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t="s">
        <v>1230</v>
      </c>
      <c r="B2802" s="21" t="s">
        <v>1142</v>
      </c>
      <c r="C2802" s="21" t="s">
        <v>1168</v>
      </c>
      <c r="D2802" s="21" t="s">
        <v>1144</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t="s">
        <v>451</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1913</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312</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row>
    <row r="2807" spans="1:12">
      <c r="A2807" s="20" t="s">
        <v>2047</v>
      </c>
    </row>
    <row r="2808" spans="1:12">
      <c r="A2808" s="20" t="s">
        <v>1297</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1350</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1230</v>
      </c>
      <c r="B2810" s="21" t="s">
        <v>1165</v>
      </c>
      <c r="C2810" s="21" t="s">
        <v>1151</v>
      </c>
      <c r="D2810" s="21" t="s">
        <v>1144</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1309</v>
      </c>
      <c r="B2811" s="21" t="s">
        <v>1154</v>
      </c>
      <c r="C2811" s="21" t="s">
        <v>1168</v>
      </c>
      <c r="D2811" s="21" t="s">
        <v>1144</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1263</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row>
    <row r="2814" spans="1:12">
      <c r="A2814" s="20" t="s">
        <v>2048</v>
      </c>
    </row>
    <row r="2815" spans="1:12">
      <c r="A2815" s="20" t="s">
        <v>1189</v>
      </c>
      <c r="B2815" s="21" t="s">
        <v>1165</v>
      </c>
      <c r="C2815" s="21" t="s">
        <v>1151</v>
      </c>
      <c r="D2815" s="21" t="s">
        <v>1144</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2049</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1149</v>
      </c>
      <c r="B2817" s="21" t="s">
        <v>1154</v>
      </c>
      <c r="C2817" s="21" t="s">
        <v>1151</v>
      </c>
      <c r="D2817" s="21" t="s">
        <v>1144</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1191</v>
      </c>
      <c r="B2818" s="21" t="s">
        <v>1150</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1314</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2010</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1189</v>
      </c>
      <c r="B2821" s="21" t="s">
        <v>1142</v>
      </c>
      <c r="C2821" s="21" t="s">
        <v>1151</v>
      </c>
      <c r="D2821" s="21" t="s">
        <v>1144</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1543</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1261</v>
      </c>
      <c r="B2823" s="21" t="s">
        <v>1150</v>
      </c>
      <c r="C2823" s="21" t="s">
        <v>1151</v>
      </c>
      <c r="D2823" s="21" t="s">
        <v>1144</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2050</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2051</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t="s">
        <v>1203</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1590</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t="s">
        <v>2052</v>
      </c>
      <c r="B2828" s="21" t="s">
        <v>1193</v>
      </c>
      <c r="C2828" s="21" t="s">
        <v>1214</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2053</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312</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row>
    <row r="2832" spans="1:12">
      <c r="A2832" s="20" t="s">
        <v>2054</v>
      </c>
    </row>
    <row r="2833" spans="1:12">
      <c r="A2833" s="20" t="s">
        <v>1217</v>
      </c>
      <c r="B2833" s="21" t="s">
        <v>1142</v>
      </c>
      <c r="C2833" s="21" t="s">
        <v>1168</v>
      </c>
      <c r="D2833" s="21" t="s">
        <v>1144</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165</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1152</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2055</v>
      </c>
      <c r="B2836" s="21" t="s">
        <v>1154</v>
      </c>
      <c r="C2836" s="21" t="s">
        <v>1155</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1219</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1238</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2056</v>
      </c>
      <c r="B2839" s="21" t="s">
        <v>1171</v>
      </c>
      <c r="C2839" s="21" t="s">
        <v>1162</v>
      </c>
      <c r="D2839" s="21" t="s">
        <v>1144</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1387</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1731</v>
      </c>
      <c r="B2841" s="21" t="s">
        <v>1161</v>
      </c>
      <c r="C2841" s="21" t="s">
        <v>1187</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699</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1166</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1238</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1581</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2057</v>
      </c>
      <c r="B2846" s="21" t="s">
        <v>1150</v>
      </c>
      <c r="C2846" s="21" t="s">
        <v>1162</v>
      </c>
      <c r="D2846" s="21" t="s">
        <v>1144</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165</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312</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row>
    <row r="2850" spans="1:12">
      <c r="A2850" s="20" t="s">
        <v>2058</v>
      </c>
    </row>
    <row r="2851" spans="1:12">
      <c r="A2851" s="20" t="s">
        <v>1325</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1198</v>
      </c>
      <c r="B2852" s="21" t="s">
        <v>1142</v>
      </c>
      <c r="C2852" s="21" t="s">
        <v>1151</v>
      </c>
      <c r="D2852" s="21" t="s">
        <v>1144</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1238</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2059</v>
      </c>
      <c r="B2854" s="21" t="s">
        <v>1150</v>
      </c>
      <c r="C2854" s="21" t="s">
        <v>1162</v>
      </c>
      <c r="D2854" s="21" t="s">
        <v>1144</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2049</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1166</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1935</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1198</v>
      </c>
      <c r="B2858" s="21" t="s">
        <v>1165</v>
      </c>
      <c r="C2858" s="21" t="s">
        <v>1151</v>
      </c>
      <c r="D2858" s="21" t="s">
        <v>1144</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t="s">
        <v>1149</v>
      </c>
      <c r="B2859" s="21" t="s">
        <v>1154</v>
      </c>
      <c r="E2859" s="22">
        <f>IF(D2859="?OLD","!!!","")</f>
        <v/>
      </c>
      <c r="F2859" s="23" t="str">
        <f>IF(OR(E2859="",E2859="!!!"),"",IF(NOT(ISNA(VLOOKUP(E2859,E$1:E2858,1,FALSE()))),"OLD",IF(AND(E2859&lt;&gt;"",E2859&lt;&gt;"!!!"),"NEW","")))</f>
        <v> </v>
      </c>
      <c r="G2859" s="24" t="str">
        <f>IF(OR(E2859="",E2859="!!!"),"",IF(OR(J2859=0,AND(J2859=1,K2859=1),AND(J2859=1,I2859="SBJ"),AND(J2859=1,I2859=0)),"?IN_FOCUS",IF(J2859&lt;=2,"?ACTIVATED",IF(J2859&lt;&gt;"","?FAMILIAR",IF(F2859="NEW",IF(ISNA(VLOOKUP(E2859,#REF!,1,FALSE())),"?TYPE_IDENTIFIABLE","?REFERENTIAL"),"_")))))</f>
        <v> </v>
      </c>
      <c r="H2859" s="25" t="str">
        <f>IF(J2859&lt;&gt;1,"",IF(I2859="SBJ","CB","?"))</f>
        <v> </v>
      </c>
      <c r="I2859" s="26" t="str">
        <f>IF(OR(E2859="",E2859="!!!",F2859="NEW"),"",INDEX(B2858:B$2,-1+SUMPRODUCT(MAX(ROW(E2858:E$2)*(E2859=E2858:E$2)))))</f>
        <v> </v>
      </c>
      <c r="J2859" s="26" t="str">
        <f>IF(OR(E2859="",E2859="!!!",F2859="NEW"),"",COUNTBLANK(OFFSET(A$1,,,SUMPRODUCT(MAX(ROW(E$2:E2859)*(E2859=E$2:E2859)))))-COUNTBLANK(OFFSET(A$1,,,SUMPRODUCT(MAX(ROW(E$1:E2858)*(E2=E$1:E2858))))))</f>
        <v> </v>
      </c>
      <c r="K2859" s="26" t="str">
        <f>IF(OR(E2859="",E2859="!!!",F2859="NEW"),"",INDEX(J$1:J2858,SUMPRODUCT(MAX(ROW(E$1:E2858)*(E2859=E$1:E2858)))))</f>
        <v> </v>
      </c>
      <c r="L2859" s="27"/>
    </row>
    <row r="2860" spans="1:12">
      <c r="A2860" s="20" t="s">
        <v>1146</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t="s">
        <v>2060</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t="s">
        <v>1261</v>
      </c>
      <c r="B2862" s="21" t="s">
        <v>1142</v>
      </c>
      <c r="C2862" s="21" t="s">
        <v>1151</v>
      </c>
      <c r="D2862" s="21" t="s">
        <v>1144</v>
      </c>
      <c r="E2862" s="22">
        <f>IF(D2862="?OLD","!!!","")</f>
        <v/>
      </c>
      <c r="F2862" s="23" t="str">
        <f>IF(OR(E2862="",E2862="!!!"),"",IF(NOT(ISNA(VLOOKUP(E2862,E$1:E2861,1,FALSE()))),"OLD",IF(AND(E2862&lt;&gt;"",E2862&lt;&gt;"!!!"),"NEW","")))</f>
        <v> </v>
      </c>
      <c r="G2862" s="24" t="str">
        <f>IF(OR(E2862="",E2862="!!!"),"",IF(OR(J2862=0,AND(J2862=1,K2862=1),AND(J2862=1,I2862="SBJ"),AND(J2862=1,I2862=0)),"?IN_FOCUS",IF(J2862&lt;=2,"?ACTIVATED",IF(J2862&lt;&gt;"","?FAMILIAR",IF(F2862="NEW",IF(ISNA(VLOOKUP(E2862,#REF!,1,FALSE())),"?TYPE_IDENTIFIABLE","?REFERENTIAL"),"_")))))</f>
        <v> </v>
      </c>
      <c r="H2862" s="25" t="str">
        <f>IF(J2862&lt;&gt;1,"",IF(I2862="SBJ","CB","?"))</f>
        <v> </v>
      </c>
      <c r="I2862" s="26" t="str">
        <f>IF(OR(E2862="",E2862="!!!",F2862="NEW"),"",INDEX(B2861:B$2,-1+SUMPRODUCT(MAX(ROW(E2861:E$2)*(E2862=E2861:E$2)))))</f>
        <v> </v>
      </c>
      <c r="J2862" s="26" t="str">
        <f>IF(OR(E2862="",E2862="!!!",F2862="NEW"),"",COUNTBLANK(OFFSET(A$1,,,SUMPRODUCT(MAX(ROW(E$2:E2862)*(E2862=E$2:E2862)))))-COUNTBLANK(OFFSET(A$1,,,SUMPRODUCT(MAX(ROW(E$1:E2861)*(E2=E$1:E2861))))))</f>
        <v> </v>
      </c>
      <c r="K2862" s="26" t="str">
        <f>IF(OR(E2862="",E2862="!!!",F2862="NEW"),"",INDEX(J$1:J2861,SUMPRODUCT(MAX(ROW(E$1:E2861)*(E2862=E$1:E2861)))))</f>
        <v> </v>
      </c>
      <c r="L2862" s="27"/>
    </row>
    <row r="2863" spans="1:12">
      <c r="A2863" s="20" t="s">
        <v>1176</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2061</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1166</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1298</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1238</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2059</v>
      </c>
      <c r="B2868" s="21" t="s">
        <v>1175</v>
      </c>
      <c r="C2868" s="21" t="s">
        <v>1162</v>
      </c>
      <c r="D2868" s="21" t="s">
        <v>1144</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1432</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t="s">
        <v>2062</v>
      </c>
      <c r="B2870" s="21" t="s">
        <v>1181</v>
      </c>
      <c r="C2870" s="21" t="s">
        <v>1182</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t="s">
        <v>2063</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t="s">
        <v>2064</v>
      </c>
      <c r="E2872" s="22">
        <f>IF(D2872="?OLD","!!!","")</f>
        <v/>
      </c>
      <c r="F2872" s="23" t="str">
        <f>IF(OR(E2872="",E2872="!!!"),"",IF(NOT(ISNA(VLOOKUP(E2872,E$1:E2871,1,FALSE()))),"OLD",IF(AND(E2872&lt;&gt;"",E2872&lt;&gt;"!!!"),"NEW","")))</f>
        <v> </v>
      </c>
      <c r="G2872" s="24" t="str">
        <f>IF(OR(E2872="",E2872="!!!"),"",IF(OR(J2872=0,AND(J2872=1,K2872=1),AND(J2872=1,I2872="SBJ"),AND(J2872=1,I2872=0)),"?IN_FOCUS",IF(J2872&lt;=2,"?ACTIVATED",IF(J2872&lt;&gt;"","?FAMILIAR",IF(F2872="NEW",IF(ISNA(VLOOKUP(E2872,#REF!,1,FALSE())),"?TYPE_IDENTIFIABLE","?REFERENTIAL"),"_")))))</f>
        <v> </v>
      </c>
      <c r="H2872" s="25" t="str">
        <f>IF(J2872&lt;&gt;1,"",IF(I2872="SBJ","CB","?"))</f>
        <v> </v>
      </c>
      <c r="I2872" s="26" t="str">
        <f>IF(OR(E2872="",E2872="!!!",F2872="NEW"),"",INDEX(B2871:B$2,-1+SUMPRODUCT(MAX(ROW(E2871:E$2)*(E2872=E2871:E$2)))))</f>
        <v> </v>
      </c>
      <c r="J2872" s="26" t="str">
        <f>IF(OR(E2872="",E2872="!!!",F2872="NEW"),"",COUNTBLANK(OFFSET(A$1,,,SUMPRODUCT(MAX(ROW(E$2:E2872)*(E2872=E$2:E2872)))))-COUNTBLANK(OFFSET(A$1,,,SUMPRODUCT(MAX(ROW(E$1:E2871)*(E2=E$1:E2871))))))</f>
        <v> </v>
      </c>
      <c r="K2872" s="26" t="str">
        <f>IF(OR(E2872="",E2872="!!!",F2872="NEW"),"",INDEX(J$1:J2871,SUMPRODUCT(MAX(ROW(E$1:E2871)*(E2872=E$1:E2871)))))</f>
        <v> </v>
      </c>
      <c r="L2872" s="27"/>
    </row>
    <row r="2873" spans="1:12">
      <c r="A2873" s="20" t="s">
        <v>2065</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t="s">
        <v>1302</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2066</v>
      </c>
      <c r="B2875" s="21" t="s">
        <v>1171</v>
      </c>
      <c r="C2875" s="21" t="s">
        <v>1187</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1339</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t="s">
        <v>1275</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t="s">
        <v>2067</v>
      </c>
      <c r="B2878" s="21" t="s">
        <v>1147</v>
      </c>
      <c r="C2878" s="21" t="s">
        <v>1162</v>
      </c>
      <c r="D2878" s="21" t="s">
        <v>1144</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1263</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row>
    <row r="2881" spans="1:12">
      <c r="A2881" s="20" t="s">
        <v>2068</v>
      </c>
    </row>
    <row r="2882" spans="1:12">
      <c r="A2882" s="20" t="s">
        <v>1325</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1858</v>
      </c>
      <c r="B2883" s="21" t="s">
        <v>1165</v>
      </c>
      <c r="C2883" s="21" t="s">
        <v>1182</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1518</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1355</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t="s">
        <v>2069</v>
      </c>
      <c r="B2886" s="21" t="s">
        <v>1161</v>
      </c>
      <c r="C2886" s="21" t="s">
        <v>1228</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2070</v>
      </c>
      <c r="E2887" s="22">
        <f>IF(D2887="?OLD","!!!","")</f>
        <v/>
      </c>
      <c r="F2887" s="23" t="str">
        <f>IF(OR(E2887="",E2887="!!!"),"",IF(NOT(ISNA(VLOOKUP(E2887,E$1:E2886,1,FALSE()))),"OLD",IF(AND(E2887&lt;&gt;"",E2887&lt;&gt;"!!!"),"NEW","")))</f>
        <v> </v>
      </c>
      <c r="G2887" s="24" t="str">
        <f>IF(OR(E2887="",E2887="!!!"),"",IF(OR(J2887=0,AND(J2887=1,K2887=1),AND(J2887=1,I2887="SBJ"),AND(J2887=1,I2887=0)),"?IN_FOCUS",IF(J2887&lt;=2,"?ACTIVATED",IF(J2887&lt;&gt;"","?FAMILIAR",IF(F2887="NEW",IF(ISNA(VLOOKUP(E2887,#REF!,1,FALSE())),"?TYPE_IDENTIFIABLE","?REFERENTIAL"),"_")))))</f>
        <v> </v>
      </c>
      <c r="H2887" s="25" t="str">
        <f>IF(J2887&lt;&gt;1,"",IF(I2887="SBJ","CB","?"))</f>
        <v> </v>
      </c>
      <c r="I2887" s="26" t="str">
        <f>IF(OR(E2887="",E2887="!!!",F2887="NEW"),"",INDEX(B2886:B$2,-1+SUMPRODUCT(MAX(ROW(E2886:E$2)*(E2887=E2886:E$2)))))</f>
        <v> </v>
      </c>
      <c r="J2887" s="26" t="str">
        <f>IF(OR(E2887="",E2887="!!!",F2887="NEW"),"",COUNTBLANK(OFFSET(A$1,,,SUMPRODUCT(MAX(ROW(E$2:E2887)*(E2887=E$2:E2887)))))-COUNTBLANK(OFFSET(A$1,,,SUMPRODUCT(MAX(ROW(E$1:E2886)*(E2=E$1:E2886))))))</f>
        <v> </v>
      </c>
      <c r="K2887" s="26" t="str">
        <f>IF(OR(E2887="",E2887="!!!",F2887="NEW"),"",INDEX(J$1:J2886,SUMPRODUCT(MAX(ROW(E$1:E2886)*(E2887=E$1:E2886)))))</f>
        <v> </v>
      </c>
      <c r="L2887" s="27"/>
    </row>
    <row r="2888" spans="1:12">
      <c r="A2888" s="20" t="s">
        <v>12</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1339</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1275</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t="s">
        <v>2071</v>
      </c>
      <c r="E2891" s="22">
        <f>IF(D2891="?OLD","!!!","")</f>
        <v/>
      </c>
      <c r="F2891" s="23" t="str">
        <f>IF(OR(E2891="",E2891="!!!"),"",IF(NOT(ISNA(VLOOKUP(E2891,E$1:E2890,1,FALSE()))),"OLD",IF(AND(E2891&lt;&gt;"",E2891&lt;&gt;"!!!"),"NEW","")))</f>
        <v> </v>
      </c>
      <c r="G2891" s="24" t="str">
        <f>IF(OR(E2891="",E2891="!!!"),"",IF(OR(J2891=0,AND(J2891=1,K2891=1),AND(J2891=1,I2891="SBJ"),AND(J2891=1,I2891=0)),"?IN_FOCUS",IF(J2891&lt;=2,"?ACTIVATED",IF(J2891&lt;&gt;"","?FAMILIAR",IF(F2891="NEW",IF(ISNA(VLOOKUP(E2891,#REF!,1,FALSE())),"?TYPE_IDENTIFIABLE","?REFERENTIAL"),"_")))))</f>
        <v> </v>
      </c>
      <c r="H2891" s="25" t="str">
        <f>IF(J2891&lt;&gt;1,"",IF(I2891="SBJ","CB","?"))</f>
        <v> </v>
      </c>
      <c r="I2891" s="26" t="str">
        <f>IF(OR(E2891="",E2891="!!!",F2891="NEW"),"",INDEX(B2890:B$2,-1+SUMPRODUCT(MAX(ROW(E2890:E$2)*(E2891=E2890:E$2)))))</f>
        <v> </v>
      </c>
      <c r="J2891" s="26" t="str">
        <f>IF(OR(E2891="",E2891="!!!",F2891="NEW"),"",COUNTBLANK(OFFSET(A$1,,,SUMPRODUCT(MAX(ROW(E$2:E2891)*(E2891=E$2:E2891)))))-COUNTBLANK(OFFSET(A$1,,,SUMPRODUCT(MAX(ROW(E$1:E2890)*(E2=E$1:E2890))))))</f>
        <v> </v>
      </c>
      <c r="K2891" s="26" t="str">
        <f>IF(OR(E2891="",E2891="!!!",F2891="NEW"),"",INDEX(J$1:J2890,SUMPRODUCT(MAX(ROW(E$1:E2890)*(E2891=E$1:E2890)))))</f>
        <v> </v>
      </c>
      <c r="L2891" s="27"/>
    </row>
    <row r="2892" spans="1:12">
      <c r="A2892" s="20" t="s">
        <v>2067</v>
      </c>
      <c r="B2892" s="21" t="s">
        <v>1161</v>
      </c>
      <c r="C2892" s="21" t="s">
        <v>1162</v>
      </c>
      <c r="D2892" s="21" t="s">
        <v>1144</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12</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1166</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1359</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1230</v>
      </c>
      <c r="B2896" s="21" t="s">
        <v>1175</v>
      </c>
      <c r="C2896" s="21" t="s">
        <v>1151</v>
      </c>
      <c r="D2896" s="21" t="s">
        <v>1144</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36</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1166</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2072</v>
      </c>
      <c r="B2899" s="21" t="s">
        <v>1311</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2073</v>
      </c>
      <c r="B2900" s="21" t="s">
        <v>1310</v>
      </c>
      <c r="C2900" s="21" t="s">
        <v>1187</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2005</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2074</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1148</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1203</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1236</v>
      </c>
      <c r="B2905" s="21" t="s">
        <v>1244</v>
      </c>
      <c r="C2905" s="21" t="s">
        <v>1187</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312</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row>
    <row r="2908" spans="1:12">
      <c r="A2908" s="20" t="s">
        <v>2075</v>
      </c>
    </row>
    <row r="2909" spans="1:12">
      <c r="A2909" s="20" t="s">
        <v>1816</v>
      </c>
      <c r="B2909" s="21" t="s">
        <v>1165</v>
      </c>
      <c r="C2909" s="21" t="s">
        <v>1151</v>
      </c>
      <c r="D2909" s="21" t="s">
        <v>1144</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1359</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1923</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1787</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1219</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t="s">
        <v>1226</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2057</v>
      </c>
      <c r="B2915" s="21" t="s">
        <v>1171</v>
      </c>
      <c r="C2915" s="21" t="s">
        <v>1228</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777</v>
      </c>
      <c r="B2916" s="21" t="s">
        <v>1154</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312</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row>
    <row r="2919" spans="1:12">
      <c r="A2919" s="20" t="s">
        <v>2076</v>
      </c>
    </row>
    <row r="2920" spans="1:12">
      <c r="A2920" s="20" t="s">
        <v>1325</v>
      </c>
      <c r="E2920" s="22">
        <f>IF(D2920="?OLD","!!!","")</f>
        <v/>
      </c>
      <c r="F2920" s="23" t="str">
        <f>IF(OR(E2920="",E2920="!!!"),"",IF(NOT(ISNA(VLOOKUP(E2920,E$1:E2919,1,FALSE()))),"OLD",IF(AND(E2920&lt;&gt;"",E2920&lt;&gt;"!!!"),"NEW","")))</f>
        <v> </v>
      </c>
      <c r="G2920" s="24" t="str">
        <f>IF(OR(E2920="",E2920="!!!"),"",IF(OR(J2920=0,AND(J2920=1,K2920=1),AND(J2920=1,I2920="SBJ"),AND(J2920=1,I2920=0)),"?IN_FOCUS",IF(J2920&lt;=2,"?ACTIVATED",IF(J2920&lt;&gt;"","?FAMILIAR",IF(F2920="NEW",IF(ISNA(VLOOKUP(E2920,#REF!,1,FALSE())),"?TYPE_IDENTIFIABLE","?REFERENTIAL"),"_")))))</f>
        <v> </v>
      </c>
      <c r="H2920" s="25" t="str">
        <f>IF(J2920&lt;&gt;1,"",IF(I2920="SBJ","CB","?"))</f>
        <v> </v>
      </c>
      <c r="I2920" s="26" t="str">
        <f>IF(OR(E2920="",E2920="!!!",F2920="NEW"),"",INDEX(B2919:B$2,-1+SUMPRODUCT(MAX(ROW(E2919:E$2)*(E2920=E2919:E$2)))))</f>
        <v> </v>
      </c>
      <c r="J2920" s="26" t="str">
        <f>IF(OR(E2920="",E2920="!!!",F2920="NEW"),"",COUNTBLANK(OFFSET(A$1,,,SUMPRODUCT(MAX(ROW(E$2:E2920)*(E2920=E$2:E2920)))))-COUNTBLANK(OFFSET(A$1,,,SUMPRODUCT(MAX(ROW(E$1:E2919)*(E2=E$1:E2919))))))</f>
        <v> </v>
      </c>
      <c r="K2920" s="26" t="str">
        <f>IF(OR(E2920="",E2920="!!!",F2920="NEW"),"",INDEX(J$1:J2919,SUMPRODUCT(MAX(ROW(E$1:E2919)*(E2920=E$1:E2919)))))</f>
        <v> </v>
      </c>
      <c r="L2920" s="27"/>
    </row>
    <row r="2921" spans="1:12">
      <c r="A2921" s="20" t="s">
        <v>1167</v>
      </c>
      <c r="B2921" s="21" t="s">
        <v>1175</v>
      </c>
      <c r="C2921" s="21" t="s">
        <v>1168</v>
      </c>
      <c r="D2921" s="21" t="s">
        <v>1144</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t="s">
        <v>1191</v>
      </c>
      <c r="B2922" s="21" t="s">
        <v>1193</v>
      </c>
      <c r="C2922" s="21" t="s">
        <v>1168</v>
      </c>
      <c r="D2922" s="21" t="s">
        <v>1144</v>
      </c>
      <c r="E2922" s="22">
        <f>IF(D2922="?OLD","!!!","")</f>
        <v/>
      </c>
      <c r="F2922" s="23" t="str">
        <f>IF(OR(E2922="",E2922="!!!"),"",IF(NOT(ISNA(VLOOKUP(E2922,E$1:E2921,1,FALSE()))),"OLD",IF(AND(E2922&lt;&gt;"",E2922&lt;&gt;"!!!"),"NEW","")))</f>
        <v> </v>
      </c>
      <c r="G2922" s="24" t="str">
        <f>IF(OR(E2922="",E2922="!!!"),"",IF(OR(J2922=0,AND(J2922=1,K2922=1),AND(J2922=1,I2922="SBJ"),AND(J2922=1,I2922=0)),"?IN_FOCUS",IF(J2922&lt;=2,"?ACTIVATED",IF(J2922&lt;&gt;"","?FAMILIAR",IF(F2922="NEW",IF(ISNA(VLOOKUP(E2922,#REF!,1,FALSE())),"?TYPE_IDENTIFIABLE","?REFERENTIAL"),"_")))))</f>
        <v> </v>
      </c>
      <c r="H2922" s="25" t="str">
        <f>IF(J2922&lt;&gt;1,"",IF(I2922="SBJ","CB","?"))</f>
        <v> </v>
      </c>
      <c r="I2922" s="26" t="str">
        <f>IF(OR(E2922="",E2922="!!!",F2922="NEW"),"",INDEX(B2921:B$2,-1+SUMPRODUCT(MAX(ROW(E2921:E$2)*(E2922=E2921:E$2)))))</f>
        <v> </v>
      </c>
      <c r="J2922" s="26" t="str">
        <f>IF(OR(E2922="",E2922="!!!",F2922="NEW"),"",COUNTBLANK(OFFSET(A$1,,,SUMPRODUCT(MAX(ROW(E$2:E2922)*(E2922=E$2:E2922)))))-COUNTBLANK(OFFSET(A$1,,,SUMPRODUCT(MAX(ROW(E$1:E2921)*(E2=E$1:E2921))))))</f>
        <v> </v>
      </c>
      <c r="K2922" s="26" t="str">
        <f>IF(OR(E2922="",E2922="!!!",F2922="NEW"),"",INDEX(J$1:J2921,SUMPRODUCT(MAX(ROW(E$1:E2921)*(E2922=E$1:E2921)))))</f>
        <v> </v>
      </c>
      <c r="L2922" s="27"/>
    </row>
    <row r="2923" spans="1:12">
      <c r="A2923" s="20" t="s">
        <v>218</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2077</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1166</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1673</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1167</v>
      </c>
      <c r="B2927" s="21" t="s">
        <v>1142</v>
      </c>
      <c r="C2927" s="21" t="s">
        <v>1168</v>
      </c>
      <c r="D2927" s="21" t="s">
        <v>1144</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t="s">
        <v>1587</v>
      </c>
      <c r="B2928" s="21" t="s">
        <v>1171</v>
      </c>
      <c r="C2928" s="21" t="s">
        <v>1232</v>
      </c>
      <c r="D2928" s="21" t="s">
        <v>1144</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t="s">
        <v>2078</v>
      </c>
      <c r="B2929" s="21" t="s">
        <v>1161</v>
      </c>
      <c r="C2929" s="21" t="s">
        <v>1234</v>
      </c>
      <c r="D2929" s="21" t="s">
        <v>1144</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t="s">
        <v>379</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t="s">
        <v>2079</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1736</v>
      </c>
      <c r="B2932" s="21" t="s">
        <v>1154</v>
      </c>
      <c r="C2932" s="21" t="s">
        <v>1214</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715</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312</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row>
    <row r="2936" spans="1:12">
      <c r="A2936" s="20" t="s">
        <v>2080</v>
      </c>
    </row>
    <row r="2937" spans="1:12">
      <c r="A2937" s="20" t="s">
        <v>198</v>
      </c>
      <c r="B2937" s="21" t="s">
        <v>1165</v>
      </c>
      <c r="C2937" s="21" t="s">
        <v>1143</v>
      </c>
      <c r="D2937" s="21" t="s">
        <v>1144</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1146</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2081</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2082</v>
      </c>
      <c r="B2940" s="21" t="s">
        <v>1171</v>
      </c>
      <c r="C2940" s="21" t="s">
        <v>1182</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2083</v>
      </c>
      <c r="B2941" s="21" t="s">
        <v>1161</v>
      </c>
      <c r="C2941" s="21" t="s">
        <v>1187</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1166</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2084</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1529</v>
      </c>
      <c r="B2944" s="21" t="s">
        <v>1154</v>
      </c>
      <c r="C2944" s="21" t="s">
        <v>1151</v>
      </c>
      <c r="D2944" s="21" t="s">
        <v>1144</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2010</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t="s">
        <v>308</v>
      </c>
      <c r="B2946" s="21" t="s">
        <v>1161</v>
      </c>
      <c r="C2946" s="21" t="s">
        <v>1187</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t="s">
        <v>1146</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t="s">
        <v>1189</v>
      </c>
      <c r="B2948" s="21" t="s">
        <v>1142</v>
      </c>
      <c r="C2948" s="21" t="s">
        <v>1151</v>
      </c>
      <c r="D2948" s="21" t="s">
        <v>1144</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1202</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1457</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1367</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t="s">
        <v>2085</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1166</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1174</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1167</v>
      </c>
      <c r="B2955" s="21" t="s">
        <v>1175</v>
      </c>
      <c r="C2955" s="21" t="s">
        <v>1168</v>
      </c>
      <c r="D2955" s="21" t="s">
        <v>1144</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1994</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1159</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t="s">
        <v>1911</v>
      </c>
      <c r="B2958" s="21" t="s">
        <v>1147</v>
      </c>
      <c r="C2958" s="21" t="s">
        <v>1162</v>
      </c>
      <c r="D2958" s="21" t="s">
        <v>1144</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1339</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t="s">
        <v>1159</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1220</v>
      </c>
      <c r="B2961" s="21" t="s">
        <v>1181</v>
      </c>
      <c r="C2961" s="21" t="s">
        <v>1162</v>
      </c>
      <c r="D2961" s="21" t="s">
        <v>1144</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t="s">
        <v>2086</v>
      </c>
      <c r="B2962" s="21" t="s">
        <v>1175</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451</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1178</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1994</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2087</v>
      </c>
      <c r="B2966" s="21" t="s">
        <v>1147</v>
      </c>
      <c r="C2966" s="21" t="s">
        <v>1187</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12</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1191</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2029</v>
      </c>
      <c r="B2969" s="21" t="s">
        <v>1311</v>
      </c>
      <c r="C2969" s="21" t="s">
        <v>1162</v>
      </c>
      <c r="D2969" s="21" t="s">
        <v>1144</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1387</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1159</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t="s">
        <v>2030</v>
      </c>
      <c r="B2972" s="21" t="s">
        <v>1181</v>
      </c>
      <c r="C2972" s="21" t="s">
        <v>1162</v>
      </c>
      <c r="D2972" s="21" t="s">
        <v>1144</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t="s">
        <v>2031</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12</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1203</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t="s">
        <v>2088</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t="s">
        <v>1176</v>
      </c>
      <c r="E2977" s="22">
        <f>IF(D2977="?OLD","!!!","")</f>
        <v/>
      </c>
      <c r="F2977" s="23" t="str">
        <f>IF(OR(E2977="",E2977="!!!"),"",IF(NOT(ISNA(VLOOKUP(E2977,E$1:E2976,1,FALSE()))),"OLD",IF(AND(E2977&lt;&gt;"",E2977&lt;&gt;"!!!"),"NEW","")))</f>
        <v> </v>
      </c>
      <c r="G2977" s="24" t="str">
        <f>IF(OR(E2977="",E2977="!!!"),"",IF(OR(J2977=0,AND(J2977=1,K2977=1),AND(J2977=1,I2977="SBJ"),AND(J2977=1,I2977=0)),"?IN_FOCUS",IF(J2977&lt;=2,"?ACTIVATED",IF(J2977&lt;&gt;"","?FAMILIAR",IF(F2977="NEW",IF(ISNA(VLOOKUP(E2977,#REF!,1,FALSE())),"?TYPE_IDENTIFIABLE","?REFERENTIAL"),"_")))))</f>
        <v> </v>
      </c>
      <c r="H2977" s="25" t="str">
        <f>IF(J2977&lt;&gt;1,"",IF(I2977="SBJ","CB","?"))</f>
        <v> </v>
      </c>
      <c r="I2977" s="26" t="str">
        <f>IF(OR(E2977="",E2977="!!!",F2977="NEW"),"",INDEX(B2976:B$2,-1+SUMPRODUCT(MAX(ROW(E2976:E$2)*(E2977=E2976:E$2)))))</f>
        <v> </v>
      </c>
      <c r="J2977" s="26" t="str">
        <f>IF(OR(E2977="",E2977="!!!",F2977="NEW"),"",COUNTBLANK(OFFSET(A$1,,,SUMPRODUCT(MAX(ROW(E$2:E2977)*(E2977=E$2:E2977)))))-COUNTBLANK(OFFSET(A$1,,,SUMPRODUCT(MAX(ROW(E$1:E2976)*(E2=E$1:E2976))))))</f>
        <v> </v>
      </c>
      <c r="K2977" s="26" t="str">
        <f>IF(OR(E2977="",E2977="!!!",F2977="NEW"),"",INDEX(J$1:J2976,SUMPRODUCT(MAX(ROW(E$1:E2976)*(E2977=E$1:E2976)))))</f>
        <v> </v>
      </c>
      <c r="L2977" s="27"/>
    </row>
    <row r="2978" spans="1:12">
      <c r="A2978" s="20" t="s">
        <v>1320</v>
      </c>
      <c r="B2978" s="21" t="s">
        <v>1312</v>
      </c>
      <c r="C2978" s="21" t="s">
        <v>1172</v>
      </c>
      <c r="D2978" s="21" t="s">
        <v>1144</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t="s">
        <v>46</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1166</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1178</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2089</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1266</v>
      </c>
      <c r="B2983" s="21" t="s">
        <v>1242</v>
      </c>
      <c r="C2983" s="21" t="s">
        <v>1168</v>
      </c>
      <c r="D2983" s="21" t="s">
        <v>1144</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2090</v>
      </c>
      <c r="B2984" s="21" t="s">
        <v>1244</v>
      </c>
      <c r="C2984" s="21" t="s">
        <v>1214</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2091</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2092</v>
      </c>
      <c r="B2986" s="21" t="s">
        <v>1242</v>
      </c>
      <c r="C2986" s="21" t="s">
        <v>1187</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t="s">
        <v>1387</v>
      </c>
      <c r="E2987" s="22">
        <f>IF(D2987="?OLD","!!!","")</f>
        <v/>
      </c>
      <c r="F2987" s="23" t="str">
        <f>IF(OR(E2987="",E2987="!!!"),"",IF(NOT(ISNA(VLOOKUP(E2987,E$1:E2986,1,FALSE()))),"OLD",IF(AND(E2987&lt;&gt;"",E2987&lt;&gt;"!!!"),"NEW","")))</f>
        <v> </v>
      </c>
      <c r="G2987" s="24" t="str">
        <f>IF(OR(E2987="",E2987="!!!"),"",IF(OR(J2987=0,AND(J2987=1,K2987=1),AND(J2987=1,I2987="SBJ"),AND(J2987=1,I2987=0)),"?IN_FOCUS",IF(J2987&lt;=2,"?ACTIVATED",IF(J2987&lt;&gt;"","?FAMILIAR",IF(F2987="NEW",IF(ISNA(VLOOKUP(E2987,#REF!,1,FALSE())),"?TYPE_IDENTIFIABLE","?REFERENTIAL"),"_")))))</f>
        <v> </v>
      </c>
      <c r="H2987" s="25" t="str">
        <f>IF(J2987&lt;&gt;1,"",IF(I2987="SBJ","CB","?"))</f>
        <v> </v>
      </c>
      <c r="I2987" s="26" t="str">
        <f>IF(OR(E2987="",E2987="!!!",F2987="NEW"),"",INDEX(B2986:B$2,-1+SUMPRODUCT(MAX(ROW(E2986:E$2)*(E2987=E2986:E$2)))))</f>
        <v> </v>
      </c>
      <c r="J2987" s="26" t="str">
        <f>IF(OR(E2987="",E2987="!!!",F2987="NEW"),"",COUNTBLANK(OFFSET(A$1,,,SUMPRODUCT(MAX(ROW(E$2:E2987)*(E2987=E$2:E2987)))))-COUNTBLANK(OFFSET(A$1,,,SUMPRODUCT(MAX(ROW(E$1:E2986)*(E2=E$1:E2986))))))</f>
        <v> </v>
      </c>
      <c r="K2987" s="26" t="str">
        <f>IF(OR(E2987="",E2987="!!!",F2987="NEW"),"",INDEX(J$1:J2986,SUMPRODUCT(MAX(ROW(E$1:E2986)*(E2987=E$1:E2986)))))</f>
        <v> </v>
      </c>
      <c r="L2987" s="27"/>
    </row>
    <row r="2988" spans="1:12">
      <c r="A2988" s="20" t="s">
        <v>1481</v>
      </c>
      <c r="E2988" s="22">
        <f>IF(D2988="?OLD","!!!","")</f>
        <v/>
      </c>
      <c r="F2988" s="23" t="str">
        <f>IF(OR(E2988="",E2988="!!!"),"",IF(NOT(ISNA(VLOOKUP(E2988,E$1:E2987,1,FALSE()))),"OLD",IF(AND(E2988&lt;&gt;"",E2988&lt;&gt;"!!!"),"NEW","")))</f>
        <v> </v>
      </c>
      <c r="G2988" s="24" t="str">
        <f>IF(OR(E2988="",E2988="!!!"),"",IF(OR(J2988=0,AND(J2988=1,K2988=1),AND(J2988=1,I2988="SBJ"),AND(J2988=1,I2988=0)),"?IN_FOCUS",IF(J2988&lt;=2,"?ACTIVATED",IF(J2988&lt;&gt;"","?FAMILIAR",IF(F2988="NEW",IF(ISNA(VLOOKUP(E2988,#REF!,1,FALSE())),"?TYPE_IDENTIFIABLE","?REFERENTIAL"),"_")))))</f>
        <v> </v>
      </c>
      <c r="H2988" s="25" t="str">
        <f>IF(J2988&lt;&gt;1,"",IF(I2988="SBJ","CB","?"))</f>
        <v> </v>
      </c>
      <c r="I2988" s="26" t="str">
        <f>IF(OR(E2988="",E2988="!!!",F2988="NEW"),"",INDEX(B2987:B$2,-1+SUMPRODUCT(MAX(ROW(E2987:E$2)*(E2988=E2987:E$2)))))</f>
        <v> </v>
      </c>
      <c r="J2988" s="26" t="str">
        <f>IF(OR(E2988="",E2988="!!!",F2988="NEW"),"",COUNTBLANK(OFFSET(A$1,,,SUMPRODUCT(MAX(ROW(E$2:E2988)*(E2988=E$2:E2988)))))-COUNTBLANK(OFFSET(A$1,,,SUMPRODUCT(MAX(ROW(E$1:E2987)*(E2=E$1:E2987))))))</f>
        <v> </v>
      </c>
      <c r="K2988" s="26" t="str">
        <f>IF(OR(E2988="",E2988="!!!",F2988="NEW"),"",INDEX(J$1:J2987,SUMPRODUCT(MAX(ROW(E$1:E2987)*(E2988=E$1:E2987)))))</f>
        <v> </v>
      </c>
      <c r="L2988" s="27"/>
    </row>
    <row r="2989" spans="1:12">
      <c r="A2989" s="20" t="s">
        <v>2093</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1731</v>
      </c>
      <c r="B2990" s="21" t="s">
        <v>1242</v>
      </c>
      <c r="C2990" s="21" t="s">
        <v>1162</v>
      </c>
      <c r="D2990" s="21" t="s">
        <v>1144</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1518</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1238</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2094</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1809</v>
      </c>
      <c r="B2994" s="21" t="s">
        <v>1242</v>
      </c>
      <c r="C2994" s="21" t="s">
        <v>1162</v>
      </c>
      <c r="D2994" s="21" t="s">
        <v>1144</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2095</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1446</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312</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row>
    <row r="2999" spans="1:12">
      <c r="A2999" s="20" t="s">
        <v>2096</v>
      </c>
    </row>
    <row r="3000" spans="1:12">
      <c r="A3000" s="20" t="s">
        <v>198</v>
      </c>
      <c r="B3000" s="21" t="s">
        <v>1165</v>
      </c>
      <c r="C3000" s="21" t="s">
        <v>1143</v>
      </c>
      <c r="D3000" s="21" t="s">
        <v>1144</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1146</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t="s">
        <v>1283</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2097</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2098</v>
      </c>
      <c r="B3004" s="21" t="s">
        <v>1161</v>
      </c>
      <c r="C3004" s="21" t="s">
        <v>1162</v>
      </c>
      <c r="D3004" s="21" t="s">
        <v>1144</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1301</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1166</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t="s">
        <v>1174</v>
      </c>
      <c r="E3007" s="22">
        <f>IF(D3007="?OLD","!!!","")</f>
        <v/>
      </c>
      <c r="F3007" s="23" t="str">
        <f>IF(OR(E3007="",E3007="!!!"),"",IF(NOT(ISNA(VLOOKUP(E3007,E$1:E3006,1,FALSE()))),"OLD",IF(AND(E3007&lt;&gt;"",E3007&lt;&gt;"!!!"),"NEW","")))</f>
        <v> </v>
      </c>
      <c r="G3007" s="24" t="str">
        <f>IF(OR(E3007="",E3007="!!!"),"",IF(OR(J3007=0,AND(J3007=1,K3007=1),AND(J3007=1,I3007="SBJ"),AND(J3007=1,I3007=0)),"?IN_FOCUS",IF(J3007&lt;=2,"?ACTIVATED",IF(J3007&lt;&gt;"","?FAMILIAR",IF(F3007="NEW",IF(ISNA(VLOOKUP(E3007,#REF!,1,FALSE())),"?TYPE_IDENTIFIABLE","?REFERENTIAL"),"_")))))</f>
        <v> </v>
      </c>
      <c r="H3007" s="25" t="str">
        <f>IF(J3007&lt;&gt;1,"",IF(I3007="SBJ","CB","?"))</f>
        <v> </v>
      </c>
      <c r="I3007" s="26" t="str">
        <f>IF(OR(E3007="",E3007="!!!",F3007="NEW"),"",INDEX(B3006:B$2,-1+SUMPRODUCT(MAX(ROW(E3006:E$2)*(E3007=E3006:E$2)))))</f>
        <v> </v>
      </c>
      <c r="J3007" s="26" t="str">
        <f>IF(OR(E3007="",E3007="!!!",F3007="NEW"),"",COUNTBLANK(OFFSET(A$1,,,SUMPRODUCT(MAX(ROW(E$2:E3007)*(E3007=E$2:E3007)))))-COUNTBLANK(OFFSET(A$1,,,SUMPRODUCT(MAX(ROW(E$1:E3006)*(E2=E$1:E3006))))))</f>
        <v> </v>
      </c>
      <c r="K3007" s="26" t="str">
        <f>IF(OR(E3007="",E3007="!!!",F3007="NEW"),"",INDEX(J$1:J3006,SUMPRODUCT(MAX(ROW(E$1:E3006)*(E3007=E$1:E3006)))))</f>
        <v> </v>
      </c>
      <c r="L3007" s="27"/>
    </row>
    <row r="3008" spans="1:12">
      <c r="A3008" s="20" t="s">
        <v>1284</v>
      </c>
      <c r="B3008" s="21" t="s">
        <v>1142</v>
      </c>
      <c r="C3008" s="21" t="s">
        <v>1143</v>
      </c>
      <c r="D3008" s="21" t="s">
        <v>1144</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t="s">
        <v>2099</v>
      </c>
      <c r="B3009" s="21" t="s">
        <v>1150</v>
      </c>
      <c r="C3009" s="21" t="s">
        <v>1187</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165</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1947</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1166</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1174</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1779</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2013</v>
      </c>
      <c r="B3015" s="21" t="s">
        <v>1175</v>
      </c>
      <c r="C3015" s="21" t="s">
        <v>1228</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1176</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2100</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73</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312</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row>
    <row r="3021" spans="1:12">
      <c r="A3021" s="20" t="s">
        <v>1604</v>
      </c>
    </row>
    <row r="3022" spans="1:12">
      <c r="A3022" s="20" t="s">
        <v>308</v>
      </c>
      <c r="B3022" s="21" t="s">
        <v>1161</v>
      </c>
      <c r="C3022" s="21" t="s">
        <v>1143</v>
      </c>
      <c r="D3022" s="21" t="s">
        <v>1144</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1146</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1605</v>
      </c>
      <c r="B3024" s="21" t="s">
        <v>1161</v>
      </c>
      <c r="C3024" s="21" t="s">
        <v>1143</v>
      </c>
      <c r="D3024" s="21" t="s">
        <v>1144</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312</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row>
    <row r="3027" spans="1:12">
      <c r="A3027" s="20" t="s">
        <v>2101</v>
      </c>
    </row>
    <row r="3028" spans="1:12">
      <c r="A3028" s="20" t="s">
        <v>1189</v>
      </c>
      <c r="B3028" s="21" t="s">
        <v>1165</v>
      </c>
      <c r="C3028" s="21" t="s">
        <v>1151</v>
      </c>
      <c r="D3028" s="21" t="s">
        <v>1144</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1543</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1179</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729</v>
      </c>
      <c r="B3031" s="21" t="s">
        <v>1161</v>
      </c>
      <c r="C3031" s="21" t="s">
        <v>1155</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t="s">
        <v>312</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row>
    <row r="3034" spans="1:12">
      <c r="A3034" s="20" t="s">
        <v>2102</v>
      </c>
    </row>
    <row r="3035" spans="1:12">
      <c r="A3035" s="20" t="s">
        <v>1189</v>
      </c>
      <c r="B3035" s="21" t="s">
        <v>1165</v>
      </c>
      <c r="C3035" s="21" t="s">
        <v>1151</v>
      </c>
      <c r="D3035" s="21" t="s">
        <v>1144</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1635</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2103</v>
      </c>
      <c r="B3037" s="21" t="s">
        <v>1154</v>
      </c>
      <c r="C3037" s="21" t="s">
        <v>1187</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t="s">
        <v>1166</v>
      </c>
      <c r="E3038" s="22">
        <f>IF(D3038="?OLD","!!!","")</f>
        <v/>
      </c>
      <c r="F3038" s="23" t="str">
        <f>IF(OR(E3038="",E3038="!!!"),"",IF(NOT(ISNA(VLOOKUP(E3038,E$1:E3037,1,FALSE()))),"OLD",IF(AND(E3038&lt;&gt;"",E3038&lt;&gt;"!!!"),"NEW","")))</f>
        <v> </v>
      </c>
      <c r="G3038" s="24" t="str">
        <f>IF(OR(E3038="",E3038="!!!"),"",IF(OR(J3038=0,AND(J3038=1,K3038=1),AND(J3038=1,I3038="SBJ"),AND(J3038=1,I3038=0)),"?IN_FOCUS",IF(J3038&lt;=2,"?ACTIVATED",IF(J3038&lt;&gt;"","?FAMILIAR",IF(F3038="NEW",IF(ISNA(VLOOKUP(E3038,#REF!,1,FALSE())),"?TYPE_IDENTIFIABLE","?REFERENTIAL"),"_")))))</f>
        <v> </v>
      </c>
      <c r="H3038" s="25" t="str">
        <f>IF(J3038&lt;&gt;1,"",IF(I3038="SBJ","CB","?"))</f>
        <v> </v>
      </c>
      <c r="I3038" s="26" t="str">
        <f>IF(OR(E3038="",E3038="!!!",F3038="NEW"),"",INDEX(B3037:B$2,-1+SUMPRODUCT(MAX(ROW(E3037:E$2)*(E3038=E3037:E$2)))))</f>
        <v> </v>
      </c>
      <c r="J3038" s="26" t="str">
        <f>IF(OR(E3038="",E3038="!!!",F3038="NEW"),"",COUNTBLANK(OFFSET(A$1,,,SUMPRODUCT(MAX(ROW(E$2:E3038)*(E3038=E$2:E3038)))))-COUNTBLANK(OFFSET(A$1,,,SUMPRODUCT(MAX(ROW(E$1:E3037)*(E2=E$1:E3037))))))</f>
        <v> </v>
      </c>
      <c r="K3038" s="26" t="str">
        <f>IF(OR(E3038="",E3038="!!!",F3038="NEW"),"",INDEX(J$1:J3037,SUMPRODUCT(MAX(ROW(E$1:E3037)*(E3038=E$1:E3037)))))</f>
        <v> </v>
      </c>
      <c r="L3038" s="27"/>
    </row>
    <row r="3039" spans="1:12">
      <c r="A3039" s="20" t="s">
        <v>1905</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1308</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31</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312</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row>
    <row r="3044" spans="1:12">
      <c r="A3044" s="20" t="s">
        <v>2104</v>
      </c>
    </row>
    <row r="3045" spans="1:12">
      <c r="A3045" s="20" t="s">
        <v>1918</v>
      </c>
      <c r="B3045" s="21" t="s">
        <v>1165</v>
      </c>
      <c r="C3045" s="21" t="s">
        <v>1143</v>
      </c>
      <c r="D3045" s="21" t="s">
        <v>1144</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1148</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t="s">
        <v>1529</v>
      </c>
      <c r="B3047" s="21" t="s">
        <v>1154</v>
      </c>
      <c r="C3047" s="21" t="s">
        <v>1151</v>
      </c>
      <c r="D3047" s="21" t="s">
        <v>1144</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t="s">
        <v>1354</v>
      </c>
      <c r="B3048" s="21" t="s">
        <v>1161</v>
      </c>
      <c r="C3048" s="21" t="s">
        <v>1172</v>
      </c>
      <c r="D3048" s="21" t="s">
        <v>1144</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t="s">
        <v>2105</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1166</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1203</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1261</v>
      </c>
      <c r="B3052" s="21" t="s">
        <v>1142</v>
      </c>
      <c r="C3052" s="21" t="s">
        <v>1151</v>
      </c>
      <c r="D3052" s="21" t="s">
        <v>1144</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1397</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1152</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2106</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1526</v>
      </c>
      <c r="B3056" s="21" t="s">
        <v>1161</v>
      </c>
      <c r="C3056" s="21" t="s">
        <v>1155</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312</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row>
    <row r="3059" spans="1:12">
      <c r="A3059" s="20" t="s">
        <v>2107</v>
      </c>
    </row>
    <row r="3060" spans="1:12">
      <c r="A3060" s="20" t="s">
        <v>198</v>
      </c>
      <c r="B3060" s="21" t="s">
        <v>1165</v>
      </c>
      <c r="C3060" s="21" t="s">
        <v>1143</v>
      </c>
      <c r="D3060" s="21" t="s">
        <v>1144</v>
      </c>
      <c r="E3060" s="22">
        <f>IF(D3060="?OLD","!!!","")</f>
        <v/>
      </c>
      <c r="F3060" s="23" t="str">
        <f>IF(OR(E3060="",E3060="!!!"),"",IF(NOT(ISNA(VLOOKUP(E3060,E$1:E3059,1,FALSE()))),"OLD",IF(AND(E3060&lt;&gt;"",E3060&lt;&gt;"!!!"),"NEW","")))</f>
        <v> </v>
      </c>
      <c r="G3060" s="24" t="str">
        <f>IF(OR(E3060="",E3060="!!!"),"",IF(OR(J3060=0,AND(J3060=1,K3060=1),AND(J3060=1,I3060="SBJ"),AND(J3060=1,I3060=0)),"?IN_FOCUS",IF(J3060&lt;=2,"?ACTIVATED",IF(J3060&lt;&gt;"","?FAMILIAR",IF(F3060="NEW",IF(ISNA(VLOOKUP(E3060,#REF!,1,FALSE())),"?TYPE_IDENTIFIABLE","?REFERENTIAL"),"_")))))</f>
        <v> </v>
      </c>
      <c r="H3060" s="25" t="str">
        <f>IF(J3060&lt;&gt;1,"",IF(I3060="SBJ","CB","?"))</f>
        <v> </v>
      </c>
      <c r="I3060" s="26" t="str">
        <f>IF(OR(E3060="",E3060="!!!",F3060="NEW"),"",INDEX(B3059:B$2,-1+SUMPRODUCT(MAX(ROW(E3059:E$2)*(E3060=E3059:E$2)))))</f>
        <v> </v>
      </c>
      <c r="J3060" s="26" t="str">
        <f>IF(OR(E3060="",E3060="!!!",F3060="NEW"),"",COUNTBLANK(OFFSET(A$1,,,SUMPRODUCT(MAX(ROW(E$2:E3060)*(E3060=E$2:E3060)))))-COUNTBLANK(OFFSET(A$1,,,SUMPRODUCT(MAX(ROW(E$1:E3059)*(E2=E$1:E3059))))))</f>
        <v> </v>
      </c>
      <c r="K3060" s="26" t="str">
        <f>IF(OR(E3060="",E3060="!!!",F3060="NEW"),"",INDEX(J$1:J3059,SUMPRODUCT(MAX(ROW(E$1:E3059)*(E3060=E$1:E3059)))))</f>
        <v> </v>
      </c>
      <c r="L3060" s="27"/>
    </row>
    <row r="3061" spans="1:12">
      <c r="A3061" s="20" t="s">
        <v>1146</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1417</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2108</v>
      </c>
      <c r="B3063" s="21" t="s">
        <v>1171</v>
      </c>
      <c r="C3063" s="21" t="s">
        <v>1162</v>
      </c>
      <c r="D3063" s="21" t="s">
        <v>1144</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1301</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2109</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312</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row>
    <row r="3068" spans="1:12">
      <c r="A3068" s="20" t="s">
        <v>2110</v>
      </c>
    </row>
    <row r="3069" spans="1:12">
      <c r="A3069" s="20" t="s">
        <v>308</v>
      </c>
      <c r="B3069" s="21" t="s">
        <v>1161</v>
      </c>
      <c r="C3069" s="21" t="s">
        <v>1187</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1146</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1283</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1284</v>
      </c>
      <c r="B3072" s="21" t="s">
        <v>1142</v>
      </c>
      <c r="C3072" s="21" t="s">
        <v>1162</v>
      </c>
      <c r="D3072" s="21" t="s">
        <v>1144</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1440</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1367</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2111</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312</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row>
    <row r="3078" spans="1:12">
      <c r="A3078" s="20" t="s">
        <v>2112</v>
      </c>
    </row>
    <row r="3079" spans="1:12">
      <c r="A3079" s="20" t="s">
        <v>1217</v>
      </c>
      <c r="B3079" s="21" t="s">
        <v>1165</v>
      </c>
      <c r="C3079" s="21" t="s">
        <v>1168</v>
      </c>
      <c r="D3079" s="21" t="s">
        <v>1144</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t="s">
        <v>165</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t="s">
        <v>2113</v>
      </c>
      <c r="B3081" s="21" t="s">
        <v>1154</v>
      </c>
      <c r="C3081" s="21" t="s">
        <v>1187</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1203</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t="s">
        <v>2114</v>
      </c>
      <c r="B3083" s="21" t="s">
        <v>1171</v>
      </c>
      <c r="C3083" s="21" t="s">
        <v>1187</v>
      </c>
      <c r="E3083" s="22">
        <f>IF(D3083="?OLD","!!!","")</f>
        <v/>
      </c>
      <c r="F3083" s="23" t="str">
        <f>IF(OR(E3083="",E3083="!!!"),"",IF(NOT(ISNA(VLOOKUP(E3083,E$1:E3082,1,FALSE()))),"OLD",IF(AND(E3083&lt;&gt;"",E3083&lt;&gt;"!!!"),"NEW","")))</f>
        <v> </v>
      </c>
      <c r="G3083" s="24" t="str">
        <f>IF(OR(E3083="",E3083="!!!"),"",IF(OR(J3083=0,AND(J3083=1,K3083=1),AND(J3083=1,I3083="SBJ"),AND(J3083=1,I3083=0)),"?IN_FOCUS",IF(J3083&lt;=2,"?ACTIVATED",IF(J3083&lt;&gt;"","?FAMILIAR",IF(F3083="NEW",IF(ISNA(VLOOKUP(E3083,#REF!,1,FALSE())),"?TYPE_IDENTIFIABLE","?REFERENTIAL"),"_")))))</f>
        <v> </v>
      </c>
      <c r="H3083" s="25" t="str">
        <f>IF(J3083&lt;&gt;1,"",IF(I3083="SBJ","CB","?"))</f>
        <v> </v>
      </c>
      <c r="I3083" s="26" t="str">
        <f>IF(OR(E3083="",E3083="!!!",F3083="NEW"),"",INDEX(B3082:B$2,-1+SUMPRODUCT(MAX(ROW(E3082:E$2)*(E3083=E3082:E$2)))))</f>
        <v> </v>
      </c>
      <c r="J3083" s="26" t="str">
        <f>IF(OR(E3083="",E3083="!!!",F3083="NEW"),"",COUNTBLANK(OFFSET(A$1,,,SUMPRODUCT(MAX(ROW(E$2:E3083)*(E3083=E$2:E3083)))))-COUNTBLANK(OFFSET(A$1,,,SUMPRODUCT(MAX(ROW(E$1:E3082)*(E2=E$1:E3082))))))</f>
        <v> </v>
      </c>
      <c r="K3083" s="26" t="str">
        <f>IF(OR(E3083="",E3083="!!!",F3083="NEW"),"",INDEX(J$1:J3082,SUMPRODUCT(MAX(ROW(E$1:E3082)*(E3083=E$1:E3082)))))</f>
        <v> </v>
      </c>
      <c r="L3083" s="27"/>
    </row>
    <row r="3084" spans="1:12">
      <c r="A3084" s="20" t="s">
        <v>1387</v>
      </c>
      <c r="E3084" s="22">
        <f>IF(D3084="?OLD","!!!","")</f>
        <v/>
      </c>
      <c r="F3084" s="23" t="str">
        <f>IF(OR(E3084="",E3084="!!!"),"",IF(NOT(ISNA(VLOOKUP(E3084,E$1:E3083,1,FALSE()))),"OLD",IF(AND(E3084&lt;&gt;"",E3084&lt;&gt;"!!!"),"NEW","")))</f>
        <v> </v>
      </c>
      <c r="G3084" s="24" t="str">
        <f>IF(OR(E3084="",E3084="!!!"),"",IF(OR(J3084=0,AND(J3084=1,K3084=1),AND(J3084=1,I3084="SBJ"),AND(J3084=1,I3084=0)),"?IN_FOCUS",IF(J3084&lt;=2,"?ACTIVATED",IF(J3084&lt;&gt;"","?FAMILIAR",IF(F3084="NEW",IF(ISNA(VLOOKUP(E3084,#REF!,1,FALSE())),"?TYPE_IDENTIFIABLE","?REFERENTIAL"),"_")))))</f>
        <v> </v>
      </c>
      <c r="H3084" s="25" t="str">
        <f>IF(J3084&lt;&gt;1,"",IF(I3084="SBJ","CB","?"))</f>
        <v> </v>
      </c>
      <c r="I3084" s="26" t="str">
        <f>IF(OR(E3084="",E3084="!!!",F3084="NEW"),"",INDEX(B3083:B$2,-1+SUMPRODUCT(MAX(ROW(E3083:E$2)*(E3084=E3083:E$2)))))</f>
        <v> </v>
      </c>
      <c r="J3084" s="26" t="str">
        <f>IF(OR(E3084="",E3084="!!!",F3084="NEW"),"",COUNTBLANK(OFFSET(A$1,,,SUMPRODUCT(MAX(ROW(E$2:E3084)*(E3084=E$2:E3084)))))-COUNTBLANK(OFFSET(A$1,,,SUMPRODUCT(MAX(ROW(E$1:E3083)*(E2=E$1:E3083))))))</f>
        <v> </v>
      </c>
      <c r="K3084" s="26" t="str">
        <f>IF(OR(E3084="",E3084="!!!",F3084="NEW"),"",INDEX(J$1:J3083,SUMPRODUCT(MAX(ROW(E$1:E3083)*(E3084=E$1:E3083)))))</f>
        <v> </v>
      </c>
      <c r="L3084" s="27"/>
    </row>
    <row r="3085" spans="1:12">
      <c r="A3085" s="20" t="s">
        <v>2115</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t="s">
        <v>2057</v>
      </c>
      <c r="B3086" s="21" t="s">
        <v>1171</v>
      </c>
      <c r="C3086" s="21" t="s">
        <v>1187</v>
      </c>
      <c r="E3086" s="22">
        <f>IF(D3086="?OLD","!!!","")</f>
        <v/>
      </c>
      <c r="F3086" s="23" t="str">
        <f>IF(OR(E3086="",E3086="!!!"),"",IF(NOT(ISNA(VLOOKUP(E3086,E$1:E3085,1,FALSE()))),"OLD",IF(AND(E3086&lt;&gt;"",E3086&lt;&gt;"!!!"),"NEW","")))</f>
        <v> </v>
      </c>
      <c r="G3086" s="24" t="str">
        <f>IF(OR(E3086="",E3086="!!!"),"",IF(OR(J3086=0,AND(J3086=1,K3086=1),AND(J3086=1,I3086="SBJ"),AND(J3086=1,I3086=0)),"?IN_FOCUS",IF(J3086&lt;=2,"?ACTIVATED",IF(J3086&lt;&gt;"","?FAMILIAR",IF(F3086="NEW",IF(ISNA(VLOOKUP(E3086,#REF!,1,FALSE())),"?TYPE_IDENTIFIABLE","?REFERENTIAL"),"_")))))</f>
        <v> </v>
      </c>
      <c r="H3086" s="25" t="str">
        <f>IF(J3086&lt;&gt;1,"",IF(I3086="SBJ","CB","?"))</f>
        <v> </v>
      </c>
      <c r="I3086" s="26" t="str">
        <f>IF(OR(E3086="",E3086="!!!",F3086="NEW"),"",INDEX(B3085:B$2,-1+SUMPRODUCT(MAX(ROW(E3085:E$2)*(E3086=E3085:E$2)))))</f>
        <v> </v>
      </c>
      <c r="J3086" s="26" t="str">
        <f>IF(OR(E3086="",E3086="!!!",F3086="NEW"),"",COUNTBLANK(OFFSET(A$1,,,SUMPRODUCT(MAX(ROW(E$2:E3086)*(E3086=E$2:E3086)))))-COUNTBLANK(OFFSET(A$1,,,SUMPRODUCT(MAX(ROW(E$1:E3085)*(E2=E$1:E3085))))))</f>
        <v> </v>
      </c>
      <c r="K3086" s="26" t="str">
        <f>IF(OR(E3086="",E3086="!!!",F3086="NEW"),"",INDEX(J$1:J3085,SUMPRODUCT(MAX(ROW(E$1:E3085)*(E3086=E$1:E3085)))))</f>
        <v> </v>
      </c>
      <c r="L3086" s="27"/>
    </row>
    <row r="3087" spans="1:12">
      <c r="A3087" s="20" t="s">
        <v>1166</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1219</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1238</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1261</v>
      </c>
      <c r="B3090" s="21" t="s">
        <v>1142</v>
      </c>
      <c r="C3090" s="21" t="s">
        <v>1151</v>
      </c>
      <c r="D3090" s="21" t="s">
        <v>1144</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1802</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2116</v>
      </c>
      <c r="B3092" s="21" t="s">
        <v>1147</v>
      </c>
      <c r="C3092" s="21" t="s">
        <v>1168</v>
      </c>
      <c r="D3092" s="21" t="s">
        <v>1144</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t="s">
        <v>2013</v>
      </c>
      <c r="B3093" s="21" t="s">
        <v>1150</v>
      </c>
      <c r="C3093" s="21" t="s">
        <v>1187</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t="s">
        <v>1931</v>
      </c>
      <c r="E3094" s="22">
        <f>IF(D3094="?OLD","!!!","")</f>
        <v/>
      </c>
      <c r="F3094" s="23" t="str">
        <f>IF(OR(E3094="",E3094="!!!"),"",IF(NOT(ISNA(VLOOKUP(E3094,E$1:E3093,1,FALSE()))),"OLD",IF(AND(E3094&lt;&gt;"",E3094&lt;&gt;"!!!"),"NEW","")))</f>
        <v> </v>
      </c>
      <c r="G3094" s="24" t="str">
        <f>IF(OR(E3094="",E3094="!!!"),"",IF(OR(J3094=0,AND(J3094=1,K3094=1),AND(J3094=1,I3094="SBJ"),AND(J3094=1,I3094=0)),"?IN_FOCUS",IF(J3094&lt;=2,"?ACTIVATED",IF(J3094&lt;&gt;"","?FAMILIAR",IF(F3094="NEW",IF(ISNA(VLOOKUP(E3094,#REF!,1,FALSE())),"?TYPE_IDENTIFIABLE","?REFERENTIAL"),"_")))))</f>
        <v> </v>
      </c>
      <c r="H3094" s="25" t="str">
        <f>IF(J3094&lt;&gt;1,"",IF(I3094="SBJ","CB","?"))</f>
        <v> </v>
      </c>
      <c r="I3094" s="26" t="str">
        <f>IF(OR(E3094="",E3094="!!!",F3094="NEW"),"",INDEX(B3093:B$2,-1+SUMPRODUCT(MAX(ROW(E3093:E$2)*(E3094=E3093:E$2)))))</f>
        <v> </v>
      </c>
      <c r="J3094" s="26" t="str">
        <f>IF(OR(E3094="",E3094="!!!",F3094="NEW"),"",COUNTBLANK(OFFSET(A$1,,,SUMPRODUCT(MAX(ROW(E$2:E3094)*(E3094=E$2:E3094)))))-COUNTBLANK(OFFSET(A$1,,,SUMPRODUCT(MAX(ROW(E$1:E3093)*(E2=E$1:E3093))))))</f>
        <v> </v>
      </c>
      <c r="K3094" s="26" t="str">
        <f>IF(OR(E3094="",E3094="!!!",F3094="NEW"),"",INDEX(J$1:J3093,SUMPRODUCT(MAX(ROW(E$1:E3093)*(E3094=E$1:E3093)))))</f>
        <v> </v>
      </c>
      <c r="L3094" s="27"/>
    </row>
    <row r="3095" spans="1:12">
      <c r="A3095" s="20" t="s">
        <v>312</v>
      </c>
      <c r="E3095" s="22">
        <f>IF(D3095="?OLD","!!!","")</f>
        <v/>
      </c>
      <c r="F3095" s="23" t="str">
        <f>IF(OR(E3095="",E3095="!!!"),"",IF(NOT(ISNA(VLOOKUP(E3095,E$1:E3094,1,FALSE()))),"OLD",IF(AND(E3095&lt;&gt;"",E3095&lt;&gt;"!!!"),"NEW","")))</f>
        <v> </v>
      </c>
      <c r="G3095" s="24" t="str">
        <f>IF(OR(E3095="",E3095="!!!"),"",IF(OR(J3095=0,AND(J3095=1,K3095=1),AND(J3095=1,I3095="SBJ"),AND(J3095=1,I3095=0)),"?IN_FOCUS",IF(J3095&lt;=2,"?ACTIVATED",IF(J3095&lt;&gt;"","?FAMILIAR",IF(F3095="NEW",IF(ISNA(VLOOKUP(E3095,#REF!,1,FALSE())),"?TYPE_IDENTIFIABLE","?REFERENTIAL"),"_")))))</f>
        <v> </v>
      </c>
      <c r="H3095" s="25" t="str">
        <f>IF(J3095&lt;&gt;1,"",IF(I3095="SBJ","CB","?"))</f>
        <v> </v>
      </c>
      <c r="I3095" s="26" t="str">
        <f>IF(OR(E3095="",E3095="!!!",F3095="NEW"),"",INDEX(B3094:B$2,-1+SUMPRODUCT(MAX(ROW(E3094:E$2)*(E3095=E3094:E$2)))))</f>
        <v> </v>
      </c>
      <c r="J3095" s="26" t="str">
        <f>IF(OR(E3095="",E3095="!!!",F3095="NEW"),"",COUNTBLANK(OFFSET(A$1,,,SUMPRODUCT(MAX(ROW(E$2:E3095)*(E3095=E$2:E3095)))))-COUNTBLANK(OFFSET(A$1,,,SUMPRODUCT(MAX(ROW(E$1:E3094)*(E2=E$1:E3094))))))</f>
        <v> </v>
      </c>
      <c r="K3095" s="26" t="str">
        <f>IF(OR(E3095="",E3095="!!!",F3095="NEW"),"",INDEX(J$1:J3094,SUMPRODUCT(MAX(ROW(E$1:E3094)*(E3095=E$1:E3094)))))</f>
        <v> </v>
      </c>
      <c r="L3095" s="27"/>
    </row>
    <row r="3096" spans="1:12">
      <c r="A3096" s="20"/>
    </row>
    <row r="3097" spans="1:12">
      <c r="A3097" s="20" t="s">
        <v>2117</v>
      </c>
    </row>
    <row r="3098" spans="1:12">
      <c r="A3098" s="20" t="s">
        <v>1300</v>
      </c>
      <c r="B3098" s="21" t="s">
        <v>1165</v>
      </c>
      <c r="C3098" s="21" t="s">
        <v>1151</v>
      </c>
      <c r="D3098" s="21" t="s">
        <v>1144</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1301</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1152</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1307</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t="s">
        <v>2118</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t="s">
        <v>1526</v>
      </c>
      <c r="B3103" s="21" t="s">
        <v>1161</v>
      </c>
      <c r="C3103" s="21" t="s">
        <v>1155</v>
      </c>
      <c r="E3103" s="22">
        <f>IF(D3103="?OLD","!!!","")</f>
        <v/>
      </c>
      <c r="F3103" s="23" t="str">
        <f>IF(OR(E3103="",E3103="!!!"),"",IF(NOT(ISNA(VLOOKUP(E3103,E$1:E3102,1,FALSE()))),"OLD",IF(AND(E3103&lt;&gt;"",E3103&lt;&gt;"!!!"),"NEW","")))</f>
        <v> </v>
      </c>
      <c r="G3103" s="24" t="str">
        <f>IF(OR(E3103="",E3103="!!!"),"",IF(OR(J3103=0,AND(J3103=1,K3103=1),AND(J3103=1,I3103="SBJ"),AND(J3103=1,I3103=0)),"?IN_FOCUS",IF(J3103&lt;=2,"?ACTIVATED",IF(J3103&lt;&gt;"","?FAMILIAR",IF(F3103="NEW",IF(ISNA(VLOOKUP(E3103,#REF!,1,FALSE())),"?TYPE_IDENTIFIABLE","?REFERENTIAL"),"_")))))</f>
        <v> </v>
      </c>
      <c r="H3103" s="25" t="str">
        <f>IF(J3103&lt;&gt;1,"",IF(I3103="SBJ","CB","?"))</f>
        <v> </v>
      </c>
      <c r="I3103" s="26" t="str">
        <f>IF(OR(E3103="",E3103="!!!",F3103="NEW"),"",INDEX(B3102:B$2,-1+SUMPRODUCT(MAX(ROW(E3102:E$2)*(E3103=E3102:E$2)))))</f>
        <v> </v>
      </c>
      <c r="J3103" s="26" t="str">
        <f>IF(OR(E3103="",E3103="!!!",F3103="NEW"),"",COUNTBLANK(OFFSET(A$1,,,SUMPRODUCT(MAX(ROW(E$2:E3103)*(E3103=E$2:E3103)))))-COUNTBLANK(OFFSET(A$1,,,SUMPRODUCT(MAX(ROW(E$1:E3102)*(E2=E$1:E3102))))))</f>
        <v> </v>
      </c>
      <c r="K3103" s="26" t="str">
        <f>IF(OR(E3103="",E3103="!!!",F3103="NEW"),"",INDEX(J$1:J3102,SUMPRODUCT(MAX(ROW(E$1:E3102)*(E3103=E$1:E3102)))))</f>
        <v> </v>
      </c>
      <c r="L3103" s="27"/>
    </row>
    <row r="3104" spans="1:12">
      <c r="A3104" s="20" t="s">
        <v>312</v>
      </c>
      <c r="E3104" s="22">
        <f>IF(D3104="?OLD","!!!","")</f>
        <v/>
      </c>
      <c r="F3104" s="23" t="str">
        <f>IF(OR(E3104="",E3104="!!!"),"",IF(NOT(ISNA(VLOOKUP(E3104,E$1:E3103,1,FALSE()))),"OLD",IF(AND(E3104&lt;&gt;"",E3104&lt;&gt;"!!!"),"NEW","")))</f>
        <v> </v>
      </c>
      <c r="G3104" s="24" t="str">
        <f>IF(OR(E3104="",E3104="!!!"),"",IF(OR(J3104=0,AND(J3104=1,K3104=1),AND(J3104=1,I3104="SBJ"),AND(J3104=1,I3104=0)),"?IN_FOCUS",IF(J3104&lt;=2,"?ACTIVATED",IF(J3104&lt;&gt;"","?FAMILIAR",IF(F3104="NEW",IF(ISNA(VLOOKUP(E3104,#REF!,1,FALSE())),"?TYPE_IDENTIFIABLE","?REFERENTIAL"),"_")))))</f>
        <v> </v>
      </c>
      <c r="H3104" s="25" t="str">
        <f>IF(J3104&lt;&gt;1,"",IF(I3104="SBJ","CB","?"))</f>
        <v> </v>
      </c>
      <c r="I3104" s="26" t="str">
        <f>IF(OR(E3104="",E3104="!!!",F3104="NEW"),"",INDEX(B3103:B$2,-1+SUMPRODUCT(MAX(ROW(E3103:E$2)*(E3104=E3103:E$2)))))</f>
        <v> </v>
      </c>
      <c r="J3104" s="26" t="str">
        <f>IF(OR(E3104="",E3104="!!!",F3104="NEW"),"",COUNTBLANK(OFFSET(A$1,,,SUMPRODUCT(MAX(ROW(E$2:E3104)*(E3104=E$2:E3104)))))-COUNTBLANK(OFFSET(A$1,,,SUMPRODUCT(MAX(ROW(E$1:E3103)*(E2=E$1:E3103))))))</f>
        <v> </v>
      </c>
      <c r="K3104" s="26" t="str">
        <f>IF(OR(E3104="",E3104="!!!",F3104="NEW"),"",INDEX(J$1:J3103,SUMPRODUCT(MAX(ROW(E$1:E3103)*(E3104=E$1:E3103)))))</f>
        <v> </v>
      </c>
      <c r="L3104" s="27"/>
    </row>
    <row r="3105" spans="1:12">
      <c r="A3105" s="20"/>
    </row>
    <row r="3106" spans="1:12">
      <c r="A3106" s="20" t="s">
        <v>2119</v>
      </c>
    </row>
    <row r="3107" spans="1:12">
      <c r="A3107" s="20" t="s">
        <v>198</v>
      </c>
      <c r="B3107" s="21" t="s">
        <v>1165</v>
      </c>
      <c r="C3107" s="21" t="s">
        <v>1143</v>
      </c>
      <c r="D3107" s="21" t="s">
        <v>1144</v>
      </c>
      <c r="E3107" s="22">
        <f>IF(D3107="?OLD","!!!","")</f>
        <v/>
      </c>
      <c r="F3107" s="23" t="str">
        <f>IF(OR(E3107="",E3107="!!!"),"",IF(NOT(ISNA(VLOOKUP(E3107,E$1:E3106,1,FALSE()))),"OLD",IF(AND(E3107&lt;&gt;"",E3107&lt;&gt;"!!!"),"NEW","")))</f>
        <v> </v>
      </c>
      <c r="G3107" s="24" t="str">
        <f>IF(OR(E3107="",E3107="!!!"),"",IF(OR(J3107=0,AND(J3107=1,K3107=1),AND(J3107=1,I3107="SBJ"),AND(J3107=1,I3107=0)),"?IN_FOCUS",IF(J3107&lt;=2,"?ACTIVATED",IF(J3107&lt;&gt;"","?FAMILIAR",IF(F3107="NEW",IF(ISNA(VLOOKUP(E3107,#REF!,1,FALSE())),"?TYPE_IDENTIFIABLE","?REFERENTIAL"),"_")))))</f>
        <v> </v>
      </c>
      <c r="H3107" s="25" t="str">
        <f>IF(J3107&lt;&gt;1,"",IF(I3107="SBJ","CB","?"))</f>
        <v> </v>
      </c>
      <c r="I3107" s="26" t="str">
        <f>IF(OR(E3107="",E3107="!!!",F3107="NEW"),"",INDEX(B3106:B$2,-1+SUMPRODUCT(MAX(ROW(E3106:E$2)*(E3107=E3106:E$2)))))</f>
        <v> </v>
      </c>
      <c r="J3107" s="26" t="str">
        <f>IF(OR(E3107="",E3107="!!!",F3107="NEW"),"",COUNTBLANK(OFFSET(A$1,,,SUMPRODUCT(MAX(ROW(E$2:E3107)*(E3107=E$2:E3107)))))-COUNTBLANK(OFFSET(A$1,,,SUMPRODUCT(MAX(ROW(E$1:E3106)*(E2=E$1:E3106))))))</f>
        <v> </v>
      </c>
      <c r="K3107" s="26" t="str">
        <f>IF(OR(E3107="",E3107="!!!",F3107="NEW"),"",INDEX(J$1:J3106,SUMPRODUCT(MAX(ROW(E$1:E3106)*(E3107=E$1:E3106)))))</f>
        <v> </v>
      </c>
      <c r="L3107" s="27"/>
    </row>
    <row r="3108" spans="1:12">
      <c r="A3108" s="20" t="s">
        <v>1146</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2120</v>
      </c>
      <c r="B3109" s="21" t="s">
        <v>1171</v>
      </c>
      <c r="C3109" s="21" t="s">
        <v>1182</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1159</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1306</v>
      </c>
      <c r="B3111" s="21" t="s">
        <v>1161</v>
      </c>
      <c r="C3111" s="21" t="s">
        <v>1162</v>
      </c>
      <c r="D3111" s="21" t="s">
        <v>1144</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1253</v>
      </c>
      <c r="B3112" s="21" t="s">
        <v>1171</v>
      </c>
      <c r="C3112" s="21" t="s">
        <v>1187</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1146</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t="s">
        <v>2121</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t="s">
        <v>1309</v>
      </c>
      <c r="B3115" s="21" t="s">
        <v>1165</v>
      </c>
      <c r="C3115" s="21" t="s">
        <v>1168</v>
      </c>
      <c r="D3115" s="21" t="s">
        <v>1144</v>
      </c>
      <c r="E3115" s="22">
        <f>IF(D3115="?OLD","!!!","")</f>
        <v/>
      </c>
      <c r="F3115" s="23" t="str">
        <f>IF(OR(E3115="",E3115="!!!"),"",IF(NOT(ISNA(VLOOKUP(E3115,E$1:E3114,1,FALSE()))),"OLD",IF(AND(E3115&lt;&gt;"",E3115&lt;&gt;"!!!"),"NEW","")))</f>
        <v> </v>
      </c>
      <c r="G3115" s="24" t="str">
        <f>IF(OR(E3115="",E3115="!!!"),"",IF(OR(J3115=0,AND(J3115=1,K3115=1),AND(J3115=1,I3115="SBJ"),AND(J3115=1,I3115=0)),"?IN_FOCUS",IF(J3115&lt;=2,"?ACTIVATED",IF(J3115&lt;&gt;"","?FAMILIAR",IF(F3115="NEW",IF(ISNA(VLOOKUP(E3115,#REF!,1,FALSE())),"?TYPE_IDENTIFIABLE","?REFERENTIAL"),"_")))))</f>
        <v> </v>
      </c>
      <c r="H3115" s="25" t="str">
        <f>IF(J3115&lt;&gt;1,"",IF(I3115="SBJ","CB","?"))</f>
        <v> </v>
      </c>
      <c r="I3115" s="26" t="str">
        <f>IF(OR(E3115="",E3115="!!!",F3115="NEW"),"",INDEX(B3114:B$2,-1+SUMPRODUCT(MAX(ROW(E3114:E$2)*(E3115=E3114:E$2)))))</f>
        <v> </v>
      </c>
      <c r="J3115" s="26" t="str">
        <f>IF(OR(E3115="",E3115="!!!",F3115="NEW"),"",COUNTBLANK(OFFSET(A$1,,,SUMPRODUCT(MAX(ROW(E$2:E3115)*(E3115=E$2:E3115)))))-COUNTBLANK(OFFSET(A$1,,,SUMPRODUCT(MAX(ROW(E$1:E3114)*(E2=E$1:E3114))))))</f>
        <v> </v>
      </c>
      <c r="K3115" s="26" t="str">
        <f>IF(OR(E3115="",E3115="!!!",F3115="NEW"),"",INDEX(J$1:J3114,SUMPRODUCT(MAX(ROW(E$1:E3114)*(E3115=E$1:E3114)))))</f>
        <v> </v>
      </c>
      <c r="L3115" s="27"/>
    </row>
    <row r="3116" spans="1:12">
      <c r="A3116" s="20" t="s">
        <v>1593</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t="s">
        <v>1261</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242</v>
      </c>
      <c r="B3118" s="21" t="s">
        <v>1165</v>
      </c>
      <c r="C3118" s="21" t="s">
        <v>1151</v>
      </c>
      <c r="D3118" s="21" t="s">
        <v>1144</v>
      </c>
      <c r="E3118" s="22">
        <f>IF(D3118="?OLD","!!!","")</f>
        <v/>
      </c>
      <c r="F3118" s="23" t="str">
        <f>IF(OR(E3118="",E3118="!!!"),"",IF(NOT(ISNA(VLOOKUP(E3118,E$1:E3117,1,FALSE()))),"OLD",IF(AND(E3118&lt;&gt;"",E3118&lt;&gt;"!!!"),"NEW","")))</f>
        <v> </v>
      </c>
      <c r="G3118" s="24" t="str">
        <f>IF(OR(E3118="",E3118="!!!"),"",IF(OR(J3118=0,AND(J3118=1,K3118=1),AND(J3118=1,I3118="SBJ"),AND(J3118=1,I3118=0)),"?IN_FOCUS",IF(J3118&lt;=2,"?ACTIVATED",IF(J3118&lt;&gt;"","?FAMILIAR",IF(F3118="NEW",IF(ISNA(VLOOKUP(E3118,#REF!,1,FALSE())),"?TYPE_IDENTIFIABLE","?REFERENTIAL"),"_")))))</f>
        <v> </v>
      </c>
      <c r="H3118" s="25" t="str">
        <f>IF(J3118&lt;&gt;1,"",IF(I3118="SBJ","CB","?"))</f>
        <v> </v>
      </c>
      <c r="I3118" s="26" t="str">
        <f>IF(OR(E3118="",E3118="!!!",F3118="NEW"),"",INDEX(B3117:B$2,-1+SUMPRODUCT(MAX(ROW(E3117:E$2)*(E3118=E3117:E$2)))))</f>
        <v> </v>
      </c>
      <c r="J3118" s="26" t="str">
        <f>IF(OR(E3118="",E3118="!!!",F3118="NEW"),"",COUNTBLANK(OFFSET(A$1,,,SUMPRODUCT(MAX(ROW(E$2:E3118)*(E3118=E$2:E3118)))))-COUNTBLANK(OFFSET(A$1,,,SUMPRODUCT(MAX(ROW(E$1:E3117)*(E2=E$1:E3117))))))</f>
        <v> </v>
      </c>
      <c r="K3118" s="26" t="str">
        <f>IF(OR(E3118="",E3118="!!!",F3118="NEW"),"",INDEX(J$1:J3117,SUMPRODUCT(MAX(ROW(E$1:E3117)*(E3118=E$1:E3117)))))</f>
        <v> </v>
      </c>
      <c r="L3118" s="27"/>
    </row>
    <row r="3119" spans="1:12">
      <c r="A3119" s="20" t="s">
        <v>1994</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2122</v>
      </c>
      <c r="B3120" s="21" t="s">
        <v>1171</v>
      </c>
      <c r="C3120" s="21" t="s">
        <v>1143</v>
      </c>
      <c r="D3120" s="21" t="s">
        <v>1144</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1263</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row>
    <row r="3123" spans="1:12">
      <c r="A3123" s="20" t="s">
        <v>2123</v>
      </c>
    </row>
    <row r="3124" spans="1:12">
      <c r="A3124" s="20" t="s">
        <v>308</v>
      </c>
      <c r="B3124" s="21" t="s">
        <v>1165</v>
      </c>
      <c r="C3124" s="21" t="s">
        <v>1143</v>
      </c>
      <c r="D3124" s="21" t="s">
        <v>1144</v>
      </c>
      <c r="E3124" s="22">
        <f>IF(D3124="?OLD","!!!","")</f>
        <v/>
      </c>
      <c r="F3124" s="23" t="str">
        <f>IF(OR(E3124="",E3124="!!!"),"",IF(NOT(ISNA(VLOOKUP(E3124,E$1:E3123,1,FALSE()))),"OLD",IF(AND(E3124&lt;&gt;"",E3124&lt;&gt;"!!!"),"NEW","")))</f>
        <v> </v>
      </c>
      <c r="G3124" s="24" t="str">
        <f>IF(OR(E3124="",E3124="!!!"),"",IF(OR(J3124=0,AND(J3124=1,K3124=1),AND(J3124=1,I3124="SBJ"),AND(J3124=1,I3124=0)),"?IN_FOCUS",IF(J3124&lt;=2,"?ACTIVATED",IF(J3124&lt;&gt;"","?FAMILIAR",IF(F3124="NEW",IF(ISNA(VLOOKUP(E3124,#REF!,1,FALSE())),"?TYPE_IDENTIFIABLE","?REFERENTIAL"),"_")))))</f>
        <v> </v>
      </c>
      <c r="H3124" s="25" t="str">
        <f>IF(J3124&lt;&gt;1,"",IF(I3124="SBJ","CB","?"))</f>
        <v> </v>
      </c>
      <c r="I3124" s="26" t="str">
        <f>IF(OR(E3124="",E3124="!!!",F3124="NEW"),"",INDEX(B3123:B$2,-1+SUMPRODUCT(MAX(ROW(E3123:E$2)*(E3124=E3123:E$2)))))</f>
        <v> </v>
      </c>
      <c r="J3124" s="26" t="str">
        <f>IF(OR(E3124="",E3124="!!!",F3124="NEW"),"",COUNTBLANK(OFFSET(A$1,,,SUMPRODUCT(MAX(ROW(E$2:E3124)*(E3124=E$2:E3124)))))-COUNTBLANK(OFFSET(A$1,,,SUMPRODUCT(MAX(ROW(E$1:E3123)*(E2=E$1:E3123))))))</f>
        <v> </v>
      </c>
      <c r="K3124" s="26" t="str">
        <f>IF(OR(E3124="",E3124="!!!",F3124="NEW"),"",INDEX(J$1:J3123,SUMPRODUCT(MAX(ROW(E$1:E3123)*(E3124=E$1:E3123)))))</f>
        <v> </v>
      </c>
      <c r="L3124" s="27"/>
    </row>
    <row r="3125" spans="1:12">
      <c r="A3125" s="20" t="s">
        <v>1146</v>
      </c>
      <c r="E3125" s="22">
        <f>IF(D3125="?OLD","!!!","")</f>
        <v/>
      </c>
      <c r="F3125" s="23" t="str">
        <f>IF(OR(E3125="",E3125="!!!"),"",IF(NOT(ISNA(VLOOKUP(E3125,E$1:E3124,1,FALSE()))),"OLD",IF(AND(E3125&lt;&gt;"",E3125&lt;&gt;"!!!"),"NEW","")))</f>
        <v> </v>
      </c>
      <c r="G3125" s="24" t="str">
        <f>IF(OR(E3125="",E3125="!!!"),"",IF(OR(J3125=0,AND(J3125=1,K3125=1),AND(J3125=1,I3125="SBJ"),AND(J3125=1,I3125=0)),"?IN_FOCUS",IF(J3125&lt;=2,"?ACTIVATED",IF(J3125&lt;&gt;"","?FAMILIAR",IF(F3125="NEW",IF(ISNA(VLOOKUP(E3125,#REF!,1,FALSE())),"?TYPE_IDENTIFIABLE","?REFERENTIAL"),"_")))))</f>
        <v> </v>
      </c>
      <c r="H3125" s="25" t="str">
        <f>IF(J3125&lt;&gt;1,"",IF(I3125="SBJ","CB","?"))</f>
        <v> </v>
      </c>
      <c r="I3125" s="26" t="str">
        <f>IF(OR(E3125="",E3125="!!!",F3125="NEW"),"",INDEX(B3124:B$2,-1+SUMPRODUCT(MAX(ROW(E3124:E$2)*(E3125=E3124:E$2)))))</f>
        <v> </v>
      </c>
      <c r="J3125" s="26" t="str">
        <f>IF(OR(E3125="",E3125="!!!",F3125="NEW"),"",COUNTBLANK(OFFSET(A$1,,,SUMPRODUCT(MAX(ROW(E$2:E3125)*(E3125=E$2:E3125)))))-COUNTBLANK(OFFSET(A$1,,,SUMPRODUCT(MAX(ROW(E$1:E3124)*(E2=E$1:E3124))))))</f>
        <v> </v>
      </c>
      <c r="K3125" s="26" t="str">
        <f>IF(OR(E3125="",E3125="!!!",F3125="NEW"),"",INDEX(J$1:J3124,SUMPRODUCT(MAX(ROW(E$1:E3124)*(E3125=E$1:E3124)))))</f>
        <v> </v>
      </c>
      <c r="L3125" s="27"/>
    </row>
    <row r="3126" spans="1:12">
      <c r="A3126" s="20" t="s">
        <v>1605</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t="s">
        <v>1166</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t="s">
        <v>1198</v>
      </c>
      <c r="B3128" s="21" t="s">
        <v>1142</v>
      </c>
      <c r="C3128" s="21" t="s">
        <v>1151</v>
      </c>
      <c r="D3128" s="21" t="s">
        <v>1144</v>
      </c>
      <c r="E3128" s="22">
        <f>IF(D3128="?OLD","!!!","")</f>
        <v/>
      </c>
      <c r="F3128" s="23" t="str">
        <f>IF(OR(E3128="",E3128="!!!"),"",IF(NOT(ISNA(VLOOKUP(E3128,E$1:E3127,1,FALSE()))),"OLD",IF(AND(E3128&lt;&gt;"",E3128&lt;&gt;"!!!"),"NEW","")))</f>
        <v> </v>
      </c>
      <c r="G3128" s="24" t="str">
        <f>IF(OR(E3128="",E3128="!!!"),"",IF(OR(J3128=0,AND(J3128=1,K3128=1),AND(J3128=1,I3128="SBJ"),AND(J3128=1,I3128=0)),"?IN_FOCUS",IF(J3128&lt;=2,"?ACTIVATED",IF(J3128&lt;&gt;"","?FAMILIAR",IF(F3128="NEW",IF(ISNA(VLOOKUP(E3128,#REF!,1,FALSE())),"?TYPE_IDENTIFIABLE","?REFERENTIAL"),"_")))))</f>
        <v> </v>
      </c>
      <c r="H3128" s="25" t="str">
        <f>IF(J3128&lt;&gt;1,"",IF(I3128="SBJ","CB","?"))</f>
        <v> </v>
      </c>
      <c r="I3128" s="26" t="str">
        <f>IF(OR(E3128="",E3128="!!!",F3128="NEW"),"",INDEX(B3127:B$2,-1+SUMPRODUCT(MAX(ROW(E3127:E$2)*(E3128=E3127:E$2)))))</f>
        <v> </v>
      </c>
      <c r="J3128" s="26" t="str">
        <f>IF(OR(E3128="",E3128="!!!",F3128="NEW"),"",COUNTBLANK(OFFSET(A$1,,,SUMPRODUCT(MAX(ROW(E$2:E3128)*(E3128=E$2:E3128)))))-COUNTBLANK(OFFSET(A$1,,,SUMPRODUCT(MAX(ROW(E$1:E3127)*(E2=E$1:E3127))))))</f>
        <v> </v>
      </c>
      <c r="K3128" s="26" t="str">
        <f>IF(OR(E3128="",E3128="!!!",F3128="NEW"),"",INDEX(J$1:J3127,SUMPRODUCT(MAX(ROW(E$1:E3127)*(E3128=E$1:E3127)))))</f>
        <v> </v>
      </c>
      <c r="L3128" s="27"/>
    </row>
    <row r="3129" spans="1:12">
      <c r="A3129" s="20" t="s">
        <v>1397</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t="s">
        <v>1457</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2124</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1166</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t="s">
        <v>1210</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t="s">
        <v>1198</v>
      </c>
      <c r="B3134" s="21" t="s">
        <v>1142</v>
      </c>
      <c r="C3134" s="21" t="s">
        <v>1151</v>
      </c>
      <c r="D3134" s="21" t="s">
        <v>1144</v>
      </c>
      <c r="E3134" s="22">
        <f>IF(D3134="?OLD","!!!","")</f>
        <v/>
      </c>
      <c r="F3134" s="23" t="str">
        <f>IF(OR(E3134="",E3134="!!!"),"",IF(NOT(ISNA(VLOOKUP(E3134,E$1:E3133,1,FALSE()))),"OLD",IF(AND(E3134&lt;&gt;"",E3134&lt;&gt;"!!!"),"NEW","")))</f>
        <v> </v>
      </c>
      <c r="G3134" s="24" t="str">
        <f>IF(OR(E3134="",E3134="!!!"),"",IF(OR(J3134=0,AND(J3134=1,K3134=1),AND(J3134=1,I3134="SBJ"),AND(J3134=1,I3134=0)),"?IN_FOCUS",IF(J3134&lt;=2,"?ACTIVATED",IF(J3134&lt;&gt;"","?FAMILIAR",IF(F3134="NEW",IF(ISNA(VLOOKUP(E3134,#REF!,1,FALSE())),"?TYPE_IDENTIFIABLE","?REFERENTIAL"),"_")))))</f>
        <v> </v>
      </c>
      <c r="H3134" s="25" t="str">
        <f>IF(J3134&lt;&gt;1,"",IF(I3134="SBJ","CB","?"))</f>
        <v> </v>
      </c>
      <c r="I3134" s="26" t="str">
        <f>IF(OR(E3134="",E3134="!!!",F3134="NEW"),"",INDEX(B3133:B$2,-1+SUMPRODUCT(MAX(ROW(E3133:E$2)*(E3134=E3133:E$2)))))</f>
        <v> </v>
      </c>
      <c r="J3134" s="26" t="str">
        <f>IF(OR(E3134="",E3134="!!!",F3134="NEW"),"",COUNTBLANK(OFFSET(A$1,,,SUMPRODUCT(MAX(ROW(E$2:E3134)*(E3134=E$2:E3134)))))-COUNTBLANK(OFFSET(A$1,,,SUMPRODUCT(MAX(ROW(E$1:E3133)*(E2=E$1:E3133))))))</f>
        <v> </v>
      </c>
      <c r="K3134" s="26" t="str">
        <f>IF(OR(E3134="",E3134="!!!",F3134="NEW"),"",INDEX(J$1:J3133,SUMPRODUCT(MAX(ROW(E$1:E3133)*(E3134=E$1:E3133)))))</f>
        <v> </v>
      </c>
      <c r="L3134" s="27"/>
    </row>
    <row r="3135" spans="1:12">
      <c r="A3135" s="20" t="s">
        <v>1339</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2125</v>
      </c>
      <c r="B3136" s="21" t="s">
        <v>1171</v>
      </c>
      <c r="C3136" s="21" t="s">
        <v>1143</v>
      </c>
      <c r="D3136" s="21" t="s">
        <v>1144</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1339</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t="s">
        <v>1159</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2126</v>
      </c>
      <c r="B3139" s="21" t="s">
        <v>1171</v>
      </c>
      <c r="C3139" s="21" t="s">
        <v>1162</v>
      </c>
      <c r="D3139" s="21" t="s">
        <v>1144</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t="s">
        <v>1397</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t="s">
        <v>312</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row>
    <row r="3143" spans="1:12">
      <c r="A3143" s="20" t="s">
        <v>2127</v>
      </c>
    </row>
    <row r="3144" spans="1:12">
      <c r="A3144" s="20" t="s">
        <v>1189</v>
      </c>
      <c r="B3144" s="21" t="s">
        <v>1165</v>
      </c>
      <c r="C3144" s="21" t="s">
        <v>1151</v>
      </c>
      <c r="D3144" s="21" t="s">
        <v>1144</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2128</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t="s">
        <v>1387</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1159</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2129</v>
      </c>
      <c r="B3148" s="21" t="s">
        <v>1161</v>
      </c>
      <c r="C3148" s="21" t="s">
        <v>1162</v>
      </c>
      <c r="D3148" s="21" t="s">
        <v>1144</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761</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1166</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1203</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1518</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t="s">
        <v>2130</v>
      </c>
      <c r="B3153" s="21" t="s">
        <v>1171</v>
      </c>
      <c r="C3153" s="21" t="s">
        <v>1151</v>
      </c>
      <c r="D3153" s="21" t="s">
        <v>1144</v>
      </c>
      <c r="E3153" s="22">
        <f>IF(D3153="?OLD","!!!","")</f>
        <v/>
      </c>
      <c r="F3153" s="23" t="str">
        <f>IF(OR(E3153="",E3153="!!!"),"",IF(NOT(ISNA(VLOOKUP(E3153,E$1:E3152,1,FALSE()))),"OLD",IF(AND(E3153&lt;&gt;"",E3153&lt;&gt;"!!!"),"NEW","")))</f>
        <v> </v>
      </c>
      <c r="G3153" s="24" t="str">
        <f>IF(OR(E3153="",E3153="!!!"),"",IF(OR(J3153=0,AND(J3153=1,K3153=1),AND(J3153=1,I3153="SBJ"),AND(J3153=1,I3153=0)),"?IN_FOCUS",IF(J3153&lt;=2,"?ACTIVATED",IF(J3153&lt;&gt;"","?FAMILIAR",IF(F3153="NEW",IF(ISNA(VLOOKUP(E3153,#REF!,1,FALSE())),"?TYPE_IDENTIFIABLE","?REFERENTIAL"),"_")))))</f>
        <v> </v>
      </c>
      <c r="H3153" s="25" t="str">
        <f>IF(J3153&lt;&gt;1,"",IF(I3153="SBJ","CB","?"))</f>
        <v> </v>
      </c>
      <c r="I3153" s="26" t="str">
        <f>IF(OR(E3153="",E3153="!!!",F3153="NEW"),"",INDEX(B3152:B$2,-1+SUMPRODUCT(MAX(ROW(E3152:E$2)*(E3153=E3152:E$2)))))</f>
        <v> </v>
      </c>
      <c r="J3153" s="26" t="str">
        <f>IF(OR(E3153="",E3153="!!!",F3153="NEW"),"",COUNTBLANK(OFFSET(A$1,,,SUMPRODUCT(MAX(ROW(E$2:E3153)*(E3153=E$2:E3153)))))-COUNTBLANK(OFFSET(A$1,,,SUMPRODUCT(MAX(ROW(E$1:E3152)*(E2=E$1:E3152))))))</f>
        <v> </v>
      </c>
      <c r="K3153" s="26" t="str">
        <f>IF(OR(E3153="",E3153="!!!",F3153="NEW"),"",INDEX(J$1:J3152,SUMPRODUCT(MAX(ROW(E$1:E3152)*(E3153=E$1:E3152)))))</f>
        <v> </v>
      </c>
      <c r="L3153" s="27"/>
    </row>
    <row r="3154" spans="1:12">
      <c r="A3154" s="20" t="s">
        <v>2131</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t="s">
        <v>312</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row>
    <row r="3157" spans="1:12">
      <c r="A3157" s="20" t="s">
        <v>2132</v>
      </c>
    </row>
    <row r="3158" spans="1:12">
      <c r="A3158" s="20" t="s">
        <v>1300</v>
      </c>
      <c r="B3158" s="21" t="s">
        <v>1165</v>
      </c>
      <c r="C3158" s="21" t="s">
        <v>1151</v>
      </c>
      <c r="D3158" s="21" t="s">
        <v>1144</v>
      </c>
      <c r="E3158" s="22">
        <f>IF(D3158="?OLD","!!!","")</f>
        <v/>
      </c>
      <c r="F3158" s="23" t="str">
        <f>IF(OR(E3158="",E3158="!!!"),"",IF(NOT(ISNA(VLOOKUP(E3158,E$1:E3157,1,FALSE()))),"OLD",IF(AND(E3158&lt;&gt;"",E3158&lt;&gt;"!!!"),"NEW","")))</f>
        <v> </v>
      </c>
      <c r="G3158" s="24" t="str">
        <f>IF(OR(E3158="",E3158="!!!"),"",IF(OR(J3158=0,AND(J3158=1,K3158=1),AND(J3158=1,I3158="SBJ"),AND(J3158=1,I3158=0)),"?IN_FOCUS",IF(J3158&lt;=2,"?ACTIVATED",IF(J3158&lt;&gt;"","?FAMILIAR",IF(F3158="NEW",IF(ISNA(VLOOKUP(E3158,#REF!,1,FALSE())),"?TYPE_IDENTIFIABLE","?REFERENTIAL"),"_")))))</f>
        <v> </v>
      </c>
      <c r="H3158" s="25" t="str">
        <f>IF(J3158&lt;&gt;1,"",IF(I3158="SBJ","CB","?"))</f>
        <v> </v>
      </c>
      <c r="I3158" s="26" t="str">
        <f>IF(OR(E3158="",E3158="!!!",F3158="NEW"),"",INDEX(B3157:B$2,-1+SUMPRODUCT(MAX(ROW(E3157:E$2)*(E3158=E3157:E$2)))))</f>
        <v> </v>
      </c>
      <c r="J3158" s="26" t="str">
        <f>IF(OR(E3158="",E3158="!!!",F3158="NEW"),"",COUNTBLANK(OFFSET(A$1,,,SUMPRODUCT(MAX(ROW(E$2:E3158)*(E3158=E$2:E3158)))))-COUNTBLANK(OFFSET(A$1,,,SUMPRODUCT(MAX(ROW(E$1:E3157)*(E2=E$1:E3157))))))</f>
        <v> </v>
      </c>
      <c r="K3158" s="26" t="str">
        <f>IF(OR(E3158="",E3158="!!!",F3158="NEW"),"",INDEX(J$1:J3157,SUMPRODUCT(MAX(ROW(E$1:E3157)*(E3158=E$1:E3157)))))</f>
        <v> </v>
      </c>
      <c r="L3158" s="27"/>
    </row>
    <row r="3159" spans="1:12">
      <c r="A3159" s="20" t="s">
        <v>1397</v>
      </c>
      <c r="E3159" s="22">
        <f>IF(D3159="?OLD","!!!","")</f>
        <v/>
      </c>
      <c r="F3159" s="23" t="str">
        <f>IF(OR(E3159="",E3159="!!!"),"",IF(NOT(ISNA(VLOOKUP(E3159,E$1:E3158,1,FALSE()))),"OLD",IF(AND(E3159&lt;&gt;"",E3159&lt;&gt;"!!!"),"NEW","")))</f>
        <v> </v>
      </c>
      <c r="G3159" s="24" t="str">
        <f>IF(OR(E3159="",E3159="!!!"),"",IF(OR(J3159=0,AND(J3159=1,K3159=1),AND(J3159=1,I3159="SBJ"),AND(J3159=1,I3159=0)),"?IN_FOCUS",IF(J3159&lt;=2,"?ACTIVATED",IF(J3159&lt;&gt;"","?FAMILIAR",IF(F3159="NEW",IF(ISNA(VLOOKUP(E3159,#REF!,1,FALSE())),"?TYPE_IDENTIFIABLE","?REFERENTIAL"),"_")))))</f>
        <v> </v>
      </c>
      <c r="H3159" s="25" t="str">
        <f>IF(J3159&lt;&gt;1,"",IF(I3159="SBJ","CB","?"))</f>
        <v> </v>
      </c>
      <c r="I3159" s="26" t="str">
        <f>IF(OR(E3159="",E3159="!!!",F3159="NEW"),"",INDEX(B3158:B$2,-1+SUMPRODUCT(MAX(ROW(E3158:E$2)*(E3159=E3158:E$2)))))</f>
        <v> </v>
      </c>
      <c r="J3159" s="26" t="str">
        <f>IF(OR(E3159="",E3159="!!!",F3159="NEW"),"",COUNTBLANK(OFFSET(A$1,,,SUMPRODUCT(MAX(ROW(E$2:E3159)*(E3159=E$2:E3159)))))-COUNTBLANK(OFFSET(A$1,,,SUMPRODUCT(MAX(ROW(E$1:E3158)*(E2=E$1:E3158))))))</f>
        <v> </v>
      </c>
      <c r="K3159" s="26" t="str">
        <f>IF(OR(E3159="",E3159="!!!",F3159="NEW"),"",INDEX(J$1:J3158,SUMPRODUCT(MAX(ROW(E$1:E3158)*(E3159=E$1:E3158)))))</f>
        <v> </v>
      </c>
      <c r="L3159" s="27"/>
    </row>
    <row r="3160" spans="1:12">
      <c r="A3160" s="20" t="s">
        <v>2133</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1203</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1261</v>
      </c>
      <c r="B3162" s="21" t="s">
        <v>1150</v>
      </c>
      <c r="C3162" s="21" t="s">
        <v>1151</v>
      </c>
      <c r="D3162" s="21" t="s">
        <v>1144</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2134</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t="s">
        <v>312</v>
      </c>
      <c r="E3164" s="22">
        <f>IF(D3164="?OLD","!!!","")</f>
        <v/>
      </c>
      <c r="F3164" s="23" t="str">
        <f>IF(OR(E3164="",E3164="!!!"),"",IF(NOT(ISNA(VLOOKUP(E3164,E$1:E3163,1,FALSE()))),"OLD",IF(AND(E3164&lt;&gt;"",E3164&lt;&gt;"!!!"),"NEW","")))</f>
        <v> </v>
      </c>
      <c r="G3164" s="24" t="str">
        <f>IF(OR(E3164="",E3164="!!!"),"",IF(OR(J3164=0,AND(J3164=1,K3164=1),AND(J3164=1,I3164="SBJ"),AND(J3164=1,I3164=0)),"?IN_FOCUS",IF(J3164&lt;=2,"?ACTIVATED",IF(J3164&lt;&gt;"","?FAMILIAR",IF(F3164="NEW",IF(ISNA(VLOOKUP(E3164,#REF!,1,FALSE())),"?TYPE_IDENTIFIABLE","?REFERENTIAL"),"_")))))</f>
        <v> </v>
      </c>
      <c r="H3164" s="25" t="str">
        <f>IF(J3164&lt;&gt;1,"",IF(I3164="SBJ","CB","?"))</f>
        <v> </v>
      </c>
      <c r="I3164" s="26" t="str">
        <f>IF(OR(E3164="",E3164="!!!",F3164="NEW"),"",INDEX(B3163:B$2,-1+SUMPRODUCT(MAX(ROW(E3163:E$2)*(E3164=E3163:E$2)))))</f>
        <v> </v>
      </c>
      <c r="J3164" s="26" t="str">
        <f>IF(OR(E3164="",E3164="!!!",F3164="NEW"),"",COUNTBLANK(OFFSET(A$1,,,SUMPRODUCT(MAX(ROW(E$2:E3164)*(E3164=E$2:E3164)))))-COUNTBLANK(OFFSET(A$1,,,SUMPRODUCT(MAX(ROW(E$1:E3163)*(E2=E$1:E3163))))))</f>
        <v> </v>
      </c>
      <c r="K3164" s="26" t="str">
        <f>IF(OR(E3164="",E3164="!!!",F3164="NEW"),"",INDEX(J$1:J3163,SUMPRODUCT(MAX(ROW(E$1:E3163)*(E3164=E$1:E3163)))))</f>
        <v> </v>
      </c>
      <c r="L3164" s="27"/>
    </row>
    <row r="3165" spans="1:12">
      <c r="A3165" s="20"/>
    </row>
    <row r="3166" spans="1:12">
      <c r="A3166" s="20" t="s">
        <v>2135</v>
      </c>
    </row>
    <row r="3167" spans="1:12">
      <c r="A3167" s="20" t="s">
        <v>1189</v>
      </c>
      <c r="B3167" s="21" t="s">
        <v>1165</v>
      </c>
      <c r="C3167" s="21" t="s">
        <v>1151</v>
      </c>
      <c r="D3167" s="21" t="s">
        <v>1144</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1543</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2136</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1166</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1309</v>
      </c>
      <c r="B3171" s="21" t="s">
        <v>1150</v>
      </c>
      <c r="C3171" s="21" t="s">
        <v>1168</v>
      </c>
      <c r="D3171" s="21" t="s">
        <v>1144</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1164</v>
      </c>
      <c r="B3172" s="21" t="s">
        <v>1142</v>
      </c>
      <c r="C3172" s="21" t="s">
        <v>1151</v>
      </c>
      <c r="D3172" s="21" t="s">
        <v>1144</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t="s">
        <v>2137</v>
      </c>
      <c r="E3173" s="22">
        <f>IF(D3173="?OLD","!!!","")</f>
        <v/>
      </c>
      <c r="F3173" s="23" t="str">
        <f>IF(OR(E3173="",E3173="!!!"),"",IF(NOT(ISNA(VLOOKUP(E3173,E$1:E3172,1,FALSE()))),"OLD",IF(AND(E3173&lt;&gt;"",E3173&lt;&gt;"!!!"),"NEW","")))</f>
        <v> </v>
      </c>
      <c r="G3173" s="24" t="str">
        <f>IF(OR(E3173="",E3173="!!!"),"",IF(OR(J3173=0,AND(J3173=1,K3173=1),AND(J3173=1,I3173="SBJ"),AND(J3173=1,I3173=0)),"?IN_FOCUS",IF(J3173&lt;=2,"?ACTIVATED",IF(J3173&lt;&gt;"","?FAMILIAR",IF(F3173="NEW",IF(ISNA(VLOOKUP(E3173,#REF!,1,FALSE())),"?TYPE_IDENTIFIABLE","?REFERENTIAL"),"_")))))</f>
        <v> </v>
      </c>
      <c r="H3173" s="25" t="str">
        <f>IF(J3173&lt;&gt;1,"",IF(I3173="SBJ","CB","?"))</f>
        <v> </v>
      </c>
      <c r="I3173" s="26" t="str">
        <f>IF(OR(E3173="",E3173="!!!",F3173="NEW"),"",INDEX(B3172:B$2,-1+SUMPRODUCT(MAX(ROW(E3172:E$2)*(E3173=E3172:E$2)))))</f>
        <v> </v>
      </c>
      <c r="J3173" s="26" t="str">
        <f>IF(OR(E3173="",E3173="!!!",F3173="NEW"),"",COUNTBLANK(OFFSET(A$1,,,SUMPRODUCT(MAX(ROW(E$2:E3173)*(E3173=E$2:E3173)))))-COUNTBLANK(OFFSET(A$1,,,SUMPRODUCT(MAX(ROW(E$1:E3172)*(E2=E$1:E3172))))))</f>
        <v> </v>
      </c>
      <c r="K3173" s="26" t="str">
        <f>IF(OR(E3173="",E3173="!!!",F3173="NEW"),"",INDEX(J$1:J3172,SUMPRODUCT(MAX(ROW(E$1:E3172)*(E3173=E$1:E3172)))))</f>
        <v> </v>
      </c>
      <c r="L3173" s="27"/>
    </row>
    <row r="3174" spans="1:12">
      <c r="A3174" s="20" t="s">
        <v>1166</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t="s">
        <v>1203</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1246</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t="s">
        <v>2138</v>
      </c>
      <c r="E3177" s="22">
        <f>IF(D3177="?OLD","!!!","")</f>
        <v/>
      </c>
      <c r="F3177" s="23" t="str">
        <f>IF(OR(E3177="",E3177="!!!"),"",IF(NOT(ISNA(VLOOKUP(E3177,E$1:E3176,1,FALSE()))),"OLD",IF(AND(E3177&lt;&gt;"",E3177&lt;&gt;"!!!"),"NEW","")))</f>
        <v> </v>
      </c>
      <c r="G3177" s="24" t="str">
        <f>IF(OR(E3177="",E3177="!!!"),"",IF(OR(J3177=0,AND(J3177=1,K3177=1),AND(J3177=1,I3177="SBJ"),AND(J3177=1,I3177=0)),"?IN_FOCUS",IF(J3177&lt;=2,"?ACTIVATED",IF(J3177&lt;&gt;"","?FAMILIAR",IF(F3177="NEW",IF(ISNA(VLOOKUP(E3177,#REF!,1,FALSE())),"?TYPE_IDENTIFIABLE","?REFERENTIAL"),"_")))))</f>
        <v> </v>
      </c>
      <c r="H3177" s="25" t="str">
        <f>IF(J3177&lt;&gt;1,"",IF(I3177="SBJ","CB","?"))</f>
        <v> </v>
      </c>
      <c r="I3177" s="26" t="str">
        <f>IF(OR(E3177="",E3177="!!!",F3177="NEW"),"",INDEX(B3176:B$2,-1+SUMPRODUCT(MAX(ROW(E3176:E$2)*(E3177=E3176:E$2)))))</f>
        <v> </v>
      </c>
      <c r="J3177" s="26" t="str">
        <f>IF(OR(E3177="",E3177="!!!",F3177="NEW"),"",COUNTBLANK(OFFSET(A$1,,,SUMPRODUCT(MAX(ROW(E$2:E3177)*(E3177=E$2:E3177)))))-COUNTBLANK(OFFSET(A$1,,,SUMPRODUCT(MAX(ROW(E$1:E3176)*(E2=E$1:E3176))))))</f>
        <v> </v>
      </c>
      <c r="K3177" s="26" t="str">
        <f>IF(OR(E3177="",E3177="!!!",F3177="NEW"),"",INDEX(J$1:J3176,SUMPRODUCT(MAX(ROW(E$1:E3176)*(E3177=E$1:E3176)))))</f>
        <v> </v>
      </c>
      <c r="L3177" s="27"/>
    </row>
    <row r="3178" spans="1:12">
      <c r="A3178" s="20" t="s">
        <v>587</v>
      </c>
      <c r="B3178" s="21" t="s">
        <v>1147</v>
      </c>
      <c r="C3178" s="21" t="s">
        <v>1270</v>
      </c>
      <c r="D3178" s="21" t="s">
        <v>1144</v>
      </c>
      <c r="E3178" s="22">
        <f>IF(D3178="?OLD","!!!","")</f>
        <v/>
      </c>
      <c r="F3178" s="23" t="str">
        <f>IF(OR(E3178="",E3178="!!!"),"",IF(NOT(ISNA(VLOOKUP(E3178,E$1:E3177,1,FALSE()))),"OLD",IF(AND(E3178&lt;&gt;"",E3178&lt;&gt;"!!!"),"NEW","")))</f>
        <v> </v>
      </c>
      <c r="G3178" s="24" t="str">
        <f>IF(OR(E3178="",E3178="!!!"),"",IF(OR(J3178=0,AND(J3178=1,K3178=1),AND(J3178=1,I3178="SBJ"),AND(J3178=1,I3178=0)),"?IN_FOCUS",IF(J3178&lt;=2,"?ACTIVATED",IF(J3178&lt;&gt;"","?FAMILIAR",IF(F3178="NEW",IF(ISNA(VLOOKUP(E3178,#REF!,1,FALSE())),"?TYPE_IDENTIFIABLE","?REFERENTIAL"),"_")))))</f>
        <v> </v>
      </c>
      <c r="H3178" s="25" t="str">
        <f>IF(J3178&lt;&gt;1,"",IF(I3178="SBJ","CB","?"))</f>
        <v> </v>
      </c>
      <c r="I3178" s="26" t="str">
        <f>IF(OR(E3178="",E3178="!!!",F3178="NEW"),"",INDEX(B3177:B$2,-1+SUMPRODUCT(MAX(ROW(E3177:E$2)*(E3178=E3177:E$2)))))</f>
        <v> </v>
      </c>
      <c r="J3178" s="26" t="str">
        <f>IF(OR(E3178="",E3178="!!!",F3178="NEW"),"",COUNTBLANK(OFFSET(A$1,,,SUMPRODUCT(MAX(ROW(E$2:E3178)*(E3178=E$2:E3178)))))-COUNTBLANK(OFFSET(A$1,,,SUMPRODUCT(MAX(ROW(E$1:E3177)*(E2=E$1:E3177))))))</f>
        <v> </v>
      </c>
      <c r="K3178" s="26" t="str">
        <f>IF(OR(E3178="",E3178="!!!",F3178="NEW"),"",INDEX(J$1:J3177,SUMPRODUCT(MAX(ROW(E$1:E3177)*(E3178=E$1:E3177)))))</f>
        <v> </v>
      </c>
      <c r="L3178" s="27"/>
    </row>
    <row r="3179" spans="1:12">
      <c r="A3179" s="20" t="s">
        <v>2139</v>
      </c>
      <c r="B3179" s="21" t="s">
        <v>1142</v>
      </c>
      <c r="C3179" s="21" t="s">
        <v>1187</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1314</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t="s">
        <v>2122</v>
      </c>
      <c r="B3181" s="21" t="s">
        <v>1171</v>
      </c>
      <c r="C3181" s="21" t="s">
        <v>1187</v>
      </c>
      <c r="E3181" s="22">
        <f>IF(D3181="?OLD","!!!","")</f>
        <v/>
      </c>
      <c r="F3181" s="23" t="str">
        <f>IF(OR(E3181="",E3181="!!!"),"",IF(NOT(ISNA(VLOOKUP(E3181,E$1:E3180,1,FALSE()))),"OLD",IF(AND(E3181&lt;&gt;"",E3181&lt;&gt;"!!!"),"NEW","")))</f>
        <v> </v>
      </c>
      <c r="G3181" s="24" t="str">
        <f>IF(OR(E3181="",E3181="!!!"),"",IF(OR(J3181=0,AND(J3181=1,K3181=1),AND(J3181=1,I3181="SBJ"),AND(J3181=1,I3181=0)),"?IN_FOCUS",IF(J3181&lt;=2,"?ACTIVATED",IF(J3181&lt;&gt;"","?FAMILIAR",IF(F3181="NEW",IF(ISNA(VLOOKUP(E3181,#REF!,1,FALSE())),"?TYPE_IDENTIFIABLE","?REFERENTIAL"),"_")))))</f>
        <v> </v>
      </c>
      <c r="H3181" s="25" t="str">
        <f>IF(J3181&lt;&gt;1,"",IF(I3181="SBJ","CB","?"))</f>
        <v> </v>
      </c>
      <c r="I3181" s="26" t="str">
        <f>IF(OR(E3181="",E3181="!!!",F3181="NEW"),"",INDEX(B3180:B$2,-1+SUMPRODUCT(MAX(ROW(E3180:E$2)*(E3181=E3180:E$2)))))</f>
        <v> </v>
      </c>
      <c r="J3181" s="26" t="str">
        <f>IF(OR(E3181="",E3181="!!!",F3181="NEW"),"",COUNTBLANK(OFFSET(A$1,,,SUMPRODUCT(MAX(ROW(E$2:E3181)*(E3181=E$2:E3181)))))-COUNTBLANK(OFFSET(A$1,,,SUMPRODUCT(MAX(ROW(E$1:E3180)*(E2=E$1:E3180))))))</f>
        <v> </v>
      </c>
      <c r="K3181" s="26" t="str">
        <f>IF(OR(E3181="",E3181="!!!",F3181="NEW"),"",INDEX(J$1:J3180,SUMPRODUCT(MAX(ROW(E$1:E3180)*(E3181=E$1:E3180)))))</f>
        <v> </v>
      </c>
      <c r="L3181" s="27"/>
    </row>
    <row r="3182" spans="1:12">
      <c r="A3182" s="20" t="s">
        <v>312</v>
      </c>
      <c r="E3182" s="22">
        <f>IF(D3182="?OLD","!!!","")</f>
        <v/>
      </c>
      <c r="F3182" s="23" t="str">
        <f>IF(OR(E3182="",E3182="!!!"),"",IF(NOT(ISNA(VLOOKUP(E3182,E$1:E3181,1,FALSE()))),"OLD",IF(AND(E3182&lt;&gt;"",E3182&lt;&gt;"!!!"),"NEW","")))</f>
        <v> </v>
      </c>
      <c r="G3182" s="24" t="str">
        <f>IF(OR(E3182="",E3182="!!!"),"",IF(OR(J3182=0,AND(J3182=1,K3182=1),AND(J3182=1,I3182="SBJ"),AND(J3182=1,I3182=0)),"?IN_FOCUS",IF(J3182&lt;=2,"?ACTIVATED",IF(J3182&lt;&gt;"","?FAMILIAR",IF(F3182="NEW",IF(ISNA(VLOOKUP(E3182,#REF!,1,FALSE())),"?TYPE_IDENTIFIABLE","?REFERENTIAL"),"_")))))</f>
        <v> </v>
      </c>
      <c r="H3182" s="25" t="str">
        <f>IF(J3182&lt;&gt;1,"",IF(I3182="SBJ","CB","?"))</f>
        <v> </v>
      </c>
      <c r="I3182" s="26" t="str">
        <f>IF(OR(E3182="",E3182="!!!",F3182="NEW"),"",INDEX(B3181:B$2,-1+SUMPRODUCT(MAX(ROW(E3181:E$2)*(E3182=E3181:E$2)))))</f>
        <v> </v>
      </c>
      <c r="J3182" s="26" t="str">
        <f>IF(OR(E3182="",E3182="!!!",F3182="NEW"),"",COUNTBLANK(OFFSET(A$1,,,SUMPRODUCT(MAX(ROW(E$2:E3182)*(E3182=E$2:E3182)))))-COUNTBLANK(OFFSET(A$1,,,SUMPRODUCT(MAX(ROW(E$1:E3181)*(E2=E$1:E3181))))))</f>
        <v> </v>
      </c>
      <c r="K3182" s="26" t="str">
        <f>IF(OR(E3182="",E3182="!!!",F3182="NEW"),"",INDEX(J$1:J3181,SUMPRODUCT(MAX(ROW(E$1:E3181)*(E3182=E$1:E3181)))))</f>
        <v> </v>
      </c>
      <c r="L3182" s="27"/>
    </row>
    <row r="3183" spans="1:12">
      <c r="A3183" s="20"/>
    </row>
    <row r="3184" spans="1:12">
      <c r="A3184" s="20" t="s">
        <v>2140</v>
      </c>
    </row>
    <row r="3185" spans="1:12">
      <c r="A3185" s="20" t="s">
        <v>198</v>
      </c>
      <c r="B3185" s="21" t="s">
        <v>1165</v>
      </c>
      <c r="C3185" s="21" t="s">
        <v>1143</v>
      </c>
      <c r="D3185" s="21" t="s">
        <v>1144</v>
      </c>
      <c r="E3185" s="22">
        <f>IF(D3185="?OLD","!!!","")</f>
        <v/>
      </c>
      <c r="F3185" s="23" t="str">
        <f>IF(OR(E3185="",E3185="!!!"),"",IF(NOT(ISNA(VLOOKUP(E3185,E$1:E3184,1,FALSE()))),"OLD",IF(AND(E3185&lt;&gt;"",E3185&lt;&gt;"!!!"),"NEW","")))</f>
        <v> </v>
      </c>
      <c r="G3185" s="24" t="str">
        <f>IF(OR(E3185="",E3185="!!!"),"",IF(OR(J3185=0,AND(J3185=1,K3185=1),AND(J3185=1,I3185="SBJ"),AND(J3185=1,I3185=0)),"?IN_FOCUS",IF(J3185&lt;=2,"?ACTIVATED",IF(J3185&lt;&gt;"","?FAMILIAR",IF(F3185="NEW",IF(ISNA(VLOOKUP(E3185,#REF!,1,FALSE())),"?TYPE_IDENTIFIABLE","?REFERENTIAL"),"_")))))</f>
        <v> </v>
      </c>
      <c r="H3185" s="25" t="str">
        <f>IF(J3185&lt;&gt;1,"",IF(I3185="SBJ","CB","?"))</f>
        <v> </v>
      </c>
      <c r="I3185" s="26" t="str">
        <f>IF(OR(E3185="",E3185="!!!",F3185="NEW"),"",INDEX(B3184:B$2,-1+SUMPRODUCT(MAX(ROW(E3184:E$2)*(E3185=E3184:E$2)))))</f>
        <v> </v>
      </c>
      <c r="J3185" s="26" t="str">
        <f>IF(OR(E3185="",E3185="!!!",F3185="NEW"),"",COUNTBLANK(OFFSET(A$1,,,SUMPRODUCT(MAX(ROW(E$2:E3185)*(E3185=E$2:E3185)))))-COUNTBLANK(OFFSET(A$1,,,SUMPRODUCT(MAX(ROW(E$1:E3184)*(E2=E$1:E3184))))))</f>
        <v> </v>
      </c>
      <c r="K3185" s="26" t="str">
        <f>IF(OR(E3185="",E3185="!!!",F3185="NEW"),"",INDEX(J$1:J3184,SUMPRODUCT(MAX(ROW(E$1:E3184)*(E3185=E$1:E3184)))))</f>
        <v> </v>
      </c>
      <c r="L3185" s="27"/>
    </row>
    <row r="3186" spans="1:12">
      <c r="A3186" s="20" t="s">
        <v>1146</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1739</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2141</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t="s">
        <v>1230</v>
      </c>
      <c r="B3189" s="21" t="s">
        <v>1165</v>
      </c>
      <c r="C3189" s="21" t="s">
        <v>1151</v>
      </c>
      <c r="D3189" s="21" t="s">
        <v>1144</v>
      </c>
      <c r="E3189" s="22">
        <f>IF(D3189="?OLD","!!!","")</f>
        <v/>
      </c>
      <c r="F3189" s="23" t="str">
        <f>IF(OR(E3189="",E3189="!!!"),"",IF(NOT(ISNA(VLOOKUP(E3189,E$1:E3188,1,FALSE()))),"OLD",IF(AND(E3189&lt;&gt;"",E3189&lt;&gt;"!!!"),"NEW","")))</f>
        <v> </v>
      </c>
      <c r="G3189" s="24" t="str">
        <f>IF(OR(E3189="",E3189="!!!"),"",IF(OR(J3189=0,AND(J3189=1,K3189=1),AND(J3189=1,I3189="SBJ"),AND(J3189=1,I3189=0)),"?IN_FOCUS",IF(J3189&lt;=2,"?ACTIVATED",IF(J3189&lt;&gt;"","?FAMILIAR",IF(F3189="NEW",IF(ISNA(VLOOKUP(E3189,#REF!,1,FALSE())),"?TYPE_IDENTIFIABLE","?REFERENTIAL"),"_")))))</f>
        <v> </v>
      </c>
      <c r="H3189" s="25" t="str">
        <f>IF(J3189&lt;&gt;1,"",IF(I3189="SBJ","CB","?"))</f>
        <v> </v>
      </c>
      <c r="I3189" s="26" t="str">
        <f>IF(OR(E3189="",E3189="!!!",F3189="NEW"),"",INDEX(B3188:B$2,-1+SUMPRODUCT(MAX(ROW(E3188:E$2)*(E3189=E3188:E$2)))))</f>
        <v> </v>
      </c>
      <c r="J3189" s="26" t="str">
        <f>IF(OR(E3189="",E3189="!!!",F3189="NEW"),"",COUNTBLANK(OFFSET(A$1,,,SUMPRODUCT(MAX(ROW(E$2:E3189)*(E3189=E$2:E3189)))))-COUNTBLANK(OFFSET(A$1,,,SUMPRODUCT(MAX(ROW(E$1:E3188)*(E2=E$1:E3188))))))</f>
        <v> </v>
      </c>
      <c r="K3189" s="26" t="str">
        <f>IF(OR(E3189="",E3189="!!!",F3189="NEW"),"",INDEX(J$1:J3188,SUMPRODUCT(MAX(ROW(E$1:E3188)*(E3189=E$1:E3188)))))</f>
        <v> </v>
      </c>
      <c r="L3189" s="27"/>
    </row>
    <row r="3190" spans="1:12">
      <c r="A3190" s="20" t="s">
        <v>1518</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t="s">
        <v>1238</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t="s">
        <v>1825</v>
      </c>
      <c r="B3192" s="21" t="s">
        <v>1161</v>
      </c>
      <c r="C3192" s="21" t="s">
        <v>1162</v>
      </c>
      <c r="D3192" s="21" t="s">
        <v>1144</v>
      </c>
      <c r="E3192" s="22">
        <f>IF(D3192="?OLD","!!!","")</f>
        <v/>
      </c>
      <c r="F3192" s="23" t="str">
        <f>IF(OR(E3192="",E3192="!!!"),"",IF(NOT(ISNA(VLOOKUP(E3192,E$1:E3191,1,FALSE()))),"OLD",IF(AND(E3192&lt;&gt;"",E3192&lt;&gt;"!!!"),"NEW","")))</f>
        <v> </v>
      </c>
      <c r="G3192" s="24" t="str">
        <f>IF(OR(E3192="",E3192="!!!"),"",IF(OR(J3192=0,AND(J3192=1,K3192=1),AND(J3192=1,I3192="SBJ"),AND(J3192=1,I3192=0)),"?IN_FOCUS",IF(J3192&lt;=2,"?ACTIVATED",IF(J3192&lt;&gt;"","?FAMILIAR",IF(F3192="NEW",IF(ISNA(VLOOKUP(E3192,#REF!,1,FALSE())),"?TYPE_IDENTIFIABLE","?REFERENTIAL"),"_")))))</f>
        <v> </v>
      </c>
      <c r="H3192" s="25" t="str">
        <f>IF(J3192&lt;&gt;1,"",IF(I3192="SBJ","CB","?"))</f>
        <v> </v>
      </c>
      <c r="I3192" s="26" t="str">
        <f>IF(OR(E3192="",E3192="!!!",F3192="NEW"),"",INDEX(B3191:B$2,-1+SUMPRODUCT(MAX(ROW(E3191:E$2)*(E3192=E3191:E$2)))))</f>
        <v> </v>
      </c>
      <c r="J3192" s="26" t="str">
        <f>IF(OR(E3192="",E3192="!!!",F3192="NEW"),"",COUNTBLANK(OFFSET(A$1,,,SUMPRODUCT(MAX(ROW(E$2:E3192)*(E3192=E$2:E3192)))))-COUNTBLANK(OFFSET(A$1,,,SUMPRODUCT(MAX(ROW(E$1:E3191)*(E2=E$1:E3191))))))</f>
        <v> </v>
      </c>
      <c r="K3192" s="26" t="str">
        <f>IF(OR(E3192="",E3192="!!!",F3192="NEW"),"",INDEX(J$1:J3191,SUMPRODUCT(MAX(ROW(E$1:E3191)*(E3192=E$1:E3191)))))</f>
        <v> </v>
      </c>
      <c r="L3192" s="27"/>
    </row>
    <row r="3193" spans="1:12">
      <c r="A3193" s="20" t="s">
        <v>1854</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t="s">
        <v>2142</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2143</v>
      </c>
      <c r="B3195" s="21" t="s">
        <v>1171</v>
      </c>
      <c r="C3195" s="21" t="s">
        <v>1162</v>
      </c>
      <c r="D3195" s="21" t="s">
        <v>1144</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312</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row>
    <row r="3198" spans="1:12">
      <c r="A3198" s="20" t="s">
        <v>2144</v>
      </c>
    </row>
    <row r="3199" spans="1:12">
      <c r="A3199" s="20" t="s">
        <v>308</v>
      </c>
      <c r="B3199" s="21" t="s">
        <v>1154</v>
      </c>
      <c r="C3199" s="21" t="s">
        <v>1187</v>
      </c>
      <c r="E3199" s="22">
        <f>IF(D3199="?OLD","!!!","")</f>
        <v/>
      </c>
      <c r="F3199" s="23" t="str">
        <f>IF(OR(E3199="",E3199="!!!"),"",IF(NOT(ISNA(VLOOKUP(E3199,E$1:E3198,1,FALSE()))),"OLD",IF(AND(E3199&lt;&gt;"",E3199&lt;&gt;"!!!"),"NEW","")))</f>
        <v> </v>
      </c>
      <c r="G3199" s="24" t="str">
        <f>IF(OR(E3199="",E3199="!!!"),"",IF(OR(J3199=0,AND(J3199=1,K3199=1),AND(J3199=1,I3199="SBJ"),AND(J3199=1,I3199=0)),"?IN_FOCUS",IF(J3199&lt;=2,"?ACTIVATED",IF(J3199&lt;&gt;"","?FAMILIAR",IF(F3199="NEW",IF(ISNA(VLOOKUP(E3199,#REF!,1,FALSE())),"?TYPE_IDENTIFIABLE","?REFERENTIAL"),"_")))))</f>
        <v> </v>
      </c>
      <c r="H3199" s="25" t="str">
        <f>IF(J3199&lt;&gt;1,"",IF(I3199="SBJ","CB","?"))</f>
        <v> </v>
      </c>
      <c r="I3199" s="26" t="str">
        <f>IF(OR(E3199="",E3199="!!!",F3199="NEW"),"",INDEX(B3198:B$2,-1+SUMPRODUCT(MAX(ROW(E3198:E$2)*(E3199=E3198:E$2)))))</f>
        <v> </v>
      </c>
      <c r="J3199" s="26" t="str">
        <f>IF(OR(E3199="",E3199="!!!",F3199="NEW"),"",COUNTBLANK(OFFSET(A$1,,,SUMPRODUCT(MAX(ROW(E$2:E3199)*(E3199=E$2:E3199)))))-COUNTBLANK(OFFSET(A$1,,,SUMPRODUCT(MAX(ROW(E$1:E3198)*(E2=E$1:E3198))))))</f>
        <v> </v>
      </c>
      <c r="K3199" s="26" t="str">
        <f>IF(OR(E3199="",E3199="!!!",F3199="NEW"),"",INDEX(J$1:J3198,SUMPRODUCT(MAX(ROW(E$1:E3198)*(E3199=E$1:E3198)))))</f>
        <v> </v>
      </c>
      <c r="L3199" s="27"/>
    </row>
    <row r="3200" spans="1:12">
      <c r="A3200" s="20" t="s">
        <v>1146</v>
      </c>
      <c r="E3200" s="22">
        <f>IF(D3200="?OLD","!!!","")</f>
        <v/>
      </c>
      <c r="F3200" s="23" t="str">
        <f>IF(OR(E3200="",E3200="!!!"),"",IF(NOT(ISNA(VLOOKUP(E3200,E$1:E3199,1,FALSE()))),"OLD",IF(AND(E3200&lt;&gt;"",E3200&lt;&gt;"!!!"),"NEW","")))</f>
        <v> </v>
      </c>
      <c r="G3200" s="24" t="str">
        <f>IF(OR(E3200="",E3200="!!!"),"",IF(OR(J3200=0,AND(J3200=1,K3200=1),AND(J3200=1,I3200="SBJ"),AND(J3200=1,I3200=0)),"?IN_FOCUS",IF(J3200&lt;=2,"?ACTIVATED",IF(J3200&lt;&gt;"","?FAMILIAR",IF(F3200="NEW",IF(ISNA(VLOOKUP(E3200,#REF!,1,FALSE())),"?TYPE_IDENTIFIABLE","?REFERENTIAL"),"_")))))</f>
        <v> </v>
      </c>
      <c r="H3200" s="25" t="str">
        <f>IF(J3200&lt;&gt;1,"",IF(I3200="SBJ","CB","?"))</f>
        <v> </v>
      </c>
      <c r="I3200" s="26" t="str">
        <f>IF(OR(E3200="",E3200="!!!",F3200="NEW"),"",INDEX(B3199:B$2,-1+SUMPRODUCT(MAX(ROW(E3199:E$2)*(E3200=E3199:E$2)))))</f>
        <v> </v>
      </c>
      <c r="J3200" s="26" t="str">
        <f>IF(OR(E3200="",E3200="!!!",F3200="NEW"),"",COUNTBLANK(OFFSET(A$1,,,SUMPRODUCT(MAX(ROW(E$2:E3200)*(E3200=E$2:E3200)))))-COUNTBLANK(OFFSET(A$1,,,SUMPRODUCT(MAX(ROW(E$1:E3199)*(E2=E$1:E3199))))))</f>
        <v> </v>
      </c>
      <c r="K3200" s="26" t="str">
        <f>IF(OR(E3200="",E3200="!!!",F3200="NEW"),"",INDEX(J$1:J3199,SUMPRODUCT(MAX(ROW(E$1:E3199)*(E3200=E$1:E3199)))))</f>
        <v> </v>
      </c>
      <c r="L3200" s="27"/>
    </row>
    <row r="3201" spans="1:12">
      <c r="A3201" s="20" t="s">
        <v>1250</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t="s">
        <v>76</v>
      </c>
      <c r="E3202" s="22">
        <f>IF(D3202="?OLD","!!!","")</f>
        <v/>
      </c>
      <c r="F3202" s="23" t="str">
        <f>IF(OR(E3202="",E3202="!!!"),"",IF(NOT(ISNA(VLOOKUP(E3202,E$1:E3201,1,FALSE()))),"OLD",IF(AND(E3202&lt;&gt;"",E3202&lt;&gt;"!!!"),"NEW","")))</f>
        <v> </v>
      </c>
      <c r="G3202" s="24" t="str">
        <f>IF(OR(E3202="",E3202="!!!"),"",IF(OR(J3202=0,AND(J3202=1,K3202=1),AND(J3202=1,I3202="SBJ"),AND(J3202=1,I3202=0)),"?IN_FOCUS",IF(J3202&lt;=2,"?ACTIVATED",IF(J3202&lt;&gt;"","?FAMILIAR",IF(F3202="NEW",IF(ISNA(VLOOKUP(E3202,#REF!,1,FALSE())),"?TYPE_IDENTIFIABLE","?REFERENTIAL"),"_")))))</f>
        <v> </v>
      </c>
      <c r="H3202" s="25" t="str">
        <f>IF(J3202&lt;&gt;1,"",IF(I3202="SBJ","CB","?"))</f>
        <v> </v>
      </c>
      <c r="I3202" s="26" t="str">
        <f>IF(OR(E3202="",E3202="!!!",F3202="NEW"),"",INDEX(B3201:B$2,-1+SUMPRODUCT(MAX(ROW(E3201:E$2)*(E3202=E3201:E$2)))))</f>
        <v> </v>
      </c>
      <c r="J3202" s="26" t="str">
        <f>IF(OR(E3202="",E3202="!!!",F3202="NEW"),"",COUNTBLANK(OFFSET(A$1,,,SUMPRODUCT(MAX(ROW(E$2:E3202)*(E3202=E$2:E3202)))))-COUNTBLANK(OFFSET(A$1,,,SUMPRODUCT(MAX(ROW(E$1:E3201)*(E2=E$1:E3201))))))</f>
        <v> </v>
      </c>
      <c r="K3202" s="26" t="str">
        <f>IF(OR(E3202="",E3202="!!!",F3202="NEW"),"",INDEX(J$1:J3201,SUMPRODUCT(MAX(ROW(E$1:E3201)*(E3202=E$1:E3201)))))</f>
        <v> </v>
      </c>
      <c r="L3202" s="27"/>
    </row>
    <row r="3203" spans="1:12">
      <c r="A3203" s="20" t="s">
        <v>1319</v>
      </c>
      <c r="B3203" s="21" t="s">
        <v>1161</v>
      </c>
      <c r="C3203" s="21" t="s">
        <v>1214</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t="s">
        <v>2145</v>
      </c>
      <c r="E3204" s="22">
        <f>IF(D3204="?OLD","!!!","")</f>
        <v/>
      </c>
      <c r="F3204" s="23" t="str">
        <f>IF(OR(E3204="",E3204="!!!"),"",IF(NOT(ISNA(VLOOKUP(E3204,E$1:E3203,1,FALSE()))),"OLD",IF(AND(E3204&lt;&gt;"",E3204&lt;&gt;"!!!"),"NEW","")))</f>
        <v> </v>
      </c>
      <c r="G3204" s="24" t="str">
        <f>IF(OR(E3204="",E3204="!!!"),"",IF(OR(J3204=0,AND(J3204=1,K3204=1),AND(J3204=1,I3204="SBJ"),AND(J3204=1,I3204=0)),"?IN_FOCUS",IF(J3204&lt;=2,"?ACTIVATED",IF(J3204&lt;&gt;"","?FAMILIAR",IF(F3204="NEW",IF(ISNA(VLOOKUP(E3204,#REF!,1,FALSE())),"?TYPE_IDENTIFIABLE","?REFERENTIAL"),"_")))))</f>
        <v> </v>
      </c>
      <c r="H3204" s="25" t="str">
        <f>IF(J3204&lt;&gt;1,"",IF(I3204="SBJ","CB","?"))</f>
        <v> </v>
      </c>
      <c r="I3204" s="26" t="str">
        <f>IF(OR(E3204="",E3204="!!!",F3204="NEW"),"",INDEX(B3203:B$2,-1+SUMPRODUCT(MAX(ROW(E3203:E$2)*(E3204=E3203:E$2)))))</f>
        <v> </v>
      </c>
      <c r="J3204" s="26" t="str">
        <f>IF(OR(E3204="",E3204="!!!",F3204="NEW"),"",COUNTBLANK(OFFSET(A$1,,,SUMPRODUCT(MAX(ROW(E$2:E3204)*(E3204=E$2:E3204)))))-COUNTBLANK(OFFSET(A$1,,,SUMPRODUCT(MAX(ROW(E$1:E3203)*(E2=E$1:E3203))))))</f>
        <v> </v>
      </c>
      <c r="K3204" s="26" t="str">
        <f>IF(OR(E3204="",E3204="!!!",F3204="NEW"),"",INDEX(J$1:J3203,SUMPRODUCT(MAX(ROW(E$1:E3203)*(E3204=E$1:E3203)))))</f>
        <v> </v>
      </c>
      <c r="L3204" s="27"/>
    </row>
    <row r="3205" spans="1:12">
      <c r="A3205" s="20" t="s">
        <v>1198</v>
      </c>
      <c r="B3205" s="21" t="s">
        <v>1165</v>
      </c>
      <c r="C3205" s="21" t="s">
        <v>1151</v>
      </c>
      <c r="D3205" s="21" t="s">
        <v>1144</v>
      </c>
      <c r="E3205" s="22">
        <f>IF(D3205="?OLD","!!!","")</f>
        <v/>
      </c>
      <c r="F3205" s="23" t="str">
        <f>IF(OR(E3205="",E3205="!!!"),"",IF(NOT(ISNA(VLOOKUP(E3205,E$1:E3204,1,FALSE()))),"OLD",IF(AND(E3205&lt;&gt;"",E3205&lt;&gt;"!!!"),"NEW","")))</f>
        <v> </v>
      </c>
      <c r="G3205" s="24" t="str">
        <f>IF(OR(E3205="",E3205="!!!"),"",IF(OR(J3205=0,AND(J3205=1,K3205=1),AND(J3205=1,I3205="SBJ"),AND(J3205=1,I3205=0)),"?IN_FOCUS",IF(J3205&lt;=2,"?ACTIVATED",IF(J3205&lt;&gt;"","?FAMILIAR",IF(F3205="NEW",IF(ISNA(VLOOKUP(E3205,#REF!,1,FALSE())),"?TYPE_IDENTIFIABLE","?REFERENTIAL"),"_")))))</f>
        <v> </v>
      </c>
      <c r="H3205" s="25" t="str">
        <f>IF(J3205&lt;&gt;1,"",IF(I3205="SBJ","CB","?"))</f>
        <v> </v>
      </c>
      <c r="I3205" s="26" t="str">
        <f>IF(OR(E3205="",E3205="!!!",F3205="NEW"),"",INDEX(B3204:B$2,-1+SUMPRODUCT(MAX(ROW(E3204:E$2)*(E3205=E3204:E$2)))))</f>
        <v> </v>
      </c>
      <c r="J3205" s="26" t="str">
        <f>IF(OR(E3205="",E3205="!!!",F3205="NEW"),"",COUNTBLANK(OFFSET(A$1,,,SUMPRODUCT(MAX(ROW(E$2:E3205)*(E3205=E$2:E3205)))))-COUNTBLANK(OFFSET(A$1,,,SUMPRODUCT(MAX(ROW(E$1:E3204)*(E2=E$1:E3204))))))</f>
        <v> </v>
      </c>
      <c r="K3205" s="26" t="str">
        <f>IF(OR(E3205="",E3205="!!!",F3205="NEW"),"",INDEX(J$1:J3204,SUMPRODUCT(MAX(ROW(E$1:E3204)*(E3205=E$1:E3204)))))</f>
        <v> </v>
      </c>
      <c r="L3205" s="27"/>
    </row>
    <row r="3206" spans="1:12">
      <c r="A3206" s="20" t="s">
        <v>1166</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1174</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1284</v>
      </c>
      <c r="B3208" s="21" t="s">
        <v>1142</v>
      </c>
      <c r="C3208" s="21" t="s">
        <v>1187</v>
      </c>
      <c r="E3208" s="22">
        <f>IF(D3208="?OLD","!!!","")</f>
        <v/>
      </c>
      <c r="F3208" s="23" t="str">
        <f>IF(OR(E3208="",E3208="!!!"),"",IF(NOT(ISNA(VLOOKUP(E3208,E$1:E3207,1,FALSE()))),"OLD",IF(AND(E3208&lt;&gt;"",E3208&lt;&gt;"!!!"),"NEW","")))</f>
        <v> </v>
      </c>
      <c r="G3208" s="24" t="str">
        <f>IF(OR(E3208="",E3208="!!!"),"",IF(OR(J3208=0,AND(J3208=1,K3208=1),AND(J3208=1,I3208="SBJ"),AND(J3208=1,I3208=0)),"?IN_FOCUS",IF(J3208&lt;=2,"?ACTIVATED",IF(J3208&lt;&gt;"","?FAMILIAR",IF(F3208="NEW",IF(ISNA(VLOOKUP(E3208,#REF!,1,FALSE())),"?TYPE_IDENTIFIABLE","?REFERENTIAL"),"_")))))</f>
        <v> </v>
      </c>
      <c r="H3208" s="25" t="str">
        <f>IF(J3208&lt;&gt;1,"",IF(I3208="SBJ","CB","?"))</f>
        <v> </v>
      </c>
      <c r="I3208" s="26" t="str">
        <f>IF(OR(E3208="",E3208="!!!",F3208="NEW"),"",INDEX(B3207:B$2,-1+SUMPRODUCT(MAX(ROW(E3207:E$2)*(E3208=E3207:E$2)))))</f>
        <v> </v>
      </c>
      <c r="J3208" s="26" t="str">
        <f>IF(OR(E3208="",E3208="!!!",F3208="NEW"),"",COUNTBLANK(OFFSET(A$1,,,SUMPRODUCT(MAX(ROW(E$2:E3208)*(E3208=E$2:E3208)))))-COUNTBLANK(OFFSET(A$1,,,SUMPRODUCT(MAX(ROW(E$1:E3207)*(E2=E$1:E3207))))))</f>
        <v> </v>
      </c>
      <c r="K3208" s="26" t="str">
        <f>IF(OR(E3208="",E3208="!!!",F3208="NEW"),"",INDEX(J$1:J3207,SUMPRODUCT(MAX(ROW(E$1:E3207)*(E3208=E$1:E3207)))))</f>
        <v> </v>
      </c>
      <c r="L3208" s="27"/>
    </row>
    <row r="3209" spans="1:12">
      <c r="A3209" s="20" t="s">
        <v>1314</v>
      </c>
      <c r="E3209" s="22">
        <f>IF(D3209="?OLD","!!!","")</f>
        <v/>
      </c>
      <c r="F3209" s="23" t="str">
        <f>IF(OR(E3209="",E3209="!!!"),"",IF(NOT(ISNA(VLOOKUP(E3209,E$1:E3208,1,FALSE()))),"OLD",IF(AND(E3209&lt;&gt;"",E3209&lt;&gt;"!!!"),"NEW","")))</f>
        <v> </v>
      </c>
      <c r="G3209" s="24" t="str">
        <f>IF(OR(E3209="",E3209="!!!"),"",IF(OR(J3209=0,AND(J3209=1,K3209=1),AND(J3209=1,I3209="SBJ"),AND(J3209=1,I3209=0)),"?IN_FOCUS",IF(J3209&lt;=2,"?ACTIVATED",IF(J3209&lt;&gt;"","?FAMILIAR",IF(F3209="NEW",IF(ISNA(VLOOKUP(E3209,#REF!,1,FALSE())),"?TYPE_IDENTIFIABLE","?REFERENTIAL"),"_")))))</f>
        <v> </v>
      </c>
      <c r="H3209" s="25" t="str">
        <f>IF(J3209&lt;&gt;1,"",IF(I3209="SBJ","CB","?"))</f>
        <v> </v>
      </c>
      <c r="I3209" s="26" t="str">
        <f>IF(OR(E3209="",E3209="!!!",F3209="NEW"),"",INDEX(B3208:B$2,-1+SUMPRODUCT(MAX(ROW(E3208:E$2)*(E3209=E3208:E$2)))))</f>
        <v> </v>
      </c>
      <c r="J3209" s="26" t="str">
        <f>IF(OR(E3209="",E3209="!!!",F3209="NEW"),"",COUNTBLANK(OFFSET(A$1,,,SUMPRODUCT(MAX(ROW(E$2:E3209)*(E3209=E$2:E3209)))))-COUNTBLANK(OFFSET(A$1,,,SUMPRODUCT(MAX(ROW(E$1:E3208)*(E2=E$1:E3208))))))</f>
        <v> </v>
      </c>
      <c r="K3209" s="26" t="str">
        <f>IF(OR(E3209="",E3209="!!!",F3209="NEW"),"",INDEX(J$1:J3208,SUMPRODUCT(MAX(ROW(E$1:E3208)*(E3209=E$1:E3208)))))</f>
        <v> </v>
      </c>
      <c r="L3209" s="27"/>
    </row>
    <row r="3210" spans="1:12">
      <c r="A3210" s="20" t="s">
        <v>1159</v>
      </c>
      <c r="E3210" s="22">
        <f>IF(D3210="?OLD","!!!","")</f>
        <v/>
      </c>
      <c r="F3210" s="23" t="str">
        <f>IF(OR(E3210="",E3210="!!!"),"",IF(NOT(ISNA(VLOOKUP(E3210,E$1:E3209,1,FALSE()))),"OLD",IF(AND(E3210&lt;&gt;"",E3210&lt;&gt;"!!!"),"NEW","")))</f>
        <v> </v>
      </c>
      <c r="G3210" s="24" t="str">
        <f>IF(OR(E3210="",E3210="!!!"),"",IF(OR(J3210=0,AND(J3210=1,K3210=1),AND(J3210=1,I3210="SBJ"),AND(J3210=1,I3210=0)),"?IN_FOCUS",IF(J3210&lt;=2,"?ACTIVATED",IF(J3210&lt;&gt;"","?FAMILIAR",IF(F3210="NEW",IF(ISNA(VLOOKUP(E3210,#REF!,1,FALSE())),"?TYPE_IDENTIFIABLE","?REFERENTIAL"),"_")))))</f>
        <v> </v>
      </c>
      <c r="H3210" s="25" t="str">
        <f>IF(J3210&lt;&gt;1,"",IF(I3210="SBJ","CB","?"))</f>
        <v> </v>
      </c>
      <c r="I3210" s="26" t="str">
        <f>IF(OR(E3210="",E3210="!!!",F3210="NEW"),"",INDEX(B3209:B$2,-1+SUMPRODUCT(MAX(ROW(E3209:E$2)*(E3210=E3209:E$2)))))</f>
        <v> </v>
      </c>
      <c r="J3210" s="26" t="str">
        <f>IF(OR(E3210="",E3210="!!!",F3210="NEW"),"",COUNTBLANK(OFFSET(A$1,,,SUMPRODUCT(MAX(ROW(E$2:E3210)*(E3210=E$2:E3210)))))-COUNTBLANK(OFFSET(A$1,,,SUMPRODUCT(MAX(ROW(E$1:E3209)*(E2=E$1:E3209))))))</f>
        <v> </v>
      </c>
      <c r="K3210" s="26" t="str">
        <f>IF(OR(E3210="",E3210="!!!",F3210="NEW"),"",INDEX(J$1:J3209,SUMPRODUCT(MAX(ROW(E$1:E3209)*(E3210=E$1:E3209)))))</f>
        <v> </v>
      </c>
      <c r="L3210" s="27"/>
    </row>
    <row r="3211" spans="1:12">
      <c r="A3211" s="20" t="s">
        <v>2142</v>
      </c>
      <c r="E3211" s="22">
        <f>IF(D3211="?OLD","!!!","")</f>
        <v/>
      </c>
      <c r="F3211" s="23" t="str">
        <f>IF(OR(E3211="",E3211="!!!"),"",IF(NOT(ISNA(VLOOKUP(E3211,E$1:E3210,1,FALSE()))),"OLD",IF(AND(E3211&lt;&gt;"",E3211&lt;&gt;"!!!"),"NEW","")))</f>
        <v> </v>
      </c>
      <c r="G3211" s="24" t="str">
        <f>IF(OR(E3211="",E3211="!!!"),"",IF(OR(J3211=0,AND(J3211=1,K3211=1),AND(J3211=1,I3211="SBJ"),AND(J3211=1,I3211=0)),"?IN_FOCUS",IF(J3211&lt;=2,"?ACTIVATED",IF(J3211&lt;&gt;"","?FAMILIAR",IF(F3211="NEW",IF(ISNA(VLOOKUP(E3211,#REF!,1,FALSE())),"?TYPE_IDENTIFIABLE","?REFERENTIAL"),"_")))))</f>
        <v> </v>
      </c>
      <c r="H3211" s="25" t="str">
        <f>IF(J3211&lt;&gt;1,"",IF(I3211="SBJ","CB","?"))</f>
        <v> </v>
      </c>
      <c r="I3211" s="26" t="str">
        <f>IF(OR(E3211="",E3211="!!!",F3211="NEW"),"",INDEX(B3210:B$2,-1+SUMPRODUCT(MAX(ROW(E3210:E$2)*(E3211=E3210:E$2)))))</f>
        <v> </v>
      </c>
      <c r="J3211" s="26" t="str">
        <f>IF(OR(E3211="",E3211="!!!",F3211="NEW"),"",COUNTBLANK(OFFSET(A$1,,,SUMPRODUCT(MAX(ROW(E$2:E3211)*(E3211=E$2:E3211)))))-COUNTBLANK(OFFSET(A$1,,,SUMPRODUCT(MAX(ROW(E$1:E3210)*(E2=E$1:E3210))))))</f>
        <v> </v>
      </c>
      <c r="K3211" s="26" t="str">
        <f>IF(OR(E3211="",E3211="!!!",F3211="NEW"),"",INDEX(J$1:J3210,SUMPRODUCT(MAX(ROW(E$1:E3210)*(E3211=E$1:E3210)))))</f>
        <v> </v>
      </c>
      <c r="L3211" s="27"/>
    </row>
    <row r="3212" spans="1:12">
      <c r="A3212" s="20" t="s">
        <v>1902</v>
      </c>
      <c r="B3212" s="21" t="s">
        <v>1171</v>
      </c>
      <c r="C3212" s="21" t="s">
        <v>1162</v>
      </c>
      <c r="D3212" s="21" t="s">
        <v>1144</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69</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t="s">
        <v>1166</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t="s">
        <v>1203</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1191</v>
      </c>
      <c r="B3216" s="21" t="s">
        <v>1175</v>
      </c>
      <c r="C3216" s="21" t="s">
        <v>1232</v>
      </c>
      <c r="D3216" s="21" t="s">
        <v>1144</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1148</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t="s">
        <v>1529</v>
      </c>
      <c r="B3218" s="21" t="s">
        <v>1193</v>
      </c>
      <c r="C3218" s="21" t="s">
        <v>1151</v>
      </c>
      <c r="D3218" s="21" t="s">
        <v>1144</v>
      </c>
      <c r="E3218" s="22">
        <f>IF(D3218="?OLD","!!!","")</f>
        <v/>
      </c>
      <c r="F3218" s="23" t="str">
        <f>IF(OR(E3218="",E3218="!!!"),"",IF(NOT(ISNA(VLOOKUP(E3218,E$1:E3217,1,FALSE()))),"OLD",IF(AND(E3218&lt;&gt;"",E3218&lt;&gt;"!!!"),"NEW","")))</f>
        <v> </v>
      </c>
      <c r="G3218" s="24" t="str">
        <f>IF(OR(E3218="",E3218="!!!"),"",IF(OR(J3218=0,AND(J3218=1,K3218=1),AND(J3218=1,I3218="SBJ"),AND(J3218=1,I3218=0)),"?IN_FOCUS",IF(J3218&lt;=2,"?ACTIVATED",IF(J3218&lt;&gt;"","?FAMILIAR",IF(F3218="NEW",IF(ISNA(VLOOKUP(E3218,#REF!,1,FALSE())),"?TYPE_IDENTIFIABLE","?REFERENTIAL"),"_")))))</f>
        <v> </v>
      </c>
      <c r="H3218" s="25" t="str">
        <f>IF(J3218&lt;&gt;1,"",IF(I3218="SBJ","CB","?"))</f>
        <v> </v>
      </c>
      <c r="I3218" s="26" t="str">
        <f>IF(OR(E3218="",E3218="!!!",F3218="NEW"),"",INDEX(B3217:B$2,-1+SUMPRODUCT(MAX(ROW(E3217:E$2)*(E3218=E3217:E$2)))))</f>
        <v> </v>
      </c>
      <c r="J3218" s="26" t="str">
        <f>IF(OR(E3218="",E3218="!!!",F3218="NEW"),"",COUNTBLANK(OFFSET(A$1,,,SUMPRODUCT(MAX(ROW(E$2:E3218)*(E3218=E$2:E3218)))))-COUNTBLANK(OFFSET(A$1,,,SUMPRODUCT(MAX(ROW(E$1:E3217)*(E2=E$1:E3217))))))</f>
        <v> </v>
      </c>
      <c r="K3218" s="26" t="str">
        <f>IF(OR(E3218="",E3218="!!!",F3218="NEW"),"",INDEX(J$1:J3217,SUMPRODUCT(MAX(ROW(E$1:E3217)*(E3218=E$1:E3217)))))</f>
        <v> </v>
      </c>
      <c r="L3218" s="27"/>
    </row>
    <row r="3219" spans="1:12">
      <c r="A3219" s="20" t="s">
        <v>2146</v>
      </c>
      <c r="E3219" s="22">
        <f>IF(D3219="?OLD","!!!","")</f>
        <v/>
      </c>
      <c r="F3219" s="23" t="str">
        <f>IF(OR(E3219="",E3219="!!!"),"",IF(NOT(ISNA(VLOOKUP(E3219,E$1:E3218,1,FALSE()))),"OLD",IF(AND(E3219&lt;&gt;"",E3219&lt;&gt;"!!!"),"NEW","")))</f>
        <v> </v>
      </c>
      <c r="G3219" s="24" t="str">
        <f>IF(OR(E3219="",E3219="!!!"),"",IF(OR(J3219=0,AND(J3219=1,K3219=1),AND(J3219=1,I3219="SBJ"),AND(J3219=1,I3219=0)),"?IN_FOCUS",IF(J3219&lt;=2,"?ACTIVATED",IF(J3219&lt;&gt;"","?FAMILIAR",IF(F3219="NEW",IF(ISNA(VLOOKUP(E3219,#REF!,1,FALSE())),"?TYPE_IDENTIFIABLE","?REFERENTIAL"),"_")))))</f>
        <v> </v>
      </c>
      <c r="H3219" s="25" t="str">
        <f>IF(J3219&lt;&gt;1,"",IF(I3219="SBJ","CB","?"))</f>
        <v> </v>
      </c>
      <c r="I3219" s="26" t="str">
        <f>IF(OR(E3219="",E3219="!!!",F3219="NEW"),"",INDEX(B3218:B$2,-1+SUMPRODUCT(MAX(ROW(E3218:E$2)*(E3219=E3218:E$2)))))</f>
        <v> </v>
      </c>
      <c r="J3219" s="26" t="str">
        <f>IF(OR(E3219="",E3219="!!!",F3219="NEW"),"",COUNTBLANK(OFFSET(A$1,,,SUMPRODUCT(MAX(ROW(E$2:E3219)*(E3219=E$2:E3219)))))-COUNTBLANK(OFFSET(A$1,,,SUMPRODUCT(MAX(ROW(E$1:E3218)*(E2=E$1:E3218))))))</f>
        <v> </v>
      </c>
      <c r="K3219" s="26" t="str">
        <f>IF(OR(E3219="",E3219="!!!",F3219="NEW"),"",INDEX(J$1:J3218,SUMPRODUCT(MAX(ROW(E$1:E3218)*(E3219=E$1:E3218)))))</f>
        <v> </v>
      </c>
      <c r="L3219" s="27"/>
    </row>
    <row r="3220" spans="1:12">
      <c r="A3220" s="20" t="s">
        <v>312</v>
      </c>
      <c r="E3220" s="22">
        <f>IF(D3220="?OLD","!!!","")</f>
        <v/>
      </c>
      <c r="F3220" s="23" t="str">
        <f>IF(OR(E3220="",E3220="!!!"),"",IF(NOT(ISNA(VLOOKUP(E3220,E$1:E3219,1,FALSE()))),"OLD",IF(AND(E3220&lt;&gt;"",E3220&lt;&gt;"!!!"),"NEW","")))</f>
        <v> </v>
      </c>
      <c r="G3220" s="24" t="str">
        <f>IF(OR(E3220="",E3220="!!!"),"",IF(OR(J3220=0,AND(J3220=1,K3220=1),AND(J3220=1,I3220="SBJ"),AND(J3220=1,I3220=0)),"?IN_FOCUS",IF(J3220&lt;=2,"?ACTIVATED",IF(J3220&lt;&gt;"","?FAMILIAR",IF(F3220="NEW",IF(ISNA(VLOOKUP(E3220,#REF!,1,FALSE())),"?TYPE_IDENTIFIABLE","?REFERENTIAL"),"_")))))</f>
        <v> </v>
      </c>
      <c r="H3220" s="25" t="str">
        <f>IF(J3220&lt;&gt;1,"",IF(I3220="SBJ","CB","?"))</f>
        <v> </v>
      </c>
      <c r="I3220" s="26" t="str">
        <f>IF(OR(E3220="",E3220="!!!",F3220="NEW"),"",INDEX(B3219:B$2,-1+SUMPRODUCT(MAX(ROW(E3219:E$2)*(E3220=E3219:E$2)))))</f>
        <v> </v>
      </c>
      <c r="J3220" s="26" t="str">
        <f>IF(OR(E3220="",E3220="!!!",F3220="NEW"),"",COUNTBLANK(OFFSET(A$1,,,SUMPRODUCT(MAX(ROW(E$2:E3220)*(E3220=E$2:E3220)))))-COUNTBLANK(OFFSET(A$1,,,SUMPRODUCT(MAX(ROW(E$1:E3219)*(E2=E$1:E3219))))))</f>
        <v> </v>
      </c>
      <c r="K3220" s="26" t="str">
        <f>IF(OR(E3220="",E3220="!!!",F3220="NEW"),"",INDEX(J$1:J3219,SUMPRODUCT(MAX(ROW(E$1:E3219)*(E3220=E$1:E3219)))))</f>
        <v> </v>
      </c>
      <c r="L3220" s="27"/>
    </row>
    <row r="3221" spans="1:12">
      <c r="A3221" s="20"/>
    </row>
    <row r="3222" spans="1:12">
      <c r="A3222" s="20" t="s">
        <v>2147</v>
      </c>
    </row>
    <row r="3223" spans="1:12">
      <c r="A3223" s="20" t="s">
        <v>1300</v>
      </c>
      <c r="B3223" s="21" t="s">
        <v>1165</v>
      </c>
      <c r="C3223" s="21" t="s">
        <v>1151</v>
      </c>
      <c r="D3223" s="21" t="s">
        <v>1144</v>
      </c>
      <c r="E3223" s="22">
        <f>IF(D3223="?OLD","!!!","")</f>
        <v/>
      </c>
      <c r="F3223" s="23" t="str">
        <f>IF(OR(E3223="",E3223="!!!"),"",IF(NOT(ISNA(VLOOKUP(E3223,E$1:E3222,1,FALSE()))),"OLD",IF(AND(E3223&lt;&gt;"",E3223&lt;&gt;"!!!"),"NEW","")))</f>
        <v> </v>
      </c>
      <c r="G3223" s="24" t="str">
        <f>IF(OR(E3223="",E3223="!!!"),"",IF(OR(J3223=0,AND(J3223=1,K3223=1),AND(J3223=1,I3223="SBJ"),AND(J3223=1,I3223=0)),"?IN_FOCUS",IF(J3223&lt;=2,"?ACTIVATED",IF(J3223&lt;&gt;"","?FAMILIAR",IF(F3223="NEW",IF(ISNA(VLOOKUP(E3223,#REF!,1,FALSE())),"?TYPE_IDENTIFIABLE","?REFERENTIAL"),"_")))))</f>
        <v> </v>
      </c>
      <c r="H3223" s="25" t="str">
        <f>IF(J3223&lt;&gt;1,"",IF(I3223="SBJ","CB","?"))</f>
        <v> </v>
      </c>
      <c r="I3223" s="26" t="str">
        <f>IF(OR(E3223="",E3223="!!!",F3223="NEW"),"",INDEX(B3222:B$2,-1+SUMPRODUCT(MAX(ROW(E3222:E$2)*(E3223=E3222:E$2)))))</f>
        <v> </v>
      </c>
      <c r="J3223" s="26" t="str">
        <f>IF(OR(E3223="",E3223="!!!",F3223="NEW"),"",COUNTBLANK(OFFSET(A$1,,,SUMPRODUCT(MAX(ROW(E$2:E3223)*(E3223=E$2:E3223)))))-COUNTBLANK(OFFSET(A$1,,,SUMPRODUCT(MAX(ROW(E$1:E3222)*(E2=E$1:E3222))))))</f>
        <v> </v>
      </c>
      <c r="K3223" s="26" t="str">
        <f>IF(OR(E3223="",E3223="!!!",F3223="NEW"),"",INDEX(J$1:J3222,SUMPRODUCT(MAX(ROW(E$1:E3222)*(E3223=E$1:E3222)))))</f>
        <v> </v>
      </c>
      <c r="L3223" s="27"/>
    </row>
    <row r="3224" spans="1:12">
      <c r="A3224" s="20" t="s">
        <v>1842</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t="s">
        <v>1152</v>
      </c>
      <c r="E3225" s="22">
        <f>IF(D3225="?OLD","!!!","")</f>
        <v/>
      </c>
      <c r="F3225" s="23" t="str">
        <f>IF(OR(E3225="",E3225="!!!"),"",IF(NOT(ISNA(VLOOKUP(E3225,E$1:E3224,1,FALSE()))),"OLD",IF(AND(E3225&lt;&gt;"",E3225&lt;&gt;"!!!"),"NEW","")))</f>
        <v> </v>
      </c>
      <c r="G3225" s="24" t="str">
        <f>IF(OR(E3225="",E3225="!!!"),"",IF(OR(J3225=0,AND(J3225=1,K3225=1),AND(J3225=1,I3225="SBJ"),AND(J3225=1,I3225=0)),"?IN_FOCUS",IF(J3225&lt;=2,"?ACTIVATED",IF(J3225&lt;&gt;"","?FAMILIAR",IF(F3225="NEW",IF(ISNA(VLOOKUP(E3225,#REF!,1,FALSE())),"?TYPE_IDENTIFIABLE","?REFERENTIAL"),"_")))))</f>
        <v> </v>
      </c>
      <c r="H3225" s="25" t="str">
        <f>IF(J3225&lt;&gt;1,"",IF(I3225="SBJ","CB","?"))</f>
        <v> </v>
      </c>
      <c r="I3225" s="26" t="str">
        <f>IF(OR(E3225="",E3225="!!!",F3225="NEW"),"",INDEX(B3224:B$2,-1+SUMPRODUCT(MAX(ROW(E3224:E$2)*(E3225=E3224:E$2)))))</f>
        <v> </v>
      </c>
      <c r="J3225" s="26" t="str">
        <f>IF(OR(E3225="",E3225="!!!",F3225="NEW"),"",COUNTBLANK(OFFSET(A$1,,,SUMPRODUCT(MAX(ROW(E$2:E3225)*(E3225=E$2:E3225)))))-COUNTBLANK(OFFSET(A$1,,,SUMPRODUCT(MAX(ROW(E$1:E3224)*(E2=E$1:E3224))))))</f>
        <v> </v>
      </c>
      <c r="K3225" s="26" t="str">
        <f>IF(OR(E3225="",E3225="!!!",F3225="NEW"),"",INDEX(J$1:J3224,SUMPRODUCT(MAX(ROW(E$1:E3224)*(E3225=E$1:E3224)))))</f>
        <v> </v>
      </c>
      <c r="L3225" s="27"/>
    </row>
    <row r="3226" spans="1:12">
      <c r="A3226" s="20" t="s">
        <v>1648</v>
      </c>
      <c r="B3226" s="21" t="s">
        <v>1154</v>
      </c>
      <c r="C3226" s="21" t="s">
        <v>1155</v>
      </c>
      <c r="E3226" s="22">
        <f>IF(D3226="?OLD","!!!","")</f>
        <v/>
      </c>
      <c r="F3226" s="23" t="str">
        <f>IF(OR(E3226="",E3226="!!!"),"",IF(NOT(ISNA(VLOOKUP(E3226,E$1:E3225,1,FALSE()))),"OLD",IF(AND(E3226&lt;&gt;"",E3226&lt;&gt;"!!!"),"NEW","")))</f>
        <v> </v>
      </c>
      <c r="G3226" s="24" t="str">
        <f>IF(OR(E3226="",E3226="!!!"),"",IF(OR(J3226=0,AND(J3226=1,K3226=1),AND(J3226=1,I3226="SBJ"),AND(J3226=1,I3226=0)),"?IN_FOCUS",IF(J3226&lt;=2,"?ACTIVATED",IF(J3226&lt;&gt;"","?FAMILIAR",IF(F3226="NEW",IF(ISNA(VLOOKUP(E3226,#REF!,1,FALSE())),"?TYPE_IDENTIFIABLE","?REFERENTIAL"),"_")))))</f>
        <v> </v>
      </c>
      <c r="H3226" s="25" t="str">
        <f>IF(J3226&lt;&gt;1,"",IF(I3226="SBJ","CB","?"))</f>
        <v> </v>
      </c>
      <c r="I3226" s="26" t="str">
        <f>IF(OR(E3226="",E3226="!!!",F3226="NEW"),"",INDEX(B3225:B$2,-1+SUMPRODUCT(MAX(ROW(E3225:E$2)*(E3226=E3225:E$2)))))</f>
        <v> </v>
      </c>
      <c r="J3226" s="26" t="str">
        <f>IF(OR(E3226="",E3226="!!!",F3226="NEW"),"",COUNTBLANK(OFFSET(A$1,,,SUMPRODUCT(MAX(ROW(E$2:E3226)*(E3226=E$2:E3226)))))-COUNTBLANK(OFFSET(A$1,,,SUMPRODUCT(MAX(ROW(E$1:E3225)*(E2=E$1:E3225))))))</f>
        <v> </v>
      </c>
      <c r="K3226" s="26" t="str">
        <f>IF(OR(E3226="",E3226="!!!",F3226="NEW"),"",INDEX(J$1:J3225,SUMPRODUCT(MAX(ROW(E$1:E3225)*(E3226=E$1:E3225)))))</f>
        <v> </v>
      </c>
      <c r="L3226" s="27"/>
    </row>
    <row r="3227" spans="1:12">
      <c r="A3227" s="20" t="s">
        <v>1166</v>
      </c>
      <c r="E3227" s="22">
        <f>IF(D3227="?OLD","!!!","")</f>
        <v/>
      </c>
      <c r="F3227" s="23" t="str">
        <f>IF(OR(E3227="",E3227="!!!"),"",IF(NOT(ISNA(VLOOKUP(E3227,E$1:E3226,1,FALSE()))),"OLD",IF(AND(E3227&lt;&gt;"",E3227&lt;&gt;"!!!"),"NEW","")))</f>
        <v> </v>
      </c>
      <c r="G3227" s="24" t="str">
        <f>IF(OR(E3227="",E3227="!!!"),"",IF(OR(J3227=0,AND(J3227=1,K3227=1),AND(J3227=1,I3227="SBJ"),AND(J3227=1,I3227=0)),"?IN_FOCUS",IF(J3227&lt;=2,"?ACTIVATED",IF(J3227&lt;&gt;"","?FAMILIAR",IF(F3227="NEW",IF(ISNA(VLOOKUP(E3227,#REF!,1,FALSE())),"?TYPE_IDENTIFIABLE","?REFERENTIAL"),"_")))))</f>
        <v> </v>
      </c>
      <c r="H3227" s="25" t="str">
        <f>IF(J3227&lt;&gt;1,"",IF(I3227="SBJ","CB","?"))</f>
        <v> </v>
      </c>
      <c r="I3227" s="26" t="str">
        <f>IF(OR(E3227="",E3227="!!!",F3227="NEW"),"",INDEX(B3226:B$2,-1+SUMPRODUCT(MAX(ROW(E3226:E$2)*(E3227=E3226:E$2)))))</f>
        <v> </v>
      </c>
      <c r="J3227" s="26" t="str">
        <f>IF(OR(E3227="",E3227="!!!",F3227="NEW"),"",COUNTBLANK(OFFSET(A$1,,,SUMPRODUCT(MAX(ROW(E$2:E3227)*(E3227=E$2:E3227)))))-COUNTBLANK(OFFSET(A$1,,,SUMPRODUCT(MAX(ROW(E$1:E3226)*(E2=E$1:E3226))))))</f>
        <v> </v>
      </c>
      <c r="K3227" s="26" t="str">
        <f>IF(OR(E3227="",E3227="!!!",F3227="NEW"),"",INDEX(J$1:J3226,SUMPRODUCT(MAX(ROW(E$1:E3226)*(E3227=E$1:E3226)))))</f>
        <v> </v>
      </c>
      <c r="L3227" s="27"/>
    </row>
    <row r="3228" spans="1:12">
      <c r="A3228" s="20" t="s">
        <v>1231</v>
      </c>
      <c r="B3228" s="21" t="s">
        <v>1147</v>
      </c>
      <c r="C3228" s="21" t="s">
        <v>1232</v>
      </c>
      <c r="D3228" s="21" t="s">
        <v>1144</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t="s">
        <v>2148</v>
      </c>
      <c r="B3229" s="21" t="s">
        <v>1150</v>
      </c>
      <c r="C3229" s="21" t="s">
        <v>1234</v>
      </c>
      <c r="D3229" s="21" t="s">
        <v>1144</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t="s">
        <v>1314</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t="s">
        <v>1481</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t="s">
        <v>2149</v>
      </c>
      <c r="B3232" s="21" t="s">
        <v>1171</v>
      </c>
      <c r="C3232" s="21" t="s">
        <v>1162</v>
      </c>
      <c r="D3232" s="21" t="s">
        <v>1144</v>
      </c>
      <c r="E3232" s="22">
        <f>IF(D3232="?OLD","!!!","")</f>
        <v/>
      </c>
      <c r="F3232" s="23" t="str">
        <f>IF(OR(E3232="",E3232="!!!"),"",IF(NOT(ISNA(VLOOKUP(E3232,E$1:E3231,1,FALSE()))),"OLD",IF(AND(E3232&lt;&gt;"",E3232&lt;&gt;"!!!"),"NEW","")))</f>
        <v> </v>
      </c>
      <c r="G3232" s="24" t="str">
        <f>IF(OR(E3232="",E3232="!!!"),"",IF(OR(J3232=0,AND(J3232=1,K3232=1),AND(J3232=1,I3232="SBJ"),AND(J3232=1,I3232=0)),"?IN_FOCUS",IF(J3232&lt;=2,"?ACTIVATED",IF(J3232&lt;&gt;"","?FAMILIAR",IF(F3232="NEW",IF(ISNA(VLOOKUP(E3232,#REF!,1,FALSE())),"?TYPE_IDENTIFIABLE","?REFERENTIAL"),"_")))))</f>
        <v> </v>
      </c>
      <c r="H3232" s="25" t="str">
        <f>IF(J3232&lt;&gt;1,"",IF(I3232="SBJ","CB","?"))</f>
        <v> </v>
      </c>
      <c r="I3232" s="26" t="str">
        <f>IF(OR(E3232="",E3232="!!!",F3232="NEW"),"",INDEX(B3231:B$2,-1+SUMPRODUCT(MAX(ROW(E3231:E$2)*(E3232=E3231:E$2)))))</f>
        <v> </v>
      </c>
      <c r="J3232" s="26" t="str">
        <f>IF(OR(E3232="",E3232="!!!",F3232="NEW"),"",COUNTBLANK(OFFSET(A$1,,,SUMPRODUCT(MAX(ROW(E$2:E3232)*(E3232=E$2:E3232)))))-COUNTBLANK(OFFSET(A$1,,,SUMPRODUCT(MAX(ROW(E$1:E3231)*(E2=E$1:E3231))))))</f>
        <v> </v>
      </c>
      <c r="K3232" s="26" t="str">
        <f>IF(OR(E3232="",E3232="!!!",F3232="NEW"),"",INDEX(J$1:J3231,SUMPRODUCT(MAX(ROW(E$1:E3231)*(E3232=E$1:E3231)))))</f>
        <v> </v>
      </c>
      <c r="L3232" s="27"/>
    </row>
    <row r="3233" spans="1:12">
      <c r="A3233" s="20" t="s">
        <v>1308</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852</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1166</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t="s">
        <v>60</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1198</v>
      </c>
      <c r="B3237" s="21" t="s">
        <v>1142</v>
      </c>
      <c r="C3237" s="21" t="s">
        <v>1151</v>
      </c>
      <c r="D3237" s="21" t="s">
        <v>1144</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2150</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1288</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2151</v>
      </c>
      <c r="B3240" s="21" t="s">
        <v>1150</v>
      </c>
      <c r="C3240" s="21" t="s">
        <v>1228</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t="s">
        <v>1166</v>
      </c>
      <c r="E3241" s="22">
        <f>IF(D3241="?OLD","!!!","")</f>
        <v/>
      </c>
      <c r="F3241" s="23" t="str">
        <f>IF(OR(E3241="",E3241="!!!"),"",IF(NOT(ISNA(VLOOKUP(E3241,E$1:E3240,1,FALSE()))),"OLD",IF(AND(E3241&lt;&gt;"",E3241&lt;&gt;"!!!"),"NEW","")))</f>
        <v> </v>
      </c>
      <c r="G3241" s="24" t="str">
        <f>IF(OR(E3241="",E3241="!!!"),"",IF(OR(J3241=0,AND(J3241=1,K3241=1),AND(J3241=1,I3241="SBJ"),AND(J3241=1,I3241=0)),"?IN_FOCUS",IF(J3241&lt;=2,"?ACTIVATED",IF(J3241&lt;&gt;"","?FAMILIAR",IF(F3241="NEW",IF(ISNA(VLOOKUP(E3241,#REF!,1,FALSE())),"?TYPE_IDENTIFIABLE","?REFERENTIAL"),"_")))))</f>
        <v> </v>
      </c>
      <c r="H3241" s="25" t="str">
        <f>IF(J3241&lt;&gt;1,"",IF(I3241="SBJ","CB","?"))</f>
        <v> </v>
      </c>
      <c r="I3241" s="26" t="str">
        <f>IF(OR(E3241="",E3241="!!!",F3241="NEW"),"",INDEX(B3240:B$2,-1+SUMPRODUCT(MAX(ROW(E3240:E$2)*(E3241=E3240:E$2)))))</f>
        <v> </v>
      </c>
      <c r="J3241" s="26" t="str">
        <f>IF(OR(E3241="",E3241="!!!",F3241="NEW"),"",COUNTBLANK(OFFSET(A$1,,,SUMPRODUCT(MAX(ROW(E$2:E3241)*(E3241=E$2:E3241)))))-COUNTBLANK(OFFSET(A$1,,,SUMPRODUCT(MAX(ROW(E$1:E3240)*(E2=E$1:E3240))))))</f>
        <v> </v>
      </c>
      <c r="K3241" s="26" t="str">
        <f>IF(OR(E3241="",E3241="!!!",F3241="NEW"),"",INDEX(J$1:J3240,SUMPRODUCT(MAX(ROW(E$1:E3240)*(E3241=E$1:E3240)))))</f>
        <v> </v>
      </c>
      <c r="L3241" s="27"/>
    </row>
    <row r="3242" spans="1:12">
      <c r="A3242" s="20" t="s">
        <v>1238</v>
      </c>
      <c r="E3242" s="22">
        <f>IF(D3242="?OLD","!!!","")</f>
        <v/>
      </c>
      <c r="F3242" s="23" t="str">
        <f>IF(OR(E3242="",E3242="!!!"),"",IF(NOT(ISNA(VLOOKUP(E3242,E$1:E3241,1,FALSE()))),"OLD",IF(AND(E3242&lt;&gt;"",E3242&lt;&gt;"!!!"),"NEW","")))</f>
        <v> </v>
      </c>
      <c r="G3242" s="24" t="str">
        <f>IF(OR(E3242="",E3242="!!!"),"",IF(OR(J3242=0,AND(J3242=1,K3242=1),AND(J3242=1,I3242="SBJ"),AND(J3242=1,I3242=0)),"?IN_FOCUS",IF(J3242&lt;=2,"?ACTIVATED",IF(J3242&lt;&gt;"","?FAMILIAR",IF(F3242="NEW",IF(ISNA(VLOOKUP(E3242,#REF!,1,FALSE())),"?TYPE_IDENTIFIABLE","?REFERENTIAL"),"_")))))</f>
        <v> </v>
      </c>
      <c r="H3242" s="25" t="str">
        <f>IF(J3242&lt;&gt;1,"",IF(I3242="SBJ","CB","?"))</f>
        <v> </v>
      </c>
      <c r="I3242" s="26" t="str">
        <f>IF(OR(E3242="",E3242="!!!",F3242="NEW"),"",INDEX(B3241:B$2,-1+SUMPRODUCT(MAX(ROW(E3241:E$2)*(E3242=E3241:E$2)))))</f>
        <v> </v>
      </c>
      <c r="J3242" s="26" t="str">
        <f>IF(OR(E3242="",E3242="!!!",F3242="NEW"),"",COUNTBLANK(OFFSET(A$1,,,SUMPRODUCT(MAX(ROW(E$2:E3242)*(E3242=E$2:E3242)))))-COUNTBLANK(OFFSET(A$1,,,SUMPRODUCT(MAX(ROW(E$1:E3241)*(E2=E$1:E3241))))))</f>
        <v> </v>
      </c>
      <c r="K3242" s="26" t="str">
        <f>IF(OR(E3242="",E3242="!!!",F3242="NEW"),"",INDEX(J$1:J3241,SUMPRODUCT(MAX(ROW(E$1:E3241)*(E3242=E$1:E3241)))))</f>
        <v> </v>
      </c>
      <c r="L3242" s="27"/>
    </row>
    <row r="3243" spans="1:12">
      <c r="A3243" s="20" t="s">
        <v>1276</v>
      </c>
      <c r="B3243" s="21" t="s">
        <v>1310</v>
      </c>
      <c r="C3243" s="21" t="s">
        <v>1162</v>
      </c>
      <c r="D3243" s="21" t="s">
        <v>1144</v>
      </c>
      <c r="E3243" s="22">
        <f>IF(D3243="?OLD","!!!","")</f>
        <v/>
      </c>
      <c r="F3243" s="23" t="str">
        <f>IF(OR(E3243="",E3243="!!!"),"",IF(NOT(ISNA(VLOOKUP(E3243,E$1:E3242,1,FALSE()))),"OLD",IF(AND(E3243&lt;&gt;"",E3243&lt;&gt;"!!!"),"NEW","")))</f>
        <v> </v>
      </c>
      <c r="G3243" s="24" t="str">
        <f>IF(OR(E3243="",E3243="!!!"),"",IF(OR(J3243=0,AND(J3243=1,K3243=1),AND(J3243=1,I3243="SBJ"),AND(J3243=1,I3243=0)),"?IN_FOCUS",IF(J3243&lt;=2,"?ACTIVATED",IF(J3243&lt;&gt;"","?FAMILIAR",IF(F3243="NEW",IF(ISNA(VLOOKUP(E3243,#REF!,1,FALSE())),"?TYPE_IDENTIFIABLE","?REFERENTIAL"),"_")))))</f>
        <v> </v>
      </c>
      <c r="H3243" s="25" t="str">
        <f>IF(J3243&lt;&gt;1,"",IF(I3243="SBJ","CB","?"))</f>
        <v> </v>
      </c>
      <c r="I3243" s="26" t="str">
        <f>IF(OR(E3243="",E3243="!!!",F3243="NEW"),"",INDEX(B3242:B$2,-1+SUMPRODUCT(MAX(ROW(E3242:E$2)*(E3243=E3242:E$2)))))</f>
        <v> </v>
      </c>
      <c r="J3243" s="26" t="str">
        <f>IF(OR(E3243="",E3243="!!!",F3243="NEW"),"",COUNTBLANK(OFFSET(A$1,,,SUMPRODUCT(MAX(ROW(E$2:E3243)*(E3243=E$2:E3243)))))-COUNTBLANK(OFFSET(A$1,,,SUMPRODUCT(MAX(ROW(E$1:E3242)*(E2=E$1:E3242))))))</f>
        <v> </v>
      </c>
      <c r="K3243" s="26" t="str">
        <f>IF(OR(E3243="",E3243="!!!",F3243="NEW"),"",INDEX(J$1:J3242,SUMPRODUCT(MAX(ROW(E$1:E3242)*(E3243=E$1:E3242)))))</f>
        <v> </v>
      </c>
      <c r="L3243" s="27"/>
    </row>
    <row r="3244" spans="1:12">
      <c r="A3244" s="20" t="s">
        <v>1308</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t="s">
        <v>1415</v>
      </c>
      <c r="E3245" s="22">
        <f>IF(D3245="?OLD","!!!","")</f>
        <v/>
      </c>
      <c r="F3245" s="23" t="str">
        <f>IF(OR(E3245="",E3245="!!!"),"",IF(NOT(ISNA(VLOOKUP(E3245,E$1:E3244,1,FALSE()))),"OLD",IF(AND(E3245&lt;&gt;"",E3245&lt;&gt;"!!!"),"NEW","")))</f>
        <v> </v>
      </c>
      <c r="G3245" s="24" t="str">
        <f>IF(OR(E3245="",E3245="!!!"),"",IF(OR(J3245=0,AND(J3245=1,K3245=1),AND(J3245=1,I3245="SBJ"),AND(J3245=1,I3245=0)),"?IN_FOCUS",IF(J3245&lt;=2,"?ACTIVATED",IF(J3245&lt;&gt;"","?FAMILIAR",IF(F3245="NEW",IF(ISNA(VLOOKUP(E3245,#REF!,1,FALSE())),"?TYPE_IDENTIFIABLE","?REFERENTIAL"),"_")))))</f>
        <v> </v>
      </c>
      <c r="H3245" s="25" t="str">
        <f>IF(J3245&lt;&gt;1,"",IF(I3245="SBJ","CB","?"))</f>
        <v> </v>
      </c>
      <c r="I3245" s="26" t="str">
        <f>IF(OR(E3245="",E3245="!!!",F3245="NEW"),"",INDEX(B3244:B$2,-1+SUMPRODUCT(MAX(ROW(E3244:E$2)*(E3245=E3244:E$2)))))</f>
        <v> </v>
      </c>
      <c r="J3245" s="26" t="str">
        <f>IF(OR(E3245="",E3245="!!!",F3245="NEW"),"",COUNTBLANK(OFFSET(A$1,,,SUMPRODUCT(MAX(ROW(E$2:E3245)*(E3245=E$2:E3245)))))-COUNTBLANK(OFFSET(A$1,,,SUMPRODUCT(MAX(ROW(E$1:E3244)*(E2=E$1:E3244))))))</f>
        <v> </v>
      </c>
      <c r="K3245" s="26" t="str">
        <f>IF(OR(E3245="",E3245="!!!",F3245="NEW"),"",INDEX(J$1:J3244,SUMPRODUCT(MAX(ROW(E$1:E3244)*(E3245=E$1:E3244)))))</f>
        <v> </v>
      </c>
      <c r="L3245" s="27"/>
    </row>
    <row r="3246" spans="1:12">
      <c r="A3246" s="20" t="s">
        <v>1166</v>
      </c>
      <c r="E3246" s="22">
        <f>IF(D3246="?OLD","!!!","")</f>
        <v/>
      </c>
      <c r="F3246" s="23" t="str">
        <f>IF(OR(E3246="",E3246="!!!"),"",IF(NOT(ISNA(VLOOKUP(E3246,E$1:E3245,1,FALSE()))),"OLD",IF(AND(E3246&lt;&gt;"",E3246&lt;&gt;"!!!"),"NEW","")))</f>
        <v> </v>
      </c>
      <c r="G3246" s="24" t="str">
        <f>IF(OR(E3246="",E3246="!!!"),"",IF(OR(J3246=0,AND(J3246=1,K3246=1),AND(J3246=1,I3246="SBJ"),AND(J3246=1,I3246=0)),"?IN_FOCUS",IF(J3246&lt;=2,"?ACTIVATED",IF(J3246&lt;&gt;"","?FAMILIAR",IF(F3246="NEW",IF(ISNA(VLOOKUP(E3246,#REF!,1,FALSE())),"?TYPE_IDENTIFIABLE","?REFERENTIAL"),"_")))))</f>
        <v> </v>
      </c>
      <c r="H3246" s="25" t="str">
        <f>IF(J3246&lt;&gt;1,"",IF(I3246="SBJ","CB","?"))</f>
        <v> </v>
      </c>
      <c r="I3246" s="26" t="str">
        <f>IF(OR(E3246="",E3246="!!!",F3246="NEW"),"",INDEX(B3245:B$2,-1+SUMPRODUCT(MAX(ROW(E3245:E$2)*(E3246=E3245:E$2)))))</f>
        <v> </v>
      </c>
      <c r="J3246" s="26" t="str">
        <f>IF(OR(E3246="",E3246="!!!",F3246="NEW"),"",COUNTBLANK(OFFSET(A$1,,,SUMPRODUCT(MAX(ROW(E$2:E3246)*(E3246=E$2:E3246)))))-COUNTBLANK(OFFSET(A$1,,,SUMPRODUCT(MAX(ROW(E$1:E3245)*(E2=E$1:E3245))))))</f>
        <v> </v>
      </c>
      <c r="K3246" s="26" t="str">
        <f>IF(OR(E3246="",E3246="!!!",F3246="NEW"),"",INDEX(J$1:J3245,SUMPRODUCT(MAX(ROW(E$1:E3245)*(E3246=E$1:E3245)))))</f>
        <v> </v>
      </c>
      <c r="L3246" s="27"/>
    </row>
    <row r="3247" spans="1:12">
      <c r="A3247" s="20" t="s">
        <v>1938</v>
      </c>
      <c r="E3247" s="22">
        <f>IF(D3247="?OLD","!!!","")</f>
        <v/>
      </c>
      <c r="F3247" s="23" t="str">
        <f>IF(OR(E3247="",E3247="!!!"),"",IF(NOT(ISNA(VLOOKUP(E3247,E$1:E3246,1,FALSE()))),"OLD",IF(AND(E3247&lt;&gt;"",E3247&lt;&gt;"!!!"),"NEW","")))</f>
        <v> </v>
      </c>
      <c r="G3247" s="24" t="str">
        <f>IF(OR(E3247="",E3247="!!!"),"",IF(OR(J3247=0,AND(J3247=1,K3247=1),AND(J3247=1,I3247="SBJ"),AND(J3247=1,I3247=0)),"?IN_FOCUS",IF(J3247&lt;=2,"?ACTIVATED",IF(J3247&lt;&gt;"","?FAMILIAR",IF(F3247="NEW",IF(ISNA(VLOOKUP(E3247,#REF!,1,FALSE())),"?TYPE_IDENTIFIABLE","?REFERENTIAL"),"_")))))</f>
        <v> </v>
      </c>
      <c r="H3247" s="25" t="str">
        <f>IF(J3247&lt;&gt;1,"",IF(I3247="SBJ","CB","?"))</f>
        <v> </v>
      </c>
      <c r="I3247" s="26" t="str">
        <f>IF(OR(E3247="",E3247="!!!",F3247="NEW"),"",INDEX(B3246:B$2,-1+SUMPRODUCT(MAX(ROW(E3246:E$2)*(E3247=E3246:E$2)))))</f>
        <v> </v>
      </c>
      <c r="J3247" s="26" t="str">
        <f>IF(OR(E3247="",E3247="!!!",F3247="NEW"),"",COUNTBLANK(OFFSET(A$1,,,SUMPRODUCT(MAX(ROW(E$2:E3247)*(E3247=E$2:E3247)))))-COUNTBLANK(OFFSET(A$1,,,SUMPRODUCT(MAX(ROW(E$1:E3246)*(E2=E$1:E3246))))))</f>
        <v> </v>
      </c>
      <c r="K3247" s="26" t="str">
        <f>IF(OR(E3247="",E3247="!!!",F3247="NEW"),"",INDEX(J$1:J3246,SUMPRODUCT(MAX(ROW(E$1:E3246)*(E3247=E$1:E3246)))))</f>
        <v> </v>
      </c>
      <c r="L3247" s="27"/>
    </row>
    <row r="3248" spans="1:12">
      <c r="A3248" s="20" t="s">
        <v>2152</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312</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row>
    <row r="3251" spans="1:12">
      <c r="A3251" s="20" t="s">
        <v>2153</v>
      </c>
    </row>
    <row r="3252" spans="1:12">
      <c r="A3252" s="20" t="s">
        <v>1300</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73</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t="s">
        <v>84</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t="s">
        <v>784</v>
      </c>
      <c r="B3255" s="21" t="s">
        <v>1161</v>
      </c>
      <c r="C3255" s="21" t="s">
        <v>1214</v>
      </c>
      <c r="E3255" s="22">
        <f>IF(D3255="?OLD","!!!","")</f>
        <v/>
      </c>
      <c r="F3255" s="23" t="str">
        <f>IF(OR(E3255="",E3255="!!!"),"",IF(NOT(ISNA(VLOOKUP(E3255,E$1:E3254,1,FALSE()))),"OLD",IF(AND(E3255&lt;&gt;"",E3255&lt;&gt;"!!!"),"NEW","")))</f>
        <v> </v>
      </c>
      <c r="G3255" s="24" t="str">
        <f>IF(OR(E3255="",E3255="!!!"),"",IF(OR(J3255=0,AND(J3255=1,K3255=1),AND(J3255=1,I3255="SBJ"),AND(J3255=1,I3255=0)),"?IN_FOCUS",IF(J3255&lt;=2,"?ACTIVATED",IF(J3255&lt;&gt;"","?FAMILIAR",IF(F3255="NEW",IF(ISNA(VLOOKUP(E3255,#REF!,1,FALSE())),"?TYPE_IDENTIFIABLE","?REFERENTIAL"),"_")))))</f>
        <v> </v>
      </c>
      <c r="H3255" s="25" t="str">
        <f>IF(J3255&lt;&gt;1,"",IF(I3255="SBJ","CB","?"))</f>
        <v> </v>
      </c>
      <c r="I3255" s="26" t="str">
        <f>IF(OR(E3255="",E3255="!!!",F3255="NEW"),"",INDEX(B3254:B$2,-1+SUMPRODUCT(MAX(ROW(E3254:E$2)*(E3255=E3254:E$2)))))</f>
        <v> </v>
      </c>
      <c r="J3255" s="26" t="str">
        <f>IF(OR(E3255="",E3255="!!!",F3255="NEW"),"",COUNTBLANK(OFFSET(A$1,,,SUMPRODUCT(MAX(ROW(E$2:E3255)*(E3255=E$2:E3255)))))-COUNTBLANK(OFFSET(A$1,,,SUMPRODUCT(MAX(ROW(E$1:E3254)*(E2=E$1:E3254))))))</f>
        <v> </v>
      </c>
      <c r="K3255" s="26" t="str">
        <f>IF(OR(E3255="",E3255="!!!",F3255="NEW"),"",INDEX(J$1:J3254,SUMPRODUCT(MAX(ROW(E$1:E3254)*(E3255=E$1:E3254)))))</f>
        <v> </v>
      </c>
      <c r="L3255" s="27"/>
    </row>
    <row r="3256" spans="1:12">
      <c r="A3256" s="20" t="s">
        <v>312</v>
      </c>
      <c r="E3256" s="22">
        <f>IF(D3256="?OLD","!!!","")</f>
        <v/>
      </c>
      <c r="F3256" s="23" t="str">
        <f>IF(OR(E3256="",E3256="!!!"),"",IF(NOT(ISNA(VLOOKUP(E3256,E$1:E3255,1,FALSE()))),"OLD",IF(AND(E3256&lt;&gt;"",E3256&lt;&gt;"!!!"),"NEW","")))</f>
        <v> </v>
      </c>
      <c r="G3256" s="24" t="str">
        <f>IF(OR(E3256="",E3256="!!!"),"",IF(OR(J3256=0,AND(J3256=1,K3256=1),AND(J3256=1,I3256="SBJ"),AND(J3256=1,I3256=0)),"?IN_FOCUS",IF(J3256&lt;=2,"?ACTIVATED",IF(J3256&lt;&gt;"","?FAMILIAR",IF(F3256="NEW",IF(ISNA(VLOOKUP(E3256,#REF!,1,FALSE())),"?TYPE_IDENTIFIABLE","?REFERENTIAL"),"_")))))</f>
        <v> </v>
      </c>
      <c r="H3256" s="25" t="str">
        <f>IF(J3256&lt;&gt;1,"",IF(I3256="SBJ","CB","?"))</f>
        <v> </v>
      </c>
      <c r="I3256" s="26" t="str">
        <f>IF(OR(E3256="",E3256="!!!",F3256="NEW"),"",INDEX(B3255:B$2,-1+SUMPRODUCT(MAX(ROW(E3255:E$2)*(E3256=E3255:E$2)))))</f>
        <v> </v>
      </c>
      <c r="J3256" s="26" t="str">
        <f>IF(OR(E3256="",E3256="!!!",F3256="NEW"),"",COUNTBLANK(OFFSET(A$1,,,SUMPRODUCT(MAX(ROW(E$2:E3256)*(E3256=E$2:E3256)))))-COUNTBLANK(OFFSET(A$1,,,SUMPRODUCT(MAX(ROW(E$1:E3255)*(E2=E$1:E3255))))))</f>
        <v> </v>
      </c>
      <c r="K3256" s="26" t="str">
        <f>IF(OR(E3256="",E3256="!!!",F3256="NEW"),"",INDEX(J$1:J3255,SUMPRODUCT(MAX(ROW(E$1:E3255)*(E3256=E$1:E3255)))))</f>
        <v> </v>
      </c>
      <c r="L3256" s="27"/>
    </row>
    <row r="3257" spans="1:12">
      <c r="A3257" s="20"/>
    </row>
    <row r="3258" spans="1:12">
      <c r="A3258" s="20" t="s">
        <v>2154</v>
      </c>
    </row>
    <row r="3259" spans="1:12">
      <c r="A3259" s="20" t="s">
        <v>1489</v>
      </c>
      <c r="B3259" s="21" t="s">
        <v>1161</v>
      </c>
      <c r="C3259" s="21" t="s">
        <v>1187</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1520</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t="s">
        <v>1787</v>
      </c>
      <c r="E3261" s="22">
        <f>IF(D3261="?OLD","!!!","")</f>
        <v/>
      </c>
      <c r="F3261" s="23" t="str">
        <f>IF(OR(E3261="",E3261="!!!"),"",IF(NOT(ISNA(VLOOKUP(E3261,E$1:E3260,1,FALSE()))),"OLD",IF(AND(E3261&lt;&gt;"",E3261&lt;&gt;"!!!"),"NEW","")))</f>
        <v> </v>
      </c>
      <c r="G3261" s="24" t="str">
        <f>IF(OR(E3261="",E3261="!!!"),"",IF(OR(J3261=0,AND(J3261=1,K3261=1),AND(J3261=1,I3261="SBJ"),AND(J3261=1,I3261=0)),"?IN_FOCUS",IF(J3261&lt;=2,"?ACTIVATED",IF(J3261&lt;&gt;"","?FAMILIAR",IF(F3261="NEW",IF(ISNA(VLOOKUP(E3261,#REF!,1,FALSE())),"?TYPE_IDENTIFIABLE","?REFERENTIAL"),"_")))))</f>
        <v> </v>
      </c>
      <c r="H3261" s="25" t="str">
        <f>IF(J3261&lt;&gt;1,"",IF(I3261="SBJ","CB","?"))</f>
        <v> </v>
      </c>
      <c r="I3261" s="26" t="str">
        <f>IF(OR(E3261="",E3261="!!!",F3261="NEW"),"",INDEX(B3260:B$2,-1+SUMPRODUCT(MAX(ROW(E3260:E$2)*(E3261=E3260:E$2)))))</f>
        <v> </v>
      </c>
      <c r="J3261" s="26" t="str">
        <f>IF(OR(E3261="",E3261="!!!",F3261="NEW"),"",COUNTBLANK(OFFSET(A$1,,,SUMPRODUCT(MAX(ROW(E$2:E3261)*(E3261=E$2:E3261)))))-COUNTBLANK(OFFSET(A$1,,,SUMPRODUCT(MAX(ROW(E$1:E3260)*(E2=E$1:E3260))))))</f>
        <v> </v>
      </c>
      <c r="K3261" s="26" t="str">
        <f>IF(OR(E3261="",E3261="!!!",F3261="NEW"),"",INDEX(J$1:J3260,SUMPRODUCT(MAX(ROW(E$1:E3260)*(E3261=E$1:E3260)))))</f>
        <v> </v>
      </c>
      <c r="L3261" s="27"/>
    </row>
    <row r="3262" spans="1:12">
      <c r="A3262" s="20" t="s">
        <v>2155</v>
      </c>
      <c r="E3262" s="22">
        <f>IF(D3262="?OLD","!!!","")</f>
        <v/>
      </c>
      <c r="F3262" s="23" t="str">
        <f>IF(OR(E3262="",E3262="!!!"),"",IF(NOT(ISNA(VLOOKUP(E3262,E$1:E3261,1,FALSE()))),"OLD",IF(AND(E3262&lt;&gt;"",E3262&lt;&gt;"!!!"),"NEW","")))</f>
        <v> </v>
      </c>
      <c r="G3262" s="24" t="str">
        <f>IF(OR(E3262="",E3262="!!!"),"",IF(OR(J3262=0,AND(J3262=1,K3262=1),AND(J3262=1,I3262="SBJ"),AND(J3262=1,I3262=0)),"?IN_FOCUS",IF(J3262&lt;=2,"?ACTIVATED",IF(J3262&lt;&gt;"","?FAMILIAR",IF(F3262="NEW",IF(ISNA(VLOOKUP(E3262,#REF!,1,FALSE())),"?TYPE_IDENTIFIABLE","?REFERENTIAL"),"_")))))</f>
        <v> </v>
      </c>
      <c r="H3262" s="25" t="str">
        <f>IF(J3262&lt;&gt;1,"",IF(I3262="SBJ","CB","?"))</f>
        <v> </v>
      </c>
      <c r="I3262" s="26" t="str">
        <f>IF(OR(E3262="",E3262="!!!",F3262="NEW"),"",INDEX(B3261:B$2,-1+SUMPRODUCT(MAX(ROW(E3261:E$2)*(E3262=E3261:E$2)))))</f>
        <v> </v>
      </c>
      <c r="J3262" s="26" t="str">
        <f>IF(OR(E3262="",E3262="!!!",F3262="NEW"),"",COUNTBLANK(OFFSET(A$1,,,SUMPRODUCT(MAX(ROW(E$2:E3262)*(E3262=E$2:E3262)))))-COUNTBLANK(OFFSET(A$1,,,SUMPRODUCT(MAX(ROW(E$1:E3261)*(E2=E$1:E3261))))))</f>
        <v> </v>
      </c>
      <c r="K3262" s="26" t="str">
        <f>IF(OR(E3262="",E3262="!!!",F3262="NEW"),"",INDEX(J$1:J3261,SUMPRODUCT(MAX(ROW(E$1:E3261)*(E3262=E$1:E3261)))))</f>
        <v> </v>
      </c>
      <c r="L3262" s="27"/>
    </row>
    <row r="3263" spans="1:12">
      <c r="A3263" s="20" t="s">
        <v>2078</v>
      </c>
      <c r="B3263" s="21" t="s">
        <v>1147</v>
      </c>
      <c r="C3263" s="21" t="s">
        <v>1187</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2156</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312</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row>
    <row r="3267" spans="1:12">
      <c r="A3267" s="20" t="s">
        <v>2157</v>
      </c>
    </row>
    <row r="3268" spans="1:12">
      <c r="A3268" s="20" t="s">
        <v>1300</v>
      </c>
      <c r="B3268" s="21" t="s">
        <v>1165</v>
      </c>
      <c r="C3268" s="21" t="s">
        <v>1151</v>
      </c>
      <c r="D3268" s="21" t="s">
        <v>1144</v>
      </c>
      <c r="E3268" s="22">
        <f>IF(D3268="?OLD","!!!","")</f>
        <v/>
      </c>
      <c r="F3268" s="23" t="str">
        <f>IF(OR(E3268="",E3268="!!!"),"",IF(NOT(ISNA(VLOOKUP(E3268,E$1:E3267,1,FALSE()))),"OLD",IF(AND(E3268&lt;&gt;"",E3268&lt;&gt;"!!!"),"NEW","")))</f>
        <v> </v>
      </c>
      <c r="G3268" s="24" t="str">
        <f>IF(OR(E3268="",E3268="!!!"),"",IF(OR(J3268=0,AND(J3268=1,K3268=1),AND(J3268=1,I3268="SBJ"),AND(J3268=1,I3268=0)),"?IN_FOCUS",IF(J3268&lt;=2,"?ACTIVATED",IF(J3268&lt;&gt;"","?FAMILIAR",IF(F3268="NEW",IF(ISNA(VLOOKUP(E3268,#REF!,1,FALSE())),"?TYPE_IDENTIFIABLE","?REFERENTIAL"),"_")))))</f>
        <v> </v>
      </c>
      <c r="H3268" s="25" t="str">
        <f>IF(J3268&lt;&gt;1,"",IF(I3268="SBJ","CB","?"))</f>
        <v> </v>
      </c>
      <c r="I3268" s="26" t="str">
        <f>IF(OR(E3268="",E3268="!!!",F3268="NEW"),"",INDEX(B3267:B$2,-1+SUMPRODUCT(MAX(ROW(E3267:E$2)*(E3268=E3267:E$2)))))</f>
        <v> </v>
      </c>
      <c r="J3268" s="26" t="str">
        <f>IF(OR(E3268="",E3268="!!!",F3268="NEW"),"",COUNTBLANK(OFFSET(A$1,,,SUMPRODUCT(MAX(ROW(E$2:E3268)*(E3268=E$2:E3268)))))-COUNTBLANK(OFFSET(A$1,,,SUMPRODUCT(MAX(ROW(E$1:E3267)*(E2=E$1:E3267))))))</f>
        <v> </v>
      </c>
      <c r="K3268" s="26" t="str">
        <f>IF(OR(E3268="",E3268="!!!",F3268="NEW"),"",INDEX(J$1:J3267,SUMPRODUCT(MAX(ROW(E$1:E3267)*(E3268=E$1:E3267)))))</f>
        <v> </v>
      </c>
      <c r="L3268" s="27"/>
    </row>
    <row r="3269" spans="1:12">
      <c r="A3269" s="20" t="s">
        <v>1301</v>
      </c>
      <c r="E3269" s="22">
        <f>IF(D3269="?OLD","!!!","")</f>
        <v/>
      </c>
      <c r="F3269" s="23" t="str">
        <f>IF(OR(E3269="",E3269="!!!"),"",IF(NOT(ISNA(VLOOKUP(E3269,E$1:E3268,1,FALSE()))),"OLD",IF(AND(E3269&lt;&gt;"",E3269&lt;&gt;"!!!"),"NEW","")))</f>
        <v> </v>
      </c>
      <c r="G3269" s="24" t="str">
        <f>IF(OR(E3269="",E3269="!!!"),"",IF(OR(J3269=0,AND(J3269=1,K3269=1),AND(J3269=1,I3269="SBJ"),AND(J3269=1,I3269=0)),"?IN_FOCUS",IF(J3269&lt;=2,"?ACTIVATED",IF(J3269&lt;&gt;"","?FAMILIAR",IF(F3269="NEW",IF(ISNA(VLOOKUP(E3269,#REF!,1,FALSE())),"?TYPE_IDENTIFIABLE","?REFERENTIAL"),"_")))))</f>
        <v> </v>
      </c>
      <c r="H3269" s="25" t="str">
        <f>IF(J3269&lt;&gt;1,"",IF(I3269="SBJ","CB","?"))</f>
        <v> </v>
      </c>
      <c r="I3269" s="26" t="str">
        <f>IF(OR(E3269="",E3269="!!!",F3269="NEW"),"",INDEX(B3268:B$2,-1+SUMPRODUCT(MAX(ROW(E3268:E$2)*(E3269=E3268:E$2)))))</f>
        <v> </v>
      </c>
      <c r="J3269" s="26" t="str">
        <f>IF(OR(E3269="",E3269="!!!",F3269="NEW"),"",COUNTBLANK(OFFSET(A$1,,,SUMPRODUCT(MAX(ROW(E$2:E3269)*(E3269=E$2:E3269)))))-COUNTBLANK(OFFSET(A$1,,,SUMPRODUCT(MAX(ROW(E$1:E3268)*(E2=E$1:E3268))))))</f>
        <v> </v>
      </c>
      <c r="K3269" s="26" t="str">
        <f>IF(OR(E3269="",E3269="!!!",F3269="NEW"),"",INDEX(J$1:J3268,SUMPRODUCT(MAX(ROW(E$1:E3268)*(E3269=E$1:E3268)))))</f>
        <v> </v>
      </c>
      <c r="L3269" s="27"/>
    </row>
    <row r="3270" spans="1:12">
      <c r="A3270" s="20" t="s">
        <v>1238</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t="s">
        <v>2158</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t="s">
        <v>2159</v>
      </c>
      <c r="B3272" s="21" t="s">
        <v>1161</v>
      </c>
      <c r="C3272" s="21" t="s">
        <v>1162</v>
      </c>
      <c r="D3272" s="21" t="s">
        <v>1144</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t="s">
        <v>1994</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2160</v>
      </c>
      <c r="B3274" s="21" t="s">
        <v>1161</v>
      </c>
      <c r="C3274" s="21" t="s">
        <v>1143</v>
      </c>
      <c r="D3274" s="21" t="s">
        <v>1144</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12</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2161</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t="s">
        <v>2162</v>
      </c>
      <c r="E3277" s="22">
        <f>IF(D3277="?OLD","!!!","")</f>
        <v/>
      </c>
      <c r="F3277" s="23" t="str">
        <f>IF(OR(E3277="",E3277="!!!"),"",IF(NOT(ISNA(VLOOKUP(E3277,E$1:E3276,1,FALSE()))),"OLD",IF(AND(E3277&lt;&gt;"",E3277&lt;&gt;"!!!"),"NEW","")))</f>
        <v> </v>
      </c>
      <c r="G3277" s="24" t="str">
        <f>IF(OR(E3277="",E3277="!!!"),"",IF(OR(J3277=0,AND(J3277=1,K3277=1),AND(J3277=1,I3277="SBJ"),AND(J3277=1,I3277=0)),"?IN_FOCUS",IF(J3277&lt;=2,"?ACTIVATED",IF(J3277&lt;&gt;"","?FAMILIAR",IF(F3277="NEW",IF(ISNA(VLOOKUP(E3277,#REF!,1,FALSE())),"?TYPE_IDENTIFIABLE","?REFERENTIAL"),"_")))))</f>
        <v> </v>
      </c>
      <c r="H3277" s="25" t="str">
        <f>IF(J3277&lt;&gt;1,"",IF(I3277="SBJ","CB","?"))</f>
        <v> </v>
      </c>
      <c r="I3277" s="26" t="str">
        <f>IF(OR(E3277="",E3277="!!!",F3277="NEW"),"",INDEX(B3276:B$2,-1+SUMPRODUCT(MAX(ROW(E3276:E$2)*(E3277=E3276:E$2)))))</f>
        <v> </v>
      </c>
      <c r="J3277" s="26" t="str">
        <f>IF(OR(E3277="",E3277="!!!",F3277="NEW"),"",COUNTBLANK(OFFSET(A$1,,,SUMPRODUCT(MAX(ROW(E$2:E3277)*(E3277=E$2:E3277)))))-COUNTBLANK(OFFSET(A$1,,,SUMPRODUCT(MAX(ROW(E$1:E3276)*(E2=E$1:E3276))))))</f>
        <v> </v>
      </c>
      <c r="K3277" s="26" t="str">
        <f>IF(OR(E3277="",E3277="!!!",F3277="NEW"),"",INDEX(J$1:J3276,SUMPRODUCT(MAX(ROW(E$1:E3276)*(E3277=E$1:E3276)))))</f>
        <v> </v>
      </c>
      <c r="L3277" s="27"/>
    </row>
    <row r="3278" spans="1:12">
      <c r="A3278" s="20" t="s">
        <v>138</v>
      </c>
      <c r="E3278" s="22">
        <f>IF(D3278="?OLD","!!!","")</f>
        <v/>
      </c>
      <c r="F3278" s="23" t="str">
        <f>IF(OR(E3278="",E3278="!!!"),"",IF(NOT(ISNA(VLOOKUP(E3278,E$1:E3277,1,FALSE()))),"OLD",IF(AND(E3278&lt;&gt;"",E3278&lt;&gt;"!!!"),"NEW","")))</f>
        <v> </v>
      </c>
      <c r="G3278" s="24" t="str">
        <f>IF(OR(E3278="",E3278="!!!"),"",IF(OR(J3278=0,AND(J3278=1,K3278=1),AND(J3278=1,I3278="SBJ"),AND(J3278=1,I3278=0)),"?IN_FOCUS",IF(J3278&lt;=2,"?ACTIVATED",IF(J3278&lt;&gt;"","?FAMILIAR",IF(F3278="NEW",IF(ISNA(VLOOKUP(E3278,#REF!,1,FALSE())),"?TYPE_IDENTIFIABLE","?REFERENTIAL"),"_")))))</f>
        <v> </v>
      </c>
      <c r="H3278" s="25" t="str">
        <f>IF(J3278&lt;&gt;1,"",IF(I3278="SBJ","CB","?"))</f>
        <v> </v>
      </c>
      <c r="I3278" s="26" t="str">
        <f>IF(OR(E3278="",E3278="!!!",F3278="NEW"),"",INDEX(B3277:B$2,-1+SUMPRODUCT(MAX(ROW(E3277:E$2)*(E3278=E3277:E$2)))))</f>
        <v> </v>
      </c>
      <c r="J3278" s="26" t="str">
        <f>IF(OR(E3278="",E3278="!!!",F3278="NEW"),"",COUNTBLANK(OFFSET(A$1,,,SUMPRODUCT(MAX(ROW(E$2:E3278)*(E3278=E$2:E3278)))))-COUNTBLANK(OFFSET(A$1,,,SUMPRODUCT(MAX(ROW(E$1:E3277)*(E2=E$1:E3277))))))</f>
        <v> </v>
      </c>
      <c r="K3278" s="26" t="str">
        <f>IF(OR(E3278="",E3278="!!!",F3278="NEW"),"",INDEX(J$1:J3277,SUMPRODUCT(MAX(ROW(E$1:E3277)*(E3278=E$1:E3277)))))</f>
        <v> </v>
      </c>
      <c r="L3278" s="27"/>
    </row>
    <row r="3279" spans="1:12">
      <c r="A3279" s="20" t="s">
        <v>1319</v>
      </c>
      <c r="B3279" s="21" t="s">
        <v>1161</v>
      </c>
      <c r="C3279" s="21" t="s">
        <v>1214</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t="s">
        <v>312</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row>
    <row r="3282" spans="1:12">
      <c r="A3282" s="20" t="s">
        <v>2163</v>
      </c>
    </row>
    <row r="3283" spans="1:12">
      <c r="A3283" s="20" t="s">
        <v>198</v>
      </c>
      <c r="B3283" s="21" t="s">
        <v>1165</v>
      </c>
      <c r="C3283" s="21" t="s">
        <v>1143</v>
      </c>
      <c r="D3283" s="21" t="s">
        <v>1144</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1146</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t="s">
        <v>1816</v>
      </c>
      <c r="E3285" s="22">
        <f>IF(D3285="?OLD","!!!","")</f>
        <v/>
      </c>
      <c r="F3285" s="23" t="str">
        <f>IF(OR(E3285="",E3285="!!!"),"",IF(NOT(ISNA(VLOOKUP(E3285,E$1:E3284,1,FALSE()))),"OLD",IF(AND(E3285&lt;&gt;"",E3285&lt;&gt;"!!!"),"NEW","")))</f>
        <v> </v>
      </c>
      <c r="G3285" s="24" t="str">
        <f>IF(OR(E3285="",E3285="!!!"),"",IF(OR(J3285=0,AND(J3285=1,K3285=1),AND(J3285=1,I3285="SBJ"),AND(J3285=1,I3285=0)),"?IN_FOCUS",IF(J3285&lt;=2,"?ACTIVATED",IF(J3285&lt;&gt;"","?FAMILIAR",IF(F3285="NEW",IF(ISNA(VLOOKUP(E3285,#REF!,1,FALSE())),"?TYPE_IDENTIFIABLE","?REFERENTIAL"),"_")))))</f>
        <v> </v>
      </c>
      <c r="H3285" s="25" t="str">
        <f>IF(J3285&lt;&gt;1,"",IF(I3285="SBJ","CB","?"))</f>
        <v> </v>
      </c>
      <c r="I3285" s="26" t="str">
        <f>IF(OR(E3285="",E3285="!!!",F3285="NEW"),"",INDEX(B3284:B$2,-1+SUMPRODUCT(MAX(ROW(E3284:E$2)*(E3285=E3284:E$2)))))</f>
        <v> </v>
      </c>
      <c r="J3285" s="26" t="str">
        <f>IF(OR(E3285="",E3285="!!!",F3285="NEW"),"",COUNTBLANK(OFFSET(A$1,,,SUMPRODUCT(MAX(ROW(E$2:E3285)*(E3285=E$2:E3285)))))-COUNTBLANK(OFFSET(A$1,,,SUMPRODUCT(MAX(ROW(E$1:E3284)*(E2=E$1:E3284))))))</f>
        <v> </v>
      </c>
      <c r="K3285" s="26" t="str">
        <f>IF(OR(E3285="",E3285="!!!",F3285="NEW"),"",INDEX(J$1:J3284,SUMPRODUCT(MAX(ROW(E$1:E3284)*(E3285=E$1:E3284)))))</f>
        <v> </v>
      </c>
      <c r="L3285" s="27"/>
    </row>
    <row r="3286" spans="1:12">
      <c r="A3286" s="20" t="s">
        <v>2164</v>
      </c>
      <c r="E3286" s="22">
        <f>IF(D3286="?OLD","!!!","")</f>
        <v/>
      </c>
      <c r="F3286" s="23" t="str">
        <f>IF(OR(E3286="",E3286="!!!"),"",IF(NOT(ISNA(VLOOKUP(E3286,E$1:E3285,1,FALSE()))),"OLD",IF(AND(E3286&lt;&gt;"",E3286&lt;&gt;"!!!"),"NEW","")))</f>
        <v> </v>
      </c>
      <c r="G3286" s="24" t="str">
        <f>IF(OR(E3286="",E3286="!!!"),"",IF(OR(J3286=0,AND(J3286=1,K3286=1),AND(J3286=1,I3286="SBJ"),AND(J3286=1,I3286=0)),"?IN_FOCUS",IF(J3286&lt;=2,"?ACTIVATED",IF(J3286&lt;&gt;"","?FAMILIAR",IF(F3286="NEW",IF(ISNA(VLOOKUP(E3286,#REF!,1,FALSE())),"?TYPE_IDENTIFIABLE","?REFERENTIAL"),"_")))))</f>
        <v> </v>
      </c>
      <c r="H3286" s="25" t="str">
        <f>IF(J3286&lt;&gt;1,"",IF(I3286="SBJ","CB","?"))</f>
        <v> </v>
      </c>
      <c r="I3286" s="26" t="str">
        <f>IF(OR(E3286="",E3286="!!!",F3286="NEW"),"",INDEX(B3285:B$2,-1+SUMPRODUCT(MAX(ROW(E3285:E$2)*(E3286=E3285:E$2)))))</f>
        <v> </v>
      </c>
      <c r="J3286" s="26" t="str">
        <f>IF(OR(E3286="",E3286="!!!",F3286="NEW"),"",COUNTBLANK(OFFSET(A$1,,,SUMPRODUCT(MAX(ROW(E$2:E3286)*(E3286=E$2:E3286)))))-COUNTBLANK(OFFSET(A$1,,,SUMPRODUCT(MAX(ROW(E$1:E3285)*(E2=E$1:E3285))))))</f>
        <v> </v>
      </c>
      <c r="K3286" s="26" t="str">
        <f>IF(OR(E3286="",E3286="!!!",F3286="NEW"),"",INDEX(J$1:J3285,SUMPRODUCT(MAX(ROW(E$1:E3285)*(E3286=E$1:E3285)))))</f>
        <v> </v>
      </c>
      <c r="L3286" s="27"/>
    </row>
    <row r="3287" spans="1:12">
      <c r="A3287" s="20" t="s">
        <v>1760</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t="s">
        <v>1166</v>
      </c>
      <c r="E3288" s="22">
        <f>IF(D3288="?OLD","!!!","")</f>
        <v/>
      </c>
      <c r="F3288" s="23" t="str">
        <f>IF(OR(E3288="",E3288="!!!"),"",IF(NOT(ISNA(VLOOKUP(E3288,E$1:E3287,1,FALSE()))),"OLD",IF(AND(E3288&lt;&gt;"",E3288&lt;&gt;"!!!"),"NEW","")))</f>
        <v> </v>
      </c>
      <c r="G3288" s="24" t="str">
        <f>IF(OR(E3288="",E3288="!!!"),"",IF(OR(J3288=0,AND(J3288=1,K3288=1),AND(J3288=1,I3288="SBJ"),AND(J3288=1,I3288=0)),"?IN_FOCUS",IF(J3288&lt;=2,"?ACTIVATED",IF(J3288&lt;&gt;"","?FAMILIAR",IF(F3288="NEW",IF(ISNA(VLOOKUP(E3288,#REF!,1,FALSE())),"?TYPE_IDENTIFIABLE","?REFERENTIAL"),"_")))))</f>
        <v> </v>
      </c>
      <c r="H3288" s="25" t="str">
        <f>IF(J3288&lt;&gt;1,"",IF(I3288="SBJ","CB","?"))</f>
        <v> </v>
      </c>
      <c r="I3288" s="26" t="str">
        <f>IF(OR(E3288="",E3288="!!!",F3288="NEW"),"",INDEX(B3287:B$2,-1+SUMPRODUCT(MAX(ROW(E3287:E$2)*(E3288=E3287:E$2)))))</f>
        <v> </v>
      </c>
      <c r="J3288" s="26" t="str">
        <f>IF(OR(E3288="",E3288="!!!",F3288="NEW"),"",COUNTBLANK(OFFSET(A$1,,,SUMPRODUCT(MAX(ROW(E$2:E3288)*(E3288=E$2:E3288)))))-COUNTBLANK(OFFSET(A$1,,,SUMPRODUCT(MAX(ROW(E$1:E3287)*(E2=E$1:E3287))))))</f>
        <v> </v>
      </c>
      <c r="K3288" s="26" t="str">
        <f>IF(OR(E3288="",E3288="!!!",F3288="NEW"),"",INDEX(J$1:J3287,SUMPRODUCT(MAX(ROW(E$1:E3287)*(E3288=E$1:E3287)))))</f>
        <v> </v>
      </c>
      <c r="L3288" s="27"/>
    </row>
    <row r="3289" spans="1:12">
      <c r="A3289" s="20" t="s">
        <v>1736</v>
      </c>
      <c r="B3289" s="21" t="s">
        <v>1150</v>
      </c>
      <c r="C3289" s="21" t="s">
        <v>1187</v>
      </c>
      <c r="E3289" s="22">
        <f>IF(D3289="?OLD","!!!","")</f>
        <v/>
      </c>
      <c r="F3289" s="23" t="str">
        <f>IF(OR(E3289="",E3289="!!!"),"",IF(NOT(ISNA(VLOOKUP(E3289,E$1:E3288,1,FALSE()))),"OLD",IF(AND(E3289&lt;&gt;"",E3289&lt;&gt;"!!!"),"NEW","")))</f>
        <v> </v>
      </c>
      <c r="G3289" s="24" t="str">
        <f>IF(OR(E3289="",E3289="!!!"),"",IF(OR(J3289=0,AND(J3289=1,K3289=1),AND(J3289=1,I3289="SBJ"),AND(J3289=1,I3289=0)),"?IN_FOCUS",IF(J3289&lt;=2,"?ACTIVATED",IF(J3289&lt;&gt;"","?FAMILIAR",IF(F3289="NEW",IF(ISNA(VLOOKUP(E3289,#REF!,1,FALSE())),"?TYPE_IDENTIFIABLE","?REFERENTIAL"),"_")))))</f>
        <v> </v>
      </c>
      <c r="H3289" s="25" t="str">
        <f>IF(J3289&lt;&gt;1,"",IF(I3289="SBJ","CB","?"))</f>
        <v> </v>
      </c>
      <c r="I3289" s="26" t="str">
        <f>IF(OR(E3289="",E3289="!!!",F3289="NEW"),"",INDEX(B3288:B$2,-1+SUMPRODUCT(MAX(ROW(E3288:E$2)*(E3289=E3288:E$2)))))</f>
        <v> </v>
      </c>
      <c r="J3289" s="26" t="str">
        <f>IF(OR(E3289="",E3289="!!!",F3289="NEW"),"",COUNTBLANK(OFFSET(A$1,,,SUMPRODUCT(MAX(ROW(E$2:E3289)*(E3289=E$2:E3289)))))-COUNTBLANK(OFFSET(A$1,,,SUMPRODUCT(MAX(ROW(E$1:E3288)*(E2=E$1:E3288))))))</f>
        <v> </v>
      </c>
      <c r="K3289" s="26" t="str">
        <f>IF(OR(E3289="",E3289="!!!",F3289="NEW"),"",INDEX(J$1:J3288,SUMPRODUCT(MAX(ROW(E$1:E3288)*(E3289=E$1:E3288)))))</f>
        <v> </v>
      </c>
      <c r="L3289" s="27"/>
    </row>
    <row r="3290" spans="1:12">
      <c r="A3290" s="20" t="s">
        <v>1308</v>
      </c>
      <c r="E3290" s="22">
        <f>IF(D3290="?OLD","!!!","")</f>
        <v/>
      </c>
      <c r="F3290" s="23" t="str">
        <f>IF(OR(E3290="",E3290="!!!"),"",IF(NOT(ISNA(VLOOKUP(E3290,E$1:E3289,1,FALSE()))),"OLD",IF(AND(E3290&lt;&gt;"",E3290&lt;&gt;"!!!"),"NEW","")))</f>
        <v> </v>
      </c>
      <c r="G3290" s="24" t="str">
        <f>IF(OR(E3290="",E3290="!!!"),"",IF(OR(J3290=0,AND(J3290=1,K3290=1),AND(J3290=1,I3290="SBJ"),AND(J3290=1,I3290=0)),"?IN_FOCUS",IF(J3290&lt;=2,"?ACTIVATED",IF(J3290&lt;&gt;"","?FAMILIAR",IF(F3290="NEW",IF(ISNA(VLOOKUP(E3290,#REF!,1,FALSE())),"?TYPE_IDENTIFIABLE","?REFERENTIAL"),"_")))))</f>
        <v> </v>
      </c>
      <c r="H3290" s="25" t="str">
        <f>IF(J3290&lt;&gt;1,"",IF(I3290="SBJ","CB","?"))</f>
        <v> </v>
      </c>
      <c r="I3290" s="26" t="str">
        <f>IF(OR(E3290="",E3290="!!!",F3290="NEW"),"",INDEX(B3289:B$2,-1+SUMPRODUCT(MAX(ROW(E3289:E$2)*(E3290=E3289:E$2)))))</f>
        <v> </v>
      </c>
      <c r="J3290" s="26" t="str">
        <f>IF(OR(E3290="",E3290="!!!",F3290="NEW"),"",COUNTBLANK(OFFSET(A$1,,,SUMPRODUCT(MAX(ROW(E$2:E3290)*(E3290=E$2:E3290)))))-COUNTBLANK(OFFSET(A$1,,,SUMPRODUCT(MAX(ROW(E$1:E3289)*(E2=E$1:E3289))))))</f>
        <v> </v>
      </c>
      <c r="K3290" s="26" t="str">
        <f>IF(OR(E3290="",E3290="!!!",F3290="NEW"),"",INDEX(J$1:J3289,SUMPRODUCT(MAX(ROW(E$1:E3289)*(E3290=E$1:E3289)))))</f>
        <v> </v>
      </c>
      <c r="L3290" s="27"/>
    </row>
    <row r="3291" spans="1:12">
      <c r="A3291" s="20" t="s">
        <v>715</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t="s">
        <v>312</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row>
    <row r="3294" spans="1:12">
      <c r="A3294" s="20" t="s">
        <v>2165</v>
      </c>
    </row>
    <row r="3295" spans="1:12">
      <c r="A3295" s="20" t="s">
        <v>308</v>
      </c>
      <c r="B3295" s="21" t="s">
        <v>1161</v>
      </c>
      <c r="C3295" s="21" t="s">
        <v>1143</v>
      </c>
      <c r="D3295" s="21" t="s">
        <v>1144</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1146</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1605</v>
      </c>
      <c r="B3297" s="21" t="s">
        <v>1161</v>
      </c>
      <c r="C3297" s="21" t="s">
        <v>1143</v>
      </c>
      <c r="D3297" s="21" t="s">
        <v>1144</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t="s">
        <v>1166</v>
      </c>
      <c r="E3298" s="22">
        <f>IF(D3298="?OLD","!!!","")</f>
        <v/>
      </c>
      <c r="F3298" s="23" t="str">
        <f>IF(OR(E3298="",E3298="!!!"),"",IF(NOT(ISNA(VLOOKUP(E3298,E$1:E3297,1,FALSE()))),"OLD",IF(AND(E3298&lt;&gt;"",E3298&lt;&gt;"!!!"),"NEW","")))</f>
        <v> </v>
      </c>
      <c r="G3298" s="24" t="str">
        <f>IF(OR(E3298="",E3298="!!!"),"",IF(OR(J3298=0,AND(J3298=1,K3298=1),AND(J3298=1,I3298="SBJ"),AND(J3298=1,I3298=0)),"?IN_FOCUS",IF(J3298&lt;=2,"?ACTIVATED",IF(J3298&lt;&gt;"","?FAMILIAR",IF(F3298="NEW",IF(ISNA(VLOOKUP(E3298,#REF!,1,FALSE())),"?TYPE_IDENTIFIABLE","?REFERENTIAL"),"_")))))</f>
        <v> </v>
      </c>
      <c r="H3298" s="25" t="str">
        <f>IF(J3298&lt;&gt;1,"",IF(I3298="SBJ","CB","?"))</f>
        <v> </v>
      </c>
      <c r="I3298" s="26" t="str">
        <f>IF(OR(E3298="",E3298="!!!",F3298="NEW"),"",INDEX(B3297:B$2,-1+SUMPRODUCT(MAX(ROW(E3297:E$2)*(E3298=E3297:E$2)))))</f>
        <v> </v>
      </c>
      <c r="J3298" s="26" t="str">
        <f>IF(OR(E3298="",E3298="!!!",F3298="NEW"),"",COUNTBLANK(OFFSET(A$1,,,SUMPRODUCT(MAX(ROW(E$2:E3298)*(E3298=E$2:E3298)))))-COUNTBLANK(OFFSET(A$1,,,SUMPRODUCT(MAX(ROW(E$1:E3297)*(E2=E$1:E3297))))))</f>
        <v> </v>
      </c>
      <c r="K3298" s="26" t="str">
        <f>IF(OR(E3298="",E3298="!!!",F3298="NEW"),"",INDEX(J$1:J3297,SUMPRODUCT(MAX(ROW(E$1:E3297)*(E3298=E$1:E3297)))))</f>
        <v> </v>
      </c>
      <c r="L3298" s="27"/>
    </row>
    <row r="3299" spans="1:12">
      <c r="A3299" s="20" t="s">
        <v>1203</v>
      </c>
      <c r="E3299" s="22">
        <f>IF(D3299="?OLD","!!!","")</f>
        <v/>
      </c>
      <c r="F3299" s="23" t="str">
        <f>IF(OR(E3299="",E3299="!!!"),"",IF(NOT(ISNA(VLOOKUP(E3299,E$1:E3298,1,FALSE()))),"OLD",IF(AND(E3299&lt;&gt;"",E3299&lt;&gt;"!!!"),"NEW","")))</f>
        <v> </v>
      </c>
      <c r="G3299" s="24" t="str">
        <f>IF(OR(E3299="",E3299="!!!"),"",IF(OR(J3299=0,AND(J3299=1,K3299=1),AND(J3299=1,I3299="SBJ"),AND(J3299=1,I3299=0)),"?IN_FOCUS",IF(J3299&lt;=2,"?ACTIVATED",IF(J3299&lt;&gt;"","?FAMILIAR",IF(F3299="NEW",IF(ISNA(VLOOKUP(E3299,#REF!,1,FALSE())),"?TYPE_IDENTIFIABLE","?REFERENTIAL"),"_")))))</f>
        <v> </v>
      </c>
      <c r="H3299" s="25" t="str">
        <f>IF(J3299&lt;&gt;1,"",IF(I3299="SBJ","CB","?"))</f>
        <v> </v>
      </c>
      <c r="I3299" s="26" t="str">
        <f>IF(OR(E3299="",E3299="!!!",F3299="NEW"),"",INDEX(B3298:B$2,-1+SUMPRODUCT(MAX(ROW(E3298:E$2)*(E3299=E3298:E$2)))))</f>
        <v> </v>
      </c>
      <c r="J3299" s="26" t="str">
        <f>IF(OR(E3299="",E3299="!!!",F3299="NEW"),"",COUNTBLANK(OFFSET(A$1,,,SUMPRODUCT(MAX(ROW(E$2:E3299)*(E3299=E$2:E3299)))))-COUNTBLANK(OFFSET(A$1,,,SUMPRODUCT(MAX(ROW(E$1:E3298)*(E2=E$1:E3298))))))</f>
        <v> </v>
      </c>
      <c r="K3299" s="26" t="str">
        <f>IF(OR(E3299="",E3299="!!!",F3299="NEW"),"",INDEX(J$1:J3298,SUMPRODUCT(MAX(ROW(E$1:E3298)*(E3299=E$1:E3298)))))</f>
        <v> </v>
      </c>
      <c r="L3299" s="27"/>
    </row>
    <row r="3300" spans="1:12">
      <c r="A3300" s="20" t="s">
        <v>2166</v>
      </c>
      <c r="B3300" s="21" t="s">
        <v>1150</v>
      </c>
      <c r="C3300" s="21" t="s">
        <v>1187</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1308</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2167</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t="s">
        <v>1203</v>
      </c>
      <c r="E3303" s="22">
        <f>IF(D3303="?OLD","!!!","")</f>
        <v/>
      </c>
      <c r="F3303" s="23" t="str">
        <f>IF(OR(E3303="",E3303="!!!"),"",IF(NOT(ISNA(VLOOKUP(E3303,E$1:E3302,1,FALSE()))),"OLD",IF(AND(E3303&lt;&gt;"",E3303&lt;&gt;"!!!"),"NEW","")))</f>
        <v> </v>
      </c>
      <c r="G3303" s="24" t="str">
        <f>IF(OR(E3303="",E3303="!!!"),"",IF(OR(J3303=0,AND(J3303=1,K3303=1),AND(J3303=1,I3303="SBJ"),AND(J3303=1,I3303=0)),"?IN_FOCUS",IF(J3303&lt;=2,"?ACTIVATED",IF(J3303&lt;&gt;"","?FAMILIAR",IF(F3303="NEW",IF(ISNA(VLOOKUP(E3303,#REF!,1,FALSE())),"?TYPE_IDENTIFIABLE","?REFERENTIAL"),"_")))))</f>
        <v> </v>
      </c>
      <c r="H3303" s="25" t="str">
        <f>IF(J3303&lt;&gt;1,"",IF(I3303="SBJ","CB","?"))</f>
        <v> </v>
      </c>
      <c r="I3303" s="26" t="str">
        <f>IF(OR(E3303="",E3303="!!!",F3303="NEW"),"",INDEX(B3302:B$2,-1+SUMPRODUCT(MAX(ROW(E3302:E$2)*(E3303=E3302:E$2)))))</f>
        <v> </v>
      </c>
      <c r="J3303" s="26" t="str">
        <f>IF(OR(E3303="",E3303="!!!",F3303="NEW"),"",COUNTBLANK(OFFSET(A$1,,,SUMPRODUCT(MAX(ROW(E$2:E3303)*(E3303=E$2:E3303)))))-COUNTBLANK(OFFSET(A$1,,,SUMPRODUCT(MAX(ROW(E$1:E3302)*(E2=E$1:E3302))))))</f>
        <v> </v>
      </c>
      <c r="K3303" s="26" t="str">
        <f>IF(OR(E3303="",E3303="!!!",F3303="NEW"),"",INDEX(J$1:J3302,SUMPRODUCT(MAX(ROW(E$1:E3302)*(E3303=E$1:E3302)))))</f>
        <v> </v>
      </c>
      <c r="L3303" s="27"/>
    </row>
    <row r="3304" spans="1:12">
      <c r="A3304" s="20" t="s">
        <v>1191</v>
      </c>
      <c r="E3304" s="22">
        <f>IF(D3304="?OLD","!!!","")</f>
        <v/>
      </c>
      <c r="F3304" s="23" t="str">
        <f>IF(OR(E3304="",E3304="!!!"),"",IF(NOT(ISNA(VLOOKUP(E3304,E$1:E3303,1,FALSE()))),"OLD",IF(AND(E3304&lt;&gt;"",E3304&lt;&gt;"!!!"),"NEW","")))</f>
        <v> </v>
      </c>
      <c r="G3304" s="24" t="str">
        <f>IF(OR(E3304="",E3304="!!!"),"",IF(OR(J3304=0,AND(J3304=1,K3304=1),AND(J3304=1,I3304="SBJ"),AND(J3304=1,I3304=0)),"?IN_FOCUS",IF(J3304&lt;=2,"?ACTIVATED",IF(J3304&lt;&gt;"","?FAMILIAR",IF(F3304="NEW",IF(ISNA(VLOOKUP(E3304,#REF!,1,FALSE())),"?TYPE_IDENTIFIABLE","?REFERENTIAL"),"_")))))</f>
        <v> </v>
      </c>
      <c r="H3304" s="25" t="str">
        <f>IF(J3304&lt;&gt;1,"",IF(I3304="SBJ","CB","?"))</f>
        <v> </v>
      </c>
      <c r="I3304" s="26" t="str">
        <f>IF(OR(E3304="",E3304="!!!",F3304="NEW"),"",INDEX(B3303:B$2,-1+SUMPRODUCT(MAX(ROW(E3303:E$2)*(E3304=E3303:E$2)))))</f>
        <v> </v>
      </c>
      <c r="J3304" s="26" t="str">
        <f>IF(OR(E3304="",E3304="!!!",F3304="NEW"),"",COUNTBLANK(OFFSET(A$1,,,SUMPRODUCT(MAX(ROW(E$2:E3304)*(E3304=E$2:E3304)))))-COUNTBLANK(OFFSET(A$1,,,SUMPRODUCT(MAX(ROW(E$1:E3303)*(E2=E$1:E3303))))))</f>
        <v> </v>
      </c>
      <c r="K3304" s="26" t="str">
        <f>IF(OR(E3304="",E3304="!!!",F3304="NEW"),"",INDEX(J$1:J3303,SUMPRODUCT(MAX(ROW(E$1:E3303)*(E3304=E$1:E3303)))))</f>
        <v> </v>
      </c>
      <c r="L3304" s="27"/>
    </row>
    <row r="3305" spans="1:12">
      <c r="A3305" s="20" t="s">
        <v>1736</v>
      </c>
      <c r="B3305" s="21" t="s">
        <v>1193</v>
      </c>
      <c r="C3305" s="21" t="s">
        <v>1162</v>
      </c>
      <c r="D3305" s="21" t="s">
        <v>1144</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2168</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1308</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t="s">
        <v>218</v>
      </c>
      <c r="E3308" s="22">
        <f>IF(D3308="?OLD","!!!","")</f>
        <v/>
      </c>
      <c r="F3308" s="23" t="str">
        <f>IF(OR(E3308="",E3308="!!!"),"",IF(NOT(ISNA(VLOOKUP(E3308,E$1:E3307,1,FALSE()))),"OLD",IF(AND(E3308&lt;&gt;"",E3308&lt;&gt;"!!!"),"NEW","")))</f>
        <v> </v>
      </c>
      <c r="G3308" s="24" t="str">
        <f>IF(OR(E3308="",E3308="!!!"),"",IF(OR(J3308=0,AND(J3308=1,K3308=1),AND(J3308=1,I3308="SBJ"),AND(J3308=1,I3308=0)),"?IN_FOCUS",IF(J3308&lt;=2,"?ACTIVATED",IF(J3308&lt;&gt;"","?FAMILIAR",IF(F3308="NEW",IF(ISNA(VLOOKUP(E3308,#REF!,1,FALSE())),"?TYPE_IDENTIFIABLE","?REFERENTIAL"),"_")))))</f>
        <v> </v>
      </c>
      <c r="H3308" s="25" t="str">
        <f>IF(J3308&lt;&gt;1,"",IF(I3308="SBJ","CB","?"))</f>
        <v> </v>
      </c>
      <c r="I3308" s="26" t="str">
        <f>IF(OR(E3308="",E3308="!!!",F3308="NEW"),"",INDEX(B3307:B$2,-1+SUMPRODUCT(MAX(ROW(E3307:E$2)*(E3308=E3307:E$2)))))</f>
        <v> </v>
      </c>
      <c r="J3308" s="26" t="str">
        <f>IF(OR(E3308="",E3308="!!!",F3308="NEW"),"",COUNTBLANK(OFFSET(A$1,,,SUMPRODUCT(MAX(ROW(E$2:E3308)*(E3308=E$2:E3308)))))-COUNTBLANK(OFFSET(A$1,,,SUMPRODUCT(MAX(ROW(E$1:E3307)*(E2=E$1:E3307))))))</f>
        <v> </v>
      </c>
      <c r="K3308" s="26" t="str">
        <f>IF(OR(E3308="",E3308="!!!",F3308="NEW"),"",INDEX(J$1:J3307,SUMPRODUCT(MAX(ROW(E$1:E3307)*(E3308=E$1:E3307)))))</f>
        <v> </v>
      </c>
      <c r="L3308" s="27"/>
    </row>
    <row r="3309" spans="1:12">
      <c r="A3309" s="20" t="s">
        <v>312</v>
      </c>
      <c r="E3309" s="22">
        <f>IF(D3309="?OLD","!!!","")</f>
        <v/>
      </c>
      <c r="F3309" s="23" t="str">
        <f>IF(OR(E3309="",E3309="!!!"),"",IF(NOT(ISNA(VLOOKUP(E3309,E$1:E3308,1,FALSE()))),"OLD",IF(AND(E3309&lt;&gt;"",E3309&lt;&gt;"!!!"),"NEW","")))</f>
        <v> </v>
      </c>
      <c r="G3309" s="24" t="str">
        <f>IF(OR(E3309="",E3309="!!!"),"",IF(OR(J3309=0,AND(J3309=1,K3309=1),AND(J3309=1,I3309="SBJ"),AND(J3309=1,I3309=0)),"?IN_FOCUS",IF(J3309&lt;=2,"?ACTIVATED",IF(J3309&lt;&gt;"","?FAMILIAR",IF(F3309="NEW",IF(ISNA(VLOOKUP(E3309,#REF!,1,FALSE())),"?TYPE_IDENTIFIABLE","?REFERENTIAL"),"_")))))</f>
        <v> </v>
      </c>
      <c r="H3309" s="25" t="str">
        <f>IF(J3309&lt;&gt;1,"",IF(I3309="SBJ","CB","?"))</f>
        <v> </v>
      </c>
      <c r="I3309" s="26" t="str">
        <f>IF(OR(E3309="",E3309="!!!",F3309="NEW"),"",INDEX(B3308:B$2,-1+SUMPRODUCT(MAX(ROW(E3308:E$2)*(E3309=E3308:E$2)))))</f>
        <v> </v>
      </c>
      <c r="J3309" s="26" t="str">
        <f>IF(OR(E3309="",E3309="!!!",F3309="NEW"),"",COUNTBLANK(OFFSET(A$1,,,SUMPRODUCT(MAX(ROW(E$2:E3309)*(E3309=E$2:E3309)))))-COUNTBLANK(OFFSET(A$1,,,SUMPRODUCT(MAX(ROW(E$1:E3308)*(E2=E$1:E3308))))))</f>
        <v> </v>
      </c>
      <c r="K3309" s="26" t="str">
        <f>IF(OR(E3309="",E3309="!!!",F3309="NEW"),"",INDEX(J$1:J3308,SUMPRODUCT(MAX(ROW(E$1:E3308)*(E3309=E$1:E3308)))))</f>
        <v> </v>
      </c>
      <c r="L3309" s="27"/>
    </row>
    <row r="3310" spans="1:12">
      <c r="A3310" s="20"/>
    </row>
    <row r="3311" spans="1:12">
      <c r="A3311" s="20" t="s">
        <v>2169</v>
      </c>
    </row>
    <row r="3312" spans="1:12">
      <c r="A3312" s="20" t="s">
        <v>2170</v>
      </c>
      <c r="B3312" s="21" t="s">
        <v>1165</v>
      </c>
      <c r="C3312" s="21" t="s">
        <v>1143</v>
      </c>
      <c r="D3312" s="21" t="s">
        <v>1144</v>
      </c>
      <c r="E3312" s="22">
        <f>IF(D3312="?OLD","!!!","")</f>
        <v/>
      </c>
      <c r="F3312" s="23" t="str">
        <f>IF(OR(E3312="",E3312="!!!"),"",IF(NOT(ISNA(VLOOKUP(E3312,E$1:E3311,1,FALSE()))),"OLD",IF(AND(E3312&lt;&gt;"",E3312&lt;&gt;"!!!"),"NEW","")))</f>
        <v> </v>
      </c>
      <c r="G3312" s="24" t="str">
        <f>IF(OR(E3312="",E3312="!!!"),"",IF(OR(J3312=0,AND(J3312=1,K3312=1),AND(J3312=1,I3312="SBJ"),AND(J3312=1,I3312=0)),"?IN_FOCUS",IF(J3312&lt;=2,"?ACTIVATED",IF(J3312&lt;&gt;"","?FAMILIAR",IF(F3312="NEW",IF(ISNA(VLOOKUP(E3312,#REF!,1,FALSE())),"?TYPE_IDENTIFIABLE","?REFERENTIAL"),"_")))))</f>
        <v> </v>
      </c>
      <c r="H3312" s="25" t="str">
        <f>IF(J3312&lt;&gt;1,"",IF(I3312="SBJ","CB","?"))</f>
        <v> </v>
      </c>
      <c r="I3312" s="26" t="str">
        <f>IF(OR(E3312="",E3312="!!!",F3312="NEW"),"",INDEX(B3311:B$2,-1+SUMPRODUCT(MAX(ROW(E3311:E$2)*(E3312=E3311:E$2)))))</f>
        <v> </v>
      </c>
      <c r="J3312" s="26" t="str">
        <f>IF(OR(E3312="",E3312="!!!",F3312="NEW"),"",COUNTBLANK(OFFSET(A$1,,,SUMPRODUCT(MAX(ROW(E$2:E3312)*(E3312=E$2:E3312)))))-COUNTBLANK(OFFSET(A$1,,,SUMPRODUCT(MAX(ROW(E$1:E3311)*(E2=E$1:E3311))))))</f>
        <v> </v>
      </c>
      <c r="K3312" s="26" t="str">
        <f>IF(OR(E3312="",E3312="!!!",F3312="NEW"),"",INDEX(J$1:J3311,SUMPRODUCT(MAX(ROW(E$1:E3311)*(E3312=E$1:E3311)))))</f>
        <v> </v>
      </c>
      <c r="L3312" s="27"/>
    </row>
    <row r="3313" spans="1:12">
      <c r="A3313" s="20" t="s">
        <v>2171</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t="s">
        <v>2172</v>
      </c>
      <c r="E3314" s="22">
        <f>IF(D3314="?OLD","!!!","")</f>
        <v/>
      </c>
      <c r="F3314" s="23" t="str">
        <f>IF(OR(E3314="",E3314="!!!"),"",IF(NOT(ISNA(VLOOKUP(E3314,E$1:E3313,1,FALSE()))),"OLD",IF(AND(E3314&lt;&gt;"",E3314&lt;&gt;"!!!"),"NEW","")))</f>
        <v> </v>
      </c>
      <c r="G3314" s="24" t="str">
        <f>IF(OR(E3314="",E3314="!!!"),"",IF(OR(J3314=0,AND(J3314=1,K3314=1),AND(J3314=1,I3314="SBJ"),AND(J3314=1,I3314=0)),"?IN_FOCUS",IF(J3314&lt;=2,"?ACTIVATED",IF(J3314&lt;&gt;"","?FAMILIAR",IF(F3314="NEW",IF(ISNA(VLOOKUP(E3314,#REF!,1,FALSE())),"?TYPE_IDENTIFIABLE","?REFERENTIAL"),"_")))))</f>
        <v> </v>
      </c>
      <c r="H3314" s="25" t="str">
        <f>IF(J3314&lt;&gt;1,"",IF(I3314="SBJ","CB","?"))</f>
        <v> </v>
      </c>
      <c r="I3314" s="26" t="str">
        <f>IF(OR(E3314="",E3314="!!!",F3314="NEW"),"",INDEX(B3313:B$2,-1+SUMPRODUCT(MAX(ROW(E3313:E$2)*(E3314=E3313:E$2)))))</f>
        <v> </v>
      </c>
      <c r="J3314" s="26" t="str">
        <f>IF(OR(E3314="",E3314="!!!",F3314="NEW"),"",COUNTBLANK(OFFSET(A$1,,,SUMPRODUCT(MAX(ROW(E$2:E3314)*(E3314=E$2:E3314)))))-COUNTBLANK(OFFSET(A$1,,,SUMPRODUCT(MAX(ROW(E$1:E3313)*(E2=E$1:E3313))))))</f>
        <v> </v>
      </c>
      <c r="K3314" s="26" t="str">
        <f>IF(OR(E3314="",E3314="!!!",F3314="NEW"),"",INDEX(J$1:J3313,SUMPRODUCT(MAX(ROW(E$1:E3313)*(E3314=E$1:E3313)))))</f>
        <v> </v>
      </c>
      <c r="L3314" s="27"/>
    </row>
    <row r="3315" spans="1:12">
      <c r="A3315" s="20" t="s">
        <v>1308</v>
      </c>
      <c r="B3315" s="21" t="s">
        <v>1171</v>
      </c>
      <c r="C3315" s="21" t="s">
        <v>1182</v>
      </c>
      <c r="E3315" s="22">
        <f>IF(D3315="?OLD","!!!","")</f>
        <v/>
      </c>
      <c r="F3315" s="23" t="str">
        <f>IF(OR(E3315="",E3315="!!!"),"",IF(NOT(ISNA(VLOOKUP(E3315,E$1:E3314,1,FALSE()))),"OLD",IF(AND(E3315&lt;&gt;"",E3315&lt;&gt;"!!!"),"NEW","")))</f>
        <v> </v>
      </c>
      <c r="G3315" s="24" t="str">
        <f>IF(OR(E3315="",E3315="!!!"),"",IF(OR(J3315=0,AND(J3315=1,K3315=1),AND(J3315=1,I3315="SBJ"),AND(J3315=1,I3315=0)),"?IN_FOCUS",IF(J3315&lt;=2,"?ACTIVATED",IF(J3315&lt;&gt;"","?FAMILIAR",IF(F3315="NEW",IF(ISNA(VLOOKUP(E3315,#REF!,1,FALSE())),"?TYPE_IDENTIFIABLE","?REFERENTIAL"),"_")))))</f>
        <v> </v>
      </c>
      <c r="H3315" s="25" t="str">
        <f>IF(J3315&lt;&gt;1,"",IF(I3315="SBJ","CB","?"))</f>
        <v> </v>
      </c>
      <c r="I3315" s="26" t="str">
        <f>IF(OR(E3315="",E3315="!!!",F3315="NEW"),"",INDEX(B3314:B$2,-1+SUMPRODUCT(MAX(ROW(E3314:E$2)*(E3315=E3314:E$2)))))</f>
        <v> </v>
      </c>
      <c r="J3315" s="26" t="str">
        <f>IF(OR(E3315="",E3315="!!!",F3315="NEW"),"",COUNTBLANK(OFFSET(A$1,,,SUMPRODUCT(MAX(ROW(E$2:E3315)*(E3315=E$2:E3315)))))-COUNTBLANK(OFFSET(A$1,,,SUMPRODUCT(MAX(ROW(E$1:E3314)*(E2=E$1:E3314))))))</f>
        <v> </v>
      </c>
      <c r="K3315" s="26" t="str">
        <f>IF(OR(E3315="",E3315="!!!",F3315="NEW"),"",INDEX(J$1:J3314,SUMPRODUCT(MAX(ROW(E$1:E3314)*(E3315=E$1:E3314)))))</f>
        <v> </v>
      </c>
      <c r="L3315" s="27"/>
    </row>
    <row r="3316" spans="1:12">
      <c r="A3316" s="20" t="s">
        <v>1275</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2173</v>
      </c>
      <c r="B3317" s="21" t="s">
        <v>1161</v>
      </c>
      <c r="C3317" s="21" t="s">
        <v>1162</v>
      </c>
      <c r="D3317" s="21" t="s">
        <v>1144</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1535</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2174</v>
      </c>
      <c r="B3319" s="21" t="s">
        <v>1171</v>
      </c>
      <c r="C3319" s="21" t="s">
        <v>1187</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t="s">
        <v>1203</v>
      </c>
      <c r="E3320" s="22">
        <f>IF(D3320="?OLD","!!!","")</f>
        <v/>
      </c>
      <c r="F3320" s="23" t="str">
        <f>IF(OR(E3320="",E3320="!!!"),"",IF(NOT(ISNA(VLOOKUP(E3320,E$1:E3319,1,FALSE()))),"OLD",IF(AND(E3320&lt;&gt;"",E3320&lt;&gt;"!!!"),"NEW","")))</f>
        <v> </v>
      </c>
      <c r="G3320" s="24" t="str">
        <f>IF(OR(E3320="",E3320="!!!"),"",IF(OR(J3320=0,AND(J3320=1,K3320=1),AND(J3320=1,I3320="SBJ"),AND(J3320=1,I3320=0)),"?IN_FOCUS",IF(J3320&lt;=2,"?ACTIVATED",IF(J3320&lt;&gt;"","?FAMILIAR",IF(F3320="NEW",IF(ISNA(VLOOKUP(E3320,#REF!,1,FALSE())),"?TYPE_IDENTIFIABLE","?REFERENTIAL"),"_")))))</f>
        <v> </v>
      </c>
      <c r="H3320" s="25" t="str">
        <f>IF(J3320&lt;&gt;1,"",IF(I3320="SBJ","CB","?"))</f>
        <v> </v>
      </c>
      <c r="I3320" s="26" t="str">
        <f>IF(OR(E3320="",E3320="!!!",F3320="NEW"),"",INDEX(B3319:B$2,-1+SUMPRODUCT(MAX(ROW(E3319:E$2)*(E3320=E3319:E$2)))))</f>
        <v> </v>
      </c>
      <c r="J3320" s="26" t="str">
        <f>IF(OR(E3320="",E3320="!!!",F3320="NEW"),"",COUNTBLANK(OFFSET(A$1,,,SUMPRODUCT(MAX(ROW(E$2:E3320)*(E3320=E$2:E3320)))))-COUNTBLANK(OFFSET(A$1,,,SUMPRODUCT(MAX(ROW(E$1:E3319)*(E2=E$1:E3319))))))</f>
        <v> </v>
      </c>
      <c r="K3320" s="26" t="str">
        <f>IF(OR(E3320="",E3320="!!!",F3320="NEW"),"",INDEX(J$1:J3319,SUMPRODUCT(MAX(ROW(E$1:E3319)*(E3320=E$1:E3319)))))</f>
        <v> </v>
      </c>
      <c r="L3320" s="27"/>
    </row>
    <row r="3321" spans="1:12">
      <c r="A3321" s="20" t="s">
        <v>2175</v>
      </c>
      <c r="B3321" s="21" t="s">
        <v>1147</v>
      </c>
      <c r="C3321" s="21" t="s">
        <v>1187</v>
      </c>
      <c r="E3321" s="22">
        <f>IF(D3321="?OLD","!!!","")</f>
        <v/>
      </c>
      <c r="F3321" s="23" t="str">
        <f>IF(OR(E3321="",E3321="!!!"),"",IF(NOT(ISNA(VLOOKUP(E3321,E$1:E3320,1,FALSE()))),"OLD",IF(AND(E3321&lt;&gt;"",E3321&lt;&gt;"!!!"),"NEW","")))</f>
        <v> </v>
      </c>
      <c r="G3321" s="24" t="str">
        <f>IF(OR(E3321="",E3321="!!!"),"",IF(OR(J3321=0,AND(J3321=1,K3321=1),AND(J3321=1,I3321="SBJ"),AND(J3321=1,I3321=0)),"?IN_FOCUS",IF(J3321&lt;=2,"?ACTIVATED",IF(J3321&lt;&gt;"","?FAMILIAR",IF(F3321="NEW",IF(ISNA(VLOOKUP(E3321,#REF!,1,FALSE())),"?TYPE_IDENTIFIABLE","?REFERENTIAL"),"_")))))</f>
        <v> </v>
      </c>
      <c r="H3321" s="25" t="str">
        <f>IF(J3321&lt;&gt;1,"",IF(I3321="SBJ","CB","?"))</f>
        <v> </v>
      </c>
      <c r="I3321" s="26" t="str">
        <f>IF(OR(E3321="",E3321="!!!",F3321="NEW"),"",INDEX(B3320:B$2,-1+SUMPRODUCT(MAX(ROW(E3320:E$2)*(E3321=E3320:E$2)))))</f>
        <v> </v>
      </c>
      <c r="J3321" s="26" t="str">
        <f>IF(OR(E3321="",E3321="!!!",F3321="NEW"),"",COUNTBLANK(OFFSET(A$1,,,SUMPRODUCT(MAX(ROW(E$2:E3321)*(E3321=E$2:E3321)))))-COUNTBLANK(OFFSET(A$1,,,SUMPRODUCT(MAX(ROW(E$1:E3320)*(E2=E$1:E3320))))))</f>
        <v> </v>
      </c>
      <c r="K3321" s="26" t="str">
        <f>IF(OR(E3321="",E3321="!!!",F3321="NEW"),"",INDEX(J$1:J3320,SUMPRODUCT(MAX(ROW(E$1:E3320)*(E3321=E$1:E3320)))))</f>
        <v> </v>
      </c>
      <c r="L3321" s="27"/>
    </row>
    <row r="3322" spans="1:12">
      <c r="A3322" s="20" t="s">
        <v>12</v>
      </c>
      <c r="E3322" s="22">
        <f>IF(D3322="?OLD","!!!","")</f>
        <v/>
      </c>
      <c r="F3322" s="23" t="str">
        <f>IF(OR(E3322="",E3322="!!!"),"",IF(NOT(ISNA(VLOOKUP(E3322,E$1:E3321,1,FALSE()))),"OLD",IF(AND(E3322&lt;&gt;"",E3322&lt;&gt;"!!!"),"NEW","")))</f>
        <v> </v>
      </c>
      <c r="G3322" s="24" t="str">
        <f>IF(OR(E3322="",E3322="!!!"),"",IF(OR(J3322=0,AND(J3322=1,K3322=1),AND(J3322=1,I3322="SBJ"),AND(J3322=1,I3322=0)),"?IN_FOCUS",IF(J3322&lt;=2,"?ACTIVATED",IF(J3322&lt;&gt;"","?FAMILIAR",IF(F3322="NEW",IF(ISNA(VLOOKUP(E3322,#REF!,1,FALSE())),"?TYPE_IDENTIFIABLE","?REFERENTIAL"),"_")))))</f>
        <v> </v>
      </c>
      <c r="H3322" s="25" t="str">
        <f>IF(J3322&lt;&gt;1,"",IF(I3322="SBJ","CB","?"))</f>
        <v> </v>
      </c>
      <c r="I3322" s="26" t="str">
        <f>IF(OR(E3322="",E3322="!!!",F3322="NEW"),"",INDEX(B3321:B$2,-1+SUMPRODUCT(MAX(ROW(E3321:E$2)*(E3322=E3321:E$2)))))</f>
        <v> </v>
      </c>
      <c r="J3322" s="26" t="str">
        <f>IF(OR(E3322="",E3322="!!!",F3322="NEW"),"",COUNTBLANK(OFFSET(A$1,,,SUMPRODUCT(MAX(ROW(E$2:E3322)*(E3322=E$2:E3322)))))-COUNTBLANK(OFFSET(A$1,,,SUMPRODUCT(MAX(ROW(E$1:E3321)*(E2=E$1:E3321))))))</f>
        <v> </v>
      </c>
      <c r="K3322" s="26" t="str">
        <f>IF(OR(E3322="",E3322="!!!",F3322="NEW"),"",INDEX(J$1:J3321,SUMPRODUCT(MAX(ROW(E$1:E3321)*(E3322=E$1:E3321)))))</f>
        <v> </v>
      </c>
      <c r="L3322" s="27"/>
    </row>
    <row r="3323" spans="1:12">
      <c r="A3323" s="20" t="s">
        <v>1238</v>
      </c>
      <c r="E3323" s="22">
        <f>IF(D3323="?OLD","!!!","")</f>
        <v/>
      </c>
      <c r="F3323" s="23" t="str">
        <f>IF(OR(E3323="",E3323="!!!"),"",IF(NOT(ISNA(VLOOKUP(E3323,E$1:E3322,1,FALSE()))),"OLD",IF(AND(E3323&lt;&gt;"",E3323&lt;&gt;"!!!"),"NEW","")))</f>
        <v> </v>
      </c>
      <c r="G3323" s="24" t="str">
        <f>IF(OR(E3323="",E3323="!!!"),"",IF(OR(J3323=0,AND(J3323=1,K3323=1),AND(J3323=1,I3323="SBJ"),AND(J3323=1,I3323=0)),"?IN_FOCUS",IF(J3323&lt;=2,"?ACTIVATED",IF(J3323&lt;&gt;"","?FAMILIAR",IF(F3323="NEW",IF(ISNA(VLOOKUP(E3323,#REF!,1,FALSE())),"?TYPE_IDENTIFIABLE","?REFERENTIAL"),"_")))))</f>
        <v> </v>
      </c>
      <c r="H3323" s="25" t="str">
        <f>IF(J3323&lt;&gt;1,"",IF(I3323="SBJ","CB","?"))</f>
        <v> </v>
      </c>
      <c r="I3323" s="26" t="str">
        <f>IF(OR(E3323="",E3323="!!!",F3323="NEW"),"",INDEX(B3322:B$2,-1+SUMPRODUCT(MAX(ROW(E3322:E$2)*(E3323=E3322:E$2)))))</f>
        <v> </v>
      </c>
      <c r="J3323" s="26" t="str">
        <f>IF(OR(E3323="",E3323="!!!",F3323="NEW"),"",COUNTBLANK(OFFSET(A$1,,,SUMPRODUCT(MAX(ROW(E$2:E3323)*(E3323=E$2:E3323)))))-COUNTBLANK(OFFSET(A$1,,,SUMPRODUCT(MAX(ROW(E$1:E3322)*(E2=E$1:E3322))))))</f>
        <v> </v>
      </c>
      <c r="K3323" s="26" t="str">
        <f>IF(OR(E3323="",E3323="!!!",F3323="NEW"),"",INDEX(J$1:J3322,SUMPRODUCT(MAX(ROW(E$1:E3322)*(E3323=E$1:E3322)))))</f>
        <v> </v>
      </c>
      <c r="L3323" s="27"/>
    </row>
    <row r="3324" spans="1:12">
      <c r="A3324" s="20" t="s">
        <v>2173</v>
      </c>
      <c r="B3324" s="21" t="s">
        <v>1165</v>
      </c>
      <c r="C3324" s="21" t="s">
        <v>1162</v>
      </c>
      <c r="D3324" s="21" t="s">
        <v>1144</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t="s">
        <v>1275</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t="s">
        <v>2176</v>
      </c>
      <c r="B3326" s="21" t="s">
        <v>1171</v>
      </c>
      <c r="C3326" s="21" t="s">
        <v>1162</v>
      </c>
      <c r="D3326" s="21" t="s">
        <v>1144</v>
      </c>
      <c r="E3326" s="22">
        <f>IF(D3326="?OLD","!!!","")</f>
        <v/>
      </c>
      <c r="F3326" s="23" t="str">
        <f>IF(OR(E3326="",E3326="!!!"),"",IF(NOT(ISNA(VLOOKUP(E3326,E$1:E3325,1,FALSE()))),"OLD",IF(AND(E3326&lt;&gt;"",E3326&lt;&gt;"!!!"),"NEW","")))</f>
        <v> </v>
      </c>
      <c r="G3326" s="24" t="str">
        <f>IF(OR(E3326="",E3326="!!!"),"",IF(OR(J3326=0,AND(J3326=1,K3326=1),AND(J3326=1,I3326="SBJ"),AND(J3326=1,I3326=0)),"?IN_FOCUS",IF(J3326&lt;=2,"?ACTIVATED",IF(J3326&lt;&gt;"","?FAMILIAR",IF(F3326="NEW",IF(ISNA(VLOOKUP(E3326,#REF!,1,FALSE())),"?TYPE_IDENTIFIABLE","?REFERENTIAL"),"_")))))</f>
        <v> </v>
      </c>
      <c r="H3326" s="25" t="str">
        <f>IF(J3326&lt;&gt;1,"",IF(I3326="SBJ","CB","?"))</f>
        <v> </v>
      </c>
      <c r="I3326" s="26" t="str">
        <f>IF(OR(E3326="",E3326="!!!",F3326="NEW"),"",INDEX(B3325:B$2,-1+SUMPRODUCT(MAX(ROW(E3325:E$2)*(E3326=E3325:E$2)))))</f>
        <v> </v>
      </c>
      <c r="J3326" s="26" t="str">
        <f>IF(OR(E3326="",E3326="!!!",F3326="NEW"),"",COUNTBLANK(OFFSET(A$1,,,SUMPRODUCT(MAX(ROW(E$2:E3326)*(E3326=E$2:E3326)))))-COUNTBLANK(OFFSET(A$1,,,SUMPRODUCT(MAX(ROW(E$1:E3325)*(E2=E$1:E3325))))))</f>
        <v> </v>
      </c>
      <c r="K3326" s="26" t="str">
        <f>IF(OR(E3326="",E3326="!!!",F3326="NEW"),"",INDEX(J$1:J3325,SUMPRODUCT(MAX(ROW(E$1:E3325)*(E3326=E$1:E3325)))))</f>
        <v> </v>
      </c>
      <c r="L3326" s="27"/>
    </row>
    <row r="3327" spans="1:12">
      <c r="A3327" s="20" t="s">
        <v>312</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row>
    <row r="3329" spans="1:12">
      <c r="A3329" s="20" t="s">
        <v>2177</v>
      </c>
    </row>
    <row r="3330" spans="1:12">
      <c r="A3330" s="20" t="s">
        <v>1158</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1481</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t="s">
        <v>2178</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t="s">
        <v>2179</v>
      </c>
      <c r="B3333" s="21" t="s">
        <v>1161</v>
      </c>
      <c r="C3333" s="21" t="s">
        <v>1162</v>
      </c>
      <c r="D3333" s="21" t="s">
        <v>1144</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t="s">
        <v>1301</v>
      </c>
      <c r="E3334" s="22">
        <f>IF(D3334="?OLD","!!!","")</f>
        <v/>
      </c>
      <c r="F3334" s="23" t="str">
        <f>IF(OR(E3334="",E3334="!!!"),"",IF(NOT(ISNA(VLOOKUP(E3334,E$1:E3333,1,FALSE()))),"OLD",IF(AND(E3334&lt;&gt;"",E3334&lt;&gt;"!!!"),"NEW","")))</f>
        <v> </v>
      </c>
      <c r="G3334" s="24" t="str">
        <f>IF(OR(E3334="",E3334="!!!"),"",IF(OR(J3334=0,AND(J3334=1,K3334=1),AND(J3334=1,I3334="SBJ"),AND(J3334=1,I3334=0)),"?IN_FOCUS",IF(J3334&lt;=2,"?ACTIVATED",IF(J3334&lt;&gt;"","?FAMILIAR",IF(F3334="NEW",IF(ISNA(VLOOKUP(E3334,#REF!,1,FALSE())),"?TYPE_IDENTIFIABLE","?REFERENTIAL"),"_")))))</f>
        <v> </v>
      </c>
      <c r="H3334" s="25" t="str">
        <f>IF(J3334&lt;&gt;1,"",IF(I3334="SBJ","CB","?"))</f>
        <v> </v>
      </c>
      <c r="I3334" s="26" t="str">
        <f>IF(OR(E3334="",E3334="!!!",F3334="NEW"),"",INDEX(B3333:B$2,-1+SUMPRODUCT(MAX(ROW(E3333:E$2)*(E3334=E3333:E$2)))))</f>
        <v> </v>
      </c>
      <c r="J3334" s="26" t="str">
        <f>IF(OR(E3334="",E3334="!!!",F3334="NEW"),"",COUNTBLANK(OFFSET(A$1,,,SUMPRODUCT(MAX(ROW(E$2:E3334)*(E3334=E$2:E3334)))))-COUNTBLANK(OFFSET(A$1,,,SUMPRODUCT(MAX(ROW(E$1:E3333)*(E2=E$1:E3333))))))</f>
        <v> </v>
      </c>
      <c r="K3334" s="26" t="str">
        <f>IF(OR(E3334="",E3334="!!!",F3334="NEW"),"",INDEX(J$1:J3333,SUMPRODUCT(MAX(ROW(E$1:E3333)*(E3334=E$1:E3333)))))</f>
        <v> </v>
      </c>
      <c r="L3334" s="27"/>
    </row>
    <row r="3335" spans="1:12">
      <c r="A3335" s="20" t="s">
        <v>1261</v>
      </c>
      <c r="B3335" s="21" t="s">
        <v>1165</v>
      </c>
      <c r="C3335" s="21" t="s">
        <v>1151</v>
      </c>
      <c r="D3335" s="21" t="s">
        <v>1144</v>
      </c>
      <c r="E3335" s="22">
        <f>IF(D3335="?OLD","!!!","")</f>
        <v/>
      </c>
      <c r="F3335" s="23" t="str">
        <f>IF(OR(E3335="",E3335="!!!"),"",IF(NOT(ISNA(VLOOKUP(E3335,E$1:E3334,1,FALSE()))),"OLD",IF(AND(E3335&lt;&gt;"",E3335&lt;&gt;"!!!"),"NEW","")))</f>
        <v> </v>
      </c>
      <c r="G3335" s="24" t="str">
        <f>IF(OR(E3335="",E3335="!!!"),"",IF(OR(J3335=0,AND(J3335=1,K3335=1),AND(J3335=1,I3335="SBJ"),AND(J3335=1,I3335=0)),"?IN_FOCUS",IF(J3335&lt;=2,"?ACTIVATED",IF(J3335&lt;&gt;"","?FAMILIAR",IF(F3335="NEW",IF(ISNA(VLOOKUP(E3335,#REF!,1,FALSE())),"?TYPE_IDENTIFIABLE","?REFERENTIAL"),"_")))))</f>
        <v> </v>
      </c>
      <c r="H3335" s="25" t="str">
        <f>IF(J3335&lt;&gt;1,"",IF(I3335="SBJ","CB","?"))</f>
        <v> </v>
      </c>
      <c r="I3335" s="26" t="str">
        <f>IF(OR(E3335="",E3335="!!!",F3335="NEW"),"",INDEX(B3334:B$2,-1+SUMPRODUCT(MAX(ROW(E3334:E$2)*(E3335=E3334:E$2)))))</f>
        <v> </v>
      </c>
      <c r="J3335" s="26" t="str">
        <f>IF(OR(E3335="",E3335="!!!",F3335="NEW"),"",COUNTBLANK(OFFSET(A$1,,,SUMPRODUCT(MAX(ROW(E$2:E3335)*(E3335=E$2:E3335)))))-COUNTBLANK(OFFSET(A$1,,,SUMPRODUCT(MAX(ROW(E$1:E3334)*(E2=E$1:E3334))))))</f>
        <v> </v>
      </c>
      <c r="K3335" s="26" t="str">
        <f>IF(OR(E3335="",E3335="!!!",F3335="NEW"),"",INDEX(J$1:J3334,SUMPRODUCT(MAX(ROW(E$1:E3334)*(E3335=E$1:E3334)))))</f>
        <v> </v>
      </c>
      <c r="L3335" s="27"/>
    </row>
    <row r="3336" spans="1:12">
      <c r="A3336" s="20" t="s">
        <v>1176</v>
      </c>
      <c r="E3336" s="22">
        <f>IF(D3336="?OLD","!!!","")</f>
        <v/>
      </c>
      <c r="F3336" s="23" t="str">
        <f>IF(OR(E3336="",E3336="!!!"),"",IF(NOT(ISNA(VLOOKUP(E3336,E$1:E3335,1,FALSE()))),"OLD",IF(AND(E3336&lt;&gt;"",E3336&lt;&gt;"!!!"),"NEW","")))</f>
        <v> </v>
      </c>
      <c r="G3336" s="24" t="str">
        <f>IF(OR(E3336="",E3336="!!!"),"",IF(OR(J3336=0,AND(J3336=1,K3336=1),AND(J3336=1,I3336="SBJ"),AND(J3336=1,I3336=0)),"?IN_FOCUS",IF(J3336&lt;=2,"?ACTIVATED",IF(J3336&lt;&gt;"","?FAMILIAR",IF(F3336="NEW",IF(ISNA(VLOOKUP(E3336,#REF!,1,FALSE())),"?TYPE_IDENTIFIABLE","?REFERENTIAL"),"_")))))</f>
        <v> </v>
      </c>
      <c r="H3336" s="25" t="str">
        <f>IF(J3336&lt;&gt;1,"",IF(I3336="SBJ","CB","?"))</f>
        <v> </v>
      </c>
      <c r="I3336" s="26" t="str">
        <f>IF(OR(E3336="",E3336="!!!",F3336="NEW"),"",INDEX(B3335:B$2,-1+SUMPRODUCT(MAX(ROW(E3335:E$2)*(E3336=E3335:E$2)))))</f>
        <v> </v>
      </c>
      <c r="J3336" s="26" t="str">
        <f>IF(OR(E3336="",E3336="!!!",F3336="NEW"),"",COUNTBLANK(OFFSET(A$1,,,SUMPRODUCT(MAX(ROW(E$2:E3336)*(E3336=E$2:E3336)))))-COUNTBLANK(OFFSET(A$1,,,SUMPRODUCT(MAX(ROW(E$1:E3335)*(E2=E$1:E3335))))))</f>
        <v> </v>
      </c>
      <c r="K3336" s="26" t="str">
        <f>IF(OR(E3336="",E3336="!!!",F3336="NEW"),"",INDEX(J$1:J3335,SUMPRODUCT(MAX(ROW(E$1:E3335)*(E3336=E$1:E3335)))))</f>
        <v> </v>
      </c>
      <c r="L3336" s="27"/>
    </row>
    <row r="3337" spans="1:12">
      <c r="A3337" s="20" t="s">
        <v>1266</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1393</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312</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row>
    <row r="3341" spans="1:12">
      <c r="A3341" s="20" t="s">
        <v>2180</v>
      </c>
    </row>
    <row r="3342" spans="1:12">
      <c r="A3342" s="20" t="s">
        <v>1300</v>
      </c>
      <c r="B3342" s="21" t="s">
        <v>1165</v>
      </c>
      <c r="C3342" s="21" t="s">
        <v>1151</v>
      </c>
      <c r="D3342" s="21" t="s">
        <v>1144</v>
      </c>
      <c r="E3342" s="22">
        <f>IF(D3342="?OLD","!!!","")</f>
        <v/>
      </c>
      <c r="F3342" s="23" t="str">
        <f>IF(OR(E3342="",E3342="!!!"),"",IF(NOT(ISNA(VLOOKUP(E3342,E$1:E3341,1,FALSE()))),"OLD",IF(AND(E3342&lt;&gt;"",E3342&lt;&gt;"!!!"),"NEW","")))</f>
        <v> </v>
      </c>
      <c r="G3342" s="24" t="str">
        <f>IF(OR(E3342="",E3342="!!!"),"",IF(OR(J3342=0,AND(J3342=1,K3342=1),AND(J3342=1,I3342="SBJ"),AND(J3342=1,I3342=0)),"?IN_FOCUS",IF(J3342&lt;=2,"?ACTIVATED",IF(J3342&lt;&gt;"","?FAMILIAR",IF(F3342="NEW",IF(ISNA(VLOOKUP(E3342,#REF!,1,FALSE())),"?TYPE_IDENTIFIABLE","?REFERENTIAL"),"_")))))</f>
        <v> </v>
      </c>
      <c r="H3342" s="25" t="str">
        <f>IF(J3342&lt;&gt;1,"",IF(I3342="SBJ","CB","?"))</f>
        <v> </v>
      </c>
      <c r="I3342" s="26" t="str">
        <f>IF(OR(E3342="",E3342="!!!",F3342="NEW"),"",INDEX(B3341:B$2,-1+SUMPRODUCT(MAX(ROW(E3341:E$2)*(E3342=E3341:E$2)))))</f>
        <v> </v>
      </c>
      <c r="J3342" s="26" t="str">
        <f>IF(OR(E3342="",E3342="!!!",F3342="NEW"),"",COUNTBLANK(OFFSET(A$1,,,SUMPRODUCT(MAX(ROW(E$2:E3342)*(E3342=E$2:E3342)))))-COUNTBLANK(OFFSET(A$1,,,SUMPRODUCT(MAX(ROW(E$1:E3341)*(E2=E$1:E3341))))))</f>
        <v> </v>
      </c>
      <c r="K3342" s="26" t="str">
        <f>IF(OR(E3342="",E3342="!!!",F3342="NEW"),"",INDEX(J$1:J3341,SUMPRODUCT(MAX(ROW(E$1:E3341)*(E3342=E$1:E3341)))))</f>
        <v> </v>
      </c>
      <c r="L3342" s="27"/>
    </row>
    <row r="3343" spans="1:12">
      <c r="A3343" s="20" t="s">
        <v>1301</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t="s">
        <v>1457</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t="s">
        <v>1796</v>
      </c>
      <c r="E3345" s="22">
        <f>IF(D3345="?OLD","!!!","")</f>
        <v/>
      </c>
      <c r="F3345" s="23" t="str">
        <f>IF(OR(E3345="",E3345="!!!"),"",IF(NOT(ISNA(VLOOKUP(E3345,E$1:E3344,1,FALSE()))),"OLD",IF(AND(E3345&lt;&gt;"",E3345&lt;&gt;"!!!"),"NEW","")))</f>
        <v> </v>
      </c>
      <c r="G3345" s="24" t="str">
        <f>IF(OR(E3345="",E3345="!!!"),"",IF(OR(J3345=0,AND(J3345=1,K3345=1),AND(J3345=1,I3345="SBJ"),AND(J3345=1,I3345=0)),"?IN_FOCUS",IF(J3345&lt;=2,"?ACTIVATED",IF(J3345&lt;&gt;"","?FAMILIAR",IF(F3345="NEW",IF(ISNA(VLOOKUP(E3345,#REF!,1,FALSE())),"?TYPE_IDENTIFIABLE","?REFERENTIAL"),"_")))))</f>
        <v> </v>
      </c>
      <c r="H3345" s="25" t="str">
        <f>IF(J3345&lt;&gt;1,"",IF(I3345="SBJ","CB","?"))</f>
        <v> </v>
      </c>
      <c r="I3345" s="26" t="str">
        <f>IF(OR(E3345="",E3345="!!!",F3345="NEW"),"",INDEX(B3344:B$2,-1+SUMPRODUCT(MAX(ROW(E3344:E$2)*(E3345=E3344:E$2)))))</f>
        <v> </v>
      </c>
      <c r="J3345" s="26" t="str">
        <f>IF(OR(E3345="",E3345="!!!",F3345="NEW"),"",COUNTBLANK(OFFSET(A$1,,,SUMPRODUCT(MAX(ROW(E$2:E3345)*(E3345=E$2:E3345)))))-COUNTBLANK(OFFSET(A$1,,,SUMPRODUCT(MAX(ROW(E$1:E3344)*(E2=E$1:E3344))))))</f>
        <v> </v>
      </c>
      <c r="K3345" s="26" t="str">
        <f>IF(OR(E3345="",E3345="!!!",F3345="NEW"),"",INDEX(J$1:J3344,SUMPRODUCT(MAX(ROW(E$1:E3344)*(E3345=E$1:E3344)))))</f>
        <v> </v>
      </c>
      <c r="L3345" s="27"/>
    </row>
    <row r="3346" spans="1:12">
      <c r="A3346" s="20" t="s">
        <v>1166</v>
      </c>
      <c r="E3346" s="22">
        <f>IF(D3346="?OLD","!!!","")</f>
        <v/>
      </c>
      <c r="F3346" s="23" t="str">
        <f>IF(OR(E3346="",E3346="!!!"),"",IF(NOT(ISNA(VLOOKUP(E3346,E$1:E3345,1,FALSE()))),"OLD",IF(AND(E3346&lt;&gt;"",E3346&lt;&gt;"!!!"),"NEW","")))</f>
        <v> </v>
      </c>
      <c r="G3346" s="24" t="str">
        <f>IF(OR(E3346="",E3346="!!!"),"",IF(OR(J3346=0,AND(J3346=1,K3346=1),AND(J3346=1,I3346="SBJ"),AND(J3346=1,I3346=0)),"?IN_FOCUS",IF(J3346&lt;=2,"?ACTIVATED",IF(J3346&lt;&gt;"","?FAMILIAR",IF(F3346="NEW",IF(ISNA(VLOOKUP(E3346,#REF!,1,FALSE())),"?TYPE_IDENTIFIABLE","?REFERENTIAL"),"_")))))</f>
        <v> </v>
      </c>
      <c r="H3346" s="25" t="str">
        <f>IF(J3346&lt;&gt;1,"",IF(I3346="SBJ","CB","?"))</f>
        <v> </v>
      </c>
      <c r="I3346" s="26" t="str">
        <f>IF(OR(E3346="",E3346="!!!",F3346="NEW"),"",INDEX(B3345:B$2,-1+SUMPRODUCT(MAX(ROW(E3345:E$2)*(E3346=E3345:E$2)))))</f>
        <v> </v>
      </c>
      <c r="J3346" s="26" t="str">
        <f>IF(OR(E3346="",E3346="!!!",F3346="NEW"),"",COUNTBLANK(OFFSET(A$1,,,SUMPRODUCT(MAX(ROW(E$2:E3346)*(E3346=E$2:E3346)))))-COUNTBLANK(OFFSET(A$1,,,SUMPRODUCT(MAX(ROW(E$1:E3345)*(E2=E$1:E3345))))))</f>
        <v> </v>
      </c>
      <c r="K3346" s="26" t="str">
        <f>IF(OR(E3346="",E3346="!!!",F3346="NEW"),"",INDEX(J$1:J3345,SUMPRODUCT(MAX(ROW(E$1:E3345)*(E3346=E$1:E3345)))))</f>
        <v> </v>
      </c>
      <c r="L3346" s="27"/>
    </row>
    <row r="3347" spans="1:12">
      <c r="A3347" s="20" t="s">
        <v>1174</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t="s">
        <v>1167</v>
      </c>
      <c r="B3348" s="21" t="s">
        <v>1142</v>
      </c>
      <c r="C3348" s="21" t="s">
        <v>1168</v>
      </c>
      <c r="D3348" s="21" t="s">
        <v>1144</v>
      </c>
      <c r="E3348" s="22">
        <f>IF(D3348="?OLD","!!!","")</f>
        <v/>
      </c>
      <c r="F3348" s="23" t="str">
        <f>IF(OR(E3348="",E3348="!!!"),"",IF(NOT(ISNA(VLOOKUP(E3348,E$1:E3347,1,FALSE()))),"OLD",IF(AND(E3348&lt;&gt;"",E3348&lt;&gt;"!!!"),"NEW","")))</f>
        <v> </v>
      </c>
      <c r="G3348" s="24" t="str">
        <f>IF(OR(E3348="",E3348="!!!"),"",IF(OR(J3348=0,AND(J3348=1,K3348=1),AND(J3348=1,I3348="SBJ"),AND(J3348=1,I3348=0)),"?IN_FOCUS",IF(J3348&lt;=2,"?ACTIVATED",IF(J3348&lt;&gt;"","?FAMILIAR",IF(F3348="NEW",IF(ISNA(VLOOKUP(E3348,#REF!,1,FALSE())),"?TYPE_IDENTIFIABLE","?REFERENTIAL"),"_")))))</f>
        <v> </v>
      </c>
      <c r="H3348" s="25" t="str">
        <f>IF(J3348&lt;&gt;1,"",IF(I3348="SBJ","CB","?"))</f>
        <v> </v>
      </c>
      <c r="I3348" s="26" t="str">
        <f>IF(OR(E3348="",E3348="!!!",F3348="NEW"),"",INDEX(B3347:B$2,-1+SUMPRODUCT(MAX(ROW(E3347:E$2)*(E3348=E3347:E$2)))))</f>
        <v> </v>
      </c>
      <c r="J3348" s="26" t="str">
        <f>IF(OR(E3348="",E3348="!!!",F3348="NEW"),"",COUNTBLANK(OFFSET(A$1,,,SUMPRODUCT(MAX(ROW(E$2:E3348)*(E3348=E$2:E3348)))))-COUNTBLANK(OFFSET(A$1,,,SUMPRODUCT(MAX(ROW(E$1:E3347)*(E2=E$1:E3347))))))</f>
        <v> </v>
      </c>
      <c r="K3348" s="26" t="str">
        <f>IF(OR(E3348="",E3348="!!!",F3348="NEW"),"",INDEX(J$1:J3347,SUMPRODUCT(MAX(ROW(E$1:E3347)*(E3348=E$1:E3347)))))</f>
        <v> </v>
      </c>
      <c r="L3348" s="27"/>
    </row>
    <row r="3349" spans="1:12">
      <c r="A3349" s="20" t="s">
        <v>2181</v>
      </c>
      <c r="B3349" s="21" t="s">
        <v>1147</v>
      </c>
      <c r="C3349" s="21" t="s">
        <v>1270</v>
      </c>
      <c r="D3349" s="21" t="s">
        <v>1144</v>
      </c>
      <c r="E3349" s="22">
        <f>IF(D3349="?OLD","!!!","")</f>
        <v/>
      </c>
      <c r="F3349" s="23" t="str">
        <f>IF(OR(E3349="",E3349="!!!"),"",IF(NOT(ISNA(VLOOKUP(E3349,E$1:E3348,1,FALSE()))),"OLD",IF(AND(E3349&lt;&gt;"",E3349&lt;&gt;"!!!"),"NEW","")))</f>
        <v> </v>
      </c>
      <c r="G3349" s="24" t="str">
        <f>IF(OR(E3349="",E3349="!!!"),"",IF(OR(J3349=0,AND(J3349=1,K3349=1),AND(J3349=1,I3349="SBJ"),AND(J3349=1,I3349=0)),"?IN_FOCUS",IF(J3349&lt;=2,"?ACTIVATED",IF(J3349&lt;&gt;"","?FAMILIAR",IF(F3349="NEW",IF(ISNA(VLOOKUP(E3349,#REF!,1,FALSE())),"?TYPE_IDENTIFIABLE","?REFERENTIAL"),"_")))))</f>
        <v> </v>
      </c>
      <c r="H3349" s="25" t="str">
        <f>IF(J3349&lt;&gt;1,"",IF(I3349="SBJ","CB","?"))</f>
        <v> </v>
      </c>
      <c r="I3349" s="26" t="str">
        <f>IF(OR(E3349="",E3349="!!!",F3349="NEW"),"",INDEX(B3348:B$2,-1+SUMPRODUCT(MAX(ROW(E3348:E$2)*(E3349=E3348:E$2)))))</f>
        <v> </v>
      </c>
      <c r="J3349" s="26" t="str">
        <f>IF(OR(E3349="",E3349="!!!",F3349="NEW"),"",COUNTBLANK(OFFSET(A$1,,,SUMPRODUCT(MAX(ROW(E$2:E3349)*(E3349=E$2:E3349)))))-COUNTBLANK(OFFSET(A$1,,,SUMPRODUCT(MAX(ROW(E$1:E3348)*(E2=E$1:E3348))))))</f>
        <v> </v>
      </c>
      <c r="K3349" s="26" t="str">
        <f>IF(OR(E3349="",E3349="!!!",F3349="NEW"),"",INDEX(J$1:J3348,SUMPRODUCT(MAX(ROW(E$1:E3348)*(E3349=E$1:E3348)))))</f>
        <v> </v>
      </c>
      <c r="L3349" s="27"/>
    </row>
    <row r="3350" spans="1:12">
      <c r="A3350" s="20" t="s">
        <v>2182</v>
      </c>
      <c r="B3350" s="21" t="s">
        <v>1150</v>
      </c>
      <c r="C3350" s="21" t="s">
        <v>1187</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t="s">
        <v>1170</v>
      </c>
      <c r="E3351" s="22">
        <f>IF(D3351="?OLD","!!!","")</f>
        <v/>
      </c>
      <c r="F3351" s="23" t="str">
        <f>IF(OR(E3351="",E3351="!!!"),"",IF(NOT(ISNA(VLOOKUP(E3351,E$1:E3350,1,FALSE()))),"OLD",IF(AND(E3351&lt;&gt;"",E3351&lt;&gt;"!!!"),"NEW","")))</f>
        <v> </v>
      </c>
      <c r="G3351" s="24" t="str">
        <f>IF(OR(E3351="",E3351="!!!"),"",IF(OR(J3351=0,AND(J3351=1,K3351=1),AND(J3351=1,I3351="SBJ"),AND(J3351=1,I3351=0)),"?IN_FOCUS",IF(J3351&lt;=2,"?ACTIVATED",IF(J3351&lt;&gt;"","?FAMILIAR",IF(F3351="NEW",IF(ISNA(VLOOKUP(E3351,#REF!,1,FALSE())),"?TYPE_IDENTIFIABLE","?REFERENTIAL"),"_")))))</f>
        <v> </v>
      </c>
      <c r="H3351" s="25" t="str">
        <f>IF(J3351&lt;&gt;1,"",IF(I3351="SBJ","CB","?"))</f>
        <v> </v>
      </c>
      <c r="I3351" s="26" t="str">
        <f>IF(OR(E3351="",E3351="!!!",F3351="NEW"),"",INDEX(B3350:B$2,-1+SUMPRODUCT(MAX(ROW(E3350:E$2)*(E3351=E3350:E$2)))))</f>
        <v> </v>
      </c>
      <c r="J3351" s="26" t="str">
        <f>IF(OR(E3351="",E3351="!!!",F3351="NEW"),"",COUNTBLANK(OFFSET(A$1,,,SUMPRODUCT(MAX(ROW(E$2:E3351)*(E3351=E$2:E3351)))))-COUNTBLANK(OFFSET(A$1,,,SUMPRODUCT(MAX(ROW(E$1:E3350)*(E2=E$1:E3350))))))</f>
        <v> </v>
      </c>
      <c r="K3351" s="26" t="str">
        <f>IF(OR(E3351="",E3351="!!!",F3351="NEW"),"",INDEX(J$1:J3350,SUMPRODUCT(MAX(ROW(E$1:E3350)*(E3351=E$1:E3350)))))</f>
        <v> </v>
      </c>
      <c r="L3351" s="27"/>
    </row>
    <row r="3352" spans="1:12">
      <c r="A3352" s="20" t="s">
        <v>411</v>
      </c>
      <c r="E3352" s="22">
        <f>IF(D3352="?OLD","!!!","")</f>
        <v/>
      </c>
      <c r="F3352" s="23" t="str">
        <f>IF(OR(E3352="",E3352="!!!"),"",IF(NOT(ISNA(VLOOKUP(E3352,E$1:E3351,1,FALSE()))),"OLD",IF(AND(E3352&lt;&gt;"",E3352&lt;&gt;"!!!"),"NEW","")))</f>
        <v> </v>
      </c>
      <c r="G3352" s="24" t="str">
        <f>IF(OR(E3352="",E3352="!!!"),"",IF(OR(J3352=0,AND(J3352=1,K3352=1),AND(J3352=1,I3352="SBJ"),AND(J3352=1,I3352=0)),"?IN_FOCUS",IF(J3352&lt;=2,"?ACTIVATED",IF(J3352&lt;&gt;"","?FAMILIAR",IF(F3352="NEW",IF(ISNA(VLOOKUP(E3352,#REF!,1,FALSE())),"?TYPE_IDENTIFIABLE","?REFERENTIAL"),"_")))))</f>
        <v> </v>
      </c>
      <c r="H3352" s="25" t="str">
        <f>IF(J3352&lt;&gt;1,"",IF(I3352="SBJ","CB","?"))</f>
        <v> </v>
      </c>
      <c r="I3352" s="26" t="str">
        <f>IF(OR(E3352="",E3352="!!!",F3352="NEW"),"",INDEX(B3351:B$2,-1+SUMPRODUCT(MAX(ROW(E3351:E$2)*(E3352=E3351:E$2)))))</f>
        <v> </v>
      </c>
      <c r="J3352" s="26" t="str">
        <f>IF(OR(E3352="",E3352="!!!",F3352="NEW"),"",COUNTBLANK(OFFSET(A$1,,,SUMPRODUCT(MAX(ROW(E$2:E3352)*(E3352=E$2:E3352)))))-COUNTBLANK(OFFSET(A$1,,,SUMPRODUCT(MAX(ROW(E$1:E3351)*(E2=E$1:E3351))))))</f>
        <v> </v>
      </c>
      <c r="K3352" s="26" t="str">
        <f>IF(OR(E3352="",E3352="!!!",F3352="NEW"),"",INDEX(J$1:J3351,SUMPRODUCT(MAX(ROW(E$1:E3351)*(E3352=E$1:E3351)))))</f>
        <v> </v>
      </c>
      <c r="L3352" s="27"/>
    </row>
    <row r="3353" spans="1:12">
      <c r="A3353" s="20" t="s">
        <v>312</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row>
    <row r="3355" spans="1:12">
      <c r="A3355" s="20" t="s">
        <v>2183</v>
      </c>
    </row>
    <row r="3356" spans="1:12">
      <c r="A3356" s="20" t="s">
        <v>198</v>
      </c>
      <c r="B3356" s="21" t="s">
        <v>1165</v>
      </c>
      <c r="C3356" s="21" t="s">
        <v>1143</v>
      </c>
      <c r="D3356" s="21" t="s">
        <v>1144</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1146</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t="s">
        <v>2184</v>
      </c>
      <c r="E3358" s="22">
        <f>IF(D3358="?OLD","!!!","")</f>
        <v/>
      </c>
      <c r="F3358" s="23" t="str">
        <f>IF(OR(E3358="",E3358="!!!"),"",IF(NOT(ISNA(VLOOKUP(E3358,E$1:E3357,1,FALSE()))),"OLD",IF(AND(E3358&lt;&gt;"",E3358&lt;&gt;"!!!"),"NEW","")))</f>
        <v> </v>
      </c>
      <c r="G3358" s="24" t="str">
        <f>IF(OR(E3358="",E3358="!!!"),"",IF(OR(J3358=0,AND(J3358=1,K3358=1),AND(J3358=1,I3358="SBJ"),AND(J3358=1,I3358=0)),"?IN_FOCUS",IF(J3358&lt;=2,"?ACTIVATED",IF(J3358&lt;&gt;"","?FAMILIAR",IF(F3358="NEW",IF(ISNA(VLOOKUP(E3358,#REF!,1,FALSE())),"?TYPE_IDENTIFIABLE","?REFERENTIAL"),"_")))))</f>
        <v> </v>
      </c>
      <c r="H3358" s="25" t="str">
        <f>IF(J3358&lt;&gt;1,"",IF(I3358="SBJ","CB","?"))</f>
        <v> </v>
      </c>
      <c r="I3358" s="26" t="str">
        <f>IF(OR(E3358="",E3358="!!!",F3358="NEW"),"",INDEX(B3357:B$2,-1+SUMPRODUCT(MAX(ROW(E3357:E$2)*(E3358=E3357:E$2)))))</f>
        <v> </v>
      </c>
      <c r="J3358" s="26" t="str">
        <f>IF(OR(E3358="",E3358="!!!",F3358="NEW"),"",COUNTBLANK(OFFSET(A$1,,,SUMPRODUCT(MAX(ROW(E$2:E3358)*(E3358=E$2:E3358)))))-COUNTBLANK(OFFSET(A$1,,,SUMPRODUCT(MAX(ROW(E$1:E3357)*(E2=E$1:E3357))))))</f>
        <v> </v>
      </c>
      <c r="K3358" s="26" t="str">
        <f>IF(OR(E3358="",E3358="!!!",F3358="NEW"),"",INDEX(J$1:J3357,SUMPRODUCT(MAX(ROW(E$1:E3357)*(E3358=E$1:E3357)))))</f>
        <v> </v>
      </c>
      <c r="L3358" s="27"/>
    </row>
    <row r="3359" spans="1:12">
      <c r="A3359" s="20" t="s">
        <v>73</v>
      </c>
      <c r="E3359" s="22">
        <f>IF(D3359="?OLD","!!!","")</f>
        <v/>
      </c>
      <c r="F3359" s="23" t="str">
        <f>IF(OR(E3359="",E3359="!!!"),"",IF(NOT(ISNA(VLOOKUP(E3359,E$1:E3358,1,FALSE()))),"OLD",IF(AND(E3359&lt;&gt;"",E3359&lt;&gt;"!!!"),"NEW","")))</f>
        <v> </v>
      </c>
      <c r="G3359" s="24" t="str">
        <f>IF(OR(E3359="",E3359="!!!"),"",IF(OR(J3359=0,AND(J3359=1,K3359=1),AND(J3359=1,I3359="SBJ"),AND(J3359=1,I3359=0)),"?IN_FOCUS",IF(J3359&lt;=2,"?ACTIVATED",IF(J3359&lt;&gt;"","?FAMILIAR",IF(F3359="NEW",IF(ISNA(VLOOKUP(E3359,#REF!,1,FALSE())),"?TYPE_IDENTIFIABLE","?REFERENTIAL"),"_")))))</f>
        <v> </v>
      </c>
      <c r="H3359" s="25" t="str">
        <f>IF(J3359&lt;&gt;1,"",IF(I3359="SBJ","CB","?"))</f>
        <v> </v>
      </c>
      <c r="I3359" s="26" t="str">
        <f>IF(OR(E3359="",E3359="!!!",F3359="NEW"),"",INDEX(B3358:B$2,-1+SUMPRODUCT(MAX(ROW(E3358:E$2)*(E3359=E3358:E$2)))))</f>
        <v> </v>
      </c>
      <c r="J3359" s="26" t="str">
        <f>IF(OR(E3359="",E3359="!!!",F3359="NEW"),"",COUNTBLANK(OFFSET(A$1,,,SUMPRODUCT(MAX(ROW(E$2:E3359)*(E3359=E$2:E3359)))))-COUNTBLANK(OFFSET(A$1,,,SUMPRODUCT(MAX(ROW(E$1:E3358)*(E2=E$1:E3358))))))</f>
        <v> </v>
      </c>
      <c r="K3359" s="26" t="str">
        <f>IF(OR(E3359="",E3359="!!!",F3359="NEW"),"",INDEX(J$1:J3358,SUMPRODUCT(MAX(ROW(E$1:E3358)*(E3359=E$1:E3358)))))</f>
        <v> </v>
      </c>
      <c r="L3359" s="27"/>
    </row>
    <row r="3360" spans="1:12">
      <c r="A3360" s="20" t="s">
        <v>1167</v>
      </c>
      <c r="B3360" s="21" t="s">
        <v>1165</v>
      </c>
      <c r="C3360" s="21" t="s">
        <v>1168</v>
      </c>
      <c r="D3360" s="21" t="s">
        <v>1144</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1191</v>
      </c>
      <c r="B3361" s="21" t="s">
        <v>1154</v>
      </c>
      <c r="C3361" s="21" t="s">
        <v>1232</v>
      </c>
      <c r="D3361" s="21" t="s">
        <v>1144</v>
      </c>
      <c r="E3361" s="22">
        <f>IF(D3361="?OLD","!!!","")</f>
        <v/>
      </c>
      <c r="F3361" s="23" t="str">
        <f>IF(OR(E3361="",E3361="!!!"),"",IF(NOT(ISNA(VLOOKUP(E3361,E$1:E3360,1,FALSE()))),"OLD",IF(AND(E3361&lt;&gt;"",E3361&lt;&gt;"!!!"),"NEW","")))</f>
        <v> </v>
      </c>
      <c r="G3361" s="24" t="str">
        <f>IF(OR(E3361="",E3361="!!!"),"",IF(OR(J3361=0,AND(J3361=1,K3361=1),AND(J3361=1,I3361="SBJ"),AND(J3361=1,I3361=0)),"?IN_FOCUS",IF(J3361&lt;=2,"?ACTIVATED",IF(J3361&lt;&gt;"","?FAMILIAR",IF(F3361="NEW",IF(ISNA(VLOOKUP(E3361,#REF!,1,FALSE())),"?TYPE_IDENTIFIABLE","?REFERENTIAL"),"_")))))</f>
        <v> </v>
      </c>
      <c r="H3361" s="25" t="str">
        <f>IF(J3361&lt;&gt;1,"",IF(I3361="SBJ","CB","?"))</f>
        <v> </v>
      </c>
      <c r="I3361" s="26" t="str">
        <f>IF(OR(E3361="",E3361="!!!",F3361="NEW"),"",INDEX(B3360:B$2,-1+SUMPRODUCT(MAX(ROW(E3360:E$2)*(E3361=E3360:E$2)))))</f>
        <v> </v>
      </c>
      <c r="J3361" s="26" t="str">
        <f>IF(OR(E3361="",E3361="!!!",F3361="NEW"),"",COUNTBLANK(OFFSET(A$1,,,SUMPRODUCT(MAX(ROW(E$2:E3361)*(E3361=E$2:E3361)))))-COUNTBLANK(OFFSET(A$1,,,SUMPRODUCT(MAX(ROW(E$1:E3360)*(E2=E$1:E3360))))))</f>
        <v> </v>
      </c>
      <c r="K3361" s="26" t="str">
        <f>IF(OR(E3361="",E3361="!!!",F3361="NEW"),"",INDEX(J$1:J3360,SUMPRODUCT(MAX(ROW(E$1:E3360)*(E3361=E$1:E3360)))))</f>
        <v> </v>
      </c>
      <c r="L3361" s="27"/>
    </row>
    <row r="3362" spans="1:12">
      <c r="A3362" s="20" t="s">
        <v>1364</v>
      </c>
      <c r="E3362" s="22">
        <f>IF(D3362="?OLD","!!!","")</f>
        <v/>
      </c>
      <c r="F3362" s="23" t="str">
        <f>IF(OR(E3362="",E3362="!!!"),"",IF(NOT(ISNA(VLOOKUP(E3362,E$1:E3361,1,FALSE()))),"OLD",IF(AND(E3362&lt;&gt;"",E3362&lt;&gt;"!!!"),"NEW","")))</f>
        <v> </v>
      </c>
      <c r="G3362" s="24" t="str">
        <f>IF(OR(E3362="",E3362="!!!"),"",IF(OR(J3362=0,AND(J3362=1,K3362=1),AND(J3362=1,I3362="SBJ"),AND(J3362=1,I3362=0)),"?IN_FOCUS",IF(J3362&lt;=2,"?ACTIVATED",IF(J3362&lt;&gt;"","?FAMILIAR",IF(F3362="NEW",IF(ISNA(VLOOKUP(E3362,#REF!,1,FALSE())),"?TYPE_IDENTIFIABLE","?REFERENTIAL"),"_")))))</f>
        <v> </v>
      </c>
      <c r="H3362" s="25" t="str">
        <f>IF(J3362&lt;&gt;1,"",IF(I3362="SBJ","CB","?"))</f>
        <v> </v>
      </c>
      <c r="I3362" s="26" t="str">
        <f>IF(OR(E3362="",E3362="!!!",F3362="NEW"),"",INDEX(B3361:B$2,-1+SUMPRODUCT(MAX(ROW(E3361:E$2)*(E3362=E3361:E$2)))))</f>
        <v> </v>
      </c>
      <c r="J3362" s="26" t="str">
        <f>IF(OR(E3362="",E3362="!!!",F3362="NEW"),"",COUNTBLANK(OFFSET(A$1,,,SUMPRODUCT(MAX(ROW(E$2:E3362)*(E3362=E$2:E3362)))))-COUNTBLANK(OFFSET(A$1,,,SUMPRODUCT(MAX(ROW(E$1:E3361)*(E2=E$1:E3361))))))</f>
        <v> </v>
      </c>
      <c r="K3362" s="26" t="str">
        <f>IF(OR(E3362="",E3362="!!!",F3362="NEW"),"",INDEX(J$1:J3361,SUMPRODUCT(MAX(ROW(E$1:E3361)*(E3362=E$1:E3361)))))</f>
        <v> </v>
      </c>
      <c r="L3362" s="27"/>
    </row>
    <row r="3363" spans="1:12">
      <c r="A3363" s="20" t="s">
        <v>165</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1263</v>
      </c>
      <c r="E3364" s="22">
        <f>IF(D3364="?OLD","!!!","")</f>
        <v/>
      </c>
      <c r="F3364" s="23" t="str">
        <f>IF(OR(E3364="",E3364="!!!"),"",IF(NOT(ISNA(VLOOKUP(E3364,E$1:E3363,1,FALSE()))),"OLD",IF(AND(E3364&lt;&gt;"",E3364&lt;&gt;"!!!"),"NEW","")))</f>
        <v> </v>
      </c>
      <c r="G3364" s="24" t="str">
        <f>IF(OR(E3364="",E3364="!!!"),"",IF(OR(J3364=0,AND(J3364=1,K3364=1),AND(J3364=1,I3364="SBJ"),AND(J3364=1,I3364=0)),"?IN_FOCUS",IF(J3364&lt;=2,"?ACTIVATED",IF(J3364&lt;&gt;"","?FAMILIAR",IF(F3364="NEW",IF(ISNA(VLOOKUP(E3364,#REF!,1,FALSE())),"?TYPE_IDENTIFIABLE","?REFERENTIAL"),"_")))))</f>
        <v> </v>
      </c>
      <c r="H3364" s="25" t="str">
        <f>IF(J3364&lt;&gt;1,"",IF(I3364="SBJ","CB","?"))</f>
        <v> </v>
      </c>
      <c r="I3364" s="26" t="str">
        <f>IF(OR(E3364="",E3364="!!!",F3364="NEW"),"",INDEX(B3363:B$2,-1+SUMPRODUCT(MAX(ROW(E3363:E$2)*(E3364=E3363:E$2)))))</f>
        <v> </v>
      </c>
      <c r="J3364" s="26" t="str">
        <f>IF(OR(E3364="",E3364="!!!",F3364="NEW"),"",COUNTBLANK(OFFSET(A$1,,,SUMPRODUCT(MAX(ROW(E$2:E3364)*(E3364=E$2:E3364)))))-COUNTBLANK(OFFSET(A$1,,,SUMPRODUCT(MAX(ROW(E$1:E3363)*(E2=E$1:E3363))))))</f>
        <v> </v>
      </c>
      <c r="K3364" s="26" t="str">
        <f>IF(OR(E3364="",E3364="!!!",F3364="NEW"),"",INDEX(J$1:J3363,SUMPRODUCT(MAX(ROW(E$1:E3363)*(E3364=E$1:E3363)))))</f>
        <v> </v>
      </c>
      <c r="L3364" s="27"/>
    </row>
    <row r="3365" spans="1:12">
      <c r="A3365" s="20"/>
    </row>
    <row r="3366" spans="1:12">
      <c r="A3366" s="20" t="s">
        <v>2185</v>
      </c>
    </row>
    <row r="3367" spans="1:12">
      <c r="A3367" s="20" t="s">
        <v>308</v>
      </c>
      <c r="B3367" s="21" t="s">
        <v>1161</v>
      </c>
      <c r="C3367" s="21" t="s">
        <v>1187</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t="s">
        <v>1146</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t="s">
        <v>1189</v>
      </c>
      <c r="B3369" s="21" t="s">
        <v>1142</v>
      </c>
      <c r="C3369" s="21" t="s">
        <v>1151</v>
      </c>
      <c r="D3369" s="21" t="s">
        <v>1144</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2186</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t="s">
        <v>1367</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t="s">
        <v>1166</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t="s">
        <v>1367</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2187</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312</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row>
    <row r="3377" spans="1:12">
      <c r="A3377" s="20" t="s">
        <v>2188</v>
      </c>
    </row>
    <row r="3378" spans="1:12">
      <c r="A3378" s="20" t="s">
        <v>1217</v>
      </c>
      <c r="B3378" s="21" t="s">
        <v>1165</v>
      </c>
      <c r="C3378" s="21" t="s">
        <v>1168</v>
      </c>
      <c r="D3378" s="21" t="s">
        <v>1144</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t="s">
        <v>1440</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1572</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t="s">
        <v>2189</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t="s">
        <v>1219</v>
      </c>
      <c r="E3382" s="22">
        <f>IF(D3382="?OLD","!!!","")</f>
        <v/>
      </c>
      <c r="F3382" s="23" t="str">
        <f>IF(OR(E3382="",E3382="!!!"),"",IF(NOT(ISNA(VLOOKUP(E3382,E$1:E3381,1,FALSE()))),"OLD",IF(AND(E3382&lt;&gt;"",E3382&lt;&gt;"!!!"),"NEW","")))</f>
        <v> </v>
      </c>
      <c r="G3382" s="24" t="str">
        <f>IF(OR(E3382="",E3382="!!!"),"",IF(OR(J3382=0,AND(J3382=1,K3382=1),AND(J3382=1,I3382="SBJ"),AND(J3382=1,I3382=0)),"?IN_FOCUS",IF(J3382&lt;=2,"?ACTIVATED",IF(J3382&lt;&gt;"","?FAMILIAR",IF(F3382="NEW",IF(ISNA(VLOOKUP(E3382,#REF!,1,FALSE())),"?TYPE_IDENTIFIABLE","?REFERENTIAL"),"_")))))</f>
        <v> </v>
      </c>
      <c r="H3382" s="25" t="str">
        <f>IF(J3382&lt;&gt;1,"",IF(I3382="SBJ","CB","?"))</f>
        <v> </v>
      </c>
      <c r="I3382" s="26" t="str">
        <f>IF(OR(E3382="",E3382="!!!",F3382="NEW"),"",INDEX(B3381:B$2,-1+SUMPRODUCT(MAX(ROW(E3381:E$2)*(E3382=E3381:E$2)))))</f>
        <v> </v>
      </c>
      <c r="J3382" s="26" t="str">
        <f>IF(OR(E3382="",E3382="!!!",F3382="NEW"),"",COUNTBLANK(OFFSET(A$1,,,SUMPRODUCT(MAX(ROW(E$2:E3382)*(E3382=E$2:E3382)))))-COUNTBLANK(OFFSET(A$1,,,SUMPRODUCT(MAX(ROW(E$1:E3381)*(E2=E$1:E3381))))))</f>
        <v> </v>
      </c>
      <c r="K3382" s="26" t="str">
        <f>IF(OR(E3382="",E3382="!!!",F3382="NEW"),"",INDEX(J$1:J3381,SUMPRODUCT(MAX(ROW(E$1:E3381)*(E3382=E$1:E3381)))))</f>
        <v> </v>
      </c>
      <c r="L3382" s="27"/>
    </row>
    <row r="3383" spans="1:12">
      <c r="A3383" s="20" t="s">
        <v>585</v>
      </c>
      <c r="E3383" s="22">
        <f>IF(D3383="?OLD","!!!","")</f>
        <v/>
      </c>
      <c r="F3383" s="23" t="str">
        <f>IF(OR(E3383="",E3383="!!!"),"",IF(NOT(ISNA(VLOOKUP(E3383,E$1:E3382,1,FALSE()))),"OLD",IF(AND(E3383&lt;&gt;"",E3383&lt;&gt;"!!!"),"NEW","")))</f>
        <v> </v>
      </c>
      <c r="G3383" s="24" t="str">
        <f>IF(OR(E3383="",E3383="!!!"),"",IF(OR(J3383=0,AND(J3383=1,K3383=1),AND(J3383=1,I3383="SBJ"),AND(J3383=1,I3383=0)),"?IN_FOCUS",IF(J3383&lt;=2,"?ACTIVATED",IF(J3383&lt;&gt;"","?FAMILIAR",IF(F3383="NEW",IF(ISNA(VLOOKUP(E3383,#REF!,1,FALSE())),"?TYPE_IDENTIFIABLE","?REFERENTIAL"),"_")))))</f>
        <v> </v>
      </c>
      <c r="H3383" s="25" t="str">
        <f>IF(J3383&lt;&gt;1,"",IF(I3383="SBJ","CB","?"))</f>
        <v> </v>
      </c>
      <c r="I3383" s="26" t="str">
        <f>IF(OR(E3383="",E3383="!!!",F3383="NEW"),"",INDEX(B3382:B$2,-1+SUMPRODUCT(MAX(ROW(E3382:E$2)*(E3383=E3382:E$2)))))</f>
        <v> </v>
      </c>
      <c r="J3383" s="26" t="str">
        <f>IF(OR(E3383="",E3383="!!!",F3383="NEW"),"",COUNTBLANK(OFFSET(A$1,,,SUMPRODUCT(MAX(ROW(E$2:E3383)*(E3383=E$2:E3383)))))-COUNTBLANK(OFFSET(A$1,,,SUMPRODUCT(MAX(ROW(E$1:E3382)*(E2=E$1:E3382))))))</f>
        <v> </v>
      </c>
      <c r="K3383" s="26" t="str">
        <f>IF(OR(E3383="",E3383="!!!",F3383="NEW"),"",INDEX(J$1:J3382,SUMPRODUCT(MAX(ROW(E$1:E3382)*(E3383=E$1:E3382)))))</f>
        <v> </v>
      </c>
      <c r="L3383" s="27"/>
    </row>
    <row r="3384" spans="1:12">
      <c r="A3384" s="20" t="s">
        <v>2079</v>
      </c>
      <c r="E3384" s="22">
        <f>IF(D3384="?OLD","!!!","")</f>
        <v/>
      </c>
      <c r="F3384" s="23" t="str">
        <f>IF(OR(E3384="",E3384="!!!"),"",IF(NOT(ISNA(VLOOKUP(E3384,E$1:E3383,1,FALSE()))),"OLD",IF(AND(E3384&lt;&gt;"",E3384&lt;&gt;"!!!"),"NEW","")))</f>
        <v> </v>
      </c>
      <c r="G3384" s="24" t="str">
        <f>IF(OR(E3384="",E3384="!!!"),"",IF(OR(J3384=0,AND(J3384=1,K3384=1),AND(J3384=1,I3384="SBJ"),AND(J3384=1,I3384=0)),"?IN_FOCUS",IF(J3384&lt;=2,"?ACTIVATED",IF(J3384&lt;&gt;"","?FAMILIAR",IF(F3384="NEW",IF(ISNA(VLOOKUP(E3384,#REF!,1,FALSE())),"?TYPE_IDENTIFIABLE","?REFERENTIAL"),"_")))))</f>
        <v> </v>
      </c>
      <c r="H3384" s="25" t="str">
        <f>IF(J3384&lt;&gt;1,"",IF(I3384="SBJ","CB","?"))</f>
        <v> </v>
      </c>
      <c r="I3384" s="26" t="str">
        <f>IF(OR(E3384="",E3384="!!!",F3384="NEW"),"",INDEX(B3383:B$2,-1+SUMPRODUCT(MAX(ROW(E3383:E$2)*(E3384=E3383:E$2)))))</f>
        <v> </v>
      </c>
      <c r="J3384" s="26" t="str">
        <f>IF(OR(E3384="",E3384="!!!",F3384="NEW"),"",COUNTBLANK(OFFSET(A$1,,,SUMPRODUCT(MAX(ROW(E$2:E3384)*(E3384=E$2:E3384)))))-COUNTBLANK(OFFSET(A$1,,,SUMPRODUCT(MAX(ROW(E$1:E3383)*(E2=E$1:E3383))))))</f>
        <v> </v>
      </c>
      <c r="K3384" s="26" t="str">
        <f>IF(OR(E3384="",E3384="!!!",F3384="NEW"),"",INDEX(J$1:J3383,SUMPRODUCT(MAX(ROW(E$1:E3383)*(E3384=E$1:E3383)))))</f>
        <v> </v>
      </c>
      <c r="L3384" s="27"/>
    </row>
    <row r="3385" spans="1:12">
      <c r="A3385" s="20" t="s">
        <v>2190</v>
      </c>
      <c r="B3385" s="21" t="s">
        <v>1147</v>
      </c>
      <c r="C3385" s="21" t="s">
        <v>1214</v>
      </c>
      <c r="E3385" s="22">
        <f>IF(D3385="?OLD","!!!","")</f>
        <v/>
      </c>
      <c r="F3385" s="23" t="str">
        <f>IF(OR(E3385="",E3385="!!!"),"",IF(NOT(ISNA(VLOOKUP(E3385,E$1:E3384,1,FALSE()))),"OLD",IF(AND(E3385&lt;&gt;"",E3385&lt;&gt;"!!!"),"NEW","")))</f>
        <v> </v>
      </c>
      <c r="G3385" s="24" t="str">
        <f>IF(OR(E3385="",E3385="!!!"),"",IF(OR(J3385=0,AND(J3385=1,K3385=1),AND(J3385=1,I3385="SBJ"),AND(J3385=1,I3385=0)),"?IN_FOCUS",IF(J3385&lt;=2,"?ACTIVATED",IF(J3385&lt;&gt;"","?FAMILIAR",IF(F3385="NEW",IF(ISNA(VLOOKUP(E3385,#REF!,1,FALSE())),"?TYPE_IDENTIFIABLE","?REFERENTIAL"),"_")))))</f>
        <v> </v>
      </c>
      <c r="H3385" s="25" t="str">
        <f>IF(J3385&lt;&gt;1,"",IF(I3385="SBJ","CB","?"))</f>
        <v> </v>
      </c>
      <c r="I3385" s="26" t="str">
        <f>IF(OR(E3385="",E3385="!!!",F3385="NEW"),"",INDEX(B3384:B$2,-1+SUMPRODUCT(MAX(ROW(E3384:E$2)*(E3385=E3384:E$2)))))</f>
        <v> </v>
      </c>
      <c r="J3385" s="26" t="str">
        <f>IF(OR(E3385="",E3385="!!!",F3385="NEW"),"",COUNTBLANK(OFFSET(A$1,,,SUMPRODUCT(MAX(ROW(E$2:E3385)*(E3385=E$2:E3385)))))-COUNTBLANK(OFFSET(A$1,,,SUMPRODUCT(MAX(ROW(E$1:E3384)*(E2=E$1:E3384))))))</f>
        <v> </v>
      </c>
      <c r="K3385" s="26" t="str">
        <f>IF(OR(E3385="",E3385="!!!",F3385="NEW"),"",INDEX(J$1:J3384,SUMPRODUCT(MAX(ROW(E$1:E3384)*(E3385=E$1:E3384)))))</f>
        <v> </v>
      </c>
      <c r="L3385" s="27"/>
    </row>
    <row r="3386" spans="1:12">
      <c r="A3386" s="20" t="s">
        <v>2191</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t="s">
        <v>2192</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2193</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t="s">
        <v>312</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row>
    <row r="3391" spans="1:12">
      <c r="A3391" s="20" t="s">
        <v>2194</v>
      </c>
    </row>
    <row r="3392" spans="1:12">
      <c r="A3392" s="20" t="s">
        <v>1189</v>
      </c>
      <c r="B3392" s="21" t="s">
        <v>1165</v>
      </c>
      <c r="C3392" s="21" t="s">
        <v>1151</v>
      </c>
      <c r="D3392" s="21" t="s">
        <v>1144</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t="s">
        <v>2195</v>
      </c>
      <c r="E3393" s="22">
        <f>IF(D3393="?OLD","!!!","")</f>
        <v/>
      </c>
      <c r="F3393" s="23" t="str">
        <f>IF(OR(E3393="",E3393="!!!"),"",IF(NOT(ISNA(VLOOKUP(E3393,E$1:E3392,1,FALSE()))),"OLD",IF(AND(E3393&lt;&gt;"",E3393&lt;&gt;"!!!"),"NEW","")))</f>
        <v> </v>
      </c>
      <c r="G3393" s="24" t="str">
        <f>IF(OR(E3393="",E3393="!!!"),"",IF(OR(J3393=0,AND(J3393=1,K3393=1),AND(J3393=1,I3393="SBJ"),AND(J3393=1,I3393=0)),"?IN_FOCUS",IF(J3393&lt;=2,"?ACTIVATED",IF(J3393&lt;&gt;"","?FAMILIAR",IF(F3393="NEW",IF(ISNA(VLOOKUP(E3393,#REF!,1,FALSE())),"?TYPE_IDENTIFIABLE","?REFERENTIAL"),"_")))))</f>
        <v> </v>
      </c>
      <c r="H3393" s="25" t="str">
        <f>IF(J3393&lt;&gt;1,"",IF(I3393="SBJ","CB","?"))</f>
        <v> </v>
      </c>
      <c r="I3393" s="26" t="str">
        <f>IF(OR(E3393="",E3393="!!!",F3393="NEW"),"",INDEX(B3392:B$2,-1+SUMPRODUCT(MAX(ROW(E3392:E$2)*(E3393=E3392:E$2)))))</f>
        <v> </v>
      </c>
      <c r="J3393" s="26" t="str">
        <f>IF(OR(E3393="",E3393="!!!",F3393="NEW"),"",COUNTBLANK(OFFSET(A$1,,,SUMPRODUCT(MAX(ROW(E$2:E3393)*(E3393=E$2:E3393)))))-COUNTBLANK(OFFSET(A$1,,,SUMPRODUCT(MAX(ROW(E$1:E3392)*(E2=E$1:E3392))))))</f>
        <v> </v>
      </c>
      <c r="K3393" s="26" t="str">
        <f>IF(OR(E3393="",E3393="!!!",F3393="NEW"),"",INDEX(J$1:J3392,SUMPRODUCT(MAX(ROW(E$1:E3392)*(E3393=E$1:E3392)))))</f>
        <v> </v>
      </c>
      <c r="L3393" s="27"/>
    </row>
    <row r="3394" spans="1:12">
      <c r="A3394" s="20" t="s">
        <v>826</v>
      </c>
      <c r="E3394" s="22">
        <f>IF(D3394="?OLD","!!!","")</f>
        <v/>
      </c>
      <c r="F3394" s="23" t="str">
        <f>IF(OR(E3394="",E3394="!!!"),"",IF(NOT(ISNA(VLOOKUP(E3394,E$1:E3393,1,FALSE()))),"OLD",IF(AND(E3394&lt;&gt;"",E3394&lt;&gt;"!!!"),"NEW","")))</f>
        <v> </v>
      </c>
      <c r="G3394" s="24" t="str">
        <f>IF(OR(E3394="",E3394="!!!"),"",IF(OR(J3394=0,AND(J3394=1,K3394=1),AND(J3394=1,I3394="SBJ"),AND(J3394=1,I3394=0)),"?IN_FOCUS",IF(J3394&lt;=2,"?ACTIVATED",IF(J3394&lt;&gt;"","?FAMILIAR",IF(F3394="NEW",IF(ISNA(VLOOKUP(E3394,#REF!,1,FALSE())),"?TYPE_IDENTIFIABLE","?REFERENTIAL"),"_")))))</f>
        <v> </v>
      </c>
      <c r="H3394" s="25" t="str">
        <f>IF(J3394&lt;&gt;1,"",IF(I3394="SBJ","CB","?"))</f>
        <v> </v>
      </c>
      <c r="I3394" s="26" t="str">
        <f>IF(OR(E3394="",E3394="!!!",F3394="NEW"),"",INDEX(B3393:B$2,-1+SUMPRODUCT(MAX(ROW(E3393:E$2)*(E3394=E3393:E$2)))))</f>
        <v> </v>
      </c>
      <c r="J3394" s="26" t="str">
        <f>IF(OR(E3394="",E3394="!!!",F3394="NEW"),"",COUNTBLANK(OFFSET(A$1,,,SUMPRODUCT(MAX(ROW(E$2:E3394)*(E3394=E$2:E3394)))))-COUNTBLANK(OFFSET(A$1,,,SUMPRODUCT(MAX(ROW(E$1:E3393)*(E2=E$1:E3393))))))</f>
        <v> </v>
      </c>
      <c r="K3394" s="26" t="str">
        <f>IF(OR(E3394="",E3394="!!!",F3394="NEW"),"",INDEX(J$1:J3393,SUMPRODUCT(MAX(ROW(E$1:E3393)*(E3394=E$1:E3393)))))</f>
        <v> </v>
      </c>
      <c r="L3394" s="27"/>
    </row>
    <row r="3395" spans="1:12">
      <c r="A3395" s="20" t="s">
        <v>1203</v>
      </c>
      <c r="E3395" s="22">
        <f>IF(D3395="?OLD","!!!","")</f>
        <v/>
      </c>
      <c r="F3395" s="23" t="str">
        <f>IF(OR(E3395="",E3395="!!!"),"",IF(NOT(ISNA(VLOOKUP(E3395,E$1:E3394,1,FALSE()))),"OLD",IF(AND(E3395&lt;&gt;"",E3395&lt;&gt;"!!!"),"NEW","")))</f>
        <v> </v>
      </c>
      <c r="G3395" s="24" t="str">
        <f>IF(OR(E3395="",E3395="!!!"),"",IF(OR(J3395=0,AND(J3395=1,K3395=1),AND(J3395=1,I3395="SBJ"),AND(J3395=1,I3395=0)),"?IN_FOCUS",IF(J3395&lt;=2,"?ACTIVATED",IF(J3395&lt;&gt;"","?FAMILIAR",IF(F3395="NEW",IF(ISNA(VLOOKUP(E3395,#REF!,1,FALSE())),"?TYPE_IDENTIFIABLE","?REFERENTIAL"),"_")))))</f>
        <v> </v>
      </c>
      <c r="H3395" s="25" t="str">
        <f>IF(J3395&lt;&gt;1,"",IF(I3395="SBJ","CB","?"))</f>
        <v> </v>
      </c>
      <c r="I3395" s="26" t="str">
        <f>IF(OR(E3395="",E3395="!!!",F3395="NEW"),"",INDEX(B3394:B$2,-1+SUMPRODUCT(MAX(ROW(E3394:E$2)*(E3395=E3394:E$2)))))</f>
        <v> </v>
      </c>
      <c r="J3395" s="26" t="str">
        <f>IF(OR(E3395="",E3395="!!!",F3395="NEW"),"",COUNTBLANK(OFFSET(A$1,,,SUMPRODUCT(MAX(ROW(E$2:E3395)*(E3395=E$2:E3395)))))-COUNTBLANK(OFFSET(A$1,,,SUMPRODUCT(MAX(ROW(E$1:E3394)*(E2=E$1:E3394))))))</f>
        <v> </v>
      </c>
      <c r="K3395" s="26" t="str">
        <f>IF(OR(E3395="",E3395="!!!",F3395="NEW"),"",INDEX(J$1:J3394,SUMPRODUCT(MAX(ROW(E$1:E3394)*(E3395=E$1:E3394)))))</f>
        <v> </v>
      </c>
      <c r="L3395" s="27"/>
    </row>
    <row r="3396" spans="1:12">
      <c r="A3396" s="20" t="s">
        <v>1260</v>
      </c>
      <c r="E3396" s="22">
        <f>IF(D3396="?OLD","!!!","")</f>
        <v/>
      </c>
      <c r="F3396" s="23" t="str">
        <f>IF(OR(E3396="",E3396="!!!"),"",IF(NOT(ISNA(VLOOKUP(E3396,E$1:E3395,1,FALSE()))),"OLD",IF(AND(E3396&lt;&gt;"",E3396&lt;&gt;"!!!"),"NEW","")))</f>
        <v> </v>
      </c>
      <c r="G3396" s="24" t="str">
        <f>IF(OR(E3396="",E3396="!!!"),"",IF(OR(J3396=0,AND(J3396=1,K3396=1),AND(J3396=1,I3396="SBJ"),AND(J3396=1,I3396=0)),"?IN_FOCUS",IF(J3396&lt;=2,"?ACTIVATED",IF(J3396&lt;&gt;"","?FAMILIAR",IF(F3396="NEW",IF(ISNA(VLOOKUP(E3396,#REF!,1,FALSE())),"?TYPE_IDENTIFIABLE","?REFERENTIAL"),"_")))))</f>
        <v> </v>
      </c>
      <c r="H3396" s="25" t="str">
        <f>IF(J3396&lt;&gt;1,"",IF(I3396="SBJ","CB","?"))</f>
        <v> </v>
      </c>
      <c r="I3396" s="26" t="str">
        <f>IF(OR(E3396="",E3396="!!!",F3396="NEW"),"",INDEX(B3395:B$2,-1+SUMPRODUCT(MAX(ROW(E3395:E$2)*(E3396=E3395:E$2)))))</f>
        <v> </v>
      </c>
      <c r="J3396" s="26" t="str">
        <f>IF(OR(E3396="",E3396="!!!",F3396="NEW"),"",COUNTBLANK(OFFSET(A$1,,,SUMPRODUCT(MAX(ROW(E$2:E3396)*(E3396=E$2:E3396)))))-COUNTBLANK(OFFSET(A$1,,,SUMPRODUCT(MAX(ROW(E$1:E3395)*(E2=E$1:E3395))))))</f>
        <v> </v>
      </c>
      <c r="K3396" s="26" t="str">
        <f>IF(OR(E3396="",E3396="!!!",F3396="NEW"),"",INDEX(J$1:J3395,SUMPRODUCT(MAX(ROW(E$1:E3395)*(E3396=E$1:E3395)))))</f>
        <v> </v>
      </c>
      <c r="L3396" s="27"/>
    </row>
    <row r="3397" spans="1:12">
      <c r="A3397" s="20" t="s">
        <v>1261</v>
      </c>
      <c r="B3397" s="21" t="s">
        <v>1150</v>
      </c>
      <c r="C3397" s="21" t="s">
        <v>1151</v>
      </c>
      <c r="D3397" s="21" t="s">
        <v>1144</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1500</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t="s">
        <v>2196</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t="s">
        <v>312</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row>
    <row r="3402" spans="1:12">
      <c r="A3402" s="20" t="s">
        <v>2197</v>
      </c>
    </row>
    <row r="3403" spans="1:12">
      <c r="A3403" s="20" t="s">
        <v>198</v>
      </c>
      <c r="B3403" s="21" t="s">
        <v>1161</v>
      </c>
      <c r="C3403" s="21" t="s">
        <v>1143</v>
      </c>
      <c r="D3403" s="21" t="s">
        <v>1144</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t="s">
        <v>1146</v>
      </c>
      <c r="E3404" s="22">
        <f>IF(D3404="?OLD","!!!","")</f>
        <v/>
      </c>
      <c r="F3404" s="23" t="str">
        <f>IF(OR(E3404="",E3404="!!!"),"",IF(NOT(ISNA(VLOOKUP(E3404,E$1:E3403,1,FALSE()))),"OLD",IF(AND(E3404&lt;&gt;"",E3404&lt;&gt;"!!!"),"NEW","")))</f>
        <v> </v>
      </c>
      <c r="G3404" s="24" t="str">
        <f>IF(OR(E3404="",E3404="!!!"),"",IF(OR(J3404=0,AND(J3404=1,K3404=1),AND(J3404=1,I3404="SBJ"),AND(J3404=1,I3404=0)),"?IN_FOCUS",IF(J3404&lt;=2,"?ACTIVATED",IF(J3404&lt;&gt;"","?FAMILIAR",IF(F3404="NEW",IF(ISNA(VLOOKUP(E3404,#REF!,1,FALSE())),"?TYPE_IDENTIFIABLE","?REFERENTIAL"),"_")))))</f>
        <v> </v>
      </c>
      <c r="H3404" s="25" t="str">
        <f>IF(J3404&lt;&gt;1,"",IF(I3404="SBJ","CB","?"))</f>
        <v> </v>
      </c>
      <c r="I3404" s="26" t="str">
        <f>IF(OR(E3404="",E3404="!!!",F3404="NEW"),"",INDEX(B3403:B$2,-1+SUMPRODUCT(MAX(ROW(E3403:E$2)*(E3404=E3403:E$2)))))</f>
        <v> </v>
      </c>
      <c r="J3404" s="26" t="str">
        <f>IF(OR(E3404="",E3404="!!!",F3404="NEW"),"",COUNTBLANK(OFFSET(A$1,,,SUMPRODUCT(MAX(ROW(E$2:E3404)*(E3404=E$2:E3404)))))-COUNTBLANK(OFFSET(A$1,,,SUMPRODUCT(MAX(ROW(E$1:E3403)*(E2=E$1:E3403))))))</f>
        <v> </v>
      </c>
      <c r="K3404" s="26" t="str">
        <f>IF(OR(E3404="",E3404="!!!",F3404="NEW"),"",INDEX(J$1:J3403,SUMPRODUCT(MAX(ROW(E$1:E3403)*(E3404=E$1:E3403)))))</f>
        <v> </v>
      </c>
      <c r="L3404" s="27"/>
    </row>
    <row r="3405" spans="1:12">
      <c r="A3405" s="20" t="s">
        <v>1816</v>
      </c>
      <c r="B3405" s="21" t="s">
        <v>1142</v>
      </c>
      <c r="C3405" s="21" t="s">
        <v>1151</v>
      </c>
      <c r="D3405" s="21" t="s">
        <v>1144</v>
      </c>
      <c r="E3405" s="22">
        <f>IF(D3405="?OLD","!!!","")</f>
        <v/>
      </c>
      <c r="F3405" s="23" t="str">
        <f>IF(OR(E3405="",E3405="!!!"),"",IF(NOT(ISNA(VLOOKUP(E3405,E$1:E3404,1,FALSE()))),"OLD",IF(AND(E3405&lt;&gt;"",E3405&lt;&gt;"!!!"),"NEW","")))</f>
        <v> </v>
      </c>
      <c r="G3405" s="24" t="str">
        <f>IF(OR(E3405="",E3405="!!!"),"",IF(OR(J3405=0,AND(J3405=1,K3405=1),AND(J3405=1,I3405="SBJ"),AND(J3405=1,I3405=0)),"?IN_FOCUS",IF(J3405&lt;=2,"?ACTIVATED",IF(J3405&lt;&gt;"","?FAMILIAR",IF(F3405="NEW",IF(ISNA(VLOOKUP(E3405,#REF!,1,FALSE())),"?TYPE_IDENTIFIABLE","?REFERENTIAL"),"_")))))</f>
        <v> </v>
      </c>
      <c r="H3405" s="25" t="str">
        <f>IF(J3405&lt;&gt;1,"",IF(I3405="SBJ","CB","?"))</f>
        <v> </v>
      </c>
      <c r="I3405" s="26" t="str">
        <f>IF(OR(E3405="",E3405="!!!",F3405="NEW"),"",INDEX(B3404:B$2,-1+SUMPRODUCT(MAX(ROW(E3404:E$2)*(E3405=E3404:E$2)))))</f>
        <v> </v>
      </c>
      <c r="J3405" s="26" t="str">
        <f>IF(OR(E3405="",E3405="!!!",F3405="NEW"),"",COUNTBLANK(OFFSET(A$1,,,SUMPRODUCT(MAX(ROW(E$2:E3405)*(E3405=E$2:E3405)))))-COUNTBLANK(OFFSET(A$1,,,SUMPRODUCT(MAX(ROW(E$1:E3404)*(E2=E$1:E3404))))))</f>
        <v> </v>
      </c>
      <c r="K3405" s="26" t="str">
        <f>IF(OR(E3405="",E3405="!!!",F3405="NEW"),"",INDEX(J$1:J3404,SUMPRODUCT(MAX(ROW(E$1:E3404)*(E3405=E$1:E3404)))))</f>
        <v> </v>
      </c>
      <c r="L3405" s="27"/>
    </row>
    <row r="3406" spans="1:12">
      <c r="A3406" s="20" t="s">
        <v>2164</v>
      </c>
      <c r="E3406" s="22">
        <f>IF(D3406="?OLD","!!!","")</f>
        <v/>
      </c>
      <c r="F3406" s="23" t="str">
        <f>IF(OR(E3406="",E3406="!!!"),"",IF(NOT(ISNA(VLOOKUP(E3406,E$1:E3405,1,FALSE()))),"OLD",IF(AND(E3406&lt;&gt;"",E3406&lt;&gt;"!!!"),"NEW","")))</f>
        <v> </v>
      </c>
      <c r="G3406" s="24" t="str">
        <f>IF(OR(E3406="",E3406="!!!"),"",IF(OR(J3406=0,AND(J3406=1,K3406=1),AND(J3406=1,I3406="SBJ"),AND(J3406=1,I3406=0)),"?IN_FOCUS",IF(J3406&lt;=2,"?ACTIVATED",IF(J3406&lt;&gt;"","?FAMILIAR",IF(F3406="NEW",IF(ISNA(VLOOKUP(E3406,#REF!,1,FALSE())),"?TYPE_IDENTIFIABLE","?REFERENTIAL"),"_")))))</f>
        <v> </v>
      </c>
      <c r="H3406" s="25" t="str">
        <f>IF(J3406&lt;&gt;1,"",IF(I3406="SBJ","CB","?"))</f>
        <v> </v>
      </c>
      <c r="I3406" s="26" t="str">
        <f>IF(OR(E3406="",E3406="!!!",F3406="NEW"),"",INDEX(B3405:B$2,-1+SUMPRODUCT(MAX(ROW(E3405:E$2)*(E3406=E3405:E$2)))))</f>
        <v> </v>
      </c>
      <c r="J3406" s="26" t="str">
        <f>IF(OR(E3406="",E3406="!!!",F3406="NEW"),"",COUNTBLANK(OFFSET(A$1,,,SUMPRODUCT(MAX(ROW(E$2:E3406)*(E3406=E$2:E3406)))))-COUNTBLANK(OFFSET(A$1,,,SUMPRODUCT(MAX(ROW(E$1:E3405)*(E2=E$1:E3405))))))</f>
        <v> </v>
      </c>
      <c r="K3406" s="26" t="str">
        <f>IF(OR(E3406="",E3406="!!!",F3406="NEW"),"",INDEX(J$1:J3405,SUMPRODUCT(MAX(ROW(E$1:E3405)*(E3406=E$1:E3405)))))</f>
        <v> </v>
      </c>
      <c r="L3406" s="27"/>
    </row>
    <row r="3407" spans="1:12">
      <c r="A3407" s="20" t="s">
        <v>1176</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1616</v>
      </c>
      <c r="E3408" s="22">
        <f>IF(D3408="?OLD","!!!","")</f>
        <v/>
      </c>
      <c r="F3408" s="23" t="str">
        <f>IF(OR(E3408="",E3408="!!!"),"",IF(NOT(ISNA(VLOOKUP(E3408,E$1:E3407,1,FALSE()))),"OLD",IF(AND(E3408&lt;&gt;"",E3408&lt;&gt;"!!!"),"NEW","")))</f>
        <v> </v>
      </c>
      <c r="G3408" s="24" t="str">
        <f>IF(OR(E3408="",E3408="!!!"),"",IF(OR(J3408=0,AND(J3408=1,K3408=1),AND(J3408=1,I3408="SBJ"),AND(J3408=1,I3408=0)),"?IN_FOCUS",IF(J3408&lt;=2,"?ACTIVATED",IF(J3408&lt;&gt;"","?FAMILIAR",IF(F3408="NEW",IF(ISNA(VLOOKUP(E3408,#REF!,1,FALSE())),"?TYPE_IDENTIFIABLE","?REFERENTIAL"),"_")))))</f>
        <v> </v>
      </c>
      <c r="H3408" s="25" t="str">
        <f>IF(J3408&lt;&gt;1,"",IF(I3408="SBJ","CB","?"))</f>
        <v> </v>
      </c>
      <c r="I3408" s="26" t="str">
        <f>IF(OR(E3408="",E3408="!!!",F3408="NEW"),"",INDEX(B3407:B$2,-1+SUMPRODUCT(MAX(ROW(E3407:E$2)*(E3408=E3407:E$2)))))</f>
        <v> </v>
      </c>
      <c r="J3408" s="26" t="str">
        <f>IF(OR(E3408="",E3408="!!!",F3408="NEW"),"",COUNTBLANK(OFFSET(A$1,,,SUMPRODUCT(MAX(ROW(E$2:E3408)*(E3408=E$2:E3408)))))-COUNTBLANK(OFFSET(A$1,,,SUMPRODUCT(MAX(ROW(E$1:E3407)*(E2=E$1:E3407))))))</f>
        <v> </v>
      </c>
      <c r="K3408" s="26" t="str">
        <f>IF(OR(E3408="",E3408="!!!",F3408="NEW"),"",INDEX(J$1:J3407,SUMPRODUCT(MAX(ROW(E$1:E3407)*(E3408=E$1:E3407)))))</f>
        <v> </v>
      </c>
      <c r="L3408" s="27"/>
    </row>
    <row r="3409" spans="1:12">
      <c r="A3409" s="20" t="s">
        <v>1432</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1159</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2142</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1902</v>
      </c>
      <c r="B3412" s="21" t="s">
        <v>1161</v>
      </c>
      <c r="C3412" s="21" t="s">
        <v>1162</v>
      </c>
      <c r="D3412" s="21" t="s">
        <v>1144</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t="s">
        <v>312</v>
      </c>
      <c r="E3413" s="22">
        <f>IF(D3413="?OLD","!!!","")</f>
        <v/>
      </c>
      <c r="F3413" s="23" t="str">
        <f>IF(OR(E3413="",E3413="!!!"),"",IF(NOT(ISNA(VLOOKUP(E3413,E$1:E3412,1,FALSE()))),"OLD",IF(AND(E3413&lt;&gt;"",E3413&lt;&gt;"!!!"),"NEW","")))</f>
        <v> </v>
      </c>
      <c r="G3413" s="24" t="str">
        <f>IF(OR(E3413="",E3413="!!!"),"",IF(OR(J3413=0,AND(J3413=1,K3413=1),AND(J3413=1,I3413="SBJ"),AND(J3413=1,I3413=0)),"?IN_FOCUS",IF(J3413&lt;=2,"?ACTIVATED",IF(J3413&lt;&gt;"","?FAMILIAR",IF(F3413="NEW",IF(ISNA(VLOOKUP(E3413,#REF!,1,FALSE())),"?TYPE_IDENTIFIABLE","?REFERENTIAL"),"_")))))</f>
        <v> </v>
      </c>
      <c r="H3413" s="25" t="str">
        <f>IF(J3413&lt;&gt;1,"",IF(I3413="SBJ","CB","?"))</f>
        <v> </v>
      </c>
      <c r="I3413" s="26" t="str">
        <f>IF(OR(E3413="",E3413="!!!",F3413="NEW"),"",INDEX(B3412:B$2,-1+SUMPRODUCT(MAX(ROW(E3412:E$2)*(E3413=E3412:E$2)))))</f>
        <v> </v>
      </c>
      <c r="J3413" s="26" t="str">
        <f>IF(OR(E3413="",E3413="!!!",F3413="NEW"),"",COUNTBLANK(OFFSET(A$1,,,SUMPRODUCT(MAX(ROW(E$2:E3413)*(E3413=E$2:E3413)))))-COUNTBLANK(OFFSET(A$1,,,SUMPRODUCT(MAX(ROW(E$1:E3412)*(E2=E$1:E3412))))))</f>
        <v> </v>
      </c>
      <c r="K3413" s="26" t="str">
        <f>IF(OR(E3413="",E3413="!!!",F3413="NEW"),"",INDEX(J$1:J3412,SUMPRODUCT(MAX(ROW(E$1:E3412)*(E3413=E$1:E3412)))))</f>
        <v> </v>
      </c>
      <c r="L3413" s="27"/>
    </row>
    <row r="3414" spans="1:12">
      <c r="A3414" s="20"/>
    </row>
    <row r="3415" spans="1:12">
      <c r="A3415" s="20" t="s">
        <v>2198</v>
      </c>
    </row>
    <row r="3416" spans="1:12">
      <c r="A3416" s="20" t="s">
        <v>1816</v>
      </c>
      <c r="B3416" s="21" t="s">
        <v>1165</v>
      </c>
      <c r="C3416" s="21" t="s">
        <v>1151</v>
      </c>
      <c r="D3416" s="21" t="s">
        <v>1144</v>
      </c>
      <c r="E3416" s="22">
        <f>IF(D3416="?OLD","!!!","")</f>
        <v/>
      </c>
      <c r="F3416" s="23" t="str">
        <f>IF(OR(E3416="",E3416="!!!"),"",IF(NOT(ISNA(VLOOKUP(E3416,E$1:E3415,1,FALSE()))),"OLD",IF(AND(E3416&lt;&gt;"",E3416&lt;&gt;"!!!"),"NEW","")))</f>
        <v> </v>
      </c>
      <c r="G3416" s="24" t="str">
        <f>IF(OR(E3416="",E3416="!!!"),"",IF(OR(J3416=0,AND(J3416=1,K3416=1),AND(J3416=1,I3416="SBJ"),AND(J3416=1,I3416=0)),"?IN_FOCUS",IF(J3416&lt;=2,"?ACTIVATED",IF(J3416&lt;&gt;"","?FAMILIAR",IF(F3416="NEW",IF(ISNA(VLOOKUP(E3416,#REF!,1,FALSE())),"?TYPE_IDENTIFIABLE","?REFERENTIAL"),"_")))))</f>
        <v> </v>
      </c>
      <c r="H3416" s="25" t="str">
        <f>IF(J3416&lt;&gt;1,"",IF(I3416="SBJ","CB","?"))</f>
        <v> </v>
      </c>
      <c r="I3416" s="26" t="str">
        <f>IF(OR(E3416="",E3416="!!!",F3416="NEW"),"",INDEX(B3415:B$2,-1+SUMPRODUCT(MAX(ROW(E3415:E$2)*(E3416=E3415:E$2)))))</f>
        <v> </v>
      </c>
      <c r="J3416" s="26" t="str">
        <f>IF(OR(E3416="",E3416="!!!",F3416="NEW"),"",COUNTBLANK(OFFSET(A$1,,,SUMPRODUCT(MAX(ROW(E$2:E3416)*(E3416=E$2:E3416)))))-COUNTBLANK(OFFSET(A$1,,,SUMPRODUCT(MAX(ROW(E$1:E3415)*(E2=E$1:E3415))))))</f>
        <v> </v>
      </c>
      <c r="K3416" s="26" t="str">
        <f>IF(OR(E3416="",E3416="!!!",F3416="NEW"),"",INDEX(J$1:J3415,SUMPRODUCT(MAX(ROW(E$1:E3415)*(E3416=E$1:E3415)))))</f>
        <v> </v>
      </c>
      <c r="L3416" s="27"/>
    </row>
    <row r="3417" spans="1:12">
      <c r="A3417" s="20" t="s">
        <v>1846</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t="s">
        <v>1225</v>
      </c>
      <c r="E3418" s="22">
        <f>IF(D3418="?OLD","!!!","")</f>
        <v/>
      </c>
      <c r="F3418" s="23" t="str">
        <f>IF(OR(E3418="",E3418="!!!"),"",IF(NOT(ISNA(VLOOKUP(E3418,E$1:E3417,1,FALSE()))),"OLD",IF(AND(E3418&lt;&gt;"",E3418&lt;&gt;"!!!"),"NEW","")))</f>
        <v> </v>
      </c>
      <c r="G3418" s="24" t="str">
        <f>IF(OR(E3418="",E3418="!!!"),"",IF(OR(J3418=0,AND(J3418=1,K3418=1),AND(J3418=1,I3418="SBJ"),AND(J3418=1,I3418=0)),"?IN_FOCUS",IF(J3418&lt;=2,"?ACTIVATED",IF(J3418&lt;&gt;"","?FAMILIAR",IF(F3418="NEW",IF(ISNA(VLOOKUP(E3418,#REF!,1,FALSE())),"?TYPE_IDENTIFIABLE","?REFERENTIAL"),"_")))))</f>
        <v> </v>
      </c>
      <c r="H3418" s="25" t="str">
        <f>IF(J3418&lt;&gt;1,"",IF(I3418="SBJ","CB","?"))</f>
        <v> </v>
      </c>
      <c r="I3418" s="26" t="str">
        <f>IF(OR(E3418="",E3418="!!!",F3418="NEW"),"",INDEX(B3417:B$2,-1+SUMPRODUCT(MAX(ROW(E3417:E$2)*(E3418=E3417:E$2)))))</f>
        <v> </v>
      </c>
      <c r="J3418" s="26" t="str">
        <f>IF(OR(E3418="",E3418="!!!",F3418="NEW"),"",COUNTBLANK(OFFSET(A$1,,,SUMPRODUCT(MAX(ROW(E$2:E3418)*(E3418=E$2:E3418)))))-COUNTBLANK(OFFSET(A$1,,,SUMPRODUCT(MAX(ROW(E$1:E3417)*(E2=E$1:E3417))))))</f>
        <v> </v>
      </c>
      <c r="K3418" s="26" t="str">
        <f>IF(OR(E3418="",E3418="!!!",F3418="NEW"),"",INDEX(J$1:J3417,SUMPRODUCT(MAX(ROW(E$1:E3417)*(E3418=E$1:E3417)))))</f>
        <v> </v>
      </c>
      <c r="L3418" s="27"/>
    </row>
    <row r="3419" spans="1:12">
      <c r="A3419" s="20" t="s">
        <v>1152</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t="s">
        <v>1825</v>
      </c>
      <c r="B3420" s="21" t="s">
        <v>1154</v>
      </c>
      <c r="C3420" s="21" t="s">
        <v>1155</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t="s">
        <v>1302</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t="s">
        <v>2199</v>
      </c>
      <c r="B3422" s="21" t="s">
        <v>1171</v>
      </c>
      <c r="C3422" s="21" t="s">
        <v>1187</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312</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row>
    <row r="3425" spans="1:12">
      <c r="A3425" s="20" t="s">
        <v>2200</v>
      </c>
    </row>
    <row r="3426" spans="1:12">
      <c r="A3426" s="20" t="s">
        <v>308</v>
      </c>
      <c r="B3426" s="21" t="s">
        <v>1161</v>
      </c>
      <c r="C3426" s="21" t="s">
        <v>1143</v>
      </c>
      <c r="D3426" s="21" t="s">
        <v>1144</v>
      </c>
      <c r="E3426" s="22">
        <f>IF(D3426="?OLD","!!!","")</f>
        <v/>
      </c>
      <c r="F3426" s="23" t="str">
        <f>IF(OR(E3426="",E3426="!!!"),"",IF(NOT(ISNA(VLOOKUP(E3426,E$1:E3425,1,FALSE()))),"OLD",IF(AND(E3426&lt;&gt;"",E3426&lt;&gt;"!!!"),"NEW","")))</f>
        <v> </v>
      </c>
      <c r="G3426" s="24" t="str">
        <f>IF(OR(E3426="",E3426="!!!"),"",IF(OR(J3426=0,AND(J3426=1,K3426=1),AND(J3426=1,I3426="SBJ"),AND(J3426=1,I3426=0)),"?IN_FOCUS",IF(J3426&lt;=2,"?ACTIVATED",IF(J3426&lt;&gt;"","?FAMILIAR",IF(F3426="NEW",IF(ISNA(VLOOKUP(E3426,#REF!,1,FALSE())),"?TYPE_IDENTIFIABLE","?REFERENTIAL"),"_")))))</f>
        <v> </v>
      </c>
      <c r="H3426" s="25" t="str">
        <f>IF(J3426&lt;&gt;1,"",IF(I3426="SBJ","CB","?"))</f>
        <v> </v>
      </c>
      <c r="I3426" s="26" t="str">
        <f>IF(OR(E3426="",E3426="!!!",F3426="NEW"),"",INDEX(B3425:B$2,-1+SUMPRODUCT(MAX(ROW(E3425:E$2)*(E3426=E3425:E$2)))))</f>
        <v> </v>
      </c>
      <c r="J3426" s="26" t="str">
        <f>IF(OR(E3426="",E3426="!!!",F3426="NEW"),"",COUNTBLANK(OFFSET(A$1,,,SUMPRODUCT(MAX(ROW(E$2:E3426)*(E3426=E$2:E3426)))))-COUNTBLANK(OFFSET(A$1,,,SUMPRODUCT(MAX(ROW(E$1:E3425)*(E2=E$1:E3425))))))</f>
        <v> </v>
      </c>
      <c r="K3426" s="26" t="str">
        <f>IF(OR(E3426="",E3426="!!!",F3426="NEW"),"",INDEX(J$1:J3425,SUMPRODUCT(MAX(ROW(E$1:E3425)*(E3426=E$1:E3425)))))</f>
        <v> </v>
      </c>
      <c r="L3426" s="27"/>
    </row>
    <row r="3427" spans="1:12">
      <c r="A3427" s="20" t="s">
        <v>1146</v>
      </c>
      <c r="E3427" s="22">
        <f>IF(D3427="?OLD","!!!","")</f>
        <v/>
      </c>
      <c r="F3427" s="23" t="str">
        <f>IF(OR(E3427="",E3427="!!!"),"",IF(NOT(ISNA(VLOOKUP(E3427,E$1:E3426,1,FALSE()))),"OLD",IF(AND(E3427&lt;&gt;"",E3427&lt;&gt;"!!!"),"NEW","")))</f>
        <v> </v>
      </c>
      <c r="G3427" s="24" t="str">
        <f>IF(OR(E3427="",E3427="!!!"),"",IF(OR(J3427=0,AND(J3427=1,K3427=1),AND(J3427=1,I3427="SBJ"),AND(J3427=1,I3427=0)),"?IN_FOCUS",IF(J3427&lt;=2,"?ACTIVATED",IF(J3427&lt;&gt;"","?FAMILIAR",IF(F3427="NEW",IF(ISNA(VLOOKUP(E3427,#REF!,1,FALSE())),"?TYPE_IDENTIFIABLE","?REFERENTIAL"),"_")))))</f>
        <v> </v>
      </c>
      <c r="H3427" s="25" t="str">
        <f>IF(J3427&lt;&gt;1,"",IF(I3427="SBJ","CB","?"))</f>
        <v> </v>
      </c>
      <c r="I3427" s="26" t="str">
        <f>IF(OR(E3427="",E3427="!!!",F3427="NEW"),"",INDEX(B3426:B$2,-1+SUMPRODUCT(MAX(ROW(E3426:E$2)*(E3427=E3426:E$2)))))</f>
        <v> </v>
      </c>
      <c r="J3427" s="26" t="str">
        <f>IF(OR(E3427="",E3427="!!!",F3427="NEW"),"",COUNTBLANK(OFFSET(A$1,,,SUMPRODUCT(MAX(ROW(E$2:E3427)*(E3427=E$2:E3427)))))-COUNTBLANK(OFFSET(A$1,,,SUMPRODUCT(MAX(ROW(E$1:E3426)*(E2=E$1:E3426))))))</f>
        <v> </v>
      </c>
      <c r="K3427" s="26" t="str">
        <f>IF(OR(E3427="",E3427="!!!",F3427="NEW"),"",INDEX(J$1:J3426,SUMPRODUCT(MAX(ROW(E$1:E3426)*(E3427=E$1:E3426)))))</f>
        <v> </v>
      </c>
      <c r="L3427" s="27"/>
    </row>
    <row r="3428" spans="1:12">
      <c r="A3428" s="20" t="s">
        <v>1699</v>
      </c>
      <c r="E3428" s="22">
        <f>IF(D3428="?OLD","!!!","")</f>
        <v/>
      </c>
      <c r="F3428" s="23" t="str">
        <f>IF(OR(E3428="",E3428="!!!"),"",IF(NOT(ISNA(VLOOKUP(E3428,E$1:E3427,1,FALSE()))),"OLD",IF(AND(E3428&lt;&gt;"",E3428&lt;&gt;"!!!"),"NEW","")))</f>
        <v> </v>
      </c>
      <c r="G3428" s="24" t="str">
        <f>IF(OR(E3428="",E3428="!!!"),"",IF(OR(J3428=0,AND(J3428=1,K3428=1),AND(J3428=1,I3428="SBJ"),AND(J3428=1,I3428=0)),"?IN_FOCUS",IF(J3428&lt;=2,"?ACTIVATED",IF(J3428&lt;&gt;"","?FAMILIAR",IF(F3428="NEW",IF(ISNA(VLOOKUP(E3428,#REF!,1,FALSE())),"?TYPE_IDENTIFIABLE","?REFERENTIAL"),"_")))))</f>
        <v> </v>
      </c>
      <c r="H3428" s="25" t="str">
        <f>IF(J3428&lt;&gt;1,"",IF(I3428="SBJ","CB","?"))</f>
        <v> </v>
      </c>
      <c r="I3428" s="26" t="str">
        <f>IF(OR(E3428="",E3428="!!!",F3428="NEW"),"",INDEX(B3427:B$2,-1+SUMPRODUCT(MAX(ROW(E3427:E$2)*(E3428=E3427:E$2)))))</f>
        <v> </v>
      </c>
      <c r="J3428" s="26" t="str">
        <f>IF(OR(E3428="",E3428="!!!",F3428="NEW"),"",COUNTBLANK(OFFSET(A$1,,,SUMPRODUCT(MAX(ROW(E$2:E3428)*(E3428=E$2:E3428)))))-COUNTBLANK(OFFSET(A$1,,,SUMPRODUCT(MAX(ROW(E$1:E3427)*(E2=E$1:E3427))))))</f>
        <v> </v>
      </c>
      <c r="K3428" s="26" t="str">
        <f>IF(OR(E3428="",E3428="!!!",F3428="NEW"),"",INDEX(J$1:J3427,SUMPRODUCT(MAX(ROW(E$1:E3427)*(E3428=E$1:E3427)))))</f>
        <v> </v>
      </c>
      <c r="L3428" s="27"/>
    </row>
    <row r="3429" spans="1:12">
      <c r="A3429" s="20" t="s">
        <v>1221</v>
      </c>
      <c r="B3429" s="21" t="s">
        <v>1171</v>
      </c>
      <c r="C3429" s="21" t="s">
        <v>1143</v>
      </c>
      <c r="D3429" s="21" t="s">
        <v>1144</v>
      </c>
      <c r="E3429" s="22">
        <f>IF(D3429="?OLD","!!!","")</f>
        <v/>
      </c>
      <c r="F3429" s="23" t="str">
        <f>IF(OR(E3429="",E3429="!!!"),"",IF(NOT(ISNA(VLOOKUP(E3429,E$1:E3428,1,FALSE()))),"OLD",IF(AND(E3429&lt;&gt;"",E3429&lt;&gt;"!!!"),"NEW","")))</f>
        <v> </v>
      </c>
      <c r="G3429" s="24" t="str">
        <f>IF(OR(E3429="",E3429="!!!"),"",IF(OR(J3429=0,AND(J3429=1,K3429=1),AND(J3429=1,I3429="SBJ"),AND(J3429=1,I3429=0)),"?IN_FOCUS",IF(J3429&lt;=2,"?ACTIVATED",IF(J3429&lt;&gt;"","?FAMILIAR",IF(F3429="NEW",IF(ISNA(VLOOKUP(E3429,#REF!,1,FALSE())),"?TYPE_IDENTIFIABLE","?REFERENTIAL"),"_")))))</f>
        <v> </v>
      </c>
      <c r="H3429" s="25" t="str">
        <f>IF(J3429&lt;&gt;1,"",IF(I3429="SBJ","CB","?"))</f>
        <v> </v>
      </c>
      <c r="I3429" s="26" t="str">
        <f>IF(OR(E3429="",E3429="!!!",F3429="NEW"),"",INDEX(B3428:B$2,-1+SUMPRODUCT(MAX(ROW(E3428:E$2)*(E3429=E3428:E$2)))))</f>
        <v> </v>
      </c>
      <c r="J3429" s="26" t="str">
        <f>IF(OR(E3429="",E3429="!!!",F3429="NEW"),"",COUNTBLANK(OFFSET(A$1,,,SUMPRODUCT(MAX(ROW(E$2:E3429)*(E3429=E$2:E3429)))))-COUNTBLANK(OFFSET(A$1,,,SUMPRODUCT(MAX(ROW(E$1:E3428)*(E2=E$1:E3428))))))</f>
        <v> </v>
      </c>
      <c r="K3429" s="26" t="str">
        <f>IF(OR(E3429="",E3429="!!!",F3429="NEW"),"",INDEX(J$1:J3428,SUMPRODUCT(MAX(ROW(E$1:E3428)*(E3429=E$1:E3428)))))</f>
        <v> </v>
      </c>
      <c r="L3429" s="27"/>
    </row>
    <row r="3430" spans="1:12">
      <c r="A3430" s="20" t="s">
        <v>2201</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1167</v>
      </c>
      <c r="B3431" s="21" t="s">
        <v>1175</v>
      </c>
      <c r="C3431" s="21" t="s">
        <v>1168</v>
      </c>
      <c r="D3431" s="21" t="s">
        <v>1144</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t="s">
        <v>1238</v>
      </c>
      <c r="E3432" s="22">
        <f>IF(D3432="?OLD","!!!","")</f>
        <v/>
      </c>
      <c r="F3432" s="23" t="str">
        <f>IF(OR(E3432="",E3432="!!!"),"",IF(NOT(ISNA(VLOOKUP(E3432,E$1:E3431,1,FALSE()))),"OLD",IF(AND(E3432&lt;&gt;"",E3432&lt;&gt;"!!!"),"NEW","")))</f>
        <v> </v>
      </c>
      <c r="G3432" s="24" t="str">
        <f>IF(OR(E3432="",E3432="!!!"),"",IF(OR(J3432=0,AND(J3432=1,K3432=1),AND(J3432=1,I3432="SBJ"),AND(J3432=1,I3432=0)),"?IN_FOCUS",IF(J3432&lt;=2,"?ACTIVATED",IF(J3432&lt;&gt;"","?FAMILIAR",IF(F3432="NEW",IF(ISNA(VLOOKUP(E3432,#REF!,1,FALSE())),"?TYPE_IDENTIFIABLE","?REFERENTIAL"),"_")))))</f>
        <v> </v>
      </c>
      <c r="H3432" s="25" t="str">
        <f>IF(J3432&lt;&gt;1,"",IF(I3432="SBJ","CB","?"))</f>
        <v> </v>
      </c>
      <c r="I3432" s="26" t="str">
        <f>IF(OR(E3432="",E3432="!!!",F3432="NEW"),"",INDEX(B3431:B$2,-1+SUMPRODUCT(MAX(ROW(E3431:E$2)*(E3432=E3431:E$2)))))</f>
        <v> </v>
      </c>
      <c r="J3432" s="26" t="str">
        <f>IF(OR(E3432="",E3432="!!!",F3432="NEW"),"",COUNTBLANK(OFFSET(A$1,,,SUMPRODUCT(MAX(ROW(E$2:E3432)*(E3432=E$2:E3432)))))-COUNTBLANK(OFFSET(A$1,,,SUMPRODUCT(MAX(ROW(E$1:E3431)*(E2=E$1:E3431))))))</f>
        <v> </v>
      </c>
      <c r="K3432" s="26" t="str">
        <f>IF(OR(E3432="",E3432="!!!",F3432="NEW"),"",INDEX(J$1:J3431,SUMPRODUCT(MAX(ROW(E$1:E3431)*(E3432=E$1:E3431)))))</f>
        <v> </v>
      </c>
      <c r="L3432" s="27"/>
    </row>
    <row r="3433" spans="1:12">
      <c r="A3433" s="20" t="s">
        <v>1825</v>
      </c>
      <c r="B3433" s="21" t="s">
        <v>1161</v>
      </c>
      <c r="C3433" s="21" t="s">
        <v>1162</v>
      </c>
      <c r="D3433" s="21" t="s">
        <v>1144</v>
      </c>
      <c r="E3433" s="22">
        <f>IF(D3433="?OLD","!!!","")</f>
        <v/>
      </c>
      <c r="F3433" s="23" t="str">
        <f>IF(OR(E3433="",E3433="!!!"),"",IF(NOT(ISNA(VLOOKUP(E3433,E$1:E3432,1,FALSE()))),"OLD",IF(AND(E3433&lt;&gt;"",E3433&lt;&gt;"!!!"),"NEW","")))</f>
        <v> </v>
      </c>
      <c r="G3433" s="24" t="str">
        <f>IF(OR(E3433="",E3433="!!!"),"",IF(OR(J3433=0,AND(J3433=1,K3433=1),AND(J3433=1,I3433="SBJ"),AND(J3433=1,I3433=0)),"?IN_FOCUS",IF(J3433&lt;=2,"?ACTIVATED",IF(J3433&lt;&gt;"","?FAMILIAR",IF(F3433="NEW",IF(ISNA(VLOOKUP(E3433,#REF!,1,FALSE())),"?TYPE_IDENTIFIABLE","?REFERENTIAL"),"_")))))</f>
        <v> </v>
      </c>
      <c r="H3433" s="25" t="str">
        <f>IF(J3433&lt;&gt;1,"",IF(I3433="SBJ","CB","?"))</f>
        <v> </v>
      </c>
      <c r="I3433" s="26" t="str">
        <f>IF(OR(E3433="",E3433="!!!",F3433="NEW"),"",INDEX(B3432:B$2,-1+SUMPRODUCT(MAX(ROW(E3432:E$2)*(E3433=E3432:E$2)))))</f>
        <v> </v>
      </c>
      <c r="J3433" s="26" t="str">
        <f>IF(OR(E3433="",E3433="!!!",F3433="NEW"),"",COUNTBLANK(OFFSET(A$1,,,SUMPRODUCT(MAX(ROW(E$2:E3433)*(E3433=E$2:E3433)))))-COUNTBLANK(OFFSET(A$1,,,SUMPRODUCT(MAX(ROW(E$1:E3432)*(E2=E$1:E3432))))))</f>
        <v> </v>
      </c>
      <c r="K3433" s="26" t="str">
        <f>IF(OR(E3433="",E3433="!!!",F3433="NEW"),"",INDEX(J$1:J3432,SUMPRODUCT(MAX(ROW(E$1:E3432)*(E3433=E$1:E3432)))))</f>
        <v> </v>
      </c>
      <c r="L3433" s="27"/>
    </row>
    <row r="3434" spans="1:12">
      <c r="A3434" s="20" t="s">
        <v>1166</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1174</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1167</v>
      </c>
      <c r="B3436" s="21" t="s">
        <v>1175</v>
      </c>
      <c r="C3436" s="21" t="s">
        <v>1168</v>
      </c>
      <c r="D3436" s="21" t="s">
        <v>1144</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t="s">
        <v>2202</v>
      </c>
      <c r="B3437" s="21" t="s">
        <v>1181</v>
      </c>
      <c r="C3437" s="21" t="s">
        <v>1182</v>
      </c>
      <c r="E3437" s="22">
        <f>IF(D3437="?OLD","!!!","")</f>
        <v/>
      </c>
      <c r="F3437" s="23" t="str">
        <f>IF(OR(E3437="",E3437="!!!"),"",IF(NOT(ISNA(VLOOKUP(E3437,E$1:E3436,1,FALSE()))),"OLD",IF(AND(E3437&lt;&gt;"",E3437&lt;&gt;"!!!"),"NEW","")))</f>
        <v> </v>
      </c>
      <c r="G3437" s="24" t="str">
        <f>IF(OR(E3437="",E3437="!!!"),"",IF(OR(J3437=0,AND(J3437=1,K3437=1),AND(J3437=1,I3437="SBJ"),AND(J3437=1,I3437=0)),"?IN_FOCUS",IF(J3437&lt;=2,"?ACTIVATED",IF(J3437&lt;&gt;"","?FAMILIAR",IF(F3437="NEW",IF(ISNA(VLOOKUP(E3437,#REF!,1,FALSE())),"?TYPE_IDENTIFIABLE","?REFERENTIAL"),"_")))))</f>
        <v> </v>
      </c>
      <c r="H3437" s="25" t="str">
        <f>IF(J3437&lt;&gt;1,"",IF(I3437="SBJ","CB","?"))</f>
        <v> </v>
      </c>
      <c r="I3437" s="26" t="str">
        <f>IF(OR(E3437="",E3437="!!!",F3437="NEW"),"",INDEX(B3436:B$2,-1+SUMPRODUCT(MAX(ROW(E3436:E$2)*(E3437=E3436:E$2)))))</f>
        <v> </v>
      </c>
      <c r="J3437" s="26" t="str">
        <f>IF(OR(E3437="",E3437="!!!",F3437="NEW"),"",COUNTBLANK(OFFSET(A$1,,,SUMPRODUCT(MAX(ROW(E$2:E3437)*(E3437=E$2:E3437)))))-COUNTBLANK(OFFSET(A$1,,,SUMPRODUCT(MAX(ROW(E$1:E3436)*(E2=E$1:E3436))))))</f>
        <v> </v>
      </c>
      <c r="K3437" s="26" t="str">
        <f>IF(OR(E3437="",E3437="!!!",F3437="NEW"),"",INDEX(J$1:J3436,SUMPRODUCT(MAX(ROW(E$1:E3436)*(E3437=E$1:E3436)))))</f>
        <v> </v>
      </c>
      <c r="L3437" s="27"/>
    </row>
    <row r="3438" spans="1:12">
      <c r="A3438" s="20" t="s">
        <v>2203</v>
      </c>
      <c r="E3438" s="22">
        <f>IF(D3438="?OLD","!!!","")</f>
        <v/>
      </c>
      <c r="F3438" s="23" t="str">
        <f>IF(OR(E3438="",E3438="!!!"),"",IF(NOT(ISNA(VLOOKUP(E3438,E$1:E3437,1,FALSE()))),"OLD",IF(AND(E3438&lt;&gt;"",E3438&lt;&gt;"!!!"),"NEW","")))</f>
        <v> </v>
      </c>
      <c r="G3438" s="24" t="str">
        <f>IF(OR(E3438="",E3438="!!!"),"",IF(OR(J3438=0,AND(J3438=1,K3438=1),AND(J3438=1,I3438="SBJ"),AND(J3438=1,I3438=0)),"?IN_FOCUS",IF(J3438&lt;=2,"?ACTIVATED",IF(J3438&lt;&gt;"","?FAMILIAR",IF(F3438="NEW",IF(ISNA(VLOOKUP(E3438,#REF!,1,FALSE())),"?TYPE_IDENTIFIABLE","?REFERENTIAL"),"_")))))</f>
        <v> </v>
      </c>
      <c r="H3438" s="25" t="str">
        <f>IF(J3438&lt;&gt;1,"",IF(I3438="SBJ","CB","?"))</f>
        <v> </v>
      </c>
      <c r="I3438" s="26" t="str">
        <f>IF(OR(E3438="",E3438="!!!",F3438="NEW"),"",INDEX(B3437:B$2,-1+SUMPRODUCT(MAX(ROW(E3437:E$2)*(E3438=E3437:E$2)))))</f>
        <v> </v>
      </c>
      <c r="J3438" s="26" t="str">
        <f>IF(OR(E3438="",E3438="!!!",F3438="NEW"),"",COUNTBLANK(OFFSET(A$1,,,SUMPRODUCT(MAX(ROW(E$2:E3438)*(E3438=E$2:E3438)))))-COUNTBLANK(OFFSET(A$1,,,SUMPRODUCT(MAX(ROW(E$1:E3437)*(E2=E$1:E3437))))))</f>
        <v> </v>
      </c>
      <c r="K3438" s="26" t="str">
        <f>IF(OR(E3438="",E3438="!!!",F3438="NEW"),"",INDEX(J$1:J3437,SUMPRODUCT(MAX(ROW(E$1:E3437)*(E3438=E$1:E3437)))))</f>
        <v> </v>
      </c>
      <c r="L3438" s="27"/>
    </row>
    <row r="3439" spans="1:12">
      <c r="A3439" s="20" t="s">
        <v>2199</v>
      </c>
      <c r="B3439" s="21" t="s">
        <v>1193</v>
      </c>
      <c r="C3439" s="21" t="s">
        <v>1187</v>
      </c>
      <c r="E3439" s="22">
        <f>IF(D3439="?OLD","!!!","")</f>
        <v/>
      </c>
      <c r="F3439" s="23" t="str">
        <f>IF(OR(E3439="",E3439="!!!"),"",IF(NOT(ISNA(VLOOKUP(E3439,E$1:E3438,1,FALSE()))),"OLD",IF(AND(E3439&lt;&gt;"",E3439&lt;&gt;"!!!"),"NEW","")))</f>
        <v> </v>
      </c>
      <c r="G3439" s="24" t="str">
        <f>IF(OR(E3439="",E3439="!!!"),"",IF(OR(J3439=0,AND(J3439=1,K3439=1),AND(J3439=1,I3439="SBJ"),AND(J3439=1,I3439=0)),"?IN_FOCUS",IF(J3439&lt;=2,"?ACTIVATED",IF(J3439&lt;&gt;"","?FAMILIAR",IF(F3439="NEW",IF(ISNA(VLOOKUP(E3439,#REF!,1,FALSE())),"?TYPE_IDENTIFIABLE","?REFERENTIAL"),"_")))))</f>
        <v> </v>
      </c>
      <c r="H3439" s="25" t="str">
        <f>IF(J3439&lt;&gt;1,"",IF(I3439="SBJ","CB","?"))</f>
        <v> </v>
      </c>
      <c r="I3439" s="26" t="str">
        <f>IF(OR(E3439="",E3439="!!!",F3439="NEW"),"",INDEX(B3438:B$2,-1+SUMPRODUCT(MAX(ROW(E3438:E$2)*(E3439=E3438:E$2)))))</f>
        <v> </v>
      </c>
      <c r="J3439" s="26" t="str">
        <f>IF(OR(E3439="",E3439="!!!",F3439="NEW"),"",COUNTBLANK(OFFSET(A$1,,,SUMPRODUCT(MAX(ROW(E$2:E3439)*(E3439=E$2:E3439)))))-COUNTBLANK(OFFSET(A$1,,,SUMPRODUCT(MAX(ROW(E$1:E3438)*(E2=E$1:E3438))))))</f>
        <v> </v>
      </c>
      <c r="K3439" s="26" t="str">
        <f>IF(OR(E3439="",E3439="!!!",F3439="NEW"),"",INDEX(J$1:J3438,SUMPRODUCT(MAX(ROW(E$1:E3438)*(E3439=E$1:E3438)))))</f>
        <v> </v>
      </c>
      <c r="L3439" s="27"/>
    </row>
    <row r="3440" spans="1:12">
      <c r="A3440" s="20" t="s">
        <v>1308</v>
      </c>
      <c r="B3440" s="21" t="s">
        <v>1181</v>
      </c>
      <c r="C3440" s="21" t="s">
        <v>1182</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1275</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2204</v>
      </c>
      <c r="B3442" s="21" t="s">
        <v>1147</v>
      </c>
      <c r="C3442" s="21" t="s">
        <v>1162</v>
      </c>
      <c r="D3442" s="21" t="s">
        <v>1144</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50</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2205</v>
      </c>
      <c r="E3444" s="22">
        <f>IF(D3444="?OLD","!!!","")</f>
        <v/>
      </c>
      <c r="F3444" s="23" t="str">
        <f>IF(OR(E3444="",E3444="!!!"),"",IF(NOT(ISNA(VLOOKUP(E3444,E$1:E3443,1,FALSE()))),"OLD",IF(AND(E3444&lt;&gt;"",E3444&lt;&gt;"!!!"),"NEW","")))</f>
        <v> </v>
      </c>
      <c r="G3444" s="24" t="str">
        <f>IF(OR(E3444="",E3444="!!!"),"",IF(OR(J3444=0,AND(J3444=1,K3444=1),AND(J3444=1,I3444="SBJ"),AND(J3444=1,I3444=0)),"?IN_FOCUS",IF(J3444&lt;=2,"?ACTIVATED",IF(J3444&lt;&gt;"","?FAMILIAR",IF(F3444="NEW",IF(ISNA(VLOOKUP(E3444,#REF!,1,FALSE())),"?TYPE_IDENTIFIABLE","?REFERENTIAL"),"_")))))</f>
        <v> </v>
      </c>
      <c r="H3444" s="25" t="str">
        <f>IF(J3444&lt;&gt;1,"",IF(I3444="SBJ","CB","?"))</f>
        <v> </v>
      </c>
      <c r="I3444" s="26" t="str">
        <f>IF(OR(E3444="",E3444="!!!",F3444="NEW"),"",INDEX(B3443:B$2,-1+SUMPRODUCT(MAX(ROW(E3443:E$2)*(E3444=E3443:E$2)))))</f>
        <v> </v>
      </c>
      <c r="J3444" s="26" t="str">
        <f>IF(OR(E3444="",E3444="!!!",F3444="NEW"),"",COUNTBLANK(OFFSET(A$1,,,SUMPRODUCT(MAX(ROW(E$2:E3444)*(E3444=E$2:E3444)))))-COUNTBLANK(OFFSET(A$1,,,SUMPRODUCT(MAX(ROW(E$1:E3443)*(E2=E$1:E3443))))))</f>
        <v> </v>
      </c>
      <c r="K3444" s="26" t="str">
        <f>IF(OR(E3444="",E3444="!!!",F3444="NEW"),"",INDEX(J$1:J3443,SUMPRODUCT(MAX(ROW(E$1:E3443)*(E3444=E$1:E3443)))))</f>
        <v> </v>
      </c>
      <c r="L3444" s="27"/>
    </row>
    <row r="3445" spans="1:12">
      <c r="A3445" s="20" t="s">
        <v>312</v>
      </c>
      <c r="E3445" s="22">
        <f>IF(D3445="?OLD","!!!","")</f>
        <v/>
      </c>
      <c r="F3445" s="23" t="str">
        <f>IF(OR(E3445="",E3445="!!!"),"",IF(NOT(ISNA(VLOOKUP(E3445,E$1:E3444,1,FALSE()))),"OLD",IF(AND(E3445&lt;&gt;"",E3445&lt;&gt;"!!!"),"NEW","")))</f>
        <v> </v>
      </c>
      <c r="G3445" s="24" t="str">
        <f>IF(OR(E3445="",E3445="!!!"),"",IF(OR(J3445=0,AND(J3445=1,K3445=1),AND(J3445=1,I3445="SBJ"),AND(J3445=1,I3445=0)),"?IN_FOCUS",IF(J3445&lt;=2,"?ACTIVATED",IF(J3445&lt;&gt;"","?FAMILIAR",IF(F3445="NEW",IF(ISNA(VLOOKUP(E3445,#REF!,1,FALSE())),"?TYPE_IDENTIFIABLE","?REFERENTIAL"),"_")))))</f>
        <v> </v>
      </c>
      <c r="H3445" s="25" t="str">
        <f>IF(J3445&lt;&gt;1,"",IF(I3445="SBJ","CB","?"))</f>
        <v> </v>
      </c>
      <c r="I3445" s="26" t="str">
        <f>IF(OR(E3445="",E3445="!!!",F3445="NEW"),"",INDEX(B3444:B$2,-1+SUMPRODUCT(MAX(ROW(E3444:E$2)*(E3445=E3444:E$2)))))</f>
        <v> </v>
      </c>
      <c r="J3445" s="26" t="str">
        <f>IF(OR(E3445="",E3445="!!!",F3445="NEW"),"",COUNTBLANK(OFFSET(A$1,,,SUMPRODUCT(MAX(ROW(E$2:E3445)*(E3445=E$2:E3445)))))-COUNTBLANK(OFFSET(A$1,,,SUMPRODUCT(MAX(ROW(E$1:E3444)*(E2=E$1:E3444))))))</f>
        <v> </v>
      </c>
      <c r="K3445" s="26" t="str">
        <f>IF(OR(E3445="",E3445="!!!",F3445="NEW"),"",INDEX(J$1:J3444,SUMPRODUCT(MAX(ROW(E$1:E3444)*(E3445=E$1:E3444)))))</f>
        <v> </v>
      </c>
      <c r="L3445" s="27"/>
    </row>
    <row r="3446" spans="1:12">
      <c r="A3446" s="20"/>
    </row>
    <row r="3447" spans="1:12">
      <c r="A3447" s="20" t="s">
        <v>2206</v>
      </c>
    </row>
    <row r="3448" spans="1:12">
      <c r="A3448" s="20" t="s">
        <v>1417</v>
      </c>
      <c r="B3448" s="21" t="s">
        <v>1165</v>
      </c>
      <c r="C3448" s="21" t="s">
        <v>1168</v>
      </c>
      <c r="D3448" s="21" t="s">
        <v>1144</v>
      </c>
      <c r="E3448" s="22">
        <f>IF(D3448="?OLD","!!!","")</f>
        <v/>
      </c>
      <c r="F3448" s="23" t="str">
        <f>IF(OR(E3448="",E3448="!!!"),"",IF(NOT(ISNA(VLOOKUP(E3448,E$1:E3447,1,FALSE()))),"OLD",IF(AND(E3448&lt;&gt;"",E3448&lt;&gt;"!!!"),"NEW","")))</f>
        <v> </v>
      </c>
      <c r="G3448" s="24" t="str">
        <f>IF(OR(E3448="",E3448="!!!"),"",IF(OR(J3448=0,AND(J3448=1,K3448=1),AND(J3448=1,I3448="SBJ"),AND(J3448=1,I3448=0)),"?IN_FOCUS",IF(J3448&lt;=2,"?ACTIVATED",IF(J3448&lt;&gt;"","?FAMILIAR",IF(F3448="NEW",IF(ISNA(VLOOKUP(E3448,#REF!,1,FALSE())),"?TYPE_IDENTIFIABLE","?REFERENTIAL"),"_")))))</f>
        <v> </v>
      </c>
      <c r="H3448" s="25" t="str">
        <f>IF(J3448&lt;&gt;1,"",IF(I3448="SBJ","CB","?"))</f>
        <v> </v>
      </c>
      <c r="I3448" s="26" t="str">
        <f>IF(OR(E3448="",E3448="!!!",F3448="NEW"),"",INDEX(B3447:B$2,-1+SUMPRODUCT(MAX(ROW(E3447:E$2)*(E3448=E3447:E$2)))))</f>
        <v> </v>
      </c>
      <c r="J3448" s="26" t="str">
        <f>IF(OR(E3448="",E3448="!!!",F3448="NEW"),"",COUNTBLANK(OFFSET(A$1,,,SUMPRODUCT(MAX(ROW(E$2:E3448)*(E3448=E$2:E3448)))))-COUNTBLANK(OFFSET(A$1,,,SUMPRODUCT(MAX(ROW(E$1:E3447)*(E2=E$1:E3447))))))</f>
        <v> </v>
      </c>
      <c r="K3448" s="26" t="str">
        <f>IF(OR(E3448="",E3448="!!!",F3448="NEW"),"",INDEX(J$1:J3447,SUMPRODUCT(MAX(ROW(E$1:E3447)*(E3448=E$1:E3447)))))</f>
        <v> </v>
      </c>
      <c r="L3448" s="27"/>
    </row>
    <row r="3449" spans="1:12">
      <c r="A3449" s="20" t="s">
        <v>1301</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t="s">
        <v>2061</v>
      </c>
      <c r="E3450" s="22">
        <f>IF(D3450="?OLD","!!!","")</f>
        <v/>
      </c>
      <c r="F3450" s="23" t="str">
        <f>IF(OR(E3450="",E3450="!!!"),"",IF(NOT(ISNA(VLOOKUP(E3450,E$1:E3449,1,FALSE()))),"OLD",IF(AND(E3450&lt;&gt;"",E3450&lt;&gt;"!!!"),"NEW","")))</f>
        <v> </v>
      </c>
      <c r="G3450" s="24" t="str">
        <f>IF(OR(E3450="",E3450="!!!"),"",IF(OR(J3450=0,AND(J3450=1,K3450=1),AND(J3450=1,I3450="SBJ"),AND(J3450=1,I3450=0)),"?IN_FOCUS",IF(J3450&lt;=2,"?ACTIVATED",IF(J3450&lt;&gt;"","?FAMILIAR",IF(F3450="NEW",IF(ISNA(VLOOKUP(E3450,#REF!,1,FALSE())),"?TYPE_IDENTIFIABLE","?REFERENTIAL"),"_")))))</f>
        <v> </v>
      </c>
      <c r="H3450" s="25" t="str">
        <f>IF(J3450&lt;&gt;1,"",IF(I3450="SBJ","CB","?"))</f>
        <v> </v>
      </c>
      <c r="I3450" s="26" t="str">
        <f>IF(OR(E3450="",E3450="!!!",F3450="NEW"),"",INDEX(B3449:B$2,-1+SUMPRODUCT(MAX(ROW(E3449:E$2)*(E3450=E3449:E$2)))))</f>
        <v> </v>
      </c>
      <c r="J3450" s="26" t="str">
        <f>IF(OR(E3450="",E3450="!!!",F3450="NEW"),"",COUNTBLANK(OFFSET(A$1,,,SUMPRODUCT(MAX(ROW(E$2:E3450)*(E3450=E$2:E3450)))))-COUNTBLANK(OFFSET(A$1,,,SUMPRODUCT(MAX(ROW(E$1:E3449)*(E2=E$1:E3449))))))</f>
        <v> </v>
      </c>
      <c r="K3450" s="26" t="str">
        <f>IF(OR(E3450="",E3450="!!!",F3450="NEW"),"",INDEX(J$1:J3449,SUMPRODUCT(MAX(ROW(E$1:E3449)*(E3450=E$1:E3449)))))</f>
        <v> </v>
      </c>
      <c r="L3450" s="27"/>
    </row>
    <row r="3451" spans="1:12">
      <c r="A3451" s="20" t="s">
        <v>1302</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1238</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2178</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t="s">
        <v>2207</v>
      </c>
      <c r="B3454" s="21" t="s">
        <v>1161</v>
      </c>
      <c r="C3454" s="21" t="s">
        <v>1162</v>
      </c>
      <c r="D3454" s="21" t="s">
        <v>1144</v>
      </c>
      <c r="E3454" s="22">
        <f>IF(D3454="?OLD","!!!","")</f>
        <v/>
      </c>
      <c r="F3454" s="23" t="str">
        <f>IF(OR(E3454="",E3454="!!!"),"",IF(NOT(ISNA(VLOOKUP(E3454,E$1:E3453,1,FALSE()))),"OLD",IF(AND(E3454&lt;&gt;"",E3454&lt;&gt;"!!!"),"NEW","")))</f>
        <v> </v>
      </c>
      <c r="G3454" s="24" t="str">
        <f>IF(OR(E3454="",E3454="!!!"),"",IF(OR(J3454=0,AND(J3454=1,K3454=1),AND(J3454=1,I3454="SBJ"),AND(J3454=1,I3454=0)),"?IN_FOCUS",IF(J3454&lt;=2,"?ACTIVATED",IF(J3454&lt;&gt;"","?FAMILIAR",IF(F3454="NEW",IF(ISNA(VLOOKUP(E3454,#REF!,1,FALSE())),"?TYPE_IDENTIFIABLE","?REFERENTIAL"),"_")))))</f>
        <v> </v>
      </c>
      <c r="H3454" s="25" t="str">
        <f>IF(J3454&lt;&gt;1,"",IF(I3454="SBJ","CB","?"))</f>
        <v> </v>
      </c>
      <c r="I3454" s="26" t="str">
        <f>IF(OR(E3454="",E3454="!!!",F3454="NEW"),"",INDEX(B3453:B$2,-1+SUMPRODUCT(MAX(ROW(E3453:E$2)*(E3454=E3453:E$2)))))</f>
        <v> </v>
      </c>
      <c r="J3454" s="26" t="str">
        <f>IF(OR(E3454="",E3454="!!!",F3454="NEW"),"",COUNTBLANK(OFFSET(A$1,,,SUMPRODUCT(MAX(ROW(E$2:E3454)*(E3454=E$2:E3454)))))-COUNTBLANK(OFFSET(A$1,,,SUMPRODUCT(MAX(ROW(E$1:E3453)*(E2=E$1:E3453))))))</f>
        <v> </v>
      </c>
      <c r="K3454" s="26" t="str">
        <f>IF(OR(E3454="",E3454="!!!",F3454="NEW"),"",INDEX(J$1:J3453,SUMPRODUCT(MAX(ROW(E$1:E3453)*(E3454=E$1:E3453)))))</f>
        <v> </v>
      </c>
      <c r="L3454" s="27"/>
    </row>
    <row r="3455" spans="1:12">
      <c r="A3455" s="20" t="s">
        <v>312</v>
      </c>
      <c r="E3455" s="22">
        <f>IF(D3455="?OLD","!!!","")</f>
        <v/>
      </c>
      <c r="F3455" s="23" t="str">
        <f>IF(OR(E3455="",E3455="!!!"),"",IF(NOT(ISNA(VLOOKUP(E3455,E$1:E3454,1,FALSE()))),"OLD",IF(AND(E3455&lt;&gt;"",E3455&lt;&gt;"!!!"),"NEW","")))</f>
        <v> </v>
      </c>
      <c r="G3455" s="24" t="str">
        <f>IF(OR(E3455="",E3455="!!!"),"",IF(OR(J3455=0,AND(J3455=1,K3455=1),AND(J3455=1,I3455="SBJ"),AND(J3455=1,I3455=0)),"?IN_FOCUS",IF(J3455&lt;=2,"?ACTIVATED",IF(J3455&lt;&gt;"","?FAMILIAR",IF(F3455="NEW",IF(ISNA(VLOOKUP(E3455,#REF!,1,FALSE())),"?TYPE_IDENTIFIABLE","?REFERENTIAL"),"_")))))</f>
        <v> </v>
      </c>
      <c r="H3455" s="25" t="str">
        <f>IF(J3455&lt;&gt;1,"",IF(I3455="SBJ","CB","?"))</f>
        <v> </v>
      </c>
      <c r="I3455" s="26" t="str">
        <f>IF(OR(E3455="",E3455="!!!",F3455="NEW"),"",INDEX(B3454:B$2,-1+SUMPRODUCT(MAX(ROW(E3454:E$2)*(E3455=E3454:E$2)))))</f>
        <v> </v>
      </c>
      <c r="J3455" s="26" t="str">
        <f>IF(OR(E3455="",E3455="!!!",F3455="NEW"),"",COUNTBLANK(OFFSET(A$1,,,SUMPRODUCT(MAX(ROW(E$2:E3455)*(E3455=E$2:E3455)))))-COUNTBLANK(OFFSET(A$1,,,SUMPRODUCT(MAX(ROW(E$1:E3454)*(E2=E$1:E3454))))))</f>
        <v> </v>
      </c>
      <c r="K3455" s="26" t="str">
        <f>IF(OR(E3455="",E3455="!!!",F3455="NEW"),"",INDEX(J$1:J3454,SUMPRODUCT(MAX(ROW(E$1:E3454)*(E3455=E$1:E3454)))))</f>
        <v> </v>
      </c>
      <c r="L3455" s="27"/>
    </row>
    <row r="3456" spans="1:12">
      <c r="A3456" s="20"/>
    </row>
    <row r="3457" spans="1:12">
      <c r="A3457" s="20" t="s">
        <v>2208</v>
      </c>
    </row>
    <row r="3458" spans="1:12">
      <c r="A3458" s="20" t="s">
        <v>1676</v>
      </c>
      <c r="B3458" s="21" t="s">
        <v>1165</v>
      </c>
      <c r="C3458" s="21" t="s">
        <v>1182</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t="s">
        <v>1476</v>
      </c>
      <c r="E3459" s="22">
        <f>IF(D3459="?OLD","!!!","")</f>
        <v/>
      </c>
      <c r="F3459" s="23" t="str">
        <f>IF(OR(E3459="",E3459="!!!"),"",IF(NOT(ISNA(VLOOKUP(E3459,E$1:E3458,1,FALSE()))),"OLD",IF(AND(E3459&lt;&gt;"",E3459&lt;&gt;"!!!"),"NEW","")))</f>
        <v> </v>
      </c>
      <c r="G3459" s="24" t="str">
        <f>IF(OR(E3459="",E3459="!!!"),"",IF(OR(J3459=0,AND(J3459=1,K3459=1),AND(J3459=1,I3459="SBJ"),AND(J3459=1,I3459=0)),"?IN_FOCUS",IF(J3459&lt;=2,"?ACTIVATED",IF(J3459&lt;&gt;"","?FAMILIAR",IF(F3459="NEW",IF(ISNA(VLOOKUP(E3459,#REF!,1,FALSE())),"?TYPE_IDENTIFIABLE","?REFERENTIAL"),"_")))))</f>
        <v> </v>
      </c>
      <c r="H3459" s="25" t="str">
        <f>IF(J3459&lt;&gt;1,"",IF(I3459="SBJ","CB","?"))</f>
        <v> </v>
      </c>
      <c r="I3459" s="26" t="str">
        <f>IF(OR(E3459="",E3459="!!!",F3459="NEW"),"",INDEX(B3458:B$2,-1+SUMPRODUCT(MAX(ROW(E3458:E$2)*(E3459=E3458:E$2)))))</f>
        <v> </v>
      </c>
      <c r="J3459" s="26" t="str">
        <f>IF(OR(E3459="",E3459="!!!",F3459="NEW"),"",COUNTBLANK(OFFSET(A$1,,,SUMPRODUCT(MAX(ROW(E$2:E3459)*(E3459=E$2:E3459)))))-COUNTBLANK(OFFSET(A$1,,,SUMPRODUCT(MAX(ROW(E$1:E3458)*(E2=E$1:E3458))))))</f>
        <v> </v>
      </c>
      <c r="K3459" s="26" t="str">
        <f>IF(OR(E3459="",E3459="!!!",F3459="NEW"),"",INDEX(J$1:J3458,SUMPRODUCT(MAX(ROW(E$1:E3458)*(E3459=E$1:E3458)))))</f>
        <v> </v>
      </c>
      <c r="L3459" s="27"/>
    </row>
    <row r="3460" spans="1:12">
      <c r="A3460" s="20" t="s">
        <v>1238</v>
      </c>
      <c r="E3460" s="22">
        <f>IF(D3460="?OLD","!!!","")</f>
        <v/>
      </c>
      <c r="F3460" s="23" t="str">
        <f>IF(OR(E3460="",E3460="!!!"),"",IF(NOT(ISNA(VLOOKUP(E3460,E$1:E3459,1,FALSE()))),"OLD",IF(AND(E3460&lt;&gt;"",E3460&lt;&gt;"!!!"),"NEW","")))</f>
        <v> </v>
      </c>
      <c r="G3460" s="24" t="str">
        <f>IF(OR(E3460="",E3460="!!!"),"",IF(OR(J3460=0,AND(J3460=1,K3460=1),AND(J3460=1,I3460="SBJ"),AND(J3460=1,I3460=0)),"?IN_FOCUS",IF(J3460&lt;=2,"?ACTIVATED",IF(J3460&lt;&gt;"","?FAMILIAR",IF(F3460="NEW",IF(ISNA(VLOOKUP(E3460,#REF!,1,FALSE())),"?TYPE_IDENTIFIABLE","?REFERENTIAL"),"_")))))</f>
        <v> </v>
      </c>
      <c r="H3460" s="25" t="str">
        <f>IF(J3460&lt;&gt;1,"",IF(I3460="SBJ","CB","?"))</f>
        <v> </v>
      </c>
      <c r="I3460" s="26" t="str">
        <f>IF(OR(E3460="",E3460="!!!",F3460="NEW"),"",INDEX(B3459:B$2,-1+SUMPRODUCT(MAX(ROW(E3459:E$2)*(E3460=E3459:E$2)))))</f>
        <v> </v>
      </c>
      <c r="J3460" s="26" t="str">
        <f>IF(OR(E3460="",E3460="!!!",F3460="NEW"),"",COUNTBLANK(OFFSET(A$1,,,SUMPRODUCT(MAX(ROW(E$2:E3460)*(E3460=E$2:E3460)))))-COUNTBLANK(OFFSET(A$1,,,SUMPRODUCT(MAX(ROW(E$1:E3459)*(E2=E$1:E3459))))))</f>
        <v> </v>
      </c>
      <c r="K3460" s="26" t="str">
        <f>IF(OR(E3460="",E3460="!!!",F3460="NEW"),"",INDEX(J$1:J3459,SUMPRODUCT(MAX(ROW(E$1:E3459)*(E3460=E$1:E3459)))))</f>
        <v> </v>
      </c>
      <c r="L3460" s="27"/>
    </row>
    <row r="3461" spans="1:12">
      <c r="A3461" s="20" t="s">
        <v>2199</v>
      </c>
      <c r="B3461" s="21" t="s">
        <v>1150</v>
      </c>
      <c r="C3461" s="21" t="s">
        <v>1162</v>
      </c>
      <c r="D3461" s="21" t="s">
        <v>1144</v>
      </c>
      <c r="E3461" s="22">
        <f>IF(D3461="?OLD","!!!","")</f>
        <v/>
      </c>
      <c r="F3461" s="23" t="str">
        <f>IF(OR(E3461="",E3461="!!!"),"",IF(NOT(ISNA(VLOOKUP(E3461,E$1:E3460,1,FALSE()))),"OLD",IF(AND(E3461&lt;&gt;"",E3461&lt;&gt;"!!!"),"NEW","")))</f>
        <v> </v>
      </c>
      <c r="G3461" s="24" t="str">
        <f>IF(OR(E3461="",E3461="!!!"),"",IF(OR(J3461=0,AND(J3461=1,K3461=1),AND(J3461=1,I3461="SBJ"),AND(J3461=1,I3461=0)),"?IN_FOCUS",IF(J3461&lt;=2,"?ACTIVATED",IF(J3461&lt;&gt;"","?FAMILIAR",IF(F3461="NEW",IF(ISNA(VLOOKUP(E3461,#REF!,1,FALSE())),"?TYPE_IDENTIFIABLE","?REFERENTIAL"),"_")))))</f>
        <v> </v>
      </c>
      <c r="H3461" s="25" t="str">
        <f>IF(J3461&lt;&gt;1,"",IF(I3461="SBJ","CB","?"))</f>
        <v> </v>
      </c>
      <c r="I3461" s="26" t="str">
        <f>IF(OR(E3461="",E3461="!!!",F3461="NEW"),"",INDEX(B3460:B$2,-1+SUMPRODUCT(MAX(ROW(E3460:E$2)*(E3461=E3460:E$2)))))</f>
        <v> </v>
      </c>
      <c r="J3461" s="26" t="str">
        <f>IF(OR(E3461="",E3461="!!!",F3461="NEW"),"",COUNTBLANK(OFFSET(A$1,,,SUMPRODUCT(MAX(ROW(E$2:E3461)*(E3461=E$2:E3461)))))-COUNTBLANK(OFFSET(A$1,,,SUMPRODUCT(MAX(ROW(E$1:E3460)*(E2=E$1:E3460))))))</f>
        <v> </v>
      </c>
      <c r="K3461" s="26" t="str">
        <f>IF(OR(E3461="",E3461="!!!",F3461="NEW"),"",INDEX(J$1:J3460,SUMPRODUCT(MAX(ROW(E$1:E3460)*(E3461=E$1:E3460)))))</f>
        <v> </v>
      </c>
      <c r="L3461" s="27"/>
    </row>
    <row r="3462" spans="1:12">
      <c r="A3462" s="20" t="s">
        <v>2209</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t="s">
        <v>312</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row>
    <row r="3465" spans="1:12">
      <c r="A3465" s="20" t="s">
        <v>2210</v>
      </c>
    </row>
    <row r="3466" spans="1:12">
      <c r="A3466" s="20" t="s">
        <v>1283</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t="s">
        <v>2211</v>
      </c>
      <c r="B3467" s="21" t="s">
        <v>1165</v>
      </c>
      <c r="C3467" s="21" t="s">
        <v>1162</v>
      </c>
      <c r="D3467" s="21" t="s">
        <v>1144</v>
      </c>
      <c r="E3467" s="22">
        <f>IF(D3467="?OLD","!!!","")</f>
        <v/>
      </c>
      <c r="F3467" s="23" t="str">
        <f>IF(OR(E3467="",E3467="!!!"),"",IF(NOT(ISNA(VLOOKUP(E3467,E$1:E3466,1,FALSE()))),"OLD",IF(AND(E3467&lt;&gt;"",E3467&lt;&gt;"!!!"),"NEW","")))</f>
        <v> </v>
      </c>
      <c r="G3467" s="24" t="str">
        <f>IF(OR(E3467="",E3467="!!!"),"",IF(OR(J3467=0,AND(J3467=1,K3467=1),AND(J3467=1,I3467="SBJ"),AND(J3467=1,I3467=0)),"?IN_FOCUS",IF(J3467&lt;=2,"?ACTIVATED",IF(J3467&lt;&gt;"","?FAMILIAR",IF(F3467="NEW",IF(ISNA(VLOOKUP(E3467,#REF!,1,FALSE())),"?TYPE_IDENTIFIABLE","?REFERENTIAL"),"_")))))</f>
        <v> </v>
      </c>
      <c r="H3467" s="25" t="str">
        <f>IF(J3467&lt;&gt;1,"",IF(I3467="SBJ","CB","?"))</f>
        <v> </v>
      </c>
      <c r="I3467" s="26" t="str">
        <f>IF(OR(E3467="",E3467="!!!",F3467="NEW"),"",INDEX(B3466:B$2,-1+SUMPRODUCT(MAX(ROW(E3466:E$2)*(E3467=E3466:E$2)))))</f>
        <v> </v>
      </c>
      <c r="J3467" s="26" t="str">
        <f>IF(OR(E3467="",E3467="!!!",F3467="NEW"),"",COUNTBLANK(OFFSET(A$1,,,SUMPRODUCT(MAX(ROW(E$2:E3467)*(E3467=E$2:E3467)))))-COUNTBLANK(OFFSET(A$1,,,SUMPRODUCT(MAX(ROW(E$1:E3466)*(E2=E$1:E3466))))))</f>
        <v> </v>
      </c>
      <c r="K3467" s="26" t="str">
        <f>IF(OR(E3467="",E3467="!!!",F3467="NEW"),"",INDEX(J$1:J3466,SUMPRODUCT(MAX(ROW(E$1:E3466)*(E3467=E$1:E3466)))))</f>
        <v> </v>
      </c>
      <c r="L3467" s="27"/>
    </row>
    <row r="3468" spans="1:12">
      <c r="A3468" s="20" t="s">
        <v>165</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t="s">
        <v>2212</v>
      </c>
      <c r="B3469" s="21" t="s">
        <v>1154</v>
      </c>
      <c r="C3469" s="21" t="s">
        <v>1187</v>
      </c>
      <c r="E3469" s="22">
        <f>IF(D3469="?OLD","!!!","")</f>
        <v/>
      </c>
      <c r="F3469" s="23" t="str">
        <f>IF(OR(E3469="",E3469="!!!"),"",IF(NOT(ISNA(VLOOKUP(E3469,E$1:E3468,1,FALSE()))),"OLD",IF(AND(E3469&lt;&gt;"",E3469&lt;&gt;"!!!"),"NEW","")))</f>
        <v> </v>
      </c>
      <c r="G3469" s="24" t="str">
        <f>IF(OR(E3469="",E3469="!!!"),"",IF(OR(J3469=0,AND(J3469=1,K3469=1),AND(J3469=1,I3469="SBJ"),AND(J3469=1,I3469=0)),"?IN_FOCUS",IF(J3469&lt;=2,"?ACTIVATED",IF(J3469&lt;&gt;"","?FAMILIAR",IF(F3469="NEW",IF(ISNA(VLOOKUP(E3469,#REF!,1,FALSE())),"?TYPE_IDENTIFIABLE","?REFERENTIAL"),"_")))))</f>
        <v> </v>
      </c>
      <c r="H3469" s="25" t="str">
        <f>IF(J3469&lt;&gt;1,"",IF(I3469="SBJ","CB","?"))</f>
        <v> </v>
      </c>
      <c r="I3469" s="26" t="str">
        <f>IF(OR(E3469="",E3469="!!!",F3469="NEW"),"",INDEX(B3468:B$2,-1+SUMPRODUCT(MAX(ROW(E3468:E$2)*(E3469=E3468:E$2)))))</f>
        <v> </v>
      </c>
      <c r="J3469" s="26" t="str">
        <f>IF(OR(E3469="",E3469="!!!",F3469="NEW"),"",COUNTBLANK(OFFSET(A$1,,,SUMPRODUCT(MAX(ROW(E$2:E3469)*(E3469=E$2:E3469)))))-COUNTBLANK(OFFSET(A$1,,,SUMPRODUCT(MAX(ROW(E$1:E3468)*(E2=E$1:E3468))))))</f>
        <v> </v>
      </c>
      <c r="K3469" s="26" t="str">
        <f>IF(OR(E3469="",E3469="!!!",F3469="NEW"),"",INDEX(J$1:J3468,SUMPRODUCT(MAX(ROW(E$1:E3468)*(E3469=E$1:E3468)))))</f>
        <v> </v>
      </c>
      <c r="L3469" s="27"/>
    </row>
    <row r="3470" spans="1:12">
      <c r="A3470" s="20" t="s">
        <v>312</v>
      </c>
      <c r="E3470" s="22">
        <f>IF(D3470="?OLD","!!!","")</f>
        <v/>
      </c>
      <c r="F3470" s="23" t="str">
        <f>IF(OR(E3470="",E3470="!!!"),"",IF(NOT(ISNA(VLOOKUP(E3470,E$1:E3469,1,FALSE()))),"OLD",IF(AND(E3470&lt;&gt;"",E3470&lt;&gt;"!!!"),"NEW","")))</f>
        <v> </v>
      </c>
      <c r="G3470" s="24" t="str">
        <f>IF(OR(E3470="",E3470="!!!"),"",IF(OR(J3470=0,AND(J3470=1,K3470=1),AND(J3470=1,I3470="SBJ"),AND(J3470=1,I3470=0)),"?IN_FOCUS",IF(J3470&lt;=2,"?ACTIVATED",IF(J3470&lt;&gt;"","?FAMILIAR",IF(F3470="NEW",IF(ISNA(VLOOKUP(E3470,#REF!,1,FALSE())),"?TYPE_IDENTIFIABLE","?REFERENTIAL"),"_")))))</f>
        <v> </v>
      </c>
      <c r="H3470" s="25" t="str">
        <f>IF(J3470&lt;&gt;1,"",IF(I3470="SBJ","CB","?"))</f>
        <v> </v>
      </c>
      <c r="I3470" s="26" t="str">
        <f>IF(OR(E3470="",E3470="!!!",F3470="NEW"),"",INDEX(B3469:B$2,-1+SUMPRODUCT(MAX(ROW(E3469:E$2)*(E3470=E3469:E$2)))))</f>
        <v> </v>
      </c>
      <c r="J3470" s="26" t="str">
        <f>IF(OR(E3470="",E3470="!!!",F3470="NEW"),"",COUNTBLANK(OFFSET(A$1,,,SUMPRODUCT(MAX(ROW(E$2:E3470)*(E3470=E$2:E3470)))))-COUNTBLANK(OFFSET(A$1,,,SUMPRODUCT(MAX(ROW(E$1:E3469)*(E2=E$1:E3469))))))</f>
        <v> </v>
      </c>
      <c r="K3470" s="26" t="str">
        <f>IF(OR(E3470="",E3470="!!!",F3470="NEW"),"",INDEX(J$1:J3469,SUMPRODUCT(MAX(ROW(E$1:E3469)*(E3470=E$1:E3469)))))</f>
        <v> </v>
      </c>
      <c r="L3470" s="27"/>
    </row>
    <row r="3471" spans="1:12">
      <c r="A3471" s="20"/>
    </row>
    <row r="3472" spans="1:12">
      <c r="A3472" s="20" t="s">
        <v>2213</v>
      </c>
    </row>
    <row r="3473" spans="1:12">
      <c r="A3473" s="20" t="s">
        <v>1676</v>
      </c>
      <c r="B3473" s="21" t="s">
        <v>1165</v>
      </c>
      <c r="C3473" s="21" t="s">
        <v>1182</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2214</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t="s">
        <v>1278</v>
      </c>
      <c r="B3475" s="21" t="s">
        <v>1154</v>
      </c>
      <c r="C3475" s="21" t="s">
        <v>1168</v>
      </c>
      <c r="D3475" s="21" t="s">
        <v>1144</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2215</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t="s">
        <v>1414</v>
      </c>
      <c r="E3477" s="22">
        <f>IF(D3477="?OLD","!!!","")</f>
        <v/>
      </c>
      <c r="F3477" s="23" t="str">
        <f>IF(OR(E3477="",E3477="!!!"),"",IF(NOT(ISNA(VLOOKUP(E3477,E$1:E3476,1,FALSE()))),"OLD",IF(AND(E3477&lt;&gt;"",E3477&lt;&gt;"!!!"),"NEW","")))</f>
        <v> </v>
      </c>
      <c r="G3477" s="24" t="str">
        <f>IF(OR(E3477="",E3477="!!!"),"",IF(OR(J3477=0,AND(J3477=1,K3477=1),AND(J3477=1,I3477="SBJ"),AND(J3477=1,I3477=0)),"?IN_FOCUS",IF(J3477&lt;=2,"?ACTIVATED",IF(J3477&lt;&gt;"","?FAMILIAR",IF(F3477="NEW",IF(ISNA(VLOOKUP(E3477,#REF!,1,FALSE())),"?TYPE_IDENTIFIABLE","?REFERENTIAL"),"_")))))</f>
        <v> </v>
      </c>
      <c r="H3477" s="25" t="str">
        <f>IF(J3477&lt;&gt;1,"",IF(I3477="SBJ","CB","?"))</f>
        <v> </v>
      </c>
      <c r="I3477" s="26" t="str">
        <f>IF(OR(E3477="",E3477="!!!",F3477="NEW"),"",INDEX(B3476:B$2,-1+SUMPRODUCT(MAX(ROW(E3476:E$2)*(E3477=E3476:E$2)))))</f>
        <v> </v>
      </c>
      <c r="J3477" s="26" t="str">
        <f>IF(OR(E3477="",E3477="!!!",F3477="NEW"),"",COUNTBLANK(OFFSET(A$1,,,SUMPRODUCT(MAX(ROW(E$2:E3477)*(E3477=E$2:E3477)))))-COUNTBLANK(OFFSET(A$1,,,SUMPRODUCT(MAX(ROW(E$1:E3476)*(E2=E$1:E3476))))))</f>
        <v> </v>
      </c>
      <c r="K3477" s="26" t="str">
        <f>IF(OR(E3477="",E3477="!!!",F3477="NEW"),"",INDEX(J$1:J3476,SUMPRODUCT(MAX(ROW(E$1:E3476)*(E3477=E$1:E3476)))))</f>
        <v> </v>
      </c>
      <c r="L3477" s="27"/>
    </row>
    <row r="3478" spans="1:12">
      <c r="A3478" s="20" t="s">
        <v>1238</v>
      </c>
      <c r="E3478" s="22">
        <f>IF(D3478="?OLD","!!!","")</f>
        <v/>
      </c>
      <c r="F3478" s="23" t="str">
        <f>IF(OR(E3478="",E3478="!!!"),"",IF(NOT(ISNA(VLOOKUP(E3478,E$1:E3477,1,FALSE()))),"OLD",IF(AND(E3478&lt;&gt;"",E3478&lt;&gt;"!!!"),"NEW","")))</f>
        <v> </v>
      </c>
      <c r="G3478" s="24" t="str">
        <f>IF(OR(E3478="",E3478="!!!"),"",IF(OR(J3478=0,AND(J3478=1,K3478=1),AND(J3478=1,I3478="SBJ"),AND(J3478=1,I3478=0)),"?IN_FOCUS",IF(J3478&lt;=2,"?ACTIVATED",IF(J3478&lt;&gt;"","?FAMILIAR",IF(F3478="NEW",IF(ISNA(VLOOKUP(E3478,#REF!,1,FALSE())),"?TYPE_IDENTIFIABLE","?REFERENTIAL"),"_")))))</f>
        <v> </v>
      </c>
      <c r="H3478" s="25" t="str">
        <f>IF(J3478&lt;&gt;1,"",IF(I3478="SBJ","CB","?"))</f>
        <v> </v>
      </c>
      <c r="I3478" s="26" t="str">
        <f>IF(OR(E3478="",E3478="!!!",F3478="NEW"),"",INDEX(B3477:B$2,-1+SUMPRODUCT(MAX(ROW(E3477:E$2)*(E3478=E3477:E$2)))))</f>
        <v> </v>
      </c>
      <c r="J3478" s="26" t="str">
        <f>IF(OR(E3478="",E3478="!!!",F3478="NEW"),"",COUNTBLANK(OFFSET(A$1,,,SUMPRODUCT(MAX(ROW(E$2:E3478)*(E3478=E$2:E3478)))))-COUNTBLANK(OFFSET(A$1,,,SUMPRODUCT(MAX(ROW(E$1:E3477)*(E2=E$1:E3477))))))</f>
        <v> </v>
      </c>
      <c r="K3478" s="26" t="str">
        <f>IF(OR(E3478="",E3478="!!!",F3478="NEW"),"",INDEX(J$1:J3477,SUMPRODUCT(MAX(ROW(E$1:E3477)*(E3478=E$1:E3477)))))</f>
        <v> </v>
      </c>
      <c r="L3478" s="27"/>
    </row>
    <row r="3479" spans="1:12">
      <c r="A3479" s="20" t="s">
        <v>2216</v>
      </c>
      <c r="B3479" s="21" t="s">
        <v>1161</v>
      </c>
      <c r="C3479" s="21" t="s">
        <v>1162</v>
      </c>
      <c r="D3479" s="21" t="s">
        <v>1144</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t="s">
        <v>312</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row>
    <row r="3482" spans="1:12">
      <c r="A3482" s="20" t="s">
        <v>2217</v>
      </c>
    </row>
    <row r="3483" spans="1:12">
      <c r="A3483" s="20" t="s">
        <v>198</v>
      </c>
      <c r="B3483" s="21" t="s">
        <v>1165</v>
      </c>
      <c r="C3483" s="21" t="s">
        <v>1143</v>
      </c>
      <c r="D3483" s="21" t="s">
        <v>1144</v>
      </c>
      <c r="E3483" s="22">
        <f>IF(D3483="?OLD","!!!","")</f>
        <v/>
      </c>
      <c r="F3483" s="23" t="str">
        <f>IF(OR(E3483="",E3483="!!!"),"",IF(NOT(ISNA(VLOOKUP(E3483,E$1:E3482,1,FALSE()))),"OLD",IF(AND(E3483&lt;&gt;"",E3483&lt;&gt;"!!!"),"NEW","")))</f>
        <v> </v>
      </c>
      <c r="G3483" s="24" t="str">
        <f>IF(OR(E3483="",E3483="!!!"),"",IF(OR(J3483=0,AND(J3483=1,K3483=1),AND(J3483=1,I3483="SBJ"),AND(J3483=1,I3483=0)),"?IN_FOCUS",IF(J3483&lt;=2,"?ACTIVATED",IF(J3483&lt;&gt;"","?FAMILIAR",IF(F3483="NEW",IF(ISNA(VLOOKUP(E3483,#REF!,1,FALSE())),"?TYPE_IDENTIFIABLE","?REFERENTIAL"),"_")))))</f>
        <v> </v>
      </c>
      <c r="H3483" s="25" t="str">
        <f>IF(J3483&lt;&gt;1,"",IF(I3483="SBJ","CB","?"))</f>
        <v> </v>
      </c>
      <c r="I3483" s="26" t="str">
        <f>IF(OR(E3483="",E3483="!!!",F3483="NEW"),"",INDEX(B3482:B$2,-1+SUMPRODUCT(MAX(ROW(E3482:E$2)*(E3483=E3482:E$2)))))</f>
        <v> </v>
      </c>
      <c r="J3483" s="26" t="str">
        <f>IF(OR(E3483="",E3483="!!!",F3483="NEW"),"",COUNTBLANK(OFFSET(A$1,,,SUMPRODUCT(MAX(ROW(E$2:E3483)*(E3483=E$2:E3483)))))-COUNTBLANK(OFFSET(A$1,,,SUMPRODUCT(MAX(ROW(E$1:E3482)*(E2=E$1:E3482))))))</f>
        <v> </v>
      </c>
      <c r="K3483" s="26" t="str">
        <f>IF(OR(E3483="",E3483="!!!",F3483="NEW"),"",INDEX(J$1:J3482,SUMPRODUCT(MAX(ROW(E$1:E3482)*(E3483=E$1:E3482)))))</f>
        <v> </v>
      </c>
      <c r="L3483" s="27"/>
    </row>
    <row r="3484" spans="1:12">
      <c r="A3484" s="20" t="s">
        <v>1146</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1816</v>
      </c>
      <c r="B3485" s="21" t="s">
        <v>1154</v>
      </c>
      <c r="C3485" s="21" t="s">
        <v>1151</v>
      </c>
      <c r="D3485" s="21" t="s">
        <v>1144</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2218</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1278</v>
      </c>
      <c r="B3487" s="21" t="s">
        <v>1165</v>
      </c>
      <c r="C3487" s="21" t="s">
        <v>1168</v>
      </c>
      <c r="D3487" s="21" t="s">
        <v>1144</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t="s">
        <v>1225</v>
      </c>
      <c r="E3488" s="22">
        <f>IF(D3488="?OLD","!!!","")</f>
        <v/>
      </c>
      <c r="F3488" s="23" t="str">
        <f>IF(OR(E3488="",E3488="!!!"),"",IF(NOT(ISNA(VLOOKUP(E3488,E$1:E3487,1,FALSE()))),"OLD",IF(AND(E3488&lt;&gt;"",E3488&lt;&gt;"!!!"),"NEW","")))</f>
        <v> </v>
      </c>
      <c r="G3488" s="24" t="str">
        <f>IF(OR(E3488="",E3488="!!!"),"",IF(OR(J3488=0,AND(J3488=1,K3488=1),AND(J3488=1,I3488="SBJ"),AND(J3488=1,I3488=0)),"?IN_FOCUS",IF(J3488&lt;=2,"?ACTIVATED",IF(J3488&lt;&gt;"","?FAMILIAR",IF(F3488="NEW",IF(ISNA(VLOOKUP(E3488,#REF!,1,FALSE())),"?TYPE_IDENTIFIABLE","?REFERENTIAL"),"_")))))</f>
        <v> </v>
      </c>
      <c r="H3488" s="25" t="str">
        <f>IF(J3488&lt;&gt;1,"",IF(I3488="SBJ","CB","?"))</f>
        <v> </v>
      </c>
      <c r="I3488" s="26" t="str">
        <f>IF(OR(E3488="",E3488="!!!",F3488="NEW"),"",INDEX(B3487:B$2,-1+SUMPRODUCT(MAX(ROW(E3487:E$2)*(E3488=E3487:E$2)))))</f>
        <v> </v>
      </c>
      <c r="J3488" s="26" t="str">
        <f>IF(OR(E3488="",E3488="!!!",F3488="NEW"),"",COUNTBLANK(OFFSET(A$1,,,SUMPRODUCT(MAX(ROW(E$2:E3488)*(E3488=E$2:E3488)))))-COUNTBLANK(OFFSET(A$1,,,SUMPRODUCT(MAX(ROW(E$1:E3487)*(E2=E$1:E3487))))))</f>
        <v> </v>
      </c>
      <c r="K3488" s="26" t="str">
        <f>IF(OR(E3488="",E3488="!!!",F3488="NEW"),"",INDEX(J$1:J3487,SUMPRODUCT(MAX(ROW(E$1:E3487)*(E3488=E$1:E3487)))))</f>
        <v> </v>
      </c>
      <c r="L3488" s="27"/>
    </row>
    <row r="3489" spans="1:12">
      <c r="A3489" s="20" t="s">
        <v>1219</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t="s">
        <v>1238</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t="s">
        <v>2219</v>
      </c>
      <c r="B3491" s="21" t="s">
        <v>1161</v>
      </c>
      <c r="C3491" s="21" t="s">
        <v>1162</v>
      </c>
      <c r="D3491" s="21" t="s">
        <v>1144</v>
      </c>
      <c r="E3491" s="22">
        <f>IF(D3491="?OLD","!!!","")</f>
        <v/>
      </c>
      <c r="F3491" s="23" t="str">
        <f>IF(OR(E3491="",E3491="!!!"),"",IF(NOT(ISNA(VLOOKUP(E3491,E$1:E3490,1,FALSE()))),"OLD",IF(AND(E3491&lt;&gt;"",E3491&lt;&gt;"!!!"),"NEW","")))</f>
        <v> </v>
      </c>
      <c r="G3491" s="24" t="str">
        <f>IF(OR(E3491="",E3491="!!!"),"",IF(OR(J3491=0,AND(J3491=1,K3491=1),AND(J3491=1,I3491="SBJ"),AND(J3491=1,I3491=0)),"?IN_FOCUS",IF(J3491&lt;=2,"?ACTIVATED",IF(J3491&lt;&gt;"","?FAMILIAR",IF(F3491="NEW",IF(ISNA(VLOOKUP(E3491,#REF!,1,FALSE())),"?TYPE_IDENTIFIABLE","?REFERENTIAL"),"_")))))</f>
        <v> </v>
      </c>
      <c r="H3491" s="25" t="str">
        <f>IF(J3491&lt;&gt;1,"",IF(I3491="SBJ","CB","?"))</f>
        <v> </v>
      </c>
      <c r="I3491" s="26" t="str">
        <f>IF(OR(E3491="",E3491="!!!",F3491="NEW"),"",INDEX(B3490:B$2,-1+SUMPRODUCT(MAX(ROW(E3490:E$2)*(E3491=E3490:E$2)))))</f>
        <v> </v>
      </c>
      <c r="J3491" s="26" t="str">
        <f>IF(OR(E3491="",E3491="!!!",F3491="NEW"),"",COUNTBLANK(OFFSET(A$1,,,SUMPRODUCT(MAX(ROW(E$2:E3491)*(E3491=E$2:E3491)))))-COUNTBLANK(OFFSET(A$1,,,SUMPRODUCT(MAX(ROW(E$1:E3490)*(E2=E$1:E3490))))))</f>
        <v> </v>
      </c>
      <c r="K3491" s="26" t="str">
        <f>IF(OR(E3491="",E3491="!!!",F3491="NEW"),"",INDEX(J$1:J3490,SUMPRODUCT(MAX(ROW(E$1:E3490)*(E3491=E$1:E3490)))))</f>
        <v> </v>
      </c>
      <c r="L3491" s="27"/>
    </row>
    <row r="3492" spans="1:12">
      <c r="A3492" s="20" t="s">
        <v>852</v>
      </c>
      <c r="E3492" s="22">
        <f>IF(D3492="?OLD","!!!","")</f>
        <v/>
      </c>
      <c r="F3492" s="23" t="str">
        <f>IF(OR(E3492="",E3492="!!!"),"",IF(NOT(ISNA(VLOOKUP(E3492,E$1:E3491,1,FALSE()))),"OLD",IF(AND(E3492&lt;&gt;"",E3492&lt;&gt;"!!!"),"NEW","")))</f>
        <v> </v>
      </c>
      <c r="G3492" s="24" t="str">
        <f>IF(OR(E3492="",E3492="!!!"),"",IF(OR(J3492=0,AND(J3492=1,K3492=1),AND(J3492=1,I3492="SBJ"),AND(J3492=1,I3492=0)),"?IN_FOCUS",IF(J3492&lt;=2,"?ACTIVATED",IF(J3492&lt;&gt;"","?FAMILIAR",IF(F3492="NEW",IF(ISNA(VLOOKUP(E3492,#REF!,1,FALSE())),"?TYPE_IDENTIFIABLE","?REFERENTIAL"),"_")))))</f>
        <v> </v>
      </c>
      <c r="H3492" s="25" t="str">
        <f>IF(J3492&lt;&gt;1,"",IF(I3492="SBJ","CB","?"))</f>
        <v> </v>
      </c>
      <c r="I3492" s="26" t="str">
        <f>IF(OR(E3492="",E3492="!!!",F3492="NEW"),"",INDEX(B3491:B$2,-1+SUMPRODUCT(MAX(ROW(E3491:E$2)*(E3492=E3491:E$2)))))</f>
        <v> </v>
      </c>
      <c r="J3492" s="26" t="str">
        <f>IF(OR(E3492="",E3492="!!!",F3492="NEW"),"",COUNTBLANK(OFFSET(A$1,,,SUMPRODUCT(MAX(ROW(E$2:E3492)*(E3492=E$2:E3492)))))-COUNTBLANK(OFFSET(A$1,,,SUMPRODUCT(MAX(ROW(E$1:E3491)*(E2=E$1:E3491))))))</f>
        <v> </v>
      </c>
      <c r="K3492" s="26" t="str">
        <f>IF(OR(E3492="",E3492="!!!",F3492="NEW"),"",INDEX(J$1:J3491,SUMPRODUCT(MAX(ROW(E$1:E3491)*(E3492=E$1:E3491)))))</f>
        <v> </v>
      </c>
      <c r="L3492" s="27"/>
    </row>
    <row r="3493" spans="1:12">
      <c r="A3493" s="20" t="s">
        <v>312</v>
      </c>
      <c r="E3493" s="22">
        <f>IF(D3493="?OLD","!!!","")</f>
        <v/>
      </c>
      <c r="F3493" s="23" t="str">
        <f>IF(OR(E3493="",E3493="!!!"),"",IF(NOT(ISNA(VLOOKUP(E3493,E$1:E3492,1,FALSE()))),"OLD",IF(AND(E3493&lt;&gt;"",E3493&lt;&gt;"!!!"),"NEW","")))</f>
        <v> </v>
      </c>
      <c r="G3493" s="24" t="str">
        <f>IF(OR(E3493="",E3493="!!!"),"",IF(OR(J3493=0,AND(J3493=1,K3493=1),AND(J3493=1,I3493="SBJ"),AND(J3493=1,I3493=0)),"?IN_FOCUS",IF(J3493&lt;=2,"?ACTIVATED",IF(J3493&lt;&gt;"","?FAMILIAR",IF(F3493="NEW",IF(ISNA(VLOOKUP(E3493,#REF!,1,FALSE())),"?TYPE_IDENTIFIABLE","?REFERENTIAL"),"_")))))</f>
        <v> </v>
      </c>
      <c r="H3493" s="25" t="str">
        <f>IF(J3493&lt;&gt;1,"",IF(I3493="SBJ","CB","?"))</f>
        <v> </v>
      </c>
      <c r="I3493" s="26" t="str">
        <f>IF(OR(E3493="",E3493="!!!",F3493="NEW"),"",INDEX(B3492:B$2,-1+SUMPRODUCT(MAX(ROW(E3492:E$2)*(E3493=E3492:E$2)))))</f>
        <v> </v>
      </c>
      <c r="J3493" s="26" t="str">
        <f>IF(OR(E3493="",E3493="!!!",F3493="NEW"),"",COUNTBLANK(OFFSET(A$1,,,SUMPRODUCT(MAX(ROW(E$2:E3493)*(E3493=E$2:E3493)))))-COUNTBLANK(OFFSET(A$1,,,SUMPRODUCT(MAX(ROW(E$1:E3492)*(E2=E$1:E3492))))))</f>
        <v> </v>
      </c>
      <c r="K3493" s="26" t="str">
        <f>IF(OR(E3493="",E3493="!!!",F3493="NEW"),"",INDEX(J$1:J3492,SUMPRODUCT(MAX(ROW(E$1:E3492)*(E3493=E$1:E3492)))))</f>
        <v> </v>
      </c>
      <c r="L3493" s="27"/>
    </row>
    <row r="3494" spans="1:12">
      <c r="A3494" s="20"/>
    </row>
    <row r="3495" spans="1:12">
      <c r="A3495" s="20" t="s">
        <v>1820</v>
      </c>
    </row>
    <row r="3496" spans="1:12">
      <c r="A3496" s="20" t="s">
        <v>308</v>
      </c>
      <c r="B3496" s="21" t="s">
        <v>1161</v>
      </c>
      <c r="C3496" s="21" t="s">
        <v>1187</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1146</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row>
    <row r="3499" spans="1:12">
      <c r="A3499" s="20" t="s">
        <v>2220</v>
      </c>
    </row>
    <row r="3500" spans="1:12">
      <c r="A3500" s="20" t="s">
        <v>1189</v>
      </c>
      <c r="B3500" s="21" t="s">
        <v>1165</v>
      </c>
      <c r="C3500" s="21" t="s">
        <v>1151</v>
      </c>
      <c r="D3500" s="21" t="s">
        <v>1144</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t="s">
        <v>2221</v>
      </c>
      <c r="E3501" s="22">
        <f>IF(D3501="?OLD","!!!","")</f>
        <v/>
      </c>
      <c r="F3501" s="23" t="str">
        <f>IF(OR(E3501="",E3501="!!!"),"",IF(NOT(ISNA(VLOOKUP(E3501,E$1:E3500,1,FALSE()))),"OLD",IF(AND(E3501&lt;&gt;"",E3501&lt;&gt;"!!!"),"NEW","")))</f>
        <v> </v>
      </c>
      <c r="G3501" s="24" t="str">
        <f>IF(OR(E3501="",E3501="!!!"),"",IF(OR(J3501=0,AND(J3501=1,K3501=1),AND(J3501=1,I3501="SBJ"),AND(J3501=1,I3501=0)),"?IN_FOCUS",IF(J3501&lt;=2,"?ACTIVATED",IF(J3501&lt;&gt;"","?FAMILIAR",IF(F3501="NEW",IF(ISNA(VLOOKUP(E3501,#REF!,1,FALSE())),"?TYPE_IDENTIFIABLE","?REFERENTIAL"),"_")))))</f>
        <v> </v>
      </c>
      <c r="H3501" s="25" t="str">
        <f>IF(J3501&lt;&gt;1,"",IF(I3501="SBJ","CB","?"))</f>
        <v> </v>
      </c>
      <c r="I3501" s="26" t="str">
        <f>IF(OR(E3501="",E3501="!!!",F3501="NEW"),"",INDEX(B3500:B$2,-1+SUMPRODUCT(MAX(ROW(E3500:E$2)*(E3501=E3500:E$2)))))</f>
        <v> </v>
      </c>
      <c r="J3501" s="26" t="str">
        <f>IF(OR(E3501="",E3501="!!!",F3501="NEW"),"",COUNTBLANK(OFFSET(A$1,,,SUMPRODUCT(MAX(ROW(E$2:E3501)*(E3501=E$2:E3501)))))-COUNTBLANK(OFFSET(A$1,,,SUMPRODUCT(MAX(ROW(E$1:E3500)*(E2=E$1:E3500))))))</f>
        <v> </v>
      </c>
      <c r="K3501" s="26" t="str">
        <f>IF(OR(E3501="",E3501="!!!",F3501="NEW"),"",INDEX(J$1:J3500,SUMPRODUCT(MAX(ROW(E$1:E3500)*(E3501=E$1:E3500)))))</f>
        <v> </v>
      </c>
      <c r="L3501" s="27"/>
    </row>
    <row r="3502" spans="1:12">
      <c r="A3502" s="20" t="s">
        <v>1146</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1574</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2222</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1370</v>
      </c>
      <c r="B3505" s="21" t="s">
        <v>1142</v>
      </c>
      <c r="C3505" s="21" t="s">
        <v>1182</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t="s">
        <v>1284</v>
      </c>
      <c r="B3506" s="21" t="s">
        <v>1150</v>
      </c>
      <c r="C3506" s="21" t="s">
        <v>1187</v>
      </c>
      <c r="E3506" s="22">
        <f>IF(D3506="?OLD","!!!","")</f>
        <v/>
      </c>
      <c r="F3506" s="23" t="str">
        <f>IF(OR(E3506="",E3506="!!!"),"",IF(NOT(ISNA(VLOOKUP(E3506,E$1:E3505,1,FALSE()))),"OLD",IF(AND(E3506&lt;&gt;"",E3506&lt;&gt;"!!!"),"NEW","")))</f>
        <v> </v>
      </c>
      <c r="G3506" s="24" t="str">
        <f>IF(OR(E3506="",E3506="!!!"),"",IF(OR(J3506=0,AND(J3506=1,K3506=1),AND(J3506=1,I3506="SBJ"),AND(J3506=1,I3506=0)),"?IN_FOCUS",IF(J3506&lt;=2,"?ACTIVATED",IF(J3506&lt;&gt;"","?FAMILIAR",IF(F3506="NEW",IF(ISNA(VLOOKUP(E3506,#REF!,1,FALSE())),"?TYPE_IDENTIFIABLE","?REFERENTIAL"),"_")))))</f>
        <v> </v>
      </c>
      <c r="H3506" s="25" t="str">
        <f>IF(J3506&lt;&gt;1,"",IF(I3506="SBJ","CB","?"))</f>
        <v> </v>
      </c>
      <c r="I3506" s="26" t="str">
        <f>IF(OR(E3506="",E3506="!!!",F3506="NEW"),"",INDEX(B3505:B$2,-1+SUMPRODUCT(MAX(ROW(E3505:E$2)*(E3506=E3505:E$2)))))</f>
        <v> </v>
      </c>
      <c r="J3506" s="26" t="str">
        <f>IF(OR(E3506="",E3506="!!!",F3506="NEW"),"",COUNTBLANK(OFFSET(A$1,,,SUMPRODUCT(MAX(ROW(E$2:E3506)*(E3506=E$2:E3506)))))-COUNTBLANK(OFFSET(A$1,,,SUMPRODUCT(MAX(ROW(E$1:E3505)*(E2=E$1:E3505))))))</f>
        <v> </v>
      </c>
      <c r="K3506" s="26" t="str">
        <f>IF(OR(E3506="",E3506="!!!",F3506="NEW"),"",INDEX(J$1:J3505,SUMPRODUCT(MAX(ROW(E$1:E3505)*(E3506=E$1:E3505)))))</f>
        <v> </v>
      </c>
      <c r="L3506" s="27"/>
    </row>
    <row r="3507" spans="1:12">
      <c r="A3507" s="20" t="s">
        <v>1354</v>
      </c>
      <c r="E3507" s="22">
        <f>IF(D3507="?OLD","!!!","")</f>
        <v/>
      </c>
      <c r="F3507" s="23" t="str">
        <f>IF(OR(E3507="",E3507="!!!"),"",IF(NOT(ISNA(VLOOKUP(E3507,E$1:E3506,1,FALSE()))),"OLD",IF(AND(E3507&lt;&gt;"",E3507&lt;&gt;"!!!"),"NEW","")))</f>
        <v> </v>
      </c>
      <c r="G3507" s="24" t="str">
        <f>IF(OR(E3507="",E3507="!!!"),"",IF(OR(J3507=0,AND(J3507=1,K3507=1),AND(J3507=1,I3507="SBJ"),AND(J3507=1,I3507=0)),"?IN_FOCUS",IF(J3507&lt;=2,"?ACTIVATED",IF(J3507&lt;&gt;"","?FAMILIAR",IF(F3507="NEW",IF(ISNA(VLOOKUP(E3507,#REF!,1,FALSE())),"?TYPE_IDENTIFIABLE","?REFERENTIAL"),"_")))))</f>
        <v> </v>
      </c>
      <c r="H3507" s="25" t="str">
        <f>IF(J3507&lt;&gt;1,"",IF(I3507="SBJ","CB","?"))</f>
        <v> </v>
      </c>
      <c r="I3507" s="26" t="str">
        <f>IF(OR(E3507="",E3507="!!!",F3507="NEW"),"",INDEX(B3506:B$2,-1+SUMPRODUCT(MAX(ROW(E3506:E$2)*(E3507=E3506:E$2)))))</f>
        <v> </v>
      </c>
      <c r="J3507" s="26" t="str">
        <f>IF(OR(E3507="",E3507="!!!",F3507="NEW"),"",COUNTBLANK(OFFSET(A$1,,,SUMPRODUCT(MAX(ROW(E$2:E3507)*(E3507=E$2:E3507)))))-COUNTBLANK(OFFSET(A$1,,,SUMPRODUCT(MAX(ROW(E$1:E3506)*(E2=E$1:E3506))))))</f>
        <v> </v>
      </c>
      <c r="K3507" s="26" t="str">
        <f>IF(OR(E3507="",E3507="!!!",F3507="NEW"),"",INDEX(J$1:J3506,SUMPRODUCT(MAX(ROW(E$1:E3506)*(E3507=E$1:E3506)))))</f>
        <v> </v>
      </c>
      <c r="L3507" s="27"/>
    </row>
    <row r="3508" spans="1:12">
      <c r="A3508" s="20" t="s">
        <v>1166</v>
      </c>
      <c r="E3508" s="22">
        <f>IF(D3508="?OLD","!!!","")</f>
        <v/>
      </c>
      <c r="F3508" s="23" t="str">
        <f>IF(OR(E3508="",E3508="!!!"),"",IF(NOT(ISNA(VLOOKUP(E3508,E$1:E3507,1,FALSE()))),"OLD",IF(AND(E3508&lt;&gt;"",E3508&lt;&gt;"!!!"),"NEW","")))</f>
        <v> </v>
      </c>
      <c r="G3508" s="24" t="str">
        <f>IF(OR(E3508="",E3508="!!!"),"",IF(OR(J3508=0,AND(J3508=1,K3508=1),AND(J3508=1,I3508="SBJ"),AND(J3508=1,I3508=0)),"?IN_FOCUS",IF(J3508&lt;=2,"?ACTIVATED",IF(J3508&lt;&gt;"","?FAMILIAR",IF(F3508="NEW",IF(ISNA(VLOOKUP(E3508,#REF!,1,FALSE())),"?TYPE_IDENTIFIABLE","?REFERENTIAL"),"_")))))</f>
        <v> </v>
      </c>
      <c r="H3508" s="25" t="str">
        <f>IF(J3508&lt;&gt;1,"",IF(I3508="SBJ","CB","?"))</f>
        <v> </v>
      </c>
      <c r="I3508" s="26" t="str">
        <f>IF(OR(E3508="",E3508="!!!",F3508="NEW"),"",INDEX(B3507:B$2,-1+SUMPRODUCT(MAX(ROW(E3507:E$2)*(E3508=E3507:E$2)))))</f>
        <v> </v>
      </c>
      <c r="J3508" s="26" t="str">
        <f>IF(OR(E3508="",E3508="!!!",F3508="NEW"),"",COUNTBLANK(OFFSET(A$1,,,SUMPRODUCT(MAX(ROW(E$2:E3508)*(E3508=E$2:E3508)))))-COUNTBLANK(OFFSET(A$1,,,SUMPRODUCT(MAX(ROW(E$1:E3507)*(E2=E$1:E3507))))))</f>
        <v> </v>
      </c>
      <c r="K3508" s="26" t="str">
        <f>IF(OR(E3508="",E3508="!!!",F3508="NEW"),"",INDEX(J$1:J3507,SUMPRODUCT(MAX(ROW(E$1:E3507)*(E3508=E$1:E3507)))))</f>
        <v> </v>
      </c>
      <c r="L3508" s="27"/>
    </row>
    <row r="3509" spans="1:12">
      <c r="A3509" s="20" t="s">
        <v>1787</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t="s">
        <v>2223</v>
      </c>
      <c r="B3510" s="21" t="s">
        <v>1193</v>
      </c>
      <c r="C3510" s="21" t="s">
        <v>1187</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t="s">
        <v>1308</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761</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1263</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row>
    <row r="3515" spans="1:12">
      <c r="A3515" s="20" t="s">
        <v>2224</v>
      </c>
    </row>
    <row r="3516" spans="1:12">
      <c r="A3516" s="20" t="s">
        <v>198</v>
      </c>
      <c r="B3516" s="21" t="s">
        <v>1165</v>
      </c>
      <c r="C3516" s="21" t="s">
        <v>1143</v>
      </c>
      <c r="D3516" s="21" t="s">
        <v>1144</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1146</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t="s">
        <v>1217</v>
      </c>
      <c r="E3518" s="22">
        <f>IF(D3518="?OLD","!!!","")</f>
        <v/>
      </c>
      <c r="F3518" s="23" t="str">
        <f>IF(OR(E3518="",E3518="!!!"),"",IF(NOT(ISNA(VLOOKUP(E3518,E$1:E3517,1,FALSE()))),"OLD",IF(AND(E3518&lt;&gt;"",E3518&lt;&gt;"!!!"),"NEW","")))</f>
        <v> </v>
      </c>
      <c r="G3518" s="24" t="str">
        <f>IF(OR(E3518="",E3518="!!!"),"",IF(OR(J3518=0,AND(J3518=1,K3518=1),AND(J3518=1,I3518="SBJ"),AND(J3518=1,I3518=0)),"?IN_FOCUS",IF(J3518&lt;=2,"?ACTIVATED",IF(J3518&lt;&gt;"","?FAMILIAR",IF(F3518="NEW",IF(ISNA(VLOOKUP(E3518,#REF!,1,FALSE())),"?TYPE_IDENTIFIABLE","?REFERENTIAL"),"_")))))</f>
        <v> </v>
      </c>
      <c r="H3518" s="25" t="str">
        <f>IF(J3518&lt;&gt;1,"",IF(I3518="SBJ","CB","?"))</f>
        <v> </v>
      </c>
      <c r="I3518" s="26" t="str">
        <f>IF(OR(E3518="",E3518="!!!",F3518="NEW"),"",INDEX(B3517:B$2,-1+SUMPRODUCT(MAX(ROW(E3517:E$2)*(E3518=E3517:E$2)))))</f>
        <v> </v>
      </c>
      <c r="J3518" s="26" t="str">
        <f>IF(OR(E3518="",E3518="!!!",F3518="NEW"),"",COUNTBLANK(OFFSET(A$1,,,SUMPRODUCT(MAX(ROW(E$2:E3518)*(E3518=E$2:E3518)))))-COUNTBLANK(OFFSET(A$1,,,SUMPRODUCT(MAX(ROW(E$1:E3517)*(E2=E$1:E3517))))))</f>
        <v> </v>
      </c>
      <c r="K3518" s="26" t="str">
        <f>IF(OR(E3518="",E3518="!!!",F3518="NEW"),"",INDEX(J$1:J3517,SUMPRODUCT(MAX(ROW(E$1:E3517)*(E3518=E$1:E3517)))))</f>
        <v> </v>
      </c>
      <c r="L3518" s="27"/>
    </row>
    <row r="3519" spans="1:12">
      <c r="A3519" s="20" t="s">
        <v>165</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t="s">
        <v>1179</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1455</v>
      </c>
      <c r="B3521" s="21" t="s">
        <v>1154</v>
      </c>
      <c r="C3521" s="21" t="s">
        <v>1155</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t="s">
        <v>312</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row>
    <row r="3524" spans="1:12">
      <c r="A3524" s="20" t="s">
        <v>2225</v>
      </c>
    </row>
    <row r="3525" spans="1:12">
      <c r="A3525" s="20" t="s">
        <v>308</v>
      </c>
      <c r="B3525" s="21" t="s">
        <v>1161</v>
      </c>
      <c r="C3525" s="21" t="s">
        <v>1187</v>
      </c>
      <c r="E3525" s="22">
        <f>IF(D3525="?OLD","!!!","")</f>
        <v/>
      </c>
      <c r="F3525" s="23" t="str">
        <f>IF(OR(E3525="",E3525="!!!"),"",IF(NOT(ISNA(VLOOKUP(E3525,E$1:E3524,1,FALSE()))),"OLD",IF(AND(E3525&lt;&gt;"",E3525&lt;&gt;"!!!"),"NEW","")))</f>
        <v> </v>
      </c>
      <c r="G3525" s="24" t="str">
        <f>IF(OR(E3525="",E3525="!!!"),"",IF(OR(J3525=0,AND(J3525=1,K3525=1),AND(J3525=1,I3525="SBJ"),AND(J3525=1,I3525=0)),"?IN_FOCUS",IF(J3525&lt;=2,"?ACTIVATED",IF(J3525&lt;&gt;"","?FAMILIAR",IF(F3525="NEW",IF(ISNA(VLOOKUP(E3525,#REF!,1,FALSE())),"?TYPE_IDENTIFIABLE","?REFERENTIAL"),"_")))))</f>
        <v> </v>
      </c>
      <c r="H3525" s="25" t="str">
        <f>IF(J3525&lt;&gt;1,"",IF(I3525="SBJ","CB","?"))</f>
        <v> </v>
      </c>
      <c r="I3525" s="26" t="str">
        <f>IF(OR(E3525="",E3525="!!!",F3525="NEW"),"",INDEX(B3524:B$2,-1+SUMPRODUCT(MAX(ROW(E3524:E$2)*(E3525=E3524:E$2)))))</f>
        <v> </v>
      </c>
      <c r="J3525" s="26" t="str">
        <f>IF(OR(E3525="",E3525="!!!",F3525="NEW"),"",COUNTBLANK(OFFSET(A$1,,,SUMPRODUCT(MAX(ROW(E$2:E3525)*(E3525=E$2:E3525)))))-COUNTBLANK(OFFSET(A$1,,,SUMPRODUCT(MAX(ROW(E$1:E3524)*(E2=E$1:E3524))))))</f>
        <v> </v>
      </c>
      <c r="K3525" s="26" t="str">
        <f>IF(OR(E3525="",E3525="!!!",F3525="NEW"),"",INDEX(J$1:J3524,SUMPRODUCT(MAX(ROW(E$1:E3524)*(E3525=E$1:E3524)))))</f>
        <v> </v>
      </c>
      <c r="L3525" s="27"/>
    </row>
    <row r="3526" spans="1:12">
      <c r="A3526" s="20" t="s">
        <v>1146</v>
      </c>
      <c r="E3526" s="22">
        <f>IF(D3526="?OLD","!!!","")</f>
        <v/>
      </c>
      <c r="F3526" s="23" t="str">
        <f>IF(OR(E3526="",E3526="!!!"),"",IF(NOT(ISNA(VLOOKUP(E3526,E$1:E3525,1,FALSE()))),"OLD",IF(AND(E3526&lt;&gt;"",E3526&lt;&gt;"!!!"),"NEW","")))</f>
        <v> </v>
      </c>
      <c r="G3526" s="24" t="str">
        <f>IF(OR(E3526="",E3526="!!!"),"",IF(OR(J3526=0,AND(J3526=1,K3526=1),AND(J3526=1,I3526="SBJ"),AND(J3526=1,I3526=0)),"?IN_FOCUS",IF(J3526&lt;=2,"?ACTIVATED",IF(J3526&lt;&gt;"","?FAMILIAR",IF(F3526="NEW",IF(ISNA(VLOOKUP(E3526,#REF!,1,FALSE())),"?TYPE_IDENTIFIABLE","?REFERENTIAL"),"_")))))</f>
        <v> </v>
      </c>
      <c r="H3526" s="25" t="str">
        <f>IF(J3526&lt;&gt;1,"",IF(I3526="SBJ","CB","?"))</f>
        <v> </v>
      </c>
      <c r="I3526" s="26" t="str">
        <f>IF(OR(E3526="",E3526="!!!",F3526="NEW"),"",INDEX(B3525:B$2,-1+SUMPRODUCT(MAX(ROW(E3525:E$2)*(E3526=E3525:E$2)))))</f>
        <v> </v>
      </c>
      <c r="J3526" s="26" t="str">
        <f>IF(OR(E3526="",E3526="!!!",F3526="NEW"),"",COUNTBLANK(OFFSET(A$1,,,SUMPRODUCT(MAX(ROW(E$2:E3526)*(E3526=E$2:E3526)))))-COUNTBLANK(OFFSET(A$1,,,SUMPRODUCT(MAX(ROW(E$1:E3525)*(E2=E$1:E3525))))))</f>
        <v> </v>
      </c>
      <c r="K3526" s="26" t="str">
        <f>IF(OR(E3526="",E3526="!!!",F3526="NEW"),"",INDEX(J$1:J3525,SUMPRODUCT(MAX(ROW(E$1:E3525)*(E3526=E$1:E3525)))))</f>
        <v> </v>
      </c>
      <c r="L3526" s="27"/>
    </row>
    <row r="3527" spans="1:12">
      <c r="A3527" s="20" t="s">
        <v>2226</v>
      </c>
      <c r="B3527" s="21" t="s">
        <v>1161</v>
      </c>
      <c r="C3527" s="21" t="s">
        <v>1187</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1167</v>
      </c>
      <c r="B3528" s="21" t="s">
        <v>1165</v>
      </c>
      <c r="C3528" s="21" t="s">
        <v>1168</v>
      </c>
      <c r="D3528" s="21" t="s">
        <v>1144</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1261</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312</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row>
    <row r="3532" spans="1:12">
      <c r="A3532" s="20" t="s">
        <v>2227</v>
      </c>
    </row>
    <row r="3533" spans="1:12">
      <c r="A3533" s="20" t="s">
        <v>1300</v>
      </c>
      <c r="B3533" s="21" t="s">
        <v>1165</v>
      </c>
      <c r="C3533" s="21" t="s">
        <v>1151</v>
      </c>
      <c r="D3533" s="21" t="s">
        <v>1144</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1148</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1529</v>
      </c>
      <c r="B3535" s="21" t="s">
        <v>1154</v>
      </c>
      <c r="C3535" s="21" t="s">
        <v>1151</v>
      </c>
      <c r="D3535" s="21" t="s">
        <v>1144</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1457</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t="s">
        <v>826</v>
      </c>
      <c r="E3537" s="22">
        <f>IF(D3537="?OLD","!!!","")</f>
        <v/>
      </c>
      <c r="F3537" s="23" t="str">
        <f>IF(OR(E3537="",E3537="!!!"),"",IF(NOT(ISNA(VLOOKUP(E3537,E$1:E3536,1,FALSE()))),"OLD",IF(AND(E3537&lt;&gt;"",E3537&lt;&gt;"!!!"),"NEW","")))</f>
        <v> </v>
      </c>
      <c r="G3537" s="24" t="str">
        <f>IF(OR(E3537="",E3537="!!!"),"",IF(OR(J3537=0,AND(J3537=1,K3537=1),AND(J3537=1,I3537="SBJ"),AND(J3537=1,I3537=0)),"?IN_FOCUS",IF(J3537&lt;=2,"?ACTIVATED",IF(J3537&lt;&gt;"","?FAMILIAR",IF(F3537="NEW",IF(ISNA(VLOOKUP(E3537,#REF!,1,FALSE())),"?TYPE_IDENTIFIABLE","?REFERENTIAL"),"_")))))</f>
        <v> </v>
      </c>
      <c r="H3537" s="25" t="str">
        <f>IF(J3537&lt;&gt;1,"",IF(I3537="SBJ","CB","?"))</f>
        <v> </v>
      </c>
      <c r="I3537" s="26" t="str">
        <f>IF(OR(E3537="",E3537="!!!",F3537="NEW"),"",INDEX(B3536:B$2,-1+SUMPRODUCT(MAX(ROW(E3536:E$2)*(E3537=E3536:E$2)))))</f>
        <v> </v>
      </c>
      <c r="J3537" s="26" t="str">
        <f>IF(OR(E3537="",E3537="!!!",F3537="NEW"),"",COUNTBLANK(OFFSET(A$1,,,SUMPRODUCT(MAX(ROW(E$2:E3537)*(E3537=E$2:E3537)))))-COUNTBLANK(OFFSET(A$1,,,SUMPRODUCT(MAX(ROW(E$1:E3536)*(E2=E$1:E3536))))))</f>
        <v> </v>
      </c>
      <c r="K3537" s="26" t="str">
        <f>IF(OR(E3537="",E3537="!!!",F3537="NEW"),"",INDEX(J$1:J3536,SUMPRODUCT(MAX(ROW(E$1:E3536)*(E3537=E$1:E3536)))))</f>
        <v> </v>
      </c>
      <c r="L3537" s="27"/>
    </row>
    <row r="3538" spans="1:12">
      <c r="A3538" s="20" t="s">
        <v>312</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row>
    <row r="3540" spans="1:12">
      <c r="A3540" s="20" t="s">
        <v>2228</v>
      </c>
    </row>
    <row r="3541" spans="1:12">
      <c r="A3541" s="20" t="s">
        <v>1194</v>
      </c>
      <c r="E3541" s="22">
        <f>IF(D3541="?OLD","!!!","")</f>
        <v/>
      </c>
      <c r="F3541" s="23" t="str">
        <f>IF(OR(E3541="",E3541="!!!"),"",IF(NOT(ISNA(VLOOKUP(E3541,E$1:E3540,1,FALSE()))),"OLD",IF(AND(E3541&lt;&gt;"",E3541&lt;&gt;"!!!"),"NEW","")))</f>
        <v> </v>
      </c>
      <c r="G3541" s="24" t="str">
        <f>IF(OR(E3541="",E3541="!!!"),"",IF(OR(J3541=0,AND(J3541=1,K3541=1),AND(J3541=1,I3541="SBJ"),AND(J3541=1,I3541=0)),"?IN_FOCUS",IF(J3541&lt;=2,"?ACTIVATED",IF(J3541&lt;&gt;"","?FAMILIAR",IF(F3541="NEW",IF(ISNA(VLOOKUP(E3541,#REF!,1,FALSE())),"?TYPE_IDENTIFIABLE","?REFERENTIAL"),"_")))))</f>
        <v> </v>
      </c>
      <c r="H3541" s="25" t="str">
        <f>IF(J3541&lt;&gt;1,"",IF(I3541="SBJ","CB","?"))</f>
        <v> </v>
      </c>
      <c r="I3541" s="26" t="str">
        <f>IF(OR(E3541="",E3541="!!!",F3541="NEW"),"",INDEX(B3540:B$2,-1+SUMPRODUCT(MAX(ROW(E3540:E$2)*(E3541=E3540:E$2)))))</f>
        <v> </v>
      </c>
      <c r="J3541" s="26" t="str">
        <f>IF(OR(E3541="",E3541="!!!",F3541="NEW"),"",COUNTBLANK(OFFSET(A$1,,,SUMPRODUCT(MAX(ROW(E$2:E3541)*(E3541=E$2:E3541)))))-COUNTBLANK(OFFSET(A$1,,,SUMPRODUCT(MAX(ROW(E$1:E3540)*(E2=E$1:E3540))))))</f>
        <v> </v>
      </c>
      <c r="K3541" s="26" t="str">
        <f>IF(OR(E3541="",E3541="!!!",F3541="NEW"),"",INDEX(J$1:J3540,SUMPRODUCT(MAX(ROW(E$1:E3540)*(E3541=E$1:E3540)))))</f>
        <v> </v>
      </c>
      <c r="L3541" s="27"/>
    </row>
    <row r="3542" spans="1:12">
      <c r="A3542" s="20" t="s">
        <v>2229</v>
      </c>
      <c r="B3542" s="21" t="s">
        <v>1154</v>
      </c>
      <c r="C3542" s="21" t="s">
        <v>1187</v>
      </c>
      <c r="E3542" s="22">
        <f>IF(D3542="?OLD","!!!","")</f>
        <v/>
      </c>
      <c r="F3542" s="23" t="str">
        <f>IF(OR(E3542="",E3542="!!!"),"",IF(NOT(ISNA(VLOOKUP(E3542,E$1:E3541,1,FALSE()))),"OLD",IF(AND(E3542&lt;&gt;"",E3542&lt;&gt;"!!!"),"NEW","")))</f>
        <v> </v>
      </c>
      <c r="G3542" s="24" t="str">
        <f>IF(OR(E3542="",E3542="!!!"),"",IF(OR(J3542=0,AND(J3542=1,K3542=1),AND(J3542=1,I3542="SBJ"),AND(J3542=1,I3542=0)),"?IN_FOCUS",IF(J3542&lt;=2,"?ACTIVATED",IF(J3542&lt;&gt;"","?FAMILIAR",IF(F3542="NEW",IF(ISNA(VLOOKUP(E3542,#REF!,1,FALSE())),"?TYPE_IDENTIFIABLE","?REFERENTIAL"),"_")))))</f>
        <v> </v>
      </c>
      <c r="H3542" s="25" t="str">
        <f>IF(J3542&lt;&gt;1,"",IF(I3542="SBJ","CB","?"))</f>
        <v> </v>
      </c>
      <c r="I3542" s="26" t="str">
        <f>IF(OR(E3542="",E3542="!!!",F3542="NEW"),"",INDEX(B3541:B$2,-1+SUMPRODUCT(MAX(ROW(E3541:E$2)*(E3542=E3541:E$2)))))</f>
        <v> </v>
      </c>
      <c r="J3542" s="26" t="str">
        <f>IF(OR(E3542="",E3542="!!!",F3542="NEW"),"",COUNTBLANK(OFFSET(A$1,,,SUMPRODUCT(MAX(ROW(E$2:E3542)*(E3542=E$2:E3542)))))-COUNTBLANK(OFFSET(A$1,,,SUMPRODUCT(MAX(ROW(E$1:E3541)*(E2=E$1:E3541))))))</f>
        <v> </v>
      </c>
      <c r="K3542" s="26" t="str">
        <f>IF(OR(E3542="",E3542="!!!",F3542="NEW"),"",INDEX(J$1:J3541,SUMPRODUCT(MAX(ROW(E$1:E3541)*(E3542=E$1:E3541)))))</f>
        <v> </v>
      </c>
      <c r="L3542" s="27"/>
    </row>
    <row r="3543" spans="1:12">
      <c r="A3543" s="20" t="s">
        <v>1196</v>
      </c>
      <c r="E3543" s="22">
        <f>IF(D3543="?OLD","!!!","")</f>
        <v/>
      </c>
      <c r="F3543" s="23" t="str">
        <f>IF(OR(E3543="",E3543="!!!"),"",IF(NOT(ISNA(VLOOKUP(E3543,E$1:E3542,1,FALSE()))),"OLD",IF(AND(E3543&lt;&gt;"",E3543&lt;&gt;"!!!"),"NEW","")))</f>
        <v> </v>
      </c>
      <c r="G3543" s="24" t="str">
        <f>IF(OR(E3543="",E3543="!!!"),"",IF(OR(J3543=0,AND(J3543=1,K3543=1),AND(J3543=1,I3543="SBJ"),AND(J3543=1,I3543=0)),"?IN_FOCUS",IF(J3543&lt;=2,"?ACTIVATED",IF(J3543&lt;&gt;"","?FAMILIAR",IF(F3543="NEW",IF(ISNA(VLOOKUP(E3543,#REF!,1,FALSE())),"?TYPE_IDENTIFIABLE","?REFERENTIAL"),"_")))))</f>
        <v> </v>
      </c>
      <c r="H3543" s="25" t="str">
        <f>IF(J3543&lt;&gt;1,"",IF(I3543="SBJ","CB","?"))</f>
        <v> </v>
      </c>
      <c r="I3543" s="26" t="str">
        <f>IF(OR(E3543="",E3543="!!!",F3543="NEW"),"",INDEX(B3542:B$2,-1+SUMPRODUCT(MAX(ROW(E3542:E$2)*(E3543=E3542:E$2)))))</f>
        <v> </v>
      </c>
      <c r="J3543" s="26" t="str">
        <f>IF(OR(E3543="",E3543="!!!",F3543="NEW"),"",COUNTBLANK(OFFSET(A$1,,,SUMPRODUCT(MAX(ROW(E$2:E3543)*(E3543=E$2:E3543)))))-COUNTBLANK(OFFSET(A$1,,,SUMPRODUCT(MAX(ROW(E$1:E3542)*(E2=E$1:E3542))))))</f>
        <v> </v>
      </c>
      <c r="K3543" s="26" t="str">
        <f>IF(OR(E3543="",E3543="!!!",F3543="NEW"),"",INDEX(J$1:J3542,SUMPRODUCT(MAX(ROW(E$1:E3542)*(E3543=E$1:E3542)))))</f>
        <v> </v>
      </c>
      <c r="L3543" s="27"/>
    </row>
    <row r="3544" spans="1:12">
      <c r="A3544" s="20" t="s">
        <v>1739</v>
      </c>
      <c r="E3544" s="22">
        <f>IF(D3544="?OLD","!!!","")</f>
        <v/>
      </c>
      <c r="F3544" s="23" t="str">
        <f>IF(OR(E3544="",E3544="!!!"),"",IF(NOT(ISNA(VLOOKUP(E3544,E$1:E3543,1,FALSE()))),"OLD",IF(AND(E3544&lt;&gt;"",E3544&lt;&gt;"!!!"),"NEW","")))</f>
        <v> </v>
      </c>
      <c r="G3544" s="24" t="str">
        <f>IF(OR(E3544="",E3544="!!!"),"",IF(OR(J3544=0,AND(J3544=1,K3544=1),AND(J3544=1,I3544="SBJ"),AND(J3544=1,I3544=0)),"?IN_FOCUS",IF(J3544&lt;=2,"?ACTIVATED",IF(J3544&lt;&gt;"","?FAMILIAR",IF(F3544="NEW",IF(ISNA(VLOOKUP(E3544,#REF!,1,FALSE())),"?TYPE_IDENTIFIABLE","?REFERENTIAL"),"_")))))</f>
        <v> </v>
      </c>
      <c r="H3544" s="25" t="str">
        <f>IF(J3544&lt;&gt;1,"",IF(I3544="SBJ","CB","?"))</f>
        <v> </v>
      </c>
      <c r="I3544" s="26" t="str">
        <f>IF(OR(E3544="",E3544="!!!",F3544="NEW"),"",INDEX(B3543:B$2,-1+SUMPRODUCT(MAX(ROW(E3543:E$2)*(E3544=E3543:E$2)))))</f>
        <v> </v>
      </c>
      <c r="J3544" s="26" t="str">
        <f>IF(OR(E3544="",E3544="!!!",F3544="NEW"),"",COUNTBLANK(OFFSET(A$1,,,SUMPRODUCT(MAX(ROW(E$2:E3544)*(E3544=E$2:E3544)))))-COUNTBLANK(OFFSET(A$1,,,SUMPRODUCT(MAX(ROW(E$1:E3543)*(E2=E$1:E3543))))))</f>
        <v> </v>
      </c>
      <c r="K3544" s="26" t="str">
        <f>IF(OR(E3544="",E3544="!!!",F3544="NEW"),"",INDEX(J$1:J3543,SUMPRODUCT(MAX(ROW(E$1:E3543)*(E3544=E$1:E3543)))))</f>
        <v> </v>
      </c>
      <c r="L3544" s="27"/>
    </row>
    <row r="3545" spans="1:12">
      <c r="A3545" s="20" t="s">
        <v>1673</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t="s">
        <v>1167</v>
      </c>
      <c r="B3546" s="21" t="s">
        <v>1165</v>
      </c>
      <c r="C3546" s="21" t="s">
        <v>1168</v>
      </c>
      <c r="D3546" s="21" t="s">
        <v>1144</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1994</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2230</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2231</v>
      </c>
      <c r="B3549" s="21" t="s">
        <v>1161</v>
      </c>
      <c r="C3549" s="21" t="s">
        <v>1187</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2232</v>
      </c>
      <c r="B3550" s="21" t="s">
        <v>1171</v>
      </c>
      <c r="C3550" s="21" t="s">
        <v>1187</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1203</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t="s">
        <v>2199</v>
      </c>
      <c r="B3552" s="21" t="s">
        <v>1147</v>
      </c>
      <c r="C3552" s="21" t="s">
        <v>1187</v>
      </c>
      <c r="E3552" s="22">
        <f>IF(D3552="?OLD","!!!","")</f>
        <v/>
      </c>
      <c r="F3552" s="23" t="str">
        <f>IF(OR(E3552="",E3552="!!!"),"",IF(NOT(ISNA(VLOOKUP(E3552,E$1:E3551,1,FALSE()))),"OLD",IF(AND(E3552&lt;&gt;"",E3552&lt;&gt;"!!!"),"NEW","")))</f>
        <v> </v>
      </c>
      <c r="G3552" s="24" t="str">
        <f>IF(OR(E3552="",E3552="!!!"),"",IF(OR(J3552=0,AND(J3552=1,K3552=1),AND(J3552=1,I3552="SBJ"),AND(J3552=1,I3552=0)),"?IN_FOCUS",IF(J3552&lt;=2,"?ACTIVATED",IF(J3552&lt;&gt;"","?FAMILIAR",IF(F3552="NEW",IF(ISNA(VLOOKUP(E3552,#REF!,1,FALSE())),"?TYPE_IDENTIFIABLE","?REFERENTIAL"),"_")))))</f>
        <v> </v>
      </c>
      <c r="H3552" s="25" t="str">
        <f>IF(J3552&lt;&gt;1,"",IF(I3552="SBJ","CB","?"))</f>
        <v> </v>
      </c>
      <c r="I3552" s="26" t="str">
        <f>IF(OR(E3552="",E3552="!!!",F3552="NEW"),"",INDEX(B3551:B$2,-1+SUMPRODUCT(MAX(ROW(E3551:E$2)*(E3552=E3551:E$2)))))</f>
        <v> </v>
      </c>
      <c r="J3552" s="26" t="str">
        <f>IF(OR(E3552="",E3552="!!!",F3552="NEW"),"",COUNTBLANK(OFFSET(A$1,,,SUMPRODUCT(MAX(ROW(E$2:E3552)*(E3552=E$2:E3552)))))-COUNTBLANK(OFFSET(A$1,,,SUMPRODUCT(MAX(ROW(E$1:E3551)*(E2=E$1:E3551))))))</f>
        <v> </v>
      </c>
      <c r="K3552" s="26" t="str">
        <f>IF(OR(E3552="",E3552="!!!",F3552="NEW"),"",INDEX(J$1:J3551,SUMPRODUCT(MAX(ROW(E$1:E3551)*(E3552=E$1:E3551)))))</f>
        <v> </v>
      </c>
      <c r="L3552" s="27"/>
    </row>
    <row r="3553" spans="1:12">
      <c r="A3553" s="20" t="s">
        <v>870</v>
      </c>
      <c r="E3553" s="22">
        <f>IF(D3553="?OLD","!!!","")</f>
        <v/>
      </c>
      <c r="F3553" s="23" t="str">
        <f>IF(OR(E3553="",E3553="!!!"),"",IF(NOT(ISNA(VLOOKUP(E3553,E$1:E3552,1,FALSE()))),"OLD",IF(AND(E3553&lt;&gt;"",E3553&lt;&gt;"!!!"),"NEW","")))</f>
        <v> </v>
      </c>
      <c r="G3553" s="24" t="str">
        <f>IF(OR(E3553="",E3553="!!!"),"",IF(OR(J3553=0,AND(J3553=1,K3553=1),AND(J3553=1,I3553="SBJ"),AND(J3553=1,I3553=0)),"?IN_FOCUS",IF(J3553&lt;=2,"?ACTIVATED",IF(J3553&lt;&gt;"","?FAMILIAR",IF(F3553="NEW",IF(ISNA(VLOOKUP(E3553,#REF!,1,FALSE())),"?TYPE_IDENTIFIABLE","?REFERENTIAL"),"_")))))</f>
        <v> </v>
      </c>
      <c r="H3553" s="25" t="str">
        <f>IF(J3553&lt;&gt;1,"",IF(I3553="SBJ","CB","?"))</f>
        <v> </v>
      </c>
      <c r="I3553" s="26" t="str">
        <f>IF(OR(E3553="",E3553="!!!",F3553="NEW"),"",INDEX(B3552:B$2,-1+SUMPRODUCT(MAX(ROW(E3552:E$2)*(E3553=E3552:E$2)))))</f>
        <v> </v>
      </c>
      <c r="J3553" s="26" t="str">
        <f>IF(OR(E3553="",E3553="!!!",F3553="NEW"),"",COUNTBLANK(OFFSET(A$1,,,SUMPRODUCT(MAX(ROW(E$2:E3553)*(E3553=E$2:E3553)))))-COUNTBLANK(OFFSET(A$1,,,SUMPRODUCT(MAX(ROW(E$1:E3552)*(E2=E$1:E3552))))))</f>
        <v> </v>
      </c>
      <c r="K3553" s="26" t="str">
        <f>IF(OR(E3553="",E3553="!!!",F3553="NEW"),"",INDEX(J$1:J3552,SUMPRODUCT(MAX(ROW(E$1:E3552)*(E3553=E$1:E3552)))))</f>
        <v> </v>
      </c>
      <c r="L3553" s="27"/>
    </row>
    <row r="3554" spans="1:12">
      <c r="A3554" s="20" t="s">
        <v>312</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row>
    <row r="3556" spans="1:12">
      <c r="A3556" s="20" t="s">
        <v>2233</v>
      </c>
    </row>
    <row r="3557" spans="1:12">
      <c r="A3557" s="20" t="s">
        <v>1300</v>
      </c>
      <c r="B3557" s="21" t="s">
        <v>1165</v>
      </c>
      <c r="C3557" s="21" t="s">
        <v>1151</v>
      </c>
      <c r="D3557" s="21" t="s">
        <v>1144</v>
      </c>
      <c r="E3557" s="22">
        <f>IF(D3557="?OLD","!!!","")</f>
        <v/>
      </c>
      <c r="F3557" s="23" t="str">
        <f>IF(OR(E3557="",E3557="!!!"),"",IF(NOT(ISNA(VLOOKUP(E3557,E$1:E3556,1,FALSE()))),"OLD",IF(AND(E3557&lt;&gt;"",E3557&lt;&gt;"!!!"),"NEW","")))</f>
        <v> </v>
      </c>
      <c r="G3557" s="24" t="str">
        <f>IF(OR(E3557="",E3557="!!!"),"",IF(OR(J3557=0,AND(J3557=1,K3557=1),AND(J3557=1,I3557="SBJ"),AND(J3557=1,I3557=0)),"?IN_FOCUS",IF(J3557&lt;=2,"?ACTIVATED",IF(J3557&lt;&gt;"","?FAMILIAR",IF(F3557="NEW",IF(ISNA(VLOOKUP(E3557,#REF!,1,FALSE())),"?TYPE_IDENTIFIABLE","?REFERENTIAL"),"_")))))</f>
        <v> </v>
      </c>
      <c r="H3557" s="25" t="str">
        <f>IF(J3557&lt;&gt;1,"",IF(I3557="SBJ","CB","?"))</f>
        <v> </v>
      </c>
      <c r="I3557" s="26" t="str">
        <f>IF(OR(E3557="",E3557="!!!",F3557="NEW"),"",INDEX(B3556:B$2,-1+SUMPRODUCT(MAX(ROW(E3556:E$2)*(E3557=E3556:E$2)))))</f>
        <v> </v>
      </c>
      <c r="J3557" s="26" t="str">
        <f>IF(OR(E3557="",E3557="!!!",F3557="NEW"),"",COUNTBLANK(OFFSET(A$1,,,SUMPRODUCT(MAX(ROW(E$2:E3557)*(E3557=E$2:E3557)))))-COUNTBLANK(OFFSET(A$1,,,SUMPRODUCT(MAX(ROW(E$1:E3556)*(E2=E$1:E3556))))))</f>
        <v> </v>
      </c>
      <c r="K3557" s="26" t="str">
        <f>IF(OR(E3557="",E3557="!!!",F3557="NEW"),"",INDEX(J$1:J3556,SUMPRODUCT(MAX(ROW(E$1:E3556)*(E3557=E$1:E3556)))))</f>
        <v> </v>
      </c>
      <c r="L3557" s="27"/>
    </row>
    <row r="3558" spans="1:12">
      <c r="A3558" s="20" t="s">
        <v>1476</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t="s">
        <v>1307</v>
      </c>
      <c r="E3559" s="22">
        <f>IF(D3559="?OLD","!!!","")</f>
        <v/>
      </c>
      <c r="F3559" s="23" t="str">
        <f>IF(OR(E3559="",E3559="!!!"),"",IF(NOT(ISNA(VLOOKUP(E3559,E$1:E3558,1,FALSE()))),"OLD",IF(AND(E3559&lt;&gt;"",E3559&lt;&gt;"!!!"),"NEW","")))</f>
        <v> </v>
      </c>
      <c r="G3559" s="24" t="str">
        <f>IF(OR(E3559="",E3559="!!!"),"",IF(OR(J3559=0,AND(J3559=1,K3559=1),AND(J3559=1,I3559="SBJ"),AND(J3559=1,I3559=0)),"?IN_FOCUS",IF(J3559&lt;=2,"?ACTIVATED",IF(J3559&lt;&gt;"","?FAMILIAR",IF(F3559="NEW",IF(ISNA(VLOOKUP(E3559,#REF!,1,FALSE())),"?TYPE_IDENTIFIABLE","?REFERENTIAL"),"_")))))</f>
        <v> </v>
      </c>
      <c r="H3559" s="25" t="str">
        <f>IF(J3559&lt;&gt;1,"",IF(I3559="SBJ","CB","?"))</f>
        <v> </v>
      </c>
      <c r="I3559" s="26" t="str">
        <f>IF(OR(E3559="",E3559="!!!",F3559="NEW"),"",INDEX(B3558:B$2,-1+SUMPRODUCT(MAX(ROW(E3558:E$2)*(E3559=E3558:E$2)))))</f>
        <v> </v>
      </c>
      <c r="J3559" s="26" t="str">
        <f>IF(OR(E3559="",E3559="!!!",F3559="NEW"),"",COUNTBLANK(OFFSET(A$1,,,SUMPRODUCT(MAX(ROW(E$2:E3559)*(E3559=E$2:E3559)))))-COUNTBLANK(OFFSET(A$1,,,SUMPRODUCT(MAX(ROW(E$1:E3558)*(E2=E$1:E3558))))))</f>
        <v> </v>
      </c>
      <c r="K3559" s="26" t="str">
        <f>IF(OR(E3559="",E3559="!!!",F3559="NEW"),"",INDEX(J$1:J3558,SUMPRODUCT(MAX(ROW(E$1:E3558)*(E3559=E$1:E3558)))))</f>
        <v> </v>
      </c>
      <c r="L3559" s="27"/>
    </row>
    <row r="3560" spans="1:12">
      <c r="A3560" s="20" t="s">
        <v>1796</v>
      </c>
      <c r="E3560" s="22">
        <f>IF(D3560="?OLD","!!!","")</f>
        <v/>
      </c>
      <c r="F3560" s="23" t="str">
        <f>IF(OR(E3560="",E3560="!!!"),"",IF(NOT(ISNA(VLOOKUP(E3560,E$1:E3559,1,FALSE()))),"OLD",IF(AND(E3560&lt;&gt;"",E3560&lt;&gt;"!!!"),"NEW","")))</f>
        <v> </v>
      </c>
      <c r="G3560" s="24" t="str">
        <f>IF(OR(E3560="",E3560="!!!"),"",IF(OR(J3560=0,AND(J3560=1,K3560=1),AND(J3560=1,I3560="SBJ"),AND(J3560=1,I3560=0)),"?IN_FOCUS",IF(J3560&lt;=2,"?ACTIVATED",IF(J3560&lt;&gt;"","?FAMILIAR",IF(F3560="NEW",IF(ISNA(VLOOKUP(E3560,#REF!,1,FALSE())),"?TYPE_IDENTIFIABLE","?REFERENTIAL"),"_")))))</f>
        <v> </v>
      </c>
      <c r="H3560" s="25" t="str">
        <f>IF(J3560&lt;&gt;1,"",IF(I3560="SBJ","CB","?"))</f>
        <v> </v>
      </c>
      <c r="I3560" s="26" t="str">
        <f>IF(OR(E3560="",E3560="!!!",F3560="NEW"),"",INDEX(B3559:B$2,-1+SUMPRODUCT(MAX(ROW(E3559:E$2)*(E3560=E3559:E$2)))))</f>
        <v> </v>
      </c>
      <c r="J3560" s="26" t="str">
        <f>IF(OR(E3560="",E3560="!!!",F3560="NEW"),"",COUNTBLANK(OFFSET(A$1,,,SUMPRODUCT(MAX(ROW(E$2:E3560)*(E3560=E$2:E3560)))))-COUNTBLANK(OFFSET(A$1,,,SUMPRODUCT(MAX(ROW(E$1:E3559)*(E2=E$1:E3559))))))</f>
        <v> </v>
      </c>
      <c r="K3560" s="26" t="str">
        <f>IF(OR(E3560="",E3560="!!!",F3560="NEW"),"",INDEX(J$1:J3559,SUMPRODUCT(MAX(ROW(E$1:E3559)*(E3560=E$1:E3559)))))</f>
        <v> </v>
      </c>
      <c r="L3560" s="27"/>
    </row>
    <row r="3561" spans="1:12">
      <c r="A3561" s="20" t="s">
        <v>1535</v>
      </c>
      <c r="E3561" s="22">
        <f>IF(D3561="?OLD","!!!","")</f>
        <v/>
      </c>
      <c r="F3561" s="23" t="str">
        <f>IF(OR(E3561="",E3561="!!!"),"",IF(NOT(ISNA(VLOOKUP(E3561,E$1:E3560,1,FALSE()))),"OLD",IF(AND(E3561&lt;&gt;"",E3561&lt;&gt;"!!!"),"NEW","")))</f>
        <v> </v>
      </c>
      <c r="G3561" s="24" t="str">
        <f>IF(OR(E3561="",E3561="!!!"),"",IF(OR(J3561=0,AND(J3561=1,K3561=1),AND(J3561=1,I3561="SBJ"),AND(J3561=1,I3561=0)),"?IN_FOCUS",IF(J3561&lt;=2,"?ACTIVATED",IF(J3561&lt;&gt;"","?FAMILIAR",IF(F3561="NEW",IF(ISNA(VLOOKUP(E3561,#REF!,1,FALSE())),"?TYPE_IDENTIFIABLE","?REFERENTIAL"),"_")))))</f>
        <v> </v>
      </c>
      <c r="H3561" s="25" t="str">
        <f>IF(J3561&lt;&gt;1,"",IF(I3561="SBJ","CB","?"))</f>
        <v> </v>
      </c>
      <c r="I3561" s="26" t="str">
        <f>IF(OR(E3561="",E3561="!!!",F3561="NEW"),"",INDEX(B3560:B$2,-1+SUMPRODUCT(MAX(ROW(E3560:E$2)*(E3561=E3560:E$2)))))</f>
        <v> </v>
      </c>
      <c r="J3561" s="26" t="str">
        <f>IF(OR(E3561="",E3561="!!!",F3561="NEW"),"",COUNTBLANK(OFFSET(A$1,,,SUMPRODUCT(MAX(ROW(E$2:E3561)*(E3561=E$2:E3561)))))-COUNTBLANK(OFFSET(A$1,,,SUMPRODUCT(MAX(ROW(E$1:E3560)*(E2=E$1:E3560))))))</f>
        <v> </v>
      </c>
      <c r="K3561" s="26" t="str">
        <f>IF(OR(E3561="",E3561="!!!",F3561="NEW"),"",INDEX(J$1:J3560,SUMPRODUCT(MAX(ROW(E$1:E3560)*(E3561=E$1:E3560)))))</f>
        <v> </v>
      </c>
      <c r="L3561" s="27"/>
    </row>
    <row r="3562" spans="1:12">
      <c r="A3562" s="20" t="s">
        <v>1166</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t="s">
        <v>60</v>
      </c>
      <c r="E3563" s="22">
        <f>IF(D3563="?OLD","!!!","")</f>
        <v/>
      </c>
      <c r="F3563" s="23" t="str">
        <f>IF(OR(E3563="",E3563="!!!"),"",IF(NOT(ISNA(VLOOKUP(E3563,E$1:E3562,1,FALSE()))),"OLD",IF(AND(E3563&lt;&gt;"",E3563&lt;&gt;"!!!"),"NEW","")))</f>
        <v> </v>
      </c>
      <c r="G3563" s="24" t="str">
        <f>IF(OR(E3563="",E3563="!!!"),"",IF(OR(J3563=0,AND(J3563=1,K3563=1),AND(J3563=1,I3563="SBJ"),AND(J3563=1,I3563=0)),"?IN_FOCUS",IF(J3563&lt;=2,"?ACTIVATED",IF(J3563&lt;&gt;"","?FAMILIAR",IF(F3563="NEW",IF(ISNA(VLOOKUP(E3563,#REF!,1,FALSE())),"?TYPE_IDENTIFIABLE","?REFERENTIAL"),"_")))))</f>
        <v> </v>
      </c>
      <c r="H3563" s="25" t="str">
        <f>IF(J3563&lt;&gt;1,"",IF(I3563="SBJ","CB","?"))</f>
        <v> </v>
      </c>
      <c r="I3563" s="26" t="str">
        <f>IF(OR(E3563="",E3563="!!!",F3563="NEW"),"",INDEX(B3562:B$2,-1+SUMPRODUCT(MAX(ROW(E3562:E$2)*(E3563=E3562:E$2)))))</f>
        <v> </v>
      </c>
      <c r="J3563" s="26" t="str">
        <f>IF(OR(E3563="",E3563="!!!",F3563="NEW"),"",COUNTBLANK(OFFSET(A$1,,,SUMPRODUCT(MAX(ROW(E$2:E3563)*(E3563=E$2:E3563)))))-COUNTBLANK(OFFSET(A$1,,,SUMPRODUCT(MAX(ROW(E$1:E3562)*(E2=E$1:E3562))))))</f>
        <v> </v>
      </c>
      <c r="K3563" s="26" t="str">
        <f>IF(OR(E3563="",E3563="!!!",F3563="NEW"),"",INDEX(J$1:J3562,SUMPRODUCT(MAX(ROW(E$1:E3562)*(E3563=E$1:E3562)))))</f>
        <v> </v>
      </c>
      <c r="L3563" s="27"/>
    </row>
    <row r="3564" spans="1:12">
      <c r="A3564" s="20" t="s">
        <v>1198</v>
      </c>
      <c r="B3564" s="21" t="s">
        <v>1142</v>
      </c>
      <c r="C3564" s="21" t="s">
        <v>1151</v>
      </c>
      <c r="D3564" s="21" t="s">
        <v>1144</v>
      </c>
      <c r="E3564" s="22">
        <f>IF(D3564="?OLD","!!!","")</f>
        <v/>
      </c>
      <c r="F3564" s="23" t="str">
        <f>IF(OR(E3564="",E3564="!!!"),"",IF(NOT(ISNA(VLOOKUP(E3564,E$1:E3563,1,FALSE()))),"OLD",IF(AND(E3564&lt;&gt;"",E3564&lt;&gt;"!!!"),"NEW","")))</f>
        <v> </v>
      </c>
      <c r="G3564" s="24" t="str">
        <f>IF(OR(E3564="",E3564="!!!"),"",IF(OR(J3564=0,AND(J3564=1,K3564=1),AND(J3564=1,I3564="SBJ"),AND(J3564=1,I3564=0)),"?IN_FOCUS",IF(J3564&lt;=2,"?ACTIVATED",IF(J3564&lt;&gt;"","?FAMILIAR",IF(F3564="NEW",IF(ISNA(VLOOKUP(E3564,#REF!,1,FALSE())),"?TYPE_IDENTIFIABLE","?REFERENTIAL"),"_")))))</f>
        <v> </v>
      </c>
      <c r="H3564" s="25" t="str">
        <f>IF(J3564&lt;&gt;1,"",IF(I3564="SBJ","CB","?"))</f>
        <v> </v>
      </c>
      <c r="I3564" s="26" t="str">
        <f>IF(OR(E3564="",E3564="!!!",F3564="NEW"),"",INDEX(B3563:B$2,-1+SUMPRODUCT(MAX(ROW(E3563:E$2)*(E3564=E3563:E$2)))))</f>
        <v> </v>
      </c>
      <c r="J3564" s="26" t="str">
        <f>IF(OR(E3564="",E3564="!!!",F3564="NEW"),"",COUNTBLANK(OFFSET(A$1,,,SUMPRODUCT(MAX(ROW(E$2:E3564)*(E3564=E$2:E3564)))))-COUNTBLANK(OFFSET(A$1,,,SUMPRODUCT(MAX(ROW(E$1:E3563)*(E2=E$1:E3563))))))</f>
        <v> </v>
      </c>
      <c r="K3564" s="26" t="str">
        <f>IF(OR(E3564="",E3564="!!!",F3564="NEW"),"",INDEX(J$1:J3563,SUMPRODUCT(MAX(ROW(E$1:E3563)*(E3564=E$1:E3563)))))</f>
        <v> </v>
      </c>
      <c r="L3564" s="27"/>
    </row>
    <row r="3565" spans="1:12">
      <c r="A3565" s="20" t="s">
        <v>1714</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t="s">
        <v>1314</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t="s">
        <v>1745</v>
      </c>
      <c r="B3567" s="21" t="s">
        <v>1147</v>
      </c>
      <c r="C3567" s="21" t="s">
        <v>1270</v>
      </c>
      <c r="D3567" s="21" t="s">
        <v>1144</v>
      </c>
      <c r="E3567" s="22">
        <f>IF(D3567="?OLD","!!!","")</f>
        <v/>
      </c>
      <c r="F3567" s="23" t="str">
        <f>IF(OR(E3567="",E3567="!!!"),"",IF(NOT(ISNA(VLOOKUP(E3567,E$1:E3566,1,FALSE()))),"OLD",IF(AND(E3567&lt;&gt;"",E3567&lt;&gt;"!!!"),"NEW","")))</f>
        <v> </v>
      </c>
      <c r="G3567" s="24" t="str">
        <f>IF(OR(E3567="",E3567="!!!"),"",IF(OR(J3567=0,AND(J3567=1,K3567=1),AND(J3567=1,I3567="SBJ"),AND(J3567=1,I3567=0)),"?IN_FOCUS",IF(J3567&lt;=2,"?ACTIVATED",IF(J3567&lt;&gt;"","?FAMILIAR",IF(F3567="NEW",IF(ISNA(VLOOKUP(E3567,#REF!,1,FALSE())),"?TYPE_IDENTIFIABLE","?REFERENTIAL"),"_")))))</f>
        <v> </v>
      </c>
      <c r="H3567" s="25" t="str">
        <f>IF(J3567&lt;&gt;1,"",IF(I3567="SBJ","CB","?"))</f>
        <v> </v>
      </c>
      <c r="I3567" s="26" t="str">
        <f>IF(OR(E3567="",E3567="!!!",F3567="NEW"),"",INDEX(B3566:B$2,-1+SUMPRODUCT(MAX(ROW(E3566:E$2)*(E3567=E3566:E$2)))))</f>
        <v> </v>
      </c>
      <c r="J3567" s="26" t="str">
        <f>IF(OR(E3567="",E3567="!!!",F3567="NEW"),"",COUNTBLANK(OFFSET(A$1,,,SUMPRODUCT(MAX(ROW(E$2:E3567)*(E3567=E$2:E3567)))))-COUNTBLANK(OFFSET(A$1,,,SUMPRODUCT(MAX(ROW(E$1:E3566)*(E2=E$1:E3566))))))</f>
        <v> </v>
      </c>
      <c r="K3567" s="26" t="str">
        <f>IF(OR(E3567="",E3567="!!!",F3567="NEW"),"",INDEX(J$1:J3566,SUMPRODUCT(MAX(ROW(E$1:E3566)*(E3567=E$1:E3566)))))</f>
        <v> </v>
      </c>
      <c r="L3567" s="27"/>
    </row>
    <row r="3568" spans="1:12">
      <c r="A3568" s="20" t="s">
        <v>2234</v>
      </c>
      <c r="B3568" s="21" t="s">
        <v>1171</v>
      </c>
      <c r="C3568" s="21" t="s">
        <v>1187</v>
      </c>
      <c r="E3568" s="22">
        <f>IF(D3568="?OLD","!!!","")</f>
        <v/>
      </c>
      <c r="F3568" s="23" t="str">
        <f>IF(OR(E3568="",E3568="!!!"),"",IF(NOT(ISNA(VLOOKUP(E3568,E$1:E3567,1,FALSE()))),"OLD",IF(AND(E3568&lt;&gt;"",E3568&lt;&gt;"!!!"),"NEW","")))</f>
        <v> </v>
      </c>
      <c r="G3568" s="24" t="str">
        <f>IF(OR(E3568="",E3568="!!!"),"",IF(OR(J3568=0,AND(J3568=1,K3568=1),AND(J3568=1,I3568="SBJ"),AND(J3568=1,I3568=0)),"?IN_FOCUS",IF(J3568&lt;=2,"?ACTIVATED",IF(J3568&lt;&gt;"","?FAMILIAR",IF(F3568="NEW",IF(ISNA(VLOOKUP(E3568,#REF!,1,FALSE())),"?TYPE_IDENTIFIABLE","?REFERENTIAL"),"_")))))</f>
        <v> </v>
      </c>
      <c r="H3568" s="25" t="str">
        <f>IF(J3568&lt;&gt;1,"",IF(I3568="SBJ","CB","?"))</f>
        <v> </v>
      </c>
      <c r="I3568" s="26" t="str">
        <f>IF(OR(E3568="",E3568="!!!",F3568="NEW"),"",INDEX(B3567:B$2,-1+SUMPRODUCT(MAX(ROW(E3567:E$2)*(E3568=E3567:E$2)))))</f>
        <v> </v>
      </c>
      <c r="J3568" s="26" t="str">
        <f>IF(OR(E3568="",E3568="!!!",F3568="NEW"),"",COUNTBLANK(OFFSET(A$1,,,SUMPRODUCT(MAX(ROW(E$2:E3568)*(E3568=E$2:E3568)))))-COUNTBLANK(OFFSET(A$1,,,SUMPRODUCT(MAX(ROW(E$1:E3567)*(E2=E$1:E3567))))))</f>
        <v> </v>
      </c>
      <c r="K3568" s="26" t="str">
        <f>IF(OR(E3568="",E3568="!!!",F3568="NEW"),"",INDEX(J$1:J3567,SUMPRODUCT(MAX(ROW(E$1:E3567)*(E3568=E$1:E3567)))))</f>
        <v> </v>
      </c>
      <c r="L3568" s="27"/>
    </row>
    <row r="3569" spans="1:12">
      <c r="A3569" s="20" t="s">
        <v>1166</v>
      </c>
      <c r="E3569" s="22">
        <f>IF(D3569="?OLD","!!!","")</f>
        <v/>
      </c>
      <c r="F3569" s="23" t="str">
        <f>IF(OR(E3569="",E3569="!!!"),"",IF(NOT(ISNA(VLOOKUP(E3569,E$1:E3568,1,FALSE()))),"OLD",IF(AND(E3569&lt;&gt;"",E3569&lt;&gt;"!!!"),"NEW","")))</f>
        <v> </v>
      </c>
      <c r="G3569" s="24" t="str">
        <f>IF(OR(E3569="",E3569="!!!"),"",IF(OR(J3569=0,AND(J3569=1,K3569=1),AND(J3569=1,I3569="SBJ"),AND(J3569=1,I3569=0)),"?IN_FOCUS",IF(J3569&lt;=2,"?ACTIVATED",IF(J3569&lt;&gt;"","?FAMILIAR",IF(F3569="NEW",IF(ISNA(VLOOKUP(E3569,#REF!,1,FALSE())),"?TYPE_IDENTIFIABLE","?REFERENTIAL"),"_")))))</f>
        <v> </v>
      </c>
      <c r="H3569" s="25" t="str">
        <f>IF(J3569&lt;&gt;1,"",IF(I3569="SBJ","CB","?"))</f>
        <v> </v>
      </c>
      <c r="I3569" s="26" t="str">
        <f>IF(OR(E3569="",E3569="!!!",F3569="NEW"),"",INDEX(B3568:B$2,-1+SUMPRODUCT(MAX(ROW(E3568:E$2)*(E3569=E3568:E$2)))))</f>
        <v> </v>
      </c>
      <c r="J3569" s="26" t="str">
        <f>IF(OR(E3569="",E3569="!!!",F3569="NEW"),"",COUNTBLANK(OFFSET(A$1,,,SUMPRODUCT(MAX(ROW(E$2:E3569)*(E3569=E$2:E3569)))))-COUNTBLANK(OFFSET(A$1,,,SUMPRODUCT(MAX(ROW(E$1:E3568)*(E2=E$1:E3568))))))</f>
        <v> </v>
      </c>
      <c r="K3569" s="26" t="str">
        <f>IF(OR(E3569="",E3569="!!!",F3569="NEW"),"",INDEX(J$1:J3568,SUMPRODUCT(MAX(ROW(E$1:E3568)*(E3569=E$1:E3568)))))</f>
        <v> </v>
      </c>
      <c r="L3569" s="27"/>
    </row>
    <row r="3570" spans="1:12">
      <c r="A3570" s="20" t="s">
        <v>1314</v>
      </c>
      <c r="E3570" s="22">
        <f>IF(D3570="?OLD","!!!","")</f>
        <v/>
      </c>
      <c r="F3570" s="23" t="str">
        <f>IF(OR(E3570="",E3570="!!!"),"",IF(NOT(ISNA(VLOOKUP(E3570,E$1:E3569,1,FALSE()))),"OLD",IF(AND(E3570&lt;&gt;"",E3570&lt;&gt;"!!!"),"NEW","")))</f>
        <v> </v>
      </c>
      <c r="G3570" s="24" t="str">
        <f>IF(OR(E3570="",E3570="!!!"),"",IF(OR(J3570=0,AND(J3570=1,K3570=1),AND(J3570=1,I3570="SBJ"),AND(J3570=1,I3570=0)),"?IN_FOCUS",IF(J3570&lt;=2,"?ACTIVATED",IF(J3570&lt;&gt;"","?FAMILIAR",IF(F3570="NEW",IF(ISNA(VLOOKUP(E3570,#REF!,1,FALSE())),"?TYPE_IDENTIFIABLE","?REFERENTIAL"),"_")))))</f>
        <v> </v>
      </c>
      <c r="H3570" s="25" t="str">
        <f>IF(J3570&lt;&gt;1,"",IF(I3570="SBJ","CB","?"))</f>
        <v> </v>
      </c>
      <c r="I3570" s="26" t="str">
        <f>IF(OR(E3570="",E3570="!!!",F3570="NEW"),"",INDEX(B3569:B$2,-1+SUMPRODUCT(MAX(ROW(E3569:E$2)*(E3570=E3569:E$2)))))</f>
        <v> </v>
      </c>
      <c r="J3570" s="26" t="str">
        <f>IF(OR(E3570="",E3570="!!!",F3570="NEW"),"",COUNTBLANK(OFFSET(A$1,,,SUMPRODUCT(MAX(ROW(E$2:E3570)*(E3570=E$2:E3570)))))-COUNTBLANK(OFFSET(A$1,,,SUMPRODUCT(MAX(ROW(E$1:E3569)*(E2=E$1:E3569))))))</f>
        <v> </v>
      </c>
      <c r="K3570" s="26" t="str">
        <f>IF(OR(E3570="",E3570="!!!",F3570="NEW"),"",INDEX(J$1:J3569,SUMPRODUCT(MAX(ROW(E$1:E3569)*(E3570=E$1:E3569)))))</f>
        <v> </v>
      </c>
      <c r="L3570" s="27"/>
    </row>
    <row r="3571" spans="1:12">
      <c r="A3571" s="20" t="s">
        <v>1238</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1562</v>
      </c>
      <c r="B3572" s="21" t="s">
        <v>1161</v>
      </c>
      <c r="C3572" s="21" t="s">
        <v>1162</v>
      </c>
      <c r="D3572" s="21" t="s">
        <v>1144</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1387</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1481</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t="s">
        <v>2235</v>
      </c>
      <c r="B3575" s="21" t="s">
        <v>1171</v>
      </c>
      <c r="C3575" s="21" t="s">
        <v>1162</v>
      </c>
      <c r="D3575" s="21" t="s">
        <v>1144</v>
      </c>
      <c r="E3575" s="22">
        <f>IF(D3575="?OLD","!!!","")</f>
        <v/>
      </c>
      <c r="F3575" s="23" t="str">
        <f>IF(OR(E3575="",E3575="!!!"),"",IF(NOT(ISNA(VLOOKUP(E3575,E$1:E3574,1,FALSE()))),"OLD",IF(AND(E3575&lt;&gt;"",E3575&lt;&gt;"!!!"),"NEW","")))</f>
        <v> </v>
      </c>
      <c r="G3575" s="24" t="str">
        <f>IF(OR(E3575="",E3575="!!!"),"",IF(OR(J3575=0,AND(J3575=1,K3575=1),AND(J3575=1,I3575="SBJ"),AND(J3575=1,I3575=0)),"?IN_FOCUS",IF(J3575&lt;=2,"?ACTIVATED",IF(J3575&lt;&gt;"","?FAMILIAR",IF(F3575="NEW",IF(ISNA(VLOOKUP(E3575,#REF!,1,FALSE())),"?TYPE_IDENTIFIABLE","?REFERENTIAL"),"_")))))</f>
        <v> </v>
      </c>
      <c r="H3575" s="25" t="str">
        <f>IF(J3575&lt;&gt;1,"",IF(I3575="SBJ","CB","?"))</f>
        <v> </v>
      </c>
      <c r="I3575" s="26" t="str">
        <f>IF(OR(E3575="",E3575="!!!",F3575="NEW"),"",INDEX(B3574:B$2,-1+SUMPRODUCT(MAX(ROW(E3574:E$2)*(E3575=E3574:E$2)))))</f>
        <v> </v>
      </c>
      <c r="J3575" s="26" t="str">
        <f>IF(OR(E3575="",E3575="!!!",F3575="NEW"),"",COUNTBLANK(OFFSET(A$1,,,SUMPRODUCT(MAX(ROW(E$2:E3575)*(E3575=E$2:E3575)))))-COUNTBLANK(OFFSET(A$1,,,SUMPRODUCT(MAX(ROW(E$1:E3574)*(E2=E$1:E3574))))))</f>
        <v> </v>
      </c>
      <c r="K3575" s="26" t="str">
        <f>IF(OR(E3575="",E3575="!!!",F3575="NEW"),"",INDEX(J$1:J3574,SUMPRODUCT(MAX(ROW(E$1:E3574)*(E3575=E$1:E3574)))))</f>
        <v> </v>
      </c>
      <c r="L3575" s="27"/>
    </row>
    <row r="3576" spans="1:12">
      <c r="A3576" s="20" t="s">
        <v>2236</v>
      </c>
      <c r="E3576" s="22">
        <f>IF(D3576="?OLD","!!!","")</f>
        <v/>
      </c>
      <c r="F3576" s="23" t="str">
        <f>IF(OR(E3576="",E3576="!!!"),"",IF(NOT(ISNA(VLOOKUP(E3576,E$1:E3575,1,FALSE()))),"OLD",IF(AND(E3576&lt;&gt;"",E3576&lt;&gt;"!!!"),"NEW","")))</f>
        <v> </v>
      </c>
      <c r="G3576" s="24" t="str">
        <f>IF(OR(E3576="",E3576="!!!"),"",IF(OR(J3576=0,AND(J3576=1,K3576=1),AND(J3576=1,I3576="SBJ"),AND(J3576=1,I3576=0)),"?IN_FOCUS",IF(J3576&lt;=2,"?ACTIVATED",IF(J3576&lt;&gt;"","?FAMILIAR",IF(F3576="NEW",IF(ISNA(VLOOKUP(E3576,#REF!,1,FALSE())),"?TYPE_IDENTIFIABLE","?REFERENTIAL"),"_")))))</f>
        <v> </v>
      </c>
      <c r="H3576" s="25" t="str">
        <f>IF(J3576&lt;&gt;1,"",IF(I3576="SBJ","CB","?"))</f>
        <v> </v>
      </c>
      <c r="I3576" s="26" t="str">
        <f>IF(OR(E3576="",E3576="!!!",F3576="NEW"),"",INDEX(B3575:B$2,-1+SUMPRODUCT(MAX(ROW(E3575:E$2)*(E3576=E3575:E$2)))))</f>
        <v> </v>
      </c>
      <c r="J3576" s="26" t="str">
        <f>IF(OR(E3576="",E3576="!!!",F3576="NEW"),"",COUNTBLANK(OFFSET(A$1,,,SUMPRODUCT(MAX(ROW(E$2:E3576)*(E3576=E$2:E3576)))))-COUNTBLANK(OFFSET(A$1,,,SUMPRODUCT(MAX(ROW(E$1:E3575)*(E2=E$1:E3575))))))</f>
        <v> </v>
      </c>
      <c r="K3576" s="26" t="str">
        <f>IF(OR(E3576="",E3576="!!!",F3576="NEW"),"",INDEX(J$1:J3575,SUMPRODUCT(MAX(ROW(E$1:E3575)*(E3576=E$1:E3575)))))</f>
        <v> </v>
      </c>
      <c r="L3576" s="27"/>
    </row>
    <row r="3577" spans="1:12">
      <c r="A3577" s="20" t="s">
        <v>1166</v>
      </c>
      <c r="E3577" s="22">
        <f>IF(D3577="?OLD","!!!","")</f>
        <v/>
      </c>
      <c r="F3577" s="23" t="str">
        <f>IF(OR(E3577="",E3577="!!!"),"",IF(NOT(ISNA(VLOOKUP(E3577,E$1:E3576,1,FALSE()))),"OLD",IF(AND(E3577&lt;&gt;"",E3577&lt;&gt;"!!!"),"NEW","")))</f>
        <v> </v>
      </c>
      <c r="G3577" s="24" t="str">
        <f>IF(OR(E3577="",E3577="!!!"),"",IF(OR(J3577=0,AND(J3577=1,K3577=1),AND(J3577=1,I3577="SBJ"),AND(J3577=1,I3577=0)),"?IN_FOCUS",IF(J3577&lt;=2,"?ACTIVATED",IF(J3577&lt;&gt;"","?FAMILIAR",IF(F3577="NEW",IF(ISNA(VLOOKUP(E3577,#REF!,1,FALSE())),"?TYPE_IDENTIFIABLE","?REFERENTIAL"),"_")))))</f>
        <v> </v>
      </c>
      <c r="H3577" s="25" t="str">
        <f>IF(J3577&lt;&gt;1,"",IF(I3577="SBJ","CB","?"))</f>
        <v> </v>
      </c>
      <c r="I3577" s="26" t="str">
        <f>IF(OR(E3577="",E3577="!!!",F3577="NEW"),"",INDEX(B3576:B$2,-1+SUMPRODUCT(MAX(ROW(E3576:E$2)*(E3577=E3576:E$2)))))</f>
        <v> </v>
      </c>
      <c r="J3577" s="26" t="str">
        <f>IF(OR(E3577="",E3577="!!!",F3577="NEW"),"",COUNTBLANK(OFFSET(A$1,,,SUMPRODUCT(MAX(ROW(E$2:E3577)*(E3577=E$2:E3577)))))-COUNTBLANK(OFFSET(A$1,,,SUMPRODUCT(MAX(ROW(E$1:E3576)*(E2=E$1:E3576))))))</f>
        <v> </v>
      </c>
      <c r="K3577" s="26" t="str">
        <f>IF(OR(E3577="",E3577="!!!",F3577="NEW"),"",INDEX(J$1:J3576,SUMPRODUCT(MAX(ROW(E$1:E3576)*(E3577=E$1:E3576)))))</f>
        <v> </v>
      </c>
      <c r="L3577" s="27"/>
    </row>
    <row r="3578" spans="1:12">
      <c r="A3578" s="20" t="s">
        <v>1203</v>
      </c>
      <c r="E3578" s="22">
        <f>IF(D3578="?OLD","!!!","")</f>
        <v/>
      </c>
      <c r="F3578" s="23" t="str">
        <f>IF(OR(E3578="",E3578="!!!"),"",IF(NOT(ISNA(VLOOKUP(E3578,E$1:E3577,1,FALSE()))),"OLD",IF(AND(E3578&lt;&gt;"",E3578&lt;&gt;"!!!"),"NEW","")))</f>
        <v> </v>
      </c>
      <c r="G3578" s="24" t="str">
        <f>IF(OR(E3578="",E3578="!!!"),"",IF(OR(J3578=0,AND(J3578=1,K3578=1),AND(J3578=1,I3578="SBJ"),AND(J3578=1,I3578=0)),"?IN_FOCUS",IF(J3578&lt;=2,"?ACTIVATED",IF(J3578&lt;&gt;"","?FAMILIAR",IF(F3578="NEW",IF(ISNA(VLOOKUP(E3578,#REF!,1,FALSE())),"?TYPE_IDENTIFIABLE","?REFERENTIAL"),"_")))))</f>
        <v> </v>
      </c>
      <c r="H3578" s="25" t="str">
        <f>IF(J3578&lt;&gt;1,"",IF(I3578="SBJ","CB","?"))</f>
        <v> </v>
      </c>
      <c r="I3578" s="26" t="str">
        <f>IF(OR(E3578="",E3578="!!!",F3578="NEW"),"",INDEX(B3577:B$2,-1+SUMPRODUCT(MAX(ROW(E3577:E$2)*(E3578=E3577:E$2)))))</f>
        <v> </v>
      </c>
      <c r="J3578" s="26" t="str">
        <f>IF(OR(E3578="",E3578="!!!",F3578="NEW"),"",COUNTBLANK(OFFSET(A$1,,,SUMPRODUCT(MAX(ROW(E$2:E3578)*(E3578=E$2:E3578)))))-COUNTBLANK(OFFSET(A$1,,,SUMPRODUCT(MAX(ROW(E$1:E3577)*(E2=E$1:E3577))))))</f>
        <v> </v>
      </c>
      <c r="K3578" s="26" t="str">
        <f>IF(OR(E3578="",E3578="!!!",F3578="NEW"),"",INDEX(J$1:J3577,SUMPRODUCT(MAX(ROW(E$1:E3577)*(E3578=E$1:E3577)))))</f>
        <v> </v>
      </c>
      <c r="L3578" s="27"/>
    </row>
    <row r="3579" spans="1:12">
      <c r="A3579" s="20" t="s">
        <v>2237</v>
      </c>
      <c r="E3579" s="22">
        <f>IF(D3579="?OLD","!!!","")</f>
        <v/>
      </c>
      <c r="F3579" s="23" t="str">
        <f>IF(OR(E3579="",E3579="!!!"),"",IF(NOT(ISNA(VLOOKUP(E3579,E$1:E3578,1,FALSE()))),"OLD",IF(AND(E3579&lt;&gt;"",E3579&lt;&gt;"!!!"),"NEW","")))</f>
        <v> </v>
      </c>
      <c r="G3579" s="24" t="str">
        <f>IF(OR(E3579="",E3579="!!!"),"",IF(OR(J3579=0,AND(J3579=1,K3579=1),AND(J3579=1,I3579="SBJ"),AND(J3579=1,I3579=0)),"?IN_FOCUS",IF(J3579&lt;=2,"?ACTIVATED",IF(J3579&lt;&gt;"","?FAMILIAR",IF(F3579="NEW",IF(ISNA(VLOOKUP(E3579,#REF!,1,FALSE())),"?TYPE_IDENTIFIABLE","?REFERENTIAL"),"_")))))</f>
        <v> </v>
      </c>
      <c r="H3579" s="25" t="str">
        <f>IF(J3579&lt;&gt;1,"",IF(I3579="SBJ","CB","?"))</f>
        <v> </v>
      </c>
      <c r="I3579" s="26" t="str">
        <f>IF(OR(E3579="",E3579="!!!",F3579="NEW"),"",INDEX(B3578:B$2,-1+SUMPRODUCT(MAX(ROW(E3578:E$2)*(E3579=E3578:E$2)))))</f>
        <v> </v>
      </c>
      <c r="J3579" s="26" t="str">
        <f>IF(OR(E3579="",E3579="!!!",F3579="NEW"),"",COUNTBLANK(OFFSET(A$1,,,SUMPRODUCT(MAX(ROW(E$2:E3579)*(E3579=E$2:E3579)))))-COUNTBLANK(OFFSET(A$1,,,SUMPRODUCT(MAX(ROW(E$1:E3578)*(E2=E$1:E3578))))))</f>
        <v> </v>
      </c>
      <c r="K3579" s="26" t="str">
        <f>IF(OR(E3579="",E3579="!!!",F3579="NEW"),"",INDEX(J$1:J3578,SUMPRODUCT(MAX(ROW(E$1:E3578)*(E3579=E$1:E3578)))))</f>
        <v> </v>
      </c>
      <c r="L3579" s="27"/>
    </row>
    <row r="3580" spans="1:12">
      <c r="A3580" s="20" t="s">
        <v>1166</v>
      </c>
      <c r="E3580" s="22">
        <f>IF(D3580="?OLD","!!!","")</f>
        <v/>
      </c>
      <c r="F3580" s="23" t="str">
        <f>IF(OR(E3580="",E3580="!!!"),"",IF(NOT(ISNA(VLOOKUP(E3580,E$1:E3579,1,FALSE()))),"OLD",IF(AND(E3580&lt;&gt;"",E3580&lt;&gt;"!!!"),"NEW","")))</f>
        <v> </v>
      </c>
      <c r="G3580" s="24" t="str">
        <f>IF(OR(E3580="",E3580="!!!"),"",IF(OR(J3580=0,AND(J3580=1,K3580=1),AND(J3580=1,I3580="SBJ"),AND(J3580=1,I3580=0)),"?IN_FOCUS",IF(J3580&lt;=2,"?ACTIVATED",IF(J3580&lt;&gt;"","?FAMILIAR",IF(F3580="NEW",IF(ISNA(VLOOKUP(E3580,#REF!,1,FALSE())),"?TYPE_IDENTIFIABLE","?REFERENTIAL"),"_")))))</f>
        <v> </v>
      </c>
      <c r="H3580" s="25" t="str">
        <f>IF(J3580&lt;&gt;1,"",IF(I3580="SBJ","CB","?"))</f>
        <v> </v>
      </c>
      <c r="I3580" s="26" t="str">
        <f>IF(OR(E3580="",E3580="!!!",F3580="NEW"),"",INDEX(B3579:B$2,-1+SUMPRODUCT(MAX(ROW(E3579:E$2)*(E3580=E3579:E$2)))))</f>
        <v> </v>
      </c>
      <c r="J3580" s="26" t="str">
        <f>IF(OR(E3580="",E3580="!!!",F3580="NEW"),"",COUNTBLANK(OFFSET(A$1,,,SUMPRODUCT(MAX(ROW(E$2:E3580)*(E3580=E$2:E3580)))))-COUNTBLANK(OFFSET(A$1,,,SUMPRODUCT(MAX(ROW(E$1:E3579)*(E2=E$1:E3579))))))</f>
        <v> </v>
      </c>
      <c r="K3580" s="26" t="str">
        <f>IF(OR(E3580="",E3580="!!!",F3580="NEW"),"",INDEX(J$1:J3579,SUMPRODUCT(MAX(ROW(E$1:E3579)*(E3580=E$1:E3579)))))</f>
        <v> </v>
      </c>
      <c r="L3580" s="27"/>
    </row>
    <row r="3581" spans="1:12">
      <c r="A3581" s="20" t="s">
        <v>1238</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t="s">
        <v>2238</v>
      </c>
      <c r="B3582" s="21" t="s">
        <v>1193</v>
      </c>
      <c r="C3582" s="21" t="s">
        <v>1162</v>
      </c>
      <c r="D3582" s="21" t="s">
        <v>1144</v>
      </c>
      <c r="E3582" s="22">
        <f>IF(D3582="?OLD","!!!","")</f>
        <v/>
      </c>
      <c r="F3582" s="23" t="str">
        <f>IF(OR(E3582="",E3582="!!!"),"",IF(NOT(ISNA(VLOOKUP(E3582,E$1:E3581,1,FALSE()))),"OLD",IF(AND(E3582&lt;&gt;"",E3582&lt;&gt;"!!!"),"NEW","")))</f>
        <v> </v>
      </c>
      <c r="G3582" s="24" t="str">
        <f>IF(OR(E3582="",E3582="!!!"),"",IF(OR(J3582=0,AND(J3582=1,K3582=1),AND(J3582=1,I3582="SBJ"),AND(J3582=1,I3582=0)),"?IN_FOCUS",IF(J3582&lt;=2,"?ACTIVATED",IF(J3582&lt;&gt;"","?FAMILIAR",IF(F3582="NEW",IF(ISNA(VLOOKUP(E3582,#REF!,1,FALSE())),"?TYPE_IDENTIFIABLE","?REFERENTIAL"),"_")))))</f>
        <v> </v>
      </c>
      <c r="H3582" s="25" t="str">
        <f>IF(J3582&lt;&gt;1,"",IF(I3582="SBJ","CB","?"))</f>
        <v> </v>
      </c>
      <c r="I3582" s="26" t="str">
        <f>IF(OR(E3582="",E3582="!!!",F3582="NEW"),"",INDEX(B3581:B$2,-1+SUMPRODUCT(MAX(ROW(E3581:E$2)*(E3582=E3581:E$2)))))</f>
        <v> </v>
      </c>
      <c r="J3582" s="26" t="str">
        <f>IF(OR(E3582="",E3582="!!!",F3582="NEW"),"",COUNTBLANK(OFFSET(A$1,,,SUMPRODUCT(MAX(ROW(E$2:E3582)*(E3582=E$2:E3582)))))-COUNTBLANK(OFFSET(A$1,,,SUMPRODUCT(MAX(ROW(E$1:E3581)*(E2=E$1:E3581))))))</f>
        <v> </v>
      </c>
      <c r="K3582" s="26" t="str">
        <f>IF(OR(E3582="",E3582="!!!",F3582="NEW"),"",INDEX(J$1:J3581,SUMPRODUCT(MAX(ROW(E$1:E3581)*(E3582=E$1:E3581)))))</f>
        <v> </v>
      </c>
      <c r="L3582" s="27"/>
    </row>
    <row r="3583" spans="1:12">
      <c r="A3583" s="20" t="s">
        <v>1308</v>
      </c>
      <c r="E3583" s="22">
        <f>IF(D3583="?OLD","!!!","")</f>
        <v/>
      </c>
      <c r="F3583" s="23" t="str">
        <f>IF(OR(E3583="",E3583="!!!"),"",IF(NOT(ISNA(VLOOKUP(E3583,E$1:E3582,1,FALSE()))),"OLD",IF(AND(E3583&lt;&gt;"",E3583&lt;&gt;"!!!"),"NEW","")))</f>
        <v> </v>
      </c>
      <c r="G3583" s="24" t="str">
        <f>IF(OR(E3583="",E3583="!!!"),"",IF(OR(J3583=0,AND(J3583=1,K3583=1),AND(J3583=1,I3583="SBJ"),AND(J3583=1,I3583=0)),"?IN_FOCUS",IF(J3583&lt;=2,"?ACTIVATED",IF(J3583&lt;&gt;"","?FAMILIAR",IF(F3583="NEW",IF(ISNA(VLOOKUP(E3583,#REF!,1,FALSE())),"?TYPE_IDENTIFIABLE","?REFERENTIAL"),"_")))))</f>
        <v> </v>
      </c>
      <c r="H3583" s="25" t="str">
        <f>IF(J3583&lt;&gt;1,"",IF(I3583="SBJ","CB","?"))</f>
        <v> </v>
      </c>
      <c r="I3583" s="26" t="str">
        <f>IF(OR(E3583="",E3583="!!!",F3583="NEW"),"",INDEX(B3582:B$2,-1+SUMPRODUCT(MAX(ROW(E3582:E$2)*(E3583=E3582:E$2)))))</f>
        <v> </v>
      </c>
      <c r="J3583" s="26" t="str">
        <f>IF(OR(E3583="",E3583="!!!",F3583="NEW"),"",COUNTBLANK(OFFSET(A$1,,,SUMPRODUCT(MAX(ROW(E$2:E3583)*(E3583=E$2:E3583)))))-COUNTBLANK(OFFSET(A$1,,,SUMPRODUCT(MAX(ROW(E$1:E3582)*(E2=E$1:E3582))))))</f>
        <v> </v>
      </c>
      <c r="K3583" s="26" t="str">
        <f>IF(OR(E3583="",E3583="!!!",F3583="NEW"),"",INDEX(J$1:J3582,SUMPRODUCT(MAX(ROW(E$1:E3582)*(E3583=E$1:E3582)))))</f>
        <v> </v>
      </c>
      <c r="L3583" s="27"/>
    </row>
    <row r="3584" spans="1:12">
      <c r="A3584" s="20" t="s">
        <v>2239</v>
      </c>
      <c r="E3584" s="22">
        <f>IF(D3584="?OLD","!!!","")</f>
        <v/>
      </c>
      <c r="F3584" s="23" t="str">
        <f>IF(OR(E3584="",E3584="!!!"),"",IF(NOT(ISNA(VLOOKUP(E3584,E$1:E3583,1,FALSE()))),"OLD",IF(AND(E3584&lt;&gt;"",E3584&lt;&gt;"!!!"),"NEW","")))</f>
        <v> </v>
      </c>
      <c r="G3584" s="24" t="str">
        <f>IF(OR(E3584="",E3584="!!!"),"",IF(OR(J3584=0,AND(J3584=1,K3584=1),AND(J3584=1,I3584="SBJ"),AND(J3584=1,I3584=0)),"?IN_FOCUS",IF(J3584&lt;=2,"?ACTIVATED",IF(J3584&lt;&gt;"","?FAMILIAR",IF(F3584="NEW",IF(ISNA(VLOOKUP(E3584,#REF!,1,FALSE())),"?TYPE_IDENTIFIABLE","?REFERENTIAL"),"_")))))</f>
        <v> </v>
      </c>
      <c r="H3584" s="25" t="str">
        <f>IF(J3584&lt;&gt;1,"",IF(I3584="SBJ","CB","?"))</f>
        <v> </v>
      </c>
      <c r="I3584" s="26" t="str">
        <f>IF(OR(E3584="",E3584="!!!",F3584="NEW"),"",INDEX(B3583:B$2,-1+SUMPRODUCT(MAX(ROW(E3583:E$2)*(E3584=E3583:E$2)))))</f>
        <v> </v>
      </c>
      <c r="J3584" s="26" t="str">
        <f>IF(OR(E3584="",E3584="!!!",F3584="NEW"),"",COUNTBLANK(OFFSET(A$1,,,SUMPRODUCT(MAX(ROW(E$2:E3584)*(E3584=E$2:E3584)))))-COUNTBLANK(OFFSET(A$1,,,SUMPRODUCT(MAX(ROW(E$1:E3583)*(E2=E$1:E3583))))))</f>
        <v> </v>
      </c>
      <c r="K3584" s="26" t="str">
        <f>IF(OR(E3584="",E3584="!!!",F3584="NEW"),"",INDEX(J$1:J3583,SUMPRODUCT(MAX(ROW(E$1:E3583)*(E3584=E$1:E3583)))))</f>
        <v> </v>
      </c>
      <c r="L3584" s="27"/>
    </row>
    <row r="3585" spans="1:12">
      <c r="A3585" s="20" t="s">
        <v>312</v>
      </c>
      <c r="E3585" s="22">
        <f>IF(D3585="?OLD","!!!","")</f>
        <v/>
      </c>
      <c r="F3585" s="23" t="str">
        <f>IF(OR(E3585="",E3585="!!!"),"",IF(NOT(ISNA(VLOOKUP(E3585,E$1:E3584,1,FALSE()))),"OLD",IF(AND(E3585&lt;&gt;"",E3585&lt;&gt;"!!!"),"NEW","")))</f>
        <v> </v>
      </c>
      <c r="G3585" s="24" t="str">
        <f>IF(OR(E3585="",E3585="!!!"),"",IF(OR(J3585=0,AND(J3585=1,K3585=1),AND(J3585=1,I3585="SBJ"),AND(J3585=1,I3585=0)),"?IN_FOCUS",IF(J3585&lt;=2,"?ACTIVATED",IF(J3585&lt;&gt;"","?FAMILIAR",IF(F3585="NEW",IF(ISNA(VLOOKUP(E3585,#REF!,1,FALSE())),"?TYPE_IDENTIFIABLE","?REFERENTIAL"),"_")))))</f>
        <v> </v>
      </c>
      <c r="H3585" s="25" t="str">
        <f>IF(J3585&lt;&gt;1,"",IF(I3585="SBJ","CB","?"))</f>
        <v> </v>
      </c>
      <c r="I3585" s="26" t="str">
        <f>IF(OR(E3585="",E3585="!!!",F3585="NEW"),"",INDEX(B3584:B$2,-1+SUMPRODUCT(MAX(ROW(E3584:E$2)*(E3585=E3584:E$2)))))</f>
        <v> </v>
      </c>
      <c r="J3585" s="26" t="str">
        <f>IF(OR(E3585="",E3585="!!!",F3585="NEW"),"",COUNTBLANK(OFFSET(A$1,,,SUMPRODUCT(MAX(ROW(E$2:E3585)*(E3585=E$2:E3585)))))-COUNTBLANK(OFFSET(A$1,,,SUMPRODUCT(MAX(ROW(E$1:E3584)*(E2=E$1:E3584))))))</f>
        <v> </v>
      </c>
      <c r="K3585" s="26" t="str">
        <f>IF(OR(E3585="",E3585="!!!",F3585="NEW"),"",INDEX(J$1:J3584,SUMPRODUCT(MAX(ROW(E$1:E3584)*(E3585=E$1:E3584)))))</f>
        <v> </v>
      </c>
      <c r="L3585" s="27"/>
    </row>
    <row r="3586" spans="1:12">
      <c r="A3586" s="20"/>
    </row>
    <row r="3587" spans="1:12">
      <c r="A3587" s="20" t="s">
        <v>2240</v>
      </c>
    </row>
    <row r="3588" spans="1:12">
      <c r="A3588" s="20" t="s">
        <v>1189</v>
      </c>
      <c r="B3588" s="21" t="s">
        <v>1165</v>
      </c>
      <c r="C3588" s="21" t="s">
        <v>1151</v>
      </c>
      <c r="D3588" s="21" t="s">
        <v>1144</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t="s">
        <v>2241</v>
      </c>
      <c r="E3589" s="22">
        <f>IF(D3589="?OLD","!!!","")</f>
        <v/>
      </c>
      <c r="F3589" s="23" t="str">
        <f>IF(OR(E3589="",E3589="!!!"),"",IF(NOT(ISNA(VLOOKUP(E3589,E$1:E3588,1,FALSE()))),"OLD",IF(AND(E3589&lt;&gt;"",E3589&lt;&gt;"!!!"),"NEW","")))</f>
        <v> </v>
      </c>
      <c r="G3589" s="24" t="str">
        <f>IF(OR(E3589="",E3589="!!!"),"",IF(OR(J3589=0,AND(J3589=1,K3589=1),AND(J3589=1,I3589="SBJ"),AND(J3589=1,I3589=0)),"?IN_FOCUS",IF(J3589&lt;=2,"?ACTIVATED",IF(J3589&lt;&gt;"","?FAMILIAR",IF(F3589="NEW",IF(ISNA(VLOOKUP(E3589,#REF!,1,FALSE())),"?TYPE_IDENTIFIABLE","?REFERENTIAL"),"_")))))</f>
        <v> </v>
      </c>
      <c r="H3589" s="25" t="str">
        <f>IF(J3589&lt;&gt;1,"",IF(I3589="SBJ","CB","?"))</f>
        <v> </v>
      </c>
      <c r="I3589" s="26" t="str">
        <f>IF(OR(E3589="",E3589="!!!",F3589="NEW"),"",INDEX(B3588:B$2,-1+SUMPRODUCT(MAX(ROW(E3588:E$2)*(E3589=E3588:E$2)))))</f>
        <v> </v>
      </c>
      <c r="J3589" s="26" t="str">
        <f>IF(OR(E3589="",E3589="!!!",F3589="NEW"),"",COUNTBLANK(OFFSET(A$1,,,SUMPRODUCT(MAX(ROW(E$2:E3589)*(E3589=E$2:E3589)))))-COUNTBLANK(OFFSET(A$1,,,SUMPRODUCT(MAX(ROW(E$1:E3588)*(E2=E$1:E3588))))))</f>
        <v> </v>
      </c>
      <c r="K3589" s="26" t="str">
        <f>IF(OR(E3589="",E3589="!!!",F3589="NEW"),"",INDEX(J$1:J3588,SUMPRODUCT(MAX(ROW(E$1:E3588)*(E3589=E$1:E3588)))))</f>
        <v> </v>
      </c>
      <c r="L3589" s="27"/>
    </row>
    <row r="3590" spans="1:12">
      <c r="A3590" s="20" t="s">
        <v>1166</v>
      </c>
      <c r="E3590" s="22">
        <f>IF(D3590="?OLD","!!!","")</f>
        <v/>
      </c>
      <c r="F3590" s="23" t="str">
        <f>IF(OR(E3590="",E3590="!!!"),"",IF(NOT(ISNA(VLOOKUP(E3590,E$1:E3589,1,FALSE()))),"OLD",IF(AND(E3590&lt;&gt;"",E3590&lt;&gt;"!!!"),"NEW","")))</f>
        <v> </v>
      </c>
      <c r="G3590" s="24" t="str">
        <f>IF(OR(E3590="",E3590="!!!"),"",IF(OR(J3590=0,AND(J3590=1,K3590=1),AND(J3590=1,I3590="SBJ"),AND(J3590=1,I3590=0)),"?IN_FOCUS",IF(J3590&lt;=2,"?ACTIVATED",IF(J3590&lt;&gt;"","?FAMILIAR",IF(F3590="NEW",IF(ISNA(VLOOKUP(E3590,#REF!,1,FALSE())),"?TYPE_IDENTIFIABLE","?REFERENTIAL"),"_")))))</f>
        <v> </v>
      </c>
      <c r="H3590" s="25" t="str">
        <f>IF(J3590&lt;&gt;1,"",IF(I3590="SBJ","CB","?"))</f>
        <v> </v>
      </c>
      <c r="I3590" s="26" t="str">
        <f>IF(OR(E3590="",E3590="!!!",F3590="NEW"),"",INDEX(B3589:B$2,-1+SUMPRODUCT(MAX(ROW(E3589:E$2)*(E3590=E3589:E$2)))))</f>
        <v> </v>
      </c>
      <c r="J3590" s="26" t="str">
        <f>IF(OR(E3590="",E3590="!!!",F3590="NEW"),"",COUNTBLANK(OFFSET(A$1,,,SUMPRODUCT(MAX(ROW(E$2:E3590)*(E3590=E$2:E3590)))))-COUNTBLANK(OFFSET(A$1,,,SUMPRODUCT(MAX(ROW(E$1:E3589)*(E2=E$1:E3589))))))</f>
        <v> </v>
      </c>
      <c r="K3590" s="26" t="str">
        <f>IF(OR(E3590="",E3590="!!!",F3590="NEW"),"",INDEX(J$1:J3589,SUMPRODUCT(MAX(ROW(E$1:E3589)*(E3590=E$1:E3589)))))</f>
        <v> </v>
      </c>
      <c r="L3590" s="27"/>
    </row>
    <row r="3591" spans="1:12">
      <c r="A3591" s="20" t="s">
        <v>1178</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t="s">
        <v>1370</v>
      </c>
      <c r="B3592" s="21" t="s">
        <v>1142</v>
      </c>
      <c r="C3592" s="21" t="s">
        <v>1182</v>
      </c>
      <c r="E3592" s="22">
        <f>IF(D3592="?OLD","!!!","")</f>
        <v/>
      </c>
      <c r="F3592" s="23" t="str">
        <f>IF(OR(E3592="",E3592="!!!"),"",IF(NOT(ISNA(VLOOKUP(E3592,E$1:E3591,1,FALSE()))),"OLD",IF(AND(E3592&lt;&gt;"",E3592&lt;&gt;"!!!"),"NEW","")))</f>
        <v> </v>
      </c>
      <c r="G3592" s="24" t="str">
        <f>IF(OR(E3592="",E3592="!!!"),"",IF(OR(J3592=0,AND(J3592=1,K3592=1),AND(J3592=1,I3592="SBJ"),AND(J3592=1,I3592=0)),"?IN_FOCUS",IF(J3592&lt;=2,"?ACTIVATED",IF(J3592&lt;&gt;"","?FAMILIAR",IF(F3592="NEW",IF(ISNA(VLOOKUP(E3592,#REF!,1,FALSE())),"?TYPE_IDENTIFIABLE","?REFERENTIAL"),"_")))))</f>
        <v> </v>
      </c>
      <c r="H3592" s="25" t="str">
        <f>IF(J3592&lt;&gt;1,"",IF(I3592="SBJ","CB","?"))</f>
        <v> </v>
      </c>
      <c r="I3592" s="26" t="str">
        <f>IF(OR(E3592="",E3592="!!!",F3592="NEW"),"",INDEX(B3591:B$2,-1+SUMPRODUCT(MAX(ROW(E3591:E$2)*(E3592=E3591:E$2)))))</f>
        <v> </v>
      </c>
      <c r="J3592" s="26" t="str">
        <f>IF(OR(E3592="",E3592="!!!",F3592="NEW"),"",COUNTBLANK(OFFSET(A$1,,,SUMPRODUCT(MAX(ROW(E$2:E3592)*(E3592=E$2:E3592)))))-COUNTBLANK(OFFSET(A$1,,,SUMPRODUCT(MAX(ROW(E$1:E3591)*(E2=E$1:E3591))))))</f>
        <v> </v>
      </c>
      <c r="K3592" s="26" t="str">
        <f>IF(OR(E3592="",E3592="!!!",F3592="NEW"),"",INDEX(J$1:J3591,SUMPRODUCT(MAX(ROW(E$1:E3591)*(E3592=E$1:E3591)))))</f>
        <v> </v>
      </c>
      <c r="L3592" s="27"/>
    </row>
    <row r="3593" spans="1:12">
      <c r="A3593" s="20" t="s">
        <v>2199</v>
      </c>
      <c r="B3593" s="21" t="s">
        <v>1150</v>
      </c>
      <c r="C3593" s="21" t="s">
        <v>1187</v>
      </c>
      <c r="E3593" s="22">
        <f>IF(D3593="?OLD","!!!","")</f>
        <v/>
      </c>
      <c r="F3593" s="23" t="str">
        <f>IF(OR(E3593="",E3593="!!!"),"",IF(NOT(ISNA(VLOOKUP(E3593,E$1:E3592,1,FALSE()))),"OLD",IF(AND(E3593&lt;&gt;"",E3593&lt;&gt;"!!!"),"NEW","")))</f>
        <v> </v>
      </c>
      <c r="G3593" s="24" t="str">
        <f>IF(OR(E3593="",E3593="!!!"),"",IF(OR(J3593=0,AND(J3593=1,K3593=1),AND(J3593=1,I3593="SBJ"),AND(J3593=1,I3593=0)),"?IN_FOCUS",IF(J3593&lt;=2,"?ACTIVATED",IF(J3593&lt;&gt;"","?FAMILIAR",IF(F3593="NEW",IF(ISNA(VLOOKUP(E3593,#REF!,1,FALSE())),"?TYPE_IDENTIFIABLE","?REFERENTIAL"),"_")))))</f>
        <v> </v>
      </c>
      <c r="H3593" s="25" t="str">
        <f>IF(J3593&lt;&gt;1,"",IF(I3593="SBJ","CB","?"))</f>
        <v> </v>
      </c>
      <c r="I3593" s="26" t="str">
        <f>IF(OR(E3593="",E3593="!!!",F3593="NEW"),"",INDEX(B3592:B$2,-1+SUMPRODUCT(MAX(ROW(E3592:E$2)*(E3593=E3592:E$2)))))</f>
        <v> </v>
      </c>
      <c r="J3593" s="26" t="str">
        <f>IF(OR(E3593="",E3593="!!!",F3593="NEW"),"",COUNTBLANK(OFFSET(A$1,,,SUMPRODUCT(MAX(ROW(E$2:E3593)*(E3593=E$2:E3593)))))-COUNTBLANK(OFFSET(A$1,,,SUMPRODUCT(MAX(ROW(E$1:E3592)*(E2=E$1:E3592))))))</f>
        <v> </v>
      </c>
      <c r="K3593" s="26" t="str">
        <f>IF(OR(E3593="",E3593="!!!",F3593="NEW"),"",INDEX(J$1:J3592,SUMPRODUCT(MAX(ROW(E$1:E3592)*(E3593=E$1:E3592)))))</f>
        <v> </v>
      </c>
      <c r="L3593" s="27"/>
    </row>
    <row r="3594" spans="1:12">
      <c r="A3594" s="20" t="s">
        <v>1203</v>
      </c>
      <c r="E3594" s="22">
        <f>IF(D3594="?OLD","!!!","")</f>
        <v/>
      </c>
      <c r="F3594" s="23" t="str">
        <f>IF(OR(E3594="",E3594="!!!"),"",IF(NOT(ISNA(VLOOKUP(E3594,E$1:E3593,1,FALSE()))),"OLD",IF(AND(E3594&lt;&gt;"",E3594&lt;&gt;"!!!"),"NEW","")))</f>
        <v> </v>
      </c>
      <c r="G3594" s="24" t="str">
        <f>IF(OR(E3594="",E3594="!!!"),"",IF(OR(J3594=0,AND(J3594=1,K3594=1),AND(J3594=1,I3594="SBJ"),AND(J3594=1,I3594=0)),"?IN_FOCUS",IF(J3594&lt;=2,"?ACTIVATED",IF(J3594&lt;&gt;"","?FAMILIAR",IF(F3594="NEW",IF(ISNA(VLOOKUP(E3594,#REF!,1,FALSE())),"?TYPE_IDENTIFIABLE","?REFERENTIAL"),"_")))))</f>
        <v> </v>
      </c>
      <c r="H3594" s="25" t="str">
        <f>IF(J3594&lt;&gt;1,"",IF(I3594="SBJ","CB","?"))</f>
        <v> </v>
      </c>
      <c r="I3594" s="26" t="str">
        <f>IF(OR(E3594="",E3594="!!!",F3594="NEW"),"",INDEX(B3593:B$2,-1+SUMPRODUCT(MAX(ROW(E3593:E$2)*(E3594=E3593:E$2)))))</f>
        <v> </v>
      </c>
      <c r="J3594" s="26" t="str">
        <f>IF(OR(E3594="",E3594="!!!",F3594="NEW"),"",COUNTBLANK(OFFSET(A$1,,,SUMPRODUCT(MAX(ROW(E$2:E3594)*(E3594=E$2:E3594)))))-COUNTBLANK(OFFSET(A$1,,,SUMPRODUCT(MAX(ROW(E$1:E3593)*(E2=E$1:E3593))))))</f>
        <v> </v>
      </c>
      <c r="K3594" s="26" t="str">
        <f>IF(OR(E3594="",E3594="!!!",F3594="NEW"),"",INDEX(J$1:J3593,SUMPRODUCT(MAX(ROW(E$1:E3593)*(E3594=E$1:E3593)))))</f>
        <v> </v>
      </c>
      <c r="L3594" s="27"/>
    </row>
    <row r="3595" spans="1:12">
      <c r="A3595" s="20" t="s">
        <v>1897</v>
      </c>
      <c r="B3595" s="21" t="s">
        <v>1147</v>
      </c>
      <c r="C3595" s="21" t="s">
        <v>1187</v>
      </c>
      <c r="E3595" s="22">
        <f>IF(D3595="?OLD","!!!","")</f>
        <v/>
      </c>
      <c r="F3595" s="23" t="str">
        <f>IF(OR(E3595="",E3595="!!!"),"",IF(NOT(ISNA(VLOOKUP(E3595,E$1:E3594,1,FALSE()))),"OLD",IF(AND(E3595&lt;&gt;"",E3595&lt;&gt;"!!!"),"NEW","")))</f>
        <v> </v>
      </c>
      <c r="G3595" s="24" t="str">
        <f>IF(OR(E3595="",E3595="!!!"),"",IF(OR(J3595=0,AND(J3595=1,K3595=1),AND(J3595=1,I3595="SBJ"),AND(J3595=1,I3595=0)),"?IN_FOCUS",IF(J3595&lt;=2,"?ACTIVATED",IF(J3595&lt;&gt;"","?FAMILIAR",IF(F3595="NEW",IF(ISNA(VLOOKUP(E3595,#REF!,1,FALSE())),"?TYPE_IDENTIFIABLE","?REFERENTIAL"),"_")))))</f>
        <v> </v>
      </c>
      <c r="H3595" s="25" t="str">
        <f>IF(J3595&lt;&gt;1,"",IF(I3595="SBJ","CB","?"))</f>
        <v> </v>
      </c>
      <c r="I3595" s="26" t="str">
        <f>IF(OR(E3595="",E3595="!!!",F3595="NEW"),"",INDEX(B3594:B$2,-1+SUMPRODUCT(MAX(ROW(E3594:E$2)*(E3595=E3594:E$2)))))</f>
        <v> </v>
      </c>
      <c r="J3595" s="26" t="str">
        <f>IF(OR(E3595="",E3595="!!!",F3595="NEW"),"",COUNTBLANK(OFFSET(A$1,,,SUMPRODUCT(MAX(ROW(E$2:E3595)*(E3595=E$2:E3595)))))-COUNTBLANK(OFFSET(A$1,,,SUMPRODUCT(MAX(ROW(E$1:E3594)*(E2=E$1:E3594))))))</f>
        <v> </v>
      </c>
      <c r="K3595" s="26" t="str">
        <f>IF(OR(E3595="",E3595="!!!",F3595="NEW"),"",INDEX(J$1:J3594,SUMPRODUCT(MAX(ROW(E$1:E3594)*(E3595=E$1:E3594)))))</f>
        <v> </v>
      </c>
      <c r="L3595" s="27"/>
    </row>
    <row r="3596" spans="1:12">
      <c r="A3596" s="20" t="s">
        <v>2242</v>
      </c>
      <c r="E3596" s="22">
        <f>IF(D3596="?OLD","!!!","")</f>
        <v/>
      </c>
      <c r="F3596" s="23" t="str">
        <f>IF(OR(E3596="",E3596="!!!"),"",IF(NOT(ISNA(VLOOKUP(E3596,E$1:E3595,1,FALSE()))),"OLD",IF(AND(E3596&lt;&gt;"",E3596&lt;&gt;"!!!"),"NEW","")))</f>
        <v> </v>
      </c>
      <c r="G3596" s="24" t="str">
        <f>IF(OR(E3596="",E3596="!!!"),"",IF(OR(J3596=0,AND(J3596=1,K3596=1),AND(J3596=1,I3596="SBJ"),AND(J3596=1,I3596=0)),"?IN_FOCUS",IF(J3596&lt;=2,"?ACTIVATED",IF(J3596&lt;&gt;"","?FAMILIAR",IF(F3596="NEW",IF(ISNA(VLOOKUP(E3596,#REF!,1,FALSE())),"?TYPE_IDENTIFIABLE","?REFERENTIAL"),"_")))))</f>
        <v> </v>
      </c>
      <c r="H3596" s="25" t="str">
        <f>IF(J3596&lt;&gt;1,"",IF(I3596="SBJ","CB","?"))</f>
        <v> </v>
      </c>
      <c r="I3596" s="26" t="str">
        <f>IF(OR(E3596="",E3596="!!!",F3596="NEW"),"",INDEX(B3595:B$2,-1+SUMPRODUCT(MAX(ROW(E3595:E$2)*(E3596=E3595:E$2)))))</f>
        <v> </v>
      </c>
      <c r="J3596" s="26" t="str">
        <f>IF(OR(E3596="",E3596="!!!",F3596="NEW"),"",COUNTBLANK(OFFSET(A$1,,,SUMPRODUCT(MAX(ROW(E$2:E3596)*(E3596=E$2:E3596)))))-COUNTBLANK(OFFSET(A$1,,,SUMPRODUCT(MAX(ROW(E$1:E3595)*(E2=E$1:E3595))))))</f>
        <v> </v>
      </c>
      <c r="K3596" s="26" t="str">
        <f>IF(OR(E3596="",E3596="!!!",F3596="NEW"),"",INDEX(J$1:J3595,SUMPRODUCT(MAX(ROW(E$1:E3595)*(E3596=E$1:E3595)))))</f>
        <v> </v>
      </c>
      <c r="L3596" s="27"/>
    </row>
    <row r="3597" spans="1:12">
      <c r="A3597" s="20" t="s">
        <v>870</v>
      </c>
      <c r="E3597" s="22">
        <f>IF(D3597="?OLD","!!!","")</f>
        <v/>
      </c>
      <c r="F3597" s="23" t="str">
        <f>IF(OR(E3597="",E3597="!!!"),"",IF(NOT(ISNA(VLOOKUP(E3597,E$1:E3596,1,FALSE()))),"OLD",IF(AND(E3597&lt;&gt;"",E3597&lt;&gt;"!!!"),"NEW","")))</f>
        <v> </v>
      </c>
      <c r="G3597" s="24" t="str">
        <f>IF(OR(E3597="",E3597="!!!"),"",IF(OR(J3597=0,AND(J3597=1,K3597=1),AND(J3597=1,I3597="SBJ"),AND(J3597=1,I3597=0)),"?IN_FOCUS",IF(J3597&lt;=2,"?ACTIVATED",IF(J3597&lt;&gt;"","?FAMILIAR",IF(F3597="NEW",IF(ISNA(VLOOKUP(E3597,#REF!,1,FALSE())),"?TYPE_IDENTIFIABLE","?REFERENTIAL"),"_")))))</f>
        <v> </v>
      </c>
      <c r="H3597" s="25" t="str">
        <f>IF(J3597&lt;&gt;1,"",IF(I3597="SBJ","CB","?"))</f>
        <v> </v>
      </c>
      <c r="I3597" s="26" t="str">
        <f>IF(OR(E3597="",E3597="!!!",F3597="NEW"),"",INDEX(B3596:B$2,-1+SUMPRODUCT(MAX(ROW(E3596:E$2)*(E3597=E3596:E$2)))))</f>
        <v> </v>
      </c>
      <c r="J3597" s="26" t="str">
        <f>IF(OR(E3597="",E3597="!!!",F3597="NEW"),"",COUNTBLANK(OFFSET(A$1,,,SUMPRODUCT(MAX(ROW(E$2:E3597)*(E3597=E$2:E3597)))))-COUNTBLANK(OFFSET(A$1,,,SUMPRODUCT(MAX(ROW(E$1:E3596)*(E2=E$1:E3596))))))</f>
        <v> </v>
      </c>
      <c r="K3597" s="26" t="str">
        <f>IF(OR(E3597="",E3597="!!!",F3597="NEW"),"",INDEX(J$1:J3596,SUMPRODUCT(MAX(ROW(E$1:E3596)*(E3597=E$1:E3596)))))</f>
        <v> </v>
      </c>
      <c r="L3597" s="27"/>
    </row>
    <row r="3598" spans="1:12">
      <c r="A3598" s="20" t="s">
        <v>1807</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t="s">
        <v>312</v>
      </c>
      <c r="E3599" s="22">
        <f>IF(D3599="?OLD","!!!","")</f>
        <v/>
      </c>
      <c r="F3599" s="23" t="str">
        <f>IF(OR(E3599="",E3599="!!!"),"",IF(NOT(ISNA(VLOOKUP(E3599,E$1:E3598,1,FALSE()))),"OLD",IF(AND(E3599&lt;&gt;"",E3599&lt;&gt;"!!!"),"NEW","")))</f>
        <v> </v>
      </c>
      <c r="G3599" s="24" t="str">
        <f>IF(OR(E3599="",E3599="!!!"),"",IF(OR(J3599=0,AND(J3599=1,K3599=1),AND(J3599=1,I3599="SBJ"),AND(J3599=1,I3599=0)),"?IN_FOCUS",IF(J3599&lt;=2,"?ACTIVATED",IF(J3599&lt;&gt;"","?FAMILIAR",IF(F3599="NEW",IF(ISNA(VLOOKUP(E3599,#REF!,1,FALSE())),"?TYPE_IDENTIFIABLE","?REFERENTIAL"),"_")))))</f>
        <v> </v>
      </c>
      <c r="H3599" s="25" t="str">
        <f>IF(J3599&lt;&gt;1,"",IF(I3599="SBJ","CB","?"))</f>
        <v> </v>
      </c>
      <c r="I3599" s="26" t="str">
        <f>IF(OR(E3599="",E3599="!!!",F3599="NEW"),"",INDEX(B3598:B$2,-1+SUMPRODUCT(MAX(ROW(E3598:E$2)*(E3599=E3598:E$2)))))</f>
        <v> </v>
      </c>
      <c r="J3599" s="26" t="str">
        <f>IF(OR(E3599="",E3599="!!!",F3599="NEW"),"",COUNTBLANK(OFFSET(A$1,,,SUMPRODUCT(MAX(ROW(E$2:E3599)*(E3599=E$2:E3599)))))-COUNTBLANK(OFFSET(A$1,,,SUMPRODUCT(MAX(ROW(E$1:E3598)*(E2=E$1:E3598))))))</f>
        <v> </v>
      </c>
      <c r="K3599" s="26" t="str">
        <f>IF(OR(E3599="",E3599="!!!",F3599="NEW"),"",INDEX(J$1:J3598,SUMPRODUCT(MAX(ROW(E$1:E3598)*(E3599=E$1:E3598)))))</f>
        <v> </v>
      </c>
      <c r="L3599" s="27"/>
    </row>
    <row r="3600" spans="1:12">
      <c r="A3600" s="20"/>
    </row>
    <row r="3601" spans="1:12">
      <c r="A3601" s="20" t="s">
        <v>2243</v>
      </c>
    </row>
    <row r="3602" spans="1:12">
      <c r="A3602" s="20" t="s">
        <v>1189</v>
      </c>
      <c r="B3602" s="21" t="s">
        <v>1165</v>
      </c>
      <c r="C3602" s="21" t="s">
        <v>1151</v>
      </c>
      <c r="D3602" s="21" t="s">
        <v>1144</v>
      </c>
      <c r="E3602" s="22">
        <f>IF(D3602="?OLD","!!!","")</f>
        <v/>
      </c>
      <c r="F3602" s="23" t="str">
        <f>IF(OR(E3602="",E3602="!!!"),"",IF(NOT(ISNA(VLOOKUP(E3602,E$1:E3601,1,FALSE()))),"OLD",IF(AND(E3602&lt;&gt;"",E3602&lt;&gt;"!!!"),"NEW","")))</f>
        <v> </v>
      </c>
      <c r="G3602" s="24" t="str">
        <f>IF(OR(E3602="",E3602="!!!"),"",IF(OR(J3602=0,AND(J3602=1,K3602=1),AND(J3602=1,I3602="SBJ"),AND(J3602=1,I3602=0)),"?IN_FOCUS",IF(J3602&lt;=2,"?ACTIVATED",IF(J3602&lt;&gt;"","?FAMILIAR",IF(F3602="NEW",IF(ISNA(VLOOKUP(E3602,#REF!,1,FALSE())),"?TYPE_IDENTIFIABLE","?REFERENTIAL"),"_")))))</f>
        <v> </v>
      </c>
      <c r="H3602" s="25" t="str">
        <f>IF(J3602&lt;&gt;1,"",IF(I3602="SBJ","CB","?"))</f>
        <v> </v>
      </c>
      <c r="I3602" s="26" t="str">
        <f>IF(OR(E3602="",E3602="!!!",F3602="NEW"),"",INDEX(B3601:B$2,-1+SUMPRODUCT(MAX(ROW(E3601:E$2)*(E3602=E3601:E$2)))))</f>
        <v> </v>
      </c>
      <c r="J3602" s="26" t="str">
        <f>IF(OR(E3602="",E3602="!!!",F3602="NEW"),"",COUNTBLANK(OFFSET(A$1,,,SUMPRODUCT(MAX(ROW(E$2:E3602)*(E3602=E$2:E3602)))))-COUNTBLANK(OFFSET(A$1,,,SUMPRODUCT(MAX(ROW(E$1:E3601)*(E2=E$1:E3601))))))</f>
        <v> </v>
      </c>
      <c r="K3602" s="26" t="str">
        <f>IF(OR(E3602="",E3602="!!!",F3602="NEW"),"",INDEX(J$1:J3601,SUMPRODUCT(MAX(ROW(E$1:E3601)*(E3602=E$1:E3601)))))</f>
        <v> </v>
      </c>
      <c r="L3602" s="27"/>
    </row>
    <row r="3603" spans="1:12">
      <c r="A3603" s="20" t="s">
        <v>1543</v>
      </c>
      <c r="E3603" s="22">
        <f>IF(D3603="?OLD","!!!","")</f>
        <v/>
      </c>
      <c r="F3603" s="23" t="str">
        <f>IF(OR(E3603="",E3603="!!!"),"",IF(NOT(ISNA(VLOOKUP(E3603,E$1:E3602,1,FALSE()))),"OLD",IF(AND(E3603&lt;&gt;"",E3603&lt;&gt;"!!!"),"NEW","")))</f>
        <v> </v>
      </c>
      <c r="G3603" s="24" t="str">
        <f>IF(OR(E3603="",E3603="!!!"),"",IF(OR(J3603=0,AND(J3603=1,K3603=1),AND(J3603=1,I3603="SBJ"),AND(J3603=1,I3603=0)),"?IN_FOCUS",IF(J3603&lt;=2,"?ACTIVATED",IF(J3603&lt;&gt;"","?FAMILIAR",IF(F3603="NEW",IF(ISNA(VLOOKUP(E3603,#REF!,1,FALSE())),"?TYPE_IDENTIFIABLE","?REFERENTIAL"),"_")))))</f>
        <v> </v>
      </c>
      <c r="H3603" s="25" t="str">
        <f>IF(J3603&lt;&gt;1,"",IF(I3603="SBJ","CB","?"))</f>
        <v> </v>
      </c>
      <c r="I3603" s="26" t="str">
        <f>IF(OR(E3603="",E3603="!!!",F3603="NEW"),"",INDEX(B3602:B$2,-1+SUMPRODUCT(MAX(ROW(E3602:E$2)*(E3603=E3602:E$2)))))</f>
        <v> </v>
      </c>
      <c r="J3603" s="26" t="str">
        <f>IF(OR(E3603="",E3603="!!!",F3603="NEW"),"",COUNTBLANK(OFFSET(A$1,,,SUMPRODUCT(MAX(ROW(E$2:E3603)*(E3603=E$2:E3603)))))-COUNTBLANK(OFFSET(A$1,,,SUMPRODUCT(MAX(ROW(E$1:E3602)*(E2=E$1:E3602))))))</f>
        <v> </v>
      </c>
      <c r="K3603" s="26" t="str">
        <f>IF(OR(E3603="",E3603="!!!",F3603="NEW"),"",INDEX(J$1:J3602,SUMPRODUCT(MAX(ROW(E$1:E3602)*(E3603=E$1:E3602)))))</f>
        <v> </v>
      </c>
      <c r="L3603" s="27"/>
    </row>
    <row r="3604" spans="1:12">
      <c r="A3604" s="20" t="s">
        <v>2244</v>
      </c>
      <c r="E3604" s="22">
        <f>IF(D3604="?OLD","!!!","")</f>
        <v/>
      </c>
      <c r="F3604" s="23" t="str">
        <f>IF(OR(E3604="",E3604="!!!"),"",IF(NOT(ISNA(VLOOKUP(E3604,E$1:E3603,1,FALSE()))),"OLD",IF(AND(E3604&lt;&gt;"",E3604&lt;&gt;"!!!"),"NEW","")))</f>
        <v> </v>
      </c>
      <c r="G3604" s="24" t="str">
        <f>IF(OR(E3604="",E3604="!!!"),"",IF(OR(J3604=0,AND(J3604=1,K3604=1),AND(J3604=1,I3604="SBJ"),AND(J3604=1,I3604=0)),"?IN_FOCUS",IF(J3604&lt;=2,"?ACTIVATED",IF(J3604&lt;&gt;"","?FAMILIAR",IF(F3604="NEW",IF(ISNA(VLOOKUP(E3604,#REF!,1,FALSE())),"?TYPE_IDENTIFIABLE","?REFERENTIAL"),"_")))))</f>
        <v> </v>
      </c>
      <c r="H3604" s="25" t="str">
        <f>IF(J3604&lt;&gt;1,"",IF(I3604="SBJ","CB","?"))</f>
        <v> </v>
      </c>
      <c r="I3604" s="26" t="str">
        <f>IF(OR(E3604="",E3604="!!!",F3604="NEW"),"",INDEX(B3603:B$2,-1+SUMPRODUCT(MAX(ROW(E3603:E$2)*(E3604=E3603:E$2)))))</f>
        <v> </v>
      </c>
      <c r="J3604" s="26" t="str">
        <f>IF(OR(E3604="",E3604="!!!",F3604="NEW"),"",COUNTBLANK(OFFSET(A$1,,,SUMPRODUCT(MAX(ROW(E$2:E3604)*(E3604=E$2:E3604)))))-COUNTBLANK(OFFSET(A$1,,,SUMPRODUCT(MAX(ROW(E$1:E3603)*(E2=E$1:E3603))))))</f>
        <v> </v>
      </c>
      <c r="K3604" s="26" t="str">
        <f>IF(OR(E3604="",E3604="!!!",F3604="NEW"),"",INDEX(J$1:J3603,SUMPRODUCT(MAX(ROW(E$1:E3603)*(E3604=E$1:E3603)))))</f>
        <v> </v>
      </c>
      <c r="L3604" s="27"/>
    </row>
    <row r="3605" spans="1:12">
      <c r="A3605" s="20" t="s">
        <v>1203</v>
      </c>
      <c r="E3605" s="22">
        <f>IF(D3605="?OLD","!!!","")</f>
        <v/>
      </c>
      <c r="F3605" s="23" t="str">
        <f>IF(OR(E3605="",E3605="!!!"),"",IF(NOT(ISNA(VLOOKUP(E3605,E$1:E3604,1,FALSE()))),"OLD",IF(AND(E3605&lt;&gt;"",E3605&lt;&gt;"!!!"),"NEW","")))</f>
        <v> </v>
      </c>
      <c r="G3605" s="24" t="str">
        <f>IF(OR(E3605="",E3605="!!!"),"",IF(OR(J3605=0,AND(J3605=1,K3605=1),AND(J3605=1,I3605="SBJ"),AND(J3605=1,I3605=0)),"?IN_FOCUS",IF(J3605&lt;=2,"?ACTIVATED",IF(J3605&lt;&gt;"","?FAMILIAR",IF(F3605="NEW",IF(ISNA(VLOOKUP(E3605,#REF!,1,FALSE())),"?TYPE_IDENTIFIABLE","?REFERENTIAL"),"_")))))</f>
        <v> </v>
      </c>
      <c r="H3605" s="25" t="str">
        <f>IF(J3605&lt;&gt;1,"",IF(I3605="SBJ","CB","?"))</f>
        <v> </v>
      </c>
      <c r="I3605" s="26" t="str">
        <f>IF(OR(E3605="",E3605="!!!",F3605="NEW"),"",INDEX(B3604:B$2,-1+SUMPRODUCT(MAX(ROW(E3604:E$2)*(E3605=E3604:E$2)))))</f>
        <v> </v>
      </c>
      <c r="J3605" s="26" t="str">
        <f>IF(OR(E3605="",E3605="!!!",F3605="NEW"),"",COUNTBLANK(OFFSET(A$1,,,SUMPRODUCT(MAX(ROW(E$2:E3605)*(E3605=E$2:E3605)))))-COUNTBLANK(OFFSET(A$1,,,SUMPRODUCT(MAX(ROW(E$1:E3604)*(E2=E$1:E3604))))))</f>
        <v> </v>
      </c>
      <c r="K3605" s="26" t="str">
        <f>IF(OR(E3605="",E3605="!!!",F3605="NEW"),"",INDEX(J$1:J3604,SUMPRODUCT(MAX(ROW(E$1:E3604)*(E3605=E$1:E3604)))))</f>
        <v> </v>
      </c>
      <c r="L3605" s="27"/>
    </row>
    <row r="3606" spans="1:12">
      <c r="A3606" s="20" t="s">
        <v>1191</v>
      </c>
      <c r="B3606" s="21" t="s">
        <v>1150</v>
      </c>
      <c r="C3606" s="21" t="s">
        <v>1232</v>
      </c>
      <c r="D3606" s="21" t="s">
        <v>1144</v>
      </c>
      <c r="E3606" s="22">
        <f>IF(D3606="?OLD","!!!","")</f>
        <v/>
      </c>
      <c r="F3606" s="23" t="str">
        <f>IF(OR(E3606="",E3606="!!!"),"",IF(NOT(ISNA(VLOOKUP(E3606,E$1:E3605,1,FALSE()))),"OLD",IF(AND(E3606&lt;&gt;"",E3606&lt;&gt;"!!!"),"NEW","")))</f>
        <v> </v>
      </c>
      <c r="G3606" s="24" t="str">
        <f>IF(OR(E3606="",E3606="!!!"),"",IF(OR(J3606=0,AND(J3606=1,K3606=1),AND(J3606=1,I3606="SBJ"),AND(J3606=1,I3606=0)),"?IN_FOCUS",IF(J3606&lt;=2,"?ACTIVATED",IF(J3606&lt;&gt;"","?FAMILIAR",IF(F3606="NEW",IF(ISNA(VLOOKUP(E3606,#REF!,1,FALSE())),"?TYPE_IDENTIFIABLE","?REFERENTIAL"),"_")))))</f>
        <v> </v>
      </c>
      <c r="H3606" s="25" t="str">
        <f>IF(J3606&lt;&gt;1,"",IF(I3606="SBJ","CB","?"))</f>
        <v> </v>
      </c>
      <c r="I3606" s="26" t="str">
        <f>IF(OR(E3606="",E3606="!!!",F3606="NEW"),"",INDEX(B3605:B$2,-1+SUMPRODUCT(MAX(ROW(E3605:E$2)*(E3606=E3605:E$2)))))</f>
        <v> </v>
      </c>
      <c r="J3606" s="26" t="str">
        <f>IF(OR(E3606="",E3606="!!!",F3606="NEW"),"",COUNTBLANK(OFFSET(A$1,,,SUMPRODUCT(MAX(ROW(E$2:E3606)*(E3606=E$2:E3606)))))-COUNTBLANK(OFFSET(A$1,,,SUMPRODUCT(MAX(ROW(E$1:E3605)*(E2=E$1:E3605))))))</f>
        <v> </v>
      </c>
      <c r="K3606" s="26" t="str">
        <f>IF(OR(E3606="",E3606="!!!",F3606="NEW"),"",INDEX(J$1:J3605,SUMPRODUCT(MAX(ROW(E$1:E3605)*(E3606=E$1:E3605)))))</f>
        <v> </v>
      </c>
      <c r="L3606" s="27"/>
    </row>
    <row r="3607" spans="1:12">
      <c r="A3607" s="20" t="s">
        <v>1641</v>
      </c>
      <c r="E3607" s="22">
        <f>IF(D3607="?OLD","!!!","")</f>
        <v/>
      </c>
      <c r="F3607" s="23" t="str">
        <f>IF(OR(E3607="",E3607="!!!"),"",IF(NOT(ISNA(VLOOKUP(E3607,E$1:E3606,1,FALSE()))),"OLD",IF(AND(E3607&lt;&gt;"",E3607&lt;&gt;"!!!"),"NEW","")))</f>
        <v> </v>
      </c>
      <c r="G3607" s="24" t="str">
        <f>IF(OR(E3607="",E3607="!!!"),"",IF(OR(J3607=0,AND(J3607=1,K3607=1),AND(J3607=1,I3607="SBJ"),AND(J3607=1,I3607=0)),"?IN_FOCUS",IF(J3607&lt;=2,"?ACTIVATED",IF(J3607&lt;&gt;"","?FAMILIAR",IF(F3607="NEW",IF(ISNA(VLOOKUP(E3607,#REF!,1,FALSE())),"?TYPE_IDENTIFIABLE","?REFERENTIAL"),"_")))))</f>
        <v> </v>
      </c>
      <c r="H3607" s="25" t="str">
        <f>IF(J3607&lt;&gt;1,"",IF(I3607="SBJ","CB","?"))</f>
        <v> </v>
      </c>
      <c r="I3607" s="26" t="str">
        <f>IF(OR(E3607="",E3607="!!!",F3607="NEW"),"",INDEX(B3606:B$2,-1+SUMPRODUCT(MAX(ROW(E3606:E$2)*(E3607=E3606:E$2)))))</f>
        <v> </v>
      </c>
      <c r="J3607" s="26" t="str">
        <f>IF(OR(E3607="",E3607="!!!",F3607="NEW"),"",COUNTBLANK(OFFSET(A$1,,,SUMPRODUCT(MAX(ROW(E$2:E3607)*(E3607=E$2:E3607)))))-COUNTBLANK(OFFSET(A$1,,,SUMPRODUCT(MAX(ROW(E$1:E3606)*(E2=E$1:E3606))))))</f>
        <v> </v>
      </c>
      <c r="K3607" s="26" t="str">
        <f>IF(OR(E3607="",E3607="!!!",F3607="NEW"),"",INDEX(J$1:J3606,SUMPRODUCT(MAX(ROW(E$1:E3606)*(E3607=E$1:E3606)))))</f>
        <v> </v>
      </c>
      <c r="L3607" s="27"/>
    </row>
    <row r="3608" spans="1:12">
      <c r="A3608" s="20" t="s">
        <v>312</v>
      </c>
      <c r="E3608" s="22">
        <f>IF(D3608="?OLD","!!!","")</f>
        <v/>
      </c>
      <c r="F3608" s="23" t="str">
        <f>IF(OR(E3608="",E3608="!!!"),"",IF(NOT(ISNA(VLOOKUP(E3608,E$1:E3607,1,FALSE()))),"OLD",IF(AND(E3608&lt;&gt;"",E3608&lt;&gt;"!!!"),"NEW","")))</f>
        <v> </v>
      </c>
      <c r="G3608" s="24" t="str">
        <f>IF(OR(E3608="",E3608="!!!"),"",IF(OR(J3608=0,AND(J3608=1,K3608=1),AND(J3608=1,I3608="SBJ"),AND(J3608=1,I3608=0)),"?IN_FOCUS",IF(J3608&lt;=2,"?ACTIVATED",IF(J3608&lt;&gt;"","?FAMILIAR",IF(F3608="NEW",IF(ISNA(VLOOKUP(E3608,#REF!,1,FALSE())),"?TYPE_IDENTIFIABLE","?REFERENTIAL"),"_")))))</f>
        <v> </v>
      </c>
      <c r="H3608" s="25" t="str">
        <f>IF(J3608&lt;&gt;1,"",IF(I3608="SBJ","CB","?"))</f>
        <v> </v>
      </c>
      <c r="I3608" s="26" t="str">
        <f>IF(OR(E3608="",E3608="!!!",F3608="NEW"),"",INDEX(B3607:B$2,-1+SUMPRODUCT(MAX(ROW(E3607:E$2)*(E3608=E3607:E$2)))))</f>
        <v> </v>
      </c>
      <c r="J3608" s="26" t="str">
        <f>IF(OR(E3608="",E3608="!!!",F3608="NEW"),"",COUNTBLANK(OFFSET(A$1,,,SUMPRODUCT(MAX(ROW(E$2:E3608)*(E3608=E$2:E3608)))))-COUNTBLANK(OFFSET(A$1,,,SUMPRODUCT(MAX(ROW(E$1:E3607)*(E2=E$1:E3607))))))</f>
        <v> </v>
      </c>
      <c r="K3608" s="26" t="str">
        <f>IF(OR(E3608="",E3608="!!!",F3608="NEW"),"",INDEX(J$1:J3607,SUMPRODUCT(MAX(ROW(E$1:E3607)*(E3608=E$1:E3607)))))</f>
        <v> </v>
      </c>
      <c r="L3608" s="27"/>
    </row>
    <row r="3609" spans="1:12">
      <c r="A3609" s="20"/>
    </row>
    <row r="3610" spans="1:12">
      <c r="A3610" s="20" t="s">
        <v>2245</v>
      </c>
    </row>
    <row r="3611" spans="1:12">
      <c r="A3611" s="20" t="s">
        <v>1217</v>
      </c>
      <c r="B3611" s="21" t="s">
        <v>1165</v>
      </c>
      <c r="C3611" s="21" t="s">
        <v>1168</v>
      </c>
      <c r="D3611" s="21" t="s">
        <v>1144</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t="s">
        <v>69</v>
      </c>
      <c r="E3612" s="22">
        <f>IF(D3612="?OLD","!!!","")</f>
        <v/>
      </c>
      <c r="F3612" s="23" t="str">
        <f>IF(OR(E3612="",E3612="!!!"),"",IF(NOT(ISNA(VLOOKUP(E3612,E$1:E3611,1,FALSE()))),"OLD",IF(AND(E3612&lt;&gt;"",E3612&lt;&gt;"!!!"),"NEW","")))</f>
        <v> </v>
      </c>
      <c r="G3612" s="24" t="str">
        <f>IF(OR(E3612="",E3612="!!!"),"",IF(OR(J3612=0,AND(J3612=1,K3612=1),AND(J3612=1,I3612="SBJ"),AND(J3612=1,I3612=0)),"?IN_FOCUS",IF(J3612&lt;=2,"?ACTIVATED",IF(J3612&lt;&gt;"","?FAMILIAR",IF(F3612="NEW",IF(ISNA(VLOOKUP(E3612,#REF!,1,FALSE())),"?TYPE_IDENTIFIABLE","?REFERENTIAL"),"_")))))</f>
        <v> </v>
      </c>
      <c r="H3612" s="25" t="str">
        <f>IF(J3612&lt;&gt;1,"",IF(I3612="SBJ","CB","?"))</f>
        <v> </v>
      </c>
      <c r="I3612" s="26" t="str">
        <f>IF(OR(E3612="",E3612="!!!",F3612="NEW"),"",INDEX(B3611:B$2,-1+SUMPRODUCT(MAX(ROW(E3611:E$2)*(E3612=E3611:E$2)))))</f>
        <v> </v>
      </c>
      <c r="J3612" s="26" t="str">
        <f>IF(OR(E3612="",E3612="!!!",F3612="NEW"),"",COUNTBLANK(OFFSET(A$1,,,SUMPRODUCT(MAX(ROW(E$2:E3612)*(E3612=E$2:E3612)))))-COUNTBLANK(OFFSET(A$1,,,SUMPRODUCT(MAX(ROW(E$1:E3611)*(E2=E$1:E3611))))))</f>
        <v> </v>
      </c>
      <c r="K3612" s="26" t="str">
        <f>IF(OR(E3612="",E3612="!!!",F3612="NEW"),"",INDEX(J$1:J3611,SUMPRODUCT(MAX(ROW(E$1:E3611)*(E3612=E$1:E3611)))))</f>
        <v> </v>
      </c>
      <c r="L3612" s="27"/>
    </row>
    <row r="3613" spans="1:12">
      <c r="A3613" s="20" t="s">
        <v>2088</v>
      </c>
      <c r="E3613" s="22">
        <f>IF(D3613="?OLD","!!!","")</f>
        <v/>
      </c>
      <c r="F3613" s="23" t="str">
        <f>IF(OR(E3613="",E3613="!!!"),"",IF(NOT(ISNA(VLOOKUP(E3613,E$1:E3612,1,FALSE()))),"OLD",IF(AND(E3613&lt;&gt;"",E3613&lt;&gt;"!!!"),"NEW","")))</f>
        <v> </v>
      </c>
      <c r="G3613" s="24" t="str">
        <f>IF(OR(E3613="",E3613="!!!"),"",IF(OR(J3613=0,AND(J3613=1,K3613=1),AND(J3613=1,I3613="SBJ"),AND(J3613=1,I3613=0)),"?IN_FOCUS",IF(J3613&lt;=2,"?ACTIVATED",IF(J3613&lt;&gt;"","?FAMILIAR",IF(F3613="NEW",IF(ISNA(VLOOKUP(E3613,#REF!,1,FALSE())),"?TYPE_IDENTIFIABLE","?REFERENTIAL"),"_")))))</f>
        <v> </v>
      </c>
      <c r="H3613" s="25" t="str">
        <f>IF(J3613&lt;&gt;1,"",IF(I3613="SBJ","CB","?"))</f>
        <v> </v>
      </c>
      <c r="I3613" s="26" t="str">
        <f>IF(OR(E3613="",E3613="!!!",F3613="NEW"),"",INDEX(B3612:B$2,-1+SUMPRODUCT(MAX(ROW(E3612:E$2)*(E3613=E3612:E$2)))))</f>
        <v> </v>
      </c>
      <c r="J3613" s="26" t="str">
        <f>IF(OR(E3613="",E3613="!!!",F3613="NEW"),"",COUNTBLANK(OFFSET(A$1,,,SUMPRODUCT(MAX(ROW(E$2:E3613)*(E3613=E$2:E3613)))))-COUNTBLANK(OFFSET(A$1,,,SUMPRODUCT(MAX(ROW(E$1:E3612)*(E2=E$1:E3612))))))</f>
        <v> </v>
      </c>
      <c r="K3613" s="26" t="str">
        <f>IF(OR(E3613="",E3613="!!!",F3613="NEW"),"",INDEX(J$1:J3612,SUMPRODUCT(MAX(ROW(E$1:E3612)*(E3613=E$1:E3612)))))</f>
        <v> </v>
      </c>
      <c r="L3613" s="27"/>
    </row>
    <row r="3614" spans="1:12">
      <c r="A3614" s="20" t="s">
        <v>1176</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t="s">
        <v>1314</v>
      </c>
      <c r="E3615" s="22">
        <f>IF(D3615="?OLD","!!!","")</f>
        <v/>
      </c>
      <c r="F3615" s="23" t="str">
        <f>IF(OR(E3615="",E3615="!!!"),"",IF(NOT(ISNA(VLOOKUP(E3615,E$1:E3614,1,FALSE()))),"OLD",IF(AND(E3615&lt;&gt;"",E3615&lt;&gt;"!!!"),"NEW","")))</f>
        <v> </v>
      </c>
      <c r="G3615" s="24" t="str">
        <f>IF(OR(E3615="",E3615="!!!"),"",IF(OR(J3615=0,AND(J3615=1,K3615=1),AND(J3615=1,I3615="SBJ"),AND(J3615=1,I3615=0)),"?IN_FOCUS",IF(J3615&lt;=2,"?ACTIVATED",IF(J3615&lt;&gt;"","?FAMILIAR",IF(F3615="NEW",IF(ISNA(VLOOKUP(E3615,#REF!,1,FALSE())),"?TYPE_IDENTIFIABLE","?REFERENTIAL"),"_")))))</f>
        <v> </v>
      </c>
      <c r="H3615" s="25" t="str">
        <f>IF(J3615&lt;&gt;1,"",IF(I3615="SBJ","CB","?"))</f>
        <v> </v>
      </c>
      <c r="I3615" s="26" t="str">
        <f>IF(OR(E3615="",E3615="!!!",F3615="NEW"),"",INDEX(B3614:B$2,-1+SUMPRODUCT(MAX(ROW(E3614:E$2)*(E3615=E3614:E$2)))))</f>
        <v> </v>
      </c>
      <c r="J3615" s="26" t="str">
        <f>IF(OR(E3615="",E3615="!!!",F3615="NEW"),"",COUNTBLANK(OFFSET(A$1,,,SUMPRODUCT(MAX(ROW(E$2:E3615)*(E3615=E$2:E3615)))))-COUNTBLANK(OFFSET(A$1,,,SUMPRODUCT(MAX(ROW(E$1:E3614)*(E2=E$1:E3614))))))</f>
        <v> </v>
      </c>
      <c r="K3615" s="26" t="str">
        <f>IF(OR(E3615="",E3615="!!!",F3615="NEW"),"",INDEX(J$1:J3614,SUMPRODUCT(MAX(ROW(E$1:E3614)*(E3615=E$1:E3614)))))</f>
        <v> </v>
      </c>
      <c r="L3615" s="27"/>
    </row>
    <row r="3616" spans="1:12">
      <c r="A3616" s="20" t="s">
        <v>1525</v>
      </c>
      <c r="B3616" s="21" t="s">
        <v>1171</v>
      </c>
      <c r="C3616" s="21" t="s">
        <v>1232</v>
      </c>
      <c r="D3616" s="21" t="s">
        <v>1144</v>
      </c>
      <c r="E3616" s="22">
        <f>IF(D3616="?OLD","!!!","")</f>
        <v/>
      </c>
      <c r="F3616" s="23" t="str">
        <f>IF(OR(E3616="",E3616="!!!"),"",IF(NOT(ISNA(VLOOKUP(E3616,E$1:E3615,1,FALSE()))),"OLD",IF(AND(E3616&lt;&gt;"",E3616&lt;&gt;"!!!"),"NEW","")))</f>
        <v> </v>
      </c>
      <c r="G3616" s="24" t="str">
        <f>IF(OR(E3616="",E3616="!!!"),"",IF(OR(J3616=0,AND(J3616=1,K3616=1),AND(J3616=1,I3616="SBJ"),AND(J3616=1,I3616=0)),"?IN_FOCUS",IF(J3616&lt;=2,"?ACTIVATED",IF(J3616&lt;&gt;"","?FAMILIAR",IF(F3616="NEW",IF(ISNA(VLOOKUP(E3616,#REF!,1,FALSE())),"?TYPE_IDENTIFIABLE","?REFERENTIAL"),"_")))))</f>
        <v> </v>
      </c>
      <c r="H3616" s="25" t="str">
        <f>IF(J3616&lt;&gt;1,"",IF(I3616="SBJ","CB","?"))</f>
        <v> </v>
      </c>
      <c r="I3616" s="26" t="str">
        <f>IF(OR(E3616="",E3616="!!!",F3616="NEW"),"",INDEX(B3615:B$2,-1+SUMPRODUCT(MAX(ROW(E3615:E$2)*(E3616=E3615:E$2)))))</f>
        <v> </v>
      </c>
      <c r="J3616" s="26" t="str">
        <f>IF(OR(E3616="",E3616="!!!",F3616="NEW"),"",COUNTBLANK(OFFSET(A$1,,,SUMPRODUCT(MAX(ROW(E$2:E3616)*(E3616=E$2:E3616)))))-COUNTBLANK(OFFSET(A$1,,,SUMPRODUCT(MAX(ROW(E$1:E3615)*(E2=E$1:E3615))))))</f>
        <v> </v>
      </c>
      <c r="K3616" s="26" t="str">
        <f>IF(OR(E3616="",E3616="!!!",F3616="NEW"),"",INDEX(J$1:J3615,SUMPRODUCT(MAX(ROW(E$1:E3615)*(E3616=E$1:E3615)))))</f>
        <v> </v>
      </c>
      <c r="L3616" s="27"/>
    </row>
    <row r="3617" spans="1:12">
      <c r="A3617" s="20" t="s">
        <v>2246</v>
      </c>
      <c r="E3617" s="22">
        <f>IF(D3617="?OLD","!!!","")</f>
        <v/>
      </c>
      <c r="F3617" s="23" t="str">
        <f>IF(OR(E3617="",E3617="!!!"),"",IF(NOT(ISNA(VLOOKUP(E3617,E$1:E3616,1,FALSE()))),"OLD",IF(AND(E3617&lt;&gt;"",E3617&lt;&gt;"!!!"),"NEW","")))</f>
        <v> </v>
      </c>
      <c r="G3617" s="24" t="str">
        <f>IF(OR(E3617="",E3617="!!!"),"",IF(OR(J3617=0,AND(J3617=1,K3617=1),AND(J3617=1,I3617="SBJ"),AND(J3617=1,I3617=0)),"?IN_FOCUS",IF(J3617&lt;=2,"?ACTIVATED",IF(J3617&lt;&gt;"","?FAMILIAR",IF(F3617="NEW",IF(ISNA(VLOOKUP(E3617,#REF!,1,FALSE())),"?TYPE_IDENTIFIABLE","?REFERENTIAL"),"_")))))</f>
        <v> </v>
      </c>
      <c r="H3617" s="25" t="str">
        <f>IF(J3617&lt;&gt;1,"",IF(I3617="SBJ","CB","?"))</f>
        <v> </v>
      </c>
      <c r="I3617" s="26" t="str">
        <f>IF(OR(E3617="",E3617="!!!",F3617="NEW"),"",INDEX(B3616:B$2,-1+SUMPRODUCT(MAX(ROW(E3616:E$2)*(E3617=E3616:E$2)))))</f>
        <v> </v>
      </c>
      <c r="J3617" s="26" t="str">
        <f>IF(OR(E3617="",E3617="!!!",F3617="NEW"),"",COUNTBLANK(OFFSET(A$1,,,SUMPRODUCT(MAX(ROW(E$2:E3617)*(E3617=E$2:E3617)))))-COUNTBLANK(OFFSET(A$1,,,SUMPRODUCT(MAX(ROW(E$1:E3616)*(E2=E$1:E3616))))))</f>
        <v> </v>
      </c>
      <c r="K3617" s="26" t="str">
        <f>IF(OR(E3617="",E3617="!!!",F3617="NEW"),"",INDEX(J$1:J3616,SUMPRODUCT(MAX(ROW(E$1:E3616)*(E3617=E$1:E3616)))))</f>
        <v> </v>
      </c>
      <c r="L3617" s="27"/>
    </row>
    <row r="3618" spans="1:12">
      <c r="A3618" s="20" t="s">
        <v>1526</v>
      </c>
      <c r="B3618" s="21" t="s">
        <v>1161</v>
      </c>
      <c r="C3618" s="21" t="s">
        <v>1234</v>
      </c>
      <c r="D3618" s="21" t="s">
        <v>1144</v>
      </c>
      <c r="E3618" s="22">
        <f>IF(D3618="?OLD","!!!","")</f>
        <v/>
      </c>
      <c r="F3618" s="23" t="str">
        <f>IF(OR(E3618="",E3618="!!!"),"",IF(NOT(ISNA(VLOOKUP(E3618,E$1:E3617,1,FALSE()))),"OLD",IF(AND(E3618&lt;&gt;"",E3618&lt;&gt;"!!!"),"NEW","")))</f>
        <v> </v>
      </c>
      <c r="G3618" s="24" t="str">
        <f>IF(OR(E3618="",E3618="!!!"),"",IF(OR(J3618=0,AND(J3618=1,K3618=1),AND(J3618=1,I3618="SBJ"),AND(J3618=1,I3618=0)),"?IN_FOCUS",IF(J3618&lt;=2,"?ACTIVATED",IF(J3618&lt;&gt;"","?FAMILIAR",IF(F3618="NEW",IF(ISNA(VLOOKUP(E3618,#REF!,1,FALSE())),"?TYPE_IDENTIFIABLE","?REFERENTIAL"),"_")))))</f>
        <v> </v>
      </c>
      <c r="H3618" s="25" t="str">
        <f>IF(J3618&lt;&gt;1,"",IF(I3618="SBJ","CB","?"))</f>
        <v> </v>
      </c>
      <c r="I3618" s="26" t="str">
        <f>IF(OR(E3618="",E3618="!!!",F3618="NEW"),"",INDEX(B3617:B$2,-1+SUMPRODUCT(MAX(ROW(E3617:E$2)*(E3618=E3617:E$2)))))</f>
        <v> </v>
      </c>
      <c r="J3618" s="26" t="str">
        <f>IF(OR(E3618="",E3618="!!!",F3618="NEW"),"",COUNTBLANK(OFFSET(A$1,,,SUMPRODUCT(MAX(ROW(E$2:E3618)*(E3618=E$2:E3618)))))-COUNTBLANK(OFFSET(A$1,,,SUMPRODUCT(MAX(ROW(E$1:E3617)*(E2=E$1:E3617))))))</f>
        <v> </v>
      </c>
      <c r="K3618" s="26" t="str">
        <f>IF(OR(E3618="",E3618="!!!",F3618="NEW"),"",INDEX(J$1:J3617,SUMPRODUCT(MAX(ROW(E$1:E3617)*(E3618=E$1:E3617)))))</f>
        <v> </v>
      </c>
      <c r="L3618" s="27"/>
    </row>
    <row r="3619" spans="1:12">
      <c r="A3619" s="20" t="s">
        <v>1166</v>
      </c>
      <c r="E3619" s="22">
        <f>IF(D3619="?OLD","!!!","")</f>
        <v/>
      </c>
      <c r="F3619" s="23" t="str">
        <f>IF(OR(E3619="",E3619="!!!"),"",IF(NOT(ISNA(VLOOKUP(E3619,E$1:E3618,1,FALSE()))),"OLD",IF(AND(E3619&lt;&gt;"",E3619&lt;&gt;"!!!"),"NEW","")))</f>
        <v> </v>
      </c>
      <c r="G3619" s="24" t="str">
        <f>IF(OR(E3619="",E3619="!!!"),"",IF(OR(J3619=0,AND(J3619=1,K3619=1),AND(J3619=1,I3619="SBJ"),AND(J3619=1,I3619=0)),"?IN_FOCUS",IF(J3619&lt;=2,"?ACTIVATED",IF(J3619&lt;&gt;"","?FAMILIAR",IF(F3619="NEW",IF(ISNA(VLOOKUP(E3619,#REF!,1,FALSE())),"?TYPE_IDENTIFIABLE","?REFERENTIAL"),"_")))))</f>
        <v> </v>
      </c>
      <c r="H3619" s="25" t="str">
        <f>IF(J3619&lt;&gt;1,"",IF(I3619="SBJ","CB","?"))</f>
        <v> </v>
      </c>
      <c r="I3619" s="26" t="str">
        <f>IF(OR(E3619="",E3619="!!!",F3619="NEW"),"",INDEX(B3618:B$2,-1+SUMPRODUCT(MAX(ROW(E3618:E$2)*(E3619=E3618:E$2)))))</f>
        <v> </v>
      </c>
      <c r="J3619" s="26" t="str">
        <f>IF(OR(E3619="",E3619="!!!",F3619="NEW"),"",COUNTBLANK(OFFSET(A$1,,,SUMPRODUCT(MAX(ROW(E$2:E3619)*(E3619=E$2:E3619)))))-COUNTBLANK(OFFSET(A$1,,,SUMPRODUCT(MAX(ROW(E$1:E3618)*(E2=E$1:E3618))))))</f>
        <v> </v>
      </c>
      <c r="K3619" s="26" t="str">
        <f>IF(OR(E3619="",E3619="!!!",F3619="NEW"),"",INDEX(J$1:J3618,SUMPRODUCT(MAX(ROW(E$1:E3618)*(E3619=E$1:E3618)))))</f>
        <v> </v>
      </c>
      <c r="L3619" s="27"/>
    </row>
    <row r="3620" spans="1:12">
      <c r="A3620" s="20" t="s">
        <v>60</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1261</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t="s">
        <v>2247</v>
      </c>
      <c r="E3622" s="22">
        <f>IF(D3622="?OLD","!!!","")</f>
        <v/>
      </c>
      <c r="F3622" s="23" t="str">
        <f>IF(OR(E3622="",E3622="!!!"),"",IF(NOT(ISNA(VLOOKUP(E3622,E$1:E3621,1,FALSE()))),"OLD",IF(AND(E3622&lt;&gt;"",E3622&lt;&gt;"!!!"),"NEW","")))</f>
        <v> </v>
      </c>
      <c r="G3622" s="24" t="str">
        <f>IF(OR(E3622="",E3622="!!!"),"",IF(OR(J3622=0,AND(J3622=1,K3622=1),AND(J3622=1,I3622="SBJ"),AND(J3622=1,I3622=0)),"?IN_FOCUS",IF(J3622&lt;=2,"?ACTIVATED",IF(J3622&lt;&gt;"","?FAMILIAR",IF(F3622="NEW",IF(ISNA(VLOOKUP(E3622,#REF!,1,FALSE())),"?TYPE_IDENTIFIABLE","?REFERENTIAL"),"_")))))</f>
        <v> </v>
      </c>
      <c r="H3622" s="25" t="str">
        <f>IF(J3622&lt;&gt;1,"",IF(I3622="SBJ","CB","?"))</f>
        <v> </v>
      </c>
      <c r="I3622" s="26" t="str">
        <f>IF(OR(E3622="",E3622="!!!",F3622="NEW"),"",INDEX(B3621:B$2,-1+SUMPRODUCT(MAX(ROW(E3621:E$2)*(E3622=E3621:E$2)))))</f>
        <v> </v>
      </c>
      <c r="J3622" s="26" t="str">
        <f>IF(OR(E3622="",E3622="!!!",F3622="NEW"),"",COUNTBLANK(OFFSET(A$1,,,SUMPRODUCT(MAX(ROW(E$2:E3622)*(E3622=E$2:E3622)))))-COUNTBLANK(OFFSET(A$1,,,SUMPRODUCT(MAX(ROW(E$1:E3621)*(E2=E$1:E3621))))))</f>
        <v> </v>
      </c>
      <c r="K3622" s="26" t="str">
        <f>IF(OR(E3622="",E3622="!!!",F3622="NEW"),"",INDEX(J$1:J3621,SUMPRODUCT(MAX(ROW(E$1:E3621)*(E3622=E$1:E3621)))))</f>
        <v> </v>
      </c>
      <c r="L3622" s="27"/>
    </row>
    <row r="3623" spans="1:12">
      <c r="A3623" s="20" t="s">
        <v>1238</v>
      </c>
      <c r="E3623" s="22">
        <f>IF(D3623="?OLD","!!!","")</f>
        <v/>
      </c>
      <c r="F3623" s="23" t="str">
        <f>IF(OR(E3623="",E3623="!!!"),"",IF(NOT(ISNA(VLOOKUP(E3623,E$1:E3622,1,FALSE()))),"OLD",IF(AND(E3623&lt;&gt;"",E3623&lt;&gt;"!!!"),"NEW","")))</f>
        <v> </v>
      </c>
      <c r="G3623" s="24" t="str">
        <f>IF(OR(E3623="",E3623="!!!"),"",IF(OR(J3623=0,AND(J3623=1,K3623=1),AND(J3623=1,I3623="SBJ"),AND(J3623=1,I3623=0)),"?IN_FOCUS",IF(J3623&lt;=2,"?ACTIVATED",IF(J3623&lt;&gt;"","?FAMILIAR",IF(F3623="NEW",IF(ISNA(VLOOKUP(E3623,#REF!,1,FALSE())),"?TYPE_IDENTIFIABLE","?REFERENTIAL"),"_")))))</f>
        <v> </v>
      </c>
      <c r="H3623" s="25" t="str">
        <f>IF(J3623&lt;&gt;1,"",IF(I3623="SBJ","CB","?"))</f>
        <v> </v>
      </c>
      <c r="I3623" s="26" t="str">
        <f>IF(OR(E3623="",E3623="!!!",F3623="NEW"),"",INDEX(B3622:B$2,-1+SUMPRODUCT(MAX(ROW(E3622:E$2)*(E3623=E3622:E$2)))))</f>
        <v> </v>
      </c>
      <c r="J3623" s="26" t="str">
        <f>IF(OR(E3623="",E3623="!!!",F3623="NEW"),"",COUNTBLANK(OFFSET(A$1,,,SUMPRODUCT(MAX(ROW(E$2:E3623)*(E3623=E$2:E3623)))))-COUNTBLANK(OFFSET(A$1,,,SUMPRODUCT(MAX(ROW(E$1:E3622)*(E2=E$1:E3622))))))</f>
        <v> </v>
      </c>
      <c r="K3623" s="26" t="str">
        <f>IF(OR(E3623="",E3623="!!!",F3623="NEW"),"",INDEX(J$1:J3622,SUMPRODUCT(MAX(ROW(E$1:E3622)*(E3623=E$1:E3622)))))</f>
        <v> </v>
      </c>
      <c r="L3623" s="27"/>
    </row>
    <row r="3624" spans="1:12">
      <c r="A3624" s="20" t="s">
        <v>2248</v>
      </c>
      <c r="B3624" s="21" t="s">
        <v>1150</v>
      </c>
      <c r="C3624" s="21" t="s">
        <v>1162</v>
      </c>
      <c r="D3624" s="21" t="s">
        <v>1144</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1314</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t="s">
        <v>312</v>
      </c>
      <c r="E3626" s="22">
        <f>IF(D3626="?OLD","!!!","")</f>
        <v/>
      </c>
      <c r="F3626" s="23" t="str">
        <f>IF(OR(E3626="",E3626="!!!"),"",IF(NOT(ISNA(VLOOKUP(E3626,E$1:E3625,1,FALSE()))),"OLD",IF(AND(E3626&lt;&gt;"",E3626&lt;&gt;"!!!"),"NEW","")))</f>
        <v> </v>
      </c>
      <c r="G3626" s="24" t="str">
        <f>IF(OR(E3626="",E3626="!!!"),"",IF(OR(J3626=0,AND(J3626=1,K3626=1),AND(J3626=1,I3626="SBJ"),AND(J3626=1,I3626=0)),"?IN_FOCUS",IF(J3626&lt;=2,"?ACTIVATED",IF(J3626&lt;&gt;"","?FAMILIAR",IF(F3626="NEW",IF(ISNA(VLOOKUP(E3626,#REF!,1,FALSE())),"?TYPE_IDENTIFIABLE","?REFERENTIAL"),"_")))))</f>
        <v> </v>
      </c>
      <c r="H3626" s="25" t="str">
        <f>IF(J3626&lt;&gt;1,"",IF(I3626="SBJ","CB","?"))</f>
        <v> </v>
      </c>
      <c r="I3626" s="26" t="str">
        <f>IF(OR(E3626="",E3626="!!!",F3626="NEW"),"",INDEX(B3625:B$2,-1+SUMPRODUCT(MAX(ROW(E3625:E$2)*(E3626=E3625:E$2)))))</f>
        <v> </v>
      </c>
      <c r="J3626" s="26" t="str">
        <f>IF(OR(E3626="",E3626="!!!",F3626="NEW"),"",COUNTBLANK(OFFSET(A$1,,,SUMPRODUCT(MAX(ROW(E$2:E3626)*(E3626=E$2:E3626)))))-COUNTBLANK(OFFSET(A$1,,,SUMPRODUCT(MAX(ROW(E$1:E3625)*(E2=E$1:E3625))))))</f>
        <v> </v>
      </c>
      <c r="K3626" s="26" t="str">
        <f>IF(OR(E3626="",E3626="!!!",F3626="NEW"),"",INDEX(J$1:J3625,SUMPRODUCT(MAX(ROW(E$1:E3625)*(E3626=E$1:E3625)))))</f>
        <v> </v>
      </c>
      <c r="L3626" s="27"/>
    </row>
    <row r="3627" spans="1:12">
      <c r="A3627" s="20"/>
    </row>
    <row r="3628" spans="1:12">
      <c r="A3628" s="20" t="s">
        <v>2249</v>
      </c>
    </row>
    <row r="3629" spans="1:12">
      <c r="A3629" s="20" t="s">
        <v>198</v>
      </c>
      <c r="B3629" s="21" t="s">
        <v>1165</v>
      </c>
      <c r="C3629" s="21" t="s">
        <v>1143</v>
      </c>
      <c r="D3629" s="21" t="s">
        <v>1144</v>
      </c>
      <c r="E3629" s="22">
        <f>IF(D3629="?OLD","!!!","")</f>
        <v/>
      </c>
      <c r="F3629" s="23" t="str">
        <f>IF(OR(E3629="",E3629="!!!"),"",IF(NOT(ISNA(VLOOKUP(E3629,E$1:E3628,1,FALSE()))),"OLD",IF(AND(E3629&lt;&gt;"",E3629&lt;&gt;"!!!"),"NEW","")))</f>
        <v> </v>
      </c>
      <c r="G3629" s="24" t="str">
        <f>IF(OR(E3629="",E3629="!!!"),"",IF(OR(J3629=0,AND(J3629=1,K3629=1),AND(J3629=1,I3629="SBJ"),AND(J3629=1,I3629=0)),"?IN_FOCUS",IF(J3629&lt;=2,"?ACTIVATED",IF(J3629&lt;&gt;"","?FAMILIAR",IF(F3629="NEW",IF(ISNA(VLOOKUP(E3629,#REF!,1,FALSE())),"?TYPE_IDENTIFIABLE","?REFERENTIAL"),"_")))))</f>
        <v> </v>
      </c>
      <c r="H3629" s="25" t="str">
        <f>IF(J3629&lt;&gt;1,"",IF(I3629="SBJ","CB","?"))</f>
        <v> </v>
      </c>
      <c r="I3629" s="26" t="str">
        <f>IF(OR(E3629="",E3629="!!!",F3629="NEW"),"",INDEX(B3628:B$2,-1+SUMPRODUCT(MAX(ROW(E3628:E$2)*(E3629=E3628:E$2)))))</f>
        <v> </v>
      </c>
      <c r="J3629" s="26" t="str">
        <f>IF(OR(E3629="",E3629="!!!",F3629="NEW"),"",COUNTBLANK(OFFSET(A$1,,,SUMPRODUCT(MAX(ROW(E$2:E3629)*(E3629=E$2:E3629)))))-COUNTBLANK(OFFSET(A$1,,,SUMPRODUCT(MAX(ROW(E$1:E3628)*(E2=E$1:E3628))))))</f>
        <v> </v>
      </c>
      <c r="K3629" s="26" t="str">
        <f>IF(OR(E3629="",E3629="!!!",F3629="NEW"),"",INDEX(J$1:J3628,SUMPRODUCT(MAX(ROW(E$1:E3628)*(E3629=E$1:E3628)))))</f>
        <v> </v>
      </c>
      <c r="L3629" s="27"/>
    </row>
    <row r="3630" spans="1:12">
      <c r="A3630" s="20" t="s">
        <v>1146</v>
      </c>
      <c r="E3630" s="22">
        <f>IF(D3630="?OLD","!!!","")</f>
        <v/>
      </c>
      <c r="F3630" s="23" t="str">
        <f>IF(OR(E3630="",E3630="!!!"),"",IF(NOT(ISNA(VLOOKUP(E3630,E$1:E3629,1,FALSE()))),"OLD",IF(AND(E3630&lt;&gt;"",E3630&lt;&gt;"!!!"),"NEW","")))</f>
        <v> </v>
      </c>
      <c r="G3630" s="24" t="str">
        <f>IF(OR(E3630="",E3630="!!!"),"",IF(OR(J3630=0,AND(J3630=1,K3630=1),AND(J3630=1,I3630="SBJ"),AND(J3630=1,I3630=0)),"?IN_FOCUS",IF(J3630&lt;=2,"?ACTIVATED",IF(J3630&lt;&gt;"","?FAMILIAR",IF(F3630="NEW",IF(ISNA(VLOOKUP(E3630,#REF!,1,FALSE())),"?TYPE_IDENTIFIABLE","?REFERENTIAL"),"_")))))</f>
        <v> </v>
      </c>
      <c r="H3630" s="25" t="str">
        <f>IF(J3630&lt;&gt;1,"",IF(I3630="SBJ","CB","?"))</f>
        <v> </v>
      </c>
      <c r="I3630" s="26" t="str">
        <f>IF(OR(E3630="",E3630="!!!",F3630="NEW"),"",INDEX(B3629:B$2,-1+SUMPRODUCT(MAX(ROW(E3629:E$2)*(E3630=E3629:E$2)))))</f>
        <v> </v>
      </c>
      <c r="J3630" s="26" t="str">
        <f>IF(OR(E3630="",E3630="!!!",F3630="NEW"),"",COUNTBLANK(OFFSET(A$1,,,SUMPRODUCT(MAX(ROW(E$2:E3630)*(E3630=E$2:E3630)))))-COUNTBLANK(OFFSET(A$1,,,SUMPRODUCT(MAX(ROW(E$1:E3629)*(E2=E$1:E3629))))))</f>
        <v> </v>
      </c>
      <c r="K3630" s="26" t="str">
        <f>IF(OR(E3630="",E3630="!!!",F3630="NEW"),"",INDEX(J$1:J3629,SUMPRODUCT(MAX(ROW(E$1:E3629)*(E3630=E$1:E3629)))))</f>
        <v> </v>
      </c>
      <c r="L3630" s="27"/>
    </row>
    <row r="3631" spans="1:12">
      <c r="A3631" s="20" t="s">
        <v>1189</v>
      </c>
      <c r="B3631" s="21" t="s">
        <v>1165</v>
      </c>
      <c r="C3631" s="21" t="s">
        <v>1151</v>
      </c>
      <c r="D3631" s="21" t="s">
        <v>1144</v>
      </c>
      <c r="E3631" s="22">
        <f>IF(D3631="?OLD","!!!","")</f>
        <v/>
      </c>
      <c r="F3631" s="23" t="str">
        <f>IF(OR(E3631="",E3631="!!!"),"",IF(NOT(ISNA(VLOOKUP(E3631,E$1:E3630,1,FALSE()))),"OLD",IF(AND(E3631&lt;&gt;"",E3631&lt;&gt;"!!!"),"NEW","")))</f>
        <v> </v>
      </c>
      <c r="G3631" s="24" t="str">
        <f>IF(OR(E3631="",E3631="!!!"),"",IF(OR(J3631=0,AND(J3631=1,K3631=1),AND(J3631=1,I3631="SBJ"),AND(J3631=1,I3631=0)),"?IN_FOCUS",IF(J3631&lt;=2,"?ACTIVATED",IF(J3631&lt;&gt;"","?FAMILIAR",IF(F3631="NEW",IF(ISNA(VLOOKUP(E3631,#REF!,1,FALSE())),"?TYPE_IDENTIFIABLE","?REFERENTIAL"),"_")))))</f>
        <v> </v>
      </c>
      <c r="H3631" s="25" t="str">
        <f>IF(J3631&lt;&gt;1,"",IF(I3631="SBJ","CB","?"))</f>
        <v> </v>
      </c>
      <c r="I3631" s="26" t="str">
        <f>IF(OR(E3631="",E3631="!!!",F3631="NEW"),"",INDEX(B3630:B$2,-1+SUMPRODUCT(MAX(ROW(E3630:E$2)*(E3631=E3630:E$2)))))</f>
        <v> </v>
      </c>
      <c r="J3631" s="26" t="str">
        <f>IF(OR(E3631="",E3631="!!!",F3631="NEW"),"",COUNTBLANK(OFFSET(A$1,,,SUMPRODUCT(MAX(ROW(E$2:E3631)*(E3631=E$2:E3631)))))-COUNTBLANK(OFFSET(A$1,,,SUMPRODUCT(MAX(ROW(E$1:E3630)*(E2=E$1:E3630))))))</f>
        <v> </v>
      </c>
      <c r="K3631" s="26" t="str">
        <f>IF(OR(E3631="",E3631="!!!",F3631="NEW"),"",INDEX(J$1:J3630,SUMPRODUCT(MAX(ROW(E$1:E3630)*(E3631=E$1:E3630)))))</f>
        <v> </v>
      </c>
      <c r="L3631" s="27"/>
    </row>
    <row r="3632" spans="1:12">
      <c r="A3632" s="20" t="s">
        <v>1384</v>
      </c>
      <c r="E3632" s="22">
        <f>IF(D3632="?OLD","!!!","")</f>
        <v/>
      </c>
      <c r="F3632" s="23" t="str">
        <f>IF(OR(E3632="",E3632="!!!"),"",IF(NOT(ISNA(VLOOKUP(E3632,E$1:E3631,1,FALSE()))),"OLD",IF(AND(E3632&lt;&gt;"",E3632&lt;&gt;"!!!"),"NEW","")))</f>
        <v> </v>
      </c>
      <c r="G3632" s="24" t="str">
        <f>IF(OR(E3632="",E3632="!!!"),"",IF(OR(J3632=0,AND(J3632=1,K3632=1),AND(J3632=1,I3632="SBJ"),AND(J3632=1,I3632=0)),"?IN_FOCUS",IF(J3632&lt;=2,"?ACTIVATED",IF(J3632&lt;&gt;"","?FAMILIAR",IF(F3632="NEW",IF(ISNA(VLOOKUP(E3632,#REF!,1,FALSE())),"?TYPE_IDENTIFIABLE","?REFERENTIAL"),"_")))))</f>
        <v> </v>
      </c>
      <c r="H3632" s="25" t="str">
        <f>IF(J3632&lt;&gt;1,"",IF(I3632="SBJ","CB","?"))</f>
        <v> </v>
      </c>
      <c r="I3632" s="26" t="str">
        <f>IF(OR(E3632="",E3632="!!!",F3632="NEW"),"",INDEX(B3631:B$2,-1+SUMPRODUCT(MAX(ROW(E3631:E$2)*(E3632=E3631:E$2)))))</f>
        <v> </v>
      </c>
      <c r="J3632" s="26" t="str">
        <f>IF(OR(E3632="",E3632="!!!",F3632="NEW"),"",COUNTBLANK(OFFSET(A$1,,,SUMPRODUCT(MAX(ROW(E$2:E3632)*(E3632=E$2:E3632)))))-COUNTBLANK(OFFSET(A$1,,,SUMPRODUCT(MAX(ROW(E$1:E3631)*(E2=E$1:E3631))))))</f>
        <v> </v>
      </c>
      <c r="K3632" s="26" t="str">
        <f>IF(OR(E3632="",E3632="!!!",F3632="NEW"),"",INDEX(J$1:J3631,SUMPRODUCT(MAX(ROW(E$1:E3631)*(E3632=E$1:E3631)))))</f>
        <v> </v>
      </c>
      <c r="L3632" s="27"/>
    </row>
    <row r="3633" spans="1:12">
      <c r="A3633" s="20" t="s">
        <v>1387</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t="s">
        <v>2250</v>
      </c>
      <c r="E3634" s="22">
        <f>IF(D3634="?OLD","!!!","")</f>
        <v/>
      </c>
      <c r="F3634" s="23" t="str">
        <f>IF(OR(E3634="",E3634="!!!"),"",IF(NOT(ISNA(VLOOKUP(E3634,E$1:E3633,1,FALSE()))),"OLD",IF(AND(E3634&lt;&gt;"",E3634&lt;&gt;"!!!"),"NEW","")))</f>
        <v> </v>
      </c>
      <c r="G3634" s="24" t="str">
        <f>IF(OR(E3634="",E3634="!!!"),"",IF(OR(J3634=0,AND(J3634=1,K3634=1),AND(J3634=1,I3634="SBJ"),AND(J3634=1,I3634=0)),"?IN_FOCUS",IF(J3634&lt;=2,"?ACTIVATED",IF(J3634&lt;&gt;"","?FAMILIAR",IF(F3634="NEW",IF(ISNA(VLOOKUP(E3634,#REF!,1,FALSE())),"?TYPE_IDENTIFIABLE","?REFERENTIAL"),"_")))))</f>
        <v> </v>
      </c>
      <c r="H3634" s="25" t="str">
        <f>IF(J3634&lt;&gt;1,"",IF(I3634="SBJ","CB","?"))</f>
        <v> </v>
      </c>
      <c r="I3634" s="26" t="str">
        <f>IF(OR(E3634="",E3634="!!!",F3634="NEW"),"",INDEX(B3633:B$2,-1+SUMPRODUCT(MAX(ROW(E3633:E$2)*(E3634=E3633:E$2)))))</f>
        <v> </v>
      </c>
      <c r="J3634" s="26" t="str">
        <f>IF(OR(E3634="",E3634="!!!",F3634="NEW"),"",COUNTBLANK(OFFSET(A$1,,,SUMPRODUCT(MAX(ROW(E$2:E3634)*(E3634=E$2:E3634)))))-COUNTBLANK(OFFSET(A$1,,,SUMPRODUCT(MAX(ROW(E$1:E3633)*(E2=E$1:E3633))))))</f>
        <v> </v>
      </c>
      <c r="K3634" s="26" t="str">
        <f>IF(OR(E3634="",E3634="!!!",F3634="NEW"),"",INDEX(J$1:J3633,SUMPRODUCT(MAX(ROW(E$1:E3633)*(E3634=E$1:E3633)))))</f>
        <v> </v>
      </c>
      <c r="L3634" s="27"/>
    </row>
    <row r="3635" spans="1:12">
      <c r="A3635" s="20" t="s">
        <v>889</v>
      </c>
      <c r="E3635" s="22">
        <f>IF(D3635="?OLD","!!!","")</f>
        <v/>
      </c>
      <c r="F3635" s="23" t="str">
        <f>IF(OR(E3635="",E3635="!!!"),"",IF(NOT(ISNA(VLOOKUP(E3635,E$1:E3634,1,FALSE()))),"OLD",IF(AND(E3635&lt;&gt;"",E3635&lt;&gt;"!!!"),"NEW","")))</f>
        <v> </v>
      </c>
      <c r="G3635" s="24" t="str">
        <f>IF(OR(E3635="",E3635="!!!"),"",IF(OR(J3635=0,AND(J3635=1,K3635=1),AND(J3635=1,I3635="SBJ"),AND(J3635=1,I3635=0)),"?IN_FOCUS",IF(J3635&lt;=2,"?ACTIVATED",IF(J3635&lt;&gt;"","?FAMILIAR",IF(F3635="NEW",IF(ISNA(VLOOKUP(E3635,#REF!,1,FALSE())),"?TYPE_IDENTIFIABLE","?REFERENTIAL"),"_")))))</f>
        <v> </v>
      </c>
      <c r="H3635" s="25" t="str">
        <f>IF(J3635&lt;&gt;1,"",IF(I3635="SBJ","CB","?"))</f>
        <v> </v>
      </c>
      <c r="I3635" s="26" t="str">
        <f>IF(OR(E3635="",E3635="!!!",F3635="NEW"),"",INDEX(B3634:B$2,-1+SUMPRODUCT(MAX(ROW(E3634:E$2)*(E3635=E3634:E$2)))))</f>
        <v> </v>
      </c>
      <c r="J3635" s="26" t="str">
        <f>IF(OR(E3635="",E3635="!!!",F3635="NEW"),"",COUNTBLANK(OFFSET(A$1,,,SUMPRODUCT(MAX(ROW(E$2:E3635)*(E3635=E$2:E3635)))))-COUNTBLANK(OFFSET(A$1,,,SUMPRODUCT(MAX(ROW(E$1:E3634)*(E2=E$1:E3634))))))</f>
        <v> </v>
      </c>
      <c r="K3635" s="26" t="str">
        <f>IF(OR(E3635="",E3635="!!!",F3635="NEW"),"",INDEX(J$1:J3634,SUMPRODUCT(MAX(ROW(E$1:E3634)*(E3635=E$1:E3634)))))</f>
        <v> </v>
      </c>
      <c r="L3635" s="27"/>
    </row>
    <row r="3636" spans="1:12">
      <c r="A3636" s="20" t="s">
        <v>1146</v>
      </c>
      <c r="E3636" s="22">
        <f>IF(D3636="?OLD","!!!","")</f>
        <v/>
      </c>
      <c r="F3636" s="23" t="str">
        <f>IF(OR(E3636="",E3636="!!!"),"",IF(NOT(ISNA(VLOOKUP(E3636,E$1:E3635,1,FALSE()))),"OLD",IF(AND(E3636&lt;&gt;"",E3636&lt;&gt;"!!!"),"NEW","")))</f>
        <v> </v>
      </c>
      <c r="G3636" s="24" t="str">
        <f>IF(OR(E3636="",E3636="!!!"),"",IF(OR(J3636=0,AND(J3636=1,K3636=1),AND(J3636=1,I3636="SBJ"),AND(J3636=1,I3636=0)),"?IN_FOCUS",IF(J3636&lt;=2,"?ACTIVATED",IF(J3636&lt;&gt;"","?FAMILIAR",IF(F3636="NEW",IF(ISNA(VLOOKUP(E3636,#REF!,1,FALSE())),"?TYPE_IDENTIFIABLE","?REFERENTIAL"),"_")))))</f>
        <v> </v>
      </c>
      <c r="H3636" s="25" t="str">
        <f>IF(J3636&lt;&gt;1,"",IF(I3636="SBJ","CB","?"))</f>
        <v> </v>
      </c>
      <c r="I3636" s="26" t="str">
        <f>IF(OR(E3636="",E3636="!!!",F3636="NEW"),"",INDEX(B3635:B$2,-1+SUMPRODUCT(MAX(ROW(E3635:E$2)*(E3636=E3635:E$2)))))</f>
        <v> </v>
      </c>
      <c r="J3636" s="26" t="str">
        <f>IF(OR(E3636="",E3636="!!!",F3636="NEW"),"",COUNTBLANK(OFFSET(A$1,,,SUMPRODUCT(MAX(ROW(E$2:E3636)*(E3636=E$2:E3636)))))-COUNTBLANK(OFFSET(A$1,,,SUMPRODUCT(MAX(ROW(E$1:E3635)*(E2=E$1:E3635))))))</f>
        <v> </v>
      </c>
      <c r="K3636" s="26" t="str">
        <f>IF(OR(E3636="",E3636="!!!",F3636="NEW"),"",INDEX(J$1:J3635,SUMPRODUCT(MAX(ROW(E$1:E3635)*(E3636=E$1:E3635)))))</f>
        <v> </v>
      </c>
      <c r="L3636" s="27"/>
    </row>
    <row r="3637" spans="1:12">
      <c r="A3637" s="20" t="s">
        <v>2251</v>
      </c>
      <c r="B3637" s="21" t="s">
        <v>1161</v>
      </c>
      <c r="C3637" s="21" t="s">
        <v>1143</v>
      </c>
      <c r="D3637" s="21" t="s">
        <v>1144</v>
      </c>
      <c r="E3637" s="22">
        <f>IF(D3637="?OLD","!!!","")</f>
        <v/>
      </c>
      <c r="F3637" s="23" t="str">
        <f>IF(OR(E3637="",E3637="!!!"),"",IF(NOT(ISNA(VLOOKUP(E3637,E$1:E3636,1,FALSE()))),"OLD",IF(AND(E3637&lt;&gt;"",E3637&lt;&gt;"!!!"),"NEW","")))</f>
        <v> </v>
      </c>
      <c r="G3637" s="24" t="str">
        <f>IF(OR(E3637="",E3637="!!!"),"",IF(OR(J3637=0,AND(J3637=1,K3637=1),AND(J3637=1,I3637="SBJ"),AND(J3637=1,I3637=0)),"?IN_FOCUS",IF(J3637&lt;=2,"?ACTIVATED",IF(J3637&lt;&gt;"","?FAMILIAR",IF(F3637="NEW",IF(ISNA(VLOOKUP(E3637,#REF!,1,FALSE())),"?TYPE_IDENTIFIABLE","?REFERENTIAL"),"_")))))</f>
        <v> </v>
      </c>
      <c r="H3637" s="25" t="str">
        <f>IF(J3637&lt;&gt;1,"",IF(I3637="SBJ","CB","?"))</f>
        <v> </v>
      </c>
      <c r="I3637" s="26" t="str">
        <f>IF(OR(E3637="",E3637="!!!",F3637="NEW"),"",INDEX(B3636:B$2,-1+SUMPRODUCT(MAX(ROW(E3636:E$2)*(E3637=E3636:E$2)))))</f>
        <v> </v>
      </c>
      <c r="J3637" s="26" t="str">
        <f>IF(OR(E3637="",E3637="!!!",F3637="NEW"),"",COUNTBLANK(OFFSET(A$1,,,SUMPRODUCT(MAX(ROW(E$2:E3637)*(E3637=E$2:E3637)))))-COUNTBLANK(OFFSET(A$1,,,SUMPRODUCT(MAX(ROW(E$1:E3636)*(E2=E$1:E3636))))))</f>
        <v> </v>
      </c>
      <c r="K3637" s="26" t="str">
        <f>IF(OR(E3637="",E3637="!!!",F3637="NEW"),"",INDEX(J$1:J3636,SUMPRODUCT(MAX(ROW(E$1:E3636)*(E3637=E$1:E3636)))))</f>
        <v> </v>
      </c>
      <c r="L3637" s="27"/>
    </row>
    <row r="3638" spans="1:12">
      <c r="A3638" s="20" t="s">
        <v>1149</v>
      </c>
      <c r="B3638" s="21" t="s">
        <v>1193</v>
      </c>
      <c r="C3638" s="21" t="s">
        <v>1151</v>
      </c>
      <c r="D3638" s="21" t="s">
        <v>1144</v>
      </c>
      <c r="E3638" s="22">
        <f>IF(D3638="?OLD","!!!","")</f>
        <v/>
      </c>
      <c r="F3638" s="23" t="str">
        <f>IF(OR(E3638="",E3638="!!!"),"",IF(NOT(ISNA(VLOOKUP(E3638,E$1:E3637,1,FALSE()))),"OLD",IF(AND(E3638&lt;&gt;"",E3638&lt;&gt;"!!!"),"NEW","")))</f>
        <v> </v>
      </c>
      <c r="G3638" s="24" t="str">
        <f>IF(OR(E3638="",E3638="!!!"),"",IF(OR(J3638=0,AND(J3638=1,K3638=1),AND(J3638=1,I3638="SBJ"),AND(J3638=1,I3638=0)),"?IN_FOCUS",IF(J3638&lt;=2,"?ACTIVATED",IF(J3638&lt;&gt;"","?FAMILIAR",IF(F3638="NEW",IF(ISNA(VLOOKUP(E3638,#REF!,1,FALSE())),"?TYPE_IDENTIFIABLE","?REFERENTIAL"),"_")))))</f>
        <v> </v>
      </c>
      <c r="H3638" s="25" t="str">
        <f>IF(J3638&lt;&gt;1,"",IF(I3638="SBJ","CB","?"))</f>
        <v> </v>
      </c>
      <c r="I3638" s="26" t="str">
        <f>IF(OR(E3638="",E3638="!!!",F3638="NEW"),"",INDEX(B3637:B$2,-1+SUMPRODUCT(MAX(ROW(E3637:E$2)*(E3638=E3637:E$2)))))</f>
        <v> </v>
      </c>
      <c r="J3638" s="26" t="str">
        <f>IF(OR(E3638="",E3638="!!!",F3638="NEW"),"",COUNTBLANK(OFFSET(A$1,,,SUMPRODUCT(MAX(ROW(E$2:E3638)*(E3638=E$2:E3638)))))-COUNTBLANK(OFFSET(A$1,,,SUMPRODUCT(MAX(ROW(E$1:E3637)*(E2=E$1:E3637))))))</f>
        <v> </v>
      </c>
      <c r="K3638" s="26" t="str">
        <f>IF(OR(E3638="",E3638="!!!",F3638="NEW"),"",INDEX(J$1:J3637,SUMPRODUCT(MAX(ROW(E$1:E3637)*(E3638=E$1:E3637)))))</f>
        <v> </v>
      </c>
      <c r="L3638" s="27"/>
    </row>
    <row r="3639" spans="1:12">
      <c r="A3639" s="20" t="s">
        <v>1206</v>
      </c>
      <c r="B3639" s="21" t="s">
        <v>1150</v>
      </c>
      <c r="C3639" s="21" t="s">
        <v>1182</v>
      </c>
      <c r="E3639" s="22">
        <f>IF(D3639="?OLD","!!!","")</f>
        <v/>
      </c>
      <c r="F3639" s="23" t="str">
        <f>IF(OR(E3639="",E3639="!!!"),"",IF(NOT(ISNA(VLOOKUP(E3639,E$1:E3638,1,FALSE()))),"OLD",IF(AND(E3639&lt;&gt;"",E3639&lt;&gt;"!!!"),"NEW","")))</f>
        <v> </v>
      </c>
      <c r="G3639" s="24" t="str">
        <f>IF(OR(E3639="",E3639="!!!"),"",IF(OR(J3639=0,AND(J3639=1,K3639=1),AND(J3639=1,I3639="SBJ"),AND(J3639=1,I3639=0)),"?IN_FOCUS",IF(J3639&lt;=2,"?ACTIVATED",IF(J3639&lt;&gt;"","?FAMILIAR",IF(F3639="NEW",IF(ISNA(VLOOKUP(E3639,#REF!,1,FALSE())),"?TYPE_IDENTIFIABLE","?REFERENTIAL"),"_")))))</f>
        <v> </v>
      </c>
      <c r="H3639" s="25" t="str">
        <f>IF(J3639&lt;&gt;1,"",IF(I3639="SBJ","CB","?"))</f>
        <v> </v>
      </c>
      <c r="I3639" s="26" t="str">
        <f>IF(OR(E3639="",E3639="!!!",F3639="NEW"),"",INDEX(B3638:B$2,-1+SUMPRODUCT(MAX(ROW(E3638:E$2)*(E3639=E3638:E$2)))))</f>
        <v> </v>
      </c>
      <c r="J3639" s="26" t="str">
        <f>IF(OR(E3639="",E3639="!!!",F3639="NEW"),"",COUNTBLANK(OFFSET(A$1,,,SUMPRODUCT(MAX(ROW(E$2:E3639)*(E3639=E$2:E3639)))))-COUNTBLANK(OFFSET(A$1,,,SUMPRODUCT(MAX(ROW(E$1:E3638)*(E2=E$1:E3638))))))</f>
        <v> </v>
      </c>
      <c r="K3639" s="26" t="str">
        <f>IF(OR(E3639="",E3639="!!!",F3639="NEW"),"",INDEX(J$1:J3638,SUMPRODUCT(MAX(ROW(E$1:E3638)*(E3639=E$1:E3638)))))</f>
        <v> </v>
      </c>
      <c r="L3639" s="27"/>
    </row>
    <row r="3640" spans="1:12">
      <c r="A3640" s="20" t="s">
        <v>1219</v>
      </c>
      <c r="E3640" s="22">
        <f>IF(D3640="?OLD","!!!","")</f>
        <v/>
      </c>
      <c r="F3640" s="23" t="str">
        <f>IF(OR(E3640="",E3640="!!!"),"",IF(NOT(ISNA(VLOOKUP(E3640,E$1:E3639,1,FALSE()))),"OLD",IF(AND(E3640&lt;&gt;"",E3640&lt;&gt;"!!!"),"NEW","")))</f>
        <v> </v>
      </c>
      <c r="G3640" s="24" t="str">
        <f>IF(OR(E3640="",E3640="!!!"),"",IF(OR(J3640=0,AND(J3640=1,K3640=1),AND(J3640=1,I3640="SBJ"),AND(J3640=1,I3640=0)),"?IN_FOCUS",IF(J3640&lt;=2,"?ACTIVATED",IF(J3640&lt;&gt;"","?FAMILIAR",IF(F3640="NEW",IF(ISNA(VLOOKUP(E3640,#REF!,1,FALSE())),"?TYPE_IDENTIFIABLE","?REFERENTIAL"),"_")))))</f>
        <v> </v>
      </c>
      <c r="H3640" s="25" t="str">
        <f>IF(J3640&lt;&gt;1,"",IF(I3640="SBJ","CB","?"))</f>
        <v> </v>
      </c>
      <c r="I3640" s="26" t="str">
        <f>IF(OR(E3640="",E3640="!!!",F3640="NEW"),"",INDEX(B3639:B$2,-1+SUMPRODUCT(MAX(ROW(E3639:E$2)*(E3640=E3639:E$2)))))</f>
        <v> </v>
      </c>
      <c r="J3640" s="26" t="str">
        <f>IF(OR(E3640="",E3640="!!!",F3640="NEW"),"",COUNTBLANK(OFFSET(A$1,,,SUMPRODUCT(MAX(ROW(E$2:E3640)*(E3640=E$2:E3640)))))-COUNTBLANK(OFFSET(A$1,,,SUMPRODUCT(MAX(ROW(E$1:E3639)*(E2=E$1:E3639))))))</f>
        <v> </v>
      </c>
      <c r="K3640" s="26" t="str">
        <f>IF(OR(E3640="",E3640="!!!",F3640="NEW"),"",INDEX(J$1:J3639,SUMPRODUCT(MAX(ROW(E$1:E3639)*(E3640=E$1:E3639)))))</f>
        <v> </v>
      </c>
      <c r="L3640" s="27"/>
    </row>
    <row r="3641" spans="1:12">
      <c r="A3641" s="20" t="s">
        <v>1226</v>
      </c>
      <c r="E3641" s="22">
        <f>IF(D3641="?OLD","!!!","")</f>
        <v/>
      </c>
      <c r="F3641" s="23" t="str">
        <f>IF(OR(E3641="",E3641="!!!"),"",IF(NOT(ISNA(VLOOKUP(E3641,E$1:E3640,1,FALSE()))),"OLD",IF(AND(E3641&lt;&gt;"",E3641&lt;&gt;"!!!"),"NEW","")))</f>
        <v> </v>
      </c>
      <c r="G3641" s="24" t="str">
        <f>IF(OR(E3641="",E3641="!!!"),"",IF(OR(J3641=0,AND(J3641=1,K3641=1),AND(J3641=1,I3641="SBJ"),AND(J3641=1,I3641=0)),"?IN_FOCUS",IF(J3641&lt;=2,"?ACTIVATED",IF(J3641&lt;&gt;"","?FAMILIAR",IF(F3641="NEW",IF(ISNA(VLOOKUP(E3641,#REF!,1,FALSE())),"?TYPE_IDENTIFIABLE","?REFERENTIAL"),"_")))))</f>
        <v> </v>
      </c>
      <c r="H3641" s="25" t="str">
        <f>IF(J3641&lt;&gt;1,"",IF(I3641="SBJ","CB","?"))</f>
        <v> </v>
      </c>
      <c r="I3641" s="26" t="str">
        <f>IF(OR(E3641="",E3641="!!!",F3641="NEW"),"",INDEX(B3640:B$2,-1+SUMPRODUCT(MAX(ROW(E3640:E$2)*(E3641=E3640:E$2)))))</f>
        <v> </v>
      </c>
      <c r="J3641" s="26" t="str">
        <f>IF(OR(E3641="",E3641="!!!",F3641="NEW"),"",COUNTBLANK(OFFSET(A$1,,,SUMPRODUCT(MAX(ROW(E$2:E3641)*(E3641=E$2:E3641)))))-COUNTBLANK(OFFSET(A$1,,,SUMPRODUCT(MAX(ROW(E$1:E3640)*(E2=E$1:E3640))))))</f>
        <v> </v>
      </c>
      <c r="K3641" s="26" t="str">
        <f>IF(OR(E3641="",E3641="!!!",F3641="NEW"),"",INDEX(J$1:J3640,SUMPRODUCT(MAX(ROW(E$1:E3640)*(E3641=E$1:E3640)))))</f>
        <v> </v>
      </c>
      <c r="L3641" s="27"/>
    </row>
    <row r="3642" spans="1:12">
      <c r="A3642" s="20" t="s">
        <v>2252</v>
      </c>
      <c r="E3642" s="22">
        <f>IF(D3642="?OLD","!!!","")</f>
        <v/>
      </c>
      <c r="F3642" s="23" t="str">
        <f>IF(OR(E3642="",E3642="!!!"),"",IF(NOT(ISNA(VLOOKUP(E3642,E$1:E3641,1,FALSE()))),"OLD",IF(AND(E3642&lt;&gt;"",E3642&lt;&gt;"!!!"),"NEW","")))</f>
        <v> </v>
      </c>
      <c r="G3642" s="24" t="str">
        <f>IF(OR(E3642="",E3642="!!!"),"",IF(OR(J3642=0,AND(J3642=1,K3642=1),AND(J3642=1,I3642="SBJ"),AND(J3642=1,I3642=0)),"?IN_FOCUS",IF(J3642&lt;=2,"?ACTIVATED",IF(J3642&lt;&gt;"","?FAMILIAR",IF(F3642="NEW",IF(ISNA(VLOOKUP(E3642,#REF!,1,FALSE())),"?TYPE_IDENTIFIABLE","?REFERENTIAL"),"_")))))</f>
        <v> </v>
      </c>
      <c r="H3642" s="25" t="str">
        <f>IF(J3642&lt;&gt;1,"",IF(I3642="SBJ","CB","?"))</f>
        <v> </v>
      </c>
      <c r="I3642" s="26" t="str">
        <f>IF(OR(E3642="",E3642="!!!",F3642="NEW"),"",INDEX(B3641:B$2,-1+SUMPRODUCT(MAX(ROW(E3641:E$2)*(E3642=E3641:E$2)))))</f>
        <v> </v>
      </c>
      <c r="J3642" s="26" t="str">
        <f>IF(OR(E3642="",E3642="!!!",F3642="NEW"),"",COUNTBLANK(OFFSET(A$1,,,SUMPRODUCT(MAX(ROW(E$2:E3642)*(E3642=E$2:E3642)))))-COUNTBLANK(OFFSET(A$1,,,SUMPRODUCT(MAX(ROW(E$1:E3641)*(E2=E$1:E3641))))))</f>
        <v> </v>
      </c>
      <c r="K3642" s="26" t="str">
        <f>IF(OR(E3642="",E3642="!!!",F3642="NEW"),"",INDEX(J$1:J3641,SUMPRODUCT(MAX(ROW(E$1:E3641)*(E3642=E$1:E3641)))))</f>
        <v> </v>
      </c>
      <c r="L3642" s="27"/>
    </row>
    <row r="3643" spans="1:12">
      <c r="A3643" s="20" t="s">
        <v>1227</v>
      </c>
      <c r="B3643" s="21" t="s">
        <v>1147</v>
      </c>
      <c r="C3643" s="21" t="s">
        <v>1228</v>
      </c>
      <c r="E3643" s="22">
        <f>IF(D3643="?OLD","!!!","")</f>
        <v/>
      </c>
      <c r="F3643" s="23" t="str">
        <f>IF(OR(E3643="",E3643="!!!"),"",IF(NOT(ISNA(VLOOKUP(E3643,E$1:E3642,1,FALSE()))),"OLD",IF(AND(E3643&lt;&gt;"",E3643&lt;&gt;"!!!"),"NEW","")))</f>
        <v> </v>
      </c>
      <c r="G3643" s="24" t="str">
        <f>IF(OR(E3643="",E3643="!!!"),"",IF(OR(J3643=0,AND(J3643=1,K3643=1),AND(J3643=1,I3643="SBJ"),AND(J3643=1,I3643=0)),"?IN_FOCUS",IF(J3643&lt;=2,"?ACTIVATED",IF(J3643&lt;&gt;"","?FAMILIAR",IF(F3643="NEW",IF(ISNA(VLOOKUP(E3643,#REF!,1,FALSE())),"?TYPE_IDENTIFIABLE","?REFERENTIAL"),"_")))))</f>
        <v> </v>
      </c>
      <c r="H3643" s="25" t="str">
        <f>IF(J3643&lt;&gt;1,"",IF(I3643="SBJ","CB","?"))</f>
        <v> </v>
      </c>
      <c r="I3643" s="26" t="str">
        <f>IF(OR(E3643="",E3643="!!!",F3643="NEW"),"",INDEX(B3642:B$2,-1+SUMPRODUCT(MAX(ROW(E3642:E$2)*(E3643=E3642:E$2)))))</f>
        <v> </v>
      </c>
      <c r="J3643" s="26" t="str">
        <f>IF(OR(E3643="",E3643="!!!",F3643="NEW"),"",COUNTBLANK(OFFSET(A$1,,,SUMPRODUCT(MAX(ROW(E$2:E3643)*(E3643=E$2:E3643)))))-COUNTBLANK(OFFSET(A$1,,,SUMPRODUCT(MAX(ROW(E$1:E3642)*(E2=E$1:E3642))))))</f>
        <v> </v>
      </c>
      <c r="K3643" s="26" t="str">
        <f>IF(OR(E3643="",E3643="!!!",F3643="NEW"),"",INDEX(J$1:J3642,SUMPRODUCT(MAX(ROW(E$1:E3642)*(E3643=E$1:E3642)))))</f>
        <v> </v>
      </c>
      <c r="L3643" s="27"/>
    </row>
    <row r="3644" spans="1:12">
      <c r="A3644" s="20" t="s">
        <v>312</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row>
    <row r="3646" spans="1:12">
      <c r="A3646" s="20" t="s">
        <v>2253</v>
      </c>
    </row>
    <row r="3647" spans="1:12">
      <c r="A3647" s="20" t="s">
        <v>1816</v>
      </c>
      <c r="B3647" s="21" t="s">
        <v>1165</v>
      </c>
      <c r="C3647" s="21" t="s">
        <v>1151</v>
      </c>
      <c r="D3647" s="21" t="s">
        <v>1144</v>
      </c>
      <c r="E3647" s="22">
        <f>IF(D3647="?OLD","!!!","")</f>
        <v/>
      </c>
      <c r="F3647" s="23" t="str">
        <f>IF(OR(E3647="",E3647="!!!"),"",IF(NOT(ISNA(VLOOKUP(E3647,E$1:E3646,1,FALSE()))),"OLD",IF(AND(E3647&lt;&gt;"",E3647&lt;&gt;"!!!"),"NEW","")))</f>
        <v> </v>
      </c>
      <c r="G3647" s="24" t="str">
        <f>IF(OR(E3647="",E3647="!!!"),"",IF(OR(J3647=0,AND(J3647=1,K3647=1),AND(J3647=1,I3647="SBJ"),AND(J3647=1,I3647=0)),"?IN_FOCUS",IF(J3647&lt;=2,"?ACTIVATED",IF(J3647&lt;&gt;"","?FAMILIAR",IF(F3647="NEW",IF(ISNA(VLOOKUP(E3647,#REF!,1,FALSE())),"?TYPE_IDENTIFIABLE","?REFERENTIAL"),"_")))))</f>
        <v> </v>
      </c>
      <c r="H3647" s="25" t="str">
        <f>IF(J3647&lt;&gt;1,"",IF(I3647="SBJ","CB","?"))</f>
        <v> </v>
      </c>
      <c r="I3647" s="26" t="str">
        <f>IF(OR(E3647="",E3647="!!!",F3647="NEW"),"",INDEX(B3646:B$2,-1+SUMPRODUCT(MAX(ROW(E3646:E$2)*(E3647=E3646:E$2)))))</f>
        <v> </v>
      </c>
      <c r="J3647" s="26" t="str">
        <f>IF(OR(E3647="",E3647="!!!",F3647="NEW"),"",COUNTBLANK(OFFSET(A$1,,,SUMPRODUCT(MAX(ROW(E$2:E3647)*(E3647=E$2:E3647)))))-COUNTBLANK(OFFSET(A$1,,,SUMPRODUCT(MAX(ROW(E$1:E3646)*(E2=E$1:E3646))))))</f>
        <v> </v>
      </c>
      <c r="K3647" s="26" t="str">
        <f>IF(OR(E3647="",E3647="!!!",F3647="NEW"),"",INDEX(J$1:J3646,SUMPRODUCT(MAX(ROW(E$1:E3646)*(E3647=E$1:E3646)))))</f>
        <v> </v>
      </c>
      <c r="L3647" s="27"/>
    </row>
    <row r="3648" spans="1:12">
      <c r="A3648" s="20" t="s">
        <v>1846</v>
      </c>
      <c r="E3648" s="22">
        <f>IF(D3648="?OLD","!!!","")</f>
        <v/>
      </c>
      <c r="F3648" s="23" t="str">
        <f>IF(OR(E3648="",E3648="!!!"),"",IF(NOT(ISNA(VLOOKUP(E3648,E$1:E3647,1,FALSE()))),"OLD",IF(AND(E3648&lt;&gt;"",E3648&lt;&gt;"!!!"),"NEW","")))</f>
        <v> </v>
      </c>
      <c r="G3648" s="24" t="str">
        <f>IF(OR(E3648="",E3648="!!!"),"",IF(OR(J3648=0,AND(J3648=1,K3648=1),AND(J3648=1,I3648="SBJ"),AND(J3648=1,I3648=0)),"?IN_FOCUS",IF(J3648&lt;=2,"?ACTIVATED",IF(J3648&lt;&gt;"","?FAMILIAR",IF(F3648="NEW",IF(ISNA(VLOOKUP(E3648,#REF!,1,FALSE())),"?TYPE_IDENTIFIABLE","?REFERENTIAL"),"_")))))</f>
        <v> </v>
      </c>
      <c r="H3648" s="25" t="str">
        <f>IF(J3648&lt;&gt;1,"",IF(I3648="SBJ","CB","?"))</f>
        <v> </v>
      </c>
      <c r="I3648" s="26" t="str">
        <f>IF(OR(E3648="",E3648="!!!",F3648="NEW"),"",INDEX(B3647:B$2,-1+SUMPRODUCT(MAX(ROW(E3647:E$2)*(E3648=E3647:E$2)))))</f>
        <v> </v>
      </c>
      <c r="J3648" s="26" t="str">
        <f>IF(OR(E3648="",E3648="!!!",F3648="NEW"),"",COUNTBLANK(OFFSET(A$1,,,SUMPRODUCT(MAX(ROW(E$2:E3648)*(E3648=E$2:E3648)))))-COUNTBLANK(OFFSET(A$1,,,SUMPRODUCT(MAX(ROW(E$1:E3647)*(E2=E$1:E3647))))))</f>
        <v> </v>
      </c>
      <c r="K3648" s="26" t="str">
        <f>IF(OR(E3648="",E3648="!!!",F3648="NEW"),"",INDEX(J$1:J3647,SUMPRODUCT(MAX(ROW(E$1:E3647)*(E3648=E$1:E3647)))))</f>
        <v> </v>
      </c>
      <c r="L3648" s="27"/>
    </row>
    <row r="3649" spans="1:12">
      <c r="A3649" s="20" t="s">
        <v>1152</v>
      </c>
      <c r="E3649" s="22">
        <f>IF(D3649="?OLD","!!!","")</f>
        <v/>
      </c>
      <c r="F3649" s="23" t="str">
        <f>IF(OR(E3649="",E3649="!!!"),"",IF(NOT(ISNA(VLOOKUP(E3649,E$1:E3648,1,FALSE()))),"OLD",IF(AND(E3649&lt;&gt;"",E3649&lt;&gt;"!!!"),"NEW","")))</f>
        <v> </v>
      </c>
      <c r="G3649" s="24" t="str">
        <f>IF(OR(E3649="",E3649="!!!"),"",IF(OR(J3649=0,AND(J3649=1,K3649=1),AND(J3649=1,I3649="SBJ"),AND(J3649=1,I3649=0)),"?IN_FOCUS",IF(J3649&lt;=2,"?ACTIVATED",IF(J3649&lt;&gt;"","?FAMILIAR",IF(F3649="NEW",IF(ISNA(VLOOKUP(E3649,#REF!,1,FALSE())),"?TYPE_IDENTIFIABLE","?REFERENTIAL"),"_")))))</f>
        <v> </v>
      </c>
      <c r="H3649" s="25" t="str">
        <f>IF(J3649&lt;&gt;1,"",IF(I3649="SBJ","CB","?"))</f>
        <v> </v>
      </c>
      <c r="I3649" s="26" t="str">
        <f>IF(OR(E3649="",E3649="!!!",F3649="NEW"),"",INDEX(B3648:B$2,-1+SUMPRODUCT(MAX(ROW(E3648:E$2)*(E3649=E3648:E$2)))))</f>
        <v> </v>
      </c>
      <c r="J3649" s="26" t="str">
        <f>IF(OR(E3649="",E3649="!!!",F3649="NEW"),"",COUNTBLANK(OFFSET(A$1,,,SUMPRODUCT(MAX(ROW(E$2:E3649)*(E3649=E$2:E3649)))))-COUNTBLANK(OFFSET(A$1,,,SUMPRODUCT(MAX(ROW(E$1:E3648)*(E2=E$1:E3648))))))</f>
        <v> </v>
      </c>
      <c r="K3649" s="26" t="str">
        <f>IF(OR(E3649="",E3649="!!!",F3649="NEW"),"",INDEX(J$1:J3648,SUMPRODUCT(MAX(ROW(E$1:E3648)*(E3649=E$1:E3648)))))</f>
        <v> </v>
      </c>
      <c r="L3649" s="27"/>
    </row>
    <row r="3650" spans="1:12">
      <c r="A3650" s="20" t="s">
        <v>1825</v>
      </c>
      <c r="B3650" s="21" t="s">
        <v>1142</v>
      </c>
      <c r="C3650" s="21" t="s">
        <v>1155</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1302</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1221</v>
      </c>
      <c r="B3652" s="21" t="s">
        <v>1147</v>
      </c>
      <c r="C3652" s="21" t="s">
        <v>1143</v>
      </c>
      <c r="D3652" s="21" t="s">
        <v>1144</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2254</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t="s">
        <v>1816</v>
      </c>
      <c r="E3654" s="22">
        <f>IF(D3654="?OLD","!!!","")</f>
        <v/>
      </c>
      <c r="F3654" s="23" t="str">
        <f>IF(OR(E3654="",E3654="!!!"),"",IF(NOT(ISNA(VLOOKUP(E3654,E$1:E3653,1,FALSE()))),"OLD",IF(AND(E3654&lt;&gt;"",E3654&lt;&gt;"!!!"),"NEW","")))</f>
        <v> </v>
      </c>
      <c r="G3654" s="24" t="str">
        <f>IF(OR(E3654="",E3654="!!!"),"",IF(OR(J3654=0,AND(J3654=1,K3654=1),AND(J3654=1,I3654="SBJ"),AND(J3654=1,I3654=0)),"?IN_FOCUS",IF(J3654&lt;=2,"?ACTIVATED",IF(J3654&lt;&gt;"","?FAMILIAR",IF(F3654="NEW",IF(ISNA(VLOOKUP(E3654,#REF!,1,FALSE())),"?TYPE_IDENTIFIABLE","?REFERENTIAL"),"_")))))</f>
        <v> </v>
      </c>
      <c r="H3654" s="25" t="str">
        <f>IF(J3654&lt;&gt;1,"",IF(I3654="SBJ","CB","?"))</f>
        <v> </v>
      </c>
      <c r="I3654" s="26" t="str">
        <f>IF(OR(E3654="",E3654="!!!",F3654="NEW"),"",INDEX(B3653:B$2,-1+SUMPRODUCT(MAX(ROW(E3653:E$2)*(E3654=E3653:E$2)))))</f>
        <v> </v>
      </c>
      <c r="J3654" s="26" t="str">
        <f>IF(OR(E3654="",E3654="!!!",F3654="NEW"),"",COUNTBLANK(OFFSET(A$1,,,SUMPRODUCT(MAX(ROW(E$2:E3654)*(E3654=E$2:E3654)))))-COUNTBLANK(OFFSET(A$1,,,SUMPRODUCT(MAX(ROW(E$1:E3653)*(E2=E$1:E3653))))))</f>
        <v> </v>
      </c>
      <c r="K3654" s="26" t="str">
        <f>IF(OR(E3654="",E3654="!!!",F3654="NEW"),"",INDEX(J$1:J3653,SUMPRODUCT(MAX(ROW(E$1:E3653)*(E3654=E$1:E3653)))))</f>
        <v> </v>
      </c>
      <c r="L3654" s="27"/>
    </row>
    <row r="3655" spans="1:12">
      <c r="A3655" s="20" t="s">
        <v>2218</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t="s">
        <v>1176</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1457</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t="s">
        <v>1616</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t="s">
        <v>1205</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t="s">
        <v>2255</v>
      </c>
      <c r="E3660" s="22">
        <f>IF(D3660="?OLD","!!!","")</f>
        <v/>
      </c>
      <c r="F3660" s="23" t="str">
        <f>IF(OR(E3660="",E3660="!!!"),"",IF(NOT(ISNA(VLOOKUP(E3660,E$1:E3659,1,FALSE()))),"OLD",IF(AND(E3660&lt;&gt;"",E3660&lt;&gt;"!!!"),"NEW","")))</f>
        <v> </v>
      </c>
      <c r="G3660" s="24" t="str">
        <f>IF(OR(E3660="",E3660="!!!"),"",IF(OR(J3660=0,AND(J3660=1,K3660=1),AND(J3660=1,I3660="SBJ"),AND(J3660=1,I3660=0)),"?IN_FOCUS",IF(J3660&lt;=2,"?ACTIVATED",IF(J3660&lt;&gt;"","?FAMILIAR",IF(F3660="NEW",IF(ISNA(VLOOKUP(E3660,#REF!,1,FALSE())),"?TYPE_IDENTIFIABLE","?REFERENTIAL"),"_")))))</f>
        <v> </v>
      </c>
      <c r="H3660" s="25" t="str">
        <f>IF(J3660&lt;&gt;1,"",IF(I3660="SBJ","CB","?"))</f>
        <v> </v>
      </c>
      <c r="I3660" s="26" t="str">
        <f>IF(OR(E3660="",E3660="!!!",F3660="NEW"),"",INDEX(B3659:B$2,-1+SUMPRODUCT(MAX(ROW(E3659:E$2)*(E3660=E3659:E$2)))))</f>
        <v> </v>
      </c>
      <c r="J3660" s="26" t="str">
        <f>IF(OR(E3660="",E3660="!!!",F3660="NEW"),"",COUNTBLANK(OFFSET(A$1,,,SUMPRODUCT(MAX(ROW(E$2:E3660)*(E3660=E$2:E3660)))))-COUNTBLANK(OFFSET(A$1,,,SUMPRODUCT(MAX(ROW(E$1:E3659)*(E2=E$1:E3659))))))</f>
        <v> </v>
      </c>
      <c r="K3660" s="26" t="str">
        <f>IF(OR(E3660="",E3660="!!!",F3660="NEW"),"",INDEX(J$1:J3659,SUMPRODUCT(MAX(ROW(E$1:E3659)*(E3660=E$1:E3659)))))</f>
        <v> </v>
      </c>
      <c r="L3660" s="27"/>
    </row>
    <row r="3661" spans="1:12">
      <c r="A3661" s="20" t="s">
        <v>2256</v>
      </c>
      <c r="E3661" s="22">
        <f>IF(D3661="?OLD","!!!","")</f>
        <v/>
      </c>
      <c r="F3661" s="23" t="str">
        <f>IF(OR(E3661="",E3661="!!!"),"",IF(NOT(ISNA(VLOOKUP(E3661,E$1:E3660,1,FALSE()))),"OLD",IF(AND(E3661&lt;&gt;"",E3661&lt;&gt;"!!!"),"NEW","")))</f>
        <v> </v>
      </c>
      <c r="G3661" s="24" t="str">
        <f>IF(OR(E3661="",E3661="!!!"),"",IF(OR(J3661=0,AND(J3661=1,K3661=1),AND(J3661=1,I3661="SBJ"),AND(J3661=1,I3661=0)),"?IN_FOCUS",IF(J3661&lt;=2,"?ACTIVATED",IF(J3661&lt;&gt;"","?FAMILIAR",IF(F3661="NEW",IF(ISNA(VLOOKUP(E3661,#REF!,1,FALSE())),"?TYPE_IDENTIFIABLE","?REFERENTIAL"),"_")))))</f>
        <v> </v>
      </c>
      <c r="H3661" s="25" t="str">
        <f>IF(J3661&lt;&gt;1,"",IF(I3661="SBJ","CB","?"))</f>
        <v> </v>
      </c>
      <c r="I3661" s="26" t="str">
        <f>IF(OR(E3661="",E3661="!!!",F3661="NEW"),"",INDEX(B3660:B$2,-1+SUMPRODUCT(MAX(ROW(E3660:E$2)*(E3661=E3660:E$2)))))</f>
        <v> </v>
      </c>
      <c r="J3661" s="26" t="str">
        <f>IF(OR(E3661="",E3661="!!!",F3661="NEW"),"",COUNTBLANK(OFFSET(A$1,,,SUMPRODUCT(MAX(ROW(E$2:E3661)*(E3661=E$2:E3661)))))-COUNTBLANK(OFFSET(A$1,,,SUMPRODUCT(MAX(ROW(E$1:E3660)*(E2=E$1:E3660))))))</f>
        <v> </v>
      </c>
      <c r="K3661" s="26" t="str">
        <f>IF(OR(E3661="",E3661="!!!",F3661="NEW"),"",INDEX(J$1:J3660,SUMPRODUCT(MAX(ROW(E$1:E3660)*(E3661=E$1:E3660)))))</f>
        <v> </v>
      </c>
      <c r="L3661" s="27"/>
    </row>
    <row r="3662" spans="1:12">
      <c r="A3662" s="20" t="s">
        <v>2257</v>
      </c>
      <c r="B3662" s="21" t="s">
        <v>1154</v>
      </c>
      <c r="C3662" s="21" t="s">
        <v>1155</v>
      </c>
      <c r="E3662" s="22">
        <f>IF(D3662="?OLD","!!!","")</f>
        <v/>
      </c>
      <c r="F3662" s="23" t="str">
        <f>IF(OR(E3662="",E3662="!!!"),"",IF(NOT(ISNA(VLOOKUP(E3662,E$1:E3661,1,FALSE()))),"OLD",IF(AND(E3662&lt;&gt;"",E3662&lt;&gt;"!!!"),"NEW","")))</f>
        <v> </v>
      </c>
      <c r="G3662" s="24" t="str">
        <f>IF(OR(E3662="",E3662="!!!"),"",IF(OR(J3662=0,AND(J3662=1,K3662=1),AND(J3662=1,I3662="SBJ"),AND(J3662=1,I3662=0)),"?IN_FOCUS",IF(J3662&lt;=2,"?ACTIVATED",IF(J3662&lt;&gt;"","?FAMILIAR",IF(F3662="NEW",IF(ISNA(VLOOKUP(E3662,#REF!,1,FALSE())),"?TYPE_IDENTIFIABLE","?REFERENTIAL"),"_")))))</f>
        <v> </v>
      </c>
      <c r="H3662" s="25" t="str">
        <f>IF(J3662&lt;&gt;1,"",IF(I3662="SBJ","CB","?"))</f>
        <v> </v>
      </c>
      <c r="I3662" s="26" t="str">
        <f>IF(OR(E3662="",E3662="!!!",F3662="NEW"),"",INDEX(B3661:B$2,-1+SUMPRODUCT(MAX(ROW(E3661:E$2)*(E3662=E3661:E$2)))))</f>
        <v> </v>
      </c>
      <c r="J3662" s="26" t="str">
        <f>IF(OR(E3662="",E3662="!!!",F3662="NEW"),"",COUNTBLANK(OFFSET(A$1,,,SUMPRODUCT(MAX(ROW(E$2:E3662)*(E3662=E$2:E3662)))))-COUNTBLANK(OFFSET(A$1,,,SUMPRODUCT(MAX(ROW(E$1:E3661)*(E2=E$1:E3661))))))</f>
        <v> </v>
      </c>
      <c r="K3662" s="26" t="str">
        <f>IF(OR(E3662="",E3662="!!!",F3662="NEW"),"",INDEX(J$1:J3661,SUMPRODUCT(MAX(ROW(E$1:E3661)*(E3662=E$1:E3661)))))</f>
        <v> </v>
      </c>
      <c r="L3662" s="27"/>
    </row>
    <row r="3663" spans="1:12">
      <c r="A3663" s="20" t="s">
        <v>312</v>
      </c>
      <c r="E3663" s="22">
        <f>IF(D3663="?OLD","!!!","")</f>
        <v/>
      </c>
      <c r="F3663" s="23" t="str">
        <f>IF(OR(E3663="",E3663="!!!"),"",IF(NOT(ISNA(VLOOKUP(E3663,E$1:E3662,1,FALSE()))),"OLD",IF(AND(E3663&lt;&gt;"",E3663&lt;&gt;"!!!"),"NEW","")))</f>
        <v> </v>
      </c>
      <c r="G3663" s="24" t="str">
        <f>IF(OR(E3663="",E3663="!!!"),"",IF(OR(J3663=0,AND(J3663=1,K3663=1),AND(J3663=1,I3663="SBJ"),AND(J3663=1,I3663=0)),"?IN_FOCUS",IF(J3663&lt;=2,"?ACTIVATED",IF(J3663&lt;&gt;"","?FAMILIAR",IF(F3663="NEW",IF(ISNA(VLOOKUP(E3663,#REF!,1,FALSE())),"?TYPE_IDENTIFIABLE","?REFERENTIAL"),"_")))))</f>
        <v> </v>
      </c>
      <c r="H3663" s="25" t="str">
        <f>IF(J3663&lt;&gt;1,"",IF(I3663="SBJ","CB","?"))</f>
        <v> </v>
      </c>
      <c r="I3663" s="26" t="str">
        <f>IF(OR(E3663="",E3663="!!!",F3663="NEW"),"",INDEX(B3662:B$2,-1+SUMPRODUCT(MAX(ROW(E3662:E$2)*(E3663=E3662:E$2)))))</f>
        <v> </v>
      </c>
      <c r="J3663" s="26" t="str">
        <f>IF(OR(E3663="",E3663="!!!",F3663="NEW"),"",COUNTBLANK(OFFSET(A$1,,,SUMPRODUCT(MAX(ROW(E$2:E3663)*(E3663=E$2:E3663)))))-COUNTBLANK(OFFSET(A$1,,,SUMPRODUCT(MAX(ROW(E$1:E3662)*(E2=E$1:E3662))))))</f>
        <v> </v>
      </c>
      <c r="K3663" s="26" t="str">
        <f>IF(OR(E3663="",E3663="!!!",F3663="NEW"),"",INDEX(J$1:J3662,SUMPRODUCT(MAX(ROW(E$1:E3662)*(E3663=E$1:E3662)))))</f>
        <v> </v>
      </c>
      <c r="L3663" s="27"/>
    </row>
    <row r="3664" spans="1:12">
      <c r="A3664" s="20"/>
    </row>
    <row r="3665" spans="1:12">
      <c r="A3665" s="20" t="s">
        <v>1558</v>
      </c>
      <c r="E3665" s="22">
        <f>IF(D3665="?OLD","!!!","")</f>
        <v/>
      </c>
      <c r="F3665" s="23" t="str">
        <f>IF(OR(E3665="",E3665="!!!"),"",IF(NOT(ISNA(VLOOKUP(E3665,E$1:E3664,1,FALSE()))),"OLD",IF(AND(E3665&lt;&gt;"",E3665&lt;&gt;"!!!"),"NEW","")))</f>
        <v> </v>
      </c>
      <c r="G3665" s="24" t="str">
        <f>IF(OR(E3665="",E3665="!!!"),"",IF(OR(J3665=0,AND(J3665=1,K3665=1),AND(J3665=1,I3665="SBJ"),AND(J3665=1,I3665=0)),"?IN_FOCUS",IF(J3665&lt;=2,"?ACTIVATED",IF(J3665&lt;&gt;"","?FAMILIAR",IF(F3665="NEW",IF(ISNA(VLOOKUP(E3665,#REF!,1,FALSE())),"?TYPE_IDENTIFIABLE","?REFERENTIAL"),"_")))))</f>
        <v> </v>
      </c>
      <c r="H3665" s="25" t="str">
        <f>IF(J3665&lt;&gt;1,"",IF(I3665="SBJ","CB","?"))</f>
        <v> </v>
      </c>
      <c r="I3665" s="26" t="str">
        <f>IF(OR(E3665="",E3665="!!!",F3665="NEW"),"",INDEX(B3664:B$2,-1+SUMPRODUCT(MAX(ROW(E3664:E$2)*(E3665=E3664:E$2)))))</f>
        <v> </v>
      </c>
      <c r="J3665" s="26" t="str">
        <f>IF(OR(E3665="",E3665="!!!",F3665="NEW"),"",COUNTBLANK(OFFSET(A$1,,,SUMPRODUCT(MAX(ROW(E$2:E3665)*(E3665=E$2:E3665)))))-COUNTBLANK(OFFSET(A$1,,,SUMPRODUCT(MAX(ROW(E$1:E3664)*(E2=E$1:E3664))))))</f>
        <v> </v>
      </c>
      <c r="K3665" s="26" t="str">
        <f>IF(OR(E3665="",E3665="!!!",F3665="NEW"),"",INDEX(J$1:J3664,SUMPRODUCT(MAX(ROW(E$1:E3664)*(E3665=E$1:E3664)))))</f>
        <v> </v>
      </c>
      <c r="L3665" s="27"/>
    </row>
    <row r="3666" spans="1:12">
      <c r="A3666" s="20" t="s">
        <v>2258</v>
      </c>
    </row>
    <row r="3667" spans="1:12">
      <c r="A3667" s="20" t="s">
        <v>308</v>
      </c>
      <c r="B3667" s="21" t="s">
        <v>1165</v>
      </c>
      <c r="C3667" s="21" t="s">
        <v>1187</v>
      </c>
      <c r="E3667" s="22">
        <f>IF(D3667="?OLD","!!!","")</f>
        <v/>
      </c>
      <c r="F3667" s="23" t="str">
        <f>IF(OR(E3667="",E3667="!!!"),"",IF(NOT(ISNA(VLOOKUP(E3667,E$1:E3666,1,FALSE()))),"OLD",IF(AND(E3667&lt;&gt;"",E3667&lt;&gt;"!!!"),"NEW","")))</f>
        <v> </v>
      </c>
      <c r="G3667" s="24" t="str">
        <f>IF(OR(E3667="",E3667="!!!"),"",IF(OR(J3667=0,AND(J3667=1,K3667=1),AND(J3667=1,I3667="SBJ"),AND(J3667=1,I3667=0)),"?IN_FOCUS",IF(J3667&lt;=2,"?ACTIVATED",IF(J3667&lt;&gt;"","?FAMILIAR",IF(F3667="NEW",IF(ISNA(VLOOKUP(E3667,#REF!,1,FALSE())),"?TYPE_IDENTIFIABLE","?REFERENTIAL"),"_")))))</f>
        <v> </v>
      </c>
      <c r="H3667" s="25" t="str">
        <f>IF(J3667&lt;&gt;1,"",IF(I3667="SBJ","CB","?"))</f>
        <v> </v>
      </c>
      <c r="I3667" s="26" t="str">
        <f>IF(OR(E3667="",E3667="!!!",F3667="NEW"),"",INDEX(B3666:B$2,-1+SUMPRODUCT(MAX(ROW(E3666:E$2)*(E3667=E3666:E$2)))))</f>
        <v> </v>
      </c>
      <c r="J3667" s="26" t="str">
        <f>IF(OR(E3667="",E3667="!!!",F3667="NEW"),"",COUNTBLANK(OFFSET(A$1,,,SUMPRODUCT(MAX(ROW(E$2:E3667)*(E3667=E$2:E3667)))))-COUNTBLANK(OFFSET(A$1,,,SUMPRODUCT(MAX(ROW(E$1:E3666)*(E2=E$1:E3666))))))</f>
        <v> </v>
      </c>
      <c r="K3667" s="26" t="str">
        <f>IF(OR(E3667="",E3667="!!!",F3667="NEW"),"",INDEX(J$1:J3666,SUMPRODUCT(MAX(ROW(E$1:E3666)*(E3667=E$1:E3666)))))</f>
        <v> </v>
      </c>
      <c r="L3667" s="27"/>
    </row>
    <row r="3668" spans="1:12">
      <c r="A3668" s="20" t="s">
        <v>1146</v>
      </c>
      <c r="E3668" s="22">
        <f>IF(D3668="?OLD","!!!","")</f>
        <v/>
      </c>
      <c r="F3668" s="23" t="str">
        <f>IF(OR(E3668="",E3668="!!!"),"",IF(NOT(ISNA(VLOOKUP(E3668,E$1:E3667,1,FALSE()))),"OLD",IF(AND(E3668&lt;&gt;"",E3668&lt;&gt;"!!!"),"NEW","")))</f>
        <v> </v>
      </c>
      <c r="G3668" s="24" t="str">
        <f>IF(OR(E3668="",E3668="!!!"),"",IF(OR(J3668=0,AND(J3668=1,K3668=1),AND(J3668=1,I3668="SBJ"),AND(J3668=1,I3668=0)),"?IN_FOCUS",IF(J3668&lt;=2,"?ACTIVATED",IF(J3668&lt;&gt;"","?FAMILIAR",IF(F3668="NEW",IF(ISNA(VLOOKUP(E3668,#REF!,1,FALSE())),"?TYPE_IDENTIFIABLE","?REFERENTIAL"),"_")))))</f>
        <v> </v>
      </c>
      <c r="H3668" s="25" t="str">
        <f>IF(J3668&lt;&gt;1,"",IF(I3668="SBJ","CB","?"))</f>
        <v> </v>
      </c>
      <c r="I3668" s="26" t="str">
        <f>IF(OR(E3668="",E3668="!!!",F3668="NEW"),"",INDEX(B3667:B$2,-1+SUMPRODUCT(MAX(ROW(E3667:E$2)*(E3668=E3667:E$2)))))</f>
        <v> </v>
      </c>
      <c r="J3668" s="26" t="str">
        <f>IF(OR(E3668="",E3668="!!!",F3668="NEW"),"",COUNTBLANK(OFFSET(A$1,,,SUMPRODUCT(MAX(ROW(E$2:E3668)*(E3668=E$2:E3668)))))-COUNTBLANK(OFFSET(A$1,,,SUMPRODUCT(MAX(ROW(E$1:E3667)*(E2=E$1:E3667))))))</f>
        <v> </v>
      </c>
      <c r="K3668" s="26" t="str">
        <f>IF(OR(E3668="",E3668="!!!",F3668="NEW"),"",INDEX(J$1:J3667,SUMPRODUCT(MAX(ROW(E$1:E3667)*(E3668=E$1:E3667)))))</f>
        <v> </v>
      </c>
      <c r="L3668" s="27"/>
    </row>
    <row r="3669" spans="1:12">
      <c r="A3669" s="20" t="s">
        <v>1417</v>
      </c>
      <c r="B3669" s="21" t="s">
        <v>1171</v>
      </c>
      <c r="C3669" s="21" t="s">
        <v>1168</v>
      </c>
      <c r="D3669" s="21" t="s">
        <v>1144</v>
      </c>
      <c r="E3669" s="22">
        <f>IF(D3669="?OLD","!!!","")</f>
        <v/>
      </c>
      <c r="F3669" s="23" t="str">
        <f>IF(OR(E3669="",E3669="!!!"),"",IF(NOT(ISNA(VLOOKUP(E3669,E$1:E3668,1,FALSE()))),"OLD",IF(AND(E3669&lt;&gt;"",E3669&lt;&gt;"!!!"),"NEW","")))</f>
        <v> </v>
      </c>
      <c r="G3669" s="24" t="str">
        <f>IF(OR(E3669="",E3669="!!!"),"",IF(OR(J3669=0,AND(J3669=1,K3669=1),AND(J3669=1,I3669="SBJ"),AND(J3669=1,I3669=0)),"?IN_FOCUS",IF(J3669&lt;=2,"?ACTIVATED",IF(J3669&lt;&gt;"","?FAMILIAR",IF(F3669="NEW",IF(ISNA(VLOOKUP(E3669,#REF!,1,FALSE())),"?TYPE_IDENTIFIABLE","?REFERENTIAL"),"_")))))</f>
        <v> </v>
      </c>
      <c r="H3669" s="25" t="str">
        <f>IF(J3669&lt;&gt;1,"",IF(I3669="SBJ","CB","?"))</f>
        <v> </v>
      </c>
      <c r="I3669" s="26" t="str">
        <f>IF(OR(E3669="",E3669="!!!",F3669="NEW"),"",INDEX(B3668:B$2,-1+SUMPRODUCT(MAX(ROW(E3668:E$2)*(E3669=E3668:E$2)))))</f>
        <v> </v>
      </c>
      <c r="J3669" s="26" t="str">
        <f>IF(OR(E3669="",E3669="!!!",F3669="NEW"),"",COUNTBLANK(OFFSET(A$1,,,SUMPRODUCT(MAX(ROW(E$2:E3669)*(E3669=E$2:E3669)))))-COUNTBLANK(OFFSET(A$1,,,SUMPRODUCT(MAX(ROW(E$1:E3668)*(E2=E$1:E3668))))))</f>
        <v> </v>
      </c>
      <c r="K3669" s="26" t="str">
        <f>IF(OR(E3669="",E3669="!!!",F3669="NEW"),"",INDEX(J$1:J3668,SUMPRODUCT(MAX(ROW(E$1:E3668)*(E3669=E$1:E3668)))))</f>
        <v> </v>
      </c>
      <c r="L3669" s="27"/>
    </row>
    <row r="3670" spans="1:12">
      <c r="A3670" s="20" t="s">
        <v>2259</v>
      </c>
      <c r="E3670" s="22">
        <f>IF(D3670="?OLD","!!!","")</f>
        <v/>
      </c>
      <c r="F3670" s="23" t="str">
        <f>IF(OR(E3670="",E3670="!!!"),"",IF(NOT(ISNA(VLOOKUP(E3670,E$1:E3669,1,FALSE()))),"OLD",IF(AND(E3670&lt;&gt;"",E3670&lt;&gt;"!!!"),"NEW","")))</f>
        <v> </v>
      </c>
      <c r="G3670" s="24" t="str">
        <f>IF(OR(E3670="",E3670="!!!"),"",IF(OR(J3670=0,AND(J3670=1,K3670=1),AND(J3670=1,I3670="SBJ"),AND(J3670=1,I3670=0)),"?IN_FOCUS",IF(J3670&lt;=2,"?ACTIVATED",IF(J3670&lt;&gt;"","?FAMILIAR",IF(F3670="NEW",IF(ISNA(VLOOKUP(E3670,#REF!,1,FALSE())),"?TYPE_IDENTIFIABLE","?REFERENTIAL"),"_")))))</f>
        <v> </v>
      </c>
      <c r="H3670" s="25" t="str">
        <f>IF(J3670&lt;&gt;1,"",IF(I3670="SBJ","CB","?"))</f>
        <v> </v>
      </c>
      <c r="I3670" s="26" t="str">
        <f>IF(OR(E3670="",E3670="!!!",F3670="NEW"),"",INDEX(B3669:B$2,-1+SUMPRODUCT(MAX(ROW(E3669:E$2)*(E3670=E3669:E$2)))))</f>
        <v> </v>
      </c>
      <c r="J3670" s="26" t="str">
        <f>IF(OR(E3670="",E3670="!!!",F3670="NEW"),"",COUNTBLANK(OFFSET(A$1,,,SUMPRODUCT(MAX(ROW(E$2:E3670)*(E3670=E$2:E3670)))))-COUNTBLANK(OFFSET(A$1,,,SUMPRODUCT(MAX(ROW(E$1:E3669)*(E2=E$1:E3669))))))</f>
        <v> </v>
      </c>
      <c r="K3670" s="26" t="str">
        <f>IF(OR(E3670="",E3670="!!!",F3670="NEW"),"",INDEX(J$1:J3669,SUMPRODUCT(MAX(ROW(E$1:E3669)*(E3670=E$1:E3669)))))</f>
        <v> </v>
      </c>
      <c r="L3670" s="27"/>
    </row>
    <row r="3671" spans="1:12">
      <c r="A3671" s="20" t="s">
        <v>1518</v>
      </c>
      <c r="E3671" s="22">
        <f>IF(D3671="?OLD","!!!","")</f>
        <v/>
      </c>
      <c r="F3671" s="23" t="str">
        <f>IF(OR(E3671="",E3671="!!!"),"",IF(NOT(ISNA(VLOOKUP(E3671,E$1:E3670,1,FALSE()))),"OLD",IF(AND(E3671&lt;&gt;"",E3671&lt;&gt;"!!!"),"NEW","")))</f>
        <v> </v>
      </c>
      <c r="G3671" s="24" t="str">
        <f>IF(OR(E3671="",E3671="!!!"),"",IF(OR(J3671=0,AND(J3671=1,K3671=1),AND(J3671=1,I3671="SBJ"),AND(J3671=1,I3671=0)),"?IN_FOCUS",IF(J3671&lt;=2,"?ACTIVATED",IF(J3671&lt;&gt;"","?FAMILIAR",IF(F3671="NEW",IF(ISNA(VLOOKUP(E3671,#REF!,1,FALSE())),"?TYPE_IDENTIFIABLE","?REFERENTIAL"),"_")))))</f>
        <v> </v>
      </c>
      <c r="H3671" s="25" t="str">
        <f>IF(J3671&lt;&gt;1,"",IF(I3671="SBJ","CB","?"))</f>
        <v> </v>
      </c>
      <c r="I3671" s="26" t="str">
        <f>IF(OR(E3671="",E3671="!!!",F3671="NEW"),"",INDEX(B3670:B$2,-1+SUMPRODUCT(MAX(ROW(E3670:E$2)*(E3671=E3670:E$2)))))</f>
        <v> </v>
      </c>
      <c r="J3671" s="26" t="str">
        <f>IF(OR(E3671="",E3671="!!!",F3671="NEW"),"",COUNTBLANK(OFFSET(A$1,,,SUMPRODUCT(MAX(ROW(E$2:E3671)*(E3671=E$2:E3671)))))-COUNTBLANK(OFFSET(A$1,,,SUMPRODUCT(MAX(ROW(E$1:E3670)*(E2=E$1:E3670))))))</f>
        <v> </v>
      </c>
      <c r="K3671" s="26" t="str">
        <f>IF(OR(E3671="",E3671="!!!",F3671="NEW"),"",INDEX(J$1:J3670,SUMPRODUCT(MAX(ROW(E$1:E3670)*(E3671=E$1:E3670)))))</f>
        <v> </v>
      </c>
      <c r="L3671" s="27"/>
    </row>
    <row r="3672" spans="1:12">
      <c r="A3672" s="20" t="s">
        <v>2260</v>
      </c>
      <c r="B3672" s="21" t="s">
        <v>1161</v>
      </c>
      <c r="C3672" s="21" t="s">
        <v>1182</v>
      </c>
      <c r="E3672" s="22">
        <f>IF(D3672="?OLD","!!!","")</f>
        <v/>
      </c>
      <c r="F3672" s="23" t="str">
        <f>IF(OR(E3672="",E3672="!!!"),"",IF(NOT(ISNA(VLOOKUP(E3672,E$1:E3671,1,FALSE()))),"OLD",IF(AND(E3672&lt;&gt;"",E3672&lt;&gt;"!!!"),"NEW","")))</f>
        <v> </v>
      </c>
      <c r="G3672" s="24" t="str">
        <f>IF(OR(E3672="",E3672="!!!"),"",IF(OR(J3672=0,AND(J3672=1,K3672=1),AND(J3672=1,I3672="SBJ"),AND(J3672=1,I3672=0)),"?IN_FOCUS",IF(J3672&lt;=2,"?ACTIVATED",IF(J3672&lt;&gt;"","?FAMILIAR",IF(F3672="NEW",IF(ISNA(VLOOKUP(E3672,#REF!,1,FALSE())),"?TYPE_IDENTIFIABLE","?REFERENTIAL"),"_")))))</f>
        <v> </v>
      </c>
      <c r="H3672" s="25" t="str">
        <f>IF(J3672&lt;&gt;1,"",IF(I3672="SBJ","CB","?"))</f>
        <v> </v>
      </c>
      <c r="I3672" s="26" t="str">
        <f>IF(OR(E3672="",E3672="!!!",F3672="NEW"),"",INDEX(B3671:B$2,-1+SUMPRODUCT(MAX(ROW(E3671:E$2)*(E3672=E3671:E$2)))))</f>
        <v> </v>
      </c>
      <c r="J3672" s="26" t="str">
        <f>IF(OR(E3672="",E3672="!!!",F3672="NEW"),"",COUNTBLANK(OFFSET(A$1,,,SUMPRODUCT(MAX(ROW(E$2:E3672)*(E3672=E$2:E3672)))))-COUNTBLANK(OFFSET(A$1,,,SUMPRODUCT(MAX(ROW(E$1:E3671)*(E2=E$1:E3671))))))</f>
        <v> </v>
      </c>
      <c r="K3672" s="26" t="str">
        <f>IF(OR(E3672="",E3672="!!!",F3672="NEW"),"",INDEX(J$1:J3671,SUMPRODUCT(MAX(ROW(E$1:E3671)*(E3672=E$1:E3671)))))</f>
        <v> </v>
      </c>
      <c r="L3672" s="27"/>
    </row>
    <row r="3673" spans="1:12">
      <c r="A3673" s="20" t="s">
        <v>1308</v>
      </c>
      <c r="B3673" s="21" t="s">
        <v>1161</v>
      </c>
      <c r="C3673" s="21" t="s">
        <v>1182</v>
      </c>
      <c r="E3673" s="22">
        <f>IF(D3673="?OLD","!!!","")</f>
        <v/>
      </c>
      <c r="F3673" s="23" t="str">
        <f>IF(OR(E3673="",E3673="!!!"),"",IF(NOT(ISNA(VLOOKUP(E3673,E$1:E3672,1,FALSE()))),"OLD",IF(AND(E3673&lt;&gt;"",E3673&lt;&gt;"!!!"),"NEW","")))</f>
        <v> </v>
      </c>
      <c r="G3673" s="24" t="str">
        <f>IF(OR(E3673="",E3673="!!!"),"",IF(OR(J3673=0,AND(J3673=1,K3673=1),AND(J3673=1,I3673="SBJ"),AND(J3673=1,I3673=0)),"?IN_FOCUS",IF(J3673&lt;=2,"?ACTIVATED",IF(J3673&lt;&gt;"","?FAMILIAR",IF(F3673="NEW",IF(ISNA(VLOOKUP(E3673,#REF!,1,FALSE())),"?TYPE_IDENTIFIABLE","?REFERENTIAL"),"_")))))</f>
        <v> </v>
      </c>
      <c r="H3673" s="25" t="str">
        <f>IF(J3673&lt;&gt;1,"",IF(I3673="SBJ","CB","?"))</f>
        <v> </v>
      </c>
      <c r="I3673" s="26" t="str">
        <f>IF(OR(E3673="",E3673="!!!",F3673="NEW"),"",INDEX(B3672:B$2,-1+SUMPRODUCT(MAX(ROW(E3672:E$2)*(E3673=E3672:E$2)))))</f>
        <v> </v>
      </c>
      <c r="J3673" s="26" t="str">
        <f>IF(OR(E3673="",E3673="!!!",F3673="NEW"),"",COUNTBLANK(OFFSET(A$1,,,SUMPRODUCT(MAX(ROW(E$2:E3673)*(E3673=E$2:E3673)))))-COUNTBLANK(OFFSET(A$1,,,SUMPRODUCT(MAX(ROW(E$1:E3672)*(E2=E$1:E3672))))))</f>
        <v> </v>
      </c>
      <c r="K3673" s="26" t="str">
        <f>IF(OR(E3673="",E3673="!!!",F3673="NEW"),"",INDEX(J$1:J3672,SUMPRODUCT(MAX(ROW(E$1:E3672)*(E3673=E$1:E3672)))))</f>
        <v> </v>
      </c>
      <c r="L3673" s="27"/>
    </row>
    <row r="3674" spans="1:12">
      <c r="A3674" s="20" t="s">
        <v>1166</v>
      </c>
      <c r="E3674" s="22">
        <f>IF(D3674="?OLD","!!!","")</f>
        <v/>
      </c>
      <c r="F3674" s="23" t="str">
        <f>IF(OR(E3674="",E3674="!!!"),"",IF(NOT(ISNA(VLOOKUP(E3674,E$1:E3673,1,FALSE()))),"OLD",IF(AND(E3674&lt;&gt;"",E3674&lt;&gt;"!!!"),"NEW","")))</f>
        <v> </v>
      </c>
      <c r="G3674" s="24" t="str">
        <f>IF(OR(E3674="",E3674="!!!"),"",IF(OR(J3674=0,AND(J3674=1,K3674=1),AND(J3674=1,I3674="SBJ"),AND(J3674=1,I3674=0)),"?IN_FOCUS",IF(J3674&lt;=2,"?ACTIVATED",IF(J3674&lt;&gt;"","?FAMILIAR",IF(F3674="NEW",IF(ISNA(VLOOKUP(E3674,#REF!,1,FALSE())),"?TYPE_IDENTIFIABLE","?REFERENTIAL"),"_")))))</f>
        <v> </v>
      </c>
      <c r="H3674" s="25" t="str">
        <f>IF(J3674&lt;&gt;1,"",IF(I3674="SBJ","CB","?"))</f>
        <v> </v>
      </c>
      <c r="I3674" s="26" t="str">
        <f>IF(OR(E3674="",E3674="!!!",F3674="NEW"),"",INDEX(B3673:B$2,-1+SUMPRODUCT(MAX(ROW(E3673:E$2)*(E3674=E3673:E$2)))))</f>
        <v> </v>
      </c>
      <c r="J3674" s="26" t="str">
        <f>IF(OR(E3674="",E3674="!!!",F3674="NEW"),"",COUNTBLANK(OFFSET(A$1,,,SUMPRODUCT(MAX(ROW(E$2:E3674)*(E3674=E$2:E3674)))))-COUNTBLANK(OFFSET(A$1,,,SUMPRODUCT(MAX(ROW(E$1:E3673)*(E2=E$1:E3673))))))</f>
        <v> </v>
      </c>
      <c r="K3674" s="26" t="str">
        <f>IF(OR(E3674="",E3674="!!!",F3674="NEW"),"",INDEX(J$1:J3673,SUMPRODUCT(MAX(ROW(E$1:E3673)*(E3674=E$1:E3673)))))</f>
        <v> </v>
      </c>
      <c r="L3674" s="27"/>
    </row>
    <row r="3675" spans="1:12">
      <c r="A3675" s="20" t="s">
        <v>2261</v>
      </c>
      <c r="B3675" s="21" t="s">
        <v>1150</v>
      </c>
      <c r="C3675" s="21" t="s">
        <v>1168</v>
      </c>
      <c r="D3675" s="21" t="s">
        <v>1144</v>
      </c>
      <c r="E3675" s="22">
        <f>IF(D3675="?OLD","!!!","")</f>
        <v/>
      </c>
      <c r="F3675" s="23" t="str">
        <f>IF(OR(E3675="",E3675="!!!"),"",IF(NOT(ISNA(VLOOKUP(E3675,E$1:E3674,1,FALSE()))),"OLD",IF(AND(E3675&lt;&gt;"",E3675&lt;&gt;"!!!"),"NEW","")))</f>
        <v> </v>
      </c>
      <c r="G3675" s="24" t="str">
        <f>IF(OR(E3675="",E3675="!!!"),"",IF(OR(J3675=0,AND(J3675=1,K3675=1),AND(J3675=1,I3675="SBJ"),AND(J3675=1,I3675=0)),"?IN_FOCUS",IF(J3675&lt;=2,"?ACTIVATED",IF(J3675&lt;&gt;"","?FAMILIAR",IF(F3675="NEW",IF(ISNA(VLOOKUP(E3675,#REF!,1,FALSE())),"?TYPE_IDENTIFIABLE","?REFERENTIAL"),"_")))))</f>
        <v> </v>
      </c>
      <c r="H3675" s="25" t="str">
        <f>IF(J3675&lt;&gt;1,"",IF(I3675="SBJ","CB","?"))</f>
        <v> </v>
      </c>
      <c r="I3675" s="26" t="str">
        <f>IF(OR(E3675="",E3675="!!!",F3675="NEW"),"",INDEX(B3674:B$2,-1+SUMPRODUCT(MAX(ROW(E3674:E$2)*(E3675=E3674:E$2)))))</f>
        <v> </v>
      </c>
      <c r="J3675" s="26" t="str">
        <f>IF(OR(E3675="",E3675="!!!",F3675="NEW"),"",COUNTBLANK(OFFSET(A$1,,,SUMPRODUCT(MAX(ROW(E$2:E3675)*(E3675=E$2:E3675)))))-COUNTBLANK(OFFSET(A$1,,,SUMPRODUCT(MAX(ROW(E$1:E3674)*(E2=E$1:E3674))))))</f>
        <v> </v>
      </c>
      <c r="K3675" s="26" t="str">
        <f>IF(OR(E3675="",E3675="!!!",F3675="NEW"),"",INDEX(J$1:J3674,SUMPRODUCT(MAX(ROW(E$1:E3674)*(E3675=E$1:E3674)))))</f>
        <v> </v>
      </c>
      <c r="L3675" s="27"/>
    </row>
    <row r="3676" spans="1:12">
      <c r="A3676" s="20" t="s">
        <v>1167</v>
      </c>
      <c r="B3676" s="21" t="s">
        <v>1142</v>
      </c>
      <c r="C3676" s="21" t="s">
        <v>1168</v>
      </c>
      <c r="D3676" s="21" t="s">
        <v>1144</v>
      </c>
      <c r="E3676" s="22">
        <f>IF(D3676="?OLD","!!!","")</f>
        <v/>
      </c>
      <c r="F3676" s="23" t="str">
        <f>IF(OR(E3676="",E3676="!!!"),"",IF(NOT(ISNA(VLOOKUP(E3676,E$1:E3675,1,FALSE()))),"OLD",IF(AND(E3676&lt;&gt;"",E3676&lt;&gt;"!!!"),"NEW","")))</f>
        <v> </v>
      </c>
      <c r="G3676" s="24" t="str">
        <f>IF(OR(E3676="",E3676="!!!"),"",IF(OR(J3676=0,AND(J3676=1,K3676=1),AND(J3676=1,I3676="SBJ"),AND(J3676=1,I3676=0)),"?IN_FOCUS",IF(J3676&lt;=2,"?ACTIVATED",IF(J3676&lt;&gt;"","?FAMILIAR",IF(F3676="NEW",IF(ISNA(VLOOKUP(E3676,#REF!,1,FALSE())),"?TYPE_IDENTIFIABLE","?REFERENTIAL"),"_")))))</f>
        <v> </v>
      </c>
      <c r="H3676" s="25" t="str">
        <f>IF(J3676&lt;&gt;1,"",IF(I3676="SBJ","CB","?"))</f>
        <v> </v>
      </c>
      <c r="I3676" s="26" t="str">
        <f>IF(OR(E3676="",E3676="!!!",F3676="NEW"),"",INDEX(B3675:B$2,-1+SUMPRODUCT(MAX(ROW(E3675:E$2)*(E3676=E3675:E$2)))))</f>
        <v> </v>
      </c>
      <c r="J3676" s="26" t="str">
        <f>IF(OR(E3676="",E3676="!!!",F3676="NEW"),"",COUNTBLANK(OFFSET(A$1,,,SUMPRODUCT(MAX(ROW(E$2:E3676)*(E3676=E$2:E3676)))))-COUNTBLANK(OFFSET(A$1,,,SUMPRODUCT(MAX(ROW(E$1:E3675)*(E2=E$1:E3675))))))</f>
        <v> </v>
      </c>
      <c r="K3676" s="26" t="str">
        <f>IF(OR(E3676="",E3676="!!!",F3676="NEW"),"",INDEX(J$1:J3675,SUMPRODUCT(MAX(ROW(E$1:E3675)*(E3676=E$1:E3675)))))</f>
        <v> </v>
      </c>
      <c r="L3676" s="27"/>
    </row>
    <row r="3677" spans="1:12">
      <c r="A3677" s="20" t="s">
        <v>2262</v>
      </c>
      <c r="E3677" s="22">
        <f>IF(D3677="?OLD","!!!","")</f>
        <v/>
      </c>
      <c r="F3677" s="23" t="str">
        <f>IF(OR(E3677="",E3677="!!!"),"",IF(NOT(ISNA(VLOOKUP(E3677,E$1:E3676,1,FALSE()))),"OLD",IF(AND(E3677&lt;&gt;"",E3677&lt;&gt;"!!!"),"NEW","")))</f>
        <v> </v>
      </c>
      <c r="G3677" s="24" t="str">
        <f>IF(OR(E3677="",E3677="!!!"),"",IF(OR(J3677=0,AND(J3677=1,K3677=1),AND(J3677=1,I3677="SBJ"),AND(J3677=1,I3677=0)),"?IN_FOCUS",IF(J3677&lt;=2,"?ACTIVATED",IF(J3677&lt;&gt;"","?FAMILIAR",IF(F3677="NEW",IF(ISNA(VLOOKUP(E3677,#REF!,1,FALSE())),"?TYPE_IDENTIFIABLE","?REFERENTIAL"),"_")))))</f>
        <v> </v>
      </c>
      <c r="H3677" s="25" t="str">
        <f>IF(J3677&lt;&gt;1,"",IF(I3677="SBJ","CB","?"))</f>
        <v> </v>
      </c>
      <c r="I3677" s="26" t="str">
        <f>IF(OR(E3677="",E3677="!!!",F3677="NEW"),"",INDEX(B3676:B$2,-1+SUMPRODUCT(MAX(ROW(E3676:E$2)*(E3677=E3676:E$2)))))</f>
        <v> </v>
      </c>
      <c r="J3677" s="26" t="str">
        <f>IF(OR(E3677="",E3677="!!!",F3677="NEW"),"",COUNTBLANK(OFFSET(A$1,,,SUMPRODUCT(MAX(ROW(E$2:E3677)*(E3677=E$2:E3677)))))-COUNTBLANK(OFFSET(A$1,,,SUMPRODUCT(MAX(ROW(E$1:E3676)*(E2=E$1:E3676))))))</f>
        <v> </v>
      </c>
      <c r="K3677" s="26" t="str">
        <f>IF(OR(E3677="",E3677="!!!",F3677="NEW"),"",INDEX(J$1:J3676,SUMPRODUCT(MAX(ROW(E$1:E3676)*(E3677=E$1:E3676)))))</f>
        <v> </v>
      </c>
      <c r="L3677" s="27"/>
    </row>
    <row r="3678" spans="1:12">
      <c r="A3678" s="20" t="s">
        <v>165</v>
      </c>
      <c r="E3678" s="22">
        <f>IF(D3678="?OLD","!!!","")</f>
        <v/>
      </c>
      <c r="F3678" s="23" t="str">
        <f>IF(OR(E3678="",E3678="!!!"),"",IF(NOT(ISNA(VLOOKUP(E3678,E$1:E3677,1,FALSE()))),"OLD",IF(AND(E3678&lt;&gt;"",E3678&lt;&gt;"!!!"),"NEW","")))</f>
        <v> </v>
      </c>
      <c r="G3678" s="24" t="str">
        <f>IF(OR(E3678="",E3678="!!!"),"",IF(OR(J3678=0,AND(J3678=1,K3678=1),AND(J3678=1,I3678="SBJ"),AND(J3678=1,I3678=0)),"?IN_FOCUS",IF(J3678&lt;=2,"?ACTIVATED",IF(J3678&lt;&gt;"","?FAMILIAR",IF(F3678="NEW",IF(ISNA(VLOOKUP(E3678,#REF!,1,FALSE())),"?TYPE_IDENTIFIABLE","?REFERENTIAL"),"_")))))</f>
        <v> </v>
      </c>
      <c r="H3678" s="25" t="str">
        <f>IF(J3678&lt;&gt;1,"",IF(I3678="SBJ","CB","?"))</f>
        <v> </v>
      </c>
      <c r="I3678" s="26" t="str">
        <f>IF(OR(E3678="",E3678="!!!",F3678="NEW"),"",INDEX(B3677:B$2,-1+SUMPRODUCT(MAX(ROW(E3677:E$2)*(E3678=E3677:E$2)))))</f>
        <v> </v>
      </c>
      <c r="J3678" s="26" t="str">
        <f>IF(OR(E3678="",E3678="!!!",F3678="NEW"),"",COUNTBLANK(OFFSET(A$1,,,SUMPRODUCT(MAX(ROW(E$2:E3678)*(E3678=E$2:E3678)))))-COUNTBLANK(OFFSET(A$1,,,SUMPRODUCT(MAX(ROW(E$1:E3677)*(E2=E$1:E3677))))))</f>
        <v> </v>
      </c>
      <c r="K3678" s="26" t="str">
        <f>IF(OR(E3678="",E3678="!!!",F3678="NEW"),"",INDEX(J$1:J3677,SUMPRODUCT(MAX(ROW(E$1:E3677)*(E3678=E$1:E3677)))))</f>
        <v> </v>
      </c>
      <c r="L3678" s="27"/>
    </row>
    <row r="3679" spans="1:12">
      <c r="A3679" s="20" t="s">
        <v>1166</v>
      </c>
      <c r="E3679" s="22">
        <f>IF(D3679="?OLD","!!!","")</f>
        <v/>
      </c>
      <c r="F3679" s="23" t="str">
        <f>IF(OR(E3679="",E3679="!!!"),"",IF(NOT(ISNA(VLOOKUP(E3679,E$1:E3678,1,FALSE()))),"OLD",IF(AND(E3679&lt;&gt;"",E3679&lt;&gt;"!!!"),"NEW","")))</f>
        <v> </v>
      </c>
      <c r="G3679" s="24" t="str">
        <f>IF(OR(E3679="",E3679="!!!"),"",IF(OR(J3679=0,AND(J3679=1,K3679=1),AND(J3679=1,I3679="SBJ"),AND(J3679=1,I3679=0)),"?IN_FOCUS",IF(J3679&lt;=2,"?ACTIVATED",IF(J3679&lt;&gt;"","?FAMILIAR",IF(F3679="NEW",IF(ISNA(VLOOKUP(E3679,#REF!,1,FALSE())),"?TYPE_IDENTIFIABLE","?REFERENTIAL"),"_")))))</f>
        <v> </v>
      </c>
      <c r="H3679" s="25" t="str">
        <f>IF(J3679&lt;&gt;1,"",IF(I3679="SBJ","CB","?"))</f>
        <v> </v>
      </c>
      <c r="I3679" s="26" t="str">
        <f>IF(OR(E3679="",E3679="!!!",F3679="NEW"),"",INDEX(B3678:B$2,-1+SUMPRODUCT(MAX(ROW(E3678:E$2)*(E3679=E3678:E$2)))))</f>
        <v> </v>
      </c>
      <c r="J3679" s="26" t="str">
        <f>IF(OR(E3679="",E3679="!!!",F3679="NEW"),"",COUNTBLANK(OFFSET(A$1,,,SUMPRODUCT(MAX(ROW(E$2:E3679)*(E3679=E$2:E3679)))))-COUNTBLANK(OFFSET(A$1,,,SUMPRODUCT(MAX(ROW(E$1:E3678)*(E2=E$1:E3678))))))</f>
        <v> </v>
      </c>
      <c r="K3679" s="26" t="str">
        <f>IF(OR(E3679="",E3679="!!!",F3679="NEW"),"",INDEX(J$1:J3678,SUMPRODUCT(MAX(ROW(E$1:E3678)*(E3679=E$1:E3678)))))</f>
        <v> </v>
      </c>
      <c r="L3679" s="27"/>
    </row>
    <row r="3680" spans="1:12">
      <c r="A3680" s="20" t="s">
        <v>1197</v>
      </c>
      <c r="E3680" s="22">
        <f>IF(D3680="?OLD","!!!","")</f>
        <v/>
      </c>
      <c r="F3680" s="23" t="str">
        <f>IF(OR(E3680="",E3680="!!!"),"",IF(NOT(ISNA(VLOOKUP(E3680,E$1:E3679,1,FALSE()))),"OLD",IF(AND(E3680&lt;&gt;"",E3680&lt;&gt;"!!!"),"NEW","")))</f>
        <v> </v>
      </c>
      <c r="G3680" s="24" t="str">
        <f>IF(OR(E3680="",E3680="!!!"),"",IF(OR(J3680=0,AND(J3680=1,K3680=1),AND(J3680=1,I3680="SBJ"),AND(J3680=1,I3680=0)),"?IN_FOCUS",IF(J3680&lt;=2,"?ACTIVATED",IF(J3680&lt;&gt;"","?FAMILIAR",IF(F3680="NEW",IF(ISNA(VLOOKUP(E3680,#REF!,1,FALSE())),"?TYPE_IDENTIFIABLE","?REFERENTIAL"),"_")))))</f>
        <v> </v>
      </c>
      <c r="H3680" s="25" t="str">
        <f>IF(J3680&lt;&gt;1,"",IF(I3680="SBJ","CB","?"))</f>
        <v> </v>
      </c>
      <c r="I3680" s="26" t="str">
        <f>IF(OR(E3680="",E3680="!!!",F3680="NEW"),"",INDEX(B3679:B$2,-1+SUMPRODUCT(MAX(ROW(E3679:E$2)*(E3680=E3679:E$2)))))</f>
        <v> </v>
      </c>
      <c r="J3680" s="26" t="str">
        <f>IF(OR(E3680="",E3680="!!!",F3680="NEW"),"",COUNTBLANK(OFFSET(A$1,,,SUMPRODUCT(MAX(ROW(E$2:E3680)*(E3680=E$2:E3680)))))-COUNTBLANK(OFFSET(A$1,,,SUMPRODUCT(MAX(ROW(E$1:E3679)*(E2=E$1:E3679))))))</f>
        <v> </v>
      </c>
      <c r="K3680" s="26" t="str">
        <f>IF(OR(E3680="",E3680="!!!",F3680="NEW"),"",INDEX(J$1:J3679,SUMPRODUCT(MAX(ROW(E$1:E3679)*(E3680=E$1:E3679)))))</f>
        <v> </v>
      </c>
      <c r="L3680" s="27"/>
    </row>
    <row r="3681" spans="1:12">
      <c r="A3681" s="20" t="s">
        <v>1261</v>
      </c>
      <c r="B3681" s="21" t="s">
        <v>1175</v>
      </c>
      <c r="C3681" s="21" t="s">
        <v>1151</v>
      </c>
      <c r="D3681" s="21" t="s">
        <v>1144</v>
      </c>
      <c r="E3681" s="22">
        <f>IF(D3681="?OLD","!!!","")</f>
        <v/>
      </c>
      <c r="F3681" s="23" t="str">
        <f>IF(OR(E3681="",E3681="!!!"),"",IF(NOT(ISNA(VLOOKUP(E3681,E$1:E3680,1,FALSE()))),"OLD",IF(AND(E3681&lt;&gt;"",E3681&lt;&gt;"!!!"),"NEW","")))</f>
        <v> </v>
      </c>
      <c r="G3681" s="24" t="str">
        <f>IF(OR(E3681="",E3681="!!!"),"",IF(OR(J3681=0,AND(J3681=1,K3681=1),AND(J3681=1,I3681="SBJ"),AND(J3681=1,I3681=0)),"?IN_FOCUS",IF(J3681&lt;=2,"?ACTIVATED",IF(J3681&lt;&gt;"","?FAMILIAR",IF(F3681="NEW",IF(ISNA(VLOOKUP(E3681,#REF!,1,FALSE())),"?TYPE_IDENTIFIABLE","?REFERENTIAL"),"_")))))</f>
        <v> </v>
      </c>
      <c r="H3681" s="25" t="str">
        <f>IF(J3681&lt;&gt;1,"",IF(I3681="SBJ","CB","?"))</f>
        <v> </v>
      </c>
      <c r="I3681" s="26" t="str">
        <f>IF(OR(E3681="",E3681="!!!",F3681="NEW"),"",INDEX(B3680:B$2,-1+SUMPRODUCT(MAX(ROW(E3680:E$2)*(E3681=E3680:E$2)))))</f>
        <v> </v>
      </c>
      <c r="J3681" s="26" t="str">
        <f>IF(OR(E3681="",E3681="!!!",F3681="NEW"),"",COUNTBLANK(OFFSET(A$1,,,SUMPRODUCT(MAX(ROW(E$2:E3681)*(E3681=E$2:E3681)))))-COUNTBLANK(OFFSET(A$1,,,SUMPRODUCT(MAX(ROW(E$1:E3680)*(E2=E$1:E3680))))))</f>
        <v> </v>
      </c>
      <c r="K3681" s="26" t="str">
        <f>IF(OR(E3681="",E3681="!!!",F3681="NEW"),"",INDEX(J$1:J3680,SUMPRODUCT(MAX(ROW(E$1:E3680)*(E3681=E$1:E3680)))))</f>
        <v> </v>
      </c>
      <c r="L3681" s="27"/>
    </row>
    <row r="3682" spans="1:12">
      <c r="A3682" s="20" t="s">
        <v>1307</v>
      </c>
      <c r="E3682" s="22">
        <f>IF(D3682="?OLD","!!!","")</f>
        <v/>
      </c>
      <c r="F3682" s="23" t="str">
        <f>IF(OR(E3682="",E3682="!!!"),"",IF(NOT(ISNA(VLOOKUP(E3682,E$1:E3681,1,FALSE()))),"OLD",IF(AND(E3682&lt;&gt;"",E3682&lt;&gt;"!!!"),"NEW","")))</f>
        <v> </v>
      </c>
      <c r="G3682" s="24" t="str">
        <f>IF(OR(E3682="",E3682="!!!"),"",IF(OR(J3682=0,AND(J3682=1,K3682=1),AND(J3682=1,I3682="SBJ"),AND(J3682=1,I3682=0)),"?IN_FOCUS",IF(J3682&lt;=2,"?ACTIVATED",IF(J3682&lt;&gt;"","?FAMILIAR",IF(F3682="NEW",IF(ISNA(VLOOKUP(E3682,#REF!,1,FALSE())),"?TYPE_IDENTIFIABLE","?REFERENTIAL"),"_")))))</f>
        <v> </v>
      </c>
      <c r="H3682" s="25" t="str">
        <f>IF(J3682&lt;&gt;1,"",IF(I3682="SBJ","CB","?"))</f>
        <v> </v>
      </c>
      <c r="I3682" s="26" t="str">
        <f>IF(OR(E3682="",E3682="!!!",F3682="NEW"),"",INDEX(B3681:B$2,-1+SUMPRODUCT(MAX(ROW(E3681:E$2)*(E3682=E3681:E$2)))))</f>
        <v> </v>
      </c>
      <c r="J3682" s="26" t="str">
        <f>IF(OR(E3682="",E3682="!!!",F3682="NEW"),"",COUNTBLANK(OFFSET(A$1,,,SUMPRODUCT(MAX(ROW(E$2:E3682)*(E3682=E$2:E3682)))))-COUNTBLANK(OFFSET(A$1,,,SUMPRODUCT(MAX(ROW(E$1:E3681)*(E2=E$1:E3681))))))</f>
        <v> </v>
      </c>
      <c r="K3682" s="26" t="str">
        <f>IF(OR(E3682="",E3682="!!!",F3682="NEW"),"",INDEX(J$1:J3681,SUMPRODUCT(MAX(ROW(E$1:E3681)*(E3682=E$1:E3681)))))</f>
        <v> </v>
      </c>
      <c r="L3682" s="27"/>
    </row>
    <row r="3683" spans="1:12">
      <c r="A3683" s="20" t="s">
        <v>2010</v>
      </c>
      <c r="E3683" s="22">
        <f>IF(D3683="?OLD","!!!","")</f>
        <v/>
      </c>
      <c r="F3683" s="23" t="str">
        <f>IF(OR(E3683="",E3683="!!!"),"",IF(NOT(ISNA(VLOOKUP(E3683,E$1:E3682,1,FALSE()))),"OLD",IF(AND(E3683&lt;&gt;"",E3683&lt;&gt;"!!!"),"NEW","")))</f>
        <v> </v>
      </c>
      <c r="G3683" s="24" t="str">
        <f>IF(OR(E3683="",E3683="!!!"),"",IF(OR(J3683=0,AND(J3683=1,K3683=1),AND(J3683=1,I3683="SBJ"),AND(J3683=1,I3683=0)),"?IN_FOCUS",IF(J3683&lt;=2,"?ACTIVATED",IF(J3683&lt;&gt;"","?FAMILIAR",IF(F3683="NEW",IF(ISNA(VLOOKUP(E3683,#REF!,1,FALSE())),"?TYPE_IDENTIFIABLE","?REFERENTIAL"),"_")))))</f>
        <v> </v>
      </c>
      <c r="H3683" s="25" t="str">
        <f>IF(J3683&lt;&gt;1,"",IF(I3683="SBJ","CB","?"))</f>
        <v> </v>
      </c>
      <c r="I3683" s="26" t="str">
        <f>IF(OR(E3683="",E3683="!!!",F3683="NEW"),"",INDEX(B3682:B$2,-1+SUMPRODUCT(MAX(ROW(E3682:E$2)*(E3683=E3682:E$2)))))</f>
        <v> </v>
      </c>
      <c r="J3683" s="26" t="str">
        <f>IF(OR(E3683="",E3683="!!!",F3683="NEW"),"",COUNTBLANK(OFFSET(A$1,,,SUMPRODUCT(MAX(ROW(E$2:E3683)*(E3683=E$2:E3683)))))-COUNTBLANK(OFFSET(A$1,,,SUMPRODUCT(MAX(ROW(E$1:E3682)*(E2=E$1:E3682))))))</f>
        <v> </v>
      </c>
      <c r="K3683" s="26" t="str">
        <f>IF(OR(E3683="",E3683="!!!",F3683="NEW"),"",INDEX(J$1:J3682,SUMPRODUCT(MAX(ROW(E$1:E3682)*(E3683=E$1:E3682)))))</f>
        <v> </v>
      </c>
      <c r="L3683" s="27"/>
    </row>
    <row r="3684" spans="1:12">
      <c r="A3684" s="20" t="s">
        <v>1189</v>
      </c>
      <c r="B3684" s="21" t="s">
        <v>1175</v>
      </c>
      <c r="C3684" s="21" t="s">
        <v>1151</v>
      </c>
      <c r="D3684" s="21" t="s">
        <v>1144</v>
      </c>
      <c r="E3684" s="22">
        <f>IF(D3684="?OLD","!!!","")</f>
        <v/>
      </c>
      <c r="F3684" s="23" t="str">
        <f>IF(OR(E3684="",E3684="!!!"),"",IF(NOT(ISNA(VLOOKUP(E3684,E$1:E3683,1,FALSE()))),"OLD",IF(AND(E3684&lt;&gt;"",E3684&lt;&gt;"!!!"),"NEW","")))</f>
        <v> </v>
      </c>
      <c r="G3684" s="24" t="str">
        <f>IF(OR(E3684="",E3684="!!!"),"",IF(OR(J3684=0,AND(J3684=1,K3684=1),AND(J3684=1,I3684="SBJ"),AND(J3684=1,I3684=0)),"?IN_FOCUS",IF(J3684&lt;=2,"?ACTIVATED",IF(J3684&lt;&gt;"","?FAMILIAR",IF(F3684="NEW",IF(ISNA(VLOOKUP(E3684,#REF!,1,FALSE())),"?TYPE_IDENTIFIABLE","?REFERENTIAL"),"_")))))</f>
        <v> </v>
      </c>
      <c r="H3684" s="25" t="str">
        <f>IF(J3684&lt;&gt;1,"",IF(I3684="SBJ","CB","?"))</f>
        <v> </v>
      </c>
      <c r="I3684" s="26" t="str">
        <f>IF(OR(E3684="",E3684="!!!",F3684="NEW"),"",INDEX(B3683:B$2,-1+SUMPRODUCT(MAX(ROW(E3683:E$2)*(E3684=E3683:E$2)))))</f>
        <v> </v>
      </c>
      <c r="J3684" s="26" t="str">
        <f>IF(OR(E3684="",E3684="!!!",F3684="NEW"),"",COUNTBLANK(OFFSET(A$1,,,SUMPRODUCT(MAX(ROW(E$2:E3684)*(E3684=E$2:E3684)))))-COUNTBLANK(OFFSET(A$1,,,SUMPRODUCT(MAX(ROW(E$1:E3683)*(E2=E$1:E3683))))))</f>
        <v> </v>
      </c>
      <c r="K3684" s="26" t="str">
        <f>IF(OR(E3684="",E3684="!!!",F3684="NEW"),"",INDEX(J$1:J3683,SUMPRODUCT(MAX(ROW(E$1:E3683)*(E3684=E$1:E3683)))))</f>
        <v> </v>
      </c>
      <c r="L3684" s="27"/>
    </row>
    <row r="3685" spans="1:12">
      <c r="A3685" s="20" t="s">
        <v>2263</v>
      </c>
      <c r="E3685" s="22">
        <f>IF(D3685="?OLD","!!!","")</f>
        <v/>
      </c>
      <c r="F3685" s="23" t="str">
        <f>IF(OR(E3685="",E3685="!!!"),"",IF(NOT(ISNA(VLOOKUP(E3685,E$1:E3684,1,FALSE()))),"OLD",IF(AND(E3685&lt;&gt;"",E3685&lt;&gt;"!!!"),"NEW","")))</f>
        <v> </v>
      </c>
      <c r="G3685" s="24" t="str">
        <f>IF(OR(E3685="",E3685="!!!"),"",IF(OR(J3685=0,AND(J3685=1,K3685=1),AND(J3685=1,I3685="SBJ"),AND(J3685=1,I3685=0)),"?IN_FOCUS",IF(J3685&lt;=2,"?ACTIVATED",IF(J3685&lt;&gt;"","?FAMILIAR",IF(F3685="NEW",IF(ISNA(VLOOKUP(E3685,#REF!,1,FALSE())),"?TYPE_IDENTIFIABLE","?REFERENTIAL"),"_")))))</f>
        <v> </v>
      </c>
      <c r="H3685" s="25" t="str">
        <f>IF(J3685&lt;&gt;1,"",IF(I3685="SBJ","CB","?"))</f>
        <v> </v>
      </c>
      <c r="I3685" s="26" t="str">
        <f>IF(OR(E3685="",E3685="!!!",F3685="NEW"),"",INDEX(B3684:B$2,-1+SUMPRODUCT(MAX(ROW(E3684:E$2)*(E3685=E3684:E$2)))))</f>
        <v> </v>
      </c>
      <c r="J3685" s="26" t="str">
        <f>IF(OR(E3685="",E3685="!!!",F3685="NEW"),"",COUNTBLANK(OFFSET(A$1,,,SUMPRODUCT(MAX(ROW(E$2:E3685)*(E3685=E$2:E3685)))))-COUNTBLANK(OFFSET(A$1,,,SUMPRODUCT(MAX(ROW(E$1:E3684)*(E2=E$1:E3684))))))</f>
        <v> </v>
      </c>
      <c r="K3685" s="26" t="str">
        <f>IF(OR(E3685="",E3685="!!!",F3685="NEW"),"",INDEX(J$1:J3684,SUMPRODUCT(MAX(ROW(E$1:E3684)*(E3685=E$1:E3684)))))</f>
        <v> </v>
      </c>
      <c r="L3685" s="27"/>
    </row>
    <row r="3686" spans="1:12">
      <c r="A3686" s="20" t="s">
        <v>2264</v>
      </c>
      <c r="E3686" s="22">
        <f>IF(D3686="?OLD","!!!","")</f>
        <v/>
      </c>
      <c r="F3686" s="23" t="str">
        <f>IF(OR(E3686="",E3686="!!!"),"",IF(NOT(ISNA(VLOOKUP(E3686,E$1:E3685,1,FALSE()))),"OLD",IF(AND(E3686&lt;&gt;"",E3686&lt;&gt;"!!!"),"NEW","")))</f>
        <v> </v>
      </c>
      <c r="G3686" s="24" t="str">
        <f>IF(OR(E3686="",E3686="!!!"),"",IF(OR(J3686=0,AND(J3686=1,K3686=1),AND(J3686=1,I3686="SBJ"),AND(J3686=1,I3686=0)),"?IN_FOCUS",IF(J3686&lt;=2,"?ACTIVATED",IF(J3686&lt;&gt;"","?FAMILIAR",IF(F3686="NEW",IF(ISNA(VLOOKUP(E3686,#REF!,1,FALSE())),"?TYPE_IDENTIFIABLE","?REFERENTIAL"),"_")))))</f>
        <v> </v>
      </c>
      <c r="H3686" s="25" t="str">
        <f>IF(J3686&lt;&gt;1,"",IF(I3686="SBJ","CB","?"))</f>
        <v> </v>
      </c>
      <c r="I3686" s="26" t="str">
        <f>IF(OR(E3686="",E3686="!!!",F3686="NEW"),"",INDEX(B3685:B$2,-1+SUMPRODUCT(MAX(ROW(E3685:E$2)*(E3686=E3685:E$2)))))</f>
        <v> </v>
      </c>
      <c r="J3686" s="26" t="str">
        <f>IF(OR(E3686="",E3686="!!!",F3686="NEW"),"",COUNTBLANK(OFFSET(A$1,,,SUMPRODUCT(MAX(ROW(E$2:E3686)*(E3686=E$2:E3686)))))-COUNTBLANK(OFFSET(A$1,,,SUMPRODUCT(MAX(ROW(E$1:E3685)*(E2=E$1:E3685))))))</f>
        <v> </v>
      </c>
      <c r="K3686" s="26" t="str">
        <f>IF(OR(E3686="",E3686="!!!",F3686="NEW"),"",INDEX(J$1:J3685,SUMPRODUCT(MAX(ROW(E$1:E3685)*(E3686=E$1:E3685)))))</f>
        <v> </v>
      </c>
      <c r="L3686" s="27"/>
    </row>
    <row r="3687" spans="1:12">
      <c r="A3687" s="20" t="s">
        <v>1191</v>
      </c>
      <c r="E3687" s="22">
        <f>IF(D3687="?OLD","!!!","")</f>
        <v/>
      </c>
      <c r="F3687" s="23" t="str">
        <f>IF(OR(E3687="",E3687="!!!"),"",IF(NOT(ISNA(VLOOKUP(E3687,E$1:E3686,1,FALSE()))),"OLD",IF(AND(E3687&lt;&gt;"",E3687&lt;&gt;"!!!"),"NEW","")))</f>
        <v> </v>
      </c>
      <c r="G3687" s="24" t="str">
        <f>IF(OR(E3687="",E3687="!!!"),"",IF(OR(J3687=0,AND(J3687=1,K3687=1),AND(J3687=1,I3687="SBJ"),AND(J3687=1,I3687=0)),"?IN_FOCUS",IF(J3687&lt;=2,"?ACTIVATED",IF(J3687&lt;&gt;"","?FAMILIAR",IF(F3687="NEW",IF(ISNA(VLOOKUP(E3687,#REF!,1,FALSE())),"?TYPE_IDENTIFIABLE","?REFERENTIAL"),"_")))))</f>
        <v> </v>
      </c>
      <c r="H3687" s="25" t="str">
        <f>IF(J3687&lt;&gt;1,"",IF(I3687="SBJ","CB","?"))</f>
        <v> </v>
      </c>
      <c r="I3687" s="26" t="str">
        <f>IF(OR(E3687="",E3687="!!!",F3687="NEW"),"",INDEX(B3686:B$2,-1+SUMPRODUCT(MAX(ROW(E3686:E$2)*(E3687=E3686:E$2)))))</f>
        <v> </v>
      </c>
      <c r="J3687" s="26" t="str">
        <f>IF(OR(E3687="",E3687="!!!",F3687="NEW"),"",COUNTBLANK(OFFSET(A$1,,,SUMPRODUCT(MAX(ROW(E$2:E3687)*(E3687=E$2:E3687)))))-COUNTBLANK(OFFSET(A$1,,,SUMPRODUCT(MAX(ROW(E$1:E3686)*(E2=E$1:E3686))))))</f>
        <v> </v>
      </c>
      <c r="K3687" s="26" t="str">
        <f>IF(OR(E3687="",E3687="!!!",F3687="NEW"),"",INDEX(J$1:J3686,SUMPRODUCT(MAX(ROW(E$1:E3686)*(E3687=E$1:E3686)))))</f>
        <v> </v>
      </c>
      <c r="L3687" s="27"/>
    </row>
    <row r="3688" spans="1:12">
      <c r="A3688" s="20" t="s">
        <v>2265</v>
      </c>
      <c r="E3688" s="22">
        <f>IF(D3688="?OLD","!!!","")</f>
        <v/>
      </c>
      <c r="F3688" s="23" t="str">
        <f>IF(OR(E3688="",E3688="!!!"),"",IF(NOT(ISNA(VLOOKUP(E3688,E$1:E3687,1,FALSE()))),"OLD",IF(AND(E3688&lt;&gt;"",E3688&lt;&gt;"!!!"),"NEW","")))</f>
        <v> </v>
      </c>
      <c r="G3688" s="24" t="str">
        <f>IF(OR(E3688="",E3688="!!!"),"",IF(OR(J3688=0,AND(J3688=1,K3688=1),AND(J3688=1,I3688="SBJ"),AND(J3688=1,I3688=0)),"?IN_FOCUS",IF(J3688&lt;=2,"?ACTIVATED",IF(J3688&lt;&gt;"","?FAMILIAR",IF(F3688="NEW",IF(ISNA(VLOOKUP(E3688,#REF!,1,FALSE())),"?TYPE_IDENTIFIABLE","?REFERENTIAL"),"_")))))</f>
        <v> </v>
      </c>
      <c r="H3688" s="25" t="str">
        <f>IF(J3688&lt;&gt;1,"",IF(I3688="SBJ","CB","?"))</f>
        <v> </v>
      </c>
      <c r="I3688" s="26" t="str">
        <f>IF(OR(E3688="",E3688="!!!",F3688="NEW"),"",INDEX(B3687:B$2,-1+SUMPRODUCT(MAX(ROW(E3687:E$2)*(E3688=E3687:E$2)))))</f>
        <v> </v>
      </c>
      <c r="J3688" s="26" t="str">
        <f>IF(OR(E3688="",E3688="!!!",F3688="NEW"),"",COUNTBLANK(OFFSET(A$1,,,SUMPRODUCT(MAX(ROW(E$2:E3688)*(E3688=E$2:E3688)))))-COUNTBLANK(OFFSET(A$1,,,SUMPRODUCT(MAX(ROW(E$1:E3687)*(E2=E$1:E3687))))))</f>
        <v> </v>
      </c>
      <c r="K3688" s="26" t="str">
        <f>IF(OR(E3688="",E3688="!!!",F3688="NEW"),"",INDEX(J$1:J3687,SUMPRODUCT(MAX(ROW(E$1:E3687)*(E3688=E$1:E3687)))))</f>
        <v> </v>
      </c>
      <c r="L3688" s="27"/>
    </row>
    <row r="3689" spans="1:12">
      <c r="A3689" s="20" t="s">
        <v>2266</v>
      </c>
      <c r="B3689" s="21" t="s">
        <v>1193</v>
      </c>
      <c r="C3689" s="21" t="s">
        <v>1162</v>
      </c>
      <c r="D3689" s="21" t="s">
        <v>1144</v>
      </c>
      <c r="E3689" s="22">
        <f>IF(D3689="?OLD","!!!","")</f>
        <v/>
      </c>
      <c r="F3689" s="23" t="str">
        <f>IF(OR(E3689="",E3689="!!!"),"",IF(NOT(ISNA(VLOOKUP(E3689,E$1:E3688,1,FALSE()))),"OLD",IF(AND(E3689&lt;&gt;"",E3689&lt;&gt;"!!!"),"NEW","")))</f>
        <v> </v>
      </c>
      <c r="G3689" s="24" t="str">
        <f>IF(OR(E3689="",E3689="!!!"),"",IF(OR(J3689=0,AND(J3689=1,K3689=1),AND(J3689=1,I3689="SBJ"),AND(J3689=1,I3689=0)),"?IN_FOCUS",IF(J3689&lt;=2,"?ACTIVATED",IF(J3689&lt;&gt;"","?FAMILIAR",IF(F3689="NEW",IF(ISNA(VLOOKUP(E3689,#REF!,1,FALSE())),"?TYPE_IDENTIFIABLE","?REFERENTIAL"),"_")))))</f>
        <v> </v>
      </c>
      <c r="H3689" s="25" t="str">
        <f>IF(J3689&lt;&gt;1,"",IF(I3689="SBJ","CB","?"))</f>
        <v> </v>
      </c>
      <c r="I3689" s="26" t="str">
        <f>IF(OR(E3689="",E3689="!!!",F3689="NEW"),"",INDEX(B3688:B$2,-1+SUMPRODUCT(MAX(ROW(E3688:E$2)*(E3689=E3688:E$2)))))</f>
        <v> </v>
      </c>
      <c r="J3689" s="26" t="str">
        <f>IF(OR(E3689="",E3689="!!!",F3689="NEW"),"",COUNTBLANK(OFFSET(A$1,,,SUMPRODUCT(MAX(ROW(E$2:E3689)*(E3689=E$2:E3689)))))-COUNTBLANK(OFFSET(A$1,,,SUMPRODUCT(MAX(ROW(E$1:E3688)*(E2=E$1:E3688))))))</f>
        <v> </v>
      </c>
      <c r="K3689" s="26" t="str">
        <f>IF(OR(E3689="",E3689="!!!",F3689="NEW"),"",INDEX(J$1:J3688,SUMPRODUCT(MAX(ROW(E$1:E3688)*(E3689=E$1:E3688)))))</f>
        <v> </v>
      </c>
      <c r="L3689" s="27"/>
    </row>
    <row r="3690" spans="1:12">
      <c r="A3690" s="20" t="s">
        <v>1275</v>
      </c>
      <c r="E3690" s="22">
        <f>IF(D3690="?OLD","!!!","")</f>
        <v/>
      </c>
      <c r="F3690" s="23" t="str">
        <f>IF(OR(E3690="",E3690="!!!"),"",IF(NOT(ISNA(VLOOKUP(E3690,E$1:E3689,1,FALSE()))),"OLD",IF(AND(E3690&lt;&gt;"",E3690&lt;&gt;"!!!"),"NEW","")))</f>
        <v> </v>
      </c>
      <c r="G3690" s="24" t="str">
        <f>IF(OR(E3690="",E3690="!!!"),"",IF(OR(J3690=0,AND(J3690=1,K3690=1),AND(J3690=1,I3690="SBJ"),AND(J3690=1,I3690=0)),"?IN_FOCUS",IF(J3690&lt;=2,"?ACTIVATED",IF(J3690&lt;&gt;"","?FAMILIAR",IF(F3690="NEW",IF(ISNA(VLOOKUP(E3690,#REF!,1,FALSE())),"?TYPE_IDENTIFIABLE","?REFERENTIAL"),"_")))))</f>
        <v> </v>
      </c>
      <c r="H3690" s="25" t="str">
        <f>IF(J3690&lt;&gt;1,"",IF(I3690="SBJ","CB","?"))</f>
        <v> </v>
      </c>
      <c r="I3690" s="26" t="str">
        <f>IF(OR(E3690="",E3690="!!!",F3690="NEW"),"",INDEX(B3689:B$2,-1+SUMPRODUCT(MAX(ROW(E3689:E$2)*(E3690=E3689:E$2)))))</f>
        <v> </v>
      </c>
      <c r="J3690" s="26" t="str">
        <f>IF(OR(E3690="",E3690="!!!",F3690="NEW"),"",COUNTBLANK(OFFSET(A$1,,,SUMPRODUCT(MAX(ROW(E$2:E3690)*(E3690=E$2:E3690)))))-COUNTBLANK(OFFSET(A$1,,,SUMPRODUCT(MAX(ROW(E$1:E3689)*(E2=E$1:E3689))))))</f>
        <v> </v>
      </c>
      <c r="K3690" s="26" t="str">
        <f>IF(OR(E3690="",E3690="!!!",F3690="NEW"),"",INDEX(J$1:J3689,SUMPRODUCT(MAX(ROW(E$1:E3689)*(E3690=E$1:E3689)))))</f>
        <v> </v>
      </c>
      <c r="L3690" s="27"/>
    </row>
    <row r="3691" spans="1:12">
      <c r="A3691" s="20" t="s">
        <v>1565</v>
      </c>
      <c r="E3691" s="22">
        <f>IF(D3691="?OLD","!!!","")</f>
        <v/>
      </c>
      <c r="F3691" s="23" t="str">
        <f>IF(OR(E3691="",E3691="!!!"),"",IF(NOT(ISNA(VLOOKUP(E3691,E$1:E3690,1,FALSE()))),"OLD",IF(AND(E3691&lt;&gt;"",E3691&lt;&gt;"!!!"),"NEW","")))</f>
        <v> </v>
      </c>
      <c r="G3691" s="24" t="str">
        <f>IF(OR(E3691="",E3691="!!!"),"",IF(OR(J3691=0,AND(J3691=1,K3691=1),AND(J3691=1,I3691="SBJ"),AND(J3691=1,I3691=0)),"?IN_FOCUS",IF(J3691&lt;=2,"?ACTIVATED",IF(J3691&lt;&gt;"","?FAMILIAR",IF(F3691="NEW",IF(ISNA(VLOOKUP(E3691,#REF!,1,FALSE())),"?TYPE_IDENTIFIABLE","?REFERENTIAL"),"_")))))</f>
        <v> </v>
      </c>
      <c r="H3691" s="25" t="str">
        <f>IF(J3691&lt;&gt;1,"",IF(I3691="SBJ","CB","?"))</f>
        <v> </v>
      </c>
      <c r="I3691" s="26" t="str">
        <f>IF(OR(E3691="",E3691="!!!",F3691="NEW"),"",INDEX(B3690:B$2,-1+SUMPRODUCT(MAX(ROW(E3690:E$2)*(E3691=E3690:E$2)))))</f>
        <v> </v>
      </c>
      <c r="J3691" s="26" t="str">
        <f>IF(OR(E3691="",E3691="!!!",F3691="NEW"),"",COUNTBLANK(OFFSET(A$1,,,SUMPRODUCT(MAX(ROW(E$2:E3691)*(E3691=E$2:E3691)))))-COUNTBLANK(OFFSET(A$1,,,SUMPRODUCT(MAX(ROW(E$1:E3690)*(E2=E$1:E3690))))))</f>
        <v> </v>
      </c>
      <c r="K3691" s="26" t="str">
        <f>IF(OR(E3691="",E3691="!!!",F3691="NEW"),"",INDEX(J$1:J3690,SUMPRODUCT(MAX(ROW(E$1:E3690)*(E3691=E$1:E3690)))))</f>
        <v> </v>
      </c>
      <c r="L3691" s="27"/>
    </row>
    <row r="3692" spans="1:12">
      <c r="A3692" s="20" t="s">
        <v>2267</v>
      </c>
      <c r="B3692" s="21" t="s">
        <v>1181</v>
      </c>
      <c r="C3692" s="21" t="s">
        <v>1162</v>
      </c>
      <c r="D3692" s="21" t="s">
        <v>1144</v>
      </c>
      <c r="E3692" s="22">
        <f>IF(D3692="?OLD","!!!","")</f>
        <v/>
      </c>
      <c r="F3692" s="23" t="str">
        <f>IF(OR(E3692="",E3692="!!!"),"",IF(NOT(ISNA(VLOOKUP(E3692,E$1:E3691,1,FALSE()))),"OLD",IF(AND(E3692&lt;&gt;"",E3692&lt;&gt;"!!!"),"NEW","")))</f>
        <v> </v>
      </c>
      <c r="G3692" s="24" t="str">
        <f>IF(OR(E3692="",E3692="!!!"),"",IF(OR(J3692=0,AND(J3692=1,K3692=1),AND(J3692=1,I3692="SBJ"),AND(J3692=1,I3692=0)),"?IN_FOCUS",IF(J3692&lt;=2,"?ACTIVATED",IF(J3692&lt;&gt;"","?FAMILIAR",IF(F3692="NEW",IF(ISNA(VLOOKUP(E3692,#REF!,1,FALSE())),"?TYPE_IDENTIFIABLE","?REFERENTIAL"),"_")))))</f>
        <v> </v>
      </c>
      <c r="H3692" s="25" t="str">
        <f>IF(J3692&lt;&gt;1,"",IF(I3692="SBJ","CB","?"))</f>
        <v> </v>
      </c>
      <c r="I3692" s="26" t="str">
        <f>IF(OR(E3692="",E3692="!!!",F3692="NEW"),"",INDEX(B3691:B$2,-1+SUMPRODUCT(MAX(ROW(E3691:E$2)*(E3692=E3691:E$2)))))</f>
        <v> </v>
      </c>
      <c r="J3692" s="26" t="str">
        <f>IF(OR(E3692="",E3692="!!!",F3692="NEW"),"",COUNTBLANK(OFFSET(A$1,,,SUMPRODUCT(MAX(ROW(E$2:E3692)*(E3692=E$2:E3692)))))-COUNTBLANK(OFFSET(A$1,,,SUMPRODUCT(MAX(ROW(E$1:E3691)*(E2=E$1:E3691))))))</f>
        <v> </v>
      </c>
      <c r="K3692" s="26" t="str">
        <f>IF(OR(E3692="",E3692="!!!",F3692="NEW"),"",INDEX(J$1:J3691,SUMPRODUCT(MAX(ROW(E$1:E3691)*(E3692=E$1:E3691)))))</f>
        <v> </v>
      </c>
      <c r="L3692" s="27"/>
    </row>
    <row r="3693" spans="1:12">
      <c r="A3693" s="20" t="s">
        <v>1565</v>
      </c>
      <c r="E3693" s="22">
        <f>IF(D3693="?OLD","!!!","")</f>
        <v/>
      </c>
      <c r="F3693" s="23" t="str">
        <f>IF(OR(E3693="",E3693="!!!"),"",IF(NOT(ISNA(VLOOKUP(E3693,E$1:E3692,1,FALSE()))),"OLD",IF(AND(E3693&lt;&gt;"",E3693&lt;&gt;"!!!"),"NEW","")))</f>
        <v> </v>
      </c>
      <c r="G3693" s="24" t="str">
        <f>IF(OR(E3693="",E3693="!!!"),"",IF(OR(J3693=0,AND(J3693=1,K3693=1),AND(J3693=1,I3693="SBJ"),AND(J3693=1,I3693=0)),"?IN_FOCUS",IF(J3693&lt;=2,"?ACTIVATED",IF(J3693&lt;&gt;"","?FAMILIAR",IF(F3693="NEW",IF(ISNA(VLOOKUP(E3693,#REF!,1,FALSE())),"?TYPE_IDENTIFIABLE","?REFERENTIAL"),"_")))))</f>
        <v> </v>
      </c>
      <c r="H3693" s="25" t="str">
        <f>IF(J3693&lt;&gt;1,"",IF(I3693="SBJ","CB","?"))</f>
        <v> </v>
      </c>
      <c r="I3693" s="26" t="str">
        <f>IF(OR(E3693="",E3693="!!!",F3693="NEW"),"",INDEX(B3692:B$2,-1+SUMPRODUCT(MAX(ROW(E3692:E$2)*(E3693=E3692:E$2)))))</f>
        <v> </v>
      </c>
      <c r="J3693" s="26" t="str">
        <f>IF(OR(E3693="",E3693="!!!",F3693="NEW"),"",COUNTBLANK(OFFSET(A$1,,,SUMPRODUCT(MAX(ROW(E$2:E3693)*(E3693=E$2:E3693)))))-COUNTBLANK(OFFSET(A$1,,,SUMPRODUCT(MAX(ROW(E$1:E3692)*(E2=E$1:E3692))))))</f>
        <v> </v>
      </c>
      <c r="K3693" s="26" t="str">
        <f>IF(OR(E3693="",E3693="!!!",F3693="NEW"),"",INDEX(J$1:J3692,SUMPRODUCT(MAX(ROW(E$1:E3692)*(E3693=E$1:E3692)))))</f>
        <v> </v>
      </c>
      <c r="L3693" s="27"/>
    </row>
    <row r="3694" spans="1:12">
      <c r="A3694" s="20" t="s">
        <v>312</v>
      </c>
      <c r="E3694" s="22">
        <f>IF(D3694="?OLD","!!!","")</f>
        <v/>
      </c>
      <c r="F3694" s="23" t="str">
        <f>IF(OR(E3694="",E3694="!!!"),"",IF(NOT(ISNA(VLOOKUP(E3694,E$1:E3693,1,FALSE()))),"OLD",IF(AND(E3694&lt;&gt;"",E3694&lt;&gt;"!!!"),"NEW","")))</f>
        <v> </v>
      </c>
      <c r="G3694" s="24" t="str">
        <f>IF(OR(E3694="",E3694="!!!"),"",IF(OR(J3694=0,AND(J3694=1,K3694=1),AND(J3694=1,I3694="SBJ"),AND(J3694=1,I3694=0)),"?IN_FOCUS",IF(J3694&lt;=2,"?ACTIVATED",IF(J3694&lt;&gt;"","?FAMILIAR",IF(F3694="NEW",IF(ISNA(VLOOKUP(E3694,#REF!,1,FALSE())),"?TYPE_IDENTIFIABLE","?REFERENTIAL"),"_")))))</f>
        <v> </v>
      </c>
      <c r="H3694" s="25" t="str">
        <f>IF(J3694&lt;&gt;1,"",IF(I3694="SBJ","CB","?"))</f>
        <v> </v>
      </c>
      <c r="I3694" s="26" t="str">
        <f>IF(OR(E3694="",E3694="!!!",F3694="NEW"),"",INDEX(B3693:B$2,-1+SUMPRODUCT(MAX(ROW(E3693:E$2)*(E3694=E3693:E$2)))))</f>
        <v> </v>
      </c>
      <c r="J3694" s="26" t="str">
        <f>IF(OR(E3694="",E3694="!!!",F3694="NEW"),"",COUNTBLANK(OFFSET(A$1,,,SUMPRODUCT(MAX(ROW(E$2:E3694)*(E3694=E$2:E3694)))))-COUNTBLANK(OFFSET(A$1,,,SUMPRODUCT(MAX(ROW(E$1:E3693)*(E2=E$1:E3693))))))</f>
        <v> </v>
      </c>
      <c r="K3694" s="26" t="str">
        <f>IF(OR(E3694="",E3694="!!!",F3694="NEW"),"",INDEX(J$1:J3693,SUMPRODUCT(MAX(ROW(E$1:E3693)*(E3694=E$1:E3693)))))</f>
        <v> </v>
      </c>
      <c r="L3694" s="27"/>
    </row>
    <row r="3695" spans="1:12">
      <c r="A3695" s="20"/>
    </row>
    <row r="3696" spans="1:12">
      <c r="A3696" s="20" t="s">
        <v>2268</v>
      </c>
    </row>
    <row r="3697" spans="1:12">
      <c r="A3697" s="20" t="s">
        <v>1417</v>
      </c>
      <c r="B3697" s="21" t="s">
        <v>1165</v>
      </c>
      <c r="C3697" s="21" t="s">
        <v>1232</v>
      </c>
      <c r="D3697" s="21" t="s">
        <v>1144</v>
      </c>
      <c r="E3697" s="22">
        <f>IF(D3697="?OLD","!!!","")</f>
        <v/>
      </c>
      <c r="F3697" s="23" t="str">
        <f>IF(OR(E3697="",E3697="!!!"),"",IF(NOT(ISNA(VLOOKUP(E3697,E$1:E3696,1,FALSE()))),"OLD",IF(AND(E3697&lt;&gt;"",E3697&lt;&gt;"!!!"),"NEW","")))</f>
        <v> </v>
      </c>
      <c r="G3697" s="24" t="str">
        <f>IF(OR(E3697="",E3697="!!!"),"",IF(OR(J3697=0,AND(J3697=1,K3697=1),AND(J3697=1,I3697="SBJ"),AND(J3697=1,I3697=0)),"?IN_FOCUS",IF(J3697&lt;=2,"?ACTIVATED",IF(J3697&lt;&gt;"","?FAMILIAR",IF(F3697="NEW",IF(ISNA(VLOOKUP(E3697,#REF!,1,FALSE())),"?TYPE_IDENTIFIABLE","?REFERENTIAL"),"_")))))</f>
        <v> </v>
      </c>
      <c r="H3697" s="25" t="str">
        <f>IF(J3697&lt;&gt;1,"",IF(I3697="SBJ","CB","?"))</f>
        <v> </v>
      </c>
      <c r="I3697" s="26" t="str">
        <f>IF(OR(E3697="",E3697="!!!",F3697="NEW"),"",INDEX(B3696:B$2,-1+SUMPRODUCT(MAX(ROW(E3696:E$2)*(E3697=E3696:E$2)))))</f>
        <v> </v>
      </c>
      <c r="J3697" s="26" t="str">
        <f>IF(OR(E3697="",E3697="!!!",F3697="NEW"),"",COUNTBLANK(OFFSET(A$1,,,SUMPRODUCT(MAX(ROW(E$2:E3697)*(E3697=E$2:E3697)))))-COUNTBLANK(OFFSET(A$1,,,SUMPRODUCT(MAX(ROW(E$1:E3696)*(E2=E$1:E3696))))))</f>
        <v> </v>
      </c>
      <c r="K3697" s="26" t="str">
        <f>IF(OR(E3697="",E3697="!!!",F3697="NEW"),"",INDEX(J$1:J3696,SUMPRODUCT(MAX(ROW(E$1:E3696)*(E3697=E$1:E3696)))))</f>
        <v> </v>
      </c>
      <c r="L3697" s="27"/>
    </row>
    <row r="3698" spans="1:12">
      <c r="A3698" s="20" t="s">
        <v>2269</v>
      </c>
      <c r="E3698" s="22">
        <f>IF(D3698="?OLD","!!!","")</f>
        <v/>
      </c>
      <c r="F3698" s="23" t="str">
        <f>IF(OR(E3698="",E3698="!!!"),"",IF(NOT(ISNA(VLOOKUP(E3698,E$1:E3697,1,FALSE()))),"OLD",IF(AND(E3698&lt;&gt;"",E3698&lt;&gt;"!!!"),"NEW","")))</f>
        <v> </v>
      </c>
      <c r="G3698" s="24" t="str">
        <f>IF(OR(E3698="",E3698="!!!"),"",IF(OR(J3698=0,AND(J3698=1,K3698=1),AND(J3698=1,I3698="SBJ"),AND(J3698=1,I3698=0)),"?IN_FOCUS",IF(J3698&lt;=2,"?ACTIVATED",IF(J3698&lt;&gt;"","?FAMILIAR",IF(F3698="NEW",IF(ISNA(VLOOKUP(E3698,#REF!,1,FALSE())),"?TYPE_IDENTIFIABLE","?REFERENTIAL"),"_")))))</f>
        <v> </v>
      </c>
      <c r="H3698" s="25" t="str">
        <f>IF(J3698&lt;&gt;1,"",IF(I3698="SBJ","CB","?"))</f>
        <v> </v>
      </c>
      <c r="I3698" s="26" t="str">
        <f>IF(OR(E3698="",E3698="!!!",F3698="NEW"),"",INDEX(B3697:B$2,-1+SUMPRODUCT(MAX(ROW(E3697:E$2)*(E3698=E3697:E$2)))))</f>
        <v> </v>
      </c>
      <c r="J3698" s="26" t="str">
        <f>IF(OR(E3698="",E3698="!!!",F3698="NEW"),"",COUNTBLANK(OFFSET(A$1,,,SUMPRODUCT(MAX(ROW(E$2:E3698)*(E3698=E$2:E3698)))))-COUNTBLANK(OFFSET(A$1,,,SUMPRODUCT(MAX(ROW(E$1:E3697)*(E2=E$1:E3697))))))</f>
        <v> </v>
      </c>
      <c r="K3698" s="26" t="str">
        <f>IF(OR(E3698="",E3698="!!!",F3698="NEW"),"",INDEX(J$1:J3697,SUMPRODUCT(MAX(ROW(E$1:E3697)*(E3698=E$1:E3697)))))</f>
        <v> </v>
      </c>
      <c r="L3698" s="27"/>
    </row>
    <row r="3699" spans="1:12">
      <c r="A3699" s="20" t="s">
        <v>1146</v>
      </c>
      <c r="E3699" s="22">
        <f>IF(D3699="?OLD","!!!","")</f>
        <v/>
      </c>
      <c r="F3699" s="23" t="str">
        <f>IF(OR(E3699="",E3699="!!!"),"",IF(NOT(ISNA(VLOOKUP(E3699,E$1:E3698,1,FALSE()))),"OLD",IF(AND(E3699&lt;&gt;"",E3699&lt;&gt;"!!!"),"NEW","")))</f>
        <v> </v>
      </c>
      <c r="G3699" s="24" t="str">
        <f>IF(OR(E3699="",E3699="!!!"),"",IF(OR(J3699=0,AND(J3699=1,K3699=1),AND(J3699=1,I3699="SBJ"),AND(J3699=1,I3699=0)),"?IN_FOCUS",IF(J3699&lt;=2,"?ACTIVATED",IF(J3699&lt;&gt;"","?FAMILIAR",IF(F3699="NEW",IF(ISNA(VLOOKUP(E3699,#REF!,1,FALSE())),"?TYPE_IDENTIFIABLE","?REFERENTIAL"),"_")))))</f>
        <v> </v>
      </c>
      <c r="H3699" s="25" t="str">
        <f>IF(J3699&lt;&gt;1,"",IF(I3699="SBJ","CB","?"))</f>
        <v> </v>
      </c>
      <c r="I3699" s="26" t="str">
        <f>IF(OR(E3699="",E3699="!!!",F3699="NEW"),"",INDEX(B3698:B$2,-1+SUMPRODUCT(MAX(ROW(E3698:E$2)*(E3699=E3698:E$2)))))</f>
        <v> </v>
      </c>
      <c r="J3699" s="26" t="str">
        <f>IF(OR(E3699="",E3699="!!!",F3699="NEW"),"",COUNTBLANK(OFFSET(A$1,,,SUMPRODUCT(MAX(ROW(E$2:E3699)*(E3699=E$2:E3699)))))-COUNTBLANK(OFFSET(A$1,,,SUMPRODUCT(MAX(ROW(E$1:E3698)*(E2=E$1:E3698))))))</f>
        <v> </v>
      </c>
      <c r="K3699" s="26" t="str">
        <f>IF(OR(E3699="",E3699="!!!",F3699="NEW"),"",INDEX(J$1:J3698,SUMPRODUCT(MAX(ROW(E$1:E3698)*(E3699=E$1:E3698)))))</f>
        <v> </v>
      </c>
      <c r="L3699" s="27"/>
    </row>
    <row r="3700" spans="1:12">
      <c r="A3700" s="20" t="s">
        <v>1816</v>
      </c>
      <c r="B3700" s="21" t="s">
        <v>1142</v>
      </c>
      <c r="C3700" s="21" t="s">
        <v>1151</v>
      </c>
      <c r="D3700" s="21" t="s">
        <v>1144</v>
      </c>
      <c r="E3700" s="22">
        <f>IF(D3700="?OLD","!!!","")</f>
        <v/>
      </c>
      <c r="F3700" s="23" t="str">
        <f>IF(OR(E3700="",E3700="!!!"),"",IF(NOT(ISNA(VLOOKUP(E3700,E$1:E3699,1,FALSE()))),"OLD",IF(AND(E3700&lt;&gt;"",E3700&lt;&gt;"!!!"),"NEW","")))</f>
        <v> </v>
      </c>
      <c r="G3700" s="24" t="str">
        <f>IF(OR(E3700="",E3700="!!!"),"",IF(OR(J3700=0,AND(J3700=1,K3700=1),AND(J3700=1,I3700="SBJ"),AND(J3700=1,I3700=0)),"?IN_FOCUS",IF(J3700&lt;=2,"?ACTIVATED",IF(J3700&lt;&gt;"","?FAMILIAR",IF(F3700="NEW",IF(ISNA(VLOOKUP(E3700,#REF!,1,FALSE())),"?TYPE_IDENTIFIABLE","?REFERENTIAL"),"_")))))</f>
        <v> </v>
      </c>
      <c r="H3700" s="25" t="str">
        <f>IF(J3700&lt;&gt;1,"",IF(I3700="SBJ","CB","?"))</f>
        <v> </v>
      </c>
      <c r="I3700" s="26" t="str">
        <f>IF(OR(E3700="",E3700="!!!",F3700="NEW"),"",INDEX(B3699:B$2,-1+SUMPRODUCT(MAX(ROW(E3699:E$2)*(E3700=E3699:E$2)))))</f>
        <v> </v>
      </c>
      <c r="J3700" s="26" t="str">
        <f>IF(OR(E3700="",E3700="!!!",F3700="NEW"),"",COUNTBLANK(OFFSET(A$1,,,SUMPRODUCT(MAX(ROW(E$2:E3700)*(E3700=E$2:E3700)))))-COUNTBLANK(OFFSET(A$1,,,SUMPRODUCT(MAX(ROW(E$1:E3699)*(E2=E$1:E3699))))))</f>
        <v> </v>
      </c>
      <c r="K3700" s="26" t="str">
        <f>IF(OR(E3700="",E3700="!!!",F3700="NEW"),"",INDEX(J$1:J3699,SUMPRODUCT(MAX(ROW(E$1:E3699)*(E3700=E$1:E3699)))))</f>
        <v> </v>
      </c>
      <c r="L3700" s="27"/>
    </row>
    <row r="3701" spans="1:12">
      <c r="A3701" s="20" t="s">
        <v>1348</v>
      </c>
      <c r="E3701" s="22">
        <f>IF(D3701="?OLD","!!!","")</f>
        <v/>
      </c>
      <c r="F3701" s="23" t="str">
        <f>IF(OR(E3701="",E3701="!!!"),"",IF(NOT(ISNA(VLOOKUP(E3701,E$1:E3700,1,FALSE()))),"OLD",IF(AND(E3701&lt;&gt;"",E3701&lt;&gt;"!!!"),"NEW","")))</f>
        <v> </v>
      </c>
      <c r="G3701" s="24" t="str">
        <f>IF(OR(E3701="",E3701="!!!"),"",IF(OR(J3701=0,AND(J3701=1,K3701=1),AND(J3701=1,I3701="SBJ"),AND(J3701=1,I3701=0)),"?IN_FOCUS",IF(J3701&lt;=2,"?ACTIVATED",IF(J3701&lt;&gt;"","?FAMILIAR",IF(F3701="NEW",IF(ISNA(VLOOKUP(E3701,#REF!,1,FALSE())),"?TYPE_IDENTIFIABLE","?REFERENTIAL"),"_")))))</f>
        <v> </v>
      </c>
      <c r="H3701" s="25" t="str">
        <f>IF(J3701&lt;&gt;1,"",IF(I3701="SBJ","CB","?"))</f>
        <v> </v>
      </c>
      <c r="I3701" s="26" t="str">
        <f>IF(OR(E3701="",E3701="!!!",F3701="NEW"),"",INDEX(B3700:B$2,-1+SUMPRODUCT(MAX(ROW(E3700:E$2)*(E3701=E3700:E$2)))))</f>
        <v> </v>
      </c>
      <c r="J3701" s="26" t="str">
        <f>IF(OR(E3701="",E3701="!!!",F3701="NEW"),"",COUNTBLANK(OFFSET(A$1,,,SUMPRODUCT(MAX(ROW(E$2:E3701)*(E3701=E$2:E3701)))))-COUNTBLANK(OFFSET(A$1,,,SUMPRODUCT(MAX(ROW(E$1:E3700)*(E2=E$1:E3700))))))</f>
        <v> </v>
      </c>
      <c r="K3701" s="26" t="str">
        <f>IF(OR(E3701="",E3701="!!!",F3701="NEW"),"",INDEX(J$1:J3700,SUMPRODUCT(MAX(ROW(E$1:E3700)*(E3701=E$1:E3700)))))</f>
        <v> </v>
      </c>
      <c r="L3701" s="27"/>
    </row>
    <row r="3702" spans="1:12">
      <c r="A3702" s="20" t="s">
        <v>1206</v>
      </c>
      <c r="B3702" s="21" t="s">
        <v>1150</v>
      </c>
      <c r="C3702" s="21" t="s">
        <v>1182</v>
      </c>
      <c r="E3702" s="22">
        <f>IF(D3702="?OLD","!!!","")</f>
        <v/>
      </c>
      <c r="F3702" s="23" t="str">
        <f>IF(OR(E3702="",E3702="!!!"),"",IF(NOT(ISNA(VLOOKUP(E3702,E$1:E3701,1,FALSE()))),"OLD",IF(AND(E3702&lt;&gt;"",E3702&lt;&gt;"!!!"),"NEW","")))</f>
        <v> </v>
      </c>
      <c r="G3702" s="24" t="str">
        <f>IF(OR(E3702="",E3702="!!!"),"",IF(OR(J3702=0,AND(J3702=1,K3702=1),AND(J3702=1,I3702="SBJ"),AND(J3702=1,I3702=0)),"?IN_FOCUS",IF(J3702&lt;=2,"?ACTIVATED",IF(J3702&lt;&gt;"","?FAMILIAR",IF(F3702="NEW",IF(ISNA(VLOOKUP(E3702,#REF!,1,FALSE())),"?TYPE_IDENTIFIABLE","?REFERENTIAL"),"_")))))</f>
        <v> </v>
      </c>
      <c r="H3702" s="25" t="str">
        <f>IF(J3702&lt;&gt;1,"",IF(I3702="SBJ","CB","?"))</f>
        <v> </v>
      </c>
      <c r="I3702" s="26" t="str">
        <f>IF(OR(E3702="",E3702="!!!",F3702="NEW"),"",INDEX(B3701:B$2,-1+SUMPRODUCT(MAX(ROW(E3701:E$2)*(E3702=E3701:E$2)))))</f>
        <v> </v>
      </c>
      <c r="J3702" s="26" t="str">
        <f>IF(OR(E3702="",E3702="!!!",F3702="NEW"),"",COUNTBLANK(OFFSET(A$1,,,SUMPRODUCT(MAX(ROW(E$2:E3702)*(E3702=E$2:E3702)))))-COUNTBLANK(OFFSET(A$1,,,SUMPRODUCT(MAX(ROW(E$1:E3701)*(E2=E$1:E3701))))))</f>
        <v> </v>
      </c>
      <c r="K3702" s="26" t="str">
        <f>IF(OR(E3702="",E3702="!!!",F3702="NEW"),"",INDEX(J$1:J3701,SUMPRODUCT(MAX(ROW(E$1:E3701)*(E3702=E$1:E3701)))))</f>
        <v> </v>
      </c>
      <c r="L3702" s="27"/>
    </row>
    <row r="3703" spans="1:12">
      <c r="A3703" s="20" t="s">
        <v>1166</v>
      </c>
      <c r="E3703" s="22">
        <f>IF(D3703="?OLD","!!!","")</f>
        <v/>
      </c>
      <c r="F3703" s="23" t="str">
        <f>IF(OR(E3703="",E3703="!!!"),"",IF(NOT(ISNA(VLOOKUP(E3703,E$1:E3702,1,FALSE()))),"OLD",IF(AND(E3703&lt;&gt;"",E3703&lt;&gt;"!!!"),"NEW","")))</f>
        <v> </v>
      </c>
      <c r="G3703" s="24" t="str">
        <f>IF(OR(E3703="",E3703="!!!"),"",IF(OR(J3703=0,AND(J3703=1,K3703=1),AND(J3703=1,I3703="SBJ"),AND(J3703=1,I3703=0)),"?IN_FOCUS",IF(J3703&lt;=2,"?ACTIVATED",IF(J3703&lt;&gt;"","?FAMILIAR",IF(F3703="NEW",IF(ISNA(VLOOKUP(E3703,#REF!,1,FALSE())),"?TYPE_IDENTIFIABLE","?REFERENTIAL"),"_")))))</f>
        <v> </v>
      </c>
      <c r="H3703" s="25" t="str">
        <f>IF(J3703&lt;&gt;1,"",IF(I3703="SBJ","CB","?"))</f>
        <v> </v>
      </c>
      <c r="I3703" s="26" t="str">
        <f>IF(OR(E3703="",E3703="!!!",F3703="NEW"),"",INDEX(B3702:B$2,-1+SUMPRODUCT(MAX(ROW(E3702:E$2)*(E3703=E3702:E$2)))))</f>
        <v> </v>
      </c>
      <c r="J3703" s="26" t="str">
        <f>IF(OR(E3703="",E3703="!!!",F3703="NEW"),"",COUNTBLANK(OFFSET(A$1,,,SUMPRODUCT(MAX(ROW(E$2:E3703)*(E3703=E$2:E3703)))))-COUNTBLANK(OFFSET(A$1,,,SUMPRODUCT(MAX(ROW(E$1:E3702)*(E2=E$1:E3702))))))</f>
        <v> </v>
      </c>
      <c r="K3703" s="26" t="str">
        <f>IF(OR(E3703="",E3703="!!!",F3703="NEW"),"",INDEX(J$1:J3702,SUMPRODUCT(MAX(ROW(E$1:E3702)*(E3703=E$1:E3702)))))</f>
        <v> </v>
      </c>
      <c r="L3703" s="27"/>
    </row>
    <row r="3704" spans="1:12">
      <c r="A3704" s="20" t="s">
        <v>1191</v>
      </c>
      <c r="B3704" s="21" t="s">
        <v>1311</v>
      </c>
      <c r="E3704" s="22">
        <f>IF(D3704="?OLD","!!!","")</f>
        <v/>
      </c>
      <c r="F3704" s="23" t="str">
        <f>IF(OR(E3704="",E3704="!!!"),"",IF(NOT(ISNA(VLOOKUP(E3704,E$1:E3703,1,FALSE()))),"OLD",IF(AND(E3704&lt;&gt;"",E3704&lt;&gt;"!!!"),"NEW","")))</f>
        <v> </v>
      </c>
      <c r="G3704" s="24" t="str">
        <f>IF(OR(E3704="",E3704="!!!"),"",IF(OR(J3704=0,AND(J3704=1,K3704=1),AND(J3704=1,I3704="SBJ"),AND(J3704=1,I3704=0)),"?IN_FOCUS",IF(J3704&lt;=2,"?ACTIVATED",IF(J3704&lt;&gt;"","?FAMILIAR",IF(F3704="NEW",IF(ISNA(VLOOKUP(E3704,#REF!,1,FALSE())),"?TYPE_IDENTIFIABLE","?REFERENTIAL"),"_")))))</f>
        <v> </v>
      </c>
      <c r="H3704" s="25" t="str">
        <f>IF(J3704&lt;&gt;1,"",IF(I3704="SBJ","CB","?"))</f>
        <v> </v>
      </c>
      <c r="I3704" s="26" t="str">
        <f>IF(OR(E3704="",E3704="!!!",F3704="NEW"),"",INDEX(B3703:B$2,-1+SUMPRODUCT(MAX(ROW(E3703:E$2)*(E3704=E3703:E$2)))))</f>
        <v> </v>
      </c>
      <c r="J3704" s="26" t="str">
        <f>IF(OR(E3704="",E3704="!!!",F3704="NEW"),"",COUNTBLANK(OFFSET(A$1,,,SUMPRODUCT(MAX(ROW(E$2:E3704)*(E3704=E$2:E3704)))))-COUNTBLANK(OFFSET(A$1,,,SUMPRODUCT(MAX(ROW(E$1:E3703)*(E2=E$1:E3703))))))</f>
        <v> </v>
      </c>
      <c r="K3704" s="26" t="str">
        <f>IF(OR(E3704="",E3704="!!!",F3704="NEW"),"",INDEX(J$1:J3703,SUMPRODUCT(MAX(ROW(E$1:E3703)*(E3704=E$1:E3703)))))</f>
        <v> </v>
      </c>
      <c r="L3704" s="27"/>
    </row>
    <row r="3705" spans="1:12">
      <c r="A3705" s="20" t="s">
        <v>1176</v>
      </c>
      <c r="E3705" s="22">
        <f>IF(D3705="?OLD","!!!","")</f>
        <v/>
      </c>
      <c r="F3705" s="23" t="str">
        <f>IF(OR(E3705="",E3705="!!!"),"",IF(NOT(ISNA(VLOOKUP(E3705,E$1:E3704,1,FALSE()))),"OLD",IF(AND(E3705&lt;&gt;"",E3705&lt;&gt;"!!!"),"NEW","")))</f>
        <v> </v>
      </c>
      <c r="G3705" s="24" t="str">
        <f>IF(OR(E3705="",E3705="!!!"),"",IF(OR(J3705=0,AND(J3705=1,K3705=1),AND(J3705=1,I3705="SBJ"),AND(J3705=1,I3705=0)),"?IN_FOCUS",IF(J3705&lt;=2,"?ACTIVATED",IF(J3705&lt;&gt;"","?FAMILIAR",IF(F3705="NEW",IF(ISNA(VLOOKUP(E3705,#REF!,1,FALSE())),"?TYPE_IDENTIFIABLE","?REFERENTIAL"),"_")))))</f>
        <v> </v>
      </c>
      <c r="H3705" s="25" t="str">
        <f>IF(J3705&lt;&gt;1,"",IF(I3705="SBJ","CB","?"))</f>
        <v> </v>
      </c>
      <c r="I3705" s="26" t="str">
        <f>IF(OR(E3705="",E3705="!!!",F3705="NEW"),"",INDEX(B3704:B$2,-1+SUMPRODUCT(MAX(ROW(E3704:E$2)*(E3705=E3704:E$2)))))</f>
        <v> </v>
      </c>
      <c r="J3705" s="26" t="str">
        <f>IF(OR(E3705="",E3705="!!!",F3705="NEW"),"",COUNTBLANK(OFFSET(A$1,,,SUMPRODUCT(MAX(ROW(E$2:E3705)*(E3705=E$2:E3705)))))-COUNTBLANK(OFFSET(A$1,,,SUMPRODUCT(MAX(ROW(E$1:E3704)*(E2=E$1:E3704))))))</f>
        <v> </v>
      </c>
      <c r="K3705" s="26" t="str">
        <f>IF(OR(E3705="",E3705="!!!",F3705="NEW"),"",INDEX(J$1:J3704,SUMPRODUCT(MAX(ROW(E$1:E3704)*(E3705=E$1:E3704)))))</f>
        <v> </v>
      </c>
      <c r="L3705" s="27"/>
    </row>
    <row r="3706" spans="1:12">
      <c r="A3706" s="20" t="s">
        <v>2270</v>
      </c>
      <c r="E3706" s="22">
        <f>IF(D3706="?OLD","!!!","")</f>
        <v/>
      </c>
      <c r="F3706" s="23" t="str">
        <f>IF(OR(E3706="",E3706="!!!"),"",IF(NOT(ISNA(VLOOKUP(E3706,E$1:E3705,1,FALSE()))),"OLD",IF(AND(E3706&lt;&gt;"",E3706&lt;&gt;"!!!"),"NEW","")))</f>
        <v> </v>
      </c>
      <c r="G3706" s="24" t="str">
        <f>IF(OR(E3706="",E3706="!!!"),"",IF(OR(J3706=0,AND(J3706=1,K3706=1),AND(J3706=1,I3706="SBJ"),AND(J3706=1,I3706=0)),"?IN_FOCUS",IF(J3706&lt;=2,"?ACTIVATED",IF(J3706&lt;&gt;"","?FAMILIAR",IF(F3706="NEW",IF(ISNA(VLOOKUP(E3706,#REF!,1,FALSE())),"?TYPE_IDENTIFIABLE","?REFERENTIAL"),"_")))))</f>
        <v> </v>
      </c>
      <c r="H3706" s="25" t="str">
        <f>IF(J3706&lt;&gt;1,"",IF(I3706="SBJ","CB","?"))</f>
        <v> </v>
      </c>
      <c r="I3706" s="26" t="str">
        <f>IF(OR(E3706="",E3706="!!!",F3706="NEW"),"",INDEX(B3705:B$2,-1+SUMPRODUCT(MAX(ROW(E3705:E$2)*(E3706=E3705:E$2)))))</f>
        <v> </v>
      </c>
      <c r="J3706" s="26" t="str">
        <f>IF(OR(E3706="",E3706="!!!",F3706="NEW"),"",COUNTBLANK(OFFSET(A$1,,,SUMPRODUCT(MAX(ROW(E$2:E3706)*(E3706=E$2:E3706)))))-COUNTBLANK(OFFSET(A$1,,,SUMPRODUCT(MAX(ROW(E$1:E3705)*(E2=E$1:E3705))))))</f>
        <v> </v>
      </c>
      <c r="K3706" s="26" t="str">
        <f>IF(OR(E3706="",E3706="!!!",F3706="NEW"),"",INDEX(J$1:J3705,SUMPRODUCT(MAX(ROW(E$1:E3705)*(E3706=E$1:E3705)))))</f>
        <v> </v>
      </c>
      <c r="L3706" s="27"/>
    </row>
    <row r="3707" spans="1:12">
      <c r="A3707" s="20" t="s">
        <v>1516</v>
      </c>
      <c r="E3707" s="22">
        <f>IF(D3707="?OLD","!!!","")</f>
        <v/>
      </c>
      <c r="F3707" s="23" t="str">
        <f>IF(OR(E3707="",E3707="!!!"),"",IF(NOT(ISNA(VLOOKUP(E3707,E$1:E3706,1,FALSE()))),"OLD",IF(AND(E3707&lt;&gt;"",E3707&lt;&gt;"!!!"),"NEW","")))</f>
        <v> </v>
      </c>
      <c r="G3707" s="24" t="str">
        <f>IF(OR(E3707="",E3707="!!!"),"",IF(OR(J3707=0,AND(J3707=1,K3707=1),AND(J3707=1,I3707="SBJ"),AND(J3707=1,I3707=0)),"?IN_FOCUS",IF(J3707&lt;=2,"?ACTIVATED",IF(J3707&lt;&gt;"","?FAMILIAR",IF(F3707="NEW",IF(ISNA(VLOOKUP(E3707,#REF!,1,FALSE())),"?TYPE_IDENTIFIABLE","?REFERENTIAL"),"_")))))</f>
        <v> </v>
      </c>
      <c r="H3707" s="25" t="str">
        <f>IF(J3707&lt;&gt;1,"",IF(I3707="SBJ","CB","?"))</f>
        <v> </v>
      </c>
      <c r="I3707" s="26" t="str">
        <f>IF(OR(E3707="",E3707="!!!",F3707="NEW"),"",INDEX(B3706:B$2,-1+SUMPRODUCT(MAX(ROW(E3706:E$2)*(E3707=E3706:E$2)))))</f>
        <v> </v>
      </c>
      <c r="J3707" s="26" t="str">
        <f>IF(OR(E3707="",E3707="!!!",F3707="NEW"),"",COUNTBLANK(OFFSET(A$1,,,SUMPRODUCT(MAX(ROW(E$2:E3707)*(E3707=E$2:E3707)))))-COUNTBLANK(OFFSET(A$1,,,SUMPRODUCT(MAX(ROW(E$1:E3706)*(E2=E$1:E3706))))))</f>
        <v> </v>
      </c>
      <c r="K3707" s="26" t="str">
        <f>IF(OR(E3707="",E3707="!!!",F3707="NEW"),"",INDEX(J$1:J3706,SUMPRODUCT(MAX(ROW(E$1:E3706)*(E3707=E$1:E3706)))))</f>
        <v> </v>
      </c>
      <c r="L3707" s="27"/>
    </row>
    <row r="3708" spans="1:12">
      <c r="A3708" s="20" t="s">
        <v>1166</v>
      </c>
      <c r="E3708" s="22">
        <f>IF(D3708="?OLD","!!!","")</f>
        <v/>
      </c>
      <c r="F3708" s="23" t="str">
        <f>IF(OR(E3708="",E3708="!!!"),"",IF(NOT(ISNA(VLOOKUP(E3708,E$1:E3707,1,FALSE()))),"OLD",IF(AND(E3708&lt;&gt;"",E3708&lt;&gt;"!!!"),"NEW","")))</f>
        <v> </v>
      </c>
      <c r="G3708" s="24" t="str">
        <f>IF(OR(E3708="",E3708="!!!"),"",IF(OR(J3708=0,AND(J3708=1,K3708=1),AND(J3708=1,I3708="SBJ"),AND(J3708=1,I3708=0)),"?IN_FOCUS",IF(J3708&lt;=2,"?ACTIVATED",IF(J3708&lt;&gt;"","?FAMILIAR",IF(F3708="NEW",IF(ISNA(VLOOKUP(E3708,#REF!,1,FALSE())),"?TYPE_IDENTIFIABLE","?REFERENTIAL"),"_")))))</f>
        <v> </v>
      </c>
      <c r="H3708" s="25" t="str">
        <f>IF(J3708&lt;&gt;1,"",IF(I3708="SBJ","CB","?"))</f>
        <v> </v>
      </c>
      <c r="I3708" s="26" t="str">
        <f>IF(OR(E3708="",E3708="!!!",F3708="NEW"),"",INDEX(B3707:B$2,-1+SUMPRODUCT(MAX(ROW(E3707:E$2)*(E3708=E3707:E$2)))))</f>
        <v> </v>
      </c>
      <c r="J3708" s="26" t="str">
        <f>IF(OR(E3708="",E3708="!!!",F3708="NEW"),"",COUNTBLANK(OFFSET(A$1,,,SUMPRODUCT(MAX(ROW(E$2:E3708)*(E3708=E$2:E3708)))))-COUNTBLANK(OFFSET(A$1,,,SUMPRODUCT(MAX(ROW(E$1:E3707)*(E2=E$1:E3707))))))</f>
        <v> </v>
      </c>
      <c r="K3708" s="26" t="str">
        <f>IF(OR(E3708="",E3708="!!!",F3708="NEW"),"",INDEX(J$1:J3707,SUMPRODUCT(MAX(ROW(E$1:E3707)*(E3708=E$1:E3707)))))</f>
        <v> </v>
      </c>
      <c r="L3708" s="27"/>
    </row>
    <row r="3709" spans="1:12">
      <c r="A3709" s="20" t="s">
        <v>1298</v>
      </c>
      <c r="E3709" s="22">
        <f>IF(D3709="?OLD","!!!","")</f>
        <v/>
      </c>
      <c r="F3709" s="23" t="str">
        <f>IF(OR(E3709="",E3709="!!!"),"",IF(NOT(ISNA(VLOOKUP(E3709,E$1:E3708,1,FALSE()))),"OLD",IF(AND(E3709&lt;&gt;"",E3709&lt;&gt;"!!!"),"NEW","")))</f>
        <v> </v>
      </c>
      <c r="G3709" s="24" t="str">
        <f>IF(OR(E3709="",E3709="!!!"),"",IF(OR(J3709=0,AND(J3709=1,K3709=1),AND(J3709=1,I3709="SBJ"),AND(J3709=1,I3709=0)),"?IN_FOCUS",IF(J3709&lt;=2,"?ACTIVATED",IF(J3709&lt;&gt;"","?FAMILIAR",IF(F3709="NEW",IF(ISNA(VLOOKUP(E3709,#REF!,1,FALSE())),"?TYPE_IDENTIFIABLE","?REFERENTIAL"),"_")))))</f>
        <v> </v>
      </c>
      <c r="H3709" s="25" t="str">
        <f>IF(J3709&lt;&gt;1,"",IF(I3709="SBJ","CB","?"))</f>
        <v> </v>
      </c>
      <c r="I3709" s="26" t="str">
        <f>IF(OR(E3709="",E3709="!!!",F3709="NEW"),"",INDEX(B3708:B$2,-1+SUMPRODUCT(MAX(ROW(E3708:E$2)*(E3709=E3708:E$2)))))</f>
        <v> </v>
      </c>
      <c r="J3709" s="26" t="str">
        <f>IF(OR(E3709="",E3709="!!!",F3709="NEW"),"",COUNTBLANK(OFFSET(A$1,,,SUMPRODUCT(MAX(ROW(E$2:E3709)*(E3709=E$2:E3709)))))-COUNTBLANK(OFFSET(A$1,,,SUMPRODUCT(MAX(ROW(E$1:E3708)*(E2=E$1:E3708))))))</f>
        <v> </v>
      </c>
      <c r="K3709" s="26" t="str">
        <f>IF(OR(E3709="",E3709="!!!",F3709="NEW"),"",INDEX(J$1:J3708,SUMPRODUCT(MAX(ROW(E$1:E3708)*(E3709=E$1:E3708)))))</f>
        <v> </v>
      </c>
      <c r="L3709" s="27"/>
    </row>
    <row r="3710" spans="1:12">
      <c r="A3710" s="20" t="s">
        <v>1230</v>
      </c>
      <c r="B3710" s="21" t="s">
        <v>1199</v>
      </c>
      <c r="C3710" s="21" t="s">
        <v>1151</v>
      </c>
      <c r="D3710" s="21" t="s">
        <v>1144</v>
      </c>
      <c r="E3710" s="22">
        <f>IF(D3710="?OLD","!!!","")</f>
        <v/>
      </c>
      <c r="F3710" s="23" t="str">
        <f>IF(OR(E3710="",E3710="!!!"),"",IF(NOT(ISNA(VLOOKUP(E3710,E$1:E3709,1,FALSE()))),"OLD",IF(AND(E3710&lt;&gt;"",E3710&lt;&gt;"!!!"),"NEW","")))</f>
        <v> </v>
      </c>
      <c r="G3710" s="24" t="str">
        <f>IF(OR(E3710="",E3710="!!!"),"",IF(OR(J3710=0,AND(J3710=1,K3710=1),AND(J3710=1,I3710="SBJ"),AND(J3710=1,I3710=0)),"?IN_FOCUS",IF(J3710&lt;=2,"?ACTIVATED",IF(J3710&lt;&gt;"","?FAMILIAR",IF(F3710="NEW",IF(ISNA(VLOOKUP(E3710,#REF!,1,FALSE())),"?TYPE_IDENTIFIABLE","?REFERENTIAL"),"_")))))</f>
        <v> </v>
      </c>
      <c r="H3710" s="25" t="str">
        <f>IF(J3710&lt;&gt;1,"",IF(I3710="SBJ","CB","?"))</f>
        <v> </v>
      </c>
      <c r="I3710" s="26" t="str">
        <f>IF(OR(E3710="",E3710="!!!",F3710="NEW"),"",INDEX(B3709:B$2,-1+SUMPRODUCT(MAX(ROW(E3709:E$2)*(E3710=E3709:E$2)))))</f>
        <v> </v>
      </c>
      <c r="J3710" s="26" t="str">
        <f>IF(OR(E3710="",E3710="!!!",F3710="NEW"),"",COUNTBLANK(OFFSET(A$1,,,SUMPRODUCT(MAX(ROW(E$2:E3710)*(E3710=E$2:E3710)))))-COUNTBLANK(OFFSET(A$1,,,SUMPRODUCT(MAX(ROW(E$1:E3709)*(E2=E$1:E3709))))))</f>
        <v> </v>
      </c>
      <c r="K3710" s="26" t="str">
        <f>IF(OR(E3710="",E3710="!!!",F3710="NEW"),"",INDEX(J$1:J3709,SUMPRODUCT(MAX(ROW(E$1:E3709)*(E3710=E$1:E3709)))))</f>
        <v> </v>
      </c>
      <c r="L3710" s="27"/>
    </row>
    <row r="3711" spans="1:12">
      <c r="A3711" s="20" t="s">
        <v>1261</v>
      </c>
      <c r="B3711" s="21" t="s">
        <v>1312</v>
      </c>
      <c r="C3711" s="21" t="s">
        <v>1151</v>
      </c>
      <c r="D3711" s="21" t="s">
        <v>1144</v>
      </c>
      <c r="E3711" s="22">
        <f>IF(D3711="?OLD","!!!","")</f>
        <v/>
      </c>
      <c r="F3711" s="23" t="str">
        <f>IF(OR(E3711="",E3711="!!!"),"",IF(NOT(ISNA(VLOOKUP(E3711,E$1:E3710,1,FALSE()))),"OLD",IF(AND(E3711&lt;&gt;"",E3711&lt;&gt;"!!!"),"NEW","")))</f>
        <v> </v>
      </c>
      <c r="G3711" s="24" t="str">
        <f>IF(OR(E3711="",E3711="!!!"),"",IF(OR(J3711=0,AND(J3711=1,K3711=1),AND(J3711=1,I3711="SBJ"),AND(J3711=1,I3711=0)),"?IN_FOCUS",IF(J3711&lt;=2,"?ACTIVATED",IF(J3711&lt;&gt;"","?FAMILIAR",IF(F3711="NEW",IF(ISNA(VLOOKUP(E3711,#REF!,1,FALSE())),"?TYPE_IDENTIFIABLE","?REFERENTIAL"),"_")))))</f>
        <v> </v>
      </c>
      <c r="H3711" s="25" t="str">
        <f>IF(J3711&lt;&gt;1,"",IF(I3711="SBJ","CB","?"))</f>
        <v> </v>
      </c>
      <c r="I3711" s="26" t="str">
        <f>IF(OR(E3711="",E3711="!!!",F3711="NEW"),"",INDEX(B3710:B$2,-1+SUMPRODUCT(MAX(ROW(E3710:E$2)*(E3711=E3710:E$2)))))</f>
        <v> </v>
      </c>
      <c r="J3711" s="26" t="str">
        <f>IF(OR(E3711="",E3711="!!!",F3711="NEW"),"",COUNTBLANK(OFFSET(A$1,,,SUMPRODUCT(MAX(ROW(E$2:E3711)*(E3711=E$2:E3711)))))-COUNTBLANK(OFFSET(A$1,,,SUMPRODUCT(MAX(ROW(E$1:E3710)*(E2=E$1:E3710))))))</f>
        <v> </v>
      </c>
      <c r="K3711" s="26" t="str">
        <f>IF(OR(E3711="",E3711="!!!",F3711="NEW"),"",INDEX(J$1:J3710,SUMPRODUCT(MAX(ROW(E$1:E3710)*(E3711=E$1:E3710)))))</f>
        <v> </v>
      </c>
      <c r="L3711" s="27"/>
    </row>
    <row r="3712" spans="1:12">
      <c r="A3712" s="20" t="s">
        <v>1176</v>
      </c>
      <c r="E3712" s="22">
        <f>IF(D3712="?OLD","!!!","")</f>
        <v/>
      </c>
      <c r="F3712" s="23" t="str">
        <f>IF(OR(E3712="",E3712="!!!"),"",IF(NOT(ISNA(VLOOKUP(E3712,E$1:E3711,1,FALSE()))),"OLD",IF(AND(E3712&lt;&gt;"",E3712&lt;&gt;"!!!"),"NEW","")))</f>
        <v> </v>
      </c>
      <c r="G3712" s="24" t="str">
        <f>IF(OR(E3712="",E3712="!!!"),"",IF(OR(J3712=0,AND(J3712=1,K3712=1),AND(J3712=1,I3712="SBJ"),AND(J3712=1,I3712=0)),"?IN_FOCUS",IF(J3712&lt;=2,"?ACTIVATED",IF(J3712&lt;&gt;"","?FAMILIAR",IF(F3712="NEW",IF(ISNA(VLOOKUP(E3712,#REF!,1,FALSE())),"?TYPE_IDENTIFIABLE","?REFERENTIAL"),"_")))))</f>
        <v> </v>
      </c>
      <c r="H3712" s="25" t="str">
        <f>IF(J3712&lt;&gt;1,"",IF(I3712="SBJ","CB","?"))</f>
        <v> </v>
      </c>
      <c r="I3712" s="26" t="str">
        <f>IF(OR(E3712="",E3712="!!!",F3712="NEW"),"",INDEX(B3711:B$2,-1+SUMPRODUCT(MAX(ROW(E3711:E$2)*(E3712=E3711:E$2)))))</f>
        <v> </v>
      </c>
      <c r="J3712" s="26" t="str">
        <f>IF(OR(E3712="",E3712="!!!",F3712="NEW"),"",COUNTBLANK(OFFSET(A$1,,,SUMPRODUCT(MAX(ROW(E$2:E3712)*(E3712=E$2:E3712)))))-COUNTBLANK(OFFSET(A$1,,,SUMPRODUCT(MAX(ROW(E$1:E3711)*(E2=E$1:E3711))))))</f>
        <v> </v>
      </c>
      <c r="K3712" s="26" t="str">
        <f>IF(OR(E3712="",E3712="!!!",F3712="NEW"),"",INDEX(J$1:J3711,SUMPRODUCT(MAX(ROW(E$1:E3711)*(E3712=E$1:E3711)))))</f>
        <v> </v>
      </c>
      <c r="L3712" s="27"/>
    </row>
    <row r="3713" spans="1:12">
      <c r="A3713" s="20" t="s">
        <v>2271</v>
      </c>
      <c r="E3713" s="22">
        <f>IF(D3713="?OLD","!!!","")</f>
        <v/>
      </c>
      <c r="F3713" s="23" t="str">
        <f>IF(OR(E3713="",E3713="!!!"),"",IF(NOT(ISNA(VLOOKUP(E3713,E$1:E3712,1,FALSE()))),"OLD",IF(AND(E3713&lt;&gt;"",E3713&lt;&gt;"!!!"),"NEW","")))</f>
        <v> </v>
      </c>
      <c r="G3713" s="24" t="str">
        <f>IF(OR(E3713="",E3713="!!!"),"",IF(OR(J3713=0,AND(J3713=1,K3713=1),AND(J3713=1,I3713="SBJ"),AND(J3713=1,I3713=0)),"?IN_FOCUS",IF(J3713&lt;=2,"?ACTIVATED",IF(J3713&lt;&gt;"","?FAMILIAR",IF(F3713="NEW",IF(ISNA(VLOOKUP(E3713,#REF!,1,FALSE())),"?TYPE_IDENTIFIABLE","?REFERENTIAL"),"_")))))</f>
        <v> </v>
      </c>
      <c r="H3713" s="25" t="str">
        <f>IF(J3713&lt;&gt;1,"",IF(I3713="SBJ","CB","?"))</f>
        <v> </v>
      </c>
      <c r="I3713" s="26" t="str">
        <f>IF(OR(E3713="",E3713="!!!",F3713="NEW"),"",INDEX(B3712:B$2,-1+SUMPRODUCT(MAX(ROW(E3712:E$2)*(E3713=E3712:E$2)))))</f>
        <v> </v>
      </c>
      <c r="J3713" s="26" t="str">
        <f>IF(OR(E3713="",E3713="!!!",F3713="NEW"),"",COUNTBLANK(OFFSET(A$1,,,SUMPRODUCT(MAX(ROW(E$2:E3713)*(E3713=E$2:E3713)))))-COUNTBLANK(OFFSET(A$1,,,SUMPRODUCT(MAX(ROW(E$1:E3712)*(E2=E$1:E3712))))))</f>
        <v> </v>
      </c>
      <c r="K3713" s="26" t="str">
        <f>IF(OR(E3713="",E3713="!!!",F3713="NEW"),"",INDEX(J$1:J3712,SUMPRODUCT(MAX(ROW(E$1:E3712)*(E3713=E$1:E3712)))))</f>
        <v> </v>
      </c>
      <c r="L3713" s="27"/>
    </row>
    <row r="3714" spans="1:12">
      <c r="A3714" s="20" t="s">
        <v>312</v>
      </c>
      <c r="E3714" s="22">
        <f>IF(D3714="?OLD","!!!","")</f>
        <v/>
      </c>
      <c r="F3714" s="23" t="str">
        <f>IF(OR(E3714="",E3714="!!!"),"",IF(NOT(ISNA(VLOOKUP(E3714,E$1:E3713,1,FALSE()))),"OLD",IF(AND(E3714&lt;&gt;"",E3714&lt;&gt;"!!!"),"NEW","")))</f>
        <v> </v>
      </c>
      <c r="G3714" s="24" t="str">
        <f>IF(OR(E3714="",E3714="!!!"),"",IF(OR(J3714=0,AND(J3714=1,K3714=1),AND(J3714=1,I3714="SBJ"),AND(J3714=1,I3714=0)),"?IN_FOCUS",IF(J3714&lt;=2,"?ACTIVATED",IF(J3714&lt;&gt;"","?FAMILIAR",IF(F3714="NEW",IF(ISNA(VLOOKUP(E3714,#REF!,1,FALSE())),"?TYPE_IDENTIFIABLE","?REFERENTIAL"),"_")))))</f>
        <v> </v>
      </c>
      <c r="H3714" s="25" t="str">
        <f>IF(J3714&lt;&gt;1,"",IF(I3714="SBJ","CB","?"))</f>
        <v> </v>
      </c>
      <c r="I3714" s="26" t="str">
        <f>IF(OR(E3714="",E3714="!!!",F3714="NEW"),"",INDEX(B3713:B$2,-1+SUMPRODUCT(MAX(ROW(E3713:E$2)*(E3714=E3713:E$2)))))</f>
        <v> </v>
      </c>
      <c r="J3714" s="26" t="str">
        <f>IF(OR(E3714="",E3714="!!!",F3714="NEW"),"",COUNTBLANK(OFFSET(A$1,,,SUMPRODUCT(MAX(ROW(E$2:E3714)*(E3714=E$2:E3714)))))-COUNTBLANK(OFFSET(A$1,,,SUMPRODUCT(MAX(ROW(E$1:E3713)*(E2=E$1:E3713))))))</f>
        <v> </v>
      </c>
      <c r="K3714" s="26" t="str">
        <f>IF(OR(E3714="",E3714="!!!",F3714="NEW"),"",INDEX(J$1:J3713,SUMPRODUCT(MAX(ROW(E$1:E3713)*(E3714=E$1:E3713)))))</f>
        <v> </v>
      </c>
      <c r="L3714" s="27"/>
    </row>
    <row r="3715" spans="1:12">
      <c r="A3715" s="20"/>
    </row>
    <row r="3716" spans="1:12">
      <c r="A3716" s="20" t="s">
        <v>2272</v>
      </c>
    </row>
    <row r="3717" spans="1:12">
      <c r="A3717" s="20" t="s">
        <v>2273</v>
      </c>
      <c r="E3717" s="22">
        <f>IF(D3717="?OLD","!!!","")</f>
        <v/>
      </c>
      <c r="F3717" s="23" t="str">
        <f>IF(OR(E3717="",E3717="!!!"),"",IF(NOT(ISNA(VLOOKUP(E3717,E$1:E3716,1,FALSE()))),"OLD",IF(AND(E3717&lt;&gt;"",E3717&lt;&gt;"!!!"),"NEW","")))</f>
        <v> </v>
      </c>
      <c r="G3717" s="24" t="str">
        <f>IF(OR(E3717="",E3717="!!!"),"",IF(OR(J3717=0,AND(J3717=1,K3717=1),AND(J3717=1,I3717="SBJ"),AND(J3717=1,I3717=0)),"?IN_FOCUS",IF(J3717&lt;=2,"?ACTIVATED",IF(J3717&lt;&gt;"","?FAMILIAR",IF(F3717="NEW",IF(ISNA(VLOOKUP(E3717,#REF!,1,FALSE())),"?TYPE_IDENTIFIABLE","?REFERENTIAL"),"_")))))</f>
        <v> </v>
      </c>
      <c r="H3717" s="25" t="str">
        <f>IF(J3717&lt;&gt;1,"",IF(I3717="SBJ","CB","?"))</f>
        <v> </v>
      </c>
      <c r="I3717" s="26" t="str">
        <f>IF(OR(E3717="",E3717="!!!",F3717="NEW"),"",INDEX(B3716:B$2,-1+SUMPRODUCT(MAX(ROW(E3716:E$2)*(E3717=E3716:E$2)))))</f>
        <v> </v>
      </c>
      <c r="J3717" s="26" t="str">
        <f>IF(OR(E3717="",E3717="!!!",F3717="NEW"),"",COUNTBLANK(OFFSET(A$1,,,SUMPRODUCT(MAX(ROW(E$2:E3717)*(E3717=E$2:E3717)))))-COUNTBLANK(OFFSET(A$1,,,SUMPRODUCT(MAX(ROW(E$1:E3716)*(E2=E$1:E3716))))))</f>
        <v> </v>
      </c>
      <c r="K3717" s="26" t="str">
        <f>IF(OR(E3717="",E3717="!!!",F3717="NEW"),"",INDEX(J$1:J3716,SUMPRODUCT(MAX(ROW(E$1:E3716)*(E3717=E$1:E3716)))))</f>
        <v> </v>
      </c>
      <c r="L3717" s="27"/>
    </row>
    <row r="3718" spans="1:12">
      <c r="A3718" s="20" t="s">
        <v>1787</v>
      </c>
      <c r="E3718" s="22">
        <f>IF(D3718="?OLD","!!!","")</f>
        <v/>
      </c>
      <c r="F3718" s="23" t="str">
        <f>IF(OR(E3718="",E3718="!!!"),"",IF(NOT(ISNA(VLOOKUP(E3718,E$1:E3717,1,FALSE()))),"OLD",IF(AND(E3718&lt;&gt;"",E3718&lt;&gt;"!!!"),"NEW","")))</f>
        <v> </v>
      </c>
      <c r="G3718" s="24" t="str">
        <f>IF(OR(E3718="",E3718="!!!"),"",IF(OR(J3718=0,AND(J3718=1,K3718=1),AND(J3718=1,I3718="SBJ"),AND(J3718=1,I3718=0)),"?IN_FOCUS",IF(J3718&lt;=2,"?ACTIVATED",IF(J3718&lt;&gt;"","?FAMILIAR",IF(F3718="NEW",IF(ISNA(VLOOKUP(E3718,#REF!,1,FALSE())),"?TYPE_IDENTIFIABLE","?REFERENTIAL"),"_")))))</f>
        <v> </v>
      </c>
      <c r="H3718" s="25" t="str">
        <f>IF(J3718&lt;&gt;1,"",IF(I3718="SBJ","CB","?"))</f>
        <v> </v>
      </c>
      <c r="I3718" s="26" t="str">
        <f>IF(OR(E3718="",E3718="!!!",F3718="NEW"),"",INDEX(B3717:B$2,-1+SUMPRODUCT(MAX(ROW(E3717:E$2)*(E3718=E3717:E$2)))))</f>
        <v> </v>
      </c>
      <c r="J3718" s="26" t="str">
        <f>IF(OR(E3718="",E3718="!!!",F3718="NEW"),"",COUNTBLANK(OFFSET(A$1,,,SUMPRODUCT(MAX(ROW(E$2:E3718)*(E3718=E$2:E3718)))))-COUNTBLANK(OFFSET(A$1,,,SUMPRODUCT(MAX(ROW(E$1:E3717)*(E2=E$1:E3717))))))</f>
        <v> </v>
      </c>
      <c r="K3718" s="26" t="str">
        <f>IF(OR(E3718="",E3718="!!!",F3718="NEW"),"",INDEX(J$1:J3717,SUMPRODUCT(MAX(ROW(E$1:E3717)*(E3718=E$1:E3717)))))</f>
        <v> </v>
      </c>
      <c r="L3718" s="27"/>
    </row>
    <row r="3719" spans="1:12">
      <c r="A3719" s="20" t="s">
        <v>2274</v>
      </c>
      <c r="B3719" s="21" t="s">
        <v>1161</v>
      </c>
      <c r="C3719" s="21" t="s">
        <v>1182</v>
      </c>
      <c r="E3719" s="22">
        <f>IF(D3719="?OLD","!!!","")</f>
        <v/>
      </c>
      <c r="F3719" s="23" t="str">
        <f>IF(OR(E3719="",E3719="!!!"),"",IF(NOT(ISNA(VLOOKUP(E3719,E$1:E3718,1,FALSE()))),"OLD",IF(AND(E3719&lt;&gt;"",E3719&lt;&gt;"!!!"),"NEW","")))</f>
        <v> </v>
      </c>
      <c r="G3719" s="24" t="str">
        <f>IF(OR(E3719="",E3719="!!!"),"",IF(OR(J3719=0,AND(J3719=1,K3719=1),AND(J3719=1,I3719="SBJ"),AND(J3719=1,I3719=0)),"?IN_FOCUS",IF(J3719&lt;=2,"?ACTIVATED",IF(J3719&lt;&gt;"","?FAMILIAR",IF(F3719="NEW",IF(ISNA(VLOOKUP(E3719,#REF!,1,FALSE())),"?TYPE_IDENTIFIABLE","?REFERENTIAL"),"_")))))</f>
        <v> </v>
      </c>
      <c r="H3719" s="25" t="str">
        <f>IF(J3719&lt;&gt;1,"",IF(I3719="SBJ","CB","?"))</f>
        <v> </v>
      </c>
      <c r="I3719" s="26" t="str">
        <f>IF(OR(E3719="",E3719="!!!",F3719="NEW"),"",INDEX(B3718:B$2,-1+SUMPRODUCT(MAX(ROW(E3718:E$2)*(E3719=E3718:E$2)))))</f>
        <v> </v>
      </c>
      <c r="J3719" s="26" t="str">
        <f>IF(OR(E3719="",E3719="!!!",F3719="NEW"),"",COUNTBLANK(OFFSET(A$1,,,SUMPRODUCT(MAX(ROW(E$2:E3719)*(E3719=E$2:E3719)))))-COUNTBLANK(OFFSET(A$1,,,SUMPRODUCT(MAX(ROW(E$1:E3718)*(E2=E$1:E3718))))))</f>
        <v> </v>
      </c>
      <c r="K3719" s="26" t="str">
        <f>IF(OR(E3719="",E3719="!!!",F3719="NEW"),"",INDEX(J$1:J3718,SUMPRODUCT(MAX(ROW(E$1:E3718)*(E3719=E$1:E3718)))))</f>
        <v> </v>
      </c>
      <c r="L3719" s="27"/>
    </row>
    <row r="3720" spans="1:12">
      <c r="A3720" s="20" t="s">
        <v>1448</v>
      </c>
      <c r="B3720" s="21" t="s">
        <v>1154</v>
      </c>
      <c r="C3720" s="21" t="s">
        <v>1187</v>
      </c>
      <c r="E3720" s="22">
        <f>IF(D3720="?OLD","!!!","")</f>
        <v/>
      </c>
      <c r="F3720" s="23" t="str">
        <f>IF(OR(E3720="",E3720="!!!"),"",IF(NOT(ISNA(VLOOKUP(E3720,E$1:E3719,1,FALSE()))),"OLD",IF(AND(E3720&lt;&gt;"",E3720&lt;&gt;"!!!"),"NEW","")))</f>
        <v> </v>
      </c>
      <c r="G3720" s="24" t="str">
        <f>IF(OR(E3720="",E3720="!!!"),"",IF(OR(J3720=0,AND(J3720=1,K3720=1),AND(J3720=1,I3720="SBJ"),AND(J3720=1,I3720=0)),"?IN_FOCUS",IF(J3720&lt;=2,"?ACTIVATED",IF(J3720&lt;&gt;"","?FAMILIAR",IF(F3720="NEW",IF(ISNA(VLOOKUP(E3720,#REF!,1,FALSE())),"?TYPE_IDENTIFIABLE","?REFERENTIAL"),"_")))))</f>
        <v> </v>
      </c>
      <c r="H3720" s="25" t="str">
        <f>IF(J3720&lt;&gt;1,"",IF(I3720="SBJ","CB","?"))</f>
        <v> </v>
      </c>
      <c r="I3720" s="26" t="str">
        <f>IF(OR(E3720="",E3720="!!!",F3720="NEW"),"",INDEX(B3719:B$2,-1+SUMPRODUCT(MAX(ROW(E3719:E$2)*(E3720=E3719:E$2)))))</f>
        <v> </v>
      </c>
      <c r="J3720" s="26" t="str">
        <f>IF(OR(E3720="",E3720="!!!",F3720="NEW"),"",COUNTBLANK(OFFSET(A$1,,,SUMPRODUCT(MAX(ROW(E$2:E3720)*(E3720=E$2:E3720)))))-COUNTBLANK(OFFSET(A$1,,,SUMPRODUCT(MAX(ROW(E$1:E3719)*(E2=E$1:E3719))))))</f>
        <v> </v>
      </c>
      <c r="K3720" s="26" t="str">
        <f>IF(OR(E3720="",E3720="!!!",F3720="NEW"),"",INDEX(J$1:J3719,SUMPRODUCT(MAX(ROW(E$1:E3719)*(E3720=E$1:E3719)))))</f>
        <v> </v>
      </c>
      <c r="L3720" s="27"/>
    </row>
    <row r="3721" spans="1:12">
      <c r="A3721" s="20" t="s">
        <v>1230</v>
      </c>
      <c r="B3721" s="21" t="s">
        <v>1165</v>
      </c>
      <c r="C3721" s="21" t="s">
        <v>1151</v>
      </c>
      <c r="D3721" s="21" t="s">
        <v>1144</v>
      </c>
      <c r="E3721" s="22">
        <f>IF(D3721="?OLD","!!!","")</f>
        <v/>
      </c>
      <c r="F3721" s="23" t="str">
        <f>IF(OR(E3721="",E3721="!!!"),"",IF(NOT(ISNA(VLOOKUP(E3721,E$1:E3720,1,FALSE()))),"OLD",IF(AND(E3721&lt;&gt;"",E3721&lt;&gt;"!!!"),"NEW","")))</f>
        <v> </v>
      </c>
      <c r="G3721" s="24" t="str">
        <f>IF(OR(E3721="",E3721="!!!"),"",IF(OR(J3721=0,AND(J3721=1,K3721=1),AND(J3721=1,I3721="SBJ"),AND(J3721=1,I3721=0)),"?IN_FOCUS",IF(J3721&lt;=2,"?ACTIVATED",IF(J3721&lt;&gt;"","?FAMILIAR",IF(F3721="NEW",IF(ISNA(VLOOKUP(E3721,#REF!,1,FALSE())),"?TYPE_IDENTIFIABLE","?REFERENTIAL"),"_")))))</f>
        <v> </v>
      </c>
      <c r="H3721" s="25" t="str">
        <f>IF(J3721&lt;&gt;1,"",IF(I3721="SBJ","CB","?"))</f>
        <v> </v>
      </c>
      <c r="I3721" s="26" t="str">
        <f>IF(OR(E3721="",E3721="!!!",F3721="NEW"),"",INDEX(B3720:B$2,-1+SUMPRODUCT(MAX(ROW(E3720:E$2)*(E3721=E3720:E$2)))))</f>
        <v> </v>
      </c>
      <c r="J3721" s="26" t="str">
        <f>IF(OR(E3721="",E3721="!!!",F3721="NEW"),"",COUNTBLANK(OFFSET(A$1,,,SUMPRODUCT(MAX(ROW(E$2:E3721)*(E3721=E$2:E3721)))))-COUNTBLANK(OFFSET(A$1,,,SUMPRODUCT(MAX(ROW(E$1:E3720)*(E2=E$1:E3720))))))</f>
        <v> </v>
      </c>
      <c r="K3721" s="26" t="str">
        <f>IF(OR(E3721="",E3721="!!!",F3721="NEW"),"",INDEX(J$1:J3720,SUMPRODUCT(MAX(ROW(E$1:E3720)*(E3721=E$1:E3720)))))</f>
        <v> </v>
      </c>
      <c r="L3721" s="27"/>
    </row>
    <row r="3722" spans="1:12">
      <c r="A3722" s="20" t="s">
        <v>904</v>
      </c>
      <c r="B3722" s="21" t="s">
        <v>1161</v>
      </c>
      <c r="C3722" s="21" t="s">
        <v>1232</v>
      </c>
      <c r="E3722" s="22">
        <f>IF(D3722="?OLD","!!!","")</f>
        <v/>
      </c>
      <c r="F3722" s="23" t="str">
        <f>IF(OR(E3722="",E3722="!!!"),"",IF(NOT(ISNA(VLOOKUP(E3722,E$1:E3721,1,FALSE()))),"OLD",IF(AND(E3722&lt;&gt;"",E3722&lt;&gt;"!!!"),"NEW","")))</f>
        <v> </v>
      </c>
      <c r="G3722" s="24" t="str">
        <f>IF(OR(E3722="",E3722="!!!"),"",IF(OR(J3722=0,AND(J3722=1,K3722=1),AND(J3722=1,I3722="SBJ"),AND(J3722=1,I3722=0)),"?IN_FOCUS",IF(J3722&lt;=2,"?ACTIVATED",IF(J3722&lt;&gt;"","?FAMILIAR",IF(F3722="NEW",IF(ISNA(VLOOKUP(E3722,#REF!,1,FALSE())),"?TYPE_IDENTIFIABLE","?REFERENTIAL"),"_")))))</f>
        <v> </v>
      </c>
      <c r="H3722" s="25" t="str">
        <f>IF(J3722&lt;&gt;1,"",IF(I3722="SBJ","CB","?"))</f>
        <v> </v>
      </c>
      <c r="I3722" s="26" t="str">
        <f>IF(OR(E3722="",E3722="!!!",F3722="NEW"),"",INDEX(B3721:B$2,-1+SUMPRODUCT(MAX(ROW(E3721:E$2)*(E3722=E3721:E$2)))))</f>
        <v> </v>
      </c>
      <c r="J3722" s="26" t="str">
        <f>IF(OR(E3722="",E3722="!!!",F3722="NEW"),"",COUNTBLANK(OFFSET(A$1,,,SUMPRODUCT(MAX(ROW(E$2:E3722)*(E3722=E$2:E3722)))))-COUNTBLANK(OFFSET(A$1,,,SUMPRODUCT(MAX(ROW(E$1:E3721)*(E2=E$1:E3721))))))</f>
        <v> </v>
      </c>
      <c r="K3722" s="26" t="str">
        <f>IF(OR(E3722="",E3722="!!!",F3722="NEW"),"",INDEX(J$1:J3721,SUMPRODUCT(MAX(ROW(E$1:E3721)*(E3722=E$1:E3721)))))</f>
        <v> </v>
      </c>
      <c r="L3722" s="27"/>
    </row>
    <row r="3723" spans="1:12">
      <c r="A3723" s="20" t="s">
        <v>2275</v>
      </c>
      <c r="E3723" s="22">
        <f>IF(D3723="?OLD","!!!","")</f>
        <v/>
      </c>
      <c r="F3723" s="23" t="str">
        <f>IF(OR(E3723="",E3723="!!!"),"",IF(NOT(ISNA(VLOOKUP(E3723,E$1:E3722,1,FALSE()))),"OLD",IF(AND(E3723&lt;&gt;"",E3723&lt;&gt;"!!!"),"NEW","")))</f>
        <v> </v>
      </c>
      <c r="G3723" s="24" t="str">
        <f>IF(OR(E3723="",E3723="!!!"),"",IF(OR(J3723=0,AND(J3723=1,K3723=1),AND(J3723=1,I3723="SBJ"),AND(J3723=1,I3723=0)),"?IN_FOCUS",IF(J3723&lt;=2,"?ACTIVATED",IF(J3723&lt;&gt;"","?FAMILIAR",IF(F3723="NEW",IF(ISNA(VLOOKUP(E3723,#REF!,1,FALSE())),"?TYPE_IDENTIFIABLE","?REFERENTIAL"),"_")))))</f>
        <v> </v>
      </c>
      <c r="H3723" s="25" t="str">
        <f>IF(J3723&lt;&gt;1,"",IF(I3723="SBJ","CB","?"))</f>
        <v> </v>
      </c>
      <c r="I3723" s="26" t="str">
        <f>IF(OR(E3723="",E3723="!!!",F3723="NEW"),"",INDEX(B3722:B$2,-1+SUMPRODUCT(MAX(ROW(E3722:E$2)*(E3723=E3722:E$2)))))</f>
        <v> </v>
      </c>
      <c r="J3723" s="26" t="str">
        <f>IF(OR(E3723="",E3723="!!!",F3723="NEW"),"",COUNTBLANK(OFFSET(A$1,,,SUMPRODUCT(MAX(ROW(E$2:E3723)*(E3723=E$2:E3723)))))-COUNTBLANK(OFFSET(A$1,,,SUMPRODUCT(MAX(ROW(E$1:E3722)*(E2=E$1:E3722))))))</f>
        <v> </v>
      </c>
      <c r="K3723" s="26" t="str">
        <f>IF(OR(E3723="",E3723="!!!",F3723="NEW"),"",INDEX(J$1:J3722,SUMPRODUCT(MAX(ROW(E$1:E3722)*(E3723=E$1:E3722)))))</f>
        <v> </v>
      </c>
      <c r="L3723" s="27"/>
    </row>
    <row r="3724" spans="1:12">
      <c r="A3724" s="20" t="s">
        <v>1166</v>
      </c>
      <c r="E3724" s="22">
        <f>IF(D3724="?OLD","!!!","")</f>
        <v/>
      </c>
      <c r="F3724" s="23" t="str">
        <f>IF(OR(E3724="",E3724="!!!"),"",IF(NOT(ISNA(VLOOKUP(E3724,E$1:E3723,1,FALSE()))),"OLD",IF(AND(E3724&lt;&gt;"",E3724&lt;&gt;"!!!"),"NEW","")))</f>
        <v> </v>
      </c>
      <c r="G3724" s="24" t="str">
        <f>IF(OR(E3724="",E3724="!!!"),"",IF(OR(J3724=0,AND(J3724=1,K3724=1),AND(J3724=1,I3724="SBJ"),AND(J3724=1,I3724=0)),"?IN_FOCUS",IF(J3724&lt;=2,"?ACTIVATED",IF(J3724&lt;&gt;"","?FAMILIAR",IF(F3724="NEW",IF(ISNA(VLOOKUP(E3724,#REF!,1,FALSE())),"?TYPE_IDENTIFIABLE","?REFERENTIAL"),"_")))))</f>
        <v> </v>
      </c>
      <c r="H3724" s="25" t="str">
        <f>IF(J3724&lt;&gt;1,"",IF(I3724="SBJ","CB","?"))</f>
        <v> </v>
      </c>
      <c r="I3724" s="26" t="str">
        <f>IF(OR(E3724="",E3724="!!!",F3724="NEW"),"",INDEX(B3723:B$2,-1+SUMPRODUCT(MAX(ROW(E3723:E$2)*(E3724=E3723:E$2)))))</f>
        <v> </v>
      </c>
      <c r="J3724" s="26" t="str">
        <f>IF(OR(E3724="",E3724="!!!",F3724="NEW"),"",COUNTBLANK(OFFSET(A$1,,,SUMPRODUCT(MAX(ROW(E$2:E3724)*(E3724=E$2:E3724)))))-COUNTBLANK(OFFSET(A$1,,,SUMPRODUCT(MAX(ROW(E$1:E3723)*(E2=E$1:E3723))))))</f>
        <v> </v>
      </c>
      <c r="K3724" s="26" t="str">
        <f>IF(OR(E3724="",E3724="!!!",F3724="NEW"),"",INDEX(J$1:J3723,SUMPRODUCT(MAX(ROW(E$1:E3723)*(E3724=E$1:E3723)))))</f>
        <v> </v>
      </c>
      <c r="L3724" s="27"/>
    </row>
    <row r="3725" spans="1:12">
      <c r="A3725" s="20" t="s">
        <v>2276</v>
      </c>
      <c r="E3725" s="22">
        <f>IF(D3725="?OLD","!!!","")</f>
        <v/>
      </c>
      <c r="F3725" s="23" t="str">
        <f>IF(OR(E3725="",E3725="!!!"),"",IF(NOT(ISNA(VLOOKUP(E3725,E$1:E3724,1,FALSE()))),"OLD",IF(AND(E3725&lt;&gt;"",E3725&lt;&gt;"!!!"),"NEW","")))</f>
        <v> </v>
      </c>
      <c r="G3725" s="24" t="str">
        <f>IF(OR(E3725="",E3725="!!!"),"",IF(OR(J3725=0,AND(J3725=1,K3725=1),AND(J3725=1,I3725="SBJ"),AND(J3725=1,I3725=0)),"?IN_FOCUS",IF(J3725&lt;=2,"?ACTIVATED",IF(J3725&lt;&gt;"","?FAMILIAR",IF(F3725="NEW",IF(ISNA(VLOOKUP(E3725,#REF!,1,FALSE())),"?TYPE_IDENTIFIABLE","?REFERENTIAL"),"_")))))</f>
        <v> </v>
      </c>
      <c r="H3725" s="25" t="str">
        <f>IF(J3725&lt;&gt;1,"",IF(I3725="SBJ","CB","?"))</f>
        <v> </v>
      </c>
      <c r="I3725" s="26" t="str">
        <f>IF(OR(E3725="",E3725="!!!",F3725="NEW"),"",INDEX(B3724:B$2,-1+SUMPRODUCT(MAX(ROW(E3724:E$2)*(E3725=E3724:E$2)))))</f>
        <v> </v>
      </c>
      <c r="J3725" s="26" t="str">
        <f>IF(OR(E3725="",E3725="!!!",F3725="NEW"),"",COUNTBLANK(OFFSET(A$1,,,SUMPRODUCT(MAX(ROW(E$2:E3725)*(E3725=E$2:E3725)))))-COUNTBLANK(OFFSET(A$1,,,SUMPRODUCT(MAX(ROW(E$1:E3724)*(E2=E$1:E3724))))))</f>
        <v> </v>
      </c>
      <c r="K3725" s="26" t="str">
        <f>IF(OR(E3725="",E3725="!!!",F3725="NEW"),"",INDEX(J$1:J3724,SUMPRODUCT(MAX(ROW(E$1:E3724)*(E3725=E$1:E3724)))))</f>
        <v> </v>
      </c>
      <c r="L3725" s="27"/>
    </row>
    <row r="3726" spans="1:12">
      <c r="A3726" s="20" t="s">
        <v>2277</v>
      </c>
      <c r="E3726" s="22">
        <f>IF(D3726="?OLD","!!!","")</f>
        <v/>
      </c>
      <c r="F3726" s="23" t="str">
        <f>IF(OR(E3726="",E3726="!!!"),"",IF(NOT(ISNA(VLOOKUP(E3726,E$1:E3725,1,FALSE()))),"OLD",IF(AND(E3726&lt;&gt;"",E3726&lt;&gt;"!!!"),"NEW","")))</f>
        <v> </v>
      </c>
      <c r="G3726" s="24" t="str">
        <f>IF(OR(E3726="",E3726="!!!"),"",IF(OR(J3726=0,AND(J3726=1,K3726=1),AND(J3726=1,I3726="SBJ"),AND(J3726=1,I3726=0)),"?IN_FOCUS",IF(J3726&lt;=2,"?ACTIVATED",IF(J3726&lt;&gt;"","?FAMILIAR",IF(F3726="NEW",IF(ISNA(VLOOKUP(E3726,#REF!,1,FALSE())),"?TYPE_IDENTIFIABLE","?REFERENTIAL"),"_")))))</f>
        <v> </v>
      </c>
      <c r="H3726" s="25" t="str">
        <f>IF(J3726&lt;&gt;1,"",IF(I3726="SBJ","CB","?"))</f>
        <v> </v>
      </c>
      <c r="I3726" s="26" t="str">
        <f>IF(OR(E3726="",E3726="!!!",F3726="NEW"),"",INDEX(B3725:B$2,-1+SUMPRODUCT(MAX(ROW(E3725:E$2)*(E3726=E3725:E$2)))))</f>
        <v> </v>
      </c>
      <c r="J3726" s="26" t="str">
        <f>IF(OR(E3726="",E3726="!!!",F3726="NEW"),"",COUNTBLANK(OFFSET(A$1,,,SUMPRODUCT(MAX(ROW(E$2:E3726)*(E3726=E$2:E3726)))))-COUNTBLANK(OFFSET(A$1,,,SUMPRODUCT(MAX(ROW(E$1:E3725)*(E2=E$1:E3725))))))</f>
        <v> </v>
      </c>
      <c r="K3726" s="26" t="str">
        <f>IF(OR(E3726="",E3726="!!!",F3726="NEW"),"",INDEX(J$1:J3725,SUMPRODUCT(MAX(ROW(E$1:E3725)*(E3726=E$1:E3725)))))</f>
        <v> </v>
      </c>
      <c r="L3726" s="27"/>
    </row>
    <row r="3727" spans="1:12">
      <c r="A3727" s="20" t="s">
        <v>1301</v>
      </c>
      <c r="E3727" s="22">
        <f>IF(D3727="?OLD","!!!","")</f>
        <v/>
      </c>
      <c r="F3727" s="23" t="str">
        <f>IF(OR(E3727="",E3727="!!!"),"",IF(NOT(ISNA(VLOOKUP(E3727,E$1:E3726,1,FALSE()))),"OLD",IF(AND(E3727&lt;&gt;"",E3727&lt;&gt;"!!!"),"NEW","")))</f>
        <v> </v>
      </c>
      <c r="G3727" s="24" t="str">
        <f>IF(OR(E3727="",E3727="!!!"),"",IF(OR(J3727=0,AND(J3727=1,K3727=1),AND(J3727=1,I3727="SBJ"),AND(J3727=1,I3727=0)),"?IN_FOCUS",IF(J3727&lt;=2,"?ACTIVATED",IF(J3727&lt;&gt;"","?FAMILIAR",IF(F3727="NEW",IF(ISNA(VLOOKUP(E3727,#REF!,1,FALSE())),"?TYPE_IDENTIFIABLE","?REFERENTIAL"),"_")))))</f>
        <v> </v>
      </c>
      <c r="H3727" s="25" t="str">
        <f>IF(J3727&lt;&gt;1,"",IF(I3727="SBJ","CB","?"))</f>
        <v> </v>
      </c>
      <c r="I3727" s="26" t="str">
        <f>IF(OR(E3727="",E3727="!!!",F3727="NEW"),"",INDEX(B3726:B$2,-1+SUMPRODUCT(MAX(ROW(E3726:E$2)*(E3727=E3726:E$2)))))</f>
        <v> </v>
      </c>
      <c r="J3727" s="26" t="str">
        <f>IF(OR(E3727="",E3727="!!!",F3727="NEW"),"",COUNTBLANK(OFFSET(A$1,,,SUMPRODUCT(MAX(ROW(E$2:E3727)*(E3727=E$2:E3727)))))-COUNTBLANK(OFFSET(A$1,,,SUMPRODUCT(MAX(ROW(E$1:E3726)*(E2=E$1:E3726))))))</f>
        <v> </v>
      </c>
      <c r="K3727" s="26" t="str">
        <f>IF(OR(E3727="",E3727="!!!",F3727="NEW"),"",INDEX(J$1:J3726,SUMPRODUCT(MAX(ROW(E$1:E3726)*(E3727=E$1:E3726)))))</f>
        <v> </v>
      </c>
      <c r="L3727" s="27"/>
    </row>
    <row r="3728" spans="1:12">
      <c r="A3728" s="20" t="s">
        <v>1238</v>
      </c>
      <c r="E3728" s="22">
        <f>IF(D3728="?OLD","!!!","")</f>
        <v/>
      </c>
      <c r="F3728" s="23" t="str">
        <f>IF(OR(E3728="",E3728="!!!"),"",IF(NOT(ISNA(VLOOKUP(E3728,E$1:E3727,1,FALSE()))),"OLD",IF(AND(E3728&lt;&gt;"",E3728&lt;&gt;"!!!"),"NEW","")))</f>
        <v> </v>
      </c>
      <c r="G3728" s="24" t="str">
        <f>IF(OR(E3728="",E3728="!!!"),"",IF(OR(J3728=0,AND(J3728=1,K3728=1),AND(J3728=1,I3728="SBJ"),AND(J3728=1,I3728=0)),"?IN_FOCUS",IF(J3728&lt;=2,"?ACTIVATED",IF(J3728&lt;&gt;"","?FAMILIAR",IF(F3728="NEW",IF(ISNA(VLOOKUP(E3728,#REF!,1,FALSE())),"?TYPE_IDENTIFIABLE","?REFERENTIAL"),"_")))))</f>
        <v> </v>
      </c>
      <c r="H3728" s="25" t="str">
        <f>IF(J3728&lt;&gt;1,"",IF(I3728="SBJ","CB","?"))</f>
        <v> </v>
      </c>
      <c r="I3728" s="26" t="str">
        <f>IF(OR(E3728="",E3728="!!!",F3728="NEW"),"",INDEX(B3727:B$2,-1+SUMPRODUCT(MAX(ROW(E3727:E$2)*(E3728=E3727:E$2)))))</f>
        <v> </v>
      </c>
      <c r="J3728" s="26" t="str">
        <f>IF(OR(E3728="",E3728="!!!",F3728="NEW"),"",COUNTBLANK(OFFSET(A$1,,,SUMPRODUCT(MAX(ROW(E$2:E3728)*(E3728=E$2:E3728)))))-COUNTBLANK(OFFSET(A$1,,,SUMPRODUCT(MAX(ROW(E$1:E3727)*(E2=E$1:E3727))))))</f>
        <v> </v>
      </c>
      <c r="K3728" s="26" t="str">
        <f>IF(OR(E3728="",E3728="!!!",F3728="NEW"),"",INDEX(J$1:J3727,SUMPRODUCT(MAX(ROW(E$1:E3727)*(E3728=E$1:E3727)))))</f>
        <v> </v>
      </c>
      <c r="L3728" s="27"/>
    </row>
    <row r="3729" spans="1:12">
      <c r="A3729" s="20" t="s">
        <v>2278</v>
      </c>
      <c r="B3729" s="21" t="s">
        <v>1142</v>
      </c>
      <c r="C3729" s="21" t="s">
        <v>1162</v>
      </c>
      <c r="D3729" s="21" t="s">
        <v>1144</v>
      </c>
      <c r="E3729" s="22">
        <f>IF(D3729="?OLD","!!!","")</f>
        <v/>
      </c>
      <c r="F3729" s="23" t="str">
        <f>IF(OR(E3729="",E3729="!!!"),"",IF(NOT(ISNA(VLOOKUP(E3729,E$1:E3728,1,FALSE()))),"OLD",IF(AND(E3729&lt;&gt;"",E3729&lt;&gt;"!!!"),"NEW","")))</f>
        <v> </v>
      </c>
      <c r="G3729" s="24" t="str">
        <f>IF(OR(E3729="",E3729="!!!"),"",IF(OR(J3729=0,AND(J3729=1,K3729=1),AND(J3729=1,I3729="SBJ"),AND(J3729=1,I3729=0)),"?IN_FOCUS",IF(J3729&lt;=2,"?ACTIVATED",IF(J3729&lt;&gt;"","?FAMILIAR",IF(F3729="NEW",IF(ISNA(VLOOKUP(E3729,#REF!,1,FALSE())),"?TYPE_IDENTIFIABLE","?REFERENTIAL"),"_")))))</f>
        <v> </v>
      </c>
      <c r="H3729" s="25" t="str">
        <f>IF(J3729&lt;&gt;1,"",IF(I3729="SBJ","CB","?"))</f>
        <v> </v>
      </c>
      <c r="I3729" s="26" t="str">
        <f>IF(OR(E3729="",E3729="!!!",F3729="NEW"),"",INDEX(B3728:B$2,-1+SUMPRODUCT(MAX(ROW(E3728:E$2)*(E3729=E3728:E$2)))))</f>
        <v> </v>
      </c>
      <c r="J3729" s="26" t="str">
        <f>IF(OR(E3729="",E3729="!!!",F3729="NEW"),"",COUNTBLANK(OFFSET(A$1,,,SUMPRODUCT(MAX(ROW(E$2:E3729)*(E3729=E$2:E3729)))))-COUNTBLANK(OFFSET(A$1,,,SUMPRODUCT(MAX(ROW(E$1:E3728)*(E2=E$1:E3728))))))</f>
        <v> </v>
      </c>
      <c r="K3729" s="26" t="str">
        <f>IF(OR(E3729="",E3729="!!!",F3729="NEW"),"",INDEX(J$1:J3728,SUMPRODUCT(MAX(ROW(E$1:E3728)*(E3729=E$1:E3728)))))</f>
        <v> </v>
      </c>
      <c r="L3729" s="27"/>
    </row>
    <row r="3730" spans="1:12">
      <c r="A3730" s="20" t="s">
        <v>1166</v>
      </c>
      <c r="E3730" s="22">
        <f>IF(D3730="?OLD","!!!","")</f>
        <v/>
      </c>
      <c r="F3730" s="23" t="str">
        <f>IF(OR(E3730="",E3730="!!!"),"",IF(NOT(ISNA(VLOOKUP(E3730,E$1:E3729,1,FALSE()))),"OLD",IF(AND(E3730&lt;&gt;"",E3730&lt;&gt;"!!!"),"NEW","")))</f>
        <v> </v>
      </c>
      <c r="G3730" s="24" t="str">
        <f>IF(OR(E3730="",E3730="!!!"),"",IF(OR(J3730=0,AND(J3730=1,K3730=1),AND(J3730=1,I3730="SBJ"),AND(J3730=1,I3730=0)),"?IN_FOCUS",IF(J3730&lt;=2,"?ACTIVATED",IF(J3730&lt;&gt;"","?FAMILIAR",IF(F3730="NEW",IF(ISNA(VLOOKUP(E3730,#REF!,1,FALSE())),"?TYPE_IDENTIFIABLE","?REFERENTIAL"),"_")))))</f>
        <v> </v>
      </c>
      <c r="H3730" s="25" t="str">
        <f>IF(J3730&lt;&gt;1,"",IF(I3730="SBJ","CB","?"))</f>
        <v> </v>
      </c>
      <c r="I3730" s="26" t="str">
        <f>IF(OR(E3730="",E3730="!!!",F3730="NEW"),"",INDEX(B3729:B$2,-1+SUMPRODUCT(MAX(ROW(E3729:E$2)*(E3730=E3729:E$2)))))</f>
        <v> </v>
      </c>
      <c r="J3730" s="26" t="str">
        <f>IF(OR(E3730="",E3730="!!!",F3730="NEW"),"",COUNTBLANK(OFFSET(A$1,,,SUMPRODUCT(MAX(ROW(E$2:E3730)*(E3730=E$2:E3730)))))-COUNTBLANK(OFFSET(A$1,,,SUMPRODUCT(MAX(ROW(E$1:E3729)*(E2=E$1:E3729))))))</f>
        <v> </v>
      </c>
      <c r="K3730" s="26" t="str">
        <f>IF(OR(E3730="",E3730="!!!",F3730="NEW"),"",INDEX(J$1:J3729,SUMPRODUCT(MAX(ROW(E$1:E3729)*(E3730=E$1:E3729)))))</f>
        <v> </v>
      </c>
      <c r="L3730" s="27"/>
    </row>
    <row r="3731" spans="1:12">
      <c r="A3731" s="20" t="s">
        <v>1238</v>
      </c>
      <c r="B3731" s="21" t="s">
        <v>1311</v>
      </c>
      <c r="E3731" s="22">
        <f>IF(D3731="?OLD","!!!","")</f>
        <v/>
      </c>
      <c r="F3731" s="23" t="str">
        <f>IF(OR(E3731="",E3731="!!!"),"",IF(NOT(ISNA(VLOOKUP(E3731,E$1:E3730,1,FALSE()))),"OLD",IF(AND(E3731&lt;&gt;"",E3731&lt;&gt;"!!!"),"NEW","")))</f>
        <v> </v>
      </c>
      <c r="G3731" s="24" t="str">
        <f>IF(OR(E3731="",E3731="!!!"),"",IF(OR(J3731=0,AND(J3731=1,K3731=1),AND(J3731=1,I3731="SBJ"),AND(J3731=1,I3731=0)),"?IN_FOCUS",IF(J3731&lt;=2,"?ACTIVATED",IF(J3731&lt;&gt;"","?FAMILIAR",IF(F3731="NEW",IF(ISNA(VLOOKUP(E3731,#REF!,1,FALSE())),"?TYPE_IDENTIFIABLE","?REFERENTIAL"),"_")))))</f>
        <v> </v>
      </c>
      <c r="H3731" s="25" t="str">
        <f>IF(J3731&lt;&gt;1,"",IF(I3731="SBJ","CB","?"))</f>
        <v> </v>
      </c>
      <c r="I3731" s="26" t="str">
        <f>IF(OR(E3731="",E3731="!!!",F3731="NEW"),"",INDEX(B3730:B$2,-1+SUMPRODUCT(MAX(ROW(E3730:E$2)*(E3731=E3730:E$2)))))</f>
        <v> </v>
      </c>
      <c r="J3731" s="26" t="str">
        <f>IF(OR(E3731="",E3731="!!!",F3731="NEW"),"",COUNTBLANK(OFFSET(A$1,,,SUMPRODUCT(MAX(ROW(E$2:E3731)*(E3731=E$2:E3731)))))-COUNTBLANK(OFFSET(A$1,,,SUMPRODUCT(MAX(ROW(E$1:E3730)*(E2=E$1:E3730))))))</f>
        <v> </v>
      </c>
      <c r="K3731" s="26" t="str">
        <f>IF(OR(E3731="",E3731="!!!",F3731="NEW"),"",INDEX(J$1:J3730,SUMPRODUCT(MAX(ROW(E$1:E3730)*(E3731=E$1:E3730)))))</f>
        <v> </v>
      </c>
      <c r="L3731" s="27"/>
    </row>
    <row r="3732" spans="1:12">
      <c r="A3732" s="20" t="s">
        <v>1230</v>
      </c>
      <c r="B3732" s="21" t="s">
        <v>1311</v>
      </c>
      <c r="C3732" s="21" t="s">
        <v>1151</v>
      </c>
      <c r="D3732" s="21" t="s">
        <v>1144</v>
      </c>
      <c r="E3732" s="22">
        <f>IF(D3732="?OLD","!!!","")</f>
        <v/>
      </c>
      <c r="F3732" s="23" t="str">
        <f>IF(OR(E3732="",E3732="!!!"),"",IF(NOT(ISNA(VLOOKUP(E3732,E$1:E3731,1,FALSE()))),"OLD",IF(AND(E3732&lt;&gt;"",E3732&lt;&gt;"!!!"),"NEW","")))</f>
        <v> </v>
      </c>
      <c r="G3732" s="24" t="str">
        <f>IF(OR(E3732="",E3732="!!!"),"",IF(OR(J3732=0,AND(J3732=1,K3732=1),AND(J3732=1,I3732="SBJ"),AND(J3732=1,I3732=0)),"?IN_FOCUS",IF(J3732&lt;=2,"?ACTIVATED",IF(J3732&lt;&gt;"","?FAMILIAR",IF(F3732="NEW",IF(ISNA(VLOOKUP(E3732,#REF!,1,FALSE())),"?TYPE_IDENTIFIABLE","?REFERENTIAL"),"_")))))</f>
        <v> </v>
      </c>
      <c r="H3732" s="25" t="str">
        <f>IF(J3732&lt;&gt;1,"",IF(I3732="SBJ","CB","?"))</f>
        <v> </v>
      </c>
      <c r="I3732" s="26" t="str">
        <f>IF(OR(E3732="",E3732="!!!",F3732="NEW"),"",INDEX(B3731:B$2,-1+SUMPRODUCT(MAX(ROW(E3731:E$2)*(E3732=E3731:E$2)))))</f>
        <v> </v>
      </c>
      <c r="J3732" s="26" t="str">
        <f>IF(OR(E3732="",E3732="!!!",F3732="NEW"),"",COUNTBLANK(OFFSET(A$1,,,SUMPRODUCT(MAX(ROW(E$2:E3732)*(E3732=E$2:E3732)))))-COUNTBLANK(OFFSET(A$1,,,SUMPRODUCT(MAX(ROW(E$1:E3731)*(E2=E$1:E3731))))))</f>
        <v> </v>
      </c>
      <c r="K3732" s="26" t="str">
        <f>IF(OR(E3732="",E3732="!!!",F3732="NEW"),"",INDEX(J$1:J3731,SUMPRODUCT(MAX(ROW(E$1:E3731)*(E3732=E$1:E3731)))))</f>
        <v> </v>
      </c>
      <c r="L3732" s="27"/>
    </row>
    <row r="3733" spans="1:12">
      <c r="A3733" s="20" t="s">
        <v>2279</v>
      </c>
      <c r="E3733" s="22">
        <f>IF(D3733="?OLD","!!!","")</f>
        <v/>
      </c>
      <c r="F3733" s="23" t="str">
        <f>IF(OR(E3733="",E3733="!!!"),"",IF(NOT(ISNA(VLOOKUP(E3733,E$1:E3732,1,FALSE()))),"OLD",IF(AND(E3733&lt;&gt;"",E3733&lt;&gt;"!!!"),"NEW","")))</f>
        <v> </v>
      </c>
      <c r="G3733" s="24" t="str">
        <f>IF(OR(E3733="",E3733="!!!"),"",IF(OR(J3733=0,AND(J3733=1,K3733=1),AND(J3733=1,I3733="SBJ"),AND(J3733=1,I3733=0)),"?IN_FOCUS",IF(J3733&lt;=2,"?ACTIVATED",IF(J3733&lt;&gt;"","?FAMILIAR",IF(F3733="NEW",IF(ISNA(VLOOKUP(E3733,#REF!,1,FALSE())),"?TYPE_IDENTIFIABLE","?REFERENTIAL"),"_")))))</f>
        <v> </v>
      </c>
      <c r="H3733" s="25" t="str">
        <f>IF(J3733&lt;&gt;1,"",IF(I3733="SBJ","CB","?"))</f>
        <v> </v>
      </c>
      <c r="I3733" s="26" t="str">
        <f>IF(OR(E3733="",E3733="!!!",F3733="NEW"),"",INDEX(B3732:B$2,-1+SUMPRODUCT(MAX(ROW(E3732:E$2)*(E3733=E3732:E$2)))))</f>
        <v> </v>
      </c>
      <c r="J3733" s="26" t="str">
        <f>IF(OR(E3733="",E3733="!!!",F3733="NEW"),"",COUNTBLANK(OFFSET(A$1,,,SUMPRODUCT(MAX(ROW(E$2:E3733)*(E3733=E$2:E3733)))))-COUNTBLANK(OFFSET(A$1,,,SUMPRODUCT(MAX(ROW(E$1:E3732)*(E2=E$1:E3732))))))</f>
        <v> </v>
      </c>
      <c r="K3733" s="26" t="str">
        <f>IF(OR(E3733="",E3733="!!!",F3733="NEW"),"",INDEX(J$1:J3732,SUMPRODUCT(MAX(ROW(E$1:E3732)*(E3733=E$1:E3732)))))</f>
        <v> </v>
      </c>
      <c r="L3733" s="27"/>
    </row>
    <row r="3734" spans="1:12">
      <c r="A3734" s="20" t="s">
        <v>312</v>
      </c>
      <c r="E3734" s="22">
        <f>IF(D3734="?OLD","!!!","")</f>
        <v/>
      </c>
      <c r="F3734" s="23" t="str">
        <f>IF(OR(E3734="",E3734="!!!"),"",IF(NOT(ISNA(VLOOKUP(E3734,E$1:E3733,1,FALSE()))),"OLD",IF(AND(E3734&lt;&gt;"",E3734&lt;&gt;"!!!"),"NEW","")))</f>
        <v> </v>
      </c>
      <c r="G3734" s="24" t="str">
        <f>IF(OR(E3734="",E3734="!!!"),"",IF(OR(J3734=0,AND(J3734=1,K3734=1),AND(J3734=1,I3734="SBJ"),AND(J3734=1,I3734=0)),"?IN_FOCUS",IF(J3734&lt;=2,"?ACTIVATED",IF(J3734&lt;&gt;"","?FAMILIAR",IF(F3734="NEW",IF(ISNA(VLOOKUP(E3734,#REF!,1,FALSE())),"?TYPE_IDENTIFIABLE","?REFERENTIAL"),"_")))))</f>
        <v> </v>
      </c>
      <c r="H3734" s="25" t="str">
        <f>IF(J3734&lt;&gt;1,"",IF(I3734="SBJ","CB","?"))</f>
        <v> </v>
      </c>
      <c r="I3734" s="26" t="str">
        <f>IF(OR(E3734="",E3734="!!!",F3734="NEW"),"",INDEX(B3733:B$2,-1+SUMPRODUCT(MAX(ROW(E3733:E$2)*(E3734=E3733:E$2)))))</f>
        <v> </v>
      </c>
      <c r="J3734" s="26" t="str">
        <f>IF(OR(E3734="",E3734="!!!",F3734="NEW"),"",COUNTBLANK(OFFSET(A$1,,,SUMPRODUCT(MAX(ROW(E$2:E3734)*(E3734=E$2:E3734)))))-COUNTBLANK(OFFSET(A$1,,,SUMPRODUCT(MAX(ROW(E$1:E3733)*(E2=E$1:E3733))))))</f>
        <v> </v>
      </c>
      <c r="K3734" s="26" t="str">
        <f>IF(OR(E3734="",E3734="!!!",F3734="NEW"),"",INDEX(J$1:J3733,SUMPRODUCT(MAX(ROW(E$1:E3733)*(E3734=E$1:E3733)))))</f>
        <v> </v>
      </c>
      <c r="L3734" s="27"/>
    </row>
    <row r="3735" spans="1:12">
      <c r="A3735" s="20"/>
    </row>
    <row r="3736" spans="1:12">
      <c r="A3736" s="20" t="s">
        <v>2280</v>
      </c>
    </row>
    <row r="3737" spans="1:12">
      <c r="A3737" s="20" t="s">
        <v>1417</v>
      </c>
      <c r="B3737" s="21" t="s">
        <v>1165</v>
      </c>
      <c r="C3737" s="21" t="s">
        <v>1232</v>
      </c>
      <c r="D3737" s="21" t="s">
        <v>1144</v>
      </c>
      <c r="E3737" s="22">
        <f>IF(D3737="?OLD","!!!","")</f>
        <v/>
      </c>
      <c r="F3737" s="23" t="str">
        <f>IF(OR(E3737="",E3737="!!!"),"",IF(NOT(ISNA(VLOOKUP(E3737,E$1:E3736,1,FALSE()))),"OLD",IF(AND(E3737&lt;&gt;"",E3737&lt;&gt;"!!!"),"NEW","")))</f>
        <v> </v>
      </c>
      <c r="G3737" s="24" t="str">
        <f>IF(OR(E3737="",E3737="!!!"),"",IF(OR(J3737=0,AND(J3737=1,K3737=1),AND(J3737=1,I3737="SBJ"),AND(J3737=1,I3737=0)),"?IN_FOCUS",IF(J3737&lt;=2,"?ACTIVATED",IF(J3737&lt;&gt;"","?FAMILIAR",IF(F3737="NEW",IF(ISNA(VLOOKUP(E3737,#REF!,1,FALSE())),"?TYPE_IDENTIFIABLE","?REFERENTIAL"),"_")))))</f>
        <v> </v>
      </c>
      <c r="H3737" s="25" t="str">
        <f>IF(J3737&lt;&gt;1,"",IF(I3737="SBJ","CB","?"))</f>
        <v> </v>
      </c>
      <c r="I3737" s="26" t="str">
        <f>IF(OR(E3737="",E3737="!!!",F3737="NEW"),"",INDEX(B3736:B$2,-1+SUMPRODUCT(MAX(ROW(E3736:E$2)*(E3737=E3736:E$2)))))</f>
        <v> </v>
      </c>
      <c r="J3737" s="26" t="str">
        <f>IF(OR(E3737="",E3737="!!!",F3737="NEW"),"",COUNTBLANK(OFFSET(A$1,,,SUMPRODUCT(MAX(ROW(E$2:E3737)*(E3737=E$2:E3737)))))-COUNTBLANK(OFFSET(A$1,,,SUMPRODUCT(MAX(ROW(E$1:E3736)*(E2=E$1:E3736))))))</f>
        <v> </v>
      </c>
      <c r="K3737" s="26" t="str">
        <f>IF(OR(E3737="",E3737="!!!",F3737="NEW"),"",INDEX(J$1:J3736,SUMPRODUCT(MAX(ROW(E$1:E3736)*(E3737=E$1:E3736)))))</f>
        <v> </v>
      </c>
      <c r="L3737" s="27"/>
    </row>
    <row r="3738" spans="1:12">
      <c r="A3738" s="20" t="s">
        <v>2281</v>
      </c>
      <c r="E3738" s="22">
        <f>IF(D3738="?OLD","!!!","")</f>
        <v/>
      </c>
      <c r="F3738" s="23" t="str">
        <f>IF(OR(E3738="",E3738="!!!"),"",IF(NOT(ISNA(VLOOKUP(E3738,E$1:E3737,1,FALSE()))),"OLD",IF(AND(E3738&lt;&gt;"",E3738&lt;&gt;"!!!"),"NEW","")))</f>
        <v> </v>
      </c>
      <c r="G3738" s="24" t="str">
        <f>IF(OR(E3738="",E3738="!!!"),"",IF(OR(J3738=0,AND(J3738=1,K3738=1),AND(J3738=1,I3738="SBJ"),AND(J3738=1,I3738=0)),"?IN_FOCUS",IF(J3738&lt;=2,"?ACTIVATED",IF(J3738&lt;&gt;"","?FAMILIAR",IF(F3738="NEW",IF(ISNA(VLOOKUP(E3738,#REF!,1,FALSE())),"?TYPE_IDENTIFIABLE","?REFERENTIAL"),"_")))))</f>
        <v> </v>
      </c>
      <c r="H3738" s="25" t="str">
        <f>IF(J3738&lt;&gt;1,"",IF(I3738="SBJ","CB","?"))</f>
        <v> </v>
      </c>
      <c r="I3738" s="26" t="str">
        <f>IF(OR(E3738="",E3738="!!!",F3738="NEW"),"",INDEX(B3737:B$2,-1+SUMPRODUCT(MAX(ROW(E3737:E$2)*(E3738=E3737:E$2)))))</f>
        <v> </v>
      </c>
      <c r="J3738" s="26" t="str">
        <f>IF(OR(E3738="",E3738="!!!",F3738="NEW"),"",COUNTBLANK(OFFSET(A$1,,,SUMPRODUCT(MAX(ROW(E$2:E3738)*(E3738=E$2:E3738)))))-COUNTBLANK(OFFSET(A$1,,,SUMPRODUCT(MAX(ROW(E$1:E3737)*(E2=E$1:E3737))))))</f>
        <v> </v>
      </c>
      <c r="K3738" s="26" t="str">
        <f>IF(OR(E3738="",E3738="!!!",F3738="NEW"),"",INDEX(J$1:J3737,SUMPRODUCT(MAX(ROW(E$1:E3737)*(E3738=E$1:E3737)))))</f>
        <v> </v>
      </c>
      <c r="L3738" s="27"/>
    </row>
    <row r="3739" spans="1:12">
      <c r="A3739" s="20" t="s">
        <v>1198</v>
      </c>
      <c r="B3739" s="21" t="s">
        <v>1165</v>
      </c>
      <c r="C3739" s="21" t="s">
        <v>1151</v>
      </c>
      <c r="D3739" s="21" t="s">
        <v>1144</v>
      </c>
      <c r="E3739" s="22">
        <f>IF(D3739="?OLD","!!!","")</f>
        <v/>
      </c>
      <c r="F3739" s="23" t="str">
        <f>IF(OR(E3739="",E3739="!!!"),"",IF(NOT(ISNA(VLOOKUP(E3739,E$1:E3738,1,FALSE()))),"OLD",IF(AND(E3739&lt;&gt;"",E3739&lt;&gt;"!!!"),"NEW","")))</f>
        <v> </v>
      </c>
      <c r="G3739" s="24" t="str">
        <f>IF(OR(E3739="",E3739="!!!"),"",IF(OR(J3739=0,AND(J3739=1,K3739=1),AND(J3739=1,I3739="SBJ"),AND(J3739=1,I3739=0)),"?IN_FOCUS",IF(J3739&lt;=2,"?ACTIVATED",IF(J3739&lt;&gt;"","?FAMILIAR",IF(F3739="NEW",IF(ISNA(VLOOKUP(E3739,#REF!,1,FALSE())),"?TYPE_IDENTIFIABLE","?REFERENTIAL"),"_")))))</f>
        <v> </v>
      </c>
      <c r="H3739" s="25" t="str">
        <f>IF(J3739&lt;&gt;1,"",IF(I3739="SBJ","CB","?"))</f>
        <v> </v>
      </c>
      <c r="I3739" s="26" t="str">
        <f>IF(OR(E3739="",E3739="!!!",F3739="NEW"),"",INDEX(B3738:B$2,-1+SUMPRODUCT(MAX(ROW(E3738:E$2)*(E3739=E3738:E$2)))))</f>
        <v> </v>
      </c>
      <c r="J3739" s="26" t="str">
        <f>IF(OR(E3739="",E3739="!!!",F3739="NEW"),"",COUNTBLANK(OFFSET(A$1,,,SUMPRODUCT(MAX(ROW(E$2:E3739)*(E3739=E$2:E3739)))))-COUNTBLANK(OFFSET(A$1,,,SUMPRODUCT(MAX(ROW(E$1:E3738)*(E2=E$1:E3738))))))</f>
        <v> </v>
      </c>
      <c r="K3739" s="26" t="str">
        <f>IF(OR(E3739="",E3739="!!!",F3739="NEW"),"",INDEX(J$1:J3738,SUMPRODUCT(MAX(ROW(E$1:E3738)*(E3739=E$1:E3738)))))</f>
        <v> </v>
      </c>
      <c r="L3739" s="27"/>
    </row>
    <row r="3740" spans="1:12">
      <c r="A3740" s="20" t="s">
        <v>1518</v>
      </c>
      <c r="E3740" s="22">
        <f>IF(D3740="?OLD","!!!","")</f>
        <v/>
      </c>
      <c r="F3740" s="23" t="str">
        <f>IF(OR(E3740="",E3740="!!!"),"",IF(NOT(ISNA(VLOOKUP(E3740,E$1:E3739,1,FALSE()))),"OLD",IF(AND(E3740&lt;&gt;"",E3740&lt;&gt;"!!!"),"NEW","")))</f>
        <v> </v>
      </c>
      <c r="G3740" s="24" t="str">
        <f>IF(OR(E3740="",E3740="!!!"),"",IF(OR(J3740=0,AND(J3740=1,K3740=1),AND(J3740=1,I3740="SBJ"),AND(J3740=1,I3740=0)),"?IN_FOCUS",IF(J3740&lt;=2,"?ACTIVATED",IF(J3740&lt;&gt;"","?FAMILIAR",IF(F3740="NEW",IF(ISNA(VLOOKUP(E3740,#REF!,1,FALSE())),"?TYPE_IDENTIFIABLE","?REFERENTIAL"),"_")))))</f>
        <v> </v>
      </c>
      <c r="H3740" s="25" t="str">
        <f>IF(J3740&lt;&gt;1,"",IF(I3740="SBJ","CB","?"))</f>
        <v> </v>
      </c>
      <c r="I3740" s="26" t="str">
        <f>IF(OR(E3740="",E3740="!!!",F3740="NEW"),"",INDEX(B3739:B$2,-1+SUMPRODUCT(MAX(ROW(E3739:E$2)*(E3740=E3739:E$2)))))</f>
        <v> </v>
      </c>
      <c r="J3740" s="26" t="str">
        <f>IF(OR(E3740="",E3740="!!!",F3740="NEW"),"",COUNTBLANK(OFFSET(A$1,,,SUMPRODUCT(MAX(ROW(E$2:E3740)*(E3740=E$2:E3740)))))-COUNTBLANK(OFFSET(A$1,,,SUMPRODUCT(MAX(ROW(E$1:E3739)*(E2=E$1:E3739))))))</f>
        <v> </v>
      </c>
      <c r="K3740" s="26" t="str">
        <f>IF(OR(E3740="",E3740="!!!",F3740="NEW"),"",INDEX(J$1:J3739,SUMPRODUCT(MAX(ROW(E$1:E3739)*(E3740=E$1:E3739)))))</f>
        <v> </v>
      </c>
      <c r="L3740" s="27"/>
    </row>
    <row r="3741" spans="1:12">
      <c r="A3741" s="20" t="s">
        <v>1448</v>
      </c>
      <c r="B3741" s="21" t="s">
        <v>1161</v>
      </c>
      <c r="C3741" s="21" t="s">
        <v>1187</v>
      </c>
      <c r="E3741" s="22">
        <f>IF(D3741="?OLD","!!!","")</f>
        <v/>
      </c>
      <c r="F3741" s="23" t="str">
        <f>IF(OR(E3741="",E3741="!!!"),"",IF(NOT(ISNA(VLOOKUP(E3741,E$1:E3740,1,FALSE()))),"OLD",IF(AND(E3741&lt;&gt;"",E3741&lt;&gt;"!!!"),"NEW","")))</f>
        <v> </v>
      </c>
      <c r="G3741" s="24" t="str">
        <f>IF(OR(E3741="",E3741="!!!"),"",IF(OR(J3741=0,AND(J3741=1,K3741=1),AND(J3741=1,I3741="SBJ"),AND(J3741=1,I3741=0)),"?IN_FOCUS",IF(J3741&lt;=2,"?ACTIVATED",IF(J3741&lt;&gt;"","?FAMILIAR",IF(F3741="NEW",IF(ISNA(VLOOKUP(E3741,#REF!,1,FALSE())),"?TYPE_IDENTIFIABLE","?REFERENTIAL"),"_")))))</f>
        <v> </v>
      </c>
      <c r="H3741" s="25" t="str">
        <f>IF(J3741&lt;&gt;1,"",IF(I3741="SBJ","CB","?"))</f>
        <v> </v>
      </c>
      <c r="I3741" s="26" t="str">
        <f>IF(OR(E3741="",E3741="!!!",F3741="NEW"),"",INDEX(B3740:B$2,-1+SUMPRODUCT(MAX(ROW(E3740:E$2)*(E3741=E3740:E$2)))))</f>
        <v> </v>
      </c>
      <c r="J3741" s="26" t="str">
        <f>IF(OR(E3741="",E3741="!!!",F3741="NEW"),"",COUNTBLANK(OFFSET(A$1,,,SUMPRODUCT(MAX(ROW(E$2:E3741)*(E3741=E$2:E3741)))))-COUNTBLANK(OFFSET(A$1,,,SUMPRODUCT(MAX(ROW(E$1:E3740)*(E2=E$1:E3740))))))</f>
        <v> </v>
      </c>
      <c r="K3741" s="26" t="str">
        <f>IF(OR(E3741="",E3741="!!!",F3741="NEW"),"",INDEX(J$1:J3740,SUMPRODUCT(MAX(ROW(E$1:E3740)*(E3741=E$1:E3740)))))</f>
        <v> </v>
      </c>
      <c r="L3741" s="27"/>
    </row>
    <row r="3742" spans="1:12">
      <c r="A3742" s="20" t="s">
        <v>1166</v>
      </c>
      <c r="E3742" s="22">
        <f>IF(D3742="?OLD","!!!","")</f>
        <v/>
      </c>
      <c r="F3742" s="23" t="str">
        <f>IF(OR(E3742="",E3742="!!!"),"",IF(NOT(ISNA(VLOOKUP(E3742,E$1:E3741,1,FALSE()))),"OLD",IF(AND(E3742&lt;&gt;"",E3742&lt;&gt;"!!!"),"NEW","")))</f>
        <v> </v>
      </c>
      <c r="G3742" s="24" t="str">
        <f>IF(OR(E3742="",E3742="!!!"),"",IF(OR(J3742=0,AND(J3742=1,K3742=1),AND(J3742=1,I3742="SBJ"),AND(J3742=1,I3742=0)),"?IN_FOCUS",IF(J3742&lt;=2,"?ACTIVATED",IF(J3742&lt;&gt;"","?FAMILIAR",IF(F3742="NEW",IF(ISNA(VLOOKUP(E3742,#REF!,1,FALSE())),"?TYPE_IDENTIFIABLE","?REFERENTIAL"),"_")))))</f>
        <v> </v>
      </c>
      <c r="H3742" s="25" t="str">
        <f>IF(J3742&lt;&gt;1,"",IF(I3742="SBJ","CB","?"))</f>
        <v> </v>
      </c>
      <c r="I3742" s="26" t="str">
        <f>IF(OR(E3742="",E3742="!!!",F3742="NEW"),"",INDEX(B3741:B$2,-1+SUMPRODUCT(MAX(ROW(E3741:E$2)*(E3742=E3741:E$2)))))</f>
        <v> </v>
      </c>
      <c r="J3742" s="26" t="str">
        <f>IF(OR(E3742="",E3742="!!!",F3742="NEW"),"",COUNTBLANK(OFFSET(A$1,,,SUMPRODUCT(MAX(ROW(E$2:E3742)*(E3742=E$2:E3742)))))-COUNTBLANK(OFFSET(A$1,,,SUMPRODUCT(MAX(ROW(E$1:E3741)*(E2=E$1:E3741))))))</f>
        <v> </v>
      </c>
      <c r="K3742" s="26" t="str">
        <f>IF(OR(E3742="",E3742="!!!",F3742="NEW"),"",INDEX(J$1:J3741,SUMPRODUCT(MAX(ROW(E$1:E3741)*(E3742=E$1:E3741)))))</f>
        <v> </v>
      </c>
      <c r="L3742" s="27"/>
    </row>
    <row r="3743" spans="1:12">
      <c r="A3743" s="20" t="s">
        <v>1238</v>
      </c>
      <c r="E3743" s="22">
        <f>IF(D3743="?OLD","!!!","")</f>
        <v/>
      </c>
      <c r="F3743" s="23" t="str">
        <f>IF(OR(E3743="",E3743="!!!"),"",IF(NOT(ISNA(VLOOKUP(E3743,E$1:E3742,1,FALSE()))),"OLD",IF(AND(E3743&lt;&gt;"",E3743&lt;&gt;"!!!"),"NEW","")))</f>
        <v> </v>
      </c>
      <c r="G3743" s="24" t="str">
        <f>IF(OR(E3743="",E3743="!!!"),"",IF(OR(J3743=0,AND(J3743=1,K3743=1),AND(J3743=1,I3743="SBJ"),AND(J3743=1,I3743=0)),"?IN_FOCUS",IF(J3743&lt;=2,"?ACTIVATED",IF(J3743&lt;&gt;"","?FAMILIAR",IF(F3743="NEW",IF(ISNA(VLOOKUP(E3743,#REF!,1,FALSE())),"?TYPE_IDENTIFIABLE","?REFERENTIAL"),"_")))))</f>
        <v> </v>
      </c>
      <c r="H3743" s="25" t="str">
        <f>IF(J3743&lt;&gt;1,"",IF(I3743="SBJ","CB","?"))</f>
        <v> </v>
      </c>
      <c r="I3743" s="26" t="str">
        <f>IF(OR(E3743="",E3743="!!!",F3743="NEW"),"",INDEX(B3742:B$2,-1+SUMPRODUCT(MAX(ROW(E3742:E$2)*(E3743=E3742:E$2)))))</f>
        <v> </v>
      </c>
      <c r="J3743" s="26" t="str">
        <f>IF(OR(E3743="",E3743="!!!",F3743="NEW"),"",COUNTBLANK(OFFSET(A$1,,,SUMPRODUCT(MAX(ROW(E$2:E3743)*(E3743=E$2:E3743)))))-COUNTBLANK(OFFSET(A$1,,,SUMPRODUCT(MAX(ROW(E$1:E3742)*(E2=E$1:E3742))))))</f>
        <v> </v>
      </c>
      <c r="K3743" s="26" t="str">
        <f>IF(OR(E3743="",E3743="!!!",F3743="NEW"),"",INDEX(J$1:J3742,SUMPRODUCT(MAX(ROW(E$1:E3742)*(E3743=E$1:E3742)))))</f>
        <v> </v>
      </c>
      <c r="L3743" s="27"/>
    </row>
    <row r="3744" spans="1:12">
      <c r="A3744" s="20" t="s">
        <v>1284</v>
      </c>
      <c r="B3744" s="21" t="s">
        <v>1142</v>
      </c>
      <c r="C3744" s="21" t="s">
        <v>1162</v>
      </c>
      <c r="D3744" s="21" t="s">
        <v>1144</v>
      </c>
      <c r="E3744" s="22">
        <f>IF(D3744="?OLD","!!!","")</f>
        <v/>
      </c>
      <c r="F3744" s="23" t="str">
        <f>IF(OR(E3744="",E3744="!!!"),"",IF(NOT(ISNA(VLOOKUP(E3744,E$1:E3743,1,FALSE()))),"OLD",IF(AND(E3744&lt;&gt;"",E3744&lt;&gt;"!!!"),"NEW","")))</f>
        <v> </v>
      </c>
      <c r="G3744" s="24" t="str">
        <f>IF(OR(E3744="",E3744="!!!"),"",IF(OR(J3744=0,AND(J3744=1,K3744=1),AND(J3744=1,I3744="SBJ"),AND(J3744=1,I3744=0)),"?IN_FOCUS",IF(J3744&lt;=2,"?ACTIVATED",IF(J3744&lt;&gt;"","?FAMILIAR",IF(F3744="NEW",IF(ISNA(VLOOKUP(E3744,#REF!,1,FALSE())),"?TYPE_IDENTIFIABLE","?REFERENTIAL"),"_")))))</f>
        <v> </v>
      </c>
      <c r="H3744" s="25" t="str">
        <f>IF(J3744&lt;&gt;1,"",IF(I3744="SBJ","CB","?"))</f>
        <v> </v>
      </c>
      <c r="I3744" s="26" t="str">
        <f>IF(OR(E3744="",E3744="!!!",F3744="NEW"),"",INDEX(B3743:B$2,-1+SUMPRODUCT(MAX(ROW(E3743:E$2)*(E3744=E3743:E$2)))))</f>
        <v> </v>
      </c>
      <c r="J3744" s="26" t="str">
        <f>IF(OR(E3744="",E3744="!!!",F3744="NEW"),"",COUNTBLANK(OFFSET(A$1,,,SUMPRODUCT(MAX(ROW(E$2:E3744)*(E3744=E$2:E3744)))))-COUNTBLANK(OFFSET(A$1,,,SUMPRODUCT(MAX(ROW(E$1:E3743)*(E2=E$1:E3743))))))</f>
        <v> </v>
      </c>
      <c r="K3744" s="26" t="str">
        <f>IF(OR(E3744="",E3744="!!!",F3744="NEW"),"",INDEX(J$1:J3743,SUMPRODUCT(MAX(ROW(E$1:E3743)*(E3744=E$1:E3743)))))</f>
        <v> </v>
      </c>
      <c r="L3744" s="27"/>
    </row>
    <row r="3745" spans="1:12">
      <c r="A3745" s="20" t="s">
        <v>1923</v>
      </c>
      <c r="E3745" s="22">
        <f>IF(D3745="?OLD","!!!","")</f>
        <v/>
      </c>
      <c r="F3745" s="23" t="str">
        <f>IF(OR(E3745="",E3745="!!!"),"",IF(NOT(ISNA(VLOOKUP(E3745,E$1:E3744,1,FALSE()))),"OLD",IF(AND(E3745&lt;&gt;"",E3745&lt;&gt;"!!!"),"NEW","")))</f>
        <v> </v>
      </c>
      <c r="G3745" s="24" t="str">
        <f>IF(OR(E3745="",E3745="!!!"),"",IF(OR(J3745=0,AND(J3745=1,K3745=1),AND(J3745=1,I3745="SBJ"),AND(J3745=1,I3745=0)),"?IN_FOCUS",IF(J3745&lt;=2,"?ACTIVATED",IF(J3745&lt;&gt;"","?FAMILIAR",IF(F3745="NEW",IF(ISNA(VLOOKUP(E3745,#REF!,1,FALSE())),"?TYPE_IDENTIFIABLE","?REFERENTIAL"),"_")))))</f>
        <v> </v>
      </c>
      <c r="H3745" s="25" t="str">
        <f>IF(J3745&lt;&gt;1,"",IF(I3745="SBJ","CB","?"))</f>
        <v> </v>
      </c>
      <c r="I3745" s="26" t="str">
        <f>IF(OR(E3745="",E3745="!!!",F3745="NEW"),"",INDEX(B3744:B$2,-1+SUMPRODUCT(MAX(ROW(E3744:E$2)*(E3745=E3744:E$2)))))</f>
        <v> </v>
      </c>
      <c r="J3745" s="26" t="str">
        <f>IF(OR(E3745="",E3745="!!!",F3745="NEW"),"",COUNTBLANK(OFFSET(A$1,,,SUMPRODUCT(MAX(ROW(E$2:E3745)*(E3745=E$2:E3745)))))-COUNTBLANK(OFFSET(A$1,,,SUMPRODUCT(MAX(ROW(E$1:E3744)*(E2=E$1:E3744))))))</f>
        <v> </v>
      </c>
      <c r="K3745" s="26" t="str">
        <f>IF(OR(E3745="",E3745="!!!",F3745="NEW"),"",INDEX(J$1:J3744,SUMPRODUCT(MAX(ROW(E$1:E3744)*(E3745=E$1:E3744)))))</f>
        <v> </v>
      </c>
      <c r="L3745" s="27"/>
    </row>
    <row r="3746" spans="1:12">
      <c r="A3746" s="20" t="s">
        <v>1302</v>
      </c>
      <c r="E3746" s="22">
        <f>IF(D3746="?OLD","!!!","")</f>
        <v/>
      </c>
      <c r="F3746" s="23" t="str">
        <f>IF(OR(E3746="",E3746="!!!"),"",IF(NOT(ISNA(VLOOKUP(E3746,E$1:E3745,1,FALSE()))),"OLD",IF(AND(E3746&lt;&gt;"",E3746&lt;&gt;"!!!"),"NEW","")))</f>
        <v> </v>
      </c>
      <c r="G3746" s="24" t="str">
        <f>IF(OR(E3746="",E3746="!!!"),"",IF(OR(J3746=0,AND(J3746=1,K3746=1),AND(J3746=1,I3746="SBJ"),AND(J3746=1,I3746=0)),"?IN_FOCUS",IF(J3746&lt;=2,"?ACTIVATED",IF(J3746&lt;&gt;"","?FAMILIAR",IF(F3746="NEW",IF(ISNA(VLOOKUP(E3746,#REF!,1,FALSE())),"?TYPE_IDENTIFIABLE","?REFERENTIAL"),"_")))))</f>
        <v> </v>
      </c>
      <c r="H3746" s="25" t="str">
        <f>IF(J3746&lt;&gt;1,"",IF(I3746="SBJ","CB","?"))</f>
        <v> </v>
      </c>
      <c r="I3746" s="26" t="str">
        <f>IF(OR(E3746="",E3746="!!!",F3746="NEW"),"",INDEX(B3745:B$2,-1+SUMPRODUCT(MAX(ROW(E3745:E$2)*(E3746=E3745:E$2)))))</f>
        <v> </v>
      </c>
      <c r="J3746" s="26" t="str">
        <f>IF(OR(E3746="",E3746="!!!",F3746="NEW"),"",COUNTBLANK(OFFSET(A$1,,,SUMPRODUCT(MAX(ROW(E$2:E3746)*(E3746=E$2:E3746)))))-COUNTBLANK(OFFSET(A$1,,,SUMPRODUCT(MAX(ROW(E$1:E3745)*(E2=E$1:E3745))))))</f>
        <v> </v>
      </c>
      <c r="K3746" s="26" t="str">
        <f>IF(OR(E3746="",E3746="!!!",F3746="NEW"),"",INDEX(J$1:J3745,SUMPRODUCT(MAX(ROW(E$1:E3745)*(E3746=E$1:E3745)))))</f>
        <v> </v>
      </c>
      <c r="L3746" s="27"/>
    </row>
    <row r="3747" spans="1:12">
      <c r="A3747" s="20" t="s">
        <v>2282</v>
      </c>
      <c r="E3747" s="22">
        <f>IF(D3747="?OLD","!!!","")</f>
        <v/>
      </c>
      <c r="F3747" s="23" t="str">
        <f>IF(OR(E3747="",E3747="!!!"),"",IF(NOT(ISNA(VLOOKUP(E3747,E$1:E3746,1,FALSE()))),"OLD",IF(AND(E3747&lt;&gt;"",E3747&lt;&gt;"!!!"),"NEW","")))</f>
        <v> </v>
      </c>
      <c r="G3747" s="24" t="str">
        <f>IF(OR(E3747="",E3747="!!!"),"",IF(OR(J3747=0,AND(J3747=1,K3747=1),AND(J3747=1,I3747="SBJ"),AND(J3747=1,I3747=0)),"?IN_FOCUS",IF(J3747&lt;=2,"?ACTIVATED",IF(J3747&lt;&gt;"","?FAMILIAR",IF(F3747="NEW",IF(ISNA(VLOOKUP(E3747,#REF!,1,FALSE())),"?TYPE_IDENTIFIABLE","?REFERENTIAL"),"_")))))</f>
        <v> </v>
      </c>
      <c r="H3747" s="25" t="str">
        <f>IF(J3747&lt;&gt;1,"",IF(I3747="SBJ","CB","?"))</f>
        <v> </v>
      </c>
      <c r="I3747" s="26" t="str">
        <f>IF(OR(E3747="",E3747="!!!",F3747="NEW"),"",INDEX(B3746:B$2,-1+SUMPRODUCT(MAX(ROW(E3746:E$2)*(E3747=E3746:E$2)))))</f>
        <v> </v>
      </c>
      <c r="J3747" s="26" t="str">
        <f>IF(OR(E3747="",E3747="!!!",F3747="NEW"),"",COUNTBLANK(OFFSET(A$1,,,SUMPRODUCT(MAX(ROW(E$2:E3747)*(E3747=E$2:E3747)))))-COUNTBLANK(OFFSET(A$1,,,SUMPRODUCT(MAX(ROW(E$1:E3746)*(E2=E$1:E3746))))))</f>
        <v> </v>
      </c>
      <c r="K3747" s="26" t="str">
        <f>IF(OR(E3747="",E3747="!!!",F3747="NEW"),"",INDEX(J$1:J3746,SUMPRODUCT(MAX(ROW(E$1:E3746)*(E3747=E$1:E3746)))))</f>
        <v> </v>
      </c>
      <c r="L3747" s="27"/>
    </row>
    <row r="3748" spans="1:12">
      <c r="A3748" s="20" t="s">
        <v>2283</v>
      </c>
      <c r="E3748" s="22">
        <f>IF(D3748="?OLD","!!!","")</f>
        <v/>
      </c>
      <c r="F3748" s="23" t="str">
        <f>IF(OR(E3748="",E3748="!!!"),"",IF(NOT(ISNA(VLOOKUP(E3748,E$1:E3747,1,FALSE()))),"OLD",IF(AND(E3748&lt;&gt;"",E3748&lt;&gt;"!!!"),"NEW","")))</f>
        <v> </v>
      </c>
      <c r="G3748" s="24" t="str">
        <f>IF(OR(E3748="",E3748="!!!"),"",IF(OR(J3748=0,AND(J3748=1,K3748=1),AND(J3748=1,I3748="SBJ"),AND(J3748=1,I3748=0)),"?IN_FOCUS",IF(J3748&lt;=2,"?ACTIVATED",IF(J3748&lt;&gt;"","?FAMILIAR",IF(F3748="NEW",IF(ISNA(VLOOKUP(E3748,#REF!,1,FALSE())),"?TYPE_IDENTIFIABLE","?REFERENTIAL"),"_")))))</f>
        <v> </v>
      </c>
      <c r="H3748" s="25" t="str">
        <f>IF(J3748&lt;&gt;1,"",IF(I3748="SBJ","CB","?"))</f>
        <v> </v>
      </c>
      <c r="I3748" s="26" t="str">
        <f>IF(OR(E3748="",E3748="!!!",F3748="NEW"),"",INDEX(B3747:B$2,-1+SUMPRODUCT(MAX(ROW(E3747:E$2)*(E3748=E3747:E$2)))))</f>
        <v> </v>
      </c>
      <c r="J3748" s="26" t="str">
        <f>IF(OR(E3748="",E3748="!!!",F3748="NEW"),"",COUNTBLANK(OFFSET(A$1,,,SUMPRODUCT(MAX(ROW(E$2:E3748)*(E3748=E$2:E3748)))))-COUNTBLANK(OFFSET(A$1,,,SUMPRODUCT(MAX(ROW(E$1:E3747)*(E2=E$1:E3747))))))</f>
        <v> </v>
      </c>
      <c r="K3748" s="26" t="str">
        <f>IF(OR(E3748="",E3748="!!!",F3748="NEW"),"",INDEX(J$1:J3747,SUMPRODUCT(MAX(ROW(E$1:E3747)*(E3748=E$1:E3747)))))</f>
        <v> </v>
      </c>
      <c r="L3748" s="27"/>
    </row>
    <row r="3749" spans="1:12">
      <c r="A3749" s="20" t="s">
        <v>312</v>
      </c>
      <c r="E3749" s="22">
        <f>IF(D3749="?OLD","!!!","")</f>
        <v/>
      </c>
      <c r="F3749" s="23" t="str">
        <f>IF(OR(E3749="",E3749="!!!"),"",IF(NOT(ISNA(VLOOKUP(E3749,E$1:E3748,1,FALSE()))),"OLD",IF(AND(E3749&lt;&gt;"",E3749&lt;&gt;"!!!"),"NEW","")))</f>
        <v> </v>
      </c>
      <c r="G3749" s="24" t="str">
        <f>IF(OR(E3749="",E3749="!!!"),"",IF(OR(J3749=0,AND(J3749=1,K3749=1),AND(J3749=1,I3749="SBJ"),AND(J3749=1,I3749=0)),"?IN_FOCUS",IF(J3749&lt;=2,"?ACTIVATED",IF(J3749&lt;&gt;"","?FAMILIAR",IF(F3749="NEW",IF(ISNA(VLOOKUP(E3749,#REF!,1,FALSE())),"?TYPE_IDENTIFIABLE","?REFERENTIAL"),"_")))))</f>
        <v> </v>
      </c>
      <c r="H3749" s="25" t="str">
        <f>IF(J3749&lt;&gt;1,"",IF(I3749="SBJ","CB","?"))</f>
        <v> </v>
      </c>
      <c r="I3749" s="26" t="str">
        <f>IF(OR(E3749="",E3749="!!!",F3749="NEW"),"",INDEX(B3748:B$2,-1+SUMPRODUCT(MAX(ROW(E3748:E$2)*(E3749=E3748:E$2)))))</f>
        <v> </v>
      </c>
      <c r="J3749" s="26" t="str">
        <f>IF(OR(E3749="",E3749="!!!",F3749="NEW"),"",COUNTBLANK(OFFSET(A$1,,,SUMPRODUCT(MAX(ROW(E$2:E3749)*(E3749=E$2:E3749)))))-COUNTBLANK(OFFSET(A$1,,,SUMPRODUCT(MAX(ROW(E$1:E3748)*(E2=E$1:E3748))))))</f>
        <v> </v>
      </c>
      <c r="K3749" s="26" t="str">
        <f>IF(OR(E3749="",E3749="!!!",F3749="NEW"),"",INDEX(J$1:J3748,SUMPRODUCT(MAX(ROW(E$1:E3748)*(E3749=E$1:E3748)))))</f>
        <v> </v>
      </c>
      <c r="L3749" s="27"/>
    </row>
    <row r="3750" spans="1:12">
      <c r="A3750" s="20"/>
    </row>
    <row r="3751" spans="1:12">
      <c r="A3751" s="20" t="s">
        <v>2284</v>
      </c>
    </row>
    <row r="3752" spans="1:12">
      <c r="A3752" s="20" t="s">
        <v>1300</v>
      </c>
      <c r="E3752" s="22">
        <f>IF(D3752="?OLD","!!!","")</f>
        <v/>
      </c>
      <c r="F3752" s="23" t="str">
        <f>IF(OR(E3752="",E3752="!!!"),"",IF(NOT(ISNA(VLOOKUP(E3752,E$1:E3751,1,FALSE()))),"OLD",IF(AND(E3752&lt;&gt;"",E3752&lt;&gt;"!!!"),"NEW","")))</f>
        <v> </v>
      </c>
      <c r="G3752" s="24" t="str">
        <f>IF(OR(E3752="",E3752="!!!"),"",IF(OR(J3752=0,AND(J3752=1,K3752=1),AND(J3752=1,I3752="SBJ"),AND(J3752=1,I3752=0)),"?IN_FOCUS",IF(J3752&lt;=2,"?ACTIVATED",IF(J3752&lt;&gt;"","?FAMILIAR",IF(F3752="NEW",IF(ISNA(VLOOKUP(E3752,#REF!,1,FALSE())),"?TYPE_IDENTIFIABLE","?REFERENTIAL"),"_")))))</f>
        <v> </v>
      </c>
      <c r="H3752" s="25" t="str">
        <f>IF(J3752&lt;&gt;1,"",IF(I3752="SBJ","CB","?"))</f>
        <v> </v>
      </c>
      <c r="I3752" s="26" t="str">
        <f>IF(OR(E3752="",E3752="!!!",F3752="NEW"),"",INDEX(B3751:B$2,-1+SUMPRODUCT(MAX(ROW(E3751:E$2)*(E3752=E3751:E$2)))))</f>
        <v> </v>
      </c>
      <c r="J3752" s="26" t="str">
        <f>IF(OR(E3752="",E3752="!!!",F3752="NEW"),"",COUNTBLANK(OFFSET(A$1,,,SUMPRODUCT(MAX(ROW(E$2:E3752)*(E3752=E$2:E3752)))))-COUNTBLANK(OFFSET(A$1,,,SUMPRODUCT(MAX(ROW(E$1:E3751)*(E2=E$1:E3751))))))</f>
        <v> </v>
      </c>
      <c r="K3752" s="26" t="str">
        <f>IF(OR(E3752="",E3752="!!!",F3752="NEW"),"",INDEX(J$1:J3751,SUMPRODUCT(MAX(ROW(E$1:E3751)*(E3752=E$1:E3751)))))</f>
        <v> </v>
      </c>
      <c r="L3752" s="27"/>
    </row>
    <row r="3753" spans="1:12">
      <c r="A3753" s="20" t="s">
        <v>2285</v>
      </c>
      <c r="E3753" s="22">
        <f>IF(D3753="?OLD","!!!","")</f>
        <v/>
      </c>
      <c r="F3753" s="23" t="str">
        <f>IF(OR(E3753="",E3753="!!!"),"",IF(NOT(ISNA(VLOOKUP(E3753,E$1:E3752,1,FALSE()))),"OLD",IF(AND(E3753&lt;&gt;"",E3753&lt;&gt;"!!!"),"NEW","")))</f>
        <v> </v>
      </c>
      <c r="G3753" s="24" t="str">
        <f>IF(OR(E3753="",E3753="!!!"),"",IF(OR(J3753=0,AND(J3753=1,K3753=1),AND(J3753=1,I3753="SBJ"),AND(J3753=1,I3753=0)),"?IN_FOCUS",IF(J3753&lt;=2,"?ACTIVATED",IF(J3753&lt;&gt;"","?FAMILIAR",IF(F3753="NEW",IF(ISNA(VLOOKUP(E3753,#REF!,1,FALSE())),"?TYPE_IDENTIFIABLE","?REFERENTIAL"),"_")))))</f>
        <v> </v>
      </c>
      <c r="H3753" s="25" t="str">
        <f>IF(J3753&lt;&gt;1,"",IF(I3753="SBJ","CB","?"))</f>
        <v> </v>
      </c>
      <c r="I3753" s="26" t="str">
        <f>IF(OR(E3753="",E3753="!!!",F3753="NEW"),"",INDEX(B3752:B$2,-1+SUMPRODUCT(MAX(ROW(E3752:E$2)*(E3753=E3752:E$2)))))</f>
        <v> </v>
      </c>
      <c r="J3753" s="26" t="str">
        <f>IF(OR(E3753="",E3753="!!!",F3753="NEW"),"",COUNTBLANK(OFFSET(A$1,,,SUMPRODUCT(MAX(ROW(E$2:E3753)*(E3753=E$2:E3753)))))-COUNTBLANK(OFFSET(A$1,,,SUMPRODUCT(MAX(ROW(E$1:E3752)*(E2=E$1:E3752))))))</f>
        <v> </v>
      </c>
      <c r="K3753" s="26" t="str">
        <f>IF(OR(E3753="",E3753="!!!",F3753="NEW"),"",INDEX(J$1:J3752,SUMPRODUCT(MAX(ROW(E$1:E3752)*(E3753=E$1:E3752)))))</f>
        <v> </v>
      </c>
      <c r="L3753" s="27"/>
    </row>
    <row r="3754" spans="1:12">
      <c r="A3754" s="20" t="s">
        <v>1529</v>
      </c>
      <c r="B3754" s="21" t="s">
        <v>1154</v>
      </c>
      <c r="C3754" s="21" t="s">
        <v>1151</v>
      </c>
      <c r="D3754" s="21" t="s">
        <v>1144</v>
      </c>
      <c r="E3754" s="22">
        <f>IF(D3754="?OLD","!!!","")</f>
        <v/>
      </c>
      <c r="F3754" s="23" t="str">
        <f>IF(OR(E3754="",E3754="!!!"),"",IF(NOT(ISNA(VLOOKUP(E3754,E$1:E3753,1,FALSE()))),"OLD",IF(AND(E3754&lt;&gt;"",E3754&lt;&gt;"!!!"),"NEW","")))</f>
        <v> </v>
      </c>
      <c r="G3754" s="24" t="str">
        <f>IF(OR(E3754="",E3754="!!!"),"",IF(OR(J3754=0,AND(J3754=1,K3754=1),AND(J3754=1,I3754="SBJ"),AND(J3754=1,I3754=0)),"?IN_FOCUS",IF(J3754&lt;=2,"?ACTIVATED",IF(J3754&lt;&gt;"","?FAMILIAR",IF(F3754="NEW",IF(ISNA(VLOOKUP(E3754,#REF!,1,FALSE())),"?TYPE_IDENTIFIABLE","?REFERENTIAL"),"_")))))</f>
        <v> </v>
      </c>
      <c r="H3754" s="25" t="str">
        <f>IF(J3754&lt;&gt;1,"",IF(I3754="SBJ","CB","?"))</f>
        <v> </v>
      </c>
      <c r="I3754" s="26" t="str">
        <f>IF(OR(E3754="",E3754="!!!",F3754="NEW"),"",INDEX(B3753:B$2,-1+SUMPRODUCT(MAX(ROW(E3753:E$2)*(E3754=E3753:E$2)))))</f>
        <v> </v>
      </c>
      <c r="J3754" s="26" t="str">
        <f>IF(OR(E3754="",E3754="!!!",F3754="NEW"),"",COUNTBLANK(OFFSET(A$1,,,SUMPRODUCT(MAX(ROW(E$2:E3754)*(E3754=E$2:E3754)))))-COUNTBLANK(OFFSET(A$1,,,SUMPRODUCT(MAX(ROW(E$1:E3753)*(E2=E$1:E3753))))))</f>
        <v> </v>
      </c>
      <c r="K3754" s="26" t="str">
        <f>IF(OR(E3754="",E3754="!!!",F3754="NEW"),"",INDEX(J$1:J3753,SUMPRODUCT(MAX(ROW(E$1:E3753)*(E3754=E$1:E3753)))))</f>
        <v> </v>
      </c>
      <c r="L3754" s="27"/>
    </row>
    <row r="3755" spans="1:12">
      <c r="A3755" s="20" t="s">
        <v>1146</v>
      </c>
      <c r="E3755" s="22">
        <f>IF(D3755="?OLD","!!!","")</f>
        <v/>
      </c>
      <c r="F3755" s="23" t="str">
        <f>IF(OR(E3755="",E3755="!!!"),"",IF(NOT(ISNA(VLOOKUP(E3755,E$1:E3754,1,FALSE()))),"OLD",IF(AND(E3755&lt;&gt;"",E3755&lt;&gt;"!!!"),"NEW","")))</f>
        <v> </v>
      </c>
      <c r="G3755" s="24" t="str">
        <f>IF(OR(E3755="",E3755="!!!"),"",IF(OR(J3755=0,AND(J3755=1,K3755=1),AND(J3755=1,I3755="SBJ"),AND(J3755=1,I3755=0)),"?IN_FOCUS",IF(J3755&lt;=2,"?ACTIVATED",IF(J3755&lt;&gt;"","?FAMILIAR",IF(F3755="NEW",IF(ISNA(VLOOKUP(E3755,#REF!,1,FALSE())),"?TYPE_IDENTIFIABLE","?REFERENTIAL"),"_")))))</f>
        <v> </v>
      </c>
      <c r="H3755" s="25" t="str">
        <f>IF(J3755&lt;&gt;1,"",IF(I3755="SBJ","CB","?"))</f>
        <v> </v>
      </c>
      <c r="I3755" s="26" t="str">
        <f>IF(OR(E3755="",E3755="!!!",F3755="NEW"),"",INDEX(B3754:B$2,-1+SUMPRODUCT(MAX(ROW(E3754:E$2)*(E3755=E3754:E$2)))))</f>
        <v> </v>
      </c>
      <c r="J3755" s="26" t="str">
        <f>IF(OR(E3755="",E3755="!!!",F3755="NEW"),"",COUNTBLANK(OFFSET(A$1,,,SUMPRODUCT(MAX(ROW(E$2:E3755)*(E3755=E$2:E3755)))))-COUNTBLANK(OFFSET(A$1,,,SUMPRODUCT(MAX(ROW(E$1:E3754)*(E2=E$1:E3754))))))</f>
        <v> </v>
      </c>
      <c r="K3755" s="26" t="str">
        <f>IF(OR(E3755="",E3755="!!!",F3755="NEW"),"",INDEX(J$1:J3754,SUMPRODUCT(MAX(ROW(E$1:E3754)*(E3755=E$1:E3754)))))</f>
        <v> </v>
      </c>
      <c r="L3755" s="27"/>
    </row>
    <row r="3756" spans="1:12">
      <c r="A3756" s="20" t="s">
        <v>2273</v>
      </c>
      <c r="E3756" s="22">
        <f>IF(D3756="?OLD","!!!","")</f>
        <v/>
      </c>
      <c r="F3756" s="23" t="str">
        <f>IF(OR(E3756="",E3756="!!!"),"",IF(NOT(ISNA(VLOOKUP(E3756,E$1:E3755,1,FALSE()))),"OLD",IF(AND(E3756&lt;&gt;"",E3756&lt;&gt;"!!!"),"NEW","")))</f>
        <v> </v>
      </c>
      <c r="G3756" s="24" t="str">
        <f>IF(OR(E3756="",E3756="!!!"),"",IF(OR(J3756=0,AND(J3756=1,K3756=1),AND(J3756=1,I3756="SBJ"),AND(J3756=1,I3756=0)),"?IN_FOCUS",IF(J3756&lt;=2,"?ACTIVATED",IF(J3756&lt;&gt;"","?FAMILIAR",IF(F3756="NEW",IF(ISNA(VLOOKUP(E3756,#REF!,1,FALSE())),"?TYPE_IDENTIFIABLE","?REFERENTIAL"),"_")))))</f>
        <v> </v>
      </c>
      <c r="H3756" s="25" t="str">
        <f>IF(J3756&lt;&gt;1,"",IF(I3756="SBJ","CB","?"))</f>
        <v> </v>
      </c>
      <c r="I3756" s="26" t="str">
        <f>IF(OR(E3756="",E3756="!!!",F3756="NEW"),"",INDEX(B3755:B$2,-1+SUMPRODUCT(MAX(ROW(E3755:E$2)*(E3756=E3755:E$2)))))</f>
        <v> </v>
      </c>
      <c r="J3756" s="26" t="str">
        <f>IF(OR(E3756="",E3756="!!!",F3756="NEW"),"",COUNTBLANK(OFFSET(A$1,,,SUMPRODUCT(MAX(ROW(E$2:E3756)*(E3756=E$2:E3756)))))-COUNTBLANK(OFFSET(A$1,,,SUMPRODUCT(MAX(ROW(E$1:E3755)*(E2=E$1:E3755))))))</f>
        <v> </v>
      </c>
      <c r="K3756" s="26" t="str">
        <f>IF(OR(E3756="",E3756="!!!",F3756="NEW"),"",INDEX(J$1:J3755,SUMPRODUCT(MAX(ROW(E$1:E3755)*(E3756=E$1:E3755)))))</f>
        <v> </v>
      </c>
      <c r="L3756" s="27"/>
    </row>
    <row r="3757" spans="1:12">
      <c r="A3757" s="20" t="s">
        <v>1787</v>
      </c>
      <c r="E3757" s="22">
        <f>IF(D3757="?OLD","!!!","")</f>
        <v/>
      </c>
      <c r="F3757" s="23" t="str">
        <f>IF(OR(E3757="",E3757="!!!"),"",IF(NOT(ISNA(VLOOKUP(E3757,E$1:E3756,1,FALSE()))),"OLD",IF(AND(E3757&lt;&gt;"",E3757&lt;&gt;"!!!"),"NEW","")))</f>
        <v> </v>
      </c>
      <c r="G3757" s="24" t="str">
        <f>IF(OR(E3757="",E3757="!!!"),"",IF(OR(J3757=0,AND(J3757=1,K3757=1),AND(J3757=1,I3757="SBJ"),AND(J3757=1,I3757=0)),"?IN_FOCUS",IF(J3757&lt;=2,"?ACTIVATED",IF(J3757&lt;&gt;"","?FAMILIAR",IF(F3757="NEW",IF(ISNA(VLOOKUP(E3757,#REF!,1,FALSE())),"?TYPE_IDENTIFIABLE","?REFERENTIAL"),"_")))))</f>
        <v> </v>
      </c>
      <c r="H3757" s="25" t="str">
        <f>IF(J3757&lt;&gt;1,"",IF(I3757="SBJ","CB","?"))</f>
        <v> </v>
      </c>
      <c r="I3757" s="26" t="str">
        <f>IF(OR(E3757="",E3757="!!!",F3757="NEW"),"",INDEX(B3756:B$2,-1+SUMPRODUCT(MAX(ROW(E3756:E$2)*(E3757=E3756:E$2)))))</f>
        <v> </v>
      </c>
      <c r="J3757" s="26" t="str">
        <f>IF(OR(E3757="",E3757="!!!",F3757="NEW"),"",COUNTBLANK(OFFSET(A$1,,,SUMPRODUCT(MAX(ROW(E$2:E3757)*(E3757=E$2:E3757)))))-COUNTBLANK(OFFSET(A$1,,,SUMPRODUCT(MAX(ROW(E$1:E3756)*(E2=E$1:E3756))))))</f>
        <v> </v>
      </c>
      <c r="K3757" s="26" t="str">
        <f>IF(OR(E3757="",E3757="!!!",F3757="NEW"),"",INDEX(J$1:J3756,SUMPRODUCT(MAX(ROW(E$1:E3756)*(E3757=E$1:E3756)))))</f>
        <v> </v>
      </c>
      <c r="L3757" s="27"/>
    </row>
    <row r="3758" spans="1:12">
      <c r="A3758" s="20" t="s">
        <v>1198</v>
      </c>
      <c r="B3758" s="21" t="s">
        <v>1142</v>
      </c>
      <c r="C3758" s="21" t="s">
        <v>1151</v>
      </c>
      <c r="D3758" s="21" t="s">
        <v>1144</v>
      </c>
      <c r="E3758" s="22">
        <f>IF(D3758="?OLD","!!!","")</f>
        <v/>
      </c>
      <c r="F3758" s="23" t="str">
        <f>IF(OR(E3758="",E3758="!!!"),"",IF(NOT(ISNA(VLOOKUP(E3758,E$1:E3757,1,FALSE()))),"OLD",IF(AND(E3758&lt;&gt;"",E3758&lt;&gt;"!!!"),"NEW","")))</f>
        <v> </v>
      </c>
      <c r="G3758" s="24" t="str">
        <f>IF(OR(E3758="",E3758="!!!"),"",IF(OR(J3758=0,AND(J3758=1,K3758=1),AND(J3758=1,I3758="SBJ"),AND(J3758=1,I3758=0)),"?IN_FOCUS",IF(J3758&lt;=2,"?ACTIVATED",IF(J3758&lt;&gt;"","?FAMILIAR",IF(F3758="NEW",IF(ISNA(VLOOKUP(E3758,#REF!,1,FALSE())),"?TYPE_IDENTIFIABLE","?REFERENTIAL"),"_")))))</f>
        <v> </v>
      </c>
      <c r="H3758" s="25" t="str">
        <f>IF(J3758&lt;&gt;1,"",IF(I3758="SBJ","CB","?"))</f>
        <v> </v>
      </c>
      <c r="I3758" s="26" t="str">
        <f>IF(OR(E3758="",E3758="!!!",F3758="NEW"),"",INDEX(B3757:B$2,-1+SUMPRODUCT(MAX(ROW(E3757:E$2)*(E3758=E3757:E$2)))))</f>
        <v> </v>
      </c>
      <c r="J3758" s="26" t="str">
        <f>IF(OR(E3758="",E3758="!!!",F3758="NEW"),"",COUNTBLANK(OFFSET(A$1,,,SUMPRODUCT(MAX(ROW(E$2:E3758)*(E3758=E$2:E3758)))))-COUNTBLANK(OFFSET(A$1,,,SUMPRODUCT(MAX(ROW(E$1:E3757)*(E2=E$1:E3757))))))</f>
        <v> </v>
      </c>
      <c r="K3758" s="26" t="str">
        <f>IF(OR(E3758="",E3758="!!!",F3758="NEW"),"",INDEX(J$1:J3757,SUMPRODUCT(MAX(ROW(E$1:E3757)*(E3758=E$1:E3757)))))</f>
        <v> </v>
      </c>
      <c r="L3758" s="27"/>
    </row>
    <row r="3759" spans="1:12">
      <c r="A3759" s="20" t="s">
        <v>1219</v>
      </c>
      <c r="E3759" s="22">
        <f>IF(D3759="?OLD","!!!","")</f>
        <v/>
      </c>
      <c r="F3759" s="23" t="str">
        <f>IF(OR(E3759="",E3759="!!!"),"",IF(NOT(ISNA(VLOOKUP(E3759,E$1:E3758,1,FALSE()))),"OLD",IF(AND(E3759&lt;&gt;"",E3759&lt;&gt;"!!!"),"NEW","")))</f>
        <v> </v>
      </c>
      <c r="G3759" s="24" t="str">
        <f>IF(OR(E3759="",E3759="!!!"),"",IF(OR(J3759=0,AND(J3759=1,K3759=1),AND(J3759=1,I3759="SBJ"),AND(J3759=1,I3759=0)),"?IN_FOCUS",IF(J3759&lt;=2,"?ACTIVATED",IF(J3759&lt;&gt;"","?FAMILIAR",IF(F3759="NEW",IF(ISNA(VLOOKUP(E3759,#REF!,1,FALSE())),"?TYPE_IDENTIFIABLE","?REFERENTIAL"),"_")))))</f>
        <v> </v>
      </c>
      <c r="H3759" s="25" t="str">
        <f>IF(J3759&lt;&gt;1,"",IF(I3759="SBJ","CB","?"))</f>
        <v> </v>
      </c>
      <c r="I3759" s="26" t="str">
        <f>IF(OR(E3759="",E3759="!!!",F3759="NEW"),"",INDEX(B3758:B$2,-1+SUMPRODUCT(MAX(ROW(E3758:E$2)*(E3759=E3758:E$2)))))</f>
        <v> </v>
      </c>
      <c r="J3759" s="26" t="str">
        <f>IF(OR(E3759="",E3759="!!!",F3759="NEW"),"",COUNTBLANK(OFFSET(A$1,,,SUMPRODUCT(MAX(ROW(E$2:E3759)*(E3759=E$2:E3759)))))-COUNTBLANK(OFFSET(A$1,,,SUMPRODUCT(MAX(ROW(E$1:E3758)*(E2=E$1:E3758))))))</f>
        <v> </v>
      </c>
      <c r="K3759" s="26" t="str">
        <f>IF(OR(E3759="",E3759="!!!",F3759="NEW"),"",INDEX(J$1:J3758,SUMPRODUCT(MAX(ROW(E$1:E3758)*(E3759=E$1:E3758)))))</f>
        <v> </v>
      </c>
      <c r="L3759" s="27"/>
    </row>
    <row r="3760" spans="1:12">
      <c r="A3760" s="20" t="s">
        <v>2286</v>
      </c>
      <c r="B3760" s="21" t="s">
        <v>1171</v>
      </c>
      <c r="C3760" s="21" t="s">
        <v>1187</v>
      </c>
      <c r="E3760" s="22">
        <f>IF(D3760="?OLD","!!!","")</f>
        <v/>
      </c>
      <c r="F3760" s="23" t="str">
        <f>IF(OR(E3760="",E3760="!!!"),"",IF(NOT(ISNA(VLOOKUP(E3760,E$1:E3759,1,FALSE()))),"OLD",IF(AND(E3760&lt;&gt;"",E3760&lt;&gt;"!!!"),"NEW","")))</f>
        <v> </v>
      </c>
      <c r="G3760" s="24" t="str">
        <f>IF(OR(E3760="",E3760="!!!"),"",IF(OR(J3760=0,AND(J3760=1,K3760=1),AND(J3760=1,I3760="SBJ"),AND(J3760=1,I3760=0)),"?IN_FOCUS",IF(J3760&lt;=2,"?ACTIVATED",IF(J3760&lt;&gt;"","?FAMILIAR",IF(F3760="NEW",IF(ISNA(VLOOKUP(E3760,#REF!,1,FALSE())),"?TYPE_IDENTIFIABLE","?REFERENTIAL"),"_")))))</f>
        <v> </v>
      </c>
      <c r="H3760" s="25" t="str">
        <f>IF(J3760&lt;&gt;1,"",IF(I3760="SBJ","CB","?"))</f>
        <v> </v>
      </c>
      <c r="I3760" s="26" t="str">
        <f>IF(OR(E3760="",E3760="!!!",F3760="NEW"),"",INDEX(B3759:B$2,-1+SUMPRODUCT(MAX(ROW(E3759:E$2)*(E3760=E3759:E$2)))))</f>
        <v> </v>
      </c>
      <c r="J3760" s="26" t="str">
        <f>IF(OR(E3760="",E3760="!!!",F3760="NEW"),"",COUNTBLANK(OFFSET(A$1,,,SUMPRODUCT(MAX(ROW(E$2:E3760)*(E3760=E$2:E3760)))))-COUNTBLANK(OFFSET(A$1,,,SUMPRODUCT(MAX(ROW(E$1:E3759)*(E2=E$1:E3759))))))</f>
        <v> </v>
      </c>
      <c r="K3760" s="26" t="str">
        <f>IF(OR(E3760="",E3760="!!!",F3760="NEW"),"",INDEX(J$1:J3759,SUMPRODUCT(MAX(ROW(E$1:E3759)*(E3760=E$1:E3759)))))</f>
        <v> </v>
      </c>
      <c r="L3760" s="27"/>
    </row>
    <row r="3761" spans="1:12">
      <c r="A3761" s="20" t="s">
        <v>2287</v>
      </c>
      <c r="E3761" s="22">
        <f>IF(D3761="?OLD","!!!","")</f>
        <v/>
      </c>
      <c r="F3761" s="23" t="str">
        <f>IF(OR(E3761="",E3761="!!!"),"",IF(NOT(ISNA(VLOOKUP(E3761,E$1:E3760,1,FALSE()))),"OLD",IF(AND(E3761&lt;&gt;"",E3761&lt;&gt;"!!!"),"NEW","")))</f>
        <v> </v>
      </c>
      <c r="G3761" s="24" t="str">
        <f>IF(OR(E3761="",E3761="!!!"),"",IF(OR(J3761=0,AND(J3761=1,K3761=1),AND(J3761=1,I3761="SBJ"),AND(J3761=1,I3761=0)),"?IN_FOCUS",IF(J3761&lt;=2,"?ACTIVATED",IF(J3761&lt;&gt;"","?FAMILIAR",IF(F3761="NEW",IF(ISNA(VLOOKUP(E3761,#REF!,1,FALSE())),"?TYPE_IDENTIFIABLE","?REFERENTIAL"),"_")))))</f>
        <v> </v>
      </c>
      <c r="H3761" s="25" t="str">
        <f>IF(J3761&lt;&gt;1,"",IF(I3761="SBJ","CB","?"))</f>
        <v> </v>
      </c>
      <c r="I3761" s="26" t="str">
        <f>IF(OR(E3761="",E3761="!!!",F3761="NEW"),"",INDEX(B3760:B$2,-1+SUMPRODUCT(MAX(ROW(E3760:E$2)*(E3761=E3760:E$2)))))</f>
        <v> </v>
      </c>
      <c r="J3761" s="26" t="str">
        <f>IF(OR(E3761="",E3761="!!!",F3761="NEW"),"",COUNTBLANK(OFFSET(A$1,,,SUMPRODUCT(MAX(ROW(E$2:E3761)*(E3761=E$2:E3761)))))-COUNTBLANK(OFFSET(A$1,,,SUMPRODUCT(MAX(ROW(E$1:E3760)*(E2=E$1:E3760))))))</f>
        <v> </v>
      </c>
      <c r="K3761" s="26" t="str">
        <f>IF(OR(E3761="",E3761="!!!",F3761="NEW"),"",INDEX(J$1:J3760,SUMPRODUCT(MAX(ROW(E$1:E3760)*(E3761=E$1:E3760)))))</f>
        <v> </v>
      </c>
      <c r="L3761" s="27"/>
    </row>
    <row r="3762" spans="1:12">
      <c r="A3762" s="20" t="s">
        <v>1166</v>
      </c>
      <c r="E3762" s="22">
        <f>IF(D3762="?OLD","!!!","")</f>
        <v/>
      </c>
      <c r="F3762" s="23" t="str">
        <f>IF(OR(E3762="",E3762="!!!"),"",IF(NOT(ISNA(VLOOKUP(E3762,E$1:E3761,1,FALSE()))),"OLD",IF(AND(E3762&lt;&gt;"",E3762&lt;&gt;"!!!"),"NEW","")))</f>
        <v> </v>
      </c>
      <c r="G3762" s="24" t="str">
        <f>IF(OR(E3762="",E3762="!!!"),"",IF(OR(J3762=0,AND(J3762=1,K3762=1),AND(J3762=1,I3762="SBJ"),AND(J3762=1,I3762=0)),"?IN_FOCUS",IF(J3762&lt;=2,"?ACTIVATED",IF(J3762&lt;&gt;"","?FAMILIAR",IF(F3762="NEW",IF(ISNA(VLOOKUP(E3762,#REF!,1,FALSE())),"?TYPE_IDENTIFIABLE","?REFERENTIAL"),"_")))))</f>
        <v> </v>
      </c>
      <c r="H3762" s="25" t="str">
        <f>IF(J3762&lt;&gt;1,"",IF(I3762="SBJ","CB","?"))</f>
        <v> </v>
      </c>
      <c r="I3762" s="26" t="str">
        <f>IF(OR(E3762="",E3762="!!!",F3762="NEW"),"",INDEX(B3761:B$2,-1+SUMPRODUCT(MAX(ROW(E3761:E$2)*(E3762=E3761:E$2)))))</f>
        <v> </v>
      </c>
      <c r="J3762" s="26" t="str">
        <f>IF(OR(E3762="",E3762="!!!",F3762="NEW"),"",COUNTBLANK(OFFSET(A$1,,,SUMPRODUCT(MAX(ROW(E$2:E3762)*(E3762=E$2:E3762)))))-COUNTBLANK(OFFSET(A$1,,,SUMPRODUCT(MAX(ROW(E$1:E3761)*(E2=E$1:E3761))))))</f>
        <v> </v>
      </c>
      <c r="K3762" s="26" t="str">
        <f>IF(OR(E3762="",E3762="!!!",F3762="NEW"),"",INDEX(J$1:J3761,SUMPRODUCT(MAX(ROW(E$1:E3761)*(E3762=E$1:E3761)))))</f>
        <v> </v>
      </c>
      <c r="L3762" s="27"/>
    </row>
    <row r="3763" spans="1:12">
      <c r="A3763" s="20" t="s">
        <v>2276</v>
      </c>
      <c r="E3763" s="22">
        <f>IF(D3763="?OLD","!!!","")</f>
        <v/>
      </c>
      <c r="F3763" s="23" t="str">
        <f>IF(OR(E3763="",E3763="!!!"),"",IF(NOT(ISNA(VLOOKUP(E3763,E$1:E3762,1,FALSE()))),"OLD",IF(AND(E3763&lt;&gt;"",E3763&lt;&gt;"!!!"),"NEW","")))</f>
        <v> </v>
      </c>
      <c r="G3763" s="24" t="str">
        <f>IF(OR(E3763="",E3763="!!!"),"",IF(OR(J3763=0,AND(J3763=1,K3763=1),AND(J3763=1,I3763="SBJ"),AND(J3763=1,I3763=0)),"?IN_FOCUS",IF(J3763&lt;=2,"?ACTIVATED",IF(J3763&lt;&gt;"","?FAMILIAR",IF(F3763="NEW",IF(ISNA(VLOOKUP(E3763,#REF!,1,FALSE())),"?TYPE_IDENTIFIABLE","?REFERENTIAL"),"_")))))</f>
        <v> </v>
      </c>
      <c r="H3763" s="25" t="str">
        <f>IF(J3763&lt;&gt;1,"",IF(I3763="SBJ","CB","?"))</f>
        <v> </v>
      </c>
      <c r="I3763" s="26" t="str">
        <f>IF(OR(E3763="",E3763="!!!",F3763="NEW"),"",INDEX(B3762:B$2,-1+SUMPRODUCT(MAX(ROW(E3762:E$2)*(E3763=E3762:E$2)))))</f>
        <v> </v>
      </c>
      <c r="J3763" s="26" t="str">
        <f>IF(OR(E3763="",E3763="!!!",F3763="NEW"),"",COUNTBLANK(OFFSET(A$1,,,SUMPRODUCT(MAX(ROW(E$2:E3763)*(E3763=E$2:E3763)))))-COUNTBLANK(OFFSET(A$1,,,SUMPRODUCT(MAX(ROW(E$1:E3762)*(E2=E$1:E3762))))))</f>
        <v> </v>
      </c>
      <c r="K3763" s="26" t="str">
        <f>IF(OR(E3763="",E3763="!!!",F3763="NEW"),"",INDEX(J$1:J3762,SUMPRODUCT(MAX(ROW(E$1:E3762)*(E3763=E$1:E3762)))))</f>
        <v> </v>
      </c>
      <c r="L3763" s="27"/>
    </row>
    <row r="3764" spans="1:12">
      <c r="A3764" s="20" t="s">
        <v>2288</v>
      </c>
      <c r="E3764" s="22">
        <f>IF(D3764="?OLD","!!!","")</f>
        <v/>
      </c>
      <c r="F3764" s="23" t="str">
        <f>IF(OR(E3764="",E3764="!!!"),"",IF(NOT(ISNA(VLOOKUP(E3764,E$1:E3763,1,FALSE()))),"OLD",IF(AND(E3764&lt;&gt;"",E3764&lt;&gt;"!!!"),"NEW","")))</f>
        <v> </v>
      </c>
      <c r="G3764" s="24" t="str">
        <f>IF(OR(E3764="",E3764="!!!"),"",IF(OR(J3764=0,AND(J3764=1,K3764=1),AND(J3764=1,I3764="SBJ"),AND(J3764=1,I3764=0)),"?IN_FOCUS",IF(J3764&lt;=2,"?ACTIVATED",IF(J3764&lt;&gt;"","?FAMILIAR",IF(F3764="NEW",IF(ISNA(VLOOKUP(E3764,#REF!,1,FALSE())),"?TYPE_IDENTIFIABLE","?REFERENTIAL"),"_")))))</f>
        <v> </v>
      </c>
      <c r="H3764" s="25" t="str">
        <f>IF(J3764&lt;&gt;1,"",IF(I3764="SBJ","CB","?"))</f>
        <v> </v>
      </c>
      <c r="I3764" s="26" t="str">
        <f>IF(OR(E3764="",E3764="!!!",F3764="NEW"),"",INDEX(B3763:B$2,-1+SUMPRODUCT(MAX(ROW(E3763:E$2)*(E3764=E3763:E$2)))))</f>
        <v> </v>
      </c>
      <c r="J3764" s="26" t="str">
        <f>IF(OR(E3764="",E3764="!!!",F3764="NEW"),"",COUNTBLANK(OFFSET(A$1,,,SUMPRODUCT(MAX(ROW(E$2:E3764)*(E3764=E$2:E3764)))))-COUNTBLANK(OFFSET(A$1,,,SUMPRODUCT(MAX(ROW(E$1:E3763)*(E2=E$1:E3763))))))</f>
        <v> </v>
      </c>
      <c r="K3764" s="26" t="str">
        <f>IF(OR(E3764="",E3764="!!!",F3764="NEW"),"",INDEX(J$1:J3763,SUMPRODUCT(MAX(ROW(E$1:E3763)*(E3764=E$1:E3763)))))</f>
        <v> </v>
      </c>
      <c r="L3764" s="27"/>
    </row>
    <row r="3765" spans="1:12">
      <c r="A3765" s="20" t="s">
        <v>1326</v>
      </c>
      <c r="E3765" s="22">
        <f>IF(D3765="?OLD","!!!","")</f>
        <v/>
      </c>
      <c r="F3765" s="23" t="str">
        <f>IF(OR(E3765="",E3765="!!!"),"",IF(NOT(ISNA(VLOOKUP(E3765,E$1:E3764,1,FALSE()))),"OLD",IF(AND(E3765&lt;&gt;"",E3765&lt;&gt;"!!!"),"NEW","")))</f>
        <v> </v>
      </c>
      <c r="G3765" s="24" t="str">
        <f>IF(OR(E3765="",E3765="!!!"),"",IF(OR(J3765=0,AND(J3765=1,K3765=1),AND(J3765=1,I3765="SBJ"),AND(J3765=1,I3765=0)),"?IN_FOCUS",IF(J3765&lt;=2,"?ACTIVATED",IF(J3765&lt;&gt;"","?FAMILIAR",IF(F3765="NEW",IF(ISNA(VLOOKUP(E3765,#REF!,1,FALSE())),"?TYPE_IDENTIFIABLE","?REFERENTIAL"),"_")))))</f>
        <v> </v>
      </c>
      <c r="H3765" s="25" t="str">
        <f>IF(J3765&lt;&gt;1,"",IF(I3765="SBJ","CB","?"))</f>
        <v> </v>
      </c>
      <c r="I3765" s="26" t="str">
        <f>IF(OR(E3765="",E3765="!!!",F3765="NEW"),"",INDEX(B3764:B$2,-1+SUMPRODUCT(MAX(ROW(E3764:E$2)*(E3765=E3764:E$2)))))</f>
        <v> </v>
      </c>
      <c r="J3765" s="26" t="str">
        <f>IF(OR(E3765="",E3765="!!!",F3765="NEW"),"",COUNTBLANK(OFFSET(A$1,,,SUMPRODUCT(MAX(ROW(E$2:E3765)*(E3765=E$2:E3765)))))-COUNTBLANK(OFFSET(A$1,,,SUMPRODUCT(MAX(ROW(E$1:E3764)*(E2=E$1:E3764))))))</f>
        <v> </v>
      </c>
      <c r="K3765" s="26" t="str">
        <f>IF(OR(E3765="",E3765="!!!",F3765="NEW"),"",INDEX(J$1:J3764,SUMPRODUCT(MAX(ROW(E$1:E3764)*(E3765=E$1:E3764)))))</f>
        <v> </v>
      </c>
      <c r="L3765" s="27"/>
    </row>
    <row r="3766" spans="1:12">
      <c r="A3766" s="20" t="s">
        <v>1149</v>
      </c>
      <c r="B3766" s="21" t="s">
        <v>1154</v>
      </c>
      <c r="C3766" s="21" t="s">
        <v>1151</v>
      </c>
      <c r="D3766" s="21" t="s">
        <v>1144</v>
      </c>
      <c r="E3766" s="22">
        <f>IF(D3766="?OLD","!!!","")</f>
        <v/>
      </c>
      <c r="F3766" s="23" t="str">
        <f>IF(OR(E3766="",E3766="!!!"),"",IF(NOT(ISNA(VLOOKUP(E3766,E$1:E3765,1,FALSE()))),"OLD",IF(AND(E3766&lt;&gt;"",E3766&lt;&gt;"!!!"),"NEW","")))</f>
        <v> </v>
      </c>
      <c r="G3766" s="24" t="str">
        <f>IF(OR(E3766="",E3766="!!!"),"",IF(OR(J3766=0,AND(J3766=1,K3766=1),AND(J3766=1,I3766="SBJ"),AND(J3766=1,I3766=0)),"?IN_FOCUS",IF(J3766&lt;=2,"?ACTIVATED",IF(J3766&lt;&gt;"","?FAMILIAR",IF(F3766="NEW",IF(ISNA(VLOOKUP(E3766,#REF!,1,FALSE())),"?TYPE_IDENTIFIABLE","?REFERENTIAL"),"_")))))</f>
        <v> </v>
      </c>
      <c r="H3766" s="25" t="str">
        <f>IF(J3766&lt;&gt;1,"",IF(I3766="SBJ","CB","?"))</f>
        <v> </v>
      </c>
      <c r="I3766" s="26" t="str">
        <f>IF(OR(E3766="",E3766="!!!",F3766="NEW"),"",INDEX(B3765:B$2,-1+SUMPRODUCT(MAX(ROW(E3765:E$2)*(E3766=E3765:E$2)))))</f>
        <v> </v>
      </c>
      <c r="J3766" s="26" t="str">
        <f>IF(OR(E3766="",E3766="!!!",F3766="NEW"),"",COUNTBLANK(OFFSET(A$1,,,SUMPRODUCT(MAX(ROW(E$2:E3766)*(E3766=E$2:E3766)))))-COUNTBLANK(OFFSET(A$1,,,SUMPRODUCT(MAX(ROW(E$1:E3765)*(E2=E$1:E3765))))))</f>
        <v> </v>
      </c>
      <c r="K3766" s="26" t="str">
        <f>IF(OR(E3766="",E3766="!!!",F3766="NEW"),"",INDEX(J$1:J3765,SUMPRODUCT(MAX(ROW(E$1:E3765)*(E3766=E$1:E3765)))))</f>
        <v> </v>
      </c>
      <c r="L3766" s="27"/>
    </row>
    <row r="3767" spans="1:12">
      <c r="A3767" s="20" t="s">
        <v>1166</v>
      </c>
      <c r="E3767" s="22">
        <f>IF(D3767="?OLD","!!!","")</f>
        <v/>
      </c>
      <c r="F3767" s="23" t="str">
        <f>IF(OR(E3767="",E3767="!!!"),"",IF(NOT(ISNA(VLOOKUP(E3767,E$1:E3766,1,FALSE()))),"OLD",IF(AND(E3767&lt;&gt;"",E3767&lt;&gt;"!!!"),"NEW","")))</f>
        <v> </v>
      </c>
      <c r="G3767" s="24" t="str">
        <f>IF(OR(E3767="",E3767="!!!"),"",IF(OR(J3767=0,AND(J3767=1,K3767=1),AND(J3767=1,I3767="SBJ"),AND(J3767=1,I3767=0)),"?IN_FOCUS",IF(J3767&lt;=2,"?ACTIVATED",IF(J3767&lt;&gt;"","?FAMILIAR",IF(F3767="NEW",IF(ISNA(VLOOKUP(E3767,#REF!,1,FALSE())),"?TYPE_IDENTIFIABLE","?REFERENTIAL"),"_")))))</f>
        <v> </v>
      </c>
      <c r="H3767" s="25" t="str">
        <f>IF(J3767&lt;&gt;1,"",IF(I3767="SBJ","CB","?"))</f>
        <v> </v>
      </c>
      <c r="I3767" s="26" t="str">
        <f>IF(OR(E3767="",E3767="!!!",F3767="NEW"),"",INDEX(B3766:B$2,-1+SUMPRODUCT(MAX(ROW(E3766:E$2)*(E3767=E3766:E$2)))))</f>
        <v> </v>
      </c>
      <c r="J3767" s="26" t="str">
        <f>IF(OR(E3767="",E3767="!!!",F3767="NEW"),"",COUNTBLANK(OFFSET(A$1,,,SUMPRODUCT(MAX(ROW(E$2:E3767)*(E3767=E$2:E3767)))))-COUNTBLANK(OFFSET(A$1,,,SUMPRODUCT(MAX(ROW(E$1:E3766)*(E2=E$1:E3766))))))</f>
        <v> </v>
      </c>
      <c r="K3767" s="26" t="str">
        <f>IF(OR(E3767="",E3767="!!!",F3767="NEW"),"",INDEX(J$1:J3766,SUMPRODUCT(MAX(ROW(E$1:E3766)*(E3767=E$1:E3766)))))</f>
        <v> </v>
      </c>
      <c r="L3767" s="27"/>
    </row>
    <row r="3768" spans="1:12">
      <c r="A3768" s="20" t="s">
        <v>1309</v>
      </c>
      <c r="B3768" s="21" t="s">
        <v>1193</v>
      </c>
      <c r="C3768" s="21" t="s">
        <v>1168</v>
      </c>
      <c r="D3768" s="21" t="s">
        <v>1144</v>
      </c>
      <c r="E3768" s="22">
        <f>IF(D3768="?OLD","!!!","")</f>
        <v/>
      </c>
      <c r="F3768" s="23" t="str">
        <f>IF(OR(E3768="",E3768="!!!"),"",IF(NOT(ISNA(VLOOKUP(E3768,E$1:E3767,1,FALSE()))),"OLD",IF(AND(E3768&lt;&gt;"",E3768&lt;&gt;"!!!"),"NEW","")))</f>
        <v> </v>
      </c>
      <c r="G3768" s="24" t="str">
        <f>IF(OR(E3768="",E3768="!!!"),"",IF(OR(J3768=0,AND(J3768=1,K3768=1),AND(J3768=1,I3768="SBJ"),AND(J3768=1,I3768=0)),"?IN_FOCUS",IF(J3768&lt;=2,"?ACTIVATED",IF(J3768&lt;&gt;"","?FAMILIAR",IF(F3768="NEW",IF(ISNA(VLOOKUP(E3768,#REF!,1,FALSE())),"?TYPE_IDENTIFIABLE","?REFERENTIAL"),"_")))))</f>
        <v> </v>
      </c>
      <c r="H3768" s="25" t="str">
        <f>IF(J3768&lt;&gt;1,"",IF(I3768="SBJ","CB","?"))</f>
        <v> </v>
      </c>
      <c r="I3768" s="26" t="str">
        <f>IF(OR(E3768="",E3768="!!!",F3768="NEW"),"",INDEX(B3767:B$2,-1+SUMPRODUCT(MAX(ROW(E3767:E$2)*(E3768=E3767:E$2)))))</f>
        <v> </v>
      </c>
      <c r="J3768" s="26" t="str">
        <f>IF(OR(E3768="",E3768="!!!",F3768="NEW"),"",COUNTBLANK(OFFSET(A$1,,,SUMPRODUCT(MAX(ROW(E$2:E3768)*(E3768=E$2:E3768)))))-COUNTBLANK(OFFSET(A$1,,,SUMPRODUCT(MAX(ROW(E$1:E3767)*(E2=E$1:E3767))))))</f>
        <v> </v>
      </c>
      <c r="K3768" s="26" t="str">
        <f>IF(OR(E3768="",E3768="!!!",F3768="NEW"),"",INDEX(J$1:J3767,SUMPRODUCT(MAX(ROW(E$1:E3767)*(E3768=E$1:E3767)))))</f>
        <v> </v>
      </c>
      <c r="L3768" s="27"/>
    </row>
    <row r="3769" spans="1:12">
      <c r="A3769" s="20" t="s">
        <v>1198</v>
      </c>
      <c r="B3769" s="21" t="s">
        <v>1175</v>
      </c>
      <c r="C3769" s="21" t="s">
        <v>1151</v>
      </c>
      <c r="D3769" s="21" t="s">
        <v>1144</v>
      </c>
      <c r="E3769" s="22">
        <f>IF(D3769="?OLD","!!!","")</f>
        <v/>
      </c>
      <c r="F3769" s="23" t="str">
        <f>IF(OR(E3769="",E3769="!!!"),"",IF(NOT(ISNA(VLOOKUP(E3769,E$1:E3768,1,FALSE()))),"OLD",IF(AND(E3769&lt;&gt;"",E3769&lt;&gt;"!!!"),"NEW","")))</f>
        <v> </v>
      </c>
      <c r="G3769" s="24" t="str">
        <f>IF(OR(E3769="",E3769="!!!"),"",IF(OR(J3769=0,AND(J3769=1,K3769=1),AND(J3769=1,I3769="SBJ"),AND(J3769=1,I3769=0)),"?IN_FOCUS",IF(J3769&lt;=2,"?ACTIVATED",IF(J3769&lt;&gt;"","?FAMILIAR",IF(F3769="NEW",IF(ISNA(VLOOKUP(E3769,#REF!,1,FALSE())),"?TYPE_IDENTIFIABLE","?REFERENTIAL"),"_")))))</f>
        <v> </v>
      </c>
      <c r="H3769" s="25" t="str">
        <f>IF(J3769&lt;&gt;1,"",IF(I3769="SBJ","CB","?"))</f>
        <v> </v>
      </c>
      <c r="I3769" s="26" t="str">
        <f>IF(OR(E3769="",E3769="!!!",F3769="NEW"),"",INDEX(B3768:B$2,-1+SUMPRODUCT(MAX(ROW(E3768:E$2)*(E3769=E3768:E$2)))))</f>
        <v> </v>
      </c>
      <c r="J3769" s="26" t="str">
        <f>IF(OR(E3769="",E3769="!!!",F3769="NEW"),"",COUNTBLANK(OFFSET(A$1,,,SUMPRODUCT(MAX(ROW(E$2:E3769)*(E3769=E$2:E3769)))))-COUNTBLANK(OFFSET(A$1,,,SUMPRODUCT(MAX(ROW(E$1:E3768)*(E2=E$1:E3768))))))</f>
        <v> </v>
      </c>
      <c r="K3769" s="26" t="str">
        <f>IF(OR(E3769="",E3769="!!!",F3769="NEW"),"",INDEX(J$1:J3768,SUMPRODUCT(MAX(ROW(E$1:E3768)*(E3769=E$1:E3768)))))</f>
        <v> </v>
      </c>
      <c r="L3769" s="27"/>
    </row>
    <row r="3770" spans="1:12">
      <c r="A3770" s="20" t="s">
        <v>1176</v>
      </c>
      <c r="E3770" s="22">
        <f>IF(D3770="?OLD","!!!","")</f>
        <v/>
      </c>
      <c r="F3770" s="23" t="str">
        <f>IF(OR(E3770="",E3770="!!!"),"",IF(NOT(ISNA(VLOOKUP(E3770,E$1:E3769,1,FALSE()))),"OLD",IF(AND(E3770&lt;&gt;"",E3770&lt;&gt;"!!!"),"NEW","")))</f>
        <v> </v>
      </c>
      <c r="G3770" s="24" t="str">
        <f>IF(OR(E3770="",E3770="!!!"),"",IF(OR(J3770=0,AND(J3770=1,K3770=1),AND(J3770=1,I3770="SBJ"),AND(J3770=1,I3770=0)),"?IN_FOCUS",IF(J3770&lt;=2,"?ACTIVATED",IF(J3770&lt;&gt;"","?FAMILIAR",IF(F3770="NEW",IF(ISNA(VLOOKUP(E3770,#REF!,1,FALSE())),"?TYPE_IDENTIFIABLE","?REFERENTIAL"),"_")))))</f>
        <v> </v>
      </c>
      <c r="H3770" s="25" t="str">
        <f>IF(J3770&lt;&gt;1,"",IF(I3770="SBJ","CB","?"))</f>
        <v> </v>
      </c>
      <c r="I3770" s="26" t="str">
        <f>IF(OR(E3770="",E3770="!!!",F3770="NEW"),"",INDEX(B3769:B$2,-1+SUMPRODUCT(MAX(ROW(E3769:E$2)*(E3770=E3769:E$2)))))</f>
        <v> </v>
      </c>
      <c r="J3770" s="26" t="str">
        <f>IF(OR(E3770="",E3770="!!!",F3770="NEW"),"",COUNTBLANK(OFFSET(A$1,,,SUMPRODUCT(MAX(ROW(E$2:E3770)*(E3770=E$2:E3770)))))-COUNTBLANK(OFFSET(A$1,,,SUMPRODUCT(MAX(ROW(E$1:E3769)*(E2=E$1:E3769))))))</f>
        <v> </v>
      </c>
      <c r="K3770" s="26" t="str">
        <f>IF(OR(E3770="",E3770="!!!",F3770="NEW"),"",INDEX(J$1:J3769,SUMPRODUCT(MAX(ROW(E$1:E3769)*(E3770=E$1:E3769)))))</f>
        <v> </v>
      </c>
      <c r="L3770" s="27"/>
    </row>
    <row r="3771" spans="1:12">
      <c r="A3771" s="20" t="s">
        <v>1344</v>
      </c>
      <c r="E3771" s="22">
        <f>IF(D3771="?OLD","!!!","")</f>
        <v/>
      </c>
      <c r="F3771" s="23" t="str">
        <f>IF(OR(E3771="",E3771="!!!"),"",IF(NOT(ISNA(VLOOKUP(E3771,E$1:E3770,1,FALSE()))),"OLD",IF(AND(E3771&lt;&gt;"",E3771&lt;&gt;"!!!"),"NEW","")))</f>
        <v> </v>
      </c>
      <c r="G3771" s="24" t="str">
        <f>IF(OR(E3771="",E3771="!!!"),"",IF(OR(J3771=0,AND(J3771=1,K3771=1),AND(J3771=1,I3771="SBJ"),AND(J3771=1,I3771=0)),"?IN_FOCUS",IF(J3771&lt;=2,"?ACTIVATED",IF(J3771&lt;&gt;"","?FAMILIAR",IF(F3771="NEW",IF(ISNA(VLOOKUP(E3771,#REF!,1,FALSE())),"?TYPE_IDENTIFIABLE","?REFERENTIAL"),"_")))))</f>
        <v> </v>
      </c>
      <c r="H3771" s="25" t="str">
        <f>IF(J3771&lt;&gt;1,"",IF(I3771="SBJ","CB","?"))</f>
        <v> </v>
      </c>
      <c r="I3771" s="26" t="str">
        <f>IF(OR(E3771="",E3771="!!!",F3771="NEW"),"",INDEX(B3770:B$2,-1+SUMPRODUCT(MAX(ROW(E3770:E$2)*(E3771=E3770:E$2)))))</f>
        <v> </v>
      </c>
      <c r="J3771" s="26" t="str">
        <f>IF(OR(E3771="",E3771="!!!",F3771="NEW"),"",COUNTBLANK(OFFSET(A$1,,,SUMPRODUCT(MAX(ROW(E$2:E3771)*(E3771=E$2:E3771)))))-COUNTBLANK(OFFSET(A$1,,,SUMPRODUCT(MAX(ROW(E$1:E3770)*(E2=E$1:E3770))))))</f>
        <v> </v>
      </c>
      <c r="K3771" s="26" t="str">
        <f>IF(OR(E3771="",E3771="!!!",F3771="NEW"),"",INDEX(J$1:J3770,SUMPRODUCT(MAX(ROW(E$1:E3770)*(E3771=E$1:E3770)))))</f>
        <v> </v>
      </c>
      <c r="L3771" s="27"/>
    </row>
    <row r="3772" spans="1:12">
      <c r="A3772" s="20" t="s">
        <v>312</v>
      </c>
      <c r="E3772" s="22">
        <f>IF(D3772="?OLD","!!!","")</f>
        <v/>
      </c>
      <c r="F3772" s="23" t="str">
        <f>IF(OR(E3772="",E3772="!!!"),"",IF(NOT(ISNA(VLOOKUP(E3772,E$1:E3771,1,FALSE()))),"OLD",IF(AND(E3772&lt;&gt;"",E3772&lt;&gt;"!!!"),"NEW","")))</f>
        <v> </v>
      </c>
      <c r="G3772" s="24" t="str">
        <f>IF(OR(E3772="",E3772="!!!"),"",IF(OR(J3772=0,AND(J3772=1,K3772=1),AND(J3772=1,I3772="SBJ"),AND(J3772=1,I3772=0)),"?IN_FOCUS",IF(J3772&lt;=2,"?ACTIVATED",IF(J3772&lt;&gt;"","?FAMILIAR",IF(F3772="NEW",IF(ISNA(VLOOKUP(E3772,#REF!,1,FALSE())),"?TYPE_IDENTIFIABLE","?REFERENTIAL"),"_")))))</f>
        <v> </v>
      </c>
      <c r="H3772" s="25" t="str">
        <f>IF(J3772&lt;&gt;1,"",IF(I3772="SBJ","CB","?"))</f>
        <v> </v>
      </c>
      <c r="I3772" s="26" t="str">
        <f>IF(OR(E3772="",E3772="!!!",F3772="NEW"),"",INDEX(B3771:B$2,-1+SUMPRODUCT(MAX(ROW(E3771:E$2)*(E3772=E3771:E$2)))))</f>
        <v> </v>
      </c>
      <c r="J3772" s="26" t="str">
        <f>IF(OR(E3772="",E3772="!!!",F3772="NEW"),"",COUNTBLANK(OFFSET(A$1,,,SUMPRODUCT(MAX(ROW(E$2:E3772)*(E3772=E$2:E3772)))))-COUNTBLANK(OFFSET(A$1,,,SUMPRODUCT(MAX(ROW(E$1:E3771)*(E2=E$1:E3771))))))</f>
        <v> </v>
      </c>
      <c r="K3772" s="26" t="str">
        <f>IF(OR(E3772="",E3772="!!!",F3772="NEW"),"",INDEX(J$1:J3771,SUMPRODUCT(MAX(ROW(E$1:E3771)*(E3772=E$1:E3771)))))</f>
        <v> </v>
      </c>
      <c r="L3772" s="27"/>
    </row>
    <row r="3773" spans="1:12">
      <c r="A3773" s="20"/>
    </row>
    <row r="3774" spans="1:12">
      <c r="A3774" s="20" t="s">
        <v>2289</v>
      </c>
    </row>
    <row r="3775" spans="1:12">
      <c r="A3775" s="20" t="s">
        <v>1417</v>
      </c>
      <c r="B3775" s="21" t="s">
        <v>1165</v>
      </c>
      <c r="C3775" s="21" t="s">
        <v>1232</v>
      </c>
      <c r="D3775" s="21" t="s">
        <v>1144</v>
      </c>
      <c r="E3775" s="22">
        <f>IF(D3775="?OLD","!!!","")</f>
        <v/>
      </c>
      <c r="F3775" s="23" t="str">
        <f>IF(OR(E3775="",E3775="!!!"),"",IF(NOT(ISNA(VLOOKUP(E3775,E$1:E3774,1,FALSE()))),"OLD",IF(AND(E3775&lt;&gt;"",E3775&lt;&gt;"!!!"),"NEW","")))</f>
        <v> </v>
      </c>
      <c r="G3775" s="24" t="str">
        <f>IF(OR(E3775="",E3775="!!!"),"",IF(OR(J3775=0,AND(J3775=1,K3775=1),AND(J3775=1,I3775="SBJ"),AND(J3775=1,I3775=0)),"?IN_FOCUS",IF(J3775&lt;=2,"?ACTIVATED",IF(J3775&lt;&gt;"","?FAMILIAR",IF(F3775="NEW",IF(ISNA(VLOOKUP(E3775,#REF!,1,FALSE())),"?TYPE_IDENTIFIABLE","?REFERENTIAL"),"_")))))</f>
        <v> </v>
      </c>
      <c r="H3775" s="25" t="str">
        <f>IF(J3775&lt;&gt;1,"",IF(I3775="SBJ","CB","?"))</f>
        <v> </v>
      </c>
      <c r="I3775" s="26" t="str">
        <f>IF(OR(E3775="",E3775="!!!",F3775="NEW"),"",INDEX(B3774:B$2,-1+SUMPRODUCT(MAX(ROW(E3774:E$2)*(E3775=E3774:E$2)))))</f>
        <v> </v>
      </c>
      <c r="J3775" s="26" t="str">
        <f>IF(OR(E3775="",E3775="!!!",F3775="NEW"),"",COUNTBLANK(OFFSET(A$1,,,SUMPRODUCT(MAX(ROW(E$2:E3775)*(E3775=E$2:E3775)))))-COUNTBLANK(OFFSET(A$1,,,SUMPRODUCT(MAX(ROW(E$1:E3774)*(E2=E$1:E3774))))))</f>
        <v> </v>
      </c>
      <c r="K3775" s="26" t="str">
        <f>IF(OR(E3775="",E3775="!!!",F3775="NEW"),"",INDEX(J$1:J3774,SUMPRODUCT(MAX(ROW(E$1:E3774)*(E3775=E$1:E3774)))))</f>
        <v> </v>
      </c>
      <c r="L3775" s="27"/>
    </row>
    <row r="3776" spans="1:12">
      <c r="A3776" s="20" t="s">
        <v>2290</v>
      </c>
      <c r="E3776" s="22">
        <f>IF(D3776="?OLD","!!!","")</f>
        <v/>
      </c>
      <c r="F3776" s="23" t="str">
        <f>IF(OR(E3776="",E3776="!!!"),"",IF(NOT(ISNA(VLOOKUP(E3776,E$1:E3775,1,FALSE()))),"OLD",IF(AND(E3776&lt;&gt;"",E3776&lt;&gt;"!!!"),"NEW","")))</f>
        <v> </v>
      </c>
      <c r="G3776" s="24" t="str">
        <f>IF(OR(E3776="",E3776="!!!"),"",IF(OR(J3776=0,AND(J3776=1,K3776=1),AND(J3776=1,I3776="SBJ"),AND(J3776=1,I3776=0)),"?IN_FOCUS",IF(J3776&lt;=2,"?ACTIVATED",IF(J3776&lt;&gt;"","?FAMILIAR",IF(F3776="NEW",IF(ISNA(VLOOKUP(E3776,#REF!,1,FALSE())),"?TYPE_IDENTIFIABLE","?REFERENTIAL"),"_")))))</f>
        <v> </v>
      </c>
      <c r="H3776" s="25" t="str">
        <f>IF(J3776&lt;&gt;1,"",IF(I3776="SBJ","CB","?"))</f>
        <v> </v>
      </c>
      <c r="I3776" s="26" t="str">
        <f>IF(OR(E3776="",E3776="!!!",F3776="NEW"),"",INDEX(B3775:B$2,-1+SUMPRODUCT(MAX(ROW(E3775:E$2)*(E3776=E3775:E$2)))))</f>
        <v> </v>
      </c>
      <c r="J3776" s="26" t="str">
        <f>IF(OR(E3776="",E3776="!!!",F3776="NEW"),"",COUNTBLANK(OFFSET(A$1,,,SUMPRODUCT(MAX(ROW(E$2:E3776)*(E3776=E$2:E3776)))))-COUNTBLANK(OFFSET(A$1,,,SUMPRODUCT(MAX(ROW(E$1:E3775)*(E2=E$1:E3775))))))</f>
        <v> </v>
      </c>
      <c r="K3776" s="26" t="str">
        <f>IF(OR(E3776="",E3776="!!!",F3776="NEW"),"",INDEX(J$1:J3775,SUMPRODUCT(MAX(ROW(E$1:E3775)*(E3776=E$1:E3775)))))</f>
        <v> </v>
      </c>
      <c r="L3776" s="27"/>
    </row>
    <row r="3777" spans="1:12">
      <c r="A3777" s="20" t="s">
        <v>1314</v>
      </c>
      <c r="E3777" s="22">
        <f>IF(D3777="?OLD","!!!","")</f>
        <v/>
      </c>
      <c r="F3777" s="23" t="str">
        <f>IF(OR(E3777="",E3777="!!!"),"",IF(NOT(ISNA(VLOOKUP(E3777,E$1:E3776,1,FALSE()))),"OLD",IF(AND(E3777&lt;&gt;"",E3777&lt;&gt;"!!!"),"NEW","")))</f>
        <v> </v>
      </c>
      <c r="G3777" s="24" t="str">
        <f>IF(OR(E3777="",E3777="!!!"),"",IF(OR(J3777=0,AND(J3777=1,K3777=1),AND(J3777=1,I3777="SBJ"),AND(J3777=1,I3777=0)),"?IN_FOCUS",IF(J3777&lt;=2,"?ACTIVATED",IF(J3777&lt;&gt;"","?FAMILIAR",IF(F3777="NEW",IF(ISNA(VLOOKUP(E3777,#REF!,1,FALSE())),"?TYPE_IDENTIFIABLE","?REFERENTIAL"),"_")))))</f>
        <v> </v>
      </c>
      <c r="H3777" s="25" t="str">
        <f>IF(J3777&lt;&gt;1,"",IF(I3777="SBJ","CB","?"))</f>
        <v> </v>
      </c>
      <c r="I3777" s="26" t="str">
        <f>IF(OR(E3777="",E3777="!!!",F3777="NEW"),"",INDEX(B3776:B$2,-1+SUMPRODUCT(MAX(ROW(E3776:E$2)*(E3777=E3776:E$2)))))</f>
        <v> </v>
      </c>
      <c r="J3777" s="26" t="str">
        <f>IF(OR(E3777="",E3777="!!!",F3777="NEW"),"",COUNTBLANK(OFFSET(A$1,,,SUMPRODUCT(MAX(ROW(E$2:E3777)*(E3777=E$2:E3777)))))-COUNTBLANK(OFFSET(A$1,,,SUMPRODUCT(MAX(ROW(E$1:E3776)*(E2=E$1:E3776))))))</f>
        <v> </v>
      </c>
      <c r="K3777" s="26" t="str">
        <f>IF(OR(E3777="",E3777="!!!",F3777="NEW"),"",INDEX(J$1:J3776,SUMPRODUCT(MAX(ROW(E$1:E3776)*(E3777=E$1:E3776)))))</f>
        <v> </v>
      </c>
      <c r="L3777" s="27"/>
    </row>
    <row r="3778" spans="1:12">
      <c r="A3778" s="20" t="s">
        <v>1159</v>
      </c>
      <c r="E3778" s="22">
        <f>IF(D3778="?OLD","!!!","")</f>
        <v/>
      </c>
      <c r="F3778" s="23" t="str">
        <f>IF(OR(E3778="",E3778="!!!"),"",IF(NOT(ISNA(VLOOKUP(E3778,E$1:E3777,1,FALSE()))),"OLD",IF(AND(E3778&lt;&gt;"",E3778&lt;&gt;"!!!"),"NEW","")))</f>
        <v> </v>
      </c>
      <c r="G3778" s="24" t="str">
        <f>IF(OR(E3778="",E3778="!!!"),"",IF(OR(J3778=0,AND(J3778=1,K3778=1),AND(J3778=1,I3778="SBJ"),AND(J3778=1,I3778=0)),"?IN_FOCUS",IF(J3778&lt;=2,"?ACTIVATED",IF(J3778&lt;&gt;"","?FAMILIAR",IF(F3778="NEW",IF(ISNA(VLOOKUP(E3778,#REF!,1,FALSE())),"?TYPE_IDENTIFIABLE","?REFERENTIAL"),"_")))))</f>
        <v> </v>
      </c>
      <c r="H3778" s="25" t="str">
        <f>IF(J3778&lt;&gt;1,"",IF(I3778="SBJ","CB","?"))</f>
        <v> </v>
      </c>
      <c r="I3778" s="26" t="str">
        <f>IF(OR(E3778="",E3778="!!!",F3778="NEW"),"",INDEX(B3777:B$2,-1+SUMPRODUCT(MAX(ROW(E3777:E$2)*(E3778=E3777:E$2)))))</f>
        <v> </v>
      </c>
      <c r="J3778" s="26" t="str">
        <f>IF(OR(E3778="",E3778="!!!",F3778="NEW"),"",COUNTBLANK(OFFSET(A$1,,,SUMPRODUCT(MAX(ROW(E$2:E3778)*(E3778=E$2:E3778)))))-COUNTBLANK(OFFSET(A$1,,,SUMPRODUCT(MAX(ROW(E$1:E3777)*(E2=E$1:E3777))))))</f>
        <v> </v>
      </c>
      <c r="K3778" s="26" t="str">
        <f>IF(OR(E3778="",E3778="!!!",F3778="NEW"),"",INDEX(J$1:J3777,SUMPRODUCT(MAX(ROW(E$1:E3777)*(E3778=E$1:E3777)))))</f>
        <v> </v>
      </c>
      <c r="L3778" s="27"/>
    </row>
    <row r="3779" spans="1:12">
      <c r="A3779" s="20" t="s">
        <v>2291</v>
      </c>
      <c r="E3779" s="22">
        <f>IF(D3779="?OLD","!!!","")</f>
        <v/>
      </c>
      <c r="F3779" s="23" t="str">
        <f>IF(OR(E3779="",E3779="!!!"),"",IF(NOT(ISNA(VLOOKUP(E3779,E$1:E3778,1,FALSE()))),"OLD",IF(AND(E3779&lt;&gt;"",E3779&lt;&gt;"!!!"),"NEW","")))</f>
        <v> </v>
      </c>
      <c r="G3779" s="24" t="str">
        <f>IF(OR(E3779="",E3779="!!!"),"",IF(OR(J3779=0,AND(J3779=1,K3779=1),AND(J3779=1,I3779="SBJ"),AND(J3779=1,I3779=0)),"?IN_FOCUS",IF(J3779&lt;=2,"?ACTIVATED",IF(J3779&lt;&gt;"","?FAMILIAR",IF(F3779="NEW",IF(ISNA(VLOOKUP(E3779,#REF!,1,FALSE())),"?TYPE_IDENTIFIABLE","?REFERENTIAL"),"_")))))</f>
        <v> </v>
      </c>
      <c r="H3779" s="25" t="str">
        <f>IF(J3779&lt;&gt;1,"",IF(I3779="SBJ","CB","?"))</f>
        <v> </v>
      </c>
      <c r="I3779" s="26" t="str">
        <f>IF(OR(E3779="",E3779="!!!",F3779="NEW"),"",INDEX(B3778:B$2,-1+SUMPRODUCT(MAX(ROW(E3778:E$2)*(E3779=E3778:E$2)))))</f>
        <v> </v>
      </c>
      <c r="J3779" s="26" t="str">
        <f>IF(OR(E3779="",E3779="!!!",F3779="NEW"),"",COUNTBLANK(OFFSET(A$1,,,SUMPRODUCT(MAX(ROW(E$2:E3779)*(E3779=E$2:E3779)))))-COUNTBLANK(OFFSET(A$1,,,SUMPRODUCT(MAX(ROW(E$1:E3778)*(E2=E$1:E3778))))))</f>
        <v> </v>
      </c>
      <c r="K3779" s="26" t="str">
        <f>IF(OR(E3779="",E3779="!!!",F3779="NEW"),"",INDEX(J$1:J3778,SUMPRODUCT(MAX(ROW(E$1:E3778)*(E3779=E$1:E3778)))))</f>
        <v> </v>
      </c>
      <c r="L3779" s="27"/>
    </row>
    <row r="3780" spans="1:12">
      <c r="A3780" s="20" t="s">
        <v>2292</v>
      </c>
      <c r="B3780" s="21" t="s">
        <v>1161</v>
      </c>
      <c r="C3780" s="21" t="s">
        <v>1162</v>
      </c>
      <c r="D3780" s="21" t="s">
        <v>1144</v>
      </c>
      <c r="E3780" s="22">
        <f>IF(D3780="?OLD","!!!","")</f>
        <v/>
      </c>
      <c r="F3780" s="23" t="str">
        <f>IF(OR(E3780="",E3780="!!!"),"",IF(NOT(ISNA(VLOOKUP(E3780,E$1:E3779,1,FALSE()))),"OLD",IF(AND(E3780&lt;&gt;"",E3780&lt;&gt;"!!!"),"NEW","")))</f>
        <v> </v>
      </c>
      <c r="G3780" s="24" t="str">
        <f>IF(OR(E3780="",E3780="!!!"),"",IF(OR(J3780=0,AND(J3780=1,K3780=1),AND(J3780=1,I3780="SBJ"),AND(J3780=1,I3780=0)),"?IN_FOCUS",IF(J3780&lt;=2,"?ACTIVATED",IF(J3780&lt;&gt;"","?FAMILIAR",IF(F3780="NEW",IF(ISNA(VLOOKUP(E3780,#REF!,1,FALSE())),"?TYPE_IDENTIFIABLE","?REFERENTIAL"),"_")))))</f>
        <v> </v>
      </c>
      <c r="H3780" s="25" t="str">
        <f>IF(J3780&lt;&gt;1,"",IF(I3780="SBJ","CB","?"))</f>
        <v> </v>
      </c>
      <c r="I3780" s="26" t="str">
        <f>IF(OR(E3780="",E3780="!!!",F3780="NEW"),"",INDEX(B3779:B$2,-1+SUMPRODUCT(MAX(ROW(E3779:E$2)*(E3780=E3779:E$2)))))</f>
        <v> </v>
      </c>
      <c r="J3780" s="26" t="str">
        <f>IF(OR(E3780="",E3780="!!!",F3780="NEW"),"",COUNTBLANK(OFFSET(A$1,,,SUMPRODUCT(MAX(ROW(E$2:E3780)*(E3780=E$2:E3780)))))-COUNTBLANK(OFFSET(A$1,,,SUMPRODUCT(MAX(ROW(E$1:E3779)*(E2=E$1:E3779))))))</f>
        <v> </v>
      </c>
      <c r="K3780" s="26" t="str">
        <f>IF(OR(E3780="",E3780="!!!",F3780="NEW"),"",INDEX(J$1:J3779,SUMPRODUCT(MAX(ROW(E$1:E3779)*(E3780=E$1:E3779)))))</f>
        <v> </v>
      </c>
      <c r="L3780" s="27"/>
    </row>
    <row r="3781" spans="1:12">
      <c r="A3781" s="20" t="s">
        <v>1166</v>
      </c>
      <c r="E3781" s="22">
        <f>IF(D3781="?OLD","!!!","")</f>
        <v/>
      </c>
      <c r="F3781" s="23" t="str">
        <f>IF(OR(E3781="",E3781="!!!"),"",IF(NOT(ISNA(VLOOKUP(E3781,E$1:E3780,1,FALSE()))),"OLD",IF(AND(E3781&lt;&gt;"",E3781&lt;&gt;"!!!"),"NEW","")))</f>
        <v> </v>
      </c>
      <c r="G3781" s="24" t="str">
        <f>IF(OR(E3781="",E3781="!!!"),"",IF(OR(J3781=0,AND(J3781=1,K3781=1),AND(J3781=1,I3781="SBJ"),AND(J3781=1,I3781=0)),"?IN_FOCUS",IF(J3781&lt;=2,"?ACTIVATED",IF(J3781&lt;&gt;"","?FAMILIAR",IF(F3781="NEW",IF(ISNA(VLOOKUP(E3781,#REF!,1,FALSE())),"?TYPE_IDENTIFIABLE","?REFERENTIAL"),"_")))))</f>
        <v> </v>
      </c>
      <c r="H3781" s="25" t="str">
        <f>IF(J3781&lt;&gt;1,"",IF(I3781="SBJ","CB","?"))</f>
        <v> </v>
      </c>
      <c r="I3781" s="26" t="str">
        <f>IF(OR(E3781="",E3781="!!!",F3781="NEW"),"",INDEX(B3780:B$2,-1+SUMPRODUCT(MAX(ROW(E3780:E$2)*(E3781=E3780:E$2)))))</f>
        <v> </v>
      </c>
      <c r="J3781" s="26" t="str">
        <f>IF(OR(E3781="",E3781="!!!",F3781="NEW"),"",COUNTBLANK(OFFSET(A$1,,,SUMPRODUCT(MAX(ROW(E$2:E3781)*(E3781=E$2:E3781)))))-COUNTBLANK(OFFSET(A$1,,,SUMPRODUCT(MAX(ROW(E$1:E3780)*(E2=E$1:E3780))))))</f>
        <v> </v>
      </c>
      <c r="K3781" s="26" t="str">
        <f>IF(OR(E3781="",E3781="!!!",F3781="NEW"),"",INDEX(J$1:J3780,SUMPRODUCT(MAX(ROW(E$1:E3780)*(E3781=E$1:E3780)))))</f>
        <v> </v>
      </c>
      <c r="L3781" s="27"/>
    </row>
    <row r="3782" spans="1:12">
      <c r="A3782" s="20" t="s">
        <v>1560</v>
      </c>
      <c r="E3782" s="22">
        <f>IF(D3782="?OLD","!!!","")</f>
        <v/>
      </c>
      <c r="F3782" s="23" t="str">
        <f>IF(OR(E3782="",E3782="!!!"),"",IF(NOT(ISNA(VLOOKUP(E3782,E$1:E3781,1,FALSE()))),"OLD",IF(AND(E3782&lt;&gt;"",E3782&lt;&gt;"!!!"),"NEW","")))</f>
        <v> </v>
      </c>
      <c r="G3782" s="24" t="str">
        <f>IF(OR(E3782="",E3782="!!!"),"",IF(OR(J3782=0,AND(J3782=1,K3782=1),AND(J3782=1,I3782="SBJ"),AND(J3782=1,I3782=0)),"?IN_FOCUS",IF(J3782&lt;=2,"?ACTIVATED",IF(J3782&lt;&gt;"","?FAMILIAR",IF(F3782="NEW",IF(ISNA(VLOOKUP(E3782,#REF!,1,FALSE())),"?TYPE_IDENTIFIABLE","?REFERENTIAL"),"_")))))</f>
        <v> </v>
      </c>
      <c r="H3782" s="25" t="str">
        <f>IF(J3782&lt;&gt;1,"",IF(I3782="SBJ","CB","?"))</f>
        <v> </v>
      </c>
      <c r="I3782" s="26" t="str">
        <f>IF(OR(E3782="",E3782="!!!",F3782="NEW"),"",INDEX(B3781:B$2,-1+SUMPRODUCT(MAX(ROW(E3781:E$2)*(E3782=E3781:E$2)))))</f>
        <v> </v>
      </c>
      <c r="J3782" s="26" t="str">
        <f>IF(OR(E3782="",E3782="!!!",F3782="NEW"),"",COUNTBLANK(OFFSET(A$1,,,SUMPRODUCT(MAX(ROW(E$2:E3782)*(E3782=E$2:E3782)))))-COUNTBLANK(OFFSET(A$1,,,SUMPRODUCT(MAX(ROW(E$1:E3781)*(E2=E$1:E3781))))))</f>
        <v> </v>
      </c>
      <c r="K3782" s="26" t="str">
        <f>IF(OR(E3782="",E3782="!!!",F3782="NEW"),"",INDEX(J$1:J3781,SUMPRODUCT(MAX(ROW(E$1:E3781)*(E3782=E$1:E3781)))))</f>
        <v> </v>
      </c>
      <c r="L3782" s="27"/>
    </row>
    <row r="3783" spans="1:12">
      <c r="A3783" s="20" t="s">
        <v>1238</v>
      </c>
      <c r="E3783" s="22">
        <f>IF(D3783="?OLD","!!!","")</f>
        <v/>
      </c>
      <c r="F3783" s="23" t="str">
        <f>IF(OR(E3783="",E3783="!!!"),"",IF(NOT(ISNA(VLOOKUP(E3783,E$1:E3782,1,FALSE()))),"OLD",IF(AND(E3783&lt;&gt;"",E3783&lt;&gt;"!!!"),"NEW","")))</f>
        <v> </v>
      </c>
      <c r="G3783" s="24" t="str">
        <f>IF(OR(E3783="",E3783="!!!"),"",IF(OR(J3783=0,AND(J3783=1,K3783=1),AND(J3783=1,I3783="SBJ"),AND(J3783=1,I3783=0)),"?IN_FOCUS",IF(J3783&lt;=2,"?ACTIVATED",IF(J3783&lt;&gt;"","?FAMILIAR",IF(F3783="NEW",IF(ISNA(VLOOKUP(E3783,#REF!,1,FALSE())),"?TYPE_IDENTIFIABLE","?REFERENTIAL"),"_")))))</f>
        <v> </v>
      </c>
      <c r="H3783" s="25" t="str">
        <f>IF(J3783&lt;&gt;1,"",IF(I3783="SBJ","CB","?"))</f>
        <v> </v>
      </c>
      <c r="I3783" s="26" t="str">
        <f>IF(OR(E3783="",E3783="!!!",F3783="NEW"),"",INDEX(B3782:B$2,-1+SUMPRODUCT(MAX(ROW(E3782:E$2)*(E3783=E3782:E$2)))))</f>
        <v> </v>
      </c>
      <c r="J3783" s="26" t="str">
        <f>IF(OR(E3783="",E3783="!!!",F3783="NEW"),"",COUNTBLANK(OFFSET(A$1,,,SUMPRODUCT(MAX(ROW(E$2:E3783)*(E3783=E$2:E3783)))))-COUNTBLANK(OFFSET(A$1,,,SUMPRODUCT(MAX(ROW(E$1:E3782)*(E2=E$1:E3782))))))</f>
        <v> </v>
      </c>
      <c r="K3783" s="26" t="str">
        <f>IF(OR(E3783="",E3783="!!!",F3783="NEW"),"",INDEX(J$1:J3782,SUMPRODUCT(MAX(ROW(E$1:E3782)*(E3783=E$1:E3782)))))</f>
        <v> </v>
      </c>
      <c r="L3783" s="27"/>
    </row>
    <row r="3784" spans="1:12">
      <c r="A3784" s="20" t="s">
        <v>1526</v>
      </c>
      <c r="B3784" s="21" t="s">
        <v>1161</v>
      </c>
      <c r="C3784" s="21" t="s">
        <v>1162</v>
      </c>
      <c r="D3784" s="21" t="s">
        <v>1144</v>
      </c>
      <c r="E3784" s="22">
        <f>IF(D3784="?OLD","!!!","")</f>
        <v/>
      </c>
      <c r="F3784" s="23" t="str">
        <f>IF(OR(E3784="",E3784="!!!"),"",IF(NOT(ISNA(VLOOKUP(E3784,E$1:E3783,1,FALSE()))),"OLD",IF(AND(E3784&lt;&gt;"",E3784&lt;&gt;"!!!"),"NEW","")))</f>
        <v> </v>
      </c>
      <c r="G3784" s="24" t="str">
        <f>IF(OR(E3784="",E3784="!!!"),"",IF(OR(J3784=0,AND(J3784=1,K3784=1),AND(J3784=1,I3784="SBJ"),AND(J3784=1,I3784=0)),"?IN_FOCUS",IF(J3784&lt;=2,"?ACTIVATED",IF(J3784&lt;&gt;"","?FAMILIAR",IF(F3784="NEW",IF(ISNA(VLOOKUP(E3784,#REF!,1,FALSE())),"?TYPE_IDENTIFIABLE","?REFERENTIAL"),"_")))))</f>
        <v> </v>
      </c>
      <c r="H3784" s="25" t="str">
        <f>IF(J3784&lt;&gt;1,"",IF(I3784="SBJ","CB","?"))</f>
        <v> </v>
      </c>
      <c r="I3784" s="26" t="str">
        <f>IF(OR(E3784="",E3784="!!!",F3784="NEW"),"",INDEX(B3783:B$2,-1+SUMPRODUCT(MAX(ROW(E3783:E$2)*(E3784=E3783:E$2)))))</f>
        <v> </v>
      </c>
      <c r="J3784" s="26" t="str">
        <f>IF(OR(E3784="",E3784="!!!",F3784="NEW"),"",COUNTBLANK(OFFSET(A$1,,,SUMPRODUCT(MAX(ROW(E$2:E3784)*(E3784=E$2:E3784)))))-COUNTBLANK(OFFSET(A$1,,,SUMPRODUCT(MAX(ROW(E$1:E3783)*(E2=E$1:E3783))))))</f>
        <v> </v>
      </c>
      <c r="K3784" s="26" t="str">
        <f>IF(OR(E3784="",E3784="!!!",F3784="NEW"),"",INDEX(J$1:J3783,SUMPRODUCT(MAX(ROW(E$1:E3783)*(E3784=E$1:E3783)))))</f>
        <v> </v>
      </c>
      <c r="L3784" s="27"/>
    </row>
    <row r="3785" spans="1:12">
      <c r="A3785" s="20" t="s">
        <v>1166</v>
      </c>
      <c r="E3785" s="22">
        <f>IF(D3785="?OLD","!!!","")</f>
        <v/>
      </c>
      <c r="F3785" s="23" t="str">
        <f>IF(OR(E3785="",E3785="!!!"),"",IF(NOT(ISNA(VLOOKUP(E3785,E$1:E3784,1,FALSE()))),"OLD",IF(AND(E3785&lt;&gt;"",E3785&lt;&gt;"!!!"),"NEW","")))</f>
        <v> </v>
      </c>
      <c r="G3785" s="24" t="str">
        <f>IF(OR(E3785="",E3785="!!!"),"",IF(OR(J3785=0,AND(J3785=1,K3785=1),AND(J3785=1,I3785="SBJ"),AND(J3785=1,I3785=0)),"?IN_FOCUS",IF(J3785&lt;=2,"?ACTIVATED",IF(J3785&lt;&gt;"","?FAMILIAR",IF(F3785="NEW",IF(ISNA(VLOOKUP(E3785,#REF!,1,FALSE())),"?TYPE_IDENTIFIABLE","?REFERENTIAL"),"_")))))</f>
        <v> </v>
      </c>
      <c r="H3785" s="25" t="str">
        <f>IF(J3785&lt;&gt;1,"",IF(I3785="SBJ","CB","?"))</f>
        <v> </v>
      </c>
      <c r="I3785" s="26" t="str">
        <f>IF(OR(E3785="",E3785="!!!",F3785="NEW"),"",INDEX(B3784:B$2,-1+SUMPRODUCT(MAX(ROW(E3784:E$2)*(E3785=E3784:E$2)))))</f>
        <v> </v>
      </c>
      <c r="J3785" s="26" t="str">
        <f>IF(OR(E3785="",E3785="!!!",F3785="NEW"),"",COUNTBLANK(OFFSET(A$1,,,SUMPRODUCT(MAX(ROW(E$2:E3785)*(E3785=E$2:E3785)))))-COUNTBLANK(OFFSET(A$1,,,SUMPRODUCT(MAX(ROW(E$1:E3784)*(E2=E$1:E3784))))))</f>
        <v> </v>
      </c>
      <c r="K3785" s="26" t="str">
        <f>IF(OR(E3785="",E3785="!!!",F3785="NEW"),"",INDEX(J$1:J3784,SUMPRODUCT(MAX(ROW(E$1:E3784)*(E3785=E$1:E3784)))))</f>
        <v> </v>
      </c>
      <c r="L3785" s="27"/>
    </row>
    <row r="3786" spans="1:12">
      <c r="A3786" s="20" t="s">
        <v>1238</v>
      </c>
      <c r="B3786" s="21" t="s">
        <v>1175</v>
      </c>
      <c r="E3786" s="22">
        <f>IF(D3786="?OLD","!!!","")</f>
        <v/>
      </c>
      <c r="F3786" s="23" t="str">
        <f>IF(OR(E3786="",E3786="!!!"),"",IF(NOT(ISNA(VLOOKUP(E3786,E$1:E3785,1,FALSE()))),"OLD",IF(AND(E3786&lt;&gt;"",E3786&lt;&gt;"!!!"),"NEW","")))</f>
        <v> </v>
      </c>
      <c r="G3786" s="24" t="str">
        <f>IF(OR(E3786="",E3786="!!!"),"",IF(OR(J3786=0,AND(J3786=1,K3786=1),AND(J3786=1,I3786="SBJ"),AND(J3786=1,I3786=0)),"?IN_FOCUS",IF(J3786&lt;=2,"?ACTIVATED",IF(J3786&lt;&gt;"","?FAMILIAR",IF(F3786="NEW",IF(ISNA(VLOOKUP(E3786,#REF!,1,FALSE())),"?TYPE_IDENTIFIABLE","?REFERENTIAL"),"_")))))</f>
        <v> </v>
      </c>
      <c r="H3786" s="25" t="str">
        <f>IF(J3786&lt;&gt;1,"",IF(I3786="SBJ","CB","?"))</f>
        <v> </v>
      </c>
      <c r="I3786" s="26" t="str">
        <f>IF(OR(E3786="",E3786="!!!",F3786="NEW"),"",INDEX(B3785:B$2,-1+SUMPRODUCT(MAX(ROW(E3785:E$2)*(E3786=E3785:E$2)))))</f>
        <v> </v>
      </c>
      <c r="J3786" s="26" t="str">
        <f>IF(OR(E3786="",E3786="!!!",F3786="NEW"),"",COUNTBLANK(OFFSET(A$1,,,SUMPRODUCT(MAX(ROW(E$2:E3786)*(E3786=E$2:E3786)))))-COUNTBLANK(OFFSET(A$1,,,SUMPRODUCT(MAX(ROW(E$1:E3785)*(E2=E$1:E3785))))))</f>
        <v> </v>
      </c>
      <c r="K3786" s="26" t="str">
        <f>IF(OR(E3786="",E3786="!!!",F3786="NEW"),"",INDEX(J$1:J3785,SUMPRODUCT(MAX(ROW(E$1:E3785)*(E3786=E$1:E3785)))))</f>
        <v> </v>
      </c>
      <c r="L3786" s="27"/>
    </row>
    <row r="3787" spans="1:12">
      <c r="A3787" s="20" t="s">
        <v>1230</v>
      </c>
      <c r="B3787" s="21" t="s">
        <v>1175</v>
      </c>
      <c r="C3787" s="21" t="s">
        <v>1151</v>
      </c>
      <c r="D3787" s="21" t="s">
        <v>1144</v>
      </c>
      <c r="E3787" s="22">
        <f>IF(D3787="?OLD","!!!","")</f>
        <v/>
      </c>
      <c r="F3787" s="23" t="str">
        <f>IF(OR(E3787="",E3787="!!!"),"",IF(NOT(ISNA(VLOOKUP(E3787,E$1:E3786,1,FALSE()))),"OLD",IF(AND(E3787&lt;&gt;"",E3787&lt;&gt;"!!!"),"NEW","")))</f>
        <v> </v>
      </c>
      <c r="G3787" s="24" t="str">
        <f>IF(OR(E3787="",E3787="!!!"),"",IF(OR(J3787=0,AND(J3787=1,K3787=1),AND(J3787=1,I3787="SBJ"),AND(J3787=1,I3787=0)),"?IN_FOCUS",IF(J3787&lt;=2,"?ACTIVATED",IF(J3787&lt;&gt;"","?FAMILIAR",IF(F3787="NEW",IF(ISNA(VLOOKUP(E3787,#REF!,1,FALSE())),"?TYPE_IDENTIFIABLE","?REFERENTIAL"),"_")))))</f>
        <v> </v>
      </c>
      <c r="H3787" s="25" t="str">
        <f>IF(J3787&lt;&gt;1,"",IF(I3787="SBJ","CB","?"))</f>
        <v> </v>
      </c>
      <c r="I3787" s="26" t="str">
        <f>IF(OR(E3787="",E3787="!!!",F3787="NEW"),"",INDEX(B3786:B$2,-1+SUMPRODUCT(MAX(ROW(E3786:E$2)*(E3787=E3786:E$2)))))</f>
        <v> </v>
      </c>
      <c r="J3787" s="26" t="str">
        <f>IF(OR(E3787="",E3787="!!!",F3787="NEW"),"",COUNTBLANK(OFFSET(A$1,,,SUMPRODUCT(MAX(ROW(E$2:E3787)*(E3787=E$2:E3787)))))-COUNTBLANK(OFFSET(A$1,,,SUMPRODUCT(MAX(ROW(E$1:E3786)*(E2=E$1:E3786))))))</f>
        <v> </v>
      </c>
      <c r="K3787" s="26" t="str">
        <f>IF(OR(E3787="",E3787="!!!",F3787="NEW"),"",INDEX(J$1:J3786,SUMPRODUCT(MAX(ROW(E$1:E3786)*(E3787=E$1:E3786)))))</f>
        <v> </v>
      </c>
      <c r="L3787" s="27"/>
    </row>
    <row r="3788" spans="1:12">
      <c r="A3788" s="20" t="s">
        <v>1210</v>
      </c>
      <c r="E3788" s="22">
        <f>IF(D3788="?OLD","!!!","")</f>
        <v/>
      </c>
      <c r="F3788" s="23" t="str">
        <f>IF(OR(E3788="",E3788="!!!"),"",IF(NOT(ISNA(VLOOKUP(E3788,E$1:E3787,1,FALSE()))),"OLD",IF(AND(E3788&lt;&gt;"",E3788&lt;&gt;"!!!"),"NEW","")))</f>
        <v> </v>
      </c>
      <c r="G3788" s="24" t="str">
        <f>IF(OR(E3788="",E3788="!!!"),"",IF(OR(J3788=0,AND(J3788=1,K3788=1),AND(J3788=1,I3788="SBJ"),AND(J3788=1,I3788=0)),"?IN_FOCUS",IF(J3788&lt;=2,"?ACTIVATED",IF(J3788&lt;&gt;"","?FAMILIAR",IF(F3788="NEW",IF(ISNA(VLOOKUP(E3788,#REF!,1,FALSE())),"?TYPE_IDENTIFIABLE","?REFERENTIAL"),"_")))))</f>
        <v> </v>
      </c>
      <c r="H3788" s="25" t="str">
        <f>IF(J3788&lt;&gt;1,"",IF(I3788="SBJ","CB","?"))</f>
        <v> </v>
      </c>
      <c r="I3788" s="26" t="str">
        <f>IF(OR(E3788="",E3788="!!!",F3788="NEW"),"",INDEX(B3787:B$2,-1+SUMPRODUCT(MAX(ROW(E3787:E$2)*(E3788=E3787:E$2)))))</f>
        <v> </v>
      </c>
      <c r="J3788" s="26" t="str">
        <f>IF(OR(E3788="",E3788="!!!",F3788="NEW"),"",COUNTBLANK(OFFSET(A$1,,,SUMPRODUCT(MAX(ROW(E$2:E3788)*(E3788=E$2:E3788)))))-COUNTBLANK(OFFSET(A$1,,,SUMPRODUCT(MAX(ROW(E$1:E3787)*(E2=E$1:E3787))))))</f>
        <v> </v>
      </c>
      <c r="K3788" s="26" t="str">
        <f>IF(OR(E3788="",E3788="!!!",F3788="NEW"),"",INDEX(J$1:J3787,SUMPRODUCT(MAX(ROW(E$1:E3787)*(E3788=E$1:E3787)))))</f>
        <v> </v>
      </c>
      <c r="L3788" s="27"/>
    </row>
    <row r="3789" spans="1:12">
      <c r="A3789" s="20" t="s">
        <v>1700</v>
      </c>
      <c r="E3789" s="22">
        <f>IF(D3789="?OLD","!!!","")</f>
        <v/>
      </c>
      <c r="F3789" s="23" t="str">
        <f>IF(OR(E3789="",E3789="!!!"),"",IF(NOT(ISNA(VLOOKUP(E3789,E$1:E3788,1,FALSE()))),"OLD",IF(AND(E3789&lt;&gt;"",E3789&lt;&gt;"!!!"),"NEW","")))</f>
        <v> </v>
      </c>
      <c r="G3789" s="24" t="str">
        <f>IF(OR(E3789="",E3789="!!!"),"",IF(OR(J3789=0,AND(J3789=1,K3789=1),AND(J3789=1,I3789="SBJ"),AND(J3789=1,I3789=0)),"?IN_FOCUS",IF(J3789&lt;=2,"?ACTIVATED",IF(J3789&lt;&gt;"","?FAMILIAR",IF(F3789="NEW",IF(ISNA(VLOOKUP(E3789,#REF!,1,FALSE())),"?TYPE_IDENTIFIABLE","?REFERENTIAL"),"_")))))</f>
        <v> </v>
      </c>
      <c r="H3789" s="25" t="str">
        <f>IF(J3789&lt;&gt;1,"",IF(I3789="SBJ","CB","?"))</f>
        <v> </v>
      </c>
      <c r="I3789" s="26" t="str">
        <f>IF(OR(E3789="",E3789="!!!",F3789="NEW"),"",INDEX(B3788:B$2,-1+SUMPRODUCT(MAX(ROW(E3788:E$2)*(E3789=E3788:E$2)))))</f>
        <v> </v>
      </c>
      <c r="J3789" s="26" t="str">
        <f>IF(OR(E3789="",E3789="!!!",F3789="NEW"),"",COUNTBLANK(OFFSET(A$1,,,SUMPRODUCT(MAX(ROW(E$2:E3789)*(E3789=E$2:E3789)))))-COUNTBLANK(OFFSET(A$1,,,SUMPRODUCT(MAX(ROW(E$1:E3788)*(E2=E$1:E3788))))))</f>
        <v> </v>
      </c>
      <c r="K3789" s="26" t="str">
        <f>IF(OR(E3789="",E3789="!!!",F3789="NEW"),"",INDEX(J$1:J3788,SUMPRODUCT(MAX(ROW(E$1:E3788)*(E3789=E$1:E3788)))))</f>
        <v> </v>
      </c>
      <c r="L3789" s="27"/>
    </row>
    <row r="3790" spans="1:12">
      <c r="A3790" s="20" t="s">
        <v>1867</v>
      </c>
      <c r="B3790" s="21" t="s">
        <v>1147</v>
      </c>
      <c r="C3790" s="21" t="s">
        <v>1187</v>
      </c>
      <c r="E3790" s="22">
        <f>IF(D3790="?OLD","!!!","")</f>
        <v/>
      </c>
      <c r="F3790" s="23" t="str">
        <f>IF(OR(E3790="",E3790="!!!"),"",IF(NOT(ISNA(VLOOKUP(E3790,E$1:E3789,1,FALSE()))),"OLD",IF(AND(E3790&lt;&gt;"",E3790&lt;&gt;"!!!"),"NEW","")))</f>
        <v> </v>
      </c>
      <c r="G3790" s="24" t="str">
        <f>IF(OR(E3790="",E3790="!!!"),"",IF(OR(J3790=0,AND(J3790=1,K3790=1),AND(J3790=1,I3790="SBJ"),AND(J3790=1,I3790=0)),"?IN_FOCUS",IF(J3790&lt;=2,"?ACTIVATED",IF(J3790&lt;&gt;"","?FAMILIAR",IF(F3790="NEW",IF(ISNA(VLOOKUP(E3790,#REF!,1,FALSE())),"?TYPE_IDENTIFIABLE","?REFERENTIAL"),"_")))))</f>
        <v> </v>
      </c>
      <c r="H3790" s="25" t="str">
        <f>IF(J3790&lt;&gt;1,"",IF(I3790="SBJ","CB","?"))</f>
        <v> </v>
      </c>
      <c r="I3790" s="26" t="str">
        <f>IF(OR(E3790="",E3790="!!!",F3790="NEW"),"",INDEX(B3789:B$2,-1+SUMPRODUCT(MAX(ROW(E3789:E$2)*(E3790=E3789:E$2)))))</f>
        <v> </v>
      </c>
      <c r="J3790" s="26" t="str">
        <f>IF(OR(E3790="",E3790="!!!",F3790="NEW"),"",COUNTBLANK(OFFSET(A$1,,,SUMPRODUCT(MAX(ROW(E$2:E3790)*(E3790=E$2:E3790)))))-COUNTBLANK(OFFSET(A$1,,,SUMPRODUCT(MAX(ROW(E$1:E3789)*(E2=E$1:E3789))))))</f>
        <v> </v>
      </c>
      <c r="K3790" s="26" t="str">
        <f>IF(OR(E3790="",E3790="!!!",F3790="NEW"),"",INDEX(J$1:J3789,SUMPRODUCT(MAX(ROW(E$1:E3789)*(E3790=E$1:E3789)))))</f>
        <v> </v>
      </c>
      <c r="L3790" s="27"/>
    </row>
    <row r="3791" spans="1:12">
      <c r="A3791" s="20" t="s">
        <v>1477</v>
      </c>
      <c r="E3791" s="22">
        <f>IF(D3791="?OLD","!!!","")</f>
        <v/>
      </c>
      <c r="F3791" s="23" t="str">
        <f>IF(OR(E3791="",E3791="!!!"),"",IF(NOT(ISNA(VLOOKUP(E3791,E$1:E3790,1,FALSE()))),"OLD",IF(AND(E3791&lt;&gt;"",E3791&lt;&gt;"!!!"),"NEW","")))</f>
        <v> </v>
      </c>
      <c r="G3791" s="24" t="str">
        <f>IF(OR(E3791="",E3791="!!!"),"",IF(OR(J3791=0,AND(J3791=1,K3791=1),AND(J3791=1,I3791="SBJ"),AND(J3791=1,I3791=0)),"?IN_FOCUS",IF(J3791&lt;=2,"?ACTIVATED",IF(J3791&lt;&gt;"","?FAMILIAR",IF(F3791="NEW",IF(ISNA(VLOOKUP(E3791,#REF!,1,FALSE())),"?TYPE_IDENTIFIABLE","?REFERENTIAL"),"_")))))</f>
        <v> </v>
      </c>
      <c r="H3791" s="25" t="str">
        <f>IF(J3791&lt;&gt;1,"",IF(I3791="SBJ","CB","?"))</f>
        <v> </v>
      </c>
      <c r="I3791" s="26" t="str">
        <f>IF(OR(E3791="",E3791="!!!",F3791="NEW"),"",INDEX(B3790:B$2,-1+SUMPRODUCT(MAX(ROW(E3790:E$2)*(E3791=E3790:E$2)))))</f>
        <v> </v>
      </c>
      <c r="J3791" s="26" t="str">
        <f>IF(OR(E3791="",E3791="!!!",F3791="NEW"),"",COUNTBLANK(OFFSET(A$1,,,SUMPRODUCT(MAX(ROW(E$2:E3791)*(E3791=E$2:E3791)))))-COUNTBLANK(OFFSET(A$1,,,SUMPRODUCT(MAX(ROW(E$1:E3790)*(E2=E$1:E3790))))))</f>
        <v> </v>
      </c>
      <c r="K3791" s="26" t="str">
        <f>IF(OR(E3791="",E3791="!!!",F3791="NEW"),"",INDEX(J$1:J3790,SUMPRODUCT(MAX(ROW(E$1:E3790)*(E3791=E$1:E3790)))))</f>
        <v> </v>
      </c>
      <c r="L3791" s="27"/>
    </row>
    <row r="3792" spans="1:12">
      <c r="A3792" s="20" t="s">
        <v>312</v>
      </c>
      <c r="E3792" s="22">
        <f>IF(D3792="?OLD","!!!","")</f>
        <v/>
      </c>
      <c r="F3792" s="23" t="str">
        <f>IF(OR(E3792="",E3792="!!!"),"",IF(NOT(ISNA(VLOOKUP(E3792,E$1:E3791,1,FALSE()))),"OLD",IF(AND(E3792&lt;&gt;"",E3792&lt;&gt;"!!!"),"NEW","")))</f>
        <v> </v>
      </c>
      <c r="G3792" s="24" t="str">
        <f>IF(OR(E3792="",E3792="!!!"),"",IF(OR(J3792=0,AND(J3792=1,K3792=1),AND(J3792=1,I3792="SBJ"),AND(J3792=1,I3792=0)),"?IN_FOCUS",IF(J3792&lt;=2,"?ACTIVATED",IF(J3792&lt;&gt;"","?FAMILIAR",IF(F3792="NEW",IF(ISNA(VLOOKUP(E3792,#REF!,1,FALSE())),"?TYPE_IDENTIFIABLE","?REFERENTIAL"),"_")))))</f>
        <v> </v>
      </c>
      <c r="H3792" s="25" t="str">
        <f>IF(J3792&lt;&gt;1,"",IF(I3792="SBJ","CB","?"))</f>
        <v> </v>
      </c>
      <c r="I3792" s="26" t="str">
        <f>IF(OR(E3792="",E3792="!!!",F3792="NEW"),"",INDEX(B3791:B$2,-1+SUMPRODUCT(MAX(ROW(E3791:E$2)*(E3792=E3791:E$2)))))</f>
        <v> </v>
      </c>
      <c r="J3792" s="26" t="str">
        <f>IF(OR(E3792="",E3792="!!!",F3792="NEW"),"",COUNTBLANK(OFFSET(A$1,,,SUMPRODUCT(MAX(ROW(E$2:E3792)*(E3792=E$2:E3792)))))-COUNTBLANK(OFFSET(A$1,,,SUMPRODUCT(MAX(ROW(E$1:E3791)*(E2=E$1:E3791))))))</f>
        <v> </v>
      </c>
      <c r="K3792" s="26" t="str">
        <f>IF(OR(E3792="",E3792="!!!",F3792="NEW"),"",INDEX(J$1:J3791,SUMPRODUCT(MAX(ROW(E$1:E3791)*(E3792=E$1:E3791)))))</f>
        <v> </v>
      </c>
      <c r="L3792" s="27"/>
    </row>
    <row r="3793" spans="1:12">
      <c r="A3793" s="20"/>
    </row>
    <row r="3794" spans="1:12">
      <c r="A3794" s="20" t="s">
        <v>2293</v>
      </c>
    </row>
    <row r="3795" spans="1:12">
      <c r="A3795" s="20" t="s">
        <v>2273</v>
      </c>
      <c r="E3795" s="22">
        <f>IF(D3795="?OLD","!!!","")</f>
        <v/>
      </c>
      <c r="F3795" s="23" t="str">
        <f>IF(OR(E3795="",E3795="!!!"),"",IF(NOT(ISNA(VLOOKUP(E3795,E$1:E3794,1,FALSE()))),"OLD",IF(AND(E3795&lt;&gt;"",E3795&lt;&gt;"!!!"),"NEW","")))</f>
        <v> </v>
      </c>
      <c r="G3795" s="24" t="str">
        <f>IF(OR(E3795="",E3795="!!!"),"",IF(OR(J3795=0,AND(J3795=1,K3795=1),AND(J3795=1,I3795="SBJ"),AND(J3795=1,I3795=0)),"?IN_FOCUS",IF(J3795&lt;=2,"?ACTIVATED",IF(J3795&lt;&gt;"","?FAMILIAR",IF(F3795="NEW",IF(ISNA(VLOOKUP(E3795,#REF!,1,FALSE())),"?TYPE_IDENTIFIABLE","?REFERENTIAL"),"_")))))</f>
        <v> </v>
      </c>
      <c r="H3795" s="25" t="str">
        <f>IF(J3795&lt;&gt;1,"",IF(I3795="SBJ","CB","?"))</f>
        <v> </v>
      </c>
      <c r="I3795" s="26" t="str">
        <f>IF(OR(E3795="",E3795="!!!",F3795="NEW"),"",INDEX(B3794:B$2,-1+SUMPRODUCT(MAX(ROW(E3794:E$2)*(E3795=E3794:E$2)))))</f>
        <v> </v>
      </c>
      <c r="J3795" s="26" t="str">
        <f>IF(OR(E3795="",E3795="!!!",F3795="NEW"),"",COUNTBLANK(OFFSET(A$1,,,SUMPRODUCT(MAX(ROW(E$2:E3795)*(E3795=E$2:E3795)))))-COUNTBLANK(OFFSET(A$1,,,SUMPRODUCT(MAX(ROW(E$1:E3794)*(E2=E$1:E3794))))))</f>
        <v> </v>
      </c>
      <c r="K3795" s="26" t="str">
        <f>IF(OR(E3795="",E3795="!!!",F3795="NEW"),"",INDEX(J$1:J3794,SUMPRODUCT(MAX(ROW(E$1:E3794)*(E3795=E$1:E3794)))))</f>
        <v> </v>
      </c>
      <c r="L3795" s="27"/>
    </row>
    <row r="3796" spans="1:12">
      <c r="A3796" s="20" t="s">
        <v>1787</v>
      </c>
      <c r="E3796" s="22">
        <f>IF(D3796="?OLD","!!!","")</f>
        <v/>
      </c>
      <c r="F3796" s="23" t="str">
        <f>IF(OR(E3796="",E3796="!!!"),"",IF(NOT(ISNA(VLOOKUP(E3796,E$1:E3795,1,FALSE()))),"OLD",IF(AND(E3796&lt;&gt;"",E3796&lt;&gt;"!!!"),"NEW","")))</f>
        <v> </v>
      </c>
      <c r="G3796" s="24" t="str">
        <f>IF(OR(E3796="",E3796="!!!"),"",IF(OR(J3796=0,AND(J3796=1,K3796=1),AND(J3796=1,I3796="SBJ"),AND(J3796=1,I3796=0)),"?IN_FOCUS",IF(J3796&lt;=2,"?ACTIVATED",IF(J3796&lt;&gt;"","?FAMILIAR",IF(F3796="NEW",IF(ISNA(VLOOKUP(E3796,#REF!,1,FALSE())),"?TYPE_IDENTIFIABLE","?REFERENTIAL"),"_")))))</f>
        <v> </v>
      </c>
      <c r="H3796" s="25" t="str">
        <f>IF(J3796&lt;&gt;1,"",IF(I3796="SBJ","CB","?"))</f>
        <v> </v>
      </c>
      <c r="I3796" s="26" t="str">
        <f>IF(OR(E3796="",E3796="!!!",F3796="NEW"),"",INDEX(B3795:B$2,-1+SUMPRODUCT(MAX(ROW(E3795:E$2)*(E3796=E3795:E$2)))))</f>
        <v> </v>
      </c>
      <c r="J3796" s="26" t="str">
        <f>IF(OR(E3796="",E3796="!!!",F3796="NEW"),"",COUNTBLANK(OFFSET(A$1,,,SUMPRODUCT(MAX(ROW(E$2:E3796)*(E3796=E$2:E3796)))))-COUNTBLANK(OFFSET(A$1,,,SUMPRODUCT(MAX(ROW(E$1:E3795)*(E2=E$1:E3795))))))</f>
        <v> </v>
      </c>
      <c r="K3796" s="26" t="str">
        <f>IF(OR(E3796="",E3796="!!!",F3796="NEW"),"",INDEX(J$1:J3795,SUMPRODUCT(MAX(ROW(E$1:E3795)*(E3796=E$1:E3795)))))</f>
        <v> </v>
      </c>
      <c r="L3796" s="27"/>
    </row>
    <row r="3797" spans="1:12">
      <c r="A3797" s="20" t="s">
        <v>1230</v>
      </c>
      <c r="B3797" s="21" t="s">
        <v>1165</v>
      </c>
      <c r="C3797" s="21" t="s">
        <v>1151</v>
      </c>
      <c r="D3797" s="21" t="s">
        <v>1144</v>
      </c>
      <c r="E3797" s="22">
        <f>IF(D3797="?OLD","!!!","")</f>
        <v/>
      </c>
      <c r="F3797" s="23" t="str">
        <f>IF(OR(E3797="",E3797="!!!"),"",IF(NOT(ISNA(VLOOKUP(E3797,E$1:E3796,1,FALSE()))),"OLD",IF(AND(E3797&lt;&gt;"",E3797&lt;&gt;"!!!"),"NEW","")))</f>
        <v> </v>
      </c>
      <c r="G3797" s="24" t="str">
        <f>IF(OR(E3797="",E3797="!!!"),"",IF(OR(J3797=0,AND(J3797=1,K3797=1),AND(J3797=1,I3797="SBJ"),AND(J3797=1,I3797=0)),"?IN_FOCUS",IF(J3797&lt;=2,"?ACTIVATED",IF(J3797&lt;&gt;"","?FAMILIAR",IF(F3797="NEW",IF(ISNA(VLOOKUP(E3797,#REF!,1,FALSE())),"?TYPE_IDENTIFIABLE","?REFERENTIAL"),"_")))))</f>
        <v> </v>
      </c>
      <c r="H3797" s="25" t="str">
        <f>IF(J3797&lt;&gt;1,"",IF(I3797="SBJ","CB","?"))</f>
        <v> </v>
      </c>
      <c r="I3797" s="26" t="str">
        <f>IF(OR(E3797="",E3797="!!!",F3797="NEW"),"",INDEX(B3796:B$2,-1+SUMPRODUCT(MAX(ROW(E3796:E$2)*(E3797=E3796:E$2)))))</f>
        <v> </v>
      </c>
      <c r="J3797" s="26" t="str">
        <f>IF(OR(E3797="",E3797="!!!",F3797="NEW"),"",COUNTBLANK(OFFSET(A$1,,,SUMPRODUCT(MAX(ROW(E$2:E3797)*(E3797=E$2:E3797)))))-COUNTBLANK(OFFSET(A$1,,,SUMPRODUCT(MAX(ROW(E$1:E3796)*(E2=E$1:E3796))))))</f>
        <v> </v>
      </c>
      <c r="K3797" s="26" t="str">
        <f>IF(OR(E3797="",E3797="!!!",F3797="NEW"),"",INDEX(J$1:J3796,SUMPRODUCT(MAX(ROW(E$1:E3796)*(E3797=E$1:E3796)))))</f>
        <v> </v>
      </c>
      <c r="L3797" s="27"/>
    </row>
    <row r="3798" spans="1:12">
      <c r="A3798" s="20" t="s">
        <v>1219</v>
      </c>
      <c r="E3798" s="22">
        <f>IF(D3798="?OLD","!!!","")</f>
        <v/>
      </c>
      <c r="F3798" s="23" t="str">
        <f>IF(OR(E3798="",E3798="!!!"),"",IF(NOT(ISNA(VLOOKUP(E3798,E$1:E3797,1,FALSE()))),"OLD",IF(AND(E3798&lt;&gt;"",E3798&lt;&gt;"!!!"),"NEW","")))</f>
        <v> </v>
      </c>
      <c r="G3798" s="24" t="str">
        <f>IF(OR(E3798="",E3798="!!!"),"",IF(OR(J3798=0,AND(J3798=1,K3798=1),AND(J3798=1,I3798="SBJ"),AND(J3798=1,I3798=0)),"?IN_FOCUS",IF(J3798&lt;=2,"?ACTIVATED",IF(J3798&lt;&gt;"","?FAMILIAR",IF(F3798="NEW",IF(ISNA(VLOOKUP(E3798,#REF!,1,FALSE())),"?TYPE_IDENTIFIABLE","?REFERENTIAL"),"_")))))</f>
        <v> </v>
      </c>
      <c r="H3798" s="25" t="str">
        <f>IF(J3798&lt;&gt;1,"",IF(I3798="SBJ","CB","?"))</f>
        <v> </v>
      </c>
      <c r="I3798" s="26" t="str">
        <f>IF(OR(E3798="",E3798="!!!",F3798="NEW"),"",INDEX(B3797:B$2,-1+SUMPRODUCT(MAX(ROW(E3797:E$2)*(E3798=E3797:E$2)))))</f>
        <v> </v>
      </c>
      <c r="J3798" s="26" t="str">
        <f>IF(OR(E3798="",E3798="!!!",F3798="NEW"),"",COUNTBLANK(OFFSET(A$1,,,SUMPRODUCT(MAX(ROW(E$2:E3798)*(E3798=E$2:E3798)))))-COUNTBLANK(OFFSET(A$1,,,SUMPRODUCT(MAX(ROW(E$1:E3797)*(E2=E$1:E3797))))))</f>
        <v> </v>
      </c>
      <c r="K3798" s="26" t="str">
        <f>IF(OR(E3798="",E3798="!!!",F3798="NEW"),"",INDEX(J$1:J3797,SUMPRODUCT(MAX(ROW(E$1:E3797)*(E3798=E$1:E3797)))))</f>
        <v> </v>
      </c>
      <c r="L3798" s="27"/>
    </row>
    <row r="3799" spans="1:12">
      <c r="A3799" s="20" t="s">
        <v>2286</v>
      </c>
      <c r="B3799" s="21" t="s">
        <v>1161</v>
      </c>
      <c r="C3799" s="21" t="s">
        <v>1187</v>
      </c>
      <c r="E3799" s="22">
        <f>IF(D3799="?OLD","!!!","")</f>
        <v/>
      </c>
      <c r="F3799" s="23" t="str">
        <f>IF(OR(E3799="",E3799="!!!"),"",IF(NOT(ISNA(VLOOKUP(E3799,E$1:E3798,1,FALSE()))),"OLD",IF(AND(E3799&lt;&gt;"",E3799&lt;&gt;"!!!"),"NEW","")))</f>
        <v> </v>
      </c>
      <c r="G3799" s="24" t="str">
        <f>IF(OR(E3799="",E3799="!!!"),"",IF(OR(J3799=0,AND(J3799=1,K3799=1),AND(J3799=1,I3799="SBJ"),AND(J3799=1,I3799=0)),"?IN_FOCUS",IF(J3799&lt;=2,"?ACTIVATED",IF(J3799&lt;&gt;"","?FAMILIAR",IF(F3799="NEW",IF(ISNA(VLOOKUP(E3799,#REF!,1,FALSE())),"?TYPE_IDENTIFIABLE","?REFERENTIAL"),"_")))))</f>
        <v> </v>
      </c>
      <c r="H3799" s="25" t="str">
        <f>IF(J3799&lt;&gt;1,"",IF(I3799="SBJ","CB","?"))</f>
        <v> </v>
      </c>
      <c r="I3799" s="26" t="str">
        <f>IF(OR(E3799="",E3799="!!!",F3799="NEW"),"",INDEX(B3798:B$2,-1+SUMPRODUCT(MAX(ROW(E3798:E$2)*(E3799=E3798:E$2)))))</f>
        <v> </v>
      </c>
      <c r="J3799" s="26" t="str">
        <f>IF(OR(E3799="",E3799="!!!",F3799="NEW"),"",COUNTBLANK(OFFSET(A$1,,,SUMPRODUCT(MAX(ROW(E$2:E3799)*(E3799=E$2:E3799)))))-COUNTBLANK(OFFSET(A$1,,,SUMPRODUCT(MAX(ROW(E$1:E3798)*(E2=E$1:E3798))))))</f>
        <v> </v>
      </c>
      <c r="K3799" s="26" t="str">
        <f>IF(OR(E3799="",E3799="!!!",F3799="NEW"),"",INDEX(J$1:J3798,SUMPRODUCT(MAX(ROW(E$1:E3798)*(E3799=E$1:E3798)))))</f>
        <v> </v>
      </c>
      <c r="L3799" s="27"/>
    </row>
    <row r="3800" spans="1:12">
      <c r="A3800" s="20" t="s">
        <v>2294</v>
      </c>
      <c r="E3800" s="22">
        <f>IF(D3800="?OLD","!!!","")</f>
        <v/>
      </c>
      <c r="F3800" s="23" t="str">
        <f>IF(OR(E3800="",E3800="!!!"),"",IF(NOT(ISNA(VLOOKUP(E3800,E$1:E3799,1,FALSE()))),"OLD",IF(AND(E3800&lt;&gt;"",E3800&lt;&gt;"!!!"),"NEW","")))</f>
        <v> </v>
      </c>
      <c r="G3800" s="24" t="str">
        <f>IF(OR(E3800="",E3800="!!!"),"",IF(OR(J3800=0,AND(J3800=1,K3800=1),AND(J3800=1,I3800="SBJ"),AND(J3800=1,I3800=0)),"?IN_FOCUS",IF(J3800&lt;=2,"?ACTIVATED",IF(J3800&lt;&gt;"","?FAMILIAR",IF(F3800="NEW",IF(ISNA(VLOOKUP(E3800,#REF!,1,FALSE())),"?TYPE_IDENTIFIABLE","?REFERENTIAL"),"_")))))</f>
        <v> </v>
      </c>
      <c r="H3800" s="25" t="str">
        <f>IF(J3800&lt;&gt;1,"",IF(I3800="SBJ","CB","?"))</f>
        <v> </v>
      </c>
      <c r="I3800" s="26" t="str">
        <f>IF(OR(E3800="",E3800="!!!",F3800="NEW"),"",INDEX(B3799:B$2,-1+SUMPRODUCT(MAX(ROW(E3799:E$2)*(E3800=E3799:E$2)))))</f>
        <v> </v>
      </c>
      <c r="J3800" s="26" t="str">
        <f>IF(OR(E3800="",E3800="!!!",F3800="NEW"),"",COUNTBLANK(OFFSET(A$1,,,SUMPRODUCT(MAX(ROW(E$2:E3800)*(E3800=E$2:E3800)))))-COUNTBLANK(OFFSET(A$1,,,SUMPRODUCT(MAX(ROW(E$1:E3799)*(E2=E$1:E3799))))))</f>
        <v> </v>
      </c>
      <c r="K3800" s="26" t="str">
        <f>IF(OR(E3800="",E3800="!!!",F3800="NEW"),"",INDEX(J$1:J3799,SUMPRODUCT(MAX(ROW(E$1:E3799)*(E3800=E$1:E3799)))))</f>
        <v> </v>
      </c>
      <c r="L3800" s="27"/>
    </row>
    <row r="3801" spans="1:12">
      <c r="A3801" s="20" t="s">
        <v>1166</v>
      </c>
      <c r="E3801" s="22">
        <f>IF(D3801="?OLD","!!!","")</f>
        <v/>
      </c>
      <c r="F3801" s="23" t="str">
        <f>IF(OR(E3801="",E3801="!!!"),"",IF(NOT(ISNA(VLOOKUP(E3801,E$1:E3800,1,FALSE()))),"OLD",IF(AND(E3801&lt;&gt;"",E3801&lt;&gt;"!!!"),"NEW","")))</f>
        <v> </v>
      </c>
      <c r="G3801" s="24" t="str">
        <f>IF(OR(E3801="",E3801="!!!"),"",IF(OR(J3801=0,AND(J3801=1,K3801=1),AND(J3801=1,I3801="SBJ"),AND(J3801=1,I3801=0)),"?IN_FOCUS",IF(J3801&lt;=2,"?ACTIVATED",IF(J3801&lt;&gt;"","?FAMILIAR",IF(F3801="NEW",IF(ISNA(VLOOKUP(E3801,#REF!,1,FALSE())),"?TYPE_IDENTIFIABLE","?REFERENTIAL"),"_")))))</f>
        <v> </v>
      </c>
      <c r="H3801" s="25" t="str">
        <f>IF(J3801&lt;&gt;1,"",IF(I3801="SBJ","CB","?"))</f>
        <v> </v>
      </c>
      <c r="I3801" s="26" t="str">
        <f>IF(OR(E3801="",E3801="!!!",F3801="NEW"),"",INDEX(B3800:B$2,-1+SUMPRODUCT(MAX(ROW(E3800:E$2)*(E3801=E3800:E$2)))))</f>
        <v> </v>
      </c>
      <c r="J3801" s="26" t="str">
        <f>IF(OR(E3801="",E3801="!!!",F3801="NEW"),"",COUNTBLANK(OFFSET(A$1,,,SUMPRODUCT(MAX(ROW(E$2:E3801)*(E3801=E$2:E3801)))))-COUNTBLANK(OFFSET(A$1,,,SUMPRODUCT(MAX(ROW(E$1:E3800)*(E2=E$1:E3800))))))</f>
        <v> </v>
      </c>
      <c r="K3801" s="26" t="str">
        <f>IF(OR(E3801="",E3801="!!!",F3801="NEW"),"",INDEX(J$1:J3800,SUMPRODUCT(MAX(ROW(E$1:E3800)*(E3801=E$1:E3800)))))</f>
        <v> </v>
      </c>
      <c r="L3801" s="27"/>
    </row>
    <row r="3802" spans="1:12">
      <c r="A3802" s="20" t="s">
        <v>2276</v>
      </c>
      <c r="E3802" s="22">
        <f>IF(D3802="?OLD","!!!","")</f>
        <v/>
      </c>
      <c r="F3802" s="23" t="str">
        <f>IF(OR(E3802="",E3802="!!!"),"",IF(NOT(ISNA(VLOOKUP(E3802,E$1:E3801,1,FALSE()))),"OLD",IF(AND(E3802&lt;&gt;"",E3802&lt;&gt;"!!!"),"NEW","")))</f>
        <v> </v>
      </c>
      <c r="G3802" s="24" t="str">
        <f>IF(OR(E3802="",E3802="!!!"),"",IF(OR(J3802=0,AND(J3802=1,K3802=1),AND(J3802=1,I3802="SBJ"),AND(J3802=1,I3802=0)),"?IN_FOCUS",IF(J3802&lt;=2,"?ACTIVATED",IF(J3802&lt;&gt;"","?FAMILIAR",IF(F3802="NEW",IF(ISNA(VLOOKUP(E3802,#REF!,1,FALSE())),"?TYPE_IDENTIFIABLE","?REFERENTIAL"),"_")))))</f>
        <v> </v>
      </c>
      <c r="H3802" s="25" t="str">
        <f>IF(J3802&lt;&gt;1,"",IF(I3802="SBJ","CB","?"))</f>
        <v> </v>
      </c>
      <c r="I3802" s="26" t="str">
        <f>IF(OR(E3802="",E3802="!!!",F3802="NEW"),"",INDEX(B3801:B$2,-1+SUMPRODUCT(MAX(ROW(E3801:E$2)*(E3802=E3801:E$2)))))</f>
        <v> </v>
      </c>
      <c r="J3802" s="26" t="str">
        <f>IF(OR(E3802="",E3802="!!!",F3802="NEW"),"",COUNTBLANK(OFFSET(A$1,,,SUMPRODUCT(MAX(ROW(E$2:E3802)*(E3802=E$2:E3802)))))-COUNTBLANK(OFFSET(A$1,,,SUMPRODUCT(MAX(ROW(E$1:E3801)*(E2=E$1:E3801))))))</f>
        <v> </v>
      </c>
      <c r="K3802" s="26" t="str">
        <f>IF(OR(E3802="",E3802="!!!",F3802="NEW"),"",INDEX(J$1:J3801,SUMPRODUCT(MAX(ROW(E$1:E3801)*(E3802=E$1:E3801)))))</f>
        <v> </v>
      </c>
      <c r="L3802" s="27"/>
    </row>
    <row r="3803" spans="1:12">
      <c r="A3803" s="20" t="s">
        <v>1787</v>
      </c>
      <c r="E3803" s="22">
        <f>IF(D3803="?OLD","!!!","")</f>
        <v/>
      </c>
      <c r="F3803" s="23" t="str">
        <f>IF(OR(E3803="",E3803="!!!"),"",IF(NOT(ISNA(VLOOKUP(E3803,E$1:E3802,1,FALSE()))),"OLD",IF(AND(E3803&lt;&gt;"",E3803&lt;&gt;"!!!"),"NEW","")))</f>
        <v> </v>
      </c>
      <c r="G3803" s="24" t="str">
        <f>IF(OR(E3803="",E3803="!!!"),"",IF(OR(J3803=0,AND(J3803=1,K3803=1),AND(J3803=1,I3803="SBJ"),AND(J3803=1,I3803=0)),"?IN_FOCUS",IF(J3803&lt;=2,"?ACTIVATED",IF(J3803&lt;&gt;"","?FAMILIAR",IF(F3803="NEW",IF(ISNA(VLOOKUP(E3803,#REF!,1,FALSE())),"?TYPE_IDENTIFIABLE","?REFERENTIAL"),"_")))))</f>
        <v> </v>
      </c>
      <c r="H3803" s="25" t="str">
        <f>IF(J3803&lt;&gt;1,"",IF(I3803="SBJ","CB","?"))</f>
        <v> </v>
      </c>
      <c r="I3803" s="26" t="str">
        <f>IF(OR(E3803="",E3803="!!!",F3803="NEW"),"",INDEX(B3802:B$2,-1+SUMPRODUCT(MAX(ROW(E3802:E$2)*(E3803=E3802:E$2)))))</f>
        <v> </v>
      </c>
      <c r="J3803" s="26" t="str">
        <f>IF(OR(E3803="",E3803="!!!",F3803="NEW"),"",COUNTBLANK(OFFSET(A$1,,,SUMPRODUCT(MAX(ROW(E$2:E3803)*(E3803=E$2:E3803)))))-COUNTBLANK(OFFSET(A$1,,,SUMPRODUCT(MAX(ROW(E$1:E3802)*(E2=E$1:E3802))))))</f>
        <v> </v>
      </c>
      <c r="K3803" s="26" t="str">
        <f>IF(OR(E3803="",E3803="!!!",F3803="NEW"),"",INDEX(J$1:J3802,SUMPRODUCT(MAX(ROW(E$1:E3802)*(E3803=E$1:E3802)))))</f>
        <v> </v>
      </c>
      <c r="L3803" s="27"/>
    </row>
    <row r="3804" spans="1:12">
      <c r="A3804" s="20" t="s">
        <v>2294</v>
      </c>
      <c r="E3804" s="22">
        <f>IF(D3804="?OLD","!!!","")</f>
        <v/>
      </c>
      <c r="F3804" s="23" t="str">
        <f>IF(OR(E3804="",E3804="!!!"),"",IF(NOT(ISNA(VLOOKUP(E3804,E$1:E3803,1,FALSE()))),"OLD",IF(AND(E3804&lt;&gt;"",E3804&lt;&gt;"!!!"),"NEW","")))</f>
        <v> </v>
      </c>
      <c r="G3804" s="24" t="str">
        <f>IF(OR(E3804="",E3804="!!!"),"",IF(OR(J3804=0,AND(J3804=1,K3804=1),AND(J3804=1,I3804="SBJ"),AND(J3804=1,I3804=0)),"?IN_FOCUS",IF(J3804&lt;=2,"?ACTIVATED",IF(J3804&lt;&gt;"","?FAMILIAR",IF(F3804="NEW",IF(ISNA(VLOOKUP(E3804,#REF!,1,FALSE())),"?TYPE_IDENTIFIABLE","?REFERENTIAL"),"_")))))</f>
        <v> </v>
      </c>
      <c r="H3804" s="25" t="str">
        <f>IF(J3804&lt;&gt;1,"",IF(I3804="SBJ","CB","?"))</f>
        <v> </v>
      </c>
      <c r="I3804" s="26" t="str">
        <f>IF(OR(E3804="",E3804="!!!",F3804="NEW"),"",INDEX(B3803:B$2,-1+SUMPRODUCT(MAX(ROW(E3803:E$2)*(E3804=E3803:E$2)))))</f>
        <v> </v>
      </c>
      <c r="J3804" s="26" t="str">
        <f>IF(OR(E3804="",E3804="!!!",F3804="NEW"),"",COUNTBLANK(OFFSET(A$1,,,SUMPRODUCT(MAX(ROW(E$2:E3804)*(E3804=E$2:E3804)))))-COUNTBLANK(OFFSET(A$1,,,SUMPRODUCT(MAX(ROW(E$1:E3803)*(E2=E$1:E3803))))))</f>
        <v> </v>
      </c>
      <c r="K3804" s="26" t="str">
        <f>IF(OR(E3804="",E3804="!!!",F3804="NEW"),"",INDEX(J$1:J3803,SUMPRODUCT(MAX(ROW(E$1:E3803)*(E3804=E$1:E3803)))))</f>
        <v> </v>
      </c>
      <c r="L3804" s="27"/>
    </row>
    <row r="3805" spans="1:12">
      <c r="A3805" s="20" t="s">
        <v>1230</v>
      </c>
      <c r="B3805" s="21" t="s">
        <v>1142</v>
      </c>
      <c r="C3805" s="21" t="s">
        <v>1151</v>
      </c>
      <c r="D3805" s="21" t="s">
        <v>1144</v>
      </c>
      <c r="E3805" s="22">
        <f>IF(D3805="?OLD","!!!","")</f>
        <v/>
      </c>
      <c r="F3805" s="23" t="str">
        <f>IF(OR(E3805="",E3805="!!!"),"",IF(NOT(ISNA(VLOOKUP(E3805,E$1:E3804,1,FALSE()))),"OLD",IF(AND(E3805&lt;&gt;"",E3805&lt;&gt;"!!!"),"NEW","")))</f>
        <v> </v>
      </c>
      <c r="G3805" s="24" t="str">
        <f>IF(OR(E3805="",E3805="!!!"),"",IF(OR(J3805=0,AND(J3805=1,K3805=1),AND(J3805=1,I3805="SBJ"),AND(J3805=1,I3805=0)),"?IN_FOCUS",IF(J3805&lt;=2,"?ACTIVATED",IF(J3805&lt;&gt;"","?FAMILIAR",IF(F3805="NEW",IF(ISNA(VLOOKUP(E3805,#REF!,1,FALSE())),"?TYPE_IDENTIFIABLE","?REFERENTIAL"),"_")))))</f>
        <v> </v>
      </c>
      <c r="H3805" s="25" t="str">
        <f>IF(J3805&lt;&gt;1,"",IF(I3805="SBJ","CB","?"))</f>
        <v> </v>
      </c>
      <c r="I3805" s="26" t="str">
        <f>IF(OR(E3805="",E3805="!!!",F3805="NEW"),"",INDEX(B3804:B$2,-1+SUMPRODUCT(MAX(ROW(E3804:E$2)*(E3805=E3804:E$2)))))</f>
        <v> </v>
      </c>
      <c r="J3805" s="26" t="str">
        <f>IF(OR(E3805="",E3805="!!!",F3805="NEW"),"",COUNTBLANK(OFFSET(A$1,,,SUMPRODUCT(MAX(ROW(E$2:E3805)*(E3805=E$2:E3805)))))-COUNTBLANK(OFFSET(A$1,,,SUMPRODUCT(MAX(ROW(E$1:E3804)*(E2=E$1:E3804))))))</f>
        <v> </v>
      </c>
      <c r="K3805" s="26" t="str">
        <f>IF(OR(E3805="",E3805="!!!",F3805="NEW"),"",INDEX(J$1:J3804,SUMPRODUCT(MAX(ROW(E$1:E3804)*(E3805=E$1:E3804)))))</f>
        <v> </v>
      </c>
      <c r="L3805" s="27"/>
    </row>
    <row r="3806" spans="1:12">
      <c r="A3806" s="20" t="s">
        <v>1905</v>
      </c>
      <c r="E3806" s="22">
        <f>IF(D3806="?OLD","!!!","")</f>
        <v/>
      </c>
      <c r="F3806" s="23" t="str">
        <f>IF(OR(E3806="",E3806="!!!"),"",IF(NOT(ISNA(VLOOKUP(E3806,E$1:E3805,1,FALSE()))),"OLD",IF(AND(E3806&lt;&gt;"",E3806&lt;&gt;"!!!"),"NEW","")))</f>
        <v> </v>
      </c>
      <c r="G3806" s="24" t="str">
        <f>IF(OR(E3806="",E3806="!!!"),"",IF(OR(J3806=0,AND(J3806=1,K3806=1),AND(J3806=1,I3806="SBJ"),AND(J3806=1,I3806=0)),"?IN_FOCUS",IF(J3806&lt;=2,"?ACTIVATED",IF(J3806&lt;&gt;"","?FAMILIAR",IF(F3806="NEW",IF(ISNA(VLOOKUP(E3806,#REF!,1,FALSE())),"?TYPE_IDENTIFIABLE","?REFERENTIAL"),"_")))))</f>
        <v> </v>
      </c>
      <c r="H3806" s="25" t="str">
        <f>IF(J3806&lt;&gt;1,"",IF(I3806="SBJ","CB","?"))</f>
        <v> </v>
      </c>
      <c r="I3806" s="26" t="str">
        <f>IF(OR(E3806="",E3806="!!!",F3806="NEW"),"",INDEX(B3805:B$2,-1+SUMPRODUCT(MAX(ROW(E3805:E$2)*(E3806=E3805:E$2)))))</f>
        <v> </v>
      </c>
      <c r="J3806" s="26" t="str">
        <f>IF(OR(E3806="",E3806="!!!",F3806="NEW"),"",COUNTBLANK(OFFSET(A$1,,,SUMPRODUCT(MAX(ROW(E$2:E3806)*(E3806=E$2:E3806)))))-COUNTBLANK(OFFSET(A$1,,,SUMPRODUCT(MAX(ROW(E$1:E3805)*(E2=E$1:E3805))))))</f>
        <v> </v>
      </c>
      <c r="K3806" s="26" t="str">
        <f>IF(OR(E3806="",E3806="!!!",F3806="NEW"),"",INDEX(J$1:J3805,SUMPRODUCT(MAX(ROW(E$1:E3805)*(E3806=E$1:E3805)))))</f>
        <v> </v>
      </c>
      <c r="L3806" s="27"/>
    </row>
    <row r="3807" spans="1:12">
      <c r="A3807" s="20" t="s">
        <v>1166</v>
      </c>
      <c r="E3807" s="22">
        <f>IF(D3807="?OLD","!!!","")</f>
        <v/>
      </c>
      <c r="F3807" s="23" t="str">
        <f>IF(OR(E3807="",E3807="!!!"),"",IF(NOT(ISNA(VLOOKUP(E3807,E$1:E3806,1,FALSE()))),"OLD",IF(AND(E3807&lt;&gt;"",E3807&lt;&gt;"!!!"),"NEW","")))</f>
        <v> </v>
      </c>
      <c r="G3807" s="24" t="str">
        <f>IF(OR(E3807="",E3807="!!!"),"",IF(OR(J3807=0,AND(J3807=1,K3807=1),AND(J3807=1,I3807="SBJ"),AND(J3807=1,I3807=0)),"?IN_FOCUS",IF(J3807&lt;=2,"?ACTIVATED",IF(J3807&lt;&gt;"","?FAMILIAR",IF(F3807="NEW",IF(ISNA(VLOOKUP(E3807,#REF!,1,FALSE())),"?TYPE_IDENTIFIABLE","?REFERENTIAL"),"_")))))</f>
        <v> </v>
      </c>
      <c r="H3807" s="25" t="str">
        <f>IF(J3807&lt;&gt;1,"",IF(I3807="SBJ","CB","?"))</f>
        <v> </v>
      </c>
      <c r="I3807" s="26" t="str">
        <f>IF(OR(E3807="",E3807="!!!",F3807="NEW"),"",INDEX(B3806:B$2,-1+SUMPRODUCT(MAX(ROW(E3806:E$2)*(E3807=E3806:E$2)))))</f>
        <v> </v>
      </c>
      <c r="J3807" s="26" t="str">
        <f>IF(OR(E3807="",E3807="!!!",F3807="NEW"),"",COUNTBLANK(OFFSET(A$1,,,SUMPRODUCT(MAX(ROW(E$2:E3807)*(E3807=E$2:E3807)))))-COUNTBLANK(OFFSET(A$1,,,SUMPRODUCT(MAX(ROW(E$1:E3806)*(E2=E$1:E3806))))))</f>
        <v> </v>
      </c>
      <c r="K3807" s="26" t="str">
        <f>IF(OR(E3807="",E3807="!!!",F3807="NEW"),"",INDEX(J$1:J3806,SUMPRODUCT(MAX(ROW(E$1:E3806)*(E3807=E$1:E3806)))))</f>
        <v> </v>
      </c>
      <c r="L3807" s="27"/>
    </row>
    <row r="3808" spans="1:12">
      <c r="A3808" s="20" t="s">
        <v>1309</v>
      </c>
      <c r="B3808" s="21" t="s">
        <v>1142</v>
      </c>
      <c r="C3808" s="21" t="s">
        <v>1168</v>
      </c>
      <c r="D3808" s="21" t="s">
        <v>1144</v>
      </c>
      <c r="E3808" s="22">
        <f>IF(D3808="?OLD","!!!","")</f>
        <v/>
      </c>
      <c r="F3808" s="23" t="str">
        <f>IF(OR(E3808="",E3808="!!!"),"",IF(NOT(ISNA(VLOOKUP(E3808,E$1:E3807,1,FALSE()))),"OLD",IF(AND(E3808&lt;&gt;"",E3808&lt;&gt;"!!!"),"NEW","")))</f>
        <v> </v>
      </c>
      <c r="G3808" s="24" t="str">
        <f>IF(OR(E3808="",E3808="!!!"),"",IF(OR(J3808=0,AND(J3808=1,K3808=1),AND(J3808=1,I3808="SBJ"),AND(J3808=1,I3808=0)),"?IN_FOCUS",IF(J3808&lt;=2,"?ACTIVATED",IF(J3808&lt;&gt;"","?FAMILIAR",IF(F3808="NEW",IF(ISNA(VLOOKUP(E3808,#REF!,1,FALSE())),"?TYPE_IDENTIFIABLE","?REFERENTIAL"),"_")))))</f>
        <v> </v>
      </c>
      <c r="H3808" s="25" t="str">
        <f>IF(J3808&lt;&gt;1,"",IF(I3808="SBJ","CB","?"))</f>
        <v> </v>
      </c>
      <c r="I3808" s="26" t="str">
        <f>IF(OR(E3808="",E3808="!!!",F3808="NEW"),"",INDEX(B3807:B$2,-1+SUMPRODUCT(MAX(ROW(E3807:E$2)*(E3808=E3807:E$2)))))</f>
        <v> </v>
      </c>
      <c r="J3808" s="26" t="str">
        <f>IF(OR(E3808="",E3808="!!!",F3808="NEW"),"",COUNTBLANK(OFFSET(A$1,,,SUMPRODUCT(MAX(ROW(E$2:E3808)*(E3808=E$2:E3808)))))-COUNTBLANK(OFFSET(A$1,,,SUMPRODUCT(MAX(ROW(E$1:E3807)*(E2=E$1:E3807))))))</f>
        <v> </v>
      </c>
      <c r="K3808" s="26" t="str">
        <f>IF(OR(E3808="",E3808="!!!",F3808="NEW"),"",INDEX(J$1:J3807,SUMPRODUCT(MAX(ROW(E$1:E3807)*(E3808=E$1:E3807)))))</f>
        <v> </v>
      </c>
      <c r="L3808" s="27"/>
    </row>
    <row r="3809" spans="1:12">
      <c r="A3809" s="20" t="s">
        <v>1979</v>
      </c>
      <c r="E3809" s="22">
        <f>IF(D3809="?OLD","!!!","")</f>
        <v/>
      </c>
      <c r="F3809" s="23" t="str">
        <f>IF(OR(E3809="",E3809="!!!"),"",IF(NOT(ISNA(VLOOKUP(E3809,E$1:E3808,1,FALSE()))),"OLD",IF(AND(E3809&lt;&gt;"",E3809&lt;&gt;"!!!"),"NEW","")))</f>
        <v> </v>
      </c>
      <c r="G3809" s="24" t="str">
        <f>IF(OR(E3809="",E3809="!!!"),"",IF(OR(J3809=0,AND(J3809=1,K3809=1),AND(J3809=1,I3809="SBJ"),AND(J3809=1,I3809=0)),"?IN_FOCUS",IF(J3809&lt;=2,"?ACTIVATED",IF(J3809&lt;&gt;"","?FAMILIAR",IF(F3809="NEW",IF(ISNA(VLOOKUP(E3809,#REF!,1,FALSE())),"?TYPE_IDENTIFIABLE","?REFERENTIAL"),"_")))))</f>
        <v> </v>
      </c>
      <c r="H3809" s="25" t="str">
        <f>IF(J3809&lt;&gt;1,"",IF(I3809="SBJ","CB","?"))</f>
        <v> </v>
      </c>
      <c r="I3809" s="26" t="str">
        <f>IF(OR(E3809="",E3809="!!!",F3809="NEW"),"",INDEX(B3808:B$2,-1+SUMPRODUCT(MAX(ROW(E3808:E$2)*(E3809=E3808:E$2)))))</f>
        <v> </v>
      </c>
      <c r="J3809" s="26" t="str">
        <f>IF(OR(E3809="",E3809="!!!",F3809="NEW"),"",COUNTBLANK(OFFSET(A$1,,,SUMPRODUCT(MAX(ROW(E$2:E3809)*(E3809=E$2:E3809)))))-COUNTBLANK(OFFSET(A$1,,,SUMPRODUCT(MAX(ROW(E$1:E3808)*(E2=E$1:E3808))))))</f>
        <v> </v>
      </c>
      <c r="K3809" s="26" t="str">
        <f>IF(OR(E3809="",E3809="!!!",F3809="NEW"),"",INDEX(J$1:J3808,SUMPRODUCT(MAX(ROW(E$1:E3808)*(E3809=E$1:E3808)))))</f>
        <v> </v>
      </c>
      <c r="L3809" s="27"/>
    </row>
    <row r="3810" spans="1:12">
      <c r="A3810" s="20" t="s">
        <v>1301</v>
      </c>
      <c r="E3810" s="22">
        <f>IF(D3810="?OLD","!!!","")</f>
        <v/>
      </c>
      <c r="F3810" s="23" t="str">
        <f>IF(OR(E3810="",E3810="!!!"),"",IF(NOT(ISNA(VLOOKUP(E3810,E$1:E3809,1,FALSE()))),"OLD",IF(AND(E3810&lt;&gt;"",E3810&lt;&gt;"!!!"),"NEW","")))</f>
        <v> </v>
      </c>
      <c r="G3810" s="24" t="str">
        <f>IF(OR(E3810="",E3810="!!!"),"",IF(OR(J3810=0,AND(J3810=1,K3810=1),AND(J3810=1,I3810="SBJ"),AND(J3810=1,I3810=0)),"?IN_FOCUS",IF(J3810&lt;=2,"?ACTIVATED",IF(J3810&lt;&gt;"","?FAMILIAR",IF(F3810="NEW",IF(ISNA(VLOOKUP(E3810,#REF!,1,FALSE())),"?TYPE_IDENTIFIABLE","?REFERENTIAL"),"_")))))</f>
        <v> </v>
      </c>
      <c r="H3810" s="25" t="str">
        <f>IF(J3810&lt;&gt;1,"",IF(I3810="SBJ","CB","?"))</f>
        <v> </v>
      </c>
      <c r="I3810" s="26" t="str">
        <f>IF(OR(E3810="",E3810="!!!",F3810="NEW"),"",INDEX(B3809:B$2,-1+SUMPRODUCT(MAX(ROW(E3809:E$2)*(E3810=E3809:E$2)))))</f>
        <v> </v>
      </c>
      <c r="J3810" s="26" t="str">
        <f>IF(OR(E3810="",E3810="!!!",F3810="NEW"),"",COUNTBLANK(OFFSET(A$1,,,SUMPRODUCT(MAX(ROW(E$2:E3810)*(E3810=E$2:E3810)))))-COUNTBLANK(OFFSET(A$1,,,SUMPRODUCT(MAX(ROW(E$1:E3809)*(E2=E$1:E3809))))))</f>
        <v> </v>
      </c>
      <c r="K3810" s="26" t="str">
        <f>IF(OR(E3810="",E3810="!!!",F3810="NEW"),"",INDEX(J$1:J3809,SUMPRODUCT(MAX(ROW(E$1:E3809)*(E3810=E$1:E3809)))))</f>
        <v> </v>
      </c>
      <c r="L3810" s="27"/>
    </row>
    <row r="3811" spans="1:12">
      <c r="A3811" s="20" t="s">
        <v>312</v>
      </c>
      <c r="E3811" s="22">
        <f>IF(D3811="?OLD","!!!","")</f>
        <v/>
      </c>
      <c r="F3811" s="23" t="str">
        <f>IF(OR(E3811="",E3811="!!!"),"",IF(NOT(ISNA(VLOOKUP(E3811,E$1:E3810,1,FALSE()))),"OLD",IF(AND(E3811&lt;&gt;"",E3811&lt;&gt;"!!!"),"NEW","")))</f>
        <v> </v>
      </c>
      <c r="G3811" s="24" t="str">
        <f>IF(OR(E3811="",E3811="!!!"),"",IF(OR(J3811=0,AND(J3811=1,K3811=1),AND(J3811=1,I3811="SBJ"),AND(J3811=1,I3811=0)),"?IN_FOCUS",IF(J3811&lt;=2,"?ACTIVATED",IF(J3811&lt;&gt;"","?FAMILIAR",IF(F3811="NEW",IF(ISNA(VLOOKUP(E3811,#REF!,1,FALSE())),"?TYPE_IDENTIFIABLE","?REFERENTIAL"),"_")))))</f>
        <v> </v>
      </c>
      <c r="H3811" s="25" t="str">
        <f>IF(J3811&lt;&gt;1,"",IF(I3811="SBJ","CB","?"))</f>
        <v> </v>
      </c>
      <c r="I3811" s="26" t="str">
        <f>IF(OR(E3811="",E3811="!!!",F3811="NEW"),"",INDEX(B3810:B$2,-1+SUMPRODUCT(MAX(ROW(E3810:E$2)*(E3811=E3810:E$2)))))</f>
        <v> </v>
      </c>
      <c r="J3811" s="26" t="str">
        <f>IF(OR(E3811="",E3811="!!!",F3811="NEW"),"",COUNTBLANK(OFFSET(A$1,,,SUMPRODUCT(MAX(ROW(E$2:E3811)*(E3811=E$2:E3811)))))-COUNTBLANK(OFFSET(A$1,,,SUMPRODUCT(MAX(ROW(E$1:E3810)*(E2=E$1:E3810))))))</f>
        <v> </v>
      </c>
      <c r="K3811" s="26" t="str">
        <f>IF(OR(E3811="",E3811="!!!",F3811="NEW"),"",INDEX(J$1:J3810,SUMPRODUCT(MAX(ROW(E$1:E3810)*(E3811=E$1:E3810)))))</f>
        <v> </v>
      </c>
      <c r="L3811" s="27"/>
    </row>
    <row r="3812" spans="1:12">
      <c r="A3812" s="20"/>
    </row>
    <row r="3813" spans="1:12">
      <c r="A3813" s="20" t="s">
        <v>2295</v>
      </c>
    </row>
    <row r="3814" spans="1:12">
      <c r="A3814" s="20" t="s">
        <v>1816</v>
      </c>
      <c r="B3814" s="21" t="s">
        <v>1165</v>
      </c>
      <c r="C3814" s="21" t="s">
        <v>1151</v>
      </c>
      <c r="D3814" s="21" t="s">
        <v>1144</v>
      </c>
      <c r="E3814" s="22">
        <f>IF(D3814="?OLD","!!!","")</f>
        <v/>
      </c>
      <c r="F3814" s="23" t="str">
        <f>IF(OR(E3814="",E3814="!!!"),"",IF(NOT(ISNA(VLOOKUP(E3814,E$1:E3813,1,FALSE()))),"OLD",IF(AND(E3814&lt;&gt;"",E3814&lt;&gt;"!!!"),"NEW","")))</f>
        <v> </v>
      </c>
      <c r="G3814" s="24" t="str">
        <f>IF(OR(E3814="",E3814="!!!"),"",IF(OR(J3814=0,AND(J3814=1,K3814=1),AND(J3814=1,I3814="SBJ"),AND(J3814=1,I3814=0)),"?IN_FOCUS",IF(J3814&lt;=2,"?ACTIVATED",IF(J3814&lt;&gt;"","?FAMILIAR",IF(F3814="NEW",IF(ISNA(VLOOKUP(E3814,#REF!,1,FALSE())),"?TYPE_IDENTIFIABLE","?REFERENTIAL"),"_")))))</f>
        <v> </v>
      </c>
      <c r="H3814" s="25" t="str">
        <f>IF(J3814&lt;&gt;1,"",IF(I3814="SBJ","CB","?"))</f>
        <v> </v>
      </c>
      <c r="I3814" s="26" t="str">
        <f>IF(OR(E3814="",E3814="!!!",F3814="NEW"),"",INDEX(B3813:B$2,-1+SUMPRODUCT(MAX(ROW(E3813:E$2)*(E3814=E3813:E$2)))))</f>
        <v> </v>
      </c>
      <c r="J3814" s="26" t="str">
        <f>IF(OR(E3814="",E3814="!!!",F3814="NEW"),"",COUNTBLANK(OFFSET(A$1,,,SUMPRODUCT(MAX(ROW(E$2:E3814)*(E3814=E$2:E3814)))))-COUNTBLANK(OFFSET(A$1,,,SUMPRODUCT(MAX(ROW(E$1:E3813)*(E2=E$1:E3813))))))</f>
        <v> </v>
      </c>
      <c r="K3814" s="26" t="str">
        <f>IF(OR(E3814="",E3814="!!!",F3814="NEW"),"",INDEX(J$1:J3813,SUMPRODUCT(MAX(ROW(E$1:E3813)*(E3814=E$1:E3813)))))</f>
        <v> </v>
      </c>
      <c r="L3814" s="27"/>
    </row>
    <row r="3815" spans="1:12">
      <c r="A3815" s="20" t="s">
        <v>2294</v>
      </c>
      <c r="E3815" s="22">
        <f>IF(D3815="?OLD","!!!","")</f>
        <v/>
      </c>
      <c r="F3815" s="23" t="str">
        <f>IF(OR(E3815="",E3815="!!!"),"",IF(NOT(ISNA(VLOOKUP(E3815,E$1:E3814,1,FALSE()))),"OLD",IF(AND(E3815&lt;&gt;"",E3815&lt;&gt;"!!!"),"NEW","")))</f>
        <v> </v>
      </c>
      <c r="G3815" s="24" t="str">
        <f>IF(OR(E3815="",E3815="!!!"),"",IF(OR(J3815=0,AND(J3815=1,K3815=1),AND(J3815=1,I3815="SBJ"),AND(J3815=1,I3815=0)),"?IN_FOCUS",IF(J3815&lt;=2,"?ACTIVATED",IF(J3815&lt;&gt;"","?FAMILIAR",IF(F3815="NEW",IF(ISNA(VLOOKUP(E3815,#REF!,1,FALSE())),"?TYPE_IDENTIFIABLE","?REFERENTIAL"),"_")))))</f>
        <v> </v>
      </c>
      <c r="H3815" s="25" t="str">
        <f>IF(J3815&lt;&gt;1,"",IF(I3815="SBJ","CB","?"))</f>
        <v> </v>
      </c>
      <c r="I3815" s="26" t="str">
        <f>IF(OR(E3815="",E3815="!!!",F3815="NEW"),"",INDEX(B3814:B$2,-1+SUMPRODUCT(MAX(ROW(E3814:E$2)*(E3815=E3814:E$2)))))</f>
        <v> </v>
      </c>
      <c r="J3815" s="26" t="str">
        <f>IF(OR(E3815="",E3815="!!!",F3815="NEW"),"",COUNTBLANK(OFFSET(A$1,,,SUMPRODUCT(MAX(ROW(E$2:E3815)*(E3815=E$2:E3815)))))-COUNTBLANK(OFFSET(A$1,,,SUMPRODUCT(MAX(ROW(E$1:E3814)*(E2=E$1:E3814))))))</f>
        <v> </v>
      </c>
      <c r="K3815" s="26" t="str">
        <f>IF(OR(E3815="",E3815="!!!",F3815="NEW"),"",INDEX(J$1:J3814,SUMPRODUCT(MAX(ROW(E$1:E3814)*(E3815=E$1:E3814)))))</f>
        <v> </v>
      </c>
      <c r="L3815" s="27"/>
    </row>
    <row r="3816" spans="1:12">
      <c r="A3816" s="20" t="s">
        <v>1166</v>
      </c>
      <c r="E3816" s="22">
        <f>IF(D3816="?OLD","!!!","")</f>
        <v/>
      </c>
      <c r="F3816" s="23" t="str">
        <f>IF(OR(E3816="",E3816="!!!"),"",IF(NOT(ISNA(VLOOKUP(E3816,E$1:E3815,1,FALSE()))),"OLD",IF(AND(E3816&lt;&gt;"",E3816&lt;&gt;"!!!"),"NEW","")))</f>
        <v> </v>
      </c>
      <c r="G3816" s="24" t="str">
        <f>IF(OR(E3816="",E3816="!!!"),"",IF(OR(J3816=0,AND(J3816=1,K3816=1),AND(J3816=1,I3816="SBJ"),AND(J3816=1,I3816=0)),"?IN_FOCUS",IF(J3816&lt;=2,"?ACTIVATED",IF(J3816&lt;&gt;"","?FAMILIAR",IF(F3816="NEW",IF(ISNA(VLOOKUP(E3816,#REF!,1,FALSE())),"?TYPE_IDENTIFIABLE","?REFERENTIAL"),"_")))))</f>
        <v> </v>
      </c>
      <c r="H3816" s="25" t="str">
        <f>IF(J3816&lt;&gt;1,"",IF(I3816="SBJ","CB","?"))</f>
        <v> </v>
      </c>
      <c r="I3816" s="26" t="str">
        <f>IF(OR(E3816="",E3816="!!!",F3816="NEW"),"",INDEX(B3815:B$2,-1+SUMPRODUCT(MAX(ROW(E3815:E$2)*(E3816=E3815:E$2)))))</f>
        <v> </v>
      </c>
      <c r="J3816" s="26" t="str">
        <f>IF(OR(E3816="",E3816="!!!",F3816="NEW"),"",COUNTBLANK(OFFSET(A$1,,,SUMPRODUCT(MAX(ROW(E$2:E3816)*(E3816=E$2:E3816)))))-COUNTBLANK(OFFSET(A$1,,,SUMPRODUCT(MAX(ROW(E$1:E3815)*(E2=E$1:E3815))))))</f>
        <v> </v>
      </c>
      <c r="K3816" s="26" t="str">
        <f>IF(OR(E3816="",E3816="!!!",F3816="NEW"),"",INDEX(J$1:J3815,SUMPRODUCT(MAX(ROW(E$1:E3815)*(E3816=E$1:E3815)))))</f>
        <v> </v>
      </c>
      <c r="L3816" s="27"/>
    </row>
    <row r="3817" spans="1:12">
      <c r="A3817" s="20" t="s">
        <v>1174</v>
      </c>
      <c r="E3817" s="22">
        <f>IF(D3817="?OLD","!!!","")</f>
        <v/>
      </c>
      <c r="F3817" s="23" t="str">
        <f>IF(OR(E3817="",E3817="!!!"),"",IF(NOT(ISNA(VLOOKUP(E3817,E$1:E3816,1,FALSE()))),"OLD",IF(AND(E3817&lt;&gt;"",E3817&lt;&gt;"!!!"),"NEW","")))</f>
        <v> </v>
      </c>
      <c r="G3817" s="24" t="str">
        <f>IF(OR(E3817="",E3817="!!!"),"",IF(OR(J3817=0,AND(J3817=1,K3817=1),AND(J3817=1,I3817="SBJ"),AND(J3817=1,I3817=0)),"?IN_FOCUS",IF(J3817&lt;=2,"?ACTIVATED",IF(J3817&lt;&gt;"","?FAMILIAR",IF(F3817="NEW",IF(ISNA(VLOOKUP(E3817,#REF!,1,FALSE())),"?TYPE_IDENTIFIABLE","?REFERENTIAL"),"_")))))</f>
        <v> </v>
      </c>
      <c r="H3817" s="25" t="str">
        <f>IF(J3817&lt;&gt;1,"",IF(I3817="SBJ","CB","?"))</f>
        <v> </v>
      </c>
      <c r="I3817" s="26" t="str">
        <f>IF(OR(E3817="",E3817="!!!",F3817="NEW"),"",INDEX(B3816:B$2,-1+SUMPRODUCT(MAX(ROW(E3816:E$2)*(E3817=E3816:E$2)))))</f>
        <v> </v>
      </c>
      <c r="J3817" s="26" t="str">
        <f>IF(OR(E3817="",E3817="!!!",F3817="NEW"),"",COUNTBLANK(OFFSET(A$1,,,SUMPRODUCT(MAX(ROW(E$2:E3817)*(E3817=E$2:E3817)))))-COUNTBLANK(OFFSET(A$1,,,SUMPRODUCT(MAX(ROW(E$1:E3816)*(E2=E$1:E3816))))))</f>
        <v> </v>
      </c>
      <c r="K3817" s="26" t="str">
        <f>IF(OR(E3817="",E3817="!!!",F3817="NEW"),"",INDEX(J$1:J3816,SUMPRODUCT(MAX(ROW(E$1:E3816)*(E3817=E$1:E3816)))))</f>
        <v> </v>
      </c>
      <c r="L3817" s="27"/>
    </row>
    <row r="3818" spans="1:12">
      <c r="A3818" s="20" t="s">
        <v>1792</v>
      </c>
      <c r="B3818" s="21" t="s">
        <v>1142</v>
      </c>
      <c r="C3818" s="21" t="s">
        <v>1143</v>
      </c>
      <c r="D3818" s="21" t="s">
        <v>1144</v>
      </c>
      <c r="E3818" s="22">
        <f>IF(D3818="?OLD","!!!","")</f>
        <v/>
      </c>
      <c r="F3818" s="23" t="str">
        <f>IF(OR(E3818="",E3818="!!!"),"",IF(NOT(ISNA(VLOOKUP(E3818,E$1:E3817,1,FALSE()))),"OLD",IF(AND(E3818&lt;&gt;"",E3818&lt;&gt;"!!!"),"NEW","")))</f>
        <v> </v>
      </c>
      <c r="G3818" s="24" t="str">
        <f>IF(OR(E3818="",E3818="!!!"),"",IF(OR(J3818=0,AND(J3818=1,K3818=1),AND(J3818=1,I3818="SBJ"),AND(J3818=1,I3818=0)),"?IN_FOCUS",IF(J3818&lt;=2,"?ACTIVATED",IF(J3818&lt;&gt;"","?FAMILIAR",IF(F3818="NEW",IF(ISNA(VLOOKUP(E3818,#REF!,1,FALSE())),"?TYPE_IDENTIFIABLE","?REFERENTIAL"),"_")))))</f>
        <v> </v>
      </c>
      <c r="H3818" s="25" t="str">
        <f>IF(J3818&lt;&gt;1,"",IF(I3818="SBJ","CB","?"))</f>
        <v> </v>
      </c>
      <c r="I3818" s="26" t="str">
        <f>IF(OR(E3818="",E3818="!!!",F3818="NEW"),"",INDEX(B3817:B$2,-1+SUMPRODUCT(MAX(ROW(E3817:E$2)*(E3818=E3817:E$2)))))</f>
        <v> </v>
      </c>
      <c r="J3818" s="26" t="str">
        <f>IF(OR(E3818="",E3818="!!!",F3818="NEW"),"",COUNTBLANK(OFFSET(A$1,,,SUMPRODUCT(MAX(ROW(E$2:E3818)*(E3818=E$2:E3818)))))-COUNTBLANK(OFFSET(A$1,,,SUMPRODUCT(MAX(ROW(E$1:E3817)*(E2=E$1:E3817))))))</f>
        <v> </v>
      </c>
      <c r="K3818" s="26" t="str">
        <f>IF(OR(E3818="",E3818="!!!",F3818="NEW"),"",INDEX(J$1:J3817,SUMPRODUCT(MAX(ROW(E$1:E3817)*(E3818=E$1:E3817)))))</f>
        <v> </v>
      </c>
      <c r="L3818" s="27"/>
    </row>
    <row r="3819" spans="1:12">
      <c r="A3819" s="20" t="s">
        <v>1979</v>
      </c>
      <c r="E3819" s="22">
        <f>IF(D3819="?OLD","!!!","")</f>
        <v/>
      </c>
      <c r="F3819" s="23" t="str">
        <f>IF(OR(E3819="",E3819="!!!"),"",IF(NOT(ISNA(VLOOKUP(E3819,E$1:E3818,1,FALSE()))),"OLD",IF(AND(E3819&lt;&gt;"",E3819&lt;&gt;"!!!"),"NEW","")))</f>
        <v> </v>
      </c>
      <c r="G3819" s="24" t="str">
        <f>IF(OR(E3819="",E3819="!!!"),"",IF(OR(J3819=0,AND(J3819=1,K3819=1),AND(J3819=1,I3819="SBJ"),AND(J3819=1,I3819=0)),"?IN_FOCUS",IF(J3819&lt;=2,"?ACTIVATED",IF(J3819&lt;&gt;"","?FAMILIAR",IF(F3819="NEW",IF(ISNA(VLOOKUP(E3819,#REF!,1,FALSE())),"?TYPE_IDENTIFIABLE","?REFERENTIAL"),"_")))))</f>
        <v> </v>
      </c>
      <c r="H3819" s="25" t="str">
        <f>IF(J3819&lt;&gt;1,"",IF(I3819="SBJ","CB","?"))</f>
        <v> </v>
      </c>
      <c r="I3819" s="26" t="str">
        <f>IF(OR(E3819="",E3819="!!!",F3819="NEW"),"",INDEX(B3818:B$2,-1+SUMPRODUCT(MAX(ROW(E3818:E$2)*(E3819=E3818:E$2)))))</f>
        <v> </v>
      </c>
      <c r="J3819" s="26" t="str">
        <f>IF(OR(E3819="",E3819="!!!",F3819="NEW"),"",COUNTBLANK(OFFSET(A$1,,,SUMPRODUCT(MAX(ROW(E$2:E3819)*(E3819=E$2:E3819)))))-COUNTBLANK(OFFSET(A$1,,,SUMPRODUCT(MAX(ROW(E$1:E3818)*(E2=E$1:E3818))))))</f>
        <v> </v>
      </c>
      <c r="K3819" s="26" t="str">
        <f>IF(OR(E3819="",E3819="!!!",F3819="NEW"),"",INDEX(J$1:J3818,SUMPRODUCT(MAX(ROW(E$1:E3818)*(E3819=E$1:E3818)))))</f>
        <v> </v>
      </c>
      <c r="L3819" s="27"/>
    </row>
    <row r="3820" spans="1:12">
      <c r="A3820" s="20" t="s">
        <v>1440</v>
      </c>
      <c r="E3820" s="22">
        <f>IF(D3820="?OLD","!!!","")</f>
        <v/>
      </c>
      <c r="F3820" s="23" t="str">
        <f>IF(OR(E3820="",E3820="!!!"),"",IF(NOT(ISNA(VLOOKUP(E3820,E$1:E3819,1,FALSE()))),"OLD",IF(AND(E3820&lt;&gt;"",E3820&lt;&gt;"!!!"),"NEW","")))</f>
        <v> </v>
      </c>
      <c r="G3820" s="24" t="str">
        <f>IF(OR(E3820="",E3820="!!!"),"",IF(OR(J3820=0,AND(J3820=1,K3820=1),AND(J3820=1,I3820="SBJ"),AND(J3820=1,I3820=0)),"?IN_FOCUS",IF(J3820&lt;=2,"?ACTIVATED",IF(J3820&lt;&gt;"","?FAMILIAR",IF(F3820="NEW",IF(ISNA(VLOOKUP(E3820,#REF!,1,FALSE())),"?TYPE_IDENTIFIABLE","?REFERENTIAL"),"_")))))</f>
        <v> </v>
      </c>
      <c r="H3820" s="25" t="str">
        <f>IF(J3820&lt;&gt;1,"",IF(I3820="SBJ","CB","?"))</f>
        <v> </v>
      </c>
      <c r="I3820" s="26" t="str">
        <f>IF(OR(E3820="",E3820="!!!",F3820="NEW"),"",INDEX(B3819:B$2,-1+SUMPRODUCT(MAX(ROW(E3819:E$2)*(E3820=E3819:E$2)))))</f>
        <v> </v>
      </c>
      <c r="J3820" s="26" t="str">
        <f>IF(OR(E3820="",E3820="!!!",F3820="NEW"),"",COUNTBLANK(OFFSET(A$1,,,SUMPRODUCT(MAX(ROW(E$2:E3820)*(E3820=E$2:E3820)))))-COUNTBLANK(OFFSET(A$1,,,SUMPRODUCT(MAX(ROW(E$1:E3819)*(E2=E$1:E3819))))))</f>
        <v> </v>
      </c>
      <c r="K3820" s="26" t="str">
        <f>IF(OR(E3820="",E3820="!!!",F3820="NEW"),"",INDEX(J$1:J3819,SUMPRODUCT(MAX(ROW(E$1:E3819)*(E3820=E$1:E3819)))))</f>
        <v> </v>
      </c>
      <c r="L3820" s="27"/>
    </row>
    <row r="3821" spans="1:12">
      <c r="A3821" s="20" t="s">
        <v>1166</v>
      </c>
      <c r="E3821" s="22">
        <f>IF(D3821="?OLD","!!!","")</f>
        <v/>
      </c>
      <c r="F3821" s="23" t="str">
        <f>IF(OR(E3821="",E3821="!!!"),"",IF(NOT(ISNA(VLOOKUP(E3821,E$1:E3820,1,FALSE()))),"OLD",IF(AND(E3821&lt;&gt;"",E3821&lt;&gt;"!!!"),"NEW","")))</f>
        <v> </v>
      </c>
      <c r="G3821" s="24" t="str">
        <f>IF(OR(E3821="",E3821="!!!"),"",IF(OR(J3821=0,AND(J3821=1,K3821=1),AND(J3821=1,I3821="SBJ"),AND(J3821=1,I3821=0)),"?IN_FOCUS",IF(J3821&lt;=2,"?ACTIVATED",IF(J3821&lt;&gt;"","?FAMILIAR",IF(F3821="NEW",IF(ISNA(VLOOKUP(E3821,#REF!,1,FALSE())),"?TYPE_IDENTIFIABLE","?REFERENTIAL"),"_")))))</f>
        <v> </v>
      </c>
      <c r="H3821" s="25" t="str">
        <f>IF(J3821&lt;&gt;1,"",IF(I3821="SBJ","CB","?"))</f>
        <v> </v>
      </c>
      <c r="I3821" s="26" t="str">
        <f>IF(OR(E3821="",E3821="!!!",F3821="NEW"),"",INDEX(B3820:B$2,-1+SUMPRODUCT(MAX(ROW(E3820:E$2)*(E3821=E3820:E$2)))))</f>
        <v> </v>
      </c>
      <c r="J3821" s="26" t="str">
        <f>IF(OR(E3821="",E3821="!!!",F3821="NEW"),"",COUNTBLANK(OFFSET(A$1,,,SUMPRODUCT(MAX(ROW(E$2:E3821)*(E3821=E$2:E3821)))))-COUNTBLANK(OFFSET(A$1,,,SUMPRODUCT(MAX(ROW(E$1:E3820)*(E2=E$1:E3820))))))</f>
        <v> </v>
      </c>
      <c r="K3821" s="26" t="str">
        <f>IF(OR(E3821="",E3821="!!!",F3821="NEW"),"",INDEX(J$1:J3820,SUMPRODUCT(MAX(ROW(E$1:E3820)*(E3821=E$1:E3820)))))</f>
        <v> </v>
      </c>
      <c r="L3821" s="27"/>
    </row>
    <row r="3822" spans="1:12">
      <c r="A3822" s="20" t="s">
        <v>1197</v>
      </c>
      <c r="E3822" s="22">
        <f>IF(D3822="?OLD","!!!","")</f>
        <v/>
      </c>
      <c r="F3822" s="23" t="str">
        <f>IF(OR(E3822="",E3822="!!!"),"",IF(NOT(ISNA(VLOOKUP(E3822,E$1:E3821,1,FALSE()))),"OLD",IF(AND(E3822&lt;&gt;"",E3822&lt;&gt;"!!!"),"NEW","")))</f>
        <v> </v>
      </c>
      <c r="G3822" s="24" t="str">
        <f>IF(OR(E3822="",E3822="!!!"),"",IF(OR(J3822=0,AND(J3822=1,K3822=1),AND(J3822=1,I3822="SBJ"),AND(J3822=1,I3822=0)),"?IN_FOCUS",IF(J3822&lt;=2,"?ACTIVATED",IF(J3822&lt;&gt;"","?FAMILIAR",IF(F3822="NEW",IF(ISNA(VLOOKUP(E3822,#REF!,1,FALSE())),"?TYPE_IDENTIFIABLE","?REFERENTIAL"),"_")))))</f>
        <v> </v>
      </c>
      <c r="H3822" s="25" t="str">
        <f>IF(J3822&lt;&gt;1,"",IF(I3822="SBJ","CB","?"))</f>
        <v> </v>
      </c>
      <c r="I3822" s="26" t="str">
        <f>IF(OR(E3822="",E3822="!!!",F3822="NEW"),"",INDEX(B3821:B$2,-1+SUMPRODUCT(MAX(ROW(E3821:E$2)*(E3822=E3821:E$2)))))</f>
        <v> </v>
      </c>
      <c r="J3822" s="26" t="str">
        <f>IF(OR(E3822="",E3822="!!!",F3822="NEW"),"",COUNTBLANK(OFFSET(A$1,,,SUMPRODUCT(MAX(ROW(E$2:E3822)*(E3822=E$2:E3822)))))-COUNTBLANK(OFFSET(A$1,,,SUMPRODUCT(MAX(ROW(E$1:E3821)*(E2=E$1:E3821))))))</f>
        <v> </v>
      </c>
      <c r="K3822" s="26" t="str">
        <f>IF(OR(E3822="",E3822="!!!",F3822="NEW"),"",INDEX(J$1:J3821,SUMPRODUCT(MAX(ROW(E$1:E3821)*(E3822=E$1:E3821)))))</f>
        <v> </v>
      </c>
      <c r="L3822" s="27"/>
    </row>
    <row r="3823" spans="1:12">
      <c r="A3823" s="20" t="s">
        <v>1261</v>
      </c>
      <c r="E3823" s="22">
        <f>IF(D3823="?OLD","!!!","")</f>
        <v/>
      </c>
      <c r="F3823" s="23" t="str">
        <f>IF(OR(E3823="",E3823="!!!"),"",IF(NOT(ISNA(VLOOKUP(E3823,E$1:E3822,1,FALSE()))),"OLD",IF(AND(E3823&lt;&gt;"",E3823&lt;&gt;"!!!"),"NEW","")))</f>
        <v> </v>
      </c>
      <c r="G3823" s="24" t="str">
        <f>IF(OR(E3823="",E3823="!!!"),"",IF(OR(J3823=0,AND(J3823=1,K3823=1),AND(J3823=1,I3823="SBJ"),AND(J3823=1,I3823=0)),"?IN_FOCUS",IF(J3823&lt;=2,"?ACTIVATED",IF(J3823&lt;&gt;"","?FAMILIAR",IF(F3823="NEW",IF(ISNA(VLOOKUP(E3823,#REF!,1,FALSE())),"?TYPE_IDENTIFIABLE","?REFERENTIAL"),"_")))))</f>
        <v> </v>
      </c>
      <c r="H3823" s="25" t="str">
        <f>IF(J3823&lt;&gt;1,"",IF(I3823="SBJ","CB","?"))</f>
        <v> </v>
      </c>
      <c r="I3823" s="26" t="str">
        <f>IF(OR(E3823="",E3823="!!!",F3823="NEW"),"",INDEX(B3822:B$2,-1+SUMPRODUCT(MAX(ROW(E3822:E$2)*(E3823=E3822:E$2)))))</f>
        <v> </v>
      </c>
      <c r="J3823" s="26" t="str">
        <f>IF(OR(E3823="",E3823="!!!",F3823="NEW"),"",COUNTBLANK(OFFSET(A$1,,,SUMPRODUCT(MAX(ROW(E$2:E3823)*(E3823=E$2:E3823)))))-COUNTBLANK(OFFSET(A$1,,,SUMPRODUCT(MAX(ROW(E$1:E3822)*(E2=E$1:E3822))))))</f>
        <v> </v>
      </c>
      <c r="K3823" s="26" t="str">
        <f>IF(OR(E3823="",E3823="!!!",F3823="NEW"),"",INDEX(J$1:J3822,SUMPRODUCT(MAX(ROW(E$1:E3822)*(E3823=E$1:E3822)))))</f>
        <v> </v>
      </c>
      <c r="L3823" s="27"/>
    </row>
    <row r="3824" spans="1:12">
      <c r="A3824" s="20" t="s">
        <v>2296</v>
      </c>
      <c r="B3824" s="21" t="s">
        <v>1142</v>
      </c>
      <c r="C3824" s="21" t="s">
        <v>1187</v>
      </c>
      <c r="E3824" s="22">
        <f>IF(D3824="?OLD","!!!","")</f>
        <v/>
      </c>
      <c r="F3824" s="23" t="str">
        <f>IF(OR(E3824="",E3824="!!!"),"",IF(NOT(ISNA(VLOOKUP(E3824,E$1:E3823,1,FALSE()))),"OLD",IF(AND(E3824&lt;&gt;"",E3824&lt;&gt;"!!!"),"NEW","")))</f>
        <v> </v>
      </c>
      <c r="G3824" s="24" t="str">
        <f>IF(OR(E3824="",E3824="!!!"),"",IF(OR(J3824=0,AND(J3824=1,K3824=1),AND(J3824=1,I3824="SBJ"),AND(J3824=1,I3824=0)),"?IN_FOCUS",IF(J3824&lt;=2,"?ACTIVATED",IF(J3824&lt;&gt;"","?FAMILIAR",IF(F3824="NEW",IF(ISNA(VLOOKUP(E3824,#REF!,1,FALSE())),"?TYPE_IDENTIFIABLE","?REFERENTIAL"),"_")))))</f>
        <v> </v>
      </c>
      <c r="H3824" s="25" t="str">
        <f>IF(J3824&lt;&gt;1,"",IF(I3824="SBJ","CB","?"))</f>
        <v> </v>
      </c>
      <c r="I3824" s="26" t="str">
        <f>IF(OR(E3824="",E3824="!!!",F3824="NEW"),"",INDEX(B3823:B$2,-1+SUMPRODUCT(MAX(ROW(E3823:E$2)*(E3824=E3823:E$2)))))</f>
        <v> </v>
      </c>
      <c r="J3824" s="26" t="str">
        <f>IF(OR(E3824="",E3824="!!!",F3824="NEW"),"",COUNTBLANK(OFFSET(A$1,,,SUMPRODUCT(MAX(ROW(E$2:E3824)*(E3824=E$2:E3824)))))-COUNTBLANK(OFFSET(A$1,,,SUMPRODUCT(MAX(ROW(E$1:E3823)*(E2=E$1:E3823))))))</f>
        <v> </v>
      </c>
      <c r="K3824" s="26" t="str">
        <f>IF(OR(E3824="",E3824="!!!",F3824="NEW"),"",INDEX(J$1:J3823,SUMPRODUCT(MAX(ROW(E$1:E3823)*(E3824=E$1:E3823)))))</f>
        <v> </v>
      </c>
      <c r="L3824" s="27"/>
    </row>
    <row r="3825" spans="1:12">
      <c r="A3825" s="20" t="s">
        <v>1931</v>
      </c>
      <c r="E3825" s="22">
        <f>IF(D3825="?OLD","!!!","")</f>
        <v/>
      </c>
      <c r="F3825" s="23" t="str">
        <f>IF(OR(E3825="",E3825="!!!"),"",IF(NOT(ISNA(VLOOKUP(E3825,E$1:E3824,1,FALSE()))),"OLD",IF(AND(E3825&lt;&gt;"",E3825&lt;&gt;"!!!"),"NEW","")))</f>
        <v> </v>
      </c>
      <c r="G3825" s="24" t="str">
        <f>IF(OR(E3825="",E3825="!!!"),"",IF(OR(J3825=0,AND(J3825=1,K3825=1),AND(J3825=1,I3825="SBJ"),AND(J3825=1,I3825=0)),"?IN_FOCUS",IF(J3825&lt;=2,"?ACTIVATED",IF(J3825&lt;&gt;"","?FAMILIAR",IF(F3825="NEW",IF(ISNA(VLOOKUP(E3825,#REF!,1,FALSE())),"?TYPE_IDENTIFIABLE","?REFERENTIAL"),"_")))))</f>
        <v> </v>
      </c>
      <c r="H3825" s="25" t="str">
        <f>IF(J3825&lt;&gt;1,"",IF(I3825="SBJ","CB","?"))</f>
        <v> </v>
      </c>
      <c r="I3825" s="26" t="str">
        <f>IF(OR(E3825="",E3825="!!!",F3825="NEW"),"",INDEX(B3824:B$2,-1+SUMPRODUCT(MAX(ROW(E3824:E$2)*(E3825=E3824:E$2)))))</f>
        <v> </v>
      </c>
      <c r="J3825" s="26" t="str">
        <f>IF(OR(E3825="",E3825="!!!",F3825="NEW"),"",COUNTBLANK(OFFSET(A$1,,,SUMPRODUCT(MAX(ROW(E$2:E3825)*(E3825=E$2:E3825)))))-COUNTBLANK(OFFSET(A$1,,,SUMPRODUCT(MAX(ROW(E$1:E3824)*(E2=E$1:E3824))))))</f>
        <v> </v>
      </c>
      <c r="K3825" s="26" t="str">
        <f>IF(OR(E3825="",E3825="!!!",F3825="NEW"),"",INDEX(J$1:J3824,SUMPRODUCT(MAX(ROW(E$1:E3824)*(E3825=E$1:E3824)))))</f>
        <v> </v>
      </c>
      <c r="L3825" s="27"/>
    </row>
    <row r="3826" spans="1:12">
      <c r="A3826" s="20" t="s">
        <v>1166</v>
      </c>
      <c r="E3826" s="22">
        <f>IF(D3826="?OLD","!!!","")</f>
        <v/>
      </c>
      <c r="F3826" s="23" t="str">
        <f>IF(OR(E3826="",E3826="!!!"),"",IF(NOT(ISNA(VLOOKUP(E3826,E$1:E3825,1,FALSE()))),"OLD",IF(AND(E3826&lt;&gt;"",E3826&lt;&gt;"!!!"),"NEW","")))</f>
        <v> </v>
      </c>
      <c r="G3826" s="24" t="str">
        <f>IF(OR(E3826="",E3826="!!!"),"",IF(OR(J3826=0,AND(J3826=1,K3826=1),AND(J3826=1,I3826="SBJ"),AND(J3826=1,I3826=0)),"?IN_FOCUS",IF(J3826&lt;=2,"?ACTIVATED",IF(J3826&lt;&gt;"","?FAMILIAR",IF(F3826="NEW",IF(ISNA(VLOOKUP(E3826,#REF!,1,FALSE())),"?TYPE_IDENTIFIABLE","?REFERENTIAL"),"_")))))</f>
        <v> </v>
      </c>
      <c r="H3826" s="25" t="str">
        <f>IF(J3826&lt;&gt;1,"",IF(I3826="SBJ","CB","?"))</f>
        <v> </v>
      </c>
      <c r="I3826" s="26" t="str">
        <f>IF(OR(E3826="",E3826="!!!",F3826="NEW"),"",INDEX(B3825:B$2,-1+SUMPRODUCT(MAX(ROW(E3825:E$2)*(E3826=E3825:E$2)))))</f>
        <v> </v>
      </c>
      <c r="J3826" s="26" t="str">
        <f>IF(OR(E3826="",E3826="!!!",F3826="NEW"),"",COUNTBLANK(OFFSET(A$1,,,SUMPRODUCT(MAX(ROW(E$2:E3826)*(E3826=E$2:E3826)))))-COUNTBLANK(OFFSET(A$1,,,SUMPRODUCT(MAX(ROW(E$1:E3825)*(E2=E$1:E3825))))))</f>
        <v> </v>
      </c>
      <c r="K3826" s="26" t="str">
        <f>IF(OR(E3826="",E3826="!!!",F3826="NEW"),"",INDEX(J$1:J3825,SUMPRODUCT(MAX(ROW(E$1:E3825)*(E3826=E$1:E3825)))))</f>
        <v> </v>
      </c>
      <c r="L3826" s="27"/>
    </row>
    <row r="3827" spans="1:12">
      <c r="A3827" s="20" t="s">
        <v>1387</v>
      </c>
      <c r="E3827" s="22">
        <f>IF(D3827="?OLD","!!!","")</f>
        <v/>
      </c>
      <c r="F3827" s="23" t="str">
        <f>IF(OR(E3827="",E3827="!!!"),"",IF(NOT(ISNA(VLOOKUP(E3827,E$1:E3826,1,FALSE()))),"OLD",IF(AND(E3827&lt;&gt;"",E3827&lt;&gt;"!!!"),"NEW","")))</f>
        <v> </v>
      </c>
      <c r="G3827" s="24" t="str">
        <f>IF(OR(E3827="",E3827="!!!"),"",IF(OR(J3827=0,AND(J3827=1,K3827=1),AND(J3827=1,I3827="SBJ"),AND(J3827=1,I3827=0)),"?IN_FOCUS",IF(J3827&lt;=2,"?ACTIVATED",IF(J3827&lt;&gt;"","?FAMILIAR",IF(F3827="NEW",IF(ISNA(VLOOKUP(E3827,#REF!,1,FALSE())),"?TYPE_IDENTIFIABLE","?REFERENTIAL"),"_")))))</f>
        <v> </v>
      </c>
      <c r="H3827" s="25" t="str">
        <f>IF(J3827&lt;&gt;1,"",IF(I3827="SBJ","CB","?"))</f>
        <v> </v>
      </c>
      <c r="I3827" s="26" t="str">
        <f>IF(OR(E3827="",E3827="!!!",F3827="NEW"),"",INDEX(B3826:B$2,-1+SUMPRODUCT(MAX(ROW(E3826:E$2)*(E3827=E3826:E$2)))))</f>
        <v> </v>
      </c>
      <c r="J3827" s="26" t="str">
        <f>IF(OR(E3827="",E3827="!!!",F3827="NEW"),"",COUNTBLANK(OFFSET(A$1,,,SUMPRODUCT(MAX(ROW(E$2:E3827)*(E3827=E$2:E3827)))))-COUNTBLANK(OFFSET(A$1,,,SUMPRODUCT(MAX(ROW(E$1:E3826)*(E2=E$1:E3826))))))</f>
        <v> </v>
      </c>
      <c r="K3827" s="26" t="str">
        <f>IF(OR(E3827="",E3827="!!!",F3827="NEW"),"",INDEX(J$1:J3826,SUMPRODUCT(MAX(ROW(E$1:E3826)*(E3827=E$1:E3826)))))</f>
        <v> </v>
      </c>
      <c r="L3827" s="27"/>
    </row>
    <row r="3828" spans="1:12">
      <c r="A3828" s="20" t="s">
        <v>1159</v>
      </c>
      <c r="E3828" s="22">
        <f>IF(D3828="?OLD","!!!","")</f>
        <v/>
      </c>
      <c r="F3828" s="23" t="str">
        <f>IF(OR(E3828="",E3828="!!!"),"",IF(NOT(ISNA(VLOOKUP(E3828,E$1:E3827,1,FALSE()))),"OLD",IF(AND(E3828&lt;&gt;"",E3828&lt;&gt;"!!!"),"NEW","")))</f>
        <v> </v>
      </c>
      <c r="G3828" s="24" t="str">
        <f>IF(OR(E3828="",E3828="!!!"),"",IF(OR(J3828=0,AND(J3828=1,K3828=1),AND(J3828=1,I3828="SBJ"),AND(J3828=1,I3828=0)),"?IN_FOCUS",IF(J3828&lt;=2,"?ACTIVATED",IF(J3828&lt;&gt;"","?FAMILIAR",IF(F3828="NEW",IF(ISNA(VLOOKUP(E3828,#REF!,1,FALSE())),"?TYPE_IDENTIFIABLE","?REFERENTIAL"),"_")))))</f>
        <v> </v>
      </c>
      <c r="H3828" s="25" t="str">
        <f>IF(J3828&lt;&gt;1,"",IF(I3828="SBJ","CB","?"))</f>
        <v> </v>
      </c>
      <c r="I3828" s="26" t="str">
        <f>IF(OR(E3828="",E3828="!!!",F3828="NEW"),"",INDEX(B3827:B$2,-1+SUMPRODUCT(MAX(ROW(E3827:E$2)*(E3828=E3827:E$2)))))</f>
        <v> </v>
      </c>
      <c r="J3828" s="26" t="str">
        <f>IF(OR(E3828="",E3828="!!!",F3828="NEW"),"",COUNTBLANK(OFFSET(A$1,,,SUMPRODUCT(MAX(ROW(E$2:E3828)*(E3828=E$2:E3828)))))-COUNTBLANK(OFFSET(A$1,,,SUMPRODUCT(MAX(ROW(E$1:E3827)*(E2=E$1:E3827))))))</f>
        <v> </v>
      </c>
      <c r="K3828" s="26" t="str">
        <f>IF(OR(E3828="",E3828="!!!",F3828="NEW"),"",INDEX(J$1:J3827,SUMPRODUCT(MAX(ROW(E$1:E3827)*(E3828=E$1:E3827)))))</f>
        <v> </v>
      </c>
      <c r="L3828" s="27"/>
    </row>
    <row r="3829" spans="1:12">
      <c r="A3829" s="20" t="s">
        <v>1278</v>
      </c>
      <c r="B3829" s="21" t="s">
        <v>1142</v>
      </c>
      <c r="C3829" s="21" t="s">
        <v>1168</v>
      </c>
      <c r="D3829" s="21" t="s">
        <v>1144</v>
      </c>
      <c r="E3829" s="22">
        <f>IF(D3829="?OLD","!!!","")</f>
        <v/>
      </c>
      <c r="F3829" s="23" t="str">
        <f>IF(OR(E3829="",E3829="!!!"),"",IF(NOT(ISNA(VLOOKUP(E3829,E$1:E3828,1,FALSE()))),"OLD",IF(AND(E3829&lt;&gt;"",E3829&lt;&gt;"!!!"),"NEW","")))</f>
        <v> </v>
      </c>
      <c r="G3829" s="24" t="str">
        <f>IF(OR(E3829="",E3829="!!!"),"",IF(OR(J3829=0,AND(J3829=1,K3829=1),AND(J3829=1,I3829="SBJ"),AND(J3829=1,I3829=0)),"?IN_FOCUS",IF(J3829&lt;=2,"?ACTIVATED",IF(J3829&lt;&gt;"","?FAMILIAR",IF(F3829="NEW",IF(ISNA(VLOOKUP(E3829,#REF!,1,FALSE())),"?TYPE_IDENTIFIABLE","?REFERENTIAL"),"_")))))</f>
        <v> </v>
      </c>
      <c r="H3829" s="25" t="str">
        <f>IF(J3829&lt;&gt;1,"",IF(I3829="SBJ","CB","?"))</f>
        <v> </v>
      </c>
      <c r="I3829" s="26" t="str">
        <f>IF(OR(E3829="",E3829="!!!",F3829="NEW"),"",INDEX(B3828:B$2,-1+SUMPRODUCT(MAX(ROW(E3828:E$2)*(E3829=E3828:E$2)))))</f>
        <v> </v>
      </c>
      <c r="J3829" s="26" t="str">
        <f>IF(OR(E3829="",E3829="!!!",F3829="NEW"),"",COUNTBLANK(OFFSET(A$1,,,SUMPRODUCT(MAX(ROW(E$2:E3829)*(E3829=E$2:E3829)))))-COUNTBLANK(OFFSET(A$1,,,SUMPRODUCT(MAX(ROW(E$1:E3828)*(E2=E$1:E3828))))))</f>
        <v> </v>
      </c>
      <c r="K3829" s="26" t="str">
        <f>IF(OR(E3829="",E3829="!!!",F3829="NEW"),"",INDEX(J$1:J3828,SUMPRODUCT(MAX(ROW(E$1:E3828)*(E3829=E$1:E3828)))))</f>
        <v> </v>
      </c>
      <c r="L3829" s="27"/>
    </row>
    <row r="3830" spans="1:12">
      <c r="A3830" s="20" t="s">
        <v>1361</v>
      </c>
      <c r="E3830" s="22">
        <f>IF(D3830="?OLD","!!!","")</f>
        <v/>
      </c>
      <c r="F3830" s="23" t="str">
        <f>IF(OR(E3830="",E3830="!!!"),"",IF(NOT(ISNA(VLOOKUP(E3830,E$1:E3829,1,FALSE()))),"OLD",IF(AND(E3830&lt;&gt;"",E3830&lt;&gt;"!!!"),"NEW","")))</f>
        <v> </v>
      </c>
      <c r="G3830" s="24" t="str">
        <f>IF(OR(E3830="",E3830="!!!"),"",IF(OR(J3830=0,AND(J3830=1,K3830=1),AND(J3830=1,I3830="SBJ"),AND(J3830=1,I3830=0)),"?IN_FOCUS",IF(J3830&lt;=2,"?ACTIVATED",IF(J3830&lt;&gt;"","?FAMILIAR",IF(F3830="NEW",IF(ISNA(VLOOKUP(E3830,#REF!,1,FALSE())),"?TYPE_IDENTIFIABLE","?REFERENTIAL"),"_")))))</f>
        <v> </v>
      </c>
      <c r="H3830" s="25" t="str">
        <f>IF(J3830&lt;&gt;1,"",IF(I3830="SBJ","CB","?"))</f>
        <v> </v>
      </c>
      <c r="I3830" s="26" t="str">
        <f>IF(OR(E3830="",E3830="!!!",F3830="NEW"),"",INDEX(B3829:B$2,-1+SUMPRODUCT(MAX(ROW(E3829:E$2)*(E3830=E3829:E$2)))))</f>
        <v> </v>
      </c>
      <c r="J3830" s="26" t="str">
        <f>IF(OR(E3830="",E3830="!!!",F3830="NEW"),"",COUNTBLANK(OFFSET(A$1,,,SUMPRODUCT(MAX(ROW(E$2:E3830)*(E3830=E$2:E3830)))))-COUNTBLANK(OFFSET(A$1,,,SUMPRODUCT(MAX(ROW(E$1:E3829)*(E2=E$1:E3829))))))</f>
        <v> </v>
      </c>
      <c r="K3830" s="26" t="str">
        <f>IF(OR(E3830="",E3830="!!!",F3830="NEW"),"",INDEX(J$1:J3829,SUMPRODUCT(MAX(ROW(E$1:E3829)*(E3830=E$1:E3829)))))</f>
        <v> </v>
      </c>
      <c r="L3830" s="27"/>
    </row>
    <row r="3831" spans="1:12">
      <c r="A3831" s="20" t="s">
        <v>312</v>
      </c>
      <c r="E3831" s="22">
        <f>IF(D3831="?OLD","!!!","")</f>
        <v/>
      </c>
      <c r="F3831" s="23" t="str">
        <f>IF(OR(E3831="",E3831="!!!"),"",IF(NOT(ISNA(VLOOKUP(E3831,E$1:E3830,1,FALSE()))),"OLD",IF(AND(E3831&lt;&gt;"",E3831&lt;&gt;"!!!"),"NEW","")))</f>
        <v> </v>
      </c>
      <c r="G3831" s="24" t="str">
        <f>IF(OR(E3831="",E3831="!!!"),"",IF(OR(J3831=0,AND(J3831=1,K3831=1),AND(J3831=1,I3831="SBJ"),AND(J3831=1,I3831=0)),"?IN_FOCUS",IF(J3831&lt;=2,"?ACTIVATED",IF(J3831&lt;&gt;"","?FAMILIAR",IF(F3831="NEW",IF(ISNA(VLOOKUP(E3831,#REF!,1,FALSE())),"?TYPE_IDENTIFIABLE","?REFERENTIAL"),"_")))))</f>
        <v> </v>
      </c>
      <c r="H3831" s="25" t="str">
        <f>IF(J3831&lt;&gt;1,"",IF(I3831="SBJ","CB","?"))</f>
        <v> </v>
      </c>
      <c r="I3831" s="26" t="str">
        <f>IF(OR(E3831="",E3831="!!!",F3831="NEW"),"",INDEX(B3830:B$2,-1+SUMPRODUCT(MAX(ROW(E3830:E$2)*(E3831=E3830:E$2)))))</f>
        <v> </v>
      </c>
      <c r="J3831" s="26" t="str">
        <f>IF(OR(E3831="",E3831="!!!",F3831="NEW"),"",COUNTBLANK(OFFSET(A$1,,,SUMPRODUCT(MAX(ROW(E$2:E3831)*(E3831=E$2:E3831)))))-COUNTBLANK(OFFSET(A$1,,,SUMPRODUCT(MAX(ROW(E$1:E3830)*(E2=E$1:E3830))))))</f>
        <v> </v>
      </c>
      <c r="K3831" s="26" t="str">
        <f>IF(OR(E3831="",E3831="!!!",F3831="NEW"),"",INDEX(J$1:J3830,SUMPRODUCT(MAX(ROW(E$1:E3830)*(E3831=E$1:E3830)))))</f>
        <v> </v>
      </c>
      <c r="L3831" s="27"/>
    </row>
    <row r="3832" spans="1:12">
      <c r="A3832" s="20"/>
    </row>
    <row r="3833" spans="1:12">
      <c r="A3833" s="20" t="s">
        <v>2297</v>
      </c>
    </row>
    <row r="3834" spans="1:12">
      <c r="A3834" s="20" t="s">
        <v>198</v>
      </c>
      <c r="B3834" s="21" t="s">
        <v>1161</v>
      </c>
      <c r="C3834" s="21" t="s">
        <v>1143</v>
      </c>
      <c r="D3834" s="21" t="s">
        <v>1144</v>
      </c>
      <c r="E3834" s="22">
        <f>IF(D3834="?OLD","!!!","")</f>
        <v/>
      </c>
      <c r="F3834" s="23" t="str">
        <f>IF(OR(E3834="",E3834="!!!"),"",IF(NOT(ISNA(VLOOKUP(E3834,E$1:E3833,1,FALSE()))),"OLD",IF(AND(E3834&lt;&gt;"",E3834&lt;&gt;"!!!"),"NEW","")))</f>
        <v> </v>
      </c>
      <c r="G3834" s="24" t="str">
        <f>IF(OR(E3834="",E3834="!!!"),"",IF(OR(J3834=0,AND(J3834=1,K3834=1),AND(J3834=1,I3834="SBJ"),AND(J3834=1,I3834=0)),"?IN_FOCUS",IF(J3834&lt;=2,"?ACTIVATED",IF(J3834&lt;&gt;"","?FAMILIAR",IF(F3834="NEW",IF(ISNA(VLOOKUP(E3834,#REF!,1,FALSE())),"?TYPE_IDENTIFIABLE","?REFERENTIAL"),"_")))))</f>
        <v> </v>
      </c>
      <c r="H3834" s="25" t="str">
        <f>IF(J3834&lt;&gt;1,"",IF(I3834="SBJ","CB","?"))</f>
        <v> </v>
      </c>
      <c r="I3834" s="26" t="str">
        <f>IF(OR(E3834="",E3834="!!!",F3834="NEW"),"",INDEX(B3833:B$2,-1+SUMPRODUCT(MAX(ROW(E3833:E$2)*(E3834=E3833:E$2)))))</f>
        <v> </v>
      </c>
      <c r="J3834" s="26" t="str">
        <f>IF(OR(E3834="",E3834="!!!",F3834="NEW"),"",COUNTBLANK(OFFSET(A$1,,,SUMPRODUCT(MAX(ROW(E$2:E3834)*(E3834=E$2:E3834)))))-COUNTBLANK(OFFSET(A$1,,,SUMPRODUCT(MAX(ROW(E$1:E3833)*(E2=E$1:E3833))))))</f>
        <v> </v>
      </c>
      <c r="K3834" s="26" t="str">
        <f>IF(OR(E3834="",E3834="!!!",F3834="NEW"),"",INDEX(J$1:J3833,SUMPRODUCT(MAX(ROW(E$1:E3833)*(E3834=E$1:E3833)))))</f>
        <v> </v>
      </c>
      <c r="L3834" s="27"/>
    </row>
    <row r="3835" spans="1:12">
      <c r="A3835" s="20" t="s">
        <v>1146</v>
      </c>
      <c r="E3835" s="22">
        <f>IF(D3835="?OLD","!!!","")</f>
        <v/>
      </c>
      <c r="F3835" s="23" t="str">
        <f>IF(OR(E3835="",E3835="!!!"),"",IF(NOT(ISNA(VLOOKUP(E3835,E$1:E3834,1,FALSE()))),"OLD",IF(AND(E3835&lt;&gt;"",E3835&lt;&gt;"!!!"),"NEW","")))</f>
        <v> </v>
      </c>
      <c r="G3835" s="24" t="str">
        <f>IF(OR(E3835="",E3835="!!!"),"",IF(OR(J3835=0,AND(J3835=1,K3835=1),AND(J3835=1,I3835="SBJ"),AND(J3835=1,I3835=0)),"?IN_FOCUS",IF(J3835&lt;=2,"?ACTIVATED",IF(J3835&lt;&gt;"","?FAMILIAR",IF(F3835="NEW",IF(ISNA(VLOOKUP(E3835,#REF!,1,FALSE())),"?TYPE_IDENTIFIABLE","?REFERENTIAL"),"_")))))</f>
        <v> </v>
      </c>
      <c r="H3835" s="25" t="str">
        <f>IF(J3835&lt;&gt;1,"",IF(I3835="SBJ","CB","?"))</f>
        <v> </v>
      </c>
      <c r="I3835" s="26" t="str">
        <f>IF(OR(E3835="",E3835="!!!",F3835="NEW"),"",INDEX(B3834:B$2,-1+SUMPRODUCT(MAX(ROW(E3834:E$2)*(E3835=E3834:E$2)))))</f>
        <v> </v>
      </c>
      <c r="J3835" s="26" t="str">
        <f>IF(OR(E3835="",E3835="!!!",F3835="NEW"),"",COUNTBLANK(OFFSET(A$1,,,SUMPRODUCT(MAX(ROW(E$2:E3835)*(E3835=E$2:E3835)))))-COUNTBLANK(OFFSET(A$1,,,SUMPRODUCT(MAX(ROW(E$1:E3834)*(E2=E$1:E3834))))))</f>
        <v> </v>
      </c>
      <c r="K3835" s="26" t="str">
        <f>IF(OR(E3835="",E3835="!!!",F3835="NEW"),"",INDEX(J$1:J3834,SUMPRODUCT(MAX(ROW(E$1:E3834)*(E3835=E$1:E3834)))))</f>
        <v> </v>
      </c>
      <c r="L3835" s="27"/>
    </row>
    <row r="3836" spans="1:12">
      <c r="A3836" s="20" t="s">
        <v>1399</v>
      </c>
      <c r="B3836" s="21" t="s">
        <v>1142</v>
      </c>
      <c r="C3836" s="21" t="s">
        <v>1168</v>
      </c>
      <c r="D3836" s="21" t="s">
        <v>1144</v>
      </c>
      <c r="E3836" s="22">
        <f>IF(D3836="?OLD","!!!","")</f>
        <v/>
      </c>
      <c r="F3836" s="23" t="str">
        <f>IF(OR(E3836="",E3836="!!!"),"",IF(NOT(ISNA(VLOOKUP(E3836,E$1:E3835,1,FALSE()))),"OLD",IF(AND(E3836&lt;&gt;"",E3836&lt;&gt;"!!!"),"NEW","")))</f>
        <v> </v>
      </c>
      <c r="G3836" s="24" t="str">
        <f>IF(OR(E3836="",E3836="!!!"),"",IF(OR(J3836=0,AND(J3836=1,K3836=1),AND(J3836=1,I3836="SBJ"),AND(J3836=1,I3836=0)),"?IN_FOCUS",IF(J3836&lt;=2,"?ACTIVATED",IF(J3836&lt;&gt;"","?FAMILIAR",IF(F3836="NEW",IF(ISNA(VLOOKUP(E3836,#REF!,1,FALSE())),"?TYPE_IDENTIFIABLE","?REFERENTIAL"),"_")))))</f>
        <v> </v>
      </c>
      <c r="H3836" s="25" t="str">
        <f>IF(J3836&lt;&gt;1,"",IF(I3836="SBJ","CB","?"))</f>
        <v> </v>
      </c>
      <c r="I3836" s="26" t="str">
        <f>IF(OR(E3836="",E3836="!!!",F3836="NEW"),"",INDEX(B3835:B$2,-1+SUMPRODUCT(MAX(ROW(E3835:E$2)*(E3836=E3835:E$2)))))</f>
        <v> </v>
      </c>
      <c r="J3836" s="26" t="str">
        <f>IF(OR(E3836="",E3836="!!!",F3836="NEW"),"",COUNTBLANK(OFFSET(A$1,,,SUMPRODUCT(MAX(ROW(E$2:E3836)*(E3836=E$2:E3836)))))-COUNTBLANK(OFFSET(A$1,,,SUMPRODUCT(MAX(ROW(E$1:E3835)*(E2=E$1:E3835))))))</f>
        <v> </v>
      </c>
      <c r="K3836" s="26" t="str">
        <f>IF(OR(E3836="",E3836="!!!",F3836="NEW"),"",INDEX(J$1:J3835,SUMPRODUCT(MAX(ROW(E$1:E3835)*(E3836=E$1:E3835)))))</f>
        <v> </v>
      </c>
      <c r="L3836" s="27"/>
    </row>
    <row r="3837" spans="1:12">
      <c r="A3837" s="20" t="s">
        <v>1198</v>
      </c>
      <c r="B3837" s="21" t="s">
        <v>1311</v>
      </c>
      <c r="C3837" s="21" t="s">
        <v>1151</v>
      </c>
      <c r="D3837" s="21" t="s">
        <v>1144</v>
      </c>
      <c r="E3837" s="22">
        <f>IF(D3837="?OLD","!!!","")</f>
        <v/>
      </c>
      <c r="F3837" s="23" t="str">
        <f>IF(OR(E3837="",E3837="!!!"),"",IF(NOT(ISNA(VLOOKUP(E3837,E$1:E3836,1,FALSE()))),"OLD",IF(AND(E3837&lt;&gt;"",E3837&lt;&gt;"!!!"),"NEW","")))</f>
        <v> </v>
      </c>
      <c r="G3837" s="24" t="str">
        <f>IF(OR(E3837="",E3837="!!!"),"",IF(OR(J3837=0,AND(J3837=1,K3837=1),AND(J3837=1,I3837="SBJ"),AND(J3837=1,I3837=0)),"?IN_FOCUS",IF(J3837&lt;=2,"?ACTIVATED",IF(J3837&lt;&gt;"","?FAMILIAR",IF(F3837="NEW",IF(ISNA(VLOOKUP(E3837,#REF!,1,FALSE())),"?TYPE_IDENTIFIABLE","?REFERENTIAL"),"_")))))</f>
        <v> </v>
      </c>
      <c r="H3837" s="25" t="str">
        <f>IF(J3837&lt;&gt;1,"",IF(I3837="SBJ","CB","?"))</f>
        <v> </v>
      </c>
      <c r="I3837" s="26" t="str">
        <f>IF(OR(E3837="",E3837="!!!",F3837="NEW"),"",INDEX(B3836:B$2,-1+SUMPRODUCT(MAX(ROW(E3836:E$2)*(E3837=E3836:E$2)))))</f>
        <v> </v>
      </c>
      <c r="J3837" s="26" t="str">
        <f>IF(OR(E3837="",E3837="!!!",F3837="NEW"),"",COUNTBLANK(OFFSET(A$1,,,SUMPRODUCT(MAX(ROW(E$2:E3837)*(E3837=E$2:E3837)))))-COUNTBLANK(OFFSET(A$1,,,SUMPRODUCT(MAX(ROW(E$1:E3836)*(E2=E$1:E3836))))))</f>
        <v> </v>
      </c>
      <c r="K3837" s="26" t="str">
        <f>IF(OR(E3837="",E3837="!!!",F3837="NEW"),"",INDEX(J$1:J3836,SUMPRODUCT(MAX(ROW(E$1:E3836)*(E3837=E$1:E3836)))))</f>
        <v> </v>
      </c>
      <c r="L3837" s="27"/>
    </row>
    <row r="3838" spans="1:12">
      <c r="A3838" s="20" t="s">
        <v>1314</v>
      </c>
      <c r="E3838" s="22">
        <f>IF(D3838="?OLD","!!!","")</f>
        <v/>
      </c>
      <c r="F3838" s="23" t="str">
        <f>IF(OR(E3838="",E3838="!!!"),"",IF(NOT(ISNA(VLOOKUP(E3838,E$1:E3837,1,FALSE()))),"OLD",IF(AND(E3838&lt;&gt;"",E3838&lt;&gt;"!!!"),"NEW","")))</f>
        <v> </v>
      </c>
      <c r="G3838" s="24" t="str">
        <f>IF(OR(E3838="",E3838="!!!"),"",IF(OR(J3838=0,AND(J3838=1,K3838=1),AND(J3838=1,I3838="SBJ"),AND(J3838=1,I3838=0)),"?IN_FOCUS",IF(J3838&lt;=2,"?ACTIVATED",IF(J3838&lt;&gt;"","?FAMILIAR",IF(F3838="NEW",IF(ISNA(VLOOKUP(E3838,#REF!,1,FALSE())),"?TYPE_IDENTIFIABLE","?REFERENTIAL"),"_")))))</f>
        <v> </v>
      </c>
      <c r="H3838" s="25" t="str">
        <f>IF(J3838&lt;&gt;1,"",IF(I3838="SBJ","CB","?"))</f>
        <v> </v>
      </c>
      <c r="I3838" s="26" t="str">
        <f>IF(OR(E3838="",E3838="!!!",F3838="NEW"),"",INDEX(B3837:B$2,-1+SUMPRODUCT(MAX(ROW(E3837:E$2)*(E3838=E3837:E$2)))))</f>
        <v> </v>
      </c>
      <c r="J3838" s="26" t="str">
        <f>IF(OR(E3838="",E3838="!!!",F3838="NEW"),"",COUNTBLANK(OFFSET(A$1,,,SUMPRODUCT(MAX(ROW(E$2:E3838)*(E3838=E$2:E3838)))))-COUNTBLANK(OFFSET(A$1,,,SUMPRODUCT(MAX(ROW(E$1:E3837)*(E2=E$1:E3837))))))</f>
        <v> </v>
      </c>
      <c r="K3838" s="26" t="str">
        <f>IF(OR(E3838="",E3838="!!!",F3838="NEW"),"",INDEX(J$1:J3837,SUMPRODUCT(MAX(ROW(E$1:E3837)*(E3838=E$1:E3837)))))</f>
        <v> </v>
      </c>
      <c r="L3838" s="27"/>
    </row>
    <row r="3839" spans="1:12">
      <c r="A3839" s="20" t="s">
        <v>242</v>
      </c>
      <c r="B3839" s="21" t="s">
        <v>1147</v>
      </c>
      <c r="C3839" s="21" t="s">
        <v>1151</v>
      </c>
      <c r="D3839" s="21" t="s">
        <v>1144</v>
      </c>
      <c r="E3839" s="22">
        <f>IF(D3839="?OLD","!!!","")</f>
        <v/>
      </c>
      <c r="F3839" s="23" t="str">
        <f>IF(OR(E3839="",E3839="!!!"),"",IF(NOT(ISNA(VLOOKUP(E3839,E$1:E3838,1,FALSE()))),"OLD",IF(AND(E3839&lt;&gt;"",E3839&lt;&gt;"!!!"),"NEW","")))</f>
        <v> </v>
      </c>
      <c r="G3839" s="24" t="str">
        <f>IF(OR(E3839="",E3839="!!!"),"",IF(OR(J3839=0,AND(J3839=1,K3839=1),AND(J3839=1,I3839="SBJ"),AND(J3839=1,I3839=0)),"?IN_FOCUS",IF(J3839&lt;=2,"?ACTIVATED",IF(J3839&lt;&gt;"","?FAMILIAR",IF(F3839="NEW",IF(ISNA(VLOOKUP(E3839,#REF!,1,FALSE())),"?TYPE_IDENTIFIABLE","?REFERENTIAL"),"_")))))</f>
        <v> </v>
      </c>
      <c r="H3839" s="25" t="str">
        <f>IF(J3839&lt;&gt;1,"",IF(I3839="SBJ","CB","?"))</f>
        <v> </v>
      </c>
      <c r="I3839" s="26" t="str">
        <f>IF(OR(E3839="",E3839="!!!",F3839="NEW"),"",INDEX(B3838:B$2,-1+SUMPRODUCT(MAX(ROW(E3838:E$2)*(E3839=E3838:E$2)))))</f>
        <v> </v>
      </c>
      <c r="J3839" s="26" t="str">
        <f>IF(OR(E3839="",E3839="!!!",F3839="NEW"),"",COUNTBLANK(OFFSET(A$1,,,SUMPRODUCT(MAX(ROW(E$2:E3839)*(E3839=E$2:E3839)))))-COUNTBLANK(OFFSET(A$1,,,SUMPRODUCT(MAX(ROW(E$1:E3838)*(E2=E$1:E3838))))))</f>
        <v> </v>
      </c>
      <c r="K3839" s="26" t="str">
        <f>IF(OR(E3839="",E3839="!!!",F3839="NEW"),"",INDEX(J$1:J3838,SUMPRODUCT(MAX(ROW(E$1:E3838)*(E3839=E$1:E3838)))))</f>
        <v> </v>
      </c>
      <c r="L3839" s="27"/>
    </row>
    <row r="3840" spans="1:12">
      <c r="A3840" s="20" t="s">
        <v>60</v>
      </c>
      <c r="E3840" s="22">
        <f>IF(D3840="?OLD","!!!","")</f>
        <v/>
      </c>
      <c r="F3840" s="23" t="str">
        <f>IF(OR(E3840="",E3840="!!!"),"",IF(NOT(ISNA(VLOOKUP(E3840,E$1:E3839,1,FALSE()))),"OLD",IF(AND(E3840&lt;&gt;"",E3840&lt;&gt;"!!!"),"NEW","")))</f>
        <v> </v>
      </c>
      <c r="G3840" s="24" t="str">
        <f>IF(OR(E3840="",E3840="!!!"),"",IF(OR(J3840=0,AND(J3840=1,K3840=1),AND(J3840=1,I3840="SBJ"),AND(J3840=1,I3840=0)),"?IN_FOCUS",IF(J3840&lt;=2,"?ACTIVATED",IF(J3840&lt;&gt;"","?FAMILIAR",IF(F3840="NEW",IF(ISNA(VLOOKUP(E3840,#REF!,1,FALSE())),"?TYPE_IDENTIFIABLE","?REFERENTIAL"),"_")))))</f>
        <v> </v>
      </c>
      <c r="H3840" s="25" t="str">
        <f>IF(J3840&lt;&gt;1,"",IF(I3840="SBJ","CB","?"))</f>
        <v> </v>
      </c>
      <c r="I3840" s="26" t="str">
        <f>IF(OR(E3840="",E3840="!!!",F3840="NEW"),"",INDEX(B3839:B$2,-1+SUMPRODUCT(MAX(ROW(E3839:E$2)*(E3840=E3839:E$2)))))</f>
        <v> </v>
      </c>
      <c r="J3840" s="26" t="str">
        <f>IF(OR(E3840="",E3840="!!!",F3840="NEW"),"",COUNTBLANK(OFFSET(A$1,,,SUMPRODUCT(MAX(ROW(E$2:E3840)*(E3840=E$2:E3840)))))-COUNTBLANK(OFFSET(A$1,,,SUMPRODUCT(MAX(ROW(E$1:E3839)*(E2=E$1:E3839))))))</f>
        <v> </v>
      </c>
      <c r="K3840" s="26" t="str">
        <f>IF(OR(E3840="",E3840="!!!",F3840="NEW"),"",INDEX(J$1:J3839,SUMPRODUCT(MAX(ROW(E$1:E3839)*(E3840=E$1:E3839)))))</f>
        <v> </v>
      </c>
      <c r="L3840" s="27"/>
    </row>
    <row r="3841" spans="1:12">
      <c r="A3841" s="20" t="s">
        <v>1225</v>
      </c>
      <c r="E3841" s="22">
        <f>IF(D3841="?OLD","!!!","")</f>
        <v/>
      </c>
      <c r="F3841" s="23" t="str">
        <f>IF(OR(E3841="",E3841="!!!"),"",IF(NOT(ISNA(VLOOKUP(E3841,E$1:E3840,1,FALSE()))),"OLD",IF(AND(E3841&lt;&gt;"",E3841&lt;&gt;"!!!"),"NEW","")))</f>
        <v> </v>
      </c>
      <c r="G3841" s="24" t="str">
        <f>IF(OR(E3841="",E3841="!!!"),"",IF(OR(J3841=0,AND(J3841=1,K3841=1),AND(J3841=1,I3841="SBJ"),AND(J3841=1,I3841=0)),"?IN_FOCUS",IF(J3841&lt;=2,"?ACTIVATED",IF(J3841&lt;&gt;"","?FAMILIAR",IF(F3841="NEW",IF(ISNA(VLOOKUP(E3841,#REF!,1,FALSE())),"?TYPE_IDENTIFIABLE","?REFERENTIAL"),"_")))))</f>
        <v> </v>
      </c>
      <c r="H3841" s="25" t="str">
        <f>IF(J3841&lt;&gt;1,"",IF(I3841="SBJ","CB","?"))</f>
        <v> </v>
      </c>
      <c r="I3841" s="26" t="str">
        <f>IF(OR(E3841="",E3841="!!!",F3841="NEW"),"",INDEX(B3840:B$2,-1+SUMPRODUCT(MAX(ROW(E3840:E$2)*(E3841=E3840:E$2)))))</f>
        <v> </v>
      </c>
      <c r="J3841" s="26" t="str">
        <f>IF(OR(E3841="",E3841="!!!",F3841="NEW"),"",COUNTBLANK(OFFSET(A$1,,,SUMPRODUCT(MAX(ROW(E$2:E3841)*(E3841=E$2:E3841)))))-COUNTBLANK(OFFSET(A$1,,,SUMPRODUCT(MAX(ROW(E$1:E3840)*(E2=E$1:E3840))))))</f>
        <v> </v>
      </c>
      <c r="K3841" s="26" t="str">
        <f>IF(OR(E3841="",E3841="!!!",F3841="NEW"),"",INDEX(J$1:J3840,SUMPRODUCT(MAX(ROW(E$1:E3840)*(E3841=E$1:E3840)))))</f>
        <v> </v>
      </c>
      <c r="L3841" s="27"/>
    </row>
    <row r="3842" spans="1:12">
      <c r="A3842" s="20" t="s">
        <v>2298</v>
      </c>
      <c r="E3842" s="22">
        <f>IF(D3842="?OLD","!!!","")</f>
        <v/>
      </c>
      <c r="F3842" s="23" t="str">
        <f>IF(OR(E3842="",E3842="!!!"),"",IF(NOT(ISNA(VLOOKUP(E3842,E$1:E3841,1,FALSE()))),"OLD",IF(AND(E3842&lt;&gt;"",E3842&lt;&gt;"!!!"),"NEW","")))</f>
        <v> </v>
      </c>
      <c r="G3842" s="24" t="str">
        <f>IF(OR(E3842="",E3842="!!!"),"",IF(OR(J3842=0,AND(J3842=1,K3842=1),AND(J3842=1,I3842="SBJ"),AND(J3842=1,I3842=0)),"?IN_FOCUS",IF(J3842&lt;=2,"?ACTIVATED",IF(J3842&lt;&gt;"","?FAMILIAR",IF(F3842="NEW",IF(ISNA(VLOOKUP(E3842,#REF!,1,FALSE())),"?TYPE_IDENTIFIABLE","?REFERENTIAL"),"_")))))</f>
        <v> </v>
      </c>
      <c r="H3842" s="25" t="str">
        <f>IF(J3842&lt;&gt;1,"",IF(I3842="SBJ","CB","?"))</f>
        <v> </v>
      </c>
      <c r="I3842" s="26" t="str">
        <f>IF(OR(E3842="",E3842="!!!",F3842="NEW"),"",INDEX(B3841:B$2,-1+SUMPRODUCT(MAX(ROW(E3841:E$2)*(E3842=E3841:E$2)))))</f>
        <v> </v>
      </c>
      <c r="J3842" s="26" t="str">
        <f>IF(OR(E3842="",E3842="!!!",F3842="NEW"),"",COUNTBLANK(OFFSET(A$1,,,SUMPRODUCT(MAX(ROW(E$2:E3842)*(E3842=E$2:E3842)))))-COUNTBLANK(OFFSET(A$1,,,SUMPRODUCT(MAX(ROW(E$1:E3841)*(E2=E$1:E3841))))))</f>
        <v> </v>
      </c>
      <c r="K3842" s="26" t="str">
        <f>IF(OR(E3842="",E3842="!!!",F3842="NEW"),"",INDEX(J$1:J3841,SUMPRODUCT(MAX(ROW(E$1:E3841)*(E3842=E$1:E3841)))))</f>
        <v> </v>
      </c>
      <c r="L3842" s="27"/>
    </row>
    <row r="3843" spans="1:12">
      <c r="A3843" s="20" t="s">
        <v>2150</v>
      </c>
      <c r="E3843" s="22">
        <f>IF(D3843="?OLD","!!!","")</f>
        <v/>
      </c>
      <c r="F3843" s="23" t="str">
        <f>IF(OR(E3843="",E3843="!!!"),"",IF(NOT(ISNA(VLOOKUP(E3843,E$1:E3842,1,FALSE()))),"OLD",IF(AND(E3843&lt;&gt;"",E3843&lt;&gt;"!!!"),"NEW","")))</f>
        <v> </v>
      </c>
      <c r="G3843" s="24" t="str">
        <f>IF(OR(E3843="",E3843="!!!"),"",IF(OR(J3843=0,AND(J3843=1,K3843=1),AND(J3843=1,I3843="SBJ"),AND(J3843=1,I3843=0)),"?IN_FOCUS",IF(J3843&lt;=2,"?ACTIVATED",IF(J3843&lt;&gt;"","?FAMILIAR",IF(F3843="NEW",IF(ISNA(VLOOKUP(E3843,#REF!,1,FALSE())),"?TYPE_IDENTIFIABLE","?REFERENTIAL"),"_")))))</f>
        <v> </v>
      </c>
      <c r="H3843" s="25" t="str">
        <f>IF(J3843&lt;&gt;1,"",IF(I3843="SBJ","CB","?"))</f>
        <v> </v>
      </c>
      <c r="I3843" s="26" t="str">
        <f>IF(OR(E3843="",E3843="!!!",F3843="NEW"),"",INDEX(B3842:B$2,-1+SUMPRODUCT(MAX(ROW(E3842:E$2)*(E3843=E3842:E$2)))))</f>
        <v> </v>
      </c>
      <c r="J3843" s="26" t="str">
        <f>IF(OR(E3843="",E3843="!!!",F3843="NEW"),"",COUNTBLANK(OFFSET(A$1,,,SUMPRODUCT(MAX(ROW(E$2:E3843)*(E3843=E$2:E3843)))))-COUNTBLANK(OFFSET(A$1,,,SUMPRODUCT(MAX(ROW(E$1:E3842)*(E2=E$1:E3842))))))</f>
        <v> </v>
      </c>
      <c r="K3843" s="26" t="str">
        <f>IF(OR(E3843="",E3843="!!!",F3843="NEW"),"",INDEX(J$1:J3842,SUMPRODUCT(MAX(ROW(E$1:E3842)*(E3843=E$1:E3842)))))</f>
        <v> </v>
      </c>
      <c r="L3843" s="27"/>
    </row>
    <row r="3844" spans="1:12">
      <c r="A3844" s="20" t="s">
        <v>1146</v>
      </c>
      <c r="E3844" s="22">
        <f>IF(D3844="?OLD","!!!","")</f>
        <v/>
      </c>
      <c r="F3844" s="23" t="str">
        <f>IF(OR(E3844="",E3844="!!!"),"",IF(NOT(ISNA(VLOOKUP(E3844,E$1:E3843,1,FALSE()))),"OLD",IF(AND(E3844&lt;&gt;"",E3844&lt;&gt;"!!!"),"NEW","")))</f>
        <v> </v>
      </c>
      <c r="G3844" s="24" t="str">
        <f>IF(OR(E3844="",E3844="!!!"),"",IF(OR(J3844=0,AND(J3844=1,K3844=1),AND(J3844=1,I3844="SBJ"),AND(J3844=1,I3844=0)),"?IN_FOCUS",IF(J3844&lt;=2,"?ACTIVATED",IF(J3844&lt;&gt;"","?FAMILIAR",IF(F3844="NEW",IF(ISNA(VLOOKUP(E3844,#REF!,1,FALSE())),"?TYPE_IDENTIFIABLE","?REFERENTIAL"),"_")))))</f>
        <v> </v>
      </c>
      <c r="H3844" s="25" t="str">
        <f>IF(J3844&lt;&gt;1,"",IF(I3844="SBJ","CB","?"))</f>
        <v> </v>
      </c>
      <c r="I3844" s="26" t="str">
        <f>IF(OR(E3844="",E3844="!!!",F3844="NEW"),"",INDEX(B3843:B$2,-1+SUMPRODUCT(MAX(ROW(E3843:E$2)*(E3844=E3843:E$2)))))</f>
        <v> </v>
      </c>
      <c r="J3844" s="26" t="str">
        <f>IF(OR(E3844="",E3844="!!!",F3844="NEW"),"",COUNTBLANK(OFFSET(A$1,,,SUMPRODUCT(MAX(ROW(E$2:E3844)*(E3844=E$2:E3844)))))-COUNTBLANK(OFFSET(A$1,,,SUMPRODUCT(MAX(ROW(E$1:E3843)*(E2=E$1:E3843))))))</f>
        <v> </v>
      </c>
      <c r="K3844" s="26" t="str">
        <f>IF(OR(E3844="",E3844="!!!",F3844="NEW"),"",INDEX(J$1:J3843,SUMPRODUCT(MAX(ROW(E$1:E3843)*(E3844=E$1:E3843)))))</f>
        <v> </v>
      </c>
      <c r="L3844" s="27"/>
    </row>
    <row r="3845" spans="1:12">
      <c r="A3845" s="20"/>
    </row>
    <row r="3846" spans="1:12">
      <c r="A3846" s="20" t="s">
        <v>2299</v>
      </c>
    </row>
    <row r="3847" spans="1:12">
      <c r="A3847" s="20" t="s">
        <v>1217</v>
      </c>
      <c r="B3847" s="21" t="s">
        <v>1165</v>
      </c>
      <c r="C3847" s="21" t="s">
        <v>1168</v>
      </c>
      <c r="D3847" s="21" t="s">
        <v>1144</v>
      </c>
      <c r="E3847" s="22">
        <f>IF(D3847="?OLD","!!!","")</f>
        <v/>
      </c>
      <c r="F3847" s="23" t="str">
        <f>IF(OR(E3847="",E3847="!!!"),"",IF(NOT(ISNA(VLOOKUP(E3847,E$1:E3846,1,FALSE()))),"OLD",IF(AND(E3847&lt;&gt;"",E3847&lt;&gt;"!!!"),"NEW","")))</f>
        <v> </v>
      </c>
      <c r="G3847" s="24" t="str">
        <f>IF(OR(E3847="",E3847="!!!"),"",IF(OR(J3847=0,AND(J3847=1,K3847=1),AND(J3847=1,I3847="SBJ"),AND(J3847=1,I3847=0)),"?IN_FOCUS",IF(J3847&lt;=2,"?ACTIVATED",IF(J3847&lt;&gt;"","?FAMILIAR",IF(F3847="NEW",IF(ISNA(VLOOKUP(E3847,#REF!,1,FALSE())),"?TYPE_IDENTIFIABLE","?REFERENTIAL"),"_")))))</f>
        <v> </v>
      </c>
      <c r="H3847" s="25" t="str">
        <f>IF(J3847&lt;&gt;1,"",IF(I3847="SBJ","CB","?"))</f>
        <v> </v>
      </c>
      <c r="I3847" s="26" t="str">
        <f>IF(OR(E3847="",E3847="!!!",F3847="NEW"),"",INDEX(B3846:B$2,-1+SUMPRODUCT(MAX(ROW(E3846:E$2)*(E3847=E3846:E$2)))))</f>
        <v> </v>
      </c>
      <c r="J3847" s="26" t="str">
        <f>IF(OR(E3847="",E3847="!!!",F3847="NEW"),"",COUNTBLANK(OFFSET(A$1,,,SUMPRODUCT(MAX(ROW(E$2:E3847)*(E3847=E$2:E3847)))))-COUNTBLANK(OFFSET(A$1,,,SUMPRODUCT(MAX(ROW(E$1:E3846)*(E2=E$1:E3846))))))</f>
        <v> </v>
      </c>
      <c r="K3847" s="26" t="str">
        <f>IF(OR(E3847="",E3847="!!!",F3847="NEW"),"",INDEX(J$1:J3846,SUMPRODUCT(MAX(ROW(E$1:E3846)*(E3847=E$1:E3846)))))</f>
        <v> </v>
      </c>
      <c r="L3847" s="27"/>
    </row>
    <row r="3848" spans="1:12">
      <c r="A3848" s="20" t="s">
        <v>165</v>
      </c>
      <c r="E3848" s="22">
        <f>IF(D3848="?OLD","!!!","")</f>
        <v/>
      </c>
      <c r="F3848" s="23" t="str">
        <f>IF(OR(E3848="",E3848="!!!"),"",IF(NOT(ISNA(VLOOKUP(E3848,E$1:E3847,1,FALSE()))),"OLD",IF(AND(E3848&lt;&gt;"",E3848&lt;&gt;"!!!"),"NEW","")))</f>
        <v> </v>
      </c>
      <c r="G3848" s="24" t="str">
        <f>IF(OR(E3848="",E3848="!!!"),"",IF(OR(J3848=0,AND(J3848=1,K3848=1),AND(J3848=1,I3848="SBJ"),AND(J3848=1,I3848=0)),"?IN_FOCUS",IF(J3848&lt;=2,"?ACTIVATED",IF(J3848&lt;&gt;"","?FAMILIAR",IF(F3848="NEW",IF(ISNA(VLOOKUP(E3848,#REF!,1,FALSE())),"?TYPE_IDENTIFIABLE","?REFERENTIAL"),"_")))))</f>
        <v> </v>
      </c>
      <c r="H3848" s="25" t="str">
        <f>IF(J3848&lt;&gt;1,"",IF(I3848="SBJ","CB","?"))</f>
        <v> </v>
      </c>
      <c r="I3848" s="26" t="str">
        <f>IF(OR(E3848="",E3848="!!!",F3848="NEW"),"",INDEX(B3847:B$2,-1+SUMPRODUCT(MAX(ROW(E3847:E$2)*(E3848=E3847:E$2)))))</f>
        <v> </v>
      </c>
      <c r="J3848" s="26" t="str">
        <f>IF(OR(E3848="",E3848="!!!",F3848="NEW"),"",COUNTBLANK(OFFSET(A$1,,,SUMPRODUCT(MAX(ROW(E$2:E3848)*(E3848=E$2:E3848)))))-COUNTBLANK(OFFSET(A$1,,,SUMPRODUCT(MAX(ROW(E$1:E3847)*(E2=E$1:E3847))))))</f>
        <v> </v>
      </c>
      <c r="K3848" s="26" t="str">
        <f>IF(OR(E3848="",E3848="!!!",F3848="NEW"),"",INDEX(J$1:J3847,SUMPRODUCT(MAX(ROW(E$1:E3847)*(E3848=E$1:E3847)))))</f>
        <v> </v>
      </c>
      <c r="L3848" s="27"/>
    </row>
    <row r="3849" spans="1:12">
      <c r="A3849" s="20" t="s">
        <v>1590</v>
      </c>
      <c r="E3849" s="22">
        <f>IF(D3849="?OLD","!!!","")</f>
        <v/>
      </c>
      <c r="F3849" s="23" t="str">
        <f>IF(OR(E3849="",E3849="!!!"),"",IF(NOT(ISNA(VLOOKUP(E3849,E$1:E3848,1,FALSE()))),"OLD",IF(AND(E3849&lt;&gt;"",E3849&lt;&gt;"!!!"),"NEW","")))</f>
        <v> </v>
      </c>
      <c r="G3849" s="24" t="str">
        <f>IF(OR(E3849="",E3849="!!!"),"",IF(OR(J3849=0,AND(J3849=1,K3849=1),AND(J3849=1,I3849="SBJ"),AND(J3849=1,I3849=0)),"?IN_FOCUS",IF(J3849&lt;=2,"?ACTIVATED",IF(J3849&lt;&gt;"","?FAMILIAR",IF(F3849="NEW",IF(ISNA(VLOOKUP(E3849,#REF!,1,FALSE())),"?TYPE_IDENTIFIABLE","?REFERENTIAL"),"_")))))</f>
        <v> </v>
      </c>
      <c r="H3849" s="25" t="str">
        <f>IF(J3849&lt;&gt;1,"",IF(I3849="SBJ","CB","?"))</f>
        <v> </v>
      </c>
      <c r="I3849" s="26" t="str">
        <f>IF(OR(E3849="",E3849="!!!",F3849="NEW"),"",INDEX(B3848:B$2,-1+SUMPRODUCT(MAX(ROW(E3848:E$2)*(E3849=E3848:E$2)))))</f>
        <v> </v>
      </c>
      <c r="J3849" s="26" t="str">
        <f>IF(OR(E3849="",E3849="!!!",F3849="NEW"),"",COUNTBLANK(OFFSET(A$1,,,SUMPRODUCT(MAX(ROW(E$2:E3849)*(E3849=E$2:E3849)))))-COUNTBLANK(OFFSET(A$1,,,SUMPRODUCT(MAX(ROW(E$1:E3848)*(E2=E$1:E3848))))))</f>
        <v> </v>
      </c>
      <c r="K3849" s="26" t="str">
        <f>IF(OR(E3849="",E3849="!!!",F3849="NEW"),"",INDEX(J$1:J3848,SUMPRODUCT(MAX(ROW(E$1:E3848)*(E3849=E$1:E3848)))))</f>
        <v> </v>
      </c>
      <c r="L3849" s="27"/>
    </row>
    <row r="3850" spans="1:12">
      <c r="A3850" s="20" t="s">
        <v>1284</v>
      </c>
      <c r="B3850" s="21" t="s">
        <v>1154</v>
      </c>
      <c r="C3850" s="21" t="s">
        <v>1214</v>
      </c>
      <c r="E3850" s="22">
        <f>IF(D3850="?OLD","!!!","")</f>
        <v/>
      </c>
      <c r="F3850" s="23" t="str">
        <f>IF(OR(E3850="",E3850="!!!"),"",IF(NOT(ISNA(VLOOKUP(E3850,E$1:E3849,1,FALSE()))),"OLD",IF(AND(E3850&lt;&gt;"",E3850&lt;&gt;"!!!"),"NEW","")))</f>
        <v> </v>
      </c>
      <c r="G3850" s="24" t="str">
        <f>IF(OR(E3850="",E3850="!!!"),"",IF(OR(J3850=0,AND(J3850=1,K3850=1),AND(J3850=1,I3850="SBJ"),AND(J3850=1,I3850=0)),"?IN_FOCUS",IF(J3850&lt;=2,"?ACTIVATED",IF(J3850&lt;&gt;"","?FAMILIAR",IF(F3850="NEW",IF(ISNA(VLOOKUP(E3850,#REF!,1,FALSE())),"?TYPE_IDENTIFIABLE","?REFERENTIAL"),"_")))))</f>
        <v> </v>
      </c>
      <c r="H3850" s="25" t="str">
        <f>IF(J3850&lt;&gt;1,"",IF(I3850="SBJ","CB","?"))</f>
        <v> </v>
      </c>
      <c r="I3850" s="26" t="str">
        <f>IF(OR(E3850="",E3850="!!!",F3850="NEW"),"",INDEX(B3849:B$2,-1+SUMPRODUCT(MAX(ROW(E3849:E$2)*(E3850=E3849:E$2)))))</f>
        <v> </v>
      </c>
      <c r="J3850" s="26" t="str">
        <f>IF(OR(E3850="",E3850="!!!",F3850="NEW"),"",COUNTBLANK(OFFSET(A$1,,,SUMPRODUCT(MAX(ROW(E$2:E3850)*(E3850=E$2:E3850)))))-COUNTBLANK(OFFSET(A$1,,,SUMPRODUCT(MAX(ROW(E$1:E3849)*(E2=E$1:E3849))))))</f>
        <v> </v>
      </c>
      <c r="K3850" s="26" t="str">
        <f>IF(OR(E3850="",E3850="!!!",F3850="NEW"),"",INDEX(J$1:J3849,SUMPRODUCT(MAX(ROW(E$1:E3849)*(E3850=E$1:E3849)))))</f>
        <v> </v>
      </c>
      <c r="L3850" s="27"/>
    </row>
    <row r="3851" spans="1:12">
      <c r="A3851" s="20" t="s">
        <v>1166</v>
      </c>
      <c r="E3851" s="22">
        <f>IF(D3851="?OLD","!!!","")</f>
        <v/>
      </c>
      <c r="F3851" s="23" t="str">
        <f>IF(OR(E3851="",E3851="!!!"),"",IF(NOT(ISNA(VLOOKUP(E3851,E$1:E3850,1,FALSE()))),"OLD",IF(AND(E3851&lt;&gt;"",E3851&lt;&gt;"!!!"),"NEW","")))</f>
        <v> </v>
      </c>
      <c r="G3851" s="24" t="str">
        <f>IF(OR(E3851="",E3851="!!!"),"",IF(OR(J3851=0,AND(J3851=1,K3851=1),AND(J3851=1,I3851="SBJ"),AND(J3851=1,I3851=0)),"?IN_FOCUS",IF(J3851&lt;=2,"?ACTIVATED",IF(J3851&lt;&gt;"","?FAMILIAR",IF(F3851="NEW",IF(ISNA(VLOOKUP(E3851,#REF!,1,FALSE())),"?TYPE_IDENTIFIABLE","?REFERENTIAL"),"_")))))</f>
        <v> </v>
      </c>
      <c r="H3851" s="25" t="str">
        <f>IF(J3851&lt;&gt;1,"",IF(I3851="SBJ","CB","?"))</f>
        <v> </v>
      </c>
      <c r="I3851" s="26" t="str">
        <f>IF(OR(E3851="",E3851="!!!",F3851="NEW"),"",INDEX(B3850:B$2,-1+SUMPRODUCT(MAX(ROW(E3850:E$2)*(E3851=E3850:E$2)))))</f>
        <v> </v>
      </c>
      <c r="J3851" s="26" t="str">
        <f>IF(OR(E3851="",E3851="!!!",F3851="NEW"),"",COUNTBLANK(OFFSET(A$1,,,SUMPRODUCT(MAX(ROW(E$2:E3851)*(E3851=E$2:E3851)))))-COUNTBLANK(OFFSET(A$1,,,SUMPRODUCT(MAX(ROW(E$1:E3850)*(E2=E$1:E3850))))))</f>
        <v> </v>
      </c>
      <c r="K3851" s="26" t="str">
        <f>IF(OR(E3851="",E3851="!!!",F3851="NEW"),"",INDEX(J$1:J3850,SUMPRODUCT(MAX(ROW(E$1:E3850)*(E3851=E$1:E3850)))))</f>
        <v> </v>
      </c>
      <c r="L3851" s="27"/>
    </row>
    <row r="3852" spans="1:12">
      <c r="A3852" s="20" t="s">
        <v>1238</v>
      </c>
      <c r="B3852" s="21" t="s">
        <v>1175</v>
      </c>
      <c r="C3852" s="21" t="s">
        <v>1168</v>
      </c>
      <c r="D3852" s="21" t="s">
        <v>1144</v>
      </c>
      <c r="E3852" s="22">
        <f>IF(D3852="?OLD","!!!","")</f>
        <v/>
      </c>
      <c r="F3852" s="23" t="str">
        <f>IF(OR(E3852="",E3852="!!!"),"",IF(NOT(ISNA(VLOOKUP(E3852,E$1:E3851,1,FALSE()))),"OLD",IF(AND(E3852&lt;&gt;"",E3852&lt;&gt;"!!!"),"NEW","")))</f>
        <v> </v>
      </c>
      <c r="G3852" s="24" t="str">
        <f>IF(OR(E3852="",E3852="!!!"),"",IF(OR(J3852=0,AND(J3852=1,K3852=1),AND(J3852=1,I3852="SBJ"),AND(J3852=1,I3852=0)),"?IN_FOCUS",IF(J3852&lt;=2,"?ACTIVATED",IF(J3852&lt;&gt;"","?FAMILIAR",IF(F3852="NEW",IF(ISNA(VLOOKUP(E3852,#REF!,1,FALSE())),"?TYPE_IDENTIFIABLE","?REFERENTIAL"),"_")))))</f>
        <v> </v>
      </c>
      <c r="H3852" s="25" t="str">
        <f>IF(J3852&lt;&gt;1,"",IF(I3852="SBJ","CB","?"))</f>
        <v> </v>
      </c>
      <c r="I3852" s="26" t="str">
        <f>IF(OR(E3852="",E3852="!!!",F3852="NEW"),"",INDEX(B3851:B$2,-1+SUMPRODUCT(MAX(ROW(E3851:E$2)*(E3852=E3851:E$2)))))</f>
        <v> </v>
      </c>
      <c r="J3852" s="26" t="str">
        <f>IF(OR(E3852="",E3852="!!!",F3852="NEW"),"",COUNTBLANK(OFFSET(A$1,,,SUMPRODUCT(MAX(ROW(E$2:E3852)*(E3852=E$2:E3852)))))-COUNTBLANK(OFFSET(A$1,,,SUMPRODUCT(MAX(ROW(E$1:E3851)*(E2=E$1:E3851))))))</f>
        <v> </v>
      </c>
      <c r="K3852" s="26" t="str">
        <f>IF(OR(E3852="",E3852="!!!",F3852="NEW"),"",INDEX(J$1:J3851,SUMPRODUCT(MAX(ROW(E$1:E3851)*(E3852=E$1:E3851)))))</f>
        <v> </v>
      </c>
      <c r="L3852" s="27"/>
    </row>
    <row r="3853" spans="1:12">
      <c r="A3853" s="20" t="s">
        <v>1219</v>
      </c>
      <c r="E3853" s="22">
        <f>IF(D3853="?OLD","!!!","")</f>
        <v/>
      </c>
      <c r="F3853" s="23" t="str">
        <f>IF(OR(E3853="",E3853="!!!"),"",IF(NOT(ISNA(VLOOKUP(E3853,E$1:E3852,1,FALSE()))),"OLD",IF(AND(E3853&lt;&gt;"",E3853&lt;&gt;"!!!"),"NEW","")))</f>
        <v> </v>
      </c>
      <c r="G3853" s="24" t="str">
        <f>IF(OR(E3853="",E3853="!!!"),"",IF(OR(J3853=0,AND(J3853=1,K3853=1),AND(J3853=1,I3853="SBJ"),AND(J3853=1,I3853=0)),"?IN_FOCUS",IF(J3853&lt;=2,"?ACTIVATED",IF(J3853&lt;&gt;"","?FAMILIAR",IF(F3853="NEW",IF(ISNA(VLOOKUP(E3853,#REF!,1,FALSE())),"?TYPE_IDENTIFIABLE","?REFERENTIAL"),"_")))))</f>
        <v> </v>
      </c>
      <c r="H3853" s="25" t="str">
        <f>IF(J3853&lt;&gt;1,"",IF(I3853="SBJ","CB","?"))</f>
        <v> </v>
      </c>
      <c r="I3853" s="26" t="str">
        <f>IF(OR(E3853="",E3853="!!!",F3853="NEW"),"",INDEX(B3852:B$2,-1+SUMPRODUCT(MAX(ROW(E3852:E$2)*(E3853=E3852:E$2)))))</f>
        <v> </v>
      </c>
      <c r="J3853" s="26" t="str">
        <f>IF(OR(E3853="",E3853="!!!",F3853="NEW"),"",COUNTBLANK(OFFSET(A$1,,,SUMPRODUCT(MAX(ROW(E$2:E3853)*(E3853=E$2:E3853)))))-COUNTBLANK(OFFSET(A$1,,,SUMPRODUCT(MAX(ROW(E$1:E3852)*(E2=E$1:E3852))))))</f>
        <v> </v>
      </c>
      <c r="K3853" s="26" t="str">
        <f>IF(OR(E3853="",E3853="!!!",F3853="NEW"),"",INDEX(J$1:J3852,SUMPRODUCT(MAX(ROW(E$1:E3852)*(E3853=E$1:E3852)))))</f>
        <v> </v>
      </c>
      <c r="L3853" s="27"/>
    </row>
    <row r="3854" spans="1:12">
      <c r="A3854" s="20" t="s">
        <v>1238</v>
      </c>
      <c r="E3854" s="22">
        <f>IF(D3854="?OLD","!!!","")</f>
        <v/>
      </c>
      <c r="F3854" s="23" t="str">
        <f>IF(OR(E3854="",E3854="!!!"),"",IF(NOT(ISNA(VLOOKUP(E3854,E$1:E3853,1,FALSE()))),"OLD",IF(AND(E3854&lt;&gt;"",E3854&lt;&gt;"!!!"),"NEW","")))</f>
        <v> </v>
      </c>
      <c r="G3854" s="24" t="str">
        <f>IF(OR(E3854="",E3854="!!!"),"",IF(OR(J3854=0,AND(J3854=1,K3854=1),AND(J3854=1,I3854="SBJ"),AND(J3854=1,I3854=0)),"?IN_FOCUS",IF(J3854&lt;=2,"?ACTIVATED",IF(J3854&lt;&gt;"","?FAMILIAR",IF(F3854="NEW",IF(ISNA(VLOOKUP(E3854,#REF!,1,FALSE())),"?TYPE_IDENTIFIABLE","?REFERENTIAL"),"_")))))</f>
        <v> </v>
      </c>
      <c r="H3854" s="25" t="str">
        <f>IF(J3854&lt;&gt;1,"",IF(I3854="SBJ","CB","?"))</f>
        <v> </v>
      </c>
      <c r="I3854" s="26" t="str">
        <f>IF(OR(E3854="",E3854="!!!",F3854="NEW"),"",INDEX(B3853:B$2,-1+SUMPRODUCT(MAX(ROW(E3853:E$2)*(E3854=E3853:E$2)))))</f>
        <v> </v>
      </c>
      <c r="J3854" s="26" t="str">
        <f>IF(OR(E3854="",E3854="!!!",F3854="NEW"),"",COUNTBLANK(OFFSET(A$1,,,SUMPRODUCT(MAX(ROW(E$2:E3854)*(E3854=E$2:E3854)))))-COUNTBLANK(OFFSET(A$1,,,SUMPRODUCT(MAX(ROW(E$1:E3853)*(E2=E$1:E3853))))))</f>
        <v> </v>
      </c>
      <c r="K3854" s="26" t="str">
        <f>IF(OR(E3854="",E3854="!!!",F3854="NEW"),"",INDEX(J$1:J3853,SUMPRODUCT(MAX(ROW(E$1:E3853)*(E3854=E$1:E3853)))))</f>
        <v> </v>
      </c>
      <c r="L3854" s="27"/>
    </row>
    <row r="3855" spans="1:12">
      <c r="A3855" s="20" t="s">
        <v>1253</v>
      </c>
      <c r="B3855" s="21" t="s">
        <v>1147</v>
      </c>
      <c r="C3855" s="21" t="s">
        <v>1162</v>
      </c>
      <c r="D3855" s="21" t="s">
        <v>1144</v>
      </c>
      <c r="E3855" s="22">
        <f>IF(D3855="?OLD","!!!","")</f>
        <v/>
      </c>
      <c r="F3855" s="23" t="str">
        <f>IF(OR(E3855="",E3855="!!!"),"",IF(NOT(ISNA(VLOOKUP(E3855,E$1:E3854,1,FALSE()))),"OLD",IF(AND(E3855&lt;&gt;"",E3855&lt;&gt;"!!!"),"NEW","")))</f>
        <v> </v>
      </c>
      <c r="G3855" s="24" t="str">
        <f>IF(OR(E3855="",E3855="!!!"),"",IF(OR(J3855=0,AND(J3855=1,K3855=1),AND(J3855=1,I3855="SBJ"),AND(J3855=1,I3855=0)),"?IN_FOCUS",IF(J3855&lt;=2,"?ACTIVATED",IF(J3855&lt;&gt;"","?FAMILIAR",IF(F3855="NEW",IF(ISNA(VLOOKUP(E3855,#REF!,1,FALSE())),"?TYPE_IDENTIFIABLE","?REFERENTIAL"),"_")))))</f>
        <v> </v>
      </c>
      <c r="H3855" s="25" t="str">
        <f>IF(J3855&lt;&gt;1,"",IF(I3855="SBJ","CB","?"))</f>
        <v> </v>
      </c>
      <c r="I3855" s="26" t="str">
        <f>IF(OR(E3855="",E3855="!!!",F3855="NEW"),"",INDEX(B3854:B$2,-1+SUMPRODUCT(MAX(ROW(E3854:E$2)*(E3855=E3854:E$2)))))</f>
        <v> </v>
      </c>
      <c r="J3855" s="26" t="str">
        <f>IF(OR(E3855="",E3855="!!!",F3855="NEW"),"",COUNTBLANK(OFFSET(A$1,,,SUMPRODUCT(MAX(ROW(E$2:E3855)*(E3855=E$2:E3855)))))-COUNTBLANK(OFFSET(A$1,,,SUMPRODUCT(MAX(ROW(E$1:E3854)*(E2=E$1:E3854))))))</f>
        <v> </v>
      </c>
      <c r="K3855" s="26" t="str">
        <f>IF(OR(E3855="",E3855="!!!",F3855="NEW"),"",INDEX(J$1:J3854,SUMPRODUCT(MAX(ROW(E$1:E3854)*(E3855=E$1:E3854)))))</f>
        <v> </v>
      </c>
      <c r="L3855" s="27"/>
    </row>
    <row r="3856" spans="1:12">
      <c r="A3856" s="20" t="s">
        <v>551</v>
      </c>
      <c r="E3856" s="22">
        <f>IF(D3856="?OLD","!!!","")</f>
        <v/>
      </c>
      <c r="F3856" s="23" t="str">
        <f>IF(OR(E3856="",E3856="!!!"),"",IF(NOT(ISNA(VLOOKUP(E3856,E$1:E3855,1,FALSE()))),"OLD",IF(AND(E3856&lt;&gt;"",E3856&lt;&gt;"!!!"),"NEW","")))</f>
        <v> </v>
      </c>
      <c r="G3856" s="24" t="str">
        <f>IF(OR(E3856="",E3856="!!!"),"",IF(OR(J3856=0,AND(J3856=1,K3856=1),AND(J3856=1,I3856="SBJ"),AND(J3856=1,I3856=0)),"?IN_FOCUS",IF(J3856&lt;=2,"?ACTIVATED",IF(J3856&lt;&gt;"","?FAMILIAR",IF(F3856="NEW",IF(ISNA(VLOOKUP(E3856,#REF!,1,FALSE())),"?TYPE_IDENTIFIABLE","?REFERENTIAL"),"_")))))</f>
        <v> </v>
      </c>
      <c r="H3856" s="25" t="str">
        <f>IF(J3856&lt;&gt;1,"",IF(I3856="SBJ","CB","?"))</f>
        <v> </v>
      </c>
      <c r="I3856" s="26" t="str">
        <f>IF(OR(E3856="",E3856="!!!",F3856="NEW"),"",INDEX(B3855:B$2,-1+SUMPRODUCT(MAX(ROW(E3855:E$2)*(E3856=E3855:E$2)))))</f>
        <v> </v>
      </c>
      <c r="J3856" s="26" t="str">
        <f>IF(OR(E3856="",E3856="!!!",F3856="NEW"),"",COUNTBLANK(OFFSET(A$1,,,SUMPRODUCT(MAX(ROW(E$2:E3856)*(E3856=E$2:E3856)))))-COUNTBLANK(OFFSET(A$1,,,SUMPRODUCT(MAX(ROW(E$1:E3855)*(E2=E$1:E3855))))))</f>
        <v> </v>
      </c>
      <c r="K3856" s="26" t="str">
        <f>IF(OR(E3856="",E3856="!!!",F3856="NEW"),"",INDEX(J$1:J3855,SUMPRODUCT(MAX(ROW(E$1:E3855)*(E3856=E$1:E3855)))))</f>
        <v> </v>
      </c>
      <c r="L3856" s="27"/>
    </row>
    <row r="3857" spans="1:12">
      <c r="A3857" s="20" t="s">
        <v>2300</v>
      </c>
      <c r="E3857" s="22">
        <f>IF(D3857="?OLD","!!!","")</f>
        <v/>
      </c>
      <c r="F3857" s="23" t="str">
        <f>IF(OR(E3857="",E3857="!!!"),"",IF(NOT(ISNA(VLOOKUP(E3857,E$1:E3856,1,FALSE()))),"OLD",IF(AND(E3857&lt;&gt;"",E3857&lt;&gt;"!!!"),"NEW","")))</f>
        <v> </v>
      </c>
      <c r="G3857" s="24" t="str">
        <f>IF(OR(E3857="",E3857="!!!"),"",IF(OR(J3857=0,AND(J3857=1,K3857=1),AND(J3857=1,I3857="SBJ"),AND(J3857=1,I3857=0)),"?IN_FOCUS",IF(J3857&lt;=2,"?ACTIVATED",IF(J3857&lt;&gt;"","?FAMILIAR",IF(F3857="NEW",IF(ISNA(VLOOKUP(E3857,#REF!,1,FALSE())),"?TYPE_IDENTIFIABLE","?REFERENTIAL"),"_")))))</f>
        <v> </v>
      </c>
      <c r="H3857" s="25" t="str">
        <f>IF(J3857&lt;&gt;1,"",IF(I3857="SBJ","CB","?"))</f>
        <v> </v>
      </c>
      <c r="I3857" s="26" t="str">
        <f>IF(OR(E3857="",E3857="!!!",F3857="NEW"),"",INDEX(B3856:B$2,-1+SUMPRODUCT(MAX(ROW(E3856:E$2)*(E3857=E3856:E$2)))))</f>
        <v> </v>
      </c>
      <c r="J3857" s="26" t="str">
        <f>IF(OR(E3857="",E3857="!!!",F3857="NEW"),"",COUNTBLANK(OFFSET(A$1,,,SUMPRODUCT(MAX(ROW(E$2:E3857)*(E3857=E$2:E3857)))))-COUNTBLANK(OFFSET(A$1,,,SUMPRODUCT(MAX(ROW(E$1:E3856)*(E2=E$1:E3856))))))</f>
        <v> </v>
      </c>
      <c r="K3857" s="26" t="str">
        <f>IF(OR(E3857="",E3857="!!!",F3857="NEW"),"",INDEX(J$1:J3856,SUMPRODUCT(MAX(ROW(E$1:E3856)*(E3857=E$1:E3856)))))</f>
        <v> </v>
      </c>
      <c r="L3857" s="27"/>
    </row>
    <row r="3858" spans="1:12">
      <c r="A3858" s="20"/>
    </row>
    <row r="3859" spans="1:12">
      <c r="A3859" s="20" t="s">
        <v>2301</v>
      </c>
    </row>
    <row r="3860" spans="1:12">
      <c r="A3860" s="20" t="s">
        <v>1278</v>
      </c>
      <c r="B3860" s="21" t="s">
        <v>1165</v>
      </c>
      <c r="C3860" s="21" t="s">
        <v>1168</v>
      </c>
      <c r="D3860" s="21" t="s">
        <v>1144</v>
      </c>
      <c r="E3860" s="22">
        <f>IF(D3860="?OLD","!!!","")</f>
        <v/>
      </c>
      <c r="F3860" s="23" t="str">
        <f>IF(OR(E3860="",E3860="!!!"),"",IF(NOT(ISNA(VLOOKUP(E3860,E$1:E3859,1,FALSE()))),"OLD",IF(AND(E3860&lt;&gt;"",E3860&lt;&gt;"!!!"),"NEW","")))</f>
        <v> </v>
      </c>
      <c r="G3860" s="24" t="str">
        <f>IF(OR(E3860="",E3860="!!!"),"",IF(OR(J3860=0,AND(J3860=1,K3860=1),AND(J3860=1,I3860="SBJ"),AND(J3860=1,I3860=0)),"?IN_FOCUS",IF(J3860&lt;=2,"?ACTIVATED",IF(J3860&lt;&gt;"","?FAMILIAR",IF(F3860="NEW",IF(ISNA(VLOOKUP(E3860,#REF!,1,FALSE())),"?TYPE_IDENTIFIABLE","?REFERENTIAL"),"_")))))</f>
        <v> </v>
      </c>
      <c r="H3860" s="25" t="str">
        <f>IF(J3860&lt;&gt;1,"",IF(I3860="SBJ","CB","?"))</f>
        <v> </v>
      </c>
      <c r="I3860" s="26" t="str">
        <f>IF(OR(E3860="",E3860="!!!",F3860="NEW"),"",INDEX(B3859:B$2,-1+SUMPRODUCT(MAX(ROW(E3859:E$2)*(E3860=E3859:E$2)))))</f>
        <v> </v>
      </c>
      <c r="J3860" s="26" t="str">
        <f>IF(OR(E3860="",E3860="!!!",F3860="NEW"),"",COUNTBLANK(OFFSET(A$1,,,SUMPRODUCT(MAX(ROW(E$2:E3860)*(E3860=E$2:E3860)))))-COUNTBLANK(OFFSET(A$1,,,SUMPRODUCT(MAX(ROW(E$1:E3859)*(E2=E$1:E3859))))))</f>
        <v> </v>
      </c>
      <c r="K3860" s="26" t="str">
        <f>IF(OR(E3860="",E3860="!!!",F3860="NEW"),"",INDEX(J$1:J3859,SUMPRODUCT(MAX(ROW(E$1:E3859)*(E3860=E$1:E3859)))))</f>
        <v> </v>
      </c>
      <c r="L3860" s="27"/>
    </row>
    <row r="3861" spans="1:12">
      <c r="A3861" s="20" t="s">
        <v>933</v>
      </c>
      <c r="E3861" s="22">
        <f>IF(D3861="?OLD","!!!","")</f>
        <v/>
      </c>
      <c r="F3861" s="23" t="str">
        <f>IF(OR(E3861="",E3861="!!!"),"",IF(NOT(ISNA(VLOOKUP(E3861,E$1:E3860,1,FALSE()))),"OLD",IF(AND(E3861&lt;&gt;"",E3861&lt;&gt;"!!!"),"NEW","")))</f>
        <v> </v>
      </c>
      <c r="G3861" s="24" t="str">
        <f>IF(OR(E3861="",E3861="!!!"),"",IF(OR(J3861=0,AND(J3861=1,K3861=1),AND(J3861=1,I3861="SBJ"),AND(J3861=1,I3861=0)),"?IN_FOCUS",IF(J3861&lt;=2,"?ACTIVATED",IF(J3861&lt;&gt;"","?FAMILIAR",IF(F3861="NEW",IF(ISNA(VLOOKUP(E3861,#REF!,1,FALSE())),"?TYPE_IDENTIFIABLE","?REFERENTIAL"),"_")))))</f>
        <v> </v>
      </c>
      <c r="H3861" s="25" t="str">
        <f>IF(J3861&lt;&gt;1,"",IF(I3861="SBJ","CB","?"))</f>
        <v> </v>
      </c>
      <c r="I3861" s="26" t="str">
        <f>IF(OR(E3861="",E3861="!!!",F3861="NEW"),"",INDEX(B3860:B$2,-1+SUMPRODUCT(MAX(ROW(E3860:E$2)*(E3861=E3860:E$2)))))</f>
        <v> </v>
      </c>
      <c r="J3861" s="26" t="str">
        <f>IF(OR(E3861="",E3861="!!!",F3861="NEW"),"",COUNTBLANK(OFFSET(A$1,,,SUMPRODUCT(MAX(ROW(E$2:E3861)*(E3861=E$2:E3861)))))-COUNTBLANK(OFFSET(A$1,,,SUMPRODUCT(MAX(ROW(E$1:E3860)*(E2=E$1:E3860))))))</f>
        <v> </v>
      </c>
      <c r="K3861" s="26" t="str">
        <f>IF(OR(E3861="",E3861="!!!",F3861="NEW"),"",INDEX(J$1:J3860,SUMPRODUCT(MAX(ROW(E$1:E3860)*(E3861=E$1:E3860)))))</f>
        <v> </v>
      </c>
      <c r="L3861" s="27"/>
    </row>
    <row r="3862" spans="1:12">
      <c r="A3862" s="20" t="s">
        <v>1267</v>
      </c>
      <c r="E3862" s="22">
        <f>IF(D3862="?OLD","!!!","")</f>
        <v/>
      </c>
      <c r="F3862" s="23" t="str">
        <f>IF(OR(E3862="",E3862="!!!"),"",IF(NOT(ISNA(VLOOKUP(E3862,E$1:E3861,1,FALSE()))),"OLD",IF(AND(E3862&lt;&gt;"",E3862&lt;&gt;"!!!"),"NEW","")))</f>
        <v> </v>
      </c>
      <c r="G3862" s="24" t="str">
        <f>IF(OR(E3862="",E3862="!!!"),"",IF(OR(J3862=0,AND(J3862=1,K3862=1),AND(J3862=1,I3862="SBJ"),AND(J3862=1,I3862=0)),"?IN_FOCUS",IF(J3862&lt;=2,"?ACTIVATED",IF(J3862&lt;&gt;"","?FAMILIAR",IF(F3862="NEW",IF(ISNA(VLOOKUP(E3862,#REF!,1,FALSE())),"?TYPE_IDENTIFIABLE","?REFERENTIAL"),"_")))))</f>
        <v> </v>
      </c>
      <c r="H3862" s="25" t="str">
        <f>IF(J3862&lt;&gt;1,"",IF(I3862="SBJ","CB","?"))</f>
        <v> </v>
      </c>
      <c r="I3862" s="26" t="str">
        <f>IF(OR(E3862="",E3862="!!!",F3862="NEW"),"",INDEX(B3861:B$2,-1+SUMPRODUCT(MAX(ROW(E3861:E$2)*(E3862=E3861:E$2)))))</f>
        <v> </v>
      </c>
      <c r="J3862" s="26" t="str">
        <f>IF(OR(E3862="",E3862="!!!",F3862="NEW"),"",COUNTBLANK(OFFSET(A$1,,,SUMPRODUCT(MAX(ROW(E$2:E3862)*(E3862=E$2:E3862)))))-COUNTBLANK(OFFSET(A$1,,,SUMPRODUCT(MAX(ROW(E$1:E3861)*(E2=E$1:E3861))))))</f>
        <v> </v>
      </c>
      <c r="K3862" s="26" t="str">
        <f>IF(OR(E3862="",E3862="!!!",F3862="NEW"),"",INDEX(J$1:J3861,SUMPRODUCT(MAX(ROW(E$1:E3861)*(E3862=E$1:E3861)))))</f>
        <v> </v>
      </c>
      <c r="L3862" s="27"/>
    </row>
    <row r="3863" spans="1:12">
      <c r="A3863" s="20" t="s">
        <v>2302</v>
      </c>
      <c r="B3863" s="21" t="s">
        <v>1161</v>
      </c>
      <c r="C3863" s="21" t="s">
        <v>1187</v>
      </c>
      <c r="E3863" s="22">
        <f>IF(D3863="?OLD","!!!","")</f>
        <v/>
      </c>
      <c r="F3863" s="23" t="str">
        <f>IF(OR(E3863="",E3863="!!!"),"",IF(NOT(ISNA(VLOOKUP(E3863,E$1:E3862,1,FALSE()))),"OLD",IF(AND(E3863&lt;&gt;"",E3863&lt;&gt;"!!!"),"NEW","")))</f>
        <v> </v>
      </c>
      <c r="G3863" s="24" t="str">
        <f>IF(OR(E3863="",E3863="!!!"),"",IF(OR(J3863=0,AND(J3863=1,K3863=1),AND(J3863=1,I3863="SBJ"),AND(J3863=1,I3863=0)),"?IN_FOCUS",IF(J3863&lt;=2,"?ACTIVATED",IF(J3863&lt;&gt;"","?FAMILIAR",IF(F3863="NEW",IF(ISNA(VLOOKUP(E3863,#REF!,1,FALSE())),"?TYPE_IDENTIFIABLE","?REFERENTIAL"),"_")))))</f>
        <v> </v>
      </c>
      <c r="H3863" s="25" t="str">
        <f>IF(J3863&lt;&gt;1,"",IF(I3863="SBJ","CB","?"))</f>
        <v> </v>
      </c>
      <c r="I3863" s="26" t="str">
        <f>IF(OR(E3863="",E3863="!!!",F3863="NEW"),"",INDEX(B3862:B$2,-1+SUMPRODUCT(MAX(ROW(E3862:E$2)*(E3863=E3862:E$2)))))</f>
        <v> </v>
      </c>
      <c r="J3863" s="26" t="str">
        <f>IF(OR(E3863="",E3863="!!!",F3863="NEW"),"",COUNTBLANK(OFFSET(A$1,,,SUMPRODUCT(MAX(ROW(E$2:E3863)*(E3863=E$2:E3863)))))-COUNTBLANK(OFFSET(A$1,,,SUMPRODUCT(MAX(ROW(E$1:E3862)*(E2=E$1:E3862))))))</f>
        <v> </v>
      </c>
      <c r="K3863" s="26" t="str">
        <f>IF(OR(E3863="",E3863="!!!",F3863="NEW"),"",INDEX(J$1:J3862,SUMPRODUCT(MAX(ROW(E$1:E3862)*(E3863=E$1:E3862)))))</f>
        <v> </v>
      </c>
      <c r="L3863" s="27"/>
    </row>
    <row r="3864" spans="1:12">
      <c r="A3864" s="20" t="s">
        <v>1203</v>
      </c>
      <c r="E3864" s="22">
        <f>IF(D3864="?OLD","!!!","")</f>
        <v/>
      </c>
      <c r="F3864" s="23" t="str">
        <f>IF(OR(E3864="",E3864="!!!"),"",IF(NOT(ISNA(VLOOKUP(E3864,E$1:E3863,1,FALSE()))),"OLD",IF(AND(E3864&lt;&gt;"",E3864&lt;&gt;"!!!"),"NEW","")))</f>
        <v> </v>
      </c>
      <c r="G3864" s="24" t="str">
        <f>IF(OR(E3864="",E3864="!!!"),"",IF(OR(J3864=0,AND(J3864=1,K3864=1),AND(J3864=1,I3864="SBJ"),AND(J3864=1,I3864=0)),"?IN_FOCUS",IF(J3864&lt;=2,"?ACTIVATED",IF(J3864&lt;&gt;"","?FAMILIAR",IF(F3864="NEW",IF(ISNA(VLOOKUP(E3864,#REF!,1,FALSE())),"?TYPE_IDENTIFIABLE","?REFERENTIAL"),"_")))))</f>
        <v> </v>
      </c>
      <c r="H3864" s="25" t="str">
        <f>IF(J3864&lt;&gt;1,"",IF(I3864="SBJ","CB","?"))</f>
        <v> </v>
      </c>
      <c r="I3864" s="26" t="str">
        <f>IF(OR(E3864="",E3864="!!!",F3864="NEW"),"",INDEX(B3863:B$2,-1+SUMPRODUCT(MAX(ROW(E3863:E$2)*(E3864=E3863:E$2)))))</f>
        <v> </v>
      </c>
      <c r="J3864" s="26" t="str">
        <f>IF(OR(E3864="",E3864="!!!",F3864="NEW"),"",COUNTBLANK(OFFSET(A$1,,,SUMPRODUCT(MAX(ROW(E$2:E3864)*(E3864=E$2:E3864)))))-COUNTBLANK(OFFSET(A$1,,,SUMPRODUCT(MAX(ROW(E$1:E3863)*(E2=E$1:E3863))))))</f>
        <v> </v>
      </c>
      <c r="K3864" s="26" t="str">
        <f>IF(OR(E3864="",E3864="!!!",F3864="NEW"),"",INDEX(J$1:J3863,SUMPRODUCT(MAX(ROW(E$1:E3863)*(E3864=E$1:E3863)))))</f>
        <v> </v>
      </c>
      <c r="L3864" s="27"/>
    </row>
    <row r="3865" spans="1:12">
      <c r="A3865" s="20" t="s">
        <v>2303</v>
      </c>
      <c r="E3865" s="22">
        <f>IF(D3865="?OLD","!!!","")</f>
        <v/>
      </c>
      <c r="F3865" s="23" t="str">
        <f>IF(OR(E3865="",E3865="!!!"),"",IF(NOT(ISNA(VLOOKUP(E3865,E$1:E3864,1,FALSE()))),"OLD",IF(AND(E3865&lt;&gt;"",E3865&lt;&gt;"!!!"),"NEW","")))</f>
        <v> </v>
      </c>
      <c r="G3865" s="24" t="str">
        <f>IF(OR(E3865="",E3865="!!!"),"",IF(OR(J3865=0,AND(J3865=1,K3865=1),AND(J3865=1,I3865="SBJ"),AND(J3865=1,I3865=0)),"?IN_FOCUS",IF(J3865&lt;=2,"?ACTIVATED",IF(J3865&lt;&gt;"","?FAMILIAR",IF(F3865="NEW",IF(ISNA(VLOOKUP(E3865,#REF!,1,FALSE())),"?TYPE_IDENTIFIABLE","?REFERENTIAL"),"_")))))</f>
        <v> </v>
      </c>
      <c r="H3865" s="25" t="str">
        <f>IF(J3865&lt;&gt;1,"",IF(I3865="SBJ","CB","?"))</f>
        <v> </v>
      </c>
      <c r="I3865" s="26" t="str">
        <f>IF(OR(E3865="",E3865="!!!",F3865="NEW"),"",INDEX(B3864:B$2,-1+SUMPRODUCT(MAX(ROW(E3864:E$2)*(E3865=E3864:E$2)))))</f>
        <v> </v>
      </c>
      <c r="J3865" s="26" t="str">
        <f>IF(OR(E3865="",E3865="!!!",F3865="NEW"),"",COUNTBLANK(OFFSET(A$1,,,SUMPRODUCT(MAX(ROW(E$2:E3865)*(E3865=E$2:E3865)))))-COUNTBLANK(OFFSET(A$1,,,SUMPRODUCT(MAX(ROW(E$1:E3864)*(E2=E$1:E3864))))))</f>
        <v> </v>
      </c>
      <c r="K3865" s="26" t="str">
        <f>IF(OR(E3865="",E3865="!!!",F3865="NEW"),"",INDEX(J$1:J3864,SUMPRODUCT(MAX(ROW(E$1:E3864)*(E3865=E$1:E3864)))))</f>
        <v> </v>
      </c>
      <c r="L3865" s="27"/>
    </row>
    <row r="3866" spans="1:12">
      <c r="A3866" s="20" t="s">
        <v>2304</v>
      </c>
      <c r="E3866" s="22">
        <f>IF(D3866="?OLD","!!!","")</f>
        <v/>
      </c>
      <c r="F3866" s="23" t="str">
        <f>IF(OR(E3866="",E3866="!!!"),"",IF(NOT(ISNA(VLOOKUP(E3866,E$1:E3865,1,FALSE()))),"OLD",IF(AND(E3866&lt;&gt;"",E3866&lt;&gt;"!!!"),"NEW","")))</f>
        <v> </v>
      </c>
      <c r="G3866" s="24" t="str">
        <f>IF(OR(E3866="",E3866="!!!"),"",IF(OR(J3866=0,AND(J3866=1,K3866=1),AND(J3866=1,I3866="SBJ"),AND(J3866=1,I3866=0)),"?IN_FOCUS",IF(J3866&lt;=2,"?ACTIVATED",IF(J3866&lt;&gt;"","?FAMILIAR",IF(F3866="NEW",IF(ISNA(VLOOKUP(E3866,#REF!,1,FALSE())),"?TYPE_IDENTIFIABLE","?REFERENTIAL"),"_")))))</f>
        <v> </v>
      </c>
      <c r="H3866" s="25" t="str">
        <f>IF(J3866&lt;&gt;1,"",IF(I3866="SBJ","CB","?"))</f>
        <v> </v>
      </c>
      <c r="I3866" s="26" t="str">
        <f>IF(OR(E3866="",E3866="!!!",F3866="NEW"),"",INDEX(B3865:B$2,-1+SUMPRODUCT(MAX(ROW(E3865:E$2)*(E3866=E3865:E$2)))))</f>
        <v> </v>
      </c>
      <c r="J3866" s="26" t="str">
        <f>IF(OR(E3866="",E3866="!!!",F3866="NEW"),"",COUNTBLANK(OFFSET(A$1,,,SUMPRODUCT(MAX(ROW(E$2:E3866)*(E3866=E$2:E3866)))))-COUNTBLANK(OFFSET(A$1,,,SUMPRODUCT(MAX(ROW(E$1:E3865)*(E2=E$1:E3865))))))</f>
        <v> </v>
      </c>
      <c r="K3866" s="26" t="str">
        <f>IF(OR(E3866="",E3866="!!!",F3866="NEW"),"",INDEX(J$1:J3865,SUMPRODUCT(MAX(ROW(E$1:E3865)*(E3866=E$1:E3865)))))</f>
        <v> </v>
      </c>
      <c r="L3866" s="27"/>
    </row>
    <row r="3867" spans="1:12">
      <c r="A3867" s="20" t="s">
        <v>1166</v>
      </c>
      <c r="E3867" s="22">
        <f>IF(D3867="?OLD","!!!","")</f>
        <v/>
      </c>
      <c r="F3867" s="23" t="str">
        <f>IF(OR(E3867="",E3867="!!!"),"",IF(NOT(ISNA(VLOOKUP(E3867,E$1:E3866,1,FALSE()))),"OLD",IF(AND(E3867&lt;&gt;"",E3867&lt;&gt;"!!!"),"NEW","")))</f>
        <v> </v>
      </c>
      <c r="G3867" s="24" t="str">
        <f>IF(OR(E3867="",E3867="!!!"),"",IF(OR(J3867=0,AND(J3867=1,K3867=1),AND(J3867=1,I3867="SBJ"),AND(J3867=1,I3867=0)),"?IN_FOCUS",IF(J3867&lt;=2,"?ACTIVATED",IF(J3867&lt;&gt;"","?FAMILIAR",IF(F3867="NEW",IF(ISNA(VLOOKUP(E3867,#REF!,1,FALSE())),"?TYPE_IDENTIFIABLE","?REFERENTIAL"),"_")))))</f>
        <v> </v>
      </c>
      <c r="H3867" s="25" t="str">
        <f>IF(J3867&lt;&gt;1,"",IF(I3867="SBJ","CB","?"))</f>
        <v> </v>
      </c>
      <c r="I3867" s="26" t="str">
        <f>IF(OR(E3867="",E3867="!!!",F3867="NEW"),"",INDEX(B3866:B$2,-1+SUMPRODUCT(MAX(ROW(E3866:E$2)*(E3867=E3866:E$2)))))</f>
        <v> </v>
      </c>
      <c r="J3867" s="26" t="str">
        <f>IF(OR(E3867="",E3867="!!!",F3867="NEW"),"",COUNTBLANK(OFFSET(A$1,,,SUMPRODUCT(MAX(ROW(E$2:E3867)*(E3867=E$2:E3867)))))-COUNTBLANK(OFFSET(A$1,,,SUMPRODUCT(MAX(ROW(E$1:E3866)*(E2=E$1:E3866))))))</f>
        <v> </v>
      </c>
      <c r="K3867" s="26" t="str">
        <f>IF(OR(E3867="",E3867="!!!",F3867="NEW"),"",INDEX(J$1:J3866,SUMPRODUCT(MAX(ROW(E$1:E3866)*(E3867=E$1:E3866)))))</f>
        <v> </v>
      </c>
      <c r="L3867" s="27"/>
    </row>
    <row r="3868" spans="1:12">
      <c r="A3868" s="20" t="s">
        <v>60</v>
      </c>
      <c r="E3868" s="22">
        <f>IF(D3868="?OLD","!!!","")</f>
        <v/>
      </c>
      <c r="F3868" s="23" t="str">
        <f>IF(OR(E3868="",E3868="!!!"),"",IF(NOT(ISNA(VLOOKUP(E3868,E$1:E3867,1,FALSE()))),"OLD",IF(AND(E3868&lt;&gt;"",E3868&lt;&gt;"!!!"),"NEW","")))</f>
        <v> </v>
      </c>
      <c r="G3868" s="24" t="str">
        <f>IF(OR(E3868="",E3868="!!!"),"",IF(OR(J3868=0,AND(J3868=1,K3868=1),AND(J3868=1,I3868="SBJ"),AND(J3868=1,I3868=0)),"?IN_FOCUS",IF(J3868&lt;=2,"?ACTIVATED",IF(J3868&lt;&gt;"","?FAMILIAR",IF(F3868="NEW",IF(ISNA(VLOOKUP(E3868,#REF!,1,FALSE())),"?TYPE_IDENTIFIABLE","?REFERENTIAL"),"_")))))</f>
        <v> </v>
      </c>
      <c r="H3868" s="25" t="str">
        <f>IF(J3868&lt;&gt;1,"",IF(I3868="SBJ","CB","?"))</f>
        <v> </v>
      </c>
      <c r="I3868" s="26" t="str">
        <f>IF(OR(E3868="",E3868="!!!",F3868="NEW"),"",INDEX(B3867:B$2,-1+SUMPRODUCT(MAX(ROW(E3867:E$2)*(E3868=E3867:E$2)))))</f>
        <v> </v>
      </c>
      <c r="J3868" s="26" t="str">
        <f>IF(OR(E3868="",E3868="!!!",F3868="NEW"),"",COUNTBLANK(OFFSET(A$1,,,SUMPRODUCT(MAX(ROW(E$2:E3868)*(E3868=E$2:E3868)))))-COUNTBLANK(OFFSET(A$1,,,SUMPRODUCT(MAX(ROW(E$1:E3867)*(E2=E$1:E3867))))))</f>
        <v> </v>
      </c>
      <c r="K3868" s="26" t="str">
        <f>IF(OR(E3868="",E3868="!!!",F3868="NEW"),"",INDEX(J$1:J3867,SUMPRODUCT(MAX(ROW(E$1:E3867)*(E3868=E$1:E3867)))))</f>
        <v> </v>
      </c>
      <c r="L3868" s="27"/>
    </row>
    <row r="3869" spans="1:12">
      <c r="A3869" s="20" t="s">
        <v>1167</v>
      </c>
      <c r="B3869" s="21" t="s">
        <v>1142</v>
      </c>
      <c r="C3869" s="21" t="s">
        <v>1168</v>
      </c>
      <c r="D3869" s="21" t="s">
        <v>1144</v>
      </c>
      <c r="E3869" s="22">
        <f>IF(D3869="?OLD","!!!","")</f>
        <v/>
      </c>
      <c r="F3869" s="23" t="str">
        <f>IF(OR(E3869="",E3869="!!!"),"",IF(NOT(ISNA(VLOOKUP(E3869,E$1:E3868,1,FALSE()))),"OLD",IF(AND(E3869&lt;&gt;"",E3869&lt;&gt;"!!!"),"NEW","")))</f>
        <v> </v>
      </c>
      <c r="G3869" s="24" t="str">
        <f>IF(OR(E3869="",E3869="!!!"),"",IF(OR(J3869=0,AND(J3869=1,K3869=1),AND(J3869=1,I3869="SBJ"),AND(J3869=1,I3869=0)),"?IN_FOCUS",IF(J3869&lt;=2,"?ACTIVATED",IF(J3869&lt;&gt;"","?FAMILIAR",IF(F3869="NEW",IF(ISNA(VLOOKUP(E3869,#REF!,1,FALSE())),"?TYPE_IDENTIFIABLE","?REFERENTIAL"),"_")))))</f>
        <v> </v>
      </c>
      <c r="H3869" s="25" t="str">
        <f>IF(J3869&lt;&gt;1,"",IF(I3869="SBJ","CB","?"))</f>
        <v> </v>
      </c>
      <c r="I3869" s="26" t="str">
        <f>IF(OR(E3869="",E3869="!!!",F3869="NEW"),"",INDEX(B3868:B$2,-1+SUMPRODUCT(MAX(ROW(E3868:E$2)*(E3869=E3868:E$2)))))</f>
        <v> </v>
      </c>
      <c r="J3869" s="26" t="str">
        <f>IF(OR(E3869="",E3869="!!!",F3869="NEW"),"",COUNTBLANK(OFFSET(A$1,,,SUMPRODUCT(MAX(ROW(E$2:E3869)*(E3869=E$2:E3869)))))-COUNTBLANK(OFFSET(A$1,,,SUMPRODUCT(MAX(ROW(E$1:E3868)*(E2=E$1:E3868))))))</f>
        <v> </v>
      </c>
      <c r="K3869" s="26" t="str">
        <f>IF(OR(E3869="",E3869="!!!",F3869="NEW"),"",INDEX(J$1:J3868,SUMPRODUCT(MAX(ROW(E$1:E3868)*(E3869=E$1:E3868)))))</f>
        <v> </v>
      </c>
      <c r="L3869" s="27"/>
    </row>
    <row r="3870" spans="1:12">
      <c r="A3870" s="20" t="s">
        <v>36</v>
      </c>
      <c r="E3870" s="22">
        <f>IF(D3870="?OLD","!!!","")</f>
        <v/>
      </c>
      <c r="F3870" s="23" t="str">
        <f>IF(OR(E3870="",E3870="!!!"),"",IF(NOT(ISNA(VLOOKUP(E3870,E$1:E3869,1,FALSE()))),"OLD",IF(AND(E3870&lt;&gt;"",E3870&lt;&gt;"!!!"),"NEW","")))</f>
        <v> </v>
      </c>
      <c r="G3870" s="24" t="str">
        <f>IF(OR(E3870="",E3870="!!!"),"",IF(OR(J3870=0,AND(J3870=1,K3870=1),AND(J3870=1,I3870="SBJ"),AND(J3870=1,I3870=0)),"?IN_FOCUS",IF(J3870&lt;=2,"?ACTIVATED",IF(J3870&lt;&gt;"","?FAMILIAR",IF(F3870="NEW",IF(ISNA(VLOOKUP(E3870,#REF!,1,FALSE())),"?TYPE_IDENTIFIABLE","?REFERENTIAL"),"_")))))</f>
        <v> </v>
      </c>
      <c r="H3870" s="25" t="str">
        <f>IF(J3870&lt;&gt;1,"",IF(I3870="SBJ","CB","?"))</f>
        <v> </v>
      </c>
      <c r="I3870" s="26" t="str">
        <f>IF(OR(E3870="",E3870="!!!",F3870="NEW"),"",INDEX(B3869:B$2,-1+SUMPRODUCT(MAX(ROW(E3869:E$2)*(E3870=E3869:E$2)))))</f>
        <v> </v>
      </c>
      <c r="J3870" s="26" t="str">
        <f>IF(OR(E3870="",E3870="!!!",F3870="NEW"),"",COUNTBLANK(OFFSET(A$1,,,SUMPRODUCT(MAX(ROW(E$2:E3870)*(E3870=E$2:E3870)))))-COUNTBLANK(OFFSET(A$1,,,SUMPRODUCT(MAX(ROW(E$1:E3869)*(E2=E$1:E3869))))))</f>
        <v> </v>
      </c>
      <c r="K3870" s="26" t="str">
        <f>IF(OR(E3870="",E3870="!!!",F3870="NEW"),"",INDEX(J$1:J3869,SUMPRODUCT(MAX(ROW(E$1:E3869)*(E3870=E$1:E3869)))))</f>
        <v> </v>
      </c>
      <c r="L3870" s="27"/>
    </row>
    <row r="3871" spans="1:12">
      <c r="A3871" s="20" t="s">
        <v>1950</v>
      </c>
      <c r="E3871" s="22">
        <f>IF(D3871="?OLD","!!!","")</f>
        <v/>
      </c>
      <c r="F3871" s="23" t="str">
        <f>IF(OR(E3871="",E3871="!!!"),"",IF(NOT(ISNA(VLOOKUP(E3871,E$1:E3870,1,FALSE()))),"OLD",IF(AND(E3871&lt;&gt;"",E3871&lt;&gt;"!!!"),"NEW","")))</f>
        <v> </v>
      </c>
      <c r="G3871" s="24" t="str">
        <f>IF(OR(E3871="",E3871="!!!"),"",IF(OR(J3871=0,AND(J3871=1,K3871=1),AND(J3871=1,I3871="SBJ"),AND(J3871=1,I3871=0)),"?IN_FOCUS",IF(J3871&lt;=2,"?ACTIVATED",IF(J3871&lt;&gt;"","?FAMILIAR",IF(F3871="NEW",IF(ISNA(VLOOKUP(E3871,#REF!,1,FALSE())),"?TYPE_IDENTIFIABLE","?REFERENTIAL"),"_")))))</f>
        <v> </v>
      </c>
      <c r="H3871" s="25" t="str">
        <f>IF(J3871&lt;&gt;1,"",IF(I3871="SBJ","CB","?"))</f>
        <v> </v>
      </c>
      <c r="I3871" s="26" t="str">
        <f>IF(OR(E3871="",E3871="!!!",F3871="NEW"),"",INDEX(B3870:B$2,-1+SUMPRODUCT(MAX(ROW(E3870:E$2)*(E3871=E3870:E$2)))))</f>
        <v> </v>
      </c>
      <c r="J3871" s="26" t="str">
        <f>IF(OR(E3871="",E3871="!!!",F3871="NEW"),"",COUNTBLANK(OFFSET(A$1,,,SUMPRODUCT(MAX(ROW(E$2:E3871)*(E3871=E$2:E3871)))))-COUNTBLANK(OFFSET(A$1,,,SUMPRODUCT(MAX(ROW(E$1:E3870)*(E2=E$1:E3870))))))</f>
        <v> </v>
      </c>
      <c r="K3871" s="26" t="str">
        <f>IF(OR(E3871="",E3871="!!!",F3871="NEW"),"",INDEX(J$1:J3870,SUMPRODUCT(MAX(ROW(E$1:E3870)*(E3871=E$1:E3870)))))</f>
        <v> </v>
      </c>
      <c r="L3871" s="27"/>
    </row>
    <row r="3872" spans="1:12">
      <c r="A3872" s="20" t="s">
        <v>1152</v>
      </c>
      <c r="E3872" s="22">
        <f>IF(D3872="?OLD","!!!","")</f>
        <v/>
      </c>
      <c r="F3872" s="23" t="str">
        <f>IF(OR(E3872="",E3872="!!!"),"",IF(NOT(ISNA(VLOOKUP(E3872,E$1:E3871,1,FALSE()))),"OLD",IF(AND(E3872&lt;&gt;"",E3872&lt;&gt;"!!!"),"NEW","")))</f>
        <v> </v>
      </c>
      <c r="G3872" s="24" t="str">
        <f>IF(OR(E3872="",E3872="!!!"),"",IF(OR(J3872=0,AND(J3872=1,K3872=1),AND(J3872=1,I3872="SBJ"),AND(J3872=1,I3872=0)),"?IN_FOCUS",IF(J3872&lt;=2,"?ACTIVATED",IF(J3872&lt;&gt;"","?FAMILIAR",IF(F3872="NEW",IF(ISNA(VLOOKUP(E3872,#REF!,1,FALSE())),"?TYPE_IDENTIFIABLE","?REFERENTIAL"),"_")))))</f>
        <v> </v>
      </c>
      <c r="H3872" s="25" t="str">
        <f>IF(J3872&lt;&gt;1,"",IF(I3872="SBJ","CB","?"))</f>
        <v> </v>
      </c>
      <c r="I3872" s="26" t="str">
        <f>IF(OR(E3872="",E3872="!!!",F3872="NEW"),"",INDEX(B3871:B$2,-1+SUMPRODUCT(MAX(ROW(E3871:E$2)*(E3872=E3871:E$2)))))</f>
        <v> </v>
      </c>
      <c r="J3872" s="26" t="str">
        <f>IF(OR(E3872="",E3872="!!!",F3872="NEW"),"",COUNTBLANK(OFFSET(A$1,,,SUMPRODUCT(MAX(ROW(E$2:E3872)*(E3872=E$2:E3872)))))-COUNTBLANK(OFFSET(A$1,,,SUMPRODUCT(MAX(ROW(E$1:E3871)*(E2=E$1:E3871))))))</f>
        <v> </v>
      </c>
      <c r="K3872" s="26" t="str">
        <f>IF(OR(E3872="",E3872="!!!",F3872="NEW"),"",INDEX(J$1:J3871,SUMPRODUCT(MAX(ROW(E$1:E3871)*(E3872=E$1:E3871)))))</f>
        <v> </v>
      </c>
      <c r="L3872" s="27"/>
    </row>
    <row r="3873" spans="1:12">
      <c r="A3873" s="20" t="s">
        <v>2305</v>
      </c>
      <c r="B3873" s="21" t="s">
        <v>1150</v>
      </c>
      <c r="C3873" s="21" t="s">
        <v>1155</v>
      </c>
      <c r="E3873" s="22">
        <f>IF(D3873="?OLD","!!!","")</f>
        <v/>
      </c>
      <c r="F3873" s="23" t="str">
        <f>IF(OR(E3873="",E3873="!!!"),"",IF(NOT(ISNA(VLOOKUP(E3873,E$1:E3872,1,FALSE()))),"OLD",IF(AND(E3873&lt;&gt;"",E3873&lt;&gt;"!!!"),"NEW","")))</f>
        <v> </v>
      </c>
      <c r="G3873" s="24" t="str">
        <f>IF(OR(E3873="",E3873="!!!"),"",IF(OR(J3873=0,AND(J3873=1,K3873=1),AND(J3873=1,I3873="SBJ"),AND(J3873=1,I3873=0)),"?IN_FOCUS",IF(J3873&lt;=2,"?ACTIVATED",IF(J3873&lt;&gt;"","?FAMILIAR",IF(F3873="NEW",IF(ISNA(VLOOKUP(E3873,#REF!,1,FALSE())),"?TYPE_IDENTIFIABLE","?REFERENTIAL"),"_")))))</f>
        <v> </v>
      </c>
      <c r="H3873" s="25" t="str">
        <f>IF(J3873&lt;&gt;1,"",IF(I3873="SBJ","CB","?"))</f>
        <v> </v>
      </c>
      <c r="I3873" s="26" t="str">
        <f>IF(OR(E3873="",E3873="!!!",F3873="NEW"),"",INDEX(B3872:B$2,-1+SUMPRODUCT(MAX(ROW(E3872:E$2)*(E3873=E3872:E$2)))))</f>
        <v> </v>
      </c>
      <c r="J3873" s="26" t="str">
        <f>IF(OR(E3873="",E3873="!!!",F3873="NEW"),"",COUNTBLANK(OFFSET(A$1,,,SUMPRODUCT(MAX(ROW(E$2:E3873)*(E3873=E$2:E3873)))))-COUNTBLANK(OFFSET(A$1,,,SUMPRODUCT(MAX(ROW(E$1:E3872)*(E2=E$1:E3872))))))</f>
        <v> </v>
      </c>
      <c r="K3873" s="26" t="str">
        <f>IF(OR(E3873="",E3873="!!!",F3873="NEW"),"",INDEX(J$1:J3872,SUMPRODUCT(MAX(ROW(E$1:E3872)*(E3873=E$1:E3872)))))</f>
        <v> </v>
      </c>
      <c r="L3873" s="27"/>
    </row>
    <row r="3874" spans="1:12">
      <c r="A3874" s="20" t="s">
        <v>312</v>
      </c>
      <c r="E3874" s="22">
        <f>IF(D3874="?OLD","!!!","")</f>
        <v/>
      </c>
      <c r="F3874" s="23" t="str">
        <f>IF(OR(E3874="",E3874="!!!"),"",IF(NOT(ISNA(VLOOKUP(E3874,E$1:E3873,1,FALSE()))),"OLD",IF(AND(E3874&lt;&gt;"",E3874&lt;&gt;"!!!"),"NEW","")))</f>
        <v> </v>
      </c>
      <c r="G3874" s="24" t="str">
        <f>IF(OR(E3874="",E3874="!!!"),"",IF(OR(J3874=0,AND(J3874=1,K3874=1),AND(J3874=1,I3874="SBJ"),AND(J3874=1,I3874=0)),"?IN_FOCUS",IF(J3874&lt;=2,"?ACTIVATED",IF(J3874&lt;&gt;"","?FAMILIAR",IF(F3874="NEW",IF(ISNA(VLOOKUP(E3874,#REF!,1,FALSE())),"?TYPE_IDENTIFIABLE","?REFERENTIAL"),"_")))))</f>
        <v> </v>
      </c>
      <c r="H3874" s="25" t="str">
        <f>IF(J3874&lt;&gt;1,"",IF(I3874="SBJ","CB","?"))</f>
        <v> </v>
      </c>
      <c r="I3874" s="26" t="str">
        <f>IF(OR(E3874="",E3874="!!!",F3874="NEW"),"",INDEX(B3873:B$2,-1+SUMPRODUCT(MAX(ROW(E3873:E$2)*(E3874=E3873:E$2)))))</f>
        <v> </v>
      </c>
      <c r="J3874" s="26" t="str">
        <f>IF(OR(E3874="",E3874="!!!",F3874="NEW"),"",COUNTBLANK(OFFSET(A$1,,,SUMPRODUCT(MAX(ROW(E$2:E3874)*(E3874=E$2:E3874)))))-COUNTBLANK(OFFSET(A$1,,,SUMPRODUCT(MAX(ROW(E$1:E3873)*(E2=E$1:E3873))))))</f>
        <v> </v>
      </c>
      <c r="K3874" s="26" t="str">
        <f>IF(OR(E3874="",E3874="!!!",F3874="NEW"),"",INDEX(J$1:J3873,SUMPRODUCT(MAX(ROW(E$1:E3873)*(E3874=E$1:E3873)))))</f>
        <v> </v>
      </c>
      <c r="L3874" s="27"/>
    </row>
    <row r="3875" spans="1:12">
      <c r="A3875" s="20"/>
    </row>
    <row r="3876" spans="1:12">
      <c r="A3876" s="20" t="s">
        <v>2306</v>
      </c>
    </row>
    <row r="3877" spans="1:12">
      <c r="A3877" s="20" t="s">
        <v>1189</v>
      </c>
      <c r="B3877" s="21" t="s">
        <v>1165</v>
      </c>
      <c r="C3877" s="21" t="s">
        <v>1151</v>
      </c>
      <c r="D3877" s="21" t="s">
        <v>1144</v>
      </c>
      <c r="E3877" s="22">
        <f>IF(D3877="?OLD","!!!","")</f>
        <v/>
      </c>
      <c r="F3877" s="23" t="str">
        <f>IF(OR(E3877="",E3877="!!!"),"",IF(NOT(ISNA(VLOOKUP(E3877,E$1:E3876,1,FALSE()))),"OLD",IF(AND(E3877&lt;&gt;"",E3877&lt;&gt;"!!!"),"NEW","")))</f>
        <v> </v>
      </c>
      <c r="G3877" s="24" t="str">
        <f>IF(OR(E3877="",E3877="!!!"),"",IF(OR(J3877=0,AND(J3877=1,K3877=1),AND(J3877=1,I3877="SBJ"),AND(J3877=1,I3877=0)),"?IN_FOCUS",IF(J3877&lt;=2,"?ACTIVATED",IF(J3877&lt;&gt;"","?FAMILIAR",IF(F3877="NEW",IF(ISNA(VLOOKUP(E3877,#REF!,1,FALSE())),"?TYPE_IDENTIFIABLE","?REFERENTIAL"),"_")))))</f>
        <v> </v>
      </c>
      <c r="H3877" s="25" t="str">
        <f>IF(J3877&lt;&gt;1,"",IF(I3877="SBJ","CB","?"))</f>
        <v> </v>
      </c>
      <c r="I3877" s="26" t="str">
        <f>IF(OR(E3877="",E3877="!!!",F3877="NEW"),"",INDEX(B3876:B$2,-1+SUMPRODUCT(MAX(ROW(E3876:E$2)*(E3877=E3876:E$2)))))</f>
        <v> </v>
      </c>
      <c r="J3877" s="26" t="str">
        <f>IF(OR(E3877="",E3877="!!!",F3877="NEW"),"",COUNTBLANK(OFFSET(A$1,,,SUMPRODUCT(MAX(ROW(E$2:E3877)*(E3877=E$2:E3877)))))-COUNTBLANK(OFFSET(A$1,,,SUMPRODUCT(MAX(ROW(E$1:E3876)*(E2=E$1:E3876))))))</f>
        <v> </v>
      </c>
      <c r="K3877" s="26" t="str">
        <f>IF(OR(E3877="",E3877="!!!",F3877="NEW"),"",INDEX(J$1:J3876,SUMPRODUCT(MAX(ROW(E$1:E3876)*(E3877=E$1:E3876)))))</f>
        <v> </v>
      </c>
      <c r="L3877" s="27"/>
    </row>
    <row r="3878" spans="1:12">
      <c r="A3878" s="20" t="s">
        <v>1292</v>
      </c>
      <c r="E3878" s="22">
        <f>IF(D3878="?OLD","!!!","")</f>
        <v/>
      </c>
      <c r="F3878" s="23" t="str">
        <f>IF(OR(E3878="",E3878="!!!"),"",IF(NOT(ISNA(VLOOKUP(E3878,E$1:E3877,1,FALSE()))),"OLD",IF(AND(E3878&lt;&gt;"",E3878&lt;&gt;"!!!"),"NEW","")))</f>
        <v> </v>
      </c>
      <c r="G3878" s="24" t="str">
        <f>IF(OR(E3878="",E3878="!!!"),"",IF(OR(J3878=0,AND(J3878=1,K3878=1),AND(J3878=1,I3878="SBJ"),AND(J3878=1,I3878=0)),"?IN_FOCUS",IF(J3878&lt;=2,"?ACTIVATED",IF(J3878&lt;&gt;"","?FAMILIAR",IF(F3878="NEW",IF(ISNA(VLOOKUP(E3878,#REF!,1,FALSE())),"?TYPE_IDENTIFIABLE","?REFERENTIAL"),"_")))))</f>
        <v> </v>
      </c>
      <c r="H3878" s="25" t="str">
        <f>IF(J3878&lt;&gt;1,"",IF(I3878="SBJ","CB","?"))</f>
        <v> </v>
      </c>
      <c r="I3878" s="26" t="str">
        <f>IF(OR(E3878="",E3878="!!!",F3878="NEW"),"",INDEX(B3877:B$2,-1+SUMPRODUCT(MAX(ROW(E3877:E$2)*(E3878=E3877:E$2)))))</f>
        <v> </v>
      </c>
      <c r="J3878" s="26" t="str">
        <f>IF(OR(E3878="",E3878="!!!",F3878="NEW"),"",COUNTBLANK(OFFSET(A$1,,,SUMPRODUCT(MAX(ROW(E$2:E3878)*(E3878=E$2:E3878)))))-COUNTBLANK(OFFSET(A$1,,,SUMPRODUCT(MAX(ROW(E$1:E3877)*(E2=E$1:E3877))))))</f>
        <v> </v>
      </c>
      <c r="K3878" s="26" t="str">
        <f>IF(OR(E3878="",E3878="!!!",F3878="NEW"),"",INDEX(J$1:J3877,SUMPRODUCT(MAX(ROW(E$1:E3877)*(E3878=E$1:E3877)))))</f>
        <v> </v>
      </c>
      <c r="L3878" s="27"/>
    </row>
    <row r="3879" spans="1:12">
      <c r="A3879" s="20" t="s">
        <v>1314</v>
      </c>
      <c r="E3879" s="22">
        <f>IF(D3879="?OLD","!!!","")</f>
        <v/>
      </c>
      <c r="F3879" s="23" t="str">
        <f>IF(OR(E3879="",E3879="!!!"),"",IF(NOT(ISNA(VLOOKUP(E3879,E$1:E3878,1,FALSE()))),"OLD",IF(AND(E3879&lt;&gt;"",E3879&lt;&gt;"!!!"),"NEW","")))</f>
        <v> </v>
      </c>
      <c r="G3879" s="24" t="str">
        <f>IF(OR(E3879="",E3879="!!!"),"",IF(OR(J3879=0,AND(J3879=1,K3879=1),AND(J3879=1,I3879="SBJ"),AND(J3879=1,I3879=0)),"?IN_FOCUS",IF(J3879&lt;=2,"?ACTIVATED",IF(J3879&lt;&gt;"","?FAMILIAR",IF(F3879="NEW",IF(ISNA(VLOOKUP(E3879,#REF!,1,FALSE())),"?TYPE_IDENTIFIABLE","?REFERENTIAL"),"_")))))</f>
        <v> </v>
      </c>
      <c r="H3879" s="25" t="str">
        <f>IF(J3879&lt;&gt;1,"",IF(I3879="SBJ","CB","?"))</f>
        <v> </v>
      </c>
      <c r="I3879" s="26" t="str">
        <f>IF(OR(E3879="",E3879="!!!",F3879="NEW"),"",INDEX(B3878:B$2,-1+SUMPRODUCT(MAX(ROW(E3878:E$2)*(E3879=E3878:E$2)))))</f>
        <v> </v>
      </c>
      <c r="J3879" s="26" t="str">
        <f>IF(OR(E3879="",E3879="!!!",F3879="NEW"),"",COUNTBLANK(OFFSET(A$1,,,SUMPRODUCT(MAX(ROW(E$2:E3879)*(E3879=E$2:E3879)))))-COUNTBLANK(OFFSET(A$1,,,SUMPRODUCT(MAX(ROW(E$1:E3878)*(E2=E$1:E3878))))))</f>
        <v> </v>
      </c>
      <c r="K3879" s="26" t="str">
        <f>IF(OR(E3879="",E3879="!!!",F3879="NEW"),"",INDEX(J$1:J3878,SUMPRODUCT(MAX(ROW(E$1:E3878)*(E3879=E$1:E3878)))))</f>
        <v> </v>
      </c>
      <c r="L3879" s="27"/>
    </row>
    <row r="3880" spans="1:12">
      <c r="A3880" s="20" t="s">
        <v>2307</v>
      </c>
      <c r="B3880" s="21" t="s">
        <v>1161</v>
      </c>
      <c r="C3880" s="21" t="s">
        <v>1182</v>
      </c>
      <c r="E3880" s="22">
        <f>IF(D3880="?OLD","!!!","")</f>
        <v/>
      </c>
      <c r="F3880" s="23" t="str">
        <f>IF(OR(E3880="",E3880="!!!"),"",IF(NOT(ISNA(VLOOKUP(E3880,E$1:E3879,1,FALSE()))),"OLD",IF(AND(E3880&lt;&gt;"",E3880&lt;&gt;"!!!"),"NEW","")))</f>
        <v> </v>
      </c>
      <c r="G3880" s="24" t="str">
        <f>IF(OR(E3880="",E3880="!!!"),"",IF(OR(J3880=0,AND(J3880=1,K3880=1),AND(J3880=1,I3880="SBJ"),AND(J3880=1,I3880=0)),"?IN_FOCUS",IF(J3880&lt;=2,"?ACTIVATED",IF(J3880&lt;&gt;"","?FAMILIAR",IF(F3880="NEW",IF(ISNA(VLOOKUP(E3880,#REF!,1,FALSE())),"?TYPE_IDENTIFIABLE","?REFERENTIAL"),"_")))))</f>
        <v> </v>
      </c>
      <c r="H3880" s="25" t="str">
        <f>IF(J3880&lt;&gt;1,"",IF(I3880="SBJ","CB","?"))</f>
        <v> </v>
      </c>
      <c r="I3880" s="26" t="str">
        <f>IF(OR(E3880="",E3880="!!!",F3880="NEW"),"",INDEX(B3879:B$2,-1+SUMPRODUCT(MAX(ROW(E3879:E$2)*(E3880=E3879:E$2)))))</f>
        <v> </v>
      </c>
      <c r="J3880" s="26" t="str">
        <f>IF(OR(E3880="",E3880="!!!",F3880="NEW"),"",COUNTBLANK(OFFSET(A$1,,,SUMPRODUCT(MAX(ROW(E$2:E3880)*(E3880=E$2:E3880)))))-COUNTBLANK(OFFSET(A$1,,,SUMPRODUCT(MAX(ROW(E$1:E3879)*(E2=E$1:E3879))))))</f>
        <v> </v>
      </c>
      <c r="K3880" s="26" t="str">
        <f>IF(OR(E3880="",E3880="!!!",F3880="NEW"),"",INDEX(J$1:J3879,SUMPRODUCT(MAX(ROW(E$1:E3879)*(E3880=E$1:E3879)))))</f>
        <v> </v>
      </c>
      <c r="L3880" s="27"/>
    </row>
    <row r="3881" spans="1:12">
      <c r="A3881" s="20" t="s">
        <v>1166</v>
      </c>
      <c r="E3881" s="22">
        <f>IF(D3881="?OLD","!!!","")</f>
        <v/>
      </c>
      <c r="F3881" s="23" t="str">
        <f>IF(OR(E3881="",E3881="!!!"),"",IF(NOT(ISNA(VLOOKUP(E3881,E$1:E3880,1,FALSE()))),"OLD",IF(AND(E3881&lt;&gt;"",E3881&lt;&gt;"!!!"),"NEW","")))</f>
        <v> </v>
      </c>
      <c r="G3881" s="24" t="str">
        <f>IF(OR(E3881="",E3881="!!!"),"",IF(OR(J3881=0,AND(J3881=1,K3881=1),AND(J3881=1,I3881="SBJ"),AND(J3881=1,I3881=0)),"?IN_FOCUS",IF(J3881&lt;=2,"?ACTIVATED",IF(J3881&lt;&gt;"","?FAMILIAR",IF(F3881="NEW",IF(ISNA(VLOOKUP(E3881,#REF!,1,FALSE())),"?TYPE_IDENTIFIABLE","?REFERENTIAL"),"_")))))</f>
        <v> </v>
      </c>
      <c r="H3881" s="25" t="str">
        <f>IF(J3881&lt;&gt;1,"",IF(I3881="SBJ","CB","?"))</f>
        <v> </v>
      </c>
      <c r="I3881" s="26" t="str">
        <f>IF(OR(E3881="",E3881="!!!",F3881="NEW"),"",INDEX(B3880:B$2,-1+SUMPRODUCT(MAX(ROW(E3880:E$2)*(E3881=E3880:E$2)))))</f>
        <v> </v>
      </c>
      <c r="J3881" s="26" t="str">
        <f>IF(OR(E3881="",E3881="!!!",F3881="NEW"),"",COUNTBLANK(OFFSET(A$1,,,SUMPRODUCT(MAX(ROW(E$2:E3881)*(E3881=E$2:E3881)))))-COUNTBLANK(OFFSET(A$1,,,SUMPRODUCT(MAX(ROW(E$1:E3880)*(E2=E$1:E3880))))))</f>
        <v> </v>
      </c>
      <c r="K3881" s="26" t="str">
        <f>IF(OR(E3881="",E3881="!!!",F3881="NEW"),"",INDEX(J$1:J3880,SUMPRODUCT(MAX(ROW(E$1:E3880)*(E3881=E$1:E3880)))))</f>
        <v> </v>
      </c>
      <c r="L3881" s="27"/>
    </row>
    <row r="3882" spans="1:12">
      <c r="A3882" s="20" t="s">
        <v>1481</v>
      </c>
      <c r="E3882" s="22">
        <f>IF(D3882="?OLD","!!!","")</f>
        <v/>
      </c>
      <c r="F3882" s="23" t="str">
        <f>IF(OR(E3882="",E3882="!!!"),"",IF(NOT(ISNA(VLOOKUP(E3882,E$1:E3881,1,FALSE()))),"OLD",IF(AND(E3882&lt;&gt;"",E3882&lt;&gt;"!!!"),"NEW","")))</f>
        <v> </v>
      </c>
      <c r="G3882" s="24" t="str">
        <f>IF(OR(E3882="",E3882="!!!"),"",IF(OR(J3882=0,AND(J3882=1,K3882=1),AND(J3882=1,I3882="SBJ"),AND(J3882=1,I3882=0)),"?IN_FOCUS",IF(J3882&lt;=2,"?ACTIVATED",IF(J3882&lt;&gt;"","?FAMILIAR",IF(F3882="NEW",IF(ISNA(VLOOKUP(E3882,#REF!,1,FALSE())),"?TYPE_IDENTIFIABLE","?REFERENTIAL"),"_")))))</f>
        <v> </v>
      </c>
      <c r="H3882" s="25" t="str">
        <f>IF(J3882&lt;&gt;1,"",IF(I3882="SBJ","CB","?"))</f>
        <v> </v>
      </c>
      <c r="I3882" s="26" t="str">
        <f>IF(OR(E3882="",E3882="!!!",F3882="NEW"),"",INDEX(B3881:B$2,-1+SUMPRODUCT(MAX(ROW(E3881:E$2)*(E3882=E3881:E$2)))))</f>
        <v> </v>
      </c>
      <c r="J3882" s="26" t="str">
        <f>IF(OR(E3882="",E3882="!!!",F3882="NEW"),"",COUNTBLANK(OFFSET(A$1,,,SUMPRODUCT(MAX(ROW(E$2:E3882)*(E3882=E$2:E3882)))))-COUNTBLANK(OFFSET(A$1,,,SUMPRODUCT(MAX(ROW(E$1:E3881)*(E2=E$1:E3881))))))</f>
        <v> </v>
      </c>
      <c r="K3882" s="26" t="str">
        <f>IF(OR(E3882="",E3882="!!!",F3882="NEW"),"",INDEX(J$1:J3881,SUMPRODUCT(MAX(ROW(E$1:E3881)*(E3882=E$1:E3881)))))</f>
        <v> </v>
      </c>
      <c r="L3882" s="27"/>
    </row>
    <row r="3883" spans="1:12">
      <c r="A3883" s="20" t="s">
        <v>1230</v>
      </c>
      <c r="B3883" s="21" t="s">
        <v>1142</v>
      </c>
      <c r="C3883" s="21" t="s">
        <v>1151</v>
      </c>
      <c r="D3883" s="21" t="s">
        <v>1144</v>
      </c>
      <c r="E3883" s="22">
        <f>IF(D3883="?OLD","!!!","")</f>
        <v/>
      </c>
      <c r="F3883" s="23" t="str">
        <f>IF(OR(E3883="",E3883="!!!"),"",IF(NOT(ISNA(VLOOKUP(E3883,E$1:E3882,1,FALSE()))),"OLD",IF(AND(E3883&lt;&gt;"",E3883&lt;&gt;"!!!"),"NEW","")))</f>
        <v> </v>
      </c>
      <c r="G3883" s="24" t="str">
        <f>IF(OR(E3883="",E3883="!!!"),"",IF(OR(J3883=0,AND(J3883=1,K3883=1),AND(J3883=1,I3883="SBJ"),AND(J3883=1,I3883=0)),"?IN_FOCUS",IF(J3883&lt;=2,"?ACTIVATED",IF(J3883&lt;&gt;"","?FAMILIAR",IF(F3883="NEW",IF(ISNA(VLOOKUP(E3883,#REF!,1,FALSE())),"?TYPE_IDENTIFIABLE","?REFERENTIAL"),"_")))))</f>
        <v> </v>
      </c>
      <c r="H3883" s="25" t="str">
        <f>IF(J3883&lt;&gt;1,"",IF(I3883="SBJ","CB","?"))</f>
        <v> </v>
      </c>
      <c r="I3883" s="26" t="str">
        <f>IF(OR(E3883="",E3883="!!!",F3883="NEW"),"",INDEX(B3882:B$2,-1+SUMPRODUCT(MAX(ROW(E3882:E$2)*(E3883=E3882:E$2)))))</f>
        <v> </v>
      </c>
      <c r="J3883" s="26" t="str">
        <f>IF(OR(E3883="",E3883="!!!",F3883="NEW"),"",COUNTBLANK(OFFSET(A$1,,,SUMPRODUCT(MAX(ROW(E$2:E3883)*(E3883=E$2:E3883)))))-COUNTBLANK(OFFSET(A$1,,,SUMPRODUCT(MAX(ROW(E$1:E3882)*(E2=E$1:E3882))))))</f>
        <v> </v>
      </c>
      <c r="K3883" s="26" t="str">
        <f>IF(OR(E3883="",E3883="!!!",F3883="NEW"),"",INDEX(J$1:J3882,SUMPRODUCT(MAX(ROW(E$1:E3882)*(E3883=E$1:E3882)))))</f>
        <v> </v>
      </c>
      <c r="L3883" s="27"/>
    </row>
    <row r="3884" spans="1:12">
      <c r="A3884" s="20" t="s">
        <v>2308</v>
      </c>
      <c r="E3884" s="22">
        <f>IF(D3884="?OLD","!!!","")</f>
        <v/>
      </c>
      <c r="F3884" s="23" t="str">
        <f>IF(OR(E3884="",E3884="!!!"),"",IF(NOT(ISNA(VLOOKUP(E3884,E$1:E3883,1,FALSE()))),"OLD",IF(AND(E3884&lt;&gt;"",E3884&lt;&gt;"!!!"),"NEW","")))</f>
        <v> </v>
      </c>
      <c r="G3884" s="24" t="str">
        <f>IF(OR(E3884="",E3884="!!!"),"",IF(OR(J3884=0,AND(J3884=1,K3884=1),AND(J3884=1,I3884="SBJ"),AND(J3884=1,I3884=0)),"?IN_FOCUS",IF(J3884&lt;=2,"?ACTIVATED",IF(J3884&lt;&gt;"","?FAMILIAR",IF(F3884="NEW",IF(ISNA(VLOOKUP(E3884,#REF!,1,FALSE())),"?TYPE_IDENTIFIABLE","?REFERENTIAL"),"_")))))</f>
        <v> </v>
      </c>
      <c r="H3884" s="25" t="str">
        <f>IF(J3884&lt;&gt;1,"",IF(I3884="SBJ","CB","?"))</f>
        <v> </v>
      </c>
      <c r="I3884" s="26" t="str">
        <f>IF(OR(E3884="",E3884="!!!",F3884="NEW"),"",INDEX(B3883:B$2,-1+SUMPRODUCT(MAX(ROW(E3883:E$2)*(E3884=E3883:E$2)))))</f>
        <v> </v>
      </c>
      <c r="J3884" s="26" t="str">
        <f>IF(OR(E3884="",E3884="!!!",F3884="NEW"),"",COUNTBLANK(OFFSET(A$1,,,SUMPRODUCT(MAX(ROW(E$2:E3884)*(E3884=E$2:E3884)))))-COUNTBLANK(OFFSET(A$1,,,SUMPRODUCT(MAX(ROW(E$1:E3883)*(E2=E$1:E3883))))))</f>
        <v> </v>
      </c>
      <c r="K3884" s="26" t="str">
        <f>IF(OR(E3884="",E3884="!!!",F3884="NEW"),"",INDEX(J$1:J3883,SUMPRODUCT(MAX(ROW(E$1:E3883)*(E3884=E$1:E3883)))))</f>
        <v> </v>
      </c>
      <c r="L3884" s="27"/>
    </row>
    <row r="3885" spans="1:12">
      <c r="A3885" s="20" t="s">
        <v>1203</v>
      </c>
      <c r="E3885" s="22">
        <f>IF(D3885="?OLD","!!!","")</f>
        <v/>
      </c>
      <c r="F3885" s="23" t="str">
        <f>IF(OR(E3885="",E3885="!!!"),"",IF(NOT(ISNA(VLOOKUP(E3885,E$1:E3884,1,FALSE()))),"OLD",IF(AND(E3885&lt;&gt;"",E3885&lt;&gt;"!!!"),"NEW","")))</f>
        <v> </v>
      </c>
      <c r="G3885" s="24" t="str">
        <f>IF(OR(E3885="",E3885="!!!"),"",IF(OR(J3885=0,AND(J3885=1,K3885=1),AND(J3885=1,I3885="SBJ"),AND(J3885=1,I3885=0)),"?IN_FOCUS",IF(J3885&lt;=2,"?ACTIVATED",IF(J3885&lt;&gt;"","?FAMILIAR",IF(F3885="NEW",IF(ISNA(VLOOKUP(E3885,#REF!,1,FALSE())),"?TYPE_IDENTIFIABLE","?REFERENTIAL"),"_")))))</f>
        <v> </v>
      </c>
      <c r="H3885" s="25" t="str">
        <f>IF(J3885&lt;&gt;1,"",IF(I3885="SBJ","CB","?"))</f>
        <v> </v>
      </c>
      <c r="I3885" s="26" t="str">
        <f>IF(OR(E3885="",E3885="!!!",F3885="NEW"),"",INDEX(B3884:B$2,-1+SUMPRODUCT(MAX(ROW(E3884:E$2)*(E3885=E3884:E$2)))))</f>
        <v> </v>
      </c>
      <c r="J3885" s="26" t="str">
        <f>IF(OR(E3885="",E3885="!!!",F3885="NEW"),"",COUNTBLANK(OFFSET(A$1,,,SUMPRODUCT(MAX(ROW(E$2:E3885)*(E3885=E$2:E3885)))))-COUNTBLANK(OFFSET(A$1,,,SUMPRODUCT(MAX(ROW(E$1:E3884)*(E2=E$1:E3884))))))</f>
        <v> </v>
      </c>
      <c r="K3885" s="26" t="str">
        <f>IF(OR(E3885="",E3885="!!!",F3885="NEW"),"",INDEX(J$1:J3884,SUMPRODUCT(MAX(ROW(E$1:E3884)*(E3885=E$1:E3884)))))</f>
        <v> </v>
      </c>
      <c r="L3885" s="27"/>
    </row>
    <row r="3886" spans="1:12">
      <c r="A3886" s="20" t="s">
        <v>1432</v>
      </c>
      <c r="E3886" s="22">
        <f>IF(D3886="?OLD","!!!","")</f>
        <v/>
      </c>
      <c r="F3886" s="23" t="str">
        <f>IF(OR(E3886="",E3886="!!!"),"",IF(NOT(ISNA(VLOOKUP(E3886,E$1:E3885,1,FALSE()))),"OLD",IF(AND(E3886&lt;&gt;"",E3886&lt;&gt;"!!!"),"NEW","")))</f>
        <v> </v>
      </c>
      <c r="G3886" s="24" t="str">
        <f>IF(OR(E3886="",E3886="!!!"),"",IF(OR(J3886=0,AND(J3886=1,K3886=1),AND(J3886=1,I3886="SBJ"),AND(J3886=1,I3886=0)),"?IN_FOCUS",IF(J3886&lt;=2,"?ACTIVATED",IF(J3886&lt;&gt;"","?FAMILIAR",IF(F3886="NEW",IF(ISNA(VLOOKUP(E3886,#REF!,1,FALSE())),"?TYPE_IDENTIFIABLE","?REFERENTIAL"),"_")))))</f>
        <v> </v>
      </c>
      <c r="H3886" s="25" t="str">
        <f>IF(J3886&lt;&gt;1,"",IF(I3886="SBJ","CB","?"))</f>
        <v> </v>
      </c>
      <c r="I3886" s="26" t="str">
        <f>IF(OR(E3886="",E3886="!!!",F3886="NEW"),"",INDEX(B3885:B$2,-1+SUMPRODUCT(MAX(ROW(E3885:E$2)*(E3886=E3885:E$2)))))</f>
        <v> </v>
      </c>
      <c r="J3886" s="26" t="str">
        <f>IF(OR(E3886="",E3886="!!!",F3886="NEW"),"",COUNTBLANK(OFFSET(A$1,,,SUMPRODUCT(MAX(ROW(E$2:E3886)*(E3886=E$2:E3886)))))-COUNTBLANK(OFFSET(A$1,,,SUMPRODUCT(MAX(ROW(E$1:E3885)*(E2=E$1:E3885))))))</f>
        <v> </v>
      </c>
      <c r="K3886" s="26" t="str">
        <f>IF(OR(E3886="",E3886="!!!",F3886="NEW"),"",INDEX(J$1:J3885,SUMPRODUCT(MAX(ROW(E$1:E3885)*(E3886=E$1:E3885)))))</f>
        <v> </v>
      </c>
      <c r="L3886" s="27"/>
    </row>
    <row r="3887" spans="1:12">
      <c r="A3887" s="20" t="s">
        <v>1159</v>
      </c>
      <c r="E3887" s="22">
        <f>IF(D3887="?OLD","!!!","")</f>
        <v/>
      </c>
      <c r="F3887" s="23" t="str">
        <f>IF(OR(E3887="",E3887="!!!"),"",IF(NOT(ISNA(VLOOKUP(E3887,E$1:E3886,1,FALSE()))),"OLD",IF(AND(E3887&lt;&gt;"",E3887&lt;&gt;"!!!"),"NEW","")))</f>
        <v> </v>
      </c>
      <c r="G3887" s="24" t="str">
        <f>IF(OR(E3887="",E3887="!!!"),"",IF(OR(J3887=0,AND(J3887=1,K3887=1),AND(J3887=1,I3887="SBJ"),AND(J3887=1,I3887=0)),"?IN_FOCUS",IF(J3887&lt;=2,"?ACTIVATED",IF(J3887&lt;&gt;"","?FAMILIAR",IF(F3887="NEW",IF(ISNA(VLOOKUP(E3887,#REF!,1,FALSE())),"?TYPE_IDENTIFIABLE","?REFERENTIAL"),"_")))))</f>
        <v> </v>
      </c>
      <c r="H3887" s="25" t="str">
        <f>IF(J3887&lt;&gt;1,"",IF(I3887="SBJ","CB","?"))</f>
        <v> </v>
      </c>
      <c r="I3887" s="26" t="str">
        <f>IF(OR(E3887="",E3887="!!!",F3887="NEW"),"",INDEX(B3886:B$2,-1+SUMPRODUCT(MAX(ROW(E3886:E$2)*(E3887=E3886:E$2)))))</f>
        <v> </v>
      </c>
      <c r="J3887" s="26" t="str">
        <f>IF(OR(E3887="",E3887="!!!",F3887="NEW"),"",COUNTBLANK(OFFSET(A$1,,,SUMPRODUCT(MAX(ROW(E$2:E3887)*(E3887=E$2:E3887)))))-COUNTBLANK(OFFSET(A$1,,,SUMPRODUCT(MAX(ROW(E$1:E3886)*(E2=E$1:E3886))))))</f>
        <v> </v>
      </c>
      <c r="K3887" s="26" t="str">
        <f>IF(OR(E3887="",E3887="!!!",F3887="NEW"),"",INDEX(J$1:J3886,SUMPRODUCT(MAX(ROW(E$1:E3886)*(E3887=E$1:E3886)))))</f>
        <v> </v>
      </c>
      <c r="L3887" s="27"/>
    </row>
    <row r="3888" spans="1:12">
      <c r="A3888" s="20" t="s">
        <v>1230</v>
      </c>
      <c r="B3888" s="21" t="s">
        <v>1142</v>
      </c>
      <c r="C3888" s="21" t="s">
        <v>1143</v>
      </c>
      <c r="D3888" s="21" t="s">
        <v>1144</v>
      </c>
      <c r="E3888" s="22">
        <f>IF(D3888="?OLD","!!!","")</f>
        <v/>
      </c>
      <c r="F3888" s="23" t="str">
        <f>IF(OR(E3888="",E3888="!!!"),"",IF(NOT(ISNA(VLOOKUP(E3888,E$1:E3887,1,FALSE()))),"OLD",IF(AND(E3888&lt;&gt;"",E3888&lt;&gt;"!!!"),"NEW","")))</f>
        <v> </v>
      </c>
      <c r="G3888" s="24" t="str">
        <f>IF(OR(E3888="",E3888="!!!"),"",IF(OR(J3888=0,AND(J3888=1,K3888=1),AND(J3888=1,I3888="SBJ"),AND(J3888=1,I3888=0)),"?IN_FOCUS",IF(J3888&lt;=2,"?ACTIVATED",IF(J3888&lt;&gt;"","?FAMILIAR",IF(F3888="NEW",IF(ISNA(VLOOKUP(E3888,#REF!,1,FALSE())),"?TYPE_IDENTIFIABLE","?REFERENTIAL"),"_")))))</f>
        <v> </v>
      </c>
      <c r="H3888" s="25" t="str">
        <f>IF(J3888&lt;&gt;1,"",IF(I3888="SBJ","CB","?"))</f>
        <v> </v>
      </c>
      <c r="I3888" s="26" t="str">
        <f>IF(OR(E3888="",E3888="!!!",F3888="NEW"),"",INDEX(B3887:B$2,-1+SUMPRODUCT(MAX(ROW(E3887:E$2)*(E3888=E3887:E$2)))))</f>
        <v> </v>
      </c>
      <c r="J3888" s="26" t="str">
        <f>IF(OR(E3888="",E3888="!!!",F3888="NEW"),"",COUNTBLANK(OFFSET(A$1,,,SUMPRODUCT(MAX(ROW(E$2:E3888)*(E3888=E$2:E3888)))))-COUNTBLANK(OFFSET(A$1,,,SUMPRODUCT(MAX(ROW(E$1:E3887)*(E2=E$1:E3887))))))</f>
        <v> </v>
      </c>
      <c r="K3888" s="26" t="str">
        <f>IF(OR(E3888="",E3888="!!!",F3888="NEW"),"",INDEX(J$1:J3887,SUMPRODUCT(MAX(ROW(E$1:E3887)*(E3888=E$1:E3887)))))</f>
        <v> </v>
      </c>
      <c r="L3888" s="27"/>
    </row>
    <row r="3889" spans="1:12">
      <c r="A3889" s="20" t="s">
        <v>1659</v>
      </c>
      <c r="E3889" s="22">
        <f>IF(D3889="?OLD","!!!","")</f>
        <v/>
      </c>
      <c r="F3889" s="23" t="str">
        <f>IF(OR(E3889="",E3889="!!!"),"",IF(NOT(ISNA(VLOOKUP(E3889,E$1:E3888,1,FALSE()))),"OLD",IF(AND(E3889&lt;&gt;"",E3889&lt;&gt;"!!!"),"NEW","")))</f>
        <v> </v>
      </c>
      <c r="G3889" s="24" t="str">
        <f>IF(OR(E3889="",E3889="!!!"),"",IF(OR(J3889=0,AND(J3889=1,K3889=1),AND(J3889=1,I3889="SBJ"),AND(J3889=1,I3889=0)),"?IN_FOCUS",IF(J3889&lt;=2,"?ACTIVATED",IF(J3889&lt;&gt;"","?FAMILIAR",IF(F3889="NEW",IF(ISNA(VLOOKUP(E3889,#REF!,1,FALSE())),"?TYPE_IDENTIFIABLE","?REFERENTIAL"),"_")))))</f>
        <v> </v>
      </c>
      <c r="H3889" s="25" t="str">
        <f>IF(J3889&lt;&gt;1,"",IF(I3889="SBJ","CB","?"))</f>
        <v> </v>
      </c>
      <c r="I3889" s="26" t="str">
        <f>IF(OR(E3889="",E3889="!!!",F3889="NEW"),"",INDEX(B3888:B$2,-1+SUMPRODUCT(MAX(ROW(E3888:E$2)*(E3889=E3888:E$2)))))</f>
        <v> </v>
      </c>
      <c r="J3889" s="26" t="str">
        <f>IF(OR(E3889="",E3889="!!!",F3889="NEW"),"",COUNTBLANK(OFFSET(A$1,,,SUMPRODUCT(MAX(ROW(E$2:E3889)*(E3889=E$2:E3889)))))-COUNTBLANK(OFFSET(A$1,,,SUMPRODUCT(MAX(ROW(E$1:E3888)*(E2=E$1:E3888))))))</f>
        <v> </v>
      </c>
      <c r="K3889" s="26" t="str">
        <f>IF(OR(E3889="",E3889="!!!",F3889="NEW"),"",INDEX(J$1:J3888,SUMPRODUCT(MAX(ROW(E$1:E3888)*(E3889=E$1:E3888)))))</f>
        <v> </v>
      </c>
      <c r="L3889" s="27"/>
    </row>
    <row r="3890" spans="1:12">
      <c r="A3890" s="20" t="s">
        <v>1846</v>
      </c>
      <c r="E3890" s="22">
        <f>IF(D3890="?OLD","!!!","")</f>
        <v/>
      </c>
      <c r="F3890" s="23" t="str">
        <f>IF(OR(E3890="",E3890="!!!"),"",IF(NOT(ISNA(VLOOKUP(E3890,E$1:E3889,1,FALSE()))),"OLD",IF(AND(E3890&lt;&gt;"",E3890&lt;&gt;"!!!"),"NEW","")))</f>
        <v> </v>
      </c>
      <c r="G3890" s="24" t="str">
        <f>IF(OR(E3890="",E3890="!!!"),"",IF(OR(J3890=0,AND(J3890=1,K3890=1),AND(J3890=1,I3890="SBJ"),AND(J3890=1,I3890=0)),"?IN_FOCUS",IF(J3890&lt;=2,"?ACTIVATED",IF(J3890&lt;&gt;"","?FAMILIAR",IF(F3890="NEW",IF(ISNA(VLOOKUP(E3890,#REF!,1,FALSE())),"?TYPE_IDENTIFIABLE","?REFERENTIAL"),"_")))))</f>
        <v> </v>
      </c>
      <c r="H3890" s="25" t="str">
        <f>IF(J3890&lt;&gt;1,"",IF(I3890="SBJ","CB","?"))</f>
        <v> </v>
      </c>
      <c r="I3890" s="26" t="str">
        <f>IF(OR(E3890="",E3890="!!!",F3890="NEW"),"",INDEX(B3889:B$2,-1+SUMPRODUCT(MAX(ROW(E3889:E$2)*(E3890=E3889:E$2)))))</f>
        <v> </v>
      </c>
      <c r="J3890" s="26" t="str">
        <f>IF(OR(E3890="",E3890="!!!",F3890="NEW"),"",COUNTBLANK(OFFSET(A$1,,,SUMPRODUCT(MAX(ROW(E$2:E3890)*(E3890=E$2:E3890)))))-COUNTBLANK(OFFSET(A$1,,,SUMPRODUCT(MAX(ROW(E$1:E3889)*(E2=E$1:E3889))))))</f>
        <v> </v>
      </c>
      <c r="K3890" s="26" t="str">
        <f>IF(OR(E3890="",E3890="!!!",F3890="NEW"),"",INDEX(J$1:J3889,SUMPRODUCT(MAX(ROW(E$1:E3889)*(E3890=E$1:E3889)))))</f>
        <v> </v>
      </c>
      <c r="L3890" s="27"/>
    </row>
    <row r="3891" spans="1:12">
      <c r="A3891" s="20" t="s">
        <v>1146</v>
      </c>
      <c r="E3891" s="22">
        <f>IF(D3891="?OLD","!!!","")</f>
        <v/>
      </c>
      <c r="F3891" s="23" t="str">
        <f>IF(OR(E3891="",E3891="!!!"),"",IF(NOT(ISNA(VLOOKUP(E3891,E$1:E3890,1,FALSE()))),"OLD",IF(AND(E3891&lt;&gt;"",E3891&lt;&gt;"!!!"),"NEW","")))</f>
        <v> </v>
      </c>
      <c r="G3891" s="24" t="str">
        <f>IF(OR(E3891="",E3891="!!!"),"",IF(OR(J3891=0,AND(J3891=1,K3891=1),AND(J3891=1,I3891="SBJ"),AND(J3891=1,I3891=0)),"?IN_FOCUS",IF(J3891&lt;=2,"?ACTIVATED",IF(J3891&lt;&gt;"","?FAMILIAR",IF(F3891="NEW",IF(ISNA(VLOOKUP(E3891,#REF!,1,FALSE())),"?TYPE_IDENTIFIABLE","?REFERENTIAL"),"_")))))</f>
        <v> </v>
      </c>
      <c r="H3891" s="25" t="str">
        <f>IF(J3891&lt;&gt;1,"",IF(I3891="SBJ","CB","?"))</f>
        <v> </v>
      </c>
      <c r="I3891" s="26" t="str">
        <f>IF(OR(E3891="",E3891="!!!",F3891="NEW"),"",INDEX(B3890:B$2,-1+SUMPRODUCT(MAX(ROW(E3890:E$2)*(E3891=E3890:E$2)))))</f>
        <v> </v>
      </c>
      <c r="J3891" s="26" t="str">
        <f>IF(OR(E3891="",E3891="!!!",F3891="NEW"),"",COUNTBLANK(OFFSET(A$1,,,SUMPRODUCT(MAX(ROW(E$2:E3891)*(E3891=E$2:E3891)))))-COUNTBLANK(OFFSET(A$1,,,SUMPRODUCT(MAX(ROW(E$1:E3890)*(E2=E$1:E3890))))))</f>
        <v> </v>
      </c>
      <c r="K3891" s="26" t="str">
        <f>IF(OR(E3891="",E3891="!!!",F3891="NEW"),"",INDEX(J$1:J3890,SUMPRODUCT(MAX(ROW(E$1:E3890)*(E3891=E$1:E3890)))))</f>
        <v> </v>
      </c>
      <c r="L3891" s="27"/>
    </row>
    <row r="3892" spans="1:12">
      <c r="A3892" s="20" t="s">
        <v>2309</v>
      </c>
      <c r="B3892" s="21" t="s">
        <v>1161</v>
      </c>
      <c r="C3892" s="21" t="s">
        <v>1143</v>
      </c>
      <c r="D3892" s="21" t="s">
        <v>1144</v>
      </c>
      <c r="E3892" s="22">
        <f>IF(D3892="?OLD","!!!","")</f>
        <v/>
      </c>
      <c r="F3892" s="23" t="str">
        <f>IF(OR(E3892="",E3892="!!!"),"",IF(NOT(ISNA(VLOOKUP(E3892,E$1:E3891,1,FALSE()))),"OLD",IF(AND(E3892&lt;&gt;"",E3892&lt;&gt;"!!!"),"NEW","")))</f>
        <v> </v>
      </c>
      <c r="G3892" s="24" t="str">
        <f>IF(OR(E3892="",E3892="!!!"),"",IF(OR(J3892=0,AND(J3892=1,K3892=1),AND(J3892=1,I3892="SBJ"),AND(J3892=1,I3892=0)),"?IN_FOCUS",IF(J3892&lt;=2,"?ACTIVATED",IF(J3892&lt;&gt;"","?FAMILIAR",IF(F3892="NEW",IF(ISNA(VLOOKUP(E3892,#REF!,1,FALSE())),"?TYPE_IDENTIFIABLE","?REFERENTIAL"),"_")))))</f>
        <v> </v>
      </c>
      <c r="H3892" s="25" t="str">
        <f>IF(J3892&lt;&gt;1,"",IF(I3892="SBJ","CB","?"))</f>
        <v> </v>
      </c>
      <c r="I3892" s="26" t="str">
        <f>IF(OR(E3892="",E3892="!!!",F3892="NEW"),"",INDEX(B3891:B$2,-1+SUMPRODUCT(MAX(ROW(E3891:E$2)*(E3892=E3891:E$2)))))</f>
        <v> </v>
      </c>
      <c r="J3892" s="26" t="str">
        <f>IF(OR(E3892="",E3892="!!!",F3892="NEW"),"",COUNTBLANK(OFFSET(A$1,,,SUMPRODUCT(MAX(ROW(E$2:E3892)*(E3892=E$2:E3892)))))-COUNTBLANK(OFFSET(A$1,,,SUMPRODUCT(MAX(ROW(E$1:E3891)*(E2=E$1:E3891))))))</f>
        <v> </v>
      </c>
      <c r="K3892" s="26" t="str">
        <f>IF(OR(E3892="",E3892="!!!",F3892="NEW"),"",INDEX(J$1:J3891,SUMPRODUCT(MAX(ROW(E$1:E3891)*(E3892=E$1:E3891)))))</f>
        <v> </v>
      </c>
      <c r="L3892" s="27"/>
    </row>
    <row r="3893" spans="1:12">
      <c r="A3893" s="20" t="s">
        <v>312</v>
      </c>
      <c r="E3893" s="22">
        <f>IF(D3893="?OLD","!!!","")</f>
        <v/>
      </c>
      <c r="F3893" s="23" t="str">
        <f>IF(OR(E3893="",E3893="!!!"),"",IF(NOT(ISNA(VLOOKUP(E3893,E$1:E3892,1,FALSE()))),"OLD",IF(AND(E3893&lt;&gt;"",E3893&lt;&gt;"!!!"),"NEW","")))</f>
        <v> </v>
      </c>
      <c r="G3893" s="24" t="str">
        <f>IF(OR(E3893="",E3893="!!!"),"",IF(OR(J3893=0,AND(J3893=1,K3893=1),AND(J3893=1,I3893="SBJ"),AND(J3893=1,I3893=0)),"?IN_FOCUS",IF(J3893&lt;=2,"?ACTIVATED",IF(J3893&lt;&gt;"","?FAMILIAR",IF(F3893="NEW",IF(ISNA(VLOOKUP(E3893,#REF!,1,FALSE())),"?TYPE_IDENTIFIABLE","?REFERENTIAL"),"_")))))</f>
        <v> </v>
      </c>
      <c r="H3893" s="25" t="str">
        <f>IF(J3893&lt;&gt;1,"",IF(I3893="SBJ","CB","?"))</f>
        <v> </v>
      </c>
      <c r="I3893" s="26" t="str">
        <f>IF(OR(E3893="",E3893="!!!",F3893="NEW"),"",INDEX(B3892:B$2,-1+SUMPRODUCT(MAX(ROW(E3892:E$2)*(E3893=E3892:E$2)))))</f>
        <v> </v>
      </c>
      <c r="J3893" s="26" t="str">
        <f>IF(OR(E3893="",E3893="!!!",F3893="NEW"),"",COUNTBLANK(OFFSET(A$1,,,SUMPRODUCT(MAX(ROW(E$2:E3893)*(E3893=E$2:E3893)))))-COUNTBLANK(OFFSET(A$1,,,SUMPRODUCT(MAX(ROW(E$1:E3892)*(E2=E$1:E3892))))))</f>
        <v> </v>
      </c>
      <c r="K3893" s="26" t="str">
        <f>IF(OR(E3893="",E3893="!!!",F3893="NEW"),"",INDEX(J$1:J3892,SUMPRODUCT(MAX(ROW(E$1:E3892)*(E3893=E$1:E3892)))))</f>
        <v> </v>
      </c>
      <c r="L3893" s="27"/>
    </row>
    <row r="3894" spans="1:12">
      <c r="A3894" s="20"/>
    </row>
    <row r="3895" spans="1:12">
      <c r="A3895" s="20" t="s">
        <v>2310</v>
      </c>
    </row>
    <row r="3896" spans="1:12">
      <c r="A3896" s="20" t="s">
        <v>2311</v>
      </c>
      <c r="E3896" s="22">
        <f>IF(D3896="?OLD","!!!","")</f>
        <v/>
      </c>
      <c r="F3896" s="23" t="str">
        <f>IF(OR(E3896="",E3896="!!!"),"",IF(NOT(ISNA(VLOOKUP(E3896,E$1:E3895,1,FALSE()))),"OLD",IF(AND(E3896&lt;&gt;"",E3896&lt;&gt;"!!!"),"NEW","")))</f>
        <v> </v>
      </c>
      <c r="G3896" s="24" t="str">
        <f>IF(OR(E3896="",E3896="!!!"),"",IF(OR(J3896=0,AND(J3896=1,K3896=1),AND(J3896=1,I3896="SBJ"),AND(J3896=1,I3896=0)),"?IN_FOCUS",IF(J3896&lt;=2,"?ACTIVATED",IF(J3896&lt;&gt;"","?FAMILIAR",IF(F3896="NEW",IF(ISNA(VLOOKUP(E3896,#REF!,1,FALSE())),"?TYPE_IDENTIFIABLE","?REFERENTIAL"),"_")))))</f>
        <v> </v>
      </c>
      <c r="H3896" s="25" t="str">
        <f>IF(J3896&lt;&gt;1,"",IF(I3896="SBJ","CB","?"))</f>
        <v> </v>
      </c>
      <c r="I3896" s="26" t="str">
        <f>IF(OR(E3896="",E3896="!!!",F3896="NEW"),"",INDEX(B3895:B$2,-1+SUMPRODUCT(MAX(ROW(E3895:E$2)*(E3896=E3895:E$2)))))</f>
        <v> </v>
      </c>
      <c r="J3896" s="26" t="str">
        <f>IF(OR(E3896="",E3896="!!!",F3896="NEW"),"",COUNTBLANK(OFFSET(A$1,,,SUMPRODUCT(MAX(ROW(E$2:E3896)*(E3896=E$2:E3896)))))-COUNTBLANK(OFFSET(A$1,,,SUMPRODUCT(MAX(ROW(E$1:E3895)*(E2=E$1:E3895))))))</f>
        <v> </v>
      </c>
      <c r="K3896" s="26" t="str">
        <f>IF(OR(E3896="",E3896="!!!",F3896="NEW"),"",INDEX(J$1:J3895,SUMPRODUCT(MAX(ROW(E$1:E3895)*(E3896=E$1:E3895)))))</f>
        <v> </v>
      </c>
      <c r="L3896" s="27"/>
    </row>
    <row r="3897" spans="1:12">
      <c r="A3897" s="20" t="s">
        <v>2266</v>
      </c>
      <c r="B3897" s="21" t="s">
        <v>1165</v>
      </c>
      <c r="C3897" s="21" t="s">
        <v>1187</v>
      </c>
      <c r="E3897" s="22">
        <f>IF(D3897="?OLD","!!!","")</f>
        <v/>
      </c>
      <c r="F3897" s="23" t="str">
        <f>IF(OR(E3897="",E3897="!!!"),"",IF(NOT(ISNA(VLOOKUP(E3897,E$1:E3896,1,FALSE()))),"OLD",IF(AND(E3897&lt;&gt;"",E3897&lt;&gt;"!!!"),"NEW","")))</f>
        <v> </v>
      </c>
      <c r="G3897" s="24" t="str">
        <f>IF(OR(E3897="",E3897="!!!"),"",IF(OR(J3897=0,AND(J3897=1,K3897=1),AND(J3897=1,I3897="SBJ"),AND(J3897=1,I3897=0)),"?IN_FOCUS",IF(J3897&lt;=2,"?ACTIVATED",IF(J3897&lt;&gt;"","?FAMILIAR",IF(F3897="NEW",IF(ISNA(VLOOKUP(E3897,#REF!,1,FALSE())),"?TYPE_IDENTIFIABLE","?REFERENTIAL"),"_")))))</f>
        <v> </v>
      </c>
      <c r="H3897" s="25" t="str">
        <f>IF(J3897&lt;&gt;1,"",IF(I3897="SBJ","CB","?"))</f>
        <v> </v>
      </c>
      <c r="I3897" s="26" t="str">
        <f>IF(OR(E3897="",E3897="!!!",F3897="NEW"),"",INDEX(B3896:B$2,-1+SUMPRODUCT(MAX(ROW(E3896:E$2)*(E3897=E3896:E$2)))))</f>
        <v> </v>
      </c>
      <c r="J3897" s="26" t="str">
        <f>IF(OR(E3897="",E3897="!!!",F3897="NEW"),"",COUNTBLANK(OFFSET(A$1,,,SUMPRODUCT(MAX(ROW(E$2:E3897)*(E3897=E$2:E3897)))))-COUNTBLANK(OFFSET(A$1,,,SUMPRODUCT(MAX(ROW(E$1:E3896)*(E2=E$1:E3896))))))</f>
        <v> </v>
      </c>
      <c r="K3897" s="26" t="str">
        <f>IF(OR(E3897="",E3897="!!!",F3897="NEW"),"",INDEX(J$1:J3896,SUMPRODUCT(MAX(ROW(E$1:E3896)*(E3897=E$1:E3896)))))</f>
        <v> </v>
      </c>
      <c r="L3897" s="27"/>
    </row>
    <row r="3898" spans="1:12">
      <c r="A3898" s="20" t="s">
        <v>2312</v>
      </c>
      <c r="E3898" s="22">
        <f>IF(D3898="?OLD","!!!","")</f>
        <v/>
      </c>
      <c r="F3898" s="23" t="str">
        <f>IF(OR(E3898="",E3898="!!!"),"",IF(NOT(ISNA(VLOOKUP(E3898,E$1:E3897,1,FALSE()))),"OLD",IF(AND(E3898&lt;&gt;"",E3898&lt;&gt;"!!!"),"NEW","")))</f>
        <v> </v>
      </c>
      <c r="G3898" s="24" t="str">
        <f>IF(OR(E3898="",E3898="!!!"),"",IF(OR(J3898=0,AND(J3898=1,K3898=1),AND(J3898=1,I3898="SBJ"),AND(J3898=1,I3898=0)),"?IN_FOCUS",IF(J3898&lt;=2,"?ACTIVATED",IF(J3898&lt;&gt;"","?FAMILIAR",IF(F3898="NEW",IF(ISNA(VLOOKUP(E3898,#REF!,1,FALSE())),"?TYPE_IDENTIFIABLE","?REFERENTIAL"),"_")))))</f>
        <v> </v>
      </c>
      <c r="H3898" s="25" t="str">
        <f>IF(J3898&lt;&gt;1,"",IF(I3898="SBJ","CB","?"))</f>
        <v> </v>
      </c>
      <c r="I3898" s="26" t="str">
        <f>IF(OR(E3898="",E3898="!!!",F3898="NEW"),"",INDEX(B3897:B$2,-1+SUMPRODUCT(MAX(ROW(E3897:E$2)*(E3898=E3897:E$2)))))</f>
        <v> </v>
      </c>
      <c r="J3898" s="26" t="str">
        <f>IF(OR(E3898="",E3898="!!!",F3898="NEW"),"",COUNTBLANK(OFFSET(A$1,,,SUMPRODUCT(MAX(ROW(E$2:E3898)*(E3898=E$2:E3898)))))-COUNTBLANK(OFFSET(A$1,,,SUMPRODUCT(MAX(ROW(E$1:E3897)*(E2=E$1:E3897))))))</f>
        <v> </v>
      </c>
      <c r="K3898" s="26" t="str">
        <f>IF(OR(E3898="",E3898="!!!",F3898="NEW"),"",INDEX(J$1:J3897,SUMPRODUCT(MAX(ROW(E$1:E3897)*(E3898=E$1:E3897)))))</f>
        <v> </v>
      </c>
      <c r="L3898" s="27"/>
    </row>
    <row r="3899" spans="1:12">
      <c r="A3899" s="20" t="s">
        <v>1302</v>
      </c>
      <c r="E3899" s="22">
        <f>IF(D3899="?OLD","!!!","")</f>
        <v/>
      </c>
      <c r="F3899" s="23" t="str">
        <f>IF(OR(E3899="",E3899="!!!"),"",IF(NOT(ISNA(VLOOKUP(E3899,E$1:E3898,1,FALSE()))),"OLD",IF(AND(E3899&lt;&gt;"",E3899&lt;&gt;"!!!"),"NEW","")))</f>
        <v> </v>
      </c>
      <c r="G3899" s="24" t="str">
        <f>IF(OR(E3899="",E3899="!!!"),"",IF(OR(J3899=0,AND(J3899=1,K3899=1),AND(J3899=1,I3899="SBJ"),AND(J3899=1,I3899=0)),"?IN_FOCUS",IF(J3899&lt;=2,"?ACTIVATED",IF(J3899&lt;&gt;"","?FAMILIAR",IF(F3899="NEW",IF(ISNA(VLOOKUP(E3899,#REF!,1,FALSE())),"?TYPE_IDENTIFIABLE","?REFERENTIAL"),"_")))))</f>
        <v> </v>
      </c>
      <c r="H3899" s="25" t="str">
        <f>IF(J3899&lt;&gt;1,"",IF(I3899="SBJ","CB","?"))</f>
        <v> </v>
      </c>
      <c r="I3899" s="26" t="str">
        <f>IF(OR(E3899="",E3899="!!!",F3899="NEW"),"",INDEX(B3898:B$2,-1+SUMPRODUCT(MAX(ROW(E3898:E$2)*(E3899=E3898:E$2)))))</f>
        <v> </v>
      </c>
      <c r="J3899" s="26" t="str">
        <f>IF(OR(E3899="",E3899="!!!",F3899="NEW"),"",COUNTBLANK(OFFSET(A$1,,,SUMPRODUCT(MAX(ROW(E$2:E3899)*(E3899=E$2:E3899)))))-COUNTBLANK(OFFSET(A$1,,,SUMPRODUCT(MAX(ROW(E$1:E3898)*(E2=E$1:E3898))))))</f>
        <v> </v>
      </c>
      <c r="K3899" s="26" t="str">
        <f>IF(OR(E3899="",E3899="!!!",F3899="NEW"),"",INDEX(J$1:J3898,SUMPRODUCT(MAX(ROW(E$1:E3898)*(E3899=E$1:E3898)))))</f>
        <v> </v>
      </c>
      <c r="L3899" s="27"/>
    </row>
    <row r="3900" spans="1:12">
      <c r="A3900" s="20" t="s">
        <v>1362</v>
      </c>
      <c r="E3900" s="22">
        <f>IF(D3900="?OLD","!!!","")</f>
        <v/>
      </c>
      <c r="F3900" s="23" t="str">
        <f>IF(OR(E3900="",E3900="!!!"),"",IF(NOT(ISNA(VLOOKUP(E3900,E$1:E3899,1,FALSE()))),"OLD",IF(AND(E3900&lt;&gt;"",E3900&lt;&gt;"!!!"),"NEW","")))</f>
        <v> </v>
      </c>
      <c r="G3900" s="24" t="str">
        <f>IF(OR(E3900="",E3900="!!!"),"",IF(OR(J3900=0,AND(J3900=1,K3900=1),AND(J3900=1,I3900="SBJ"),AND(J3900=1,I3900=0)),"?IN_FOCUS",IF(J3900&lt;=2,"?ACTIVATED",IF(J3900&lt;&gt;"","?FAMILIAR",IF(F3900="NEW",IF(ISNA(VLOOKUP(E3900,#REF!,1,FALSE())),"?TYPE_IDENTIFIABLE","?REFERENTIAL"),"_")))))</f>
        <v> </v>
      </c>
      <c r="H3900" s="25" t="str">
        <f>IF(J3900&lt;&gt;1,"",IF(I3900="SBJ","CB","?"))</f>
        <v> </v>
      </c>
      <c r="I3900" s="26" t="str">
        <f>IF(OR(E3900="",E3900="!!!",F3900="NEW"),"",INDEX(B3899:B$2,-1+SUMPRODUCT(MAX(ROW(E3899:E$2)*(E3900=E3899:E$2)))))</f>
        <v> </v>
      </c>
      <c r="J3900" s="26" t="str">
        <f>IF(OR(E3900="",E3900="!!!",F3900="NEW"),"",COUNTBLANK(OFFSET(A$1,,,SUMPRODUCT(MAX(ROW(E$2:E3900)*(E3900=E$2:E3900)))))-COUNTBLANK(OFFSET(A$1,,,SUMPRODUCT(MAX(ROW(E$1:E3899)*(E2=E$1:E3899))))))</f>
        <v> </v>
      </c>
      <c r="K3900" s="26" t="str">
        <f>IF(OR(E3900="",E3900="!!!",F3900="NEW"),"",INDEX(J$1:J3899,SUMPRODUCT(MAX(ROW(E$1:E3899)*(E3900=E$1:E3899)))))</f>
        <v> </v>
      </c>
      <c r="L3900" s="27"/>
    </row>
    <row r="3901" spans="1:12">
      <c r="A3901" s="20" t="s">
        <v>2313</v>
      </c>
      <c r="B3901" s="21" t="s">
        <v>1161</v>
      </c>
      <c r="C3901" s="21" t="s">
        <v>1172</v>
      </c>
      <c r="D3901" s="21" t="s">
        <v>1144</v>
      </c>
      <c r="E3901" s="22">
        <f>IF(D3901="?OLD","!!!","")</f>
        <v/>
      </c>
      <c r="F3901" s="23" t="str">
        <f>IF(OR(E3901="",E3901="!!!"),"",IF(NOT(ISNA(VLOOKUP(E3901,E$1:E3900,1,FALSE()))),"OLD",IF(AND(E3901&lt;&gt;"",E3901&lt;&gt;"!!!"),"NEW","")))</f>
        <v> </v>
      </c>
      <c r="G3901" s="24" t="str">
        <f>IF(OR(E3901="",E3901="!!!"),"",IF(OR(J3901=0,AND(J3901=1,K3901=1),AND(J3901=1,I3901="SBJ"),AND(J3901=1,I3901=0)),"?IN_FOCUS",IF(J3901&lt;=2,"?ACTIVATED",IF(J3901&lt;&gt;"","?FAMILIAR",IF(F3901="NEW",IF(ISNA(VLOOKUP(E3901,#REF!,1,FALSE())),"?TYPE_IDENTIFIABLE","?REFERENTIAL"),"_")))))</f>
        <v> </v>
      </c>
      <c r="H3901" s="25" t="str">
        <f>IF(J3901&lt;&gt;1,"",IF(I3901="SBJ","CB","?"))</f>
        <v> </v>
      </c>
      <c r="I3901" s="26" t="str">
        <f>IF(OR(E3901="",E3901="!!!",F3901="NEW"),"",INDEX(B3900:B$2,-1+SUMPRODUCT(MAX(ROW(E3900:E$2)*(E3901=E3900:E$2)))))</f>
        <v> </v>
      </c>
      <c r="J3901" s="26" t="str">
        <f>IF(OR(E3901="",E3901="!!!",F3901="NEW"),"",COUNTBLANK(OFFSET(A$1,,,SUMPRODUCT(MAX(ROW(E$2:E3901)*(E3901=E$2:E3901)))))-COUNTBLANK(OFFSET(A$1,,,SUMPRODUCT(MAX(ROW(E$1:E3900)*(E2=E$1:E3900))))))</f>
        <v> </v>
      </c>
      <c r="K3901" s="26" t="str">
        <f>IF(OR(E3901="",E3901="!!!",F3901="NEW"),"",INDEX(J$1:J3900,SUMPRODUCT(MAX(ROW(E$1:E3900)*(E3901=E$1:E3900)))))</f>
        <v> </v>
      </c>
      <c r="L3901" s="27"/>
    </row>
    <row r="3902" spans="1:12">
      <c r="A3902" s="20" t="s">
        <v>1263</v>
      </c>
      <c r="E3902" s="22">
        <f>IF(D3902="?OLD","!!!","")</f>
        <v/>
      </c>
      <c r="F3902" s="23" t="str">
        <f>IF(OR(E3902="",E3902="!!!"),"",IF(NOT(ISNA(VLOOKUP(E3902,E$1:E3901,1,FALSE()))),"OLD",IF(AND(E3902&lt;&gt;"",E3902&lt;&gt;"!!!"),"NEW","")))</f>
        <v> </v>
      </c>
      <c r="G3902" s="24" t="str">
        <f>IF(OR(E3902="",E3902="!!!"),"",IF(OR(J3902=0,AND(J3902=1,K3902=1),AND(J3902=1,I3902="SBJ"),AND(J3902=1,I3902=0)),"?IN_FOCUS",IF(J3902&lt;=2,"?ACTIVATED",IF(J3902&lt;&gt;"","?FAMILIAR",IF(F3902="NEW",IF(ISNA(VLOOKUP(E3902,#REF!,1,FALSE())),"?TYPE_IDENTIFIABLE","?REFERENTIAL"),"_")))))</f>
        <v> </v>
      </c>
      <c r="H3902" s="25" t="str">
        <f>IF(J3902&lt;&gt;1,"",IF(I3902="SBJ","CB","?"))</f>
        <v> </v>
      </c>
      <c r="I3902" s="26" t="str">
        <f>IF(OR(E3902="",E3902="!!!",F3902="NEW"),"",INDEX(B3901:B$2,-1+SUMPRODUCT(MAX(ROW(E3901:E$2)*(E3902=E3901:E$2)))))</f>
        <v> </v>
      </c>
      <c r="J3902" s="26" t="str">
        <f>IF(OR(E3902="",E3902="!!!",F3902="NEW"),"",COUNTBLANK(OFFSET(A$1,,,SUMPRODUCT(MAX(ROW(E$2:E3902)*(E3902=E$2:E3902)))))-COUNTBLANK(OFFSET(A$1,,,SUMPRODUCT(MAX(ROW(E$1:E3901)*(E2=E$1:E3901))))))</f>
        <v> </v>
      </c>
      <c r="K3902" s="26" t="str">
        <f>IF(OR(E3902="",E3902="!!!",F3902="NEW"),"",INDEX(J$1:J3901,SUMPRODUCT(MAX(ROW(E$1:E3901)*(E3902=E$1:E3901)))))</f>
        <v> </v>
      </c>
      <c r="L3902" s="27"/>
    </row>
    <row r="3903" spans="1:12">
      <c r="A3903" s="20"/>
    </row>
    <row r="3904" spans="1:12">
      <c r="A3904" s="20" t="s">
        <v>2314</v>
      </c>
    </row>
    <row r="3905" spans="1:12">
      <c r="A3905" s="20" t="s">
        <v>308</v>
      </c>
      <c r="B3905" s="21" t="s">
        <v>1161</v>
      </c>
      <c r="C3905" s="21" t="s">
        <v>1187</v>
      </c>
      <c r="E3905" s="22">
        <f>IF(D3905="?OLD","!!!","")</f>
        <v/>
      </c>
      <c r="F3905" s="23" t="str">
        <f>IF(OR(E3905="",E3905="!!!"),"",IF(NOT(ISNA(VLOOKUP(E3905,E$1:E3904,1,FALSE()))),"OLD",IF(AND(E3905&lt;&gt;"",E3905&lt;&gt;"!!!"),"NEW","")))</f>
        <v> </v>
      </c>
      <c r="G3905" s="24" t="str">
        <f>IF(OR(E3905="",E3905="!!!"),"",IF(OR(J3905=0,AND(J3905=1,K3905=1),AND(J3905=1,I3905="SBJ"),AND(J3905=1,I3905=0)),"?IN_FOCUS",IF(J3905&lt;=2,"?ACTIVATED",IF(J3905&lt;&gt;"","?FAMILIAR",IF(F3905="NEW",IF(ISNA(VLOOKUP(E3905,#REF!,1,FALSE())),"?TYPE_IDENTIFIABLE","?REFERENTIAL"),"_")))))</f>
        <v> </v>
      </c>
      <c r="H3905" s="25" t="str">
        <f>IF(J3905&lt;&gt;1,"",IF(I3905="SBJ","CB","?"))</f>
        <v> </v>
      </c>
      <c r="I3905" s="26" t="str">
        <f>IF(OR(E3905="",E3905="!!!",F3905="NEW"),"",INDEX(B3904:B$2,-1+SUMPRODUCT(MAX(ROW(E3904:E$2)*(E3905=E3904:E$2)))))</f>
        <v> </v>
      </c>
      <c r="J3905" s="26" t="str">
        <f>IF(OR(E3905="",E3905="!!!",F3905="NEW"),"",COUNTBLANK(OFFSET(A$1,,,SUMPRODUCT(MAX(ROW(E$2:E3905)*(E3905=E$2:E3905)))))-COUNTBLANK(OFFSET(A$1,,,SUMPRODUCT(MAX(ROW(E$1:E3904)*(E2=E$1:E3904))))))</f>
        <v> </v>
      </c>
      <c r="K3905" s="26" t="str">
        <f>IF(OR(E3905="",E3905="!!!",F3905="NEW"),"",INDEX(J$1:J3904,SUMPRODUCT(MAX(ROW(E$1:E3904)*(E3905=E$1:E3904)))))</f>
        <v> </v>
      </c>
      <c r="L3905" s="27"/>
    </row>
    <row r="3906" spans="1:12">
      <c r="A3906" s="20" t="s">
        <v>1146</v>
      </c>
      <c r="E3906" s="22">
        <f>IF(D3906="?OLD","!!!","")</f>
        <v/>
      </c>
      <c r="F3906" s="23" t="str">
        <f>IF(OR(E3906="",E3906="!!!"),"",IF(NOT(ISNA(VLOOKUP(E3906,E$1:E3905,1,FALSE()))),"OLD",IF(AND(E3906&lt;&gt;"",E3906&lt;&gt;"!!!"),"NEW","")))</f>
        <v> </v>
      </c>
      <c r="G3906" s="24" t="str">
        <f>IF(OR(E3906="",E3906="!!!"),"",IF(OR(J3906=0,AND(J3906=1,K3906=1),AND(J3906=1,I3906="SBJ"),AND(J3906=1,I3906=0)),"?IN_FOCUS",IF(J3906&lt;=2,"?ACTIVATED",IF(J3906&lt;&gt;"","?FAMILIAR",IF(F3906="NEW",IF(ISNA(VLOOKUP(E3906,#REF!,1,FALSE())),"?TYPE_IDENTIFIABLE","?REFERENTIAL"),"_")))))</f>
        <v> </v>
      </c>
      <c r="H3906" s="25" t="str">
        <f>IF(J3906&lt;&gt;1,"",IF(I3906="SBJ","CB","?"))</f>
        <v> </v>
      </c>
      <c r="I3906" s="26" t="str">
        <f>IF(OR(E3906="",E3906="!!!",F3906="NEW"),"",INDEX(B3905:B$2,-1+SUMPRODUCT(MAX(ROW(E3905:E$2)*(E3906=E3905:E$2)))))</f>
        <v> </v>
      </c>
      <c r="J3906" s="26" t="str">
        <f>IF(OR(E3906="",E3906="!!!",F3906="NEW"),"",COUNTBLANK(OFFSET(A$1,,,SUMPRODUCT(MAX(ROW(E$2:E3906)*(E3906=E$2:E3906)))))-COUNTBLANK(OFFSET(A$1,,,SUMPRODUCT(MAX(ROW(E$1:E3905)*(E2=E$1:E3905))))))</f>
        <v> </v>
      </c>
      <c r="K3906" s="26" t="str">
        <f>IF(OR(E3906="",E3906="!!!",F3906="NEW"),"",INDEX(J$1:J3905,SUMPRODUCT(MAX(ROW(E$1:E3905)*(E3906=E$1:E3905)))))</f>
        <v> </v>
      </c>
      <c r="L3906" s="27"/>
    </row>
    <row r="3907" spans="1:12">
      <c r="A3907" s="20" t="s">
        <v>1189</v>
      </c>
      <c r="B3907" s="21" t="s">
        <v>1165</v>
      </c>
      <c r="C3907" s="21" t="s">
        <v>1151</v>
      </c>
      <c r="D3907" s="21" t="s">
        <v>1144</v>
      </c>
      <c r="E3907" s="22">
        <f>IF(D3907="?OLD","!!!","")</f>
        <v/>
      </c>
      <c r="F3907" s="23" t="str">
        <f>IF(OR(E3907="",E3907="!!!"),"",IF(NOT(ISNA(VLOOKUP(E3907,E$1:E3906,1,FALSE()))),"OLD",IF(AND(E3907&lt;&gt;"",E3907&lt;&gt;"!!!"),"NEW","")))</f>
        <v> </v>
      </c>
      <c r="G3907" s="24" t="str">
        <f>IF(OR(E3907="",E3907="!!!"),"",IF(OR(J3907=0,AND(J3907=1,K3907=1),AND(J3907=1,I3907="SBJ"),AND(J3907=1,I3907=0)),"?IN_FOCUS",IF(J3907&lt;=2,"?ACTIVATED",IF(J3907&lt;&gt;"","?FAMILIAR",IF(F3907="NEW",IF(ISNA(VLOOKUP(E3907,#REF!,1,FALSE())),"?TYPE_IDENTIFIABLE","?REFERENTIAL"),"_")))))</f>
        <v> </v>
      </c>
      <c r="H3907" s="25" t="str">
        <f>IF(J3907&lt;&gt;1,"",IF(I3907="SBJ","CB","?"))</f>
        <v> </v>
      </c>
      <c r="I3907" s="26" t="str">
        <f>IF(OR(E3907="",E3907="!!!",F3907="NEW"),"",INDEX(B3906:B$2,-1+SUMPRODUCT(MAX(ROW(E3906:E$2)*(E3907=E3906:E$2)))))</f>
        <v> </v>
      </c>
      <c r="J3907" s="26" t="str">
        <f>IF(OR(E3907="",E3907="!!!",F3907="NEW"),"",COUNTBLANK(OFFSET(A$1,,,SUMPRODUCT(MAX(ROW(E$2:E3907)*(E3907=E$2:E3907)))))-COUNTBLANK(OFFSET(A$1,,,SUMPRODUCT(MAX(ROW(E$1:E3906)*(E2=E$1:E3906))))))</f>
        <v> </v>
      </c>
      <c r="K3907" s="26" t="str">
        <f>IF(OR(E3907="",E3907="!!!",F3907="NEW"),"",INDEX(J$1:J3906,SUMPRODUCT(MAX(ROW(E$1:E3906)*(E3907=E$1:E3906)))))</f>
        <v> </v>
      </c>
      <c r="L3907" s="27"/>
    </row>
    <row r="3908" spans="1:12">
      <c r="A3908" s="20" t="s">
        <v>1292</v>
      </c>
      <c r="E3908" s="22">
        <f>IF(D3908="?OLD","!!!","")</f>
        <v/>
      </c>
      <c r="F3908" s="23" t="str">
        <f>IF(OR(E3908="",E3908="!!!"),"",IF(NOT(ISNA(VLOOKUP(E3908,E$1:E3907,1,FALSE()))),"OLD",IF(AND(E3908&lt;&gt;"",E3908&lt;&gt;"!!!"),"NEW","")))</f>
        <v> </v>
      </c>
      <c r="G3908" s="24" t="str">
        <f>IF(OR(E3908="",E3908="!!!"),"",IF(OR(J3908=0,AND(J3908=1,K3908=1),AND(J3908=1,I3908="SBJ"),AND(J3908=1,I3908=0)),"?IN_FOCUS",IF(J3908&lt;=2,"?ACTIVATED",IF(J3908&lt;&gt;"","?FAMILIAR",IF(F3908="NEW",IF(ISNA(VLOOKUP(E3908,#REF!,1,FALSE())),"?TYPE_IDENTIFIABLE","?REFERENTIAL"),"_")))))</f>
        <v> </v>
      </c>
      <c r="H3908" s="25" t="str">
        <f>IF(J3908&lt;&gt;1,"",IF(I3908="SBJ","CB","?"))</f>
        <v> </v>
      </c>
      <c r="I3908" s="26" t="str">
        <f>IF(OR(E3908="",E3908="!!!",F3908="NEW"),"",INDEX(B3907:B$2,-1+SUMPRODUCT(MAX(ROW(E3907:E$2)*(E3908=E3907:E$2)))))</f>
        <v> </v>
      </c>
      <c r="J3908" s="26" t="str">
        <f>IF(OR(E3908="",E3908="!!!",F3908="NEW"),"",COUNTBLANK(OFFSET(A$1,,,SUMPRODUCT(MAX(ROW(E$2:E3908)*(E3908=E$2:E3908)))))-COUNTBLANK(OFFSET(A$1,,,SUMPRODUCT(MAX(ROW(E$1:E3907)*(E2=E$1:E3907))))))</f>
        <v> </v>
      </c>
      <c r="K3908" s="26" t="str">
        <f>IF(OR(E3908="",E3908="!!!",F3908="NEW"),"",INDEX(J$1:J3907,SUMPRODUCT(MAX(ROW(E$1:E3907)*(E3908=E$1:E3907)))))</f>
        <v> </v>
      </c>
      <c r="L3908" s="27"/>
    </row>
    <row r="3909" spans="1:12">
      <c r="A3909" s="20" t="s">
        <v>1166</v>
      </c>
      <c r="E3909" s="22">
        <f>IF(D3909="?OLD","!!!","")</f>
        <v/>
      </c>
      <c r="F3909" s="23" t="str">
        <f>IF(OR(E3909="",E3909="!!!"),"",IF(NOT(ISNA(VLOOKUP(E3909,E$1:E3908,1,FALSE()))),"OLD",IF(AND(E3909&lt;&gt;"",E3909&lt;&gt;"!!!"),"NEW","")))</f>
        <v> </v>
      </c>
      <c r="G3909" s="24" t="str">
        <f>IF(OR(E3909="",E3909="!!!"),"",IF(OR(J3909=0,AND(J3909=1,K3909=1),AND(J3909=1,I3909="SBJ"),AND(J3909=1,I3909=0)),"?IN_FOCUS",IF(J3909&lt;=2,"?ACTIVATED",IF(J3909&lt;&gt;"","?FAMILIAR",IF(F3909="NEW",IF(ISNA(VLOOKUP(E3909,#REF!,1,FALSE())),"?TYPE_IDENTIFIABLE","?REFERENTIAL"),"_")))))</f>
        <v> </v>
      </c>
      <c r="H3909" s="25" t="str">
        <f>IF(J3909&lt;&gt;1,"",IF(I3909="SBJ","CB","?"))</f>
        <v> </v>
      </c>
      <c r="I3909" s="26" t="str">
        <f>IF(OR(E3909="",E3909="!!!",F3909="NEW"),"",INDEX(B3908:B$2,-1+SUMPRODUCT(MAX(ROW(E3908:E$2)*(E3909=E3908:E$2)))))</f>
        <v> </v>
      </c>
      <c r="J3909" s="26" t="str">
        <f>IF(OR(E3909="",E3909="!!!",F3909="NEW"),"",COUNTBLANK(OFFSET(A$1,,,SUMPRODUCT(MAX(ROW(E$2:E3909)*(E3909=E$2:E3909)))))-COUNTBLANK(OFFSET(A$1,,,SUMPRODUCT(MAX(ROW(E$1:E3908)*(E2=E$1:E3908))))))</f>
        <v> </v>
      </c>
      <c r="K3909" s="26" t="str">
        <f>IF(OR(E3909="",E3909="!!!",F3909="NEW"),"",INDEX(J$1:J3908,SUMPRODUCT(MAX(ROW(E$1:E3908)*(E3909=E$1:E3908)))))</f>
        <v> </v>
      </c>
      <c r="L3909" s="27"/>
    </row>
    <row r="3910" spans="1:12">
      <c r="A3910" s="20" t="s">
        <v>2315</v>
      </c>
      <c r="B3910" s="21" t="s">
        <v>1142</v>
      </c>
      <c r="C3910" s="21" t="s">
        <v>1187</v>
      </c>
      <c r="E3910" s="22">
        <f>IF(D3910="?OLD","!!!","")</f>
        <v/>
      </c>
      <c r="F3910" s="23" t="str">
        <f>IF(OR(E3910="",E3910="!!!"),"",IF(NOT(ISNA(VLOOKUP(E3910,E$1:E3909,1,FALSE()))),"OLD",IF(AND(E3910&lt;&gt;"",E3910&lt;&gt;"!!!"),"NEW","")))</f>
        <v> </v>
      </c>
      <c r="G3910" s="24" t="str">
        <f>IF(OR(E3910="",E3910="!!!"),"",IF(OR(J3910=0,AND(J3910=1,K3910=1),AND(J3910=1,I3910="SBJ"),AND(J3910=1,I3910=0)),"?IN_FOCUS",IF(J3910&lt;=2,"?ACTIVATED",IF(J3910&lt;&gt;"","?FAMILIAR",IF(F3910="NEW",IF(ISNA(VLOOKUP(E3910,#REF!,1,FALSE())),"?TYPE_IDENTIFIABLE","?REFERENTIAL"),"_")))))</f>
        <v> </v>
      </c>
      <c r="H3910" s="25" t="str">
        <f>IF(J3910&lt;&gt;1,"",IF(I3910="SBJ","CB","?"))</f>
        <v> </v>
      </c>
      <c r="I3910" s="26" t="str">
        <f>IF(OR(E3910="",E3910="!!!",F3910="NEW"),"",INDEX(B3909:B$2,-1+SUMPRODUCT(MAX(ROW(E3909:E$2)*(E3910=E3909:E$2)))))</f>
        <v> </v>
      </c>
      <c r="J3910" s="26" t="str">
        <f>IF(OR(E3910="",E3910="!!!",F3910="NEW"),"",COUNTBLANK(OFFSET(A$1,,,SUMPRODUCT(MAX(ROW(E$2:E3910)*(E3910=E$2:E3910)))))-COUNTBLANK(OFFSET(A$1,,,SUMPRODUCT(MAX(ROW(E$1:E3909)*(E2=E$1:E3909))))))</f>
        <v> </v>
      </c>
      <c r="K3910" s="26" t="str">
        <f>IF(OR(E3910="",E3910="!!!",F3910="NEW"),"",INDEX(J$1:J3909,SUMPRODUCT(MAX(ROW(E$1:E3909)*(E3910=E$1:E3909)))))</f>
        <v> </v>
      </c>
      <c r="L3910" s="27"/>
    </row>
    <row r="3911" spans="1:12">
      <c r="A3911" s="20" t="s">
        <v>1301</v>
      </c>
      <c r="E3911" s="22">
        <f>IF(D3911="?OLD","!!!","")</f>
        <v/>
      </c>
      <c r="F3911" s="23" t="str">
        <f>IF(OR(E3911="",E3911="!!!"),"",IF(NOT(ISNA(VLOOKUP(E3911,E$1:E3910,1,FALSE()))),"OLD",IF(AND(E3911&lt;&gt;"",E3911&lt;&gt;"!!!"),"NEW","")))</f>
        <v> </v>
      </c>
      <c r="G3911" s="24" t="str">
        <f>IF(OR(E3911="",E3911="!!!"),"",IF(OR(J3911=0,AND(J3911=1,K3911=1),AND(J3911=1,I3911="SBJ"),AND(J3911=1,I3911=0)),"?IN_FOCUS",IF(J3911&lt;=2,"?ACTIVATED",IF(J3911&lt;&gt;"","?FAMILIAR",IF(F3911="NEW",IF(ISNA(VLOOKUP(E3911,#REF!,1,FALSE())),"?TYPE_IDENTIFIABLE","?REFERENTIAL"),"_")))))</f>
        <v> </v>
      </c>
      <c r="H3911" s="25" t="str">
        <f>IF(J3911&lt;&gt;1,"",IF(I3911="SBJ","CB","?"))</f>
        <v> </v>
      </c>
      <c r="I3911" s="26" t="str">
        <f>IF(OR(E3911="",E3911="!!!",F3911="NEW"),"",INDEX(B3910:B$2,-1+SUMPRODUCT(MAX(ROW(E3910:E$2)*(E3911=E3910:E$2)))))</f>
        <v> </v>
      </c>
      <c r="J3911" s="26" t="str">
        <f>IF(OR(E3911="",E3911="!!!",F3911="NEW"),"",COUNTBLANK(OFFSET(A$1,,,SUMPRODUCT(MAX(ROW(E$2:E3911)*(E3911=E$2:E3911)))))-COUNTBLANK(OFFSET(A$1,,,SUMPRODUCT(MAX(ROW(E$1:E3910)*(E2=E$1:E3910))))))</f>
        <v> </v>
      </c>
      <c r="K3911" s="26" t="str">
        <f>IF(OR(E3911="",E3911="!!!",F3911="NEW"),"",INDEX(J$1:J3910,SUMPRODUCT(MAX(ROW(E$1:E3910)*(E3911=E$1:E3910)))))</f>
        <v> </v>
      </c>
      <c r="L3911" s="27"/>
    </row>
    <row r="3912" spans="1:12">
      <c r="A3912" s="20" t="s">
        <v>1176</v>
      </c>
      <c r="E3912" s="22">
        <f>IF(D3912="?OLD","!!!","")</f>
        <v/>
      </c>
      <c r="F3912" s="23" t="str">
        <f>IF(OR(E3912="",E3912="!!!"),"",IF(NOT(ISNA(VLOOKUP(E3912,E$1:E3911,1,FALSE()))),"OLD",IF(AND(E3912&lt;&gt;"",E3912&lt;&gt;"!!!"),"NEW","")))</f>
        <v> </v>
      </c>
      <c r="G3912" s="24" t="str">
        <f>IF(OR(E3912="",E3912="!!!"),"",IF(OR(J3912=0,AND(J3912=1,K3912=1),AND(J3912=1,I3912="SBJ"),AND(J3912=1,I3912=0)),"?IN_FOCUS",IF(J3912&lt;=2,"?ACTIVATED",IF(J3912&lt;&gt;"","?FAMILIAR",IF(F3912="NEW",IF(ISNA(VLOOKUP(E3912,#REF!,1,FALSE())),"?TYPE_IDENTIFIABLE","?REFERENTIAL"),"_")))))</f>
        <v> </v>
      </c>
      <c r="H3912" s="25" t="str">
        <f>IF(J3912&lt;&gt;1,"",IF(I3912="SBJ","CB","?"))</f>
        <v> </v>
      </c>
      <c r="I3912" s="26" t="str">
        <f>IF(OR(E3912="",E3912="!!!",F3912="NEW"),"",INDEX(B3911:B$2,-1+SUMPRODUCT(MAX(ROW(E3911:E$2)*(E3912=E3911:E$2)))))</f>
        <v> </v>
      </c>
      <c r="J3912" s="26" t="str">
        <f>IF(OR(E3912="",E3912="!!!",F3912="NEW"),"",COUNTBLANK(OFFSET(A$1,,,SUMPRODUCT(MAX(ROW(E$2:E3912)*(E3912=E$2:E3912)))))-COUNTBLANK(OFFSET(A$1,,,SUMPRODUCT(MAX(ROW(E$1:E3911)*(E2=E$1:E3911))))))</f>
        <v> </v>
      </c>
      <c r="K3912" s="26" t="str">
        <f>IF(OR(E3912="",E3912="!!!",F3912="NEW"),"",INDEX(J$1:J3911,SUMPRODUCT(MAX(ROW(E$1:E3911)*(E3912=E$1:E3911)))))</f>
        <v> </v>
      </c>
      <c r="L3912" s="27"/>
    </row>
    <row r="3913" spans="1:12">
      <c r="A3913" s="20" t="s">
        <v>2316</v>
      </c>
      <c r="E3913" s="22">
        <f>IF(D3913="?OLD","!!!","")</f>
        <v/>
      </c>
      <c r="F3913" s="23" t="str">
        <f>IF(OR(E3913="",E3913="!!!"),"",IF(NOT(ISNA(VLOOKUP(E3913,E$1:E3912,1,FALSE()))),"OLD",IF(AND(E3913&lt;&gt;"",E3913&lt;&gt;"!!!"),"NEW","")))</f>
        <v> </v>
      </c>
      <c r="G3913" s="24" t="str">
        <f>IF(OR(E3913="",E3913="!!!"),"",IF(OR(J3913=0,AND(J3913=1,K3913=1),AND(J3913=1,I3913="SBJ"),AND(J3913=1,I3913=0)),"?IN_FOCUS",IF(J3913&lt;=2,"?ACTIVATED",IF(J3913&lt;&gt;"","?FAMILIAR",IF(F3913="NEW",IF(ISNA(VLOOKUP(E3913,#REF!,1,FALSE())),"?TYPE_IDENTIFIABLE","?REFERENTIAL"),"_")))))</f>
        <v> </v>
      </c>
      <c r="H3913" s="25" t="str">
        <f>IF(J3913&lt;&gt;1,"",IF(I3913="SBJ","CB","?"))</f>
        <v> </v>
      </c>
      <c r="I3913" s="26" t="str">
        <f>IF(OR(E3913="",E3913="!!!",F3913="NEW"),"",INDEX(B3912:B$2,-1+SUMPRODUCT(MAX(ROW(E3912:E$2)*(E3913=E3912:E$2)))))</f>
        <v> </v>
      </c>
      <c r="J3913" s="26" t="str">
        <f>IF(OR(E3913="",E3913="!!!",F3913="NEW"),"",COUNTBLANK(OFFSET(A$1,,,SUMPRODUCT(MAX(ROW(E$2:E3913)*(E3913=E$2:E3913)))))-COUNTBLANK(OFFSET(A$1,,,SUMPRODUCT(MAX(ROW(E$1:E3912)*(E2=E$1:E3912))))))</f>
        <v> </v>
      </c>
      <c r="K3913" s="26" t="str">
        <f>IF(OR(E3913="",E3913="!!!",F3913="NEW"),"",INDEX(J$1:J3912,SUMPRODUCT(MAX(ROW(E$1:E3912)*(E3913=E$1:E3912)))))</f>
        <v> </v>
      </c>
      <c r="L3913" s="27"/>
    </row>
    <row r="3914" spans="1:12">
      <c r="A3914" s="20" t="s">
        <v>12</v>
      </c>
      <c r="E3914" s="22">
        <f>IF(D3914="?OLD","!!!","")</f>
        <v/>
      </c>
      <c r="F3914" s="23" t="str">
        <f>IF(OR(E3914="",E3914="!!!"),"",IF(NOT(ISNA(VLOOKUP(E3914,E$1:E3913,1,FALSE()))),"OLD",IF(AND(E3914&lt;&gt;"",E3914&lt;&gt;"!!!"),"NEW","")))</f>
        <v> </v>
      </c>
      <c r="G3914" s="24" t="str">
        <f>IF(OR(E3914="",E3914="!!!"),"",IF(OR(J3914=0,AND(J3914=1,K3914=1),AND(J3914=1,I3914="SBJ"),AND(J3914=1,I3914=0)),"?IN_FOCUS",IF(J3914&lt;=2,"?ACTIVATED",IF(J3914&lt;&gt;"","?FAMILIAR",IF(F3914="NEW",IF(ISNA(VLOOKUP(E3914,#REF!,1,FALSE())),"?TYPE_IDENTIFIABLE","?REFERENTIAL"),"_")))))</f>
        <v> </v>
      </c>
      <c r="H3914" s="25" t="str">
        <f>IF(J3914&lt;&gt;1,"",IF(I3914="SBJ","CB","?"))</f>
        <v> </v>
      </c>
      <c r="I3914" s="26" t="str">
        <f>IF(OR(E3914="",E3914="!!!",F3914="NEW"),"",INDEX(B3913:B$2,-1+SUMPRODUCT(MAX(ROW(E3913:E$2)*(E3914=E3913:E$2)))))</f>
        <v> </v>
      </c>
      <c r="J3914" s="26" t="str">
        <f>IF(OR(E3914="",E3914="!!!",F3914="NEW"),"",COUNTBLANK(OFFSET(A$1,,,SUMPRODUCT(MAX(ROW(E$2:E3914)*(E3914=E$2:E3914)))))-COUNTBLANK(OFFSET(A$1,,,SUMPRODUCT(MAX(ROW(E$1:E3913)*(E2=E$1:E3913))))))</f>
        <v> </v>
      </c>
      <c r="K3914" s="26" t="str">
        <f>IF(OR(E3914="",E3914="!!!",F3914="NEW"),"",INDEX(J$1:J3913,SUMPRODUCT(MAX(ROW(E$1:E3913)*(E3914=E$1:E3913)))))</f>
        <v> </v>
      </c>
      <c r="L3914" s="27"/>
    </row>
    <row r="3915" spans="1:12">
      <c r="A3915" s="20" t="s">
        <v>2309</v>
      </c>
      <c r="B3915" s="21" t="s">
        <v>1142</v>
      </c>
      <c r="C3915" s="21" t="s">
        <v>1143</v>
      </c>
      <c r="D3915" s="21" t="s">
        <v>1144</v>
      </c>
      <c r="E3915" s="22">
        <f>IF(D3915="?OLD","!!!","")</f>
        <v/>
      </c>
      <c r="F3915" s="23" t="str">
        <f>IF(OR(E3915="",E3915="!!!"),"",IF(NOT(ISNA(VLOOKUP(E3915,E$1:E3914,1,FALSE()))),"OLD",IF(AND(E3915&lt;&gt;"",E3915&lt;&gt;"!!!"),"NEW","")))</f>
        <v> </v>
      </c>
      <c r="G3915" s="24" t="str">
        <f>IF(OR(E3915="",E3915="!!!"),"",IF(OR(J3915=0,AND(J3915=1,K3915=1),AND(J3915=1,I3915="SBJ"),AND(J3915=1,I3915=0)),"?IN_FOCUS",IF(J3915&lt;=2,"?ACTIVATED",IF(J3915&lt;&gt;"","?FAMILIAR",IF(F3915="NEW",IF(ISNA(VLOOKUP(E3915,#REF!,1,FALSE())),"?TYPE_IDENTIFIABLE","?REFERENTIAL"),"_")))))</f>
        <v> </v>
      </c>
      <c r="H3915" s="25" t="str">
        <f>IF(J3915&lt;&gt;1,"",IF(I3915="SBJ","CB","?"))</f>
        <v> </v>
      </c>
      <c r="I3915" s="26" t="str">
        <f>IF(OR(E3915="",E3915="!!!",F3915="NEW"),"",INDEX(B3914:B$2,-1+SUMPRODUCT(MAX(ROW(E3914:E$2)*(E3915=E3914:E$2)))))</f>
        <v> </v>
      </c>
      <c r="J3915" s="26" t="str">
        <f>IF(OR(E3915="",E3915="!!!",F3915="NEW"),"",COUNTBLANK(OFFSET(A$1,,,SUMPRODUCT(MAX(ROW(E$2:E3915)*(E3915=E$2:E3915)))))-COUNTBLANK(OFFSET(A$1,,,SUMPRODUCT(MAX(ROW(E$1:E3914)*(E2=E$1:E3914))))))</f>
        <v> </v>
      </c>
      <c r="K3915" s="26" t="str">
        <f>IF(OR(E3915="",E3915="!!!",F3915="NEW"),"",INDEX(J$1:J3914,SUMPRODUCT(MAX(ROW(E$1:E3914)*(E3915=E$1:E3914)))))</f>
        <v> </v>
      </c>
      <c r="L3915" s="27"/>
    </row>
    <row r="3916" spans="1:12">
      <c r="A3916" s="20" t="s">
        <v>1148</v>
      </c>
      <c r="E3916" s="22">
        <f>IF(D3916="?OLD","!!!","")</f>
        <v/>
      </c>
      <c r="F3916" s="23" t="str">
        <f>IF(OR(E3916="",E3916="!!!"),"",IF(NOT(ISNA(VLOOKUP(E3916,E$1:E3915,1,FALSE()))),"OLD",IF(AND(E3916&lt;&gt;"",E3916&lt;&gt;"!!!"),"NEW","")))</f>
        <v> </v>
      </c>
      <c r="G3916" s="24" t="str">
        <f>IF(OR(E3916="",E3916="!!!"),"",IF(OR(J3916=0,AND(J3916=1,K3916=1),AND(J3916=1,I3916="SBJ"),AND(J3916=1,I3916=0)),"?IN_FOCUS",IF(J3916&lt;=2,"?ACTIVATED",IF(J3916&lt;&gt;"","?FAMILIAR",IF(F3916="NEW",IF(ISNA(VLOOKUP(E3916,#REF!,1,FALSE())),"?TYPE_IDENTIFIABLE","?REFERENTIAL"),"_")))))</f>
        <v> </v>
      </c>
      <c r="H3916" s="25" t="str">
        <f>IF(J3916&lt;&gt;1,"",IF(I3916="SBJ","CB","?"))</f>
        <v> </v>
      </c>
      <c r="I3916" s="26" t="str">
        <f>IF(OR(E3916="",E3916="!!!",F3916="NEW"),"",INDEX(B3915:B$2,-1+SUMPRODUCT(MAX(ROW(E3915:E$2)*(E3916=E3915:E$2)))))</f>
        <v> </v>
      </c>
      <c r="J3916" s="26" t="str">
        <f>IF(OR(E3916="",E3916="!!!",F3916="NEW"),"",COUNTBLANK(OFFSET(A$1,,,SUMPRODUCT(MAX(ROW(E$2:E3916)*(E3916=E$2:E3916)))))-COUNTBLANK(OFFSET(A$1,,,SUMPRODUCT(MAX(ROW(E$1:E3915)*(E2=E$1:E3915))))))</f>
        <v> </v>
      </c>
      <c r="K3916" s="26" t="str">
        <f>IF(OR(E3916="",E3916="!!!",F3916="NEW"),"",INDEX(J$1:J3915,SUMPRODUCT(MAX(ROW(E$1:E3915)*(E3916=E$1:E3915)))))</f>
        <v> </v>
      </c>
      <c r="L3916" s="27"/>
    </row>
    <row r="3917" spans="1:12">
      <c r="A3917" s="20" t="s">
        <v>1238</v>
      </c>
      <c r="E3917" s="22">
        <f>IF(D3917="?OLD","!!!","")</f>
        <v/>
      </c>
      <c r="F3917" s="23" t="str">
        <f>IF(OR(E3917="",E3917="!!!"),"",IF(NOT(ISNA(VLOOKUP(E3917,E$1:E3916,1,FALSE()))),"OLD",IF(AND(E3917&lt;&gt;"",E3917&lt;&gt;"!!!"),"NEW","")))</f>
        <v> </v>
      </c>
      <c r="G3917" s="24" t="str">
        <f>IF(OR(E3917="",E3917="!!!"),"",IF(OR(J3917=0,AND(J3917=1,K3917=1),AND(J3917=1,I3917="SBJ"),AND(J3917=1,I3917=0)),"?IN_FOCUS",IF(J3917&lt;=2,"?ACTIVATED",IF(J3917&lt;&gt;"","?FAMILIAR",IF(F3917="NEW",IF(ISNA(VLOOKUP(E3917,#REF!,1,FALSE())),"?TYPE_IDENTIFIABLE","?REFERENTIAL"),"_")))))</f>
        <v> </v>
      </c>
      <c r="H3917" s="25" t="str">
        <f>IF(J3917&lt;&gt;1,"",IF(I3917="SBJ","CB","?"))</f>
        <v> </v>
      </c>
      <c r="I3917" s="26" t="str">
        <f>IF(OR(E3917="",E3917="!!!",F3917="NEW"),"",INDEX(B3916:B$2,-1+SUMPRODUCT(MAX(ROW(E3916:E$2)*(E3917=E3916:E$2)))))</f>
        <v> </v>
      </c>
      <c r="J3917" s="26" t="str">
        <f>IF(OR(E3917="",E3917="!!!",F3917="NEW"),"",COUNTBLANK(OFFSET(A$1,,,SUMPRODUCT(MAX(ROW(E$2:E3917)*(E3917=E$2:E3917)))))-COUNTBLANK(OFFSET(A$1,,,SUMPRODUCT(MAX(ROW(E$1:E3916)*(E2=E$1:E3916))))))</f>
        <v> </v>
      </c>
      <c r="K3917" s="26" t="str">
        <f>IF(OR(E3917="",E3917="!!!",F3917="NEW"),"",INDEX(J$1:J3916,SUMPRODUCT(MAX(ROW(E$1:E3916)*(E3917=E$1:E3916)))))</f>
        <v> </v>
      </c>
      <c r="L3917" s="27"/>
    </row>
    <row r="3918" spans="1:12">
      <c r="A3918" s="20" t="s">
        <v>2317</v>
      </c>
      <c r="B3918" s="21" t="s">
        <v>1150</v>
      </c>
      <c r="C3918" s="21" t="s">
        <v>1162</v>
      </c>
      <c r="D3918" s="21" t="s">
        <v>1144</v>
      </c>
      <c r="E3918" s="22">
        <f>IF(D3918="?OLD","!!!","")</f>
        <v/>
      </c>
      <c r="F3918" s="23" t="str">
        <f>IF(OR(E3918="",E3918="!!!"),"",IF(NOT(ISNA(VLOOKUP(E3918,E$1:E3917,1,FALSE()))),"OLD",IF(AND(E3918&lt;&gt;"",E3918&lt;&gt;"!!!"),"NEW","")))</f>
        <v> </v>
      </c>
      <c r="G3918" s="24" t="str">
        <f>IF(OR(E3918="",E3918="!!!"),"",IF(OR(J3918=0,AND(J3918=1,K3918=1),AND(J3918=1,I3918="SBJ"),AND(J3918=1,I3918=0)),"?IN_FOCUS",IF(J3918&lt;=2,"?ACTIVATED",IF(J3918&lt;&gt;"","?FAMILIAR",IF(F3918="NEW",IF(ISNA(VLOOKUP(E3918,#REF!,1,FALSE())),"?TYPE_IDENTIFIABLE","?REFERENTIAL"),"_")))))</f>
        <v> </v>
      </c>
      <c r="H3918" s="25" t="str">
        <f>IF(J3918&lt;&gt;1,"",IF(I3918="SBJ","CB","?"))</f>
        <v> </v>
      </c>
      <c r="I3918" s="26" t="str">
        <f>IF(OR(E3918="",E3918="!!!",F3918="NEW"),"",INDEX(B3917:B$2,-1+SUMPRODUCT(MAX(ROW(E3917:E$2)*(E3918=E3917:E$2)))))</f>
        <v> </v>
      </c>
      <c r="J3918" s="26" t="str">
        <f>IF(OR(E3918="",E3918="!!!",F3918="NEW"),"",COUNTBLANK(OFFSET(A$1,,,SUMPRODUCT(MAX(ROW(E$2:E3918)*(E3918=E$2:E3918)))))-COUNTBLANK(OFFSET(A$1,,,SUMPRODUCT(MAX(ROW(E$1:E3917)*(E2=E$1:E3917))))))</f>
        <v> </v>
      </c>
      <c r="K3918" s="26" t="str">
        <f>IF(OR(E3918="",E3918="!!!",F3918="NEW"),"",INDEX(J$1:J3917,SUMPRODUCT(MAX(ROW(E$1:E3917)*(E3918=E$1:E3917)))))</f>
        <v> </v>
      </c>
      <c r="L3918" s="27"/>
    </row>
    <row r="3919" spans="1:12">
      <c r="A3919" s="20" t="s">
        <v>1166</v>
      </c>
      <c r="E3919" s="22">
        <f>IF(D3919="?OLD","!!!","")</f>
        <v/>
      </c>
      <c r="F3919" s="23" t="str">
        <f>IF(OR(E3919="",E3919="!!!"),"",IF(NOT(ISNA(VLOOKUP(E3919,E$1:E3918,1,FALSE()))),"OLD",IF(AND(E3919&lt;&gt;"",E3919&lt;&gt;"!!!"),"NEW","")))</f>
        <v> </v>
      </c>
      <c r="G3919" s="24" t="str">
        <f>IF(OR(E3919="",E3919="!!!"),"",IF(OR(J3919=0,AND(J3919=1,K3919=1),AND(J3919=1,I3919="SBJ"),AND(J3919=1,I3919=0)),"?IN_FOCUS",IF(J3919&lt;=2,"?ACTIVATED",IF(J3919&lt;&gt;"","?FAMILIAR",IF(F3919="NEW",IF(ISNA(VLOOKUP(E3919,#REF!,1,FALSE())),"?TYPE_IDENTIFIABLE","?REFERENTIAL"),"_")))))</f>
        <v> </v>
      </c>
      <c r="H3919" s="25" t="str">
        <f>IF(J3919&lt;&gt;1,"",IF(I3919="SBJ","CB","?"))</f>
        <v> </v>
      </c>
      <c r="I3919" s="26" t="str">
        <f>IF(OR(E3919="",E3919="!!!",F3919="NEW"),"",INDEX(B3918:B$2,-1+SUMPRODUCT(MAX(ROW(E3918:E$2)*(E3919=E3918:E$2)))))</f>
        <v> </v>
      </c>
      <c r="J3919" s="26" t="str">
        <f>IF(OR(E3919="",E3919="!!!",F3919="NEW"),"",COUNTBLANK(OFFSET(A$1,,,SUMPRODUCT(MAX(ROW(E$2:E3919)*(E3919=E$2:E3919)))))-COUNTBLANK(OFFSET(A$1,,,SUMPRODUCT(MAX(ROW(E$1:E3918)*(E2=E$1:E3918))))))</f>
        <v> </v>
      </c>
      <c r="K3919" s="26" t="str">
        <f>IF(OR(E3919="",E3919="!!!",F3919="NEW"),"",INDEX(J$1:J3918,SUMPRODUCT(MAX(ROW(E$1:E3918)*(E3919=E$1:E3918)))))</f>
        <v> </v>
      </c>
      <c r="L3919" s="27"/>
    </row>
    <row r="3920" spans="1:12">
      <c r="A3920" s="20" t="s">
        <v>1238</v>
      </c>
      <c r="B3920" s="21" t="s">
        <v>1310</v>
      </c>
      <c r="E3920" s="22">
        <f>IF(D3920="?OLD","!!!","")</f>
        <v/>
      </c>
      <c r="F3920" s="23" t="str">
        <f>IF(OR(E3920="",E3920="!!!"),"",IF(NOT(ISNA(VLOOKUP(E3920,E$1:E3919,1,FALSE()))),"OLD",IF(AND(E3920&lt;&gt;"",E3920&lt;&gt;"!!!"),"NEW","")))</f>
        <v> </v>
      </c>
      <c r="G3920" s="24" t="str">
        <f>IF(OR(E3920="",E3920="!!!"),"",IF(OR(J3920=0,AND(J3920=1,K3920=1),AND(J3920=1,I3920="SBJ"),AND(J3920=1,I3920=0)),"?IN_FOCUS",IF(J3920&lt;=2,"?ACTIVATED",IF(J3920&lt;&gt;"","?FAMILIAR",IF(F3920="NEW",IF(ISNA(VLOOKUP(E3920,#REF!,1,FALSE())),"?TYPE_IDENTIFIABLE","?REFERENTIAL"),"_")))))</f>
        <v> </v>
      </c>
      <c r="H3920" s="25" t="str">
        <f>IF(J3920&lt;&gt;1,"",IF(I3920="SBJ","CB","?"))</f>
        <v> </v>
      </c>
      <c r="I3920" s="26" t="str">
        <f>IF(OR(E3920="",E3920="!!!",F3920="NEW"),"",INDEX(B3919:B$2,-1+SUMPRODUCT(MAX(ROW(E3919:E$2)*(E3920=E3919:E$2)))))</f>
        <v> </v>
      </c>
      <c r="J3920" s="26" t="str">
        <f>IF(OR(E3920="",E3920="!!!",F3920="NEW"),"",COUNTBLANK(OFFSET(A$1,,,SUMPRODUCT(MAX(ROW(E$2:E3920)*(E3920=E$2:E3920)))))-COUNTBLANK(OFFSET(A$1,,,SUMPRODUCT(MAX(ROW(E$1:E3919)*(E2=E$1:E3919))))))</f>
        <v> </v>
      </c>
      <c r="K3920" s="26" t="str">
        <f>IF(OR(E3920="",E3920="!!!",F3920="NEW"),"",INDEX(J$1:J3919,SUMPRODUCT(MAX(ROW(E$1:E3919)*(E3920=E$1:E3919)))))</f>
        <v> </v>
      </c>
      <c r="L3920" s="27"/>
    </row>
    <row r="3921" spans="1:12">
      <c r="A3921" s="20" t="s">
        <v>1167</v>
      </c>
      <c r="B3921" s="21" t="s">
        <v>1311</v>
      </c>
      <c r="C3921" s="21" t="s">
        <v>1168</v>
      </c>
      <c r="D3921" s="21" t="s">
        <v>1144</v>
      </c>
      <c r="E3921" s="22">
        <f>IF(D3921="?OLD","!!!","")</f>
        <v/>
      </c>
      <c r="F3921" s="23" t="str">
        <f>IF(OR(E3921="",E3921="!!!"),"",IF(NOT(ISNA(VLOOKUP(E3921,E$1:E3920,1,FALSE()))),"OLD",IF(AND(E3921&lt;&gt;"",E3921&lt;&gt;"!!!"),"NEW","")))</f>
        <v> </v>
      </c>
      <c r="G3921" s="24" t="str">
        <f>IF(OR(E3921="",E3921="!!!"),"",IF(OR(J3921=0,AND(J3921=1,K3921=1),AND(J3921=1,I3921="SBJ"),AND(J3921=1,I3921=0)),"?IN_FOCUS",IF(J3921&lt;=2,"?ACTIVATED",IF(J3921&lt;&gt;"","?FAMILIAR",IF(F3921="NEW",IF(ISNA(VLOOKUP(E3921,#REF!,1,FALSE())),"?TYPE_IDENTIFIABLE","?REFERENTIAL"),"_")))))</f>
        <v> </v>
      </c>
      <c r="H3921" s="25" t="str">
        <f>IF(J3921&lt;&gt;1,"",IF(I3921="SBJ","CB","?"))</f>
        <v> </v>
      </c>
      <c r="I3921" s="26" t="str">
        <f>IF(OR(E3921="",E3921="!!!",F3921="NEW"),"",INDEX(B3920:B$2,-1+SUMPRODUCT(MAX(ROW(E3920:E$2)*(E3921=E3920:E$2)))))</f>
        <v> </v>
      </c>
      <c r="J3921" s="26" t="str">
        <f>IF(OR(E3921="",E3921="!!!",F3921="NEW"),"",COUNTBLANK(OFFSET(A$1,,,SUMPRODUCT(MAX(ROW(E$2:E3921)*(E3921=E$2:E3921)))))-COUNTBLANK(OFFSET(A$1,,,SUMPRODUCT(MAX(ROW(E$1:E3920)*(E2=E$1:E3920))))))</f>
        <v> </v>
      </c>
      <c r="K3921" s="26" t="str">
        <f>IF(OR(E3921="",E3921="!!!",F3921="NEW"),"",INDEX(J$1:J3920,SUMPRODUCT(MAX(ROW(E$1:E3920)*(E3921=E$1:E3920)))))</f>
        <v> </v>
      </c>
      <c r="L3921" s="27"/>
    </row>
    <row r="3922" spans="1:12">
      <c r="A3922" s="20" t="s">
        <v>2318</v>
      </c>
      <c r="B3922" s="21" t="s">
        <v>1310</v>
      </c>
      <c r="C3922" s="21" t="s">
        <v>1143</v>
      </c>
      <c r="D3922" s="21" t="s">
        <v>1144</v>
      </c>
      <c r="E3922" s="22">
        <f>IF(D3922="?OLD","!!!","")</f>
        <v/>
      </c>
      <c r="F3922" s="23" t="str">
        <f>IF(OR(E3922="",E3922="!!!"),"",IF(NOT(ISNA(VLOOKUP(E3922,E$1:E3921,1,FALSE()))),"OLD",IF(AND(E3922&lt;&gt;"",E3922&lt;&gt;"!!!"),"NEW","")))</f>
        <v> </v>
      </c>
      <c r="G3922" s="24" t="str">
        <f>IF(OR(E3922="",E3922="!!!"),"",IF(OR(J3922=0,AND(J3922=1,K3922=1),AND(J3922=1,I3922="SBJ"),AND(J3922=1,I3922=0)),"?IN_FOCUS",IF(J3922&lt;=2,"?ACTIVATED",IF(J3922&lt;&gt;"","?FAMILIAR",IF(F3922="NEW",IF(ISNA(VLOOKUP(E3922,#REF!,1,FALSE())),"?TYPE_IDENTIFIABLE","?REFERENTIAL"),"_")))))</f>
        <v> </v>
      </c>
      <c r="H3922" s="25" t="str">
        <f>IF(J3922&lt;&gt;1,"",IF(I3922="SBJ","CB","?"))</f>
        <v> </v>
      </c>
      <c r="I3922" s="26" t="str">
        <f>IF(OR(E3922="",E3922="!!!",F3922="NEW"),"",INDEX(B3921:B$2,-1+SUMPRODUCT(MAX(ROW(E3921:E$2)*(E3922=E3921:E$2)))))</f>
        <v> </v>
      </c>
      <c r="J3922" s="26" t="str">
        <f>IF(OR(E3922="",E3922="!!!",F3922="NEW"),"",COUNTBLANK(OFFSET(A$1,,,SUMPRODUCT(MAX(ROW(E$2:E3922)*(E3922=E$2:E3922)))))-COUNTBLANK(OFFSET(A$1,,,SUMPRODUCT(MAX(ROW(E$1:E3921)*(E2=E$1:E3921))))))</f>
        <v> </v>
      </c>
      <c r="K3922" s="26" t="str">
        <f>IF(OR(E3922="",E3922="!!!",F3922="NEW"),"",INDEX(J$1:J3921,SUMPRODUCT(MAX(ROW(E$1:E3921)*(E3922=E$1:E3921)))))</f>
        <v> </v>
      </c>
      <c r="L3922" s="27"/>
    </row>
    <row r="3923" spans="1:12">
      <c r="A3923" s="20" t="s">
        <v>1166</v>
      </c>
      <c r="E3923" s="22">
        <f>IF(D3923="?OLD","!!!","")</f>
        <v/>
      </c>
      <c r="F3923" s="23" t="str">
        <f>IF(OR(E3923="",E3923="!!!"),"",IF(NOT(ISNA(VLOOKUP(E3923,E$1:E3922,1,FALSE()))),"OLD",IF(AND(E3923&lt;&gt;"",E3923&lt;&gt;"!!!"),"NEW","")))</f>
        <v> </v>
      </c>
      <c r="G3923" s="24" t="str">
        <f>IF(OR(E3923="",E3923="!!!"),"",IF(OR(J3923=0,AND(J3923=1,K3923=1),AND(J3923=1,I3923="SBJ"),AND(J3923=1,I3923=0)),"?IN_FOCUS",IF(J3923&lt;=2,"?ACTIVATED",IF(J3923&lt;&gt;"","?FAMILIAR",IF(F3923="NEW",IF(ISNA(VLOOKUP(E3923,#REF!,1,FALSE())),"?TYPE_IDENTIFIABLE","?REFERENTIAL"),"_")))))</f>
        <v> </v>
      </c>
      <c r="H3923" s="25" t="str">
        <f>IF(J3923&lt;&gt;1,"",IF(I3923="SBJ","CB","?"))</f>
        <v> </v>
      </c>
      <c r="I3923" s="26" t="str">
        <f>IF(OR(E3923="",E3923="!!!",F3923="NEW"),"",INDEX(B3922:B$2,-1+SUMPRODUCT(MAX(ROW(E3922:E$2)*(E3923=E3922:E$2)))))</f>
        <v> </v>
      </c>
      <c r="J3923" s="26" t="str">
        <f>IF(OR(E3923="",E3923="!!!",F3923="NEW"),"",COUNTBLANK(OFFSET(A$1,,,SUMPRODUCT(MAX(ROW(E$2:E3923)*(E3923=E$2:E3923)))))-COUNTBLANK(OFFSET(A$1,,,SUMPRODUCT(MAX(ROW(E$1:E3922)*(E2=E$1:E3922))))))</f>
        <v> </v>
      </c>
      <c r="K3923" s="26" t="str">
        <f>IF(OR(E3923="",E3923="!!!",F3923="NEW"),"",INDEX(J$1:J3922,SUMPRODUCT(MAX(ROW(E$1:E3922)*(E3923=E$1:E3922)))))</f>
        <v> </v>
      </c>
      <c r="L3923" s="27"/>
    </row>
    <row r="3924" spans="1:12">
      <c r="A3924" s="20" t="s">
        <v>2319</v>
      </c>
      <c r="E3924" s="22">
        <f>IF(D3924="?OLD","!!!","")</f>
        <v/>
      </c>
      <c r="F3924" s="23" t="str">
        <f>IF(OR(E3924="",E3924="!!!"),"",IF(NOT(ISNA(VLOOKUP(E3924,E$1:E3923,1,FALSE()))),"OLD",IF(AND(E3924&lt;&gt;"",E3924&lt;&gt;"!!!"),"NEW","")))</f>
        <v> </v>
      </c>
      <c r="G3924" s="24" t="str">
        <f>IF(OR(E3924="",E3924="!!!"),"",IF(OR(J3924=0,AND(J3924=1,K3924=1),AND(J3924=1,I3924="SBJ"),AND(J3924=1,I3924=0)),"?IN_FOCUS",IF(J3924&lt;=2,"?ACTIVATED",IF(J3924&lt;&gt;"","?FAMILIAR",IF(F3924="NEW",IF(ISNA(VLOOKUP(E3924,#REF!,1,FALSE())),"?TYPE_IDENTIFIABLE","?REFERENTIAL"),"_")))))</f>
        <v> </v>
      </c>
      <c r="H3924" s="25" t="str">
        <f>IF(J3924&lt;&gt;1,"",IF(I3924="SBJ","CB","?"))</f>
        <v> </v>
      </c>
      <c r="I3924" s="26" t="str">
        <f>IF(OR(E3924="",E3924="!!!",F3924="NEW"),"",INDEX(B3923:B$2,-1+SUMPRODUCT(MAX(ROW(E3923:E$2)*(E3924=E3923:E$2)))))</f>
        <v> </v>
      </c>
      <c r="J3924" s="26" t="str">
        <f>IF(OR(E3924="",E3924="!!!",F3924="NEW"),"",COUNTBLANK(OFFSET(A$1,,,SUMPRODUCT(MAX(ROW(E$2:E3924)*(E3924=E$2:E3924)))))-COUNTBLANK(OFFSET(A$1,,,SUMPRODUCT(MAX(ROW(E$1:E3923)*(E2=E$1:E3923))))))</f>
        <v> </v>
      </c>
      <c r="K3924" s="26" t="str">
        <f>IF(OR(E3924="",E3924="!!!",F3924="NEW"),"",INDEX(J$1:J3923,SUMPRODUCT(MAX(ROW(E$1:E3923)*(E3924=E$1:E3923)))))</f>
        <v> </v>
      </c>
      <c r="L3924" s="27"/>
    </row>
    <row r="3925" spans="1:12">
      <c r="A3925" s="20" t="s">
        <v>1166</v>
      </c>
      <c r="E3925" s="22">
        <f>IF(D3925="?OLD","!!!","")</f>
        <v/>
      </c>
      <c r="F3925" s="23" t="str">
        <f>IF(OR(E3925="",E3925="!!!"),"",IF(NOT(ISNA(VLOOKUP(E3925,E$1:E3924,1,FALSE()))),"OLD",IF(AND(E3925&lt;&gt;"",E3925&lt;&gt;"!!!"),"NEW","")))</f>
        <v> </v>
      </c>
      <c r="G3925" s="24" t="str">
        <f>IF(OR(E3925="",E3925="!!!"),"",IF(OR(J3925=0,AND(J3925=1,K3925=1),AND(J3925=1,I3925="SBJ"),AND(J3925=1,I3925=0)),"?IN_FOCUS",IF(J3925&lt;=2,"?ACTIVATED",IF(J3925&lt;&gt;"","?FAMILIAR",IF(F3925="NEW",IF(ISNA(VLOOKUP(E3925,#REF!,1,FALSE())),"?TYPE_IDENTIFIABLE","?REFERENTIAL"),"_")))))</f>
        <v> </v>
      </c>
      <c r="H3925" s="25" t="str">
        <f>IF(J3925&lt;&gt;1,"",IF(I3925="SBJ","CB","?"))</f>
        <v> </v>
      </c>
      <c r="I3925" s="26" t="str">
        <f>IF(OR(E3925="",E3925="!!!",F3925="NEW"),"",INDEX(B3924:B$2,-1+SUMPRODUCT(MAX(ROW(E3924:E$2)*(E3925=E3924:E$2)))))</f>
        <v> </v>
      </c>
      <c r="J3925" s="26" t="str">
        <f>IF(OR(E3925="",E3925="!!!",F3925="NEW"),"",COUNTBLANK(OFFSET(A$1,,,SUMPRODUCT(MAX(ROW(E$2:E3925)*(E3925=E$2:E3925)))))-COUNTBLANK(OFFSET(A$1,,,SUMPRODUCT(MAX(ROW(E$1:E3924)*(E2=E$1:E3924))))))</f>
        <v> </v>
      </c>
      <c r="K3925" s="26" t="str">
        <f>IF(OR(E3925="",E3925="!!!",F3925="NEW"),"",INDEX(J$1:J3924,SUMPRODUCT(MAX(ROW(E$1:E3924)*(E3925=E$1:E3924)))))</f>
        <v> </v>
      </c>
      <c r="L3925" s="27"/>
    </row>
    <row r="3926" spans="1:12">
      <c r="A3926" s="20" t="s">
        <v>60</v>
      </c>
      <c r="E3926" s="22">
        <f>IF(D3926="?OLD","!!!","")</f>
        <v/>
      </c>
      <c r="F3926" s="23" t="str">
        <f>IF(OR(E3926="",E3926="!!!"),"",IF(NOT(ISNA(VLOOKUP(E3926,E$1:E3925,1,FALSE()))),"OLD",IF(AND(E3926&lt;&gt;"",E3926&lt;&gt;"!!!"),"NEW","")))</f>
        <v> </v>
      </c>
      <c r="G3926" s="24" t="str">
        <f>IF(OR(E3926="",E3926="!!!"),"",IF(OR(J3926=0,AND(J3926=1,K3926=1),AND(J3926=1,I3926="SBJ"),AND(J3926=1,I3926=0)),"?IN_FOCUS",IF(J3926&lt;=2,"?ACTIVATED",IF(J3926&lt;&gt;"","?FAMILIAR",IF(F3926="NEW",IF(ISNA(VLOOKUP(E3926,#REF!,1,FALSE())),"?TYPE_IDENTIFIABLE","?REFERENTIAL"),"_")))))</f>
        <v> </v>
      </c>
      <c r="H3926" s="25" t="str">
        <f>IF(J3926&lt;&gt;1,"",IF(I3926="SBJ","CB","?"))</f>
        <v> </v>
      </c>
      <c r="I3926" s="26" t="str">
        <f>IF(OR(E3926="",E3926="!!!",F3926="NEW"),"",INDEX(B3925:B$2,-1+SUMPRODUCT(MAX(ROW(E3925:E$2)*(E3926=E3925:E$2)))))</f>
        <v> </v>
      </c>
      <c r="J3926" s="26" t="str">
        <f>IF(OR(E3926="",E3926="!!!",F3926="NEW"),"",COUNTBLANK(OFFSET(A$1,,,SUMPRODUCT(MAX(ROW(E$2:E3926)*(E3926=E$2:E3926)))))-COUNTBLANK(OFFSET(A$1,,,SUMPRODUCT(MAX(ROW(E$1:E3925)*(E2=E$1:E3925))))))</f>
        <v> </v>
      </c>
      <c r="K3926" s="26" t="str">
        <f>IF(OR(E3926="",E3926="!!!",F3926="NEW"),"",INDEX(J$1:J3925,SUMPRODUCT(MAX(ROW(E$1:E3925)*(E3926=E$1:E3925)))))</f>
        <v> </v>
      </c>
      <c r="L3926" s="27"/>
    </row>
    <row r="3927" spans="1:12">
      <c r="A3927" s="20" t="s">
        <v>1164</v>
      </c>
      <c r="B3927" s="21" t="s">
        <v>1311</v>
      </c>
      <c r="C3927" s="21" t="s">
        <v>1151</v>
      </c>
      <c r="D3927" s="21" t="s">
        <v>1144</v>
      </c>
      <c r="E3927" s="22">
        <f>IF(D3927="?OLD","!!!","")</f>
        <v/>
      </c>
      <c r="F3927" s="23" t="str">
        <f>IF(OR(E3927="",E3927="!!!"),"",IF(NOT(ISNA(VLOOKUP(E3927,E$1:E3926,1,FALSE()))),"OLD",IF(AND(E3927&lt;&gt;"",E3927&lt;&gt;"!!!"),"NEW","")))</f>
        <v> </v>
      </c>
      <c r="G3927" s="24" t="str">
        <f>IF(OR(E3927="",E3927="!!!"),"",IF(OR(J3927=0,AND(J3927=1,K3927=1),AND(J3927=1,I3927="SBJ"),AND(J3927=1,I3927=0)),"?IN_FOCUS",IF(J3927&lt;=2,"?ACTIVATED",IF(J3927&lt;&gt;"","?FAMILIAR",IF(F3927="NEW",IF(ISNA(VLOOKUP(E3927,#REF!,1,FALSE())),"?TYPE_IDENTIFIABLE","?REFERENTIAL"),"_")))))</f>
        <v> </v>
      </c>
      <c r="H3927" s="25" t="str">
        <f>IF(J3927&lt;&gt;1,"",IF(I3927="SBJ","CB","?"))</f>
        <v> </v>
      </c>
      <c r="I3927" s="26" t="str">
        <f>IF(OR(E3927="",E3927="!!!",F3927="NEW"),"",INDEX(B3926:B$2,-1+SUMPRODUCT(MAX(ROW(E3926:E$2)*(E3927=E3926:E$2)))))</f>
        <v> </v>
      </c>
      <c r="J3927" s="26" t="str">
        <f>IF(OR(E3927="",E3927="!!!",F3927="NEW"),"",COUNTBLANK(OFFSET(A$1,,,SUMPRODUCT(MAX(ROW(E$2:E3927)*(E3927=E$2:E3927)))))-COUNTBLANK(OFFSET(A$1,,,SUMPRODUCT(MAX(ROW(E$1:E3926)*(E2=E$1:E3926))))))</f>
        <v> </v>
      </c>
      <c r="K3927" s="26" t="str">
        <f>IF(OR(E3927="",E3927="!!!",F3927="NEW"),"",INDEX(J$1:J3926,SUMPRODUCT(MAX(ROW(E$1:E3926)*(E3927=E$1:E3926)))))</f>
        <v> </v>
      </c>
      <c r="L3927" s="27"/>
    </row>
    <row r="3928" spans="1:12">
      <c r="A3928" s="20" t="s">
        <v>1635</v>
      </c>
      <c r="E3928" s="22">
        <f>IF(D3928="?OLD","!!!","")</f>
        <v/>
      </c>
      <c r="F3928" s="23" t="str">
        <f>IF(OR(E3928="",E3928="!!!"),"",IF(NOT(ISNA(VLOOKUP(E3928,E$1:E3927,1,FALSE()))),"OLD",IF(AND(E3928&lt;&gt;"",E3928&lt;&gt;"!!!"),"NEW","")))</f>
        <v> </v>
      </c>
      <c r="G3928" s="24" t="str">
        <f>IF(OR(E3928="",E3928="!!!"),"",IF(OR(J3928=0,AND(J3928=1,K3928=1),AND(J3928=1,I3928="SBJ"),AND(J3928=1,I3928=0)),"?IN_FOCUS",IF(J3928&lt;=2,"?ACTIVATED",IF(J3928&lt;&gt;"","?FAMILIAR",IF(F3928="NEW",IF(ISNA(VLOOKUP(E3928,#REF!,1,FALSE())),"?TYPE_IDENTIFIABLE","?REFERENTIAL"),"_")))))</f>
        <v> </v>
      </c>
      <c r="H3928" s="25" t="str">
        <f>IF(J3928&lt;&gt;1,"",IF(I3928="SBJ","CB","?"))</f>
        <v> </v>
      </c>
      <c r="I3928" s="26" t="str">
        <f>IF(OR(E3928="",E3928="!!!",F3928="NEW"),"",INDEX(B3927:B$2,-1+SUMPRODUCT(MAX(ROW(E3927:E$2)*(E3928=E3927:E$2)))))</f>
        <v> </v>
      </c>
      <c r="J3928" s="26" t="str">
        <f>IF(OR(E3928="",E3928="!!!",F3928="NEW"),"",COUNTBLANK(OFFSET(A$1,,,SUMPRODUCT(MAX(ROW(E$2:E3928)*(E3928=E$2:E3928)))))-COUNTBLANK(OFFSET(A$1,,,SUMPRODUCT(MAX(ROW(E$1:E3927)*(E2=E$1:E3927))))))</f>
        <v> </v>
      </c>
      <c r="K3928" s="26" t="str">
        <f>IF(OR(E3928="",E3928="!!!",F3928="NEW"),"",INDEX(J$1:J3927,SUMPRODUCT(MAX(ROW(E$1:E3927)*(E3928=E$1:E3927)))))</f>
        <v> </v>
      </c>
      <c r="L3928" s="27"/>
    </row>
    <row r="3929" spans="1:12">
      <c r="A3929" s="20" t="s">
        <v>1818</v>
      </c>
      <c r="B3929" s="21" t="s">
        <v>1310</v>
      </c>
      <c r="C3929" s="21" t="s">
        <v>1187</v>
      </c>
      <c r="E3929" s="22">
        <f>IF(D3929="?OLD","!!!","")</f>
        <v/>
      </c>
      <c r="F3929" s="23" t="str">
        <f>IF(OR(E3929="",E3929="!!!"),"",IF(NOT(ISNA(VLOOKUP(E3929,E$1:E3928,1,FALSE()))),"OLD",IF(AND(E3929&lt;&gt;"",E3929&lt;&gt;"!!!"),"NEW","")))</f>
        <v> </v>
      </c>
      <c r="G3929" s="24" t="str">
        <f>IF(OR(E3929="",E3929="!!!"),"",IF(OR(J3929=0,AND(J3929=1,K3929=1),AND(J3929=1,I3929="SBJ"),AND(J3929=1,I3929=0)),"?IN_FOCUS",IF(J3929&lt;=2,"?ACTIVATED",IF(J3929&lt;&gt;"","?FAMILIAR",IF(F3929="NEW",IF(ISNA(VLOOKUP(E3929,#REF!,1,FALSE())),"?TYPE_IDENTIFIABLE","?REFERENTIAL"),"_")))))</f>
        <v> </v>
      </c>
      <c r="H3929" s="25" t="str">
        <f>IF(J3929&lt;&gt;1,"",IF(I3929="SBJ","CB","?"))</f>
        <v> </v>
      </c>
      <c r="I3929" s="26" t="str">
        <f>IF(OR(E3929="",E3929="!!!",F3929="NEW"),"",INDEX(B3928:B$2,-1+SUMPRODUCT(MAX(ROW(E3928:E$2)*(E3929=E3928:E$2)))))</f>
        <v> </v>
      </c>
      <c r="J3929" s="26" t="str">
        <f>IF(OR(E3929="",E3929="!!!",F3929="NEW"),"",COUNTBLANK(OFFSET(A$1,,,SUMPRODUCT(MAX(ROW(E$2:E3929)*(E3929=E$2:E3929)))))-COUNTBLANK(OFFSET(A$1,,,SUMPRODUCT(MAX(ROW(E$1:E3928)*(E2=E$1:E3928))))))</f>
        <v> </v>
      </c>
      <c r="K3929" s="26" t="str">
        <f>IF(OR(E3929="",E3929="!!!",F3929="NEW"),"",INDEX(J$1:J3928,SUMPRODUCT(MAX(ROW(E$1:E3928)*(E3929=E$1:E3928)))))</f>
        <v> </v>
      </c>
      <c r="L3929" s="27"/>
    </row>
    <row r="3930" spans="1:12">
      <c r="A3930" s="20" t="s">
        <v>1166</v>
      </c>
      <c r="E3930" s="22">
        <f>IF(D3930="?OLD","!!!","")</f>
        <v/>
      </c>
      <c r="F3930" s="23" t="str">
        <f>IF(OR(E3930="",E3930="!!!"),"",IF(NOT(ISNA(VLOOKUP(E3930,E$1:E3929,1,FALSE()))),"OLD",IF(AND(E3930&lt;&gt;"",E3930&lt;&gt;"!!!"),"NEW","")))</f>
        <v> </v>
      </c>
      <c r="G3930" s="24" t="str">
        <f>IF(OR(E3930="",E3930="!!!"),"",IF(OR(J3930=0,AND(J3930=1,K3930=1),AND(J3930=1,I3930="SBJ"),AND(J3930=1,I3930=0)),"?IN_FOCUS",IF(J3930&lt;=2,"?ACTIVATED",IF(J3930&lt;&gt;"","?FAMILIAR",IF(F3930="NEW",IF(ISNA(VLOOKUP(E3930,#REF!,1,FALSE())),"?TYPE_IDENTIFIABLE","?REFERENTIAL"),"_")))))</f>
        <v> </v>
      </c>
      <c r="H3930" s="25" t="str">
        <f>IF(J3930&lt;&gt;1,"",IF(I3930="SBJ","CB","?"))</f>
        <v> </v>
      </c>
      <c r="I3930" s="26" t="str">
        <f>IF(OR(E3930="",E3930="!!!",F3930="NEW"),"",INDEX(B3929:B$2,-1+SUMPRODUCT(MAX(ROW(E3929:E$2)*(E3930=E3929:E$2)))))</f>
        <v> </v>
      </c>
      <c r="J3930" s="26" t="str">
        <f>IF(OR(E3930="",E3930="!!!",F3930="NEW"),"",COUNTBLANK(OFFSET(A$1,,,SUMPRODUCT(MAX(ROW(E$2:E3930)*(E3930=E$2:E3930)))))-COUNTBLANK(OFFSET(A$1,,,SUMPRODUCT(MAX(ROW(E$1:E3929)*(E2=E$1:E3929))))))</f>
        <v> </v>
      </c>
      <c r="K3930" s="26" t="str">
        <f>IF(OR(E3930="",E3930="!!!",F3930="NEW"),"",INDEX(J$1:J3929,SUMPRODUCT(MAX(ROW(E$1:E3929)*(E3930=E$1:E3929)))))</f>
        <v> </v>
      </c>
      <c r="L3930" s="27"/>
    </row>
    <row r="3931" spans="1:12">
      <c r="A3931" s="20" t="s">
        <v>1278</v>
      </c>
      <c r="B3931" s="21" t="s">
        <v>1310</v>
      </c>
      <c r="C3931" s="21" t="s">
        <v>1168</v>
      </c>
      <c r="D3931" s="21" t="s">
        <v>1144</v>
      </c>
      <c r="E3931" s="22">
        <f>IF(D3931="?OLD","!!!","")</f>
        <v/>
      </c>
      <c r="F3931" s="23" t="str">
        <f>IF(OR(E3931="",E3931="!!!"),"",IF(NOT(ISNA(VLOOKUP(E3931,E$1:E3930,1,FALSE()))),"OLD",IF(AND(E3931&lt;&gt;"",E3931&lt;&gt;"!!!"),"NEW","")))</f>
        <v> </v>
      </c>
      <c r="G3931" s="24" t="str">
        <f>IF(OR(E3931="",E3931="!!!"),"",IF(OR(J3931=0,AND(J3931=1,K3931=1),AND(J3931=1,I3931="SBJ"),AND(J3931=1,I3931=0)),"?IN_FOCUS",IF(J3931&lt;=2,"?ACTIVATED",IF(J3931&lt;&gt;"","?FAMILIAR",IF(F3931="NEW",IF(ISNA(VLOOKUP(E3931,#REF!,1,FALSE())),"?TYPE_IDENTIFIABLE","?REFERENTIAL"),"_")))))</f>
        <v> </v>
      </c>
      <c r="H3931" s="25" t="str">
        <f>IF(J3931&lt;&gt;1,"",IF(I3931="SBJ","CB","?"))</f>
        <v> </v>
      </c>
      <c r="I3931" s="26" t="str">
        <f>IF(OR(E3931="",E3931="!!!",F3931="NEW"),"",INDEX(B3930:B$2,-1+SUMPRODUCT(MAX(ROW(E3930:E$2)*(E3931=E3930:E$2)))))</f>
        <v> </v>
      </c>
      <c r="J3931" s="26" t="str">
        <f>IF(OR(E3931="",E3931="!!!",F3931="NEW"),"",COUNTBLANK(OFFSET(A$1,,,SUMPRODUCT(MAX(ROW(E$2:E3931)*(E3931=E$2:E3931)))))-COUNTBLANK(OFFSET(A$1,,,SUMPRODUCT(MAX(ROW(E$1:E3930)*(E2=E$1:E3930))))))</f>
        <v> </v>
      </c>
      <c r="K3931" s="26" t="str">
        <f>IF(OR(E3931="",E3931="!!!",F3931="NEW"),"",INDEX(J$1:J3930,SUMPRODUCT(MAX(ROW(E$1:E3930)*(E3931=E$1:E3930)))))</f>
        <v> </v>
      </c>
      <c r="L3931" s="27"/>
    </row>
    <row r="3932" spans="1:12">
      <c r="A3932" s="20" t="s">
        <v>2162</v>
      </c>
      <c r="E3932" s="22">
        <f>IF(D3932="?OLD","!!!","")</f>
        <v/>
      </c>
      <c r="F3932" s="23" t="str">
        <f>IF(OR(E3932="",E3932="!!!"),"",IF(NOT(ISNA(VLOOKUP(E3932,E$1:E3931,1,FALSE()))),"OLD",IF(AND(E3932&lt;&gt;"",E3932&lt;&gt;"!!!"),"NEW","")))</f>
        <v> </v>
      </c>
      <c r="G3932" s="24" t="str">
        <f>IF(OR(E3932="",E3932="!!!"),"",IF(OR(J3932=0,AND(J3932=1,K3932=1),AND(J3932=1,I3932="SBJ"),AND(J3932=1,I3932=0)),"?IN_FOCUS",IF(J3932&lt;=2,"?ACTIVATED",IF(J3932&lt;&gt;"","?FAMILIAR",IF(F3932="NEW",IF(ISNA(VLOOKUP(E3932,#REF!,1,FALSE())),"?TYPE_IDENTIFIABLE","?REFERENTIAL"),"_")))))</f>
        <v> </v>
      </c>
      <c r="H3932" s="25" t="str">
        <f>IF(J3932&lt;&gt;1,"",IF(I3932="SBJ","CB","?"))</f>
        <v> </v>
      </c>
      <c r="I3932" s="26" t="str">
        <f>IF(OR(E3932="",E3932="!!!",F3932="NEW"),"",INDEX(B3931:B$2,-1+SUMPRODUCT(MAX(ROW(E3931:E$2)*(E3932=E3931:E$2)))))</f>
        <v> </v>
      </c>
      <c r="J3932" s="26" t="str">
        <f>IF(OR(E3932="",E3932="!!!",F3932="NEW"),"",COUNTBLANK(OFFSET(A$1,,,SUMPRODUCT(MAX(ROW(E$2:E3932)*(E3932=E$2:E3932)))))-COUNTBLANK(OFFSET(A$1,,,SUMPRODUCT(MAX(ROW(E$1:E3931)*(E2=E$1:E3931))))))</f>
        <v> </v>
      </c>
      <c r="K3932" s="26" t="str">
        <f>IF(OR(E3932="",E3932="!!!",F3932="NEW"),"",INDEX(J$1:J3931,SUMPRODUCT(MAX(ROW(E$1:E3931)*(E3932=E$1:E3931)))))</f>
        <v> </v>
      </c>
      <c r="L3932" s="27"/>
    </row>
    <row r="3933" spans="1:12">
      <c r="A3933" s="20" t="s">
        <v>1238</v>
      </c>
      <c r="E3933" s="22">
        <f>IF(D3933="?OLD","!!!","")</f>
        <v/>
      </c>
      <c r="F3933" s="23" t="str">
        <f>IF(OR(E3933="",E3933="!!!"),"",IF(NOT(ISNA(VLOOKUP(E3933,E$1:E3932,1,FALSE()))),"OLD",IF(AND(E3933&lt;&gt;"",E3933&lt;&gt;"!!!"),"NEW","")))</f>
        <v> </v>
      </c>
      <c r="G3933" s="24" t="str">
        <f>IF(OR(E3933="",E3933="!!!"),"",IF(OR(J3933=0,AND(J3933=1,K3933=1),AND(J3933=1,I3933="SBJ"),AND(J3933=1,I3933=0)),"?IN_FOCUS",IF(J3933&lt;=2,"?ACTIVATED",IF(J3933&lt;&gt;"","?FAMILIAR",IF(F3933="NEW",IF(ISNA(VLOOKUP(E3933,#REF!,1,FALSE())),"?TYPE_IDENTIFIABLE","?REFERENTIAL"),"_")))))</f>
        <v> </v>
      </c>
      <c r="H3933" s="25" t="str">
        <f>IF(J3933&lt;&gt;1,"",IF(I3933="SBJ","CB","?"))</f>
        <v> </v>
      </c>
      <c r="I3933" s="26" t="str">
        <f>IF(OR(E3933="",E3933="!!!",F3933="NEW"),"",INDEX(B3932:B$2,-1+SUMPRODUCT(MAX(ROW(E3932:E$2)*(E3933=E3932:E$2)))))</f>
        <v> </v>
      </c>
      <c r="J3933" s="26" t="str">
        <f>IF(OR(E3933="",E3933="!!!",F3933="NEW"),"",COUNTBLANK(OFFSET(A$1,,,SUMPRODUCT(MAX(ROW(E$2:E3933)*(E3933=E$2:E3933)))))-COUNTBLANK(OFFSET(A$1,,,SUMPRODUCT(MAX(ROW(E$1:E3932)*(E2=E$1:E3932))))))</f>
        <v> </v>
      </c>
      <c r="K3933" s="26" t="str">
        <f>IF(OR(E3933="",E3933="!!!",F3933="NEW"),"",INDEX(J$1:J3932,SUMPRODUCT(MAX(ROW(E$1:E3932)*(E3933=E$1:E3932)))))</f>
        <v> </v>
      </c>
      <c r="L3933" s="27"/>
    </row>
    <row r="3934" spans="1:12">
      <c r="A3934" s="20" t="s">
        <v>1284</v>
      </c>
      <c r="B3934" s="21" t="s">
        <v>1181</v>
      </c>
      <c r="C3934" s="21" t="s">
        <v>1162</v>
      </c>
      <c r="D3934" s="21" t="s">
        <v>1144</v>
      </c>
      <c r="E3934" s="22">
        <f>IF(D3934="?OLD","!!!","")</f>
        <v/>
      </c>
      <c r="F3934" s="23" t="str">
        <f>IF(OR(E3934="",E3934="!!!"),"",IF(NOT(ISNA(VLOOKUP(E3934,E$1:E3933,1,FALSE()))),"OLD",IF(AND(E3934&lt;&gt;"",E3934&lt;&gt;"!!!"),"NEW","")))</f>
        <v> </v>
      </c>
      <c r="G3934" s="24" t="str">
        <f>IF(OR(E3934="",E3934="!!!"),"",IF(OR(J3934=0,AND(J3934=1,K3934=1),AND(J3934=1,I3934="SBJ"),AND(J3934=1,I3934=0)),"?IN_FOCUS",IF(J3934&lt;=2,"?ACTIVATED",IF(J3934&lt;&gt;"","?FAMILIAR",IF(F3934="NEW",IF(ISNA(VLOOKUP(E3934,#REF!,1,FALSE())),"?TYPE_IDENTIFIABLE","?REFERENTIAL"),"_")))))</f>
        <v> </v>
      </c>
      <c r="H3934" s="25" t="str">
        <f>IF(J3934&lt;&gt;1,"",IF(I3934="SBJ","CB","?"))</f>
        <v> </v>
      </c>
      <c r="I3934" s="26" t="str">
        <f>IF(OR(E3934="",E3934="!!!",F3934="NEW"),"",INDEX(B3933:B$2,-1+SUMPRODUCT(MAX(ROW(E3933:E$2)*(E3934=E3933:E$2)))))</f>
        <v> </v>
      </c>
      <c r="J3934" s="26" t="str">
        <f>IF(OR(E3934="",E3934="!!!",F3934="NEW"),"",COUNTBLANK(OFFSET(A$1,,,SUMPRODUCT(MAX(ROW(E$2:E3934)*(E3934=E$2:E3934)))))-COUNTBLANK(OFFSET(A$1,,,SUMPRODUCT(MAX(ROW(E$1:E3933)*(E2=E$1:E3933))))))</f>
        <v> </v>
      </c>
      <c r="K3934" s="26" t="str">
        <f>IF(OR(E3934="",E3934="!!!",F3934="NEW"),"",INDEX(J$1:J3933,SUMPRODUCT(MAX(ROW(E$1:E3933)*(E3934=E$1:E3933)))))</f>
        <v> </v>
      </c>
      <c r="L3934" s="27"/>
    </row>
    <row r="3935" spans="1:12">
      <c r="A3935" s="20" t="s">
        <v>1308</v>
      </c>
      <c r="E3935" s="22">
        <f>IF(D3935="?OLD","!!!","")</f>
        <v/>
      </c>
      <c r="F3935" s="23" t="str">
        <f>IF(OR(E3935="",E3935="!!!"),"",IF(NOT(ISNA(VLOOKUP(E3935,E$1:E3934,1,FALSE()))),"OLD",IF(AND(E3935&lt;&gt;"",E3935&lt;&gt;"!!!"),"NEW","")))</f>
        <v> </v>
      </c>
      <c r="G3935" s="24" t="str">
        <f>IF(OR(E3935="",E3935="!!!"),"",IF(OR(J3935=0,AND(J3935=1,K3935=1),AND(J3935=1,I3935="SBJ"),AND(J3935=1,I3935=0)),"?IN_FOCUS",IF(J3935&lt;=2,"?ACTIVATED",IF(J3935&lt;&gt;"","?FAMILIAR",IF(F3935="NEW",IF(ISNA(VLOOKUP(E3935,#REF!,1,FALSE())),"?TYPE_IDENTIFIABLE","?REFERENTIAL"),"_")))))</f>
        <v> </v>
      </c>
      <c r="H3935" s="25" t="str">
        <f>IF(J3935&lt;&gt;1,"",IF(I3935="SBJ","CB","?"))</f>
        <v> </v>
      </c>
      <c r="I3935" s="26" t="str">
        <f>IF(OR(E3935="",E3935="!!!",F3935="NEW"),"",INDEX(B3934:B$2,-1+SUMPRODUCT(MAX(ROW(E3934:E$2)*(E3935=E3934:E$2)))))</f>
        <v> </v>
      </c>
      <c r="J3935" s="26" t="str">
        <f>IF(OR(E3935="",E3935="!!!",F3935="NEW"),"",COUNTBLANK(OFFSET(A$1,,,SUMPRODUCT(MAX(ROW(E$2:E3935)*(E3935=E$2:E3935)))))-COUNTBLANK(OFFSET(A$1,,,SUMPRODUCT(MAX(ROW(E$1:E3934)*(E2=E$1:E3934))))))</f>
        <v> </v>
      </c>
      <c r="K3935" s="26" t="str">
        <f>IF(OR(E3935="",E3935="!!!",F3935="NEW"),"",INDEX(J$1:J3934,SUMPRODUCT(MAX(ROW(E$1:E3934)*(E3935=E$1:E3934)))))</f>
        <v> </v>
      </c>
      <c r="L3935" s="27"/>
    </row>
    <row r="3936" spans="1:12">
      <c r="A3936" s="20" t="s">
        <v>852</v>
      </c>
      <c r="E3936" s="22">
        <f>IF(D3936="?OLD","!!!","")</f>
        <v/>
      </c>
      <c r="F3936" s="23" t="str">
        <f>IF(OR(E3936="",E3936="!!!"),"",IF(NOT(ISNA(VLOOKUP(E3936,E$1:E3935,1,FALSE()))),"OLD",IF(AND(E3936&lt;&gt;"",E3936&lt;&gt;"!!!"),"NEW","")))</f>
        <v> </v>
      </c>
      <c r="G3936" s="24" t="str">
        <f>IF(OR(E3936="",E3936="!!!"),"",IF(OR(J3936=0,AND(J3936=1,K3936=1),AND(J3936=1,I3936="SBJ"),AND(J3936=1,I3936=0)),"?IN_FOCUS",IF(J3936&lt;=2,"?ACTIVATED",IF(J3936&lt;&gt;"","?FAMILIAR",IF(F3936="NEW",IF(ISNA(VLOOKUP(E3936,#REF!,1,FALSE())),"?TYPE_IDENTIFIABLE","?REFERENTIAL"),"_")))))</f>
        <v> </v>
      </c>
      <c r="H3936" s="25" t="str">
        <f>IF(J3936&lt;&gt;1,"",IF(I3936="SBJ","CB","?"))</f>
        <v> </v>
      </c>
      <c r="I3936" s="26" t="str">
        <f>IF(OR(E3936="",E3936="!!!",F3936="NEW"),"",INDEX(B3935:B$2,-1+SUMPRODUCT(MAX(ROW(E3935:E$2)*(E3936=E3935:E$2)))))</f>
        <v> </v>
      </c>
      <c r="J3936" s="26" t="str">
        <f>IF(OR(E3936="",E3936="!!!",F3936="NEW"),"",COUNTBLANK(OFFSET(A$1,,,SUMPRODUCT(MAX(ROW(E$2:E3936)*(E3936=E$2:E3936)))))-COUNTBLANK(OFFSET(A$1,,,SUMPRODUCT(MAX(ROW(E$1:E3935)*(E2=E$1:E3935))))))</f>
        <v> </v>
      </c>
      <c r="K3936" s="26" t="str">
        <f>IF(OR(E3936="",E3936="!!!",F3936="NEW"),"",INDEX(J$1:J3935,SUMPRODUCT(MAX(ROW(E$1:E3935)*(E3936=E$1:E3935)))))</f>
        <v> </v>
      </c>
      <c r="L3936" s="27"/>
    </row>
    <row r="3937" spans="1:12">
      <c r="A3937" s="20" t="s">
        <v>312</v>
      </c>
      <c r="E3937" s="22">
        <f>IF(D3937="?OLD","!!!","")</f>
        <v/>
      </c>
      <c r="F3937" s="23" t="str">
        <f>IF(OR(E3937="",E3937="!!!"),"",IF(NOT(ISNA(VLOOKUP(E3937,E$1:E3936,1,FALSE()))),"OLD",IF(AND(E3937&lt;&gt;"",E3937&lt;&gt;"!!!"),"NEW","")))</f>
        <v> </v>
      </c>
      <c r="G3937" s="24" t="str">
        <f>IF(OR(E3937="",E3937="!!!"),"",IF(OR(J3937=0,AND(J3937=1,K3937=1),AND(J3937=1,I3937="SBJ"),AND(J3937=1,I3937=0)),"?IN_FOCUS",IF(J3937&lt;=2,"?ACTIVATED",IF(J3937&lt;&gt;"","?FAMILIAR",IF(F3937="NEW",IF(ISNA(VLOOKUP(E3937,#REF!,1,FALSE())),"?TYPE_IDENTIFIABLE","?REFERENTIAL"),"_")))))</f>
        <v> </v>
      </c>
      <c r="H3937" s="25" t="str">
        <f>IF(J3937&lt;&gt;1,"",IF(I3937="SBJ","CB","?"))</f>
        <v> </v>
      </c>
      <c r="I3937" s="26" t="str">
        <f>IF(OR(E3937="",E3937="!!!",F3937="NEW"),"",INDEX(B3936:B$2,-1+SUMPRODUCT(MAX(ROW(E3936:E$2)*(E3937=E3936:E$2)))))</f>
        <v> </v>
      </c>
      <c r="J3937" s="26" t="str">
        <f>IF(OR(E3937="",E3937="!!!",F3937="NEW"),"",COUNTBLANK(OFFSET(A$1,,,SUMPRODUCT(MAX(ROW(E$2:E3937)*(E3937=E$2:E3937)))))-COUNTBLANK(OFFSET(A$1,,,SUMPRODUCT(MAX(ROW(E$1:E3936)*(E2=E$1:E3936))))))</f>
        <v> </v>
      </c>
      <c r="K3937" s="26" t="str">
        <f>IF(OR(E3937="",E3937="!!!",F3937="NEW"),"",INDEX(J$1:J3936,SUMPRODUCT(MAX(ROW(E$1:E3936)*(E3937=E$1:E3936)))))</f>
        <v> </v>
      </c>
      <c r="L3937" s="27"/>
    </row>
    <row r="3938" spans="1:12">
      <c r="A3938" s="20"/>
    </row>
    <row r="3939" spans="1:12">
      <c r="A3939" s="20" t="s">
        <v>2320</v>
      </c>
    </row>
    <row r="3940" spans="1:12">
      <c r="A3940" s="20" t="s">
        <v>1417</v>
      </c>
      <c r="B3940" s="21" t="s">
        <v>1165</v>
      </c>
      <c r="C3940" s="21" t="s">
        <v>1168</v>
      </c>
      <c r="D3940" s="21" t="s">
        <v>1144</v>
      </c>
      <c r="E3940" s="22">
        <f>IF(D3940="?OLD","!!!","")</f>
        <v/>
      </c>
      <c r="F3940" s="23" t="str">
        <f>IF(OR(E3940="",E3940="!!!"),"",IF(NOT(ISNA(VLOOKUP(E3940,E$1:E3939,1,FALSE()))),"OLD",IF(AND(E3940&lt;&gt;"",E3940&lt;&gt;"!!!"),"NEW","")))</f>
        <v> </v>
      </c>
      <c r="G3940" s="24" t="str">
        <f>IF(OR(E3940="",E3940="!!!"),"",IF(OR(J3940=0,AND(J3940=1,K3940=1),AND(J3940=1,I3940="SBJ"),AND(J3940=1,I3940=0)),"?IN_FOCUS",IF(J3940&lt;=2,"?ACTIVATED",IF(J3940&lt;&gt;"","?FAMILIAR",IF(F3940="NEW",IF(ISNA(VLOOKUP(E3940,#REF!,1,FALSE())),"?TYPE_IDENTIFIABLE","?REFERENTIAL"),"_")))))</f>
        <v> </v>
      </c>
      <c r="H3940" s="25" t="str">
        <f>IF(J3940&lt;&gt;1,"",IF(I3940="SBJ","CB","?"))</f>
        <v> </v>
      </c>
      <c r="I3940" s="26" t="str">
        <f>IF(OR(E3940="",E3940="!!!",F3940="NEW"),"",INDEX(B3939:B$2,-1+SUMPRODUCT(MAX(ROW(E3939:E$2)*(E3940=E3939:E$2)))))</f>
        <v> </v>
      </c>
      <c r="J3940" s="26" t="str">
        <f>IF(OR(E3940="",E3940="!!!",F3940="NEW"),"",COUNTBLANK(OFFSET(A$1,,,SUMPRODUCT(MAX(ROW(E$2:E3940)*(E3940=E$2:E3940)))))-COUNTBLANK(OFFSET(A$1,,,SUMPRODUCT(MAX(ROW(E$1:E3939)*(E2=E$1:E3939))))))</f>
        <v> </v>
      </c>
      <c r="K3940" s="26" t="str">
        <f>IF(OR(E3940="",E3940="!!!",F3940="NEW"),"",INDEX(J$1:J3939,SUMPRODUCT(MAX(ROW(E$1:E3939)*(E3940=E$1:E3939)))))</f>
        <v> </v>
      </c>
      <c r="L3940" s="27"/>
    </row>
    <row r="3941" spans="1:12">
      <c r="A3941" s="20" t="s">
        <v>2321</v>
      </c>
      <c r="E3941" s="22">
        <f>IF(D3941="?OLD","!!!","")</f>
        <v/>
      </c>
      <c r="F3941" s="23" t="str">
        <f>IF(OR(E3941="",E3941="!!!"),"",IF(NOT(ISNA(VLOOKUP(E3941,E$1:E3940,1,FALSE()))),"OLD",IF(AND(E3941&lt;&gt;"",E3941&lt;&gt;"!!!"),"NEW","")))</f>
        <v> </v>
      </c>
      <c r="G3941" s="24" t="str">
        <f>IF(OR(E3941="",E3941="!!!"),"",IF(OR(J3941=0,AND(J3941=1,K3941=1),AND(J3941=1,I3941="SBJ"),AND(J3941=1,I3941=0)),"?IN_FOCUS",IF(J3941&lt;=2,"?ACTIVATED",IF(J3941&lt;&gt;"","?FAMILIAR",IF(F3941="NEW",IF(ISNA(VLOOKUP(E3941,#REF!,1,FALSE())),"?TYPE_IDENTIFIABLE","?REFERENTIAL"),"_")))))</f>
        <v> </v>
      </c>
      <c r="H3941" s="25" t="str">
        <f>IF(J3941&lt;&gt;1,"",IF(I3941="SBJ","CB","?"))</f>
        <v> </v>
      </c>
      <c r="I3941" s="26" t="str">
        <f>IF(OR(E3941="",E3941="!!!",F3941="NEW"),"",INDEX(B3940:B$2,-1+SUMPRODUCT(MAX(ROW(E3940:E$2)*(E3941=E3940:E$2)))))</f>
        <v> </v>
      </c>
      <c r="J3941" s="26" t="str">
        <f>IF(OR(E3941="",E3941="!!!",F3941="NEW"),"",COUNTBLANK(OFFSET(A$1,,,SUMPRODUCT(MAX(ROW(E$2:E3941)*(E3941=E$2:E3941)))))-COUNTBLANK(OFFSET(A$1,,,SUMPRODUCT(MAX(ROW(E$1:E3940)*(E2=E$1:E3940))))))</f>
        <v> </v>
      </c>
      <c r="K3941" s="26" t="str">
        <f>IF(OR(E3941="",E3941="!!!",F3941="NEW"),"",INDEX(J$1:J3940,SUMPRODUCT(MAX(ROW(E$1:E3940)*(E3941=E$1:E3940)))))</f>
        <v> </v>
      </c>
      <c r="L3941" s="27"/>
    </row>
    <row r="3942" spans="1:12">
      <c r="A3942" s="20" t="s">
        <v>1883</v>
      </c>
      <c r="B3942" s="21" t="s">
        <v>1171</v>
      </c>
      <c r="C3942" s="21" t="s">
        <v>1182</v>
      </c>
      <c r="E3942" s="22">
        <f>IF(D3942="?OLD","!!!","")</f>
        <v/>
      </c>
      <c r="F3942" s="23" t="str">
        <f>IF(OR(E3942="",E3942="!!!"),"",IF(NOT(ISNA(VLOOKUP(E3942,E$1:E3941,1,FALSE()))),"OLD",IF(AND(E3942&lt;&gt;"",E3942&lt;&gt;"!!!"),"NEW","")))</f>
        <v> </v>
      </c>
      <c r="G3942" s="24" t="str">
        <f>IF(OR(E3942="",E3942="!!!"),"",IF(OR(J3942=0,AND(J3942=1,K3942=1),AND(J3942=1,I3942="SBJ"),AND(J3942=1,I3942=0)),"?IN_FOCUS",IF(J3942&lt;=2,"?ACTIVATED",IF(J3942&lt;&gt;"","?FAMILIAR",IF(F3942="NEW",IF(ISNA(VLOOKUP(E3942,#REF!,1,FALSE())),"?TYPE_IDENTIFIABLE","?REFERENTIAL"),"_")))))</f>
        <v> </v>
      </c>
      <c r="H3942" s="25" t="str">
        <f>IF(J3942&lt;&gt;1,"",IF(I3942="SBJ","CB","?"))</f>
        <v> </v>
      </c>
      <c r="I3942" s="26" t="str">
        <f>IF(OR(E3942="",E3942="!!!",F3942="NEW"),"",INDEX(B3941:B$2,-1+SUMPRODUCT(MAX(ROW(E3941:E$2)*(E3942=E3941:E$2)))))</f>
        <v> </v>
      </c>
      <c r="J3942" s="26" t="str">
        <f>IF(OR(E3942="",E3942="!!!",F3942="NEW"),"",COUNTBLANK(OFFSET(A$1,,,SUMPRODUCT(MAX(ROW(E$2:E3942)*(E3942=E$2:E3942)))))-COUNTBLANK(OFFSET(A$1,,,SUMPRODUCT(MAX(ROW(E$1:E3941)*(E2=E$1:E3941))))))</f>
        <v> </v>
      </c>
      <c r="K3942" s="26" t="str">
        <f>IF(OR(E3942="",E3942="!!!",F3942="NEW"),"",INDEX(J$1:J3941,SUMPRODUCT(MAX(ROW(E$1:E3941)*(E3942=E$1:E3941)))))</f>
        <v> </v>
      </c>
      <c r="L3942" s="27"/>
    </row>
    <row r="3943" spans="1:12">
      <c r="A3943" s="20" t="s">
        <v>1284</v>
      </c>
      <c r="B3943" s="21" t="s">
        <v>1165</v>
      </c>
      <c r="C3943" s="21" t="s">
        <v>1187</v>
      </c>
      <c r="E3943" s="22">
        <f>IF(D3943="?OLD","!!!","")</f>
        <v/>
      </c>
      <c r="F3943" s="23" t="str">
        <f>IF(OR(E3943="",E3943="!!!"),"",IF(NOT(ISNA(VLOOKUP(E3943,E$1:E3942,1,FALSE()))),"OLD",IF(AND(E3943&lt;&gt;"",E3943&lt;&gt;"!!!"),"NEW","")))</f>
        <v> </v>
      </c>
      <c r="G3943" s="24" t="str">
        <f>IF(OR(E3943="",E3943="!!!"),"",IF(OR(J3943=0,AND(J3943=1,K3943=1),AND(J3943=1,I3943="SBJ"),AND(J3943=1,I3943=0)),"?IN_FOCUS",IF(J3943&lt;=2,"?ACTIVATED",IF(J3943&lt;&gt;"","?FAMILIAR",IF(F3943="NEW",IF(ISNA(VLOOKUP(E3943,#REF!,1,FALSE())),"?TYPE_IDENTIFIABLE","?REFERENTIAL"),"_")))))</f>
        <v> </v>
      </c>
      <c r="H3943" s="25" t="str">
        <f>IF(J3943&lt;&gt;1,"",IF(I3943="SBJ","CB","?"))</f>
        <v> </v>
      </c>
      <c r="I3943" s="26" t="str">
        <f>IF(OR(E3943="",E3943="!!!",F3943="NEW"),"",INDEX(B3942:B$2,-1+SUMPRODUCT(MAX(ROW(E3942:E$2)*(E3943=E3942:E$2)))))</f>
        <v> </v>
      </c>
      <c r="J3943" s="26" t="str">
        <f>IF(OR(E3943="",E3943="!!!",F3943="NEW"),"",COUNTBLANK(OFFSET(A$1,,,SUMPRODUCT(MAX(ROW(E$2:E3943)*(E3943=E$2:E3943)))))-COUNTBLANK(OFFSET(A$1,,,SUMPRODUCT(MAX(ROW(E$1:E3942)*(E2=E$1:E3942))))))</f>
        <v> </v>
      </c>
      <c r="K3943" s="26" t="str">
        <f>IF(OR(E3943="",E3943="!!!",F3943="NEW"),"",INDEX(J$1:J3942,SUMPRODUCT(MAX(ROW(E$1:E3942)*(E3943=E$1:E3942)))))</f>
        <v> </v>
      </c>
      <c r="L3943" s="27"/>
    </row>
    <row r="3944" spans="1:12">
      <c r="A3944" s="20" t="s">
        <v>948</v>
      </c>
      <c r="E3944" s="22">
        <f>IF(D3944="?OLD","!!!","")</f>
        <v/>
      </c>
      <c r="F3944" s="23" t="str">
        <f>IF(OR(E3944="",E3944="!!!"),"",IF(NOT(ISNA(VLOOKUP(E3944,E$1:E3943,1,FALSE()))),"OLD",IF(AND(E3944&lt;&gt;"",E3944&lt;&gt;"!!!"),"NEW","")))</f>
        <v> </v>
      </c>
      <c r="G3944" s="24" t="str">
        <f>IF(OR(E3944="",E3944="!!!"),"",IF(OR(J3944=0,AND(J3944=1,K3944=1),AND(J3944=1,I3944="SBJ"),AND(J3944=1,I3944=0)),"?IN_FOCUS",IF(J3944&lt;=2,"?ACTIVATED",IF(J3944&lt;&gt;"","?FAMILIAR",IF(F3944="NEW",IF(ISNA(VLOOKUP(E3944,#REF!,1,FALSE())),"?TYPE_IDENTIFIABLE","?REFERENTIAL"),"_")))))</f>
        <v> </v>
      </c>
      <c r="H3944" s="25" t="str">
        <f>IF(J3944&lt;&gt;1,"",IF(I3944="SBJ","CB","?"))</f>
        <v> </v>
      </c>
      <c r="I3944" s="26" t="str">
        <f>IF(OR(E3944="",E3944="!!!",F3944="NEW"),"",INDEX(B3943:B$2,-1+SUMPRODUCT(MAX(ROW(E3943:E$2)*(E3944=E3943:E$2)))))</f>
        <v> </v>
      </c>
      <c r="J3944" s="26" t="str">
        <f>IF(OR(E3944="",E3944="!!!",F3944="NEW"),"",COUNTBLANK(OFFSET(A$1,,,SUMPRODUCT(MAX(ROW(E$2:E3944)*(E3944=E$2:E3944)))))-COUNTBLANK(OFFSET(A$1,,,SUMPRODUCT(MAX(ROW(E$1:E3943)*(E2=E$1:E3943))))))</f>
        <v> </v>
      </c>
      <c r="K3944" s="26" t="str">
        <f>IF(OR(E3944="",E3944="!!!",F3944="NEW"),"",INDEX(J$1:J3943,SUMPRODUCT(MAX(ROW(E$1:E3943)*(E3944=E$1:E3943)))))</f>
        <v> </v>
      </c>
      <c r="L3944" s="27"/>
    </row>
    <row r="3945" spans="1:12">
      <c r="A3945" s="20" t="s">
        <v>312</v>
      </c>
      <c r="E3945" s="22">
        <f>IF(D3945="?OLD","!!!","")</f>
        <v/>
      </c>
      <c r="F3945" s="23" t="str">
        <f>IF(OR(E3945="",E3945="!!!"),"",IF(NOT(ISNA(VLOOKUP(E3945,E$1:E3944,1,FALSE()))),"OLD",IF(AND(E3945&lt;&gt;"",E3945&lt;&gt;"!!!"),"NEW","")))</f>
        <v> </v>
      </c>
      <c r="G3945" s="24" t="str">
        <f>IF(OR(E3945="",E3945="!!!"),"",IF(OR(J3945=0,AND(J3945=1,K3945=1),AND(J3945=1,I3945="SBJ"),AND(J3945=1,I3945=0)),"?IN_FOCUS",IF(J3945&lt;=2,"?ACTIVATED",IF(J3945&lt;&gt;"","?FAMILIAR",IF(F3945="NEW",IF(ISNA(VLOOKUP(E3945,#REF!,1,FALSE())),"?TYPE_IDENTIFIABLE","?REFERENTIAL"),"_")))))</f>
        <v> </v>
      </c>
      <c r="H3945" s="25" t="str">
        <f>IF(J3945&lt;&gt;1,"",IF(I3945="SBJ","CB","?"))</f>
        <v> </v>
      </c>
      <c r="I3945" s="26" t="str">
        <f>IF(OR(E3945="",E3945="!!!",F3945="NEW"),"",INDEX(B3944:B$2,-1+SUMPRODUCT(MAX(ROW(E3944:E$2)*(E3945=E3944:E$2)))))</f>
        <v> </v>
      </c>
      <c r="J3945" s="26" t="str">
        <f>IF(OR(E3945="",E3945="!!!",F3945="NEW"),"",COUNTBLANK(OFFSET(A$1,,,SUMPRODUCT(MAX(ROW(E$2:E3945)*(E3945=E$2:E3945)))))-COUNTBLANK(OFFSET(A$1,,,SUMPRODUCT(MAX(ROW(E$1:E3944)*(E2=E$1:E3944))))))</f>
        <v> </v>
      </c>
      <c r="K3945" s="26" t="str">
        <f>IF(OR(E3945="",E3945="!!!",F3945="NEW"),"",INDEX(J$1:J3944,SUMPRODUCT(MAX(ROW(E$1:E3944)*(E3945=E$1:E3944)))))</f>
        <v> </v>
      </c>
      <c r="L3945" s="27"/>
    </row>
    <row r="3946" spans="1:12">
      <c r="A3946" s="20"/>
    </row>
    <row r="3947" spans="1:12">
      <c r="A3947" s="20" t="s">
        <v>2322</v>
      </c>
    </row>
    <row r="3948" spans="1:12">
      <c r="A3948" s="20" t="s">
        <v>1300</v>
      </c>
      <c r="B3948" s="21" t="s">
        <v>1165</v>
      </c>
      <c r="C3948" s="21" t="s">
        <v>1151</v>
      </c>
      <c r="D3948" s="21" t="s">
        <v>1144</v>
      </c>
      <c r="E3948" s="22">
        <f>IF(D3948="?OLD","!!!","")</f>
        <v/>
      </c>
      <c r="F3948" s="23" t="str">
        <f>IF(OR(E3948="",E3948="!!!"),"",IF(NOT(ISNA(VLOOKUP(E3948,E$1:E3947,1,FALSE()))),"OLD",IF(AND(E3948&lt;&gt;"",E3948&lt;&gt;"!!!"),"NEW","")))</f>
        <v> </v>
      </c>
      <c r="G3948" s="24" t="str">
        <f>IF(OR(E3948="",E3948="!!!"),"",IF(OR(J3948=0,AND(J3948=1,K3948=1),AND(J3948=1,I3948="SBJ"),AND(J3948=1,I3948=0)),"?IN_FOCUS",IF(J3948&lt;=2,"?ACTIVATED",IF(J3948&lt;&gt;"","?FAMILIAR",IF(F3948="NEW",IF(ISNA(VLOOKUP(E3948,#REF!,1,FALSE())),"?TYPE_IDENTIFIABLE","?REFERENTIAL"),"_")))))</f>
        <v> </v>
      </c>
      <c r="H3948" s="25" t="str">
        <f>IF(J3948&lt;&gt;1,"",IF(I3948="SBJ","CB","?"))</f>
        <v> </v>
      </c>
      <c r="I3948" s="26" t="str">
        <f>IF(OR(E3948="",E3948="!!!",F3948="NEW"),"",INDEX(B3947:B$2,-1+SUMPRODUCT(MAX(ROW(E3947:E$2)*(E3948=E3947:E$2)))))</f>
        <v> </v>
      </c>
      <c r="J3948" s="26" t="str">
        <f>IF(OR(E3948="",E3948="!!!",F3948="NEW"),"",COUNTBLANK(OFFSET(A$1,,,SUMPRODUCT(MAX(ROW(E$2:E3948)*(E3948=E$2:E3948)))))-COUNTBLANK(OFFSET(A$1,,,SUMPRODUCT(MAX(ROW(E$1:E3947)*(E2=E$1:E3947))))))</f>
        <v> </v>
      </c>
      <c r="K3948" s="26" t="str">
        <f>IF(OR(E3948="",E3948="!!!",F3948="NEW"),"",INDEX(J$1:J3947,SUMPRODUCT(MAX(ROW(E$1:E3947)*(E3948=E$1:E3947)))))</f>
        <v> </v>
      </c>
      <c r="L3948" s="27"/>
    </row>
    <row r="3949" spans="1:12">
      <c r="A3949" s="20" t="s">
        <v>1148</v>
      </c>
      <c r="E3949" s="22">
        <f>IF(D3949="?OLD","!!!","")</f>
        <v/>
      </c>
      <c r="F3949" s="23" t="str">
        <f>IF(OR(E3949="",E3949="!!!"),"",IF(NOT(ISNA(VLOOKUP(E3949,E$1:E3948,1,FALSE()))),"OLD",IF(AND(E3949&lt;&gt;"",E3949&lt;&gt;"!!!"),"NEW","")))</f>
        <v> </v>
      </c>
      <c r="G3949" s="24" t="str">
        <f>IF(OR(E3949="",E3949="!!!"),"",IF(OR(J3949=0,AND(J3949=1,K3949=1),AND(J3949=1,I3949="SBJ"),AND(J3949=1,I3949=0)),"?IN_FOCUS",IF(J3949&lt;=2,"?ACTIVATED",IF(J3949&lt;&gt;"","?FAMILIAR",IF(F3949="NEW",IF(ISNA(VLOOKUP(E3949,#REF!,1,FALSE())),"?TYPE_IDENTIFIABLE","?REFERENTIAL"),"_")))))</f>
        <v> </v>
      </c>
      <c r="H3949" s="25" t="str">
        <f>IF(J3949&lt;&gt;1,"",IF(I3949="SBJ","CB","?"))</f>
        <v> </v>
      </c>
      <c r="I3949" s="26" t="str">
        <f>IF(OR(E3949="",E3949="!!!",F3949="NEW"),"",INDEX(B3948:B$2,-1+SUMPRODUCT(MAX(ROW(E3948:E$2)*(E3949=E3948:E$2)))))</f>
        <v> </v>
      </c>
      <c r="J3949" s="26" t="str">
        <f>IF(OR(E3949="",E3949="!!!",F3949="NEW"),"",COUNTBLANK(OFFSET(A$1,,,SUMPRODUCT(MAX(ROW(E$2:E3949)*(E3949=E$2:E3949)))))-COUNTBLANK(OFFSET(A$1,,,SUMPRODUCT(MAX(ROW(E$1:E3948)*(E2=E$1:E3948))))))</f>
        <v> </v>
      </c>
      <c r="K3949" s="26" t="str">
        <f>IF(OR(E3949="",E3949="!!!",F3949="NEW"),"",INDEX(J$1:J3948,SUMPRODUCT(MAX(ROW(E$1:E3948)*(E3949=E$1:E3948)))))</f>
        <v> </v>
      </c>
      <c r="L3949" s="27"/>
    </row>
    <row r="3950" spans="1:12">
      <c r="A3950" s="20" t="s">
        <v>1367</v>
      </c>
      <c r="E3950" s="22">
        <f>IF(D3950="?OLD","!!!","")</f>
        <v/>
      </c>
      <c r="F3950" s="23" t="str">
        <f>IF(OR(E3950="",E3950="!!!"),"",IF(NOT(ISNA(VLOOKUP(E3950,E$1:E3949,1,FALSE()))),"OLD",IF(AND(E3950&lt;&gt;"",E3950&lt;&gt;"!!!"),"NEW","")))</f>
        <v> </v>
      </c>
      <c r="G3950" s="24" t="str">
        <f>IF(OR(E3950="",E3950="!!!"),"",IF(OR(J3950=0,AND(J3950=1,K3950=1),AND(J3950=1,I3950="SBJ"),AND(J3950=1,I3950=0)),"?IN_FOCUS",IF(J3950&lt;=2,"?ACTIVATED",IF(J3950&lt;&gt;"","?FAMILIAR",IF(F3950="NEW",IF(ISNA(VLOOKUP(E3950,#REF!,1,FALSE())),"?TYPE_IDENTIFIABLE","?REFERENTIAL"),"_")))))</f>
        <v> </v>
      </c>
      <c r="H3950" s="25" t="str">
        <f>IF(J3950&lt;&gt;1,"",IF(I3950="SBJ","CB","?"))</f>
        <v> </v>
      </c>
      <c r="I3950" s="26" t="str">
        <f>IF(OR(E3950="",E3950="!!!",F3950="NEW"),"",INDEX(B3949:B$2,-1+SUMPRODUCT(MAX(ROW(E3949:E$2)*(E3950=E3949:E$2)))))</f>
        <v> </v>
      </c>
      <c r="J3950" s="26" t="str">
        <f>IF(OR(E3950="",E3950="!!!",F3950="NEW"),"",COUNTBLANK(OFFSET(A$1,,,SUMPRODUCT(MAX(ROW(E$2:E3950)*(E3950=E$2:E3950)))))-COUNTBLANK(OFFSET(A$1,,,SUMPRODUCT(MAX(ROW(E$1:E3949)*(E2=E$1:E3949))))))</f>
        <v> </v>
      </c>
      <c r="K3950" s="26" t="str">
        <f>IF(OR(E3950="",E3950="!!!",F3950="NEW"),"",INDEX(J$1:J3949,SUMPRODUCT(MAX(ROW(E$1:E3949)*(E3950=E$1:E3949)))))</f>
        <v> </v>
      </c>
      <c r="L3950" s="27"/>
    </row>
    <row r="3951" spans="1:12">
      <c r="A3951" s="20" t="s">
        <v>2323</v>
      </c>
      <c r="E3951" s="22">
        <f>IF(D3951="?OLD","!!!","")</f>
        <v/>
      </c>
      <c r="F3951" s="23" t="str">
        <f>IF(OR(E3951="",E3951="!!!"),"",IF(NOT(ISNA(VLOOKUP(E3951,E$1:E3950,1,FALSE()))),"OLD",IF(AND(E3951&lt;&gt;"",E3951&lt;&gt;"!!!"),"NEW","")))</f>
        <v> </v>
      </c>
      <c r="G3951" s="24" t="str">
        <f>IF(OR(E3951="",E3951="!!!"),"",IF(OR(J3951=0,AND(J3951=1,K3951=1),AND(J3951=1,I3951="SBJ"),AND(J3951=1,I3951=0)),"?IN_FOCUS",IF(J3951&lt;=2,"?ACTIVATED",IF(J3951&lt;&gt;"","?FAMILIAR",IF(F3951="NEW",IF(ISNA(VLOOKUP(E3951,#REF!,1,FALSE())),"?TYPE_IDENTIFIABLE","?REFERENTIAL"),"_")))))</f>
        <v> </v>
      </c>
      <c r="H3951" s="25" t="str">
        <f>IF(J3951&lt;&gt;1,"",IF(I3951="SBJ","CB","?"))</f>
        <v> </v>
      </c>
      <c r="I3951" s="26" t="str">
        <f>IF(OR(E3951="",E3951="!!!",F3951="NEW"),"",INDEX(B3950:B$2,-1+SUMPRODUCT(MAX(ROW(E3950:E$2)*(E3951=E3950:E$2)))))</f>
        <v> </v>
      </c>
      <c r="J3951" s="26" t="str">
        <f>IF(OR(E3951="",E3951="!!!",F3951="NEW"),"",COUNTBLANK(OFFSET(A$1,,,SUMPRODUCT(MAX(ROW(E$2:E3951)*(E3951=E$2:E3951)))))-COUNTBLANK(OFFSET(A$1,,,SUMPRODUCT(MAX(ROW(E$1:E3950)*(E2=E$1:E3950))))))</f>
        <v> </v>
      </c>
      <c r="K3951" s="26" t="str">
        <f>IF(OR(E3951="",E3951="!!!",F3951="NEW"),"",INDEX(J$1:J3950,SUMPRODUCT(MAX(ROW(E$1:E3950)*(E3951=E$1:E3950)))))</f>
        <v> </v>
      </c>
      <c r="L3951" s="27"/>
    </row>
    <row r="3952" spans="1:12">
      <c r="A3952" s="20" t="s">
        <v>2324</v>
      </c>
      <c r="E3952" s="22">
        <f>IF(D3952="?OLD","!!!","")</f>
        <v/>
      </c>
      <c r="F3952" s="23" t="str">
        <f>IF(OR(E3952="",E3952="!!!"),"",IF(NOT(ISNA(VLOOKUP(E3952,E$1:E3951,1,FALSE()))),"OLD",IF(AND(E3952&lt;&gt;"",E3952&lt;&gt;"!!!"),"NEW","")))</f>
        <v> </v>
      </c>
      <c r="G3952" s="24" t="str">
        <f>IF(OR(E3952="",E3952="!!!"),"",IF(OR(J3952=0,AND(J3952=1,K3952=1),AND(J3952=1,I3952="SBJ"),AND(J3952=1,I3952=0)),"?IN_FOCUS",IF(J3952&lt;=2,"?ACTIVATED",IF(J3952&lt;&gt;"","?FAMILIAR",IF(F3952="NEW",IF(ISNA(VLOOKUP(E3952,#REF!,1,FALSE())),"?TYPE_IDENTIFIABLE","?REFERENTIAL"),"_")))))</f>
        <v> </v>
      </c>
      <c r="H3952" s="25" t="str">
        <f>IF(J3952&lt;&gt;1,"",IF(I3952="SBJ","CB","?"))</f>
        <v> </v>
      </c>
      <c r="I3952" s="26" t="str">
        <f>IF(OR(E3952="",E3952="!!!",F3952="NEW"),"",INDEX(B3951:B$2,-1+SUMPRODUCT(MAX(ROW(E3951:E$2)*(E3952=E3951:E$2)))))</f>
        <v> </v>
      </c>
      <c r="J3952" s="26" t="str">
        <f>IF(OR(E3952="",E3952="!!!",F3952="NEW"),"",COUNTBLANK(OFFSET(A$1,,,SUMPRODUCT(MAX(ROW(E$2:E3952)*(E3952=E$2:E3952)))))-COUNTBLANK(OFFSET(A$1,,,SUMPRODUCT(MAX(ROW(E$1:E3951)*(E2=E$1:E3951))))))</f>
        <v> </v>
      </c>
      <c r="K3952" s="26" t="str">
        <f>IF(OR(E3952="",E3952="!!!",F3952="NEW"),"",INDEX(J$1:J3951,SUMPRODUCT(MAX(ROW(E$1:E3951)*(E3952=E$1:E3951)))))</f>
        <v> </v>
      </c>
      <c r="L3952" s="27"/>
    </row>
    <row r="3953" spans="1:12">
      <c r="A3953" s="20" t="s">
        <v>312</v>
      </c>
      <c r="E3953" s="22">
        <f>IF(D3953="?OLD","!!!","")</f>
        <v/>
      </c>
      <c r="F3953" s="23" t="str">
        <f>IF(OR(E3953="",E3953="!!!"),"",IF(NOT(ISNA(VLOOKUP(E3953,E$1:E3952,1,FALSE()))),"OLD",IF(AND(E3953&lt;&gt;"",E3953&lt;&gt;"!!!"),"NEW","")))</f>
        <v> </v>
      </c>
      <c r="G3953" s="24" t="str">
        <f>IF(OR(E3953="",E3953="!!!"),"",IF(OR(J3953=0,AND(J3953=1,K3953=1),AND(J3953=1,I3953="SBJ"),AND(J3953=1,I3953=0)),"?IN_FOCUS",IF(J3953&lt;=2,"?ACTIVATED",IF(J3953&lt;&gt;"","?FAMILIAR",IF(F3953="NEW",IF(ISNA(VLOOKUP(E3953,#REF!,1,FALSE())),"?TYPE_IDENTIFIABLE","?REFERENTIAL"),"_")))))</f>
        <v> </v>
      </c>
      <c r="H3953" s="25" t="str">
        <f>IF(J3953&lt;&gt;1,"",IF(I3953="SBJ","CB","?"))</f>
        <v> </v>
      </c>
      <c r="I3953" s="26" t="str">
        <f>IF(OR(E3953="",E3953="!!!",F3953="NEW"),"",INDEX(B3952:B$2,-1+SUMPRODUCT(MAX(ROW(E3952:E$2)*(E3953=E3952:E$2)))))</f>
        <v> </v>
      </c>
      <c r="J3953" s="26" t="str">
        <f>IF(OR(E3953="",E3953="!!!",F3953="NEW"),"",COUNTBLANK(OFFSET(A$1,,,SUMPRODUCT(MAX(ROW(E$2:E3953)*(E3953=E$2:E3953)))))-COUNTBLANK(OFFSET(A$1,,,SUMPRODUCT(MAX(ROW(E$1:E3952)*(E2=E$1:E3952))))))</f>
        <v> </v>
      </c>
      <c r="K3953" s="26" t="str">
        <f>IF(OR(E3953="",E3953="!!!",F3953="NEW"),"",INDEX(J$1:J3952,SUMPRODUCT(MAX(ROW(E$1:E3952)*(E3953=E$1:E3952)))))</f>
        <v> </v>
      </c>
      <c r="L3953" s="27"/>
    </row>
    <row r="3954" spans="1:12">
      <c r="A3954" s="20"/>
    </row>
    <row r="3955" spans="1:12">
      <c r="A3955" s="20" t="s">
        <v>2325</v>
      </c>
    </row>
    <row r="3956" spans="1:12">
      <c r="A3956" s="20" t="s">
        <v>1447</v>
      </c>
      <c r="E3956" s="22">
        <f>IF(D3956="?OLD","!!!","")</f>
        <v/>
      </c>
      <c r="F3956" s="23" t="str">
        <f>IF(OR(E3956="",E3956="!!!"),"",IF(NOT(ISNA(VLOOKUP(E3956,E$1:E3955,1,FALSE()))),"OLD",IF(AND(E3956&lt;&gt;"",E3956&lt;&gt;"!!!"),"NEW","")))</f>
        <v> </v>
      </c>
      <c r="G3956" s="24" t="str">
        <f>IF(OR(E3956="",E3956="!!!"),"",IF(OR(J3956=0,AND(J3956=1,K3956=1),AND(J3956=1,I3956="SBJ"),AND(J3956=1,I3956=0)),"?IN_FOCUS",IF(J3956&lt;=2,"?ACTIVATED",IF(J3956&lt;&gt;"","?FAMILIAR",IF(F3956="NEW",IF(ISNA(VLOOKUP(E3956,#REF!,1,FALSE())),"?TYPE_IDENTIFIABLE","?REFERENTIAL"),"_")))))</f>
        <v> </v>
      </c>
      <c r="H3956" s="25" t="str">
        <f>IF(J3956&lt;&gt;1,"",IF(I3956="SBJ","CB","?"))</f>
        <v> </v>
      </c>
      <c r="I3956" s="26" t="str">
        <f>IF(OR(E3956="",E3956="!!!",F3956="NEW"),"",INDEX(B3955:B$2,-1+SUMPRODUCT(MAX(ROW(E3955:E$2)*(E3956=E3955:E$2)))))</f>
        <v> </v>
      </c>
      <c r="J3956" s="26" t="str">
        <f>IF(OR(E3956="",E3956="!!!",F3956="NEW"),"",COUNTBLANK(OFFSET(A$1,,,SUMPRODUCT(MAX(ROW(E$2:E3956)*(E3956=E$2:E3956)))))-COUNTBLANK(OFFSET(A$1,,,SUMPRODUCT(MAX(ROW(E$1:E3955)*(E2=E$1:E3955))))))</f>
        <v> </v>
      </c>
      <c r="K3956" s="26" t="str">
        <f>IF(OR(E3956="",E3956="!!!",F3956="NEW"),"",INDEX(J$1:J3955,SUMPRODUCT(MAX(ROW(E$1:E3955)*(E3956=E$1:E3955)))))</f>
        <v> </v>
      </c>
      <c r="L3956" s="27"/>
    </row>
    <row r="3957" spans="1:12">
      <c r="A3957" s="20" t="s">
        <v>1927</v>
      </c>
      <c r="B3957" s="21" t="s">
        <v>1165</v>
      </c>
      <c r="C3957" s="21" t="s">
        <v>1182</v>
      </c>
      <c r="E3957" s="22">
        <f>IF(D3957="?OLD","!!!","")</f>
        <v/>
      </c>
      <c r="F3957" s="23" t="str">
        <f>IF(OR(E3957="",E3957="!!!"),"",IF(NOT(ISNA(VLOOKUP(E3957,E$1:E3956,1,FALSE()))),"OLD",IF(AND(E3957&lt;&gt;"",E3957&lt;&gt;"!!!"),"NEW","")))</f>
        <v> </v>
      </c>
      <c r="G3957" s="24" t="str">
        <f>IF(OR(E3957="",E3957="!!!"),"",IF(OR(J3957=0,AND(J3957=1,K3957=1),AND(J3957=1,I3957="SBJ"),AND(J3957=1,I3957=0)),"?IN_FOCUS",IF(J3957&lt;=2,"?ACTIVATED",IF(J3957&lt;&gt;"","?FAMILIAR",IF(F3957="NEW",IF(ISNA(VLOOKUP(E3957,#REF!,1,FALSE())),"?TYPE_IDENTIFIABLE","?REFERENTIAL"),"_")))))</f>
        <v> </v>
      </c>
      <c r="H3957" s="25" t="str">
        <f>IF(J3957&lt;&gt;1,"",IF(I3957="SBJ","CB","?"))</f>
        <v> </v>
      </c>
      <c r="I3957" s="26" t="str">
        <f>IF(OR(E3957="",E3957="!!!",F3957="NEW"),"",INDEX(B3956:B$2,-1+SUMPRODUCT(MAX(ROW(E3956:E$2)*(E3957=E3956:E$2)))))</f>
        <v> </v>
      </c>
      <c r="J3957" s="26" t="str">
        <f>IF(OR(E3957="",E3957="!!!",F3957="NEW"),"",COUNTBLANK(OFFSET(A$1,,,SUMPRODUCT(MAX(ROW(E$2:E3957)*(E3957=E$2:E3957)))))-COUNTBLANK(OFFSET(A$1,,,SUMPRODUCT(MAX(ROW(E$1:E3956)*(E2=E$1:E3956))))))</f>
        <v> </v>
      </c>
      <c r="K3957" s="26" t="str">
        <f>IF(OR(E3957="",E3957="!!!",F3957="NEW"),"",INDEX(J$1:J3956,SUMPRODUCT(MAX(ROW(E$1:E3956)*(E3957=E$1:E3956)))))</f>
        <v> </v>
      </c>
      <c r="L3957" s="27"/>
    </row>
    <row r="3958" spans="1:12">
      <c r="A3958" s="20" t="s">
        <v>956</v>
      </c>
      <c r="E3958" s="22">
        <f>IF(D3958="?OLD","!!!","")</f>
        <v/>
      </c>
      <c r="F3958" s="23" t="str">
        <f>IF(OR(E3958="",E3958="!!!"),"",IF(NOT(ISNA(VLOOKUP(E3958,E$1:E3957,1,FALSE()))),"OLD",IF(AND(E3958&lt;&gt;"",E3958&lt;&gt;"!!!"),"NEW","")))</f>
        <v> </v>
      </c>
      <c r="G3958" s="24" t="str">
        <f>IF(OR(E3958="",E3958="!!!"),"",IF(OR(J3958=0,AND(J3958=1,K3958=1),AND(J3958=1,I3958="SBJ"),AND(J3958=1,I3958=0)),"?IN_FOCUS",IF(J3958&lt;=2,"?ACTIVATED",IF(J3958&lt;&gt;"","?FAMILIAR",IF(F3958="NEW",IF(ISNA(VLOOKUP(E3958,#REF!,1,FALSE())),"?TYPE_IDENTIFIABLE","?REFERENTIAL"),"_")))))</f>
        <v> </v>
      </c>
      <c r="H3958" s="25" t="str">
        <f>IF(J3958&lt;&gt;1,"",IF(I3958="SBJ","CB","?"))</f>
        <v> </v>
      </c>
      <c r="I3958" s="26" t="str">
        <f>IF(OR(E3958="",E3958="!!!",F3958="NEW"),"",INDEX(B3957:B$2,-1+SUMPRODUCT(MAX(ROW(E3957:E$2)*(E3958=E3957:E$2)))))</f>
        <v> </v>
      </c>
      <c r="J3958" s="26" t="str">
        <f>IF(OR(E3958="",E3958="!!!",F3958="NEW"),"",COUNTBLANK(OFFSET(A$1,,,SUMPRODUCT(MAX(ROW(E$2:E3958)*(E3958=E$2:E3958)))))-COUNTBLANK(OFFSET(A$1,,,SUMPRODUCT(MAX(ROW(E$1:E3957)*(E2=E$1:E3957))))))</f>
        <v> </v>
      </c>
      <c r="K3958" s="26" t="str">
        <f>IF(OR(E3958="",E3958="!!!",F3958="NEW"),"",INDEX(J$1:J3957,SUMPRODUCT(MAX(ROW(E$1:E3957)*(E3958=E$1:E3957)))))</f>
        <v> </v>
      </c>
      <c r="L3958" s="27"/>
    </row>
    <row r="3959" spans="1:12">
      <c r="A3959" s="20" t="s">
        <v>1166</v>
      </c>
      <c r="E3959" s="22">
        <f>IF(D3959="?OLD","!!!","")</f>
        <v/>
      </c>
      <c r="F3959" s="23" t="str">
        <f>IF(OR(E3959="",E3959="!!!"),"",IF(NOT(ISNA(VLOOKUP(E3959,E$1:E3958,1,FALSE()))),"OLD",IF(AND(E3959&lt;&gt;"",E3959&lt;&gt;"!!!"),"NEW","")))</f>
        <v> </v>
      </c>
      <c r="G3959" s="24" t="str">
        <f>IF(OR(E3959="",E3959="!!!"),"",IF(OR(J3959=0,AND(J3959=1,K3959=1),AND(J3959=1,I3959="SBJ"),AND(J3959=1,I3959=0)),"?IN_FOCUS",IF(J3959&lt;=2,"?ACTIVATED",IF(J3959&lt;&gt;"","?FAMILIAR",IF(F3959="NEW",IF(ISNA(VLOOKUP(E3959,#REF!,1,FALSE())),"?TYPE_IDENTIFIABLE","?REFERENTIAL"),"_")))))</f>
        <v> </v>
      </c>
      <c r="H3959" s="25" t="str">
        <f>IF(J3959&lt;&gt;1,"",IF(I3959="SBJ","CB","?"))</f>
        <v> </v>
      </c>
      <c r="I3959" s="26" t="str">
        <f>IF(OR(E3959="",E3959="!!!",F3959="NEW"),"",INDEX(B3958:B$2,-1+SUMPRODUCT(MAX(ROW(E3958:E$2)*(E3959=E3958:E$2)))))</f>
        <v> </v>
      </c>
      <c r="J3959" s="26" t="str">
        <f>IF(OR(E3959="",E3959="!!!",F3959="NEW"),"",COUNTBLANK(OFFSET(A$1,,,SUMPRODUCT(MAX(ROW(E$2:E3959)*(E3959=E$2:E3959)))))-COUNTBLANK(OFFSET(A$1,,,SUMPRODUCT(MAX(ROW(E$1:E3958)*(E2=E$1:E3958))))))</f>
        <v> </v>
      </c>
      <c r="K3959" s="26" t="str">
        <f>IF(OR(E3959="",E3959="!!!",F3959="NEW"),"",INDEX(J$1:J3958,SUMPRODUCT(MAX(ROW(E$1:E3958)*(E3959=E$1:E3958)))))</f>
        <v> </v>
      </c>
      <c r="L3959" s="27"/>
    </row>
    <row r="3960" spans="1:12">
      <c r="A3960" s="20" t="s">
        <v>1298</v>
      </c>
      <c r="E3960" s="22">
        <f>IF(D3960="?OLD","!!!","")</f>
        <v/>
      </c>
      <c r="F3960" s="23" t="str">
        <f>IF(OR(E3960="",E3960="!!!"),"",IF(NOT(ISNA(VLOOKUP(E3960,E$1:E3959,1,FALSE()))),"OLD",IF(AND(E3960&lt;&gt;"",E3960&lt;&gt;"!!!"),"NEW","")))</f>
        <v> </v>
      </c>
      <c r="G3960" s="24" t="str">
        <f>IF(OR(E3960="",E3960="!!!"),"",IF(OR(J3960=0,AND(J3960=1,K3960=1),AND(J3960=1,I3960="SBJ"),AND(J3960=1,I3960=0)),"?IN_FOCUS",IF(J3960&lt;=2,"?ACTIVATED",IF(J3960&lt;&gt;"","?FAMILIAR",IF(F3960="NEW",IF(ISNA(VLOOKUP(E3960,#REF!,1,FALSE())),"?TYPE_IDENTIFIABLE","?REFERENTIAL"),"_")))))</f>
        <v> </v>
      </c>
      <c r="H3960" s="25" t="str">
        <f>IF(J3960&lt;&gt;1,"",IF(I3960="SBJ","CB","?"))</f>
        <v> </v>
      </c>
      <c r="I3960" s="26" t="str">
        <f>IF(OR(E3960="",E3960="!!!",F3960="NEW"),"",INDEX(B3959:B$2,-1+SUMPRODUCT(MAX(ROW(E3959:E$2)*(E3960=E3959:E$2)))))</f>
        <v> </v>
      </c>
      <c r="J3960" s="26" t="str">
        <f>IF(OR(E3960="",E3960="!!!",F3960="NEW"),"",COUNTBLANK(OFFSET(A$1,,,SUMPRODUCT(MAX(ROW(E$2:E3960)*(E3960=E$2:E3960)))))-COUNTBLANK(OFFSET(A$1,,,SUMPRODUCT(MAX(ROW(E$1:E3959)*(E2=E$1:E3959))))))</f>
        <v> </v>
      </c>
      <c r="K3960" s="26" t="str">
        <f>IF(OR(E3960="",E3960="!!!",F3960="NEW"),"",INDEX(J$1:J3959,SUMPRODUCT(MAX(ROW(E$1:E3959)*(E3960=E$1:E3959)))))</f>
        <v> </v>
      </c>
      <c r="L3960" s="27"/>
    </row>
    <row r="3961" spans="1:12">
      <c r="A3961" s="20" t="s">
        <v>1167</v>
      </c>
      <c r="B3961" s="21" t="s">
        <v>1142</v>
      </c>
      <c r="C3961" s="21" t="s">
        <v>1168</v>
      </c>
      <c r="D3961" s="21" t="s">
        <v>1144</v>
      </c>
      <c r="E3961" s="22">
        <f>IF(D3961="?OLD","!!!","")</f>
        <v/>
      </c>
      <c r="F3961" s="23" t="str">
        <f>IF(OR(E3961="",E3961="!!!"),"",IF(NOT(ISNA(VLOOKUP(E3961,E$1:E3960,1,FALSE()))),"OLD",IF(AND(E3961&lt;&gt;"",E3961&lt;&gt;"!!!"),"NEW","")))</f>
        <v> </v>
      </c>
      <c r="G3961" s="24" t="str">
        <f>IF(OR(E3961="",E3961="!!!"),"",IF(OR(J3961=0,AND(J3961=1,K3961=1),AND(J3961=1,I3961="SBJ"),AND(J3961=1,I3961=0)),"?IN_FOCUS",IF(J3961&lt;=2,"?ACTIVATED",IF(J3961&lt;&gt;"","?FAMILIAR",IF(F3961="NEW",IF(ISNA(VLOOKUP(E3961,#REF!,1,FALSE())),"?TYPE_IDENTIFIABLE","?REFERENTIAL"),"_")))))</f>
        <v> </v>
      </c>
      <c r="H3961" s="25" t="str">
        <f>IF(J3961&lt;&gt;1,"",IF(I3961="SBJ","CB","?"))</f>
        <v> </v>
      </c>
      <c r="I3961" s="26" t="str">
        <f>IF(OR(E3961="",E3961="!!!",F3961="NEW"),"",INDEX(B3960:B$2,-1+SUMPRODUCT(MAX(ROW(E3960:E$2)*(E3961=E3960:E$2)))))</f>
        <v> </v>
      </c>
      <c r="J3961" s="26" t="str">
        <f>IF(OR(E3961="",E3961="!!!",F3961="NEW"),"",COUNTBLANK(OFFSET(A$1,,,SUMPRODUCT(MAX(ROW(E$2:E3961)*(E3961=E$2:E3961)))))-COUNTBLANK(OFFSET(A$1,,,SUMPRODUCT(MAX(ROW(E$1:E3960)*(E2=E$1:E3960))))))</f>
        <v> </v>
      </c>
      <c r="K3961" s="26" t="str">
        <f>IF(OR(E3961="",E3961="!!!",F3961="NEW"),"",INDEX(J$1:J3960,SUMPRODUCT(MAX(ROW(E$1:E3960)*(E3961=E$1:E3960)))))</f>
        <v> </v>
      </c>
      <c r="L3961" s="27"/>
    </row>
    <row r="3962" spans="1:12">
      <c r="A3962" s="20" t="s">
        <v>1823</v>
      </c>
      <c r="B3962" s="21" t="s">
        <v>1150</v>
      </c>
      <c r="C3962" s="21" t="s">
        <v>1187</v>
      </c>
      <c r="E3962" s="22">
        <f>IF(D3962="?OLD","!!!","")</f>
        <v/>
      </c>
      <c r="F3962" s="23" t="str">
        <f>IF(OR(E3962="",E3962="!!!"),"",IF(NOT(ISNA(VLOOKUP(E3962,E$1:E3961,1,FALSE()))),"OLD",IF(AND(E3962&lt;&gt;"",E3962&lt;&gt;"!!!"),"NEW","")))</f>
        <v> </v>
      </c>
      <c r="G3962" s="24" t="str">
        <f>IF(OR(E3962="",E3962="!!!"),"",IF(OR(J3962=0,AND(J3962=1,K3962=1),AND(J3962=1,I3962="SBJ"),AND(J3962=1,I3962=0)),"?IN_FOCUS",IF(J3962&lt;=2,"?ACTIVATED",IF(J3962&lt;&gt;"","?FAMILIAR",IF(F3962="NEW",IF(ISNA(VLOOKUP(E3962,#REF!,1,FALSE())),"?TYPE_IDENTIFIABLE","?REFERENTIAL"),"_")))))</f>
        <v> </v>
      </c>
      <c r="H3962" s="25" t="str">
        <f>IF(J3962&lt;&gt;1,"",IF(I3962="SBJ","CB","?"))</f>
        <v> </v>
      </c>
      <c r="I3962" s="26" t="str">
        <f>IF(OR(E3962="",E3962="!!!",F3962="NEW"),"",INDEX(B3961:B$2,-1+SUMPRODUCT(MAX(ROW(E3961:E$2)*(E3962=E3961:E$2)))))</f>
        <v> </v>
      </c>
      <c r="J3962" s="26" t="str">
        <f>IF(OR(E3962="",E3962="!!!",F3962="NEW"),"",COUNTBLANK(OFFSET(A$1,,,SUMPRODUCT(MAX(ROW(E$2:E3962)*(E3962=E$2:E3962)))))-COUNTBLANK(OFFSET(A$1,,,SUMPRODUCT(MAX(ROW(E$1:E3961)*(E2=E$1:E3961))))))</f>
        <v> </v>
      </c>
      <c r="K3962" s="26" t="str">
        <f>IF(OR(E3962="",E3962="!!!",F3962="NEW"),"",INDEX(J$1:J3961,SUMPRODUCT(MAX(ROW(E$1:E3961)*(E3962=E$1:E3961)))))</f>
        <v> </v>
      </c>
      <c r="L3962" s="27"/>
    </row>
    <row r="3963" spans="1:12">
      <c r="A3963" s="20" t="s">
        <v>1203</v>
      </c>
      <c r="E3963" s="22">
        <f>IF(D3963="?OLD","!!!","")</f>
        <v/>
      </c>
      <c r="F3963" s="23" t="str">
        <f>IF(OR(E3963="",E3963="!!!"),"",IF(NOT(ISNA(VLOOKUP(E3963,E$1:E3962,1,FALSE()))),"OLD",IF(AND(E3963&lt;&gt;"",E3963&lt;&gt;"!!!"),"NEW","")))</f>
        <v> </v>
      </c>
      <c r="G3963" s="24" t="str">
        <f>IF(OR(E3963="",E3963="!!!"),"",IF(OR(J3963=0,AND(J3963=1,K3963=1),AND(J3963=1,I3963="SBJ"),AND(J3963=1,I3963=0)),"?IN_FOCUS",IF(J3963&lt;=2,"?ACTIVATED",IF(J3963&lt;&gt;"","?FAMILIAR",IF(F3963="NEW",IF(ISNA(VLOOKUP(E3963,#REF!,1,FALSE())),"?TYPE_IDENTIFIABLE","?REFERENTIAL"),"_")))))</f>
        <v> </v>
      </c>
      <c r="H3963" s="25" t="str">
        <f>IF(J3963&lt;&gt;1,"",IF(I3963="SBJ","CB","?"))</f>
        <v> </v>
      </c>
      <c r="I3963" s="26" t="str">
        <f>IF(OR(E3963="",E3963="!!!",F3963="NEW"),"",INDEX(B3962:B$2,-1+SUMPRODUCT(MAX(ROW(E3962:E$2)*(E3963=E3962:E$2)))))</f>
        <v> </v>
      </c>
      <c r="J3963" s="26" t="str">
        <f>IF(OR(E3963="",E3963="!!!",F3963="NEW"),"",COUNTBLANK(OFFSET(A$1,,,SUMPRODUCT(MAX(ROW(E$2:E3963)*(E3963=E$2:E3963)))))-COUNTBLANK(OFFSET(A$1,,,SUMPRODUCT(MAX(ROW(E$1:E3962)*(E2=E$1:E3962))))))</f>
        <v> </v>
      </c>
      <c r="K3963" s="26" t="str">
        <f>IF(OR(E3963="",E3963="!!!",F3963="NEW"),"",INDEX(J$1:J3962,SUMPRODUCT(MAX(ROW(E$1:E3962)*(E3963=E$1:E3962)))))</f>
        <v> </v>
      </c>
      <c r="L3963" s="27"/>
    </row>
    <row r="3964" spans="1:12">
      <c r="A3964" s="20" t="s">
        <v>2315</v>
      </c>
      <c r="B3964" s="21" t="s">
        <v>1147</v>
      </c>
      <c r="C3964" s="21" t="s">
        <v>1187</v>
      </c>
      <c r="E3964" s="22">
        <f>IF(D3964="?OLD","!!!","")</f>
        <v/>
      </c>
      <c r="F3964" s="23" t="str">
        <f>IF(OR(E3964="",E3964="!!!"),"",IF(NOT(ISNA(VLOOKUP(E3964,E$1:E3963,1,FALSE()))),"OLD",IF(AND(E3964&lt;&gt;"",E3964&lt;&gt;"!!!"),"NEW","")))</f>
        <v> </v>
      </c>
      <c r="G3964" s="24" t="str">
        <f>IF(OR(E3964="",E3964="!!!"),"",IF(OR(J3964=0,AND(J3964=1,K3964=1),AND(J3964=1,I3964="SBJ"),AND(J3964=1,I3964=0)),"?IN_FOCUS",IF(J3964&lt;=2,"?ACTIVATED",IF(J3964&lt;&gt;"","?FAMILIAR",IF(F3964="NEW",IF(ISNA(VLOOKUP(E3964,#REF!,1,FALSE())),"?TYPE_IDENTIFIABLE","?REFERENTIAL"),"_")))))</f>
        <v> </v>
      </c>
      <c r="H3964" s="25" t="str">
        <f>IF(J3964&lt;&gt;1,"",IF(I3964="SBJ","CB","?"))</f>
        <v> </v>
      </c>
      <c r="I3964" s="26" t="str">
        <f>IF(OR(E3964="",E3964="!!!",F3964="NEW"),"",INDEX(B3963:B$2,-1+SUMPRODUCT(MAX(ROW(E3963:E$2)*(E3964=E3963:E$2)))))</f>
        <v> </v>
      </c>
      <c r="J3964" s="26" t="str">
        <f>IF(OR(E3964="",E3964="!!!",F3964="NEW"),"",COUNTBLANK(OFFSET(A$1,,,SUMPRODUCT(MAX(ROW(E$2:E3964)*(E3964=E$2:E3964)))))-COUNTBLANK(OFFSET(A$1,,,SUMPRODUCT(MAX(ROW(E$1:E3963)*(E2=E$1:E3963))))))</f>
        <v> </v>
      </c>
      <c r="K3964" s="26" t="str">
        <f>IF(OR(E3964="",E3964="!!!",F3964="NEW"),"",INDEX(J$1:J3963,SUMPRODUCT(MAX(ROW(E$1:E3963)*(E3964=E$1:E3963)))))</f>
        <v> </v>
      </c>
      <c r="L3964" s="27"/>
    </row>
    <row r="3965" spans="1:12">
      <c r="A3965" s="20" t="s">
        <v>1339</v>
      </c>
      <c r="E3965" s="22">
        <f>IF(D3965="?OLD","!!!","")</f>
        <v/>
      </c>
      <c r="F3965" s="23" t="str">
        <f>IF(OR(E3965="",E3965="!!!"),"",IF(NOT(ISNA(VLOOKUP(E3965,E$1:E3964,1,FALSE()))),"OLD",IF(AND(E3965&lt;&gt;"",E3965&lt;&gt;"!!!"),"NEW","")))</f>
        <v> </v>
      </c>
      <c r="G3965" s="24" t="str">
        <f>IF(OR(E3965="",E3965="!!!"),"",IF(OR(J3965=0,AND(J3965=1,K3965=1),AND(J3965=1,I3965="SBJ"),AND(J3965=1,I3965=0)),"?IN_FOCUS",IF(J3965&lt;=2,"?ACTIVATED",IF(J3965&lt;&gt;"","?FAMILIAR",IF(F3965="NEW",IF(ISNA(VLOOKUP(E3965,#REF!,1,FALSE())),"?TYPE_IDENTIFIABLE","?REFERENTIAL"),"_")))))</f>
        <v> </v>
      </c>
      <c r="H3965" s="25" t="str">
        <f>IF(J3965&lt;&gt;1,"",IF(I3965="SBJ","CB","?"))</f>
        <v> </v>
      </c>
      <c r="I3965" s="26" t="str">
        <f>IF(OR(E3965="",E3965="!!!",F3965="NEW"),"",INDEX(B3964:B$2,-1+SUMPRODUCT(MAX(ROW(E3964:E$2)*(E3965=E3964:E$2)))))</f>
        <v> </v>
      </c>
      <c r="J3965" s="26" t="str">
        <f>IF(OR(E3965="",E3965="!!!",F3965="NEW"),"",COUNTBLANK(OFFSET(A$1,,,SUMPRODUCT(MAX(ROW(E$2:E3965)*(E3965=E$2:E3965)))))-COUNTBLANK(OFFSET(A$1,,,SUMPRODUCT(MAX(ROW(E$1:E3964)*(E2=E$1:E3964))))))</f>
        <v> </v>
      </c>
      <c r="K3965" s="26" t="str">
        <f>IF(OR(E3965="",E3965="!!!",F3965="NEW"),"",INDEX(J$1:J3964,SUMPRODUCT(MAX(ROW(E$1:E3964)*(E3965=E$1:E3964)))))</f>
        <v> </v>
      </c>
      <c r="L3965" s="27"/>
    </row>
    <row r="3966" spans="1:12">
      <c r="A3966" s="20" t="s">
        <v>1481</v>
      </c>
      <c r="E3966" s="22">
        <f>IF(D3966="?OLD","!!!","")</f>
        <v/>
      </c>
      <c r="F3966" s="23" t="str">
        <f>IF(OR(E3966="",E3966="!!!"),"",IF(NOT(ISNA(VLOOKUP(E3966,E$1:E3965,1,FALSE()))),"OLD",IF(AND(E3966&lt;&gt;"",E3966&lt;&gt;"!!!"),"NEW","")))</f>
        <v> </v>
      </c>
      <c r="G3966" s="24" t="str">
        <f>IF(OR(E3966="",E3966="!!!"),"",IF(OR(J3966=0,AND(J3966=1,K3966=1),AND(J3966=1,I3966="SBJ"),AND(J3966=1,I3966=0)),"?IN_FOCUS",IF(J3966&lt;=2,"?ACTIVATED",IF(J3966&lt;&gt;"","?FAMILIAR",IF(F3966="NEW",IF(ISNA(VLOOKUP(E3966,#REF!,1,FALSE())),"?TYPE_IDENTIFIABLE","?REFERENTIAL"),"_")))))</f>
        <v> </v>
      </c>
      <c r="H3966" s="25" t="str">
        <f>IF(J3966&lt;&gt;1,"",IF(I3966="SBJ","CB","?"))</f>
        <v> </v>
      </c>
      <c r="I3966" s="26" t="str">
        <f>IF(OR(E3966="",E3966="!!!",F3966="NEW"),"",INDEX(B3965:B$2,-1+SUMPRODUCT(MAX(ROW(E3965:E$2)*(E3966=E3965:E$2)))))</f>
        <v> </v>
      </c>
      <c r="J3966" s="26" t="str">
        <f>IF(OR(E3966="",E3966="!!!",F3966="NEW"),"",COUNTBLANK(OFFSET(A$1,,,SUMPRODUCT(MAX(ROW(E$2:E3966)*(E3966=E$2:E3966)))))-COUNTBLANK(OFFSET(A$1,,,SUMPRODUCT(MAX(ROW(E$1:E3965)*(E2=E$1:E3965))))))</f>
        <v> </v>
      </c>
      <c r="K3966" s="26" t="str">
        <f>IF(OR(E3966="",E3966="!!!",F3966="NEW"),"",INDEX(J$1:J3965,SUMPRODUCT(MAX(ROW(E$1:E3965)*(E3966=E$1:E3965)))))</f>
        <v> </v>
      </c>
      <c r="L3966" s="27"/>
    </row>
    <row r="3967" spans="1:12">
      <c r="A3967" s="20" t="s">
        <v>2326</v>
      </c>
      <c r="B3967" s="21" t="s">
        <v>1171</v>
      </c>
      <c r="C3967" s="21" t="s">
        <v>1162</v>
      </c>
      <c r="D3967" s="21" t="s">
        <v>1144</v>
      </c>
      <c r="E3967" s="22">
        <f>IF(D3967="?OLD","!!!","")</f>
        <v/>
      </c>
      <c r="F3967" s="23" t="str">
        <f>IF(OR(E3967="",E3967="!!!"),"",IF(NOT(ISNA(VLOOKUP(E3967,E$1:E3966,1,FALSE()))),"OLD",IF(AND(E3967&lt;&gt;"",E3967&lt;&gt;"!!!"),"NEW","")))</f>
        <v> </v>
      </c>
      <c r="G3967" s="24" t="str">
        <f>IF(OR(E3967="",E3967="!!!"),"",IF(OR(J3967=0,AND(J3967=1,K3967=1),AND(J3967=1,I3967="SBJ"),AND(J3967=1,I3967=0)),"?IN_FOCUS",IF(J3967&lt;=2,"?ACTIVATED",IF(J3967&lt;&gt;"","?FAMILIAR",IF(F3967="NEW",IF(ISNA(VLOOKUP(E3967,#REF!,1,FALSE())),"?TYPE_IDENTIFIABLE","?REFERENTIAL"),"_")))))</f>
        <v> </v>
      </c>
      <c r="H3967" s="25" t="str">
        <f>IF(J3967&lt;&gt;1,"",IF(I3967="SBJ","CB","?"))</f>
        <v> </v>
      </c>
      <c r="I3967" s="26" t="str">
        <f>IF(OR(E3967="",E3967="!!!",F3967="NEW"),"",INDEX(B3966:B$2,-1+SUMPRODUCT(MAX(ROW(E3966:E$2)*(E3967=E3966:E$2)))))</f>
        <v> </v>
      </c>
      <c r="J3967" s="26" t="str">
        <f>IF(OR(E3967="",E3967="!!!",F3967="NEW"),"",COUNTBLANK(OFFSET(A$1,,,SUMPRODUCT(MAX(ROW(E$2:E3967)*(E3967=E$2:E3967)))))-COUNTBLANK(OFFSET(A$1,,,SUMPRODUCT(MAX(ROW(E$1:E3966)*(E2=E$1:E3966))))))</f>
        <v> </v>
      </c>
      <c r="K3967" s="26" t="str">
        <f>IF(OR(E3967="",E3967="!!!",F3967="NEW"),"",INDEX(J$1:J3966,SUMPRODUCT(MAX(ROW(E$1:E3966)*(E3967=E$1:E3966)))))</f>
        <v> </v>
      </c>
      <c r="L3967" s="27"/>
    </row>
    <row r="3968" spans="1:12">
      <c r="A3968" s="20" t="s">
        <v>2327</v>
      </c>
      <c r="E3968" s="22">
        <f>IF(D3968="?OLD","!!!","")</f>
        <v/>
      </c>
      <c r="F3968" s="23" t="str">
        <f>IF(OR(E3968="",E3968="!!!"),"",IF(NOT(ISNA(VLOOKUP(E3968,E$1:E3967,1,FALSE()))),"OLD",IF(AND(E3968&lt;&gt;"",E3968&lt;&gt;"!!!"),"NEW","")))</f>
        <v> </v>
      </c>
      <c r="G3968" s="24" t="str">
        <f>IF(OR(E3968="",E3968="!!!"),"",IF(OR(J3968=0,AND(J3968=1,K3968=1),AND(J3968=1,I3968="SBJ"),AND(J3968=1,I3968=0)),"?IN_FOCUS",IF(J3968&lt;=2,"?ACTIVATED",IF(J3968&lt;&gt;"","?FAMILIAR",IF(F3968="NEW",IF(ISNA(VLOOKUP(E3968,#REF!,1,FALSE())),"?TYPE_IDENTIFIABLE","?REFERENTIAL"),"_")))))</f>
        <v> </v>
      </c>
      <c r="H3968" s="25" t="str">
        <f>IF(J3968&lt;&gt;1,"",IF(I3968="SBJ","CB","?"))</f>
        <v> </v>
      </c>
      <c r="I3968" s="26" t="str">
        <f>IF(OR(E3968="",E3968="!!!",F3968="NEW"),"",INDEX(B3967:B$2,-1+SUMPRODUCT(MAX(ROW(E3967:E$2)*(E3968=E3967:E$2)))))</f>
        <v> </v>
      </c>
      <c r="J3968" s="26" t="str">
        <f>IF(OR(E3968="",E3968="!!!",F3968="NEW"),"",COUNTBLANK(OFFSET(A$1,,,SUMPRODUCT(MAX(ROW(E$2:E3968)*(E3968=E$2:E3968)))))-COUNTBLANK(OFFSET(A$1,,,SUMPRODUCT(MAX(ROW(E$1:E3967)*(E2=E$1:E3967))))))</f>
        <v> </v>
      </c>
      <c r="K3968" s="26" t="str">
        <f>IF(OR(E3968="",E3968="!!!",F3968="NEW"),"",INDEX(J$1:J3967,SUMPRODUCT(MAX(ROW(E$1:E3967)*(E3968=E$1:E3967)))))</f>
        <v> </v>
      </c>
      <c r="L3968" s="27"/>
    </row>
    <row r="3969" spans="1:12">
      <c r="A3969" s="20" t="s">
        <v>1203</v>
      </c>
      <c r="E3969" s="22">
        <f>IF(D3969="?OLD","!!!","")</f>
        <v/>
      </c>
      <c r="F3969" s="23" t="str">
        <f>IF(OR(E3969="",E3969="!!!"),"",IF(NOT(ISNA(VLOOKUP(E3969,E$1:E3968,1,FALSE()))),"OLD",IF(AND(E3969&lt;&gt;"",E3969&lt;&gt;"!!!"),"NEW","")))</f>
        <v> </v>
      </c>
      <c r="G3969" s="24" t="str">
        <f>IF(OR(E3969="",E3969="!!!"),"",IF(OR(J3969=0,AND(J3969=1,K3969=1),AND(J3969=1,I3969="SBJ"),AND(J3969=1,I3969=0)),"?IN_FOCUS",IF(J3969&lt;=2,"?ACTIVATED",IF(J3969&lt;&gt;"","?FAMILIAR",IF(F3969="NEW",IF(ISNA(VLOOKUP(E3969,#REF!,1,FALSE())),"?TYPE_IDENTIFIABLE","?REFERENTIAL"),"_")))))</f>
        <v> </v>
      </c>
      <c r="H3969" s="25" t="str">
        <f>IF(J3969&lt;&gt;1,"",IF(I3969="SBJ","CB","?"))</f>
        <v> </v>
      </c>
      <c r="I3969" s="26" t="str">
        <f>IF(OR(E3969="",E3969="!!!",F3969="NEW"),"",INDEX(B3968:B$2,-1+SUMPRODUCT(MAX(ROW(E3968:E$2)*(E3969=E3968:E$2)))))</f>
        <v> </v>
      </c>
      <c r="J3969" s="26" t="str">
        <f>IF(OR(E3969="",E3969="!!!",F3969="NEW"),"",COUNTBLANK(OFFSET(A$1,,,SUMPRODUCT(MAX(ROW(E$2:E3969)*(E3969=E$2:E3969)))))-COUNTBLANK(OFFSET(A$1,,,SUMPRODUCT(MAX(ROW(E$1:E3968)*(E2=E$1:E3968))))))</f>
        <v> </v>
      </c>
      <c r="K3969" s="26" t="str">
        <f>IF(OR(E3969="",E3969="!!!",F3969="NEW"),"",INDEX(J$1:J3968,SUMPRODUCT(MAX(ROW(E$1:E3968)*(E3969=E$1:E3968)))))</f>
        <v> </v>
      </c>
      <c r="L3969" s="27"/>
    </row>
    <row r="3970" spans="1:12">
      <c r="A3970" s="20" t="s">
        <v>2328</v>
      </c>
      <c r="E3970" s="22">
        <f>IF(D3970="?OLD","!!!","")</f>
        <v/>
      </c>
      <c r="F3970" s="23" t="str">
        <f>IF(OR(E3970="",E3970="!!!"),"",IF(NOT(ISNA(VLOOKUP(E3970,E$1:E3969,1,FALSE()))),"OLD",IF(AND(E3970&lt;&gt;"",E3970&lt;&gt;"!!!"),"NEW","")))</f>
        <v> </v>
      </c>
      <c r="G3970" s="24" t="str">
        <f>IF(OR(E3970="",E3970="!!!"),"",IF(OR(J3970=0,AND(J3970=1,K3970=1),AND(J3970=1,I3970="SBJ"),AND(J3970=1,I3970=0)),"?IN_FOCUS",IF(J3970&lt;=2,"?ACTIVATED",IF(J3970&lt;&gt;"","?FAMILIAR",IF(F3970="NEW",IF(ISNA(VLOOKUP(E3970,#REF!,1,FALSE())),"?TYPE_IDENTIFIABLE","?REFERENTIAL"),"_")))))</f>
        <v> </v>
      </c>
      <c r="H3970" s="25" t="str">
        <f>IF(J3970&lt;&gt;1,"",IF(I3970="SBJ","CB","?"))</f>
        <v> </v>
      </c>
      <c r="I3970" s="26" t="str">
        <f>IF(OR(E3970="",E3970="!!!",F3970="NEW"),"",INDEX(B3969:B$2,-1+SUMPRODUCT(MAX(ROW(E3969:E$2)*(E3970=E3969:E$2)))))</f>
        <v> </v>
      </c>
      <c r="J3970" s="26" t="str">
        <f>IF(OR(E3970="",E3970="!!!",F3970="NEW"),"",COUNTBLANK(OFFSET(A$1,,,SUMPRODUCT(MAX(ROW(E$2:E3970)*(E3970=E$2:E3970)))))-COUNTBLANK(OFFSET(A$1,,,SUMPRODUCT(MAX(ROW(E$1:E3969)*(E2=E$1:E3969))))))</f>
        <v> </v>
      </c>
      <c r="K3970" s="26" t="str">
        <f>IF(OR(E3970="",E3970="!!!",F3970="NEW"),"",INDEX(J$1:J3969,SUMPRODUCT(MAX(ROW(E$1:E3969)*(E3970=E$1:E3969)))))</f>
        <v> </v>
      </c>
      <c r="L3970" s="27"/>
    </row>
    <row r="3971" spans="1:12">
      <c r="A3971" s="20" t="s">
        <v>1238</v>
      </c>
      <c r="E3971" s="22">
        <f>IF(D3971="?OLD","!!!","")</f>
        <v/>
      </c>
      <c r="F3971" s="23" t="str">
        <f>IF(OR(E3971="",E3971="!!!"),"",IF(NOT(ISNA(VLOOKUP(E3971,E$1:E3970,1,FALSE()))),"OLD",IF(AND(E3971&lt;&gt;"",E3971&lt;&gt;"!!!"),"NEW","")))</f>
        <v> </v>
      </c>
      <c r="G3971" s="24" t="str">
        <f>IF(OR(E3971="",E3971="!!!"),"",IF(OR(J3971=0,AND(J3971=1,K3971=1),AND(J3971=1,I3971="SBJ"),AND(J3971=1,I3971=0)),"?IN_FOCUS",IF(J3971&lt;=2,"?ACTIVATED",IF(J3971&lt;&gt;"","?FAMILIAR",IF(F3971="NEW",IF(ISNA(VLOOKUP(E3971,#REF!,1,FALSE())),"?TYPE_IDENTIFIABLE","?REFERENTIAL"),"_")))))</f>
        <v> </v>
      </c>
      <c r="H3971" s="25" t="str">
        <f>IF(J3971&lt;&gt;1,"",IF(I3971="SBJ","CB","?"))</f>
        <v> </v>
      </c>
      <c r="I3971" s="26" t="str">
        <f>IF(OR(E3971="",E3971="!!!",F3971="NEW"),"",INDEX(B3970:B$2,-1+SUMPRODUCT(MAX(ROW(E3970:E$2)*(E3971=E3970:E$2)))))</f>
        <v> </v>
      </c>
      <c r="J3971" s="26" t="str">
        <f>IF(OR(E3971="",E3971="!!!",F3971="NEW"),"",COUNTBLANK(OFFSET(A$1,,,SUMPRODUCT(MAX(ROW(E$2:E3971)*(E3971=E$2:E3971)))))-COUNTBLANK(OFFSET(A$1,,,SUMPRODUCT(MAX(ROW(E$1:E3970)*(E2=E$1:E3970))))))</f>
        <v> </v>
      </c>
      <c r="K3971" s="26" t="str">
        <f>IF(OR(E3971="",E3971="!!!",F3971="NEW"),"",INDEX(J$1:J3970,SUMPRODUCT(MAX(ROW(E$1:E3970)*(E3971=E$1:E3970)))))</f>
        <v> </v>
      </c>
      <c r="L3971" s="27"/>
    </row>
    <row r="3972" spans="1:12">
      <c r="A3972" s="20" t="s">
        <v>2329</v>
      </c>
      <c r="B3972" s="21" t="s">
        <v>1193</v>
      </c>
      <c r="C3972" s="21" t="s">
        <v>1162</v>
      </c>
      <c r="D3972" s="21" t="s">
        <v>1144</v>
      </c>
      <c r="E3972" s="22">
        <f>IF(D3972="?OLD","!!!","")</f>
        <v/>
      </c>
      <c r="F3972" s="23" t="str">
        <f>IF(OR(E3972="",E3972="!!!"),"",IF(NOT(ISNA(VLOOKUP(E3972,E$1:E3971,1,FALSE()))),"OLD",IF(AND(E3972&lt;&gt;"",E3972&lt;&gt;"!!!"),"NEW","")))</f>
        <v> </v>
      </c>
      <c r="G3972" s="24" t="str">
        <f>IF(OR(E3972="",E3972="!!!"),"",IF(OR(J3972=0,AND(J3972=1,K3972=1),AND(J3972=1,I3972="SBJ"),AND(J3972=1,I3972=0)),"?IN_FOCUS",IF(J3972&lt;=2,"?ACTIVATED",IF(J3972&lt;&gt;"","?FAMILIAR",IF(F3972="NEW",IF(ISNA(VLOOKUP(E3972,#REF!,1,FALSE())),"?TYPE_IDENTIFIABLE","?REFERENTIAL"),"_")))))</f>
        <v> </v>
      </c>
      <c r="H3972" s="25" t="str">
        <f>IF(J3972&lt;&gt;1,"",IF(I3972="SBJ","CB","?"))</f>
        <v> </v>
      </c>
      <c r="I3972" s="26" t="str">
        <f>IF(OR(E3972="",E3972="!!!",F3972="NEW"),"",INDEX(B3971:B$2,-1+SUMPRODUCT(MAX(ROW(E3971:E$2)*(E3972=E3971:E$2)))))</f>
        <v> </v>
      </c>
      <c r="J3972" s="26" t="str">
        <f>IF(OR(E3972="",E3972="!!!",F3972="NEW"),"",COUNTBLANK(OFFSET(A$1,,,SUMPRODUCT(MAX(ROW(E$2:E3972)*(E3972=E$2:E3972)))))-COUNTBLANK(OFFSET(A$1,,,SUMPRODUCT(MAX(ROW(E$1:E3971)*(E2=E$1:E3971))))))</f>
        <v> </v>
      </c>
      <c r="K3972" s="26" t="str">
        <f>IF(OR(E3972="",E3972="!!!",F3972="NEW"),"",INDEX(J$1:J3971,SUMPRODUCT(MAX(ROW(E$1:E3971)*(E3972=E$1:E3971)))))</f>
        <v> </v>
      </c>
      <c r="L3972" s="27"/>
    </row>
    <row r="3973" spans="1:12">
      <c r="A3973" s="20" t="s">
        <v>165</v>
      </c>
      <c r="E3973" s="22">
        <f>IF(D3973="?OLD","!!!","")</f>
        <v/>
      </c>
      <c r="F3973" s="23" t="str">
        <f>IF(OR(E3973="",E3973="!!!"),"",IF(NOT(ISNA(VLOOKUP(E3973,E$1:E3972,1,FALSE()))),"OLD",IF(AND(E3973&lt;&gt;"",E3973&lt;&gt;"!!!"),"NEW","")))</f>
        <v> </v>
      </c>
      <c r="G3973" s="24" t="str">
        <f>IF(OR(E3973="",E3973="!!!"),"",IF(OR(J3973=0,AND(J3973=1,K3973=1),AND(J3973=1,I3973="SBJ"),AND(J3973=1,I3973=0)),"?IN_FOCUS",IF(J3973&lt;=2,"?ACTIVATED",IF(J3973&lt;&gt;"","?FAMILIAR",IF(F3973="NEW",IF(ISNA(VLOOKUP(E3973,#REF!,1,FALSE())),"?TYPE_IDENTIFIABLE","?REFERENTIAL"),"_")))))</f>
        <v> </v>
      </c>
      <c r="H3973" s="25" t="str">
        <f>IF(J3973&lt;&gt;1,"",IF(I3973="SBJ","CB","?"))</f>
        <v> </v>
      </c>
      <c r="I3973" s="26" t="str">
        <f>IF(OR(E3973="",E3973="!!!",F3973="NEW"),"",INDEX(B3972:B$2,-1+SUMPRODUCT(MAX(ROW(E3972:E$2)*(E3973=E3972:E$2)))))</f>
        <v> </v>
      </c>
      <c r="J3973" s="26" t="str">
        <f>IF(OR(E3973="",E3973="!!!",F3973="NEW"),"",COUNTBLANK(OFFSET(A$1,,,SUMPRODUCT(MAX(ROW(E$2:E3973)*(E3973=E$2:E3973)))))-COUNTBLANK(OFFSET(A$1,,,SUMPRODUCT(MAX(ROW(E$1:E3972)*(E2=E$1:E3972))))))</f>
        <v> </v>
      </c>
      <c r="K3973" s="26" t="str">
        <f>IF(OR(E3973="",E3973="!!!",F3973="NEW"),"",INDEX(J$1:J3972,SUMPRODUCT(MAX(ROW(E$1:E3972)*(E3973=E$1:E3972)))))</f>
        <v> </v>
      </c>
      <c r="L3973" s="27"/>
    </row>
    <row r="3974" spans="1:12">
      <c r="A3974" s="20" t="s">
        <v>1166</v>
      </c>
      <c r="E3974" s="22">
        <f>IF(D3974="?OLD","!!!","")</f>
        <v/>
      </c>
      <c r="F3974" s="23" t="str">
        <f>IF(OR(E3974="",E3974="!!!"),"",IF(NOT(ISNA(VLOOKUP(E3974,E$1:E3973,1,FALSE()))),"OLD",IF(AND(E3974&lt;&gt;"",E3974&lt;&gt;"!!!"),"NEW","")))</f>
        <v> </v>
      </c>
      <c r="G3974" s="24" t="str">
        <f>IF(OR(E3974="",E3974="!!!"),"",IF(OR(J3974=0,AND(J3974=1,K3974=1),AND(J3974=1,I3974="SBJ"),AND(J3974=1,I3974=0)),"?IN_FOCUS",IF(J3974&lt;=2,"?ACTIVATED",IF(J3974&lt;&gt;"","?FAMILIAR",IF(F3974="NEW",IF(ISNA(VLOOKUP(E3974,#REF!,1,FALSE())),"?TYPE_IDENTIFIABLE","?REFERENTIAL"),"_")))))</f>
        <v> </v>
      </c>
      <c r="H3974" s="25" t="str">
        <f>IF(J3974&lt;&gt;1,"",IF(I3974="SBJ","CB","?"))</f>
        <v> </v>
      </c>
      <c r="I3974" s="26" t="str">
        <f>IF(OR(E3974="",E3974="!!!",F3974="NEW"),"",INDEX(B3973:B$2,-1+SUMPRODUCT(MAX(ROW(E3973:E$2)*(E3974=E3973:E$2)))))</f>
        <v> </v>
      </c>
      <c r="J3974" s="26" t="str">
        <f>IF(OR(E3974="",E3974="!!!",F3974="NEW"),"",COUNTBLANK(OFFSET(A$1,,,SUMPRODUCT(MAX(ROW(E$2:E3974)*(E3974=E$2:E3974)))))-COUNTBLANK(OFFSET(A$1,,,SUMPRODUCT(MAX(ROW(E$1:E3973)*(E2=E$1:E3973))))))</f>
        <v> </v>
      </c>
      <c r="K3974" s="26" t="str">
        <f>IF(OR(E3974="",E3974="!!!",F3974="NEW"),"",INDEX(J$1:J3973,SUMPRODUCT(MAX(ROW(E$1:E3973)*(E3974=E$1:E3973)))))</f>
        <v> </v>
      </c>
      <c r="L3974" s="27"/>
    </row>
    <row r="3975" spans="1:12">
      <c r="A3975" s="20" t="s">
        <v>2010</v>
      </c>
      <c r="E3975" s="22">
        <f>IF(D3975="?OLD","!!!","")</f>
        <v/>
      </c>
      <c r="F3975" s="23" t="str">
        <f>IF(OR(E3975="",E3975="!!!"),"",IF(NOT(ISNA(VLOOKUP(E3975,E$1:E3974,1,FALSE()))),"OLD",IF(AND(E3975&lt;&gt;"",E3975&lt;&gt;"!!!"),"NEW","")))</f>
        <v> </v>
      </c>
      <c r="G3975" s="24" t="str">
        <f>IF(OR(E3975="",E3975="!!!"),"",IF(OR(J3975=0,AND(J3975=1,K3975=1),AND(J3975=1,I3975="SBJ"),AND(J3975=1,I3975=0)),"?IN_FOCUS",IF(J3975&lt;=2,"?ACTIVATED",IF(J3975&lt;&gt;"","?FAMILIAR",IF(F3975="NEW",IF(ISNA(VLOOKUP(E3975,#REF!,1,FALSE())),"?TYPE_IDENTIFIABLE","?REFERENTIAL"),"_")))))</f>
        <v> </v>
      </c>
      <c r="H3975" s="25" t="str">
        <f>IF(J3975&lt;&gt;1,"",IF(I3975="SBJ","CB","?"))</f>
        <v> </v>
      </c>
      <c r="I3975" s="26" t="str">
        <f>IF(OR(E3975="",E3975="!!!",F3975="NEW"),"",INDEX(B3974:B$2,-1+SUMPRODUCT(MAX(ROW(E3974:E$2)*(E3975=E3974:E$2)))))</f>
        <v> </v>
      </c>
      <c r="J3975" s="26" t="str">
        <f>IF(OR(E3975="",E3975="!!!",F3975="NEW"),"",COUNTBLANK(OFFSET(A$1,,,SUMPRODUCT(MAX(ROW(E$2:E3975)*(E3975=E$2:E3975)))))-COUNTBLANK(OFFSET(A$1,,,SUMPRODUCT(MAX(ROW(E$1:E3974)*(E2=E$1:E3974))))))</f>
        <v> </v>
      </c>
      <c r="K3975" s="26" t="str">
        <f>IF(OR(E3975="",E3975="!!!",F3975="NEW"),"",INDEX(J$1:J3974,SUMPRODUCT(MAX(ROW(E$1:E3974)*(E3975=E$1:E3974)))))</f>
        <v> </v>
      </c>
      <c r="L3975" s="27"/>
    </row>
    <row r="3976" spans="1:12">
      <c r="A3976" s="20" t="s">
        <v>1179</v>
      </c>
      <c r="E3976" s="22">
        <f>IF(D3976="?OLD","!!!","")</f>
        <v/>
      </c>
      <c r="F3976" s="23" t="str">
        <f>IF(OR(E3976="",E3976="!!!"),"",IF(NOT(ISNA(VLOOKUP(E3976,E$1:E3975,1,FALSE()))),"OLD",IF(AND(E3976&lt;&gt;"",E3976&lt;&gt;"!!!"),"NEW","")))</f>
        <v> </v>
      </c>
      <c r="G3976" s="24" t="str">
        <f>IF(OR(E3976="",E3976="!!!"),"",IF(OR(J3976=0,AND(J3976=1,K3976=1),AND(J3976=1,I3976="SBJ"),AND(J3976=1,I3976=0)),"?IN_FOCUS",IF(J3976&lt;=2,"?ACTIVATED",IF(J3976&lt;&gt;"","?FAMILIAR",IF(F3976="NEW",IF(ISNA(VLOOKUP(E3976,#REF!,1,FALSE())),"?TYPE_IDENTIFIABLE","?REFERENTIAL"),"_")))))</f>
        <v> </v>
      </c>
      <c r="H3976" s="25" t="str">
        <f>IF(J3976&lt;&gt;1,"",IF(I3976="SBJ","CB","?"))</f>
        <v> </v>
      </c>
      <c r="I3976" s="26" t="str">
        <f>IF(OR(E3976="",E3976="!!!",F3976="NEW"),"",INDEX(B3975:B$2,-1+SUMPRODUCT(MAX(ROW(E3975:E$2)*(E3976=E3975:E$2)))))</f>
        <v> </v>
      </c>
      <c r="J3976" s="26" t="str">
        <f>IF(OR(E3976="",E3976="!!!",F3976="NEW"),"",COUNTBLANK(OFFSET(A$1,,,SUMPRODUCT(MAX(ROW(E$2:E3976)*(E3976=E$2:E3976)))))-COUNTBLANK(OFFSET(A$1,,,SUMPRODUCT(MAX(ROW(E$1:E3975)*(E2=E$1:E3975))))))</f>
        <v> </v>
      </c>
      <c r="K3976" s="26" t="str">
        <f>IF(OR(E3976="",E3976="!!!",F3976="NEW"),"",INDEX(J$1:J3975,SUMPRODUCT(MAX(ROW(E$1:E3975)*(E3976=E$1:E3975)))))</f>
        <v> </v>
      </c>
      <c r="L3976" s="27"/>
    </row>
    <row r="3977" spans="1:12">
      <c r="A3977" s="20" t="s">
        <v>1378</v>
      </c>
      <c r="B3977" s="21" t="s">
        <v>1154</v>
      </c>
      <c r="C3977" s="21" t="s">
        <v>1155</v>
      </c>
      <c r="E3977" s="22">
        <f>IF(D3977="?OLD","!!!","")</f>
        <v/>
      </c>
      <c r="F3977" s="23" t="str">
        <f>IF(OR(E3977="",E3977="!!!"),"",IF(NOT(ISNA(VLOOKUP(E3977,E$1:E3976,1,FALSE()))),"OLD",IF(AND(E3977&lt;&gt;"",E3977&lt;&gt;"!!!"),"NEW","")))</f>
        <v> </v>
      </c>
      <c r="G3977" s="24" t="str">
        <f>IF(OR(E3977="",E3977="!!!"),"",IF(OR(J3977=0,AND(J3977=1,K3977=1),AND(J3977=1,I3977="SBJ"),AND(J3977=1,I3977=0)),"?IN_FOCUS",IF(J3977&lt;=2,"?ACTIVATED",IF(J3977&lt;&gt;"","?FAMILIAR",IF(F3977="NEW",IF(ISNA(VLOOKUP(E3977,#REF!,1,FALSE())),"?TYPE_IDENTIFIABLE","?REFERENTIAL"),"_")))))</f>
        <v> </v>
      </c>
      <c r="H3977" s="25" t="str">
        <f>IF(J3977&lt;&gt;1,"",IF(I3977="SBJ","CB","?"))</f>
        <v> </v>
      </c>
      <c r="I3977" s="26" t="str">
        <f>IF(OR(E3977="",E3977="!!!",F3977="NEW"),"",INDEX(B3976:B$2,-1+SUMPRODUCT(MAX(ROW(E3976:E$2)*(E3977=E3976:E$2)))))</f>
        <v> </v>
      </c>
      <c r="J3977" s="26" t="str">
        <f>IF(OR(E3977="",E3977="!!!",F3977="NEW"),"",COUNTBLANK(OFFSET(A$1,,,SUMPRODUCT(MAX(ROW(E$2:E3977)*(E3977=E$2:E3977)))))-COUNTBLANK(OFFSET(A$1,,,SUMPRODUCT(MAX(ROW(E$1:E3976)*(E2=E$1:E3976))))))</f>
        <v> </v>
      </c>
      <c r="K3977" s="26" t="str">
        <f>IF(OR(E3977="",E3977="!!!",F3977="NEW"),"",INDEX(J$1:J3976,SUMPRODUCT(MAX(ROW(E$1:E3976)*(E3977=E$1:E3976)))))</f>
        <v> </v>
      </c>
      <c r="L3977" s="27"/>
    </row>
    <row r="3978" spans="1:12">
      <c r="A3978" s="20" t="s">
        <v>1166</v>
      </c>
      <c r="E3978" s="22">
        <f>IF(D3978="?OLD","!!!","")</f>
        <v/>
      </c>
      <c r="F3978" s="23" t="str">
        <f>IF(OR(E3978="",E3978="!!!"),"",IF(NOT(ISNA(VLOOKUP(E3978,E$1:E3977,1,FALSE()))),"OLD",IF(AND(E3978&lt;&gt;"",E3978&lt;&gt;"!!!"),"NEW","")))</f>
        <v> </v>
      </c>
      <c r="G3978" s="24" t="str">
        <f>IF(OR(E3978="",E3978="!!!"),"",IF(OR(J3978=0,AND(J3978=1,K3978=1),AND(J3978=1,I3978="SBJ"),AND(J3978=1,I3978=0)),"?IN_FOCUS",IF(J3978&lt;=2,"?ACTIVATED",IF(J3978&lt;&gt;"","?FAMILIAR",IF(F3978="NEW",IF(ISNA(VLOOKUP(E3978,#REF!,1,FALSE())),"?TYPE_IDENTIFIABLE","?REFERENTIAL"),"_")))))</f>
        <v> </v>
      </c>
      <c r="H3978" s="25" t="str">
        <f>IF(J3978&lt;&gt;1,"",IF(I3978="SBJ","CB","?"))</f>
        <v> </v>
      </c>
      <c r="I3978" s="26" t="str">
        <f>IF(OR(E3978="",E3978="!!!",F3978="NEW"),"",INDEX(B3977:B$2,-1+SUMPRODUCT(MAX(ROW(E3977:E$2)*(E3978=E3977:E$2)))))</f>
        <v> </v>
      </c>
      <c r="J3978" s="26" t="str">
        <f>IF(OR(E3978="",E3978="!!!",F3978="NEW"),"",COUNTBLANK(OFFSET(A$1,,,SUMPRODUCT(MAX(ROW(E$2:E3978)*(E3978=E$2:E3978)))))-COUNTBLANK(OFFSET(A$1,,,SUMPRODUCT(MAX(ROW(E$1:E3977)*(E2=E$1:E3977))))))</f>
        <v> </v>
      </c>
      <c r="K3978" s="26" t="str">
        <f>IF(OR(E3978="",E3978="!!!",F3978="NEW"),"",INDEX(J$1:J3977,SUMPRODUCT(MAX(ROW(E$1:E3977)*(E3978=E$1:E3977)))))</f>
        <v> </v>
      </c>
      <c r="L3978" s="27"/>
    </row>
    <row r="3979" spans="1:12">
      <c r="A3979" s="20" t="s">
        <v>1191</v>
      </c>
      <c r="B3979" s="21" t="s">
        <v>1175</v>
      </c>
      <c r="E3979" s="22">
        <f>IF(D3979="?OLD","!!!","")</f>
        <v/>
      </c>
      <c r="F3979" s="23" t="str">
        <f>IF(OR(E3979="",E3979="!!!"),"",IF(NOT(ISNA(VLOOKUP(E3979,E$1:E3978,1,FALSE()))),"OLD",IF(AND(E3979&lt;&gt;"",E3979&lt;&gt;"!!!"),"NEW","")))</f>
        <v> </v>
      </c>
      <c r="G3979" s="24" t="str">
        <f>IF(OR(E3979="",E3979="!!!"),"",IF(OR(J3979=0,AND(J3979=1,K3979=1),AND(J3979=1,I3979="SBJ"),AND(J3979=1,I3979=0)),"?IN_FOCUS",IF(J3979&lt;=2,"?ACTIVATED",IF(J3979&lt;&gt;"","?FAMILIAR",IF(F3979="NEW",IF(ISNA(VLOOKUP(E3979,#REF!,1,FALSE())),"?TYPE_IDENTIFIABLE","?REFERENTIAL"),"_")))))</f>
        <v> </v>
      </c>
      <c r="H3979" s="25" t="str">
        <f>IF(J3979&lt;&gt;1,"",IF(I3979="SBJ","CB","?"))</f>
        <v> </v>
      </c>
      <c r="I3979" s="26" t="str">
        <f>IF(OR(E3979="",E3979="!!!",F3979="NEW"),"",INDEX(B3978:B$2,-1+SUMPRODUCT(MAX(ROW(E3978:E$2)*(E3979=E3978:E$2)))))</f>
        <v> </v>
      </c>
      <c r="J3979" s="26" t="str">
        <f>IF(OR(E3979="",E3979="!!!",F3979="NEW"),"",COUNTBLANK(OFFSET(A$1,,,SUMPRODUCT(MAX(ROW(E$2:E3979)*(E3979=E$2:E3979)))))-COUNTBLANK(OFFSET(A$1,,,SUMPRODUCT(MAX(ROW(E$1:E3978)*(E2=E$1:E3978))))))</f>
        <v> </v>
      </c>
      <c r="K3979" s="26" t="str">
        <f>IF(OR(E3979="",E3979="!!!",F3979="NEW"),"",INDEX(J$1:J3978,SUMPRODUCT(MAX(ROW(E$1:E3978)*(E3979=E$1:E3978)))))</f>
        <v> </v>
      </c>
      <c r="L3979" s="27"/>
    </row>
    <row r="3980" spans="1:12">
      <c r="A3980" s="20" t="s">
        <v>1448</v>
      </c>
      <c r="B3980" s="21" t="s">
        <v>1175</v>
      </c>
      <c r="C3980" s="21" t="s">
        <v>1187</v>
      </c>
      <c r="E3980" s="22">
        <f>IF(D3980="?OLD","!!!","")</f>
        <v/>
      </c>
      <c r="F3980" s="23" t="str">
        <f>IF(OR(E3980="",E3980="!!!"),"",IF(NOT(ISNA(VLOOKUP(E3980,E$1:E3979,1,FALSE()))),"OLD",IF(AND(E3980&lt;&gt;"",E3980&lt;&gt;"!!!"),"NEW","")))</f>
        <v> </v>
      </c>
      <c r="G3980" s="24" t="str">
        <f>IF(OR(E3980="",E3980="!!!"),"",IF(OR(J3980=0,AND(J3980=1,K3980=1),AND(J3980=1,I3980="SBJ"),AND(J3980=1,I3980=0)),"?IN_FOCUS",IF(J3980&lt;=2,"?ACTIVATED",IF(J3980&lt;&gt;"","?FAMILIAR",IF(F3980="NEW",IF(ISNA(VLOOKUP(E3980,#REF!,1,FALSE())),"?TYPE_IDENTIFIABLE","?REFERENTIAL"),"_")))))</f>
        <v> </v>
      </c>
      <c r="H3980" s="25" t="str">
        <f>IF(J3980&lt;&gt;1,"",IF(I3980="SBJ","CB","?"))</f>
        <v> </v>
      </c>
      <c r="I3980" s="26" t="str">
        <f>IF(OR(E3980="",E3980="!!!",F3980="NEW"),"",INDEX(B3979:B$2,-1+SUMPRODUCT(MAX(ROW(E3979:E$2)*(E3980=E3979:E$2)))))</f>
        <v> </v>
      </c>
      <c r="J3980" s="26" t="str">
        <f>IF(OR(E3980="",E3980="!!!",F3980="NEW"),"",COUNTBLANK(OFFSET(A$1,,,SUMPRODUCT(MAX(ROW(E$2:E3980)*(E3980=E$2:E3980)))))-COUNTBLANK(OFFSET(A$1,,,SUMPRODUCT(MAX(ROW(E$1:E3979)*(E2=E$1:E3979))))))</f>
        <v> </v>
      </c>
      <c r="K3980" s="26" t="str">
        <f>IF(OR(E3980="",E3980="!!!",F3980="NEW"),"",INDEX(J$1:J3979,SUMPRODUCT(MAX(ROW(E$1:E3979)*(E3980=E$1:E3979)))))</f>
        <v> </v>
      </c>
      <c r="L3980" s="27"/>
    </row>
    <row r="3981" spans="1:12">
      <c r="A3981" s="20" t="s">
        <v>1307</v>
      </c>
      <c r="E3981" s="22">
        <f>IF(D3981="?OLD","!!!","")</f>
        <v/>
      </c>
      <c r="F3981" s="23" t="str">
        <f>IF(OR(E3981="",E3981="!!!"),"",IF(NOT(ISNA(VLOOKUP(E3981,E$1:E3980,1,FALSE()))),"OLD",IF(AND(E3981&lt;&gt;"",E3981&lt;&gt;"!!!"),"NEW","")))</f>
        <v> </v>
      </c>
      <c r="G3981" s="24" t="str">
        <f>IF(OR(E3981="",E3981="!!!"),"",IF(OR(J3981=0,AND(J3981=1,K3981=1),AND(J3981=1,I3981="SBJ"),AND(J3981=1,I3981=0)),"?IN_FOCUS",IF(J3981&lt;=2,"?ACTIVATED",IF(J3981&lt;&gt;"","?FAMILIAR",IF(F3981="NEW",IF(ISNA(VLOOKUP(E3981,#REF!,1,FALSE())),"?TYPE_IDENTIFIABLE","?REFERENTIAL"),"_")))))</f>
        <v> </v>
      </c>
      <c r="H3981" s="25" t="str">
        <f>IF(J3981&lt;&gt;1,"",IF(I3981="SBJ","CB","?"))</f>
        <v> </v>
      </c>
      <c r="I3981" s="26" t="str">
        <f>IF(OR(E3981="",E3981="!!!",F3981="NEW"),"",INDEX(B3980:B$2,-1+SUMPRODUCT(MAX(ROW(E3980:E$2)*(E3981=E3980:E$2)))))</f>
        <v> </v>
      </c>
      <c r="J3981" s="26" t="str">
        <f>IF(OR(E3981="",E3981="!!!",F3981="NEW"),"",COUNTBLANK(OFFSET(A$1,,,SUMPRODUCT(MAX(ROW(E$2:E3981)*(E3981=E$2:E3981)))))-COUNTBLANK(OFFSET(A$1,,,SUMPRODUCT(MAX(ROW(E$1:E3980)*(E2=E$1:E3980))))))</f>
        <v> </v>
      </c>
      <c r="K3981" s="26" t="str">
        <f>IF(OR(E3981="",E3981="!!!",F3981="NEW"),"",INDEX(J$1:J3980,SUMPRODUCT(MAX(ROW(E$1:E3980)*(E3981=E$1:E3980)))))</f>
        <v> </v>
      </c>
      <c r="L3981" s="27"/>
    </row>
    <row r="3982" spans="1:12">
      <c r="A3982" s="20" t="s">
        <v>2330</v>
      </c>
      <c r="E3982" s="22">
        <f>IF(D3982="?OLD","!!!","")</f>
        <v/>
      </c>
      <c r="F3982" s="23" t="str">
        <f>IF(OR(E3982="",E3982="!!!"),"",IF(NOT(ISNA(VLOOKUP(E3982,E$1:E3981,1,FALSE()))),"OLD",IF(AND(E3982&lt;&gt;"",E3982&lt;&gt;"!!!"),"NEW","")))</f>
        <v> </v>
      </c>
      <c r="G3982" s="24" t="str">
        <f>IF(OR(E3982="",E3982="!!!"),"",IF(OR(J3982=0,AND(J3982=1,K3982=1),AND(J3982=1,I3982="SBJ"),AND(J3982=1,I3982=0)),"?IN_FOCUS",IF(J3982&lt;=2,"?ACTIVATED",IF(J3982&lt;&gt;"","?FAMILIAR",IF(F3982="NEW",IF(ISNA(VLOOKUP(E3982,#REF!,1,FALSE())),"?TYPE_IDENTIFIABLE","?REFERENTIAL"),"_")))))</f>
        <v> </v>
      </c>
      <c r="H3982" s="25" t="str">
        <f>IF(J3982&lt;&gt;1,"",IF(I3982="SBJ","CB","?"))</f>
        <v> </v>
      </c>
      <c r="I3982" s="26" t="str">
        <f>IF(OR(E3982="",E3982="!!!",F3982="NEW"),"",INDEX(B3981:B$2,-1+SUMPRODUCT(MAX(ROW(E3981:E$2)*(E3982=E3981:E$2)))))</f>
        <v> </v>
      </c>
      <c r="J3982" s="26" t="str">
        <f>IF(OR(E3982="",E3982="!!!",F3982="NEW"),"",COUNTBLANK(OFFSET(A$1,,,SUMPRODUCT(MAX(ROW(E$2:E3982)*(E3982=E$2:E3982)))))-COUNTBLANK(OFFSET(A$1,,,SUMPRODUCT(MAX(ROW(E$1:E3981)*(E2=E$1:E3981))))))</f>
        <v> </v>
      </c>
      <c r="K3982" s="26" t="str">
        <f>IF(OR(E3982="",E3982="!!!",F3982="NEW"),"",INDEX(J$1:J3981,SUMPRODUCT(MAX(ROW(E$1:E3981)*(E3982=E$1:E3981)))))</f>
        <v> </v>
      </c>
      <c r="L3982" s="27"/>
    </row>
    <row r="3983" spans="1:12">
      <c r="A3983" s="20" t="s">
        <v>1203</v>
      </c>
      <c r="E3983" s="22">
        <f>IF(D3983="?OLD","!!!","")</f>
        <v/>
      </c>
      <c r="F3983" s="23" t="str">
        <f>IF(OR(E3983="",E3983="!!!"),"",IF(NOT(ISNA(VLOOKUP(E3983,E$1:E3982,1,FALSE()))),"OLD",IF(AND(E3983&lt;&gt;"",E3983&lt;&gt;"!!!"),"NEW","")))</f>
        <v> </v>
      </c>
      <c r="G3983" s="24" t="str">
        <f>IF(OR(E3983="",E3983="!!!"),"",IF(OR(J3983=0,AND(J3983=1,K3983=1),AND(J3983=1,I3983="SBJ"),AND(J3983=1,I3983=0)),"?IN_FOCUS",IF(J3983&lt;=2,"?ACTIVATED",IF(J3983&lt;&gt;"","?FAMILIAR",IF(F3983="NEW",IF(ISNA(VLOOKUP(E3983,#REF!,1,FALSE())),"?TYPE_IDENTIFIABLE","?REFERENTIAL"),"_")))))</f>
        <v> </v>
      </c>
      <c r="H3983" s="25" t="str">
        <f>IF(J3983&lt;&gt;1,"",IF(I3983="SBJ","CB","?"))</f>
        <v> </v>
      </c>
      <c r="I3983" s="26" t="str">
        <f>IF(OR(E3983="",E3983="!!!",F3983="NEW"),"",INDEX(B3982:B$2,-1+SUMPRODUCT(MAX(ROW(E3982:E$2)*(E3983=E3982:E$2)))))</f>
        <v> </v>
      </c>
      <c r="J3983" s="26" t="str">
        <f>IF(OR(E3983="",E3983="!!!",F3983="NEW"),"",COUNTBLANK(OFFSET(A$1,,,SUMPRODUCT(MAX(ROW(E$2:E3983)*(E3983=E$2:E3983)))))-COUNTBLANK(OFFSET(A$1,,,SUMPRODUCT(MAX(ROW(E$1:E3982)*(E2=E$1:E3982))))))</f>
        <v> </v>
      </c>
      <c r="K3983" s="26" t="str">
        <f>IF(OR(E3983="",E3983="!!!",F3983="NEW"),"",INDEX(J$1:J3982,SUMPRODUCT(MAX(ROW(E$1:E3982)*(E3983=E$1:E3982)))))</f>
        <v> </v>
      </c>
      <c r="L3983" s="27"/>
    </row>
    <row r="3984" spans="1:12">
      <c r="A3984" s="20" t="s">
        <v>1518</v>
      </c>
      <c r="E3984" s="22">
        <f>IF(D3984="?OLD","!!!","")</f>
        <v/>
      </c>
      <c r="F3984" s="23" t="str">
        <f>IF(OR(E3984="",E3984="!!!"),"",IF(NOT(ISNA(VLOOKUP(E3984,E$1:E3983,1,FALSE()))),"OLD",IF(AND(E3984&lt;&gt;"",E3984&lt;&gt;"!!!"),"NEW","")))</f>
        <v> </v>
      </c>
      <c r="G3984" s="24" t="str">
        <f>IF(OR(E3984="",E3984="!!!"),"",IF(OR(J3984=0,AND(J3984=1,K3984=1),AND(J3984=1,I3984="SBJ"),AND(J3984=1,I3984=0)),"?IN_FOCUS",IF(J3984&lt;=2,"?ACTIVATED",IF(J3984&lt;&gt;"","?FAMILIAR",IF(F3984="NEW",IF(ISNA(VLOOKUP(E3984,#REF!,1,FALSE())),"?TYPE_IDENTIFIABLE","?REFERENTIAL"),"_")))))</f>
        <v> </v>
      </c>
      <c r="H3984" s="25" t="str">
        <f>IF(J3984&lt;&gt;1,"",IF(I3984="SBJ","CB","?"))</f>
        <v> </v>
      </c>
      <c r="I3984" s="26" t="str">
        <f>IF(OR(E3984="",E3984="!!!",F3984="NEW"),"",INDEX(B3983:B$2,-1+SUMPRODUCT(MAX(ROW(E3983:E$2)*(E3984=E3983:E$2)))))</f>
        <v> </v>
      </c>
      <c r="J3984" s="26" t="str">
        <f>IF(OR(E3984="",E3984="!!!",F3984="NEW"),"",COUNTBLANK(OFFSET(A$1,,,SUMPRODUCT(MAX(ROW(E$2:E3984)*(E3984=E$2:E3984)))))-COUNTBLANK(OFFSET(A$1,,,SUMPRODUCT(MAX(ROW(E$1:E3983)*(E2=E$1:E3983))))))</f>
        <v> </v>
      </c>
      <c r="K3984" s="26" t="str">
        <f>IF(OR(E3984="",E3984="!!!",F3984="NEW"),"",INDEX(J$1:J3983,SUMPRODUCT(MAX(ROW(E$1:E3983)*(E3984=E$1:E3983)))))</f>
        <v> </v>
      </c>
      <c r="L3984" s="27"/>
    </row>
    <row r="3985" spans="1:12">
      <c r="A3985" s="20" t="s">
        <v>1152</v>
      </c>
      <c r="E3985" s="22">
        <f>IF(D3985="?OLD","!!!","")</f>
        <v/>
      </c>
      <c r="F3985" s="23" t="str">
        <f>IF(OR(E3985="",E3985="!!!"),"",IF(NOT(ISNA(VLOOKUP(E3985,E$1:E3984,1,FALSE()))),"OLD",IF(AND(E3985&lt;&gt;"",E3985&lt;&gt;"!!!"),"NEW","")))</f>
        <v> </v>
      </c>
      <c r="G3985" s="24" t="str">
        <f>IF(OR(E3985="",E3985="!!!"),"",IF(OR(J3985=0,AND(J3985=1,K3985=1),AND(J3985=1,I3985="SBJ"),AND(J3985=1,I3985=0)),"?IN_FOCUS",IF(J3985&lt;=2,"?ACTIVATED",IF(J3985&lt;&gt;"","?FAMILIAR",IF(F3985="NEW",IF(ISNA(VLOOKUP(E3985,#REF!,1,FALSE())),"?TYPE_IDENTIFIABLE","?REFERENTIAL"),"_")))))</f>
        <v> </v>
      </c>
      <c r="H3985" s="25" t="str">
        <f>IF(J3985&lt;&gt;1,"",IF(I3985="SBJ","CB","?"))</f>
        <v> </v>
      </c>
      <c r="I3985" s="26" t="str">
        <f>IF(OR(E3985="",E3985="!!!",F3985="NEW"),"",INDEX(B3984:B$2,-1+SUMPRODUCT(MAX(ROW(E3984:E$2)*(E3985=E3984:E$2)))))</f>
        <v> </v>
      </c>
      <c r="J3985" s="26" t="str">
        <f>IF(OR(E3985="",E3985="!!!",F3985="NEW"),"",COUNTBLANK(OFFSET(A$1,,,SUMPRODUCT(MAX(ROW(E$2:E3985)*(E3985=E$2:E3985)))))-COUNTBLANK(OFFSET(A$1,,,SUMPRODUCT(MAX(ROW(E$1:E3984)*(E2=E$1:E3984))))))</f>
        <v> </v>
      </c>
      <c r="K3985" s="26" t="str">
        <f>IF(OR(E3985="",E3985="!!!",F3985="NEW"),"",INDEX(J$1:J3984,SUMPRODUCT(MAX(ROW(E$1:E3984)*(E3985=E$1:E3984)))))</f>
        <v> </v>
      </c>
      <c r="L3985" s="27"/>
    </row>
    <row r="3986" spans="1:12">
      <c r="A3986" s="20" t="s">
        <v>1809</v>
      </c>
      <c r="B3986" s="21" t="s">
        <v>1181</v>
      </c>
      <c r="C3986" s="21" t="s">
        <v>1155</v>
      </c>
      <c r="E3986" s="22">
        <f>IF(D3986="?OLD","!!!","")</f>
        <v/>
      </c>
      <c r="F3986" s="23" t="str">
        <f>IF(OR(E3986="",E3986="!!!"),"",IF(NOT(ISNA(VLOOKUP(E3986,E$1:E3985,1,FALSE()))),"OLD",IF(AND(E3986&lt;&gt;"",E3986&lt;&gt;"!!!"),"NEW","")))</f>
        <v> </v>
      </c>
      <c r="G3986" s="24" t="str">
        <f>IF(OR(E3986="",E3986="!!!"),"",IF(OR(J3986=0,AND(J3986=1,K3986=1),AND(J3986=1,I3986="SBJ"),AND(J3986=1,I3986=0)),"?IN_FOCUS",IF(J3986&lt;=2,"?ACTIVATED",IF(J3986&lt;&gt;"","?FAMILIAR",IF(F3986="NEW",IF(ISNA(VLOOKUP(E3986,#REF!,1,FALSE())),"?TYPE_IDENTIFIABLE","?REFERENTIAL"),"_")))))</f>
        <v> </v>
      </c>
      <c r="H3986" s="25" t="str">
        <f>IF(J3986&lt;&gt;1,"",IF(I3986="SBJ","CB","?"))</f>
        <v> </v>
      </c>
      <c r="I3986" s="26" t="str">
        <f>IF(OR(E3986="",E3986="!!!",F3986="NEW"),"",INDEX(B3985:B$2,-1+SUMPRODUCT(MAX(ROW(E3985:E$2)*(E3986=E3985:E$2)))))</f>
        <v> </v>
      </c>
      <c r="J3986" s="26" t="str">
        <f>IF(OR(E3986="",E3986="!!!",F3986="NEW"),"",COUNTBLANK(OFFSET(A$1,,,SUMPRODUCT(MAX(ROW(E$2:E3986)*(E3986=E$2:E3986)))))-COUNTBLANK(OFFSET(A$1,,,SUMPRODUCT(MAX(ROW(E$1:E3985)*(E2=E$1:E3985))))))</f>
        <v> </v>
      </c>
      <c r="K3986" s="26" t="str">
        <f>IF(OR(E3986="",E3986="!!!",F3986="NEW"),"",INDEX(J$1:J3985,SUMPRODUCT(MAX(ROW(E$1:E3985)*(E3986=E$1:E3985)))))</f>
        <v> </v>
      </c>
      <c r="L3986" s="27"/>
    </row>
    <row r="3987" spans="1:12">
      <c r="A3987" s="20" t="s">
        <v>2162</v>
      </c>
      <c r="E3987" s="22">
        <f>IF(D3987="?OLD","!!!","")</f>
        <v/>
      </c>
      <c r="F3987" s="23" t="str">
        <f>IF(OR(E3987="",E3987="!!!"),"",IF(NOT(ISNA(VLOOKUP(E3987,E$1:E3986,1,FALSE()))),"OLD",IF(AND(E3987&lt;&gt;"",E3987&lt;&gt;"!!!"),"NEW","")))</f>
        <v> </v>
      </c>
      <c r="G3987" s="24" t="str">
        <f>IF(OR(E3987="",E3987="!!!"),"",IF(OR(J3987=0,AND(J3987=1,K3987=1),AND(J3987=1,I3987="SBJ"),AND(J3987=1,I3987=0)),"?IN_FOCUS",IF(J3987&lt;=2,"?ACTIVATED",IF(J3987&lt;&gt;"","?FAMILIAR",IF(F3987="NEW",IF(ISNA(VLOOKUP(E3987,#REF!,1,FALSE())),"?TYPE_IDENTIFIABLE","?REFERENTIAL"),"_")))))</f>
        <v> </v>
      </c>
      <c r="H3987" s="25" t="str">
        <f>IF(J3987&lt;&gt;1,"",IF(I3987="SBJ","CB","?"))</f>
        <v> </v>
      </c>
      <c r="I3987" s="26" t="str">
        <f>IF(OR(E3987="",E3987="!!!",F3987="NEW"),"",INDEX(B3986:B$2,-1+SUMPRODUCT(MAX(ROW(E3986:E$2)*(E3987=E3986:E$2)))))</f>
        <v> </v>
      </c>
      <c r="J3987" s="26" t="str">
        <f>IF(OR(E3987="",E3987="!!!",F3987="NEW"),"",COUNTBLANK(OFFSET(A$1,,,SUMPRODUCT(MAX(ROW(E$2:E3987)*(E3987=E$2:E3987)))))-COUNTBLANK(OFFSET(A$1,,,SUMPRODUCT(MAX(ROW(E$1:E3986)*(E2=E$1:E3986))))))</f>
        <v> </v>
      </c>
      <c r="K3987" s="26" t="str">
        <f>IF(OR(E3987="",E3987="!!!",F3987="NEW"),"",INDEX(J$1:J3986,SUMPRODUCT(MAX(ROW(E$1:E3986)*(E3987=E$1:E3986)))))</f>
        <v> </v>
      </c>
      <c r="L3987" s="27"/>
    </row>
    <row r="3988" spans="1:12">
      <c r="A3988" s="20" t="s">
        <v>1238</v>
      </c>
      <c r="E3988" s="22">
        <f>IF(D3988="?OLD","!!!","")</f>
        <v/>
      </c>
      <c r="F3988" s="23" t="str">
        <f>IF(OR(E3988="",E3988="!!!"),"",IF(NOT(ISNA(VLOOKUP(E3988,E$1:E3987,1,FALSE()))),"OLD",IF(AND(E3988&lt;&gt;"",E3988&lt;&gt;"!!!"),"NEW","")))</f>
        <v> </v>
      </c>
      <c r="G3988" s="24" t="str">
        <f>IF(OR(E3988="",E3988="!!!"),"",IF(OR(J3988=0,AND(J3988=1,K3988=1),AND(J3988=1,I3988="SBJ"),AND(J3988=1,I3988=0)),"?IN_FOCUS",IF(J3988&lt;=2,"?ACTIVATED",IF(J3988&lt;&gt;"","?FAMILIAR",IF(F3988="NEW",IF(ISNA(VLOOKUP(E3988,#REF!,1,FALSE())),"?TYPE_IDENTIFIABLE","?REFERENTIAL"),"_")))))</f>
        <v> </v>
      </c>
      <c r="H3988" s="25" t="str">
        <f>IF(J3988&lt;&gt;1,"",IF(I3988="SBJ","CB","?"))</f>
        <v> </v>
      </c>
      <c r="I3988" s="26" t="str">
        <f>IF(OR(E3988="",E3988="!!!",F3988="NEW"),"",INDEX(B3987:B$2,-1+SUMPRODUCT(MAX(ROW(E3987:E$2)*(E3988=E3987:E$2)))))</f>
        <v> </v>
      </c>
      <c r="J3988" s="26" t="str">
        <f>IF(OR(E3988="",E3988="!!!",F3988="NEW"),"",COUNTBLANK(OFFSET(A$1,,,SUMPRODUCT(MAX(ROW(E$2:E3988)*(E3988=E$2:E3988)))))-COUNTBLANK(OFFSET(A$1,,,SUMPRODUCT(MAX(ROW(E$1:E3987)*(E2=E$1:E3987))))))</f>
        <v> </v>
      </c>
      <c r="K3988" s="26" t="str">
        <f>IF(OR(E3988="",E3988="!!!",F3988="NEW"),"",INDEX(J$1:J3987,SUMPRODUCT(MAX(ROW(E$1:E3987)*(E3988=E$1:E3987)))))</f>
        <v> </v>
      </c>
      <c r="L3988" s="27"/>
    </row>
    <row r="3989" spans="1:12">
      <c r="A3989" s="20" t="s">
        <v>1284</v>
      </c>
      <c r="B3989" s="21" t="s">
        <v>1181</v>
      </c>
      <c r="C3989" s="21" t="s">
        <v>1162</v>
      </c>
      <c r="D3989" s="21" t="s">
        <v>1144</v>
      </c>
      <c r="E3989" s="22">
        <f>IF(D3989="?OLD","!!!","")</f>
        <v/>
      </c>
      <c r="F3989" s="23" t="str">
        <f>IF(OR(E3989="",E3989="!!!"),"",IF(NOT(ISNA(VLOOKUP(E3989,E$1:E3988,1,FALSE()))),"OLD",IF(AND(E3989&lt;&gt;"",E3989&lt;&gt;"!!!"),"NEW","")))</f>
        <v> </v>
      </c>
      <c r="G3989" s="24" t="str">
        <f>IF(OR(E3989="",E3989="!!!"),"",IF(OR(J3989=0,AND(J3989=1,K3989=1),AND(J3989=1,I3989="SBJ"),AND(J3989=1,I3989=0)),"?IN_FOCUS",IF(J3989&lt;=2,"?ACTIVATED",IF(J3989&lt;&gt;"","?FAMILIAR",IF(F3989="NEW",IF(ISNA(VLOOKUP(E3989,#REF!,1,FALSE())),"?TYPE_IDENTIFIABLE","?REFERENTIAL"),"_")))))</f>
        <v> </v>
      </c>
      <c r="H3989" s="25" t="str">
        <f>IF(J3989&lt;&gt;1,"",IF(I3989="SBJ","CB","?"))</f>
        <v> </v>
      </c>
      <c r="I3989" s="26" t="str">
        <f>IF(OR(E3989="",E3989="!!!",F3989="NEW"),"",INDEX(B3988:B$2,-1+SUMPRODUCT(MAX(ROW(E3988:E$2)*(E3989=E3988:E$2)))))</f>
        <v> </v>
      </c>
      <c r="J3989" s="26" t="str">
        <f>IF(OR(E3989="",E3989="!!!",F3989="NEW"),"",COUNTBLANK(OFFSET(A$1,,,SUMPRODUCT(MAX(ROW(E$2:E3989)*(E3989=E$2:E3989)))))-COUNTBLANK(OFFSET(A$1,,,SUMPRODUCT(MAX(ROW(E$1:E3988)*(E2=E$1:E3988))))))</f>
        <v> </v>
      </c>
      <c r="K3989" s="26" t="str">
        <f>IF(OR(E3989="",E3989="!!!",F3989="NEW"),"",INDEX(J$1:J3988,SUMPRODUCT(MAX(ROW(E$1:E3988)*(E3989=E$1:E3988)))))</f>
        <v> </v>
      </c>
      <c r="L3989" s="27"/>
    </row>
    <row r="3990" spans="1:12">
      <c r="A3990" s="20" t="s">
        <v>852</v>
      </c>
      <c r="E3990" s="22">
        <f>IF(D3990="?OLD","!!!","")</f>
        <v/>
      </c>
      <c r="F3990" s="23" t="str">
        <f>IF(OR(E3990="",E3990="!!!"),"",IF(NOT(ISNA(VLOOKUP(E3990,E$1:E3989,1,FALSE()))),"OLD",IF(AND(E3990&lt;&gt;"",E3990&lt;&gt;"!!!"),"NEW","")))</f>
        <v> </v>
      </c>
      <c r="G3990" s="24" t="str">
        <f>IF(OR(E3990="",E3990="!!!"),"",IF(OR(J3990=0,AND(J3990=1,K3990=1),AND(J3990=1,I3990="SBJ"),AND(J3990=1,I3990=0)),"?IN_FOCUS",IF(J3990&lt;=2,"?ACTIVATED",IF(J3990&lt;&gt;"","?FAMILIAR",IF(F3990="NEW",IF(ISNA(VLOOKUP(E3990,#REF!,1,FALSE())),"?TYPE_IDENTIFIABLE","?REFERENTIAL"),"_")))))</f>
        <v> </v>
      </c>
      <c r="H3990" s="25" t="str">
        <f>IF(J3990&lt;&gt;1,"",IF(I3990="SBJ","CB","?"))</f>
        <v> </v>
      </c>
      <c r="I3990" s="26" t="str">
        <f>IF(OR(E3990="",E3990="!!!",F3990="NEW"),"",INDEX(B3989:B$2,-1+SUMPRODUCT(MAX(ROW(E3989:E$2)*(E3990=E3989:E$2)))))</f>
        <v> </v>
      </c>
      <c r="J3990" s="26" t="str">
        <f>IF(OR(E3990="",E3990="!!!",F3990="NEW"),"",COUNTBLANK(OFFSET(A$1,,,SUMPRODUCT(MAX(ROW(E$2:E3990)*(E3990=E$2:E3990)))))-COUNTBLANK(OFFSET(A$1,,,SUMPRODUCT(MAX(ROW(E$1:E3989)*(E2=E$1:E3989))))))</f>
        <v> </v>
      </c>
      <c r="K3990" s="26" t="str">
        <f>IF(OR(E3990="",E3990="!!!",F3990="NEW"),"",INDEX(J$1:J3989,SUMPRODUCT(MAX(ROW(E$1:E3989)*(E3990=E$1:E3989)))))</f>
        <v> </v>
      </c>
      <c r="L3990" s="27"/>
    </row>
    <row r="3991" spans="1:12">
      <c r="A3991" s="20" t="s">
        <v>1446</v>
      </c>
      <c r="E3991" s="22">
        <f>IF(D3991="?OLD","!!!","")</f>
        <v/>
      </c>
      <c r="F3991" s="23" t="str">
        <f>IF(OR(E3991="",E3991="!!!"),"",IF(NOT(ISNA(VLOOKUP(E3991,E$1:E3990,1,FALSE()))),"OLD",IF(AND(E3991&lt;&gt;"",E3991&lt;&gt;"!!!"),"NEW","")))</f>
        <v> </v>
      </c>
      <c r="G3991" s="24" t="str">
        <f>IF(OR(E3991="",E3991="!!!"),"",IF(OR(J3991=0,AND(J3991=1,K3991=1),AND(J3991=1,I3991="SBJ"),AND(J3991=1,I3991=0)),"?IN_FOCUS",IF(J3991&lt;=2,"?ACTIVATED",IF(J3991&lt;&gt;"","?FAMILIAR",IF(F3991="NEW",IF(ISNA(VLOOKUP(E3991,#REF!,1,FALSE())),"?TYPE_IDENTIFIABLE","?REFERENTIAL"),"_")))))</f>
        <v> </v>
      </c>
      <c r="H3991" s="25" t="str">
        <f>IF(J3991&lt;&gt;1,"",IF(I3991="SBJ","CB","?"))</f>
        <v> </v>
      </c>
      <c r="I3991" s="26" t="str">
        <f>IF(OR(E3991="",E3991="!!!",F3991="NEW"),"",INDEX(B3990:B$2,-1+SUMPRODUCT(MAX(ROW(E3990:E$2)*(E3991=E3990:E$2)))))</f>
        <v> </v>
      </c>
      <c r="J3991" s="26" t="str">
        <f>IF(OR(E3991="",E3991="!!!",F3991="NEW"),"",COUNTBLANK(OFFSET(A$1,,,SUMPRODUCT(MAX(ROW(E$2:E3991)*(E3991=E$2:E3991)))))-COUNTBLANK(OFFSET(A$1,,,SUMPRODUCT(MAX(ROW(E$1:E3990)*(E2=E$1:E3990))))))</f>
        <v> </v>
      </c>
      <c r="K3991" s="26" t="str">
        <f>IF(OR(E3991="",E3991="!!!",F3991="NEW"),"",INDEX(J$1:J3990,SUMPRODUCT(MAX(ROW(E$1:E3990)*(E3991=E$1:E3990)))))</f>
        <v> </v>
      </c>
      <c r="L3991" s="27"/>
    </row>
    <row r="3992" spans="1:12">
      <c r="A3992" s="20" t="s">
        <v>1166</v>
      </c>
      <c r="E3992" s="22">
        <f>IF(D3992="?OLD","!!!","")</f>
        <v/>
      </c>
      <c r="F3992" s="23" t="str">
        <f>IF(OR(E3992="",E3992="!!!"),"",IF(NOT(ISNA(VLOOKUP(E3992,E$1:E3991,1,FALSE()))),"OLD",IF(AND(E3992&lt;&gt;"",E3992&lt;&gt;"!!!"),"NEW","")))</f>
        <v> </v>
      </c>
      <c r="G3992" s="24" t="str">
        <f>IF(OR(E3992="",E3992="!!!"),"",IF(OR(J3992=0,AND(J3992=1,K3992=1),AND(J3992=1,I3992="SBJ"),AND(J3992=1,I3992=0)),"?IN_FOCUS",IF(J3992&lt;=2,"?ACTIVATED",IF(J3992&lt;&gt;"","?FAMILIAR",IF(F3992="NEW",IF(ISNA(VLOOKUP(E3992,#REF!,1,FALSE())),"?TYPE_IDENTIFIABLE","?REFERENTIAL"),"_")))))</f>
        <v> </v>
      </c>
      <c r="H3992" s="25" t="str">
        <f>IF(J3992&lt;&gt;1,"",IF(I3992="SBJ","CB","?"))</f>
        <v> </v>
      </c>
      <c r="I3992" s="26" t="str">
        <f>IF(OR(E3992="",E3992="!!!",F3992="NEW"),"",INDEX(B3991:B$2,-1+SUMPRODUCT(MAX(ROW(E3991:E$2)*(E3992=E3991:E$2)))))</f>
        <v> </v>
      </c>
      <c r="J3992" s="26" t="str">
        <f>IF(OR(E3992="",E3992="!!!",F3992="NEW"),"",COUNTBLANK(OFFSET(A$1,,,SUMPRODUCT(MAX(ROW(E$2:E3992)*(E3992=E$2:E3992)))))-COUNTBLANK(OFFSET(A$1,,,SUMPRODUCT(MAX(ROW(E$1:E3991)*(E2=E$1:E3991))))))</f>
        <v> </v>
      </c>
      <c r="K3992" s="26" t="str">
        <f>IF(OR(E3992="",E3992="!!!",F3992="NEW"),"",INDEX(J$1:J3991,SUMPRODUCT(MAX(ROW(E$1:E3991)*(E3992=E$1:E3991)))))</f>
        <v> </v>
      </c>
      <c r="L3992" s="27"/>
    </row>
    <row r="3993" spans="1:12">
      <c r="A3993" s="20" t="s">
        <v>1238</v>
      </c>
      <c r="B3993" s="21" t="s">
        <v>1199</v>
      </c>
      <c r="E3993" s="22">
        <f>IF(D3993="?OLD","!!!","")</f>
        <v/>
      </c>
      <c r="F3993" s="23" t="str">
        <f>IF(OR(E3993="",E3993="!!!"),"",IF(NOT(ISNA(VLOOKUP(E3993,E$1:E3992,1,FALSE()))),"OLD",IF(AND(E3993&lt;&gt;"",E3993&lt;&gt;"!!!"),"NEW","")))</f>
        <v> </v>
      </c>
      <c r="G3993" s="24" t="str">
        <f>IF(OR(E3993="",E3993="!!!"),"",IF(OR(J3993=0,AND(J3993=1,K3993=1),AND(J3993=1,I3993="SBJ"),AND(J3993=1,I3993=0)),"?IN_FOCUS",IF(J3993&lt;=2,"?ACTIVATED",IF(J3993&lt;&gt;"","?FAMILIAR",IF(F3993="NEW",IF(ISNA(VLOOKUP(E3993,#REF!,1,FALSE())),"?TYPE_IDENTIFIABLE","?REFERENTIAL"),"_")))))</f>
        <v> </v>
      </c>
      <c r="H3993" s="25" t="str">
        <f>IF(J3993&lt;&gt;1,"",IF(I3993="SBJ","CB","?"))</f>
        <v> </v>
      </c>
      <c r="I3993" s="26" t="str">
        <f>IF(OR(E3993="",E3993="!!!",F3993="NEW"),"",INDEX(B3992:B$2,-1+SUMPRODUCT(MAX(ROW(E3992:E$2)*(E3993=E3992:E$2)))))</f>
        <v> </v>
      </c>
      <c r="J3993" s="26" t="str">
        <f>IF(OR(E3993="",E3993="!!!",F3993="NEW"),"",COUNTBLANK(OFFSET(A$1,,,SUMPRODUCT(MAX(ROW(E$2:E3993)*(E3993=E$2:E3993)))))-COUNTBLANK(OFFSET(A$1,,,SUMPRODUCT(MAX(ROW(E$1:E3992)*(E2=E$1:E3992))))))</f>
        <v> </v>
      </c>
      <c r="K3993" s="26" t="str">
        <f>IF(OR(E3993="",E3993="!!!",F3993="NEW"),"",INDEX(J$1:J3992,SUMPRODUCT(MAX(ROW(E$1:E3992)*(E3993=E$1:E3992)))))</f>
        <v> </v>
      </c>
      <c r="L3993" s="27"/>
    </row>
    <row r="3994" spans="1:12">
      <c r="A3994" s="20" t="s">
        <v>2111</v>
      </c>
      <c r="E3994" s="22">
        <f>IF(D3994="?OLD","!!!","")</f>
        <v/>
      </c>
      <c r="F3994" s="23" t="str">
        <f>IF(OR(E3994="",E3994="!!!"),"",IF(NOT(ISNA(VLOOKUP(E3994,E$1:E3993,1,FALSE()))),"OLD",IF(AND(E3994&lt;&gt;"",E3994&lt;&gt;"!!!"),"NEW","")))</f>
        <v> </v>
      </c>
      <c r="G3994" s="24" t="str">
        <f>IF(OR(E3994="",E3994="!!!"),"",IF(OR(J3994=0,AND(J3994=1,K3994=1),AND(J3994=1,I3994="SBJ"),AND(J3994=1,I3994=0)),"?IN_FOCUS",IF(J3994&lt;=2,"?ACTIVATED",IF(J3994&lt;&gt;"","?FAMILIAR",IF(F3994="NEW",IF(ISNA(VLOOKUP(E3994,#REF!,1,FALSE())),"?TYPE_IDENTIFIABLE","?REFERENTIAL"),"_")))))</f>
        <v> </v>
      </c>
      <c r="H3994" s="25" t="str">
        <f>IF(J3994&lt;&gt;1,"",IF(I3994="SBJ","CB","?"))</f>
        <v> </v>
      </c>
      <c r="I3994" s="26" t="str">
        <f>IF(OR(E3994="",E3994="!!!",F3994="NEW"),"",INDEX(B3993:B$2,-1+SUMPRODUCT(MAX(ROW(E3993:E$2)*(E3994=E3993:E$2)))))</f>
        <v> </v>
      </c>
      <c r="J3994" s="26" t="str">
        <f>IF(OR(E3994="",E3994="!!!",F3994="NEW"),"",COUNTBLANK(OFFSET(A$1,,,SUMPRODUCT(MAX(ROW(E$2:E3994)*(E3994=E$2:E3994)))))-COUNTBLANK(OFFSET(A$1,,,SUMPRODUCT(MAX(ROW(E$1:E3993)*(E2=E$1:E3993))))))</f>
        <v> </v>
      </c>
      <c r="K3994" s="26" t="str">
        <f>IF(OR(E3994="",E3994="!!!",F3994="NEW"),"",INDEX(J$1:J3993,SUMPRODUCT(MAX(ROW(E$1:E3993)*(E3994=E$1:E3993)))))</f>
        <v> </v>
      </c>
      <c r="L3994" s="27"/>
    </row>
    <row r="3995" spans="1:12">
      <c r="A3995" s="20" t="s">
        <v>1302</v>
      </c>
      <c r="E3995" s="22">
        <f>IF(D3995="?OLD","!!!","")</f>
        <v/>
      </c>
      <c r="F3995" s="23" t="str">
        <f>IF(OR(E3995="",E3995="!!!"),"",IF(NOT(ISNA(VLOOKUP(E3995,E$1:E3994,1,FALSE()))),"OLD",IF(AND(E3995&lt;&gt;"",E3995&lt;&gt;"!!!"),"NEW","")))</f>
        <v> </v>
      </c>
      <c r="G3995" s="24" t="str">
        <f>IF(OR(E3995="",E3995="!!!"),"",IF(OR(J3995=0,AND(J3995=1,K3995=1),AND(J3995=1,I3995="SBJ"),AND(J3995=1,I3995=0)),"?IN_FOCUS",IF(J3995&lt;=2,"?ACTIVATED",IF(J3995&lt;&gt;"","?FAMILIAR",IF(F3995="NEW",IF(ISNA(VLOOKUP(E3995,#REF!,1,FALSE())),"?TYPE_IDENTIFIABLE","?REFERENTIAL"),"_")))))</f>
        <v> </v>
      </c>
      <c r="H3995" s="25" t="str">
        <f>IF(J3995&lt;&gt;1,"",IF(I3995="SBJ","CB","?"))</f>
        <v> </v>
      </c>
      <c r="I3995" s="26" t="str">
        <f>IF(OR(E3995="",E3995="!!!",F3995="NEW"),"",INDEX(B3994:B$2,-1+SUMPRODUCT(MAX(ROW(E3994:E$2)*(E3995=E3994:E$2)))))</f>
        <v> </v>
      </c>
      <c r="J3995" s="26" t="str">
        <f>IF(OR(E3995="",E3995="!!!",F3995="NEW"),"",COUNTBLANK(OFFSET(A$1,,,SUMPRODUCT(MAX(ROW(E$2:E3995)*(E3995=E$2:E3995)))))-COUNTBLANK(OFFSET(A$1,,,SUMPRODUCT(MAX(ROW(E$1:E3994)*(E2=E$1:E3994))))))</f>
        <v> </v>
      </c>
      <c r="K3995" s="26" t="str">
        <f>IF(OR(E3995="",E3995="!!!",F3995="NEW"),"",INDEX(J$1:J3994,SUMPRODUCT(MAX(ROW(E$1:E3994)*(E3995=E$1:E3994)))))</f>
        <v> </v>
      </c>
      <c r="L3995" s="27"/>
    </row>
    <row r="3996" spans="1:12">
      <c r="A3996" s="20" t="s">
        <v>1238</v>
      </c>
      <c r="E3996" s="22">
        <f>IF(D3996="?OLD","!!!","")</f>
        <v/>
      </c>
      <c r="F3996" s="23" t="str">
        <f>IF(OR(E3996="",E3996="!!!"),"",IF(NOT(ISNA(VLOOKUP(E3996,E$1:E3995,1,FALSE()))),"OLD",IF(AND(E3996&lt;&gt;"",E3996&lt;&gt;"!!!"),"NEW","")))</f>
        <v> </v>
      </c>
      <c r="G3996" s="24" t="str">
        <f>IF(OR(E3996="",E3996="!!!"),"",IF(OR(J3996=0,AND(J3996=1,K3996=1),AND(J3996=1,I3996="SBJ"),AND(J3996=1,I3996=0)),"?IN_FOCUS",IF(J3996&lt;=2,"?ACTIVATED",IF(J3996&lt;&gt;"","?FAMILIAR",IF(F3996="NEW",IF(ISNA(VLOOKUP(E3996,#REF!,1,FALSE())),"?TYPE_IDENTIFIABLE","?REFERENTIAL"),"_")))))</f>
        <v> </v>
      </c>
      <c r="H3996" s="25" t="str">
        <f>IF(J3996&lt;&gt;1,"",IF(I3996="SBJ","CB","?"))</f>
        <v> </v>
      </c>
      <c r="I3996" s="26" t="str">
        <f>IF(OR(E3996="",E3996="!!!",F3996="NEW"),"",INDEX(B3995:B$2,-1+SUMPRODUCT(MAX(ROW(E3995:E$2)*(E3996=E3995:E$2)))))</f>
        <v> </v>
      </c>
      <c r="J3996" s="26" t="str">
        <f>IF(OR(E3996="",E3996="!!!",F3996="NEW"),"",COUNTBLANK(OFFSET(A$1,,,SUMPRODUCT(MAX(ROW(E$2:E3996)*(E3996=E$2:E3996)))))-COUNTBLANK(OFFSET(A$1,,,SUMPRODUCT(MAX(ROW(E$1:E3995)*(E2=E$1:E3995))))))</f>
        <v> </v>
      </c>
      <c r="K3996" s="26" t="str">
        <f>IF(OR(E3996="",E3996="!!!",F3996="NEW"),"",INDEX(J$1:J3995,SUMPRODUCT(MAX(ROW(E$1:E3995)*(E3996=E$1:E3995)))))</f>
        <v> </v>
      </c>
      <c r="L3996" s="27"/>
    </row>
    <row r="3997" spans="1:12">
      <c r="A3997" s="20" t="s">
        <v>1276</v>
      </c>
      <c r="B3997" s="21" t="s">
        <v>1244</v>
      </c>
      <c r="C3997" s="21" t="s">
        <v>1162</v>
      </c>
      <c r="D3997" s="21" t="s">
        <v>1144</v>
      </c>
      <c r="E3997" s="22">
        <f>IF(D3997="?OLD","!!!","")</f>
        <v/>
      </c>
      <c r="F3997" s="23" t="str">
        <f>IF(OR(E3997="",E3997="!!!"),"",IF(NOT(ISNA(VLOOKUP(E3997,E$1:E3996,1,FALSE()))),"OLD",IF(AND(E3997&lt;&gt;"",E3997&lt;&gt;"!!!"),"NEW","")))</f>
        <v> </v>
      </c>
      <c r="G3997" s="24" t="str">
        <f>IF(OR(E3997="",E3997="!!!"),"",IF(OR(J3997=0,AND(J3997=1,K3997=1),AND(J3997=1,I3997="SBJ"),AND(J3997=1,I3997=0)),"?IN_FOCUS",IF(J3997&lt;=2,"?ACTIVATED",IF(J3997&lt;&gt;"","?FAMILIAR",IF(F3997="NEW",IF(ISNA(VLOOKUP(E3997,#REF!,1,FALSE())),"?TYPE_IDENTIFIABLE","?REFERENTIAL"),"_")))))</f>
        <v> </v>
      </c>
      <c r="H3997" s="25" t="str">
        <f>IF(J3997&lt;&gt;1,"",IF(I3997="SBJ","CB","?"))</f>
        <v> </v>
      </c>
      <c r="I3997" s="26" t="str">
        <f>IF(OR(E3997="",E3997="!!!",F3997="NEW"),"",INDEX(B3996:B$2,-1+SUMPRODUCT(MAX(ROW(E3996:E$2)*(E3997=E3996:E$2)))))</f>
        <v> </v>
      </c>
      <c r="J3997" s="26" t="str">
        <f>IF(OR(E3997="",E3997="!!!",F3997="NEW"),"",COUNTBLANK(OFFSET(A$1,,,SUMPRODUCT(MAX(ROW(E$2:E3997)*(E3997=E$2:E3997)))))-COUNTBLANK(OFFSET(A$1,,,SUMPRODUCT(MAX(ROW(E$1:E3996)*(E2=E$1:E3996))))))</f>
        <v> </v>
      </c>
      <c r="K3997" s="26" t="str">
        <f>IF(OR(E3997="",E3997="!!!",F3997="NEW"),"",INDEX(J$1:J3996,SUMPRODUCT(MAX(ROW(E$1:E3996)*(E3997=E$1:E3996)))))</f>
        <v> </v>
      </c>
      <c r="L3997" s="27"/>
    </row>
    <row r="3998" spans="1:12">
      <c r="A3998" s="20" t="s">
        <v>1301</v>
      </c>
      <c r="E3998" s="22">
        <f>IF(D3998="?OLD","!!!","")</f>
        <v/>
      </c>
      <c r="F3998" s="23" t="str">
        <f>IF(OR(E3998="",E3998="!!!"),"",IF(NOT(ISNA(VLOOKUP(E3998,E$1:E3997,1,FALSE()))),"OLD",IF(AND(E3998&lt;&gt;"",E3998&lt;&gt;"!!!"),"NEW","")))</f>
        <v> </v>
      </c>
      <c r="G3998" s="24" t="str">
        <f>IF(OR(E3998="",E3998="!!!"),"",IF(OR(J3998=0,AND(J3998=1,K3998=1),AND(J3998=1,I3998="SBJ"),AND(J3998=1,I3998=0)),"?IN_FOCUS",IF(J3998&lt;=2,"?ACTIVATED",IF(J3998&lt;&gt;"","?FAMILIAR",IF(F3998="NEW",IF(ISNA(VLOOKUP(E3998,#REF!,1,FALSE())),"?TYPE_IDENTIFIABLE","?REFERENTIAL"),"_")))))</f>
        <v> </v>
      </c>
      <c r="H3998" s="25" t="str">
        <f>IF(J3998&lt;&gt;1,"",IF(I3998="SBJ","CB","?"))</f>
        <v> </v>
      </c>
      <c r="I3998" s="26" t="str">
        <f>IF(OR(E3998="",E3998="!!!",F3998="NEW"),"",INDEX(B3997:B$2,-1+SUMPRODUCT(MAX(ROW(E3997:E$2)*(E3998=E3997:E$2)))))</f>
        <v> </v>
      </c>
      <c r="J3998" s="26" t="str">
        <f>IF(OR(E3998="",E3998="!!!",F3998="NEW"),"",COUNTBLANK(OFFSET(A$1,,,SUMPRODUCT(MAX(ROW(E$2:E3998)*(E3998=E$2:E3998)))))-COUNTBLANK(OFFSET(A$1,,,SUMPRODUCT(MAX(ROW(E$1:E3997)*(E2=E$1:E3997))))))</f>
        <v> </v>
      </c>
      <c r="K3998" s="26" t="str">
        <f>IF(OR(E3998="",E3998="!!!",F3998="NEW"),"",INDEX(J$1:J3997,SUMPRODUCT(MAX(ROW(E$1:E3997)*(E3998=E$1:E3997)))))</f>
        <v> </v>
      </c>
      <c r="L3998" s="27"/>
    </row>
    <row r="3999" spans="1:12">
      <c r="A3999" s="20" t="s">
        <v>1203</v>
      </c>
      <c r="E3999" s="22">
        <f>IF(D3999="?OLD","!!!","")</f>
        <v/>
      </c>
      <c r="F3999" s="23" t="str">
        <f>IF(OR(E3999="",E3999="!!!"),"",IF(NOT(ISNA(VLOOKUP(E3999,E$1:E3998,1,FALSE()))),"OLD",IF(AND(E3999&lt;&gt;"",E3999&lt;&gt;"!!!"),"NEW","")))</f>
        <v> </v>
      </c>
      <c r="G3999" s="24" t="str">
        <f>IF(OR(E3999="",E3999="!!!"),"",IF(OR(J3999=0,AND(J3999=1,K3999=1),AND(J3999=1,I3999="SBJ"),AND(J3999=1,I3999=0)),"?IN_FOCUS",IF(J3999&lt;=2,"?ACTIVATED",IF(J3999&lt;&gt;"","?FAMILIAR",IF(F3999="NEW",IF(ISNA(VLOOKUP(E3999,#REF!,1,FALSE())),"?TYPE_IDENTIFIABLE","?REFERENTIAL"),"_")))))</f>
        <v> </v>
      </c>
      <c r="H3999" s="25" t="str">
        <f>IF(J3999&lt;&gt;1,"",IF(I3999="SBJ","CB","?"))</f>
        <v> </v>
      </c>
      <c r="I3999" s="26" t="str">
        <f>IF(OR(E3999="",E3999="!!!",F3999="NEW"),"",INDEX(B3998:B$2,-1+SUMPRODUCT(MAX(ROW(E3998:E$2)*(E3999=E3998:E$2)))))</f>
        <v> </v>
      </c>
      <c r="J3999" s="26" t="str">
        <f>IF(OR(E3999="",E3999="!!!",F3999="NEW"),"",COUNTBLANK(OFFSET(A$1,,,SUMPRODUCT(MAX(ROW(E$2:E3999)*(E3999=E$2:E3999)))))-COUNTBLANK(OFFSET(A$1,,,SUMPRODUCT(MAX(ROW(E$1:E3998)*(E2=E$1:E3998))))))</f>
        <v> </v>
      </c>
      <c r="K3999" s="26" t="str">
        <f>IF(OR(E3999="",E3999="!!!",F3999="NEW"),"",INDEX(J$1:J3998,SUMPRODUCT(MAX(ROW(E$1:E3998)*(E3999=E$1:E3998)))))</f>
        <v> </v>
      </c>
      <c r="L3999" s="27"/>
    </row>
    <row r="4000" spans="1:12">
      <c r="A4000" s="20" t="s">
        <v>1481</v>
      </c>
      <c r="E4000" s="22">
        <f>IF(D4000="?OLD","!!!","")</f>
        <v/>
      </c>
      <c r="F4000" s="23" t="str">
        <f>IF(OR(E4000="",E4000="!!!"),"",IF(NOT(ISNA(VLOOKUP(E4000,E$1:E3999,1,FALSE()))),"OLD",IF(AND(E4000&lt;&gt;"",E4000&lt;&gt;"!!!"),"NEW","")))</f>
        <v> </v>
      </c>
      <c r="G4000" s="24" t="str">
        <f>IF(OR(E4000="",E4000="!!!"),"",IF(OR(J4000=0,AND(J4000=1,K4000=1),AND(J4000=1,I4000="SBJ"),AND(J4000=1,I4000=0)),"?IN_FOCUS",IF(J4000&lt;=2,"?ACTIVATED",IF(J4000&lt;&gt;"","?FAMILIAR",IF(F4000="NEW",IF(ISNA(VLOOKUP(E4000,#REF!,1,FALSE())),"?TYPE_IDENTIFIABLE","?REFERENTIAL"),"_")))))</f>
        <v> </v>
      </c>
      <c r="H4000" s="25" t="str">
        <f>IF(J4000&lt;&gt;1,"",IF(I4000="SBJ","CB","?"))</f>
        <v> </v>
      </c>
      <c r="I4000" s="26" t="str">
        <f>IF(OR(E4000="",E4000="!!!",F4000="NEW"),"",INDEX(B3999:B$2,-1+SUMPRODUCT(MAX(ROW(E3999:E$2)*(E4000=E3999:E$2)))))</f>
        <v> </v>
      </c>
      <c r="J4000" s="26" t="str">
        <f>IF(OR(E4000="",E4000="!!!",F4000="NEW"),"",COUNTBLANK(OFFSET(A$1,,,SUMPRODUCT(MAX(ROW(E$2:E4000)*(E4000=E$2:E4000)))))-COUNTBLANK(OFFSET(A$1,,,SUMPRODUCT(MAX(ROW(E$1:E3999)*(E2=E$1:E3999))))))</f>
        <v> </v>
      </c>
      <c r="K4000" s="26" t="str">
        <f>IF(OR(E4000="",E4000="!!!",F4000="NEW"),"",INDEX(J$1:J3999,SUMPRODUCT(MAX(ROW(E$1:E3999)*(E4000=E$1:E3999)))))</f>
        <v> </v>
      </c>
      <c r="L4000" s="27"/>
    </row>
    <row r="4001" spans="1:12">
      <c r="A4001" s="20" t="s">
        <v>1489</v>
      </c>
      <c r="B4001" s="21" t="s">
        <v>1209</v>
      </c>
      <c r="C4001" s="21" t="s">
        <v>1162</v>
      </c>
      <c r="D4001" s="21" t="s">
        <v>1144</v>
      </c>
      <c r="E4001" s="22">
        <f>IF(D4001="?OLD","!!!","")</f>
        <v/>
      </c>
      <c r="F4001" s="23" t="str">
        <f>IF(OR(E4001="",E4001="!!!"),"",IF(NOT(ISNA(VLOOKUP(E4001,E$1:E4000,1,FALSE()))),"OLD",IF(AND(E4001&lt;&gt;"",E4001&lt;&gt;"!!!"),"NEW","")))</f>
        <v> </v>
      </c>
      <c r="G4001" s="24" t="str">
        <f>IF(OR(E4001="",E4001="!!!"),"",IF(OR(J4001=0,AND(J4001=1,K4001=1),AND(J4001=1,I4001="SBJ"),AND(J4001=1,I4001=0)),"?IN_FOCUS",IF(J4001&lt;=2,"?ACTIVATED",IF(J4001&lt;&gt;"","?FAMILIAR",IF(F4001="NEW",IF(ISNA(VLOOKUP(E4001,#REF!,1,FALSE())),"?TYPE_IDENTIFIABLE","?REFERENTIAL"),"_")))))</f>
        <v> </v>
      </c>
      <c r="H4001" s="25" t="str">
        <f>IF(J4001&lt;&gt;1,"",IF(I4001="SBJ","CB","?"))</f>
        <v> </v>
      </c>
      <c r="I4001" s="26" t="str">
        <f>IF(OR(E4001="",E4001="!!!",F4001="NEW"),"",INDEX(B4000:B$2,-1+SUMPRODUCT(MAX(ROW(E4000:E$2)*(E4001=E4000:E$2)))))</f>
        <v> </v>
      </c>
      <c r="J4001" s="26" t="str">
        <f>IF(OR(E4001="",E4001="!!!",F4001="NEW"),"",COUNTBLANK(OFFSET(A$1,,,SUMPRODUCT(MAX(ROW(E$2:E4001)*(E4001=E$2:E4001)))))-COUNTBLANK(OFFSET(A$1,,,SUMPRODUCT(MAX(ROW(E$1:E4000)*(E2=E$1:E4000))))))</f>
        <v> </v>
      </c>
      <c r="K4001" s="26" t="str">
        <f>IF(OR(E4001="",E4001="!!!",F4001="NEW"),"",INDEX(J$1:J4000,SUMPRODUCT(MAX(ROW(E$1:E4000)*(E4001=E$1:E4000)))))</f>
        <v> </v>
      </c>
      <c r="L4001" s="27"/>
    </row>
    <row r="4002" spans="1:12">
      <c r="A4002" s="20" t="s">
        <v>2331</v>
      </c>
      <c r="B4002" s="21" t="s">
        <v>1204</v>
      </c>
      <c r="C4002" s="21" t="s">
        <v>1187</v>
      </c>
      <c r="E4002" s="22">
        <f>IF(D4002="?OLD","!!!","")</f>
        <v/>
      </c>
      <c r="F4002" s="23" t="str">
        <f>IF(OR(E4002="",E4002="!!!"),"",IF(NOT(ISNA(VLOOKUP(E4002,E$1:E4001,1,FALSE()))),"OLD",IF(AND(E4002&lt;&gt;"",E4002&lt;&gt;"!!!"),"NEW","")))</f>
        <v> </v>
      </c>
      <c r="G4002" s="24" t="str">
        <f>IF(OR(E4002="",E4002="!!!"),"",IF(OR(J4002=0,AND(J4002=1,K4002=1),AND(J4002=1,I4002="SBJ"),AND(J4002=1,I4002=0)),"?IN_FOCUS",IF(J4002&lt;=2,"?ACTIVATED",IF(J4002&lt;&gt;"","?FAMILIAR",IF(F4002="NEW",IF(ISNA(VLOOKUP(E4002,#REF!,1,FALSE())),"?TYPE_IDENTIFIABLE","?REFERENTIAL"),"_")))))</f>
        <v> </v>
      </c>
      <c r="H4002" s="25" t="str">
        <f>IF(J4002&lt;&gt;1,"",IF(I4002="SBJ","CB","?"))</f>
        <v> </v>
      </c>
      <c r="I4002" s="26" t="str">
        <f>IF(OR(E4002="",E4002="!!!",F4002="NEW"),"",INDEX(B4001:B$2,-1+SUMPRODUCT(MAX(ROW(E4001:E$2)*(E4002=E4001:E$2)))))</f>
        <v> </v>
      </c>
      <c r="J4002" s="26" t="str">
        <f>IF(OR(E4002="",E4002="!!!",F4002="NEW"),"",COUNTBLANK(OFFSET(A$1,,,SUMPRODUCT(MAX(ROW(E$2:E4002)*(E4002=E$2:E4002)))))-COUNTBLANK(OFFSET(A$1,,,SUMPRODUCT(MAX(ROW(E$1:E4001)*(E2=E$1:E4001))))))</f>
        <v> </v>
      </c>
      <c r="K4002" s="26" t="str">
        <f>IF(OR(E4002="",E4002="!!!",F4002="NEW"),"",INDEX(J$1:J4001,SUMPRODUCT(MAX(ROW(E$1:E4001)*(E4002=E$1:E4001)))))</f>
        <v> </v>
      </c>
      <c r="L4002" s="27"/>
    </row>
    <row r="4003" spans="1:12">
      <c r="A4003" s="20" t="s">
        <v>1931</v>
      </c>
      <c r="E4003" s="22">
        <f>IF(D4003="?OLD","!!!","")</f>
        <v/>
      </c>
      <c r="F4003" s="23" t="str">
        <f>IF(OR(E4003="",E4003="!!!"),"",IF(NOT(ISNA(VLOOKUP(E4003,E$1:E4002,1,FALSE()))),"OLD",IF(AND(E4003&lt;&gt;"",E4003&lt;&gt;"!!!"),"NEW","")))</f>
        <v> </v>
      </c>
      <c r="G4003" s="24" t="str">
        <f>IF(OR(E4003="",E4003="!!!"),"",IF(OR(J4003=0,AND(J4003=1,K4003=1),AND(J4003=1,I4003="SBJ"),AND(J4003=1,I4003=0)),"?IN_FOCUS",IF(J4003&lt;=2,"?ACTIVATED",IF(J4003&lt;&gt;"","?FAMILIAR",IF(F4003="NEW",IF(ISNA(VLOOKUP(E4003,#REF!,1,FALSE())),"?TYPE_IDENTIFIABLE","?REFERENTIAL"),"_")))))</f>
        <v> </v>
      </c>
      <c r="H4003" s="25" t="str">
        <f>IF(J4003&lt;&gt;1,"",IF(I4003="SBJ","CB","?"))</f>
        <v> </v>
      </c>
      <c r="I4003" s="26" t="str">
        <f>IF(OR(E4003="",E4003="!!!",F4003="NEW"),"",INDEX(B4002:B$2,-1+SUMPRODUCT(MAX(ROW(E4002:E$2)*(E4003=E4002:E$2)))))</f>
        <v> </v>
      </c>
      <c r="J4003" s="26" t="str">
        <f>IF(OR(E4003="",E4003="!!!",F4003="NEW"),"",COUNTBLANK(OFFSET(A$1,,,SUMPRODUCT(MAX(ROW(E$2:E4003)*(E4003=E$2:E4003)))))-COUNTBLANK(OFFSET(A$1,,,SUMPRODUCT(MAX(ROW(E$1:E4002)*(E2=E$1:E4002))))))</f>
        <v> </v>
      </c>
      <c r="K4003" s="26" t="str">
        <f>IF(OR(E4003="",E4003="!!!",F4003="NEW"),"",INDEX(J$1:J4002,SUMPRODUCT(MAX(ROW(E$1:E4002)*(E4003=E$1:E4002)))))</f>
        <v> </v>
      </c>
      <c r="L4003" s="27"/>
    </row>
    <row r="4004" spans="1:12">
      <c r="A4004" s="20" t="s">
        <v>312</v>
      </c>
      <c r="E4004" s="22">
        <f>IF(D4004="?OLD","!!!","")</f>
        <v/>
      </c>
      <c r="F4004" s="23" t="str">
        <f>IF(OR(E4004="",E4004="!!!"),"",IF(NOT(ISNA(VLOOKUP(E4004,E$1:E4003,1,FALSE()))),"OLD",IF(AND(E4004&lt;&gt;"",E4004&lt;&gt;"!!!"),"NEW","")))</f>
        <v> </v>
      </c>
      <c r="G4004" s="24" t="str">
        <f>IF(OR(E4004="",E4004="!!!"),"",IF(OR(J4004=0,AND(J4004=1,K4004=1),AND(J4004=1,I4004="SBJ"),AND(J4004=1,I4004=0)),"?IN_FOCUS",IF(J4004&lt;=2,"?ACTIVATED",IF(J4004&lt;&gt;"","?FAMILIAR",IF(F4004="NEW",IF(ISNA(VLOOKUP(E4004,#REF!,1,FALSE())),"?TYPE_IDENTIFIABLE","?REFERENTIAL"),"_")))))</f>
        <v> </v>
      </c>
      <c r="H4004" s="25" t="str">
        <f>IF(J4004&lt;&gt;1,"",IF(I4004="SBJ","CB","?"))</f>
        <v> </v>
      </c>
      <c r="I4004" s="26" t="str">
        <f>IF(OR(E4004="",E4004="!!!",F4004="NEW"),"",INDEX(B4003:B$2,-1+SUMPRODUCT(MAX(ROW(E4003:E$2)*(E4004=E4003:E$2)))))</f>
        <v> </v>
      </c>
      <c r="J4004" s="26" t="str">
        <f>IF(OR(E4004="",E4004="!!!",F4004="NEW"),"",COUNTBLANK(OFFSET(A$1,,,SUMPRODUCT(MAX(ROW(E$2:E4004)*(E4004=E$2:E4004)))))-COUNTBLANK(OFFSET(A$1,,,SUMPRODUCT(MAX(ROW(E$1:E4003)*(E2=E$1:E4003))))))</f>
        <v> </v>
      </c>
      <c r="K4004" s="26" t="str">
        <f>IF(OR(E4004="",E4004="!!!",F4004="NEW"),"",INDEX(J$1:J4003,SUMPRODUCT(MAX(ROW(E$1:E4003)*(E4004=E$1:E4003)))))</f>
        <v> </v>
      </c>
      <c r="L4004" s="27"/>
    </row>
    <row r="4005" spans="1:12">
      <c r="A4005" s="20"/>
    </row>
    <row r="4006" spans="1:12">
      <c r="A4006" s="20" t="s">
        <v>2332</v>
      </c>
    </row>
    <row r="4007" spans="1:12">
      <c r="A4007" s="20" t="s">
        <v>2333</v>
      </c>
      <c r="E4007" s="22">
        <f>IF(D4007="?OLD","!!!","")</f>
        <v/>
      </c>
      <c r="F4007" s="23" t="str">
        <f>IF(OR(E4007="",E4007="!!!"),"",IF(NOT(ISNA(VLOOKUP(E4007,E$1:E4006,1,FALSE()))),"OLD",IF(AND(E4007&lt;&gt;"",E4007&lt;&gt;"!!!"),"NEW","")))</f>
        <v> </v>
      </c>
      <c r="G4007" s="24" t="str">
        <f>IF(OR(E4007="",E4007="!!!"),"",IF(OR(J4007=0,AND(J4007=1,K4007=1),AND(J4007=1,I4007="SBJ"),AND(J4007=1,I4007=0)),"?IN_FOCUS",IF(J4007&lt;=2,"?ACTIVATED",IF(J4007&lt;&gt;"","?FAMILIAR",IF(F4007="NEW",IF(ISNA(VLOOKUP(E4007,#REF!,1,FALSE())),"?TYPE_IDENTIFIABLE","?REFERENTIAL"),"_")))))</f>
        <v> </v>
      </c>
      <c r="H4007" s="25" t="str">
        <f>IF(J4007&lt;&gt;1,"",IF(I4007="SBJ","CB","?"))</f>
        <v> </v>
      </c>
      <c r="I4007" s="26" t="str">
        <f>IF(OR(E4007="",E4007="!!!",F4007="NEW"),"",INDEX(B4006:B$2,-1+SUMPRODUCT(MAX(ROW(E4006:E$2)*(E4007=E4006:E$2)))))</f>
        <v> </v>
      </c>
      <c r="J4007" s="26" t="str">
        <f>IF(OR(E4007="",E4007="!!!",F4007="NEW"),"",COUNTBLANK(OFFSET(A$1,,,SUMPRODUCT(MAX(ROW(E$2:E4007)*(E4007=E$2:E4007)))))-COUNTBLANK(OFFSET(A$1,,,SUMPRODUCT(MAX(ROW(E$1:E4006)*(E2=E$1:E4006))))))</f>
        <v> </v>
      </c>
      <c r="K4007" s="26" t="str">
        <f>IF(OR(E4007="",E4007="!!!",F4007="NEW"),"",INDEX(J$1:J4006,SUMPRODUCT(MAX(ROW(E$1:E4006)*(E4007=E$1:E4006)))))</f>
        <v> </v>
      </c>
      <c r="L4007" s="27"/>
    </row>
    <row r="4008" spans="1:12">
      <c r="A4008" s="20" t="s">
        <v>1230</v>
      </c>
      <c r="B4008" s="21" t="s">
        <v>1142</v>
      </c>
      <c r="C4008" s="21" t="s">
        <v>1151</v>
      </c>
      <c r="D4008" s="21" t="s">
        <v>1144</v>
      </c>
      <c r="E4008" s="22">
        <f>IF(D4008="?OLD","!!!","")</f>
        <v/>
      </c>
      <c r="F4008" s="23" t="str">
        <f>IF(OR(E4008="",E4008="!!!"),"",IF(NOT(ISNA(VLOOKUP(E4008,E$1:E4007,1,FALSE()))),"OLD",IF(AND(E4008&lt;&gt;"",E4008&lt;&gt;"!!!"),"NEW","")))</f>
        <v> </v>
      </c>
      <c r="G4008" s="24" t="str">
        <f>IF(OR(E4008="",E4008="!!!"),"",IF(OR(J4008=0,AND(J4008=1,K4008=1),AND(J4008=1,I4008="SBJ"),AND(J4008=1,I4008=0)),"?IN_FOCUS",IF(J4008&lt;=2,"?ACTIVATED",IF(J4008&lt;&gt;"","?FAMILIAR",IF(F4008="NEW",IF(ISNA(VLOOKUP(E4008,#REF!,1,FALSE())),"?TYPE_IDENTIFIABLE","?REFERENTIAL"),"_")))))</f>
        <v> </v>
      </c>
      <c r="H4008" s="25" t="str">
        <f>IF(J4008&lt;&gt;1,"",IF(I4008="SBJ","CB","?"))</f>
        <v> </v>
      </c>
      <c r="I4008" s="26" t="str">
        <f>IF(OR(E4008="",E4008="!!!",F4008="NEW"),"",INDEX(B4007:B$2,-1+SUMPRODUCT(MAX(ROW(E4007:E$2)*(E4008=E4007:E$2)))))</f>
        <v> </v>
      </c>
      <c r="J4008" s="26" t="str">
        <f>IF(OR(E4008="",E4008="!!!",F4008="NEW"),"",COUNTBLANK(OFFSET(A$1,,,SUMPRODUCT(MAX(ROW(E$2:E4008)*(E4008=E$2:E4008)))))-COUNTBLANK(OFFSET(A$1,,,SUMPRODUCT(MAX(ROW(E$1:E4007)*(E2=E$1:E4007))))))</f>
        <v> </v>
      </c>
      <c r="K4008" s="26" t="str">
        <f>IF(OR(E4008="",E4008="!!!",F4008="NEW"),"",INDEX(J$1:J4007,SUMPRODUCT(MAX(ROW(E$1:E4007)*(E4008=E$1:E4007)))))</f>
        <v> </v>
      </c>
      <c r="L4008" s="27"/>
    </row>
    <row r="4009" spans="1:12">
      <c r="A4009" s="20" t="s">
        <v>1166</v>
      </c>
      <c r="E4009" s="22">
        <f>IF(D4009="?OLD","!!!","")</f>
        <v/>
      </c>
      <c r="F4009" s="23" t="str">
        <f>IF(OR(E4009="",E4009="!!!"),"",IF(NOT(ISNA(VLOOKUP(E4009,E$1:E4008,1,FALSE()))),"OLD",IF(AND(E4009&lt;&gt;"",E4009&lt;&gt;"!!!"),"NEW","")))</f>
        <v> </v>
      </c>
      <c r="G4009" s="24" t="str">
        <f>IF(OR(E4009="",E4009="!!!"),"",IF(OR(J4009=0,AND(J4009=1,K4009=1),AND(J4009=1,I4009="SBJ"),AND(J4009=1,I4009=0)),"?IN_FOCUS",IF(J4009&lt;=2,"?ACTIVATED",IF(J4009&lt;&gt;"","?FAMILIAR",IF(F4009="NEW",IF(ISNA(VLOOKUP(E4009,#REF!,1,FALSE())),"?TYPE_IDENTIFIABLE","?REFERENTIAL"),"_")))))</f>
        <v> </v>
      </c>
      <c r="H4009" s="25" t="str">
        <f>IF(J4009&lt;&gt;1,"",IF(I4009="SBJ","CB","?"))</f>
        <v> </v>
      </c>
      <c r="I4009" s="26" t="str">
        <f>IF(OR(E4009="",E4009="!!!",F4009="NEW"),"",INDEX(B4008:B$2,-1+SUMPRODUCT(MAX(ROW(E4008:E$2)*(E4009=E4008:E$2)))))</f>
        <v> </v>
      </c>
      <c r="J4009" s="26" t="str">
        <f>IF(OR(E4009="",E4009="!!!",F4009="NEW"),"",COUNTBLANK(OFFSET(A$1,,,SUMPRODUCT(MAX(ROW(E$2:E4009)*(E4009=E$2:E4009)))))-COUNTBLANK(OFFSET(A$1,,,SUMPRODUCT(MAX(ROW(E$1:E4008)*(E2=E$1:E4008))))))</f>
        <v> </v>
      </c>
      <c r="K4009" s="26" t="str">
        <f>IF(OR(E4009="",E4009="!!!",F4009="NEW"),"",INDEX(J$1:J4008,SUMPRODUCT(MAX(ROW(E$1:E4008)*(E4009=E$1:E4008)))))</f>
        <v> </v>
      </c>
      <c r="L4009" s="27"/>
    </row>
    <row r="4010" spans="1:12">
      <c r="A4010" s="20" t="s">
        <v>1191</v>
      </c>
      <c r="E4010" s="22">
        <f>IF(D4010="?OLD","!!!","")</f>
        <v/>
      </c>
      <c r="F4010" s="23" t="str">
        <f>IF(OR(E4010="",E4010="!!!"),"",IF(NOT(ISNA(VLOOKUP(E4010,E$1:E4009,1,FALSE()))),"OLD",IF(AND(E4010&lt;&gt;"",E4010&lt;&gt;"!!!"),"NEW","")))</f>
        <v> </v>
      </c>
      <c r="G4010" s="24" t="str">
        <f>IF(OR(E4010="",E4010="!!!"),"",IF(OR(J4010=0,AND(J4010=1,K4010=1),AND(J4010=1,I4010="SBJ"),AND(J4010=1,I4010=0)),"?IN_FOCUS",IF(J4010&lt;=2,"?ACTIVATED",IF(J4010&lt;&gt;"","?FAMILIAR",IF(F4010="NEW",IF(ISNA(VLOOKUP(E4010,#REF!,1,FALSE())),"?TYPE_IDENTIFIABLE","?REFERENTIAL"),"_")))))</f>
        <v> </v>
      </c>
      <c r="H4010" s="25" t="str">
        <f>IF(J4010&lt;&gt;1,"",IF(I4010="SBJ","CB","?"))</f>
        <v> </v>
      </c>
      <c r="I4010" s="26" t="str">
        <f>IF(OR(E4010="",E4010="!!!",F4010="NEW"),"",INDEX(B4009:B$2,-1+SUMPRODUCT(MAX(ROW(E4009:E$2)*(E4010=E4009:E$2)))))</f>
        <v> </v>
      </c>
      <c r="J4010" s="26" t="str">
        <f>IF(OR(E4010="",E4010="!!!",F4010="NEW"),"",COUNTBLANK(OFFSET(A$1,,,SUMPRODUCT(MAX(ROW(E$2:E4010)*(E4010=E$2:E4010)))))-COUNTBLANK(OFFSET(A$1,,,SUMPRODUCT(MAX(ROW(E$1:E4009)*(E2=E$1:E4009))))))</f>
        <v> </v>
      </c>
      <c r="K4010" s="26" t="str">
        <f>IF(OR(E4010="",E4010="!!!",F4010="NEW"),"",INDEX(J$1:J4009,SUMPRODUCT(MAX(ROW(E$1:E4009)*(E4010=E$1:E4009)))))</f>
        <v> </v>
      </c>
      <c r="L4010" s="27"/>
    </row>
    <row r="4011" spans="1:12">
      <c r="A4011" s="20" t="s">
        <v>1789</v>
      </c>
      <c r="B4011" s="21" t="s">
        <v>1142</v>
      </c>
      <c r="C4011" s="21" t="s">
        <v>1143</v>
      </c>
      <c r="D4011" s="21" t="s">
        <v>1144</v>
      </c>
      <c r="E4011" s="22">
        <f>IF(D4011="?OLD","!!!","")</f>
        <v/>
      </c>
      <c r="F4011" s="23" t="str">
        <f>IF(OR(E4011="",E4011="!!!"),"",IF(NOT(ISNA(VLOOKUP(E4011,E$1:E4010,1,FALSE()))),"OLD",IF(AND(E4011&lt;&gt;"",E4011&lt;&gt;"!!!"),"NEW","")))</f>
        <v> </v>
      </c>
      <c r="G4011" s="24" t="str">
        <f>IF(OR(E4011="",E4011="!!!"),"",IF(OR(J4011=0,AND(J4011=1,K4011=1),AND(J4011=1,I4011="SBJ"),AND(J4011=1,I4011=0)),"?IN_FOCUS",IF(J4011&lt;=2,"?ACTIVATED",IF(J4011&lt;&gt;"","?FAMILIAR",IF(F4011="NEW",IF(ISNA(VLOOKUP(E4011,#REF!,1,FALSE())),"?TYPE_IDENTIFIABLE","?REFERENTIAL"),"_")))))</f>
        <v> </v>
      </c>
      <c r="H4011" s="25" t="str">
        <f>IF(J4011&lt;&gt;1,"",IF(I4011="SBJ","CB","?"))</f>
        <v> </v>
      </c>
      <c r="I4011" s="26" t="str">
        <f>IF(OR(E4011="",E4011="!!!",F4011="NEW"),"",INDEX(B4010:B$2,-1+SUMPRODUCT(MAX(ROW(E4010:E$2)*(E4011=E4010:E$2)))))</f>
        <v> </v>
      </c>
      <c r="J4011" s="26" t="str">
        <f>IF(OR(E4011="",E4011="!!!",F4011="NEW"),"",COUNTBLANK(OFFSET(A$1,,,SUMPRODUCT(MAX(ROW(E$2:E4011)*(E4011=E$2:E4011)))))-COUNTBLANK(OFFSET(A$1,,,SUMPRODUCT(MAX(ROW(E$1:E4010)*(E2=E$1:E4010))))))</f>
        <v> </v>
      </c>
      <c r="K4011" s="26" t="str">
        <f>IF(OR(E4011="",E4011="!!!",F4011="NEW"),"",INDEX(J$1:J4010,SUMPRODUCT(MAX(ROW(E$1:E4010)*(E4011=E$1:E4010)))))</f>
        <v> </v>
      </c>
      <c r="L4011" s="27"/>
    </row>
    <row r="4012" spans="1:12">
      <c r="A4012" s="20" t="s">
        <v>12</v>
      </c>
      <c r="E4012" s="22">
        <f>IF(D4012="?OLD","!!!","")</f>
        <v/>
      </c>
      <c r="F4012" s="23" t="str">
        <f>IF(OR(E4012="",E4012="!!!"),"",IF(NOT(ISNA(VLOOKUP(E4012,E$1:E4011,1,FALSE()))),"OLD",IF(AND(E4012&lt;&gt;"",E4012&lt;&gt;"!!!"),"NEW","")))</f>
        <v> </v>
      </c>
      <c r="G4012" s="24" t="str">
        <f>IF(OR(E4012="",E4012="!!!"),"",IF(OR(J4012=0,AND(J4012=1,K4012=1),AND(J4012=1,I4012="SBJ"),AND(J4012=1,I4012=0)),"?IN_FOCUS",IF(J4012&lt;=2,"?ACTIVATED",IF(J4012&lt;&gt;"","?FAMILIAR",IF(F4012="NEW",IF(ISNA(VLOOKUP(E4012,#REF!,1,FALSE())),"?TYPE_IDENTIFIABLE","?REFERENTIAL"),"_")))))</f>
        <v> </v>
      </c>
      <c r="H4012" s="25" t="str">
        <f>IF(J4012&lt;&gt;1,"",IF(I4012="SBJ","CB","?"))</f>
        <v> </v>
      </c>
      <c r="I4012" s="26" t="str">
        <f>IF(OR(E4012="",E4012="!!!",F4012="NEW"),"",INDEX(B4011:B$2,-1+SUMPRODUCT(MAX(ROW(E4011:E$2)*(E4012=E4011:E$2)))))</f>
        <v> </v>
      </c>
      <c r="J4012" s="26" t="str">
        <f>IF(OR(E4012="",E4012="!!!",F4012="NEW"),"",COUNTBLANK(OFFSET(A$1,,,SUMPRODUCT(MAX(ROW(E$2:E4012)*(E4012=E$2:E4012)))))-COUNTBLANK(OFFSET(A$1,,,SUMPRODUCT(MAX(ROW(E$1:E4011)*(E2=E$1:E4011))))))</f>
        <v> </v>
      </c>
      <c r="K4012" s="26" t="str">
        <f>IF(OR(E4012="",E4012="!!!",F4012="NEW"),"",INDEX(J$1:J4011,SUMPRODUCT(MAX(ROW(E$1:E4011)*(E4012=E$1:E4011)))))</f>
        <v> </v>
      </c>
      <c r="L4012" s="27"/>
    </row>
    <row r="4013" spans="1:12">
      <c r="A4013" s="20" t="s">
        <v>1790</v>
      </c>
      <c r="E4013" s="22">
        <f>IF(D4013="?OLD","!!!","")</f>
        <v/>
      </c>
      <c r="F4013" s="23" t="str">
        <f>IF(OR(E4013="",E4013="!!!"),"",IF(NOT(ISNA(VLOOKUP(E4013,E$1:E4012,1,FALSE()))),"OLD",IF(AND(E4013&lt;&gt;"",E4013&lt;&gt;"!!!"),"NEW","")))</f>
        <v> </v>
      </c>
      <c r="G4013" s="24" t="str">
        <f>IF(OR(E4013="",E4013="!!!"),"",IF(OR(J4013=0,AND(J4013=1,K4013=1),AND(J4013=1,I4013="SBJ"),AND(J4013=1,I4013=0)),"?IN_FOCUS",IF(J4013&lt;=2,"?ACTIVATED",IF(J4013&lt;&gt;"","?FAMILIAR",IF(F4013="NEW",IF(ISNA(VLOOKUP(E4013,#REF!,1,FALSE())),"?TYPE_IDENTIFIABLE","?REFERENTIAL"),"_")))))</f>
        <v> </v>
      </c>
      <c r="H4013" s="25" t="str">
        <f>IF(J4013&lt;&gt;1,"",IF(I4013="SBJ","CB","?"))</f>
        <v> </v>
      </c>
      <c r="I4013" s="26" t="str">
        <f>IF(OR(E4013="",E4013="!!!",F4013="NEW"),"",INDEX(B4012:B$2,-1+SUMPRODUCT(MAX(ROW(E4012:E$2)*(E4013=E4012:E$2)))))</f>
        <v> </v>
      </c>
      <c r="J4013" s="26" t="str">
        <f>IF(OR(E4013="",E4013="!!!",F4013="NEW"),"",COUNTBLANK(OFFSET(A$1,,,SUMPRODUCT(MAX(ROW(E$2:E4013)*(E4013=E$2:E4013)))))-COUNTBLANK(OFFSET(A$1,,,SUMPRODUCT(MAX(ROW(E$1:E4012)*(E2=E$1:E4012))))))</f>
        <v> </v>
      </c>
      <c r="K4013" s="26" t="str">
        <f>IF(OR(E4013="",E4013="!!!",F4013="NEW"),"",INDEX(J$1:J4012,SUMPRODUCT(MAX(ROW(E$1:E4012)*(E4013=E$1:E4012)))))</f>
        <v> </v>
      </c>
      <c r="L4013" s="27"/>
    </row>
    <row r="4014" spans="1:12">
      <c r="A4014" s="20" t="s">
        <v>2146</v>
      </c>
      <c r="E4014" s="22">
        <f>IF(D4014="?OLD","!!!","")</f>
        <v/>
      </c>
      <c r="F4014" s="23" t="str">
        <f>IF(OR(E4014="",E4014="!!!"),"",IF(NOT(ISNA(VLOOKUP(E4014,E$1:E4013,1,FALSE()))),"OLD",IF(AND(E4014&lt;&gt;"",E4014&lt;&gt;"!!!"),"NEW","")))</f>
        <v> </v>
      </c>
      <c r="G4014" s="24" t="str">
        <f>IF(OR(E4014="",E4014="!!!"),"",IF(OR(J4014=0,AND(J4014=1,K4014=1),AND(J4014=1,I4014="SBJ"),AND(J4014=1,I4014=0)),"?IN_FOCUS",IF(J4014&lt;=2,"?ACTIVATED",IF(J4014&lt;&gt;"","?FAMILIAR",IF(F4014="NEW",IF(ISNA(VLOOKUP(E4014,#REF!,1,FALSE())),"?TYPE_IDENTIFIABLE","?REFERENTIAL"),"_")))))</f>
        <v> </v>
      </c>
      <c r="H4014" s="25" t="str">
        <f>IF(J4014&lt;&gt;1,"",IF(I4014="SBJ","CB","?"))</f>
        <v> </v>
      </c>
      <c r="I4014" s="26" t="str">
        <f>IF(OR(E4014="",E4014="!!!",F4014="NEW"),"",INDEX(B4013:B$2,-1+SUMPRODUCT(MAX(ROW(E4013:E$2)*(E4014=E4013:E$2)))))</f>
        <v> </v>
      </c>
      <c r="J4014" s="26" t="str">
        <f>IF(OR(E4014="",E4014="!!!",F4014="NEW"),"",COUNTBLANK(OFFSET(A$1,,,SUMPRODUCT(MAX(ROW(E$2:E4014)*(E4014=E$2:E4014)))))-COUNTBLANK(OFFSET(A$1,,,SUMPRODUCT(MAX(ROW(E$1:E4013)*(E2=E$1:E4013))))))</f>
        <v> </v>
      </c>
      <c r="K4014" s="26" t="str">
        <f>IF(OR(E4014="",E4014="!!!",F4014="NEW"),"",INDEX(J$1:J4013,SUMPRODUCT(MAX(ROW(E$1:E4013)*(E4014=E$1:E4013)))))</f>
        <v> </v>
      </c>
      <c r="L4014" s="27"/>
    </row>
    <row r="4015" spans="1:12">
      <c r="A4015" s="20" t="s">
        <v>1529</v>
      </c>
      <c r="B4015" s="21" t="s">
        <v>1150</v>
      </c>
      <c r="C4015" s="21" t="s">
        <v>1151</v>
      </c>
      <c r="D4015" s="21" t="s">
        <v>1144</v>
      </c>
      <c r="E4015" s="22">
        <f>IF(D4015="?OLD","!!!","")</f>
        <v/>
      </c>
      <c r="F4015" s="23" t="str">
        <f>IF(OR(E4015="",E4015="!!!"),"",IF(NOT(ISNA(VLOOKUP(E4015,E$1:E4014,1,FALSE()))),"OLD",IF(AND(E4015&lt;&gt;"",E4015&lt;&gt;"!!!"),"NEW","")))</f>
        <v> </v>
      </c>
      <c r="G4015" s="24" t="str">
        <f>IF(OR(E4015="",E4015="!!!"),"",IF(OR(J4015=0,AND(J4015=1,K4015=1),AND(J4015=1,I4015="SBJ"),AND(J4015=1,I4015=0)),"?IN_FOCUS",IF(J4015&lt;=2,"?ACTIVATED",IF(J4015&lt;&gt;"","?FAMILIAR",IF(F4015="NEW",IF(ISNA(VLOOKUP(E4015,#REF!,1,FALSE())),"?TYPE_IDENTIFIABLE","?REFERENTIAL"),"_")))))</f>
        <v> </v>
      </c>
      <c r="H4015" s="25" t="str">
        <f>IF(J4015&lt;&gt;1,"",IF(I4015="SBJ","CB","?"))</f>
        <v> </v>
      </c>
      <c r="I4015" s="26" t="str">
        <f>IF(OR(E4015="",E4015="!!!",F4015="NEW"),"",INDEX(B4014:B$2,-1+SUMPRODUCT(MAX(ROW(E4014:E$2)*(E4015=E4014:E$2)))))</f>
        <v> </v>
      </c>
      <c r="J4015" s="26" t="str">
        <f>IF(OR(E4015="",E4015="!!!",F4015="NEW"),"",COUNTBLANK(OFFSET(A$1,,,SUMPRODUCT(MAX(ROW(E$2:E4015)*(E4015=E$2:E4015)))))-COUNTBLANK(OFFSET(A$1,,,SUMPRODUCT(MAX(ROW(E$1:E4014)*(E2=E$1:E4014))))))</f>
        <v> </v>
      </c>
      <c r="K4015" s="26" t="str">
        <f>IF(OR(E4015="",E4015="!!!",F4015="NEW"),"",INDEX(J$1:J4014,SUMPRODUCT(MAX(ROW(E$1:E4014)*(E4015=E$1:E4014)))))</f>
        <v> </v>
      </c>
      <c r="L4015" s="27"/>
    </row>
    <row r="4016" spans="1:12">
      <c r="A4016" s="20" t="s">
        <v>12</v>
      </c>
      <c r="E4016" s="22">
        <f>IF(D4016="?OLD","!!!","")</f>
        <v/>
      </c>
      <c r="F4016" s="23" t="str">
        <f>IF(OR(E4016="",E4016="!!!"),"",IF(NOT(ISNA(VLOOKUP(E4016,E$1:E4015,1,FALSE()))),"OLD",IF(AND(E4016&lt;&gt;"",E4016&lt;&gt;"!!!"),"NEW","")))</f>
        <v> </v>
      </c>
      <c r="G4016" s="24" t="str">
        <f>IF(OR(E4016="",E4016="!!!"),"",IF(OR(J4016=0,AND(J4016=1,K4016=1),AND(J4016=1,I4016="SBJ"),AND(J4016=1,I4016=0)),"?IN_FOCUS",IF(J4016&lt;=2,"?ACTIVATED",IF(J4016&lt;&gt;"","?FAMILIAR",IF(F4016="NEW",IF(ISNA(VLOOKUP(E4016,#REF!,1,FALSE())),"?TYPE_IDENTIFIABLE","?REFERENTIAL"),"_")))))</f>
        <v> </v>
      </c>
      <c r="H4016" s="25" t="str">
        <f>IF(J4016&lt;&gt;1,"",IF(I4016="SBJ","CB","?"))</f>
        <v> </v>
      </c>
      <c r="I4016" s="26" t="str">
        <f>IF(OR(E4016="",E4016="!!!",F4016="NEW"),"",INDEX(B4015:B$2,-1+SUMPRODUCT(MAX(ROW(E4015:E$2)*(E4016=E4015:E$2)))))</f>
        <v> </v>
      </c>
      <c r="J4016" s="26" t="str">
        <f>IF(OR(E4016="",E4016="!!!",F4016="NEW"),"",COUNTBLANK(OFFSET(A$1,,,SUMPRODUCT(MAX(ROW(E$2:E4016)*(E4016=E$2:E4016)))))-COUNTBLANK(OFFSET(A$1,,,SUMPRODUCT(MAX(ROW(E$1:E4015)*(E2=E$1:E4015))))))</f>
        <v> </v>
      </c>
      <c r="K4016" s="26" t="str">
        <f>IF(OR(E4016="",E4016="!!!",F4016="NEW"),"",INDEX(J$1:J4015,SUMPRODUCT(MAX(ROW(E$1:E4015)*(E4016=E$1:E4015)))))</f>
        <v> </v>
      </c>
      <c r="L4016" s="27"/>
    </row>
    <row r="4017" spans="1:12">
      <c r="A4017" s="20" t="s">
        <v>1178</v>
      </c>
      <c r="E4017" s="22">
        <f>IF(D4017="?OLD","!!!","")</f>
        <v/>
      </c>
      <c r="F4017" s="23" t="str">
        <f>IF(OR(E4017="",E4017="!!!"),"",IF(NOT(ISNA(VLOOKUP(E4017,E$1:E4016,1,FALSE()))),"OLD",IF(AND(E4017&lt;&gt;"",E4017&lt;&gt;"!!!"),"NEW","")))</f>
        <v> </v>
      </c>
      <c r="G4017" s="24" t="str">
        <f>IF(OR(E4017="",E4017="!!!"),"",IF(OR(J4017=0,AND(J4017=1,K4017=1),AND(J4017=1,I4017="SBJ"),AND(J4017=1,I4017=0)),"?IN_FOCUS",IF(J4017&lt;=2,"?ACTIVATED",IF(J4017&lt;&gt;"","?FAMILIAR",IF(F4017="NEW",IF(ISNA(VLOOKUP(E4017,#REF!,1,FALSE())),"?TYPE_IDENTIFIABLE","?REFERENTIAL"),"_")))))</f>
        <v> </v>
      </c>
      <c r="H4017" s="25" t="str">
        <f>IF(J4017&lt;&gt;1,"",IF(I4017="SBJ","CB","?"))</f>
        <v> </v>
      </c>
      <c r="I4017" s="26" t="str">
        <f>IF(OR(E4017="",E4017="!!!",F4017="NEW"),"",INDEX(B4016:B$2,-1+SUMPRODUCT(MAX(ROW(E4016:E$2)*(E4017=E4016:E$2)))))</f>
        <v> </v>
      </c>
      <c r="J4017" s="26" t="str">
        <f>IF(OR(E4017="",E4017="!!!",F4017="NEW"),"",COUNTBLANK(OFFSET(A$1,,,SUMPRODUCT(MAX(ROW(E$2:E4017)*(E4017=E$2:E4017)))))-COUNTBLANK(OFFSET(A$1,,,SUMPRODUCT(MAX(ROW(E$1:E4016)*(E2=E$1:E4016))))))</f>
        <v> </v>
      </c>
      <c r="K4017" s="26" t="str">
        <f>IF(OR(E4017="",E4017="!!!",F4017="NEW"),"",INDEX(J$1:J4016,SUMPRODUCT(MAX(ROW(E$1:E4016)*(E4017=E$1:E4016)))))</f>
        <v> </v>
      </c>
      <c r="L4017" s="27"/>
    </row>
    <row r="4018" spans="1:12">
      <c r="A4018" s="20" t="s">
        <v>826</v>
      </c>
      <c r="E4018" s="22">
        <f>IF(D4018="?OLD","!!!","")</f>
        <v/>
      </c>
      <c r="F4018" s="23" t="str">
        <f>IF(OR(E4018="",E4018="!!!"),"",IF(NOT(ISNA(VLOOKUP(E4018,E$1:E4017,1,FALSE()))),"OLD",IF(AND(E4018&lt;&gt;"",E4018&lt;&gt;"!!!"),"NEW","")))</f>
        <v> </v>
      </c>
      <c r="G4018" s="24" t="str">
        <f>IF(OR(E4018="",E4018="!!!"),"",IF(OR(J4018=0,AND(J4018=1,K4018=1),AND(J4018=1,I4018="SBJ"),AND(J4018=1,I4018=0)),"?IN_FOCUS",IF(J4018&lt;=2,"?ACTIVATED",IF(J4018&lt;&gt;"","?FAMILIAR",IF(F4018="NEW",IF(ISNA(VLOOKUP(E4018,#REF!,1,FALSE())),"?TYPE_IDENTIFIABLE","?REFERENTIAL"),"_")))))</f>
        <v> </v>
      </c>
      <c r="H4018" s="25" t="str">
        <f>IF(J4018&lt;&gt;1,"",IF(I4018="SBJ","CB","?"))</f>
        <v> </v>
      </c>
      <c r="I4018" s="26" t="str">
        <f>IF(OR(E4018="",E4018="!!!",F4018="NEW"),"",INDEX(B4017:B$2,-1+SUMPRODUCT(MAX(ROW(E4017:E$2)*(E4018=E4017:E$2)))))</f>
        <v> </v>
      </c>
      <c r="J4018" s="26" t="str">
        <f>IF(OR(E4018="",E4018="!!!",F4018="NEW"),"",COUNTBLANK(OFFSET(A$1,,,SUMPRODUCT(MAX(ROW(E$2:E4018)*(E4018=E$2:E4018)))))-COUNTBLANK(OFFSET(A$1,,,SUMPRODUCT(MAX(ROW(E$1:E4017)*(E2=E$1:E4017))))))</f>
        <v> </v>
      </c>
      <c r="K4018" s="26" t="str">
        <f>IF(OR(E4018="",E4018="!!!",F4018="NEW"),"",INDEX(J$1:J4017,SUMPRODUCT(MAX(ROW(E$1:E4017)*(E4018=E$1:E4017)))))</f>
        <v> </v>
      </c>
      <c r="L4018" s="27"/>
    </row>
    <row r="4019" spans="1:12">
      <c r="A4019" s="20" t="s">
        <v>1238</v>
      </c>
      <c r="E4019" s="22">
        <f>IF(D4019="?OLD","!!!","")</f>
        <v/>
      </c>
      <c r="F4019" s="23" t="str">
        <f>IF(OR(E4019="",E4019="!!!"),"",IF(NOT(ISNA(VLOOKUP(E4019,E$1:E4018,1,FALSE()))),"OLD",IF(AND(E4019&lt;&gt;"",E4019&lt;&gt;"!!!"),"NEW","")))</f>
        <v> </v>
      </c>
      <c r="G4019" s="24" t="str">
        <f>IF(OR(E4019="",E4019="!!!"),"",IF(OR(J4019=0,AND(J4019=1,K4019=1),AND(J4019=1,I4019="SBJ"),AND(J4019=1,I4019=0)),"?IN_FOCUS",IF(J4019&lt;=2,"?ACTIVATED",IF(J4019&lt;&gt;"","?FAMILIAR",IF(F4019="NEW",IF(ISNA(VLOOKUP(E4019,#REF!,1,FALSE())),"?TYPE_IDENTIFIABLE","?REFERENTIAL"),"_")))))</f>
        <v> </v>
      </c>
      <c r="H4019" s="25" t="str">
        <f>IF(J4019&lt;&gt;1,"",IF(I4019="SBJ","CB","?"))</f>
        <v> </v>
      </c>
      <c r="I4019" s="26" t="str">
        <f>IF(OR(E4019="",E4019="!!!",F4019="NEW"),"",INDEX(B4018:B$2,-1+SUMPRODUCT(MAX(ROW(E4018:E$2)*(E4019=E4018:E$2)))))</f>
        <v> </v>
      </c>
      <c r="J4019" s="26" t="str">
        <f>IF(OR(E4019="",E4019="!!!",F4019="NEW"),"",COUNTBLANK(OFFSET(A$1,,,SUMPRODUCT(MAX(ROW(E$2:E4019)*(E4019=E$2:E4019)))))-COUNTBLANK(OFFSET(A$1,,,SUMPRODUCT(MAX(ROW(E$1:E4018)*(E2=E$1:E4018))))))</f>
        <v> </v>
      </c>
      <c r="K4019" s="26" t="str">
        <f>IF(OR(E4019="",E4019="!!!",F4019="NEW"),"",INDEX(J$1:J4018,SUMPRODUCT(MAX(ROW(E$1:E4018)*(E4019=E$1:E4018)))))</f>
        <v> </v>
      </c>
      <c r="L4019" s="27"/>
    </row>
    <row r="4020" spans="1:12">
      <c r="A4020" s="20" t="s">
        <v>1284</v>
      </c>
      <c r="B4020" s="21" t="s">
        <v>1175</v>
      </c>
      <c r="C4020" s="21" t="s">
        <v>1162</v>
      </c>
      <c r="D4020" s="21" t="s">
        <v>1144</v>
      </c>
      <c r="E4020" s="22">
        <f>IF(D4020="?OLD","!!!","")</f>
        <v/>
      </c>
      <c r="F4020" s="23" t="str">
        <f>IF(OR(E4020="",E4020="!!!"),"",IF(NOT(ISNA(VLOOKUP(E4020,E$1:E4019,1,FALSE()))),"OLD",IF(AND(E4020&lt;&gt;"",E4020&lt;&gt;"!!!"),"NEW","")))</f>
        <v> </v>
      </c>
      <c r="G4020" s="24" t="str">
        <f>IF(OR(E4020="",E4020="!!!"),"",IF(OR(J4020=0,AND(J4020=1,K4020=1),AND(J4020=1,I4020="SBJ"),AND(J4020=1,I4020=0)),"?IN_FOCUS",IF(J4020&lt;=2,"?ACTIVATED",IF(J4020&lt;&gt;"","?FAMILIAR",IF(F4020="NEW",IF(ISNA(VLOOKUP(E4020,#REF!,1,FALSE())),"?TYPE_IDENTIFIABLE","?REFERENTIAL"),"_")))))</f>
        <v> </v>
      </c>
      <c r="H4020" s="25" t="str">
        <f>IF(J4020&lt;&gt;1,"",IF(I4020="SBJ","CB","?"))</f>
        <v> </v>
      </c>
      <c r="I4020" s="26" t="str">
        <f>IF(OR(E4020="",E4020="!!!",F4020="NEW"),"",INDEX(B4019:B$2,-1+SUMPRODUCT(MAX(ROW(E4019:E$2)*(E4020=E4019:E$2)))))</f>
        <v> </v>
      </c>
      <c r="J4020" s="26" t="str">
        <f>IF(OR(E4020="",E4020="!!!",F4020="NEW"),"",COUNTBLANK(OFFSET(A$1,,,SUMPRODUCT(MAX(ROW(E$2:E4020)*(E4020=E$2:E4020)))))-COUNTBLANK(OFFSET(A$1,,,SUMPRODUCT(MAX(ROW(E$1:E4019)*(E2=E$1:E4019))))))</f>
        <v> </v>
      </c>
      <c r="K4020" s="26" t="str">
        <f>IF(OR(E4020="",E4020="!!!",F4020="NEW"),"",INDEX(J$1:J4019,SUMPRODUCT(MAX(ROW(E$1:E4019)*(E4020=E$1:E4019)))))</f>
        <v> </v>
      </c>
      <c r="L4020" s="27"/>
    </row>
    <row r="4021" spans="1:12">
      <c r="A4021" s="20" t="s">
        <v>1682</v>
      </c>
      <c r="E4021" s="22">
        <f>IF(D4021="?OLD","!!!","")</f>
        <v/>
      </c>
      <c r="F4021" s="23" t="str">
        <f>IF(OR(E4021="",E4021="!!!"),"",IF(NOT(ISNA(VLOOKUP(E4021,E$1:E4020,1,FALSE()))),"OLD",IF(AND(E4021&lt;&gt;"",E4021&lt;&gt;"!!!"),"NEW","")))</f>
        <v> </v>
      </c>
      <c r="G4021" s="24" t="str">
        <f>IF(OR(E4021="",E4021="!!!"),"",IF(OR(J4021=0,AND(J4021=1,K4021=1),AND(J4021=1,I4021="SBJ"),AND(J4021=1,I4021=0)),"?IN_FOCUS",IF(J4021&lt;=2,"?ACTIVATED",IF(J4021&lt;&gt;"","?FAMILIAR",IF(F4021="NEW",IF(ISNA(VLOOKUP(E4021,#REF!,1,FALSE())),"?TYPE_IDENTIFIABLE","?REFERENTIAL"),"_")))))</f>
        <v> </v>
      </c>
      <c r="H4021" s="25" t="str">
        <f>IF(J4021&lt;&gt;1,"",IF(I4021="SBJ","CB","?"))</f>
        <v> </v>
      </c>
      <c r="I4021" s="26" t="str">
        <f>IF(OR(E4021="",E4021="!!!",F4021="NEW"),"",INDEX(B4020:B$2,-1+SUMPRODUCT(MAX(ROW(E4020:E$2)*(E4021=E4020:E$2)))))</f>
        <v> </v>
      </c>
      <c r="J4021" s="26" t="str">
        <f>IF(OR(E4021="",E4021="!!!",F4021="NEW"),"",COUNTBLANK(OFFSET(A$1,,,SUMPRODUCT(MAX(ROW(E$2:E4021)*(E4021=E$2:E4021)))))-COUNTBLANK(OFFSET(A$1,,,SUMPRODUCT(MAX(ROW(E$1:E4020)*(E2=E$1:E4020))))))</f>
        <v> </v>
      </c>
      <c r="K4021" s="26" t="str">
        <f>IF(OR(E4021="",E4021="!!!",F4021="NEW"),"",INDEX(J$1:J4020,SUMPRODUCT(MAX(ROW(E$1:E4020)*(E4021=E$1:E4020)))))</f>
        <v> </v>
      </c>
      <c r="L4021" s="27"/>
    </row>
    <row r="4022" spans="1:12">
      <c r="A4022" s="20" t="s">
        <v>1166</v>
      </c>
      <c r="E4022" s="22">
        <f>IF(D4022="?OLD","!!!","")</f>
        <v/>
      </c>
      <c r="F4022" s="23" t="str">
        <f>IF(OR(E4022="",E4022="!!!"),"",IF(NOT(ISNA(VLOOKUP(E4022,E$1:E4021,1,FALSE()))),"OLD",IF(AND(E4022&lt;&gt;"",E4022&lt;&gt;"!!!"),"NEW","")))</f>
        <v> </v>
      </c>
      <c r="G4022" s="24" t="str">
        <f>IF(OR(E4022="",E4022="!!!"),"",IF(OR(J4022=0,AND(J4022=1,K4022=1),AND(J4022=1,I4022="SBJ"),AND(J4022=1,I4022=0)),"?IN_FOCUS",IF(J4022&lt;=2,"?ACTIVATED",IF(J4022&lt;&gt;"","?FAMILIAR",IF(F4022="NEW",IF(ISNA(VLOOKUP(E4022,#REF!,1,FALSE())),"?TYPE_IDENTIFIABLE","?REFERENTIAL"),"_")))))</f>
        <v> </v>
      </c>
      <c r="H4022" s="25" t="str">
        <f>IF(J4022&lt;&gt;1,"",IF(I4022="SBJ","CB","?"))</f>
        <v> </v>
      </c>
      <c r="I4022" s="26" t="str">
        <f>IF(OR(E4022="",E4022="!!!",F4022="NEW"),"",INDEX(B4021:B$2,-1+SUMPRODUCT(MAX(ROW(E4021:E$2)*(E4022=E4021:E$2)))))</f>
        <v> </v>
      </c>
      <c r="J4022" s="26" t="str">
        <f>IF(OR(E4022="",E4022="!!!",F4022="NEW"),"",COUNTBLANK(OFFSET(A$1,,,SUMPRODUCT(MAX(ROW(E$2:E4022)*(E4022=E$2:E4022)))))-COUNTBLANK(OFFSET(A$1,,,SUMPRODUCT(MAX(ROW(E$1:E4021)*(E2=E$1:E4021))))))</f>
        <v> </v>
      </c>
      <c r="K4022" s="26" t="str">
        <f>IF(OR(E4022="",E4022="!!!",F4022="NEW"),"",INDEX(J$1:J4021,SUMPRODUCT(MAX(ROW(E$1:E4021)*(E4022=E$1:E4021)))))</f>
        <v> </v>
      </c>
      <c r="L4022" s="27"/>
    </row>
    <row r="4023" spans="1:12">
      <c r="A4023" s="20" t="s">
        <v>1197</v>
      </c>
      <c r="E4023" s="22">
        <f>IF(D4023="?OLD","!!!","")</f>
        <v/>
      </c>
      <c r="F4023" s="23" t="str">
        <f>IF(OR(E4023="",E4023="!!!"),"",IF(NOT(ISNA(VLOOKUP(E4023,E$1:E4022,1,FALSE()))),"OLD",IF(AND(E4023&lt;&gt;"",E4023&lt;&gt;"!!!"),"NEW","")))</f>
        <v> </v>
      </c>
      <c r="G4023" s="24" t="str">
        <f>IF(OR(E4023="",E4023="!!!"),"",IF(OR(J4023=0,AND(J4023=1,K4023=1),AND(J4023=1,I4023="SBJ"),AND(J4023=1,I4023=0)),"?IN_FOCUS",IF(J4023&lt;=2,"?ACTIVATED",IF(J4023&lt;&gt;"","?FAMILIAR",IF(F4023="NEW",IF(ISNA(VLOOKUP(E4023,#REF!,1,FALSE())),"?TYPE_IDENTIFIABLE","?REFERENTIAL"),"_")))))</f>
        <v> </v>
      </c>
      <c r="H4023" s="25" t="str">
        <f>IF(J4023&lt;&gt;1,"",IF(I4023="SBJ","CB","?"))</f>
        <v> </v>
      </c>
      <c r="I4023" s="26" t="str">
        <f>IF(OR(E4023="",E4023="!!!",F4023="NEW"),"",INDEX(B4022:B$2,-1+SUMPRODUCT(MAX(ROW(E4022:E$2)*(E4023=E4022:E$2)))))</f>
        <v> </v>
      </c>
      <c r="J4023" s="26" t="str">
        <f>IF(OR(E4023="",E4023="!!!",F4023="NEW"),"",COUNTBLANK(OFFSET(A$1,,,SUMPRODUCT(MAX(ROW(E$2:E4023)*(E4023=E$2:E4023)))))-COUNTBLANK(OFFSET(A$1,,,SUMPRODUCT(MAX(ROW(E$1:E4022)*(E2=E$1:E4022))))))</f>
        <v> </v>
      </c>
      <c r="K4023" s="26" t="str">
        <f>IF(OR(E4023="",E4023="!!!",F4023="NEW"),"",INDEX(J$1:J4022,SUMPRODUCT(MAX(ROW(E$1:E4022)*(E4023=E$1:E4022)))))</f>
        <v> </v>
      </c>
      <c r="L4023" s="27"/>
    </row>
    <row r="4024" spans="1:12">
      <c r="A4024" s="20" t="s">
        <v>1261</v>
      </c>
      <c r="B4024" s="21" t="s">
        <v>1175</v>
      </c>
      <c r="C4024" s="21" t="s">
        <v>1151</v>
      </c>
      <c r="D4024" s="21" t="s">
        <v>1144</v>
      </c>
      <c r="E4024" s="22">
        <f>IF(D4024="?OLD","!!!","")</f>
        <v/>
      </c>
      <c r="F4024" s="23" t="str">
        <f>IF(OR(E4024="",E4024="!!!"),"",IF(NOT(ISNA(VLOOKUP(E4024,E$1:E4023,1,FALSE()))),"OLD",IF(AND(E4024&lt;&gt;"",E4024&lt;&gt;"!!!"),"NEW","")))</f>
        <v> </v>
      </c>
      <c r="G4024" s="24" t="str">
        <f>IF(OR(E4024="",E4024="!!!"),"",IF(OR(J4024=0,AND(J4024=1,K4024=1),AND(J4024=1,I4024="SBJ"),AND(J4024=1,I4024=0)),"?IN_FOCUS",IF(J4024&lt;=2,"?ACTIVATED",IF(J4024&lt;&gt;"","?FAMILIAR",IF(F4024="NEW",IF(ISNA(VLOOKUP(E4024,#REF!,1,FALSE())),"?TYPE_IDENTIFIABLE","?REFERENTIAL"),"_")))))</f>
        <v> </v>
      </c>
      <c r="H4024" s="25" t="str">
        <f>IF(J4024&lt;&gt;1,"",IF(I4024="SBJ","CB","?"))</f>
        <v> </v>
      </c>
      <c r="I4024" s="26" t="str">
        <f>IF(OR(E4024="",E4024="!!!",F4024="NEW"),"",INDEX(B4023:B$2,-1+SUMPRODUCT(MAX(ROW(E4023:E$2)*(E4024=E4023:E$2)))))</f>
        <v> </v>
      </c>
      <c r="J4024" s="26" t="str">
        <f>IF(OR(E4024="",E4024="!!!",F4024="NEW"),"",COUNTBLANK(OFFSET(A$1,,,SUMPRODUCT(MAX(ROW(E$2:E4024)*(E4024=E$2:E4024)))))-COUNTBLANK(OFFSET(A$1,,,SUMPRODUCT(MAX(ROW(E$1:E4023)*(E2=E$1:E4023))))))</f>
        <v> </v>
      </c>
      <c r="K4024" s="26" t="str">
        <f>IF(OR(E4024="",E4024="!!!",F4024="NEW"),"",INDEX(J$1:J4023,SUMPRODUCT(MAX(ROW(E$1:E4023)*(E4024=E$1:E4023)))))</f>
        <v> </v>
      </c>
      <c r="L4024" s="27"/>
    </row>
    <row r="4025" spans="1:12">
      <c r="A4025" s="20" t="s">
        <v>1750</v>
      </c>
      <c r="B4025" s="21" t="s">
        <v>1310</v>
      </c>
      <c r="C4025" s="21" t="s">
        <v>1151</v>
      </c>
      <c r="D4025" s="21" t="s">
        <v>1144</v>
      </c>
      <c r="E4025" s="22">
        <f>IF(D4025="?OLD","!!!","")</f>
        <v/>
      </c>
      <c r="F4025" s="23" t="str">
        <f>IF(OR(E4025="",E4025="!!!"),"",IF(NOT(ISNA(VLOOKUP(E4025,E$1:E4024,1,FALSE()))),"OLD",IF(AND(E4025&lt;&gt;"",E4025&lt;&gt;"!!!"),"NEW","")))</f>
        <v> </v>
      </c>
      <c r="G4025" s="24" t="str">
        <f>IF(OR(E4025="",E4025="!!!"),"",IF(OR(J4025=0,AND(J4025=1,K4025=1),AND(J4025=1,I4025="SBJ"),AND(J4025=1,I4025=0)),"?IN_FOCUS",IF(J4025&lt;=2,"?ACTIVATED",IF(J4025&lt;&gt;"","?FAMILIAR",IF(F4025="NEW",IF(ISNA(VLOOKUP(E4025,#REF!,1,FALSE())),"?TYPE_IDENTIFIABLE","?REFERENTIAL"),"_")))))</f>
        <v> </v>
      </c>
      <c r="H4025" s="25" t="str">
        <f>IF(J4025&lt;&gt;1,"",IF(I4025="SBJ","CB","?"))</f>
        <v> </v>
      </c>
      <c r="I4025" s="26" t="str">
        <f>IF(OR(E4025="",E4025="!!!",F4025="NEW"),"",INDEX(B4024:B$2,-1+SUMPRODUCT(MAX(ROW(E4024:E$2)*(E4025=E4024:E$2)))))</f>
        <v> </v>
      </c>
      <c r="J4025" s="26" t="str">
        <f>IF(OR(E4025="",E4025="!!!",F4025="NEW"),"",COUNTBLANK(OFFSET(A$1,,,SUMPRODUCT(MAX(ROW(E$2:E4025)*(E4025=E$2:E4025)))))-COUNTBLANK(OFFSET(A$1,,,SUMPRODUCT(MAX(ROW(E$1:E4024)*(E2=E$1:E4024))))))</f>
        <v> </v>
      </c>
      <c r="K4025" s="26" t="str">
        <f>IF(OR(E4025="",E4025="!!!",F4025="NEW"),"",INDEX(J$1:J4024,SUMPRODUCT(MAX(ROW(E$1:E4024)*(E4025=E$1:E4024)))))</f>
        <v> </v>
      </c>
      <c r="L4025" s="27"/>
    </row>
    <row r="4026" spans="1:12">
      <c r="A4026" s="20" t="s">
        <v>2331</v>
      </c>
      <c r="B4026" s="21" t="s">
        <v>1193</v>
      </c>
      <c r="C4026" s="21" t="s">
        <v>1187</v>
      </c>
      <c r="E4026" s="22">
        <f>IF(D4026="?OLD","!!!","")</f>
        <v/>
      </c>
      <c r="F4026" s="23" t="str">
        <f>IF(OR(E4026="",E4026="!!!"),"",IF(NOT(ISNA(VLOOKUP(E4026,E$1:E4025,1,FALSE()))),"OLD",IF(AND(E4026&lt;&gt;"",E4026&lt;&gt;"!!!"),"NEW","")))</f>
        <v> </v>
      </c>
      <c r="G4026" s="24" t="str">
        <f>IF(OR(E4026="",E4026="!!!"),"",IF(OR(J4026=0,AND(J4026=1,K4026=1),AND(J4026=1,I4026="SBJ"),AND(J4026=1,I4026=0)),"?IN_FOCUS",IF(J4026&lt;=2,"?ACTIVATED",IF(J4026&lt;&gt;"","?FAMILIAR",IF(F4026="NEW",IF(ISNA(VLOOKUP(E4026,#REF!,1,FALSE())),"?TYPE_IDENTIFIABLE","?REFERENTIAL"),"_")))))</f>
        <v> </v>
      </c>
      <c r="H4026" s="25" t="str">
        <f>IF(J4026&lt;&gt;1,"",IF(I4026="SBJ","CB","?"))</f>
        <v> </v>
      </c>
      <c r="I4026" s="26" t="str">
        <f>IF(OR(E4026="",E4026="!!!",F4026="NEW"),"",INDEX(B4025:B$2,-1+SUMPRODUCT(MAX(ROW(E4025:E$2)*(E4026=E4025:E$2)))))</f>
        <v> </v>
      </c>
      <c r="J4026" s="26" t="str">
        <f>IF(OR(E4026="",E4026="!!!",F4026="NEW"),"",COUNTBLANK(OFFSET(A$1,,,SUMPRODUCT(MAX(ROW(E$2:E4026)*(E4026=E$2:E4026)))))-COUNTBLANK(OFFSET(A$1,,,SUMPRODUCT(MAX(ROW(E$1:E4025)*(E2=E$1:E4025))))))</f>
        <v> </v>
      </c>
      <c r="K4026" s="26" t="str">
        <f>IF(OR(E4026="",E4026="!!!",F4026="NEW"),"",INDEX(J$1:J4025,SUMPRODUCT(MAX(ROW(E$1:E4025)*(E4026=E$1:E4025)))))</f>
        <v> </v>
      </c>
      <c r="L4026" s="27"/>
    </row>
    <row r="4027" spans="1:12">
      <c r="A4027" s="20" t="s">
        <v>1619</v>
      </c>
      <c r="E4027" s="22">
        <f>IF(D4027="?OLD","!!!","")</f>
        <v/>
      </c>
      <c r="F4027" s="23" t="str">
        <f>IF(OR(E4027="",E4027="!!!"),"",IF(NOT(ISNA(VLOOKUP(E4027,E$1:E4026,1,FALSE()))),"OLD",IF(AND(E4027&lt;&gt;"",E4027&lt;&gt;"!!!"),"NEW","")))</f>
        <v> </v>
      </c>
      <c r="G4027" s="24" t="str">
        <f>IF(OR(E4027="",E4027="!!!"),"",IF(OR(J4027=0,AND(J4027=1,K4027=1),AND(J4027=1,I4027="SBJ"),AND(J4027=1,I4027=0)),"?IN_FOCUS",IF(J4027&lt;=2,"?ACTIVATED",IF(J4027&lt;&gt;"","?FAMILIAR",IF(F4027="NEW",IF(ISNA(VLOOKUP(E4027,#REF!,1,FALSE())),"?TYPE_IDENTIFIABLE","?REFERENTIAL"),"_")))))</f>
        <v> </v>
      </c>
      <c r="H4027" s="25" t="str">
        <f>IF(J4027&lt;&gt;1,"",IF(I4027="SBJ","CB","?"))</f>
        <v> </v>
      </c>
      <c r="I4027" s="26" t="str">
        <f>IF(OR(E4027="",E4027="!!!",F4027="NEW"),"",INDEX(B4026:B$2,-1+SUMPRODUCT(MAX(ROW(E4026:E$2)*(E4027=E4026:E$2)))))</f>
        <v> </v>
      </c>
      <c r="J4027" s="26" t="str">
        <f>IF(OR(E4027="",E4027="!!!",F4027="NEW"),"",COUNTBLANK(OFFSET(A$1,,,SUMPRODUCT(MAX(ROW(E$2:E4027)*(E4027=E$2:E4027)))))-COUNTBLANK(OFFSET(A$1,,,SUMPRODUCT(MAX(ROW(E$1:E4026)*(E2=E$1:E4026))))))</f>
        <v> </v>
      </c>
      <c r="K4027" s="26" t="str">
        <f>IF(OR(E4027="",E4027="!!!",F4027="NEW"),"",INDEX(J$1:J4026,SUMPRODUCT(MAX(ROW(E$1:E4026)*(E4027=E$1:E4026)))))</f>
        <v> </v>
      </c>
      <c r="L4027" s="27"/>
    </row>
    <row r="4028" spans="1:12">
      <c r="A4028" s="20" t="s">
        <v>1302</v>
      </c>
      <c r="E4028" s="22">
        <f>IF(D4028="?OLD","!!!","")</f>
        <v/>
      </c>
      <c r="F4028" s="23" t="str">
        <f>IF(OR(E4028="",E4028="!!!"),"",IF(NOT(ISNA(VLOOKUP(E4028,E$1:E4027,1,FALSE()))),"OLD",IF(AND(E4028&lt;&gt;"",E4028&lt;&gt;"!!!"),"NEW","")))</f>
        <v> </v>
      </c>
      <c r="G4028" s="24" t="str">
        <f>IF(OR(E4028="",E4028="!!!"),"",IF(OR(J4028=0,AND(J4028=1,K4028=1),AND(J4028=1,I4028="SBJ"),AND(J4028=1,I4028=0)),"?IN_FOCUS",IF(J4028&lt;=2,"?ACTIVATED",IF(J4028&lt;&gt;"","?FAMILIAR",IF(F4028="NEW",IF(ISNA(VLOOKUP(E4028,#REF!,1,FALSE())),"?TYPE_IDENTIFIABLE","?REFERENTIAL"),"_")))))</f>
        <v> </v>
      </c>
      <c r="H4028" s="25" t="str">
        <f>IF(J4028&lt;&gt;1,"",IF(I4028="SBJ","CB","?"))</f>
        <v> </v>
      </c>
      <c r="I4028" s="26" t="str">
        <f>IF(OR(E4028="",E4028="!!!",F4028="NEW"),"",INDEX(B4027:B$2,-1+SUMPRODUCT(MAX(ROW(E4027:E$2)*(E4028=E4027:E$2)))))</f>
        <v> </v>
      </c>
      <c r="J4028" s="26" t="str">
        <f>IF(OR(E4028="",E4028="!!!",F4028="NEW"),"",COUNTBLANK(OFFSET(A$1,,,SUMPRODUCT(MAX(ROW(E$2:E4028)*(E4028=E$2:E4028)))))-COUNTBLANK(OFFSET(A$1,,,SUMPRODUCT(MAX(ROW(E$1:E4027)*(E2=E$1:E4027))))))</f>
        <v> </v>
      </c>
      <c r="K4028" s="26" t="str">
        <f>IF(OR(E4028="",E4028="!!!",F4028="NEW"),"",INDEX(J$1:J4027,SUMPRODUCT(MAX(ROW(E$1:E4027)*(E4028=E$1:E4027)))))</f>
        <v> </v>
      </c>
      <c r="L4028" s="27"/>
    </row>
    <row r="4029" spans="1:12">
      <c r="A4029" s="20" t="s">
        <v>1238</v>
      </c>
      <c r="E4029" s="22">
        <f>IF(D4029="?OLD","!!!","")</f>
        <v/>
      </c>
      <c r="F4029" s="23" t="str">
        <f>IF(OR(E4029="",E4029="!!!"),"",IF(NOT(ISNA(VLOOKUP(E4029,E$1:E4028,1,FALSE()))),"OLD",IF(AND(E4029&lt;&gt;"",E4029&lt;&gt;"!!!"),"NEW","")))</f>
        <v> </v>
      </c>
      <c r="G4029" s="24" t="str">
        <f>IF(OR(E4029="",E4029="!!!"),"",IF(OR(J4029=0,AND(J4029=1,K4029=1),AND(J4029=1,I4029="SBJ"),AND(J4029=1,I4029=0)),"?IN_FOCUS",IF(J4029&lt;=2,"?ACTIVATED",IF(J4029&lt;&gt;"","?FAMILIAR",IF(F4029="NEW",IF(ISNA(VLOOKUP(E4029,#REF!,1,FALSE())),"?TYPE_IDENTIFIABLE","?REFERENTIAL"),"_")))))</f>
        <v> </v>
      </c>
      <c r="H4029" s="25" t="str">
        <f>IF(J4029&lt;&gt;1,"",IF(I4029="SBJ","CB","?"))</f>
        <v> </v>
      </c>
      <c r="I4029" s="26" t="str">
        <f>IF(OR(E4029="",E4029="!!!",F4029="NEW"),"",INDEX(B4028:B$2,-1+SUMPRODUCT(MAX(ROW(E4028:E$2)*(E4029=E4028:E$2)))))</f>
        <v> </v>
      </c>
      <c r="J4029" s="26" t="str">
        <f>IF(OR(E4029="",E4029="!!!",F4029="NEW"),"",COUNTBLANK(OFFSET(A$1,,,SUMPRODUCT(MAX(ROW(E$2:E4029)*(E4029=E$2:E4029)))))-COUNTBLANK(OFFSET(A$1,,,SUMPRODUCT(MAX(ROW(E$1:E4028)*(E2=E$1:E4028))))))</f>
        <v> </v>
      </c>
      <c r="K4029" s="26" t="str">
        <f>IF(OR(E4029="",E4029="!!!",F4029="NEW"),"",INDEX(J$1:J4028,SUMPRODUCT(MAX(ROW(E$1:E4028)*(E4029=E$1:E4028)))))</f>
        <v> </v>
      </c>
      <c r="L4029" s="27"/>
    </row>
    <row r="4030" spans="1:12">
      <c r="A4030" s="20" t="s">
        <v>2334</v>
      </c>
      <c r="E4030" s="22">
        <f>IF(D4030="?OLD","!!!","")</f>
        <v/>
      </c>
      <c r="F4030" s="23" t="str">
        <f>IF(OR(E4030="",E4030="!!!"),"",IF(NOT(ISNA(VLOOKUP(E4030,E$1:E4029,1,FALSE()))),"OLD",IF(AND(E4030&lt;&gt;"",E4030&lt;&gt;"!!!"),"NEW","")))</f>
        <v> </v>
      </c>
      <c r="G4030" s="24" t="str">
        <f>IF(OR(E4030="",E4030="!!!"),"",IF(OR(J4030=0,AND(J4030=1,K4030=1),AND(J4030=1,I4030="SBJ"),AND(J4030=1,I4030=0)),"?IN_FOCUS",IF(J4030&lt;=2,"?ACTIVATED",IF(J4030&lt;&gt;"","?FAMILIAR",IF(F4030="NEW",IF(ISNA(VLOOKUP(E4030,#REF!,1,FALSE())),"?TYPE_IDENTIFIABLE","?REFERENTIAL"),"_")))))</f>
        <v> </v>
      </c>
      <c r="H4030" s="25" t="str">
        <f>IF(J4030&lt;&gt;1,"",IF(I4030="SBJ","CB","?"))</f>
        <v> </v>
      </c>
      <c r="I4030" s="26" t="str">
        <f>IF(OR(E4030="",E4030="!!!",F4030="NEW"),"",INDEX(B4029:B$2,-1+SUMPRODUCT(MAX(ROW(E4029:E$2)*(E4030=E4029:E$2)))))</f>
        <v> </v>
      </c>
      <c r="J4030" s="26" t="str">
        <f>IF(OR(E4030="",E4030="!!!",F4030="NEW"),"",COUNTBLANK(OFFSET(A$1,,,SUMPRODUCT(MAX(ROW(E$2:E4030)*(E4030=E$2:E4030)))))-COUNTBLANK(OFFSET(A$1,,,SUMPRODUCT(MAX(ROW(E$1:E4029)*(E2=E$1:E4029))))))</f>
        <v> </v>
      </c>
      <c r="K4030" s="26" t="str">
        <f>IF(OR(E4030="",E4030="!!!",F4030="NEW"),"",INDEX(J$1:J4029,SUMPRODUCT(MAX(ROW(E$1:E4029)*(E4030=E$1:E4029)))))</f>
        <v> </v>
      </c>
      <c r="L4030" s="27"/>
    </row>
    <row r="4031" spans="1:12">
      <c r="A4031" s="20" t="s">
        <v>1800</v>
      </c>
      <c r="B4031" s="21" t="s">
        <v>1147</v>
      </c>
      <c r="C4031" s="21" t="s">
        <v>2335</v>
      </c>
      <c r="D4031" s="21" t="s">
        <v>1144</v>
      </c>
      <c r="E4031" s="22">
        <f>IF(D4031="?OLD","!!!","")</f>
        <v/>
      </c>
      <c r="F4031" s="23" t="str">
        <f>IF(OR(E4031="",E4031="!!!"),"",IF(NOT(ISNA(VLOOKUP(E4031,E$1:E4030,1,FALSE()))),"OLD",IF(AND(E4031&lt;&gt;"",E4031&lt;&gt;"!!!"),"NEW","")))</f>
        <v> </v>
      </c>
      <c r="G4031" s="24" t="str">
        <f>IF(OR(E4031="",E4031="!!!"),"",IF(OR(J4031=0,AND(J4031=1,K4031=1),AND(J4031=1,I4031="SBJ"),AND(J4031=1,I4031=0)),"?IN_FOCUS",IF(J4031&lt;=2,"?ACTIVATED",IF(J4031&lt;&gt;"","?FAMILIAR",IF(F4031="NEW",IF(ISNA(VLOOKUP(E4031,#REF!,1,FALSE())),"?TYPE_IDENTIFIABLE","?REFERENTIAL"),"_")))))</f>
        <v> </v>
      </c>
      <c r="H4031" s="25" t="str">
        <f>IF(J4031&lt;&gt;1,"",IF(I4031="SBJ","CB","?"))</f>
        <v> </v>
      </c>
      <c r="I4031" s="26" t="str">
        <f>IF(OR(E4031="",E4031="!!!",F4031="NEW"),"",INDEX(B4030:B$2,-1+SUMPRODUCT(MAX(ROW(E4030:E$2)*(E4031=E4030:E$2)))))</f>
        <v> </v>
      </c>
      <c r="J4031" s="26" t="str">
        <f>IF(OR(E4031="",E4031="!!!",F4031="NEW"),"",COUNTBLANK(OFFSET(A$1,,,SUMPRODUCT(MAX(ROW(E$2:E4031)*(E4031=E$2:E4031)))))-COUNTBLANK(OFFSET(A$1,,,SUMPRODUCT(MAX(ROW(E$1:E4030)*(E2=E$1:E4030))))))</f>
        <v> </v>
      </c>
      <c r="K4031" s="26" t="str">
        <f>IF(OR(E4031="",E4031="!!!",F4031="NEW"),"",INDEX(J$1:J4030,SUMPRODUCT(MAX(ROW(E$1:E4030)*(E4031=E$1:E4030)))))</f>
        <v> </v>
      </c>
      <c r="L4031" s="27"/>
    </row>
    <row r="4032" spans="1:12">
      <c r="A4032" s="20" t="s">
        <v>1275</v>
      </c>
      <c r="E4032" s="22">
        <f>IF(D4032="?OLD","!!!","")</f>
        <v/>
      </c>
      <c r="F4032" s="23" t="str">
        <f>IF(OR(E4032="",E4032="!!!"),"",IF(NOT(ISNA(VLOOKUP(E4032,E$1:E4031,1,FALSE()))),"OLD",IF(AND(E4032&lt;&gt;"",E4032&lt;&gt;"!!!"),"NEW","")))</f>
        <v> </v>
      </c>
      <c r="G4032" s="24" t="str">
        <f>IF(OR(E4032="",E4032="!!!"),"",IF(OR(J4032=0,AND(J4032=1,K4032=1),AND(J4032=1,I4032="SBJ"),AND(J4032=1,I4032=0)),"?IN_FOCUS",IF(J4032&lt;=2,"?ACTIVATED",IF(J4032&lt;&gt;"","?FAMILIAR",IF(F4032="NEW",IF(ISNA(VLOOKUP(E4032,#REF!,1,FALSE())),"?TYPE_IDENTIFIABLE","?REFERENTIAL"),"_")))))</f>
        <v> </v>
      </c>
      <c r="H4032" s="25" t="str">
        <f>IF(J4032&lt;&gt;1,"",IF(I4032="SBJ","CB","?"))</f>
        <v> </v>
      </c>
      <c r="I4032" s="26" t="str">
        <f>IF(OR(E4032="",E4032="!!!",F4032="NEW"),"",INDEX(B4031:B$2,-1+SUMPRODUCT(MAX(ROW(E4031:E$2)*(E4032=E4031:E$2)))))</f>
        <v> </v>
      </c>
      <c r="J4032" s="26" t="str">
        <f>IF(OR(E4032="",E4032="!!!",F4032="NEW"),"",COUNTBLANK(OFFSET(A$1,,,SUMPRODUCT(MAX(ROW(E$2:E4032)*(E4032=E$2:E4032)))))-COUNTBLANK(OFFSET(A$1,,,SUMPRODUCT(MAX(ROW(E$1:E4031)*(E2=E$1:E4031))))))</f>
        <v> </v>
      </c>
      <c r="K4032" s="26" t="str">
        <f>IF(OR(E4032="",E4032="!!!",F4032="NEW"),"",INDEX(J$1:J4031,SUMPRODUCT(MAX(ROW(E$1:E4031)*(E4032=E$1:E4031)))))</f>
        <v> </v>
      </c>
      <c r="L4032" s="27"/>
    </row>
    <row r="4033" spans="1:12">
      <c r="A4033" s="20" t="s">
        <v>1276</v>
      </c>
      <c r="B4033" s="21" t="s">
        <v>1181</v>
      </c>
      <c r="C4033" s="21" t="s">
        <v>1162</v>
      </c>
      <c r="D4033" s="21" t="s">
        <v>1144</v>
      </c>
      <c r="E4033" s="22">
        <f>IF(D4033="?OLD","!!!","")</f>
        <v/>
      </c>
      <c r="F4033" s="23" t="str">
        <f>IF(OR(E4033="",E4033="!!!"),"",IF(NOT(ISNA(VLOOKUP(E4033,E$1:E4032,1,FALSE()))),"OLD",IF(AND(E4033&lt;&gt;"",E4033&lt;&gt;"!!!"),"NEW","")))</f>
        <v> </v>
      </c>
      <c r="G4033" s="24" t="str">
        <f>IF(OR(E4033="",E4033="!!!"),"",IF(OR(J4033=0,AND(J4033=1,K4033=1),AND(J4033=1,I4033="SBJ"),AND(J4033=1,I4033=0)),"?IN_FOCUS",IF(J4033&lt;=2,"?ACTIVATED",IF(J4033&lt;&gt;"","?FAMILIAR",IF(F4033="NEW",IF(ISNA(VLOOKUP(E4033,#REF!,1,FALSE())),"?TYPE_IDENTIFIABLE","?REFERENTIAL"),"_")))))</f>
        <v> </v>
      </c>
      <c r="H4033" s="25" t="str">
        <f>IF(J4033&lt;&gt;1,"",IF(I4033="SBJ","CB","?"))</f>
        <v> </v>
      </c>
      <c r="I4033" s="26" t="str">
        <f>IF(OR(E4033="",E4033="!!!",F4033="NEW"),"",INDEX(B4032:B$2,-1+SUMPRODUCT(MAX(ROW(E4032:E$2)*(E4033=E4032:E$2)))))</f>
        <v> </v>
      </c>
      <c r="J4033" s="26" t="str">
        <f>IF(OR(E4033="",E4033="!!!",F4033="NEW"),"",COUNTBLANK(OFFSET(A$1,,,SUMPRODUCT(MAX(ROW(E$2:E4033)*(E4033=E$2:E4033)))))-COUNTBLANK(OFFSET(A$1,,,SUMPRODUCT(MAX(ROW(E$1:E4032)*(E2=E$1:E4032))))))</f>
        <v> </v>
      </c>
      <c r="K4033" s="26" t="str">
        <f>IF(OR(E4033="",E4033="!!!",F4033="NEW"),"",INDEX(J$1:J4032,SUMPRODUCT(MAX(ROW(E$1:E4032)*(E4033=E$1:E4032)))))</f>
        <v> </v>
      </c>
      <c r="L4033" s="27"/>
    </row>
    <row r="4034" spans="1:12">
      <c r="A4034" s="20" t="s">
        <v>1166</v>
      </c>
      <c r="E4034" s="22">
        <f>IF(D4034="?OLD","!!!","")</f>
        <v/>
      </c>
      <c r="F4034" s="23" t="str">
        <f>IF(OR(E4034="",E4034="!!!"),"",IF(NOT(ISNA(VLOOKUP(E4034,E$1:E4033,1,FALSE()))),"OLD",IF(AND(E4034&lt;&gt;"",E4034&lt;&gt;"!!!"),"NEW","")))</f>
        <v> </v>
      </c>
      <c r="G4034" s="24" t="str">
        <f>IF(OR(E4034="",E4034="!!!"),"",IF(OR(J4034=0,AND(J4034=1,K4034=1),AND(J4034=1,I4034="SBJ"),AND(J4034=1,I4034=0)),"?IN_FOCUS",IF(J4034&lt;=2,"?ACTIVATED",IF(J4034&lt;&gt;"","?FAMILIAR",IF(F4034="NEW",IF(ISNA(VLOOKUP(E4034,#REF!,1,FALSE())),"?TYPE_IDENTIFIABLE","?REFERENTIAL"),"_")))))</f>
        <v> </v>
      </c>
      <c r="H4034" s="25" t="str">
        <f>IF(J4034&lt;&gt;1,"",IF(I4034="SBJ","CB","?"))</f>
        <v> </v>
      </c>
      <c r="I4034" s="26" t="str">
        <f>IF(OR(E4034="",E4034="!!!",F4034="NEW"),"",INDEX(B4033:B$2,-1+SUMPRODUCT(MAX(ROW(E4033:E$2)*(E4034=E4033:E$2)))))</f>
        <v> </v>
      </c>
      <c r="J4034" s="26" t="str">
        <f>IF(OR(E4034="",E4034="!!!",F4034="NEW"),"",COUNTBLANK(OFFSET(A$1,,,SUMPRODUCT(MAX(ROW(E$2:E4034)*(E4034=E$2:E4034)))))-COUNTBLANK(OFFSET(A$1,,,SUMPRODUCT(MAX(ROW(E$1:E4033)*(E2=E$1:E4033))))))</f>
        <v> </v>
      </c>
      <c r="K4034" s="26" t="str">
        <f>IF(OR(E4034="",E4034="!!!",F4034="NEW"),"",INDEX(J$1:J4033,SUMPRODUCT(MAX(ROW(E$1:E4033)*(E4034=E$1:E4033)))))</f>
        <v> </v>
      </c>
      <c r="L4034" s="27"/>
    </row>
    <row r="4035" spans="1:12">
      <c r="A4035" s="20" t="s">
        <v>1238</v>
      </c>
      <c r="B4035" s="21" t="s">
        <v>1142</v>
      </c>
      <c r="E4035" s="22">
        <f>IF(D4035="?OLD","!!!","")</f>
        <v/>
      </c>
      <c r="F4035" s="23" t="str">
        <f>IF(OR(E4035="",E4035="!!!"),"",IF(NOT(ISNA(VLOOKUP(E4035,E$1:E4034,1,FALSE()))),"OLD",IF(AND(E4035&lt;&gt;"",E4035&lt;&gt;"!!!"),"NEW","")))</f>
        <v> </v>
      </c>
      <c r="G4035" s="24" t="str">
        <f>IF(OR(E4035="",E4035="!!!"),"",IF(OR(J4035=0,AND(J4035=1,K4035=1),AND(J4035=1,I4035="SBJ"),AND(J4035=1,I4035=0)),"?IN_FOCUS",IF(J4035&lt;=2,"?ACTIVATED",IF(J4035&lt;&gt;"","?FAMILIAR",IF(F4035="NEW",IF(ISNA(VLOOKUP(E4035,#REF!,1,FALSE())),"?TYPE_IDENTIFIABLE","?REFERENTIAL"),"_")))))</f>
        <v> </v>
      </c>
      <c r="H4035" s="25" t="str">
        <f>IF(J4035&lt;&gt;1,"",IF(I4035="SBJ","CB","?"))</f>
        <v> </v>
      </c>
      <c r="I4035" s="26" t="str">
        <f>IF(OR(E4035="",E4035="!!!",F4035="NEW"),"",INDEX(B4034:B$2,-1+SUMPRODUCT(MAX(ROW(E4034:E$2)*(E4035=E4034:E$2)))))</f>
        <v> </v>
      </c>
      <c r="J4035" s="26" t="str">
        <f>IF(OR(E4035="",E4035="!!!",F4035="NEW"),"",COUNTBLANK(OFFSET(A$1,,,SUMPRODUCT(MAX(ROW(E$2:E4035)*(E4035=E$2:E4035)))))-COUNTBLANK(OFFSET(A$1,,,SUMPRODUCT(MAX(ROW(E$1:E4034)*(E2=E$1:E4034))))))</f>
        <v> </v>
      </c>
      <c r="K4035" s="26" t="str">
        <f>IF(OR(E4035="",E4035="!!!",F4035="NEW"),"",INDEX(J$1:J4034,SUMPRODUCT(MAX(ROW(E$1:E4034)*(E4035=E$1:E4034)))))</f>
        <v> </v>
      </c>
      <c r="L4035" s="27"/>
    </row>
    <row r="4036" spans="1:12">
      <c r="A4036" s="20" t="s">
        <v>1289</v>
      </c>
      <c r="E4036" s="22">
        <f>IF(D4036="?OLD","!!!","")</f>
        <v/>
      </c>
      <c r="F4036" s="23" t="str">
        <f>IF(OR(E4036="",E4036="!!!"),"",IF(NOT(ISNA(VLOOKUP(E4036,E$1:E4035,1,FALSE()))),"OLD",IF(AND(E4036&lt;&gt;"",E4036&lt;&gt;"!!!"),"NEW","")))</f>
        <v> </v>
      </c>
      <c r="G4036" s="24" t="str">
        <f>IF(OR(E4036="",E4036="!!!"),"",IF(OR(J4036=0,AND(J4036=1,K4036=1),AND(J4036=1,I4036="SBJ"),AND(J4036=1,I4036=0)),"?IN_FOCUS",IF(J4036&lt;=2,"?ACTIVATED",IF(J4036&lt;&gt;"","?FAMILIAR",IF(F4036="NEW",IF(ISNA(VLOOKUP(E4036,#REF!,1,FALSE())),"?TYPE_IDENTIFIABLE","?REFERENTIAL"),"_")))))</f>
        <v> </v>
      </c>
      <c r="H4036" s="25" t="str">
        <f>IF(J4036&lt;&gt;1,"",IF(I4036="SBJ","CB","?"))</f>
        <v> </v>
      </c>
      <c r="I4036" s="26" t="str">
        <f>IF(OR(E4036="",E4036="!!!",F4036="NEW"),"",INDEX(B4035:B$2,-1+SUMPRODUCT(MAX(ROW(E4035:E$2)*(E4036=E4035:E$2)))))</f>
        <v> </v>
      </c>
      <c r="J4036" s="26" t="str">
        <f>IF(OR(E4036="",E4036="!!!",F4036="NEW"),"",COUNTBLANK(OFFSET(A$1,,,SUMPRODUCT(MAX(ROW(E$2:E4036)*(E4036=E$2:E4036)))))-COUNTBLANK(OFFSET(A$1,,,SUMPRODUCT(MAX(ROW(E$1:E4035)*(E2=E$1:E4035))))))</f>
        <v> </v>
      </c>
      <c r="K4036" s="26" t="str">
        <f>IF(OR(E4036="",E4036="!!!",F4036="NEW"),"",INDEX(J$1:J4035,SUMPRODUCT(MAX(ROW(E$1:E4035)*(E4036=E$1:E4035)))))</f>
        <v> </v>
      </c>
      <c r="L4036" s="27"/>
    </row>
    <row r="4037" spans="1:12">
      <c r="A4037" s="20" t="s">
        <v>1620</v>
      </c>
      <c r="B4037" s="21" t="s">
        <v>1147</v>
      </c>
      <c r="C4037" s="21" t="s">
        <v>1168</v>
      </c>
      <c r="D4037" s="21" t="s">
        <v>1144</v>
      </c>
      <c r="E4037" s="22">
        <f>IF(D4037="?OLD","!!!","")</f>
        <v/>
      </c>
      <c r="F4037" s="23" t="str">
        <f>IF(OR(E4037="",E4037="!!!"),"",IF(NOT(ISNA(VLOOKUP(E4037,E$1:E4036,1,FALSE()))),"OLD",IF(AND(E4037&lt;&gt;"",E4037&lt;&gt;"!!!"),"NEW","")))</f>
        <v> </v>
      </c>
      <c r="G4037" s="24" t="str">
        <f>IF(OR(E4037="",E4037="!!!"),"",IF(OR(J4037=0,AND(J4037=1,K4037=1),AND(J4037=1,I4037="SBJ"),AND(J4037=1,I4037=0)),"?IN_FOCUS",IF(J4037&lt;=2,"?ACTIVATED",IF(J4037&lt;&gt;"","?FAMILIAR",IF(F4037="NEW",IF(ISNA(VLOOKUP(E4037,#REF!,1,FALSE())),"?TYPE_IDENTIFIABLE","?REFERENTIAL"),"_")))))</f>
        <v> </v>
      </c>
      <c r="H4037" s="25" t="str">
        <f>IF(J4037&lt;&gt;1,"",IF(I4037="SBJ","CB","?"))</f>
        <v> </v>
      </c>
      <c r="I4037" s="26" t="str">
        <f>IF(OR(E4037="",E4037="!!!",F4037="NEW"),"",INDEX(B4036:B$2,-1+SUMPRODUCT(MAX(ROW(E4036:E$2)*(E4037=E4036:E$2)))))</f>
        <v> </v>
      </c>
      <c r="J4037" s="26" t="str">
        <f>IF(OR(E4037="",E4037="!!!",F4037="NEW"),"",COUNTBLANK(OFFSET(A$1,,,SUMPRODUCT(MAX(ROW(E$2:E4037)*(E4037=E$2:E4037)))))-COUNTBLANK(OFFSET(A$1,,,SUMPRODUCT(MAX(ROW(E$1:E4036)*(E2=E$1:E4036))))))</f>
        <v> </v>
      </c>
      <c r="K4037" s="26" t="str">
        <f>IF(OR(E4037="",E4037="!!!",F4037="NEW"),"",INDEX(J$1:J4036,SUMPRODUCT(MAX(ROW(E$1:E4036)*(E4037=E$1:E4036)))))</f>
        <v> </v>
      </c>
      <c r="L4037" s="27"/>
    </row>
    <row r="4038" spans="1:12">
      <c r="A4038" s="20" t="s">
        <v>2336</v>
      </c>
      <c r="E4038" s="22">
        <f>IF(D4038="?OLD","!!!","")</f>
        <v/>
      </c>
      <c r="F4038" s="23" t="str">
        <f>IF(OR(E4038="",E4038="!!!"),"",IF(NOT(ISNA(VLOOKUP(E4038,E$1:E4037,1,FALSE()))),"OLD",IF(AND(E4038&lt;&gt;"",E4038&lt;&gt;"!!!"),"NEW","")))</f>
        <v> </v>
      </c>
      <c r="G4038" s="24" t="str">
        <f>IF(OR(E4038="",E4038="!!!"),"",IF(OR(J4038=0,AND(J4038=1,K4038=1),AND(J4038=1,I4038="SBJ"),AND(J4038=1,I4038=0)),"?IN_FOCUS",IF(J4038&lt;=2,"?ACTIVATED",IF(J4038&lt;&gt;"","?FAMILIAR",IF(F4038="NEW",IF(ISNA(VLOOKUP(E4038,#REF!,1,FALSE())),"?TYPE_IDENTIFIABLE","?REFERENTIAL"),"_")))))</f>
        <v> </v>
      </c>
      <c r="H4038" s="25" t="str">
        <f>IF(J4038&lt;&gt;1,"",IF(I4038="SBJ","CB","?"))</f>
        <v> </v>
      </c>
      <c r="I4038" s="26" t="str">
        <f>IF(OR(E4038="",E4038="!!!",F4038="NEW"),"",INDEX(B4037:B$2,-1+SUMPRODUCT(MAX(ROW(E4037:E$2)*(E4038=E4037:E$2)))))</f>
        <v> </v>
      </c>
      <c r="J4038" s="26" t="str">
        <f>IF(OR(E4038="",E4038="!!!",F4038="NEW"),"",COUNTBLANK(OFFSET(A$1,,,SUMPRODUCT(MAX(ROW(E$2:E4038)*(E4038=E$2:E4038)))))-COUNTBLANK(OFFSET(A$1,,,SUMPRODUCT(MAX(ROW(E$1:E4037)*(E2=E$1:E4037))))))</f>
        <v> </v>
      </c>
      <c r="K4038" s="26" t="str">
        <f>IF(OR(E4038="",E4038="!!!",F4038="NEW"),"",INDEX(J$1:J4037,SUMPRODUCT(MAX(ROW(E$1:E4037)*(E4038=E$1:E4037)))))</f>
        <v> </v>
      </c>
      <c r="L4038" s="27"/>
    </row>
    <row r="4039" spans="1:12">
      <c r="A4039" s="20" t="s">
        <v>1220</v>
      </c>
      <c r="B4039" s="21" t="s">
        <v>1150</v>
      </c>
      <c r="C4039" s="21" t="s">
        <v>1214</v>
      </c>
      <c r="E4039" s="22">
        <f>IF(D4039="?OLD","!!!","")</f>
        <v/>
      </c>
      <c r="F4039" s="23" t="str">
        <f>IF(OR(E4039="",E4039="!!!"),"",IF(NOT(ISNA(VLOOKUP(E4039,E$1:E4038,1,FALSE()))),"OLD",IF(AND(E4039&lt;&gt;"",E4039&lt;&gt;"!!!"),"NEW","")))</f>
        <v> </v>
      </c>
      <c r="G4039" s="24" t="str">
        <f>IF(OR(E4039="",E4039="!!!"),"",IF(OR(J4039=0,AND(J4039=1,K4039=1),AND(J4039=1,I4039="SBJ"),AND(J4039=1,I4039=0)),"?IN_FOCUS",IF(J4039&lt;=2,"?ACTIVATED",IF(J4039&lt;&gt;"","?FAMILIAR",IF(F4039="NEW",IF(ISNA(VLOOKUP(E4039,#REF!,1,FALSE())),"?TYPE_IDENTIFIABLE","?REFERENTIAL"),"_")))))</f>
        <v> </v>
      </c>
      <c r="H4039" s="25" t="str">
        <f>IF(J4039&lt;&gt;1,"",IF(I4039="SBJ","CB","?"))</f>
        <v> </v>
      </c>
      <c r="I4039" s="26" t="str">
        <f>IF(OR(E4039="",E4039="!!!",F4039="NEW"),"",INDEX(B4038:B$2,-1+SUMPRODUCT(MAX(ROW(E4038:E$2)*(E4039=E4038:E$2)))))</f>
        <v> </v>
      </c>
      <c r="J4039" s="26" t="str">
        <f>IF(OR(E4039="",E4039="!!!",F4039="NEW"),"",COUNTBLANK(OFFSET(A$1,,,SUMPRODUCT(MAX(ROW(E$2:E4039)*(E4039=E$2:E4039)))))-COUNTBLANK(OFFSET(A$1,,,SUMPRODUCT(MAX(ROW(E$1:E4038)*(E2=E$1:E4038))))))</f>
        <v> </v>
      </c>
      <c r="K4039" s="26" t="str">
        <f>IF(OR(E4039="",E4039="!!!",F4039="NEW"),"",INDEX(J$1:J4038,SUMPRODUCT(MAX(ROW(E$1:E4038)*(E4039=E$1:E4038)))))</f>
        <v> </v>
      </c>
      <c r="L4039" s="27"/>
    </row>
    <row r="4040" spans="1:12">
      <c r="A4040" s="20" t="s">
        <v>165</v>
      </c>
      <c r="E4040" s="22">
        <f>IF(D4040="?OLD","!!!","")</f>
        <v/>
      </c>
      <c r="F4040" s="23" t="str">
        <f>IF(OR(E4040="",E4040="!!!"),"",IF(NOT(ISNA(VLOOKUP(E4040,E$1:E4039,1,FALSE()))),"OLD",IF(AND(E4040&lt;&gt;"",E4040&lt;&gt;"!!!"),"NEW","")))</f>
        <v> </v>
      </c>
      <c r="G4040" s="24" t="str">
        <f>IF(OR(E4040="",E4040="!!!"),"",IF(OR(J4040=0,AND(J4040=1,K4040=1),AND(J4040=1,I4040="SBJ"),AND(J4040=1,I4040=0)),"?IN_FOCUS",IF(J4040&lt;=2,"?ACTIVATED",IF(J4040&lt;&gt;"","?FAMILIAR",IF(F4040="NEW",IF(ISNA(VLOOKUP(E4040,#REF!,1,FALSE())),"?TYPE_IDENTIFIABLE","?REFERENTIAL"),"_")))))</f>
        <v> </v>
      </c>
      <c r="H4040" s="25" t="str">
        <f>IF(J4040&lt;&gt;1,"",IF(I4040="SBJ","CB","?"))</f>
        <v> </v>
      </c>
      <c r="I4040" s="26" t="str">
        <f>IF(OR(E4040="",E4040="!!!",F4040="NEW"),"",INDEX(B4039:B$2,-1+SUMPRODUCT(MAX(ROW(E4039:E$2)*(E4040=E4039:E$2)))))</f>
        <v> </v>
      </c>
      <c r="J4040" s="26" t="str">
        <f>IF(OR(E4040="",E4040="!!!",F4040="NEW"),"",COUNTBLANK(OFFSET(A$1,,,SUMPRODUCT(MAX(ROW(E$2:E4040)*(E4040=E$2:E4040)))))-COUNTBLANK(OFFSET(A$1,,,SUMPRODUCT(MAX(ROW(E$1:E4039)*(E2=E$1:E4039))))))</f>
        <v> </v>
      </c>
      <c r="K4040" s="26" t="str">
        <f>IF(OR(E4040="",E4040="!!!",F4040="NEW"),"",INDEX(J$1:J4039,SUMPRODUCT(MAX(ROW(E$1:E4039)*(E4040=E$1:E4039)))))</f>
        <v> </v>
      </c>
      <c r="L4040" s="27"/>
    </row>
    <row r="4041" spans="1:12">
      <c r="A4041" s="20" t="s">
        <v>312</v>
      </c>
      <c r="E4041" s="22">
        <f>IF(D4041="?OLD","!!!","")</f>
        <v/>
      </c>
      <c r="F4041" s="23" t="str">
        <f>IF(OR(E4041="",E4041="!!!"),"",IF(NOT(ISNA(VLOOKUP(E4041,E$1:E4040,1,FALSE()))),"OLD",IF(AND(E4041&lt;&gt;"",E4041&lt;&gt;"!!!"),"NEW","")))</f>
        <v> </v>
      </c>
      <c r="G4041" s="24" t="str">
        <f>IF(OR(E4041="",E4041="!!!"),"",IF(OR(J4041=0,AND(J4041=1,K4041=1),AND(J4041=1,I4041="SBJ"),AND(J4041=1,I4041=0)),"?IN_FOCUS",IF(J4041&lt;=2,"?ACTIVATED",IF(J4041&lt;&gt;"","?FAMILIAR",IF(F4041="NEW",IF(ISNA(VLOOKUP(E4041,#REF!,1,FALSE())),"?TYPE_IDENTIFIABLE","?REFERENTIAL"),"_")))))</f>
        <v> </v>
      </c>
      <c r="H4041" s="25" t="str">
        <f>IF(J4041&lt;&gt;1,"",IF(I4041="SBJ","CB","?"))</f>
        <v> </v>
      </c>
      <c r="I4041" s="26" t="str">
        <f>IF(OR(E4041="",E4041="!!!",F4041="NEW"),"",INDEX(B4040:B$2,-1+SUMPRODUCT(MAX(ROW(E4040:E$2)*(E4041=E4040:E$2)))))</f>
        <v> </v>
      </c>
      <c r="J4041" s="26" t="str">
        <f>IF(OR(E4041="",E4041="!!!",F4041="NEW"),"",COUNTBLANK(OFFSET(A$1,,,SUMPRODUCT(MAX(ROW(E$2:E4041)*(E4041=E$2:E4041)))))-COUNTBLANK(OFFSET(A$1,,,SUMPRODUCT(MAX(ROW(E$1:E4040)*(E2=E$1:E4040))))))</f>
        <v> </v>
      </c>
      <c r="K4041" s="26" t="str">
        <f>IF(OR(E4041="",E4041="!!!",F4041="NEW"),"",INDEX(J$1:J4040,SUMPRODUCT(MAX(ROW(E$1:E4040)*(E4041=E$1:E4040)))))</f>
        <v> </v>
      </c>
      <c r="L4041" s="27"/>
    </row>
    <row r="4042" spans="1:12">
      <c r="A4042" s="20"/>
    </row>
    <row r="4043" spans="1:12">
      <c r="A4043" s="20" t="s">
        <v>1558</v>
      </c>
      <c r="E4043" s="22">
        <f>IF(D4043="?OLD","!!!","")</f>
        <v/>
      </c>
      <c r="F4043" s="23" t="str">
        <f>IF(OR(E4043="",E4043="!!!"),"",IF(NOT(ISNA(VLOOKUP(E4043,E$1:E4042,1,FALSE()))),"OLD",IF(AND(E4043&lt;&gt;"",E4043&lt;&gt;"!!!"),"NEW","")))</f>
        <v> </v>
      </c>
      <c r="G4043" s="24" t="str">
        <f>IF(OR(E4043="",E4043="!!!"),"",IF(OR(J4043=0,AND(J4043=1,K4043=1),AND(J4043=1,I4043="SBJ"),AND(J4043=1,I4043=0)),"?IN_FOCUS",IF(J4043&lt;=2,"?ACTIVATED",IF(J4043&lt;&gt;"","?FAMILIAR",IF(F4043="NEW",IF(ISNA(VLOOKUP(E4043,#REF!,1,FALSE())),"?TYPE_IDENTIFIABLE","?REFERENTIAL"),"_")))))</f>
        <v> </v>
      </c>
      <c r="H4043" s="25" t="str">
        <f>IF(J4043&lt;&gt;1,"",IF(I4043="SBJ","CB","?"))</f>
        <v> </v>
      </c>
      <c r="I4043" s="26" t="str">
        <f>IF(OR(E4043="",E4043="!!!",F4043="NEW"),"",INDEX(B4042:B$2,-1+SUMPRODUCT(MAX(ROW(E4042:E$2)*(E4043=E4042:E$2)))))</f>
        <v> </v>
      </c>
      <c r="J4043" s="26" t="str">
        <f>IF(OR(E4043="",E4043="!!!",F4043="NEW"),"",COUNTBLANK(OFFSET(A$1,,,SUMPRODUCT(MAX(ROW(E$2:E4043)*(E4043=E$2:E4043)))))-COUNTBLANK(OFFSET(A$1,,,SUMPRODUCT(MAX(ROW(E$1:E4042)*(E2=E$1:E4042))))))</f>
        <v> </v>
      </c>
      <c r="K4043" s="26" t="str">
        <f>IF(OR(E4043="",E4043="!!!",F4043="NEW"),"",INDEX(J$1:J4042,SUMPRODUCT(MAX(ROW(E$1:E4042)*(E4043=E$1:E4042)))))</f>
        <v> </v>
      </c>
      <c r="L4043" s="27"/>
    </row>
    <row r="4044" spans="1:12">
      <c r="A4044" s="20" t="s">
        <v>2337</v>
      </c>
    </row>
    <row r="4045" spans="1:12">
      <c r="A4045" s="20" t="s">
        <v>198</v>
      </c>
      <c r="B4045" s="21" t="s">
        <v>1161</v>
      </c>
      <c r="C4045" s="21" t="s">
        <v>1143</v>
      </c>
      <c r="D4045" s="21" t="s">
        <v>1144</v>
      </c>
      <c r="E4045" s="22">
        <f>IF(D4045="?OLD","!!!","")</f>
        <v/>
      </c>
      <c r="F4045" s="23" t="str">
        <f>IF(OR(E4045="",E4045="!!!"),"",IF(NOT(ISNA(VLOOKUP(E4045,E$1:E4044,1,FALSE()))),"OLD",IF(AND(E4045&lt;&gt;"",E4045&lt;&gt;"!!!"),"NEW","")))</f>
        <v> </v>
      </c>
      <c r="G4045" s="24" t="str">
        <f>IF(OR(E4045="",E4045="!!!"),"",IF(OR(J4045=0,AND(J4045=1,K4045=1),AND(J4045=1,I4045="SBJ"),AND(J4045=1,I4045=0)),"?IN_FOCUS",IF(J4045&lt;=2,"?ACTIVATED",IF(J4045&lt;&gt;"","?FAMILIAR",IF(F4045="NEW",IF(ISNA(VLOOKUP(E4045,#REF!,1,FALSE())),"?TYPE_IDENTIFIABLE","?REFERENTIAL"),"_")))))</f>
        <v> </v>
      </c>
      <c r="H4045" s="25" t="str">
        <f>IF(J4045&lt;&gt;1,"",IF(I4045="SBJ","CB","?"))</f>
        <v> </v>
      </c>
      <c r="I4045" s="26" t="str">
        <f>IF(OR(E4045="",E4045="!!!",F4045="NEW"),"",INDEX(B4044:B$2,-1+SUMPRODUCT(MAX(ROW(E4044:E$2)*(E4045=E4044:E$2)))))</f>
        <v> </v>
      </c>
      <c r="J4045" s="26" t="str">
        <f>IF(OR(E4045="",E4045="!!!",F4045="NEW"),"",COUNTBLANK(OFFSET(A$1,,,SUMPRODUCT(MAX(ROW(E$2:E4045)*(E4045=E$2:E4045)))))-COUNTBLANK(OFFSET(A$1,,,SUMPRODUCT(MAX(ROW(E$1:E4044)*(E2=E$1:E4044))))))</f>
        <v> </v>
      </c>
      <c r="K4045" s="26" t="str">
        <f>IF(OR(E4045="",E4045="!!!",F4045="NEW"),"",INDEX(J$1:J4044,SUMPRODUCT(MAX(ROW(E$1:E4044)*(E4045=E$1:E4044)))))</f>
        <v> </v>
      </c>
      <c r="L4045" s="27"/>
    </row>
    <row r="4046" spans="1:12">
      <c r="A4046" s="20" t="s">
        <v>1146</v>
      </c>
      <c r="E4046" s="22">
        <f>IF(D4046="?OLD","!!!","")</f>
        <v/>
      </c>
      <c r="F4046" s="23" t="str">
        <f>IF(OR(E4046="",E4046="!!!"),"",IF(NOT(ISNA(VLOOKUP(E4046,E$1:E4045,1,FALSE()))),"OLD",IF(AND(E4046&lt;&gt;"",E4046&lt;&gt;"!!!"),"NEW","")))</f>
        <v> </v>
      </c>
      <c r="G4046" s="24" t="str">
        <f>IF(OR(E4046="",E4046="!!!"),"",IF(OR(J4046=0,AND(J4046=1,K4046=1),AND(J4046=1,I4046="SBJ"),AND(J4046=1,I4046=0)),"?IN_FOCUS",IF(J4046&lt;=2,"?ACTIVATED",IF(J4046&lt;&gt;"","?FAMILIAR",IF(F4046="NEW",IF(ISNA(VLOOKUP(E4046,#REF!,1,FALSE())),"?TYPE_IDENTIFIABLE","?REFERENTIAL"),"_")))))</f>
        <v> </v>
      </c>
      <c r="H4046" s="25" t="str">
        <f>IF(J4046&lt;&gt;1,"",IF(I4046="SBJ","CB","?"))</f>
        <v> </v>
      </c>
      <c r="I4046" s="26" t="str">
        <f>IF(OR(E4046="",E4046="!!!",F4046="NEW"),"",INDEX(B4045:B$2,-1+SUMPRODUCT(MAX(ROW(E4045:E$2)*(E4046=E4045:E$2)))))</f>
        <v> </v>
      </c>
      <c r="J4046" s="26" t="str">
        <f>IF(OR(E4046="",E4046="!!!",F4046="NEW"),"",COUNTBLANK(OFFSET(A$1,,,SUMPRODUCT(MAX(ROW(E$2:E4046)*(E4046=E$2:E4046)))))-COUNTBLANK(OFFSET(A$1,,,SUMPRODUCT(MAX(ROW(E$1:E4045)*(E2=E$1:E4045))))))</f>
        <v> </v>
      </c>
      <c r="K4046" s="26" t="str">
        <f>IF(OR(E4046="",E4046="!!!",F4046="NEW"),"",INDEX(J$1:J4045,SUMPRODUCT(MAX(ROW(E$1:E4045)*(E4046=E$1:E4045)))))</f>
        <v> </v>
      </c>
      <c r="L4046" s="27"/>
    </row>
    <row r="4047" spans="1:12">
      <c r="A4047" s="20" t="s">
        <v>1399</v>
      </c>
      <c r="B4047" s="21" t="s">
        <v>1142</v>
      </c>
      <c r="C4047" s="21" t="s">
        <v>1168</v>
      </c>
      <c r="D4047" s="21" t="s">
        <v>1144</v>
      </c>
      <c r="E4047" s="22">
        <f>IF(D4047="?OLD","!!!","")</f>
        <v/>
      </c>
      <c r="F4047" s="23" t="str">
        <f>IF(OR(E4047="",E4047="!!!"),"",IF(NOT(ISNA(VLOOKUP(E4047,E$1:E4046,1,FALSE()))),"OLD",IF(AND(E4047&lt;&gt;"",E4047&lt;&gt;"!!!"),"NEW","")))</f>
        <v> </v>
      </c>
      <c r="G4047" s="24" t="str">
        <f>IF(OR(E4047="",E4047="!!!"),"",IF(OR(J4047=0,AND(J4047=1,K4047=1),AND(J4047=1,I4047="SBJ"),AND(J4047=1,I4047=0)),"?IN_FOCUS",IF(J4047&lt;=2,"?ACTIVATED",IF(J4047&lt;&gt;"","?FAMILIAR",IF(F4047="NEW",IF(ISNA(VLOOKUP(E4047,#REF!,1,FALSE())),"?TYPE_IDENTIFIABLE","?REFERENTIAL"),"_")))))</f>
        <v> </v>
      </c>
      <c r="H4047" s="25" t="str">
        <f>IF(J4047&lt;&gt;1,"",IF(I4047="SBJ","CB","?"))</f>
        <v> </v>
      </c>
      <c r="I4047" s="26" t="str">
        <f>IF(OR(E4047="",E4047="!!!",F4047="NEW"),"",INDEX(B4046:B$2,-1+SUMPRODUCT(MAX(ROW(E4046:E$2)*(E4047=E4046:E$2)))))</f>
        <v> </v>
      </c>
      <c r="J4047" s="26" t="str">
        <f>IF(OR(E4047="",E4047="!!!",F4047="NEW"),"",COUNTBLANK(OFFSET(A$1,,,SUMPRODUCT(MAX(ROW(E$2:E4047)*(E4047=E$2:E4047)))))-COUNTBLANK(OFFSET(A$1,,,SUMPRODUCT(MAX(ROW(E$1:E4046)*(E2=E$1:E4046))))))</f>
        <v> </v>
      </c>
      <c r="K4047" s="26" t="str">
        <f>IF(OR(E4047="",E4047="!!!",F4047="NEW"),"",INDEX(J$1:J4046,SUMPRODUCT(MAX(ROW(E$1:E4046)*(E4047=E$1:E4046)))))</f>
        <v> </v>
      </c>
      <c r="L4047" s="27"/>
    </row>
    <row r="4048" spans="1:12">
      <c r="A4048" s="20" t="s">
        <v>1218</v>
      </c>
      <c r="B4048" s="21" t="s">
        <v>1150</v>
      </c>
      <c r="C4048" s="21" t="s">
        <v>1168</v>
      </c>
      <c r="D4048" s="21" t="s">
        <v>1144</v>
      </c>
      <c r="E4048" s="22">
        <f>IF(D4048="?OLD","!!!","")</f>
        <v/>
      </c>
      <c r="F4048" s="23" t="str">
        <f>IF(OR(E4048="",E4048="!!!"),"",IF(NOT(ISNA(VLOOKUP(E4048,E$1:E4047,1,FALSE()))),"OLD",IF(AND(E4048&lt;&gt;"",E4048&lt;&gt;"!!!"),"NEW","")))</f>
        <v> </v>
      </c>
      <c r="G4048" s="24" t="str">
        <f>IF(OR(E4048="",E4048="!!!"),"",IF(OR(J4048=0,AND(J4048=1,K4048=1),AND(J4048=1,I4048="SBJ"),AND(J4048=1,I4048=0)),"?IN_FOCUS",IF(J4048&lt;=2,"?ACTIVATED",IF(J4048&lt;&gt;"","?FAMILIAR",IF(F4048="NEW",IF(ISNA(VLOOKUP(E4048,#REF!,1,FALSE())),"?TYPE_IDENTIFIABLE","?REFERENTIAL"),"_")))))</f>
        <v> </v>
      </c>
      <c r="H4048" s="25" t="str">
        <f>IF(J4048&lt;&gt;1,"",IF(I4048="SBJ","CB","?"))</f>
        <v> </v>
      </c>
      <c r="I4048" s="26" t="str">
        <f>IF(OR(E4048="",E4048="!!!",F4048="NEW"),"",INDEX(B4047:B$2,-1+SUMPRODUCT(MAX(ROW(E4047:E$2)*(E4048=E4047:E$2)))))</f>
        <v> </v>
      </c>
      <c r="J4048" s="26" t="str">
        <f>IF(OR(E4048="",E4048="!!!",F4048="NEW"),"",COUNTBLANK(OFFSET(A$1,,,SUMPRODUCT(MAX(ROW(E$2:E4048)*(E4048=E$2:E4048)))))-COUNTBLANK(OFFSET(A$1,,,SUMPRODUCT(MAX(ROW(E$1:E4047)*(E2=E$1:E4047))))))</f>
        <v> </v>
      </c>
      <c r="K4048" s="26" t="str">
        <f>IF(OR(E4048="",E4048="!!!",F4048="NEW"),"",INDEX(J$1:J4047,SUMPRODUCT(MAX(ROW(E$1:E4047)*(E4048=E$1:E4047)))))</f>
        <v> </v>
      </c>
      <c r="L4048" s="27"/>
    </row>
    <row r="4049" spans="1:12">
      <c r="A4049" s="20" t="s">
        <v>1308</v>
      </c>
      <c r="B4049" s="21" t="s">
        <v>1147</v>
      </c>
      <c r="C4049" s="21" t="s">
        <v>1182</v>
      </c>
      <c r="E4049" s="22">
        <f>IF(D4049="?OLD","!!!","")</f>
        <v/>
      </c>
      <c r="F4049" s="23" t="str">
        <f>IF(OR(E4049="",E4049="!!!"),"",IF(NOT(ISNA(VLOOKUP(E4049,E$1:E4048,1,FALSE()))),"OLD",IF(AND(E4049&lt;&gt;"",E4049&lt;&gt;"!!!"),"NEW","")))</f>
        <v> </v>
      </c>
      <c r="G4049" s="24" t="str">
        <f>IF(OR(E4049="",E4049="!!!"),"",IF(OR(J4049=0,AND(J4049=1,K4049=1),AND(J4049=1,I4049="SBJ"),AND(J4049=1,I4049=0)),"?IN_FOCUS",IF(J4049&lt;=2,"?ACTIVATED",IF(J4049&lt;&gt;"","?FAMILIAR",IF(F4049="NEW",IF(ISNA(VLOOKUP(E4049,#REF!,1,FALSE())),"?TYPE_IDENTIFIABLE","?REFERENTIAL"),"_")))))</f>
        <v> </v>
      </c>
      <c r="H4049" s="25" t="str">
        <f>IF(J4049&lt;&gt;1,"",IF(I4049="SBJ","CB","?"))</f>
        <v> </v>
      </c>
      <c r="I4049" s="26" t="str">
        <f>IF(OR(E4049="",E4049="!!!",F4049="NEW"),"",INDEX(B4048:B$2,-1+SUMPRODUCT(MAX(ROW(E4048:E$2)*(E4049=E4048:E$2)))))</f>
        <v> </v>
      </c>
      <c r="J4049" s="26" t="str">
        <f>IF(OR(E4049="",E4049="!!!",F4049="NEW"),"",COUNTBLANK(OFFSET(A$1,,,SUMPRODUCT(MAX(ROW(E$2:E4049)*(E4049=E$2:E4049)))))-COUNTBLANK(OFFSET(A$1,,,SUMPRODUCT(MAX(ROW(E$1:E4048)*(E2=E$1:E4048))))))</f>
        <v> </v>
      </c>
      <c r="K4049" s="26" t="str">
        <f>IF(OR(E4049="",E4049="!!!",F4049="NEW"),"",INDEX(J$1:J4048,SUMPRODUCT(MAX(ROW(E$1:E4048)*(E4049=E$1:E4048)))))</f>
        <v> </v>
      </c>
      <c r="L4049" s="27"/>
    </row>
    <row r="4050" spans="1:12">
      <c r="A4050" s="20" t="s">
        <v>1159</v>
      </c>
      <c r="E4050" s="22">
        <f>IF(D4050="?OLD","!!!","")</f>
        <v/>
      </c>
      <c r="F4050" s="23" t="str">
        <f>IF(OR(E4050="",E4050="!!!"),"",IF(NOT(ISNA(VLOOKUP(E4050,E$1:E4049,1,FALSE()))),"OLD",IF(AND(E4050&lt;&gt;"",E4050&lt;&gt;"!!!"),"NEW","")))</f>
        <v> </v>
      </c>
      <c r="G4050" s="24" t="str">
        <f>IF(OR(E4050="",E4050="!!!"),"",IF(OR(J4050=0,AND(J4050=1,K4050=1),AND(J4050=1,I4050="SBJ"),AND(J4050=1,I4050=0)),"?IN_FOCUS",IF(J4050&lt;=2,"?ACTIVATED",IF(J4050&lt;&gt;"","?FAMILIAR",IF(F4050="NEW",IF(ISNA(VLOOKUP(E4050,#REF!,1,FALSE())),"?TYPE_IDENTIFIABLE","?REFERENTIAL"),"_")))))</f>
        <v> </v>
      </c>
      <c r="H4050" s="25" t="str">
        <f>IF(J4050&lt;&gt;1,"",IF(I4050="SBJ","CB","?"))</f>
        <v> </v>
      </c>
      <c r="I4050" s="26" t="str">
        <f>IF(OR(E4050="",E4050="!!!",F4050="NEW"),"",INDEX(B4049:B$2,-1+SUMPRODUCT(MAX(ROW(E4049:E$2)*(E4050=E4049:E$2)))))</f>
        <v> </v>
      </c>
      <c r="J4050" s="26" t="str">
        <f>IF(OR(E4050="",E4050="!!!",F4050="NEW"),"",COUNTBLANK(OFFSET(A$1,,,SUMPRODUCT(MAX(ROW(E$2:E4050)*(E4050=E$2:E4050)))))-COUNTBLANK(OFFSET(A$1,,,SUMPRODUCT(MAX(ROW(E$1:E4049)*(E2=E$1:E4049))))))</f>
        <v> </v>
      </c>
      <c r="K4050" s="26" t="str">
        <f>IF(OR(E4050="",E4050="!!!",F4050="NEW"),"",INDEX(J$1:J4049,SUMPRODUCT(MAX(ROW(E$1:E4049)*(E4050=E$1:E4049)))))</f>
        <v> </v>
      </c>
      <c r="L4050" s="27"/>
    </row>
    <row r="4051" spans="1:12">
      <c r="A4051" s="20" t="s">
        <v>1306</v>
      </c>
      <c r="B4051" s="21" t="s">
        <v>1171</v>
      </c>
      <c r="C4051" s="21" t="s">
        <v>1162</v>
      </c>
      <c r="D4051" s="21" t="s">
        <v>1144</v>
      </c>
      <c r="E4051" s="22">
        <f>IF(D4051="?OLD","!!!","")</f>
        <v/>
      </c>
      <c r="F4051" s="23" t="str">
        <f>IF(OR(E4051="",E4051="!!!"),"",IF(NOT(ISNA(VLOOKUP(E4051,E$1:E4050,1,FALSE()))),"OLD",IF(AND(E4051&lt;&gt;"",E4051&lt;&gt;"!!!"),"NEW","")))</f>
        <v> </v>
      </c>
      <c r="G4051" s="24" t="str">
        <f>IF(OR(E4051="",E4051="!!!"),"",IF(OR(J4051=0,AND(J4051=1,K4051=1),AND(J4051=1,I4051="SBJ"),AND(J4051=1,I4051=0)),"?IN_FOCUS",IF(J4051&lt;=2,"?ACTIVATED",IF(J4051&lt;&gt;"","?FAMILIAR",IF(F4051="NEW",IF(ISNA(VLOOKUP(E4051,#REF!,1,FALSE())),"?TYPE_IDENTIFIABLE","?REFERENTIAL"),"_")))))</f>
        <v> </v>
      </c>
      <c r="H4051" s="25" t="str">
        <f>IF(J4051&lt;&gt;1,"",IF(I4051="SBJ","CB","?"))</f>
        <v> </v>
      </c>
      <c r="I4051" s="26" t="str">
        <f>IF(OR(E4051="",E4051="!!!",F4051="NEW"),"",INDEX(B4050:B$2,-1+SUMPRODUCT(MAX(ROW(E4050:E$2)*(E4051=E4050:E$2)))))</f>
        <v> </v>
      </c>
      <c r="J4051" s="26" t="str">
        <f>IF(OR(E4051="",E4051="!!!",F4051="NEW"),"",COUNTBLANK(OFFSET(A$1,,,SUMPRODUCT(MAX(ROW(E$2:E4051)*(E4051=E$2:E4051)))))-COUNTBLANK(OFFSET(A$1,,,SUMPRODUCT(MAX(ROW(E$1:E4050)*(E2=E$1:E4050))))))</f>
        <v> </v>
      </c>
      <c r="K4051" s="26" t="str">
        <f>IF(OR(E4051="",E4051="!!!",F4051="NEW"),"",INDEX(J$1:J4050,SUMPRODUCT(MAX(ROW(E$1:E4050)*(E4051=E$1:E4050)))))</f>
        <v> </v>
      </c>
      <c r="L4051" s="27"/>
    </row>
    <row r="4052" spans="1:12">
      <c r="A4052" s="20" t="s">
        <v>1565</v>
      </c>
      <c r="E4052" s="22">
        <f>IF(D4052="?OLD","!!!","")</f>
        <v/>
      </c>
      <c r="F4052" s="23" t="str">
        <f>IF(OR(E4052="",E4052="!!!"),"",IF(NOT(ISNA(VLOOKUP(E4052,E$1:E4051,1,FALSE()))),"OLD",IF(AND(E4052&lt;&gt;"",E4052&lt;&gt;"!!!"),"NEW","")))</f>
        <v> </v>
      </c>
      <c r="G4052" s="24" t="str">
        <f>IF(OR(E4052="",E4052="!!!"),"",IF(OR(J4052=0,AND(J4052=1,K4052=1),AND(J4052=1,I4052="SBJ"),AND(J4052=1,I4052=0)),"?IN_FOCUS",IF(J4052&lt;=2,"?ACTIVATED",IF(J4052&lt;&gt;"","?FAMILIAR",IF(F4052="NEW",IF(ISNA(VLOOKUP(E4052,#REF!,1,FALSE())),"?TYPE_IDENTIFIABLE","?REFERENTIAL"),"_")))))</f>
        <v> </v>
      </c>
      <c r="H4052" s="25" t="str">
        <f>IF(J4052&lt;&gt;1,"",IF(I4052="SBJ","CB","?"))</f>
        <v> </v>
      </c>
      <c r="I4052" s="26" t="str">
        <f>IF(OR(E4052="",E4052="!!!",F4052="NEW"),"",INDEX(B4051:B$2,-1+SUMPRODUCT(MAX(ROW(E4051:E$2)*(E4052=E4051:E$2)))))</f>
        <v> </v>
      </c>
      <c r="J4052" s="26" t="str">
        <f>IF(OR(E4052="",E4052="!!!",F4052="NEW"),"",COUNTBLANK(OFFSET(A$1,,,SUMPRODUCT(MAX(ROW(E$2:E4052)*(E4052=E$2:E4052)))))-COUNTBLANK(OFFSET(A$1,,,SUMPRODUCT(MAX(ROW(E$1:E4051)*(E2=E$1:E4051))))))</f>
        <v> </v>
      </c>
      <c r="K4052" s="26" t="str">
        <f>IF(OR(E4052="",E4052="!!!",F4052="NEW"),"",INDEX(J$1:J4051,SUMPRODUCT(MAX(ROW(E$1:E4051)*(E4052=E$1:E4051)))))</f>
        <v> </v>
      </c>
      <c r="L4052" s="27"/>
    </row>
    <row r="4053" spans="1:12">
      <c r="A4053" s="20" t="s">
        <v>1378</v>
      </c>
      <c r="B4053" s="21" t="s">
        <v>1147</v>
      </c>
      <c r="C4053" s="21" t="s">
        <v>1187</v>
      </c>
      <c r="E4053" s="22">
        <f>IF(D4053="?OLD","!!!","")</f>
        <v/>
      </c>
      <c r="F4053" s="23" t="str">
        <f>IF(OR(E4053="",E4053="!!!"),"",IF(NOT(ISNA(VLOOKUP(E4053,E$1:E4052,1,FALSE()))),"OLD",IF(AND(E4053&lt;&gt;"",E4053&lt;&gt;"!!!"),"NEW","")))</f>
        <v> </v>
      </c>
      <c r="G4053" s="24" t="str">
        <f>IF(OR(E4053="",E4053="!!!"),"",IF(OR(J4053=0,AND(J4053=1,K4053=1),AND(J4053=1,I4053="SBJ"),AND(J4053=1,I4053=0)),"?IN_FOCUS",IF(J4053&lt;=2,"?ACTIVATED",IF(J4053&lt;&gt;"","?FAMILIAR",IF(F4053="NEW",IF(ISNA(VLOOKUP(E4053,#REF!,1,FALSE())),"?TYPE_IDENTIFIABLE","?REFERENTIAL"),"_")))))</f>
        <v> </v>
      </c>
      <c r="H4053" s="25" t="str">
        <f>IF(J4053&lt;&gt;1,"",IF(I4053="SBJ","CB","?"))</f>
        <v> </v>
      </c>
      <c r="I4053" s="26" t="str">
        <f>IF(OR(E4053="",E4053="!!!",F4053="NEW"),"",INDEX(B4052:B$2,-1+SUMPRODUCT(MAX(ROW(E4052:E$2)*(E4053=E4052:E$2)))))</f>
        <v> </v>
      </c>
      <c r="J4053" s="26" t="str">
        <f>IF(OR(E4053="",E4053="!!!",F4053="NEW"),"",COUNTBLANK(OFFSET(A$1,,,SUMPRODUCT(MAX(ROW(E$2:E4053)*(E4053=E$2:E4053)))))-COUNTBLANK(OFFSET(A$1,,,SUMPRODUCT(MAX(ROW(E$1:E4052)*(E2=E$1:E4052))))))</f>
        <v> </v>
      </c>
      <c r="K4053" s="26" t="str">
        <f>IF(OR(E4053="",E4053="!!!",F4053="NEW"),"",INDEX(J$1:J4052,SUMPRODUCT(MAX(ROW(E$1:E4052)*(E4053=E$1:E4052)))))</f>
        <v> </v>
      </c>
      <c r="L4053" s="27"/>
    </row>
    <row r="4054" spans="1:12">
      <c r="A4054" s="20" t="s">
        <v>1565</v>
      </c>
      <c r="E4054" s="22">
        <f>IF(D4054="?OLD","!!!","")</f>
        <v/>
      </c>
      <c r="F4054" s="23" t="str">
        <f>IF(OR(E4054="",E4054="!!!"),"",IF(NOT(ISNA(VLOOKUP(E4054,E$1:E4053,1,FALSE()))),"OLD",IF(AND(E4054&lt;&gt;"",E4054&lt;&gt;"!!!"),"NEW","")))</f>
        <v> </v>
      </c>
      <c r="G4054" s="24" t="str">
        <f>IF(OR(E4054="",E4054="!!!"),"",IF(OR(J4054=0,AND(J4054=1,K4054=1),AND(J4054=1,I4054="SBJ"),AND(J4054=1,I4054=0)),"?IN_FOCUS",IF(J4054&lt;=2,"?ACTIVATED",IF(J4054&lt;&gt;"","?FAMILIAR",IF(F4054="NEW",IF(ISNA(VLOOKUP(E4054,#REF!,1,FALSE())),"?TYPE_IDENTIFIABLE","?REFERENTIAL"),"_")))))</f>
        <v> </v>
      </c>
      <c r="H4054" s="25" t="str">
        <f>IF(J4054&lt;&gt;1,"",IF(I4054="SBJ","CB","?"))</f>
        <v> </v>
      </c>
      <c r="I4054" s="26" t="str">
        <f>IF(OR(E4054="",E4054="!!!",F4054="NEW"),"",INDEX(B4053:B$2,-1+SUMPRODUCT(MAX(ROW(E4053:E$2)*(E4054=E4053:E$2)))))</f>
        <v> </v>
      </c>
      <c r="J4054" s="26" t="str">
        <f>IF(OR(E4054="",E4054="!!!",F4054="NEW"),"",COUNTBLANK(OFFSET(A$1,,,SUMPRODUCT(MAX(ROW(E$2:E4054)*(E4054=E$2:E4054)))))-COUNTBLANK(OFFSET(A$1,,,SUMPRODUCT(MAX(ROW(E$1:E4053)*(E2=E$1:E4053))))))</f>
        <v> </v>
      </c>
      <c r="K4054" s="26" t="str">
        <f>IF(OR(E4054="",E4054="!!!",F4054="NEW"),"",INDEX(J$1:J4053,SUMPRODUCT(MAX(ROW(E$1:E4053)*(E4054=E$1:E4053)))))</f>
        <v> </v>
      </c>
      <c r="L4054" s="27"/>
    </row>
    <row r="4055" spans="1:12">
      <c r="A4055" s="20" t="s">
        <v>2338</v>
      </c>
      <c r="E4055" s="22">
        <f>IF(D4055="?OLD","!!!","")</f>
        <v/>
      </c>
      <c r="F4055" s="23" t="str">
        <f>IF(OR(E4055="",E4055="!!!"),"",IF(NOT(ISNA(VLOOKUP(E4055,E$1:E4054,1,FALSE()))),"OLD",IF(AND(E4055&lt;&gt;"",E4055&lt;&gt;"!!!"),"NEW","")))</f>
        <v> </v>
      </c>
      <c r="G4055" s="24" t="str">
        <f>IF(OR(E4055="",E4055="!!!"),"",IF(OR(J4055=0,AND(J4055=1,K4055=1),AND(J4055=1,I4055="SBJ"),AND(J4055=1,I4055=0)),"?IN_FOCUS",IF(J4055&lt;=2,"?ACTIVATED",IF(J4055&lt;&gt;"","?FAMILIAR",IF(F4055="NEW",IF(ISNA(VLOOKUP(E4055,#REF!,1,FALSE())),"?TYPE_IDENTIFIABLE","?REFERENTIAL"),"_")))))</f>
        <v> </v>
      </c>
      <c r="H4055" s="25" t="str">
        <f>IF(J4055&lt;&gt;1,"",IF(I4055="SBJ","CB","?"))</f>
        <v> </v>
      </c>
      <c r="I4055" s="26" t="str">
        <f>IF(OR(E4055="",E4055="!!!",F4055="NEW"),"",INDEX(B4054:B$2,-1+SUMPRODUCT(MAX(ROW(E4054:E$2)*(E4055=E4054:E$2)))))</f>
        <v> </v>
      </c>
      <c r="J4055" s="26" t="str">
        <f>IF(OR(E4055="",E4055="!!!",F4055="NEW"),"",COUNTBLANK(OFFSET(A$1,,,SUMPRODUCT(MAX(ROW(E$2:E4055)*(E4055=E$2:E4055)))))-COUNTBLANK(OFFSET(A$1,,,SUMPRODUCT(MAX(ROW(E$1:E4054)*(E2=E$1:E4054))))))</f>
        <v> </v>
      </c>
      <c r="K4055" s="26" t="str">
        <f>IF(OR(E4055="",E4055="!!!",F4055="NEW"),"",INDEX(J$1:J4054,SUMPRODUCT(MAX(ROW(E$1:E4054)*(E4055=E$1:E4054)))))</f>
        <v> </v>
      </c>
      <c r="L4055" s="27"/>
    </row>
    <row r="4056" spans="1:12">
      <c r="A4056" s="20" t="s">
        <v>312</v>
      </c>
      <c r="E4056" s="22">
        <f>IF(D4056="?OLD","!!!","")</f>
        <v/>
      </c>
      <c r="F4056" s="23" t="str">
        <f>IF(OR(E4056="",E4056="!!!"),"",IF(NOT(ISNA(VLOOKUP(E4056,E$1:E4055,1,FALSE()))),"OLD",IF(AND(E4056&lt;&gt;"",E4056&lt;&gt;"!!!"),"NEW","")))</f>
        <v> </v>
      </c>
      <c r="G4056" s="24" t="str">
        <f>IF(OR(E4056="",E4056="!!!"),"",IF(OR(J4056=0,AND(J4056=1,K4056=1),AND(J4056=1,I4056="SBJ"),AND(J4056=1,I4056=0)),"?IN_FOCUS",IF(J4056&lt;=2,"?ACTIVATED",IF(J4056&lt;&gt;"","?FAMILIAR",IF(F4056="NEW",IF(ISNA(VLOOKUP(E4056,#REF!,1,FALSE())),"?TYPE_IDENTIFIABLE","?REFERENTIAL"),"_")))))</f>
        <v> </v>
      </c>
      <c r="H4056" s="25" t="str">
        <f>IF(J4056&lt;&gt;1,"",IF(I4056="SBJ","CB","?"))</f>
        <v> </v>
      </c>
      <c r="I4056" s="26" t="str">
        <f>IF(OR(E4056="",E4056="!!!",F4056="NEW"),"",INDEX(B4055:B$2,-1+SUMPRODUCT(MAX(ROW(E4055:E$2)*(E4056=E4055:E$2)))))</f>
        <v> </v>
      </c>
      <c r="J4056" s="26" t="str">
        <f>IF(OR(E4056="",E4056="!!!",F4056="NEW"),"",COUNTBLANK(OFFSET(A$1,,,SUMPRODUCT(MAX(ROW(E$2:E4056)*(E4056=E$2:E4056)))))-COUNTBLANK(OFFSET(A$1,,,SUMPRODUCT(MAX(ROW(E$1:E4055)*(E2=E$1:E4055))))))</f>
        <v> </v>
      </c>
      <c r="K4056" s="26" t="str">
        <f>IF(OR(E4056="",E4056="!!!",F4056="NEW"),"",INDEX(J$1:J4055,SUMPRODUCT(MAX(ROW(E$1:E4055)*(E4056=E$1:E4055)))))</f>
        <v> </v>
      </c>
      <c r="L4056" s="27"/>
    </row>
    <row r="4057" spans="1:12">
      <c r="A4057" s="20"/>
    </row>
    <row r="4058" spans="1:12">
      <c r="A4058" s="20" t="s">
        <v>2339</v>
      </c>
    </row>
    <row r="4059" spans="1:12">
      <c r="A4059" s="20" t="s">
        <v>1816</v>
      </c>
      <c r="B4059" s="21" t="s">
        <v>1165</v>
      </c>
      <c r="C4059" s="21" t="s">
        <v>1151</v>
      </c>
      <c r="D4059" s="21" t="s">
        <v>1144</v>
      </c>
      <c r="E4059" s="22">
        <f>IF(D4059="?OLD","!!!","")</f>
        <v/>
      </c>
      <c r="F4059" s="23" t="str">
        <f>IF(OR(E4059="",E4059="!!!"),"",IF(NOT(ISNA(VLOOKUP(E4059,E$1:E4058,1,FALSE()))),"OLD",IF(AND(E4059&lt;&gt;"",E4059&lt;&gt;"!!!"),"NEW","")))</f>
        <v> </v>
      </c>
      <c r="G4059" s="24" t="str">
        <f>IF(OR(E4059="",E4059="!!!"),"",IF(OR(J4059=0,AND(J4059=1,K4059=1),AND(J4059=1,I4059="SBJ"),AND(J4059=1,I4059=0)),"?IN_FOCUS",IF(J4059&lt;=2,"?ACTIVATED",IF(J4059&lt;&gt;"","?FAMILIAR",IF(F4059="NEW",IF(ISNA(VLOOKUP(E4059,#REF!,1,FALSE())),"?TYPE_IDENTIFIABLE","?REFERENTIAL"),"_")))))</f>
        <v> </v>
      </c>
      <c r="H4059" s="25" t="str">
        <f>IF(J4059&lt;&gt;1,"",IF(I4059="SBJ","CB","?"))</f>
        <v> </v>
      </c>
      <c r="I4059" s="26" t="str">
        <f>IF(OR(E4059="",E4059="!!!",F4059="NEW"),"",INDEX(B4058:B$2,-1+SUMPRODUCT(MAX(ROW(E4058:E$2)*(E4059=E4058:E$2)))))</f>
        <v> </v>
      </c>
      <c r="J4059" s="26" t="str">
        <f>IF(OR(E4059="",E4059="!!!",F4059="NEW"),"",COUNTBLANK(OFFSET(A$1,,,SUMPRODUCT(MAX(ROW(E$2:E4059)*(E4059=E$2:E4059)))))-COUNTBLANK(OFFSET(A$1,,,SUMPRODUCT(MAX(ROW(E$1:E4058)*(E2=E$1:E4058))))))</f>
        <v> </v>
      </c>
      <c r="K4059" s="26" t="str">
        <f>IF(OR(E4059="",E4059="!!!",F4059="NEW"),"",INDEX(J$1:J4058,SUMPRODUCT(MAX(ROW(E$1:E4058)*(E4059=E$1:E4058)))))</f>
        <v> </v>
      </c>
      <c r="L4059" s="27"/>
    </row>
    <row r="4060" spans="1:12">
      <c r="A4060" s="20" t="s">
        <v>2340</v>
      </c>
      <c r="E4060" s="22">
        <f>IF(D4060="?OLD","!!!","")</f>
        <v/>
      </c>
      <c r="F4060" s="23" t="str">
        <f>IF(OR(E4060="",E4060="!!!"),"",IF(NOT(ISNA(VLOOKUP(E4060,E$1:E4059,1,FALSE()))),"OLD",IF(AND(E4060&lt;&gt;"",E4060&lt;&gt;"!!!"),"NEW","")))</f>
        <v> </v>
      </c>
      <c r="G4060" s="24" t="str">
        <f>IF(OR(E4060="",E4060="!!!"),"",IF(OR(J4060=0,AND(J4060=1,K4060=1),AND(J4060=1,I4060="SBJ"),AND(J4060=1,I4060=0)),"?IN_FOCUS",IF(J4060&lt;=2,"?ACTIVATED",IF(J4060&lt;&gt;"","?FAMILIAR",IF(F4060="NEW",IF(ISNA(VLOOKUP(E4060,#REF!,1,FALSE())),"?TYPE_IDENTIFIABLE","?REFERENTIAL"),"_")))))</f>
        <v> </v>
      </c>
      <c r="H4060" s="25" t="str">
        <f>IF(J4060&lt;&gt;1,"",IF(I4060="SBJ","CB","?"))</f>
        <v> </v>
      </c>
      <c r="I4060" s="26" t="str">
        <f>IF(OR(E4060="",E4060="!!!",F4060="NEW"),"",INDEX(B4059:B$2,-1+SUMPRODUCT(MAX(ROW(E4059:E$2)*(E4060=E4059:E$2)))))</f>
        <v> </v>
      </c>
      <c r="J4060" s="26" t="str">
        <f>IF(OR(E4060="",E4060="!!!",F4060="NEW"),"",COUNTBLANK(OFFSET(A$1,,,SUMPRODUCT(MAX(ROW(E$2:E4060)*(E4060=E$2:E4060)))))-COUNTBLANK(OFFSET(A$1,,,SUMPRODUCT(MAX(ROW(E$1:E4059)*(E2=E$1:E4059))))))</f>
        <v> </v>
      </c>
      <c r="K4060" s="26" t="str">
        <f>IF(OR(E4060="",E4060="!!!",F4060="NEW"),"",INDEX(J$1:J4059,SUMPRODUCT(MAX(ROW(E$1:E4059)*(E4060=E$1:E4059)))))</f>
        <v> </v>
      </c>
      <c r="L4060" s="27"/>
    </row>
    <row r="4061" spans="1:12">
      <c r="A4061" s="20" t="s">
        <v>1308</v>
      </c>
      <c r="B4061" s="21" t="s">
        <v>1171</v>
      </c>
      <c r="C4061" s="21" t="s">
        <v>1182</v>
      </c>
      <c r="E4061" s="22">
        <f>IF(D4061="?OLD","!!!","")</f>
        <v/>
      </c>
      <c r="F4061" s="23" t="str">
        <f>IF(OR(E4061="",E4061="!!!"),"",IF(NOT(ISNA(VLOOKUP(E4061,E$1:E4060,1,FALSE()))),"OLD",IF(AND(E4061&lt;&gt;"",E4061&lt;&gt;"!!!"),"NEW","")))</f>
        <v> </v>
      </c>
      <c r="G4061" s="24" t="str">
        <f>IF(OR(E4061="",E4061="!!!"),"",IF(OR(J4061=0,AND(J4061=1,K4061=1),AND(J4061=1,I4061="SBJ"),AND(J4061=1,I4061=0)),"?IN_FOCUS",IF(J4061&lt;=2,"?ACTIVATED",IF(J4061&lt;&gt;"","?FAMILIAR",IF(F4061="NEW",IF(ISNA(VLOOKUP(E4061,#REF!,1,FALSE())),"?TYPE_IDENTIFIABLE","?REFERENTIAL"),"_")))))</f>
        <v> </v>
      </c>
      <c r="H4061" s="25" t="str">
        <f>IF(J4061&lt;&gt;1,"",IF(I4061="SBJ","CB","?"))</f>
        <v> </v>
      </c>
      <c r="I4061" s="26" t="str">
        <f>IF(OR(E4061="",E4061="!!!",F4061="NEW"),"",INDEX(B4060:B$2,-1+SUMPRODUCT(MAX(ROW(E4060:E$2)*(E4061=E4060:E$2)))))</f>
        <v> </v>
      </c>
      <c r="J4061" s="26" t="str">
        <f>IF(OR(E4061="",E4061="!!!",F4061="NEW"),"",COUNTBLANK(OFFSET(A$1,,,SUMPRODUCT(MAX(ROW(E$2:E4061)*(E4061=E$2:E4061)))))-COUNTBLANK(OFFSET(A$1,,,SUMPRODUCT(MAX(ROW(E$1:E4060)*(E2=E$1:E4060))))))</f>
        <v> </v>
      </c>
      <c r="K4061" s="26" t="str">
        <f>IF(OR(E4061="",E4061="!!!",F4061="NEW"),"",INDEX(J$1:J4060,SUMPRODUCT(MAX(ROW(E$1:E4060)*(E4061=E$1:E4060)))))</f>
        <v> </v>
      </c>
      <c r="L4061" s="27"/>
    </row>
    <row r="4062" spans="1:12">
      <c r="A4062" s="20" t="s">
        <v>1481</v>
      </c>
      <c r="E4062" s="22">
        <f>IF(D4062="?OLD","!!!","")</f>
        <v/>
      </c>
      <c r="F4062" s="23" t="str">
        <f>IF(OR(E4062="",E4062="!!!"),"",IF(NOT(ISNA(VLOOKUP(E4062,E$1:E4061,1,FALSE()))),"OLD",IF(AND(E4062&lt;&gt;"",E4062&lt;&gt;"!!!"),"NEW","")))</f>
        <v> </v>
      </c>
      <c r="G4062" s="24" t="str">
        <f>IF(OR(E4062="",E4062="!!!"),"",IF(OR(J4062=0,AND(J4062=1,K4062=1),AND(J4062=1,I4062="SBJ"),AND(J4062=1,I4062=0)),"?IN_FOCUS",IF(J4062&lt;=2,"?ACTIVATED",IF(J4062&lt;&gt;"","?FAMILIAR",IF(F4062="NEW",IF(ISNA(VLOOKUP(E4062,#REF!,1,FALSE())),"?TYPE_IDENTIFIABLE","?REFERENTIAL"),"_")))))</f>
        <v> </v>
      </c>
      <c r="H4062" s="25" t="str">
        <f>IF(J4062&lt;&gt;1,"",IF(I4062="SBJ","CB","?"))</f>
        <v> </v>
      </c>
      <c r="I4062" s="26" t="str">
        <f>IF(OR(E4062="",E4062="!!!",F4062="NEW"),"",INDEX(B4061:B$2,-1+SUMPRODUCT(MAX(ROW(E4061:E$2)*(E4062=E4061:E$2)))))</f>
        <v> </v>
      </c>
      <c r="J4062" s="26" t="str">
        <f>IF(OR(E4062="",E4062="!!!",F4062="NEW"),"",COUNTBLANK(OFFSET(A$1,,,SUMPRODUCT(MAX(ROW(E$2:E4062)*(E4062=E$2:E4062)))))-COUNTBLANK(OFFSET(A$1,,,SUMPRODUCT(MAX(ROW(E$1:E4061)*(E2=E$1:E4061))))))</f>
        <v> </v>
      </c>
      <c r="K4062" s="26" t="str">
        <f>IF(OR(E4062="",E4062="!!!",F4062="NEW"),"",INDEX(J$1:J4061,SUMPRODUCT(MAX(ROW(E$1:E4061)*(E4062=E$1:E4061)))))</f>
        <v> </v>
      </c>
      <c r="L4062" s="27"/>
    </row>
    <row r="4063" spans="1:12">
      <c r="A4063" s="20" t="s">
        <v>1731</v>
      </c>
      <c r="B4063" s="21" t="s">
        <v>1161</v>
      </c>
      <c r="C4063" s="21" t="s">
        <v>1162</v>
      </c>
      <c r="D4063" s="21" t="s">
        <v>1144</v>
      </c>
      <c r="E4063" s="22">
        <f>IF(D4063="?OLD","!!!","")</f>
        <v/>
      </c>
      <c r="F4063" s="23" t="str">
        <f>IF(OR(E4063="",E4063="!!!"),"",IF(NOT(ISNA(VLOOKUP(E4063,E$1:E4062,1,FALSE()))),"OLD",IF(AND(E4063&lt;&gt;"",E4063&lt;&gt;"!!!"),"NEW","")))</f>
        <v> </v>
      </c>
      <c r="G4063" s="24" t="str">
        <f>IF(OR(E4063="",E4063="!!!"),"",IF(OR(J4063=0,AND(J4063=1,K4063=1),AND(J4063=1,I4063="SBJ"),AND(J4063=1,I4063=0)),"?IN_FOCUS",IF(J4063&lt;=2,"?ACTIVATED",IF(J4063&lt;&gt;"","?FAMILIAR",IF(F4063="NEW",IF(ISNA(VLOOKUP(E4063,#REF!,1,FALSE())),"?TYPE_IDENTIFIABLE","?REFERENTIAL"),"_")))))</f>
        <v> </v>
      </c>
      <c r="H4063" s="25" t="str">
        <f>IF(J4063&lt;&gt;1,"",IF(I4063="SBJ","CB","?"))</f>
        <v> </v>
      </c>
      <c r="I4063" s="26" t="str">
        <f>IF(OR(E4063="",E4063="!!!",F4063="NEW"),"",INDEX(B4062:B$2,-1+SUMPRODUCT(MAX(ROW(E4062:E$2)*(E4063=E4062:E$2)))))</f>
        <v> </v>
      </c>
      <c r="J4063" s="26" t="str">
        <f>IF(OR(E4063="",E4063="!!!",F4063="NEW"),"",COUNTBLANK(OFFSET(A$1,,,SUMPRODUCT(MAX(ROW(E$2:E4063)*(E4063=E$2:E4063)))))-COUNTBLANK(OFFSET(A$1,,,SUMPRODUCT(MAX(ROW(E$1:E4062)*(E2=E$1:E4062))))))</f>
        <v> </v>
      </c>
      <c r="K4063" s="26" t="str">
        <f>IF(OR(E4063="",E4063="!!!",F4063="NEW"),"",INDEX(J$1:J4062,SUMPRODUCT(MAX(ROW(E$1:E4062)*(E4063=E$1:E4062)))))</f>
        <v> </v>
      </c>
      <c r="L4063" s="27"/>
    </row>
    <row r="4064" spans="1:12">
      <c r="A4064" s="20" t="s">
        <v>1166</v>
      </c>
      <c r="E4064" s="22">
        <f>IF(D4064="?OLD","!!!","")</f>
        <v/>
      </c>
      <c r="F4064" s="23" t="str">
        <f>IF(OR(E4064="",E4064="!!!"),"",IF(NOT(ISNA(VLOOKUP(E4064,E$1:E4063,1,FALSE()))),"OLD",IF(AND(E4064&lt;&gt;"",E4064&lt;&gt;"!!!"),"NEW","")))</f>
        <v> </v>
      </c>
      <c r="G4064" s="24" t="str">
        <f>IF(OR(E4064="",E4064="!!!"),"",IF(OR(J4064=0,AND(J4064=1,K4064=1),AND(J4064=1,I4064="SBJ"),AND(J4064=1,I4064=0)),"?IN_FOCUS",IF(J4064&lt;=2,"?ACTIVATED",IF(J4064&lt;&gt;"","?FAMILIAR",IF(F4064="NEW",IF(ISNA(VLOOKUP(E4064,#REF!,1,FALSE())),"?TYPE_IDENTIFIABLE","?REFERENTIAL"),"_")))))</f>
        <v> </v>
      </c>
      <c r="H4064" s="25" t="str">
        <f>IF(J4064&lt;&gt;1,"",IF(I4064="SBJ","CB","?"))</f>
        <v> </v>
      </c>
      <c r="I4064" s="26" t="str">
        <f>IF(OR(E4064="",E4064="!!!",F4064="NEW"),"",INDEX(B4063:B$2,-1+SUMPRODUCT(MAX(ROW(E4063:E$2)*(E4064=E4063:E$2)))))</f>
        <v> </v>
      </c>
      <c r="J4064" s="26" t="str">
        <f>IF(OR(E4064="",E4064="!!!",F4064="NEW"),"",COUNTBLANK(OFFSET(A$1,,,SUMPRODUCT(MAX(ROW(E$2:E4064)*(E4064=E$2:E4064)))))-COUNTBLANK(OFFSET(A$1,,,SUMPRODUCT(MAX(ROW(E$1:E4063)*(E2=E$1:E4063))))))</f>
        <v> </v>
      </c>
      <c r="K4064" s="26" t="str">
        <f>IF(OR(E4064="",E4064="!!!",F4064="NEW"),"",INDEX(J$1:J4063,SUMPRODUCT(MAX(ROW(E$1:E4063)*(E4064=E$1:E4063)))))</f>
        <v> </v>
      </c>
      <c r="L4064" s="27"/>
    </row>
    <row r="4065" spans="1:12">
      <c r="A4065" s="20" t="s">
        <v>1238</v>
      </c>
      <c r="B4065" s="21" t="s">
        <v>1175</v>
      </c>
      <c r="E4065" s="22">
        <f>IF(D4065="?OLD","!!!","")</f>
        <v/>
      </c>
      <c r="F4065" s="23" t="str">
        <f>IF(OR(E4065="",E4065="!!!"),"",IF(NOT(ISNA(VLOOKUP(E4065,E$1:E4064,1,FALSE()))),"OLD",IF(AND(E4065&lt;&gt;"",E4065&lt;&gt;"!!!"),"NEW","")))</f>
        <v> </v>
      </c>
      <c r="G4065" s="24" t="str">
        <f>IF(OR(E4065="",E4065="!!!"),"",IF(OR(J4065=0,AND(J4065=1,K4065=1),AND(J4065=1,I4065="SBJ"),AND(J4065=1,I4065=0)),"?IN_FOCUS",IF(J4065&lt;=2,"?ACTIVATED",IF(J4065&lt;&gt;"","?FAMILIAR",IF(F4065="NEW",IF(ISNA(VLOOKUP(E4065,#REF!,1,FALSE())),"?TYPE_IDENTIFIABLE","?REFERENTIAL"),"_")))))</f>
        <v> </v>
      </c>
      <c r="H4065" s="25" t="str">
        <f>IF(J4065&lt;&gt;1,"",IF(I4065="SBJ","CB","?"))</f>
        <v> </v>
      </c>
      <c r="I4065" s="26" t="str">
        <f>IF(OR(E4065="",E4065="!!!",F4065="NEW"),"",INDEX(B4064:B$2,-1+SUMPRODUCT(MAX(ROW(E4064:E$2)*(E4065=E4064:E$2)))))</f>
        <v> </v>
      </c>
      <c r="J4065" s="26" t="str">
        <f>IF(OR(E4065="",E4065="!!!",F4065="NEW"),"",COUNTBLANK(OFFSET(A$1,,,SUMPRODUCT(MAX(ROW(E$2:E4065)*(E4065=E$2:E4065)))))-COUNTBLANK(OFFSET(A$1,,,SUMPRODUCT(MAX(ROW(E$1:E4064)*(E2=E$1:E4064))))))</f>
        <v> </v>
      </c>
      <c r="K4065" s="26" t="str">
        <f>IF(OR(E4065="",E4065="!!!",F4065="NEW"),"",INDEX(J$1:J4064,SUMPRODUCT(MAX(ROW(E$1:E4064)*(E4065=E$1:E4064)))))</f>
        <v> </v>
      </c>
      <c r="L4065" s="27"/>
    </row>
    <row r="4066" spans="1:12">
      <c r="A4066" s="20" t="s">
        <v>571</v>
      </c>
      <c r="E4066" s="22">
        <f>IF(D4066="?OLD","!!!","")</f>
        <v/>
      </c>
      <c r="F4066" s="23" t="str">
        <f>IF(OR(E4066="",E4066="!!!"),"",IF(NOT(ISNA(VLOOKUP(E4066,E$1:E4065,1,FALSE()))),"OLD",IF(AND(E4066&lt;&gt;"",E4066&lt;&gt;"!!!"),"NEW","")))</f>
        <v> </v>
      </c>
      <c r="G4066" s="24" t="str">
        <f>IF(OR(E4066="",E4066="!!!"),"",IF(OR(J4066=0,AND(J4066=1,K4066=1),AND(J4066=1,I4066="SBJ"),AND(J4066=1,I4066=0)),"?IN_FOCUS",IF(J4066&lt;=2,"?ACTIVATED",IF(J4066&lt;&gt;"","?FAMILIAR",IF(F4066="NEW",IF(ISNA(VLOOKUP(E4066,#REF!,1,FALSE())),"?TYPE_IDENTIFIABLE","?REFERENTIAL"),"_")))))</f>
        <v> </v>
      </c>
      <c r="H4066" s="25" t="str">
        <f>IF(J4066&lt;&gt;1,"",IF(I4066="SBJ","CB","?"))</f>
        <v> </v>
      </c>
      <c r="I4066" s="26" t="str">
        <f>IF(OR(E4066="",E4066="!!!",F4066="NEW"),"",INDEX(B4065:B$2,-1+SUMPRODUCT(MAX(ROW(E4065:E$2)*(E4066=E4065:E$2)))))</f>
        <v> </v>
      </c>
      <c r="J4066" s="26" t="str">
        <f>IF(OR(E4066="",E4066="!!!",F4066="NEW"),"",COUNTBLANK(OFFSET(A$1,,,SUMPRODUCT(MAX(ROW(E$2:E4066)*(E4066=E$2:E4066)))))-COUNTBLANK(OFFSET(A$1,,,SUMPRODUCT(MAX(ROW(E$1:E4065)*(E2=E$1:E4065))))))</f>
        <v> </v>
      </c>
      <c r="K4066" s="26" t="str">
        <f>IF(OR(E4066="",E4066="!!!",F4066="NEW"),"",INDEX(J$1:J4065,SUMPRODUCT(MAX(ROW(E$1:E4065)*(E4066=E$1:E4065)))))</f>
        <v> </v>
      </c>
      <c r="L4066" s="27"/>
    </row>
    <row r="4067" spans="1:12">
      <c r="A4067" s="20" t="s">
        <v>1166</v>
      </c>
      <c r="E4067" s="22">
        <f>IF(D4067="?OLD","!!!","")</f>
        <v/>
      </c>
      <c r="F4067" s="23" t="str">
        <f>IF(OR(E4067="",E4067="!!!"),"",IF(NOT(ISNA(VLOOKUP(E4067,E$1:E4066,1,FALSE()))),"OLD",IF(AND(E4067&lt;&gt;"",E4067&lt;&gt;"!!!"),"NEW","")))</f>
        <v> </v>
      </c>
      <c r="G4067" s="24" t="str">
        <f>IF(OR(E4067="",E4067="!!!"),"",IF(OR(J4067=0,AND(J4067=1,K4067=1),AND(J4067=1,I4067="SBJ"),AND(J4067=1,I4067=0)),"?IN_FOCUS",IF(J4067&lt;=2,"?ACTIVATED",IF(J4067&lt;&gt;"","?FAMILIAR",IF(F4067="NEW",IF(ISNA(VLOOKUP(E4067,#REF!,1,FALSE())),"?TYPE_IDENTIFIABLE","?REFERENTIAL"),"_")))))</f>
        <v> </v>
      </c>
      <c r="H4067" s="25" t="str">
        <f>IF(J4067&lt;&gt;1,"",IF(I4067="SBJ","CB","?"))</f>
        <v> </v>
      </c>
      <c r="I4067" s="26" t="str">
        <f>IF(OR(E4067="",E4067="!!!",F4067="NEW"),"",INDEX(B4066:B$2,-1+SUMPRODUCT(MAX(ROW(E4066:E$2)*(E4067=E4066:E$2)))))</f>
        <v> </v>
      </c>
      <c r="J4067" s="26" t="str">
        <f>IF(OR(E4067="",E4067="!!!",F4067="NEW"),"",COUNTBLANK(OFFSET(A$1,,,SUMPRODUCT(MAX(ROW(E$2:E4067)*(E4067=E$2:E4067)))))-COUNTBLANK(OFFSET(A$1,,,SUMPRODUCT(MAX(ROW(E$1:E4066)*(E2=E$1:E4066))))))</f>
        <v> </v>
      </c>
      <c r="K4067" s="26" t="str">
        <f>IF(OR(E4067="",E4067="!!!",F4067="NEW"),"",INDEX(J$1:J4066,SUMPRODUCT(MAX(ROW(E$1:E4066)*(E4067=E$1:E4066)))))</f>
        <v> </v>
      </c>
      <c r="L4067" s="27"/>
    </row>
    <row r="4068" spans="1:12">
      <c r="A4068" s="20" t="s">
        <v>1174</v>
      </c>
      <c r="E4068" s="22">
        <f>IF(D4068="?OLD","!!!","")</f>
        <v/>
      </c>
      <c r="F4068" s="23" t="str">
        <f>IF(OR(E4068="",E4068="!!!"),"",IF(NOT(ISNA(VLOOKUP(E4068,E$1:E4067,1,FALSE()))),"OLD",IF(AND(E4068&lt;&gt;"",E4068&lt;&gt;"!!!"),"NEW","")))</f>
        <v> </v>
      </c>
      <c r="G4068" s="24" t="str">
        <f>IF(OR(E4068="",E4068="!!!"),"",IF(OR(J4068=0,AND(J4068=1,K4068=1),AND(J4068=1,I4068="SBJ"),AND(J4068=1,I4068=0)),"?IN_FOCUS",IF(J4068&lt;=2,"?ACTIVATED",IF(J4068&lt;&gt;"","?FAMILIAR",IF(F4068="NEW",IF(ISNA(VLOOKUP(E4068,#REF!,1,FALSE())),"?TYPE_IDENTIFIABLE","?REFERENTIAL"),"_")))))</f>
        <v> </v>
      </c>
      <c r="H4068" s="25" t="str">
        <f>IF(J4068&lt;&gt;1,"",IF(I4068="SBJ","CB","?"))</f>
        <v> </v>
      </c>
      <c r="I4068" s="26" t="str">
        <f>IF(OR(E4068="",E4068="!!!",F4068="NEW"),"",INDEX(B4067:B$2,-1+SUMPRODUCT(MAX(ROW(E4067:E$2)*(E4068=E4067:E$2)))))</f>
        <v> </v>
      </c>
      <c r="J4068" s="26" t="str">
        <f>IF(OR(E4068="",E4068="!!!",F4068="NEW"),"",COUNTBLANK(OFFSET(A$1,,,SUMPRODUCT(MAX(ROW(E$2:E4068)*(E4068=E$2:E4068)))))-COUNTBLANK(OFFSET(A$1,,,SUMPRODUCT(MAX(ROW(E$1:E4067)*(E2=E$1:E4067))))))</f>
        <v> </v>
      </c>
      <c r="K4068" s="26" t="str">
        <f>IF(OR(E4068="",E4068="!!!",F4068="NEW"),"",INDEX(J$1:J4067,SUMPRODUCT(MAX(ROW(E$1:E4067)*(E4068=E$1:E4067)))))</f>
        <v> </v>
      </c>
      <c r="L4068" s="27"/>
    </row>
    <row r="4069" spans="1:12">
      <c r="A4069" s="20" t="s">
        <v>1378</v>
      </c>
      <c r="B4069" s="21" t="s">
        <v>1311</v>
      </c>
      <c r="C4069" s="21" t="s">
        <v>1187</v>
      </c>
      <c r="E4069" s="22">
        <f>IF(D4069="?OLD","!!!","")</f>
        <v/>
      </c>
      <c r="F4069" s="23" t="str">
        <f>IF(OR(E4069="",E4069="!!!"),"",IF(NOT(ISNA(VLOOKUP(E4069,E$1:E4068,1,FALSE()))),"OLD",IF(AND(E4069&lt;&gt;"",E4069&lt;&gt;"!!!"),"NEW","")))</f>
        <v> </v>
      </c>
      <c r="G4069" s="24" t="str">
        <f>IF(OR(E4069="",E4069="!!!"),"",IF(OR(J4069=0,AND(J4069=1,K4069=1),AND(J4069=1,I4069="SBJ"),AND(J4069=1,I4069=0)),"?IN_FOCUS",IF(J4069&lt;=2,"?ACTIVATED",IF(J4069&lt;&gt;"","?FAMILIAR",IF(F4069="NEW",IF(ISNA(VLOOKUP(E4069,#REF!,1,FALSE())),"?TYPE_IDENTIFIABLE","?REFERENTIAL"),"_")))))</f>
        <v> </v>
      </c>
      <c r="H4069" s="25" t="str">
        <f>IF(J4069&lt;&gt;1,"",IF(I4069="SBJ","CB","?"))</f>
        <v> </v>
      </c>
      <c r="I4069" s="26" t="str">
        <f>IF(OR(E4069="",E4069="!!!",F4069="NEW"),"",INDEX(B4068:B$2,-1+SUMPRODUCT(MAX(ROW(E4068:E$2)*(E4069=E4068:E$2)))))</f>
        <v> </v>
      </c>
      <c r="J4069" s="26" t="str">
        <f>IF(OR(E4069="",E4069="!!!",F4069="NEW"),"",COUNTBLANK(OFFSET(A$1,,,SUMPRODUCT(MAX(ROW(E$2:E4069)*(E4069=E$2:E4069)))))-COUNTBLANK(OFFSET(A$1,,,SUMPRODUCT(MAX(ROW(E$1:E4068)*(E2=E$1:E4068))))))</f>
        <v> </v>
      </c>
      <c r="K4069" s="26" t="str">
        <f>IF(OR(E4069="",E4069="!!!",F4069="NEW"),"",INDEX(J$1:J4068,SUMPRODUCT(MAX(ROW(E$1:E4068)*(E4069=E$1:E4068)))))</f>
        <v> </v>
      </c>
      <c r="L4069" s="27"/>
    </row>
    <row r="4070" spans="1:12">
      <c r="A4070" s="20" t="s">
        <v>2341</v>
      </c>
      <c r="B4070" s="21" t="s">
        <v>1310</v>
      </c>
      <c r="C4070" s="21" t="s">
        <v>1187</v>
      </c>
      <c r="E4070" s="22">
        <f>IF(D4070="?OLD","!!!","")</f>
        <v/>
      </c>
      <c r="F4070" s="23" t="str">
        <f>IF(OR(E4070="",E4070="!!!"),"",IF(NOT(ISNA(VLOOKUP(E4070,E$1:E4069,1,FALSE()))),"OLD",IF(AND(E4070&lt;&gt;"",E4070&lt;&gt;"!!!"),"NEW","")))</f>
        <v> </v>
      </c>
      <c r="G4070" s="24" t="str">
        <f>IF(OR(E4070="",E4070="!!!"),"",IF(OR(J4070=0,AND(J4070=1,K4070=1),AND(J4070=1,I4070="SBJ"),AND(J4070=1,I4070=0)),"?IN_FOCUS",IF(J4070&lt;=2,"?ACTIVATED",IF(J4070&lt;&gt;"","?FAMILIAR",IF(F4070="NEW",IF(ISNA(VLOOKUP(E4070,#REF!,1,FALSE())),"?TYPE_IDENTIFIABLE","?REFERENTIAL"),"_")))))</f>
        <v> </v>
      </c>
      <c r="H4070" s="25" t="str">
        <f>IF(J4070&lt;&gt;1,"",IF(I4070="SBJ","CB","?"))</f>
        <v> </v>
      </c>
      <c r="I4070" s="26" t="str">
        <f>IF(OR(E4070="",E4070="!!!",F4070="NEW"),"",INDEX(B4069:B$2,-1+SUMPRODUCT(MAX(ROW(E4069:E$2)*(E4070=E4069:E$2)))))</f>
        <v> </v>
      </c>
      <c r="J4070" s="26" t="str">
        <f>IF(OR(E4070="",E4070="!!!",F4070="NEW"),"",COUNTBLANK(OFFSET(A$1,,,SUMPRODUCT(MAX(ROW(E$2:E4070)*(E4070=E$2:E4070)))))-COUNTBLANK(OFFSET(A$1,,,SUMPRODUCT(MAX(ROW(E$1:E4069)*(E2=E$1:E4069))))))</f>
        <v> </v>
      </c>
      <c r="K4070" s="26" t="str">
        <f>IF(OR(E4070="",E4070="!!!",F4070="NEW"),"",INDEX(J$1:J4069,SUMPRODUCT(MAX(ROW(E$1:E4069)*(E4070=E$1:E4069)))))</f>
        <v> </v>
      </c>
      <c r="L4070" s="27"/>
    </row>
    <row r="4071" spans="1:12">
      <c r="A4071" s="20" t="s">
        <v>2342</v>
      </c>
      <c r="E4071" s="22">
        <f>IF(D4071="?OLD","!!!","")</f>
        <v/>
      </c>
      <c r="F4071" s="23" t="str">
        <f>IF(OR(E4071="",E4071="!!!"),"",IF(NOT(ISNA(VLOOKUP(E4071,E$1:E4070,1,FALSE()))),"OLD",IF(AND(E4071&lt;&gt;"",E4071&lt;&gt;"!!!"),"NEW","")))</f>
        <v> </v>
      </c>
      <c r="G4071" s="24" t="str">
        <f>IF(OR(E4071="",E4071="!!!"),"",IF(OR(J4071=0,AND(J4071=1,K4071=1),AND(J4071=1,I4071="SBJ"),AND(J4071=1,I4071=0)),"?IN_FOCUS",IF(J4071&lt;=2,"?ACTIVATED",IF(J4071&lt;&gt;"","?FAMILIAR",IF(F4071="NEW",IF(ISNA(VLOOKUP(E4071,#REF!,1,FALSE())),"?TYPE_IDENTIFIABLE","?REFERENTIAL"),"_")))))</f>
        <v> </v>
      </c>
      <c r="H4071" s="25" t="str">
        <f>IF(J4071&lt;&gt;1,"",IF(I4071="SBJ","CB","?"))</f>
        <v> </v>
      </c>
      <c r="I4071" s="26" t="str">
        <f>IF(OR(E4071="",E4071="!!!",F4071="NEW"),"",INDEX(B4070:B$2,-1+SUMPRODUCT(MAX(ROW(E4070:E$2)*(E4071=E4070:E$2)))))</f>
        <v> </v>
      </c>
      <c r="J4071" s="26" t="str">
        <f>IF(OR(E4071="",E4071="!!!",F4071="NEW"),"",COUNTBLANK(OFFSET(A$1,,,SUMPRODUCT(MAX(ROW(E$2:E4071)*(E4071=E$2:E4071)))))-COUNTBLANK(OFFSET(A$1,,,SUMPRODUCT(MAX(ROW(E$1:E4070)*(E2=E$1:E4070))))))</f>
        <v> </v>
      </c>
      <c r="K4071" s="26" t="str">
        <f>IF(OR(E4071="",E4071="!!!",F4071="NEW"),"",INDEX(J$1:J4070,SUMPRODUCT(MAX(ROW(E$1:E4070)*(E4071=E$1:E4070)))))</f>
        <v> </v>
      </c>
      <c r="L4071" s="27"/>
    </row>
    <row r="4072" spans="1:12">
      <c r="A4072" s="20" t="s">
        <v>1439</v>
      </c>
      <c r="E4072" s="22">
        <f>IF(D4072="?OLD","!!!","")</f>
        <v/>
      </c>
      <c r="F4072" s="23" t="str">
        <f>IF(OR(E4072="",E4072="!!!"),"",IF(NOT(ISNA(VLOOKUP(E4072,E$1:E4071,1,FALSE()))),"OLD",IF(AND(E4072&lt;&gt;"",E4072&lt;&gt;"!!!"),"NEW","")))</f>
        <v> </v>
      </c>
      <c r="G4072" s="24" t="str">
        <f>IF(OR(E4072="",E4072="!!!"),"",IF(OR(J4072=0,AND(J4072=1,K4072=1),AND(J4072=1,I4072="SBJ"),AND(J4072=1,I4072=0)),"?IN_FOCUS",IF(J4072&lt;=2,"?ACTIVATED",IF(J4072&lt;&gt;"","?FAMILIAR",IF(F4072="NEW",IF(ISNA(VLOOKUP(E4072,#REF!,1,FALSE())),"?TYPE_IDENTIFIABLE","?REFERENTIAL"),"_")))))</f>
        <v> </v>
      </c>
      <c r="H4072" s="25" t="str">
        <f>IF(J4072&lt;&gt;1,"",IF(I4072="SBJ","CB","?"))</f>
        <v> </v>
      </c>
      <c r="I4072" s="26" t="str">
        <f>IF(OR(E4072="",E4072="!!!",F4072="NEW"),"",INDEX(B4071:B$2,-1+SUMPRODUCT(MAX(ROW(E4071:E$2)*(E4072=E4071:E$2)))))</f>
        <v> </v>
      </c>
      <c r="J4072" s="26" t="str">
        <f>IF(OR(E4072="",E4072="!!!",F4072="NEW"),"",COUNTBLANK(OFFSET(A$1,,,SUMPRODUCT(MAX(ROW(E$2:E4072)*(E4072=E$2:E4072)))))-COUNTBLANK(OFFSET(A$1,,,SUMPRODUCT(MAX(ROW(E$1:E4071)*(E2=E$1:E4071))))))</f>
        <v> </v>
      </c>
      <c r="K4072" s="26" t="str">
        <f>IF(OR(E4072="",E4072="!!!",F4072="NEW"),"",INDEX(J$1:J4071,SUMPRODUCT(MAX(ROW(E$1:E4071)*(E4072=E$1:E4071)))))</f>
        <v> </v>
      </c>
      <c r="L4072" s="27"/>
    </row>
    <row r="4073" spans="1:12">
      <c r="A4073" s="20" t="s">
        <v>1166</v>
      </c>
      <c r="E4073" s="22">
        <f>IF(D4073="?OLD","!!!","")</f>
        <v/>
      </c>
      <c r="F4073" s="23" t="str">
        <f>IF(OR(E4073="",E4073="!!!"),"",IF(NOT(ISNA(VLOOKUP(E4073,E$1:E4072,1,FALSE()))),"OLD",IF(AND(E4073&lt;&gt;"",E4073&lt;&gt;"!!!"),"NEW","")))</f>
        <v> </v>
      </c>
      <c r="G4073" s="24" t="str">
        <f>IF(OR(E4073="",E4073="!!!"),"",IF(OR(J4073=0,AND(J4073=1,K4073=1),AND(J4073=1,I4073="SBJ"),AND(J4073=1,I4073=0)),"?IN_FOCUS",IF(J4073&lt;=2,"?ACTIVATED",IF(J4073&lt;&gt;"","?FAMILIAR",IF(F4073="NEW",IF(ISNA(VLOOKUP(E4073,#REF!,1,FALSE())),"?TYPE_IDENTIFIABLE","?REFERENTIAL"),"_")))))</f>
        <v> </v>
      </c>
      <c r="H4073" s="25" t="str">
        <f>IF(J4073&lt;&gt;1,"",IF(I4073="SBJ","CB","?"))</f>
        <v> </v>
      </c>
      <c r="I4073" s="26" t="str">
        <f>IF(OR(E4073="",E4073="!!!",F4073="NEW"),"",INDEX(B4072:B$2,-1+SUMPRODUCT(MAX(ROW(E4072:E$2)*(E4073=E4072:E$2)))))</f>
        <v> </v>
      </c>
      <c r="J4073" s="26" t="str">
        <f>IF(OR(E4073="",E4073="!!!",F4073="NEW"),"",COUNTBLANK(OFFSET(A$1,,,SUMPRODUCT(MAX(ROW(E$2:E4073)*(E4073=E$2:E4073)))))-COUNTBLANK(OFFSET(A$1,,,SUMPRODUCT(MAX(ROW(E$1:E4072)*(E2=E$1:E4072))))))</f>
        <v> </v>
      </c>
      <c r="K4073" s="26" t="str">
        <f>IF(OR(E4073="",E4073="!!!",F4073="NEW"),"",INDEX(J$1:J4072,SUMPRODUCT(MAX(ROW(E$1:E4072)*(E4073=E$1:E4072)))))</f>
        <v> </v>
      </c>
      <c r="L4073" s="27"/>
    </row>
    <row r="4074" spans="1:12">
      <c r="A4074" s="20" t="s">
        <v>1298</v>
      </c>
      <c r="E4074" s="22">
        <f>IF(D4074="?OLD","!!!","")</f>
        <v/>
      </c>
      <c r="F4074" s="23" t="str">
        <f>IF(OR(E4074="",E4074="!!!"),"",IF(NOT(ISNA(VLOOKUP(E4074,E$1:E4073,1,FALSE()))),"OLD",IF(AND(E4074&lt;&gt;"",E4074&lt;&gt;"!!!"),"NEW","")))</f>
        <v> </v>
      </c>
      <c r="G4074" s="24" t="str">
        <f>IF(OR(E4074="",E4074="!!!"),"",IF(OR(J4074=0,AND(J4074=1,K4074=1),AND(J4074=1,I4074="SBJ"),AND(J4074=1,I4074=0)),"?IN_FOCUS",IF(J4074&lt;=2,"?ACTIVATED",IF(J4074&lt;&gt;"","?FAMILIAR",IF(F4074="NEW",IF(ISNA(VLOOKUP(E4074,#REF!,1,FALSE())),"?TYPE_IDENTIFIABLE","?REFERENTIAL"),"_")))))</f>
        <v> </v>
      </c>
      <c r="H4074" s="25" t="str">
        <f>IF(J4074&lt;&gt;1,"",IF(I4074="SBJ","CB","?"))</f>
        <v> </v>
      </c>
      <c r="I4074" s="26" t="str">
        <f>IF(OR(E4074="",E4074="!!!",F4074="NEW"),"",INDEX(B4073:B$2,-1+SUMPRODUCT(MAX(ROW(E4073:E$2)*(E4074=E4073:E$2)))))</f>
        <v> </v>
      </c>
      <c r="J4074" s="26" t="str">
        <f>IF(OR(E4074="",E4074="!!!",F4074="NEW"),"",COUNTBLANK(OFFSET(A$1,,,SUMPRODUCT(MAX(ROW(E$2:E4074)*(E4074=E$2:E4074)))))-COUNTBLANK(OFFSET(A$1,,,SUMPRODUCT(MAX(ROW(E$1:E4073)*(E2=E$1:E4073))))))</f>
        <v> </v>
      </c>
      <c r="K4074" s="26" t="str">
        <f>IF(OR(E4074="",E4074="!!!",F4074="NEW"),"",INDEX(J$1:J4073,SUMPRODUCT(MAX(ROW(E$1:E4073)*(E4074=E$1:E4073)))))</f>
        <v> </v>
      </c>
      <c r="L4074" s="27"/>
    </row>
    <row r="4075" spans="1:12">
      <c r="A4075" s="20" t="s">
        <v>1278</v>
      </c>
      <c r="B4075" s="21" t="s">
        <v>1311</v>
      </c>
      <c r="C4075" s="21" t="s">
        <v>1168</v>
      </c>
      <c r="D4075" s="21" t="s">
        <v>1144</v>
      </c>
      <c r="E4075" s="22">
        <f>IF(D4075="?OLD","!!!","")</f>
        <v/>
      </c>
      <c r="F4075" s="23" t="str">
        <f>IF(OR(E4075="",E4075="!!!"),"",IF(NOT(ISNA(VLOOKUP(E4075,E$1:E4074,1,FALSE()))),"OLD",IF(AND(E4075&lt;&gt;"",E4075&lt;&gt;"!!!"),"NEW","")))</f>
        <v> </v>
      </c>
      <c r="G4075" s="24" t="str">
        <f>IF(OR(E4075="",E4075="!!!"),"",IF(OR(J4075=0,AND(J4075=1,K4075=1),AND(J4075=1,I4075="SBJ"),AND(J4075=1,I4075=0)),"?IN_FOCUS",IF(J4075&lt;=2,"?ACTIVATED",IF(J4075&lt;&gt;"","?FAMILIAR",IF(F4075="NEW",IF(ISNA(VLOOKUP(E4075,#REF!,1,FALSE())),"?TYPE_IDENTIFIABLE","?REFERENTIAL"),"_")))))</f>
        <v> </v>
      </c>
      <c r="H4075" s="25" t="str">
        <f>IF(J4075&lt;&gt;1,"",IF(I4075="SBJ","CB","?"))</f>
        <v> </v>
      </c>
      <c r="I4075" s="26" t="str">
        <f>IF(OR(E4075="",E4075="!!!",F4075="NEW"),"",INDEX(B4074:B$2,-1+SUMPRODUCT(MAX(ROW(E4074:E$2)*(E4075=E4074:E$2)))))</f>
        <v> </v>
      </c>
      <c r="J4075" s="26" t="str">
        <f>IF(OR(E4075="",E4075="!!!",F4075="NEW"),"",COUNTBLANK(OFFSET(A$1,,,SUMPRODUCT(MAX(ROW(E$2:E4075)*(E4075=E$2:E4075)))))-COUNTBLANK(OFFSET(A$1,,,SUMPRODUCT(MAX(ROW(E$1:E4074)*(E2=E$1:E4074))))))</f>
        <v> </v>
      </c>
      <c r="K4075" s="26" t="str">
        <f>IF(OR(E4075="",E4075="!!!",F4075="NEW"),"",INDEX(J$1:J4074,SUMPRODUCT(MAX(ROW(E$1:E4074)*(E4075=E$1:E4074)))))</f>
        <v> </v>
      </c>
      <c r="L4075" s="27"/>
    </row>
    <row r="4076" spans="1:12">
      <c r="A4076" s="20" t="s">
        <v>1406</v>
      </c>
      <c r="E4076" s="22">
        <f>IF(D4076="?OLD","!!!","")</f>
        <v/>
      </c>
      <c r="F4076" s="23" t="str">
        <f>IF(OR(E4076="",E4076="!!!"),"",IF(NOT(ISNA(VLOOKUP(E4076,E$1:E4075,1,FALSE()))),"OLD",IF(AND(E4076&lt;&gt;"",E4076&lt;&gt;"!!!"),"NEW","")))</f>
        <v> </v>
      </c>
      <c r="G4076" s="24" t="str">
        <f>IF(OR(E4076="",E4076="!!!"),"",IF(OR(J4076=0,AND(J4076=1,K4076=1),AND(J4076=1,I4076="SBJ"),AND(J4076=1,I4076=0)),"?IN_FOCUS",IF(J4076&lt;=2,"?ACTIVATED",IF(J4076&lt;&gt;"","?FAMILIAR",IF(F4076="NEW",IF(ISNA(VLOOKUP(E4076,#REF!,1,FALSE())),"?TYPE_IDENTIFIABLE","?REFERENTIAL"),"_")))))</f>
        <v> </v>
      </c>
      <c r="H4076" s="25" t="str">
        <f>IF(J4076&lt;&gt;1,"",IF(I4076="SBJ","CB","?"))</f>
        <v> </v>
      </c>
      <c r="I4076" s="26" t="str">
        <f>IF(OR(E4076="",E4076="!!!",F4076="NEW"),"",INDEX(B4075:B$2,-1+SUMPRODUCT(MAX(ROW(E4075:E$2)*(E4076=E4075:E$2)))))</f>
        <v> </v>
      </c>
      <c r="J4076" s="26" t="str">
        <f>IF(OR(E4076="",E4076="!!!",F4076="NEW"),"",COUNTBLANK(OFFSET(A$1,,,SUMPRODUCT(MAX(ROW(E$2:E4076)*(E4076=E$2:E4076)))))-COUNTBLANK(OFFSET(A$1,,,SUMPRODUCT(MAX(ROW(E$1:E4075)*(E2=E$1:E4075))))))</f>
        <v> </v>
      </c>
      <c r="K4076" s="26" t="str">
        <f>IF(OR(E4076="",E4076="!!!",F4076="NEW"),"",INDEX(J$1:J4075,SUMPRODUCT(MAX(ROW(E$1:E4075)*(E4076=E$1:E4075)))))</f>
        <v> </v>
      </c>
      <c r="L4076" s="27"/>
    </row>
    <row r="4077" spans="1:12">
      <c r="A4077" s="20" t="s">
        <v>2343</v>
      </c>
      <c r="E4077" s="22">
        <f>IF(D4077="?OLD","!!!","")</f>
        <v/>
      </c>
      <c r="F4077" s="23" t="str">
        <f>IF(OR(E4077="",E4077="!!!"),"",IF(NOT(ISNA(VLOOKUP(E4077,E$1:E4076,1,FALSE()))),"OLD",IF(AND(E4077&lt;&gt;"",E4077&lt;&gt;"!!!"),"NEW","")))</f>
        <v> </v>
      </c>
      <c r="G4077" s="24" t="str">
        <f>IF(OR(E4077="",E4077="!!!"),"",IF(OR(J4077=0,AND(J4077=1,K4077=1),AND(J4077=1,I4077="SBJ"),AND(J4077=1,I4077=0)),"?IN_FOCUS",IF(J4077&lt;=2,"?ACTIVATED",IF(J4077&lt;&gt;"","?FAMILIAR",IF(F4077="NEW",IF(ISNA(VLOOKUP(E4077,#REF!,1,FALSE())),"?TYPE_IDENTIFIABLE","?REFERENTIAL"),"_")))))</f>
        <v> </v>
      </c>
      <c r="H4077" s="25" t="str">
        <f>IF(J4077&lt;&gt;1,"",IF(I4077="SBJ","CB","?"))</f>
        <v> </v>
      </c>
      <c r="I4077" s="26" t="str">
        <f>IF(OR(E4077="",E4077="!!!",F4077="NEW"),"",INDEX(B4076:B$2,-1+SUMPRODUCT(MAX(ROW(E4076:E$2)*(E4077=E4076:E$2)))))</f>
        <v> </v>
      </c>
      <c r="J4077" s="26" t="str">
        <f>IF(OR(E4077="",E4077="!!!",F4077="NEW"),"",COUNTBLANK(OFFSET(A$1,,,SUMPRODUCT(MAX(ROW(E$2:E4077)*(E4077=E$2:E4077)))))-COUNTBLANK(OFFSET(A$1,,,SUMPRODUCT(MAX(ROW(E$1:E4076)*(E2=E$1:E4076))))))</f>
        <v> </v>
      </c>
      <c r="K4077" s="26" t="str">
        <f>IF(OR(E4077="",E4077="!!!",F4077="NEW"),"",INDEX(J$1:J4076,SUMPRODUCT(MAX(ROW(E$1:E4076)*(E4077=E$1:E4076)))))</f>
        <v> </v>
      </c>
      <c r="L4077" s="27"/>
    </row>
    <row r="4078" spans="1:12">
      <c r="A4078" s="20" t="s">
        <v>73</v>
      </c>
      <c r="E4078" s="22">
        <f>IF(D4078="?OLD","!!!","")</f>
        <v/>
      </c>
      <c r="F4078" s="23" t="str">
        <f>IF(OR(E4078="",E4078="!!!"),"",IF(NOT(ISNA(VLOOKUP(E4078,E$1:E4077,1,FALSE()))),"OLD",IF(AND(E4078&lt;&gt;"",E4078&lt;&gt;"!!!"),"NEW","")))</f>
        <v> </v>
      </c>
      <c r="G4078" s="24" t="str">
        <f>IF(OR(E4078="",E4078="!!!"),"",IF(OR(J4078=0,AND(J4078=1,K4078=1),AND(J4078=1,I4078="SBJ"),AND(J4078=1,I4078=0)),"?IN_FOCUS",IF(J4078&lt;=2,"?ACTIVATED",IF(J4078&lt;&gt;"","?FAMILIAR",IF(F4078="NEW",IF(ISNA(VLOOKUP(E4078,#REF!,1,FALSE())),"?TYPE_IDENTIFIABLE","?REFERENTIAL"),"_")))))</f>
        <v> </v>
      </c>
      <c r="H4078" s="25" t="str">
        <f>IF(J4078&lt;&gt;1,"",IF(I4078="SBJ","CB","?"))</f>
        <v> </v>
      </c>
      <c r="I4078" s="26" t="str">
        <f>IF(OR(E4078="",E4078="!!!",F4078="NEW"),"",INDEX(B4077:B$2,-1+SUMPRODUCT(MAX(ROW(E4077:E$2)*(E4078=E4077:E$2)))))</f>
        <v> </v>
      </c>
      <c r="J4078" s="26" t="str">
        <f>IF(OR(E4078="",E4078="!!!",F4078="NEW"),"",COUNTBLANK(OFFSET(A$1,,,SUMPRODUCT(MAX(ROW(E$2:E4078)*(E4078=E$2:E4078)))))-COUNTBLANK(OFFSET(A$1,,,SUMPRODUCT(MAX(ROW(E$1:E4077)*(E2=E$1:E4077))))))</f>
        <v> </v>
      </c>
      <c r="K4078" s="26" t="str">
        <f>IF(OR(E4078="",E4078="!!!",F4078="NEW"),"",INDEX(J$1:J4077,SUMPRODUCT(MAX(ROW(E$1:E4077)*(E4078=E$1:E4077)))))</f>
        <v> </v>
      </c>
      <c r="L4078" s="27"/>
    </row>
    <row r="4079" spans="1:12">
      <c r="A4079" s="20" t="s">
        <v>312</v>
      </c>
      <c r="E4079" s="22">
        <f>IF(D4079="?OLD","!!!","")</f>
        <v/>
      </c>
      <c r="F4079" s="23" t="str">
        <f>IF(OR(E4079="",E4079="!!!"),"",IF(NOT(ISNA(VLOOKUP(E4079,E$1:E4078,1,FALSE()))),"OLD",IF(AND(E4079&lt;&gt;"",E4079&lt;&gt;"!!!"),"NEW","")))</f>
        <v> </v>
      </c>
      <c r="G4079" s="24" t="str">
        <f>IF(OR(E4079="",E4079="!!!"),"",IF(OR(J4079=0,AND(J4079=1,K4079=1),AND(J4079=1,I4079="SBJ"),AND(J4079=1,I4079=0)),"?IN_FOCUS",IF(J4079&lt;=2,"?ACTIVATED",IF(J4079&lt;&gt;"","?FAMILIAR",IF(F4079="NEW",IF(ISNA(VLOOKUP(E4079,#REF!,1,FALSE())),"?TYPE_IDENTIFIABLE","?REFERENTIAL"),"_")))))</f>
        <v> </v>
      </c>
      <c r="H4079" s="25" t="str">
        <f>IF(J4079&lt;&gt;1,"",IF(I4079="SBJ","CB","?"))</f>
        <v> </v>
      </c>
      <c r="I4079" s="26" t="str">
        <f>IF(OR(E4079="",E4079="!!!",F4079="NEW"),"",INDEX(B4078:B$2,-1+SUMPRODUCT(MAX(ROW(E4078:E$2)*(E4079=E4078:E$2)))))</f>
        <v> </v>
      </c>
      <c r="J4079" s="26" t="str">
        <f>IF(OR(E4079="",E4079="!!!",F4079="NEW"),"",COUNTBLANK(OFFSET(A$1,,,SUMPRODUCT(MAX(ROW(E$2:E4079)*(E4079=E$2:E4079)))))-COUNTBLANK(OFFSET(A$1,,,SUMPRODUCT(MAX(ROW(E$1:E4078)*(E2=E$1:E4078))))))</f>
        <v> </v>
      </c>
      <c r="K4079" s="26" t="str">
        <f>IF(OR(E4079="",E4079="!!!",F4079="NEW"),"",INDEX(J$1:J4078,SUMPRODUCT(MAX(ROW(E$1:E4078)*(E4079=E$1:E4078)))))</f>
        <v> </v>
      </c>
      <c r="L4079" s="27"/>
    </row>
    <row r="4080" spans="1:12">
      <c r="A4080" s="20"/>
    </row>
    <row r="4081" spans="1:12">
      <c r="A4081" s="20" t="s">
        <v>2344</v>
      </c>
    </row>
    <row r="4082" spans="1:12">
      <c r="A4082" s="20" t="s">
        <v>308</v>
      </c>
      <c r="B4082" s="21" t="s">
        <v>1165</v>
      </c>
      <c r="C4082" s="21" t="s">
        <v>1143</v>
      </c>
      <c r="D4082" s="21" t="s">
        <v>1144</v>
      </c>
      <c r="E4082" s="22">
        <f>IF(D4082="?OLD","!!!","")</f>
        <v/>
      </c>
      <c r="F4082" s="23" t="str">
        <f>IF(OR(E4082="",E4082="!!!"),"",IF(NOT(ISNA(VLOOKUP(E4082,E$1:E4081,1,FALSE()))),"OLD",IF(AND(E4082&lt;&gt;"",E4082&lt;&gt;"!!!"),"NEW","")))</f>
        <v> </v>
      </c>
      <c r="G4082" s="24" t="str">
        <f>IF(OR(E4082="",E4082="!!!"),"",IF(OR(J4082=0,AND(J4082=1,K4082=1),AND(J4082=1,I4082="SBJ"),AND(J4082=1,I4082=0)),"?IN_FOCUS",IF(J4082&lt;=2,"?ACTIVATED",IF(J4082&lt;&gt;"","?FAMILIAR",IF(F4082="NEW",IF(ISNA(VLOOKUP(E4082,#REF!,1,FALSE())),"?TYPE_IDENTIFIABLE","?REFERENTIAL"),"_")))))</f>
        <v> </v>
      </c>
      <c r="H4082" s="25" t="str">
        <f>IF(J4082&lt;&gt;1,"",IF(I4082="SBJ","CB","?"))</f>
        <v> </v>
      </c>
      <c r="I4082" s="26" t="str">
        <f>IF(OR(E4082="",E4082="!!!",F4082="NEW"),"",INDEX(B4081:B$2,-1+SUMPRODUCT(MAX(ROW(E4081:E$2)*(E4082=E4081:E$2)))))</f>
        <v> </v>
      </c>
      <c r="J4082" s="26" t="str">
        <f>IF(OR(E4082="",E4082="!!!",F4082="NEW"),"",COUNTBLANK(OFFSET(A$1,,,SUMPRODUCT(MAX(ROW(E$2:E4082)*(E4082=E$2:E4082)))))-COUNTBLANK(OFFSET(A$1,,,SUMPRODUCT(MAX(ROW(E$1:E4081)*(E2=E$1:E4081))))))</f>
        <v> </v>
      </c>
      <c r="K4082" s="26" t="str">
        <f>IF(OR(E4082="",E4082="!!!",F4082="NEW"),"",INDEX(J$1:J4081,SUMPRODUCT(MAX(ROW(E$1:E4081)*(E4082=E$1:E4081)))))</f>
        <v> </v>
      </c>
      <c r="L4082" s="27"/>
    </row>
    <row r="4083" spans="1:12">
      <c r="A4083" s="20" t="s">
        <v>1146</v>
      </c>
      <c r="E4083" s="22">
        <f>IF(D4083="?OLD","!!!","")</f>
        <v/>
      </c>
      <c r="F4083" s="23" t="str">
        <f>IF(OR(E4083="",E4083="!!!"),"",IF(NOT(ISNA(VLOOKUP(E4083,E$1:E4082,1,FALSE()))),"OLD",IF(AND(E4083&lt;&gt;"",E4083&lt;&gt;"!!!"),"NEW","")))</f>
        <v> </v>
      </c>
      <c r="G4083" s="24" t="str">
        <f>IF(OR(E4083="",E4083="!!!"),"",IF(OR(J4083=0,AND(J4083=1,K4083=1),AND(J4083=1,I4083="SBJ"),AND(J4083=1,I4083=0)),"?IN_FOCUS",IF(J4083&lt;=2,"?ACTIVATED",IF(J4083&lt;&gt;"","?FAMILIAR",IF(F4083="NEW",IF(ISNA(VLOOKUP(E4083,#REF!,1,FALSE())),"?TYPE_IDENTIFIABLE","?REFERENTIAL"),"_")))))</f>
        <v> </v>
      </c>
      <c r="H4083" s="25" t="str">
        <f>IF(J4083&lt;&gt;1,"",IF(I4083="SBJ","CB","?"))</f>
        <v> </v>
      </c>
      <c r="I4083" s="26" t="str">
        <f>IF(OR(E4083="",E4083="!!!",F4083="NEW"),"",INDEX(B4082:B$2,-1+SUMPRODUCT(MAX(ROW(E4082:E$2)*(E4083=E4082:E$2)))))</f>
        <v> </v>
      </c>
      <c r="J4083" s="26" t="str">
        <f>IF(OR(E4083="",E4083="!!!",F4083="NEW"),"",COUNTBLANK(OFFSET(A$1,,,SUMPRODUCT(MAX(ROW(E$2:E4083)*(E4083=E$2:E4083)))))-COUNTBLANK(OFFSET(A$1,,,SUMPRODUCT(MAX(ROW(E$1:E4082)*(E2=E$1:E4082))))))</f>
        <v> </v>
      </c>
      <c r="K4083" s="26" t="str">
        <f>IF(OR(E4083="",E4083="!!!",F4083="NEW"),"",INDEX(J$1:J4082,SUMPRODUCT(MAX(ROW(E$1:E4082)*(E4083=E$1:E4082)))))</f>
        <v> </v>
      </c>
      <c r="L4083" s="27"/>
    </row>
    <row r="4084" spans="1:12">
      <c r="A4084" s="20" t="s">
        <v>1605</v>
      </c>
      <c r="B4084" s="21" t="s">
        <v>1171</v>
      </c>
      <c r="C4084" s="21" t="s">
        <v>1143</v>
      </c>
      <c r="D4084" s="21" t="s">
        <v>1144</v>
      </c>
      <c r="E4084" s="22">
        <f>IF(D4084="?OLD","!!!","")</f>
        <v/>
      </c>
      <c r="F4084" s="23" t="str">
        <f>IF(OR(E4084="",E4084="!!!"),"",IF(NOT(ISNA(VLOOKUP(E4084,E$1:E4083,1,FALSE()))),"OLD",IF(AND(E4084&lt;&gt;"",E4084&lt;&gt;"!!!"),"NEW","")))</f>
        <v> </v>
      </c>
      <c r="G4084" s="24" t="str">
        <f>IF(OR(E4084="",E4084="!!!"),"",IF(OR(J4084=0,AND(J4084=1,K4084=1),AND(J4084=1,I4084="SBJ"),AND(J4084=1,I4084=0)),"?IN_FOCUS",IF(J4084&lt;=2,"?ACTIVATED",IF(J4084&lt;&gt;"","?FAMILIAR",IF(F4084="NEW",IF(ISNA(VLOOKUP(E4084,#REF!,1,FALSE())),"?TYPE_IDENTIFIABLE","?REFERENTIAL"),"_")))))</f>
        <v> </v>
      </c>
      <c r="H4084" s="25" t="str">
        <f>IF(J4084&lt;&gt;1,"",IF(I4084="SBJ","CB","?"))</f>
        <v> </v>
      </c>
      <c r="I4084" s="26" t="str">
        <f>IF(OR(E4084="",E4084="!!!",F4084="NEW"),"",INDEX(B4083:B$2,-1+SUMPRODUCT(MAX(ROW(E4083:E$2)*(E4084=E4083:E$2)))))</f>
        <v> </v>
      </c>
      <c r="J4084" s="26" t="str">
        <f>IF(OR(E4084="",E4084="!!!",F4084="NEW"),"",COUNTBLANK(OFFSET(A$1,,,SUMPRODUCT(MAX(ROW(E$2:E4084)*(E4084=E$2:E4084)))))-COUNTBLANK(OFFSET(A$1,,,SUMPRODUCT(MAX(ROW(E$1:E4083)*(E2=E$1:E4083))))))</f>
        <v> </v>
      </c>
      <c r="K4084" s="26" t="str">
        <f>IF(OR(E4084="",E4084="!!!",F4084="NEW"),"",INDEX(J$1:J4083,SUMPRODUCT(MAX(ROW(E$1:E4083)*(E4084=E$1:E4083)))))</f>
        <v> </v>
      </c>
      <c r="L4084" s="27"/>
    </row>
    <row r="4085" spans="1:12">
      <c r="A4085" s="20" t="s">
        <v>1166</v>
      </c>
      <c r="E4085" s="22">
        <f>IF(D4085="?OLD","!!!","")</f>
        <v/>
      </c>
      <c r="F4085" s="23" t="str">
        <f>IF(OR(E4085="",E4085="!!!"),"",IF(NOT(ISNA(VLOOKUP(E4085,E$1:E4084,1,FALSE()))),"OLD",IF(AND(E4085&lt;&gt;"",E4085&lt;&gt;"!!!"),"NEW","")))</f>
        <v> </v>
      </c>
      <c r="G4085" s="24" t="str">
        <f>IF(OR(E4085="",E4085="!!!"),"",IF(OR(J4085=0,AND(J4085=1,K4085=1),AND(J4085=1,I4085="SBJ"),AND(J4085=1,I4085=0)),"?IN_FOCUS",IF(J4085&lt;=2,"?ACTIVATED",IF(J4085&lt;&gt;"","?FAMILIAR",IF(F4085="NEW",IF(ISNA(VLOOKUP(E4085,#REF!,1,FALSE())),"?TYPE_IDENTIFIABLE","?REFERENTIAL"),"_")))))</f>
        <v> </v>
      </c>
      <c r="H4085" s="25" t="str">
        <f>IF(J4085&lt;&gt;1,"",IF(I4085="SBJ","CB","?"))</f>
        <v> </v>
      </c>
      <c r="I4085" s="26" t="str">
        <f>IF(OR(E4085="",E4085="!!!",F4085="NEW"),"",INDEX(B4084:B$2,-1+SUMPRODUCT(MAX(ROW(E4084:E$2)*(E4085=E4084:E$2)))))</f>
        <v> </v>
      </c>
      <c r="J4085" s="26" t="str">
        <f>IF(OR(E4085="",E4085="!!!",F4085="NEW"),"",COUNTBLANK(OFFSET(A$1,,,SUMPRODUCT(MAX(ROW(E$2:E4085)*(E4085=E$2:E4085)))))-COUNTBLANK(OFFSET(A$1,,,SUMPRODUCT(MAX(ROW(E$1:E4084)*(E2=E$1:E4084))))))</f>
        <v> </v>
      </c>
      <c r="K4085" s="26" t="str">
        <f>IF(OR(E4085="",E4085="!!!",F4085="NEW"),"",INDEX(J$1:J4084,SUMPRODUCT(MAX(ROW(E$1:E4084)*(E4085=E$1:E4084)))))</f>
        <v> </v>
      </c>
      <c r="L4085" s="27"/>
    </row>
    <row r="4086" spans="1:12">
      <c r="A4086" s="20" t="s">
        <v>1261</v>
      </c>
      <c r="B4086" s="21" t="s">
        <v>1165</v>
      </c>
      <c r="C4086" s="21" t="s">
        <v>1151</v>
      </c>
      <c r="D4086" s="21" t="s">
        <v>1144</v>
      </c>
      <c r="E4086" s="22">
        <f>IF(D4086="?OLD","!!!","")</f>
        <v/>
      </c>
      <c r="F4086" s="23" t="str">
        <f>IF(OR(E4086="",E4086="!!!"),"",IF(NOT(ISNA(VLOOKUP(E4086,E$1:E4085,1,FALSE()))),"OLD",IF(AND(E4086&lt;&gt;"",E4086&lt;&gt;"!!!"),"NEW","")))</f>
        <v> </v>
      </c>
      <c r="G4086" s="24" t="str">
        <f>IF(OR(E4086="",E4086="!!!"),"",IF(OR(J4086=0,AND(J4086=1,K4086=1),AND(J4086=1,I4086="SBJ"),AND(J4086=1,I4086=0)),"?IN_FOCUS",IF(J4086&lt;=2,"?ACTIVATED",IF(J4086&lt;&gt;"","?FAMILIAR",IF(F4086="NEW",IF(ISNA(VLOOKUP(E4086,#REF!,1,FALSE())),"?TYPE_IDENTIFIABLE","?REFERENTIAL"),"_")))))</f>
        <v> </v>
      </c>
      <c r="H4086" s="25" t="str">
        <f>IF(J4086&lt;&gt;1,"",IF(I4086="SBJ","CB","?"))</f>
        <v> </v>
      </c>
      <c r="I4086" s="26" t="str">
        <f>IF(OR(E4086="",E4086="!!!",F4086="NEW"),"",INDEX(B4085:B$2,-1+SUMPRODUCT(MAX(ROW(E4085:E$2)*(E4086=E4085:E$2)))))</f>
        <v> </v>
      </c>
      <c r="J4086" s="26" t="str">
        <f>IF(OR(E4086="",E4086="!!!",F4086="NEW"),"",COUNTBLANK(OFFSET(A$1,,,SUMPRODUCT(MAX(ROW(E$2:E4086)*(E4086=E$2:E4086)))))-COUNTBLANK(OFFSET(A$1,,,SUMPRODUCT(MAX(ROW(E$1:E4085)*(E2=E$1:E4085))))))</f>
        <v> </v>
      </c>
      <c r="K4086" s="26" t="str">
        <f>IF(OR(E4086="",E4086="!!!",F4086="NEW"),"",INDEX(J$1:J4085,SUMPRODUCT(MAX(ROW(E$1:E4085)*(E4086=E$1:E4085)))))</f>
        <v> </v>
      </c>
      <c r="L4086" s="27"/>
    </row>
    <row r="4087" spans="1:12">
      <c r="A4087" s="20" t="s">
        <v>2345</v>
      </c>
      <c r="E4087" s="22">
        <f>IF(D4087="?OLD","!!!","")</f>
        <v/>
      </c>
      <c r="F4087" s="23" t="str">
        <f>IF(OR(E4087="",E4087="!!!"),"",IF(NOT(ISNA(VLOOKUP(E4087,E$1:E4086,1,FALSE()))),"OLD",IF(AND(E4087&lt;&gt;"",E4087&lt;&gt;"!!!"),"NEW","")))</f>
        <v> </v>
      </c>
      <c r="G4087" s="24" t="str">
        <f>IF(OR(E4087="",E4087="!!!"),"",IF(OR(J4087=0,AND(J4087=1,K4087=1),AND(J4087=1,I4087="SBJ"),AND(J4087=1,I4087=0)),"?IN_FOCUS",IF(J4087&lt;=2,"?ACTIVATED",IF(J4087&lt;&gt;"","?FAMILIAR",IF(F4087="NEW",IF(ISNA(VLOOKUP(E4087,#REF!,1,FALSE())),"?TYPE_IDENTIFIABLE","?REFERENTIAL"),"_")))))</f>
        <v> </v>
      </c>
      <c r="H4087" s="25" t="str">
        <f>IF(J4087&lt;&gt;1,"",IF(I4087="SBJ","CB","?"))</f>
        <v> </v>
      </c>
      <c r="I4087" s="26" t="str">
        <f>IF(OR(E4087="",E4087="!!!",F4087="NEW"),"",INDEX(B4086:B$2,-1+SUMPRODUCT(MAX(ROW(E4086:E$2)*(E4087=E4086:E$2)))))</f>
        <v> </v>
      </c>
      <c r="J4087" s="26" t="str">
        <f>IF(OR(E4087="",E4087="!!!",F4087="NEW"),"",COUNTBLANK(OFFSET(A$1,,,SUMPRODUCT(MAX(ROW(E$2:E4087)*(E4087=E$2:E4087)))))-COUNTBLANK(OFFSET(A$1,,,SUMPRODUCT(MAX(ROW(E$1:E4086)*(E2=E$1:E4086))))))</f>
        <v> </v>
      </c>
      <c r="K4087" s="26" t="str">
        <f>IF(OR(E4087="",E4087="!!!",F4087="NEW"),"",INDEX(J$1:J4086,SUMPRODUCT(MAX(ROW(E$1:E4086)*(E4087=E$1:E4086)))))</f>
        <v> </v>
      </c>
      <c r="L4087" s="27"/>
    </row>
    <row r="4088" spans="1:12">
      <c r="A4088" s="20" t="s">
        <v>1529</v>
      </c>
      <c r="B4088" s="21" t="s">
        <v>1154</v>
      </c>
      <c r="C4088" s="21" t="s">
        <v>1151</v>
      </c>
      <c r="D4088" s="21" t="s">
        <v>1144</v>
      </c>
      <c r="E4088" s="22">
        <f>IF(D4088="?OLD","!!!","")</f>
        <v/>
      </c>
      <c r="F4088" s="23" t="str">
        <f>IF(OR(E4088="",E4088="!!!"),"",IF(NOT(ISNA(VLOOKUP(E4088,E$1:E4087,1,FALSE()))),"OLD",IF(AND(E4088&lt;&gt;"",E4088&lt;&gt;"!!!"),"NEW","")))</f>
        <v> </v>
      </c>
      <c r="G4088" s="24" t="str">
        <f>IF(OR(E4088="",E4088="!!!"),"",IF(OR(J4088=0,AND(J4088=1,K4088=1),AND(J4088=1,I4088="SBJ"),AND(J4088=1,I4088=0)),"?IN_FOCUS",IF(J4088&lt;=2,"?ACTIVATED",IF(J4088&lt;&gt;"","?FAMILIAR",IF(F4088="NEW",IF(ISNA(VLOOKUP(E4088,#REF!,1,FALSE())),"?TYPE_IDENTIFIABLE","?REFERENTIAL"),"_")))))</f>
        <v> </v>
      </c>
      <c r="H4088" s="25" t="str">
        <f>IF(J4088&lt;&gt;1,"",IF(I4088="SBJ","CB","?"))</f>
        <v> </v>
      </c>
      <c r="I4088" s="26" t="str">
        <f>IF(OR(E4088="",E4088="!!!",F4088="NEW"),"",INDEX(B4087:B$2,-1+SUMPRODUCT(MAX(ROW(E4087:E$2)*(E4088=E4087:E$2)))))</f>
        <v> </v>
      </c>
      <c r="J4088" s="26" t="str">
        <f>IF(OR(E4088="",E4088="!!!",F4088="NEW"),"",COUNTBLANK(OFFSET(A$1,,,SUMPRODUCT(MAX(ROW(E$2:E4088)*(E4088=E$2:E4088)))))-COUNTBLANK(OFFSET(A$1,,,SUMPRODUCT(MAX(ROW(E$1:E4087)*(E2=E$1:E4087))))))</f>
        <v> </v>
      </c>
      <c r="K4088" s="26" t="str">
        <f>IF(OR(E4088="",E4088="!!!",F4088="NEW"),"",INDEX(J$1:J4087,SUMPRODUCT(MAX(ROW(E$1:E4087)*(E4088=E$1:E4087)))))</f>
        <v> </v>
      </c>
      <c r="L4088" s="27"/>
    </row>
    <row r="4089" spans="1:12">
      <c r="A4089" s="20" t="s">
        <v>1307</v>
      </c>
      <c r="E4089" s="22">
        <f>IF(D4089="?OLD","!!!","")</f>
        <v/>
      </c>
      <c r="F4089" s="23" t="str">
        <f>IF(OR(E4089="",E4089="!!!"),"",IF(NOT(ISNA(VLOOKUP(E4089,E$1:E4088,1,FALSE()))),"OLD",IF(AND(E4089&lt;&gt;"",E4089&lt;&gt;"!!!"),"NEW","")))</f>
        <v> </v>
      </c>
      <c r="G4089" s="24" t="str">
        <f>IF(OR(E4089="",E4089="!!!"),"",IF(OR(J4089=0,AND(J4089=1,K4089=1),AND(J4089=1,I4089="SBJ"),AND(J4089=1,I4089=0)),"?IN_FOCUS",IF(J4089&lt;=2,"?ACTIVATED",IF(J4089&lt;&gt;"","?FAMILIAR",IF(F4089="NEW",IF(ISNA(VLOOKUP(E4089,#REF!,1,FALSE())),"?TYPE_IDENTIFIABLE","?REFERENTIAL"),"_")))))</f>
        <v> </v>
      </c>
      <c r="H4089" s="25" t="str">
        <f>IF(J4089&lt;&gt;1,"",IF(I4089="SBJ","CB","?"))</f>
        <v> </v>
      </c>
      <c r="I4089" s="26" t="str">
        <f>IF(OR(E4089="",E4089="!!!",F4089="NEW"),"",INDEX(B4088:B$2,-1+SUMPRODUCT(MAX(ROW(E4088:E$2)*(E4089=E4088:E$2)))))</f>
        <v> </v>
      </c>
      <c r="J4089" s="26" t="str">
        <f>IF(OR(E4089="",E4089="!!!",F4089="NEW"),"",COUNTBLANK(OFFSET(A$1,,,SUMPRODUCT(MAX(ROW(E$2:E4089)*(E4089=E$2:E4089)))))-COUNTBLANK(OFFSET(A$1,,,SUMPRODUCT(MAX(ROW(E$1:E4088)*(E2=E$1:E4088))))))</f>
        <v> </v>
      </c>
      <c r="K4089" s="26" t="str">
        <f>IF(OR(E4089="",E4089="!!!",F4089="NEW"),"",INDEX(J$1:J4088,SUMPRODUCT(MAX(ROW(E$1:E4088)*(E4089=E$1:E4088)))))</f>
        <v> </v>
      </c>
      <c r="L4089" s="27"/>
    </row>
    <row r="4090" spans="1:12">
      <c r="A4090" s="20" t="s">
        <v>1166</v>
      </c>
      <c r="E4090" s="22">
        <f>IF(D4090="?OLD","!!!","")</f>
        <v/>
      </c>
      <c r="F4090" s="23" t="str">
        <f>IF(OR(E4090="",E4090="!!!"),"",IF(NOT(ISNA(VLOOKUP(E4090,E$1:E4089,1,FALSE()))),"OLD",IF(AND(E4090&lt;&gt;"",E4090&lt;&gt;"!!!"),"NEW","")))</f>
        <v> </v>
      </c>
      <c r="G4090" s="24" t="str">
        <f>IF(OR(E4090="",E4090="!!!"),"",IF(OR(J4090=0,AND(J4090=1,K4090=1),AND(J4090=1,I4090="SBJ"),AND(J4090=1,I4090=0)),"?IN_FOCUS",IF(J4090&lt;=2,"?ACTIVATED",IF(J4090&lt;&gt;"","?FAMILIAR",IF(F4090="NEW",IF(ISNA(VLOOKUP(E4090,#REF!,1,FALSE())),"?TYPE_IDENTIFIABLE","?REFERENTIAL"),"_")))))</f>
        <v> </v>
      </c>
      <c r="H4090" s="25" t="str">
        <f>IF(J4090&lt;&gt;1,"",IF(I4090="SBJ","CB","?"))</f>
        <v> </v>
      </c>
      <c r="I4090" s="26" t="str">
        <f>IF(OR(E4090="",E4090="!!!",F4090="NEW"),"",INDEX(B4089:B$2,-1+SUMPRODUCT(MAX(ROW(E4089:E$2)*(E4090=E4089:E$2)))))</f>
        <v> </v>
      </c>
      <c r="J4090" s="26" t="str">
        <f>IF(OR(E4090="",E4090="!!!",F4090="NEW"),"",COUNTBLANK(OFFSET(A$1,,,SUMPRODUCT(MAX(ROW(E$2:E4090)*(E4090=E$2:E4090)))))-COUNTBLANK(OFFSET(A$1,,,SUMPRODUCT(MAX(ROW(E$1:E4089)*(E2=E$1:E4089))))))</f>
        <v> </v>
      </c>
      <c r="K4090" s="26" t="str">
        <f>IF(OR(E4090="",E4090="!!!",F4090="NEW"),"",INDEX(J$1:J4089,SUMPRODUCT(MAX(ROW(E$1:E4089)*(E4090=E$1:E4089)))))</f>
        <v> </v>
      </c>
      <c r="L4090" s="27"/>
    </row>
    <row r="4091" spans="1:12">
      <c r="A4091" s="20" t="s">
        <v>1174</v>
      </c>
      <c r="E4091" s="22">
        <f>IF(D4091="?OLD","!!!","")</f>
        <v/>
      </c>
      <c r="F4091" s="23" t="str">
        <f>IF(OR(E4091="",E4091="!!!"),"",IF(NOT(ISNA(VLOOKUP(E4091,E$1:E4090,1,FALSE()))),"OLD",IF(AND(E4091&lt;&gt;"",E4091&lt;&gt;"!!!"),"NEW","")))</f>
        <v> </v>
      </c>
      <c r="G4091" s="24" t="str">
        <f>IF(OR(E4091="",E4091="!!!"),"",IF(OR(J4091=0,AND(J4091=1,K4091=1),AND(J4091=1,I4091="SBJ"),AND(J4091=1,I4091=0)),"?IN_FOCUS",IF(J4091&lt;=2,"?ACTIVATED",IF(J4091&lt;&gt;"","?FAMILIAR",IF(F4091="NEW",IF(ISNA(VLOOKUP(E4091,#REF!,1,FALSE())),"?TYPE_IDENTIFIABLE","?REFERENTIAL"),"_")))))</f>
        <v> </v>
      </c>
      <c r="H4091" s="25" t="str">
        <f>IF(J4091&lt;&gt;1,"",IF(I4091="SBJ","CB","?"))</f>
        <v> </v>
      </c>
      <c r="I4091" s="26" t="str">
        <f>IF(OR(E4091="",E4091="!!!",F4091="NEW"),"",INDEX(B4090:B$2,-1+SUMPRODUCT(MAX(ROW(E4090:E$2)*(E4091=E4090:E$2)))))</f>
        <v> </v>
      </c>
      <c r="J4091" s="26" t="str">
        <f>IF(OR(E4091="",E4091="!!!",F4091="NEW"),"",COUNTBLANK(OFFSET(A$1,,,SUMPRODUCT(MAX(ROW(E$2:E4091)*(E4091=E$2:E4091)))))-COUNTBLANK(OFFSET(A$1,,,SUMPRODUCT(MAX(ROW(E$1:E4090)*(E2=E$1:E4090))))))</f>
        <v> </v>
      </c>
      <c r="K4091" s="26" t="str">
        <f>IF(OR(E4091="",E4091="!!!",F4091="NEW"),"",INDEX(J$1:J4090,SUMPRODUCT(MAX(ROW(E$1:E4090)*(E4091=E$1:E4090)))))</f>
        <v> </v>
      </c>
      <c r="L4091" s="27"/>
    </row>
    <row r="4092" spans="1:12">
      <c r="A4092" s="20" t="s">
        <v>1238</v>
      </c>
      <c r="E4092" s="22">
        <f>IF(D4092="?OLD","!!!","")</f>
        <v/>
      </c>
      <c r="F4092" s="23" t="str">
        <f>IF(OR(E4092="",E4092="!!!"),"",IF(NOT(ISNA(VLOOKUP(E4092,E$1:E4091,1,FALSE()))),"OLD",IF(AND(E4092&lt;&gt;"",E4092&lt;&gt;"!!!"),"NEW","")))</f>
        <v> </v>
      </c>
      <c r="G4092" s="24" t="str">
        <f>IF(OR(E4092="",E4092="!!!"),"",IF(OR(J4092=0,AND(J4092=1,K4092=1),AND(J4092=1,I4092="SBJ"),AND(J4092=1,I4092=0)),"?IN_FOCUS",IF(J4092&lt;=2,"?ACTIVATED",IF(J4092&lt;&gt;"","?FAMILIAR",IF(F4092="NEW",IF(ISNA(VLOOKUP(E4092,#REF!,1,FALSE())),"?TYPE_IDENTIFIABLE","?REFERENTIAL"),"_")))))</f>
        <v> </v>
      </c>
      <c r="H4092" s="25" t="str">
        <f>IF(J4092&lt;&gt;1,"",IF(I4092="SBJ","CB","?"))</f>
        <v> </v>
      </c>
      <c r="I4092" s="26" t="str">
        <f>IF(OR(E4092="",E4092="!!!",F4092="NEW"),"",INDEX(B4091:B$2,-1+SUMPRODUCT(MAX(ROW(E4091:E$2)*(E4092=E4091:E$2)))))</f>
        <v> </v>
      </c>
      <c r="J4092" s="26" t="str">
        <f>IF(OR(E4092="",E4092="!!!",F4092="NEW"),"",COUNTBLANK(OFFSET(A$1,,,SUMPRODUCT(MAX(ROW(E$2:E4092)*(E4092=E$2:E4092)))))-COUNTBLANK(OFFSET(A$1,,,SUMPRODUCT(MAX(ROW(E$1:E4091)*(E2=E$1:E4091))))))</f>
        <v> </v>
      </c>
      <c r="K4092" s="26" t="str">
        <f>IF(OR(E4092="",E4092="!!!",F4092="NEW"),"",INDEX(J$1:J4091,SUMPRODUCT(MAX(ROW(E$1:E4091)*(E4092=E$1:E4091)))))</f>
        <v> </v>
      </c>
      <c r="L4092" s="27"/>
    </row>
    <row r="4093" spans="1:12">
      <c r="A4093" s="20" t="s">
        <v>2178</v>
      </c>
      <c r="E4093" s="22">
        <f>IF(D4093="?OLD","!!!","")</f>
        <v/>
      </c>
      <c r="F4093" s="23" t="str">
        <f>IF(OR(E4093="",E4093="!!!"),"",IF(NOT(ISNA(VLOOKUP(E4093,E$1:E4092,1,FALSE()))),"OLD",IF(AND(E4093&lt;&gt;"",E4093&lt;&gt;"!!!"),"NEW","")))</f>
        <v> </v>
      </c>
      <c r="G4093" s="24" t="str">
        <f>IF(OR(E4093="",E4093="!!!"),"",IF(OR(J4093=0,AND(J4093=1,K4093=1),AND(J4093=1,I4093="SBJ"),AND(J4093=1,I4093=0)),"?IN_FOCUS",IF(J4093&lt;=2,"?ACTIVATED",IF(J4093&lt;&gt;"","?FAMILIAR",IF(F4093="NEW",IF(ISNA(VLOOKUP(E4093,#REF!,1,FALSE())),"?TYPE_IDENTIFIABLE","?REFERENTIAL"),"_")))))</f>
        <v> </v>
      </c>
      <c r="H4093" s="25" t="str">
        <f>IF(J4093&lt;&gt;1,"",IF(I4093="SBJ","CB","?"))</f>
        <v> </v>
      </c>
      <c r="I4093" s="26" t="str">
        <f>IF(OR(E4093="",E4093="!!!",F4093="NEW"),"",INDEX(B4092:B$2,-1+SUMPRODUCT(MAX(ROW(E4092:E$2)*(E4093=E4092:E$2)))))</f>
        <v> </v>
      </c>
      <c r="J4093" s="26" t="str">
        <f>IF(OR(E4093="",E4093="!!!",F4093="NEW"),"",COUNTBLANK(OFFSET(A$1,,,SUMPRODUCT(MAX(ROW(E$2:E4093)*(E4093=E$2:E4093)))))-COUNTBLANK(OFFSET(A$1,,,SUMPRODUCT(MAX(ROW(E$1:E4092)*(E2=E$1:E4092))))))</f>
        <v> </v>
      </c>
      <c r="K4093" s="26" t="str">
        <f>IF(OR(E4093="",E4093="!!!",F4093="NEW"),"",INDEX(J$1:J4092,SUMPRODUCT(MAX(ROW(E$1:E4092)*(E4093=E$1:E4092)))))</f>
        <v> </v>
      </c>
      <c r="L4093" s="27"/>
    </row>
    <row r="4094" spans="1:12">
      <c r="A4094" s="20" t="s">
        <v>1284</v>
      </c>
      <c r="B4094" s="21" t="s">
        <v>1142</v>
      </c>
      <c r="C4094" s="21" t="s">
        <v>1162</v>
      </c>
      <c r="D4094" s="21" t="s">
        <v>1144</v>
      </c>
      <c r="E4094" s="22">
        <f>IF(D4094="?OLD","!!!","")</f>
        <v/>
      </c>
      <c r="F4094" s="23" t="str">
        <f>IF(OR(E4094="",E4094="!!!"),"",IF(NOT(ISNA(VLOOKUP(E4094,E$1:E4093,1,FALSE()))),"OLD",IF(AND(E4094&lt;&gt;"",E4094&lt;&gt;"!!!"),"NEW","")))</f>
        <v> </v>
      </c>
      <c r="G4094" s="24" t="str">
        <f>IF(OR(E4094="",E4094="!!!"),"",IF(OR(J4094=0,AND(J4094=1,K4094=1),AND(J4094=1,I4094="SBJ"),AND(J4094=1,I4094=0)),"?IN_FOCUS",IF(J4094&lt;=2,"?ACTIVATED",IF(J4094&lt;&gt;"","?FAMILIAR",IF(F4094="NEW",IF(ISNA(VLOOKUP(E4094,#REF!,1,FALSE())),"?TYPE_IDENTIFIABLE","?REFERENTIAL"),"_")))))</f>
        <v> </v>
      </c>
      <c r="H4094" s="25" t="str">
        <f>IF(J4094&lt;&gt;1,"",IF(I4094="SBJ","CB","?"))</f>
        <v> </v>
      </c>
      <c r="I4094" s="26" t="str">
        <f>IF(OR(E4094="",E4094="!!!",F4094="NEW"),"",INDEX(B4093:B$2,-1+SUMPRODUCT(MAX(ROW(E4093:E$2)*(E4094=E4093:E$2)))))</f>
        <v> </v>
      </c>
      <c r="J4094" s="26" t="str">
        <f>IF(OR(E4094="",E4094="!!!",F4094="NEW"),"",COUNTBLANK(OFFSET(A$1,,,SUMPRODUCT(MAX(ROW(E$2:E4094)*(E4094=E$2:E4094)))))-COUNTBLANK(OFFSET(A$1,,,SUMPRODUCT(MAX(ROW(E$1:E4093)*(E2=E$1:E4093))))))</f>
        <v> </v>
      </c>
      <c r="K4094" s="26" t="str">
        <f>IF(OR(E4094="",E4094="!!!",F4094="NEW"),"",INDEX(J$1:J4093,SUMPRODUCT(MAX(ROW(E$1:E4093)*(E4094=E$1:E4093)))))</f>
        <v> </v>
      </c>
      <c r="L4094" s="27"/>
    </row>
    <row r="4095" spans="1:12">
      <c r="A4095" s="20" t="s">
        <v>46</v>
      </c>
      <c r="E4095" s="22">
        <f>IF(D4095="?OLD","!!!","")</f>
        <v/>
      </c>
      <c r="F4095" s="23" t="str">
        <f>IF(OR(E4095="",E4095="!!!"),"",IF(NOT(ISNA(VLOOKUP(E4095,E$1:E4094,1,FALSE()))),"OLD",IF(AND(E4095&lt;&gt;"",E4095&lt;&gt;"!!!"),"NEW","")))</f>
        <v> </v>
      </c>
      <c r="G4095" s="24" t="str">
        <f>IF(OR(E4095="",E4095="!!!"),"",IF(OR(J4095=0,AND(J4095=1,K4095=1),AND(J4095=1,I4095="SBJ"),AND(J4095=1,I4095=0)),"?IN_FOCUS",IF(J4095&lt;=2,"?ACTIVATED",IF(J4095&lt;&gt;"","?FAMILIAR",IF(F4095="NEW",IF(ISNA(VLOOKUP(E4095,#REF!,1,FALSE())),"?TYPE_IDENTIFIABLE","?REFERENTIAL"),"_")))))</f>
        <v> </v>
      </c>
      <c r="H4095" s="25" t="str">
        <f>IF(J4095&lt;&gt;1,"",IF(I4095="SBJ","CB","?"))</f>
        <v> </v>
      </c>
      <c r="I4095" s="26" t="str">
        <f>IF(OR(E4095="",E4095="!!!",F4095="NEW"),"",INDEX(B4094:B$2,-1+SUMPRODUCT(MAX(ROW(E4094:E$2)*(E4095=E4094:E$2)))))</f>
        <v> </v>
      </c>
      <c r="J4095" s="26" t="str">
        <f>IF(OR(E4095="",E4095="!!!",F4095="NEW"),"",COUNTBLANK(OFFSET(A$1,,,SUMPRODUCT(MAX(ROW(E$2:E4095)*(E4095=E$2:E4095)))))-COUNTBLANK(OFFSET(A$1,,,SUMPRODUCT(MAX(ROW(E$1:E4094)*(E2=E$1:E4094))))))</f>
        <v> </v>
      </c>
      <c r="K4095" s="26" t="str">
        <f>IF(OR(E4095="",E4095="!!!",F4095="NEW"),"",INDEX(J$1:J4094,SUMPRODUCT(MAX(ROW(E$1:E4094)*(E4095=E$1:E4094)))))</f>
        <v> </v>
      </c>
      <c r="L4095" s="27"/>
    </row>
    <row r="4096" spans="1:12">
      <c r="A4096" s="20" t="s">
        <v>1166</v>
      </c>
      <c r="E4096" s="22">
        <f>IF(D4096="?OLD","!!!","")</f>
        <v/>
      </c>
      <c r="F4096" s="23" t="str">
        <f>IF(OR(E4096="",E4096="!!!"),"",IF(NOT(ISNA(VLOOKUP(E4096,E$1:E4095,1,FALSE()))),"OLD",IF(AND(E4096&lt;&gt;"",E4096&lt;&gt;"!!!"),"NEW","")))</f>
        <v> </v>
      </c>
      <c r="G4096" s="24" t="str">
        <f>IF(OR(E4096="",E4096="!!!"),"",IF(OR(J4096=0,AND(J4096=1,K4096=1),AND(J4096=1,I4096="SBJ"),AND(J4096=1,I4096=0)),"?IN_FOCUS",IF(J4096&lt;=2,"?ACTIVATED",IF(J4096&lt;&gt;"","?FAMILIAR",IF(F4096="NEW",IF(ISNA(VLOOKUP(E4096,#REF!,1,FALSE())),"?TYPE_IDENTIFIABLE","?REFERENTIAL"),"_")))))</f>
        <v> </v>
      </c>
      <c r="H4096" s="25" t="str">
        <f>IF(J4096&lt;&gt;1,"",IF(I4096="SBJ","CB","?"))</f>
        <v> </v>
      </c>
      <c r="I4096" s="26" t="str">
        <f>IF(OR(E4096="",E4096="!!!",F4096="NEW"),"",INDEX(B4095:B$2,-1+SUMPRODUCT(MAX(ROW(E4095:E$2)*(E4096=E4095:E$2)))))</f>
        <v> </v>
      </c>
      <c r="J4096" s="26" t="str">
        <f>IF(OR(E4096="",E4096="!!!",F4096="NEW"),"",COUNTBLANK(OFFSET(A$1,,,SUMPRODUCT(MAX(ROW(E$2:E4096)*(E4096=E$2:E4096)))))-COUNTBLANK(OFFSET(A$1,,,SUMPRODUCT(MAX(ROW(E$1:E4095)*(E2=E$1:E4095))))))</f>
        <v> </v>
      </c>
      <c r="K4096" s="26" t="str">
        <f>IF(OR(E4096="",E4096="!!!",F4096="NEW"),"",INDEX(J$1:J4095,SUMPRODUCT(MAX(ROW(E$1:E4095)*(E4096=E$1:E4095)))))</f>
        <v> </v>
      </c>
      <c r="L4096" s="27"/>
    </row>
    <row r="4097" spans="1:12">
      <c r="A4097" s="20" t="s">
        <v>1378</v>
      </c>
      <c r="B4097" s="21" t="s">
        <v>1175</v>
      </c>
      <c r="C4097" s="21" t="s">
        <v>1187</v>
      </c>
      <c r="E4097" s="22">
        <f>IF(D4097="?OLD","!!!","")</f>
        <v/>
      </c>
      <c r="F4097" s="23" t="str">
        <f>IF(OR(E4097="",E4097="!!!"),"",IF(NOT(ISNA(VLOOKUP(E4097,E$1:E4096,1,FALSE()))),"OLD",IF(AND(E4097&lt;&gt;"",E4097&lt;&gt;"!!!"),"NEW","")))</f>
        <v> </v>
      </c>
      <c r="G4097" s="24" t="str">
        <f>IF(OR(E4097="",E4097="!!!"),"",IF(OR(J4097=0,AND(J4097=1,K4097=1),AND(J4097=1,I4097="SBJ"),AND(J4097=1,I4097=0)),"?IN_FOCUS",IF(J4097&lt;=2,"?ACTIVATED",IF(J4097&lt;&gt;"","?FAMILIAR",IF(F4097="NEW",IF(ISNA(VLOOKUP(E4097,#REF!,1,FALSE())),"?TYPE_IDENTIFIABLE","?REFERENTIAL"),"_")))))</f>
        <v> </v>
      </c>
      <c r="H4097" s="25" t="str">
        <f>IF(J4097&lt;&gt;1,"",IF(I4097="SBJ","CB","?"))</f>
        <v> </v>
      </c>
      <c r="I4097" s="26" t="str">
        <f>IF(OR(E4097="",E4097="!!!",F4097="NEW"),"",INDEX(B4096:B$2,-1+SUMPRODUCT(MAX(ROW(E4096:E$2)*(E4097=E4096:E$2)))))</f>
        <v> </v>
      </c>
      <c r="J4097" s="26" t="str">
        <f>IF(OR(E4097="",E4097="!!!",F4097="NEW"),"",COUNTBLANK(OFFSET(A$1,,,SUMPRODUCT(MAX(ROW(E$2:E4097)*(E4097=E$2:E4097)))))-COUNTBLANK(OFFSET(A$1,,,SUMPRODUCT(MAX(ROW(E$1:E4096)*(E2=E$1:E4096))))))</f>
        <v> </v>
      </c>
      <c r="K4097" s="26" t="str">
        <f>IF(OR(E4097="",E4097="!!!",F4097="NEW"),"",INDEX(J$1:J4096,SUMPRODUCT(MAX(ROW(E$1:E4096)*(E4097=E$1:E4096)))))</f>
        <v> </v>
      </c>
      <c r="L4097" s="27"/>
    </row>
    <row r="4098" spans="1:12">
      <c r="A4098" s="20" t="s">
        <v>2346</v>
      </c>
      <c r="E4098" s="22">
        <f>IF(D4098="?OLD","!!!","")</f>
        <v/>
      </c>
      <c r="F4098" s="23" t="str">
        <f>IF(OR(E4098="",E4098="!!!"),"",IF(NOT(ISNA(VLOOKUP(E4098,E$1:E4097,1,FALSE()))),"OLD",IF(AND(E4098&lt;&gt;"",E4098&lt;&gt;"!!!"),"NEW","")))</f>
        <v> </v>
      </c>
      <c r="G4098" s="24" t="str">
        <f>IF(OR(E4098="",E4098="!!!"),"",IF(OR(J4098=0,AND(J4098=1,K4098=1),AND(J4098=1,I4098="SBJ"),AND(J4098=1,I4098=0)),"?IN_FOCUS",IF(J4098&lt;=2,"?ACTIVATED",IF(J4098&lt;&gt;"","?FAMILIAR",IF(F4098="NEW",IF(ISNA(VLOOKUP(E4098,#REF!,1,FALSE())),"?TYPE_IDENTIFIABLE","?REFERENTIAL"),"_")))))</f>
        <v> </v>
      </c>
      <c r="H4098" s="25" t="str">
        <f>IF(J4098&lt;&gt;1,"",IF(I4098="SBJ","CB","?"))</f>
        <v> </v>
      </c>
      <c r="I4098" s="26" t="str">
        <f>IF(OR(E4098="",E4098="!!!",F4098="NEW"),"",INDEX(B4097:B$2,-1+SUMPRODUCT(MAX(ROW(E4097:E$2)*(E4098=E4097:E$2)))))</f>
        <v> </v>
      </c>
      <c r="J4098" s="26" t="str">
        <f>IF(OR(E4098="",E4098="!!!",F4098="NEW"),"",COUNTBLANK(OFFSET(A$1,,,SUMPRODUCT(MAX(ROW(E$2:E4098)*(E4098=E$2:E4098)))))-COUNTBLANK(OFFSET(A$1,,,SUMPRODUCT(MAX(ROW(E$1:E4097)*(E2=E$1:E4097))))))</f>
        <v> </v>
      </c>
      <c r="K4098" s="26" t="str">
        <f>IF(OR(E4098="",E4098="!!!",F4098="NEW"),"",INDEX(J$1:J4097,SUMPRODUCT(MAX(ROW(E$1:E4097)*(E4098=E$1:E4097)))))</f>
        <v> </v>
      </c>
      <c r="L4098" s="27"/>
    </row>
    <row r="4099" spans="1:12">
      <c r="A4099" s="20" t="s">
        <v>1159</v>
      </c>
      <c r="E4099" s="22">
        <f>IF(D4099="?OLD","!!!","")</f>
        <v/>
      </c>
      <c r="F4099" s="23" t="str">
        <f>IF(OR(E4099="",E4099="!!!"),"",IF(NOT(ISNA(VLOOKUP(E4099,E$1:E4098,1,FALSE()))),"OLD",IF(AND(E4099&lt;&gt;"",E4099&lt;&gt;"!!!"),"NEW","")))</f>
        <v> </v>
      </c>
      <c r="G4099" s="24" t="str">
        <f>IF(OR(E4099="",E4099="!!!"),"",IF(OR(J4099=0,AND(J4099=1,K4099=1),AND(J4099=1,I4099="SBJ"),AND(J4099=1,I4099=0)),"?IN_FOCUS",IF(J4099&lt;=2,"?ACTIVATED",IF(J4099&lt;&gt;"","?FAMILIAR",IF(F4099="NEW",IF(ISNA(VLOOKUP(E4099,#REF!,1,FALSE())),"?TYPE_IDENTIFIABLE","?REFERENTIAL"),"_")))))</f>
        <v> </v>
      </c>
      <c r="H4099" s="25" t="str">
        <f>IF(J4099&lt;&gt;1,"",IF(I4099="SBJ","CB","?"))</f>
        <v> </v>
      </c>
      <c r="I4099" s="26" t="str">
        <f>IF(OR(E4099="",E4099="!!!",F4099="NEW"),"",INDEX(B4098:B$2,-1+SUMPRODUCT(MAX(ROW(E4098:E$2)*(E4099=E4098:E$2)))))</f>
        <v> </v>
      </c>
      <c r="J4099" s="26" t="str">
        <f>IF(OR(E4099="",E4099="!!!",F4099="NEW"),"",COUNTBLANK(OFFSET(A$1,,,SUMPRODUCT(MAX(ROW(E$2:E4099)*(E4099=E$2:E4099)))))-COUNTBLANK(OFFSET(A$1,,,SUMPRODUCT(MAX(ROW(E$1:E4098)*(E2=E$1:E4098))))))</f>
        <v> </v>
      </c>
      <c r="K4099" s="26" t="str">
        <f>IF(OR(E4099="",E4099="!!!",F4099="NEW"),"",INDEX(J$1:J4098,SUMPRODUCT(MAX(ROW(E$1:E4098)*(E4099=E$1:E4098)))))</f>
        <v> </v>
      </c>
      <c r="L4099" s="27"/>
    </row>
    <row r="4100" spans="1:12">
      <c r="A4100" s="20" t="s">
        <v>2347</v>
      </c>
      <c r="B4100" s="21" t="s">
        <v>1193</v>
      </c>
      <c r="C4100" s="21" t="s">
        <v>1162</v>
      </c>
      <c r="D4100" s="21" t="s">
        <v>1144</v>
      </c>
      <c r="E4100" s="22">
        <f>IF(D4100="?OLD","!!!","")</f>
        <v/>
      </c>
      <c r="F4100" s="23" t="str">
        <f>IF(OR(E4100="",E4100="!!!"),"",IF(NOT(ISNA(VLOOKUP(E4100,E$1:E4099,1,FALSE()))),"OLD",IF(AND(E4100&lt;&gt;"",E4100&lt;&gt;"!!!"),"NEW","")))</f>
        <v> </v>
      </c>
      <c r="G4100" s="24" t="str">
        <f>IF(OR(E4100="",E4100="!!!"),"",IF(OR(J4100=0,AND(J4100=1,K4100=1),AND(J4100=1,I4100="SBJ"),AND(J4100=1,I4100=0)),"?IN_FOCUS",IF(J4100&lt;=2,"?ACTIVATED",IF(J4100&lt;&gt;"","?FAMILIAR",IF(F4100="NEW",IF(ISNA(VLOOKUP(E4100,#REF!,1,FALSE())),"?TYPE_IDENTIFIABLE","?REFERENTIAL"),"_")))))</f>
        <v> </v>
      </c>
      <c r="H4100" s="25" t="str">
        <f>IF(J4100&lt;&gt;1,"",IF(I4100="SBJ","CB","?"))</f>
        <v> </v>
      </c>
      <c r="I4100" s="26" t="str">
        <f>IF(OR(E4100="",E4100="!!!",F4100="NEW"),"",INDEX(B4099:B$2,-1+SUMPRODUCT(MAX(ROW(E4099:E$2)*(E4100=E4099:E$2)))))</f>
        <v> </v>
      </c>
      <c r="J4100" s="26" t="str">
        <f>IF(OR(E4100="",E4100="!!!",F4100="NEW"),"",COUNTBLANK(OFFSET(A$1,,,SUMPRODUCT(MAX(ROW(E$2:E4100)*(E4100=E$2:E4100)))))-COUNTBLANK(OFFSET(A$1,,,SUMPRODUCT(MAX(ROW(E$1:E4099)*(E2=E$1:E4099))))))</f>
        <v> </v>
      </c>
      <c r="K4100" s="26" t="str">
        <f>IF(OR(E4100="",E4100="!!!",F4100="NEW"),"",INDEX(J$1:J4099,SUMPRODUCT(MAX(ROW(E$1:E4099)*(E4100=E$1:E4099)))))</f>
        <v> </v>
      </c>
      <c r="L4100" s="27"/>
    </row>
    <row r="4101" spans="1:12">
      <c r="A4101" s="20" t="s">
        <v>1267</v>
      </c>
      <c r="E4101" s="22">
        <f>IF(D4101="?OLD","!!!","")</f>
        <v/>
      </c>
      <c r="F4101" s="23" t="str">
        <f>IF(OR(E4101="",E4101="!!!"),"",IF(NOT(ISNA(VLOOKUP(E4101,E$1:E4100,1,FALSE()))),"OLD",IF(AND(E4101&lt;&gt;"",E4101&lt;&gt;"!!!"),"NEW","")))</f>
        <v> </v>
      </c>
      <c r="G4101" s="24" t="str">
        <f>IF(OR(E4101="",E4101="!!!"),"",IF(OR(J4101=0,AND(J4101=1,K4101=1),AND(J4101=1,I4101="SBJ"),AND(J4101=1,I4101=0)),"?IN_FOCUS",IF(J4101&lt;=2,"?ACTIVATED",IF(J4101&lt;&gt;"","?FAMILIAR",IF(F4101="NEW",IF(ISNA(VLOOKUP(E4101,#REF!,1,FALSE())),"?TYPE_IDENTIFIABLE","?REFERENTIAL"),"_")))))</f>
        <v> </v>
      </c>
      <c r="H4101" s="25" t="str">
        <f>IF(J4101&lt;&gt;1,"",IF(I4101="SBJ","CB","?"))</f>
        <v> </v>
      </c>
      <c r="I4101" s="26" t="str">
        <f>IF(OR(E4101="",E4101="!!!",F4101="NEW"),"",INDEX(B4100:B$2,-1+SUMPRODUCT(MAX(ROW(E4100:E$2)*(E4101=E4100:E$2)))))</f>
        <v> </v>
      </c>
      <c r="J4101" s="26" t="str">
        <f>IF(OR(E4101="",E4101="!!!",F4101="NEW"),"",COUNTBLANK(OFFSET(A$1,,,SUMPRODUCT(MAX(ROW(E$2:E4101)*(E4101=E$2:E4101)))))-COUNTBLANK(OFFSET(A$1,,,SUMPRODUCT(MAX(ROW(E$1:E4100)*(E2=E$1:E4100))))))</f>
        <v> </v>
      </c>
      <c r="K4101" s="26" t="str">
        <f>IF(OR(E4101="",E4101="!!!",F4101="NEW"),"",INDEX(J$1:J4100,SUMPRODUCT(MAX(ROW(E$1:E4100)*(E4101=E$1:E4100)))))</f>
        <v> </v>
      </c>
      <c r="L4101" s="27"/>
    </row>
    <row r="4102" spans="1:12">
      <c r="A4102" s="20" t="s">
        <v>2348</v>
      </c>
      <c r="E4102" s="22">
        <f>IF(D4102="?OLD","!!!","")</f>
        <v/>
      </c>
      <c r="F4102" s="23" t="str">
        <f>IF(OR(E4102="",E4102="!!!"),"",IF(NOT(ISNA(VLOOKUP(E4102,E$1:E4101,1,FALSE()))),"OLD",IF(AND(E4102&lt;&gt;"",E4102&lt;&gt;"!!!"),"NEW","")))</f>
        <v> </v>
      </c>
      <c r="G4102" s="24" t="str">
        <f>IF(OR(E4102="",E4102="!!!"),"",IF(OR(J4102=0,AND(J4102=1,K4102=1),AND(J4102=1,I4102="SBJ"),AND(J4102=1,I4102=0)),"?IN_FOCUS",IF(J4102&lt;=2,"?ACTIVATED",IF(J4102&lt;&gt;"","?FAMILIAR",IF(F4102="NEW",IF(ISNA(VLOOKUP(E4102,#REF!,1,FALSE())),"?TYPE_IDENTIFIABLE","?REFERENTIAL"),"_")))))</f>
        <v> </v>
      </c>
      <c r="H4102" s="25" t="str">
        <f>IF(J4102&lt;&gt;1,"",IF(I4102="SBJ","CB","?"))</f>
        <v> </v>
      </c>
      <c r="I4102" s="26" t="str">
        <f>IF(OR(E4102="",E4102="!!!",F4102="NEW"),"",INDEX(B4101:B$2,-1+SUMPRODUCT(MAX(ROW(E4101:E$2)*(E4102=E4101:E$2)))))</f>
        <v> </v>
      </c>
      <c r="J4102" s="26" t="str">
        <f>IF(OR(E4102="",E4102="!!!",F4102="NEW"),"",COUNTBLANK(OFFSET(A$1,,,SUMPRODUCT(MAX(ROW(E$2:E4102)*(E4102=E$2:E4102)))))-COUNTBLANK(OFFSET(A$1,,,SUMPRODUCT(MAX(ROW(E$1:E4101)*(E2=E$1:E4101))))))</f>
        <v> </v>
      </c>
      <c r="K4102" s="26" t="str">
        <f>IF(OR(E4102="",E4102="!!!",F4102="NEW"),"",INDEX(J$1:J4101,SUMPRODUCT(MAX(ROW(E$1:E4101)*(E4102=E$1:E4101)))))</f>
        <v> </v>
      </c>
      <c r="L4102" s="27"/>
    </row>
    <row r="4103" spans="1:12">
      <c r="A4103" s="20" t="s">
        <v>312</v>
      </c>
      <c r="E4103" s="22">
        <f>IF(D4103="?OLD","!!!","")</f>
        <v/>
      </c>
      <c r="F4103" s="23" t="str">
        <f>IF(OR(E4103="",E4103="!!!"),"",IF(NOT(ISNA(VLOOKUP(E4103,E$1:E4102,1,FALSE()))),"OLD",IF(AND(E4103&lt;&gt;"",E4103&lt;&gt;"!!!"),"NEW","")))</f>
        <v> </v>
      </c>
      <c r="G4103" s="24" t="str">
        <f>IF(OR(E4103="",E4103="!!!"),"",IF(OR(J4103=0,AND(J4103=1,K4103=1),AND(J4103=1,I4103="SBJ"),AND(J4103=1,I4103=0)),"?IN_FOCUS",IF(J4103&lt;=2,"?ACTIVATED",IF(J4103&lt;&gt;"","?FAMILIAR",IF(F4103="NEW",IF(ISNA(VLOOKUP(E4103,#REF!,1,FALSE())),"?TYPE_IDENTIFIABLE","?REFERENTIAL"),"_")))))</f>
        <v> </v>
      </c>
      <c r="H4103" s="25" t="str">
        <f>IF(J4103&lt;&gt;1,"",IF(I4103="SBJ","CB","?"))</f>
        <v> </v>
      </c>
      <c r="I4103" s="26" t="str">
        <f>IF(OR(E4103="",E4103="!!!",F4103="NEW"),"",INDEX(B4102:B$2,-1+SUMPRODUCT(MAX(ROW(E4102:E$2)*(E4103=E4102:E$2)))))</f>
        <v> </v>
      </c>
      <c r="J4103" s="26" t="str">
        <f>IF(OR(E4103="",E4103="!!!",F4103="NEW"),"",COUNTBLANK(OFFSET(A$1,,,SUMPRODUCT(MAX(ROW(E$2:E4103)*(E4103=E$2:E4103)))))-COUNTBLANK(OFFSET(A$1,,,SUMPRODUCT(MAX(ROW(E$1:E4102)*(E2=E$1:E4102))))))</f>
        <v> </v>
      </c>
      <c r="K4103" s="26" t="str">
        <f>IF(OR(E4103="",E4103="!!!",F4103="NEW"),"",INDEX(J$1:J4102,SUMPRODUCT(MAX(ROW(E$1:E4102)*(E4103=E$1:E4102)))))</f>
        <v> </v>
      </c>
      <c r="L4103" s="27"/>
    </row>
    <row r="4104" spans="1:12">
      <c r="A4104" s="20"/>
    </row>
    <row r="4105" spans="1:12">
      <c r="A4105" s="20" t="s">
        <v>2349</v>
      </c>
    </row>
    <row r="4106" spans="1:12">
      <c r="A4106" s="20" t="s">
        <v>1404</v>
      </c>
      <c r="B4106" s="21" t="s">
        <v>1165</v>
      </c>
      <c r="C4106" s="21" t="s">
        <v>1151</v>
      </c>
      <c r="D4106" s="21" t="s">
        <v>1144</v>
      </c>
      <c r="E4106" s="22">
        <f>IF(D4106="?OLD","!!!","")</f>
        <v/>
      </c>
      <c r="F4106" s="23" t="str">
        <f>IF(OR(E4106="",E4106="!!!"),"",IF(NOT(ISNA(VLOOKUP(E4106,E$1:E4105,1,FALSE()))),"OLD",IF(AND(E4106&lt;&gt;"",E4106&lt;&gt;"!!!"),"NEW","")))</f>
        <v> </v>
      </c>
      <c r="G4106" s="24" t="str">
        <f>IF(OR(E4106="",E4106="!!!"),"",IF(OR(J4106=0,AND(J4106=1,K4106=1),AND(J4106=1,I4106="SBJ"),AND(J4106=1,I4106=0)),"?IN_FOCUS",IF(J4106&lt;=2,"?ACTIVATED",IF(J4106&lt;&gt;"","?FAMILIAR",IF(F4106="NEW",IF(ISNA(VLOOKUP(E4106,#REF!,1,FALSE())),"?TYPE_IDENTIFIABLE","?REFERENTIAL"),"_")))))</f>
        <v> </v>
      </c>
      <c r="H4106" s="25" t="str">
        <f>IF(J4106&lt;&gt;1,"",IF(I4106="SBJ","CB","?"))</f>
        <v> </v>
      </c>
      <c r="I4106" s="26" t="str">
        <f>IF(OR(E4106="",E4106="!!!",F4106="NEW"),"",INDEX(B4105:B$2,-1+SUMPRODUCT(MAX(ROW(E4105:E$2)*(E4106=E4105:E$2)))))</f>
        <v> </v>
      </c>
      <c r="J4106" s="26" t="str">
        <f>IF(OR(E4106="",E4106="!!!",F4106="NEW"),"",COUNTBLANK(OFFSET(A$1,,,SUMPRODUCT(MAX(ROW(E$2:E4106)*(E4106=E$2:E4106)))))-COUNTBLANK(OFFSET(A$1,,,SUMPRODUCT(MAX(ROW(E$1:E4105)*(E2=E$1:E4105))))))</f>
        <v> </v>
      </c>
      <c r="K4106" s="26" t="str">
        <f>IF(OR(E4106="",E4106="!!!",F4106="NEW"),"",INDEX(J$1:J4105,SUMPRODUCT(MAX(ROW(E$1:E4105)*(E4106=E$1:E4105)))))</f>
        <v> </v>
      </c>
      <c r="L4106" s="27"/>
    </row>
    <row r="4107" spans="1:12">
      <c r="A4107" s="20" t="s">
        <v>974</v>
      </c>
      <c r="E4107" s="22">
        <f>IF(D4107="?OLD","!!!","")</f>
        <v/>
      </c>
      <c r="F4107" s="23" t="str">
        <f>IF(OR(E4107="",E4107="!!!"),"",IF(NOT(ISNA(VLOOKUP(E4107,E$1:E4106,1,FALSE()))),"OLD",IF(AND(E4107&lt;&gt;"",E4107&lt;&gt;"!!!"),"NEW","")))</f>
        <v> </v>
      </c>
      <c r="G4107" s="24" t="str">
        <f>IF(OR(E4107="",E4107="!!!"),"",IF(OR(J4107=0,AND(J4107=1,K4107=1),AND(J4107=1,I4107="SBJ"),AND(J4107=1,I4107=0)),"?IN_FOCUS",IF(J4107&lt;=2,"?ACTIVATED",IF(J4107&lt;&gt;"","?FAMILIAR",IF(F4107="NEW",IF(ISNA(VLOOKUP(E4107,#REF!,1,FALSE())),"?TYPE_IDENTIFIABLE","?REFERENTIAL"),"_")))))</f>
        <v> </v>
      </c>
      <c r="H4107" s="25" t="str">
        <f>IF(J4107&lt;&gt;1,"",IF(I4107="SBJ","CB","?"))</f>
        <v> </v>
      </c>
      <c r="I4107" s="26" t="str">
        <f>IF(OR(E4107="",E4107="!!!",F4107="NEW"),"",INDEX(B4106:B$2,-1+SUMPRODUCT(MAX(ROW(E4106:E$2)*(E4107=E4106:E$2)))))</f>
        <v> </v>
      </c>
      <c r="J4107" s="26" t="str">
        <f>IF(OR(E4107="",E4107="!!!",F4107="NEW"),"",COUNTBLANK(OFFSET(A$1,,,SUMPRODUCT(MAX(ROW(E$2:E4107)*(E4107=E$2:E4107)))))-COUNTBLANK(OFFSET(A$1,,,SUMPRODUCT(MAX(ROW(E$1:E4106)*(E2=E$1:E4106))))))</f>
        <v> </v>
      </c>
      <c r="K4107" s="26" t="str">
        <f>IF(OR(E4107="",E4107="!!!",F4107="NEW"),"",INDEX(J$1:J4106,SUMPRODUCT(MAX(ROW(E$1:E4106)*(E4107=E$1:E4106)))))</f>
        <v> </v>
      </c>
      <c r="L4107" s="27"/>
    </row>
    <row r="4108" spans="1:12">
      <c r="A4108" s="20" t="s">
        <v>1205</v>
      </c>
      <c r="E4108" s="22">
        <f>IF(D4108="?OLD","!!!","")</f>
        <v/>
      </c>
      <c r="F4108" s="23" t="str">
        <f>IF(OR(E4108="",E4108="!!!"),"",IF(NOT(ISNA(VLOOKUP(E4108,E$1:E4107,1,FALSE()))),"OLD",IF(AND(E4108&lt;&gt;"",E4108&lt;&gt;"!!!"),"NEW","")))</f>
        <v> </v>
      </c>
      <c r="G4108" s="24" t="str">
        <f>IF(OR(E4108="",E4108="!!!"),"",IF(OR(J4108=0,AND(J4108=1,K4108=1),AND(J4108=1,I4108="SBJ"),AND(J4108=1,I4108=0)),"?IN_FOCUS",IF(J4108&lt;=2,"?ACTIVATED",IF(J4108&lt;&gt;"","?FAMILIAR",IF(F4108="NEW",IF(ISNA(VLOOKUP(E4108,#REF!,1,FALSE())),"?TYPE_IDENTIFIABLE","?REFERENTIAL"),"_")))))</f>
        <v> </v>
      </c>
      <c r="H4108" s="25" t="str">
        <f>IF(J4108&lt;&gt;1,"",IF(I4108="SBJ","CB","?"))</f>
        <v> </v>
      </c>
      <c r="I4108" s="26" t="str">
        <f>IF(OR(E4108="",E4108="!!!",F4108="NEW"),"",INDEX(B4107:B$2,-1+SUMPRODUCT(MAX(ROW(E4107:E$2)*(E4108=E4107:E$2)))))</f>
        <v> </v>
      </c>
      <c r="J4108" s="26" t="str">
        <f>IF(OR(E4108="",E4108="!!!",F4108="NEW"),"",COUNTBLANK(OFFSET(A$1,,,SUMPRODUCT(MAX(ROW(E$2:E4108)*(E4108=E$2:E4108)))))-COUNTBLANK(OFFSET(A$1,,,SUMPRODUCT(MAX(ROW(E$1:E4107)*(E2=E$1:E4107))))))</f>
        <v> </v>
      </c>
      <c r="K4108" s="26" t="str">
        <f>IF(OR(E4108="",E4108="!!!",F4108="NEW"),"",INDEX(J$1:J4107,SUMPRODUCT(MAX(ROW(E$1:E4107)*(E4108=E$1:E4107)))))</f>
        <v> </v>
      </c>
      <c r="L4108" s="27"/>
    </row>
    <row r="4109" spans="1:12">
      <c r="A4109" s="20" t="s">
        <v>2350</v>
      </c>
      <c r="E4109" s="22">
        <f>IF(D4109="?OLD","!!!","")</f>
        <v/>
      </c>
      <c r="F4109" s="23" t="str">
        <f>IF(OR(E4109="",E4109="!!!"),"",IF(NOT(ISNA(VLOOKUP(E4109,E$1:E4108,1,FALSE()))),"OLD",IF(AND(E4109&lt;&gt;"",E4109&lt;&gt;"!!!"),"NEW","")))</f>
        <v> </v>
      </c>
      <c r="G4109" s="24" t="str">
        <f>IF(OR(E4109="",E4109="!!!"),"",IF(OR(J4109=0,AND(J4109=1,K4109=1),AND(J4109=1,I4109="SBJ"),AND(J4109=1,I4109=0)),"?IN_FOCUS",IF(J4109&lt;=2,"?ACTIVATED",IF(J4109&lt;&gt;"","?FAMILIAR",IF(F4109="NEW",IF(ISNA(VLOOKUP(E4109,#REF!,1,FALSE())),"?TYPE_IDENTIFIABLE","?REFERENTIAL"),"_")))))</f>
        <v> </v>
      </c>
      <c r="H4109" s="25" t="str">
        <f>IF(J4109&lt;&gt;1,"",IF(I4109="SBJ","CB","?"))</f>
        <v> </v>
      </c>
      <c r="I4109" s="26" t="str">
        <f>IF(OR(E4109="",E4109="!!!",F4109="NEW"),"",INDEX(B4108:B$2,-1+SUMPRODUCT(MAX(ROW(E4108:E$2)*(E4109=E4108:E$2)))))</f>
        <v> </v>
      </c>
      <c r="J4109" s="26" t="str">
        <f>IF(OR(E4109="",E4109="!!!",F4109="NEW"),"",COUNTBLANK(OFFSET(A$1,,,SUMPRODUCT(MAX(ROW(E$2:E4109)*(E4109=E$2:E4109)))))-COUNTBLANK(OFFSET(A$1,,,SUMPRODUCT(MAX(ROW(E$1:E4108)*(E2=E$1:E4108))))))</f>
        <v> </v>
      </c>
      <c r="K4109" s="26" t="str">
        <f>IF(OR(E4109="",E4109="!!!",F4109="NEW"),"",INDEX(J$1:J4108,SUMPRODUCT(MAX(ROW(E$1:E4108)*(E4109=E$1:E4108)))))</f>
        <v> </v>
      </c>
      <c r="L4109" s="27"/>
    </row>
    <row r="4110" spans="1:12">
      <c r="A4110" s="20" t="s">
        <v>2351</v>
      </c>
      <c r="B4110" s="21" t="s">
        <v>1154</v>
      </c>
      <c r="C4110" s="21" t="s">
        <v>1155</v>
      </c>
      <c r="E4110" s="22">
        <f>IF(D4110="?OLD","!!!","")</f>
        <v/>
      </c>
      <c r="F4110" s="23" t="str">
        <f>IF(OR(E4110="",E4110="!!!"),"",IF(NOT(ISNA(VLOOKUP(E4110,E$1:E4109,1,FALSE()))),"OLD",IF(AND(E4110&lt;&gt;"",E4110&lt;&gt;"!!!"),"NEW","")))</f>
        <v> </v>
      </c>
      <c r="G4110" s="24" t="str">
        <f>IF(OR(E4110="",E4110="!!!"),"",IF(OR(J4110=0,AND(J4110=1,K4110=1),AND(J4110=1,I4110="SBJ"),AND(J4110=1,I4110=0)),"?IN_FOCUS",IF(J4110&lt;=2,"?ACTIVATED",IF(J4110&lt;&gt;"","?FAMILIAR",IF(F4110="NEW",IF(ISNA(VLOOKUP(E4110,#REF!,1,FALSE())),"?TYPE_IDENTIFIABLE","?REFERENTIAL"),"_")))))</f>
        <v> </v>
      </c>
      <c r="H4110" s="25" t="str">
        <f>IF(J4110&lt;&gt;1,"",IF(I4110="SBJ","CB","?"))</f>
        <v> </v>
      </c>
      <c r="I4110" s="26" t="str">
        <f>IF(OR(E4110="",E4110="!!!",F4110="NEW"),"",INDEX(B4109:B$2,-1+SUMPRODUCT(MAX(ROW(E4109:E$2)*(E4110=E4109:E$2)))))</f>
        <v> </v>
      </c>
      <c r="J4110" s="26" t="str">
        <f>IF(OR(E4110="",E4110="!!!",F4110="NEW"),"",COUNTBLANK(OFFSET(A$1,,,SUMPRODUCT(MAX(ROW(E$2:E4110)*(E4110=E$2:E4110)))))-COUNTBLANK(OFFSET(A$1,,,SUMPRODUCT(MAX(ROW(E$1:E4109)*(E2=E$1:E4109))))))</f>
        <v> </v>
      </c>
      <c r="K4110" s="26" t="str">
        <f>IF(OR(E4110="",E4110="!!!",F4110="NEW"),"",INDEX(J$1:J4109,SUMPRODUCT(MAX(ROW(E$1:E4109)*(E4110=E$1:E4109)))))</f>
        <v> </v>
      </c>
      <c r="L4110" s="27"/>
    </row>
    <row r="4111" spans="1:12">
      <c r="A4111" s="20" t="s">
        <v>312</v>
      </c>
      <c r="E4111" s="22">
        <f>IF(D4111="?OLD","!!!","")</f>
        <v/>
      </c>
      <c r="F4111" s="23" t="str">
        <f>IF(OR(E4111="",E4111="!!!"),"",IF(NOT(ISNA(VLOOKUP(E4111,E$1:E4110,1,FALSE()))),"OLD",IF(AND(E4111&lt;&gt;"",E4111&lt;&gt;"!!!"),"NEW","")))</f>
        <v> </v>
      </c>
      <c r="G4111" s="24" t="str">
        <f>IF(OR(E4111="",E4111="!!!"),"",IF(OR(J4111=0,AND(J4111=1,K4111=1),AND(J4111=1,I4111="SBJ"),AND(J4111=1,I4111=0)),"?IN_FOCUS",IF(J4111&lt;=2,"?ACTIVATED",IF(J4111&lt;&gt;"","?FAMILIAR",IF(F4111="NEW",IF(ISNA(VLOOKUP(E4111,#REF!,1,FALSE())),"?TYPE_IDENTIFIABLE","?REFERENTIAL"),"_")))))</f>
        <v> </v>
      </c>
      <c r="H4111" s="25" t="str">
        <f>IF(J4111&lt;&gt;1,"",IF(I4111="SBJ","CB","?"))</f>
        <v> </v>
      </c>
      <c r="I4111" s="26" t="str">
        <f>IF(OR(E4111="",E4111="!!!",F4111="NEW"),"",INDEX(B4110:B$2,-1+SUMPRODUCT(MAX(ROW(E4110:E$2)*(E4111=E4110:E$2)))))</f>
        <v> </v>
      </c>
      <c r="J4111" s="26" t="str">
        <f>IF(OR(E4111="",E4111="!!!",F4111="NEW"),"",COUNTBLANK(OFFSET(A$1,,,SUMPRODUCT(MAX(ROW(E$2:E4111)*(E4111=E$2:E4111)))))-COUNTBLANK(OFFSET(A$1,,,SUMPRODUCT(MAX(ROW(E$1:E4110)*(E2=E$1:E4110))))))</f>
        <v> </v>
      </c>
      <c r="K4111" s="26" t="str">
        <f>IF(OR(E4111="",E4111="!!!",F4111="NEW"),"",INDEX(J$1:J4110,SUMPRODUCT(MAX(ROW(E$1:E4110)*(E4111=E$1:E4110)))))</f>
        <v> </v>
      </c>
      <c r="L4111" s="27"/>
    </row>
    <row r="4112" spans="1:12">
      <c r="A4112" s="20"/>
    </row>
    <row r="4113" spans="1:12">
      <c r="A4113" s="20" t="s">
        <v>2352</v>
      </c>
    </row>
    <row r="4114" spans="1:12">
      <c r="A4114" s="20" t="s">
        <v>1158</v>
      </c>
      <c r="E4114" s="22">
        <f>IF(D4114="?OLD","!!!","")</f>
        <v/>
      </c>
      <c r="F4114" s="23" t="str">
        <f>IF(OR(E4114="",E4114="!!!"),"",IF(NOT(ISNA(VLOOKUP(E4114,E$1:E4113,1,FALSE()))),"OLD",IF(AND(E4114&lt;&gt;"",E4114&lt;&gt;"!!!"),"NEW","")))</f>
        <v> </v>
      </c>
      <c r="G4114" s="24" t="str">
        <f>IF(OR(E4114="",E4114="!!!"),"",IF(OR(J4114=0,AND(J4114=1,K4114=1),AND(J4114=1,I4114="SBJ"),AND(J4114=1,I4114=0)),"?IN_FOCUS",IF(J4114&lt;=2,"?ACTIVATED",IF(J4114&lt;&gt;"","?FAMILIAR",IF(F4114="NEW",IF(ISNA(VLOOKUP(E4114,#REF!,1,FALSE())),"?TYPE_IDENTIFIABLE","?REFERENTIAL"),"_")))))</f>
        <v> </v>
      </c>
      <c r="H4114" s="25" t="str">
        <f>IF(J4114&lt;&gt;1,"",IF(I4114="SBJ","CB","?"))</f>
        <v> </v>
      </c>
      <c r="I4114" s="26" t="str">
        <f>IF(OR(E4114="",E4114="!!!",F4114="NEW"),"",INDEX(B4113:B$2,-1+SUMPRODUCT(MAX(ROW(E4113:E$2)*(E4114=E4113:E$2)))))</f>
        <v> </v>
      </c>
      <c r="J4114" s="26" t="str">
        <f>IF(OR(E4114="",E4114="!!!",F4114="NEW"),"",COUNTBLANK(OFFSET(A$1,,,SUMPRODUCT(MAX(ROW(E$2:E4114)*(E4114=E$2:E4114)))))-COUNTBLANK(OFFSET(A$1,,,SUMPRODUCT(MAX(ROW(E$1:E4113)*(E2=E$1:E4113))))))</f>
        <v> </v>
      </c>
      <c r="K4114" s="26" t="str">
        <f>IF(OR(E4114="",E4114="!!!",F4114="NEW"),"",INDEX(J$1:J4113,SUMPRODUCT(MAX(ROW(E$1:E4113)*(E4114=E$1:E4113)))))</f>
        <v> </v>
      </c>
      <c r="L4114" s="27"/>
    </row>
    <row r="4115" spans="1:12">
      <c r="A4115" s="20" t="s">
        <v>2353</v>
      </c>
      <c r="E4115" s="22">
        <f>IF(D4115="?OLD","!!!","")</f>
        <v/>
      </c>
      <c r="F4115" s="23" t="str">
        <f>IF(OR(E4115="",E4115="!!!"),"",IF(NOT(ISNA(VLOOKUP(E4115,E$1:E4114,1,FALSE()))),"OLD",IF(AND(E4115&lt;&gt;"",E4115&lt;&gt;"!!!"),"NEW","")))</f>
        <v> </v>
      </c>
      <c r="G4115" s="24" t="str">
        <f>IF(OR(E4115="",E4115="!!!"),"",IF(OR(J4115=0,AND(J4115=1,K4115=1),AND(J4115=1,I4115="SBJ"),AND(J4115=1,I4115=0)),"?IN_FOCUS",IF(J4115&lt;=2,"?ACTIVATED",IF(J4115&lt;&gt;"","?FAMILIAR",IF(F4115="NEW",IF(ISNA(VLOOKUP(E4115,#REF!,1,FALSE())),"?TYPE_IDENTIFIABLE","?REFERENTIAL"),"_")))))</f>
        <v> </v>
      </c>
      <c r="H4115" s="25" t="str">
        <f>IF(J4115&lt;&gt;1,"",IF(I4115="SBJ","CB","?"))</f>
        <v> </v>
      </c>
      <c r="I4115" s="26" t="str">
        <f>IF(OR(E4115="",E4115="!!!",F4115="NEW"),"",INDEX(B4114:B$2,-1+SUMPRODUCT(MAX(ROW(E4114:E$2)*(E4115=E4114:E$2)))))</f>
        <v> </v>
      </c>
      <c r="J4115" s="26" t="str">
        <f>IF(OR(E4115="",E4115="!!!",F4115="NEW"),"",COUNTBLANK(OFFSET(A$1,,,SUMPRODUCT(MAX(ROW(E$2:E4115)*(E4115=E$2:E4115)))))-COUNTBLANK(OFFSET(A$1,,,SUMPRODUCT(MAX(ROW(E$1:E4114)*(E2=E$1:E4114))))))</f>
        <v> </v>
      </c>
      <c r="K4115" s="26" t="str">
        <f>IF(OR(E4115="",E4115="!!!",F4115="NEW"),"",INDEX(J$1:J4114,SUMPRODUCT(MAX(ROW(E$1:E4114)*(E4115=E$1:E4114)))))</f>
        <v> </v>
      </c>
      <c r="L4115" s="27"/>
    </row>
    <row r="4116" spans="1:12">
      <c r="A4116" s="20" t="s">
        <v>1809</v>
      </c>
      <c r="B4116" s="21" t="s">
        <v>1161</v>
      </c>
      <c r="C4116" s="21" t="s">
        <v>1187</v>
      </c>
      <c r="E4116" s="22">
        <f>IF(D4116="?OLD","!!!","")</f>
        <v/>
      </c>
      <c r="F4116" s="23" t="str">
        <f>IF(OR(E4116="",E4116="!!!"),"",IF(NOT(ISNA(VLOOKUP(E4116,E$1:E4115,1,FALSE()))),"OLD",IF(AND(E4116&lt;&gt;"",E4116&lt;&gt;"!!!"),"NEW","")))</f>
        <v> </v>
      </c>
      <c r="G4116" s="24" t="str">
        <f>IF(OR(E4116="",E4116="!!!"),"",IF(OR(J4116=0,AND(J4116=1,K4116=1),AND(J4116=1,I4116="SBJ"),AND(J4116=1,I4116=0)),"?IN_FOCUS",IF(J4116&lt;=2,"?ACTIVATED",IF(J4116&lt;&gt;"","?FAMILIAR",IF(F4116="NEW",IF(ISNA(VLOOKUP(E4116,#REF!,1,FALSE())),"?TYPE_IDENTIFIABLE","?REFERENTIAL"),"_")))))</f>
        <v> </v>
      </c>
      <c r="H4116" s="25" t="str">
        <f>IF(J4116&lt;&gt;1,"",IF(I4116="SBJ","CB","?"))</f>
        <v> </v>
      </c>
      <c r="I4116" s="26" t="str">
        <f>IF(OR(E4116="",E4116="!!!",F4116="NEW"),"",INDEX(B4115:B$2,-1+SUMPRODUCT(MAX(ROW(E4115:E$2)*(E4116=E4115:E$2)))))</f>
        <v> </v>
      </c>
      <c r="J4116" s="26" t="str">
        <f>IF(OR(E4116="",E4116="!!!",F4116="NEW"),"",COUNTBLANK(OFFSET(A$1,,,SUMPRODUCT(MAX(ROW(E$2:E4116)*(E4116=E$2:E4116)))))-COUNTBLANK(OFFSET(A$1,,,SUMPRODUCT(MAX(ROW(E$1:E4115)*(E2=E$1:E4115))))))</f>
        <v> </v>
      </c>
      <c r="K4116" s="26" t="str">
        <f>IF(OR(E4116="",E4116="!!!",F4116="NEW"),"",INDEX(J$1:J4115,SUMPRODUCT(MAX(ROW(E$1:E4115)*(E4116=E$1:E4115)))))</f>
        <v> </v>
      </c>
      <c r="L4116" s="27"/>
    </row>
    <row r="4117" spans="1:12">
      <c r="A4117" s="20" t="s">
        <v>1981</v>
      </c>
      <c r="E4117" s="22">
        <f>IF(D4117="?OLD","!!!","")</f>
        <v/>
      </c>
      <c r="F4117" s="23" t="str">
        <f>IF(OR(E4117="",E4117="!!!"),"",IF(NOT(ISNA(VLOOKUP(E4117,E$1:E4116,1,FALSE()))),"OLD",IF(AND(E4117&lt;&gt;"",E4117&lt;&gt;"!!!"),"NEW","")))</f>
        <v> </v>
      </c>
      <c r="G4117" s="24" t="str">
        <f>IF(OR(E4117="",E4117="!!!"),"",IF(OR(J4117=0,AND(J4117=1,K4117=1),AND(J4117=1,I4117="SBJ"),AND(J4117=1,I4117=0)),"?IN_FOCUS",IF(J4117&lt;=2,"?ACTIVATED",IF(J4117&lt;&gt;"","?FAMILIAR",IF(F4117="NEW",IF(ISNA(VLOOKUP(E4117,#REF!,1,FALSE())),"?TYPE_IDENTIFIABLE","?REFERENTIAL"),"_")))))</f>
        <v> </v>
      </c>
      <c r="H4117" s="25" t="str">
        <f>IF(J4117&lt;&gt;1,"",IF(I4117="SBJ","CB","?"))</f>
        <v> </v>
      </c>
      <c r="I4117" s="26" t="str">
        <f>IF(OR(E4117="",E4117="!!!",F4117="NEW"),"",INDEX(B4116:B$2,-1+SUMPRODUCT(MAX(ROW(E4116:E$2)*(E4117=E4116:E$2)))))</f>
        <v> </v>
      </c>
      <c r="J4117" s="26" t="str">
        <f>IF(OR(E4117="",E4117="!!!",F4117="NEW"),"",COUNTBLANK(OFFSET(A$1,,,SUMPRODUCT(MAX(ROW(E$2:E4117)*(E4117=E$2:E4117)))))-COUNTBLANK(OFFSET(A$1,,,SUMPRODUCT(MAX(ROW(E$1:E4116)*(E2=E$1:E4116))))))</f>
        <v> </v>
      </c>
      <c r="K4117" s="26" t="str">
        <f>IF(OR(E4117="",E4117="!!!",F4117="NEW"),"",INDEX(J$1:J4116,SUMPRODUCT(MAX(ROW(E$1:E4116)*(E4117=E$1:E4116)))))</f>
        <v> </v>
      </c>
      <c r="L4117" s="27"/>
    </row>
    <row r="4118" spans="1:12">
      <c r="A4118" s="20" t="s">
        <v>1191</v>
      </c>
      <c r="B4118" s="21" t="s">
        <v>1165</v>
      </c>
      <c r="E4118" s="22">
        <f>IF(D4118="?OLD","!!!","")</f>
        <v/>
      </c>
      <c r="F4118" s="23" t="str">
        <f>IF(OR(E4118="",E4118="!!!"),"",IF(NOT(ISNA(VLOOKUP(E4118,E$1:E4117,1,FALSE()))),"OLD",IF(AND(E4118&lt;&gt;"",E4118&lt;&gt;"!!!"),"NEW","")))</f>
        <v> </v>
      </c>
      <c r="G4118" s="24" t="str">
        <f>IF(OR(E4118="",E4118="!!!"),"",IF(OR(J4118=0,AND(J4118=1,K4118=1),AND(J4118=1,I4118="SBJ"),AND(J4118=1,I4118=0)),"?IN_FOCUS",IF(J4118&lt;=2,"?ACTIVATED",IF(J4118&lt;&gt;"","?FAMILIAR",IF(F4118="NEW",IF(ISNA(VLOOKUP(E4118,#REF!,1,FALSE())),"?TYPE_IDENTIFIABLE","?REFERENTIAL"),"_")))))</f>
        <v> </v>
      </c>
      <c r="H4118" s="25" t="str">
        <f>IF(J4118&lt;&gt;1,"",IF(I4118="SBJ","CB","?"))</f>
        <v> </v>
      </c>
      <c r="I4118" s="26" t="str">
        <f>IF(OR(E4118="",E4118="!!!",F4118="NEW"),"",INDEX(B4117:B$2,-1+SUMPRODUCT(MAX(ROW(E4117:E$2)*(E4118=E4117:E$2)))))</f>
        <v> </v>
      </c>
      <c r="J4118" s="26" t="str">
        <f>IF(OR(E4118="",E4118="!!!",F4118="NEW"),"",COUNTBLANK(OFFSET(A$1,,,SUMPRODUCT(MAX(ROW(E$2:E4118)*(E4118=E$2:E4118)))))-COUNTBLANK(OFFSET(A$1,,,SUMPRODUCT(MAX(ROW(E$1:E4117)*(E2=E$1:E4117))))))</f>
        <v> </v>
      </c>
      <c r="K4118" s="26" t="str">
        <f>IF(OR(E4118="",E4118="!!!",F4118="NEW"),"",INDEX(J$1:J4117,SUMPRODUCT(MAX(ROW(E$1:E4117)*(E4118=E$1:E4117)))))</f>
        <v> </v>
      </c>
      <c r="L4118" s="27"/>
    </row>
    <row r="4119" spans="1:12">
      <c r="A4119" s="20" t="s">
        <v>312</v>
      </c>
      <c r="E4119" s="22">
        <f>IF(D4119="?OLD","!!!","")</f>
        <v/>
      </c>
      <c r="F4119" s="23" t="str">
        <f>IF(OR(E4119="",E4119="!!!"),"",IF(NOT(ISNA(VLOOKUP(E4119,E$1:E4118,1,FALSE()))),"OLD",IF(AND(E4119&lt;&gt;"",E4119&lt;&gt;"!!!"),"NEW","")))</f>
        <v> </v>
      </c>
      <c r="G4119" s="24" t="str">
        <f>IF(OR(E4119="",E4119="!!!"),"",IF(OR(J4119=0,AND(J4119=1,K4119=1),AND(J4119=1,I4119="SBJ"),AND(J4119=1,I4119=0)),"?IN_FOCUS",IF(J4119&lt;=2,"?ACTIVATED",IF(J4119&lt;&gt;"","?FAMILIAR",IF(F4119="NEW",IF(ISNA(VLOOKUP(E4119,#REF!,1,FALSE())),"?TYPE_IDENTIFIABLE","?REFERENTIAL"),"_")))))</f>
        <v> </v>
      </c>
      <c r="H4119" s="25" t="str">
        <f>IF(J4119&lt;&gt;1,"",IF(I4119="SBJ","CB","?"))</f>
        <v> </v>
      </c>
      <c r="I4119" s="26" t="str">
        <f>IF(OR(E4119="",E4119="!!!",F4119="NEW"),"",INDEX(B4118:B$2,-1+SUMPRODUCT(MAX(ROW(E4118:E$2)*(E4119=E4118:E$2)))))</f>
        <v> </v>
      </c>
      <c r="J4119" s="26" t="str">
        <f>IF(OR(E4119="",E4119="!!!",F4119="NEW"),"",COUNTBLANK(OFFSET(A$1,,,SUMPRODUCT(MAX(ROW(E$2:E4119)*(E4119=E$2:E4119)))))-COUNTBLANK(OFFSET(A$1,,,SUMPRODUCT(MAX(ROW(E$1:E4118)*(E2=E$1:E4118))))))</f>
        <v> </v>
      </c>
      <c r="K4119" s="26" t="str">
        <f>IF(OR(E4119="",E4119="!!!",F4119="NEW"),"",INDEX(J$1:J4118,SUMPRODUCT(MAX(ROW(E$1:E4118)*(E4119=E$1:E4118)))))</f>
        <v> </v>
      </c>
      <c r="L4119" s="27"/>
    </row>
    <row r="4120" spans="1:12">
      <c r="A4120" s="20"/>
    </row>
    <row r="4121" spans="1:12">
      <c r="A4121" s="20" t="s">
        <v>2354</v>
      </c>
    </row>
    <row r="4122" spans="1:12">
      <c r="A4122" s="20" t="s">
        <v>1378</v>
      </c>
      <c r="B4122" s="21" t="s">
        <v>1165</v>
      </c>
      <c r="C4122" s="21" t="s">
        <v>1187</v>
      </c>
      <c r="E4122" s="22">
        <f>IF(D4122="?OLD","!!!","")</f>
        <v/>
      </c>
      <c r="F4122" s="23" t="str">
        <f>IF(OR(E4122="",E4122="!!!"),"",IF(NOT(ISNA(VLOOKUP(E4122,E$1:E4121,1,FALSE()))),"OLD",IF(AND(E4122&lt;&gt;"",E4122&lt;&gt;"!!!"),"NEW","")))</f>
        <v> </v>
      </c>
      <c r="G4122" s="24" t="str">
        <f>IF(OR(E4122="",E4122="!!!"),"",IF(OR(J4122=0,AND(J4122=1,K4122=1),AND(J4122=1,I4122="SBJ"),AND(J4122=1,I4122=0)),"?IN_FOCUS",IF(J4122&lt;=2,"?ACTIVATED",IF(J4122&lt;&gt;"","?FAMILIAR",IF(F4122="NEW",IF(ISNA(VLOOKUP(E4122,#REF!,1,FALSE())),"?TYPE_IDENTIFIABLE","?REFERENTIAL"),"_")))))</f>
        <v> </v>
      </c>
      <c r="H4122" s="25" t="str">
        <f>IF(J4122&lt;&gt;1,"",IF(I4122="SBJ","CB","?"))</f>
        <v> </v>
      </c>
      <c r="I4122" s="26" t="str">
        <f>IF(OR(E4122="",E4122="!!!",F4122="NEW"),"",INDEX(B4121:B$2,-1+SUMPRODUCT(MAX(ROW(E4121:E$2)*(E4122=E4121:E$2)))))</f>
        <v> </v>
      </c>
      <c r="J4122" s="26" t="str">
        <f>IF(OR(E4122="",E4122="!!!",F4122="NEW"),"",COUNTBLANK(OFFSET(A$1,,,SUMPRODUCT(MAX(ROW(E$2:E4122)*(E4122=E$2:E4122)))))-COUNTBLANK(OFFSET(A$1,,,SUMPRODUCT(MAX(ROW(E$1:E4121)*(E2=E$1:E4121))))))</f>
        <v> </v>
      </c>
      <c r="K4122" s="26" t="str">
        <f>IF(OR(E4122="",E4122="!!!",F4122="NEW"),"",INDEX(J$1:J4121,SUMPRODUCT(MAX(ROW(E$1:E4121)*(E4122=E$1:E4121)))))</f>
        <v> </v>
      </c>
      <c r="L4122" s="27"/>
    </row>
    <row r="4123" spans="1:12">
      <c r="A4123" s="20" t="s">
        <v>267</v>
      </c>
      <c r="E4123" s="22">
        <f>IF(D4123="?OLD","!!!","")</f>
        <v/>
      </c>
      <c r="F4123" s="23" t="str">
        <f>IF(OR(E4123="",E4123="!!!"),"",IF(NOT(ISNA(VLOOKUP(E4123,E$1:E4122,1,FALSE()))),"OLD",IF(AND(E4123&lt;&gt;"",E4123&lt;&gt;"!!!"),"NEW","")))</f>
        <v> </v>
      </c>
      <c r="G4123" s="24" t="str">
        <f>IF(OR(E4123="",E4123="!!!"),"",IF(OR(J4123=0,AND(J4123=1,K4123=1),AND(J4123=1,I4123="SBJ"),AND(J4123=1,I4123=0)),"?IN_FOCUS",IF(J4123&lt;=2,"?ACTIVATED",IF(J4123&lt;&gt;"","?FAMILIAR",IF(F4123="NEW",IF(ISNA(VLOOKUP(E4123,#REF!,1,FALSE())),"?TYPE_IDENTIFIABLE","?REFERENTIAL"),"_")))))</f>
        <v> </v>
      </c>
      <c r="H4123" s="25" t="str">
        <f>IF(J4123&lt;&gt;1,"",IF(I4123="SBJ","CB","?"))</f>
        <v> </v>
      </c>
      <c r="I4123" s="26" t="str">
        <f>IF(OR(E4123="",E4123="!!!",F4123="NEW"),"",INDEX(B4122:B$2,-1+SUMPRODUCT(MAX(ROW(E4122:E$2)*(E4123=E4122:E$2)))))</f>
        <v> </v>
      </c>
      <c r="J4123" s="26" t="str">
        <f>IF(OR(E4123="",E4123="!!!",F4123="NEW"),"",COUNTBLANK(OFFSET(A$1,,,SUMPRODUCT(MAX(ROW(E$2:E4123)*(E4123=E$2:E4123)))))-COUNTBLANK(OFFSET(A$1,,,SUMPRODUCT(MAX(ROW(E$1:E4122)*(E2=E$1:E4122))))))</f>
        <v> </v>
      </c>
      <c r="K4123" s="26" t="str">
        <f>IF(OR(E4123="",E4123="!!!",F4123="NEW"),"",INDEX(J$1:J4122,SUMPRODUCT(MAX(ROW(E$1:E4122)*(E4123=E$1:E4122)))))</f>
        <v> </v>
      </c>
      <c r="L4123" s="27"/>
    </row>
    <row r="4124" spans="1:12">
      <c r="A4124" s="20" t="s">
        <v>1285</v>
      </c>
      <c r="E4124" s="22">
        <f>IF(D4124="?OLD","!!!","")</f>
        <v/>
      </c>
      <c r="F4124" s="23" t="str">
        <f>IF(OR(E4124="",E4124="!!!"),"",IF(NOT(ISNA(VLOOKUP(E4124,E$1:E4123,1,FALSE()))),"OLD",IF(AND(E4124&lt;&gt;"",E4124&lt;&gt;"!!!"),"NEW","")))</f>
        <v> </v>
      </c>
      <c r="G4124" s="24" t="str">
        <f>IF(OR(E4124="",E4124="!!!"),"",IF(OR(J4124=0,AND(J4124=1,K4124=1),AND(J4124=1,I4124="SBJ"),AND(J4124=1,I4124=0)),"?IN_FOCUS",IF(J4124&lt;=2,"?ACTIVATED",IF(J4124&lt;&gt;"","?FAMILIAR",IF(F4124="NEW",IF(ISNA(VLOOKUP(E4124,#REF!,1,FALSE())),"?TYPE_IDENTIFIABLE","?REFERENTIAL"),"_")))))</f>
        <v> </v>
      </c>
      <c r="H4124" s="25" t="str">
        <f>IF(J4124&lt;&gt;1,"",IF(I4124="SBJ","CB","?"))</f>
        <v> </v>
      </c>
      <c r="I4124" s="26" t="str">
        <f>IF(OR(E4124="",E4124="!!!",F4124="NEW"),"",INDEX(B4123:B$2,-1+SUMPRODUCT(MAX(ROW(E4123:E$2)*(E4124=E4123:E$2)))))</f>
        <v> </v>
      </c>
      <c r="J4124" s="26" t="str">
        <f>IF(OR(E4124="",E4124="!!!",F4124="NEW"),"",COUNTBLANK(OFFSET(A$1,,,SUMPRODUCT(MAX(ROW(E$2:E4124)*(E4124=E$2:E4124)))))-COUNTBLANK(OFFSET(A$1,,,SUMPRODUCT(MAX(ROW(E$1:E4123)*(E2=E$1:E4123))))))</f>
        <v> </v>
      </c>
      <c r="K4124" s="26" t="str">
        <f>IF(OR(E4124="",E4124="!!!",F4124="NEW"),"",INDEX(J$1:J4123,SUMPRODUCT(MAX(ROW(E$1:E4123)*(E4124=E$1:E4123)))))</f>
        <v> </v>
      </c>
      <c r="L4124" s="27"/>
    </row>
    <row r="4125" spans="1:12">
      <c r="A4125" s="20" t="s">
        <v>1289</v>
      </c>
      <c r="E4125" s="22">
        <f>IF(D4125="?OLD","!!!","")</f>
        <v/>
      </c>
      <c r="F4125" s="23" t="str">
        <f>IF(OR(E4125="",E4125="!!!"),"",IF(NOT(ISNA(VLOOKUP(E4125,E$1:E4124,1,FALSE()))),"OLD",IF(AND(E4125&lt;&gt;"",E4125&lt;&gt;"!!!"),"NEW","")))</f>
        <v> </v>
      </c>
      <c r="G4125" s="24" t="str">
        <f>IF(OR(E4125="",E4125="!!!"),"",IF(OR(J4125=0,AND(J4125=1,K4125=1),AND(J4125=1,I4125="SBJ"),AND(J4125=1,I4125=0)),"?IN_FOCUS",IF(J4125&lt;=2,"?ACTIVATED",IF(J4125&lt;&gt;"","?FAMILIAR",IF(F4125="NEW",IF(ISNA(VLOOKUP(E4125,#REF!,1,FALSE())),"?TYPE_IDENTIFIABLE","?REFERENTIAL"),"_")))))</f>
        <v> </v>
      </c>
      <c r="H4125" s="25" t="str">
        <f>IF(J4125&lt;&gt;1,"",IF(I4125="SBJ","CB","?"))</f>
        <v> </v>
      </c>
      <c r="I4125" s="26" t="str">
        <f>IF(OR(E4125="",E4125="!!!",F4125="NEW"),"",INDEX(B4124:B$2,-1+SUMPRODUCT(MAX(ROW(E4124:E$2)*(E4125=E4124:E$2)))))</f>
        <v> </v>
      </c>
      <c r="J4125" s="26" t="str">
        <f>IF(OR(E4125="",E4125="!!!",F4125="NEW"),"",COUNTBLANK(OFFSET(A$1,,,SUMPRODUCT(MAX(ROW(E$2:E4125)*(E4125=E$2:E4125)))))-COUNTBLANK(OFFSET(A$1,,,SUMPRODUCT(MAX(ROW(E$1:E4124)*(E2=E$1:E4124))))))</f>
        <v> </v>
      </c>
      <c r="K4125" s="26" t="str">
        <f>IF(OR(E4125="",E4125="!!!",F4125="NEW"),"",INDEX(J$1:J4124,SUMPRODUCT(MAX(ROW(E$1:E4124)*(E4125=E$1:E4124)))))</f>
        <v> </v>
      </c>
      <c r="L4125" s="27"/>
    </row>
    <row r="4126" spans="1:12">
      <c r="A4126" s="20" t="s">
        <v>1246</v>
      </c>
      <c r="E4126" s="22">
        <f>IF(D4126="?OLD","!!!","")</f>
        <v/>
      </c>
      <c r="F4126" s="23" t="str">
        <f>IF(OR(E4126="",E4126="!!!"),"",IF(NOT(ISNA(VLOOKUP(E4126,E$1:E4125,1,FALSE()))),"OLD",IF(AND(E4126&lt;&gt;"",E4126&lt;&gt;"!!!"),"NEW","")))</f>
        <v> </v>
      </c>
      <c r="G4126" s="24" t="str">
        <f>IF(OR(E4126="",E4126="!!!"),"",IF(OR(J4126=0,AND(J4126=1,K4126=1),AND(J4126=1,I4126="SBJ"),AND(J4126=1,I4126=0)),"?IN_FOCUS",IF(J4126&lt;=2,"?ACTIVATED",IF(J4126&lt;&gt;"","?FAMILIAR",IF(F4126="NEW",IF(ISNA(VLOOKUP(E4126,#REF!,1,FALSE())),"?TYPE_IDENTIFIABLE","?REFERENTIAL"),"_")))))</f>
        <v> </v>
      </c>
      <c r="H4126" s="25" t="str">
        <f>IF(J4126&lt;&gt;1,"",IF(I4126="SBJ","CB","?"))</f>
        <v> </v>
      </c>
      <c r="I4126" s="26" t="str">
        <f>IF(OR(E4126="",E4126="!!!",F4126="NEW"),"",INDEX(B4125:B$2,-1+SUMPRODUCT(MAX(ROW(E4125:E$2)*(E4126=E4125:E$2)))))</f>
        <v> </v>
      </c>
      <c r="J4126" s="26" t="str">
        <f>IF(OR(E4126="",E4126="!!!",F4126="NEW"),"",COUNTBLANK(OFFSET(A$1,,,SUMPRODUCT(MAX(ROW(E$2:E4126)*(E4126=E$2:E4126)))))-COUNTBLANK(OFFSET(A$1,,,SUMPRODUCT(MAX(ROW(E$1:E4125)*(E2=E$1:E4125))))))</f>
        <v> </v>
      </c>
      <c r="K4126" s="26" t="str">
        <f>IF(OR(E4126="",E4126="!!!",F4126="NEW"),"",INDEX(J$1:J4125,SUMPRODUCT(MAX(ROW(E$1:E4125)*(E4126=E$1:E4125)))))</f>
        <v> </v>
      </c>
      <c r="L4126" s="27"/>
    </row>
    <row r="4127" spans="1:12">
      <c r="A4127" s="20" t="s">
        <v>1585</v>
      </c>
      <c r="E4127" s="22">
        <f>IF(D4127="?OLD","!!!","")</f>
        <v/>
      </c>
      <c r="F4127" s="23" t="str">
        <f>IF(OR(E4127="",E4127="!!!"),"",IF(NOT(ISNA(VLOOKUP(E4127,E$1:E4126,1,FALSE()))),"OLD",IF(AND(E4127&lt;&gt;"",E4127&lt;&gt;"!!!"),"NEW","")))</f>
        <v> </v>
      </c>
      <c r="G4127" s="24" t="str">
        <f>IF(OR(E4127="",E4127="!!!"),"",IF(OR(J4127=0,AND(J4127=1,K4127=1),AND(J4127=1,I4127="SBJ"),AND(J4127=1,I4127=0)),"?IN_FOCUS",IF(J4127&lt;=2,"?ACTIVATED",IF(J4127&lt;&gt;"","?FAMILIAR",IF(F4127="NEW",IF(ISNA(VLOOKUP(E4127,#REF!,1,FALSE())),"?TYPE_IDENTIFIABLE","?REFERENTIAL"),"_")))))</f>
        <v> </v>
      </c>
      <c r="H4127" s="25" t="str">
        <f>IF(J4127&lt;&gt;1,"",IF(I4127="SBJ","CB","?"))</f>
        <v> </v>
      </c>
      <c r="I4127" s="26" t="str">
        <f>IF(OR(E4127="",E4127="!!!",F4127="NEW"),"",INDEX(B4126:B$2,-1+SUMPRODUCT(MAX(ROW(E4126:E$2)*(E4127=E4126:E$2)))))</f>
        <v> </v>
      </c>
      <c r="J4127" s="26" t="str">
        <f>IF(OR(E4127="",E4127="!!!",F4127="NEW"),"",COUNTBLANK(OFFSET(A$1,,,SUMPRODUCT(MAX(ROW(E$2:E4127)*(E4127=E$2:E4127)))))-COUNTBLANK(OFFSET(A$1,,,SUMPRODUCT(MAX(ROW(E$1:E4126)*(E2=E$1:E4126))))))</f>
        <v> </v>
      </c>
      <c r="K4127" s="26" t="str">
        <f>IF(OR(E4127="",E4127="!!!",F4127="NEW"),"",INDEX(J$1:J4126,SUMPRODUCT(MAX(ROW(E$1:E4126)*(E4127=E$1:E4126)))))</f>
        <v> </v>
      </c>
      <c r="L4127" s="27"/>
    </row>
    <row r="4128" spans="1:12">
      <c r="A4128" s="20" t="s">
        <v>1240</v>
      </c>
      <c r="E4128" s="22">
        <f>IF(D4128="?OLD","!!!","")</f>
        <v/>
      </c>
      <c r="F4128" s="23" t="str">
        <f>IF(OR(E4128="",E4128="!!!"),"",IF(NOT(ISNA(VLOOKUP(E4128,E$1:E4127,1,FALSE()))),"OLD",IF(AND(E4128&lt;&gt;"",E4128&lt;&gt;"!!!"),"NEW","")))</f>
        <v> </v>
      </c>
      <c r="G4128" s="24" t="str">
        <f>IF(OR(E4128="",E4128="!!!"),"",IF(OR(J4128=0,AND(J4128=1,K4128=1),AND(J4128=1,I4128="SBJ"),AND(J4128=1,I4128=0)),"?IN_FOCUS",IF(J4128&lt;=2,"?ACTIVATED",IF(J4128&lt;&gt;"","?FAMILIAR",IF(F4128="NEW",IF(ISNA(VLOOKUP(E4128,#REF!,1,FALSE())),"?TYPE_IDENTIFIABLE","?REFERENTIAL"),"_")))))</f>
        <v> </v>
      </c>
      <c r="H4128" s="25" t="str">
        <f>IF(J4128&lt;&gt;1,"",IF(I4128="SBJ","CB","?"))</f>
        <v> </v>
      </c>
      <c r="I4128" s="26" t="str">
        <f>IF(OR(E4128="",E4128="!!!",F4128="NEW"),"",INDEX(B4127:B$2,-1+SUMPRODUCT(MAX(ROW(E4127:E$2)*(E4128=E4127:E$2)))))</f>
        <v> </v>
      </c>
      <c r="J4128" s="26" t="str">
        <f>IF(OR(E4128="",E4128="!!!",F4128="NEW"),"",COUNTBLANK(OFFSET(A$1,,,SUMPRODUCT(MAX(ROW(E$2:E4128)*(E4128=E$2:E4128)))))-COUNTBLANK(OFFSET(A$1,,,SUMPRODUCT(MAX(ROW(E$1:E4127)*(E2=E$1:E4127))))))</f>
        <v> </v>
      </c>
      <c r="K4128" s="26" t="str">
        <f>IF(OR(E4128="",E4128="!!!",F4128="NEW"),"",INDEX(J$1:J4127,SUMPRODUCT(MAX(ROW(E$1:E4127)*(E4128=E$1:E4127)))))</f>
        <v> </v>
      </c>
      <c r="L4128" s="27"/>
    </row>
    <row r="4129" spans="1:12">
      <c r="A4129" s="20" t="s">
        <v>1178</v>
      </c>
      <c r="E4129" s="22">
        <f>IF(D4129="?OLD","!!!","")</f>
        <v/>
      </c>
      <c r="F4129" s="23" t="str">
        <f>IF(OR(E4129="",E4129="!!!"),"",IF(NOT(ISNA(VLOOKUP(E4129,E$1:E4128,1,FALSE()))),"OLD",IF(AND(E4129&lt;&gt;"",E4129&lt;&gt;"!!!"),"NEW","")))</f>
        <v> </v>
      </c>
      <c r="G4129" s="24" t="str">
        <f>IF(OR(E4129="",E4129="!!!"),"",IF(OR(J4129=0,AND(J4129=1,K4129=1),AND(J4129=1,I4129="SBJ"),AND(J4129=1,I4129=0)),"?IN_FOCUS",IF(J4129&lt;=2,"?ACTIVATED",IF(J4129&lt;&gt;"","?FAMILIAR",IF(F4129="NEW",IF(ISNA(VLOOKUP(E4129,#REF!,1,FALSE())),"?TYPE_IDENTIFIABLE","?REFERENTIAL"),"_")))))</f>
        <v> </v>
      </c>
      <c r="H4129" s="25" t="str">
        <f>IF(J4129&lt;&gt;1,"",IF(I4129="SBJ","CB","?"))</f>
        <v> </v>
      </c>
      <c r="I4129" s="26" t="str">
        <f>IF(OR(E4129="",E4129="!!!",F4129="NEW"),"",INDEX(B4128:B$2,-1+SUMPRODUCT(MAX(ROW(E4128:E$2)*(E4129=E4128:E$2)))))</f>
        <v> </v>
      </c>
      <c r="J4129" s="26" t="str">
        <f>IF(OR(E4129="",E4129="!!!",F4129="NEW"),"",COUNTBLANK(OFFSET(A$1,,,SUMPRODUCT(MAX(ROW(E$2:E4129)*(E4129=E$2:E4129)))))-COUNTBLANK(OFFSET(A$1,,,SUMPRODUCT(MAX(ROW(E$1:E4128)*(E2=E$1:E4128))))))</f>
        <v> </v>
      </c>
      <c r="K4129" s="26" t="str">
        <f>IF(OR(E4129="",E4129="!!!",F4129="NEW"),"",INDEX(J$1:J4128,SUMPRODUCT(MAX(ROW(E$1:E4128)*(E4129=E$1:E4128)))))</f>
        <v> </v>
      </c>
      <c r="L4129" s="27"/>
    </row>
    <row r="4130" spans="1:12">
      <c r="A4130" s="20" t="s">
        <v>1240</v>
      </c>
      <c r="E4130" s="22">
        <f>IF(D4130="?OLD","!!!","")</f>
        <v/>
      </c>
      <c r="F4130" s="23" t="str">
        <f>IF(OR(E4130="",E4130="!!!"),"",IF(NOT(ISNA(VLOOKUP(E4130,E$1:E4129,1,FALSE()))),"OLD",IF(AND(E4130&lt;&gt;"",E4130&lt;&gt;"!!!"),"NEW","")))</f>
        <v> </v>
      </c>
      <c r="G4130" s="24" t="str">
        <f>IF(OR(E4130="",E4130="!!!"),"",IF(OR(J4130=0,AND(J4130=1,K4130=1),AND(J4130=1,I4130="SBJ"),AND(J4130=1,I4130=0)),"?IN_FOCUS",IF(J4130&lt;=2,"?ACTIVATED",IF(J4130&lt;&gt;"","?FAMILIAR",IF(F4130="NEW",IF(ISNA(VLOOKUP(E4130,#REF!,1,FALSE())),"?TYPE_IDENTIFIABLE","?REFERENTIAL"),"_")))))</f>
        <v> </v>
      </c>
      <c r="H4130" s="25" t="str">
        <f>IF(J4130&lt;&gt;1,"",IF(I4130="SBJ","CB","?"))</f>
        <v> </v>
      </c>
      <c r="I4130" s="26" t="str">
        <f>IF(OR(E4130="",E4130="!!!",F4130="NEW"),"",INDEX(B4129:B$2,-1+SUMPRODUCT(MAX(ROW(E4129:E$2)*(E4130=E4129:E$2)))))</f>
        <v> </v>
      </c>
      <c r="J4130" s="26" t="str">
        <f>IF(OR(E4130="",E4130="!!!",F4130="NEW"),"",COUNTBLANK(OFFSET(A$1,,,SUMPRODUCT(MAX(ROW(E$2:E4130)*(E4130=E$2:E4130)))))-COUNTBLANK(OFFSET(A$1,,,SUMPRODUCT(MAX(ROW(E$1:E4129)*(E2=E$1:E4129))))))</f>
        <v> </v>
      </c>
      <c r="K4130" s="26" t="str">
        <f>IF(OR(E4130="",E4130="!!!",F4130="NEW"),"",INDEX(J$1:J4129,SUMPRODUCT(MAX(ROW(E$1:E4129)*(E4130=E$1:E4129)))))</f>
        <v> </v>
      </c>
      <c r="L4130" s="27"/>
    </row>
    <row r="4131" spans="1:12">
      <c r="A4131" s="20" t="s">
        <v>197</v>
      </c>
      <c r="E4131" s="22">
        <f>IF(D4131="?OLD","!!!","")</f>
        <v/>
      </c>
      <c r="F4131" s="23" t="str">
        <f>IF(OR(E4131="",E4131="!!!"),"",IF(NOT(ISNA(VLOOKUP(E4131,E$1:E4130,1,FALSE()))),"OLD",IF(AND(E4131&lt;&gt;"",E4131&lt;&gt;"!!!"),"NEW","")))</f>
        <v> </v>
      </c>
      <c r="G4131" s="24" t="str">
        <f>IF(OR(E4131="",E4131="!!!"),"",IF(OR(J4131=0,AND(J4131=1,K4131=1),AND(J4131=1,I4131="SBJ"),AND(J4131=1,I4131=0)),"?IN_FOCUS",IF(J4131&lt;=2,"?ACTIVATED",IF(J4131&lt;&gt;"","?FAMILIAR",IF(F4131="NEW",IF(ISNA(VLOOKUP(E4131,#REF!,1,FALSE())),"?TYPE_IDENTIFIABLE","?REFERENTIAL"),"_")))))</f>
        <v> </v>
      </c>
      <c r="H4131" s="25" t="str">
        <f>IF(J4131&lt;&gt;1,"",IF(I4131="SBJ","CB","?"))</f>
        <v> </v>
      </c>
      <c r="I4131" s="26" t="str">
        <f>IF(OR(E4131="",E4131="!!!",F4131="NEW"),"",INDEX(B4130:B$2,-1+SUMPRODUCT(MAX(ROW(E4130:E$2)*(E4131=E4130:E$2)))))</f>
        <v> </v>
      </c>
      <c r="J4131" s="26" t="str">
        <f>IF(OR(E4131="",E4131="!!!",F4131="NEW"),"",COUNTBLANK(OFFSET(A$1,,,SUMPRODUCT(MAX(ROW(E$2:E4131)*(E4131=E$2:E4131)))))-COUNTBLANK(OFFSET(A$1,,,SUMPRODUCT(MAX(ROW(E$1:E4130)*(E2=E$1:E4130))))))</f>
        <v> </v>
      </c>
      <c r="K4131" s="26" t="str">
        <f>IF(OR(E4131="",E4131="!!!",F4131="NEW"),"",INDEX(J$1:J4130,SUMPRODUCT(MAX(ROW(E$1:E4130)*(E4131=E$1:E4130)))))</f>
        <v> </v>
      </c>
      <c r="L4131" s="27"/>
    </row>
    <row r="4132" spans="1:12">
      <c r="A4132" s="20" t="s">
        <v>1319</v>
      </c>
      <c r="B4132" s="21" t="s">
        <v>1161</v>
      </c>
      <c r="C4132" s="21" t="s">
        <v>1214</v>
      </c>
      <c r="E4132" s="22">
        <f>IF(D4132="?OLD","!!!","")</f>
        <v/>
      </c>
      <c r="F4132" s="23" t="str">
        <f>IF(OR(E4132="",E4132="!!!"),"",IF(NOT(ISNA(VLOOKUP(E4132,E$1:E4131,1,FALSE()))),"OLD",IF(AND(E4132&lt;&gt;"",E4132&lt;&gt;"!!!"),"NEW","")))</f>
        <v> </v>
      </c>
      <c r="G4132" s="24" t="str">
        <f>IF(OR(E4132="",E4132="!!!"),"",IF(OR(J4132=0,AND(J4132=1,K4132=1),AND(J4132=1,I4132="SBJ"),AND(J4132=1,I4132=0)),"?IN_FOCUS",IF(J4132&lt;=2,"?ACTIVATED",IF(J4132&lt;&gt;"","?FAMILIAR",IF(F4132="NEW",IF(ISNA(VLOOKUP(E4132,#REF!,1,FALSE())),"?TYPE_IDENTIFIABLE","?REFERENTIAL"),"_")))))</f>
        <v> </v>
      </c>
      <c r="H4132" s="25" t="str">
        <f>IF(J4132&lt;&gt;1,"",IF(I4132="SBJ","CB","?"))</f>
        <v> </v>
      </c>
      <c r="I4132" s="26" t="str">
        <f>IF(OR(E4132="",E4132="!!!",F4132="NEW"),"",INDEX(B4131:B$2,-1+SUMPRODUCT(MAX(ROW(E4131:E$2)*(E4132=E4131:E$2)))))</f>
        <v> </v>
      </c>
      <c r="J4132" s="26" t="str">
        <f>IF(OR(E4132="",E4132="!!!",F4132="NEW"),"",COUNTBLANK(OFFSET(A$1,,,SUMPRODUCT(MAX(ROW(E$2:E4132)*(E4132=E$2:E4132)))))-COUNTBLANK(OFFSET(A$1,,,SUMPRODUCT(MAX(ROW(E$1:E4131)*(E2=E$1:E4131))))))</f>
        <v> </v>
      </c>
      <c r="K4132" s="26" t="str">
        <f>IF(OR(E4132="",E4132="!!!",F4132="NEW"),"",INDEX(J$1:J4131,SUMPRODUCT(MAX(ROW(E$1:E4131)*(E4132=E$1:E4131)))))</f>
        <v> </v>
      </c>
      <c r="L4132" s="27"/>
    </row>
    <row r="4133" spans="1:12">
      <c r="A4133" s="20" t="s">
        <v>1520</v>
      </c>
      <c r="E4133" s="22">
        <f>IF(D4133="?OLD","!!!","")</f>
        <v/>
      </c>
      <c r="F4133" s="23" t="str">
        <f>IF(OR(E4133="",E4133="!!!"),"",IF(NOT(ISNA(VLOOKUP(E4133,E$1:E4132,1,FALSE()))),"OLD",IF(AND(E4133&lt;&gt;"",E4133&lt;&gt;"!!!"),"NEW","")))</f>
        <v> </v>
      </c>
      <c r="G4133" s="24" t="str">
        <f>IF(OR(E4133="",E4133="!!!"),"",IF(OR(J4133=0,AND(J4133=1,K4133=1),AND(J4133=1,I4133="SBJ"),AND(J4133=1,I4133=0)),"?IN_FOCUS",IF(J4133&lt;=2,"?ACTIVATED",IF(J4133&lt;&gt;"","?FAMILIAR",IF(F4133="NEW",IF(ISNA(VLOOKUP(E4133,#REF!,1,FALSE())),"?TYPE_IDENTIFIABLE","?REFERENTIAL"),"_")))))</f>
        <v> </v>
      </c>
      <c r="H4133" s="25" t="str">
        <f>IF(J4133&lt;&gt;1,"",IF(I4133="SBJ","CB","?"))</f>
        <v> </v>
      </c>
      <c r="I4133" s="26" t="str">
        <f>IF(OR(E4133="",E4133="!!!",F4133="NEW"),"",INDEX(B4132:B$2,-1+SUMPRODUCT(MAX(ROW(E4132:E$2)*(E4133=E4132:E$2)))))</f>
        <v> </v>
      </c>
      <c r="J4133" s="26" t="str">
        <f>IF(OR(E4133="",E4133="!!!",F4133="NEW"),"",COUNTBLANK(OFFSET(A$1,,,SUMPRODUCT(MAX(ROW(E$2:E4133)*(E4133=E$2:E4133)))))-COUNTBLANK(OFFSET(A$1,,,SUMPRODUCT(MAX(ROW(E$1:E4132)*(E2=E$1:E4132))))))</f>
        <v> </v>
      </c>
      <c r="K4133" s="26" t="str">
        <f>IF(OR(E4133="",E4133="!!!",F4133="NEW"),"",INDEX(J$1:J4132,SUMPRODUCT(MAX(ROW(E$1:E4132)*(E4133=E$1:E4132)))))</f>
        <v> </v>
      </c>
      <c r="L4133" s="27"/>
    </row>
    <row r="4134" spans="1:12">
      <c r="A4134" s="20" t="s">
        <v>1240</v>
      </c>
      <c r="E4134" s="22">
        <f>IF(D4134="?OLD","!!!","")</f>
        <v/>
      </c>
      <c r="F4134" s="23" t="str">
        <f>IF(OR(E4134="",E4134="!!!"),"",IF(NOT(ISNA(VLOOKUP(E4134,E$1:E4133,1,FALSE()))),"OLD",IF(AND(E4134&lt;&gt;"",E4134&lt;&gt;"!!!"),"NEW","")))</f>
        <v> </v>
      </c>
      <c r="G4134" s="24" t="str">
        <f>IF(OR(E4134="",E4134="!!!"),"",IF(OR(J4134=0,AND(J4134=1,K4134=1),AND(J4134=1,I4134="SBJ"),AND(J4134=1,I4134=0)),"?IN_FOCUS",IF(J4134&lt;=2,"?ACTIVATED",IF(J4134&lt;&gt;"","?FAMILIAR",IF(F4134="NEW",IF(ISNA(VLOOKUP(E4134,#REF!,1,FALSE())),"?TYPE_IDENTIFIABLE","?REFERENTIAL"),"_")))))</f>
        <v> </v>
      </c>
      <c r="H4134" s="25" t="str">
        <f>IF(J4134&lt;&gt;1,"",IF(I4134="SBJ","CB","?"))</f>
        <v> </v>
      </c>
      <c r="I4134" s="26" t="str">
        <f>IF(OR(E4134="",E4134="!!!",F4134="NEW"),"",INDEX(B4133:B$2,-1+SUMPRODUCT(MAX(ROW(E4133:E$2)*(E4134=E4133:E$2)))))</f>
        <v> </v>
      </c>
      <c r="J4134" s="26" t="str">
        <f>IF(OR(E4134="",E4134="!!!",F4134="NEW"),"",COUNTBLANK(OFFSET(A$1,,,SUMPRODUCT(MAX(ROW(E$2:E4134)*(E4134=E$2:E4134)))))-COUNTBLANK(OFFSET(A$1,,,SUMPRODUCT(MAX(ROW(E$1:E4133)*(E2=E$1:E4133))))))</f>
        <v> </v>
      </c>
      <c r="K4134" s="26" t="str">
        <f>IF(OR(E4134="",E4134="!!!",F4134="NEW"),"",INDEX(J$1:J4133,SUMPRODUCT(MAX(ROW(E$1:E4133)*(E4134=E$1:E4133)))))</f>
        <v> </v>
      </c>
      <c r="L4134" s="27"/>
    </row>
    <row r="4135" spans="1:12">
      <c r="A4135" s="20" t="s">
        <v>84</v>
      </c>
      <c r="E4135" s="22">
        <f>IF(D4135="?OLD","!!!","")</f>
        <v/>
      </c>
      <c r="F4135" s="23" t="str">
        <f>IF(OR(E4135="",E4135="!!!"),"",IF(NOT(ISNA(VLOOKUP(E4135,E$1:E4134,1,FALSE()))),"OLD",IF(AND(E4135&lt;&gt;"",E4135&lt;&gt;"!!!"),"NEW","")))</f>
        <v> </v>
      </c>
      <c r="G4135" s="24" t="str">
        <f>IF(OR(E4135="",E4135="!!!"),"",IF(OR(J4135=0,AND(J4135=1,K4135=1),AND(J4135=1,I4135="SBJ"),AND(J4135=1,I4135=0)),"?IN_FOCUS",IF(J4135&lt;=2,"?ACTIVATED",IF(J4135&lt;&gt;"","?FAMILIAR",IF(F4135="NEW",IF(ISNA(VLOOKUP(E4135,#REF!,1,FALSE())),"?TYPE_IDENTIFIABLE","?REFERENTIAL"),"_")))))</f>
        <v> </v>
      </c>
      <c r="H4135" s="25" t="str">
        <f>IF(J4135&lt;&gt;1,"",IF(I4135="SBJ","CB","?"))</f>
        <v> </v>
      </c>
      <c r="I4135" s="26" t="str">
        <f>IF(OR(E4135="",E4135="!!!",F4135="NEW"),"",INDEX(B4134:B$2,-1+SUMPRODUCT(MAX(ROW(E4134:E$2)*(E4135=E4134:E$2)))))</f>
        <v> </v>
      </c>
      <c r="J4135" s="26" t="str">
        <f>IF(OR(E4135="",E4135="!!!",F4135="NEW"),"",COUNTBLANK(OFFSET(A$1,,,SUMPRODUCT(MAX(ROW(E$2:E4135)*(E4135=E$2:E4135)))))-COUNTBLANK(OFFSET(A$1,,,SUMPRODUCT(MAX(ROW(E$1:E4134)*(E2=E$1:E4134))))))</f>
        <v> </v>
      </c>
      <c r="K4135" s="26" t="str">
        <f>IF(OR(E4135="",E4135="!!!",F4135="NEW"),"",INDEX(J$1:J4134,SUMPRODUCT(MAX(ROW(E$1:E4134)*(E4135=E$1:E4134)))))</f>
        <v> </v>
      </c>
      <c r="L4135" s="27"/>
    </row>
    <row r="4136" spans="1:12">
      <c r="A4136" s="20" t="s">
        <v>1319</v>
      </c>
      <c r="B4136" s="21" t="s">
        <v>1161</v>
      </c>
      <c r="C4136" s="21" t="s">
        <v>1214</v>
      </c>
      <c r="E4136" s="22">
        <f>IF(D4136="?OLD","!!!","")</f>
        <v/>
      </c>
      <c r="F4136" s="23" t="str">
        <f>IF(OR(E4136="",E4136="!!!"),"",IF(NOT(ISNA(VLOOKUP(E4136,E$1:E4135,1,FALSE()))),"OLD",IF(AND(E4136&lt;&gt;"",E4136&lt;&gt;"!!!"),"NEW","")))</f>
        <v> </v>
      </c>
      <c r="G4136" s="24" t="str">
        <f>IF(OR(E4136="",E4136="!!!"),"",IF(OR(J4136=0,AND(J4136=1,K4136=1),AND(J4136=1,I4136="SBJ"),AND(J4136=1,I4136=0)),"?IN_FOCUS",IF(J4136&lt;=2,"?ACTIVATED",IF(J4136&lt;&gt;"","?FAMILIAR",IF(F4136="NEW",IF(ISNA(VLOOKUP(E4136,#REF!,1,FALSE())),"?TYPE_IDENTIFIABLE","?REFERENTIAL"),"_")))))</f>
        <v> </v>
      </c>
      <c r="H4136" s="25" t="str">
        <f>IF(J4136&lt;&gt;1,"",IF(I4136="SBJ","CB","?"))</f>
        <v> </v>
      </c>
      <c r="I4136" s="26" t="str">
        <f>IF(OR(E4136="",E4136="!!!",F4136="NEW"),"",INDEX(B4135:B$2,-1+SUMPRODUCT(MAX(ROW(E4135:E$2)*(E4136=E4135:E$2)))))</f>
        <v> </v>
      </c>
      <c r="J4136" s="26" t="str">
        <f>IF(OR(E4136="",E4136="!!!",F4136="NEW"),"",COUNTBLANK(OFFSET(A$1,,,SUMPRODUCT(MAX(ROW(E$2:E4136)*(E4136=E$2:E4136)))))-COUNTBLANK(OFFSET(A$1,,,SUMPRODUCT(MAX(ROW(E$1:E4135)*(E2=E$1:E4135))))))</f>
        <v> </v>
      </c>
      <c r="K4136" s="26" t="str">
        <f>IF(OR(E4136="",E4136="!!!",F4136="NEW"),"",INDEX(J$1:J4135,SUMPRODUCT(MAX(ROW(E$1:E4135)*(E4136=E$1:E4135)))))</f>
        <v> </v>
      </c>
      <c r="L4136" s="27"/>
    </row>
    <row r="4137" spans="1:12">
      <c r="A4137" s="20" t="s">
        <v>312</v>
      </c>
      <c r="E4137" s="22">
        <f>IF(D4137="?OLD","!!!","")</f>
        <v/>
      </c>
      <c r="F4137" s="23" t="str">
        <f>IF(OR(E4137="",E4137="!!!"),"",IF(NOT(ISNA(VLOOKUP(E4137,E$1:E4136,1,FALSE()))),"OLD",IF(AND(E4137&lt;&gt;"",E4137&lt;&gt;"!!!"),"NEW","")))</f>
        <v> </v>
      </c>
      <c r="G4137" s="24" t="str">
        <f>IF(OR(E4137="",E4137="!!!"),"",IF(OR(J4137=0,AND(J4137=1,K4137=1),AND(J4137=1,I4137="SBJ"),AND(J4137=1,I4137=0)),"?IN_FOCUS",IF(J4137&lt;=2,"?ACTIVATED",IF(J4137&lt;&gt;"","?FAMILIAR",IF(F4137="NEW",IF(ISNA(VLOOKUP(E4137,#REF!,1,FALSE())),"?TYPE_IDENTIFIABLE","?REFERENTIAL"),"_")))))</f>
        <v> </v>
      </c>
      <c r="H4137" s="25" t="str">
        <f>IF(J4137&lt;&gt;1,"",IF(I4137="SBJ","CB","?"))</f>
        <v> </v>
      </c>
      <c r="I4137" s="26" t="str">
        <f>IF(OR(E4137="",E4137="!!!",F4137="NEW"),"",INDEX(B4136:B$2,-1+SUMPRODUCT(MAX(ROW(E4136:E$2)*(E4137=E4136:E$2)))))</f>
        <v> </v>
      </c>
      <c r="J4137" s="26" t="str">
        <f>IF(OR(E4137="",E4137="!!!",F4137="NEW"),"",COUNTBLANK(OFFSET(A$1,,,SUMPRODUCT(MAX(ROW(E$2:E4137)*(E4137=E$2:E4137)))))-COUNTBLANK(OFFSET(A$1,,,SUMPRODUCT(MAX(ROW(E$1:E4136)*(E2=E$1:E4136))))))</f>
        <v> </v>
      </c>
      <c r="K4137" s="26" t="str">
        <f>IF(OR(E4137="",E4137="!!!",F4137="NEW"),"",INDEX(J$1:J4136,SUMPRODUCT(MAX(ROW(E$1:E4136)*(E4137=E$1:E4136)))))</f>
        <v> </v>
      </c>
      <c r="L4137" s="27"/>
    </row>
    <row r="4138" spans="1:12">
      <c r="A4138" s="20"/>
    </row>
    <row r="4139" spans="1:12">
      <c r="A4139" s="20" t="s">
        <v>2355</v>
      </c>
    </row>
    <row r="4140" spans="1:12">
      <c r="A4140" s="20" t="s">
        <v>1417</v>
      </c>
      <c r="B4140" s="21" t="s">
        <v>1165</v>
      </c>
      <c r="C4140" s="21" t="s">
        <v>1168</v>
      </c>
      <c r="D4140" s="21" t="s">
        <v>1144</v>
      </c>
      <c r="E4140" s="22">
        <f>IF(D4140="?OLD","!!!","")</f>
        <v/>
      </c>
      <c r="F4140" s="23" t="str">
        <f>IF(OR(E4140="",E4140="!!!"),"",IF(NOT(ISNA(VLOOKUP(E4140,E$1:E4139,1,FALSE()))),"OLD",IF(AND(E4140&lt;&gt;"",E4140&lt;&gt;"!!!"),"NEW","")))</f>
        <v> </v>
      </c>
      <c r="G4140" s="24" t="str">
        <f>IF(OR(E4140="",E4140="!!!"),"",IF(OR(J4140=0,AND(J4140=1,K4140=1),AND(J4140=1,I4140="SBJ"),AND(J4140=1,I4140=0)),"?IN_FOCUS",IF(J4140&lt;=2,"?ACTIVATED",IF(J4140&lt;&gt;"","?FAMILIAR",IF(F4140="NEW",IF(ISNA(VLOOKUP(E4140,#REF!,1,FALSE())),"?TYPE_IDENTIFIABLE","?REFERENTIAL"),"_")))))</f>
        <v> </v>
      </c>
      <c r="H4140" s="25" t="str">
        <f>IF(J4140&lt;&gt;1,"",IF(I4140="SBJ","CB","?"))</f>
        <v> </v>
      </c>
      <c r="I4140" s="26" t="str">
        <f>IF(OR(E4140="",E4140="!!!",F4140="NEW"),"",INDEX(B4139:B$2,-1+SUMPRODUCT(MAX(ROW(E4139:E$2)*(E4140=E4139:E$2)))))</f>
        <v> </v>
      </c>
      <c r="J4140" s="26" t="str">
        <f>IF(OR(E4140="",E4140="!!!",F4140="NEW"),"",COUNTBLANK(OFFSET(A$1,,,SUMPRODUCT(MAX(ROW(E$2:E4140)*(E4140=E$2:E4140)))))-COUNTBLANK(OFFSET(A$1,,,SUMPRODUCT(MAX(ROW(E$1:E4139)*(E2=E$1:E4139))))))</f>
        <v> </v>
      </c>
      <c r="K4140" s="26" t="str">
        <f>IF(OR(E4140="",E4140="!!!",F4140="NEW"),"",INDEX(J$1:J4139,SUMPRODUCT(MAX(ROW(E$1:E4139)*(E4140=E$1:E4139)))))</f>
        <v> </v>
      </c>
      <c r="L4140" s="27"/>
    </row>
    <row r="4141" spans="1:12">
      <c r="A4141" s="20" t="s">
        <v>1301</v>
      </c>
      <c r="E4141" s="22">
        <f>IF(D4141="?OLD","!!!","")</f>
        <v/>
      </c>
      <c r="F4141" s="23" t="str">
        <f>IF(OR(E4141="",E4141="!!!"),"",IF(NOT(ISNA(VLOOKUP(E4141,E$1:E4140,1,FALSE()))),"OLD",IF(AND(E4141&lt;&gt;"",E4141&lt;&gt;"!!!"),"NEW","")))</f>
        <v> </v>
      </c>
      <c r="G4141" s="24" t="str">
        <f>IF(OR(E4141="",E4141="!!!"),"",IF(OR(J4141=0,AND(J4141=1,K4141=1),AND(J4141=1,I4141="SBJ"),AND(J4141=1,I4141=0)),"?IN_FOCUS",IF(J4141&lt;=2,"?ACTIVATED",IF(J4141&lt;&gt;"","?FAMILIAR",IF(F4141="NEW",IF(ISNA(VLOOKUP(E4141,#REF!,1,FALSE())),"?TYPE_IDENTIFIABLE","?REFERENTIAL"),"_")))))</f>
        <v> </v>
      </c>
      <c r="H4141" s="25" t="str">
        <f>IF(J4141&lt;&gt;1,"",IF(I4141="SBJ","CB","?"))</f>
        <v> </v>
      </c>
      <c r="I4141" s="26" t="str">
        <f>IF(OR(E4141="",E4141="!!!",F4141="NEW"),"",INDEX(B4140:B$2,-1+SUMPRODUCT(MAX(ROW(E4140:E$2)*(E4141=E4140:E$2)))))</f>
        <v> </v>
      </c>
      <c r="J4141" s="26" t="str">
        <f>IF(OR(E4141="",E4141="!!!",F4141="NEW"),"",COUNTBLANK(OFFSET(A$1,,,SUMPRODUCT(MAX(ROW(E$2:E4141)*(E4141=E$2:E4141)))))-COUNTBLANK(OFFSET(A$1,,,SUMPRODUCT(MAX(ROW(E$1:E4140)*(E2=E$1:E4140))))))</f>
        <v> </v>
      </c>
      <c r="K4141" s="26" t="str">
        <f>IF(OR(E4141="",E4141="!!!",F4141="NEW"),"",INDEX(J$1:J4140,SUMPRODUCT(MAX(ROW(E$1:E4140)*(E4141=E$1:E4140)))))</f>
        <v> </v>
      </c>
      <c r="L4141" s="27"/>
    </row>
    <row r="4142" spans="1:12">
      <c r="A4142" s="20" t="s">
        <v>1176</v>
      </c>
      <c r="E4142" s="22">
        <f>IF(D4142="?OLD","!!!","")</f>
        <v/>
      </c>
      <c r="F4142" s="23" t="str">
        <f>IF(OR(E4142="",E4142="!!!"),"",IF(NOT(ISNA(VLOOKUP(E4142,E$1:E4141,1,FALSE()))),"OLD",IF(AND(E4142&lt;&gt;"",E4142&lt;&gt;"!!!"),"NEW","")))</f>
        <v> </v>
      </c>
      <c r="G4142" s="24" t="str">
        <f>IF(OR(E4142="",E4142="!!!"),"",IF(OR(J4142=0,AND(J4142=1,K4142=1),AND(J4142=1,I4142="SBJ"),AND(J4142=1,I4142=0)),"?IN_FOCUS",IF(J4142&lt;=2,"?ACTIVATED",IF(J4142&lt;&gt;"","?FAMILIAR",IF(F4142="NEW",IF(ISNA(VLOOKUP(E4142,#REF!,1,FALSE())),"?TYPE_IDENTIFIABLE","?REFERENTIAL"),"_")))))</f>
        <v> </v>
      </c>
      <c r="H4142" s="25" t="str">
        <f>IF(J4142&lt;&gt;1,"",IF(I4142="SBJ","CB","?"))</f>
        <v> </v>
      </c>
      <c r="I4142" s="26" t="str">
        <f>IF(OR(E4142="",E4142="!!!",F4142="NEW"),"",INDEX(B4141:B$2,-1+SUMPRODUCT(MAX(ROW(E4141:E$2)*(E4142=E4141:E$2)))))</f>
        <v> </v>
      </c>
      <c r="J4142" s="26" t="str">
        <f>IF(OR(E4142="",E4142="!!!",F4142="NEW"),"",COUNTBLANK(OFFSET(A$1,,,SUMPRODUCT(MAX(ROW(E$2:E4142)*(E4142=E$2:E4142)))))-COUNTBLANK(OFFSET(A$1,,,SUMPRODUCT(MAX(ROW(E$1:E4141)*(E2=E$1:E4141))))))</f>
        <v> </v>
      </c>
      <c r="K4142" s="26" t="str">
        <f>IF(OR(E4142="",E4142="!!!",F4142="NEW"),"",INDEX(J$1:J4141,SUMPRODUCT(MAX(ROW(E$1:E4141)*(E4142=E$1:E4141)))))</f>
        <v> </v>
      </c>
      <c r="L4142" s="27"/>
    </row>
    <row r="4143" spans="1:12">
      <c r="A4143" s="20" t="s">
        <v>1166</v>
      </c>
      <c r="E4143" s="22">
        <f>IF(D4143="?OLD","!!!","")</f>
        <v/>
      </c>
      <c r="F4143" s="23" t="str">
        <f>IF(OR(E4143="",E4143="!!!"),"",IF(NOT(ISNA(VLOOKUP(E4143,E$1:E4142,1,FALSE()))),"OLD",IF(AND(E4143&lt;&gt;"",E4143&lt;&gt;"!!!"),"NEW","")))</f>
        <v> </v>
      </c>
      <c r="G4143" s="24" t="str">
        <f>IF(OR(E4143="",E4143="!!!"),"",IF(OR(J4143=0,AND(J4143=1,K4143=1),AND(J4143=1,I4143="SBJ"),AND(J4143=1,I4143=0)),"?IN_FOCUS",IF(J4143&lt;=2,"?ACTIVATED",IF(J4143&lt;&gt;"","?FAMILIAR",IF(F4143="NEW",IF(ISNA(VLOOKUP(E4143,#REF!,1,FALSE())),"?TYPE_IDENTIFIABLE","?REFERENTIAL"),"_")))))</f>
        <v> </v>
      </c>
      <c r="H4143" s="25" t="str">
        <f>IF(J4143&lt;&gt;1,"",IF(I4143="SBJ","CB","?"))</f>
        <v> </v>
      </c>
      <c r="I4143" s="26" t="str">
        <f>IF(OR(E4143="",E4143="!!!",F4143="NEW"),"",INDEX(B4142:B$2,-1+SUMPRODUCT(MAX(ROW(E4142:E$2)*(E4143=E4142:E$2)))))</f>
        <v> </v>
      </c>
      <c r="J4143" s="26" t="str">
        <f>IF(OR(E4143="",E4143="!!!",F4143="NEW"),"",COUNTBLANK(OFFSET(A$1,,,SUMPRODUCT(MAX(ROW(E$2:E4143)*(E4143=E$2:E4143)))))-COUNTBLANK(OFFSET(A$1,,,SUMPRODUCT(MAX(ROW(E$1:E4142)*(E2=E$1:E4142))))))</f>
        <v> </v>
      </c>
      <c r="K4143" s="26" t="str">
        <f>IF(OR(E4143="",E4143="!!!",F4143="NEW"),"",INDEX(J$1:J4142,SUMPRODUCT(MAX(ROW(E$1:E4142)*(E4143=E$1:E4142)))))</f>
        <v> </v>
      </c>
      <c r="L4143" s="27"/>
    </row>
    <row r="4144" spans="1:12">
      <c r="A4144" s="20" t="s">
        <v>1309</v>
      </c>
      <c r="B4144" s="21" t="s">
        <v>1150</v>
      </c>
      <c r="C4144" s="21" t="s">
        <v>1168</v>
      </c>
      <c r="D4144" s="21" t="s">
        <v>1144</v>
      </c>
      <c r="E4144" s="22">
        <f>IF(D4144="?OLD","!!!","")</f>
        <v/>
      </c>
      <c r="F4144" s="23" t="str">
        <f>IF(OR(E4144="",E4144="!!!"),"",IF(NOT(ISNA(VLOOKUP(E4144,E$1:E4143,1,FALSE()))),"OLD",IF(AND(E4144&lt;&gt;"",E4144&lt;&gt;"!!!"),"NEW","")))</f>
        <v> </v>
      </c>
      <c r="G4144" s="24" t="str">
        <f>IF(OR(E4144="",E4144="!!!"),"",IF(OR(J4144=0,AND(J4144=1,K4144=1),AND(J4144=1,I4144="SBJ"),AND(J4144=1,I4144=0)),"?IN_FOCUS",IF(J4144&lt;=2,"?ACTIVATED",IF(J4144&lt;&gt;"","?FAMILIAR",IF(F4144="NEW",IF(ISNA(VLOOKUP(E4144,#REF!,1,FALSE())),"?TYPE_IDENTIFIABLE","?REFERENTIAL"),"_")))))</f>
        <v> </v>
      </c>
      <c r="H4144" s="25" t="str">
        <f>IF(J4144&lt;&gt;1,"",IF(I4144="SBJ","CB","?"))</f>
        <v> </v>
      </c>
      <c r="I4144" s="26" t="str">
        <f>IF(OR(E4144="",E4144="!!!",F4144="NEW"),"",INDEX(B4143:B$2,-1+SUMPRODUCT(MAX(ROW(E4143:E$2)*(E4144=E4143:E$2)))))</f>
        <v> </v>
      </c>
      <c r="J4144" s="26" t="str">
        <f>IF(OR(E4144="",E4144="!!!",F4144="NEW"),"",COUNTBLANK(OFFSET(A$1,,,SUMPRODUCT(MAX(ROW(E$2:E4144)*(E4144=E$2:E4144)))))-COUNTBLANK(OFFSET(A$1,,,SUMPRODUCT(MAX(ROW(E$1:E4143)*(E2=E$1:E4143))))))</f>
        <v> </v>
      </c>
      <c r="K4144" s="26" t="str">
        <f>IF(OR(E4144="",E4144="!!!",F4144="NEW"),"",INDEX(J$1:J4143,SUMPRODUCT(MAX(ROW(E$1:E4143)*(E4144=E$1:E4143)))))</f>
        <v> </v>
      </c>
      <c r="L4144" s="27"/>
    </row>
    <row r="4145" spans="1:12">
      <c r="A4145" s="20" t="s">
        <v>1167</v>
      </c>
      <c r="B4145" s="21" t="s">
        <v>1142</v>
      </c>
      <c r="C4145" s="21" t="s">
        <v>1168</v>
      </c>
      <c r="D4145" s="21" t="s">
        <v>1144</v>
      </c>
      <c r="E4145" s="22">
        <f>IF(D4145="?OLD","!!!","")</f>
        <v/>
      </c>
      <c r="F4145" s="23" t="str">
        <f>IF(OR(E4145="",E4145="!!!"),"",IF(NOT(ISNA(VLOOKUP(E4145,E$1:E4144,1,FALSE()))),"OLD",IF(AND(E4145&lt;&gt;"",E4145&lt;&gt;"!!!"),"NEW","")))</f>
        <v> </v>
      </c>
      <c r="G4145" s="24" t="str">
        <f>IF(OR(E4145="",E4145="!!!"),"",IF(OR(J4145=0,AND(J4145=1,K4145=1),AND(J4145=1,I4145="SBJ"),AND(J4145=1,I4145=0)),"?IN_FOCUS",IF(J4145&lt;=2,"?ACTIVATED",IF(J4145&lt;&gt;"","?FAMILIAR",IF(F4145="NEW",IF(ISNA(VLOOKUP(E4145,#REF!,1,FALSE())),"?TYPE_IDENTIFIABLE","?REFERENTIAL"),"_")))))</f>
        <v> </v>
      </c>
      <c r="H4145" s="25" t="str">
        <f>IF(J4145&lt;&gt;1,"",IF(I4145="SBJ","CB","?"))</f>
        <v> </v>
      </c>
      <c r="I4145" s="26" t="str">
        <f>IF(OR(E4145="",E4145="!!!",F4145="NEW"),"",INDEX(B4144:B$2,-1+SUMPRODUCT(MAX(ROW(E4144:E$2)*(E4145=E4144:E$2)))))</f>
        <v> </v>
      </c>
      <c r="J4145" s="26" t="str">
        <f>IF(OR(E4145="",E4145="!!!",F4145="NEW"),"",COUNTBLANK(OFFSET(A$1,,,SUMPRODUCT(MAX(ROW(E$2:E4145)*(E4145=E$2:E4145)))))-COUNTBLANK(OFFSET(A$1,,,SUMPRODUCT(MAX(ROW(E$1:E4144)*(E2=E$1:E4144))))))</f>
        <v> </v>
      </c>
      <c r="K4145" s="26" t="str">
        <f>IF(OR(E4145="",E4145="!!!",F4145="NEW"),"",INDEX(J$1:J4144,SUMPRODUCT(MAX(ROW(E$1:E4144)*(E4145=E$1:E4144)))))</f>
        <v> </v>
      </c>
      <c r="L4145" s="27"/>
    </row>
    <row r="4146" spans="1:12">
      <c r="A4146" s="20" t="s">
        <v>989</v>
      </c>
      <c r="E4146" s="22">
        <f>IF(D4146="?OLD","!!!","")</f>
        <v/>
      </c>
      <c r="F4146" s="23" t="str">
        <f>IF(OR(E4146="",E4146="!!!"),"",IF(NOT(ISNA(VLOOKUP(E4146,E$1:E4145,1,FALSE()))),"OLD",IF(AND(E4146&lt;&gt;"",E4146&lt;&gt;"!!!"),"NEW","")))</f>
        <v> </v>
      </c>
      <c r="G4146" s="24" t="str">
        <f>IF(OR(E4146="",E4146="!!!"),"",IF(OR(J4146=0,AND(J4146=1,K4146=1),AND(J4146=1,I4146="SBJ"),AND(J4146=1,I4146=0)),"?IN_FOCUS",IF(J4146&lt;=2,"?ACTIVATED",IF(J4146&lt;&gt;"","?FAMILIAR",IF(F4146="NEW",IF(ISNA(VLOOKUP(E4146,#REF!,1,FALSE())),"?TYPE_IDENTIFIABLE","?REFERENTIAL"),"_")))))</f>
        <v> </v>
      </c>
      <c r="H4146" s="25" t="str">
        <f>IF(J4146&lt;&gt;1,"",IF(I4146="SBJ","CB","?"))</f>
        <v> </v>
      </c>
      <c r="I4146" s="26" t="str">
        <f>IF(OR(E4146="",E4146="!!!",F4146="NEW"),"",INDEX(B4145:B$2,-1+SUMPRODUCT(MAX(ROW(E4145:E$2)*(E4146=E4145:E$2)))))</f>
        <v> </v>
      </c>
      <c r="J4146" s="26" t="str">
        <f>IF(OR(E4146="",E4146="!!!",F4146="NEW"),"",COUNTBLANK(OFFSET(A$1,,,SUMPRODUCT(MAX(ROW(E$2:E4146)*(E4146=E$2:E4146)))))-COUNTBLANK(OFFSET(A$1,,,SUMPRODUCT(MAX(ROW(E$1:E4145)*(E2=E$1:E4145))))))</f>
        <v> </v>
      </c>
      <c r="K4146" s="26" t="str">
        <f>IF(OR(E4146="",E4146="!!!",F4146="NEW"),"",INDEX(J$1:J4145,SUMPRODUCT(MAX(ROW(E$1:E4145)*(E4146=E$1:E4145)))))</f>
        <v> </v>
      </c>
      <c r="L4146" s="27"/>
    </row>
    <row r="4147" spans="1:12">
      <c r="A4147" s="20" t="s">
        <v>312</v>
      </c>
      <c r="E4147" s="22">
        <f>IF(D4147="?OLD","!!!","")</f>
        <v/>
      </c>
      <c r="F4147" s="23" t="str">
        <f>IF(OR(E4147="",E4147="!!!"),"",IF(NOT(ISNA(VLOOKUP(E4147,E$1:E4146,1,FALSE()))),"OLD",IF(AND(E4147&lt;&gt;"",E4147&lt;&gt;"!!!"),"NEW","")))</f>
        <v> </v>
      </c>
      <c r="G4147" s="24" t="str">
        <f>IF(OR(E4147="",E4147="!!!"),"",IF(OR(J4147=0,AND(J4147=1,K4147=1),AND(J4147=1,I4147="SBJ"),AND(J4147=1,I4147=0)),"?IN_FOCUS",IF(J4147&lt;=2,"?ACTIVATED",IF(J4147&lt;&gt;"","?FAMILIAR",IF(F4147="NEW",IF(ISNA(VLOOKUP(E4147,#REF!,1,FALSE())),"?TYPE_IDENTIFIABLE","?REFERENTIAL"),"_")))))</f>
        <v> </v>
      </c>
      <c r="H4147" s="25" t="str">
        <f>IF(J4147&lt;&gt;1,"",IF(I4147="SBJ","CB","?"))</f>
        <v> </v>
      </c>
      <c r="I4147" s="26" t="str">
        <f>IF(OR(E4147="",E4147="!!!",F4147="NEW"),"",INDEX(B4146:B$2,-1+SUMPRODUCT(MAX(ROW(E4146:E$2)*(E4147=E4146:E$2)))))</f>
        <v> </v>
      </c>
      <c r="J4147" s="26" t="str">
        <f>IF(OR(E4147="",E4147="!!!",F4147="NEW"),"",COUNTBLANK(OFFSET(A$1,,,SUMPRODUCT(MAX(ROW(E$2:E4147)*(E4147=E$2:E4147)))))-COUNTBLANK(OFFSET(A$1,,,SUMPRODUCT(MAX(ROW(E$1:E4146)*(E2=E$1:E4146))))))</f>
        <v> </v>
      </c>
      <c r="K4147" s="26" t="str">
        <f>IF(OR(E4147="",E4147="!!!",F4147="NEW"),"",INDEX(J$1:J4146,SUMPRODUCT(MAX(ROW(E$1:E4146)*(E4147=E$1:E4146)))))</f>
        <v> </v>
      </c>
      <c r="L4147" s="27"/>
    </row>
    <row r="4148" spans="1:12">
      <c r="A4148" s="20"/>
    </row>
    <row r="4149" spans="1:12">
      <c r="A4149" s="20" t="s">
        <v>2356</v>
      </c>
    </row>
    <row r="4150" spans="1:12">
      <c r="A4150" s="20" t="s">
        <v>1217</v>
      </c>
      <c r="B4150" s="21" t="s">
        <v>1165</v>
      </c>
      <c r="C4150" s="21" t="s">
        <v>1168</v>
      </c>
      <c r="D4150" s="21" t="s">
        <v>1144</v>
      </c>
      <c r="E4150" s="22">
        <f>IF(D4150="?OLD","!!!","")</f>
        <v/>
      </c>
      <c r="F4150" s="23" t="str">
        <f>IF(OR(E4150="",E4150="!!!"),"",IF(NOT(ISNA(VLOOKUP(E4150,E$1:E4149,1,FALSE()))),"OLD",IF(AND(E4150&lt;&gt;"",E4150&lt;&gt;"!!!"),"NEW","")))</f>
        <v> </v>
      </c>
      <c r="G4150" s="24" t="str">
        <f>IF(OR(E4150="",E4150="!!!"),"",IF(OR(J4150=0,AND(J4150=1,K4150=1),AND(J4150=1,I4150="SBJ"),AND(J4150=1,I4150=0)),"?IN_FOCUS",IF(J4150&lt;=2,"?ACTIVATED",IF(J4150&lt;&gt;"","?FAMILIAR",IF(F4150="NEW",IF(ISNA(VLOOKUP(E4150,#REF!,1,FALSE())),"?TYPE_IDENTIFIABLE","?REFERENTIAL"),"_")))))</f>
        <v> </v>
      </c>
      <c r="H4150" s="25" t="str">
        <f>IF(J4150&lt;&gt;1,"",IF(I4150="SBJ","CB","?"))</f>
        <v> </v>
      </c>
      <c r="I4150" s="26" t="str">
        <f>IF(OR(E4150="",E4150="!!!",F4150="NEW"),"",INDEX(B4149:B$2,-1+SUMPRODUCT(MAX(ROW(E4149:E$2)*(E4150=E4149:E$2)))))</f>
        <v> </v>
      </c>
      <c r="J4150" s="26" t="str">
        <f>IF(OR(E4150="",E4150="!!!",F4150="NEW"),"",COUNTBLANK(OFFSET(A$1,,,SUMPRODUCT(MAX(ROW(E$2:E4150)*(E4150=E$2:E4150)))))-COUNTBLANK(OFFSET(A$1,,,SUMPRODUCT(MAX(ROW(E$1:E4149)*(E2=E$1:E4149))))))</f>
        <v> </v>
      </c>
      <c r="K4150" s="26" t="str">
        <f>IF(OR(E4150="",E4150="!!!",F4150="NEW"),"",INDEX(J$1:J4149,SUMPRODUCT(MAX(ROW(E$1:E4149)*(E4150=E$1:E4149)))))</f>
        <v> </v>
      </c>
      <c r="L4150" s="27"/>
    </row>
    <row r="4151" spans="1:12">
      <c r="A4151" s="20" t="s">
        <v>989</v>
      </c>
      <c r="E4151" s="22">
        <f>IF(D4151="?OLD","!!!","")</f>
        <v/>
      </c>
      <c r="F4151" s="23" t="str">
        <f>IF(OR(E4151="",E4151="!!!"),"",IF(NOT(ISNA(VLOOKUP(E4151,E$1:E4150,1,FALSE()))),"OLD",IF(AND(E4151&lt;&gt;"",E4151&lt;&gt;"!!!"),"NEW","")))</f>
        <v> </v>
      </c>
      <c r="G4151" s="24" t="str">
        <f>IF(OR(E4151="",E4151="!!!"),"",IF(OR(J4151=0,AND(J4151=1,K4151=1),AND(J4151=1,I4151="SBJ"),AND(J4151=1,I4151=0)),"?IN_FOCUS",IF(J4151&lt;=2,"?ACTIVATED",IF(J4151&lt;&gt;"","?FAMILIAR",IF(F4151="NEW",IF(ISNA(VLOOKUP(E4151,#REF!,1,FALSE())),"?TYPE_IDENTIFIABLE","?REFERENTIAL"),"_")))))</f>
        <v> </v>
      </c>
      <c r="H4151" s="25" t="str">
        <f>IF(J4151&lt;&gt;1,"",IF(I4151="SBJ","CB","?"))</f>
        <v> </v>
      </c>
      <c r="I4151" s="26" t="str">
        <f>IF(OR(E4151="",E4151="!!!",F4151="NEW"),"",INDEX(B4150:B$2,-1+SUMPRODUCT(MAX(ROW(E4150:E$2)*(E4151=E4150:E$2)))))</f>
        <v> </v>
      </c>
      <c r="J4151" s="26" t="str">
        <f>IF(OR(E4151="",E4151="!!!",F4151="NEW"),"",COUNTBLANK(OFFSET(A$1,,,SUMPRODUCT(MAX(ROW(E$2:E4151)*(E4151=E$2:E4151)))))-COUNTBLANK(OFFSET(A$1,,,SUMPRODUCT(MAX(ROW(E$1:E4150)*(E2=E$1:E4150))))))</f>
        <v> </v>
      </c>
      <c r="K4151" s="26" t="str">
        <f>IF(OR(E4151="",E4151="!!!",F4151="NEW"),"",INDEX(J$1:J4150,SUMPRODUCT(MAX(ROW(E$1:E4150)*(E4151=E$1:E4150)))))</f>
        <v> </v>
      </c>
      <c r="L4151" s="27"/>
    </row>
    <row r="4152" spans="1:12">
      <c r="A4152" s="20" t="s">
        <v>12</v>
      </c>
      <c r="E4152" s="22">
        <f>IF(D4152="?OLD","!!!","")</f>
        <v/>
      </c>
      <c r="F4152" s="23" t="str">
        <f>IF(OR(E4152="",E4152="!!!"),"",IF(NOT(ISNA(VLOOKUP(E4152,E$1:E4151,1,FALSE()))),"OLD",IF(AND(E4152&lt;&gt;"",E4152&lt;&gt;"!!!"),"NEW","")))</f>
        <v> </v>
      </c>
      <c r="G4152" s="24" t="str">
        <f>IF(OR(E4152="",E4152="!!!"),"",IF(OR(J4152=0,AND(J4152=1,K4152=1),AND(J4152=1,I4152="SBJ"),AND(J4152=1,I4152=0)),"?IN_FOCUS",IF(J4152&lt;=2,"?ACTIVATED",IF(J4152&lt;&gt;"","?FAMILIAR",IF(F4152="NEW",IF(ISNA(VLOOKUP(E4152,#REF!,1,FALSE())),"?TYPE_IDENTIFIABLE","?REFERENTIAL"),"_")))))</f>
        <v> </v>
      </c>
      <c r="H4152" s="25" t="str">
        <f>IF(J4152&lt;&gt;1,"",IF(I4152="SBJ","CB","?"))</f>
        <v> </v>
      </c>
      <c r="I4152" s="26" t="str">
        <f>IF(OR(E4152="",E4152="!!!",F4152="NEW"),"",INDEX(B4151:B$2,-1+SUMPRODUCT(MAX(ROW(E4151:E$2)*(E4152=E4151:E$2)))))</f>
        <v> </v>
      </c>
      <c r="J4152" s="26" t="str">
        <f>IF(OR(E4152="",E4152="!!!",F4152="NEW"),"",COUNTBLANK(OFFSET(A$1,,,SUMPRODUCT(MAX(ROW(E$2:E4152)*(E4152=E$2:E4152)))))-COUNTBLANK(OFFSET(A$1,,,SUMPRODUCT(MAX(ROW(E$1:E4151)*(E2=E$1:E4151))))))</f>
        <v> </v>
      </c>
      <c r="K4152" s="26" t="str">
        <f>IF(OR(E4152="",E4152="!!!",F4152="NEW"),"",INDEX(J$1:J4151,SUMPRODUCT(MAX(ROW(E$1:E4151)*(E4152=E$1:E4151)))))</f>
        <v> </v>
      </c>
      <c r="L4152" s="27"/>
    </row>
    <row r="4153" spans="1:12">
      <c r="A4153" s="20" t="s">
        <v>1240</v>
      </c>
      <c r="E4153" s="22">
        <f>IF(D4153="?OLD","!!!","")</f>
        <v/>
      </c>
      <c r="F4153" s="23" t="str">
        <f>IF(OR(E4153="",E4153="!!!"),"",IF(NOT(ISNA(VLOOKUP(E4153,E$1:E4152,1,FALSE()))),"OLD",IF(AND(E4153&lt;&gt;"",E4153&lt;&gt;"!!!"),"NEW","")))</f>
        <v> </v>
      </c>
      <c r="G4153" s="24" t="str">
        <f>IF(OR(E4153="",E4153="!!!"),"",IF(OR(J4153=0,AND(J4153=1,K4153=1),AND(J4153=1,I4153="SBJ"),AND(J4153=1,I4153=0)),"?IN_FOCUS",IF(J4153&lt;=2,"?ACTIVATED",IF(J4153&lt;&gt;"","?FAMILIAR",IF(F4153="NEW",IF(ISNA(VLOOKUP(E4153,#REF!,1,FALSE())),"?TYPE_IDENTIFIABLE","?REFERENTIAL"),"_")))))</f>
        <v> </v>
      </c>
      <c r="H4153" s="25" t="str">
        <f>IF(J4153&lt;&gt;1,"",IF(I4153="SBJ","CB","?"))</f>
        <v> </v>
      </c>
      <c r="I4153" s="26" t="str">
        <f>IF(OR(E4153="",E4153="!!!",F4153="NEW"),"",INDEX(B4152:B$2,-1+SUMPRODUCT(MAX(ROW(E4152:E$2)*(E4153=E4152:E$2)))))</f>
        <v> </v>
      </c>
      <c r="J4153" s="26" t="str">
        <f>IF(OR(E4153="",E4153="!!!",F4153="NEW"),"",COUNTBLANK(OFFSET(A$1,,,SUMPRODUCT(MAX(ROW(E$2:E4153)*(E4153=E$2:E4153)))))-COUNTBLANK(OFFSET(A$1,,,SUMPRODUCT(MAX(ROW(E$1:E4152)*(E2=E$1:E4152))))))</f>
        <v> </v>
      </c>
      <c r="K4153" s="26" t="str">
        <f>IF(OR(E4153="",E4153="!!!",F4153="NEW"),"",INDEX(J$1:J4152,SUMPRODUCT(MAX(ROW(E$1:E4152)*(E4153=E$1:E4152)))))</f>
        <v> </v>
      </c>
      <c r="L4153" s="27"/>
    </row>
    <row r="4154" spans="1:12">
      <c r="A4154" s="20" t="s">
        <v>1251</v>
      </c>
      <c r="B4154" s="21" t="s">
        <v>1161</v>
      </c>
      <c r="C4154" s="21" t="s">
        <v>1182</v>
      </c>
      <c r="E4154" s="22">
        <f>IF(D4154="?OLD","!!!","")</f>
        <v/>
      </c>
      <c r="F4154" s="23" t="str">
        <f>IF(OR(E4154="",E4154="!!!"),"",IF(NOT(ISNA(VLOOKUP(E4154,E$1:E4153,1,FALSE()))),"OLD",IF(AND(E4154&lt;&gt;"",E4154&lt;&gt;"!!!"),"NEW","")))</f>
        <v> </v>
      </c>
      <c r="G4154" s="24" t="str">
        <f>IF(OR(E4154="",E4154="!!!"),"",IF(OR(J4154=0,AND(J4154=1,K4154=1),AND(J4154=1,I4154="SBJ"),AND(J4154=1,I4154=0)),"?IN_FOCUS",IF(J4154&lt;=2,"?ACTIVATED",IF(J4154&lt;&gt;"","?FAMILIAR",IF(F4154="NEW",IF(ISNA(VLOOKUP(E4154,#REF!,1,FALSE())),"?TYPE_IDENTIFIABLE","?REFERENTIAL"),"_")))))</f>
        <v> </v>
      </c>
      <c r="H4154" s="25" t="str">
        <f>IF(J4154&lt;&gt;1,"",IF(I4154="SBJ","CB","?"))</f>
        <v> </v>
      </c>
      <c r="I4154" s="26" t="str">
        <f>IF(OR(E4154="",E4154="!!!",F4154="NEW"),"",INDEX(B4153:B$2,-1+SUMPRODUCT(MAX(ROW(E4153:E$2)*(E4154=E4153:E$2)))))</f>
        <v> </v>
      </c>
      <c r="J4154" s="26" t="str">
        <f>IF(OR(E4154="",E4154="!!!",F4154="NEW"),"",COUNTBLANK(OFFSET(A$1,,,SUMPRODUCT(MAX(ROW(E$2:E4154)*(E4154=E$2:E4154)))))-COUNTBLANK(OFFSET(A$1,,,SUMPRODUCT(MAX(ROW(E$1:E4153)*(E2=E$1:E4153))))))</f>
        <v> </v>
      </c>
      <c r="K4154" s="26" t="str">
        <f>IF(OR(E4154="",E4154="!!!",F4154="NEW"),"",INDEX(J$1:J4153,SUMPRODUCT(MAX(ROW(E$1:E4153)*(E4154=E$1:E4153)))))</f>
        <v> </v>
      </c>
      <c r="L4154" s="27"/>
    </row>
    <row r="4155" spans="1:12">
      <c r="A4155" s="20" t="s">
        <v>1339</v>
      </c>
      <c r="E4155" s="22">
        <f>IF(D4155="?OLD","!!!","")</f>
        <v/>
      </c>
      <c r="F4155" s="23" t="str">
        <f>IF(OR(E4155="",E4155="!!!"),"",IF(NOT(ISNA(VLOOKUP(E4155,E$1:E4154,1,FALSE()))),"OLD",IF(AND(E4155&lt;&gt;"",E4155&lt;&gt;"!!!"),"NEW","")))</f>
        <v> </v>
      </c>
      <c r="G4155" s="24" t="str">
        <f>IF(OR(E4155="",E4155="!!!"),"",IF(OR(J4155=0,AND(J4155=1,K4155=1),AND(J4155=1,I4155="SBJ"),AND(J4155=1,I4155=0)),"?IN_FOCUS",IF(J4155&lt;=2,"?ACTIVATED",IF(J4155&lt;&gt;"","?FAMILIAR",IF(F4155="NEW",IF(ISNA(VLOOKUP(E4155,#REF!,1,FALSE())),"?TYPE_IDENTIFIABLE","?REFERENTIAL"),"_")))))</f>
        <v> </v>
      </c>
      <c r="H4155" s="25" t="str">
        <f>IF(J4155&lt;&gt;1,"",IF(I4155="SBJ","CB","?"))</f>
        <v> </v>
      </c>
      <c r="I4155" s="26" t="str">
        <f>IF(OR(E4155="",E4155="!!!",F4155="NEW"),"",INDEX(B4154:B$2,-1+SUMPRODUCT(MAX(ROW(E4154:E$2)*(E4155=E4154:E$2)))))</f>
        <v> </v>
      </c>
      <c r="J4155" s="26" t="str">
        <f>IF(OR(E4155="",E4155="!!!",F4155="NEW"),"",COUNTBLANK(OFFSET(A$1,,,SUMPRODUCT(MAX(ROW(E$2:E4155)*(E4155=E$2:E4155)))))-COUNTBLANK(OFFSET(A$1,,,SUMPRODUCT(MAX(ROW(E$1:E4154)*(E2=E$1:E4154))))))</f>
        <v> </v>
      </c>
      <c r="K4155" s="26" t="str">
        <f>IF(OR(E4155="",E4155="!!!",F4155="NEW"),"",INDEX(J$1:J4154,SUMPRODUCT(MAX(ROW(E$1:E4154)*(E4155=E$1:E4154)))))</f>
        <v> </v>
      </c>
      <c r="L4155" s="27"/>
    </row>
    <row r="4156" spans="1:12">
      <c r="A4156" s="20" t="s">
        <v>1275</v>
      </c>
      <c r="E4156" s="22">
        <f>IF(D4156="?OLD","!!!","")</f>
        <v/>
      </c>
      <c r="F4156" s="23" t="str">
        <f>IF(OR(E4156="",E4156="!!!"),"",IF(NOT(ISNA(VLOOKUP(E4156,E$1:E4155,1,FALSE()))),"OLD",IF(AND(E4156&lt;&gt;"",E4156&lt;&gt;"!!!"),"NEW","")))</f>
        <v> </v>
      </c>
      <c r="G4156" s="24" t="str">
        <f>IF(OR(E4156="",E4156="!!!"),"",IF(OR(J4156=0,AND(J4156=1,K4156=1),AND(J4156=1,I4156="SBJ"),AND(J4156=1,I4156=0)),"?IN_FOCUS",IF(J4156&lt;=2,"?ACTIVATED",IF(J4156&lt;&gt;"","?FAMILIAR",IF(F4156="NEW",IF(ISNA(VLOOKUP(E4156,#REF!,1,FALSE())),"?TYPE_IDENTIFIABLE","?REFERENTIAL"),"_")))))</f>
        <v> </v>
      </c>
      <c r="H4156" s="25" t="str">
        <f>IF(J4156&lt;&gt;1,"",IF(I4156="SBJ","CB","?"))</f>
        <v> </v>
      </c>
      <c r="I4156" s="26" t="str">
        <f>IF(OR(E4156="",E4156="!!!",F4156="NEW"),"",INDEX(B4155:B$2,-1+SUMPRODUCT(MAX(ROW(E4155:E$2)*(E4156=E4155:E$2)))))</f>
        <v> </v>
      </c>
      <c r="J4156" s="26" t="str">
        <f>IF(OR(E4156="",E4156="!!!",F4156="NEW"),"",COUNTBLANK(OFFSET(A$1,,,SUMPRODUCT(MAX(ROW(E$2:E4156)*(E4156=E$2:E4156)))))-COUNTBLANK(OFFSET(A$1,,,SUMPRODUCT(MAX(ROW(E$1:E4155)*(E2=E$1:E4155))))))</f>
        <v> </v>
      </c>
      <c r="K4156" s="26" t="str">
        <f>IF(OR(E4156="",E4156="!!!",F4156="NEW"),"",INDEX(J$1:J4155,SUMPRODUCT(MAX(ROW(E$1:E4155)*(E4156=E$1:E4155)))))</f>
        <v> </v>
      </c>
      <c r="L4156" s="27"/>
    </row>
    <row r="4157" spans="1:12">
      <c r="A4157" s="20" t="s">
        <v>2357</v>
      </c>
      <c r="B4157" s="21" t="s">
        <v>1161</v>
      </c>
      <c r="C4157" s="21" t="s">
        <v>1162</v>
      </c>
      <c r="D4157" s="21" t="s">
        <v>1144</v>
      </c>
      <c r="E4157" s="22">
        <f>IF(D4157="?OLD","!!!","")</f>
        <v/>
      </c>
      <c r="F4157" s="23" t="str">
        <f>IF(OR(E4157="",E4157="!!!"),"",IF(NOT(ISNA(VLOOKUP(E4157,E$1:E4156,1,FALSE()))),"OLD",IF(AND(E4157&lt;&gt;"",E4157&lt;&gt;"!!!"),"NEW","")))</f>
        <v> </v>
      </c>
      <c r="G4157" s="24" t="str">
        <f>IF(OR(E4157="",E4157="!!!"),"",IF(OR(J4157=0,AND(J4157=1,K4157=1),AND(J4157=1,I4157="SBJ"),AND(J4157=1,I4157=0)),"?IN_FOCUS",IF(J4157&lt;=2,"?ACTIVATED",IF(J4157&lt;&gt;"","?FAMILIAR",IF(F4157="NEW",IF(ISNA(VLOOKUP(E4157,#REF!,1,FALSE())),"?TYPE_IDENTIFIABLE","?REFERENTIAL"),"_")))))</f>
        <v> </v>
      </c>
      <c r="H4157" s="25" t="str">
        <f>IF(J4157&lt;&gt;1,"",IF(I4157="SBJ","CB","?"))</f>
        <v> </v>
      </c>
      <c r="I4157" s="26" t="str">
        <f>IF(OR(E4157="",E4157="!!!",F4157="NEW"),"",INDEX(B4156:B$2,-1+SUMPRODUCT(MAX(ROW(E4156:E$2)*(E4157=E4156:E$2)))))</f>
        <v> </v>
      </c>
      <c r="J4157" s="26" t="str">
        <f>IF(OR(E4157="",E4157="!!!",F4157="NEW"),"",COUNTBLANK(OFFSET(A$1,,,SUMPRODUCT(MAX(ROW(E$2:E4157)*(E4157=E$2:E4157)))))-COUNTBLANK(OFFSET(A$1,,,SUMPRODUCT(MAX(ROW(E$1:E4156)*(E2=E$1:E4156))))))</f>
        <v> </v>
      </c>
      <c r="K4157" s="26" t="str">
        <f>IF(OR(E4157="",E4157="!!!",F4157="NEW"),"",INDEX(J$1:J4156,SUMPRODUCT(MAX(ROW(E$1:E4156)*(E4157=E$1:E4156)))))</f>
        <v> </v>
      </c>
      <c r="L4157" s="27"/>
    </row>
    <row r="4158" spans="1:12">
      <c r="A4158" s="20" t="s">
        <v>12</v>
      </c>
      <c r="E4158" s="22">
        <f>IF(D4158="?OLD","!!!","")</f>
        <v/>
      </c>
      <c r="F4158" s="23" t="str">
        <f>IF(OR(E4158="",E4158="!!!"),"",IF(NOT(ISNA(VLOOKUP(E4158,E$1:E4157,1,FALSE()))),"OLD",IF(AND(E4158&lt;&gt;"",E4158&lt;&gt;"!!!"),"NEW","")))</f>
        <v> </v>
      </c>
      <c r="G4158" s="24" t="str">
        <f>IF(OR(E4158="",E4158="!!!"),"",IF(OR(J4158=0,AND(J4158=1,K4158=1),AND(J4158=1,I4158="SBJ"),AND(J4158=1,I4158=0)),"?IN_FOCUS",IF(J4158&lt;=2,"?ACTIVATED",IF(J4158&lt;&gt;"","?FAMILIAR",IF(F4158="NEW",IF(ISNA(VLOOKUP(E4158,#REF!,1,FALSE())),"?TYPE_IDENTIFIABLE","?REFERENTIAL"),"_")))))</f>
        <v> </v>
      </c>
      <c r="H4158" s="25" t="str">
        <f>IF(J4158&lt;&gt;1,"",IF(I4158="SBJ","CB","?"))</f>
        <v> </v>
      </c>
      <c r="I4158" s="26" t="str">
        <f>IF(OR(E4158="",E4158="!!!",F4158="NEW"),"",INDEX(B4157:B$2,-1+SUMPRODUCT(MAX(ROW(E4157:E$2)*(E4158=E4157:E$2)))))</f>
        <v> </v>
      </c>
      <c r="J4158" s="26" t="str">
        <f>IF(OR(E4158="",E4158="!!!",F4158="NEW"),"",COUNTBLANK(OFFSET(A$1,,,SUMPRODUCT(MAX(ROW(E$2:E4158)*(E4158=E$2:E4158)))))-COUNTBLANK(OFFSET(A$1,,,SUMPRODUCT(MAX(ROW(E$1:E4157)*(E2=E$1:E4157))))))</f>
        <v> </v>
      </c>
      <c r="K4158" s="26" t="str">
        <f>IF(OR(E4158="",E4158="!!!",F4158="NEW"),"",INDEX(J$1:J4157,SUMPRODUCT(MAX(ROW(E$1:E4157)*(E4158=E$1:E4157)))))</f>
        <v> </v>
      </c>
      <c r="L4158" s="27"/>
    </row>
    <row r="4159" spans="1:12">
      <c r="A4159" s="20" t="s">
        <v>2358</v>
      </c>
      <c r="E4159" s="22">
        <f>IF(D4159="?OLD","!!!","")</f>
        <v/>
      </c>
      <c r="F4159" s="23" t="str">
        <f>IF(OR(E4159="",E4159="!!!"),"",IF(NOT(ISNA(VLOOKUP(E4159,E$1:E4158,1,FALSE()))),"OLD",IF(AND(E4159&lt;&gt;"",E4159&lt;&gt;"!!!"),"NEW","")))</f>
        <v> </v>
      </c>
      <c r="G4159" s="24" t="str">
        <f>IF(OR(E4159="",E4159="!!!"),"",IF(OR(J4159=0,AND(J4159=1,K4159=1),AND(J4159=1,I4159="SBJ"),AND(J4159=1,I4159=0)),"?IN_FOCUS",IF(J4159&lt;=2,"?ACTIVATED",IF(J4159&lt;&gt;"","?FAMILIAR",IF(F4159="NEW",IF(ISNA(VLOOKUP(E4159,#REF!,1,FALSE())),"?TYPE_IDENTIFIABLE","?REFERENTIAL"),"_")))))</f>
        <v> </v>
      </c>
      <c r="H4159" s="25" t="str">
        <f>IF(J4159&lt;&gt;1,"",IF(I4159="SBJ","CB","?"))</f>
        <v> </v>
      </c>
      <c r="I4159" s="26" t="str">
        <f>IF(OR(E4159="",E4159="!!!",F4159="NEW"),"",INDEX(B4158:B$2,-1+SUMPRODUCT(MAX(ROW(E4158:E$2)*(E4159=E4158:E$2)))))</f>
        <v> </v>
      </c>
      <c r="J4159" s="26" t="str">
        <f>IF(OR(E4159="",E4159="!!!",F4159="NEW"),"",COUNTBLANK(OFFSET(A$1,,,SUMPRODUCT(MAX(ROW(E$2:E4159)*(E4159=E$2:E4159)))))-COUNTBLANK(OFFSET(A$1,,,SUMPRODUCT(MAX(ROW(E$1:E4158)*(E2=E$1:E4158))))))</f>
        <v> </v>
      </c>
      <c r="K4159" s="26" t="str">
        <f>IF(OR(E4159="",E4159="!!!",F4159="NEW"),"",INDEX(J$1:J4158,SUMPRODUCT(MAX(ROW(E$1:E4158)*(E4159=E$1:E4158)))))</f>
        <v> </v>
      </c>
      <c r="L4159" s="27"/>
    </row>
    <row r="4160" spans="1:12">
      <c r="A4160" s="20" t="s">
        <v>2341</v>
      </c>
      <c r="B4160" s="21" t="s">
        <v>1171</v>
      </c>
      <c r="C4160" s="21" t="s">
        <v>1187</v>
      </c>
      <c r="E4160" s="22">
        <f>IF(D4160="?OLD","!!!","")</f>
        <v/>
      </c>
      <c r="F4160" s="23" t="str">
        <f>IF(OR(E4160="",E4160="!!!"),"",IF(NOT(ISNA(VLOOKUP(E4160,E$1:E4159,1,FALSE()))),"OLD",IF(AND(E4160&lt;&gt;"",E4160&lt;&gt;"!!!"),"NEW","")))</f>
        <v> </v>
      </c>
      <c r="G4160" s="24" t="str">
        <f>IF(OR(E4160="",E4160="!!!"),"",IF(OR(J4160=0,AND(J4160=1,K4160=1),AND(J4160=1,I4160="SBJ"),AND(J4160=1,I4160=0)),"?IN_FOCUS",IF(J4160&lt;=2,"?ACTIVATED",IF(J4160&lt;&gt;"","?FAMILIAR",IF(F4160="NEW",IF(ISNA(VLOOKUP(E4160,#REF!,1,FALSE())),"?TYPE_IDENTIFIABLE","?REFERENTIAL"),"_")))))</f>
        <v> </v>
      </c>
      <c r="H4160" s="25" t="str">
        <f>IF(J4160&lt;&gt;1,"",IF(I4160="SBJ","CB","?"))</f>
        <v> </v>
      </c>
      <c r="I4160" s="26" t="str">
        <f>IF(OR(E4160="",E4160="!!!",F4160="NEW"),"",INDEX(B4159:B$2,-1+SUMPRODUCT(MAX(ROW(E4159:E$2)*(E4160=E4159:E$2)))))</f>
        <v> </v>
      </c>
      <c r="J4160" s="26" t="str">
        <f>IF(OR(E4160="",E4160="!!!",F4160="NEW"),"",COUNTBLANK(OFFSET(A$1,,,SUMPRODUCT(MAX(ROW(E$2:E4160)*(E4160=E$2:E4160)))))-COUNTBLANK(OFFSET(A$1,,,SUMPRODUCT(MAX(ROW(E$1:E4159)*(E2=E$1:E4159))))))</f>
        <v> </v>
      </c>
      <c r="K4160" s="26" t="str">
        <f>IF(OR(E4160="",E4160="!!!",F4160="NEW"),"",INDEX(J$1:J4159,SUMPRODUCT(MAX(ROW(E$1:E4159)*(E4160=E$1:E4159)))))</f>
        <v> </v>
      </c>
      <c r="L4160" s="27"/>
    </row>
    <row r="4161" spans="1:12">
      <c r="A4161" s="20" t="s">
        <v>1166</v>
      </c>
      <c r="E4161" s="22">
        <f>IF(D4161="?OLD","!!!","")</f>
        <v/>
      </c>
      <c r="F4161" s="23" t="str">
        <f>IF(OR(E4161="",E4161="!!!"),"",IF(NOT(ISNA(VLOOKUP(E4161,E$1:E4160,1,FALSE()))),"OLD",IF(AND(E4161&lt;&gt;"",E4161&lt;&gt;"!!!"),"NEW","")))</f>
        <v> </v>
      </c>
      <c r="G4161" s="24" t="str">
        <f>IF(OR(E4161="",E4161="!!!"),"",IF(OR(J4161=0,AND(J4161=1,K4161=1),AND(J4161=1,I4161="SBJ"),AND(J4161=1,I4161=0)),"?IN_FOCUS",IF(J4161&lt;=2,"?ACTIVATED",IF(J4161&lt;&gt;"","?FAMILIAR",IF(F4161="NEW",IF(ISNA(VLOOKUP(E4161,#REF!,1,FALSE())),"?TYPE_IDENTIFIABLE","?REFERENTIAL"),"_")))))</f>
        <v> </v>
      </c>
      <c r="H4161" s="25" t="str">
        <f>IF(J4161&lt;&gt;1,"",IF(I4161="SBJ","CB","?"))</f>
        <v> </v>
      </c>
      <c r="I4161" s="26" t="str">
        <f>IF(OR(E4161="",E4161="!!!",F4161="NEW"),"",INDEX(B4160:B$2,-1+SUMPRODUCT(MAX(ROW(E4160:E$2)*(E4161=E4160:E$2)))))</f>
        <v> </v>
      </c>
      <c r="J4161" s="26" t="str">
        <f>IF(OR(E4161="",E4161="!!!",F4161="NEW"),"",COUNTBLANK(OFFSET(A$1,,,SUMPRODUCT(MAX(ROW(E$2:E4161)*(E4161=E$2:E4161)))))-COUNTBLANK(OFFSET(A$1,,,SUMPRODUCT(MAX(ROW(E$1:E4160)*(E2=E$1:E4160))))))</f>
        <v> </v>
      </c>
      <c r="K4161" s="26" t="str">
        <f>IF(OR(E4161="",E4161="!!!",F4161="NEW"),"",INDEX(J$1:J4160,SUMPRODUCT(MAX(ROW(E$1:E4160)*(E4161=E$1:E4160)))))</f>
        <v> </v>
      </c>
      <c r="L4161" s="27"/>
    </row>
    <row r="4162" spans="1:12">
      <c r="A4162" s="20" t="s">
        <v>1176</v>
      </c>
      <c r="E4162" s="22">
        <f>IF(D4162="?OLD","!!!","")</f>
        <v/>
      </c>
      <c r="F4162" s="23" t="str">
        <f>IF(OR(E4162="",E4162="!!!"),"",IF(NOT(ISNA(VLOOKUP(E4162,E$1:E4161,1,FALSE()))),"OLD",IF(AND(E4162&lt;&gt;"",E4162&lt;&gt;"!!!"),"NEW","")))</f>
        <v> </v>
      </c>
      <c r="G4162" s="24" t="str">
        <f>IF(OR(E4162="",E4162="!!!"),"",IF(OR(J4162=0,AND(J4162=1,K4162=1),AND(J4162=1,I4162="SBJ"),AND(J4162=1,I4162=0)),"?IN_FOCUS",IF(J4162&lt;=2,"?ACTIVATED",IF(J4162&lt;&gt;"","?FAMILIAR",IF(F4162="NEW",IF(ISNA(VLOOKUP(E4162,#REF!,1,FALSE())),"?TYPE_IDENTIFIABLE","?REFERENTIAL"),"_")))))</f>
        <v> </v>
      </c>
      <c r="H4162" s="25" t="str">
        <f>IF(J4162&lt;&gt;1,"",IF(I4162="SBJ","CB","?"))</f>
        <v> </v>
      </c>
      <c r="I4162" s="26" t="str">
        <f>IF(OR(E4162="",E4162="!!!",F4162="NEW"),"",INDEX(B4161:B$2,-1+SUMPRODUCT(MAX(ROW(E4161:E$2)*(E4162=E4161:E$2)))))</f>
        <v> </v>
      </c>
      <c r="J4162" s="26" t="str">
        <f>IF(OR(E4162="",E4162="!!!",F4162="NEW"),"",COUNTBLANK(OFFSET(A$1,,,SUMPRODUCT(MAX(ROW(E$2:E4162)*(E4162=E$2:E4162)))))-COUNTBLANK(OFFSET(A$1,,,SUMPRODUCT(MAX(ROW(E$1:E4161)*(E2=E$1:E4161))))))</f>
        <v> </v>
      </c>
      <c r="K4162" s="26" t="str">
        <f>IF(OR(E4162="",E4162="!!!",F4162="NEW"),"",INDEX(J$1:J4161,SUMPRODUCT(MAX(ROW(E$1:E4161)*(E4162=E$1:E4161)))))</f>
        <v> </v>
      </c>
      <c r="L4162" s="27"/>
    </row>
    <row r="4163" spans="1:12">
      <c r="A4163" s="20" t="s">
        <v>1585</v>
      </c>
      <c r="E4163" s="22">
        <f>IF(D4163="?OLD","!!!","")</f>
        <v/>
      </c>
      <c r="F4163" s="23" t="str">
        <f>IF(OR(E4163="",E4163="!!!"),"",IF(NOT(ISNA(VLOOKUP(E4163,E$1:E4162,1,FALSE()))),"OLD",IF(AND(E4163&lt;&gt;"",E4163&lt;&gt;"!!!"),"NEW","")))</f>
        <v> </v>
      </c>
      <c r="G4163" s="24" t="str">
        <f>IF(OR(E4163="",E4163="!!!"),"",IF(OR(J4163=0,AND(J4163=1,K4163=1),AND(J4163=1,I4163="SBJ"),AND(J4163=1,I4163=0)),"?IN_FOCUS",IF(J4163&lt;=2,"?ACTIVATED",IF(J4163&lt;&gt;"","?FAMILIAR",IF(F4163="NEW",IF(ISNA(VLOOKUP(E4163,#REF!,1,FALSE())),"?TYPE_IDENTIFIABLE","?REFERENTIAL"),"_")))))</f>
        <v> </v>
      </c>
      <c r="H4163" s="25" t="str">
        <f>IF(J4163&lt;&gt;1,"",IF(I4163="SBJ","CB","?"))</f>
        <v> </v>
      </c>
      <c r="I4163" s="26" t="str">
        <f>IF(OR(E4163="",E4163="!!!",F4163="NEW"),"",INDEX(B4162:B$2,-1+SUMPRODUCT(MAX(ROW(E4162:E$2)*(E4163=E4162:E$2)))))</f>
        <v> </v>
      </c>
      <c r="J4163" s="26" t="str">
        <f>IF(OR(E4163="",E4163="!!!",F4163="NEW"),"",COUNTBLANK(OFFSET(A$1,,,SUMPRODUCT(MAX(ROW(E$2:E4163)*(E4163=E$2:E4163)))))-COUNTBLANK(OFFSET(A$1,,,SUMPRODUCT(MAX(ROW(E$1:E4162)*(E2=E$1:E4162))))))</f>
        <v> </v>
      </c>
      <c r="K4163" s="26" t="str">
        <f>IF(OR(E4163="",E4163="!!!",F4163="NEW"),"",INDEX(J$1:J4162,SUMPRODUCT(MAX(ROW(E$1:E4162)*(E4163=E$1:E4162)))))</f>
        <v> </v>
      </c>
      <c r="L4163" s="27"/>
    </row>
    <row r="4164" spans="1:12">
      <c r="A4164" s="20" t="s">
        <v>2359</v>
      </c>
      <c r="B4164" s="21" t="s">
        <v>1161</v>
      </c>
      <c r="C4164" s="21" t="s">
        <v>1187</v>
      </c>
      <c r="E4164" s="22">
        <f>IF(D4164="?OLD","!!!","")</f>
        <v/>
      </c>
      <c r="F4164" s="23" t="str">
        <f>IF(OR(E4164="",E4164="!!!"),"",IF(NOT(ISNA(VLOOKUP(E4164,E$1:E4163,1,FALSE()))),"OLD",IF(AND(E4164&lt;&gt;"",E4164&lt;&gt;"!!!"),"NEW","")))</f>
        <v> </v>
      </c>
      <c r="G4164" s="24" t="str">
        <f>IF(OR(E4164="",E4164="!!!"),"",IF(OR(J4164=0,AND(J4164=1,K4164=1),AND(J4164=1,I4164="SBJ"),AND(J4164=1,I4164=0)),"?IN_FOCUS",IF(J4164&lt;=2,"?ACTIVATED",IF(J4164&lt;&gt;"","?FAMILIAR",IF(F4164="NEW",IF(ISNA(VLOOKUP(E4164,#REF!,1,FALSE())),"?TYPE_IDENTIFIABLE","?REFERENTIAL"),"_")))))</f>
        <v> </v>
      </c>
      <c r="H4164" s="25" t="str">
        <f>IF(J4164&lt;&gt;1,"",IF(I4164="SBJ","CB","?"))</f>
        <v> </v>
      </c>
      <c r="I4164" s="26" t="str">
        <f>IF(OR(E4164="",E4164="!!!",F4164="NEW"),"",INDEX(B4163:B$2,-1+SUMPRODUCT(MAX(ROW(E4163:E$2)*(E4164=E4163:E$2)))))</f>
        <v> </v>
      </c>
      <c r="J4164" s="26" t="str">
        <f>IF(OR(E4164="",E4164="!!!",F4164="NEW"),"",COUNTBLANK(OFFSET(A$1,,,SUMPRODUCT(MAX(ROW(E$2:E4164)*(E4164=E$2:E4164)))))-COUNTBLANK(OFFSET(A$1,,,SUMPRODUCT(MAX(ROW(E$1:E4163)*(E2=E$1:E4163))))))</f>
        <v> </v>
      </c>
      <c r="K4164" s="26" t="str">
        <f>IF(OR(E4164="",E4164="!!!",F4164="NEW"),"",INDEX(J$1:J4163,SUMPRODUCT(MAX(ROW(E$1:E4163)*(E4164=E$1:E4163)))))</f>
        <v> </v>
      </c>
      <c r="L4164" s="27"/>
    </row>
    <row r="4165" spans="1:12">
      <c r="A4165" s="20" t="s">
        <v>312</v>
      </c>
      <c r="E4165" s="22">
        <f>IF(D4165="?OLD","!!!","")</f>
        <v/>
      </c>
      <c r="F4165" s="23" t="str">
        <f>IF(OR(E4165="",E4165="!!!"),"",IF(NOT(ISNA(VLOOKUP(E4165,E$1:E4164,1,FALSE()))),"OLD",IF(AND(E4165&lt;&gt;"",E4165&lt;&gt;"!!!"),"NEW","")))</f>
        <v> </v>
      </c>
      <c r="G4165" s="24" t="str">
        <f>IF(OR(E4165="",E4165="!!!"),"",IF(OR(J4165=0,AND(J4165=1,K4165=1),AND(J4165=1,I4165="SBJ"),AND(J4165=1,I4165=0)),"?IN_FOCUS",IF(J4165&lt;=2,"?ACTIVATED",IF(J4165&lt;&gt;"","?FAMILIAR",IF(F4165="NEW",IF(ISNA(VLOOKUP(E4165,#REF!,1,FALSE())),"?TYPE_IDENTIFIABLE","?REFERENTIAL"),"_")))))</f>
        <v> </v>
      </c>
      <c r="H4165" s="25" t="str">
        <f>IF(J4165&lt;&gt;1,"",IF(I4165="SBJ","CB","?"))</f>
        <v> </v>
      </c>
      <c r="I4165" s="26" t="str">
        <f>IF(OR(E4165="",E4165="!!!",F4165="NEW"),"",INDEX(B4164:B$2,-1+SUMPRODUCT(MAX(ROW(E4164:E$2)*(E4165=E4164:E$2)))))</f>
        <v> </v>
      </c>
      <c r="J4165" s="26" t="str">
        <f>IF(OR(E4165="",E4165="!!!",F4165="NEW"),"",COUNTBLANK(OFFSET(A$1,,,SUMPRODUCT(MAX(ROW(E$2:E4165)*(E4165=E$2:E4165)))))-COUNTBLANK(OFFSET(A$1,,,SUMPRODUCT(MAX(ROW(E$1:E4164)*(E2=E$1:E4164))))))</f>
        <v> </v>
      </c>
      <c r="K4165" s="26" t="str">
        <f>IF(OR(E4165="",E4165="!!!",F4165="NEW"),"",INDEX(J$1:J4164,SUMPRODUCT(MAX(ROW(E$1:E4164)*(E4165=E$1:E4164)))))</f>
        <v> </v>
      </c>
      <c r="L4165" s="27"/>
    </row>
    <row r="4166" spans="1:12">
      <c r="A4166" s="20"/>
    </row>
    <row r="4167" spans="1:12">
      <c r="A4167" s="20" t="s">
        <v>2360</v>
      </c>
    </row>
    <row r="4168" spans="1:12">
      <c r="A4168" s="20" t="s">
        <v>198</v>
      </c>
      <c r="B4168" s="21" t="s">
        <v>1165</v>
      </c>
      <c r="C4168" s="21" t="s">
        <v>1143</v>
      </c>
      <c r="D4168" s="21" t="s">
        <v>1144</v>
      </c>
      <c r="E4168" s="22">
        <f>IF(D4168="?OLD","!!!","")</f>
        <v/>
      </c>
      <c r="F4168" s="23" t="str">
        <f>IF(OR(E4168="",E4168="!!!"),"",IF(NOT(ISNA(VLOOKUP(E4168,E$1:E4167,1,FALSE()))),"OLD",IF(AND(E4168&lt;&gt;"",E4168&lt;&gt;"!!!"),"NEW","")))</f>
        <v> </v>
      </c>
      <c r="G4168" s="24" t="str">
        <f>IF(OR(E4168="",E4168="!!!"),"",IF(OR(J4168=0,AND(J4168=1,K4168=1),AND(J4168=1,I4168="SBJ"),AND(J4168=1,I4168=0)),"?IN_FOCUS",IF(J4168&lt;=2,"?ACTIVATED",IF(J4168&lt;&gt;"","?FAMILIAR",IF(F4168="NEW",IF(ISNA(VLOOKUP(E4168,#REF!,1,FALSE())),"?TYPE_IDENTIFIABLE","?REFERENTIAL"),"_")))))</f>
        <v> </v>
      </c>
      <c r="H4168" s="25" t="str">
        <f>IF(J4168&lt;&gt;1,"",IF(I4168="SBJ","CB","?"))</f>
        <v> </v>
      </c>
      <c r="I4168" s="26" t="str">
        <f>IF(OR(E4168="",E4168="!!!",F4168="NEW"),"",INDEX(B4167:B$2,-1+SUMPRODUCT(MAX(ROW(E4167:E$2)*(E4168=E4167:E$2)))))</f>
        <v> </v>
      </c>
      <c r="J4168" s="26" t="str">
        <f>IF(OR(E4168="",E4168="!!!",F4168="NEW"),"",COUNTBLANK(OFFSET(A$1,,,SUMPRODUCT(MAX(ROW(E$2:E4168)*(E4168=E$2:E4168)))))-COUNTBLANK(OFFSET(A$1,,,SUMPRODUCT(MAX(ROW(E$1:E4167)*(E2=E$1:E4167))))))</f>
        <v> </v>
      </c>
      <c r="K4168" s="26" t="str">
        <f>IF(OR(E4168="",E4168="!!!",F4168="NEW"),"",INDEX(J$1:J4167,SUMPRODUCT(MAX(ROW(E$1:E4167)*(E4168=E$1:E4167)))))</f>
        <v> </v>
      </c>
      <c r="L4168" s="27"/>
    </row>
    <row r="4169" spans="1:12">
      <c r="A4169" s="20" t="s">
        <v>1146</v>
      </c>
      <c r="E4169" s="22">
        <f>IF(D4169="?OLD","!!!","")</f>
        <v/>
      </c>
      <c r="F4169" s="23" t="str">
        <f>IF(OR(E4169="",E4169="!!!"),"",IF(NOT(ISNA(VLOOKUP(E4169,E$1:E4168,1,FALSE()))),"OLD",IF(AND(E4169&lt;&gt;"",E4169&lt;&gt;"!!!"),"NEW","")))</f>
        <v> </v>
      </c>
      <c r="G4169" s="24" t="str">
        <f>IF(OR(E4169="",E4169="!!!"),"",IF(OR(J4169=0,AND(J4169=1,K4169=1),AND(J4169=1,I4169="SBJ"),AND(J4169=1,I4169=0)),"?IN_FOCUS",IF(J4169&lt;=2,"?ACTIVATED",IF(J4169&lt;&gt;"","?FAMILIAR",IF(F4169="NEW",IF(ISNA(VLOOKUP(E4169,#REF!,1,FALSE())),"?TYPE_IDENTIFIABLE","?REFERENTIAL"),"_")))))</f>
        <v> </v>
      </c>
      <c r="H4169" s="25" t="str">
        <f>IF(J4169&lt;&gt;1,"",IF(I4169="SBJ","CB","?"))</f>
        <v> </v>
      </c>
      <c r="I4169" s="26" t="str">
        <f>IF(OR(E4169="",E4169="!!!",F4169="NEW"),"",INDEX(B4168:B$2,-1+SUMPRODUCT(MAX(ROW(E4168:E$2)*(E4169=E4168:E$2)))))</f>
        <v> </v>
      </c>
      <c r="J4169" s="26" t="str">
        <f>IF(OR(E4169="",E4169="!!!",F4169="NEW"),"",COUNTBLANK(OFFSET(A$1,,,SUMPRODUCT(MAX(ROW(E$2:E4169)*(E4169=E$2:E4169)))))-COUNTBLANK(OFFSET(A$1,,,SUMPRODUCT(MAX(ROW(E$1:E4168)*(E2=E$1:E4168))))))</f>
        <v> </v>
      </c>
      <c r="K4169" s="26" t="str">
        <f>IF(OR(E4169="",E4169="!!!",F4169="NEW"),"",INDEX(J$1:J4168,SUMPRODUCT(MAX(ROW(E$1:E4168)*(E4169=E$1:E4168)))))</f>
        <v> </v>
      </c>
      <c r="L4169" s="27"/>
    </row>
    <row r="4170" spans="1:12">
      <c r="A4170" s="20" t="s">
        <v>1816</v>
      </c>
      <c r="B4170" s="21" t="s">
        <v>1165</v>
      </c>
      <c r="C4170" s="21" t="s">
        <v>1151</v>
      </c>
      <c r="D4170" s="21" t="s">
        <v>1144</v>
      </c>
      <c r="E4170" s="22">
        <f>IF(D4170="?OLD","!!!","")</f>
        <v/>
      </c>
      <c r="F4170" s="23" t="str">
        <f>IF(OR(E4170="",E4170="!!!"),"",IF(NOT(ISNA(VLOOKUP(E4170,E$1:E4169,1,FALSE()))),"OLD",IF(AND(E4170&lt;&gt;"",E4170&lt;&gt;"!!!"),"NEW","")))</f>
        <v> </v>
      </c>
      <c r="G4170" s="24" t="str">
        <f>IF(OR(E4170="",E4170="!!!"),"",IF(OR(J4170=0,AND(J4170=1,K4170=1),AND(J4170=1,I4170="SBJ"),AND(J4170=1,I4170=0)),"?IN_FOCUS",IF(J4170&lt;=2,"?ACTIVATED",IF(J4170&lt;&gt;"","?FAMILIAR",IF(F4170="NEW",IF(ISNA(VLOOKUP(E4170,#REF!,1,FALSE())),"?TYPE_IDENTIFIABLE","?REFERENTIAL"),"_")))))</f>
        <v> </v>
      </c>
      <c r="H4170" s="25" t="str">
        <f>IF(J4170&lt;&gt;1,"",IF(I4170="SBJ","CB","?"))</f>
        <v> </v>
      </c>
      <c r="I4170" s="26" t="str">
        <f>IF(OR(E4170="",E4170="!!!",F4170="NEW"),"",INDEX(B4169:B$2,-1+SUMPRODUCT(MAX(ROW(E4169:E$2)*(E4170=E4169:E$2)))))</f>
        <v> </v>
      </c>
      <c r="J4170" s="26" t="str">
        <f>IF(OR(E4170="",E4170="!!!",F4170="NEW"),"",COUNTBLANK(OFFSET(A$1,,,SUMPRODUCT(MAX(ROW(E$2:E4170)*(E4170=E$2:E4170)))))-COUNTBLANK(OFFSET(A$1,,,SUMPRODUCT(MAX(ROW(E$1:E4169)*(E2=E$1:E4169))))))</f>
        <v> </v>
      </c>
      <c r="K4170" s="26" t="str">
        <f>IF(OR(E4170="",E4170="!!!",F4170="NEW"),"",INDEX(J$1:J4169,SUMPRODUCT(MAX(ROW(E$1:E4169)*(E4170=E$1:E4169)))))</f>
        <v> </v>
      </c>
      <c r="L4170" s="27"/>
    </row>
    <row r="4171" spans="1:12">
      <c r="A4171" s="20" t="s">
        <v>1846</v>
      </c>
      <c r="E4171" s="22">
        <f>IF(D4171="?OLD","!!!","")</f>
        <v/>
      </c>
      <c r="F4171" s="23" t="str">
        <f>IF(OR(E4171="",E4171="!!!"),"",IF(NOT(ISNA(VLOOKUP(E4171,E$1:E4170,1,FALSE()))),"OLD",IF(AND(E4171&lt;&gt;"",E4171&lt;&gt;"!!!"),"NEW","")))</f>
        <v> </v>
      </c>
      <c r="G4171" s="24" t="str">
        <f>IF(OR(E4171="",E4171="!!!"),"",IF(OR(J4171=0,AND(J4171=1,K4171=1),AND(J4171=1,I4171="SBJ"),AND(J4171=1,I4171=0)),"?IN_FOCUS",IF(J4171&lt;=2,"?ACTIVATED",IF(J4171&lt;&gt;"","?FAMILIAR",IF(F4171="NEW",IF(ISNA(VLOOKUP(E4171,#REF!,1,FALSE())),"?TYPE_IDENTIFIABLE","?REFERENTIAL"),"_")))))</f>
        <v> </v>
      </c>
      <c r="H4171" s="25" t="str">
        <f>IF(J4171&lt;&gt;1,"",IF(I4171="SBJ","CB","?"))</f>
        <v> </v>
      </c>
      <c r="I4171" s="26" t="str">
        <f>IF(OR(E4171="",E4171="!!!",F4171="NEW"),"",INDEX(B4170:B$2,-1+SUMPRODUCT(MAX(ROW(E4170:E$2)*(E4171=E4170:E$2)))))</f>
        <v> </v>
      </c>
      <c r="J4171" s="26" t="str">
        <f>IF(OR(E4171="",E4171="!!!",F4171="NEW"),"",COUNTBLANK(OFFSET(A$1,,,SUMPRODUCT(MAX(ROW(E$2:E4171)*(E4171=E$2:E4171)))))-COUNTBLANK(OFFSET(A$1,,,SUMPRODUCT(MAX(ROW(E$1:E4170)*(E2=E$1:E4170))))))</f>
        <v> </v>
      </c>
      <c r="K4171" s="26" t="str">
        <f>IF(OR(E4171="",E4171="!!!",F4171="NEW"),"",INDEX(J$1:J4170,SUMPRODUCT(MAX(ROW(E$1:E4170)*(E4171=E$1:E4170)))))</f>
        <v> </v>
      </c>
      <c r="L4171" s="27"/>
    </row>
    <row r="4172" spans="1:12">
      <c r="A4172" s="20" t="s">
        <v>2361</v>
      </c>
      <c r="E4172" s="22">
        <f>IF(D4172="?OLD","!!!","")</f>
        <v/>
      </c>
      <c r="F4172" s="23" t="str">
        <f>IF(OR(E4172="",E4172="!!!"),"",IF(NOT(ISNA(VLOOKUP(E4172,E$1:E4171,1,FALSE()))),"OLD",IF(AND(E4172&lt;&gt;"",E4172&lt;&gt;"!!!"),"NEW","")))</f>
        <v> </v>
      </c>
      <c r="G4172" s="24" t="str">
        <f>IF(OR(E4172="",E4172="!!!"),"",IF(OR(J4172=0,AND(J4172=1,K4172=1),AND(J4172=1,I4172="SBJ"),AND(J4172=1,I4172=0)),"?IN_FOCUS",IF(J4172&lt;=2,"?ACTIVATED",IF(J4172&lt;&gt;"","?FAMILIAR",IF(F4172="NEW",IF(ISNA(VLOOKUP(E4172,#REF!,1,FALSE())),"?TYPE_IDENTIFIABLE","?REFERENTIAL"),"_")))))</f>
        <v> </v>
      </c>
      <c r="H4172" s="25" t="str">
        <f>IF(J4172&lt;&gt;1,"",IF(I4172="SBJ","CB","?"))</f>
        <v> </v>
      </c>
      <c r="I4172" s="26" t="str">
        <f>IF(OR(E4172="",E4172="!!!",F4172="NEW"),"",INDEX(B4171:B$2,-1+SUMPRODUCT(MAX(ROW(E4171:E$2)*(E4172=E4171:E$2)))))</f>
        <v> </v>
      </c>
      <c r="J4172" s="26" t="str">
        <f>IF(OR(E4172="",E4172="!!!",F4172="NEW"),"",COUNTBLANK(OFFSET(A$1,,,SUMPRODUCT(MAX(ROW(E$2:E4172)*(E4172=E$2:E4172)))))-COUNTBLANK(OFFSET(A$1,,,SUMPRODUCT(MAX(ROW(E$1:E4171)*(E2=E$1:E4171))))))</f>
        <v> </v>
      </c>
      <c r="K4172" s="26" t="str">
        <f>IF(OR(E4172="",E4172="!!!",F4172="NEW"),"",INDEX(J$1:J4171,SUMPRODUCT(MAX(ROW(E$1:E4171)*(E4172=E$1:E4171)))))</f>
        <v> </v>
      </c>
      <c r="L4172" s="27"/>
    </row>
    <row r="4173" spans="1:12">
      <c r="A4173" s="20" t="s">
        <v>1941</v>
      </c>
      <c r="E4173" s="22">
        <f>IF(D4173="?OLD","!!!","")</f>
        <v/>
      </c>
      <c r="F4173" s="23" t="str">
        <f>IF(OR(E4173="",E4173="!!!"),"",IF(NOT(ISNA(VLOOKUP(E4173,E$1:E4172,1,FALSE()))),"OLD",IF(AND(E4173&lt;&gt;"",E4173&lt;&gt;"!!!"),"NEW","")))</f>
        <v> </v>
      </c>
      <c r="G4173" s="24" t="str">
        <f>IF(OR(E4173="",E4173="!!!"),"",IF(OR(J4173=0,AND(J4173=1,K4173=1),AND(J4173=1,I4173="SBJ"),AND(J4173=1,I4173=0)),"?IN_FOCUS",IF(J4173&lt;=2,"?ACTIVATED",IF(J4173&lt;&gt;"","?FAMILIAR",IF(F4173="NEW",IF(ISNA(VLOOKUP(E4173,#REF!,1,FALSE())),"?TYPE_IDENTIFIABLE","?REFERENTIAL"),"_")))))</f>
        <v> </v>
      </c>
      <c r="H4173" s="25" t="str">
        <f>IF(J4173&lt;&gt;1,"",IF(I4173="SBJ","CB","?"))</f>
        <v> </v>
      </c>
      <c r="I4173" s="26" t="str">
        <f>IF(OR(E4173="",E4173="!!!",F4173="NEW"),"",INDEX(B4172:B$2,-1+SUMPRODUCT(MAX(ROW(E4172:E$2)*(E4173=E4172:E$2)))))</f>
        <v> </v>
      </c>
      <c r="J4173" s="26" t="str">
        <f>IF(OR(E4173="",E4173="!!!",F4173="NEW"),"",COUNTBLANK(OFFSET(A$1,,,SUMPRODUCT(MAX(ROW(E$2:E4173)*(E4173=E$2:E4173)))))-COUNTBLANK(OFFSET(A$1,,,SUMPRODUCT(MAX(ROW(E$1:E4172)*(E2=E$1:E4172))))))</f>
        <v> </v>
      </c>
      <c r="K4173" s="26" t="str">
        <f>IF(OR(E4173="",E4173="!!!",F4173="NEW"),"",INDEX(J$1:J4172,SUMPRODUCT(MAX(ROW(E$1:E4172)*(E4173=E$1:E4172)))))</f>
        <v> </v>
      </c>
      <c r="L4173" s="27"/>
    </row>
    <row r="4174" spans="1:12">
      <c r="A4174" s="20" t="s">
        <v>12</v>
      </c>
      <c r="E4174" s="22">
        <f>IF(D4174="?OLD","!!!","")</f>
        <v/>
      </c>
      <c r="F4174" s="23" t="str">
        <f>IF(OR(E4174="",E4174="!!!"),"",IF(NOT(ISNA(VLOOKUP(E4174,E$1:E4173,1,FALSE()))),"OLD",IF(AND(E4174&lt;&gt;"",E4174&lt;&gt;"!!!"),"NEW","")))</f>
        <v> </v>
      </c>
      <c r="G4174" s="24" t="str">
        <f>IF(OR(E4174="",E4174="!!!"),"",IF(OR(J4174=0,AND(J4174=1,K4174=1),AND(J4174=1,I4174="SBJ"),AND(J4174=1,I4174=0)),"?IN_FOCUS",IF(J4174&lt;=2,"?ACTIVATED",IF(J4174&lt;&gt;"","?FAMILIAR",IF(F4174="NEW",IF(ISNA(VLOOKUP(E4174,#REF!,1,FALSE())),"?TYPE_IDENTIFIABLE","?REFERENTIAL"),"_")))))</f>
        <v> </v>
      </c>
      <c r="H4174" s="25" t="str">
        <f>IF(J4174&lt;&gt;1,"",IF(I4174="SBJ","CB","?"))</f>
        <v> </v>
      </c>
      <c r="I4174" s="26" t="str">
        <f>IF(OR(E4174="",E4174="!!!",F4174="NEW"),"",INDEX(B4173:B$2,-1+SUMPRODUCT(MAX(ROW(E4173:E$2)*(E4174=E4173:E$2)))))</f>
        <v> </v>
      </c>
      <c r="J4174" s="26" t="str">
        <f>IF(OR(E4174="",E4174="!!!",F4174="NEW"),"",COUNTBLANK(OFFSET(A$1,,,SUMPRODUCT(MAX(ROW(E$2:E4174)*(E4174=E$2:E4174)))))-COUNTBLANK(OFFSET(A$1,,,SUMPRODUCT(MAX(ROW(E$1:E4173)*(E2=E$1:E4173))))))</f>
        <v> </v>
      </c>
      <c r="K4174" s="26" t="str">
        <f>IF(OR(E4174="",E4174="!!!",F4174="NEW"),"",INDEX(J$1:J4173,SUMPRODUCT(MAX(ROW(E$1:E4173)*(E4174=E$1:E4173)))))</f>
        <v> </v>
      </c>
      <c r="L4174" s="27"/>
    </row>
    <row r="4175" spans="1:12">
      <c r="A4175" s="20" t="s">
        <v>1198</v>
      </c>
      <c r="B4175" s="21" t="s">
        <v>1142</v>
      </c>
      <c r="C4175" s="21" t="s">
        <v>1151</v>
      </c>
      <c r="D4175" s="21" t="s">
        <v>1144</v>
      </c>
      <c r="E4175" s="22">
        <f>IF(D4175="?OLD","!!!","")</f>
        <v/>
      </c>
      <c r="F4175" s="23" t="str">
        <f>IF(OR(E4175="",E4175="!!!"),"",IF(NOT(ISNA(VLOOKUP(E4175,E$1:E4174,1,FALSE()))),"OLD",IF(AND(E4175&lt;&gt;"",E4175&lt;&gt;"!!!"),"NEW","")))</f>
        <v> </v>
      </c>
      <c r="G4175" s="24" t="str">
        <f>IF(OR(E4175="",E4175="!!!"),"",IF(OR(J4175=0,AND(J4175=1,K4175=1),AND(J4175=1,I4175="SBJ"),AND(J4175=1,I4175=0)),"?IN_FOCUS",IF(J4175&lt;=2,"?ACTIVATED",IF(J4175&lt;&gt;"","?FAMILIAR",IF(F4175="NEW",IF(ISNA(VLOOKUP(E4175,#REF!,1,FALSE())),"?TYPE_IDENTIFIABLE","?REFERENTIAL"),"_")))))</f>
        <v> </v>
      </c>
      <c r="H4175" s="25" t="str">
        <f>IF(J4175&lt;&gt;1,"",IF(I4175="SBJ","CB","?"))</f>
        <v> </v>
      </c>
      <c r="I4175" s="26" t="str">
        <f>IF(OR(E4175="",E4175="!!!",F4175="NEW"),"",INDEX(B4174:B$2,-1+SUMPRODUCT(MAX(ROW(E4174:E$2)*(E4175=E4174:E$2)))))</f>
        <v> </v>
      </c>
      <c r="J4175" s="26" t="str">
        <f>IF(OR(E4175="",E4175="!!!",F4175="NEW"),"",COUNTBLANK(OFFSET(A$1,,,SUMPRODUCT(MAX(ROW(E$2:E4175)*(E4175=E$2:E4175)))))-COUNTBLANK(OFFSET(A$1,,,SUMPRODUCT(MAX(ROW(E$1:E4174)*(E2=E$1:E4174))))))</f>
        <v> </v>
      </c>
      <c r="K4175" s="26" t="str">
        <f>IF(OR(E4175="",E4175="!!!",F4175="NEW"),"",INDEX(J$1:J4174,SUMPRODUCT(MAX(ROW(E$1:E4174)*(E4175=E$1:E4174)))))</f>
        <v> </v>
      </c>
      <c r="L4175" s="27"/>
    </row>
    <row r="4176" spans="1:12">
      <c r="A4176" s="20" t="s">
        <v>1930</v>
      </c>
      <c r="E4176" s="22">
        <f>IF(D4176="?OLD","!!!","")</f>
        <v/>
      </c>
      <c r="F4176" s="23" t="str">
        <f>IF(OR(E4176="",E4176="!!!"),"",IF(NOT(ISNA(VLOOKUP(E4176,E$1:E4175,1,FALSE()))),"OLD",IF(AND(E4176&lt;&gt;"",E4176&lt;&gt;"!!!"),"NEW","")))</f>
        <v> </v>
      </c>
      <c r="G4176" s="24" t="str">
        <f>IF(OR(E4176="",E4176="!!!"),"",IF(OR(J4176=0,AND(J4176=1,K4176=1),AND(J4176=1,I4176="SBJ"),AND(J4176=1,I4176=0)),"?IN_FOCUS",IF(J4176&lt;=2,"?ACTIVATED",IF(J4176&lt;&gt;"","?FAMILIAR",IF(F4176="NEW",IF(ISNA(VLOOKUP(E4176,#REF!,1,FALSE())),"?TYPE_IDENTIFIABLE","?REFERENTIAL"),"_")))))</f>
        <v> </v>
      </c>
      <c r="H4176" s="25" t="str">
        <f>IF(J4176&lt;&gt;1,"",IF(I4176="SBJ","CB","?"))</f>
        <v> </v>
      </c>
      <c r="I4176" s="26" t="str">
        <f>IF(OR(E4176="",E4176="!!!",F4176="NEW"),"",INDEX(B4175:B$2,-1+SUMPRODUCT(MAX(ROW(E4175:E$2)*(E4176=E4175:E$2)))))</f>
        <v> </v>
      </c>
      <c r="J4176" s="26" t="str">
        <f>IF(OR(E4176="",E4176="!!!",F4176="NEW"),"",COUNTBLANK(OFFSET(A$1,,,SUMPRODUCT(MAX(ROW(E$2:E4176)*(E4176=E$2:E4176)))))-COUNTBLANK(OFFSET(A$1,,,SUMPRODUCT(MAX(ROW(E$1:E4175)*(E2=E$1:E4175))))))</f>
        <v> </v>
      </c>
      <c r="K4176" s="26" t="str">
        <f>IF(OR(E4176="",E4176="!!!",F4176="NEW"),"",INDEX(J$1:J4175,SUMPRODUCT(MAX(ROW(E$1:E4175)*(E4176=E$1:E4175)))))</f>
        <v> </v>
      </c>
      <c r="L4176" s="27"/>
    </row>
    <row r="4177" spans="1:12">
      <c r="A4177" s="20" t="s">
        <v>1166</v>
      </c>
      <c r="E4177" s="22">
        <f>IF(D4177="?OLD","!!!","")</f>
        <v/>
      </c>
      <c r="F4177" s="23" t="str">
        <f>IF(OR(E4177="",E4177="!!!"),"",IF(NOT(ISNA(VLOOKUP(E4177,E$1:E4176,1,FALSE()))),"OLD",IF(AND(E4177&lt;&gt;"",E4177&lt;&gt;"!!!"),"NEW","")))</f>
        <v> </v>
      </c>
      <c r="G4177" s="24" t="str">
        <f>IF(OR(E4177="",E4177="!!!"),"",IF(OR(J4177=0,AND(J4177=1,K4177=1),AND(J4177=1,I4177="SBJ"),AND(J4177=1,I4177=0)),"?IN_FOCUS",IF(J4177&lt;=2,"?ACTIVATED",IF(J4177&lt;&gt;"","?FAMILIAR",IF(F4177="NEW",IF(ISNA(VLOOKUP(E4177,#REF!,1,FALSE())),"?TYPE_IDENTIFIABLE","?REFERENTIAL"),"_")))))</f>
        <v> </v>
      </c>
      <c r="H4177" s="25" t="str">
        <f>IF(J4177&lt;&gt;1,"",IF(I4177="SBJ","CB","?"))</f>
        <v> </v>
      </c>
      <c r="I4177" s="26" t="str">
        <f>IF(OR(E4177="",E4177="!!!",F4177="NEW"),"",INDEX(B4176:B$2,-1+SUMPRODUCT(MAX(ROW(E4176:E$2)*(E4177=E4176:E$2)))))</f>
        <v> </v>
      </c>
      <c r="J4177" s="26" t="str">
        <f>IF(OR(E4177="",E4177="!!!",F4177="NEW"),"",COUNTBLANK(OFFSET(A$1,,,SUMPRODUCT(MAX(ROW(E$2:E4177)*(E4177=E$2:E4177)))))-COUNTBLANK(OFFSET(A$1,,,SUMPRODUCT(MAX(ROW(E$1:E4176)*(E2=E$1:E4176))))))</f>
        <v> </v>
      </c>
      <c r="K4177" s="26" t="str">
        <f>IF(OR(E4177="",E4177="!!!",F4177="NEW"),"",INDEX(J$1:J4176,SUMPRODUCT(MAX(ROW(E$1:E4176)*(E4177=E$1:E4176)))))</f>
        <v> </v>
      </c>
      <c r="L4177" s="27"/>
    </row>
    <row r="4178" spans="1:12">
      <c r="A4178" s="20" t="s">
        <v>1198</v>
      </c>
      <c r="B4178" s="21" t="s">
        <v>1175</v>
      </c>
      <c r="C4178" s="21" t="s">
        <v>1151</v>
      </c>
      <c r="D4178" s="21" t="s">
        <v>1144</v>
      </c>
      <c r="E4178" s="22">
        <f>IF(D4178="?OLD","!!!","")</f>
        <v/>
      </c>
      <c r="F4178" s="23" t="str">
        <f>IF(OR(E4178="",E4178="!!!"),"",IF(NOT(ISNA(VLOOKUP(E4178,E$1:E4177,1,FALSE()))),"OLD",IF(AND(E4178&lt;&gt;"",E4178&lt;&gt;"!!!"),"NEW","")))</f>
        <v> </v>
      </c>
      <c r="G4178" s="24" t="str">
        <f>IF(OR(E4178="",E4178="!!!"),"",IF(OR(J4178=0,AND(J4178=1,K4178=1),AND(J4178=1,I4178="SBJ"),AND(J4178=1,I4178=0)),"?IN_FOCUS",IF(J4178&lt;=2,"?ACTIVATED",IF(J4178&lt;&gt;"","?FAMILIAR",IF(F4178="NEW",IF(ISNA(VLOOKUP(E4178,#REF!,1,FALSE())),"?TYPE_IDENTIFIABLE","?REFERENTIAL"),"_")))))</f>
        <v> </v>
      </c>
      <c r="H4178" s="25" t="str">
        <f>IF(J4178&lt;&gt;1,"",IF(I4178="SBJ","CB","?"))</f>
        <v> </v>
      </c>
      <c r="I4178" s="26" t="str">
        <f>IF(OR(E4178="",E4178="!!!",F4178="NEW"),"",INDEX(B4177:B$2,-1+SUMPRODUCT(MAX(ROW(E4177:E$2)*(E4178=E4177:E$2)))))</f>
        <v> </v>
      </c>
      <c r="J4178" s="26" t="str">
        <f>IF(OR(E4178="",E4178="!!!",F4178="NEW"),"",COUNTBLANK(OFFSET(A$1,,,SUMPRODUCT(MAX(ROW(E$2:E4178)*(E4178=E$2:E4178)))))-COUNTBLANK(OFFSET(A$1,,,SUMPRODUCT(MAX(ROW(E$1:E4177)*(E2=E$1:E4177))))))</f>
        <v> </v>
      </c>
      <c r="K4178" s="26" t="str">
        <f>IF(OR(E4178="",E4178="!!!",F4178="NEW"),"",INDEX(J$1:J4177,SUMPRODUCT(MAX(ROW(E$1:E4177)*(E4178=E$1:E4177)))))</f>
        <v> </v>
      </c>
      <c r="L4178" s="27"/>
    </row>
    <row r="4179" spans="1:12">
      <c r="A4179" s="20" t="s">
        <v>1935</v>
      </c>
      <c r="E4179" s="22">
        <f>IF(D4179="?OLD","!!!","")</f>
        <v/>
      </c>
      <c r="F4179" s="23" t="str">
        <f>IF(OR(E4179="",E4179="!!!"),"",IF(NOT(ISNA(VLOOKUP(E4179,E$1:E4178,1,FALSE()))),"OLD",IF(AND(E4179&lt;&gt;"",E4179&lt;&gt;"!!!"),"NEW","")))</f>
        <v> </v>
      </c>
      <c r="G4179" s="24" t="str">
        <f>IF(OR(E4179="",E4179="!!!"),"",IF(OR(J4179=0,AND(J4179=1,K4179=1),AND(J4179=1,I4179="SBJ"),AND(J4179=1,I4179=0)),"?IN_FOCUS",IF(J4179&lt;=2,"?ACTIVATED",IF(J4179&lt;&gt;"","?FAMILIAR",IF(F4179="NEW",IF(ISNA(VLOOKUP(E4179,#REF!,1,FALSE())),"?TYPE_IDENTIFIABLE","?REFERENTIAL"),"_")))))</f>
        <v> </v>
      </c>
      <c r="H4179" s="25" t="str">
        <f>IF(J4179&lt;&gt;1,"",IF(I4179="SBJ","CB","?"))</f>
        <v> </v>
      </c>
      <c r="I4179" s="26" t="str">
        <f>IF(OR(E4179="",E4179="!!!",F4179="NEW"),"",INDEX(B4178:B$2,-1+SUMPRODUCT(MAX(ROW(E4178:E$2)*(E4179=E4178:E$2)))))</f>
        <v> </v>
      </c>
      <c r="J4179" s="26" t="str">
        <f>IF(OR(E4179="",E4179="!!!",F4179="NEW"),"",COUNTBLANK(OFFSET(A$1,,,SUMPRODUCT(MAX(ROW(E$2:E4179)*(E4179=E$2:E4179)))))-COUNTBLANK(OFFSET(A$1,,,SUMPRODUCT(MAX(ROW(E$1:E4178)*(E2=E$1:E4178))))))</f>
        <v> </v>
      </c>
      <c r="K4179" s="26" t="str">
        <f>IF(OR(E4179="",E4179="!!!",F4179="NEW"),"",INDEX(J$1:J4178,SUMPRODUCT(MAX(ROW(E$1:E4178)*(E4179=E$1:E4178)))))</f>
        <v> </v>
      </c>
      <c r="L4179" s="27"/>
    </row>
    <row r="4180" spans="1:12">
      <c r="A4180" s="20" t="s">
        <v>1191</v>
      </c>
      <c r="B4180" s="21" t="s">
        <v>1310</v>
      </c>
      <c r="E4180" s="22">
        <f>IF(D4180="?OLD","!!!","")</f>
        <v/>
      </c>
      <c r="F4180" s="23" t="str">
        <f>IF(OR(E4180="",E4180="!!!"),"",IF(NOT(ISNA(VLOOKUP(E4180,E$1:E4179,1,FALSE()))),"OLD",IF(AND(E4180&lt;&gt;"",E4180&lt;&gt;"!!!"),"NEW","")))</f>
        <v> </v>
      </c>
      <c r="G4180" s="24" t="str">
        <f>IF(OR(E4180="",E4180="!!!"),"",IF(OR(J4180=0,AND(J4180=1,K4180=1),AND(J4180=1,I4180="SBJ"),AND(J4180=1,I4180=0)),"?IN_FOCUS",IF(J4180&lt;=2,"?ACTIVATED",IF(J4180&lt;&gt;"","?FAMILIAR",IF(F4180="NEW",IF(ISNA(VLOOKUP(E4180,#REF!,1,FALSE())),"?TYPE_IDENTIFIABLE","?REFERENTIAL"),"_")))))</f>
        <v> </v>
      </c>
      <c r="H4180" s="25" t="str">
        <f>IF(J4180&lt;&gt;1,"",IF(I4180="SBJ","CB","?"))</f>
        <v> </v>
      </c>
      <c r="I4180" s="26" t="str">
        <f>IF(OR(E4180="",E4180="!!!",F4180="NEW"),"",INDEX(B4179:B$2,-1+SUMPRODUCT(MAX(ROW(E4179:E$2)*(E4180=E4179:E$2)))))</f>
        <v> </v>
      </c>
      <c r="J4180" s="26" t="str">
        <f>IF(OR(E4180="",E4180="!!!",F4180="NEW"),"",COUNTBLANK(OFFSET(A$1,,,SUMPRODUCT(MAX(ROW(E$2:E4180)*(E4180=E$2:E4180)))))-COUNTBLANK(OFFSET(A$1,,,SUMPRODUCT(MAX(ROW(E$1:E4179)*(E2=E$1:E4179))))))</f>
        <v> </v>
      </c>
      <c r="K4180" s="26" t="str">
        <f>IF(OR(E4180="",E4180="!!!",F4180="NEW"),"",INDEX(J$1:J4179,SUMPRODUCT(MAX(ROW(E$1:E4179)*(E4180=E$1:E4179)))))</f>
        <v> </v>
      </c>
      <c r="L4180" s="27"/>
    </row>
    <row r="4181" spans="1:12">
      <c r="A4181" s="20" t="s">
        <v>1409</v>
      </c>
      <c r="E4181" s="22">
        <f>IF(D4181="?OLD","!!!","")</f>
        <v/>
      </c>
      <c r="F4181" s="23" t="str">
        <f>IF(OR(E4181="",E4181="!!!"),"",IF(NOT(ISNA(VLOOKUP(E4181,E$1:E4180,1,FALSE()))),"OLD",IF(AND(E4181&lt;&gt;"",E4181&lt;&gt;"!!!"),"NEW","")))</f>
        <v> </v>
      </c>
      <c r="G4181" s="24" t="str">
        <f>IF(OR(E4181="",E4181="!!!"),"",IF(OR(J4181=0,AND(J4181=1,K4181=1),AND(J4181=1,I4181="SBJ"),AND(J4181=1,I4181=0)),"?IN_FOCUS",IF(J4181&lt;=2,"?ACTIVATED",IF(J4181&lt;&gt;"","?FAMILIAR",IF(F4181="NEW",IF(ISNA(VLOOKUP(E4181,#REF!,1,FALSE())),"?TYPE_IDENTIFIABLE","?REFERENTIAL"),"_")))))</f>
        <v> </v>
      </c>
      <c r="H4181" s="25" t="str">
        <f>IF(J4181&lt;&gt;1,"",IF(I4181="SBJ","CB","?"))</f>
        <v> </v>
      </c>
      <c r="I4181" s="26" t="str">
        <f>IF(OR(E4181="",E4181="!!!",F4181="NEW"),"",INDEX(B4180:B$2,-1+SUMPRODUCT(MAX(ROW(E4180:E$2)*(E4181=E4180:E$2)))))</f>
        <v> </v>
      </c>
      <c r="J4181" s="26" t="str">
        <f>IF(OR(E4181="",E4181="!!!",F4181="NEW"),"",COUNTBLANK(OFFSET(A$1,,,SUMPRODUCT(MAX(ROW(E$2:E4181)*(E4181=E$2:E4181)))))-COUNTBLANK(OFFSET(A$1,,,SUMPRODUCT(MAX(ROW(E$1:E4180)*(E2=E$1:E4180))))))</f>
        <v> </v>
      </c>
      <c r="K4181" s="26" t="str">
        <f>IF(OR(E4181="",E4181="!!!",F4181="NEW"),"",INDEX(J$1:J4180,SUMPRODUCT(MAX(ROW(E$1:E4180)*(E4181=E$1:E4180)))))</f>
        <v> </v>
      </c>
      <c r="L4181" s="27"/>
    </row>
    <row r="4182" spans="1:12">
      <c r="A4182" s="20" t="s">
        <v>12</v>
      </c>
      <c r="E4182" s="22">
        <f>IF(D4182="?OLD","!!!","")</f>
        <v/>
      </c>
      <c r="F4182" s="23" t="str">
        <f>IF(OR(E4182="",E4182="!!!"),"",IF(NOT(ISNA(VLOOKUP(E4182,E$1:E4181,1,FALSE()))),"OLD",IF(AND(E4182&lt;&gt;"",E4182&lt;&gt;"!!!"),"NEW","")))</f>
        <v> </v>
      </c>
      <c r="G4182" s="24" t="str">
        <f>IF(OR(E4182="",E4182="!!!"),"",IF(OR(J4182=0,AND(J4182=1,K4182=1),AND(J4182=1,I4182="SBJ"),AND(J4182=1,I4182=0)),"?IN_FOCUS",IF(J4182&lt;=2,"?ACTIVATED",IF(J4182&lt;&gt;"","?FAMILIAR",IF(F4182="NEW",IF(ISNA(VLOOKUP(E4182,#REF!,1,FALSE())),"?TYPE_IDENTIFIABLE","?REFERENTIAL"),"_")))))</f>
        <v> </v>
      </c>
      <c r="H4182" s="25" t="str">
        <f>IF(J4182&lt;&gt;1,"",IF(I4182="SBJ","CB","?"))</f>
        <v> </v>
      </c>
      <c r="I4182" s="26" t="str">
        <f>IF(OR(E4182="",E4182="!!!",F4182="NEW"),"",INDEX(B4181:B$2,-1+SUMPRODUCT(MAX(ROW(E4181:E$2)*(E4182=E4181:E$2)))))</f>
        <v> </v>
      </c>
      <c r="J4182" s="26" t="str">
        <f>IF(OR(E4182="",E4182="!!!",F4182="NEW"),"",COUNTBLANK(OFFSET(A$1,,,SUMPRODUCT(MAX(ROW(E$2:E4182)*(E4182=E$2:E4182)))))-COUNTBLANK(OFFSET(A$1,,,SUMPRODUCT(MAX(ROW(E$1:E4181)*(E2=E$1:E4181))))))</f>
        <v> </v>
      </c>
      <c r="K4182" s="26" t="str">
        <f>IF(OR(E4182="",E4182="!!!",F4182="NEW"),"",INDEX(J$1:J4181,SUMPRODUCT(MAX(ROW(E$1:E4181)*(E4182=E$1:E4181)))))</f>
        <v> </v>
      </c>
      <c r="L4182" s="27"/>
    </row>
    <row r="4183" spans="1:12">
      <c r="A4183" s="20" t="s">
        <v>1166</v>
      </c>
      <c r="E4183" s="22">
        <f>IF(D4183="?OLD","!!!","")</f>
        <v/>
      </c>
      <c r="F4183" s="23" t="str">
        <f>IF(OR(E4183="",E4183="!!!"),"",IF(NOT(ISNA(VLOOKUP(E4183,E$1:E4182,1,FALSE()))),"OLD",IF(AND(E4183&lt;&gt;"",E4183&lt;&gt;"!!!"),"NEW","")))</f>
        <v> </v>
      </c>
      <c r="G4183" s="24" t="str">
        <f>IF(OR(E4183="",E4183="!!!"),"",IF(OR(J4183=0,AND(J4183=1,K4183=1),AND(J4183=1,I4183="SBJ"),AND(J4183=1,I4183=0)),"?IN_FOCUS",IF(J4183&lt;=2,"?ACTIVATED",IF(J4183&lt;&gt;"","?FAMILIAR",IF(F4183="NEW",IF(ISNA(VLOOKUP(E4183,#REF!,1,FALSE())),"?TYPE_IDENTIFIABLE","?REFERENTIAL"),"_")))))</f>
        <v> </v>
      </c>
      <c r="H4183" s="25" t="str">
        <f>IF(J4183&lt;&gt;1,"",IF(I4183="SBJ","CB","?"))</f>
        <v> </v>
      </c>
      <c r="I4183" s="26" t="str">
        <f>IF(OR(E4183="",E4183="!!!",F4183="NEW"),"",INDEX(B4182:B$2,-1+SUMPRODUCT(MAX(ROW(E4182:E$2)*(E4183=E4182:E$2)))))</f>
        <v> </v>
      </c>
      <c r="J4183" s="26" t="str">
        <f>IF(OR(E4183="",E4183="!!!",F4183="NEW"),"",COUNTBLANK(OFFSET(A$1,,,SUMPRODUCT(MAX(ROW(E$2:E4183)*(E4183=E$2:E4183)))))-COUNTBLANK(OFFSET(A$1,,,SUMPRODUCT(MAX(ROW(E$1:E4182)*(E2=E$1:E4182))))))</f>
        <v> </v>
      </c>
      <c r="K4183" s="26" t="str">
        <f>IF(OR(E4183="",E4183="!!!",F4183="NEW"),"",INDEX(J$1:J4182,SUMPRODUCT(MAX(ROW(E$1:E4182)*(E4183=E$1:E4182)))))</f>
        <v> </v>
      </c>
      <c r="L4183" s="27"/>
    </row>
    <row r="4184" spans="1:12">
      <c r="A4184" s="20" t="s">
        <v>1230</v>
      </c>
      <c r="B4184" s="21" t="s">
        <v>1199</v>
      </c>
      <c r="C4184" s="21" t="s">
        <v>1151</v>
      </c>
      <c r="D4184" s="21" t="s">
        <v>1144</v>
      </c>
      <c r="E4184" s="22">
        <f>IF(D4184="?OLD","!!!","")</f>
        <v/>
      </c>
      <c r="F4184" s="23" t="str">
        <f>IF(OR(E4184="",E4184="!!!"),"",IF(NOT(ISNA(VLOOKUP(E4184,E$1:E4183,1,FALSE()))),"OLD",IF(AND(E4184&lt;&gt;"",E4184&lt;&gt;"!!!"),"NEW","")))</f>
        <v> </v>
      </c>
      <c r="G4184" s="24" t="str">
        <f>IF(OR(E4184="",E4184="!!!"),"",IF(OR(J4184=0,AND(J4184=1,K4184=1),AND(J4184=1,I4184="SBJ"),AND(J4184=1,I4184=0)),"?IN_FOCUS",IF(J4184&lt;=2,"?ACTIVATED",IF(J4184&lt;&gt;"","?FAMILIAR",IF(F4184="NEW",IF(ISNA(VLOOKUP(E4184,#REF!,1,FALSE())),"?TYPE_IDENTIFIABLE","?REFERENTIAL"),"_")))))</f>
        <v> </v>
      </c>
      <c r="H4184" s="25" t="str">
        <f>IF(J4184&lt;&gt;1,"",IF(I4184="SBJ","CB","?"))</f>
        <v> </v>
      </c>
      <c r="I4184" s="26" t="str">
        <f>IF(OR(E4184="",E4184="!!!",F4184="NEW"),"",INDEX(B4183:B$2,-1+SUMPRODUCT(MAX(ROW(E4183:E$2)*(E4184=E4183:E$2)))))</f>
        <v> </v>
      </c>
      <c r="J4184" s="26" t="str">
        <f>IF(OR(E4184="",E4184="!!!",F4184="NEW"),"",COUNTBLANK(OFFSET(A$1,,,SUMPRODUCT(MAX(ROW(E$2:E4184)*(E4184=E$2:E4184)))))-COUNTBLANK(OFFSET(A$1,,,SUMPRODUCT(MAX(ROW(E$1:E4183)*(E2=E$1:E4183))))))</f>
        <v> </v>
      </c>
      <c r="K4184" s="26" t="str">
        <f>IF(OR(E4184="",E4184="!!!",F4184="NEW"),"",INDEX(J$1:J4183,SUMPRODUCT(MAX(ROW(E$1:E4183)*(E4184=E$1:E4183)))))</f>
        <v> </v>
      </c>
      <c r="L4184" s="27"/>
    </row>
    <row r="4185" spans="1:12">
      <c r="A4185" s="20" t="s">
        <v>1359</v>
      </c>
      <c r="E4185" s="22">
        <f>IF(D4185="?OLD","!!!","")</f>
        <v/>
      </c>
      <c r="F4185" s="23" t="str">
        <f>IF(OR(E4185="",E4185="!!!"),"",IF(NOT(ISNA(VLOOKUP(E4185,E$1:E4184,1,FALSE()))),"OLD",IF(AND(E4185&lt;&gt;"",E4185&lt;&gt;"!!!"),"NEW","")))</f>
        <v> </v>
      </c>
      <c r="G4185" s="24" t="str">
        <f>IF(OR(E4185="",E4185="!!!"),"",IF(OR(J4185=0,AND(J4185=1,K4185=1),AND(J4185=1,I4185="SBJ"),AND(J4185=1,I4185=0)),"?IN_FOCUS",IF(J4185&lt;=2,"?ACTIVATED",IF(J4185&lt;&gt;"","?FAMILIAR",IF(F4185="NEW",IF(ISNA(VLOOKUP(E4185,#REF!,1,FALSE())),"?TYPE_IDENTIFIABLE","?REFERENTIAL"),"_")))))</f>
        <v> </v>
      </c>
      <c r="H4185" s="25" t="str">
        <f>IF(J4185&lt;&gt;1,"",IF(I4185="SBJ","CB","?"))</f>
        <v> </v>
      </c>
      <c r="I4185" s="26" t="str">
        <f>IF(OR(E4185="",E4185="!!!",F4185="NEW"),"",INDEX(B4184:B$2,-1+SUMPRODUCT(MAX(ROW(E4184:E$2)*(E4185=E4184:E$2)))))</f>
        <v> </v>
      </c>
      <c r="J4185" s="26" t="str">
        <f>IF(OR(E4185="",E4185="!!!",F4185="NEW"),"",COUNTBLANK(OFFSET(A$1,,,SUMPRODUCT(MAX(ROW(E$2:E4185)*(E4185=E$2:E4185)))))-COUNTBLANK(OFFSET(A$1,,,SUMPRODUCT(MAX(ROW(E$1:E4184)*(E2=E$1:E4184))))))</f>
        <v> </v>
      </c>
      <c r="K4185" s="26" t="str">
        <f>IF(OR(E4185="",E4185="!!!",F4185="NEW"),"",INDEX(J$1:J4184,SUMPRODUCT(MAX(ROW(E$1:E4184)*(E4185=E$1:E4184)))))</f>
        <v> </v>
      </c>
      <c r="L4185" s="27"/>
    </row>
    <row r="4186" spans="1:12">
      <c r="A4186" s="20" t="s">
        <v>242</v>
      </c>
      <c r="B4186" s="21" t="s">
        <v>1310</v>
      </c>
      <c r="C4186" s="21" t="s">
        <v>1151</v>
      </c>
      <c r="D4186" s="21" t="s">
        <v>1144</v>
      </c>
      <c r="E4186" s="22">
        <f>IF(D4186="?OLD","!!!","")</f>
        <v/>
      </c>
      <c r="F4186" s="23" t="str">
        <f>IF(OR(E4186="",E4186="!!!"),"",IF(NOT(ISNA(VLOOKUP(E4186,E$1:E4185,1,FALSE()))),"OLD",IF(AND(E4186&lt;&gt;"",E4186&lt;&gt;"!!!"),"NEW","")))</f>
        <v> </v>
      </c>
      <c r="G4186" s="24" t="str">
        <f>IF(OR(E4186="",E4186="!!!"),"",IF(OR(J4186=0,AND(J4186=1,K4186=1),AND(J4186=1,I4186="SBJ"),AND(J4186=1,I4186=0)),"?IN_FOCUS",IF(J4186&lt;=2,"?ACTIVATED",IF(J4186&lt;&gt;"","?FAMILIAR",IF(F4186="NEW",IF(ISNA(VLOOKUP(E4186,#REF!,1,FALSE())),"?TYPE_IDENTIFIABLE","?REFERENTIAL"),"_")))))</f>
        <v> </v>
      </c>
      <c r="H4186" s="25" t="str">
        <f>IF(J4186&lt;&gt;1,"",IF(I4186="SBJ","CB","?"))</f>
        <v> </v>
      </c>
      <c r="I4186" s="26" t="str">
        <f>IF(OR(E4186="",E4186="!!!",F4186="NEW"),"",INDEX(B4185:B$2,-1+SUMPRODUCT(MAX(ROW(E4185:E$2)*(E4186=E4185:E$2)))))</f>
        <v> </v>
      </c>
      <c r="J4186" s="26" t="str">
        <f>IF(OR(E4186="",E4186="!!!",F4186="NEW"),"",COUNTBLANK(OFFSET(A$1,,,SUMPRODUCT(MAX(ROW(E$2:E4186)*(E4186=E$2:E4186)))))-COUNTBLANK(OFFSET(A$1,,,SUMPRODUCT(MAX(ROW(E$1:E4185)*(E2=E$1:E4185))))))</f>
        <v> </v>
      </c>
      <c r="K4186" s="26" t="str">
        <f>IF(OR(E4186="",E4186="!!!",F4186="NEW"),"",INDEX(J$1:J4185,SUMPRODUCT(MAX(ROW(E$1:E4185)*(E4186=E$1:E4185)))))</f>
        <v> </v>
      </c>
      <c r="L4186" s="27"/>
    </row>
    <row r="4187" spans="1:12">
      <c r="A4187" s="20" t="s">
        <v>2362</v>
      </c>
      <c r="E4187" s="22">
        <f>IF(D4187="?OLD","!!!","")</f>
        <v/>
      </c>
      <c r="F4187" s="23" t="str">
        <f>IF(OR(E4187="",E4187="!!!"),"",IF(NOT(ISNA(VLOOKUP(E4187,E$1:E4186,1,FALSE()))),"OLD",IF(AND(E4187&lt;&gt;"",E4187&lt;&gt;"!!!"),"NEW","")))</f>
        <v> </v>
      </c>
      <c r="G4187" s="24" t="str">
        <f>IF(OR(E4187="",E4187="!!!"),"",IF(OR(J4187=0,AND(J4187=1,K4187=1),AND(J4187=1,I4187="SBJ"),AND(J4187=1,I4187=0)),"?IN_FOCUS",IF(J4187&lt;=2,"?ACTIVATED",IF(J4187&lt;&gt;"","?FAMILIAR",IF(F4187="NEW",IF(ISNA(VLOOKUP(E4187,#REF!,1,FALSE())),"?TYPE_IDENTIFIABLE","?REFERENTIAL"),"_")))))</f>
        <v> </v>
      </c>
      <c r="H4187" s="25" t="str">
        <f>IF(J4187&lt;&gt;1,"",IF(I4187="SBJ","CB","?"))</f>
        <v> </v>
      </c>
      <c r="I4187" s="26" t="str">
        <f>IF(OR(E4187="",E4187="!!!",F4187="NEW"),"",INDEX(B4186:B$2,-1+SUMPRODUCT(MAX(ROW(E4186:E$2)*(E4187=E4186:E$2)))))</f>
        <v> </v>
      </c>
      <c r="J4187" s="26" t="str">
        <f>IF(OR(E4187="",E4187="!!!",F4187="NEW"),"",COUNTBLANK(OFFSET(A$1,,,SUMPRODUCT(MAX(ROW(E$2:E4187)*(E4187=E$2:E4187)))))-COUNTBLANK(OFFSET(A$1,,,SUMPRODUCT(MAX(ROW(E$1:E4186)*(E2=E$1:E4186))))))</f>
        <v> </v>
      </c>
      <c r="K4187" s="26" t="str">
        <f>IF(OR(E4187="",E4187="!!!",F4187="NEW"),"",INDEX(J$1:J4186,SUMPRODUCT(MAX(ROW(E$1:E4186)*(E4187=E$1:E4186)))))</f>
        <v> </v>
      </c>
      <c r="L4187" s="27"/>
    </row>
    <row r="4188" spans="1:12">
      <c r="A4188" s="20" t="s">
        <v>2363</v>
      </c>
      <c r="E4188" s="22">
        <f>IF(D4188="?OLD","!!!","")</f>
        <v/>
      </c>
      <c r="F4188" s="23" t="str">
        <f>IF(OR(E4188="",E4188="!!!"),"",IF(NOT(ISNA(VLOOKUP(E4188,E$1:E4187,1,FALSE()))),"OLD",IF(AND(E4188&lt;&gt;"",E4188&lt;&gt;"!!!"),"NEW","")))</f>
        <v> </v>
      </c>
      <c r="G4188" s="24" t="str">
        <f>IF(OR(E4188="",E4188="!!!"),"",IF(OR(J4188=0,AND(J4188=1,K4188=1),AND(J4188=1,I4188="SBJ"),AND(J4188=1,I4188=0)),"?IN_FOCUS",IF(J4188&lt;=2,"?ACTIVATED",IF(J4188&lt;&gt;"","?FAMILIAR",IF(F4188="NEW",IF(ISNA(VLOOKUP(E4188,#REF!,1,FALSE())),"?TYPE_IDENTIFIABLE","?REFERENTIAL"),"_")))))</f>
        <v> </v>
      </c>
      <c r="H4188" s="25" t="str">
        <f>IF(J4188&lt;&gt;1,"",IF(I4188="SBJ","CB","?"))</f>
        <v> </v>
      </c>
      <c r="I4188" s="26" t="str">
        <f>IF(OR(E4188="",E4188="!!!",F4188="NEW"),"",INDEX(B4187:B$2,-1+SUMPRODUCT(MAX(ROW(E4187:E$2)*(E4188=E4187:E$2)))))</f>
        <v> </v>
      </c>
      <c r="J4188" s="26" t="str">
        <f>IF(OR(E4188="",E4188="!!!",F4188="NEW"),"",COUNTBLANK(OFFSET(A$1,,,SUMPRODUCT(MAX(ROW(E$2:E4188)*(E4188=E$2:E4188)))))-COUNTBLANK(OFFSET(A$1,,,SUMPRODUCT(MAX(ROW(E$1:E4187)*(E2=E$1:E4187))))))</f>
        <v> </v>
      </c>
      <c r="K4188" s="26" t="str">
        <f>IF(OR(E4188="",E4188="!!!",F4188="NEW"),"",INDEX(J$1:J4187,SUMPRODUCT(MAX(ROW(E$1:E4187)*(E4188=E$1:E4187)))))</f>
        <v> </v>
      </c>
      <c r="L4188" s="27"/>
    </row>
    <row r="4189" spans="1:12">
      <c r="A4189" s="20" t="s">
        <v>1166</v>
      </c>
      <c r="E4189" s="22">
        <f>IF(D4189="?OLD","!!!","")</f>
        <v/>
      </c>
      <c r="F4189" s="23" t="str">
        <f>IF(OR(E4189="",E4189="!!!"),"",IF(NOT(ISNA(VLOOKUP(E4189,E$1:E4188,1,FALSE()))),"OLD",IF(AND(E4189&lt;&gt;"",E4189&lt;&gt;"!!!"),"NEW","")))</f>
        <v> </v>
      </c>
      <c r="G4189" s="24" t="str">
        <f>IF(OR(E4189="",E4189="!!!"),"",IF(OR(J4189=0,AND(J4189=1,K4189=1),AND(J4189=1,I4189="SBJ"),AND(J4189=1,I4189=0)),"?IN_FOCUS",IF(J4189&lt;=2,"?ACTIVATED",IF(J4189&lt;&gt;"","?FAMILIAR",IF(F4189="NEW",IF(ISNA(VLOOKUP(E4189,#REF!,1,FALSE())),"?TYPE_IDENTIFIABLE","?REFERENTIAL"),"_")))))</f>
        <v> </v>
      </c>
      <c r="H4189" s="25" t="str">
        <f>IF(J4189&lt;&gt;1,"",IF(I4189="SBJ","CB","?"))</f>
        <v> </v>
      </c>
      <c r="I4189" s="26" t="str">
        <f>IF(OR(E4189="",E4189="!!!",F4189="NEW"),"",INDEX(B4188:B$2,-1+SUMPRODUCT(MAX(ROW(E4188:E$2)*(E4189=E4188:E$2)))))</f>
        <v> </v>
      </c>
      <c r="J4189" s="26" t="str">
        <f>IF(OR(E4189="",E4189="!!!",F4189="NEW"),"",COUNTBLANK(OFFSET(A$1,,,SUMPRODUCT(MAX(ROW(E$2:E4189)*(E4189=E$2:E4189)))))-COUNTBLANK(OFFSET(A$1,,,SUMPRODUCT(MAX(ROW(E$1:E4188)*(E2=E$1:E4188))))))</f>
        <v> </v>
      </c>
      <c r="K4189" s="26" t="str">
        <f>IF(OR(E4189="",E4189="!!!",F4189="NEW"),"",INDEX(J$1:J4188,SUMPRODUCT(MAX(ROW(E$1:E4188)*(E4189=E$1:E4188)))))</f>
        <v> </v>
      </c>
      <c r="L4189" s="27"/>
    </row>
    <row r="4190" spans="1:12">
      <c r="A4190" s="20" t="s">
        <v>2364</v>
      </c>
      <c r="B4190" s="21" t="s">
        <v>1181</v>
      </c>
      <c r="C4190" s="21" t="s">
        <v>1182</v>
      </c>
      <c r="E4190" s="22">
        <f>IF(D4190="?OLD","!!!","")</f>
        <v/>
      </c>
      <c r="F4190" s="23" t="str">
        <f>IF(OR(E4190="",E4190="!!!"),"",IF(NOT(ISNA(VLOOKUP(E4190,E$1:E4189,1,FALSE()))),"OLD",IF(AND(E4190&lt;&gt;"",E4190&lt;&gt;"!!!"),"NEW","")))</f>
        <v> </v>
      </c>
      <c r="G4190" s="24" t="str">
        <f>IF(OR(E4190="",E4190="!!!"),"",IF(OR(J4190=0,AND(J4190=1,K4190=1),AND(J4190=1,I4190="SBJ"),AND(J4190=1,I4190=0)),"?IN_FOCUS",IF(J4190&lt;=2,"?ACTIVATED",IF(J4190&lt;&gt;"","?FAMILIAR",IF(F4190="NEW",IF(ISNA(VLOOKUP(E4190,#REF!,1,FALSE())),"?TYPE_IDENTIFIABLE","?REFERENTIAL"),"_")))))</f>
        <v> </v>
      </c>
      <c r="H4190" s="25" t="str">
        <f>IF(J4190&lt;&gt;1,"",IF(I4190="SBJ","CB","?"))</f>
        <v> </v>
      </c>
      <c r="I4190" s="26" t="str">
        <f>IF(OR(E4190="",E4190="!!!",F4190="NEW"),"",INDEX(B4189:B$2,-1+SUMPRODUCT(MAX(ROW(E4189:E$2)*(E4190=E4189:E$2)))))</f>
        <v> </v>
      </c>
      <c r="J4190" s="26" t="str">
        <f>IF(OR(E4190="",E4190="!!!",F4190="NEW"),"",COUNTBLANK(OFFSET(A$1,,,SUMPRODUCT(MAX(ROW(E$2:E4190)*(E4190=E$2:E4190)))))-COUNTBLANK(OFFSET(A$1,,,SUMPRODUCT(MAX(ROW(E$1:E4189)*(E2=E$1:E4189))))))</f>
        <v> </v>
      </c>
      <c r="K4190" s="26" t="str">
        <f>IF(OR(E4190="",E4190="!!!",F4190="NEW"),"",INDEX(J$1:J4189,SUMPRODUCT(MAX(ROW(E$1:E4189)*(E4190=E$1:E4189)))))</f>
        <v> </v>
      </c>
      <c r="L4190" s="27"/>
    </row>
    <row r="4191" spans="1:12">
      <c r="A4191" s="20" t="s">
        <v>2365</v>
      </c>
      <c r="B4191" s="21" t="s">
        <v>1312</v>
      </c>
      <c r="C4191" s="21" t="s">
        <v>1187</v>
      </c>
      <c r="E4191" s="22">
        <f>IF(D4191="?OLD","!!!","")</f>
        <v/>
      </c>
      <c r="F4191" s="23" t="str">
        <f>IF(OR(E4191="",E4191="!!!"),"",IF(NOT(ISNA(VLOOKUP(E4191,E$1:E4190,1,FALSE()))),"OLD",IF(AND(E4191&lt;&gt;"",E4191&lt;&gt;"!!!"),"NEW","")))</f>
        <v> </v>
      </c>
      <c r="G4191" s="24" t="str">
        <f>IF(OR(E4191="",E4191="!!!"),"",IF(OR(J4191=0,AND(J4191=1,K4191=1),AND(J4191=1,I4191="SBJ"),AND(J4191=1,I4191=0)),"?IN_FOCUS",IF(J4191&lt;=2,"?ACTIVATED",IF(J4191&lt;&gt;"","?FAMILIAR",IF(F4191="NEW",IF(ISNA(VLOOKUP(E4191,#REF!,1,FALSE())),"?TYPE_IDENTIFIABLE","?REFERENTIAL"),"_")))))</f>
        <v> </v>
      </c>
      <c r="H4191" s="25" t="str">
        <f>IF(J4191&lt;&gt;1,"",IF(I4191="SBJ","CB","?"))</f>
        <v> </v>
      </c>
      <c r="I4191" s="26" t="str">
        <f>IF(OR(E4191="",E4191="!!!",F4191="NEW"),"",INDEX(B4190:B$2,-1+SUMPRODUCT(MAX(ROW(E4190:E$2)*(E4191=E4190:E$2)))))</f>
        <v> </v>
      </c>
      <c r="J4191" s="26" t="str">
        <f>IF(OR(E4191="",E4191="!!!",F4191="NEW"),"",COUNTBLANK(OFFSET(A$1,,,SUMPRODUCT(MAX(ROW(E$2:E4191)*(E4191=E$2:E4191)))))-COUNTBLANK(OFFSET(A$1,,,SUMPRODUCT(MAX(ROW(E$1:E4190)*(E2=E$1:E4190))))))</f>
        <v> </v>
      </c>
      <c r="K4191" s="26" t="str">
        <f>IF(OR(E4191="",E4191="!!!",F4191="NEW"),"",INDEX(J$1:J4190,SUMPRODUCT(MAX(ROW(E$1:E4190)*(E4191=E$1:E4190)))))</f>
        <v> </v>
      </c>
      <c r="L4191" s="27"/>
    </row>
    <row r="4192" spans="1:12">
      <c r="A4192" s="20" t="s">
        <v>12</v>
      </c>
      <c r="E4192" s="22">
        <f>IF(D4192="?OLD","!!!","")</f>
        <v/>
      </c>
      <c r="F4192" s="23" t="str">
        <f>IF(OR(E4192="",E4192="!!!"),"",IF(NOT(ISNA(VLOOKUP(E4192,E$1:E4191,1,FALSE()))),"OLD",IF(AND(E4192&lt;&gt;"",E4192&lt;&gt;"!!!"),"NEW","")))</f>
        <v> </v>
      </c>
      <c r="G4192" s="24" t="str">
        <f>IF(OR(E4192="",E4192="!!!"),"",IF(OR(J4192=0,AND(J4192=1,K4192=1),AND(J4192=1,I4192="SBJ"),AND(J4192=1,I4192=0)),"?IN_FOCUS",IF(J4192&lt;=2,"?ACTIVATED",IF(J4192&lt;&gt;"","?FAMILIAR",IF(F4192="NEW",IF(ISNA(VLOOKUP(E4192,#REF!,1,FALSE())),"?TYPE_IDENTIFIABLE","?REFERENTIAL"),"_")))))</f>
        <v> </v>
      </c>
      <c r="H4192" s="25" t="str">
        <f>IF(J4192&lt;&gt;1,"",IF(I4192="SBJ","CB","?"))</f>
        <v> </v>
      </c>
      <c r="I4192" s="26" t="str">
        <f>IF(OR(E4192="",E4192="!!!",F4192="NEW"),"",INDEX(B4191:B$2,-1+SUMPRODUCT(MAX(ROW(E4191:E$2)*(E4192=E4191:E$2)))))</f>
        <v> </v>
      </c>
      <c r="J4192" s="26" t="str">
        <f>IF(OR(E4192="",E4192="!!!",F4192="NEW"),"",COUNTBLANK(OFFSET(A$1,,,SUMPRODUCT(MAX(ROW(E$2:E4192)*(E4192=E$2:E4192)))))-COUNTBLANK(OFFSET(A$1,,,SUMPRODUCT(MAX(ROW(E$1:E4191)*(E2=E$1:E4191))))))</f>
        <v> </v>
      </c>
      <c r="K4192" s="26" t="str">
        <f>IF(OR(E4192="",E4192="!!!",F4192="NEW"),"",INDEX(J$1:J4191,SUMPRODUCT(MAX(ROW(E$1:E4191)*(E4192=E$1:E4191)))))</f>
        <v> </v>
      </c>
      <c r="L4192" s="27"/>
    </row>
    <row r="4193" spans="1:12">
      <c r="A4193" s="20" t="s">
        <v>1298</v>
      </c>
      <c r="E4193" s="22">
        <f>IF(D4193="?OLD","!!!","")</f>
        <v/>
      </c>
      <c r="F4193" s="23" t="str">
        <f>IF(OR(E4193="",E4193="!!!"),"",IF(NOT(ISNA(VLOOKUP(E4193,E$1:E4192,1,FALSE()))),"OLD",IF(AND(E4193&lt;&gt;"",E4193&lt;&gt;"!!!"),"NEW","")))</f>
        <v> </v>
      </c>
      <c r="G4193" s="24" t="str">
        <f>IF(OR(E4193="",E4193="!!!"),"",IF(OR(J4193=0,AND(J4193=1,K4193=1),AND(J4193=1,I4193="SBJ"),AND(J4193=1,I4193=0)),"?IN_FOCUS",IF(J4193&lt;=2,"?ACTIVATED",IF(J4193&lt;&gt;"","?FAMILIAR",IF(F4193="NEW",IF(ISNA(VLOOKUP(E4193,#REF!,1,FALSE())),"?TYPE_IDENTIFIABLE","?REFERENTIAL"),"_")))))</f>
        <v> </v>
      </c>
      <c r="H4193" s="25" t="str">
        <f>IF(J4193&lt;&gt;1,"",IF(I4193="SBJ","CB","?"))</f>
        <v> </v>
      </c>
      <c r="I4193" s="26" t="str">
        <f>IF(OR(E4193="",E4193="!!!",F4193="NEW"),"",INDEX(B4192:B$2,-1+SUMPRODUCT(MAX(ROW(E4192:E$2)*(E4193=E4192:E$2)))))</f>
        <v> </v>
      </c>
      <c r="J4193" s="26" t="str">
        <f>IF(OR(E4193="",E4193="!!!",F4193="NEW"),"",COUNTBLANK(OFFSET(A$1,,,SUMPRODUCT(MAX(ROW(E$2:E4193)*(E4193=E$2:E4193)))))-COUNTBLANK(OFFSET(A$1,,,SUMPRODUCT(MAX(ROW(E$1:E4192)*(E2=E$1:E4192))))))</f>
        <v> </v>
      </c>
      <c r="K4193" s="26" t="str">
        <f>IF(OR(E4193="",E4193="!!!",F4193="NEW"),"",INDEX(J$1:J4192,SUMPRODUCT(MAX(ROW(E$1:E4192)*(E4193=E$1:E4192)))))</f>
        <v> </v>
      </c>
      <c r="L4193" s="27"/>
    </row>
    <row r="4194" spans="1:12">
      <c r="A4194" s="20" t="s">
        <v>1230</v>
      </c>
      <c r="B4194" s="21" t="s">
        <v>1204</v>
      </c>
      <c r="C4194" s="21" t="s">
        <v>1151</v>
      </c>
      <c r="D4194" s="21" t="s">
        <v>1144</v>
      </c>
      <c r="E4194" s="22">
        <f>IF(D4194="?OLD","!!!","")</f>
        <v/>
      </c>
      <c r="F4194" s="23" t="str">
        <f>IF(OR(E4194="",E4194="!!!"),"",IF(NOT(ISNA(VLOOKUP(E4194,E$1:E4193,1,FALSE()))),"OLD",IF(AND(E4194&lt;&gt;"",E4194&lt;&gt;"!!!"),"NEW","")))</f>
        <v> </v>
      </c>
      <c r="G4194" s="24" t="str">
        <f>IF(OR(E4194="",E4194="!!!"),"",IF(OR(J4194=0,AND(J4194=1,K4194=1),AND(J4194=1,I4194="SBJ"),AND(J4194=1,I4194=0)),"?IN_FOCUS",IF(J4194&lt;=2,"?ACTIVATED",IF(J4194&lt;&gt;"","?FAMILIAR",IF(F4194="NEW",IF(ISNA(VLOOKUP(E4194,#REF!,1,FALSE())),"?TYPE_IDENTIFIABLE","?REFERENTIAL"),"_")))))</f>
        <v> </v>
      </c>
      <c r="H4194" s="25" t="str">
        <f>IF(J4194&lt;&gt;1,"",IF(I4194="SBJ","CB","?"))</f>
        <v> </v>
      </c>
      <c r="I4194" s="26" t="str">
        <f>IF(OR(E4194="",E4194="!!!",F4194="NEW"),"",INDEX(B4193:B$2,-1+SUMPRODUCT(MAX(ROW(E4193:E$2)*(E4194=E4193:E$2)))))</f>
        <v> </v>
      </c>
      <c r="J4194" s="26" t="str">
        <f>IF(OR(E4194="",E4194="!!!",F4194="NEW"),"",COUNTBLANK(OFFSET(A$1,,,SUMPRODUCT(MAX(ROW(E$2:E4194)*(E4194=E$2:E4194)))))-COUNTBLANK(OFFSET(A$1,,,SUMPRODUCT(MAX(ROW(E$1:E4193)*(E2=E$1:E4193))))))</f>
        <v> </v>
      </c>
      <c r="K4194" s="26" t="str">
        <f>IF(OR(E4194="",E4194="!!!",F4194="NEW"),"",INDEX(J$1:J4193,SUMPRODUCT(MAX(ROW(E$1:E4193)*(E4194=E$1:E4193)))))</f>
        <v> </v>
      </c>
      <c r="L4194" s="27"/>
    </row>
    <row r="4195" spans="1:12">
      <c r="A4195" s="20" t="s">
        <v>1261</v>
      </c>
      <c r="B4195" s="21" t="s">
        <v>1209</v>
      </c>
      <c r="C4195" s="21" t="s">
        <v>1151</v>
      </c>
      <c r="D4195" s="21" t="s">
        <v>1144</v>
      </c>
      <c r="E4195" s="22">
        <f>IF(D4195="?OLD","!!!","")</f>
        <v/>
      </c>
      <c r="F4195" s="23" t="str">
        <f>IF(OR(E4195="",E4195="!!!"),"",IF(NOT(ISNA(VLOOKUP(E4195,E$1:E4194,1,FALSE()))),"OLD",IF(AND(E4195&lt;&gt;"",E4195&lt;&gt;"!!!"),"NEW","")))</f>
        <v> </v>
      </c>
      <c r="G4195" s="24" t="str">
        <f>IF(OR(E4195="",E4195="!!!"),"",IF(OR(J4195=0,AND(J4195=1,K4195=1),AND(J4195=1,I4195="SBJ"),AND(J4195=1,I4195=0)),"?IN_FOCUS",IF(J4195&lt;=2,"?ACTIVATED",IF(J4195&lt;&gt;"","?FAMILIAR",IF(F4195="NEW",IF(ISNA(VLOOKUP(E4195,#REF!,1,FALSE())),"?TYPE_IDENTIFIABLE","?REFERENTIAL"),"_")))))</f>
        <v> </v>
      </c>
      <c r="H4195" s="25" t="str">
        <f>IF(J4195&lt;&gt;1,"",IF(I4195="SBJ","CB","?"))</f>
        <v> </v>
      </c>
      <c r="I4195" s="26" t="str">
        <f>IF(OR(E4195="",E4195="!!!",F4195="NEW"),"",INDEX(B4194:B$2,-1+SUMPRODUCT(MAX(ROW(E4194:E$2)*(E4195=E4194:E$2)))))</f>
        <v> </v>
      </c>
      <c r="J4195" s="26" t="str">
        <f>IF(OR(E4195="",E4195="!!!",F4195="NEW"),"",COUNTBLANK(OFFSET(A$1,,,SUMPRODUCT(MAX(ROW(E$2:E4195)*(E4195=E$2:E4195)))))-COUNTBLANK(OFFSET(A$1,,,SUMPRODUCT(MAX(ROW(E$1:E4194)*(E2=E$1:E4194))))))</f>
        <v> </v>
      </c>
      <c r="K4195" s="26" t="str">
        <f>IF(OR(E4195="",E4195="!!!",F4195="NEW"),"",INDEX(J$1:J4194,SUMPRODUCT(MAX(ROW(E$1:E4194)*(E4195=E$1:E4194)))))</f>
        <v> </v>
      </c>
      <c r="L4195" s="27"/>
    </row>
    <row r="4196" spans="1:12">
      <c r="A4196" s="20" t="s">
        <v>1239</v>
      </c>
      <c r="E4196" s="22">
        <f>IF(D4196="?OLD","!!!","")</f>
        <v/>
      </c>
      <c r="F4196" s="23" t="str">
        <f>IF(OR(E4196="",E4196="!!!"),"",IF(NOT(ISNA(VLOOKUP(E4196,E$1:E4195,1,FALSE()))),"OLD",IF(AND(E4196&lt;&gt;"",E4196&lt;&gt;"!!!"),"NEW","")))</f>
        <v> </v>
      </c>
      <c r="G4196" s="24" t="str">
        <f>IF(OR(E4196="",E4196="!!!"),"",IF(OR(J4196=0,AND(J4196=1,K4196=1),AND(J4196=1,I4196="SBJ"),AND(J4196=1,I4196=0)),"?IN_FOCUS",IF(J4196&lt;=2,"?ACTIVATED",IF(J4196&lt;&gt;"","?FAMILIAR",IF(F4196="NEW",IF(ISNA(VLOOKUP(E4196,#REF!,1,FALSE())),"?TYPE_IDENTIFIABLE","?REFERENTIAL"),"_")))))</f>
        <v> </v>
      </c>
      <c r="H4196" s="25" t="str">
        <f>IF(J4196&lt;&gt;1,"",IF(I4196="SBJ","CB","?"))</f>
        <v> </v>
      </c>
      <c r="I4196" s="26" t="str">
        <f>IF(OR(E4196="",E4196="!!!",F4196="NEW"),"",INDEX(B4195:B$2,-1+SUMPRODUCT(MAX(ROW(E4195:E$2)*(E4196=E4195:E$2)))))</f>
        <v> </v>
      </c>
      <c r="J4196" s="26" t="str">
        <f>IF(OR(E4196="",E4196="!!!",F4196="NEW"),"",COUNTBLANK(OFFSET(A$1,,,SUMPRODUCT(MAX(ROW(E$2:E4196)*(E4196=E$2:E4196)))))-COUNTBLANK(OFFSET(A$1,,,SUMPRODUCT(MAX(ROW(E$1:E4195)*(E2=E$1:E4195))))))</f>
        <v> </v>
      </c>
      <c r="K4196" s="26" t="str">
        <f>IF(OR(E4196="",E4196="!!!",F4196="NEW"),"",INDEX(J$1:J4195,SUMPRODUCT(MAX(ROW(E$1:E4195)*(E4196=E$1:E4195)))))</f>
        <v> </v>
      </c>
      <c r="L4196" s="27"/>
    </row>
    <row r="4197" spans="1:12">
      <c r="A4197" s="20" t="s">
        <v>1734</v>
      </c>
      <c r="E4197" s="22">
        <f>IF(D4197="?OLD","!!!","")</f>
        <v/>
      </c>
      <c r="F4197" s="23" t="str">
        <f>IF(OR(E4197="",E4197="!!!"),"",IF(NOT(ISNA(VLOOKUP(E4197,E$1:E4196,1,FALSE()))),"OLD",IF(AND(E4197&lt;&gt;"",E4197&lt;&gt;"!!!"),"NEW","")))</f>
        <v> </v>
      </c>
      <c r="G4197" s="24" t="str">
        <f>IF(OR(E4197="",E4197="!!!"),"",IF(OR(J4197=0,AND(J4197=1,K4197=1),AND(J4197=1,I4197="SBJ"),AND(J4197=1,I4197=0)),"?IN_FOCUS",IF(J4197&lt;=2,"?ACTIVATED",IF(J4197&lt;&gt;"","?FAMILIAR",IF(F4197="NEW",IF(ISNA(VLOOKUP(E4197,#REF!,1,FALSE())),"?TYPE_IDENTIFIABLE","?REFERENTIAL"),"_")))))</f>
        <v> </v>
      </c>
      <c r="H4197" s="25" t="str">
        <f>IF(J4197&lt;&gt;1,"",IF(I4197="SBJ","CB","?"))</f>
        <v> </v>
      </c>
      <c r="I4197" s="26" t="str">
        <f>IF(OR(E4197="",E4197="!!!",F4197="NEW"),"",INDEX(B4196:B$2,-1+SUMPRODUCT(MAX(ROW(E4196:E$2)*(E4197=E4196:E$2)))))</f>
        <v> </v>
      </c>
      <c r="J4197" s="26" t="str">
        <f>IF(OR(E4197="",E4197="!!!",F4197="NEW"),"",COUNTBLANK(OFFSET(A$1,,,SUMPRODUCT(MAX(ROW(E$2:E4197)*(E4197=E$2:E4197)))))-COUNTBLANK(OFFSET(A$1,,,SUMPRODUCT(MAX(ROW(E$1:E4196)*(E2=E$1:E4196))))))</f>
        <v> </v>
      </c>
      <c r="K4197" s="26" t="str">
        <f>IF(OR(E4197="",E4197="!!!",F4197="NEW"),"",INDEX(J$1:J4196,SUMPRODUCT(MAX(ROW(E$1:E4196)*(E4197=E$1:E4196)))))</f>
        <v> </v>
      </c>
      <c r="L4197" s="27"/>
    </row>
    <row r="4198" spans="1:12">
      <c r="A4198" s="20" t="s">
        <v>1804</v>
      </c>
      <c r="E4198" s="22">
        <f>IF(D4198="?OLD","!!!","")</f>
        <v/>
      </c>
      <c r="F4198" s="23" t="str">
        <f>IF(OR(E4198="",E4198="!!!"),"",IF(NOT(ISNA(VLOOKUP(E4198,E$1:E4197,1,FALSE()))),"OLD",IF(AND(E4198&lt;&gt;"",E4198&lt;&gt;"!!!"),"NEW","")))</f>
        <v> </v>
      </c>
      <c r="G4198" s="24" t="str">
        <f>IF(OR(E4198="",E4198="!!!"),"",IF(OR(J4198=0,AND(J4198=1,K4198=1),AND(J4198=1,I4198="SBJ"),AND(J4198=1,I4198=0)),"?IN_FOCUS",IF(J4198&lt;=2,"?ACTIVATED",IF(J4198&lt;&gt;"","?FAMILIAR",IF(F4198="NEW",IF(ISNA(VLOOKUP(E4198,#REF!,1,FALSE())),"?TYPE_IDENTIFIABLE","?REFERENTIAL"),"_")))))</f>
        <v> </v>
      </c>
      <c r="H4198" s="25" t="str">
        <f>IF(J4198&lt;&gt;1,"",IF(I4198="SBJ","CB","?"))</f>
        <v> </v>
      </c>
      <c r="I4198" s="26" t="str">
        <f>IF(OR(E4198="",E4198="!!!",F4198="NEW"),"",INDEX(B4197:B$2,-1+SUMPRODUCT(MAX(ROW(E4197:E$2)*(E4198=E4197:E$2)))))</f>
        <v> </v>
      </c>
      <c r="J4198" s="26" t="str">
        <f>IF(OR(E4198="",E4198="!!!",F4198="NEW"),"",COUNTBLANK(OFFSET(A$1,,,SUMPRODUCT(MAX(ROW(E$2:E4198)*(E4198=E$2:E4198)))))-COUNTBLANK(OFFSET(A$1,,,SUMPRODUCT(MAX(ROW(E$1:E4197)*(E2=E$1:E4197))))))</f>
        <v> </v>
      </c>
      <c r="K4198" s="26" t="str">
        <f>IF(OR(E4198="",E4198="!!!",F4198="NEW"),"",INDEX(J$1:J4197,SUMPRODUCT(MAX(ROW(E$1:E4197)*(E4198=E$1:E4197)))))</f>
        <v> </v>
      </c>
      <c r="L4198" s="27"/>
    </row>
    <row r="4199" spans="1:12">
      <c r="A4199" s="20" t="s">
        <v>2366</v>
      </c>
      <c r="B4199" s="21" t="s">
        <v>1209</v>
      </c>
      <c r="C4199" s="21" t="s">
        <v>1155</v>
      </c>
      <c r="E4199" s="22">
        <f>IF(D4199="?OLD","!!!","")</f>
        <v/>
      </c>
      <c r="F4199" s="23" t="str">
        <f>IF(OR(E4199="",E4199="!!!"),"",IF(NOT(ISNA(VLOOKUP(E4199,E$1:E4198,1,FALSE()))),"OLD",IF(AND(E4199&lt;&gt;"",E4199&lt;&gt;"!!!"),"NEW","")))</f>
        <v> </v>
      </c>
      <c r="G4199" s="24" t="str">
        <f>IF(OR(E4199="",E4199="!!!"),"",IF(OR(J4199=0,AND(J4199=1,K4199=1),AND(J4199=1,I4199="SBJ"),AND(J4199=1,I4199=0)),"?IN_FOCUS",IF(J4199&lt;=2,"?ACTIVATED",IF(J4199&lt;&gt;"","?FAMILIAR",IF(F4199="NEW",IF(ISNA(VLOOKUP(E4199,#REF!,1,FALSE())),"?TYPE_IDENTIFIABLE","?REFERENTIAL"),"_")))))</f>
        <v> </v>
      </c>
      <c r="H4199" s="25" t="str">
        <f>IF(J4199&lt;&gt;1,"",IF(I4199="SBJ","CB","?"))</f>
        <v> </v>
      </c>
      <c r="I4199" s="26" t="str">
        <f>IF(OR(E4199="",E4199="!!!",F4199="NEW"),"",INDEX(B4198:B$2,-1+SUMPRODUCT(MAX(ROW(E4198:E$2)*(E4199=E4198:E$2)))))</f>
        <v> </v>
      </c>
      <c r="J4199" s="26" t="str">
        <f>IF(OR(E4199="",E4199="!!!",F4199="NEW"),"",COUNTBLANK(OFFSET(A$1,,,SUMPRODUCT(MAX(ROW(E$2:E4199)*(E4199=E$2:E4199)))))-COUNTBLANK(OFFSET(A$1,,,SUMPRODUCT(MAX(ROW(E$1:E4198)*(E2=E$1:E4198))))))</f>
        <v> </v>
      </c>
      <c r="K4199" s="26" t="str">
        <f>IF(OR(E4199="",E4199="!!!",F4199="NEW"),"",INDEX(J$1:J4198,SUMPRODUCT(MAX(ROW(E$1:E4198)*(E4199=E$1:E4198)))))</f>
        <v> </v>
      </c>
      <c r="L4199" s="27"/>
    </row>
    <row r="4200" spans="1:12">
      <c r="A4200" s="20" t="s">
        <v>2367</v>
      </c>
      <c r="E4200" s="22">
        <f>IF(D4200="?OLD","!!!","")</f>
        <v/>
      </c>
      <c r="F4200" s="23" t="str">
        <f>IF(OR(E4200="",E4200="!!!"),"",IF(NOT(ISNA(VLOOKUP(E4200,E$1:E4199,1,FALSE()))),"OLD",IF(AND(E4200&lt;&gt;"",E4200&lt;&gt;"!!!"),"NEW","")))</f>
        <v> </v>
      </c>
      <c r="G4200" s="24" t="str">
        <f>IF(OR(E4200="",E4200="!!!"),"",IF(OR(J4200=0,AND(J4200=1,K4200=1),AND(J4200=1,I4200="SBJ"),AND(J4200=1,I4200=0)),"?IN_FOCUS",IF(J4200&lt;=2,"?ACTIVATED",IF(J4200&lt;&gt;"","?FAMILIAR",IF(F4200="NEW",IF(ISNA(VLOOKUP(E4200,#REF!,1,FALSE())),"?TYPE_IDENTIFIABLE","?REFERENTIAL"),"_")))))</f>
        <v> </v>
      </c>
      <c r="H4200" s="25" t="str">
        <f>IF(J4200&lt;&gt;1,"",IF(I4200="SBJ","CB","?"))</f>
        <v> </v>
      </c>
      <c r="I4200" s="26" t="str">
        <f>IF(OR(E4200="",E4200="!!!",F4200="NEW"),"",INDEX(B4199:B$2,-1+SUMPRODUCT(MAX(ROW(E4199:E$2)*(E4200=E4199:E$2)))))</f>
        <v> </v>
      </c>
      <c r="J4200" s="26" t="str">
        <f>IF(OR(E4200="",E4200="!!!",F4200="NEW"),"",COUNTBLANK(OFFSET(A$1,,,SUMPRODUCT(MAX(ROW(E$2:E4200)*(E4200=E$2:E4200)))))-COUNTBLANK(OFFSET(A$1,,,SUMPRODUCT(MAX(ROW(E$1:E4199)*(E2=E$1:E4199))))))</f>
        <v> </v>
      </c>
      <c r="K4200" s="26" t="str">
        <f>IF(OR(E4200="",E4200="!!!",F4200="NEW"),"",INDEX(J$1:J4199,SUMPRODUCT(MAX(ROW(E$1:E4199)*(E4200=E$1:E4199)))))</f>
        <v> </v>
      </c>
      <c r="L4200" s="27"/>
    </row>
    <row r="4201" spans="1:12">
      <c r="A4201" s="20" t="s">
        <v>2368</v>
      </c>
      <c r="E4201" s="22">
        <f>IF(D4201="?OLD","!!!","")</f>
        <v/>
      </c>
      <c r="F4201" s="23" t="str">
        <f>IF(OR(E4201="",E4201="!!!"),"",IF(NOT(ISNA(VLOOKUP(E4201,E$1:E4200,1,FALSE()))),"OLD",IF(AND(E4201&lt;&gt;"",E4201&lt;&gt;"!!!"),"NEW","")))</f>
        <v> </v>
      </c>
      <c r="G4201" s="24" t="str">
        <f>IF(OR(E4201="",E4201="!!!"),"",IF(OR(J4201=0,AND(J4201=1,K4201=1),AND(J4201=1,I4201="SBJ"),AND(J4201=1,I4201=0)),"?IN_FOCUS",IF(J4201&lt;=2,"?ACTIVATED",IF(J4201&lt;&gt;"","?FAMILIAR",IF(F4201="NEW",IF(ISNA(VLOOKUP(E4201,#REF!,1,FALSE())),"?TYPE_IDENTIFIABLE","?REFERENTIAL"),"_")))))</f>
        <v> </v>
      </c>
      <c r="H4201" s="25" t="str">
        <f>IF(J4201&lt;&gt;1,"",IF(I4201="SBJ","CB","?"))</f>
        <v> </v>
      </c>
      <c r="I4201" s="26" t="str">
        <f>IF(OR(E4201="",E4201="!!!",F4201="NEW"),"",INDEX(B4200:B$2,-1+SUMPRODUCT(MAX(ROW(E4200:E$2)*(E4201=E4200:E$2)))))</f>
        <v> </v>
      </c>
      <c r="J4201" s="26" t="str">
        <f>IF(OR(E4201="",E4201="!!!",F4201="NEW"),"",COUNTBLANK(OFFSET(A$1,,,SUMPRODUCT(MAX(ROW(E$2:E4201)*(E4201=E$2:E4201)))))-COUNTBLANK(OFFSET(A$1,,,SUMPRODUCT(MAX(ROW(E$1:E4200)*(E2=E$1:E4200))))))</f>
        <v> </v>
      </c>
      <c r="K4201" s="26" t="str">
        <f>IF(OR(E4201="",E4201="!!!",F4201="NEW"),"",INDEX(J$1:J4200,SUMPRODUCT(MAX(ROW(E$1:E4200)*(E4201=E$1:E4200)))))</f>
        <v> </v>
      </c>
      <c r="L4201" s="27"/>
    </row>
    <row r="4202" spans="1:12">
      <c r="A4202" s="20" t="s">
        <v>12</v>
      </c>
      <c r="E4202" s="22">
        <f>IF(D4202="?OLD","!!!","")</f>
        <v/>
      </c>
      <c r="F4202" s="23" t="str">
        <f>IF(OR(E4202="",E4202="!!!"),"",IF(NOT(ISNA(VLOOKUP(E4202,E$1:E4201,1,FALSE()))),"OLD",IF(AND(E4202&lt;&gt;"",E4202&lt;&gt;"!!!"),"NEW","")))</f>
        <v> </v>
      </c>
      <c r="G4202" s="24" t="str">
        <f>IF(OR(E4202="",E4202="!!!"),"",IF(OR(J4202=0,AND(J4202=1,K4202=1),AND(J4202=1,I4202="SBJ"),AND(J4202=1,I4202=0)),"?IN_FOCUS",IF(J4202&lt;=2,"?ACTIVATED",IF(J4202&lt;&gt;"","?FAMILIAR",IF(F4202="NEW",IF(ISNA(VLOOKUP(E4202,#REF!,1,FALSE())),"?TYPE_IDENTIFIABLE","?REFERENTIAL"),"_")))))</f>
        <v> </v>
      </c>
      <c r="H4202" s="25" t="str">
        <f>IF(J4202&lt;&gt;1,"",IF(I4202="SBJ","CB","?"))</f>
        <v> </v>
      </c>
      <c r="I4202" s="26" t="str">
        <f>IF(OR(E4202="",E4202="!!!",F4202="NEW"),"",INDEX(B4201:B$2,-1+SUMPRODUCT(MAX(ROW(E4201:E$2)*(E4202=E4201:E$2)))))</f>
        <v> </v>
      </c>
      <c r="J4202" s="26" t="str">
        <f>IF(OR(E4202="",E4202="!!!",F4202="NEW"),"",COUNTBLANK(OFFSET(A$1,,,SUMPRODUCT(MAX(ROW(E$2:E4202)*(E4202=E$2:E4202)))))-COUNTBLANK(OFFSET(A$1,,,SUMPRODUCT(MAX(ROW(E$1:E4201)*(E2=E$1:E4201))))))</f>
        <v> </v>
      </c>
      <c r="K4202" s="26" t="str">
        <f>IF(OR(E4202="",E4202="!!!",F4202="NEW"),"",INDEX(J$1:J4201,SUMPRODUCT(MAX(ROW(E$1:E4201)*(E4202=E$1:E4201)))))</f>
        <v> </v>
      </c>
      <c r="L4202" s="27"/>
    </row>
    <row r="4203" spans="1:12">
      <c r="A4203" s="20" t="s">
        <v>1457</v>
      </c>
      <c r="E4203" s="22">
        <f>IF(D4203="?OLD","!!!","")</f>
        <v/>
      </c>
      <c r="F4203" s="23" t="str">
        <f>IF(OR(E4203="",E4203="!!!"),"",IF(NOT(ISNA(VLOOKUP(E4203,E$1:E4202,1,FALSE()))),"OLD",IF(AND(E4203&lt;&gt;"",E4203&lt;&gt;"!!!"),"NEW","")))</f>
        <v> </v>
      </c>
      <c r="G4203" s="24" t="str">
        <f>IF(OR(E4203="",E4203="!!!"),"",IF(OR(J4203=0,AND(J4203=1,K4203=1),AND(J4203=1,I4203="SBJ"),AND(J4203=1,I4203=0)),"?IN_FOCUS",IF(J4203&lt;=2,"?ACTIVATED",IF(J4203&lt;&gt;"","?FAMILIAR",IF(F4203="NEW",IF(ISNA(VLOOKUP(E4203,#REF!,1,FALSE())),"?TYPE_IDENTIFIABLE","?REFERENTIAL"),"_")))))</f>
        <v> </v>
      </c>
      <c r="H4203" s="25" t="str">
        <f>IF(J4203&lt;&gt;1,"",IF(I4203="SBJ","CB","?"))</f>
        <v> </v>
      </c>
      <c r="I4203" s="26" t="str">
        <f>IF(OR(E4203="",E4203="!!!",F4203="NEW"),"",INDEX(B4202:B$2,-1+SUMPRODUCT(MAX(ROW(E4202:E$2)*(E4203=E4202:E$2)))))</f>
        <v> </v>
      </c>
      <c r="J4203" s="26" t="str">
        <f>IF(OR(E4203="",E4203="!!!",F4203="NEW"),"",COUNTBLANK(OFFSET(A$1,,,SUMPRODUCT(MAX(ROW(E$2:E4203)*(E4203=E$2:E4203)))))-COUNTBLANK(OFFSET(A$1,,,SUMPRODUCT(MAX(ROW(E$1:E4202)*(E2=E$1:E4202))))))</f>
        <v> </v>
      </c>
      <c r="K4203" s="26" t="str">
        <f>IF(OR(E4203="",E4203="!!!",F4203="NEW"),"",INDEX(J$1:J4202,SUMPRODUCT(MAX(ROW(E$1:E4202)*(E4203=E$1:E4202)))))</f>
        <v> </v>
      </c>
      <c r="L4203" s="27"/>
    </row>
    <row r="4204" spans="1:12">
      <c r="A4204" s="20" t="s">
        <v>2369</v>
      </c>
      <c r="B4204" s="21" t="s">
        <v>2370</v>
      </c>
      <c r="C4204" s="21" t="s">
        <v>1143</v>
      </c>
      <c r="D4204" s="21" t="s">
        <v>1144</v>
      </c>
      <c r="E4204" s="22">
        <f>IF(D4204="?OLD","!!!","")</f>
        <v/>
      </c>
      <c r="F4204" s="23" t="str">
        <f>IF(OR(E4204="",E4204="!!!"),"",IF(NOT(ISNA(VLOOKUP(E4204,E$1:E4203,1,FALSE()))),"OLD",IF(AND(E4204&lt;&gt;"",E4204&lt;&gt;"!!!"),"NEW","")))</f>
        <v> </v>
      </c>
      <c r="G4204" s="24" t="str">
        <f>IF(OR(E4204="",E4204="!!!"),"",IF(OR(J4204=0,AND(J4204=1,K4204=1),AND(J4204=1,I4204="SBJ"),AND(J4204=1,I4204=0)),"?IN_FOCUS",IF(J4204&lt;=2,"?ACTIVATED",IF(J4204&lt;&gt;"","?FAMILIAR",IF(F4204="NEW",IF(ISNA(VLOOKUP(E4204,#REF!,1,FALSE())),"?TYPE_IDENTIFIABLE","?REFERENTIAL"),"_")))))</f>
        <v> </v>
      </c>
      <c r="H4204" s="25" t="str">
        <f>IF(J4204&lt;&gt;1,"",IF(I4204="SBJ","CB","?"))</f>
        <v> </v>
      </c>
      <c r="I4204" s="26" t="str">
        <f>IF(OR(E4204="",E4204="!!!",F4204="NEW"),"",INDEX(B4203:B$2,-1+SUMPRODUCT(MAX(ROW(E4203:E$2)*(E4204=E4203:E$2)))))</f>
        <v> </v>
      </c>
      <c r="J4204" s="26" t="str">
        <f>IF(OR(E4204="",E4204="!!!",F4204="NEW"),"",COUNTBLANK(OFFSET(A$1,,,SUMPRODUCT(MAX(ROW(E$2:E4204)*(E4204=E$2:E4204)))))-COUNTBLANK(OFFSET(A$1,,,SUMPRODUCT(MAX(ROW(E$1:E4203)*(E2=E$1:E4203))))))</f>
        <v> </v>
      </c>
      <c r="K4204" s="26" t="str">
        <f>IF(OR(E4204="",E4204="!!!",F4204="NEW"),"",INDEX(J$1:J4203,SUMPRODUCT(MAX(ROW(E$1:E4203)*(E4204=E$1:E4203)))))</f>
        <v> </v>
      </c>
      <c r="L4204" s="27"/>
    </row>
    <row r="4205" spans="1:12">
      <c r="A4205" s="20" t="s">
        <v>2371</v>
      </c>
      <c r="E4205" s="22">
        <f>IF(D4205="?OLD","!!!","")</f>
        <v/>
      </c>
      <c r="F4205" s="23" t="str">
        <f>IF(OR(E4205="",E4205="!!!"),"",IF(NOT(ISNA(VLOOKUP(E4205,E$1:E4204,1,FALSE()))),"OLD",IF(AND(E4205&lt;&gt;"",E4205&lt;&gt;"!!!"),"NEW","")))</f>
        <v> </v>
      </c>
      <c r="G4205" s="24" t="str">
        <f>IF(OR(E4205="",E4205="!!!"),"",IF(OR(J4205=0,AND(J4205=1,K4205=1),AND(J4205=1,I4205="SBJ"),AND(J4205=1,I4205=0)),"?IN_FOCUS",IF(J4205&lt;=2,"?ACTIVATED",IF(J4205&lt;&gt;"","?FAMILIAR",IF(F4205="NEW",IF(ISNA(VLOOKUP(E4205,#REF!,1,FALSE())),"?TYPE_IDENTIFIABLE","?REFERENTIAL"),"_")))))</f>
        <v> </v>
      </c>
      <c r="H4205" s="25" t="str">
        <f>IF(J4205&lt;&gt;1,"",IF(I4205="SBJ","CB","?"))</f>
        <v> </v>
      </c>
      <c r="I4205" s="26" t="str">
        <f>IF(OR(E4205="",E4205="!!!",F4205="NEW"),"",INDEX(B4204:B$2,-1+SUMPRODUCT(MAX(ROW(E4204:E$2)*(E4205=E4204:E$2)))))</f>
        <v> </v>
      </c>
      <c r="J4205" s="26" t="str">
        <f>IF(OR(E4205="",E4205="!!!",F4205="NEW"),"",COUNTBLANK(OFFSET(A$1,,,SUMPRODUCT(MAX(ROW(E$2:E4205)*(E4205=E$2:E4205)))))-COUNTBLANK(OFFSET(A$1,,,SUMPRODUCT(MAX(ROW(E$1:E4204)*(E2=E$1:E4204))))))</f>
        <v> </v>
      </c>
      <c r="K4205" s="26" t="str">
        <f>IF(OR(E4205="",E4205="!!!",F4205="NEW"),"",INDEX(J$1:J4204,SUMPRODUCT(MAX(ROW(E$1:E4204)*(E4205=E$1:E4204)))))</f>
        <v> </v>
      </c>
      <c r="L4205" s="27"/>
    </row>
    <row r="4206" spans="1:12">
      <c r="A4206" s="20" t="s">
        <v>1308</v>
      </c>
      <c r="E4206" s="22">
        <f>IF(D4206="?OLD","!!!","")</f>
        <v/>
      </c>
      <c r="F4206" s="23" t="str">
        <f>IF(OR(E4206="",E4206="!!!"),"",IF(NOT(ISNA(VLOOKUP(E4206,E$1:E4205,1,FALSE()))),"OLD",IF(AND(E4206&lt;&gt;"",E4206&lt;&gt;"!!!"),"NEW","")))</f>
        <v> </v>
      </c>
      <c r="G4206" s="24" t="str">
        <f>IF(OR(E4206="",E4206="!!!"),"",IF(OR(J4206=0,AND(J4206=1,K4206=1),AND(J4206=1,I4206="SBJ"),AND(J4206=1,I4206=0)),"?IN_FOCUS",IF(J4206&lt;=2,"?ACTIVATED",IF(J4206&lt;&gt;"","?FAMILIAR",IF(F4206="NEW",IF(ISNA(VLOOKUP(E4206,#REF!,1,FALSE())),"?TYPE_IDENTIFIABLE","?REFERENTIAL"),"_")))))</f>
        <v> </v>
      </c>
      <c r="H4206" s="25" t="str">
        <f>IF(J4206&lt;&gt;1,"",IF(I4206="SBJ","CB","?"))</f>
        <v> </v>
      </c>
      <c r="I4206" s="26" t="str">
        <f>IF(OR(E4206="",E4206="!!!",F4206="NEW"),"",INDEX(B4205:B$2,-1+SUMPRODUCT(MAX(ROW(E4205:E$2)*(E4206=E4205:E$2)))))</f>
        <v> </v>
      </c>
      <c r="J4206" s="26" t="str">
        <f>IF(OR(E4206="",E4206="!!!",F4206="NEW"),"",COUNTBLANK(OFFSET(A$1,,,SUMPRODUCT(MAX(ROW(E$2:E4206)*(E4206=E$2:E4206)))))-COUNTBLANK(OFFSET(A$1,,,SUMPRODUCT(MAX(ROW(E$1:E4205)*(E2=E$1:E4205))))))</f>
        <v> </v>
      </c>
      <c r="K4206" s="26" t="str">
        <f>IF(OR(E4206="",E4206="!!!",F4206="NEW"),"",INDEX(J$1:J4205,SUMPRODUCT(MAX(ROW(E$1:E4205)*(E4206=E$1:E4205)))))</f>
        <v> </v>
      </c>
      <c r="L4206" s="27"/>
    </row>
    <row r="4207" spans="1:12">
      <c r="A4207" s="20" t="s">
        <v>328</v>
      </c>
      <c r="E4207" s="22">
        <f>IF(D4207="?OLD","!!!","")</f>
        <v/>
      </c>
      <c r="F4207" s="23" t="str">
        <f>IF(OR(E4207="",E4207="!!!"),"",IF(NOT(ISNA(VLOOKUP(E4207,E$1:E4206,1,FALSE()))),"OLD",IF(AND(E4207&lt;&gt;"",E4207&lt;&gt;"!!!"),"NEW","")))</f>
        <v> </v>
      </c>
      <c r="G4207" s="24" t="str">
        <f>IF(OR(E4207="",E4207="!!!"),"",IF(OR(J4207=0,AND(J4207=1,K4207=1),AND(J4207=1,I4207="SBJ"),AND(J4207=1,I4207=0)),"?IN_FOCUS",IF(J4207&lt;=2,"?ACTIVATED",IF(J4207&lt;&gt;"","?FAMILIAR",IF(F4207="NEW",IF(ISNA(VLOOKUP(E4207,#REF!,1,FALSE())),"?TYPE_IDENTIFIABLE","?REFERENTIAL"),"_")))))</f>
        <v> </v>
      </c>
      <c r="H4207" s="25" t="str">
        <f>IF(J4207&lt;&gt;1,"",IF(I4207="SBJ","CB","?"))</f>
        <v> </v>
      </c>
      <c r="I4207" s="26" t="str">
        <f>IF(OR(E4207="",E4207="!!!",F4207="NEW"),"",INDEX(B4206:B$2,-1+SUMPRODUCT(MAX(ROW(E4206:E$2)*(E4207=E4206:E$2)))))</f>
        <v> </v>
      </c>
      <c r="J4207" s="26" t="str">
        <f>IF(OR(E4207="",E4207="!!!",F4207="NEW"),"",COUNTBLANK(OFFSET(A$1,,,SUMPRODUCT(MAX(ROW(E$2:E4207)*(E4207=E$2:E4207)))))-COUNTBLANK(OFFSET(A$1,,,SUMPRODUCT(MAX(ROW(E$1:E4206)*(E2=E$1:E4206))))))</f>
        <v> </v>
      </c>
      <c r="K4207" s="26" t="str">
        <f>IF(OR(E4207="",E4207="!!!",F4207="NEW"),"",INDEX(J$1:J4206,SUMPRODUCT(MAX(ROW(E$1:E4206)*(E4207=E$1:E4206)))))</f>
        <v> </v>
      </c>
      <c r="L4207" s="27"/>
    </row>
    <row r="4208" spans="1:12">
      <c r="A4208" s="20" t="s">
        <v>1166</v>
      </c>
      <c r="E4208" s="22">
        <f>IF(D4208="?OLD","!!!","")</f>
        <v/>
      </c>
      <c r="F4208" s="23" t="str">
        <f>IF(OR(E4208="",E4208="!!!"),"",IF(NOT(ISNA(VLOOKUP(E4208,E$1:E4207,1,FALSE()))),"OLD",IF(AND(E4208&lt;&gt;"",E4208&lt;&gt;"!!!"),"NEW","")))</f>
        <v> </v>
      </c>
      <c r="G4208" s="24" t="str">
        <f>IF(OR(E4208="",E4208="!!!"),"",IF(OR(J4208=0,AND(J4208=1,K4208=1),AND(J4208=1,I4208="SBJ"),AND(J4208=1,I4208=0)),"?IN_FOCUS",IF(J4208&lt;=2,"?ACTIVATED",IF(J4208&lt;&gt;"","?FAMILIAR",IF(F4208="NEW",IF(ISNA(VLOOKUP(E4208,#REF!,1,FALSE())),"?TYPE_IDENTIFIABLE","?REFERENTIAL"),"_")))))</f>
        <v> </v>
      </c>
      <c r="H4208" s="25" t="str">
        <f>IF(J4208&lt;&gt;1,"",IF(I4208="SBJ","CB","?"))</f>
        <v> </v>
      </c>
      <c r="I4208" s="26" t="str">
        <f>IF(OR(E4208="",E4208="!!!",F4208="NEW"),"",INDEX(B4207:B$2,-1+SUMPRODUCT(MAX(ROW(E4207:E$2)*(E4208=E4207:E$2)))))</f>
        <v> </v>
      </c>
      <c r="J4208" s="26" t="str">
        <f>IF(OR(E4208="",E4208="!!!",F4208="NEW"),"",COUNTBLANK(OFFSET(A$1,,,SUMPRODUCT(MAX(ROW(E$2:E4208)*(E4208=E$2:E4208)))))-COUNTBLANK(OFFSET(A$1,,,SUMPRODUCT(MAX(ROW(E$1:E4207)*(E2=E$1:E4207))))))</f>
        <v> </v>
      </c>
      <c r="K4208" s="26" t="str">
        <f>IF(OR(E4208="",E4208="!!!",F4208="NEW"),"",INDEX(J$1:J4207,SUMPRODUCT(MAX(ROW(E$1:E4207)*(E4208=E$1:E4207)))))</f>
        <v> </v>
      </c>
      <c r="L4208" s="27"/>
    </row>
    <row r="4209" spans="1:12">
      <c r="A4209" s="20" t="s">
        <v>1197</v>
      </c>
      <c r="E4209" s="22">
        <f>IF(D4209="?OLD","!!!","")</f>
        <v/>
      </c>
      <c r="F4209" s="23" t="str">
        <f>IF(OR(E4209="",E4209="!!!"),"",IF(NOT(ISNA(VLOOKUP(E4209,E$1:E4208,1,FALSE()))),"OLD",IF(AND(E4209&lt;&gt;"",E4209&lt;&gt;"!!!"),"NEW","")))</f>
        <v> </v>
      </c>
      <c r="G4209" s="24" t="str">
        <f>IF(OR(E4209="",E4209="!!!"),"",IF(OR(J4209=0,AND(J4209=1,K4209=1),AND(J4209=1,I4209="SBJ"),AND(J4209=1,I4209=0)),"?IN_FOCUS",IF(J4209&lt;=2,"?ACTIVATED",IF(J4209&lt;&gt;"","?FAMILIAR",IF(F4209="NEW",IF(ISNA(VLOOKUP(E4209,#REF!,1,FALSE())),"?TYPE_IDENTIFIABLE","?REFERENTIAL"),"_")))))</f>
        <v> </v>
      </c>
      <c r="H4209" s="25" t="str">
        <f>IF(J4209&lt;&gt;1,"",IF(I4209="SBJ","CB","?"))</f>
        <v> </v>
      </c>
      <c r="I4209" s="26" t="str">
        <f>IF(OR(E4209="",E4209="!!!",F4209="NEW"),"",INDEX(B4208:B$2,-1+SUMPRODUCT(MAX(ROW(E4208:E$2)*(E4209=E4208:E$2)))))</f>
        <v> </v>
      </c>
      <c r="J4209" s="26" t="str">
        <f>IF(OR(E4209="",E4209="!!!",F4209="NEW"),"",COUNTBLANK(OFFSET(A$1,,,SUMPRODUCT(MAX(ROW(E$2:E4209)*(E4209=E$2:E4209)))))-COUNTBLANK(OFFSET(A$1,,,SUMPRODUCT(MAX(ROW(E$1:E4208)*(E2=E$1:E4208))))))</f>
        <v> </v>
      </c>
      <c r="K4209" s="26" t="str">
        <f>IF(OR(E4209="",E4209="!!!",F4209="NEW"),"",INDEX(J$1:J4208,SUMPRODUCT(MAX(ROW(E$1:E4208)*(E4209=E$1:E4208)))))</f>
        <v> </v>
      </c>
      <c r="L4209" s="27"/>
    </row>
    <row r="4210" spans="1:12">
      <c r="A4210" s="20" t="s">
        <v>1230</v>
      </c>
      <c r="B4210" s="21" t="s">
        <v>1204</v>
      </c>
      <c r="C4210" s="21" t="s">
        <v>1151</v>
      </c>
      <c r="D4210" s="21" t="s">
        <v>1144</v>
      </c>
      <c r="E4210" s="22">
        <f>IF(D4210="?OLD","!!!","")</f>
        <v/>
      </c>
      <c r="F4210" s="23" t="str">
        <f>IF(OR(E4210="",E4210="!!!"),"",IF(NOT(ISNA(VLOOKUP(E4210,E$1:E4209,1,FALSE()))),"OLD",IF(AND(E4210&lt;&gt;"",E4210&lt;&gt;"!!!"),"NEW","")))</f>
        <v> </v>
      </c>
      <c r="G4210" s="24" t="str">
        <f>IF(OR(E4210="",E4210="!!!"),"",IF(OR(J4210=0,AND(J4210=1,K4210=1),AND(J4210=1,I4210="SBJ"),AND(J4210=1,I4210=0)),"?IN_FOCUS",IF(J4210&lt;=2,"?ACTIVATED",IF(J4210&lt;&gt;"","?FAMILIAR",IF(F4210="NEW",IF(ISNA(VLOOKUP(E4210,#REF!,1,FALSE())),"?TYPE_IDENTIFIABLE","?REFERENTIAL"),"_")))))</f>
        <v> </v>
      </c>
      <c r="H4210" s="25" t="str">
        <f>IF(J4210&lt;&gt;1,"",IF(I4210="SBJ","CB","?"))</f>
        <v> </v>
      </c>
      <c r="I4210" s="26" t="str">
        <f>IF(OR(E4210="",E4210="!!!",F4210="NEW"),"",INDEX(B4209:B$2,-1+SUMPRODUCT(MAX(ROW(E4209:E$2)*(E4210=E4209:E$2)))))</f>
        <v> </v>
      </c>
      <c r="J4210" s="26" t="str">
        <f>IF(OR(E4210="",E4210="!!!",F4210="NEW"),"",COUNTBLANK(OFFSET(A$1,,,SUMPRODUCT(MAX(ROW(E$2:E4210)*(E4210=E$2:E4210)))))-COUNTBLANK(OFFSET(A$1,,,SUMPRODUCT(MAX(ROW(E$1:E4209)*(E2=E$1:E4209))))))</f>
        <v> </v>
      </c>
      <c r="K4210" s="26" t="str">
        <f>IF(OR(E4210="",E4210="!!!",F4210="NEW"),"",INDEX(J$1:J4209,SUMPRODUCT(MAX(ROW(E$1:E4209)*(E4210=E$1:E4209)))))</f>
        <v> </v>
      </c>
      <c r="L4210" s="27"/>
    </row>
    <row r="4211" spans="1:12">
      <c r="A4211" s="20" t="s">
        <v>1191</v>
      </c>
      <c r="E4211" s="22">
        <f>IF(D4211="?OLD","!!!","")</f>
        <v/>
      </c>
      <c r="F4211" s="23" t="str">
        <f>IF(OR(E4211="",E4211="!!!"),"",IF(NOT(ISNA(VLOOKUP(E4211,E$1:E4210,1,FALSE()))),"OLD",IF(AND(E4211&lt;&gt;"",E4211&lt;&gt;"!!!"),"NEW","")))</f>
        <v> </v>
      </c>
      <c r="G4211" s="24" t="str">
        <f>IF(OR(E4211="",E4211="!!!"),"",IF(OR(J4211=0,AND(J4211=1,K4211=1),AND(J4211=1,I4211="SBJ"),AND(J4211=1,I4211=0)),"?IN_FOCUS",IF(J4211&lt;=2,"?ACTIVATED",IF(J4211&lt;&gt;"","?FAMILIAR",IF(F4211="NEW",IF(ISNA(VLOOKUP(E4211,#REF!,1,FALSE())),"?TYPE_IDENTIFIABLE","?REFERENTIAL"),"_")))))</f>
        <v> </v>
      </c>
      <c r="H4211" s="25" t="str">
        <f>IF(J4211&lt;&gt;1,"",IF(I4211="SBJ","CB","?"))</f>
        <v> </v>
      </c>
      <c r="I4211" s="26" t="str">
        <f>IF(OR(E4211="",E4211="!!!",F4211="NEW"),"",INDEX(B4210:B$2,-1+SUMPRODUCT(MAX(ROW(E4210:E$2)*(E4211=E4210:E$2)))))</f>
        <v> </v>
      </c>
      <c r="J4211" s="26" t="str">
        <f>IF(OR(E4211="",E4211="!!!",F4211="NEW"),"",COUNTBLANK(OFFSET(A$1,,,SUMPRODUCT(MAX(ROW(E$2:E4211)*(E4211=E$2:E4211)))))-COUNTBLANK(OFFSET(A$1,,,SUMPRODUCT(MAX(ROW(E$1:E4210)*(E2=E$1:E4210))))))</f>
        <v> </v>
      </c>
      <c r="K4211" s="26" t="str">
        <f>IF(OR(E4211="",E4211="!!!",F4211="NEW"),"",INDEX(J$1:J4210,SUMPRODUCT(MAX(ROW(E$1:E4210)*(E4211=E$1:E4210)))))</f>
        <v> </v>
      </c>
      <c r="L4211" s="27"/>
    </row>
    <row r="4212" spans="1:12">
      <c r="A4212" s="20" t="s">
        <v>2099</v>
      </c>
      <c r="B4212" s="21" t="s">
        <v>1209</v>
      </c>
      <c r="C4212" s="21" t="s">
        <v>1162</v>
      </c>
      <c r="D4212" s="21" t="s">
        <v>1144</v>
      </c>
      <c r="E4212" s="22">
        <f>IF(D4212="?OLD","!!!","")</f>
        <v/>
      </c>
      <c r="F4212" s="23" t="str">
        <f>IF(OR(E4212="",E4212="!!!"),"",IF(NOT(ISNA(VLOOKUP(E4212,E$1:E4211,1,FALSE()))),"OLD",IF(AND(E4212&lt;&gt;"",E4212&lt;&gt;"!!!"),"NEW","")))</f>
        <v> </v>
      </c>
      <c r="G4212" s="24" t="str">
        <f>IF(OR(E4212="",E4212="!!!"),"",IF(OR(J4212=0,AND(J4212=1,K4212=1),AND(J4212=1,I4212="SBJ"),AND(J4212=1,I4212=0)),"?IN_FOCUS",IF(J4212&lt;=2,"?ACTIVATED",IF(J4212&lt;&gt;"","?FAMILIAR",IF(F4212="NEW",IF(ISNA(VLOOKUP(E4212,#REF!,1,FALSE())),"?TYPE_IDENTIFIABLE","?REFERENTIAL"),"_")))))</f>
        <v> </v>
      </c>
      <c r="H4212" s="25" t="str">
        <f>IF(J4212&lt;&gt;1,"",IF(I4212="SBJ","CB","?"))</f>
        <v> </v>
      </c>
      <c r="I4212" s="26" t="str">
        <f>IF(OR(E4212="",E4212="!!!",F4212="NEW"),"",INDEX(B4211:B$2,-1+SUMPRODUCT(MAX(ROW(E4211:E$2)*(E4212=E4211:E$2)))))</f>
        <v> </v>
      </c>
      <c r="J4212" s="26" t="str">
        <f>IF(OR(E4212="",E4212="!!!",F4212="NEW"),"",COUNTBLANK(OFFSET(A$1,,,SUMPRODUCT(MAX(ROW(E$2:E4212)*(E4212=E$2:E4212)))))-COUNTBLANK(OFFSET(A$1,,,SUMPRODUCT(MAX(ROW(E$1:E4211)*(E2=E$1:E4211))))))</f>
        <v> </v>
      </c>
      <c r="K4212" s="26" t="str">
        <f>IF(OR(E4212="",E4212="!!!",F4212="NEW"),"",INDEX(J$1:J4211,SUMPRODUCT(MAX(ROW(E$1:E4211)*(E4212=E$1:E4211)))))</f>
        <v> </v>
      </c>
      <c r="L4212" s="27"/>
    </row>
    <row r="4213" spans="1:12">
      <c r="A4213" s="20" t="s">
        <v>2372</v>
      </c>
      <c r="E4213" s="22">
        <f>IF(D4213="?OLD","!!!","")</f>
        <v/>
      </c>
      <c r="F4213" s="23" t="str">
        <f>IF(OR(E4213="",E4213="!!!"),"",IF(NOT(ISNA(VLOOKUP(E4213,E$1:E4212,1,FALSE()))),"OLD",IF(AND(E4213&lt;&gt;"",E4213&lt;&gt;"!!!"),"NEW","")))</f>
        <v> </v>
      </c>
      <c r="G4213" s="24" t="str">
        <f>IF(OR(E4213="",E4213="!!!"),"",IF(OR(J4213=0,AND(J4213=1,K4213=1),AND(J4213=1,I4213="SBJ"),AND(J4213=1,I4213=0)),"?IN_FOCUS",IF(J4213&lt;=2,"?ACTIVATED",IF(J4213&lt;&gt;"","?FAMILIAR",IF(F4213="NEW",IF(ISNA(VLOOKUP(E4213,#REF!,1,FALSE())),"?TYPE_IDENTIFIABLE","?REFERENTIAL"),"_")))))</f>
        <v> </v>
      </c>
      <c r="H4213" s="25" t="str">
        <f>IF(J4213&lt;&gt;1,"",IF(I4213="SBJ","CB","?"))</f>
        <v> </v>
      </c>
      <c r="I4213" s="26" t="str">
        <f>IF(OR(E4213="",E4213="!!!",F4213="NEW"),"",INDEX(B4212:B$2,-1+SUMPRODUCT(MAX(ROW(E4212:E$2)*(E4213=E4212:E$2)))))</f>
        <v> </v>
      </c>
      <c r="J4213" s="26" t="str">
        <f>IF(OR(E4213="",E4213="!!!",F4213="NEW"),"",COUNTBLANK(OFFSET(A$1,,,SUMPRODUCT(MAX(ROW(E$2:E4213)*(E4213=E$2:E4213)))))-COUNTBLANK(OFFSET(A$1,,,SUMPRODUCT(MAX(ROW(E$1:E4212)*(E2=E$1:E4212))))))</f>
        <v> </v>
      </c>
      <c r="K4213" s="26" t="str">
        <f>IF(OR(E4213="",E4213="!!!",F4213="NEW"),"",INDEX(J$1:J4212,SUMPRODUCT(MAX(ROW(E$1:E4212)*(E4213=E$1:E4212)))))</f>
        <v> </v>
      </c>
      <c r="L4213" s="27"/>
    </row>
    <row r="4214" spans="1:12">
      <c r="A4214" s="20" t="s">
        <v>1166</v>
      </c>
      <c r="E4214" s="22">
        <f>IF(D4214="?OLD","!!!","")</f>
        <v/>
      </c>
      <c r="F4214" s="23" t="str">
        <f>IF(OR(E4214="",E4214="!!!"),"",IF(NOT(ISNA(VLOOKUP(E4214,E$1:E4213,1,FALSE()))),"OLD",IF(AND(E4214&lt;&gt;"",E4214&lt;&gt;"!!!"),"NEW","")))</f>
        <v> </v>
      </c>
      <c r="G4214" s="24" t="str">
        <f>IF(OR(E4214="",E4214="!!!"),"",IF(OR(J4214=0,AND(J4214=1,K4214=1),AND(J4214=1,I4214="SBJ"),AND(J4214=1,I4214=0)),"?IN_FOCUS",IF(J4214&lt;=2,"?ACTIVATED",IF(J4214&lt;&gt;"","?FAMILIAR",IF(F4214="NEW",IF(ISNA(VLOOKUP(E4214,#REF!,1,FALSE())),"?TYPE_IDENTIFIABLE","?REFERENTIAL"),"_")))))</f>
        <v> </v>
      </c>
      <c r="H4214" s="25" t="str">
        <f>IF(J4214&lt;&gt;1,"",IF(I4214="SBJ","CB","?"))</f>
        <v> </v>
      </c>
      <c r="I4214" s="26" t="str">
        <f>IF(OR(E4214="",E4214="!!!",F4214="NEW"),"",INDEX(B4213:B$2,-1+SUMPRODUCT(MAX(ROW(E4213:E$2)*(E4214=E4213:E$2)))))</f>
        <v> </v>
      </c>
      <c r="J4214" s="26" t="str">
        <f>IF(OR(E4214="",E4214="!!!",F4214="NEW"),"",COUNTBLANK(OFFSET(A$1,,,SUMPRODUCT(MAX(ROW(E$2:E4214)*(E4214=E$2:E4214)))))-COUNTBLANK(OFFSET(A$1,,,SUMPRODUCT(MAX(ROW(E$1:E4213)*(E2=E$1:E4213))))))</f>
        <v> </v>
      </c>
      <c r="K4214" s="26" t="str">
        <f>IF(OR(E4214="",E4214="!!!",F4214="NEW"),"",INDEX(J$1:J4213,SUMPRODUCT(MAX(ROW(E$1:E4213)*(E4214=E$1:E4213)))))</f>
        <v> </v>
      </c>
      <c r="L4214" s="27"/>
    </row>
    <row r="4215" spans="1:12">
      <c r="A4215" s="20" t="s">
        <v>1174</v>
      </c>
      <c r="E4215" s="22">
        <f>IF(D4215="?OLD","!!!","")</f>
        <v/>
      </c>
      <c r="F4215" s="23" t="str">
        <f>IF(OR(E4215="",E4215="!!!"),"",IF(NOT(ISNA(VLOOKUP(E4215,E$1:E4214,1,FALSE()))),"OLD",IF(AND(E4215&lt;&gt;"",E4215&lt;&gt;"!!!"),"NEW","")))</f>
        <v> </v>
      </c>
      <c r="G4215" s="24" t="str">
        <f>IF(OR(E4215="",E4215="!!!"),"",IF(OR(J4215=0,AND(J4215=1,K4215=1),AND(J4215=1,I4215="SBJ"),AND(J4215=1,I4215=0)),"?IN_FOCUS",IF(J4215&lt;=2,"?ACTIVATED",IF(J4215&lt;&gt;"","?FAMILIAR",IF(F4215="NEW",IF(ISNA(VLOOKUP(E4215,#REF!,1,FALSE())),"?TYPE_IDENTIFIABLE","?REFERENTIAL"),"_")))))</f>
        <v> </v>
      </c>
      <c r="H4215" s="25" t="str">
        <f>IF(J4215&lt;&gt;1,"",IF(I4215="SBJ","CB","?"))</f>
        <v> </v>
      </c>
      <c r="I4215" s="26" t="str">
        <f>IF(OR(E4215="",E4215="!!!",F4215="NEW"),"",INDEX(B4214:B$2,-1+SUMPRODUCT(MAX(ROW(E4214:E$2)*(E4215=E4214:E$2)))))</f>
        <v> </v>
      </c>
      <c r="J4215" s="26" t="str">
        <f>IF(OR(E4215="",E4215="!!!",F4215="NEW"),"",COUNTBLANK(OFFSET(A$1,,,SUMPRODUCT(MAX(ROW(E$2:E4215)*(E4215=E$2:E4215)))))-COUNTBLANK(OFFSET(A$1,,,SUMPRODUCT(MAX(ROW(E$1:E4214)*(E2=E$1:E4214))))))</f>
        <v> </v>
      </c>
      <c r="K4215" s="26" t="str">
        <f>IF(OR(E4215="",E4215="!!!",F4215="NEW"),"",INDEX(J$1:J4214,SUMPRODUCT(MAX(ROW(E$1:E4214)*(E4215=E$1:E4214)))))</f>
        <v> </v>
      </c>
      <c r="L4215" s="27"/>
    </row>
    <row r="4216" spans="1:12">
      <c r="A4216" s="20" t="s">
        <v>1164</v>
      </c>
      <c r="B4216" s="21" t="s">
        <v>2373</v>
      </c>
      <c r="C4216" s="21" t="s">
        <v>1151</v>
      </c>
      <c r="D4216" s="21" t="s">
        <v>1144</v>
      </c>
      <c r="E4216" s="22">
        <f>IF(D4216="?OLD","!!!","")</f>
        <v/>
      </c>
      <c r="F4216" s="23" t="str">
        <f>IF(OR(E4216="",E4216="!!!"),"",IF(NOT(ISNA(VLOOKUP(E4216,E$1:E4215,1,FALSE()))),"OLD",IF(AND(E4216&lt;&gt;"",E4216&lt;&gt;"!!!"),"NEW","")))</f>
        <v> </v>
      </c>
      <c r="G4216" s="24" t="str">
        <f>IF(OR(E4216="",E4216="!!!"),"",IF(OR(J4216=0,AND(J4216=1,K4216=1),AND(J4216=1,I4216="SBJ"),AND(J4216=1,I4216=0)),"?IN_FOCUS",IF(J4216&lt;=2,"?ACTIVATED",IF(J4216&lt;&gt;"","?FAMILIAR",IF(F4216="NEW",IF(ISNA(VLOOKUP(E4216,#REF!,1,FALSE())),"?TYPE_IDENTIFIABLE","?REFERENTIAL"),"_")))))</f>
        <v> </v>
      </c>
      <c r="H4216" s="25" t="str">
        <f>IF(J4216&lt;&gt;1,"",IF(I4216="SBJ","CB","?"))</f>
        <v> </v>
      </c>
      <c r="I4216" s="26" t="str">
        <f>IF(OR(E4216="",E4216="!!!",F4216="NEW"),"",INDEX(B4215:B$2,-1+SUMPRODUCT(MAX(ROW(E4215:E$2)*(E4216=E4215:E$2)))))</f>
        <v> </v>
      </c>
      <c r="J4216" s="26" t="str">
        <f>IF(OR(E4216="",E4216="!!!",F4216="NEW"),"",COUNTBLANK(OFFSET(A$1,,,SUMPRODUCT(MAX(ROW(E$2:E4216)*(E4216=E$2:E4216)))))-COUNTBLANK(OFFSET(A$1,,,SUMPRODUCT(MAX(ROW(E$1:E4215)*(E2=E$1:E4215))))))</f>
        <v> </v>
      </c>
      <c r="K4216" s="26" t="str">
        <f>IF(OR(E4216="",E4216="!!!",F4216="NEW"),"",INDEX(J$1:J4215,SUMPRODUCT(MAX(ROW(E$1:E4215)*(E4216=E$1:E4215)))))</f>
        <v> </v>
      </c>
      <c r="L4216" s="27"/>
    </row>
    <row r="4217" spans="1:12">
      <c r="A4217" s="20" t="s">
        <v>1238</v>
      </c>
      <c r="E4217" s="22">
        <f>IF(D4217="?OLD","!!!","")</f>
        <v/>
      </c>
      <c r="F4217" s="23" t="str">
        <f>IF(OR(E4217="",E4217="!!!"),"",IF(NOT(ISNA(VLOOKUP(E4217,E$1:E4216,1,FALSE()))),"OLD",IF(AND(E4217&lt;&gt;"",E4217&lt;&gt;"!!!"),"NEW","")))</f>
        <v> </v>
      </c>
      <c r="G4217" s="24" t="str">
        <f>IF(OR(E4217="",E4217="!!!"),"",IF(OR(J4217=0,AND(J4217=1,K4217=1),AND(J4217=1,I4217="SBJ"),AND(J4217=1,I4217=0)),"?IN_FOCUS",IF(J4217&lt;=2,"?ACTIVATED",IF(J4217&lt;&gt;"","?FAMILIAR",IF(F4217="NEW",IF(ISNA(VLOOKUP(E4217,#REF!,1,FALSE())),"?TYPE_IDENTIFIABLE","?REFERENTIAL"),"_")))))</f>
        <v> </v>
      </c>
      <c r="H4217" s="25" t="str">
        <f>IF(J4217&lt;&gt;1,"",IF(I4217="SBJ","CB","?"))</f>
        <v> </v>
      </c>
      <c r="I4217" s="26" t="str">
        <f>IF(OR(E4217="",E4217="!!!",F4217="NEW"),"",INDEX(B4216:B$2,-1+SUMPRODUCT(MAX(ROW(E4216:E$2)*(E4217=E4216:E$2)))))</f>
        <v> </v>
      </c>
      <c r="J4217" s="26" t="str">
        <f>IF(OR(E4217="",E4217="!!!",F4217="NEW"),"",COUNTBLANK(OFFSET(A$1,,,SUMPRODUCT(MAX(ROW(E$2:E4217)*(E4217=E$2:E4217)))))-COUNTBLANK(OFFSET(A$1,,,SUMPRODUCT(MAX(ROW(E$1:E4216)*(E2=E$1:E4216))))))</f>
        <v> </v>
      </c>
      <c r="K4217" s="26" t="str">
        <f>IF(OR(E4217="",E4217="!!!",F4217="NEW"),"",INDEX(J$1:J4216,SUMPRODUCT(MAX(ROW(E$1:E4216)*(E4217=E$1:E4216)))))</f>
        <v> </v>
      </c>
      <c r="L4217" s="27"/>
    </row>
    <row r="4218" spans="1:12">
      <c r="A4218" s="20" t="s">
        <v>1253</v>
      </c>
      <c r="B4218" s="21" t="s">
        <v>2370</v>
      </c>
      <c r="C4218" s="21" t="s">
        <v>1162</v>
      </c>
      <c r="D4218" s="21" t="s">
        <v>1144</v>
      </c>
      <c r="E4218" s="22">
        <f>IF(D4218="?OLD","!!!","")</f>
        <v/>
      </c>
      <c r="F4218" s="23" t="str">
        <f>IF(OR(E4218="",E4218="!!!"),"",IF(NOT(ISNA(VLOOKUP(E4218,E$1:E4217,1,FALSE()))),"OLD",IF(AND(E4218&lt;&gt;"",E4218&lt;&gt;"!!!"),"NEW","")))</f>
        <v> </v>
      </c>
      <c r="G4218" s="24" t="str">
        <f>IF(OR(E4218="",E4218="!!!"),"",IF(OR(J4218=0,AND(J4218=1,K4218=1),AND(J4218=1,I4218="SBJ"),AND(J4218=1,I4218=0)),"?IN_FOCUS",IF(J4218&lt;=2,"?ACTIVATED",IF(J4218&lt;&gt;"","?FAMILIAR",IF(F4218="NEW",IF(ISNA(VLOOKUP(E4218,#REF!,1,FALSE())),"?TYPE_IDENTIFIABLE","?REFERENTIAL"),"_")))))</f>
        <v> </v>
      </c>
      <c r="H4218" s="25" t="str">
        <f>IF(J4218&lt;&gt;1,"",IF(I4218="SBJ","CB","?"))</f>
        <v> </v>
      </c>
      <c r="I4218" s="26" t="str">
        <f>IF(OR(E4218="",E4218="!!!",F4218="NEW"),"",INDEX(B4217:B$2,-1+SUMPRODUCT(MAX(ROW(E4217:E$2)*(E4218=E4217:E$2)))))</f>
        <v> </v>
      </c>
      <c r="J4218" s="26" t="str">
        <f>IF(OR(E4218="",E4218="!!!",F4218="NEW"),"",COUNTBLANK(OFFSET(A$1,,,SUMPRODUCT(MAX(ROW(E$2:E4218)*(E4218=E$2:E4218)))))-COUNTBLANK(OFFSET(A$1,,,SUMPRODUCT(MAX(ROW(E$1:E4217)*(E2=E$1:E4217))))))</f>
        <v> </v>
      </c>
      <c r="K4218" s="26" t="str">
        <f>IF(OR(E4218="",E4218="!!!",F4218="NEW"),"",INDEX(J$1:J4217,SUMPRODUCT(MAX(ROW(E$1:E4217)*(E4218=E$1:E4217)))))</f>
        <v> </v>
      </c>
      <c r="L4218" s="27"/>
    </row>
    <row r="4219" spans="1:12">
      <c r="A4219" s="20" t="s">
        <v>443</v>
      </c>
      <c r="E4219" s="22">
        <f>IF(D4219="?OLD","!!!","")</f>
        <v/>
      </c>
      <c r="F4219" s="23" t="str">
        <f>IF(OR(E4219="",E4219="!!!"),"",IF(NOT(ISNA(VLOOKUP(E4219,E$1:E4218,1,FALSE()))),"OLD",IF(AND(E4219&lt;&gt;"",E4219&lt;&gt;"!!!"),"NEW","")))</f>
        <v> </v>
      </c>
      <c r="G4219" s="24" t="str">
        <f>IF(OR(E4219="",E4219="!!!"),"",IF(OR(J4219=0,AND(J4219=1,K4219=1),AND(J4219=1,I4219="SBJ"),AND(J4219=1,I4219=0)),"?IN_FOCUS",IF(J4219&lt;=2,"?ACTIVATED",IF(J4219&lt;&gt;"","?FAMILIAR",IF(F4219="NEW",IF(ISNA(VLOOKUP(E4219,#REF!,1,FALSE())),"?TYPE_IDENTIFIABLE","?REFERENTIAL"),"_")))))</f>
        <v> </v>
      </c>
      <c r="H4219" s="25" t="str">
        <f>IF(J4219&lt;&gt;1,"",IF(I4219="SBJ","CB","?"))</f>
        <v> </v>
      </c>
      <c r="I4219" s="26" t="str">
        <f>IF(OR(E4219="",E4219="!!!",F4219="NEW"),"",INDEX(B4218:B$2,-1+SUMPRODUCT(MAX(ROW(E4218:E$2)*(E4219=E4218:E$2)))))</f>
        <v> </v>
      </c>
      <c r="J4219" s="26" t="str">
        <f>IF(OR(E4219="",E4219="!!!",F4219="NEW"),"",COUNTBLANK(OFFSET(A$1,,,SUMPRODUCT(MAX(ROW(E$2:E4219)*(E4219=E$2:E4219)))))-COUNTBLANK(OFFSET(A$1,,,SUMPRODUCT(MAX(ROW(E$1:E4218)*(E2=E$1:E4218))))))</f>
        <v> </v>
      </c>
      <c r="K4219" s="26" t="str">
        <f>IF(OR(E4219="",E4219="!!!",F4219="NEW"),"",INDEX(J$1:J4218,SUMPRODUCT(MAX(ROW(E$1:E4218)*(E4219=E$1:E4218)))))</f>
        <v> </v>
      </c>
      <c r="L4219" s="27"/>
    </row>
    <row r="4220" spans="1:12">
      <c r="A4220" s="20" t="s">
        <v>1516</v>
      </c>
      <c r="E4220" s="22">
        <f>IF(D4220="?OLD","!!!","")</f>
        <v/>
      </c>
      <c r="F4220" s="23" t="str">
        <f>IF(OR(E4220="",E4220="!!!"),"",IF(NOT(ISNA(VLOOKUP(E4220,E$1:E4219,1,FALSE()))),"OLD",IF(AND(E4220&lt;&gt;"",E4220&lt;&gt;"!!!"),"NEW","")))</f>
        <v> </v>
      </c>
      <c r="G4220" s="24" t="str">
        <f>IF(OR(E4220="",E4220="!!!"),"",IF(OR(J4220=0,AND(J4220=1,K4220=1),AND(J4220=1,I4220="SBJ"),AND(J4220=1,I4220=0)),"?IN_FOCUS",IF(J4220&lt;=2,"?ACTIVATED",IF(J4220&lt;&gt;"","?FAMILIAR",IF(F4220="NEW",IF(ISNA(VLOOKUP(E4220,#REF!,1,FALSE())),"?TYPE_IDENTIFIABLE","?REFERENTIAL"),"_")))))</f>
        <v> </v>
      </c>
      <c r="H4220" s="25" t="str">
        <f>IF(J4220&lt;&gt;1,"",IF(I4220="SBJ","CB","?"))</f>
        <v> </v>
      </c>
      <c r="I4220" s="26" t="str">
        <f>IF(OR(E4220="",E4220="!!!",F4220="NEW"),"",INDEX(B4219:B$2,-1+SUMPRODUCT(MAX(ROW(E4219:E$2)*(E4220=E4219:E$2)))))</f>
        <v> </v>
      </c>
      <c r="J4220" s="26" t="str">
        <f>IF(OR(E4220="",E4220="!!!",F4220="NEW"),"",COUNTBLANK(OFFSET(A$1,,,SUMPRODUCT(MAX(ROW(E$2:E4220)*(E4220=E$2:E4220)))))-COUNTBLANK(OFFSET(A$1,,,SUMPRODUCT(MAX(ROW(E$1:E4219)*(E2=E$1:E4219))))))</f>
        <v> </v>
      </c>
      <c r="K4220" s="26" t="str">
        <f>IF(OR(E4220="",E4220="!!!",F4220="NEW"),"",INDEX(J$1:J4219,SUMPRODUCT(MAX(ROW(E$1:E4219)*(E4220=E$1:E4219)))))</f>
        <v> </v>
      </c>
      <c r="L4220" s="27"/>
    </row>
    <row r="4221" spans="1:12">
      <c r="A4221" s="20" t="s">
        <v>1166</v>
      </c>
      <c r="E4221" s="22">
        <f>IF(D4221="?OLD","!!!","")</f>
        <v/>
      </c>
      <c r="F4221" s="23" t="str">
        <f>IF(OR(E4221="",E4221="!!!"),"",IF(NOT(ISNA(VLOOKUP(E4221,E$1:E4220,1,FALSE()))),"OLD",IF(AND(E4221&lt;&gt;"",E4221&lt;&gt;"!!!"),"NEW","")))</f>
        <v> </v>
      </c>
      <c r="G4221" s="24" t="str">
        <f>IF(OR(E4221="",E4221="!!!"),"",IF(OR(J4221=0,AND(J4221=1,K4221=1),AND(J4221=1,I4221="SBJ"),AND(J4221=1,I4221=0)),"?IN_FOCUS",IF(J4221&lt;=2,"?ACTIVATED",IF(J4221&lt;&gt;"","?FAMILIAR",IF(F4221="NEW",IF(ISNA(VLOOKUP(E4221,#REF!,1,FALSE())),"?TYPE_IDENTIFIABLE","?REFERENTIAL"),"_")))))</f>
        <v> </v>
      </c>
      <c r="H4221" s="25" t="str">
        <f>IF(J4221&lt;&gt;1,"",IF(I4221="SBJ","CB","?"))</f>
        <v> </v>
      </c>
      <c r="I4221" s="26" t="str">
        <f>IF(OR(E4221="",E4221="!!!",F4221="NEW"),"",INDEX(B4220:B$2,-1+SUMPRODUCT(MAX(ROW(E4220:E$2)*(E4221=E4220:E$2)))))</f>
        <v> </v>
      </c>
      <c r="J4221" s="26" t="str">
        <f>IF(OR(E4221="",E4221="!!!",F4221="NEW"),"",COUNTBLANK(OFFSET(A$1,,,SUMPRODUCT(MAX(ROW(E$2:E4221)*(E4221=E$2:E4221)))))-COUNTBLANK(OFFSET(A$1,,,SUMPRODUCT(MAX(ROW(E$1:E4220)*(E2=E$1:E4220))))))</f>
        <v> </v>
      </c>
      <c r="K4221" s="26" t="str">
        <f>IF(OR(E4221="",E4221="!!!",F4221="NEW"),"",INDEX(J$1:J4220,SUMPRODUCT(MAX(ROW(E$1:E4220)*(E4221=E$1:E4220)))))</f>
        <v> </v>
      </c>
      <c r="L4221" s="27"/>
    </row>
    <row r="4222" spans="1:12">
      <c r="A4222" s="20" t="s">
        <v>1203</v>
      </c>
      <c r="E4222" s="22">
        <f>IF(D4222="?OLD","!!!","")</f>
        <v/>
      </c>
      <c r="F4222" s="23" t="str">
        <f>IF(OR(E4222="",E4222="!!!"),"",IF(NOT(ISNA(VLOOKUP(E4222,E$1:E4221,1,FALSE()))),"OLD",IF(AND(E4222&lt;&gt;"",E4222&lt;&gt;"!!!"),"NEW","")))</f>
        <v> </v>
      </c>
      <c r="G4222" s="24" t="str">
        <f>IF(OR(E4222="",E4222="!!!"),"",IF(OR(J4222=0,AND(J4222=1,K4222=1),AND(J4222=1,I4222="SBJ"),AND(J4222=1,I4222=0)),"?IN_FOCUS",IF(J4222&lt;=2,"?ACTIVATED",IF(J4222&lt;&gt;"","?FAMILIAR",IF(F4222="NEW",IF(ISNA(VLOOKUP(E4222,#REF!,1,FALSE())),"?TYPE_IDENTIFIABLE","?REFERENTIAL"),"_")))))</f>
        <v> </v>
      </c>
      <c r="H4222" s="25" t="str">
        <f>IF(J4222&lt;&gt;1,"",IF(I4222="SBJ","CB","?"))</f>
        <v> </v>
      </c>
      <c r="I4222" s="26" t="str">
        <f>IF(OR(E4222="",E4222="!!!",F4222="NEW"),"",INDEX(B4221:B$2,-1+SUMPRODUCT(MAX(ROW(E4221:E$2)*(E4222=E4221:E$2)))))</f>
        <v> </v>
      </c>
      <c r="J4222" s="26" t="str">
        <f>IF(OR(E4222="",E4222="!!!",F4222="NEW"),"",COUNTBLANK(OFFSET(A$1,,,SUMPRODUCT(MAX(ROW(E$2:E4222)*(E4222=E$2:E4222)))))-COUNTBLANK(OFFSET(A$1,,,SUMPRODUCT(MAX(ROW(E$1:E4221)*(E2=E$1:E4221))))))</f>
        <v> </v>
      </c>
      <c r="K4222" s="26" t="str">
        <f>IF(OR(E4222="",E4222="!!!",F4222="NEW"),"",INDEX(J$1:J4221,SUMPRODUCT(MAX(ROW(E$1:E4221)*(E4222=E$1:E4221)))))</f>
        <v> </v>
      </c>
      <c r="L4222" s="27"/>
    </row>
    <row r="4223" spans="1:12">
      <c r="A4223" s="20" t="s">
        <v>1230</v>
      </c>
      <c r="B4223" s="21" t="s">
        <v>1199</v>
      </c>
      <c r="C4223" s="21" t="s">
        <v>1151</v>
      </c>
      <c r="D4223" s="21" t="s">
        <v>1144</v>
      </c>
      <c r="E4223" s="22">
        <f>IF(D4223="?OLD","!!!","")</f>
        <v/>
      </c>
      <c r="F4223" s="23" t="str">
        <f>IF(OR(E4223="",E4223="!!!"),"",IF(NOT(ISNA(VLOOKUP(E4223,E$1:E4222,1,FALSE()))),"OLD",IF(AND(E4223&lt;&gt;"",E4223&lt;&gt;"!!!"),"NEW","")))</f>
        <v> </v>
      </c>
      <c r="G4223" s="24" t="str">
        <f>IF(OR(E4223="",E4223="!!!"),"",IF(OR(J4223=0,AND(J4223=1,K4223=1),AND(J4223=1,I4223="SBJ"),AND(J4223=1,I4223=0)),"?IN_FOCUS",IF(J4223&lt;=2,"?ACTIVATED",IF(J4223&lt;&gt;"","?FAMILIAR",IF(F4223="NEW",IF(ISNA(VLOOKUP(E4223,#REF!,1,FALSE())),"?TYPE_IDENTIFIABLE","?REFERENTIAL"),"_")))))</f>
        <v> </v>
      </c>
      <c r="H4223" s="25" t="str">
        <f>IF(J4223&lt;&gt;1,"",IF(I4223="SBJ","CB","?"))</f>
        <v> </v>
      </c>
      <c r="I4223" s="26" t="str">
        <f>IF(OR(E4223="",E4223="!!!",F4223="NEW"),"",INDEX(B4222:B$2,-1+SUMPRODUCT(MAX(ROW(E4222:E$2)*(E4223=E4222:E$2)))))</f>
        <v> </v>
      </c>
      <c r="J4223" s="26" t="str">
        <f>IF(OR(E4223="",E4223="!!!",F4223="NEW"),"",COUNTBLANK(OFFSET(A$1,,,SUMPRODUCT(MAX(ROW(E$2:E4223)*(E4223=E$2:E4223)))))-COUNTBLANK(OFFSET(A$1,,,SUMPRODUCT(MAX(ROW(E$1:E4222)*(E2=E$1:E4222))))))</f>
        <v> </v>
      </c>
      <c r="K4223" s="26" t="str">
        <f>IF(OR(E4223="",E4223="!!!",F4223="NEW"),"",INDEX(J$1:J4222,SUMPRODUCT(MAX(ROW(E$1:E4222)*(E4223=E$1:E4222)))))</f>
        <v> </v>
      </c>
      <c r="L4223" s="27"/>
    </row>
    <row r="4224" spans="1:12">
      <c r="A4224" s="20" t="s">
        <v>2374</v>
      </c>
      <c r="E4224" s="22">
        <f>IF(D4224="?OLD","!!!","")</f>
        <v/>
      </c>
      <c r="F4224" s="23" t="str">
        <f>IF(OR(E4224="",E4224="!!!"),"",IF(NOT(ISNA(VLOOKUP(E4224,E$1:E4223,1,FALSE()))),"OLD",IF(AND(E4224&lt;&gt;"",E4224&lt;&gt;"!!!"),"NEW","")))</f>
        <v> </v>
      </c>
      <c r="G4224" s="24" t="str">
        <f>IF(OR(E4224="",E4224="!!!"),"",IF(OR(J4224=0,AND(J4224=1,K4224=1),AND(J4224=1,I4224="SBJ"),AND(J4224=1,I4224=0)),"?IN_FOCUS",IF(J4224&lt;=2,"?ACTIVATED",IF(J4224&lt;&gt;"","?FAMILIAR",IF(F4224="NEW",IF(ISNA(VLOOKUP(E4224,#REF!,1,FALSE())),"?TYPE_IDENTIFIABLE","?REFERENTIAL"),"_")))))</f>
        <v> </v>
      </c>
      <c r="H4224" s="25" t="str">
        <f>IF(J4224&lt;&gt;1,"",IF(I4224="SBJ","CB","?"))</f>
        <v> </v>
      </c>
      <c r="I4224" s="26" t="str">
        <f>IF(OR(E4224="",E4224="!!!",F4224="NEW"),"",INDEX(B4223:B$2,-1+SUMPRODUCT(MAX(ROW(E4223:E$2)*(E4224=E4223:E$2)))))</f>
        <v> </v>
      </c>
      <c r="J4224" s="26" t="str">
        <f>IF(OR(E4224="",E4224="!!!",F4224="NEW"),"",COUNTBLANK(OFFSET(A$1,,,SUMPRODUCT(MAX(ROW(E$2:E4224)*(E4224=E$2:E4224)))))-COUNTBLANK(OFFSET(A$1,,,SUMPRODUCT(MAX(ROW(E$1:E4223)*(E2=E$1:E4223))))))</f>
        <v> </v>
      </c>
      <c r="K4224" s="26" t="str">
        <f>IF(OR(E4224="",E4224="!!!",F4224="NEW"),"",INDEX(J$1:J4223,SUMPRODUCT(MAX(ROW(E$1:E4223)*(E4224=E$1:E4223)))))</f>
        <v> </v>
      </c>
      <c r="L4224" s="27"/>
    </row>
    <row r="4225" spans="1:12">
      <c r="A4225" s="20" t="s">
        <v>12</v>
      </c>
      <c r="E4225" s="22">
        <f>IF(D4225="?OLD","!!!","")</f>
        <v/>
      </c>
      <c r="F4225" s="23" t="str">
        <f>IF(OR(E4225="",E4225="!!!"),"",IF(NOT(ISNA(VLOOKUP(E4225,E$1:E4224,1,FALSE()))),"OLD",IF(AND(E4225&lt;&gt;"",E4225&lt;&gt;"!!!"),"NEW","")))</f>
        <v> </v>
      </c>
      <c r="G4225" s="24" t="str">
        <f>IF(OR(E4225="",E4225="!!!"),"",IF(OR(J4225=0,AND(J4225=1,K4225=1),AND(J4225=1,I4225="SBJ"),AND(J4225=1,I4225=0)),"?IN_FOCUS",IF(J4225&lt;=2,"?ACTIVATED",IF(J4225&lt;&gt;"","?FAMILIAR",IF(F4225="NEW",IF(ISNA(VLOOKUP(E4225,#REF!,1,FALSE())),"?TYPE_IDENTIFIABLE","?REFERENTIAL"),"_")))))</f>
        <v> </v>
      </c>
      <c r="H4225" s="25" t="str">
        <f>IF(J4225&lt;&gt;1,"",IF(I4225="SBJ","CB","?"))</f>
        <v> </v>
      </c>
      <c r="I4225" s="26" t="str">
        <f>IF(OR(E4225="",E4225="!!!",F4225="NEW"),"",INDEX(B4224:B$2,-1+SUMPRODUCT(MAX(ROW(E4224:E$2)*(E4225=E4224:E$2)))))</f>
        <v> </v>
      </c>
      <c r="J4225" s="26" t="str">
        <f>IF(OR(E4225="",E4225="!!!",F4225="NEW"),"",COUNTBLANK(OFFSET(A$1,,,SUMPRODUCT(MAX(ROW(E$2:E4225)*(E4225=E$2:E4225)))))-COUNTBLANK(OFFSET(A$1,,,SUMPRODUCT(MAX(ROW(E$1:E4224)*(E2=E$1:E4224))))))</f>
        <v> </v>
      </c>
      <c r="K4225" s="26" t="str">
        <f>IF(OR(E4225="",E4225="!!!",F4225="NEW"),"",INDEX(J$1:J4224,SUMPRODUCT(MAX(ROW(E$1:E4224)*(E4225=E$1:E4224)))))</f>
        <v> </v>
      </c>
      <c r="L4225" s="27"/>
    </row>
    <row r="4226" spans="1:12">
      <c r="A4226" s="20" t="s">
        <v>308</v>
      </c>
      <c r="B4226" s="21" t="s">
        <v>1242</v>
      </c>
      <c r="C4226" s="21" t="s">
        <v>1143</v>
      </c>
      <c r="D4226" s="21" t="s">
        <v>1144</v>
      </c>
      <c r="E4226" s="22">
        <f>IF(D4226="?OLD","!!!","")</f>
        <v/>
      </c>
      <c r="F4226" s="23" t="str">
        <f>IF(OR(E4226="",E4226="!!!"),"",IF(NOT(ISNA(VLOOKUP(E4226,E$1:E4225,1,FALSE()))),"OLD",IF(AND(E4226&lt;&gt;"",E4226&lt;&gt;"!!!"),"NEW","")))</f>
        <v> </v>
      </c>
      <c r="G4226" s="24" t="str">
        <f>IF(OR(E4226="",E4226="!!!"),"",IF(OR(J4226=0,AND(J4226=1,K4226=1),AND(J4226=1,I4226="SBJ"),AND(J4226=1,I4226=0)),"?IN_FOCUS",IF(J4226&lt;=2,"?ACTIVATED",IF(J4226&lt;&gt;"","?FAMILIAR",IF(F4226="NEW",IF(ISNA(VLOOKUP(E4226,#REF!,1,FALSE())),"?TYPE_IDENTIFIABLE","?REFERENTIAL"),"_")))))</f>
        <v> </v>
      </c>
      <c r="H4226" s="25" t="str">
        <f>IF(J4226&lt;&gt;1,"",IF(I4226="SBJ","CB","?"))</f>
        <v> </v>
      </c>
      <c r="I4226" s="26" t="str">
        <f>IF(OR(E4226="",E4226="!!!",F4226="NEW"),"",INDEX(B4225:B$2,-1+SUMPRODUCT(MAX(ROW(E4225:E$2)*(E4226=E4225:E$2)))))</f>
        <v> </v>
      </c>
      <c r="J4226" s="26" t="str">
        <f>IF(OR(E4226="",E4226="!!!",F4226="NEW"),"",COUNTBLANK(OFFSET(A$1,,,SUMPRODUCT(MAX(ROW(E$2:E4226)*(E4226=E$2:E4226)))))-COUNTBLANK(OFFSET(A$1,,,SUMPRODUCT(MAX(ROW(E$1:E4225)*(E2=E$1:E4225))))))</f>
        <v> </v>
      </c>
      <c r="K4226" s="26" t="str">
        <f>IF(OR(E4226="",E4226="!!!",F4226="NEW"),"",INDEX(J$1:J4225,SUMPRODUCT(MAX(ROW(E$1:E4225)*(E4226=E$1:E4225)))))</f>
        <v> </v>
      </c>
      <c r="L4226" s="27"/>
    </row>
    <row r="4227" spans="1:12">
      <c r="A4227" s="20" t="s">
        <v>1146</v>
      </c>
      <c r="E4227" s="22">
        <f>IF(D4227="?OLD","!!!","")</f>
        <v/>
      </c>
      <c r="F4227" s="23" t="str">
        <f>IF(OR(E4227="",E4227="!!!"),"",IF(NOT(ISNA(VLOOKUP(E4227,E$1:E4226,1,FALSE()))),"OLD",IF(AND(E4227&lt;&gt;"",E4227&lt;&gt;"!!!"),"NEW","")))</f>
        <v> </v>
      </c>
      <c r="G4227" s="24" t="str">
        <f>IF(OR(E4227="",E4227="!!!"),"",IF(OR(J4227=0,AND(J4227=1,K4227=1),AND(J4227=1,I4227="SBJ"),AND(J4227=1,I4227=0)),"?IN_FOCUS",IF(J4227&lt;=2,"?ACTIVATED",IF(J4227&lt;&gt;"","?FAMILIAR",IF(F4227="NEW",IF(ISNA(VLOOKUP(E4227,#REF!,1,FALSE())),"?TYPE_IDENTIFIABLE","?REFERENTIAL"),"_")))))</f>
        <v> </v>
      </c>
      <c r="H4227" s="25" t="str">
        <f>IF(J4227&lt;&gt;1,"",IF(I4227="SBJ","CB","?"))</f>
        <v> </v>
      </c>
      <c r="I4227" s="26" t="str">
        <f>IF(OR(E4227="",E4227="!!!",F4227="NEW"),"",INDEX(B4226:B$2,-1+SUMPRODUCT(MAX(ROW(E4226:E$2)*(E4227=E4226:E$2)))))</f>
        <v> </v>
      </c>
      <c r="J4227" s="26" t="str">
        <f>IF(OR(E4227="",E4227="!!!",F4227="NEW"),"",COUNTBLANK(OFFSET(A$1,,,SUMPRODUCT(MAX(ROW(E$2:E4227)*(E4227=E$2:E4227)))))-COUNTBLANK(OFFSET(A$1,,,SUMPRODUCT(MAX(ROW(E$1:E4226)*(E2=E$1:E4226))))))</f>
        <v> </v>
      </c>
      <c r="K4227" s="26" t="str">
        <f>IF(OR(E4227="",E4227="!!!",F4227="NEW"),"",INDEX(J$1:J4226,SUMPRODUCT(MAX(ROW(E$1:E4226)*(E4227=E$1:E4226)))))</f>
        <v> </v>
      </c>
      <c r="L4227" s="27"/>
    </row>
    <row r="4228" spans="1:12">
      <c r="A4228" s="20" t="s">
        <v>1605</v>
      </c>
      <c r="B4228" s="21" t="s">
        <v>1242</v>
      </c>
      <c r="C4228" s="21" t="s">
        <v>1143</v>
      </c>
      <c r="D4228" s="21" t="s">
        <v>1144</v>
      </c>
      <c r="E4228" s="22">
        <f>IF(D4228="?OLD","!!!","")</f>
        <v/>
      </c>
      <c r="F4228" s="23" t="str">
        <f>IF(OR(E4228="",E4228="!!!"),"",IF(NOT(ISNA(VLOOKUP(E4228,E$1:E4227,1,FALSE()))),"OLD",IF(AND(E4228&lt;&gt;"",E4228&lt;&gt;"!!!"),"NEW","")))</f>
        <v> </v>
      </c>
      <c r="G4228" s="24" t="str">
        <f>IF(OR(E4228="",E4228="!!!"),"",IF(OR(J4228=0,AND(J4228=1,K4228=1),AND(J4228=1,I4228="SBJ"),AND(J4228=1,I4228=0)),"?IN_FOCUS",IF(J4228&lt;=2,"?ACTIVATED",IF(J4228&lt;&gt;"","?FAMILIAR",IF(F4228="NEW",IF(ISNA(VLOOKUP(E4228,#REF!,1,FALSE())),"?TYPE_IDENTIFIABLE","?REFERENTIAL"),"_")))))</f>
        <v> </v>
      </c>
      <c r="H4228" s="25" t="str">
        <f>IF(J4228&lt;&gt;1,"",IF(I4228="SBJ","CB","?"))</f>
        <v> </v>
      </c>
      <c r="I4228" s="26" t="str">
        <f>IF(OR(E4228="",E4228="!!!",F4228="NEW"),"",INDEX(B4227:B$2,-1+SUMPRODUCT(MAX(ROW(E4227:E$2)*(E4228=E4227:E$2)))))</f>
        <v> </v>
      </c>
      <c r="J4228" s="26" t="str">
        <f>IF(OR(E4228="",E4228="!!!",F4228="NEW"),"",COUNTBLANK(OFFSET(A$1,,,SUMPRODUCT(MAX(ROW(E$2:E4228)*(E4228=E$2:E4228)))))-COUNTBLANK(OFFSET(A$1,,,SUMPRODUCT(MAX(ROW(E$1:E4227)*(E2=E$1:E4227))))))</f>
        <v> </v>
      </c>
      <c r="K4228" s="26" t="str">
        <f>IF(OR(E4228="",E4228="!!!",F4228="NEW"),"",INDEX(J$1:J4227,SUMPRODUCT(MAX(ROW(E$1:E4227)*(E4228=E$1:E4227)))))</f>
        <v> </v>
      </c>
      <c r="L4228" s="27"/>
    </row>
    <row r="4229" spans="1:12">
      <c r="A4229" s="20" t="s">
        <v>1166</v>
      </c>
      <c r="E4229" s="22">
        <f>IF(D4229="?OLD","!!!","")</f>
        <v/>
      </c>
      <c r="F4229" s="23" t="str">
        <f>IF(OR(E4229="",E4229="!!!"),"",IF(NOT(ISNA(VLOOKUP(E4229,E$1:E4228,1,FALSE()))),"OLD",IF(AND(E4229&lt;&gt;"",E4229&lt;&gt;"!!!"),"NEW","")))</f>
        <v> </v>
      </c>
      <c r="G4229" s="24" t="str">
        <f>IF(OR(E4229="",E4229="!!!"),"",IF(OR(J4229=0,AND(J4229=1,K4229=1),AND(J4229=1,I4229="SBJ"),AND(J4229=1,I4229=0)),"?IN_FOCUS",IF(J4229&lt;=2,"?ACTIVATED",IF(J4229&lt;&gt;"","?FAMILIAR",IF(F4229="NEW",IF(ISNA(VLOOKUP(E4229,#REF!,1,FALSE())),"?TYPE_IDENTIFIABLE","?REFERENTIAL"),"_")))))</f>
        <v> </v>
      </c>
      <c r="H4229" s="25" t="str">
        <f>IF(J4229&lt;&gt;1,"",IF(I4229="SBJ","CB","?"))</f>
        <v> </v>
      </c>
      <c r="I4229" s="26" t="str">
        <f>IF(OR(E4229="",E4229="!!!",F4229="NEW"),"",INDEX(B4228:B$2,-1+SUMPRODUCT(MAX(ROW(E4228:E$2)*(E4229=E4228:E$2)))))</f>
        <v> </v>
      </c>
      <c r="J4229" s="26" t="str">
        <f>IF(OR(E4229="",E4229="!!!",F4229="NEW"),"",COUNTBLANK(OFFSET(A$1,,,SUMPRODUCT(MAX(ROW(E$2:E4229)*(E4229=E$2:E4229)))))-COUNTBLANK(OFFSET(A$1,,,SUMPRODUCT(MAX(ROW(E$1:E4228)*(E2=E$1:E4228))))))</f>
        <v> </v>
      </c>
      <c r="K4229" s="26" t="str">
        <f>IF(OR(E4229="",E4229="!!!",F4229="NEW"),"",INDEX(J$1:J4228,SUMPRODUCT(MAX(ROW(E$1:E4228)*(E4229=E$1:E4228)))))</f>
        <v> </v>
      </c>
      <c r="L4229" s="27"/>
    </row>
    <row r="4230" spans="1:12">
      <c r="A4230" s="20" t="s">
        <v>1298</v>
      </c>
      <c r="E4230" s="22">
        <f>IF(D4230="?OLD","!!!","")</f>
        <v/>
      </c>
      <c r="F4230" s="23" t="str">
        <f>IF(OR(E4230="",E4230="!!!"),"",IF(NOT(ISNA(VLOOKUP(E4230,E$1:E4229,1,FALSE()))),"OLD",IF(AND(E4230&lt;&gt;"",E4230&lt;&gt;"!!!"),"NEW","")))</f>
        <v> </v>
      </c>
      <c r="G4230" s="24" t="str">
        <f>IF(OR(E4230="",E4230="!!!"),"",IF(OR(J4230=0,AND(J4230=1,K4230=1),AND(J4230=1,I4230="SBJ"),AND(J4230=1,I4230=0)),"?IN_FOCUS",IF(J4230&lt;=2,"?ACTIVATED",IF(J4230&lt;&gt;"","?FAMILIAR",IF(F4230="NEW",IF(ISNA(VLOOKUP(E4230,#REF!,1,FALSE())),"?TYPE_IDENTIFIABLE","?REFERENTIAL"),"_")))))</f>
        <v> </v>
      </c>
      <c r="H4230" s="25" t="str">
        <f>IF(J4230&lt;&gt;1,"",IF(I4230="SBJ","CB","?"))</f>
        <v> </v>
      </c>
      <c r="I4230" s="26" t="str">
        <f>IF(OR(E4230="",E4230="!!!",F4230="NEW"),"",INDEX(B4229:B$2,-1+SUMPRODUCT(MAX(ROW(E4229:E$2)*(E4230=E4229:E$2)))))</f>
        <v> </v>
      </c>
      <c r="J4230" s="26" t="str">
        <f>IF(OR(E4230="",E4230="!!!",F4230="NEW"),"",COUNTBLANK(OFFSET(A$1,,,SUMPRODUCT(MAX(ROW(E$2:E4230)*(E4230=E$2:E4230)))))-COUNTBLANK(OFFSET(A$1,,,SUMPRODUCT(MAX(ROW(E$1:E4229)*(E2=E$1:E4229))))))</f>
        <v> </v>
      </c>
      <c r="K4230" s="26" t="str">
        <f>IF(OR(E4230="",E4230="!!!",F4230="NEW"),"",INDEX(J$1:J4229,SUMPRODUCT(MAX(ROW(E$1:E4229)*(E4230=E$1:E4229)))))</f>
        <v> </v>
      </c>
      <c r="L4230" s="27"/>
    </row>
    <row r="4231" spans="1:12">
      <c r="A4231" s="20" t="s">
        <v>1230</v>
      </c>
      <c r="B4231" s="21" t="s">
        <v>1199</v>
      </c>
      <c r="C4231" s="21" t="s">
        <v>1151</v>
      </c>
      <c r="D4231" s="21" t="s">
        <v>1144</v>
      </c>
      <c r="E4231" s="22">
        <f>IF(D4231="?OLD","!!!","")</f>
        <v/>
      </c>
      <c r="F4231" s="23" t="str">
        <f>IF(OR(E4231="",E4231="!!!"),"",IF(NOT(ISNA(VLOOKUP(E4231,E$1:E4230,1,FALSE()))),"OLD",IF(AND(E4231&lt;&gt;"",E4231&lt;&gt;"!!!"),"NEW","")))</f>
        <v> </v>
      </c>
      <c r="G4231" s="24" t="str">
        <f>IF(OR(E4231="",E4231="!!!"),"",IF(OR(J4231=0,AND(J4231=1,K4231=1),AND(J4231=1,I4231="SBJ"),AND(J4231=1,I4231=0)),"?IN_FOCUS",IF(J4231&lt;=2,"?ACTIVATED",IF(J4231&lt;&gt;"","?FAMILIAR",IF(F4231="NEW",IF(ISNA(VLOOKUP(E4231,#REF!,1,FALSE())),"?TYPE_IDENTIFIABLE","?REFERENTIAL"),"_")))))</f>
        <v> </v>
      </c>
      <c r="H4231" s="25" t="str">
        <f>IF(J4231&lt;&gt;1,"",IF(I4231="SBJ","CB","?"))</f>
        <v> </v>
      </c>
      <c r="I4231" s="26" t="str">
        <f>IF(OR(E4231="",E4231="!!!",F4231="NEW"),"",INDEX(B4230:B$2,-1+SUMPRODUCT(MAX(ROW(E4230:E$2)*(E4231=E4230:E$2)))))</f>
        <v> </v>
      </c>
      <c r="J4231" s="26" t="str">
        <f>IF(OR(E4231="",E4231="!!!",F4231="NEW"),"",COUNTBLANK(OFFSET(A$1,,,SUMPRODUCT(MAX(ROW(E$2:E4231)*(E4231=E$2:E4231)))))-COUNTBLANK(OFFSET(A$1,,,SUMPRODUCT(MAX(ROW(E$1:E4230)*(E2=E$1:E4230))))))</f>
        <v> </v>
      </c>
      <c r="K4231" s="26" t="str">
        <f>IF(OR(E4231="",E4231="!!!",F4231="NEW"),"",INDEX(J$1:J4230,SUMPRODUCT(MAX(ROW(E$1:E4230)*(E4231=E$1:E4230)))))</f>
        <v> </v>
      </c>
      <c r="L4231" s="27"/>
    </row>
    <row r="4232" spans="1:12">
      <c r="A4232" s="20" t="s">
        <v>1308</v>
      </c>
      <c r="B4232" s="21" t="s">
        <v>1244</v>
      </c>
      <c r="C4232" s="21" t="s">
        <v>1182</v>
      </c>
      <c r="E4232" s="22">
        <f>IF(D4232="?OLD","!!!","")</f>
        <v/>
      </c>
      <c r="F4232" s="23" t="str">
        <f>IF(OR(E4232="",E4232="!!!"),"",IF(NOT(ISNA(VLOOKUP(E4232,E$1:E4231,1,FALSE()))),"OLD",IF(AND(E4232&lt;&gt;"",E4232&lt;&gt;"!!!"),"NEW","")))</f>
        <v> </v>
      </c>
      <c r="G4232" s="24" t="str">
        <f>IF(OR(E4232="",E4232="!!!"),"",IF(OR(J4232=0,AND(J4232=1,K4232=1),AND(J4232=1,I4232="SBJ"),AND(J4232=1,I4232=0)),"?IN_FOCUS",IF(J4232&lt;=2,"?ACTIVATED",IF(J4232&lt;&gt;"","?FAMILIAR",IF(F4232="NEW",IF(ISNA(VLOOKUP(E4232,#REF!,1,FALSE())),"?TYPE_IDENTIFIABLE","?REFERENTIAL"),"_")))))</f>
        <v> </v>
      </c>
      <c r="H4232" s="25" t="str">
        <f>IF(J4232&lt;&gt;1,"",IF(I4232="SBJ","CB","?"))</f>
        <v> </v>
      </c>
      <c r="I4232" s="26" t="str">
        <f>IF(OR(E4232="",E4232="!!!",F4232="NEW"),"",INDEX(B4231:B$2,-1+SUMPRODUCT(MAX(ROW(E4231:E$2)*(E4232=E4231:E$2)))))</f>
        <v> </v>
      </c>
      <c r="J4232" s="26" t="str">
        <f>IF(OR(E4232="",E4232="!!!",F4232="NEW"),"",COUNTBLANK(OFFSET(A$1,,,SUMPRODUCT(MAX(ROW(E$2:E4232)*(E4232=E$2:E4232)))))-COUNTBLANK(OFFSET(A$1,,,SUMPRODUCT(MAX(ROW(E$1:E4231)*(E2=E$1:E4231))))))</f>
        <v> </v>
      </c>
      <c r="K4232" s="26" t="str">
        <f>IF(OR(E4232="",E4232="!!!",F4232="NEW"),"",INDEX(J$1:J4231,SUMPRODUCT(MAX(ROW(E$1:E4231)*(E4232=E$1:E4231)))))</f>
        <v> </v>
      </c>
      <c r="L4232" s="27"/>
    </row>
    <row r="4233" spans="1:12">
      <c r="A4233" s="20" t="s">
        <v>1159</v>
      </c>
      <c r="E4233" s="22">
        <f>IF(D4233="?OLD","!!!","")</f>
        <v/>
      </c>
      <c r="F4233" s="23" t="str">
        <f>IF(OR(E4233="",E4233="!!!"),"",IF(NOT(ISNA(VLOOKUP(E4233,E$1:E4232,1,FALSE()))),"OLD",IF(AND(E4233&lt;&gt;"",E4233&lt;&gt;"!!!"),"NEW","")))</f>
        <v> </v>
      </c>
      <c r="G4233" s="24" t="str">
        <f>IF(OR(E4233="",E4233="!!!"),"",IF(OR(J4233=0,AND(J4233=1,K4233=1),AND(J4233=1,I4233="SBJ"),AND(J4233=1,I4233=0)),"?IN_FOCUS",IF(J4233&lt;=2,"?ACTIVATED",IF(J4233&lt;&gt;"","?FAMILIAR",IF(F4233="NEW",IF(ISNA(VLOOKUP(E4233,#REF!,1,FALSE())),"?TYPE_IDENTIFIABLE","?REFERENTIAL"),"_")))))</f>
        <v> </v>
      </c>
      <c r="H4233" s="25" t="str">
        <f>IF(J4233&lt;&gt;1,"",IF(I4233="SBJ","CB","?"))</f>
        <v> </v>
      </c>
      <c r="I4233" s="26" t="str">
        <f>IF(OR(E4233="",E4233="!!!",F4233="NEW"),"",INDEX(B4232:B$2,-1+SUMPRODUCT(MAX(ROW(E4232:E$2)*(E4233=E4232:E$2)))))</f>
        <v> </v>
      </c>
      <c r="J4233" s="26" t="str">
        <f>IF(OR(E4233="",E4233="!!!",F4233="NEW"),"",COUNTBLANK(OFFSET(A$1,,,SUMPRODUCT(MAX(ROW(E$2:E4233)*(E4233=E$2:E4233)))))-COUNTBLANK(OFFSET(A$1,,,SUMPRODUCT(MAX(ROW(E$1:E4232)*(E2=E$1:E4232))))))</f>
        <v> </v>
      </c>
      <c r="K4233" s="26" t="str">
        <f>IF(OR(E4233="",E4233="!!!",F4233="NEW"),"",INDEX(J$1:J4232,SUMPRODUCT(MAX(ROW(E$1:E4232)*(E4233=E$1:E4232)))))</f>
        <v> </v>
      </c>
      <c r="L4233" s="27"/>
    </row>
    <row r="4234" spans="1:12">
      <c r="A4234" s="20" t="s">
        <v>2375</v>
      </c>
      <c r="B4234" s="21" t="s">
        <v>1181</v>
      </c>
      <c r="C4234" s="21" t="s">
        <v>1162</v>
      </c>
      <c r="D4234" s="21" t="s">
        <v>1144</v>
      </c>
      <c r="E4234" s="22">
        <f>IF(D4234="?OLD","!!!","")</f>
        <v/>
      </c>
      <c r="F4234" s="23" t="str">
        <f>IF(OR(E4234="",E4234="!!!"),"",IF(NOT(ISNA(VLOOKUP(E4234,E$1:E4233,1,FALSE()))),"OLD",IF(AND(E4234&lt;&gt;"",E4234&lt;&gt;"!!!"),"NEW","")))</f>
        <v> </v>
      </c>
      <c r="G4234" s="24" t="str">
        <f>IF(OR(E4234="",E4234="!!!"),"",IF(OR(J4234=0,AND(J4234=1,K4234=1),AND(J4234=1,I4234="SBJ"),AND(J4234=1,I4234=0)),"?IN_FOCUS",IF(J4234&lt;=2,"?ACTIVATED",IF(J4234&lt;&gt;"","?FAMILIAR",IF(F4234="NEW",IF(ISNA(VLOOKUP(E4234,#REF!,1,FALSE())),"?TYPE_IDENTIFIABLE","?REFERENTIAL"),"_")))))</f>
        <v> </v>
      </c>
      <c r="H4234" s="25" t="str">
        <f>IF(J4234&lt;&gt;1,"",IF(I4234="SBJ","CB","?"))</f>
        <v> </v>
      </c>
      <c r="I4234" s="26" t="str">
        <f>IF(OR(E4234="",E4234="!!!",F4234="NEW"),"",INDEX(B4233:B$2,-1+SUMPRODUCT(MAX(ROW(E4233:E$2)*(E4234=E4233:E$2)))))</f>
        <v> </v>
      </c>
      <c r="J4234" s="26" t="str">
        <f>IF(OR(E4234="",E4234="!!!",F4234="NEW"),"",COUNTBLANK(OFFSET(A$1,,,SUMPRODUCT(MAX(ROW(E$2:E4234)*(E4234=E$2:E4234)))))-COUNTBLANK(OFFSET(A$1,,,SUMPRODUCT(MAX(ROW(E$1:E4233)*(E2=E$1:E4233))))))</f>
        <v> </v>
      </c>
      <c r="K4234" s="26" t="str">
        <f>IF(OR(E4234="",E4234="!!!",F4234="NEW"),"",INDEX(J$1:J4233,SUMPRODUCT(MAX(ROW(E$1:E4233)*(E4234=E$1:E4233)))))</f>
        <v> </v>
      </c>
      <c r="L4234" s="27"/>
    </row>
    <row r="4235" spans="1:12">
      <c r="A4235" s="20" t="s">
        <v>2218</v>
      </c>
      <c r="E4235" s="22">
        <f>IF(D4235="?OLD","!!!","")</f>
        <v/>
      </c>
      <c r="F4235" s="23" t="str">
        <f>IF(OR(E4235="",E4235="!!!"),"",IF(NOT(ISNA(VLOOKUP(E4235,E$1:E4234,1,FALSE()))),"OLD",IF(AND(E4235&lt;&gt;"",E4235&lt;&gt;"!!!"),"NEW","")))</f>
        <v> </v>
      </c>
      <c r="G4235" s="24" t="str">
        <f>IF(OR(E4235="",E4235="!!!"),"",IF(OR(J4235=0,AND(J4235=1,K4235=1),AND(J4235=1,I4235="SBJ"),AND(J4235=1,I4235=0)),"?IN_FOCUS",IF(J4235&lt;=2,"?ACTIVATED",IF(J4235&lt;&gt;"","?FAMILIAR",IF(F4235="NEW",IF(ISNA(VLOOKUP(E4235,#REF!,1,FALSE())),"?TYPE_IDENTIFIABLE","?REFERENTIAL"),"_")))))</f>
        <v> </v>
      </c>
      <c r="H4235" s="25" t="str">
        <f>IF(J4235&lt;&gt;1,"",IF(I4235="SBJ","CB","?"))</f>
        <v> </v>
      </c>
      <c r="I4235" s="26" t="str">
        <f>IF(OR(E4235="",E4235="!!!",F4235="NEW"),"",INDEX(B4234:B$2,-1+SUMPRODUCT(MAX(ROW(E4234:E$2)*(E4235=E4234:E$2)))))</f>
        <v> </v>
      </c>
      <c r="J4235" s="26" t="str">
        <f>IF(OR(E4235="",E4235="!!!",F4235="NEW"),"",COUNTBLANK(OFFSET(A$1,,,SUMPRODUCT(MAX(ROW(E$2:E4235)*(E4235=E$2:E4235)))))-COUNTBLANK(OFFSET(A$1,,,SUMPRODUCT(MAX(ROW(E$1:E4234)*(E2=E$1:E4234))))))</f>
        <v> </v>
      </c>
      <c r="K4235" s="26" t="str">
        <f>IF(OR(E4235="",E4235="!!!",F4235="NEW"),"",INDEX(J$1:J4234,SUMPRODUCT(MAX(ROW(E$1:E4234)*(E4235=E$1:E4234)))))</f>
        <v> </v>
      </c>
      <c r="L4235" s="27"/>
    </row>
    <row r="4236" spans="1:12">
      <c r="A4236" s="20" t="s">
        <v>1166</v>
      </c>
      <c r="E4236" s="22">
        <f>IF(D4236="?OLD","!!!","")</f>
        <v/>
      </c>
      <c r="F4236" s="23" t="str">
        <f>IF(OR(E4236="",E4236="!!!"),"",IF(NOT(ISNA(VLOOKUP(E4236,E$1:E4235,1,FALSE()))),"OLD",IF(AND(E4236&lt;&gt;"",E4236&lt;&gt;"!!!"),"NEW","")))</f>
        <v> </v>
      </c>
      <c r="G4236" s="24" t="str">
        <f>IF(OR(E4236="",E4236="!!!"),"",IF(OR(J4236=0,AND(J4236=1,K4236=1),AND(J4236=1,I4236="SBJ"),AND(J4236=1,I4236=0)),"?IN_FOCUS",IF(J4236&lt;=2,"?ACTIVATED",IF(J4236&lt;&gt;"","?FAMILIAR",IF(F4236="NEW",IF(ISNA(VLOOKUP(E4236,#REF!,1,FALSE())),"?TYPE_IDENTIFIABLE","?REFERENTIAL"),"_")))))</f>
        <v> </v>
      </c>
      <c r="H4236" s="25" t="str">
        <f>IF(J4236&lt;&gt;1,"",IF(I4236="SBJ","CB","?"))</f>
        <v> </v>
      </c>
      <c r="I4236" s="26" t="str">
        <f>IF(OR(E4236="",E4236="!!!",F4236="NEW"),"",INDEX(B4235:B$2,-1+SUMPRODUCT(MAX(ROW(E4235:E$2)*(E4236=E4235:E$2)))))</f>
        <v> </v>
      </c>
      <c r="J4236" s="26" t="str">
        <f>IF(OR(E4236="",E4236="!!!",F4236="NEW"),"",COUNTBLANK(OFFSET(A$1,,,SUMPRODUCT(MAX(ROW(E$2:E4236)*(E4236=E$2:E4236)))))-COUNTBLANK(OFFSET(A$1,,,SUMPRODUCT(MAX(ROW(E$1:E4235)*(E2=E$1:E4235))))))</f>
        <v> </v>
      </c>
      <c r="K4236" s="26" t="str">
        <f>IF(OR(E4236="",E4236="!!!",F4236="NEW"),"",INDEX(J$1:J4235,SUMPRODUCT(MAX(ROW(E$1:E4235)*(E4236=E$1:E4235)))))</f>
        <v> </v>
      </c>
      <c r="L4236" s="27"/>
    </row>
    <row r="4237" spans="1:12">
      <c r="A4237" s="20" t="s">
        <v>1164</v>
      </c>
      <c r="B4237" s="21" t="s">
        <v>1204</v>
      </c>
      <c r="C4237" s="21" t="s">
        <v>1151</v>
      </c>
      <c r="D4237" s="21" t="s">
        <v>1144</v>
      </c>
      <c r="E4237" s="22">
        <f>IF(D4237="?OLD","!!!","")</f>
        <v/>
      </c>
      <c r="F4237" s="23" t="str">
        <f>IF(OR(E4237="",E4237="!!!"),"",IF(NOT(ISNA(VLOOKUP(E4237,E$1:E4236,1,FALSE()))),"OLD",IF(AND(E4237&lt;&gt;"",E4237&lt;&gt;"!!!"),"NEW","")))</f>
        <v> </v>
      </c>
      <c r="G4237" s="24" t="str">
        <f>IF(OR(E4237="",E4237="!!!"),"",IF(OR(J4237=0,AND(J4237=1,K4237=1),AND(J4237=1,I4237="SBJ"),AND(J4237=1,I4237=0)),"?IN_FOCUS",IF(J4237&lt;=2,"?ACTIVATED",IF(J4237&lt;&gt;"","?FAMILIAR",IF(F4237="NEW",IF(ISNA(VLOOKUP(E4237,#REF!,1,FALSE())),"?TYPE_IDENTIFIABLE","?REFERENTIAL"),"_")))))</f>
        <v> </v>
      </c>
      <c r="H4237" s="25" t="str">
        <f>IF(J4237&lt;&gt;1,"",IF(I4237="SBJ","CB","?"))</f>
        <v> </v>
      </c>
      <c r="I4237" s="26" t="str">
        <f>IF(OR(E4237="",E4237="!!!",F4237="NEW"),"",INDEX(B4236:B$2,-1+SUMPRODUCT(MAX(ROW(E4236:E$2)*(E4237=E4236:E$2)))))</f>
        <v> </v>
      </c>
      <c r="J4237" s="26" t="str">
        <f>IF(OR(E4237="",E4237="!!!",F4237="NEW"),"",COUNTBLANK(OFFSET(A$1,,,SUMPRODUCT(MAX(ROW(E$2:E4237)*(E4237=E$2:E4237)))))-COUNTBLANK(OFFSET(A$1,,,SUMPRODUCT(MAX(ROW(E$1:E4236)*(E2=E$1:E4236))))))</f>
        <v> </v>
      </c>
      <c r="K4237" s="26" t="str">
        <f>IF(OR(E4237="",E4237="!!!",F4237="NEW"),"",INDEX(J$1:J4236,SUMPRODUCT(MAX(ROW(E$1:E4236)*(E4237=E$1:E4236)))))</f>
        <v> </v>
      </c>
      <c r="L4237" s="27"/>
    </row>
    <row r="4238" spans="1:12">
      <c r="A4238" s="20" t="s">
        <v>1260</v>
      </c>
      <c r="E4238" s="22">
        <f>IF(D4238="?OLD","!!!","")</f>
        <v/>
      </c>
      <c r="F4238" s="23" t="str">
        <f>IF(OR(E4238="",E4238="!!!"),"",IF(NOT(ISNA(VLOOKUP(E4238,E$1:E4237,1,FALSE()))),"OLD",IF(AND(E4238&lt;&gt;"",E4238&lt;&gt;"!!!"),"NEW","")))</f>
        <v> </v>
      </c>
      <c r="G4238" s="24" t="str">
        <f>IF(OR(E4238="",E4238="!!!"),"",IF(OR(J4238=0,AND(J4238=1,K4238=1),AND(J4238=1,I4238="SBJ"),AND(J4238=1,I4238=0)),"?IN_FOCUS",IF(J4238&lt;=2,"?ACTIVATED",IF(J4238&lt;&gt;"","?FAMILIAR",IF(F4238="NEW",IF(ISNA(VLOOKUP(E4238,#REF!,1,FALSE())),"?TYPE_IDENTIFIABLE","?REFERENTIAL"),"_")))))</f>
        <v> </v>
      </c>
      <c r="H4238" s="25" t="str">
        <f>IF(J4238&lt;&gt;1,"",IF(I4238="SBJ","CB","?"))</f>
        <v> </v>
      </c>
      <c r="I4238" s="26" t="str">
        <f>IF(OR(E4238="",E4238="!!!",F4238="NEW"),"",INDEX(B4237:B$2,-1+SUMPRODUCT(MAX(ROW(E4237:E$2)*(E4238=E4237:E$2)))))</f>
        <v> </v>
      </c>
      <c r="J4238" s="26" t="str">
        <f>IF(OR(E4238="",E4238="!!!",F4238="NEW"),"",COUNTBLANK(OFFSET(A$1,,,SUMPRODUCT(MAX(ROW(E$2:E4238)*(E4238=E$2:E4238)))))-COUNTBLANK(OFFSET(A$1,,,SUMPRODUCT(MAX(ROW(E$1:E4237)*(E2=E$1:E4237))))))</f>
        <v> </v>
      </c>
      <c r="K4238" s="26" t="str">
        <f>IF(OR(E4238="",E4238="!!!",F4238="NEW"),"",INDEX(J$1:J4237,SUMPRODUCT(MAX(ROW(E$1:E4237)*(E4238=E$1:E4237)))))</f>
        <v> </v>
      </c>
      <c r="L4238" s="27"/>
    </row>
    <row r="4239" spans="1:12">
      <c r="A4239" s="20" t="s">
        <v>1308</v>
      </c>
      <c r="E4239" s="22">
        <f>IF(D4239="?OLD","!!!","")</f>
        <v/>
      </c>
      <c r="F4239" s="23" t="str">
        <f>IF(OR(E4239="",E4239="!!!"),"",IF(NOT(ISNA(VLOOKUP(E4239,E$1:E4238,1,FALSE()))),"OLD",IF(AND(E4239&lt;&gt;"",E4239&lt;&gt;"!!!"),"NEW","")))</f>
        <v> </v>
      </c>
      <c r="G4239" s="24" t="str">
        <f>IF(OR(E4239="",E4239="!!!"),"",IF(OR(J4239=0,AND(J4239=1,K4239=1),AND(J4239=1,I4239="SBJ"),AND(J4239=1,I4239=0)),"?IN_FOCUS",IF(J4239&lt;=2,"?ACTIVATED",IF(J4239&lt;&gt;"","?FAMILIAR",IF(F4239="NEW",IF(ISNA(VLOOKUP(E4239,#REF!,1,FALSE())),"?TYPE_IDENTIFIABLE","?REFERENTIAL"),"_")))))</f>
        <v> </v>
      </c>
      <c r="H4239" s="25" t="str">
        <f>IF(J4239&lt;&gt;1,"",IF(I4239="SBJ","CB","?"))</f>
        <v> </v>
      </c>
      <c r="I4239" s="26" t="str">
        <f>IF(OR(E4239="",E4239="!!!",F4239="NEW"),"",INDEX(B4238:B$2,-1+SUMPRODUCT(MAX(ROW(E4238:E$2)*(E4239=E4238:E$2)))))</f>
        <v> </v>
      </c>
      <c r="J4239" s="26" t="str">
        <f>IF(OR(E4239="",E4239="!!!",F4239="NEW"),"",COUNTBLANK(OFFSET(A$1,,,SUMPRODUCT(MAX(ROW(E$2:E4239)*(E4239=E$2:E4239)))))-COUNTBLANK(OFFSET(A$1,,,SUMPRODUCT(MAX(ROW(E$1:E4238)*(E2=E$1:E4238))))))</f>
        <v> </v>
      </c>
      <c r="K4239" s="26" t="str">
        <f>IF(OR(E4239="",E4239="!!!",F4239="NEW"),"",INDEX(J$1:J4238,SUMPRODUCT(MAX(ROW(E$1:E4238)*(E4239=E$1:E4238)))))</f>
        <v> </v>
      </c>
      <c r="L4239" s="27"/>
    </row>
    <row r="4240" spans="1:12">
      <c r="A4240" s="20" t="s">
        <v>1159</v>
      </c>
      <c r="E4240" s="22">
        <f>IF(D4240="?OLD","!!!","")</f>
        <v/>
      </c>
      <c r="F4240" s="23" t="str">
        <f>IF(OR(E4240="",E4240="!!!"),"",IF(NOT(ISNA(VLOOKUP(E4240,E$1:E4239,1,FALSE()))),"OLD",IF(AND(E4240&lt;&gt;"",E4240&lt;&gt;"!!!"),"NEW","")))</f>
        <v> </v>
      </c>
      <c r="G4240" s="24" t="str">
        <f>IF(OR(E4240="",E4240="!!!"),"",IF(OR(J4240=0,AND(J4240=1,K4240=1),AND(J4240=1,I4240="SBJ"),AND(J4240=1,I4240=0)),"?IN_FOCUS",IF(J4240&lt;=2,"?ACTIVATED",IF(J4240&lt;&gt;"","?FAMILIAR",IF(F4240="NEW",IF(ISNA(VLOOKUP(E4240,#REF!,1,FALSE())),"?TYPE_IDENTIFIABLE","?REFERENTIAL"),"_")))))</f>
        <v> </v>
      </c>
      <c r="H4240" s="25" t="str">
        <f>IF(J4240&lt;&gt;1,"",IF(I4240="SBJ","CB","?"))</f>
        <v> </v>
      </c>
      <c r="I4240" s="26" t="str">
        <f>IF(OR(E4240="",E4240="!!!",F4240="NEW"),"",INDEX(B4239:B$2,-1+SUMPRODUCT(MAX(ROW(E4239:E$2)*(E4240=E4239:E$2)))))</f>
        <v> </v>
      </c>
      <c r="J4240" s="26" t="str">
        <f>IF(OR(E4240="",E4240="!!!",F4240="NEW"),"",COUNTBLANK(OFFSET(A$1,,,SUMPRODUCT(MAX(ROW(E$2:E4240)*(E4240=E$2:E4240)))))-COUNTBLANK(OFFSET(A$1,,,SUMPRODUCT(MAX(ROW(E$1:E4239)*(E2=E$1:E4239))))))</f>
        <v> </v>
      </c>
      <c r="K4240" s="26" t="str">
        <f>IF(OR(E4240="",E4240="!!!",F4240="NEW"),"",INDEX(J$1:J4239,SUMPRODUCT(MAX(ROW(E$1:E4239)*(E4240=E$1:E4239)))))</f>
        <v> </v>
      </c>
      <c r="L4240" s="27"/>
    </row>
    <row r="4241" spans="1:12">
      <c r="A4241" s="20" t="s">
        <v>2375</v>
      </c>
      <c r="B4241" s="21" t="s">
        <v>1242</v>
      </c>
      <c r="C4241" s="21" t="s">
        <v>1162</v>
      </c>
      <c r="D4241" s="21" t="s">
        <v>1144</v>
      </c>
      <c r="E4241" s="22">
        <f>IF(D4241="?OLD","!!!","")</f>
        <v/>
      </c>
      <c r="F4241" s="23" t="str">
        <f>IF(OR(E4241="",E4241="!!!"),"",IF(NOT(ISNA(VLOOKUP(E4241,E$1:E4240,1,FALSE()))),"OLD",IF(AND(E4241&lt;&gt;"",E4241&lt;&gt;"!!!"),"NEW","")))</f>
        <v> </v>
      </c>
      <c r="G4241" s="24" t="str">
        <f>IF(OR(E4241="",E4241="!!!"),"",IF(OR(J4241=0,AND(J4241=1,K4241=1),AND(J4241=1,I4241="SBJ"),AND(J4241=1,I4241=0)),"?IN_FOCUS",IF(J4241&lt;=2,"?ACTIVATED",IF(J4241&lt;&gt;"","?FAMILIAR",IF(F4241="NEW",IF(ISNA(VLOOKUP(E4241,#REF!,1,FALSE())),"?TYPE_IDENTIFIABLE","?REFERENTIAL"),"_")))))</f>
        <v> </v>
      </c>
      <c r="H4241" s="25" t="str">
        <f>IF(J4241&lt;&gt;1,"",IF(I4241="SBJ","CB","?"))</f>
        <v> </v>
      </c>
      <c r="I4241" s="26" t="str">
        <f>IF(OR(E4241="",E4241="!!!",F4241="NEW"),"",INDEX(B4240:B$2,-1+SUMPRODUCT(MAX(ROW(E4240:E$2)*(E4241=E4240:E$2)))))</f>
        <v> </v>
      </c>
      <c r="J4241" s="26" t="str">
        <f>IF(OR(E4241="",E4241="!!!",F4241="NEW"),"",COUNTBLANK(OFFSET(A$1,,,SUMPRODUCT(MAX(ROW(E$2:E4241)*(E4241=E$2:E4241)))))-COUNTBLANK(OFFSET(A$1,,,SUMPRODUCT(MAX(ROW(E$1:E4240)*(E2=E$1:E4240))))))</f>
        <v> </v>
      </c>
      <c r="K4241" s="26" t="str">
        <f>IF(OR(E4241="",E4241="!!!",F4241="NEW"),"",INDEX(J$1:J4240,SUMPRODUCT(MAX(ROW(E$1:E4240)*(E4241=E$1:E4240)))))</f>
        <v> </v>
      </c>
      <c r="L4241" s="27"/>
    </row>
    <row r="4242" spans="1:12">
      <c r="A4242" s="20" t="s">
        <v>1859</v>
      </c>
      <c r="E4242" s="22">
        <f>IF(D4242="?OLD","!!!","")</f>
        <v/>
      </c>
      <c r="F4242" s="23" t="str">
        <f>IF(OR(E4242="",E4242="!!!"),"",IF(NOT(ISNA(VLOOKUP(E4242,E$1:E4241,1,FALSE()))),"OLD",IF(AND(E4242&lt;&gt;"",E4242&lt;&gt;"!!!"),"NEW","")))</f>
        <v> </v>
      </c>
      <c r="G4242" s="24" t="str">
        <f>IF(OR(E4242="",E4242="!!!"),"",IF(OR(J4242=0,AND(J4242=1,K4242=1),AND(J4242=1,I4242="SBJ"),AND(J4242=1,I4242=0)),"?IN_FOCUS",IF(J4242&lt;=2,"?ACTIVATED",IF(J4242&lt;&gt;"","?FAMILIAR",IF(F4242="NEW",IF(ISNA(VLOOKUP(E4242,#REF!,1,FALSE())),"?TYPE_IDENTIFIABLE","?REFERENTIAL"),"_")))))</f>
        <v> </v>
      </c>
      <c r="H4242" s="25" t="str">
        <f>IF(J4242&lt;&gt;1,"",IF(I4242="SBJ","CB","?"))</f>
        <v> </v>
      </c>
      <c r="I4242" s="26" t="str">
        <f>IF(OR(E4242="",E4242="!!!",F4242="NEW"),"",INDEX(B4241:B$2,-1+SUMPRODUCT(MAX(ROW(E4241:E$2)*(E4242=E4241:E$2)))))</f>
        <v> </v>
      </c>
      <c r="J4242" s="26" t="str">
        <f>IF(OR(E4242="",E4242="!!!",F4242="NEW"),"",COUNTBLANK(OFFSET(A$1,,,SUMPRODUCT(MAX(ROW(E$2:E4242)*(E4242=E$2:E4242)))))-COUNTBLANK(OFFSET(A$1,,,SUMPRODUCT(MAX(ROW(E$1:E4241)*(E2=E$1:E4241))))))</f>
        <v> </v>
      </c>
      <c r="K4242" s="26" t="str">
        <f>IF(OR(E4242="",E4242="!!!",F4242="NEW"),"",INDEX(J$1:J4241,SUMPRODUCT(MAX(ROW(E$1:E4241)*(E4242=E$1:E4241)))))</f>
        <v> </v>
      </c>
      <c r="L4242" s="27"/>
    </row>
    <row r="4243" spans="1:12">
      <c r="A4243" s="20" t="s">
        <v>1166</v>
      </c>
      <c r="E4243" s="22">
        <f>IF(D4243="?OLD","!!!","")</f>
        <v/>
      </c>
      <c r="F4243" s="23" t="str">
        <f>IF(OR(E4243="",E4243="!!!"),"",IF(NOT(ISNA(VLOOKUP(E4243,E$1:E4242,1,FALSE()))),"OLD",IF(AND(E4243&lt;&gt;"",E4243&lt;&gt;"!!!"),"NEW","")))</f>
        <v> </v>
      </c>
      <c r="G4243" s="24" t="str">
        <f>IF(OR(E4243="",E4243="!!!"),"",IF(OR(J4243=0,AND(J4243=1,K4243=1),AND(J4243=1,I4243="SBJ"),AND(J4243=1,I4243=0)),"?IN_FOCUS",IF(J4243&lt;=2,"?ACTIVATED",IF(J4243&lt;&gt;"","?FAMILIAR",IF(F4243="NEW",IF(ISNA(VLOOKUP(E4243,#REF!,1,FALSE())),"?TYPE_IDENTIFIABLE","?REFERENTIAL"),"_")))))</f>
        <v> </v>
      </c>
      <c r="H4243" s="25" t="str">
        <f>IF(J4243&lt;&gt;1,"",IF(I4243="SBJ","CB","?"))</f>
        <v> </v>
      </c>
      <c r="I4243" s="26" t="str">
        <f>IF(OR(E4243="",E4243="!!!",F4243="NEW"),"",INDEX(B4242:B$2,-1+SUMPRODUCT(MAX(ROW(E4242:E$2)*(E4243=E4242:E$2)))))</f>
        <v> </v>
      </c>
      <c r="J4243" s="26" t="str">
        <f>IF(OR(E4243="",E4243="!!!",F4243="NEW"),"",COUNTBLANK(OFFSET(A$1,,,SUMPRODUCT(MAX(ROW(E$2:E4243)*(E4243=E$2:E4243)))))-COUNTBLANK(OFFSET(A$1,,,SUMPRODUCT(MAX(ROW(E$1:E4242)*(E2=E$1:E4242))))))</f>
        <v> </v>
      </c>
      <c r="K4243" s="26" t="str">
        <f>IF(OR(E4243="",E4243="!!!",F4243="NEW"),"",INDEX(J$1:J4242,SUMPRODUCT(MAX(ROW(E$1:E4242)*(E4243=E$1:E4242)))))</f>
        <v> </v>
      </c>
      <c r="L4243" s="27"/>
    </row>
    <row r="4244" spans="1:12">
      <c r="A4244" s="20" t="s">
        <v>1414</v>
      </c>
      <c r="E4244" s="22">
        <f>IF(D4244="?OLD","!!!","")</f>
        <v/>
      </c>
      <c r="F4244" s="23" t="str">
        <f>IF(OR(E4244="",E4244="!!!"),"",IF(NOT(ISNA(VLOOKUP(E4244,E$1:E4243,1,FALSE()))),"OLD",IF(AND(E4244&lt;&gt;"",E4244&lt;&gt;"!!!"),"NEW","")))</f>
        <v> </v>
      </c>
      <c r="G4244" s="24" t="str">
        <f>IF(OR(E4244="",E4244="!!!"),"",IF(OR(J4244=0,AND(J4244=1,K4244=1),AND(J4244=1,I4244="SBJ"),AND(J4244=1,I4244=0)),"?IN_FOCUS",IF(J4244&lt;=2,"?ACTIVATED",IF(J4244&lt;&gt;"","?FAMILIAR",IF(F4244="NEW",IF(ISNA(VLOOKUP(E4244,#REF!,1,FALSE())),"?TYPE_IDENTIFIABLE","?REFERENTIAL"),"_")))))</f>
        <v> </v>
      </c>
      <c r="H4244" s="25" t="str">
        <f>IF(J4244&lt;&gt;1,"",IF(I4244="SBJ","CB","?"))</f>
        <v> </v>
      </c>
      <c r="I4244" s="26" t="str">
        <f>IF(OR(E4244="",E4244="!!!",F4244="NEW"),"",INDEX(B4243:B$2,-1+SUMPRODUCT(MAX(ROW(E4243:E$2)*(E4244=E4243:E$2)))))</f>
        <v> </v>
      </c>
      <c r="J4244" s="26" t="str">
        <f>IF(OR(E4244="",E4244="!!!",F4244="NEW"),"",COUNTBLANK(OFFSET(A$1,,,SUMPRODUCT(MAX(ROW(E$2:E4244)*(E4244=E$2:E4244)))))-COUNTBLANK(OFFSET(A$1,,,SUMPRODUCT(MAX(ROW(E$1:E4243)*(E2=E$1:E4243))))))</f>
        <v> </v>
      </c>
      <c r="K4244" s="26" t="str">
        <f>IF(OR(E4244="",E4244="!!!",F4244="NEW"),"",INDEX(J$1:J4243,SUMPRODUCT(MAX(ROW(E$1:E4243)*(E4244=E$1:E4243)))))</f>
        <v> </v>
      </c>
      <c r="L4244" s="27"/>
    </row>
    <row r="4245" spans="1:12">
      <c r="A4245" s="20" t="s">
        <v>1481</v>
      </c>
      <c r="E4245" s="22">
        <f>IF(D4245="?OLD","!!!","")</f>
        <v/>
      </c>
      <c r="F4245" s="23" t="str">
        <f>IF(OR(E4245="",E4245="!!!"),"",IF(NOT(ISNA(VLOOKUP(E4245,E$1:E4244,1,FALSE()))),"OLD",IF(AND(E4245&lt;&gt;"",E4245&lt;&gt;"!!!"),"NEW","")))</f>
        <v> </v>
      </c>
      <c r="G4245" s="24" t="str">
        <f>IF(OR(E4245="",E4245="!!!"),"",IF(OR(J4245=0,AND(J4245=1,K4245=1),AND(J4245=1,I4245="SBJ"),AND(J4245=1,I4245=0)),"?IN_FOCUS",IF(J4245&lt;=2,"?ACTIVATED",IF(J4245&lt;&gt;"","?FAMILIAR",IF(F4245="NEW",IF(ISNA(VLOOKUP(E4245,#REF!,1,FALSE())),"?TYPE_IDENTIFIABLE","?REFERENTIAL"),"_")))))</f>
        <v> </v>
      </c>
      <c r="H4245" s="25" t="str">
        <f>IF(J4245&lt;&gt;1,"",IF(I4245="SBJ","CB","?"))</f>
        <v> </v>
      </c>
      <c r="I4245" s="26" t="str">
        <f>IF(OR(E4245="",E4245="!!!",F4245="NEW"),"",INDEX(B4244:B$2,-1+SUMPRODUCT(MAX(ROW(E4244:E$2)*(E4245=E4244:E$2)))))</f>
        <v> </v>
      </c>
      <c r="J4245" s="26" t="str">
        <f>IF(OR(E4245="",E4245="!!!",F4245="NEW"),"",COUNTBLANK(OFFSET(A$1,,,SUMPRODUCT(MAX(ROW(E$2:E4245)*(E4245=E$2:E4245)))))-COUNTBLANK(OFFSET(A$1,,,SUMPRODUCT(MAX(ROW(E$1:E4244)*(E2=E$1:E4244))))))</f>
        <v> </v>
      </c>
      <c r="K4245" s="26" t="str">
        <f>IF(OR(E4245="",E4245="!!!",F4245="NEW"),"",INDEX(J$1:J4244,SUMPRODUCT(MAX(ROW(E$1:E4244)*(E4245=E$1:E4244)))))</f>
        <v> </v>
      </c>
      <c r="L4245" s="27"/>
    </row>
    <row r="4246" spans="1:12">
      <c r="A4246" s="20" t="s">
        <v>2376</v>
      </c>
      <c r="B4246" s="21" t="s">
        <v>2370</v>
      </c>
      <c r="C4246" s="21" t="s">
        <v>1162</v>
      </c>
      <c r="D4246" s="21" t="s">
        <v>1144</v>
      </c>
      <c r="E4246" s="22">
        <f>IF(D4246="?OLD","!!!","")</f>
        <v/>
      </c>
      <c r="F4246" s="23" t="str">
        <f>IF(OR(E4246="",E4246="!!!"),"",IF(NOT(ISNA(VLOOKUP(E4246,E$1:E4245,1,FALSE()))),"OLD",IF(AND(E4246&lt;&gt;"",E4246&lt;&gt;"!!!"),"NEW","")))</f>
        <v> </v>
      </c>
      <c r="G4246" s="24" t="str">
        <f>IF(OR(E4246="",E4246="!!!"),"",IF(OR(J4246=0,AND(J4246=1,K4246=1),AND(J4246=1,I4246="SBJ"),AND(J4246=1,I4246=0)),"?IN_FOCUS",IF(J4246&lt;=2,"?ACTIVATED",IF(J4246&lt;&gt;"","?FAMILIAR",IF(F4246="NEW",IF(ISNA(VLOOKUP(E4246,#REF!,1,FALSE())),"?TYPE_IDENTIFIABLE","?REFERENTIAL"),"_")))))</f>
        <v> </v>
      </c>
      <c r="H4246" s="25" t="str">
        <f>IF(J4246&lt;&gt;1,"",IF(I4246="SBJ","CB","?"))</f>
        <v> </v>
      </c>
      <c r="I4246" s="26" t="str">
        <f>IF(OR(E4246="",E4246="!!!",F4246="NEW"),"",INDEX(B4245:B$2,-1+SUMPRODUCT(MAX(ROW(E4245:E$2)*(E4246=E4245:E$2)))))</f>
        <v> </v>
      </c>
      <c r="J4246" s="26" t="str">
        <f>IF(OR(E4246="",E4246="!!!",F4246="NEW"),"",COUNTBLANK(OFFSET(A$1,,,SUMPRODUCT(MAX(ROW(E$2:E4246)*(E4246=E$2:E4246)))))-COUNTBLANK(OFFSET(A$1,,,SUMPRODUCT(MAX(ROW(E$1:E4245)*(E2=E$1:E4245))))))</f>
        <v> </v>
      </c>
      <c r="K4246" s="26" t="str">
        <f>IF(OR(E4246="",E4246="!!!",F4246="NEW"),"",INDEX(J$1:J4245,SUMPRODUCT(MAX(ROW(E$1:E4245)*(E4246=E$1:E4245)))))</f>
        <v> </v>
      </c>
      <c r="L4246" s="27"/>
    </row>
    <row r="4247" spans="1:12">
      <c r="A4247" s="20" t="s">
        <v>1275</v>
      </c>
      <c r="E4247" s="22">
        <f>IF(D4247="?OLD","!!!","")</f>
        <v/>
      </c>
      <c r="F4247" s="23" t="str">
        <f>IF(OR(E4247="",E4247="!!!"),"",IF(NOT(ISNA(VLOOKUP(E4247,E$1:E4246,1,FALSE()))),"OLD",IF(AND(E4247&lt;&gt;"",E4247&lt;&gt;"!!!"),"NEW","")))</f>
        <v> </v>
      </c>
      <c r="G4247" s="24" t="str">
        <f>IF(OR(E4247="",E4247="!!!"),"",IF(OR(J4247=0,AND(J4247=1,K4247=1),AND(J4247=1,I4247="SBJ"),AND(J4247=1,I4247=0)),"?IN_FOCUS",IF(J4247&lt;=2,"?ACTIVATED",IF(J4247&lt;&gt;"","?FAMILIAR",IF(F4247="NEW",IF(ISNA(VLOOKUP(E4247,#REF!,1,FALSE())),"?TYPE_IDENTIFIABLE","?REFERENTIAL"),"_")))))</f>
        <v> </v>
      </c>
      <c r="H4247" s="25" t="str">
        <f>IF(J4247&lt;&gt;1,"",IF(I4247="SBJ","CB","?"))</f>
        <v> </v>
      </c>
      <c r="I4247" s="26" t="str">
        <f>IF(OR(E4247="",E4247="!!!",F4247="NEW"),"",INDEX(B4246:B$2,-1+SUMPRODUCT(MAX(ROW(E4246:E$2)*(E4247=E4246:E$2)))))</f>
        <v> </v>
      </c>
      <c r="J4247" s="26" t="str">
        <f>IF(OR(E4247="",E4247="!!!",F4247="NEW"),"",COUNTBLANK(OFFSET(A$1,,,SUMPRODUCT(MAX(ROW(E$2:E4247)*(E4247=E$2:E4247)))))-COUNTBLANK(OFFSET(A$1,,,SUMPRODUCT(MAX(ROW(E$1:E4246)*(E2=E$1:E4246))))))</f>
        <v> </v>
      </c>
      <c r="K4247" s="26" t="str">
        <f>IF(OR(E4247="",E4247="!!!",F4247="NEW"),"",INDEX(J$1:J4246,SUMPRODUCT(MAX(ROW(E$1:E4246)*(E4247=E$1:E4246)))))</f>
        <v> </v>
      </c>
      <c r="L4247" s="27"/>
    </row>
    <row r="4248" spans="1:12">
      <c r="A4248" s="20" t="s">
        <v>2377</v>
      </c>
      <c r="B4248" s="21" t="s">
        <v>2378</v>
      </c>
      <c r="C4248" s="21" t="s">
        <v>1162</v>
      </c>
      <c r="D4248" s="21" t="s">
        <v>1144</v>
      </c>
      <c r="E4248" s="22">
        <f>IF(D4248="?OLD","!!!","")</f>
        <v/>
      </c>
      <c r="F4248" s="23" t="str">
        <f>IF(OR(E4248="",E4248="!!!"),"",IF(NOT(ISNA(VLOOKUP(E4248,E$1:E4247,1,FALSE()))),"OLD",IF(AND(E4248&lt;&gt;"",E4248&lt;&gt;"!!!"),"NEW","")))</f>
        <v> </v>
      </c>
      <c r="G4248" s="24" t="str">
        <f>IF(OR(E4248="",E4248="!!!"),"",IF(OR(J4248=0,AND(J4248=1,K4248=1),AND(J4248=1,I4248="SBJ"),AND(J4248=1,I4248=0)),"?IN_FOCUS",IF(J4248&lt;=2,"?ACTIVATED",IF(J4248&lt;&gt;"","?FAMILIAR",IF(F4248="NEW",IF(ISNA(VLOOKUP(E4248,#REF!,1,FALSE())),"?TYPE_IDENTIFIABLE","?REFERENTIAL"),"_")))))</f>
        <v> </v>
      </c>
      <c r="H4248" s="25" t="str">
        <f>IF(J4248&lt;&gt;1,"",IF(I4248="SBJ","CB","?"))</f>
        <v> </v>
      </c>
      <c r="I4248" s="26" t="str">
        <f>IF(OR(E4248="",E4248="!!!",F4248="NEW"),"",INDEX(B4247:B$2,-1+SUMPRODUCT(MAX(ROW(E4247:E$2)*(E4248=E4247:E$2)))))</f>
        <v> </v>
      </c>
      <c r="J4248" s="26" t="str">
        <f>IF(OR(E4248="",E4248="!!!",F4248="NEW"),"",COUNTBLANK(OFFSET(A$1,,,SUMPRODUCT(MAX(ROW(E$2:E4248)*(E4248=E$2:E4248)))))-COUNTBLANK(OFFSET(A$1,,,SUMPRODUCT(MAX(ROW(E$1:E4247)*(E2=E$1:E4247))))))</f>
        <v> </v>
      </c>
      <c r="K4248" s="26" t="str">
        <f>IF(OR(E4248="",E4248="!!!",F4248="NEW"),"",INDEX(J$1:J4247,SUMPRODUCT(MAX(ROW(E$1:E4247)*(E4248=E$1:E4247)))))</f>
        <v> </v>
      </c>
      <c r="L4248" s="27"/>
    </row>
    <row r="4249" spans="1:12">
      <c r="A4249" s="20" t="s">
        <v>1308</v>
      </c>
      <c r="E4249" s="22">
        <f>IF(D4249="?OLD","!!!","")</f>
        <v/>
      </c>
      <c r="F4249" s="23" t="str">
        <f>IF(OR(E4249="",E4249="!!!"),"",IF(NOT(ISNA(VLOOKUP(E4249,E$1:E4248,1,FALSE()))),"OLD",IF(AND(E4249&lt;&gt;"",E4249&lt;&gt;"!!!"),"NEW","")))</f>
        <v> </v>
      </c>
      <c r="G4249" s="24" t="str">
        <f>IF(OR(E4249="",E4249="!!!"),"",IF(OR(J4249=0,AND(J4249=1,K4249=1),AND(J4249=1,I4249="SBJ"),AND(J4249=1,I4249=0)),"?IN_FOCUS",IF(J4249&lt;=2,"?ACTIVATED",IF(J4249&lt;&gt;"","?FAMILIAR",IF(F4249="NEW",IF(ISNA(VLOOKUP(E4249,#REF!,1,FALSE())),"?TYPE_IDENTIFIABLE","?REFERENTIAL"),"_")))))</f>
        <v> </v>
      </c>
      <c r="H4249" s="25" t="str">
        <f>IF(J4249&lt;&gt;1,"",IF(I4249="SBJ","CB","?"))</f>
        <v> </v>
      </c>
      <c r="I4249" s="26" t="str">
        <f>IF(OR(E4249="",E4249="!!!",F4249="NEW"),"",INDEX(B4248:B$2,-1+SUMPRODUCT(MAX(ROW(E4248:E$2)*(E4249=E4248:E$2)))))</f>
        <v> </v>
      </c>
      <c r="J4249" s="26" t="str">
        <f>IF(OR(E4249="",E4249="!!!",F4249="NEW"),"",COUNTBLANK(OFFSET(A$1,,,SUMPRODUCT(MAX(ROW(E$2:E4249)*(E4249=E$2:E4249)))))-COUNTBLANK(OFFSET(A$1,,,SUMPRODUCT(MAX(ROW(E$1:E4248)*(E2=E$1:E4248))))))</f>
        <v> </v>
      </c>
      <c r="K4249" s="26" t="str">
        <f>IF(OR(E4249="",E4249="!!!",F4249="NEW"),"",INDEX(J$1:J4248,SUMPRODUCT(MAX(ROW(E$1:E4248)*(E4249=E$1:E4248)))))</f>
        <v> </v>
      </c>
      <c r="L4249" s="27"/>
    </row>
    <row r="4250" spans="1:12">
      <c r="A4250" s="20" t="s">
        <v>2379</v>
      </c>
      <c r="E4250" s="22">
        <f>IF(D4250="?OLD","!!!","")</f>
        <v/>
      </c>
      <c r="F4250" s="23" t="str">
        <f>IF(OR(E4250="",E4250="!!!"),"",IF(NOT(ISNA(VLOOKUP(E4250,E$1:E4249,1,FALSE()))),"OLD",IF(AND(E4250&lt;&gt;"",E4250&lt;&gt;"!!!"),"NEW","")))</f>
        <v> </v>
      </c>
      <c r="G4250" s="24" t="str">
        <f>IF(OR(E4250="",E4250="!!!"),"",IF(OR(J4250=0,AND(J4250=1,K4250=1),AND(J4250=1,I4250="SBJ"),AND(J4250=1,I4250=0)),"?IN_FOCUS",IF(J4250&lt;=2,"?ACTIVATED",IF(J4250&lt;&gt;"","?FAMILIAR",IF(F4250="NEW",IF(ISNA(VLOOKUP(E4250,#REF!,1,FALSE())),"?TYPE_IDENTIFIABLE","?REFERENTIAL"),"_")))))</f>
        <v> </v>
      </c>
      <c r="H4250" s="25" t="str">
        <f>IF(J4250&lt;&gt;1,"",IF(I4250="SBJ","CB","?"))</f>
        <v> </v>
      </c>
      <c r="I4250" s="26" t="str">
        <f>IF(OR(E4250="",E4250="!!!",F4250="NEW"),"",INDEX(B4249:B$2,-1+SUMPRODUCT(MAX(ROW(E4249:E$2)*(E4250=E4249:E$2)))))</f>
        <v> </v>
      </c>
      <c r="J4250" s="26" t="str">
        <f>IF(OR(E4250="",E4250="!!!",F4250="NEW"),"",COUNTBLANK(OFFSET(A$1,,,SUMPRODUCT(MAX(ROW(E$2:E4250)*(E4250=E$2:E4250)))))-COUNTBLANK(OFFSET(A$1,,,SUMPRODUCT(MAX(ROW(E$1:E4249)*(E2=E$1:E4249))))))</f>
        <v> </v>
      </c>
      <c r="K4250" s="26" t="str">
        <f>IF(OR(E4250="",E4250="!!!",F4250="NEW"),"",INDEX(J$1:J4249,SUMPRODUCT(MAX(ROW(E$1:E4249)*(E4250=E$1:E4249)))))</f>
        <v> </v>
      </c>
      <c r="L4250" s="27"/>
    </row>
    <row r="4251" spans="1:12">
      <c r="A4251" s="20" t="s">
        <v>312</v>
      </c>
      <c r="E4251" s="22">
        <f>IF(D4251="?OLD","!!!","")</f>
        <v/>
      </c>
      <c r="F4251" s="23" t="str">
        <f>IF(OR(E4251="",E4251="!!!"),"",IF(NOT(ISNA(VLOOKUP(E4251,E$1:E4250,1,FALSE()))),"OLD",IF(AND(E4251&lt;&gt;"",E4251&lt;&gt;"!!!"),"NEW","")))</f>
        <v> </v>
      </c>
      <c r="G4251" s="24" t="str">
        <f>IF(OR(E4251="",E4251="!!!"),"",IF(OR(J4251=0,AND(J4251=1,K4251=1),AND(J4251=1,I4251="SBJ"),AND(J4251=1,I4251=0)),"?IN_FOCUS",IF(J4251&lt;=2,"?ACTIVATED",IF(J4251&lt;&gt;"","?FAMILIAR",IF(F4251="NEW",IF(ISNA(VLOOKUP(E4251,#REF!,1,FALSE())),"?TYPE_IDENTIFIABLE","?REFERENTIAL"),"_")))))</f>
        <v> </v>
      </c>
      <c r="H4251" s="25" t="str">
        <f>IF(J4251&lt;&gt;1,"",IF(I4251="SBJ","CB","?"))</f>
        <v> </v>
      </c>
      <c r="I4251" s="26" t="str">
        <f>IF(OR(E4251="",E4251="!!!",F4251="NEW"),"",INDEX(B4250:B$2,-1+SUMPRODUCT(MAX(ROW(E4250:E$2)*(E4251=E4250:E$2)))))</f>
        <v> </v>
      </c>
      <c r="J4251" s="26" t="str">
        <f>IF(OR(E4251="",E4251="!!!",F4251="NEW"),"",COUNTBLANK(OFFSET(A$1,,,SUMPRODUCT(MAX(ROW(E$2:E4251)*(E4251=E$2:E4251)))))-COUNTBLANK(OFFSET(A$1,,,SUMPRODUCT(MAX(ROW(E$1:E4250)*(E2=E$1:E4250))))))</f>
        <v> </v>
      </c>
      <c r="K4251" s="26" t="str">
        <f>IF(OR(E4251="",E4251="!!!",F4251="NEW"),"",INDEX(J$1:J4250,SUMPRODUCT(MAX(ROW(E$1:E4250)*(E4251=E$1:E4250)))))</f>
        <v> </v>
      </c>
      <c r="L4251" s="27"/>
    </row>
    <row r="4252" spans="1:12">
      <c r="A4252" s="20"/>
    </row>
    <row r="4253" spans="1:12">
      <c r="A4253" s="20" t="s">
        <v>2380</v>
      </c>
    </row>
    <row r="4254" spans="1:12">
      <c r="A4254" s="20" t="s">
        <v>1417</v>
      </c>
      <c r="B4254" s="21" t="s">
        <v>1165</v>
      </c>
      <c r="C4254" s="21" t="s">
        <v>1232</v>
      </c>
      <c r="D4254" s="21" t="s">
        <v>1144</v>
      </c>
      <c r="E4254" s="22">
        <f>IF(D4254="?OLD","!!!","")</f>
        <v/>
      </c>
      <c r="F4254" s="23" t="str">
        <f>IF(OR(E4254="",E4254="!!!"),"",IF(NOT(ISNA(VLOOKUP(E4254,E$1:E4253,1,FALSE()))),"OLD",IF(AND(E4254&lt;&gt;"",E4254&lt;&gt;"!!!"),"NEW","")))</f>
        <v> </v>
      </c>
      <c r="G4254" s="24" t="str">
        <f>IF(OR(E4254="",E4254="!!!"),"",IF(OR(J4254=0,AND(J4254=1,K4254=1),AND(J4254=1,I4254="SBJ"),AND(J4254=1,I4254=0)),"?IN_FOCUS",IF(J4254&lt;=2,"?ACTIVATED",IF(J4254&lt;&gt;"","?FAMILIAR",IF(F4254="NEW",IF(ISNA(VLOOKUP(E4254,#REF!,1,FALSE())),"?TYPE_IDENTIFIABLE","?REFERENTIAL"),"_")))))</f>
        <v> </v>
      </c>
      <c r="H4254" s="25" t="str">
        <f>IF(J4254&lt;&gt;1,"",IF(I4254="SBJ","CB","?"))</f>
        <v> </v>
      </c>
      <c r="I4254" s="26" t="str">
        <f>IF(OR(E4254="",E4254="!!!",F4254="NEW"),"",INDEX(B4253:B$2,-1+SUMPRODUCT(MAX(ROW(E4253:E$2)*(E4254=E4253:E$2)))))</f>
        <v> </v>
      </c>
      <c r="J4254" s="26" t="str">
        <f>IF(OR(E4254="",E4254="!!!",F4254="NEW"),"",COUNTBLANK(OFFSET(A$1,,,SUMPRODUCT(MAX(ROW(E$2:E4254)*(E4254=E$2:E4254)))))-COUNTBLANK(OFFSET(A$1,,,SUMPRODUCT(MAX(ROW(E$1:E4253)*(E2=E$1:E4253))))))</f>
        <v> </v>
      </c>
      <c r="K4254" s="26" t="str">
        <f>IF(OR(E4254="",E4254="!!!",F4254="NEW"),"",INDEX(J$1:J4253,SUMPRODUCT(MAX(ROW(E$1:E4253)*(E4254=E$1:E4253)))))</f>
        <v> </v>
      </c>
      <c r="L4254" s="27"/>
    </row>
    <row r="4255" spans="1:12">
      <c r="A4255" s="20" t="s">
        <v>1301</v>
      </c>
      <c r="E4255" s="22">
        <f>IF(D4255="?OLD","!!!","")</f>
        <v/>
      </c>
      <c r="F4255" s="23" t="str">
        <f>IF(OR(E4255="",E4255="!!!"),"",IF(NOT(ISNA(VLOOKUP(E4255,E$1:E4254,1,FALSE()))),"OLD",IF(AND(E4255&lt;&gt;"",E4255&lt;&gt;"!!!"),"NEW","")))</f>
        <v> </v>
      </c>
      <c r="G4255" s="24" t="str">
        <f>IF(OR(E4255="",E4255="!!!"),"",IF(OR(J4255=0,AND(J4255=1,K4255=1),AND(J4255=1,I4255="SBJ"),AND(J4255=1,I4255=0)),"?IN_FOCUS",IF(J4255&lt;=2,"?ACTIVATED",IF(J4255&lt;&gt;"","?FAMILIAR",IF(F4255="NEW",IF(ISNA(VLOOKUP(E4255,#REF!,1,FALSE())),"?TYPE_IDENTIFIABLE","?REFERENTIAL"),"_")))))</f>
        <v> </v>
      </c>
      <c r="H4255" s="25" t="str">
        <f>IF(J4255&lt;&gt;1,"",IF(I4255="SBJ","CB","?"))</f>
        <v> </v>
      </c>
      <c r="I4255" s="26" t="str">
        <f>IF(OR(E4255="",E4255="!!!",F4255="NEW"),"",INDEX(B4254:B$2,-1+SUMPRODUCT(MAX(ROW(E4254:E$2)*(E4255=E4254:E$2)))))</f>
        <v> </v>
      </c>
      <c r="J4255" s="26" t="str">
        <f>IF(OR(E4255="",E4255="!!!",F4255="NEW"),"",COUNTBLANK(OFFSET(A$1,,,SUMPRODUCT(MAX(ROW(E$2:E4255)*(E4255=E$2:E4255)))))-COUNTBLANK(OFFSET(A$1,,,SUMPRODUCT(MAX(ROW(E$1:E4254)*(E2=E$1:E4254))))))</f>
        <v> </v>
      </c>
      <c r="K4255" s="26" t="str">
        <f>IF(OR(E4255="",E4255="!!!",F4255="NEW"),"",INDEX(J$1:J4254,SUMPRODUCT(MAX(ROW(E$1:E4254)*(E4255=E$1:E4254)))))</f>
        <v> </v>
      </c>
      <c r="L4255" s="27"/>
    </row>
    <row r="4256" spans="1:12">
      <c r="A4256" s="20" t="s">
        <v>1179</v>
      </c>
      <c r="E4256" s="22">
        <f>IF(D4256="?OLD","!!!","")</f>
        <v/>
      </c>
      <c r="F4256" s="23" t="str">
        <f>IF(OR(E4256="",E4256="!!!"),"",IF(NOT(ISNA(VLOOKUP(E4256,E$1:E4255,1,FALSE()))),"OLD",IF(AND(E4256&lt;&gt;"",E4256&lt;&gt;"!!!"),"NEW","")))</f>
        <v> </v>
      </c>
      <c r="G4256" s="24" t="str">
        <f>IF(OR(E4256="",E4256="!!!"),"",IF(OR(J4256=0,AND(J4256=1,K4256=1),AND(J4256=1,I4256="SBJ"),AND(J4256=1,I4256=0)),"?IN_FOCUS",IF(J4256&lt;=2,"?ACTIVATED",IF(J4256&lt;&gt;"","?FAMILIAR",IF(F4256="NEW",IF(ISNA(VLOOKUP(E4256,#REF!,1,FALSE())),"?TYPE_IDENTIFIABLE","?REFERENTIAL"),"_")))))</f>
        <v> </v>
      </c>
      <c r="H4256" s="25" t="str">
        <f>IF(J4256&lt;&gt;1,"",IF(I4256="SBJ","CB","?"))</f>
        <v> </v>
      </c>
      <c r="I4256" s="26" t="str">
        <f>IF(OR(E4256="",E4256="!!!",F4256="NEW"),"",INDEX(B4255:B$2,-1+SUMPRODUCT(MAX(ROW(E4255:E$2)*(E4256=E4255:E$2)))))</f>
        <v> </v>
      </c>
      <c r="J4256" s="26" t="str">
        <f>IF(OR(E4256="",E4256="!!!",F4256="NEW"),"",COUNTBLANK(OFFSET(A$1,,,SUMPRODUCT(MAX(ROW(E$2:E4256)*(E4256=E$2:E4256)))))-COUNTBLANK(OFFSET(A$1,,,SUMPRODUCT(MAX(ROW(E$1:E4255)*(E2=E$1:E4255))))))</f>
        <v> </v>
      </c>
      <c r="K4256" s="26" t="str">
        <f>IF(OR(E4256="",E4256="!!!",F4256="NEW"),"",INDEX(J$1:J4255,SUMPRODUCT(MAX(ROW(E$1:E4255)*(E4256=E$1:E4255)))))</f>
        <v> </v>
      </c>
      <c r="L4256" s="27"/>
    </row>
    <row r="4257" spans="1:12">
      <c r="A4257" s="20" t="s">
        <v>2381</v>
      </c>
      <c r="E4257" s="22">
        <f>IF(D4257="?OLD","!!!","")</f>
        <v/>
      </c>
      <c r="F4257" s="23" t="str">
        <f>IF(OR(E4257="",E4257="!!!"),"",IF(NOT(ISNA(VLOOKUP(E4257,E$1:E4256,1,FALSE()))),"OLD",IF(AND(E4257&lt;&gt;"",E4257&lt;&gt;"!!!"),"NEW","")))</f>
        <v> </v>
      </c>
      <c r="G4257" s="24" t="str">
        <f>IF(OR(E4257="",E4257="!!!"),"",IF(OR(J4257=0,AND(J4257=1,K4257=1),AND(J4257=1,I4257="SBJ"),AND(J4257=1,I4257=0)),"?IN_FOCUS",IF(J4257&lt;=2,"?ACTIVATED",IF(J4257&lt;&gt;"","?FAMILIAR",IF(F4257="NEW",IF(ISNA(VLOOKUP(E4257,#REF!,1,FALSE())),"?TYPE_IDENTIFIABLE","?REFERENTIAL"),"_")))))</f>
        <v> </v>
      </c>
      <c r="H4257" s="25" t="str">
        <f>IF(J4257&lt;&gt;1,"",IF(I4257="SBJ","CB","?"))</f>
        <v> </v>
      </c>
      <c r="I4257" s="26" t="str">
        <f>IF(OR(E4257="",E4257="!!!",F4257="NEW"),"",INDEX(B4256:B$2,-1+SUMPRODUCT(MAX(ROW(E4256:E$2)*(E4257=E4256:E$2)))))</f>
        <v> </v>
      </c>
      <c r="J4257" s="26" t="str">
        <f>IF(OR(E4257="",E4257="!!!",F4257="NEW"),"",COUNTBLANK(OFFSET(A$1,,,SUMPRODUCT(MAX(ROW(E$2:E4257)*(E4257=E$2:E4257)))))-COUNTBLANK(OFFSET(A$1,,,SUMPRODUCT(MAX(ROW(E$1:E4256)*(E2=E$1:E4256))))))</f>
        <v> </v>
      </c>
      <c r="K4257" s="26" t="str">
        <f>IF(OR(E4257="",E4257="!!!",F4257="NEW"),"",INDEX(J$1:J4256,SUMPRODUCT(MAX(ROW(E$1:E4256)*(E4257=E$1:E4256)))))</f>
        <v> </v>
      </c>
      <c r="L4257" s="27"/>
    </row>
    <row r="4258" spans="1:12">
      <c r="A4258" s="20" t="s">
        <v>2382</v>
      </c>
      <c r="B4258" s="21" t="s">
        <v>1161</v>
      </c>
      <c r="C4258" s="21" t="s">
        <v>1155</v>
      </c>
      <c r="E4258" s="22">
        <f>IF(D4258="?OLD","!!!","")</f>
        <v/>
      </c>
      <c r="F4258" s="23" t="str">
        <f>IF(OR(E4258="",E4258="!!!"),"",IF(NOT(ISNA(VLOOKUP(E4258,E$1:E4257,1,FALSE()))),"OLD",IF(AND(E4258&lt;&gt;"",E4258&lt;&gt;"!!!"),"NEW","")))</f>
        <v> </v>
      </c>
      <c r="G4258" s="24" t="str">
        <f>IF(OR(E4258="",E4258="!!!"),"",IF(OR(J4258=0,AND(J4258=1,K4258=1),AND(J4258=1,I4258="SBJ"),AND(J4258=1,I4258=0)),"?IN_FOCUS",IF(J4258&lt;=2,"?ACTIVATED",IF(J4258&lt;&gt;"","?FAMILIAR",IF(F4258="NEW",IF(ISNA(VLOOKUP(E4258,#REF!,1,FALSE())),"?TYPE_IDENTIFIABLE","?REFERENTIAL"),"_")))))</f>
        <v> </v>
      </c>
      <c r="H4258" s="25" t="str">
        <f>IF(J4258&lt;&gt;1,"",IF(I4258="SBJ","CB","?"))</f>
        <v> </v>
      </c>
      <c r="I4258" s="26" t="str">
        <f>IF(OR(E4258="",E4258="!!!",F4258="NEW"),"",INDEX(B4257:B$2,-1+SUMPRODUCT(MAX(ROW(E4257:E$2)*(E4258=E4257:E$2)))))</f>
        <v> </v>
      </c>
      <c r="J4258" s="26" t="str">
        <f>IF(OR(E4258="",E4258="!!!",F4258="NEW"),"",COUNTBLANK(OFFSET(A$1,,,SUMPRODUCT(MAX(ROW(E$2:E4258)*(E4258=E$2:E4258)))))-COUNTBLANK(OFFSET(A$1,,,SUMPRODUCT(MAX(ROW(E$1:E4257)*(E2=E$1:E4257))))))</f>
        <v> </v>
      </c>
      <c r="K4258" s="26" t="str">
        <f>IF(OR(E4258="",E4258="!!!",F4258="NEW"),"",INDEX(J$1:J4257,SUMPRODUCT(MAX(ROW(E$1:E4257)*(E4258=E$1:E4257)))))</f>
        <v> </v>
      </c>
      <c r="L4258" s="27"/>
    </row>
    <row r="4259" spans="1:12">
      <c r="A4259" s="20" t="s">
        <v>1166</v>
      </c>
      <c r="E4259" s="22">
        <f>IF(D4259="?OLD","!!!","")</f>
        <v/>
      </c>
      <c r="F4259" s="23" t="str">
        <f>IF(OR(E4259="",E4259="!!!"),"",IF(NOT(ISNA(VLOOKUP(E4259,E$1:E4258,1,FALSE()))),"OLD",IF(AND(E4259&lt;&gt;"",E4259&lt;&gt;"!!!"),"NEW","")))</f>
        <v> </v>
      </c>
      <c r="G4259" s="24" t="str">
        <f>IF(OR(E4259="",E4259="!!!"),"",IF(OR(J4259=0,AND(J4259=1,K4259=1),AND(J4259=1,I4259="SBJ"),AND(J4259=1,I4259=0)),"?IN_FOCUS",IF(J4259&lt;=2,"?ACTIVATED",IF(J4259&lt;&gt;"","?FAMILIAR",IF(F4259="NEW",IF(ISNA(VLOOKUP(E4259,#REF!,1,FALSE())),"?TYPE_IDENTIFIABLE","?REFERENTIAL"),"_")))))</f>
        <v> </v>
      </c>
      <c r="H4259" s="25" t="str">
        <f>IF(J4259&lt;&gt;1,"",IF(I4259="SBJ","CB","?"))</f>
        <v> </v>
      </c>
      <c r="I4259" s="26" t="str">
        <f>IF(OR(E4259="",E4259="!!!",F4259="NEW"),"",INDEX(B4258:B$2,-1+SUMPRODUCT(MAX(ROW(E4258:E$2)*(E4259=E4258:E$2)))))</f>
        <v> </v>
      </c>
      <c r="J4259" s="26" t="str">
        <f>IF(OR(E4259="",E4259="!!!",F4259="NEW"),"",COUNTBLANK(OFFSET(A$1,,,SUMPRODUCT(MAX(ROW(E$2:E4259)*(E4259=E$2:E4259)))))-COUNTBLANK(OFFSET(A$1,,,SUMPRODUCT(MAX(ROW(E$1:E4258)*(E2=E$1:E4258))))))</f>
        <v> </v>
      </c>
      <c r="K4259" s="26" t="str">
        <f>IF(OR(E4259="",E4259="!!!",F4259="NEW"),"",INDEX(J$1:J4258,SUMPRODUCT(MAX(ROW(E$1:E4258)*(E4259=E$1:E4258)))))</f>
        <v> </v>
      </c>
      <c r="L4259" s="27"/>
    </row>
    <row r="4260" spans="1:12">
      <c r="A4260" s="20" t="s">
        <v>60</v>
      </c>
      <c r="E4260" s="22">
        <f>IF(D4260="?OLD","!!!","")</f>
        <v/>
      </c>
      <c r="F4260" s="23" t="str">
        <f>IF(OR(E4260="",E4260="!!!"),"",IF(NOT(ISNA(VLOOKUP(E4260,E$1:E4259,1,FALSE()))),"OLD",IF(AND(E4260&lt;&gt;"",E4260&lt;&gt;"!!!"),"NEW","")))</f>
        <v> </v>
      </c>
      <c r="G4260" s="24" t="str">
        <f>IF(OR(E4260="",E4260="!!!"),"",IF(OR(J4260=0,AND(J4260=1,K4260=1),AND(J4260=1,I4260="SBJ"),AND(J4260=1,I4260=0)),"?IN_FOCUS",IF(J4260&lt;=2,"?ACTIVATED",IF(J4260&lt;&gt;"","?FAMILIAR",IF(F4260="NEW",IF(ISNA(VLOOKUP(E4260,#REF!,1,FALSE())),"?TYPE_IDENTIFIABLE","?REFERENTIAL"),"_")))))</f>
        <v> </v>
      </c>
      <c r="H4260" s="25" t="str">
        <f>IF(J4260&lt;&gt;1,"",IF(I4260="SBJ","CB","?"))</f>
        <v> </v>
      </c>
      <c r="I4260" s="26" t="str">
        <f>IF(OR(E4260="",E4260="!!!",F4260="NEW"),"",INDEX(B4259:B$2,-1+SUMPRODUCT(MAX(ROW(E4259:E$2)*(E4260=E4259:E$2)))))</f>
        <v> </v>
      </c>
      <c r="J4260" s="26" t="str">
        <f>IF(OR(E4260="",E4260="!!!",F4260="NEW"),"",COUNTBLANK(OFFSET(A$1,,,SUMPRODUCT(MAX(ROW(E$2:E4260)*(E4260=E$2:E4260)))))-COUNTBLANK(OFFSET(A$1,,,SUMPRODUCT(MAX(ROW(E$1:E4259)*(E2=E$1:E4259))))))</f>
        <v> </v>
      </c>
      <c r="K4260" s="26" t="str">
        <f>IF(OR(E4260="",E4260="!!!",F4260="NEW"),"",INDEX(J$1:J4259,SUMPRODUCT(MAX(ROW(E$1:E4259)*(E4260=E$1:E4259)))))</f>
        <v> </v>
      </c>
      <c r="L4260" s="27"/>
    </row>
    <row r="4261" spans="1:12">
      <c r="A4261" s="20" t="s">
        <v>1261</v>
      </c>
      <c r="B4261" s="21" t="s">
        <v>1142</v>
      </c>
      <c r="C4261" s="21" t="s">
        <v>1151</v>
      </c>
      <c r="D4261" s="21" t="s">
        <v>1144</v>
      </c>
      <c r="E4261" s="22">
        <f>IF(D4261="?OLD","!!!","")</f>
        <v/>
      </c>
      <c r="F4261" s="23" t="str">
        <f>IF(OR(E4261="",E4261="!!!"),"",IF(NOT(ISNA(VLOOKUP(E4261,E$1:E4260,1,FALSE()))),"OLD",IF(AND(E4261&lt;&gt;"",E4261&lt;&gt;"!!!"),"NEW","")))</f>
        <v> </v>
      </c>
      <c r="G4261" s="24" t="str">
        <f>IF(OR(E4261="",E4261="!!!"),"",IF(OR(J4261=0,AND(J4261=1,K4261=1),AND(J4261=1,I4261="SBJ"),AND(J4261=1,I4261=0)),"?IN_FOCUS",IF(J4261&lt;=2,"?ACTIVATED",IF(J4261&lt;&gt;"","?FAMILIAR",IF(F4261="NEW",IF(ISNA(VLOOKUP(E4261,#REF!,1,FALSE())),"?TYPE_IDENTIFIABLE","?REFERENTIAL"),"_")))))</f>
        <v> </v>
      </c>
      <c r="H4261" s="25" t="str">
        <f>IF(J4261&lt;&gt;1,"",IF(I4261="SBJ","CB","?"))</f>
        <v> </v>
      </c>
      <c r="I4261" s="26" t="str">
        <f>IF(OR(E4261="",E4261="!!!",F4261="NEW"),"",INDEX(B4260:B$2,-1+SUMPRODUCT(MAX(ROW(E4260:E$2)*(E4261=E4260:E$2)))))</f>
        <v> </v>
      </c>
      <c r="J4261" s="26" t="str">
        <f>IF(OR(E4261="",E4261="!!!",F4261="NEW"),"",COUNTBLANK(OFFSET(A$1,,,SUMPRODUCT(MAX(ROW(E$2:E4261)*(E4261=E$2:E4261)))))-COUNTBLANK(OFFSET(A$1,,,SUMPRODUCT(MAX(ROW(E$1:E4260)*(E2=E$1:E4260))))))</f>
        <v> </v>
      </c>
      <c r="K4261" s="26" t="str">
        <f>IF(OR(E4261="",E4261="!!!",F4261="NEW"),"",INDEX(J$1:J4260,SUMPRODUCT(MAX(ROW(E$1:E4260)*(E4261=E$1:E4260)))))</f>
        <v> </v>
      </c>
      <c r="L4261" s="27"/>
    </row>
    <row r="4262" spans="1:12">
      <c r="A4262" s="20" t="s">
        <v>1301</v>
      </c>
      <c r="E4262" s="22">
        <f>IF(D4262="?OLD","!!!","")</f>
        <v/>
      </c>
      <c r="F4262" s="23" t="str">
        <f>IF(OR(E4262="",E4262="!!!"),"",IF(NOT(ISNA(VLOOKUP(E4262,E$1:E4261,1,FALSE()))),"OLD",IF(AND(E4262&lt;&gt;"",E4262&lt;&gt;"!!!"),"NEW","")))</f>
        <v> </v>
      </c>
      <c r="G4262" s="24" t="str">
        <f>IF(OR(E4262="",E4262="!!!"),"",IF(OR(J4262=0,AND(J4262=1,K4262=1),AND(J4262=1,I4262="SBJ"),AND(J4262=1,I4262=0)),"?IN_FOCUS",IF(J4262&lt;=2,"?ACTIVATED",IF(J4262&lt;&gt;"","?FAMILIAR",IF(F4262="NEW",IF(ISNA(VLOOKUP(E4262,#REF!,1,FALSE())),"?TYPE_IDENTIFIABLE","?REFERENTIAL"),"_")))))</f>
        <v> </v>
      </c>
      <c r="H4262" s="25" t="str">
        <f>IF(J4262&lt;&gt;1,"",IF(I4262="SBJ","CB","?"))</f>
        <v> </v>
      </c>
      <c r="I4262" s="26" t="str">
        <f>IF(OR(E4262="",E4262="!!!",F4262="NEW"),"",INDEX(B4261:B$2,-1+SUMPRODUCT(MAX(ROW(E4261:E$2)*(E4262=E4261:E$2)))))</f>
        <v> </v>
      </c>
      <c r="J4262" s="26" t="str">
        <f>IF(OR(E4262="",E4262="!!!",F4262="NEW"),"",COUNTBLANK(OFFSET(A$1,,,SUMPRODUCT(MAX(ROW(E$2:E4262)*(E4262=E$2:E4262)))))-COUNTBLANK(OFFSET(A$1,,,SUMPRODUCT(MAX(ROW(E$1:E4261)*(E2=E$1:E4261))))))</f>
        <v> </v>
      </c>
      <c r="K4262" s="26" t="str">
        <f>IF(OR(E4262="",E4262="!!!",F4262="NEW"),"",INDEX(J$1:J4261,SUMPRODUCT(MAX(ROW(E$1:E4261)*(E4262=E$1:E4261)))))</f>
        <v> </v>
      </c>
      <c r="L4262" s="27"/>
    </row>
    <row r="4263" spans="1:12">
      <c r="A4263" s="20" t="s">
        <v>1179</v>
      </c>
      <c r="E4263" s="22">
        <f>IF(D4263="?OLD","!!!","")</f>
        <v/>
      </c>
      <c r="F4263" s="23" t="str">
        <f>IF(OR(E4263="",E4263="!!!"),"",IF(NOT(ISNA(VLOOKUP(E4263,E$1:E4262,1,FALSE()))),"OLD",IF(AND(E4263&lt;&gt;"",E4263&lt;&gt;"!!!"),"NEW","")))</f>
        <v> </v>
      </c>
      <c r="G4263" s="24" t="str">
        <f>IF(OR(E4263="",E4263="!!!"),"",IF(OR(J4263=0,AND(J4263=1,K4263=1),AND(J4263=1,I4263="SBJ"),AND(J4263=1,I4263=0)),"?IN_FOCUS",IF(J4263&lt;=2,"?ACTIVATED",IF(J4263&lt;&gt;"","?FAMILIAR",IF(F4263="NEW",IF(ISNA(VLOOKUP(E4263,#REF!,1,FALSE())),"?TYPE_IDENTIFIABLE","?REFERENTIAL"),"_")))))</f>
        <v> </v>
      </c>
      <c r="H4263" s="25" t="str">
        <f>IF(J4263&lt;&gt;1,"",IF(I4263="SBJ","CB","?"))</f>
        <v> </v>
      </c>
      <c r="I4263" s="26" t="str">
        <f>IF(OR(E4263="",E4263="!!!",F4263="NEW"),"",INDEX(B4262:B$2,-1+SUMPRODUCT(MAX(ROW(E4262:E$2)*(E4263=E4262:E$2)))))</f>
        <v> </v>
      </c>
      <c r="J4263" s="26" t="str">
        <f>IF(OR(E4263="",E4263="!!!",F4263="NEW"),"",COUNTBLANK(OFFSET(A$1,,,SUMPRODUCT(MAX(ROW(E$2:E4263)*(E4263=E$2:E4263)))))-COUNTBLANK(OFFSET(A$1,,,SUMPRODUCT(MAX(ROW(E$1:E4262)*(E2=E$1:E4262))))))</f>
        <v> </v>
      </c>
      <c r="K4263" s="26" t="str">
        <f>IF(OR(E4263="",E4263="!!!",F4263="NEW"),"",INDEX(J$1:J4262,SUMPRODUCT(MAX(ROW(E$1:E4262)*(E4263=E$1:E4262)))))</f>
        <v> </v>
      </c>
      <c r="L4263" s="27"/>
    </row>
    <row r="4264" spans="1:12">
      <c r="A4264" s="20" t="s">
        <v>1378</v>
      </c>
      <c r="B4264" s="21" t="s">
        <v>1161</v>
      </c>
      <c r="C4264" s="21" t="s">
        <v>1155</v>
      </c>
      <c r="E4264" s="22">
        <f>IF(D4264="?OLD","!!!","")</f>
        <v/>
      </c>
      <c r="F4264" s="23" t="str">
        <f>IF(OR(E4264="",E4264="!!!"),"",IF(NOT(ISNA(VLOOKUP(E4264,E$1:E4263,1,FALSE()))),"OLD",IF(AND(E4264&lt;&gt;"",E4264&lt;&gt;"!!!"),"NEW","")))</f>
        <v> </v>
      </c>
      <c r="G4264" s="24" t="str">
        <f>IF(OR(E4264="",E4264="!!!"),"",IF(OR(J4264=0,AND(J4264=1,K4264=1),AND(J4264=1,I4264="SBJ"),AND(J4264=1,I4264=0)),"?IN_FOCUS",IF(J4264&lt;=2,"?ACTIVATED",IF(J4264&lt;&gt;"","?FAMILIAR",IF(F4264="NEW",IF(ISNA(VLOOKUP(E4264,#REF!,1,FALSE())),"?TYPE_IDENTIFIABLE","?REFERENTIAL"),"_")))))</f>
        <v> </v>
      </c>
      <c r="H4264" s="25" t="str">
        <f>IF(J4264&lt;&gt;1,"",IF(I4264="SBJ","CB","?"))</f>
        <v> </v>
      </c>
      <c r="I4264" s="26" t="str">
        <f>IF(OR(E4264="",E4264="!!!",F4264="NEW"),"",INDEX(B4263:B$2,-1+SUMPRODUCT(MAX(ROW(E4263:E$2)*(E4264=E4263:E$2)))))</f>
        <v> </v>
      </c>
      <c r="J4264" s="26" t="str">
        <f>IF(OR(E4264="",E4264="!!!",F4264="NEW"),"",COUNTBLANK(OFFSET(A$1,,,SUMPRODUCT(MAX(ROW(E$2:E4264)*(E4264=E$2:E4264)))))-COUNTBLANK(OFFSET(A$1,,,SUMPRODUCT(MAX(ROW(E$1:E4263)*(E2=E$1:E4263))))))</f>
        <v> </v>
      </c>
      <c r="K4264" s="26" t="str">
        <f>IF(OR(E4264="",E4264="!!!",F4264="NEW"),"",INDEX(J$1:J4263,SUMPRODUCT(MAX(ROW(E$1:E4263)*(E4264=E$1:E4263)))))</f>
        <v> </v>
      </c>
      <c r="L4264" s="27"/>
    </row>
    <row r="4265" spans="1:12">
      <c r="A4265" s="20" t="s">
        <v>1166</v>
      </c>
      <c r="E4265" s="22">
        <f>IF(D4265="?OLD","!!!","")</f>
        <v/>
      </c>
      <c r="F4265" s="23" t="str">
        <f>IF(OR(E4265="",E4265="!!!"),"",IF(NOT(ISNA(VLOOKUP(E4265,E$1:E4264,1,FALSE()))),"OLD",IF(AND(E4265&lt;&gt;"",E4265&lt;&gt;"!!!"),"NEW","")))</f>
        <v> </v>
      </c>
      <c r="G4265" s="24" t="str">
        <f>IF(OR(E4265="",E4265="!!!"),"",IF(OR(J4265=0,AND(J4265=1,K4265=1),AND(J4265=1,I4265="SBJ"),AND(J4265=1,I4265=0)),"?IN_FOCUS",IF(J4265&lt;=2,"?ACTIVATED",IF(J4265&lt;&gt;"","?FAMILIAR",IF(F4265="NEW",IF(ISNA(VLOOKUP(E4265,#REF!,1,FALSE())),"?TYPE_IDENTIFIABLE","?REFERENTIAL"),"_")))))</f>
        <v> </v>
      </c>
      <c r="H4265" s="25" t="str">
        <f>IF(J4265&lt;&gt;1,"",IF(I4265="SBJ","CB","?"))</f>
        <v> </v>
      </c>
      <c r="I4265" s="26" t="str">
        <f>IF(OR(E4265="",E4265="!!!",F4265="NEW"),"",INDEX(B4264:B$2,-1+SUMPRODUCT(MAX(ROW(E4264:E$2)*(E4265=E4264:E$2)))))</f>
        <v> </v>
      </c>
      <c r="J4265" s="26" t="str">
        <f>IF(OR(E4265="",E4265="!!!",F4265="NEW"),"",COUNTBLANK(OFFSET(A$1,,,SUMPRODUCT(MAX(ROW(E$2:E4265)*(E4265=E$2:E4265)))))-COUNTBLANK(OFFSET(A$1,,,SUMPRODUCT(MAX(ROW(E$1:E4264)*(E2=E$1:E4264))))))</f>
        <v> </v>
      </c>
      <c r="K4265" s="26" t="str">
        <f>IF(OR(E4265="",E4265="!!!",F4265="NEW"),"",INDEX(J$1:J4264,SUMPRODUCT(MAX(ROW(E$1:E4264)*(E4265=E$1:E4264)))))</f>
        <v> </v>
      </c>
      <c r="L4265" s="27"/>
    </row>
    <row r="4266" spans="1:12">
      <c r="A4266" s="20" t="s">
        <v>1203</v>
      </c>
      <c r="E4266" s="22">
        <f>IF(D4266="?OLD","!!!","")</f>
        <v/>
      </c>
      <c r="F4266" s="23" t="str">
        <f>IF(OR(E4266="",E4266="!!!"),"",IF(NOT(ISNA(VLOOKUP(E4266,E$1:E4265,1,FALSE()))),"OLD",IF(AND(E4266&lt;&gt;"",E4266&lt;&gt;"!!!"),"NEW","")))</f>
        <v> </v>
      </c>
      <c r="G4266" s="24" t="str">
        <f>IF(OR(E4266="",E4266="!!!"),"",IF(OR(J4266=0,AND(J4266=1,K4266=1),AND(J4266=1,I4266="SBJ"),AND(J4266=1,I4266=0)),"?IN_FOCUS",IF(J4266&lt;=2,"?ACTIVATED",IF(J4266&lt;&gt;"","?FAMILIAR",IF(F4266="NEW",IF(ISNA(VLOOKUP(E4266,#REF!,1,FALSE())),"?TYPE_IDENTIFIABLE","?REFERENTIAL"),"_")))))</f>
        <v> </v>
      </c>
      <c r="H4266" s="25" t="str">
        <f>IF(J4266&lt;&gt;1,"",IF(I4266="SBJ","CB","?"))</f>
        <v> </v>
      </c>
      <c r="I4266" s="26" t="str">
        <f>IF(OR(E4266="",E4266="!!!",F4266="NEW"),"",INDEX(B4265:B$2,-1+SUMPRODUCT(MAX(ROW(E4265:E$2)*(E4266=E4265:E$2)))))</f>
        <v> </v>
      </c>
      <c r="J4266" s="26" t="str">
        <f>IF(OR(E4266="",E4266="!!!",F4266="NEW"),"",COUNTBLANK(OFFSET(A$1,,,SUMPRODUCT(MAX(ROW(E$2:E4266)*(E4266=E$2:E4266)))))-COUNTBLANK(OFFSET(A$1,,,SUMPRODUCT(MAX(ROW(E$1:E4265)*(E2=E$1:E4265))))))</f>
        <v> </v>
      </c>
      <c r="K4266" s="26" t="str">
        <f>IF(OR(E4266="",E4266="!!!",F4266="NEW"),"",INDEX(J$1:J4265,SUMPRODUCT(MAX(ROW(E$1:E4265)*(E4266=E$1:E4265)))))</f>
        <v> </v>
      </c>
      <c r="L4266" s="27"/>
    </row>
    <row r="4267" spans="1:12">
      <c r="A4267" s="20" t="s">
        <v>1261</v>
      </c>
      <c r="E4267" s="22">
        <f>IF(D4267="?OLD","!!!","")</f>
        <v/>
      </c>
      <c r="F4267" s="23" t="str">
        <f>IF(OR(E4267="",E4267="!!!"),"",IF(NOT(ISNA(VLOOKUP(E4267,E$1:E4266,1,FALSE()))),"OLD",IF(AND(E4267&lt;&gt;"",E4267&lt;&gt;"!!!"),"NEW","")))</f>
        <v> </v>
      </c>
      <c r="G4267" s="24" t="str">
        <f>IF(OR(E4267="",E4267="!!!"),"",IF(OR(J4267=0,AND(J4267=1,K4267=1),AND(J4267=1,I4267="SBJ"),AND(J4267=1,I4267=0)),"?IN_FOCUS",IF(J4267&lt;=2,"?ACTIVATED",IF(J4267&lt;&gt;"","?FAMILIAR",IF(F4267="NEW",IF(ISNA(VLOOKUP(E4267,#REF!,1,FALSE())),"?TYPE_IDENTIFIABLE","?REFERENTIAL"),"_")))))</f>
        <v> </v>
      </c>
      <c r="H4267" s="25" t="str">
        <f>IF(J4267&lt;&gt;1,"",IF(I4267="SBJ","CB","?"))</f>
        <v> </v>
      </c>
      <c r="I4267" s="26" t="str">
        <f>IF(OR(E4267="",E4267="!!!",F4267="NEW"),"",INDEX(B4266:B$2,-1+SUMPRODUCT(MAX(ROW(E4266:E$2)*(E4267=E4266:E$2)))))</f>
        <v> </v>
      </c>
      <c r="J4267" s="26" t="str">
        <f>IF(OR(E4267="",E4267="!!!",F4267="NEW"),"",COUNTBLANK(OFFSET(A$1,,,SUMPRODUCT(MAX(ROW(E$2:E4267)*(E4267=E$2:E4267)))))-COUNTBLANK(OFFSET(A$1,,,SUMPRODUCT(MAX(ROW(E$1:E4266)*(E2=E$1:E4266))))))</f>
        <v> </v>
      </c>
      <c r="K4267" s="26" t="str">
        <f>IF(OR(E4267="",E4267="!!!",F4267="NEW"),"",INDEX(J$1:J4266,SUMPRODUCT(MAX(ROW(E$1:E4266)*(E4267=E$1:E4266)))))</f>
        <v> </v>
      </c>
      <c r="L4267" s="27"/>
    </row>
    <row r="4268" spans="1:12">
      <c r="A4268" s="20" t="s">
        <v>1301</v>
      </c>
      <c r="E4268" s="22">
        <f>IF(D4268="?OLD","!!!","")</f>
        <v/>
      </c>
      <c r="F4268" s="23" t="str">
        <f>IF(OR(E4268="",E4268="!!!"),"",IF(NOT(ISNA(VLOOKUP(E4268,E$1:E4267,1,FALSE()))),"OLD",IF(AND(E4268&lt;&gt;"",E4268&lt;&gt;"!!!"),"NEW","")))</f>
        <v> </v>
      </c>
      <c r="G4268" s="24" t="str">
        <f>IF(OR(E4268="",E4268="!!!"),"",IF(OR(J4268=0,AND(J4268=1,K4268=1),AND(J4268=1,I4268="SBJ"),AND(J4268=1,I4268=0)),"?IN_FOCUS",IF(J4268&lt;=2,"?ACTIVATED",IF(J4268&lt;&gt;"","?FAMILIAR",IF(F4268="NEW",IF(ISNA(VLOOKUP(E4268,#REF!,1,FALSE())),"?TYPE_IDENTIFIABLE","?REFERENTIAL"),"_")))))</f>
        <v> </v>
      </c>
      <c r="H4268" s="25" t="str">
        <f>IF(J4268&lt;&gt;1,"",IF(I4268="SBJ","CB","?"))</f>
        <v> </v>
      </c>
      <c r="I4268" s="26" t="str">
        <f>IF(OR(E4268="",E4268="!!!",F4268="NEW"),"",INDEX(B4267:B$2,-1+SUMPRODUCT(MAX(ROW(E4267:E$2)*(E4268=E4267:E$2)))))</f>
        <v> </v>
      </c>
      <c r="J4268" s="26" t="str">
        <f>IF(OR(E4268="",E4268="!!!",F4268="NEW"),"",COUNTBLANK(OFFSET(A$1,,,SUMPRODUCT(MAX(ROW(E$2:E4268)*(E4268=E$2:E4268)))))-COUNTBLANK(OFFSET(A$1,,,SUMPRODUCT(MAX(ROW(E$1:E4267)*(E2=E$1:E4267))))))</f>
        <v> </v>
      </c>
      <c r="K4268" s="26" t="str">
        <f>IF(OR(E4268="",E4268="!!!",F4268="NEW"),"",INDEX(J$1:J4267,SUMPRODUCT(MAX(ROW(E$1:E4267)*(E4268=E$1:E4267)))))</f>
        <v> </v>
      </c>
      <c r="L4268" s="27"/>
    </row>
    <row r="4269" spans="1:12">
      <c r="A4269" s="20" t="s">
        <v>2383</v>
      </c>
      <c r="E4269" s="22">
        <f>IF(D4269="?OLD","!!!","")</f>
        <v/>
      </c>
      <c r="F4269" s="23" t="str">
        <f>IF(OR(E4269="",E4269="!!!"),"",IF(NOT(ISNA(VLOOKUP(E4269,E$1:E4268,1,FALSE()))),"OLD",IF(AND(E4269&lt;&gt;"",E4269&lt;&gt;"!!!"),"NEW","")))</f>
        <v> </v>
      </c>
      <c r="G4269" s="24" t="str">
        <f>IF(OR(E4269="",E4269="!!!"),"",IF(OR(J4269=0,AND(J4269=1,K4269=1),AND(J4269=1,I4269="SBJ"),AND(J4269=1,I4269=0)),"?IN_FOCUS",IF(J4269&lt;=2,"?ACTIVATED",IF(J4269&lt;&gt;"","?FAMILIAR",IF(F4269="NEW",IF(ISNA(VLOOKUP(E4269,#REF!,1,FALSE())),"?TYPE_IDENTIFIABLE","?REFERENTIAL"),"_")))))</f>
        <v> </v>
      </c>
      <c r="H4269" s="25" t="str">
        <f>IF(J4269&lt;&gt;1,"",IF(I4269="SBJ","CB","?"))</f>
        <v> </v>
      </c>
      <c r="I4269" s="26" t="str">
        <f>IF(OR(E4269="",E4269="!!!",F4269="NEW"),"",INDEX(B4268:B$2,-1+SUMPRODUCT(MAX(ROW(E4268:E$2)*(E4269=E4268:E$2)))))</f>
        <v> </v>
      </c>
      <c r="J4269" s="26" t="str">
        <f>IF(OR(E4269="",E4269="!!!",F4269="NEW"),"",COUNTBLANK(OFFSET(A$1,,,SUMPRODUCT(MAX(ROW(E$2:E4269)*(E4269=E$2:E4269)))))-COUNTBLANK(OFFSET(A$1,,,SUMPRODUCT(MAX(ROW(E$1:E4268)*(E2=E$1:E4268))))))</f>
        <v> </v>
      </c>
      <c r="K4269" s="26" t="str">
        <f>IF(OR(E4269="",E4269="!!!",F4269="NEW"),"",INDEX(J$1:J4268,SUMPRODUCT(MAX(ROW(E$1:E4268)*(E4269=E$1:E4268)))))</f>
        <v> </v>
      </c>
      <c r="L4269" s="27"/>
    </row>
    <row r="4270" spans="1:12">
      <c r="A4270" s="20" t="s">
        <v>312</v>
      </c>
      <c r="E4270" s="22">
        <f>IF(D4270="?OLD","!!!","")</f>
        <v/>
      </c>
      <c r="F4270" s="23" t="str">
        <f>IF(OR(E4270="",E4270="!!!"),"",IF(NOT(ISNA(VLOOKUP(E4270,E$1:E4269,1,FALSE()))),"OLD",IF(AND(E4270&lt;&gt;"",E4270&lt;&gt;"!!!"),"NEW","")))</f>
        <v> </v>
      </c>
      <c r="G4270" s="24" t="str">
        <f>IF(OR(E4270="",E4270="!!!"),"",IF(OR(J4270=0,AND(J4270=1,K4270=1),AND(J4270=1,I4270="SBJ"),AND(J4270=1,I4270=0)),"?IN_FOCUS",IF(J4270&lt;=2,"?ACTIVATED",IF(J4270&lt;&gt;"","?FAMILIAR",IF(F4270="NEW",IF(ISNA(VLOOKUP(E4270,#REF!,1,FALSE())),"?TYPE_IDENTIFIABLE","?REFERENTIAL"),"_")))))</f>
        <v> </v>
      </c>
      <c r="H4270" s="25" t="str">
        <f>IF(J4270&lt;&gt;1,"",IF(I4270="SBJ","CB","?"))</f>
        <v> </v>
      </c>
      <c r="I4270" s="26" t="str">
        <f>IF(OR(E4270="",E4270="!!!",F4270="NEW"),"",INDEX(B4269:B$2,-1+SUMPRODUCT(MAX(ROW(E4269:E$2)*(E4270=E4269:E$2)))))</f>
        <v> </v>
      </c>
      <c r="J4270" s="26" t="str">
        <f>IF(OR(E4270="",E4270="!!!",F4270="NEW"),"",COUNTBLANK(OFFSET(A$1,,,SUMPRODUCT(MAX(ROW(E$2:E4270)*(E4270=E$2:E4270)))))-COUNTBLANK(OFFSET(A$1,,,SUMPRODUCT(MAX(ROW(E$1:E4269)*(E2=E$1:E4269))))))</f>
        <v> </v>
      </c>
      <c r="K4270" s="26" t="str">
        <f>IF(OR(E4270="",E4270="!!!",F4270="NEW"),"",INDEX(J$1:J4269,SUMPRODUCT(MAX(ROW(E$1:E4269)*(E4270=E$1:E4269)))))</f>
        <v> </v>
      </c>
      <c r="L4270" s="27"/>
    </row>
    <row r="4271" spans="1:12">
      <c r="A4271" s="20"/>
    </row>
    <row r="4272" spans="1:12">
      <c r="A4272" s="20" t="s">
        <v>2384</v>
      </c>
    </row>
    <row r="4273" spans="1:12">
      <c r="A4273" s="20" t="s">
        <v>1662</v>
      </c>
      <c r="E4273" s="22">
        <f>IF(D4273="?OLD","!!!","")</f>
        <v/>
      </c>
      <c r="F4273" s="23" t="str">
        <f>IF(OR(E4273="",E4273="!!!"),"",IF(NOT(ISNA(VLOOKUP(E4273,E$1:E4272,1,FALSE()))),"OLD",IF(AND(E4273&lt;&gt;"",E4273&lt;&gt;"!!!"),"NEW","")))</f>
        <v> </v>
      </c>
      <c r="G4273" s="24" t="str">
        <f>IF(OR(E4273="",E4273="!!!"),"",IF(OR(J4273=0,AND(J4273=1,K4273=1),AND(J4273=1,I4273="SBJ"),AND(J4273=1,I4273=0)),"?IN_FOCUS",IF(J4273&lt;=2,"?ACTIVATED",IF(J4273&lt;&gt;"","?FAMILIAR",IF(F4273="NEW",IF(ISNA(VLOOKUP(E4273,#REF!,1,FALSE())),"?TYPE_IDENTIFIABLE","?REFERENTIAL"),"_")))))</f>
        <v> </v>
      </c>
      <c r="H4273" s="25" t="str">
        <f>IF(J4273&lt;&gt;1,"",IF(I4273="SBJ","CB","?"))</f>
        <v> </v>
      </c>
      <c r="I4273" s="26" t="str">
        <f>IF(OR(E4273="",E4273="!!!",F4273="NEW"),"",INDEX(B4272:B$2,-1+SUMPRODUCT(MAX(ROW(E4272:E$2)*(E4273=E4272:E$2)))))</f>
        <v> </v>
      </c>
      <c r="J4273" s="26" t="str">
        <f>IF(OR(E4273="",E4273="!!!",F4273="NEW"),"",COUNTBLANK(OFFSET(A$1,,,SUMPRODUCT(MAX(ROW(E$2:E4273)*(E4273=E$2:E4273)))))-COUNTBLANK(OFFSET(A$1,,,SUMPRODUCT(MAX(ROW(E$1:E4272)*(E2=E$1:E4272))))))</f>
        <v> </v>
      </c>
      <c r="K4273" s="26" t="str">
        <f>IF(OR(E4273="",E4273="!!!",F4273="NEW"),"",INDEX(J$1:J4272,SUMPRODUCT(MAX(ROW(E$1:E4272)*(E4273=E$1:E4272)))))</f>
        <v> </v>
      </c>
      <c r="L4273" s="27"/>
    </row>
    <row r="4274" spans="1:12">
      <c r="A4274" s="20" t="s">
        <v>1292</v>
      </c>
      <c r="E4274" s="22">
        <f>IF(D4274="?OLD","!!!","")</f>
        <v/>
      </c>
      <c r="F4274" s="23" t="str">
        <f>IF(OR(E4274="",E4274="!!!"),"",IF(NOT(ISNA(VLOOKUP(E4274,E$1:E4273,1,FALSE()))),"OLD",IF(AND(E4274&lt;&gt;"",E4274&lt;&gt;"!!!"),"NEW","")))</f>
        <v> </v>
      </c>
      <c r="G4274" s="24" t="str">
        <f>IF(OR(E4274="",E4274="!!!"),"",IF(OR(J4274=0,AND(J4274=1,K4274=1),AND(J4274=1,I4274="SBJ"),AND(J4274=1,I4274=0)),"?IN_FOCUS",IF(J4274&lt;=2,"?ACTIVATED",IF(J4274&lt;&gt;"","?FAMILIAR",IF(F4274="NEW",IF(ISNA(VLOOKUP(E4274,#REF!,1,FALSE())),"?TYPE_IDENTIFIABLE","?REFERENTIAL"),"_")))))</f>
        <v> </v>
      </c>
      <c r="H4274" s="25" t="str">
        <f>IF(J4274&lt;&gt;1,"",IF(I4274="SBJ","CB","?"))</f>
        <v> </v>
      </c>
      <c r="I4274" s="26" t="str">
        <f>IF(OR(E4274="",E4274="!!!",F4274="NEW"),"",INDEX(B4273:B$2,-1+SUMPRODUCT(MAX(ROW(E4273:E$2)*(E4274=E4273:E$2)))))</f>
        <v> </v>
      </c>
      <c r="J4274" s="26" t="str">
        <f>IF(OR(E4274="",E4274="!!!",F4274="NEW"),"",COUNTBLANK(OFFSET(A$1,,,SUMPRODUCT(MAX(ROW(E$2:E4274)*(E4274=E$2:E4274)))))-COUNTBLANK(OFFSET(A$1,,,SUMPRODUCT(MAX(ROW(E$1:E4273)*(E2=E$1:E4273))))))</f>
        <v> </v>
      </c>
      <c r="K4274" s="26" t="str">
        <f>IF(OR(E4274="",E4274="!!!",F4274="NEW"),"",INDEX(J$1:J4273,SUMPRODUCT(MAX(ROW(E$1:E4273)*(E4274=E$1:E4273)))))</f>
        <v> </v>
      </c>
      <c r="L4274" s="27"/>
    </row>
    <row r="4275" spans="1:12">
      <c r="A4275" s="20" t="s">
        <v>1198</v>
      </c>
      <c r="B4275" s="21" t="s">
        <v>1165</v>
      </c>
      <c r="C4275" s="21" t="s">
        <v>1151</v>
      </c>
      <c r="D4275" s="21" t="s">
        <v>1144</v>
      </c>
      <c r="E4275" s="22">
        <f>IF(D4275="?OLD","!!!","")</f>
        <v/>
      </c>
      <c r="F4275" s="23" t="str">
        <f>IF(OR(E4275="",E4275="!!!"),"",IF(NOT(ISNA(VLOOKUP(E4275,E$1:E4274,1,FALSE()))),"OLD",IF(AND(E4275&lt;&gt;"",E4275&lt;&gt;"!!!"),"NEW","")))</f>
        <v> </v>
      </c>
      <c r="G4275" s="24" t="str">
        <f>IF(OR(E4275="",E4275="!!!"),"",IF(OR(J4275=0,AND(J4275=1,K4275=1),AND(J4275=1,I4275="SBJ"),AND(J4275=1,I4275=0)),"?IN_FOCUS",IF(J4275&lt;=2,"?ACTIVATED",IF(J4275&lt;&gt;"","?FAMILIAR",IF(F4275="NEW",IF(ISNA(VLOOKUP(E4275,#REF!,1,FALSE())),"?TYPE_IDENTIFIABLE","?REFERENTIAL"),"_")))))</f>
        <v> </v>
      </c>
      <c r="H4275" s="25" t="str">
        <f>IF(J4275&lt;&gt;1,"",IF(I4275="SBJ","CB","?"))</f>
        <v> </v>
      </c>
      <c r="I4275" s="26" t="str">
        <f>IF(OR(E4275="",E4275="!!!",F4275="NEW"),"",INDEX(B4274:B$2,-1+SUMPRODUCT(MAX(ROW(E4274:E$2)*(E4275=E4274:E$2)))))</f>
        <v> </v>
      </c>
      <c r="J4275" s="26" t="str">
        <f>IF(OR(E4275="",E4275="!!!",F4275="NEW"),"",COUNTBLANK(OFFSET(A$1,,,SUMPRODUCT(MAX(ROW(E$2:E4275)*(E4275=E$2:E4275)))))-COUNTBLANK(OFFSET(A$1,,,SUMPRODUCT(MAX(ROW(E$1:E4274)*(E2=E$1:E4274))))))</f>
        <v> </v>
      </c>
      <c r="K4275" s="26" t="str">
        <f>IF(OR(E4275="",E4275="!!!",F4275="NEW"),"",INDEX(J$1:J4274,SUMPRODUCT(MAX(ROW(E$1:E4274)*(E4275=E$1:E4274)))))</f>
        <v> </v>
      </c>
      <c r="L4275" s="27"/>
    </row>
    <row r="4276" spans="1:12">
      <c r="A4276" s="20" t="s">
        <v>1166</v>
      </c>
      <c r="E4276" s="22">
        <f>IF(D4276="?OLD","!!!","")</f>
        <v/>
      </c>
      <c r="F4276" s="23" t="str">
        <f>IF(OR(E4276="",E4276="!!!"),"",IF(NOT(ISNA(VLOOKUP(E4276,E$1:E4275,1,FALSE()))),"OLD",IF(AND(E4276&lt;&gt;"",E4276&lt;&gt;"!!!"),"NEW","")))</f>
        <v> </v>
      </c>
      <c r="G4276" s="24" t="str">
        <f>IF(OR(E4276="",E4276="!!!"),"",IF(OR(J4276=0,AND(J4276=1,K4276=1),AND(J4276=1,I4276="SBJ"),AND(J4276=1,I4276=0)),"?IN_FOCUS",IF(J4276&lt;=2,"?ACTIVATED",IF(J4276&lt;&gt;"","?FAMILIAR",IF(F4276="NEW",IF(ISNA(VLOOKUP(E4276,#REF!,1,FALSE())),"?TYPE_IDENTIFIABLE","?REFERENTIAL"),"_")))))</f>
        <v> </v>
      </c>
      <c r="H4276" s="25" t="str">
        <f>IF(J4276&lt;&gt;1,"",IF(I4276="SBJ","CB","?"))</f>
        <v> </v>
      </c>
      <c r="I4276" s="26" t="str">
        <f>IF(OR(E4276="",E4276="!!!",F4276="NEW"),"",INDEX(B4275:B$2,-1+SUMPRODUCT(MAX(ROW(E4275:E$2)*(E4276=E4275:E$2)))))</f>
        <v> </v>
      </c>
      <c r="J4276" s="26" t="str">
        <f>IF(OR(E4276="",E4276="!!!",F4276="NEW"),"",COUNTBLANK(OFFSET(A$1,,,SUMPRODUCT(MAX(ROW(E$2:E4276)*(E4276=E$2:E4276)))))-COUNTBLANK(OFFSET(A$1,,,SUMPRODUCT(MAX(ROW(E$1:E4275)*(E2=E$1:E4275))))))</f>
        <v> </v>
      </c>
      <c r="K4276" s="26" t="str">
        <f>IF(OR(E4276="",E4276="!!!",F4276="NEW"),"",INDEX(J$1:J4275,SUMPRODUCT(MAX(ROW(E$1:E4275)*(E4276=E$1:E4275)))))</f>
        <v> </v>
      </c>
      <c r="L4276" s="27"/>
    </row>
    <row r="4277" spans="1:12">
      <c r="A4277" s="20" t="s">
        <v>1174</v>
      </c>
      <c r="E4277" s="22">
        <f>IF(D4277="?OLD","!!!","")</f>
        <v/>
      </c>
      <c r="F4277" s="23" t="str">
        <f>IF(OR(E4277="",E4277="!!!"),"",IF(NOT(ISNA(VLOOKUP(E4277,E$1:E4276,1,FALSE()))),"OLD",IF(AND(E4277&lt;&gt;"",E4277&lt;&gt;"!!!"),"NEW","")))</f>
        <v> </v>
      </c>
      <c r="G4277" s="24" t="str">
        <f>IF(OR(E4277="",E4277="!!!"),"",IF(OR(J4277=0,AND(J4277=1,K4277=1),AND(J4277=1,I4277="SBJ"),AND(J4277=1,I4277=0)),"?IN_FOCUS",IF(J4277&lt;=2,"?ACTIVATED",IF(J4277&lt;&gt;"","?FAMILIAR",IF(F4277="NEW",IF(ISNA(VLOOKUP(E4277,#REF!,1,FALSE())),"?TYPE_IDENTIFIABLE","?REFERENTIAL"),"_")))))</f>
        <v> </v>
      </c>
      <c r="H4277" s="25" t="str">
        <f>IF(J4277&lt;&gt;1,"",IF(I4277="SBJ","CB","?"))</f>
        <v> </v>
      </c>
      <c r="I4277" s="26" t="str">
        <f>IF(OR(E4277="",E4277="!!!",F4277="NEW"),"",INDEX(B4276:B$2,-1+SUMPRODUCT(MAX(ROW(E4276:E$2)*(E4277=E4276:E$2)))))</f>
        <v> </v>
      </c>
      <c r="J4277" s="26" t="str">
        <f>IF(OR(E4277="",E4277="!!!",F4277="NEW"),"",COUNTBLANK(OFFSET(A$1,,,SUMPRODUCT(MAX(ROW(E$2:E4277)*(E4277=E$2:E4277)))))-COUNTBLANK(OFFSET(A$1,,,SUMPRODUCT(MAX(ROW(E$1:E4276)*(E2=E$1:E4276))))))</f>
        <v> </v>
      </c>
      <c r="K4277" s="26" t="str">
        <f>IF(OR(E4277="",E4277="!!!",F4277="NEW"),"",INDEX(J$1:J4276,SUMPRODUCT(MAX(ROW(E$1:E4276)*(E4277=E$1:E4276)))))</f>
        <v> </v>
      </c>
      <c r="L4277" s="27"/>
    </row>
    <row r="4278" spans="1:12">
      <c r="A4278" s="20" t="s">
        <v>1167</v>
      </c>
      <c r="B4278" s="21" t="s">
        <v>1142</v>
      </c>
      <c r="C4278" s="21" t="s">
        <v>1168</v>
      </c>
      <c r="D4278" s="21" t="s">
        <v>1144</v>
      </c>
      <c r="E4278" s="22">
        <f>IF(D4278="?OLD","!!!","")</f>
        <v/>
      </c>
      <c r="F4278" s="23" t="str">
        <f>IF(OR(E4278="",E4278="!!!"),"",IF(NOT(ISNA(VLOOKUP(E4278,E$1:E4277,1,FALSE()))),"OLD",IF(AND(E4278&lt;&gt;"",E4278&lt;&gt;"!!!"),"NEW","")))</f>
        <v> </v>
      </c>
      <c r="G4278" s="24" t="str">
        <f>IF(OR(E4278="",E4278="!!!"),"",IF(OR(J4278=0,AND(J4278=1,K4278=1),AND(J4278=1,I4278="SBJ"),AND(J4278=1,I4278=0)),"?IN_FOCUS",IF(J4278&lt;=2,"?ACTIVATED",IF(J4278&lt;&gt;"","?FAMILIAR",IF(F4278="NEW",IF(ISNA(VLOOKUP(E4278,#REF!,1,FALSE())),"?TYPE_IDENTIFIABLE","?REFERENTIAL"),"_")))))</f>
        <v> </v>
      </c>
      <c r="H4278" s="25" t="str">
        <f>IF(J4278&lt;&gt;1,"",IF(I4278="SBJ","CB","?"))</f>
        <v> </v>
      </c>
      <c r="I4278" s="26" t="str">
        <f>IF(OR(E4278="",E4278="!!!",F4278="NEW"),"",INDEX(B4277:B$2,-1+SUMPRODUCT(MAX(ROW(E4277:E$2)*(E4278=E4277:E$2)))))</f>
        <v> </v>
      </c>
      <c r="J4278" s="26" t="str">
        <f>IF(OR(E4278="",E4278="!!!",F4278="NEW"),"",COUNTBLANK(OFFSET(A$1,,,SUMPRODUCT(MAX(ROW(E$2:E4278)*(E4278=E$2:E4278)))))-COUNTBLANK(OFFSET(A$1,,,SUMPRODUCT(MAX(ROW(E$1:E4277)*(E2=E$1:E4277))))))</f>
        <v> </v>
      </c>
      <c r="K4278" s="26" t="str">
        <f>IF(OR(E4278="",E4278="!!!",F4278="NEW"),"",INDEX(J$1:J4277,SUMPRODUCT(MAX(ROW(E$1:E4277)*(E4278=E$1:E4277)))))</f>
        <v> </v>
      </c>
      <c r="L4278" s="27"/>
    </row>
    <row r="4279" spans="1:12">
      <c r="A4279" s="20" t="s">
        <v>1522</v>
      </c>
      <c r="B4279" s="21" t="s">
        <v>1150</v>
      </c>
      <c r="C4279" s="21" t="s">
        <v>1187</v>
      </c>
      <c r="E4279" s="22">
        <f>IF(D4279="?OLD","!!!","")</f>
        <v/>
      </c>
      <c r="F4279" s="23" t="str">
        <f>IF(OR(E4279="",E4279="!!!"),"",IF(NOT(ISNA(VLOOKUP(E4279,E$1:E4278,1,FALSE()))),"OLD",IF(AND(E4279&lt;&gt;"",E4279&lt;&gt;"!!!"),"NEW","")))</f>
        <v> </v>
      </c>
      <c r="G4279" s="24" t="str">
        <f>IF(OR(E4279="",E4279="!!!"),"",IF(OR(J4279=0,AND(J4279=1,K4279=1),AND(J4279=1,I4279="SBJ"),AND(J4279=1,I4279=0)),"?IN_FOCUS",IF(J4279&lt;=2,"?ACTIVATED",IF(J4279&lt;&gt;"","?FAMILIAR",IF(F4279="NEW",IF(ISNA(VLOOKUP(E4279,#REF!,1,FALSE())),"?TYPE_IDENTIFIABLE","?REFERENTIAL"),"_")))))</f>
        <v> </v>
      </c>
      <c r="H4279" s="25" t="str">
        <f>IF(J4279&lt;&gt;1,"",IF(I4279="SBJ","CB","?"))</f>
        <v> </v>
      </c>
      <c r="I4279" s="26" t="str">
        <f>IF(OR(E4279="",E4279="!!!",F4279="NEW"),"",INDEX(B4278:B$2,-1+SUMPRODUCT(MAX(ROW(E4278:E$2)*(E4279=E4278:E$2)))))</f>
        <v> </v>
      </c>
      <c r="J4279" s="26" t="str">
        <f>IF(OR(E4279="",E4279="!!!",F4279="NEW"),"",COUNTBLANK(OFFSET(A$1,,,SUMPRODUCT(MAX(ROW(E$2:E4279)*(E4279=E$2:E4279)))))-COUNTBLANK(OFFSET(A$1,,,SUMPRODUCT(MAX(ROW(E$1:E4278)*(E2=E$1:E4278))))))</f>
        <v> </v>
      </c>
      <c r="K4279" s="26" t="str">
        <f>IF(OR(E4279="",E4279="!!!",F4279="NEW"),"",INDEX(J$1:J4278,SUMPRODUCT(MAX(ROW(E$1:E4278)*(E4279=E$1:E4278)))))</f>
        <v> </v>
      </c>
      <c r="L4279" s="27"/>
    </row>
    <row r="4280" spans="1:12">
      <c r="A4280" s="20" t="s">
        <v>815</v>
      </c>
      <c r="E4280" s="22">
        <f>IF(D4280="?OLD","!!!","")</f>
        <v/>
      </c>
      <c r="F4280" s="23" t="str">
        <f>IF(OR(E4280="",E4280="!!!"),"",IF(NOT(ISNA(VLOOKUP(E4280,E$1:E4279,1,FALSE()))),"OLD",IF(AND(E4280&lt;&gt;"",E4280&lt;&gt;"!!!"),"NEW","")))</f>
        <v> </v>
      </c>
      <c r="G4280" s="24" t="str">
        <f>IF(OR(E4280="",E4280="!!!"),"",IF(OR(J4280=0,AND(J4280=1,K4280=1),AND(J4280=1,I4280="SBJ"),AND(J4280=1,I4280=0)),"?IN_FOCUS",IF(J4280&lt;=2,"?ACTIVATED",IF(J4280&lt;&gt;"","?FAMILIAR",IF(F4280="NEW",IF(ISNA(VLOOKUP(E4280,#REF!,1,FALSE())),"?TYPE_IDENTIFIABLE","?REFERENTIAL"),"_")))))</f>
        <v> </v>
      </c>
      <c r="H4280" s="25" t="str">
        <f>IF(J4280&lt;&gt;1,"",IF(I4280="SBJ","CB","?"))</f>
        <v> </v>
      </c>
      <c r="I4280" s="26" t="str">
        <f>IF(OR(E4280="",E4280="!!!",F4280="NEW"),"",INDEX(B4279:B$2,-1+SUMPRODUCT(MAX(ROW(E4279:E$2)*(E4280=E4279:E$2)))))</f>
        <v> </v>
      </c>
      <c r="J4280" s="26" t="str">
        <f>IF(OR(E4280="",E4280="!!!",F4280="NEW"),"",COUNTBLANK(OFFSET(A$1,,,SUMPRODUCT(MAX(ROW(E$2:E4280)*(E4280=E$2:E4280)))))-COUNTBLANK(OFFSET(A$1,,,SUMPRODUCT(MAX(ROW(E$1:E4279)*(E2=E$1:E4279))))))</f>
        <v> </v>
      </c>
      <c r="K4280" s="26" t="str">
        <f>IF(OR(E4280="",E4280="!!!",F4280="NEW"),"",INDEX(J$1:J4279,SUMPRODUCT(MAX(ROW(E$1:E4279)*(E4280=E$1:E4279)))))</f>
        <v> </v>
      </c>
      <c r="L4280" s="27"/>
    </row>
    <row r="4281" spans="1:12">
      <c r="A4281" s="20" t="s">
        <v>1252</v>
      </c>
      <c r="E4281" s="22">
        <f>IF(D4281="?OLD","!!!","")</f>
        <v/>
      </c>
      <c r="F4281" s="23" t="str">
        <f>IF(OR(E4281="",E4281="!!!"),"",IF(NOT(ISNA(VLOOKUP(E4281,E$1:E4280,1,FALSE()))),"OLD",IF(AND(E4281&lt;&gt;"",E4281&lt;&gt;"!!!"),"NEW","")))</f>
        <v> </v>
      </c>
      <c r="G4281" s="24" t="str">
        <f>IF(OR(E4281="",E4281="!!!"),"",IF(OR(J4281=0,AND(J4281=1,K4281=1),AND(J4281=1,I4281="SBJ"),AND(J4281=1,I4281=0)),"?IN_FOCUS",IF(J4281&lt;=2,"?ACTIVATED",IF(J4281&lt;&gt;"","?FAMILIAR",IF(F4281="NEW",IF(ISNA(VLOOKUP(E4281,#REF!,1,FALSE())),"?TYPE_IDENTIFIABLE","?REFERENTIAL"),"_")))))</f>
        <v> </v>
      </c>
      <c r="H4281" s="25" t="str">
        <f>IF(J4281&lt;&gt;1,"",IF(I4281="SBJ","CB","?"))</f>
        <v> </v>
      </c>
      <c r="I4281" s="26" t="str">
        <f>IF(OR(E4281="",E4281="!!!",F4281="NEW"),"",INDEX(B4280:B$2,-1+SUMPRODUCT(MAX(ROW(E4280:E$2)*(E4281=E4280:E$2)))))</f>
        <v> </v>
      </c>
      <c r="J4281" s="26" t="str">
        <f>IF(OR(E4281="",E4281="!!!",F4281="NEW"),"",COUNTBLANK(OFFSET(A$1,,,SUMPRODUCT(MAX(ROW(E$2:E4281)*(E4281=E$2:E4281)))))-COUNTBLANK(OFFSET(A$1,,,SUMPRODUCT(MAX(ROW(E$1:E4280)*(E2=E$1:E4280))))))</f>
        <v> </v>
      </c>
      <c r="K4281" s="26" t="str">
        <f>IF(OR(E4281="",E4281="!!!",F4281="NEW"),"",INDEX(J$1:J4280,SUMPRODUCT(MAX(ROW(E$1:E4280)*(E4281=E$1:E4280)))))</f>
        <v> </v>
      </c>
      <c r="L4281" s="27"/>
    </row>
    <row r="4282" spans="1:12">
      <c r="A4282" s="20" t="s">
        <v>312</v>
      </c>
      <c r="E4282" s="22">
        <f>IF(D4282="?OLD","!!!","")</f>
        <v/>
      </c>
      <c r="F4282" s="23" t="str">
        <f>IF(OR(E4282="",E4282="!!!"),"",IF(NOT(ISNA(VLOOKUP(E4282,E$1:E4281,1,FALSE()))),"OLD",IF(AND(E4282&lt;&gt;"",E4282&lt;&gt;"!!!"),"NEW","")))</f>
        <v> </v>
      </c>
      <c r="G4282" s="24" t="str">
        <f>IF(OR(E4282="",E4282="!!!"),"",IF(OR(J4282=0,AND(J4282=1,K4282=1),AND(J4282=1,I4282="SBJ"),AND(J4282=1,I4282=0)),"?IN_FOCUS",IF(J4282&lt;=2,"?ACTIVATED",IF(J4282&lt;&gt;"","?FAMILIAR",IF(F4282="NEW",IF(ISNA(VLOOKUP(E4282,#REF!,1,FALSE())),"?TYPE_IDENTIFIABLE","?REFERENTIAL"),"_")))))</f>
        <v> </v>
      </c>
      <c r="H4282" s="25" t="str">
        <f>IF(J4282&lt;&gt;1,"",IF(I4282="SBJ","CB","?"))</f>
        <v> </v>
      </c>
      <c r="I4282" s="26" t="str">
        <f>IF(OR(E4282="",E4282="!!!",F4282="NEW"),"",INDEX(B4281:B$2,-1+SUMPRODUCT(MAX(ROW(E4281:E$2)*(E4282=E4281:E$2)))))</f>
        <v> </v>
      </c>
      <c r="J4282" s="26" t="str">
        <f>IF(OR(E4282="",E4282="!!!",F4282="NEW"),"",COUNTBLANK(OFFSET(A$1,,,SUMPRODUCT(MAX(ROW(E$2:E4282)*(E4282=E$2:E4282)))))-COUNTBLANK(OFFSET(A$1,,,SUMPRODUCT(MAX(ROW(E$1:E4281)*(E2=E$1:E4281))))))</f>
        <v> </v>
      </c>
      <c r="K4282" s="26" t="str">
        <f>IF(OR(E4282="",E4282="!!!",F4282="NEW"),"",INDEX(J$1:J4281,SUMPRODUCT(MAX(ROW(E$1:E4281)*(E4282=E$1:E4281)))))</f>
        <v> </v>
      </c>
      <c r="L4282" s="27"/>
    </row>
    <row r="4283" spans="1:12">
      <c r="A4283" s="20"/>
    </row>
    <row r="4284" spans="1:12">
      <c r="A4284" s="20" t="s">
        <v>2385</v>
      </c>
    </row>
    <row r="4285" spans="1:12">
      <c r="A4285" s="20" t="s">
        <v>1217</v>
      </c>
      <c r="B4285" s="21" t="s">
        <v>1165</v>
      </c>
      <c r="C4285" s="21" t="s">
        <v>1168</v>
      </c>
      <c r="D4285" s="21" t="s">
        <v>1144</v>
      </c>
      <c r="E4285" s="22">
        <f>IF(D4285="?OLD","!!!","")</f>
        <v/>
      </c>
      <c r="F4285" s="23" t="str">
        <f>IF(OR(E4285="",E4285="!!!"),"",IF(NOT(ISNA(VLOOKUP(E4285,E$1:E4284,1,FALSE()))),"OLD",IF(AND(E4285&lt;&gt;"",E4285&lt;&gt;"!!!"),"NEW","")))</f>
        <v> </v>
      </c>
      <c r="G4285" s="24" t="str">
        <f>IF(OR(E4285="",E4285="!!!"),"",IF(OR(J4285=0,AND(J4285=1,K4285=1),AND(J4285=1,I4285="SBJ"),AND(J4285=1,I4285=0)),"?IN_FOCUS",IF(J4285&lt;=2,"?ACTIVATED",IF(J4285&lt;&gt;"","?FAMILIAR",IF(F4285="NEW",IF(ISNA(VLOOKUP(E4285,#REF!,1,FALSE())),"?TYPE_IDENTIFIABLE","?REFERENTIAL"),"_")))))</f>
        <v> </v>
      </c>
      <c r="H4285" s="25" t="str">
        <f>IF(J4285&lt;&gt;1,"",IF(I4285="SBJ","CB","?"))</f>
        <v> </v>
      </c>
      <c r="I4285" s="26" t="str">
        <f>IF(OR(E4285="",E4285="!!!",F4285="NEW"),"",INDEX(B4284:B$2,-1+SUMPRODUCT(MAX(ROW(E4284:E$2)*(E4285=E4284:E$2)))))</f>
        <v> </v>
      </c>
      <c r="J4285" s="26" t="str">
        <f>IF(OR(E4285="",E4285="!!!",F4285="NEW"),"",COUNTBLANK(OFFSET(A$1,,,SUMPRODUCT(MAX(ROW(E$2:E4285)*(E4285=E$2:E4285)))))-COUNTBLANK(OFFSET(A$1,,,SUMPRODUCT(MAX(ROW(E$1:E4284)*(E2=E$1:E4284))))))</f>
        <v> </v>
      </c>
      <c r="K4285" s="26" t="str">
        <f>IF(OR(E4285="",E4285="!!!",F4285="NEW"),"",INDEX(J$1:J4284,SUMPRODUCT(MAX(ROW(E$1:E4284)*(E4285=E$1:E4284)))))</f>
        <v> </v>
      </c>
      <c r="L4285" s="27"/>
    </row>
    <row r="4286" spans="1:12">
      <c r="A4286" s="20" t="s">
        <v>165</v>
      </c>
      <c r="E4286" s="22">
        <f>IF(D4286="?OLD","!!!","")</f>
        <v/>
      </c>
      <c r="F4286" s="23" t="str">
        <f>IF(OR(E4286="",E4286="!!!"),"",IF(NOT(ISNA(VLOOKUP(E4286,E$1:E4285,1,FALSE()))),"OLD",IF(AND(E4286&lt;&gt;"",E4286&lt;&gt;"!!!"),"NEW","")))</f>
        <v> </v>
      </c>
      <c r="G4286" s="24" t="str">
        <f>IF(OR(E4286="",E4286="!!!"),"",IF(OR(J4286=0,AND(J4286=1,K4286=1),AND(J4286=1,I4286="SBJ"),AND(J4286=1,I4286=0)),"?IN_FOCUS",IF(J4286&lt;=2,"?ACTIVATED",IF(J4286&lt;&gt;"","?FAMILIAR",IF(F4286="NEW",IF(ISNA(VLOOKUP(E4286,#REF!,1,FALSE())),"?TYPE_IDENTIFIABLE","?REFERENTIAL"),"_")))))</f>
        <v> </v>
      </c>
      <c r="H4286" s="25" t="str">
        <f>IF(J4286&lt;&gt;1,"",IF(I4286="SBJ","CB","?"))</f>
        <v> </v>
      </c>
      <c r="I4286" s="26" t="str">
        <f>IF(OR(E4286="",E4286="!!!",F4286="NEW"),"",INDEX(B4285:B$2,-1+SUMPRODUCT(MAX(ROW(E4285:E$2)*(E4286=E4285:E$2)))))</f>
        <v> </v>
      </c>
      <c r="J4286" s="26" t="str">
        <f>IF(OR(E4286="",E4286="!!!",F4286="NEW"),"",COUNTBLANK(OFFSET(A$1,,,SUMPRODUCT(MAX(ROW(E$2:E4286)*(E4286=E$2:E4286)))))-COUNTBLANK(OFFSET(A$1,,,SUMPRODUCT(MAX(ROW(E$1:E4285)*(E2=E$1:E4285))))))</f>
        <v> </v>
      </c>
      <c r="K4286" s="26" t="str">
        <f>IF(OR(E4286="",E4286="!!!",F4286="NEW"),"",INDEX(J$1:J4285,SUMPRODUCT(MAX(ROW(E$1:E4285)*(E4286=E$1:E4285)))))</f>
        <v> </v>
      </c>
      <c r="L4286" s="27"/>
    </row>
    <row r="4287" spans="1:12">
      <c r="A4287" s="20" t="s">
        <v>1590</v>
      </c>
      <c r="E4287" s="22">
        <f>IF(D4287="?OLD","!!!","")</f>
        <v/>
      </c>
      <c r="F4287" s="23" t="str">
        <f>IF(OR(E4287="",E4287="!!!"),"",IF(NOT(ISNA(VLOOKUP(E4287,E$1:E4286,1,FALSE()))),"OLD",IF(AND(E4287&lt;&gt;"",E4287&lt;&gt;"!!!"),"NEW","")))</f>
        <v> </v>
      </c>
      <c r="G4287" s="24" t="str">
        <f>IF(OR(E4287="",E4287="!!!"),"",IF(OR(J4287=0,AND(J4287=1,K4287=1),AND(J4287=1,I4287="SBJ"),AND(J4287=1,I4287=0)),"?IN_FOCUS",IF(J4287&lt;=2,"?ACTIVATED",IF(J4287&lt;&gt;"","?FAMILIAR",IF(F4287="NEW",IF(ISNA(VLOOKUP(E4287,#REF!,1,FALSE())),"?TYPE_IDENTIFIABLE","?REFERENTIAL"),"_")))))</f>
        <v> </v>
      </c>
      <c r="H4287" s="25" t="str">
        <f>IF(J4287&lt;&gt;1,"",IF(I4287="SBJ","CB","?"))</f>
        <v> </v>
      </c>
      <c r="I4287" s="26" t="str">
        <f>IF(OR(E4287="",E4287="!!!",F4287="NEW"),"",INDEX(B4286:B$2,-1+SUMPRODUCT(MAX(ROW(E4286:E$2)*(E4287=E4286:E$2)))))</f>
        <v> </v>
      </c>
      <c r="J4287" s="26" t="str">
        <f>IF(OR(E4287="",E4287="!!!",F4287="NEW"),"",COUNTBLANK(OFFSET(A$1,,,SUMPRODUCT(MAX(ROW(E$2:E4287)*(E4287=E$2:E4287)))))-COUNTBLANK(OFFSET(A$1,,,SUMPRODUCT(MAX(ROW(E$1:E4286)*(E2=E$1:E4286))))))</f>
        <v> </v>
      </c>
      <c r="K4287" s="26" t="str">
        <f>IF(OR(E4287="",E4287="!!!",F4287="NEW"),"",INDEX(J$1:J4286,SUMPRODUCT(MAX(ROW(E$1:E4286)*(E4287=E$1:E4286)))))</f>
        <v> </v>
      </c>
      <c r="L4287" s="27"/>
    </row>
    <row r="4288" spans="1:12">
      <c r="A4288" s="20" t="s">
        <v>2386</v>
      </c>
      <c r="B4288" s="21" t="s">
        <v>1154</v>
      </c>
      <c r="C4288" s="21" t="s">
        <v>1214</v>
      </c>
      <c r="E4288" s="22">
        <f>IF(D4288="?OLD","!!!","")</f>
        <v/>
      </c>
      <c r="F4288" s="23" t="str">
        <f>IF(OR(E4288="",E4288="!!!"),"",IF(NOT(ISNA(VLOOKUP(E4288,E$1:E4287,1,FALSE()))),"OLD",IF(AND(E4288&lt;&gt;"",E4288&lt;&gt;"!!!"),"NEW","")))</f>
        <v> </v>
      </c>
      <c r="G4288" s="24" t="str">
        <f>IF(OR(E4288="",E4288="!!!"),"",IF(OR(J4288=0,AND(J4288=1,K4288=1),AND(J4288=1,I4288="SBJ"),AND(J4288=1,I4288=0)),"?IN_FOCUS",IF(J4288&lt;=2,"?ACTIVATED",IF(J4288&lt;&gt;"","?FAMILIAR",IF(F4288="NEW",IF(ISNA(VLOOKUP(E4288,#REF!,1,FALSE())),"?TYPE_IDENTIFIABLE","?REFERENTIAL"),"_")))))</f>
        <v> </v>
      </c>
      <c r="H4288" s="25" t="str">
        <f>IF(J4288&lt;&gt;1,"",IF(I4288="SBJ","CB","?"))</f>
        <v> </v>
      </c>
      <c r="I4288" s="26" t="str">
        <f>IF(OR(E4288="",E4288="!!!",F4288="NEW"),"",INDEX(B4287:B$2,-1+SUMPRODUCT(MAX(ROW(E4287:E$2)*(E4288=E4287:E$2)))))</f>
        <v> </v>
      </c>
      <c r="J4288" s="26" t="str">
        <f>IF(OR(E4288="",E4288="!!!",F4288="NEW"),"",COUNTBLANK(OFFSET(A$1,,,SUMPRODUCT(MAX(ROW(E$2:E4288)*(E4288=E$2:E4288)))))-COUNTBLANK(OFFSET(A$1,,,SUMPRODUCT(MAX(ROW(E$1:E4287)*(E2=E$1:E4287))))))</f>
        <v> </v>
      </c>
      <c r="K4288" s="26" t="str">
        <f>IF(OR(E4288="",E4288="!!!",F4288="NEW"),"",INDEX(J$1:J4287,SUMPRODUCT(MAX(ROW(E$1:E4287)*(E4288=E$1:E4287)))))</f>
        <v> </v>
      </c>
      <c r="L4288" s="27"/>
    </row>
    <row r="4289" spans="1:12">
      <c r="A4289" s="20" t="s">
        <v>1994</v>
      </c>
      <c r="E4289" s="22">
        <f>IF(D4289="?OLD","!!!","")</f>
        <v/>
      </c>
      <c r="F4289" s="23" t="str">
        <f>IF(OR(E4289="",E4289="!!!"),"",IF(NOT(ISNA(VLOOKUP(E4289,E$1:E4288,1,FALSE()))),"OLD",IF(AND(E4289&lt;&gt;"",E4289&lt;&gt;"!!!"),"NEW","")))</f>
        <v> </v>
      </c>
      <c r="G4289" s="24" t="str">
        <f>IF(OR(E4289="",E4289="!!!"),"",IF(OR(J4289=0,AND(J4289=1,K4289=1),AND(J4289=1,I4289="SBJ"),AND(J4289=1,I4289=0)),"?IN_FOCUS",IF(J4289&lt;=2,"?ACTIVATED",IF(J4289&lt;&gt;"","?FAMILIAR",IF(F4289="NEW",IF(ISNA(VLOOKUP(E4289,#REF!,1,FALSE())),"?TYPE_IDENTIFIABLE","?REFERENTIAL"),"_")))))</f>
        <v> </v>
      </c>
      <c r="H4289" s="25" t="str">
        <f>IF(J4289&lt;&gt;1,"",IF(I4289="SBJ","CB","?"))</f>
        <v> </v>
      </c>
      <c r="I4289" s="26" t="str">
        <f>IF(OR(E4289="",E4289="!!!",F4289="NEW"),"",INDEX(B4288:B$2,-1+SUMPRODUCT(MAX(ROW(E4288:E$2)*(E4289=E4288:E$2)))))</f>
        <v> </v>
      </c>
      <c r="J4289" s="26" t="str">
        <f>IF(OR(E4289="",E4289="!!!",F4289="NEW"),"",COUNTBLANK(OFFSET(A$1,,,SUMPRODUCT(MAX(ROW(E$2:E4289)*(E4289=E$2:E4289)))))-COUNTBLANK(OFFSET(A$1,,,SUMPRODUCT(MAX(ROW(E$1:E4288)*(E2=E$1:E4288))))))</f>
        <v> </v>
      </c>
      <c r="K4289" s="26" t="str">
        <f>IF(OR(E4289="",E4289="!!!",F4289="NEW"),"",INDEX(J$1:J4288,SUMPRODUCT(MAX(ROW(E$1:E4288)*(E4289=E$1:E4288)))))</f>
        <v> </v>
      </c>
      <c r="L4289" s="27"/>
    </row>
    <row r="4290" spans="1:12">
      <c r="A4290" s="20" t="s">
        <v>1221</v>
      </c>
      <c r="B4290" s="21" t="s">
        <v>1161</v>
      </c>
      <c r="C4290" s="21" t="s">
        <v>1143</v>
      </c>
      <c r="D4290" s="21" t="s">
        <v>1144</v>
      </c>
      <c r="E4290" s="22">
        <f>IF(D4290="?OLD","!!!","")</f>
        <v/>
      </c>
      <c r="F4290" s="23" t="str">
        <f>IF(OR(E4290="",E4290="!!!"),"",IF(NOT(ISNA(VLOOKUP(E4290,E$1:E4289,1,FALSE()))),"OLD",IF(AND(E4290&lt;&gt;"",E4290&lt;&gt;"!!!"),"NEW","")))</f>
        <v> </v>
      </c>
      <c r="G4290" s="24" t="str">
        <f>IF(OR(E4290="",E4290="!!!"),"",IF(OR(J4290=0,AND(J4290=1,K4290=1),AND(J4290=1,I4290="SBJ"),AND(J4290=1,I4290=0)),"?IN_FOCUS",IF(J4290&lt;=2,"?ACTIVATED",IF(J4290&lt;&gt;"","?FAMILIAR",IF(F4290="NEW",IF(ISNA(VLOOKUP(E4290,#REF!,1,FALSE())),"?TYPE_IDENTIFIABLE","?REFERENTIAL"),"_")))))</f>
        <v> </v>
      </c>
      <c r="H4290" s="25" t="str">
        <f>IF(J4290&lt;&gt;1,"",IF(I4290="SBJ","CB","?"))</f>
        <v> </v>
      </c>
      <c r="I4290" s="26" t="str">
        <f>IF(OR(E4290="",E4290="!!!",F4290="NEW"),"",INDEX(B4289:B$2,-1+SUMPRODUCT(MAX(ROW(E4289:E$2)*(E4290=E4289:E$2)))))</f>
        <v> </v>
      </c>
      <c r="J4290" s="26" t="str">
        <f>IF(OR(E4290="",E4290="!!!",F4290="NEW"),"",COUNTBLANK(OFFSET(A$1,,,SUMPRODUCT(MAX(ROW(E$2:E4290)*(E4290=E$2:E4290)))))-COUNTBLANK(OFFSET(A$1,,,SUMPRODUCT(MAX(ROW(E$1:E4289)*(E2=E$1:E4289))))))</f>
        <v> </v>
      </c>
      <c r="K4290" s="26" t="str">
        <f>IF(OR(E4290="",E4290="!!!",F4290="NEW"),"",INDEX(J$1:J4289,SUMPRODUCT(MAX(ROW(E$1:E4289)*(E4290=E$1:E4289)))))</f>
        <v> </v>
      </c>
      <c r="L4290" s="27"/>
    </row>
    <row r="4291" spans="1:12">
      <c r="A4291" s="20" t="s">
        <v>1166</v>
      </c>
      <c r="E4291" s="22">
        <f>IF(D4291="?OLD","!!!","")</f>
        <v/>
      </c>
      <c r="F4291" s="23" t="str">
        <f>IF(OR(E4291="",E4291="!!!"),"",IF(NOT(ISNA(VLOOKUP(E4291,E$1:E4290,1,FALSE()))),"OLD",IF(AND(E4291&lt;&gt;"",E4291&lt;&gt;"!!!"),"NEW","")))</f>
        <v> </v>
      </c>
      <c r="G4291" s="24" t="str">
        <f>IF(OR(E4291="",E4291="!!!"),"",IF(OR(J4291=0,AND(J4291=1,K4291=1),AND(J4291=1,I4291="SBJ"),AND(J4291=1,I4291=0)),"?IN_FOCUS",IF(J4291&lt;=2,"?ACTIVATED",IF(J4291&lt;&gt;"","?FAMILIAR",IF(F4291="NEW",IF(ISNA(VLOOKUP(E4291,#REF!,1,FALSE())),"?TYPE_IDENTIFIABLE","?REFERENTIAL"),"_")))))</f>
        <v> </v>
      </c>
      <c r="H4291" s="25" t="str">
        <f>IF(J4291&lt;&gt;1,"",IF(I4291="SBJ","CB","?"))</f>
        <v> </v>
      </c>
      <c r="I4291" s="26" t="str">
        <f>IF(OR(E4291="",E4291="!!!",F4291="NEW"),"",INDEX(B4290:B$2,-1+SUMPRODUCT(MAX(ROW(E4290:E$2)*(E4291=E4290:E$2)))))</f>
        <v> </v>
      </c>
      <c r="J4291" s="26" t="str">
        <f>IF(OR(E4291="",E4291="!!!",F4291="NEW"),"",COUNTBLANK(OFFSET(A$1,,,SUMPRODUCT(MAX(ROW(E$2:E4291)*(E4291=E$2:E4291)))))-COUNTBLANK(OFFSET(A$1,,,SUMPRODUCT(MAX(ROW(E$1:E4290)*(E2=E$1:E4290))))))</f>
        <v> </v>
      </c>
      <c r="K4291" s="26" t="str">
        <f>IF(OR(E4291="",E4291="!!!",F4291="NEW"),"",INDEX(J$1:J4290,SUMPRODUCT(MAX(ROW(E$1:E4290)*(E4291=E$1:E4290)))))</f>
        <v> </v>
      </c>
      <c r="L4291" s="27"/>
    </row>
    <row r="4292" spans="1:12">
      <c r="A4292" s="20" t="s">
        <v>1238</v>
      </c>
      <c r="B4292" s="21" t="s">
        <v>1175</v>
      </c>
      <c r="E4292" s="22">
        <f>IF(D4292="?OLD","!!!","")</f>
        <v/>
      </c>
      <c r="F4292" s="23" t="str">
        <f>IF(OR(E4292="",E4292="!!!"),"",IF(NOT(ISNA(VLOOKUP(E4292,E$1:E4291,1,FALSE()))),"OLD",IF(AND(E4292&lt;&gt;"",E4292&lt;&gt;"!!!"),"NEW","")))</f>
        <v> </v>
      </c>
      <c r="G4292" s="24" t="str">
        <f>IF(OR(E4292="",E4292="!!!"),"",IF(OR(J4292=0,AND(J4292=1,K4292=1),AND(J4292=1,I4292="SBJ"),AND(J4292=1,I4292=0)),"?IN_FOCUS",IF(J4292&lt;=2,"?ACTIVATED",IF(J4292&lt;&gt;"","?FAMILIAR",IF(F4292="NEW",IF(ISNA(VLOOKUP(E4292,#REF!,1,FALSE())),"?TYPE_IDENTIFIABLE","?REFERENTIAL"),"_")))))</f>
        <v> </v>
      </c>
      <c r="H4292" s="25" t="str">
        <f>IF(J4292&lt;&gt;1,"",IF(I4292="SBJ","CB","?"))</f>
        <v> </v>
      </c>
      <c r="I4292" s="26" t="str">
        <f>IF(OR(E4292="",E4292="!!!",F4292="NEW"),"",INDEX(B4291:B$2,-1+SUMPRODUCT(MAX(ROW(E4291:E$2)*(E4292=E4291:E$2)))))</f>
        <v> </v>
      </c>
      <c r="J4292" s="26" t="str">
        <f>IF(OR(E4292="",E4292="!!!",F4292="NEW"),"",COUNTBLANK(OFFSET(A$1,,,SUMPRODUCT(MAX(ROW(E$2:E4292)*(E4292=E$2:E4292)))))-COUNTBLANK(OFFSET(A$1,,,SUMPRODUCT(MAX(ROW(E$1:E4291)*(E2=E$1:E4291))))))</f>
        <v> </v>
      </c>
      <c r="K4292" s="26" t="str">
        <f>IF(OR(E4292="",E4292="!!!",F4292="NEW"),"",INDEX(J$1:J4291,SUMPRODUCT(MAX(ROW(E$1:E4291)*(E4292=E$1:E4291)))))</f>
        <v> </v>
      </c>
      <c r="L4292" s="27"/>
    </row>
    <row r="4293" spans="1:12">
      <c r="A4293" s="20" t="s">
        <v>2387</v>
      </c>
      <c r="E4293" s="22">
        <f>IF(D4293="?OLD","!!!","")</f>
        <v/>
      </c>
      <c r="F4293" s="23" t="str">
        <f>IF(OR(E4293="",E4293="!!!"),"",IF(NOT(ISNA(VLOOKUP(E4293,E$1:E4292,1,FALSE()))),"OLD",IF(AND(E4293&lt;&gt;"",E4293&lt;&gt;"!!!"),"NEW","")))</f>
        <v> </v>
      </c>
      <c r="G4293" s="24" t="str">
        <f>IF(OR(E4293="",E4293="!!!"),"",IF(OR(J4293=0,AND(J4293=1,K4293=1),AND(J4293=1,I4293="SBJ"),AND(J4293=1,I4293=0)),"?IN_FOCUS",IF(J4293&lt;=2,"?ACTIVATED",IF(J4293&lt;&gt;"","?FAMILIAR",IF(F4293="NEW",IF(ISNA(VLOOKUP(E4293,#REF!,1,FALSE())),"?TYPE_IDENTIFIABLE","?REFERENTIAL"),"_")))))</f>
        <v> </v>
      </c>
      <c r="H4293" s="25" t="str">
        <f>IF(J4293&lt;&gt;1,"",IF(I4293="SBJ","CB","?"))</f>
        <v> </v>
      </c>
      <c r="I4293" s="26" t="str">
        <f>IF(OR(E4293="",E4293="!!!",F4293="NEW"),"",INDEX(B4292:B$2,-1+SUMPRODUCT(MAX(ROW(E4292:E$2)*(E4293=E4292:E$2)))))</f>
        <v> </v>
      </c>
      <c r="J4293" s="26" t="str">
        <f>IF(OR(E4293="",E4293="!!!",F4293="NEW"),"",COUNTBLANK(OFFSET(A$1,,,SUMPRODUCT(MAX(ROW(E$2:E4293)*(E4293=E$2:E4293)))))-COUNTBLANK(OFFSET(A$1,,,SUMPRODUCT(MAX(ROW(E$1:E4292)*(E2=E$1:E4292))))))</f>
        <v> </v>
      </c>
      <c r="K4293" s="26" t="str">
        <f>IF(OR(E4293="",E4293="!!!",F4293="NEW"),"",INDEX(J$1:J4292,SUMPRODUCT(MAX(ROW(E$1:E4292)*(E4293=E$1:E4292)))))</f>
        <v> </v>
      </c>
      <c r="L4293" s="27"/>
    </row>
    <row r="4294" spans="1:12">
      <c r="A4294" s="20" t="s">
        <v>2388</v>
      </c>
      <c r="E4294" s="22">
        <f>IF(D4294="?OLD","!!!","")</f>
        <v/>
      </c>
      <c r="F4294" s="23" t="str">
        <f>IF(OR(E4294="",E4294="!!!"),"",IF(NOT(ISNA(VLOOKUP(E4294,E$1:E4293,1,FALSE()))),"OLD",IF(AND(E4294&lt;&gt;"",E4294&lt;&gt;"!!!"),"NEW","")))</f>
        <v> </v>
      </c>
      <c r="G4294" s="24" t="str">
        <f>IF(OR(E4294="",E4294="!!!"),"",IF(OR(J4294=0,AND(J4294=1,K4294=1),AND(J4294=1,I4294="SBJ"),AND(J4294=1,I4294=0)),"?IN_FOCUS",IF(J4294&lt;=2,"?ACTIVATED",IF(J4294&lt;&gt;"","?FAMILIAR",IF(F4294="NEW",IF(ISNA(VLOOKUP(E4294,#REF!,1,FALSE())),"?TYPE_IDENTIFIABLE","?REFERENTIAL"),"_")))))</f>
        <v> </v>
      </c>
      <c r="H4294" s="25" t="str">
        <f>IF(J4294&lt;&gt;1,"",IF(I4294="SBJ","CB","?"))</f>
        <v> </v>
      </c>
      <c r="I4294" s="26" t="str">
        <f>IF(OR(E4294="",E4294="!!!",F4294="NEW"),"",INDEX(B4293:B$2,-1+SUMPRODUCT(MAX(ROW(E4293:E$2)*(E4294=E4293:E$2)))))</f>
        <v> </v>
      </c>
      <c r="J4294" s="26" t="str">
        <f>IF(OR(E4294="",E4294="!!!",F4294="NEW"),"",COUNTBLANK(OFFSET(A$1,,,SUMPRODUCT(MAX(ROW(E$2:E4294)*(E4294=E$2:E4294)))))-COUNTBLANK(OFFSET(A$1,,,SUMPRODUCT(MAX(ROW(E$1:E4293)*(E2=E$1:E4293))))))</f>
        <v> </v>
      </c>
      <c r="K4294" s="26" t="str">
        <f>IF(OR(E4294="",E4294="!!!",F4294="NEW"),"",INDEX(J$1:J4293,SUMPRODUCT(MAX(ROW(E$1:E4293)*(E4294=E$1:E4293)))))</f>
        <v> </v>
      </c>
      <c r="L4294" s="27"/>
    </row>
    <row r="4295" spans="1:12">
      <c r="A4295" s="20" t="s">
        <v>2389</v>
      </c>
      <c r="E4295" s="22">
        <f>IF(D4295="?OLD","!!!","")</f>
        <v/>
      </c>
      <c r="F4295" s="23" t="str">
        <f>IF(OR(E4295="",E4295="!!!"),"",IF(NOT(ISNA(VLOOKUP(E4295,E$1:E4294,1,FALSE()))),"OLD",IF(AND(E4295&lt;&gt;"",E4295&lt;&gt;"!!!"),"NEW","")))</f>
        <v> </v>
      </c>
      <c r="G4295" s="24" t="str">
        <f>IF(OR(E4295="",E4295="!!!"),"",IF(OR(J4295=0,AND(J4295=1,K4295=1),AND(J4295=1,I4295="SBJ"),AND(J4295=1,I4295=0)),"?IN_FOCUS",IF(J4295&lt;=2,"?ACTIVATED",IF(J4295&lt;&gt;"","?FAMILIAR",IF(F4295="NEW",IF(ISNA(VLOOKUP(E4295,#REF!,1,FALSE())),"?TYPE_IDENTIFIABLE","?REFERENTIAL"),"_")))))</f>
        <v> </v>
      </c>
      <c r="H4295" s="25" t="str">
        <f>IF(J4295&lt;&gt;1,"",IF(I4295="SBJ","CB","?"))</f>
        <v> </v>
      </c>
      <c r="I4295" s="26" t="str">
        <f>IF(OR(E4295="",E4295="!!!",F4295="NEW"),"",INDEX(B4294:B$2,-1+SUMPRODUCT(MAX(ROW(E4294:E$2)*(E4295=E4294:E$2)))))</f>
        <v> </v>
      </c>
      <c r="J4295" s="26" t="str">
        <f>IF(OR(E4295="",E4295="!!!",F4295="NEW"),"",COUNTBLANK(OFFSET(A$1,,,SUMPRODUCT(MAX(ROW(E$2:E4295)*(E4295=E$2:E4295)))))-COUNTBLANK(OFFSET(A$1,,,SUMPRODUCT(MAX(ROW(E$1:E4294)*(E2=E$1:E4294))))))</f>
        <v> </v>
      </c>
      <c r="K4295" s="26" t="str">
        <f>IF(OR(E4295="",E4295="!!!",F4295="NEW"),"",INDEX(J$1:J4294,SUMPRODUCT(MAX(ROW(E$1:E4294)*(E4295=E$1:E4294)))))</f>
        <v> </v>
      </c>
      <c r="L4295" s="27"/>
    </row>
    <row r="4296" spans="1:12">
      <c r="A4296" s="20" t="s">
        <v>1440</v>
      </c>
      <c r="E4296" s="22">
        <f>IF(D4296="?OLD","!!!","")</f>
        <v/>
      </c>
      <c r="F4296" s="23" t="str">
        <f>IF(OR(E4296="",E4296="!!!"),"",IF(NOT(ISNA(VLOOKUP(E4296,E$1:E4295,1,FALSE()))),"OLD",IF(AND(E4296&lt;&gt;"",E4296&lt;&gt;"!!!"),"NEW","")))</f>
        <v> </v>
      </c>
      <c r="G4296" s="24" t="str">
        <f>IF(OR(E4296="",E4296="!!!"),"",IF(OR(J4296=0,AND(J4296=1,K4296=1),AND(J4296=1,I4296="SBJ"),AND(J4296=1,I4296=0)),"?IN_FOCUS",IF(J4296&lt;=2,"?ACTIVATED",IF(J4296&lt;&gt;"","?FAMILIAR",IF(F4296="NEW",IF(ISNA(VLOOKUP(E4296,#REF!,1,FALSE())),"?TYPE_IDENTIFIABLE","?REFERENTIAL"),"_")))))</f>
        <v> </v>
      </c>
      <c r="H4296" s="25" t="str">
        <f>IF(J4296&lt;&gt;1,"",IF(I4296="SBJ","CB","?"))</f>
        <v> </v>
      </c>
      <c r="I4296" s="26" t="str">
        <f>IF(OR(E4296="",E4296="!!!",F4296="NEW"),"",INDEX(B4295:B$2,-1+SUMPRODUCT(MAX(ROW(E4295:E$2)*(E4296=E4295:E$2)))))</f>
        <v> </v>
      </c>
      <c r="J4296" s="26" t="str">
        <f>IF(OR(E4296="",E4296="!!!",F4296="NEW"),"",COUNTBLANK(OFFSET(A$1,,,SUMPRODUCT(MAX(ROW(E$2:E4296)*(E4296=E$2:E4296)))))-COUNTBLANK(OFFSET(A$1,,,SUMPRODUCT(MAX(ROW(E$1:E4295)*(E2=E$1:E4295))))))</f>
        <v> </v>
      </c>
      <c r="K4296" s="26" t="str">
        <f>IF(OR(E4296="",E4296="!!!",F4296="NEW"),"",INDEX(J$1:J4295,SUMPRODUCT(MAX(ROW(E$1:E4295)*(E4296=E$1:E4295)))))</f>
        <v> </v>
      </c>
      <c r="L4296" s="27"/>
    </row>
    <row r="4297" spans="1:12">
      <c r="A4297" s="20" t="s">
        <v>312</v>
      </c>
      <c r="E4297" s="22">
        <f>IF(D4297="?OLD","!!!","")</f>
        <v/>
      </c>
      <c r="F4297" s="23" t="str">
        <f>IF(OR(E4297="",E4297="!!!"),"",IF(NOT(ISNA(VLOOKUP(E4297,E$1:E4296,1,FALSE()))),"OLD",IF(AND(E4297&lt;&gt;"",E4297&lt;&gt;"!!!"),"NEW","")))</f>
        <v> </v>
      </c>
      <c r="G4297" s="24" t="str">
        <f>IF(OR(E4297="",E4297="!!!"),"",IF(OR(J4297=0,AND(J4297=1,K4297=1),AND(J4297=1,I4297="SBJ"),AND(J4297=1,I4297=0)),"?IN_FOCUS",IF(J4297&lt;=2,"?ACTIVATED",IF(J4297&lt;&gt;"","?FAMILIAR",IF(F4297="NEW",IF(ISNA(VLOOKUP(E4297,#REF!,1,FALSE())),"?TYPE_IDENTIFIABLE","?REFERENTIAL"),"_")))))</f>
        <v> </v>
      </c>
      <c r="H4297" s="25" t="str">
        <f>IF(J4297&lt;&gt;1,"",IF(I4297="SBJ","CB","?"))</f>
        <v> </v>
      </c>
      <c r="I4297" s="26" t="str">
        <f>IF(OR(E4297="",E4297="!!!",F4297="NEW"),"",INDEX(B4296:B$2,-1+SUMPRODUCT(MAX(ROW(E4296:E$2)*(E4297=E4296:E$2)))))</f>
        <v> </v>
      </c>
      <c r="J4297" s="26" t="str">
        <f>IF(OR(E4297="",E4297="!!!",F4297="NEW"),"",COUNTBLANK(OFFSET(A$1,,,SUMPRODUCT(MAX(ROW(E$2:E4297)*(E4297=E$2:E4297)))))-COUNTBLANK(OFFSET(A$1,,,SUMPRODUCT(MAX(ROW(E$1:E4296)*(E2=E$1:E4296))))))</f>
        <v> </v>
      </c>
      <c r="K4297" s="26" t="str">
        <f>IF(OR(E4297="",E4297="!!!",F4297="NEW"),"",INDEX(J$1:J4296,SUMPRODUCT(MAX(ROW(E$1:E4296)*(E4297=E$1:E4296)))))</f>
        <v> </v>
      </c>
      <c r="L4297" s="27"/>
    </row>
    <row r="4298" spans="1:12">
      <c r="A4298" s="20"/>
    </row>
    <row r="4299" spans="1:12">
      <c r="A4299" s="20" t="s">
        <v>2390</v>
      </c>
    </row>
    <row r="4300" spans="1:12">
      <c r="A4300" s="20" t="s">
        <v>1284</v>
      </c>
      <c r="E4300" s="22">
        <f>IF(D4300="?OLD","!!!","")</f>
        <v/>
      </c>
      <c r="F4300" s="23" t="str">
        <f>IF(OR(E4300="",E4300="!!!"),"",IF(NOT(ISNA(VLOOKUP(E4300,E$1:E4299,1,FALSE()))),"OLD",IF(AND(E4300&lt;&gt;"",E4300&lt;&gt;"!!!"),"NEW","")))</f>
        <v> </v>
      </c>
      <c r="G4300" s="24" t="str">
        <f>IF(OR(E4300="",E4300="!!!"),"",IF(OR(J4300=0,AND(J4300=1,K4300=1),AND(J4300=1,I4300="SBJ"),AND(J4300=1,I4300=0)),"?IN_FOCUS",IF(J4300&lt;=2,"?ACTIVATED",IF(J4300&lt;&gt;"","?FAMILIAR",IF(F4300="NEW",IF(ISNA(VLOOKUP(E4300,#REF!,1,FALSE())),"?TYPE_IDENTIFIABLE","?REFERENTIAL"),"_")))))</f>
        <v> </v>
      </c>
      <c r="H4300" s="25" t="str">
        <f>IF(J4300&lt;&gt;1,"",IF(I4300="SBJ","CB","?"))</f>
        <v> </v>
      </c>
      <c r="I4300" s="26" t="str">
        <f>IF(OR(E4300="",E4300="!!!",F4300="NEW"),"",INDEX(B4299:B$2,-1+SUMPRODUCT(MAX(ROW(E4299:E$2)*(E4300=E4299:E$2)))))</f>
        <v> </v>
      </c>
      <c r="J4300" s="26" t="str">
        <f>IF(OR(E4300="",E4300="!!!",F4300="NEW"),"",COUNTBLANK(OFFSET(A$1,,,SUMPRODUCT(MAX(ROW(E$2:E4300)*(E4300=E$2:E4300)))))-COUNTBLANK(OFFSET(A$1,,,SUMPRODUCT(MAX(ROW(E$1:E4299)*(E2=E$1:E4299))))))</f>
        <v> </v>
      </c>
      <c r="K4300" s="26" t="str">
        <f>IF(OR(E4300="",E4300="!!!",F4300="NEW"),"",INDEX(J$1:J4299,SUMPRODUCT(MAX(ROW(E$1:E4299)*(E4300=E$1:E4299)))))</f>
        <v> </v>
      </c>
      <c r="L4300" s="27"/>
    </row>
    <row r="4301" spans="1:12">
      <c r="A4301" s="20" t="s">
        <v>1007</v>
      </c>
      <c r="E4301" s="22">
        <f>IF(D4301="?OLD","!!!","")</f>
        <v/>
      </c>
      <c r="F4301" s="23" t="str">
        <f>IF(OR(E4301="",E4301="!!!"),"",IF(NOT(ISNA(VLOOKUP(E4301,E$1:E4300,1,FALSE()))),"OLD",IF(AND(E4301&lt;&gt;"",E4301&lt;&gt;"!!!"),"NEW","")))</f>
        <v> </v>
      </c>
      <c r="G4301" s="24" t="str">
        <f>IF(OR(E4301="",E4301="!!!"),"",IF(OR(J4301=0,AND(J4301=1,K4301=1),AND(J4301=1,I4301="SBJ"),AND(J4301=1,I4301=0)),"?IN_FOCUS",IF(J4301&lt;=2,"?ACTIVATED",IF(J4301&lt;&gt;"","?FAMILIAR",IF(F4301="NEW",IF(ISNA(VLOOKUP(E4301,#REF!,1,FALSE())),"?TYPE_IDENTIFIABLE","?REFERENTIAL"),"_")))))</f>
        <v> </v>
      </c>
      <c r="H4301" s="25" t="str">
        <f>IF(J4301&lt;&gt;1,"",IF(I4301="SBJ","CB","?"))</f>
        <v> </v>
      </c>
      <c r="I4301" s="26" t="str">
        <f>IF(OR(E4301="",E4301="!!!",F4301="NEW"),"",INDEX(B4300:B$2,-1+SUMPRODUCT(MAX(ROW(E4300:E$2)*(E4301=E4300:E$2)))))</f>
        <v> </v>
      </c>
      <c r="J4301" s="26" t="str">
        <f>IF(OR(E4301="",E4301="!!!",F4301="NEW"),"",COUNTBLANK(OFFSET(A$1,,,SUMPRODUCT(MAX(ROW(E$2:E4301)*(E4301=E$2:E4301)))))-COUNTBLANK(OFFSET(A$1,,,SUMPRODUCT(MAX(ROW(E$1:E4300)*(E2=E$1:E4300))))))</f>
        <v> </v>
      </c>
      <c r="K4301" s="26" t="str">
        <f>IF(OR(E4301="",E4301="!!!",F4301="NEW"),"",INDEX(J$1:J4300,SUMPRODUCT(MAX(ROW(E$1:E4300)*(E4301=E$1:E4300)))))</f>
        <v> </v>
      </c>
      <c r="L4301" s="27"/>
    </row>
    <row r="4302" spans="1:12">
      <c r="A4302" s="20" t="s">
        <v>1266</v>
      </c>
      <c r="B4302" s="21" t="s">
        <v>1171</v>
      </c>
      <c r="C4302" s="21" t="s">
        <v>1182</v>
      </c>
      <c r="E4302" s="22">
        <f>IF(D4302="?OLD","!!!","")</f>
        <v/>
      </c>
      <c r="F4302" s="23" t="str">
        <f>IF(OR(E4302="",E4302="!!!"),"",IF(NOT(ISNA(VLOOKUP(E4302,E$1:E4301,1,FALSE()))),"OLD",IF(AND(E4302&lt;&gt;"",E4302&lt;&gt;"!!!"),"NEW","")))</f>
        <v> </v>
      </c>
      <c r="G4302" s="24" t="str">
        <f>IF(OR(E4302="",E4302="!!!"),"",IF(OR(J4302=0,AND(J4302=1,K4302=1),AND(J4302=1,I4302="SBJ"),AND(J4302=1,I4302=0)),"?IN_FOCUS",IF(J4302&lt;=2,"?ACTIVATED",IF(J4302&lt;&gt;"","?FAMILIAR",IF(F4302="NEW",IF(ISNA(VLOOKUP(E4302,#REF!,1,FALSE())),"?TYPE_IDENTIFIABLE","?REFERENTIAL"),"_")))))</f>
        <v> </v>
      </c>
      <c r="H4302" s="25" t="str">
        <f>IF(J4302&lt;&gt;1,"",IF(I4302="SBJ","CB","?"))</f>
        <v> </v>
      </c>
      <c r="I4302" s="26" t="str">
        <f>IF(OR(E4302="",E4302="!!!",F4302="NEW"),"",INDEX(B4301:B$2,-1+SUMPRODUCT(MAX(ROW(E4301:E$2)*(E4302=E4301:E$2)))))</f>
        <v> </v>
      </c>
      <c r="J4302" s="26" t="str">
        <f>IF(OR(E4302="",E4302="!!!",F4302="NEW"),"",COUNTBLANK(OFFSET(A$1,,,SUMPRODUCT(MAX(ROW(E$2:E4302)*(E4302=E$2:E4302)))))-COUNTBLANK(OFFSET(A$1,,,SUMPRODUCT(MAX(ROW(E$1:E4301)*(E2=E$1:E4301))))))</f>
        <v> </v>
      </c>
      <c r="K4302" s="26" t="str">
        <f>IF(OR(E4302="",E4302="!!!",F4302="NEW"),"",INDEX(J$1:J4301,SUMPRODUCT(MAX(ROW(E$1:E4301)*(E4302=E$1:E4301)))))</f>
        <v> </v>
      </c>
      <c r="L4302" s="27"/>
    </row>
    <row r="4303" spans="1:12">
      <c r="A4303" s="20" t="s">
        <v>2365</v>
      </c>
      <c r="B4303" s="21" t="s">
        <v>1154</v>
      </c>
      <c r="C4303" s="21" t="s">
        <v>1214</v>
      </c>
      <c r="E4303" s="22">
        <f>IF(D4303="?OLD","!!!","")</f>
        <v/>
      </c>
      <c r="F4303" s="23" t="str">
        <f>IF(OR(E4303="",E4303="!!!"),"",IF(NOT(ISNA(VLOOKUP(E4303,E$1:E4302,1,FALSE()))),"OLD",IF(AND(E4303&lt;&gt;"",E4303&lt;&gt;"!!!"),"NEW","")))</f>
        <v> </v>
      </c>
      <c r="G4303" s="24" t="str">
        <f>IF(OR(E4303="",E4303="!!!"),"",IF(OR(J4303=0,AND(J4303=1,K4303=1),AND(J4303=1,I4303="SBJ"),AND(J4303=1,I4303=0)),"?IN_FOCUS",IF(J4303&lt;=2,"?ACTIVATED",IF(J4303&lt;&gt;"","?FAMILIAR",IF(F4303="NEW",IF(ISNA(VLOOKUP(E4303,#REF!,1,FALSE())),"?TYPE_IDENTIFIABLE","?REFERENTIAL"),"_")))))</f>
        <v> </v>
      </c>
      <c r="H4303" s="25" t="str">
        <f>IF(J4303&lt;&gt;1,"",IF(I4303="SBJ","CB","?"))</f>
        <v> </v>
      </c>
      <c r="I4303" s="26" t="str">
        <f>IF(OR(E4303="",E4303="!!!",F4303="NEW"),"",INDEX(B4302:B$2,-1+SUMPRODUCT(MAX(ROW(E4302:E$2)*(E4303=E4302:E$2)))))</f>
        <v> </v>
      </c>
      <c r="J4303" s="26" t="str">
        <f>IF(OR(E4303="",E4303="!!!",F4303="NEW"),"",COUNTBLANK(OFFSET(A$1,,,SUMPRODUCT(MAX(ROW(E$2:E4303)*(E4303=E$2:E4303)))))-COUNTBLANK(OFFSET(A$1,,,SUMPRODUCT(MAX(ROW(E$1:E4302)*(E2=E$1:E4302))))))</f>
        <v> </v>
      </c>
      <c r="K4303" s="26" t="str">
        <f>IF(OR(E4303="",E4303="!!!",F4303="NEW"),"",INDEX(J$1:J4302,SUMPRODUCT(MAX(ROW(E$1:E4302)*(E4303=E$1:E4302)))))</f>
        <v> </v>
      </c>
      <c r="L4303" s="27"/>
    </row>
    <row r="4304" spans="1:12">
      <c r="A4304" s="20" t="s">
        <v>1339</v>
      </c>
      <c r="E4304" s="22">
        <f>IF(D4304="?OLD","!!!","")</f>
        <v/>
      </c>
      <c r="F4304" s="23" t="str">
        <f>IF(OR(E4304="",E4304="!!!"),"",IF(NOT(ISNA(VLOOKUP(E4304,E$1:E4303,1,FALSE()))),"OLD",IF(AND(E4304&lt;&gt;"",E4304&lt;&gt;"!!!"),"NEW","")))</f>
        <v> </v>
      </c>
      <c r="G4304" s="24" t="str">
        <f>IF(OR(E4304="",E4304="!!!"),"",IF(OR(J4304=0,AND(J4304=1,K4304=1),AND(J4304=1,I4304="SBJ"),AND(J4304=1,I4304=0)),"?IN_FOCUS",IF(J4304&lt;=2,"?ACTIVATED",IF(J4304&lt;&gt;"","?FAMILIAR",IF(F4304="NEW",IF(ISNA(VLOOKUP(E4304,#REF!,1,FALSE())),"?TYPE_IDENTIFIABLE","?REFERENTIAL"),"_")))))</f>
        <v> </v>
      </c>
      <c r="H4304" s="25" t="str">
        <f>IF(J4304&lt;&gt;1,"",IF(I4304="SBJ","CB","?"))</f>
        <v> </v>
      </c>
      <c r="I4304" s="26" t="str">
        <f>IF(OR(E4304="",E4304="!!!",F4304="NEW"),"",INDEX(B4303:B$2,-1+SUMPRODUCT(MAX(ROW(E4303:E$2)*(E4304=E4303:E$2)))))</f>
        <v> </v>
      </c>
      <c r="J4304" s="26" t="str">
        <f>IF(OR(E4304="",E4304="!!!",F4304="NEW"),"",COUNTBLANK(OFFSET(A$1,,,SUMPRODUCT(MAX(ROW(E$2:E4304)*(E4304=E$2:E4304)))))-COUNTBLANK(OFFSET(A$1,,,SUMPRODUCT(MAX(ROW(E$1:E4303)*(E2=E$1:E4303))))))</f>
        <v> </v>
      </c>
      <c r="K4304" s="26" t="str">
        <f>IF(OR(E4304="",E4304="!!!",F4304="NEW"),"",INDEX(J$1:J4303,SUMPRODUCT(MAX(ROW(E$1:E4303)*(E4304=E$1:E4303)))))</f>
        <v> </v>
      </c>
      <c r="L4304" s="27"/>
    </row>
    <row r="4305" spans="1:12">
      <c r="A4305" s="20" t="s">
        <v>1275</v>
      </c>
      <c r="E4305" s="22">
        <f>IF(D4305="?OLD","!!!","")</f>
        <v/>
      </c>
      <c r="F4305" s="23" t="str">
        <f>IF(OR(E4305="",E4305="!!!"),"",IF(NOT(ISNA(VLOOKUP(E4305,E$1:E4304,1,FALSE()))),"OLD",IF(AND(E4305&lt;&gt;"",E4305&lt;&gt;"!!!"),"NEW","")))</f>
        <v> </v>
      </c>
      <c r="G4305" s="24" t="str">
        <f>IF(OR(E4305="",E4305="!!!"),"",IF(OR(J4305=0,AND(J4305=1,K4305=1),AND(J4305=1,I4305="SBJ"),AND(J4305=1,I4305=0)),"?IN_FOCUS",IF(J4305&lt;=2,"?ACTIVATED",IF(J4305&lt;&gt;"","?FAMILIAR",IF(F4305="NEW",IF(ISNA(VLOOKUP(E4305,#REF!,1,FALSE())),"?TYPE_IDENTIFIABLE","?REFERENTIAL"),"_")))))</f>
        <v> </v>
      </c>
      <c r="H4305" s="25" t="str">
        <f>IF(J4305&lt;&gt;1,"",IF(I4305="SBJ","CB","?"))</f>
        <v> </v>
      </c>
      <c r="I4305" s="26" t="str">
        <f>IF(OR(E4305="",E4305="!!!",F4305="NEW"),"",INDEX(B4304:B$2,-1+SUMPRODUCT(MAX(ROW(E4304:E$2)*(E4305=E4304:E$2)))))</f>
        <v> </v>
      </c>
      <c r="J4305" s="26" t="str">
        <f>IF(OR(E4305="",E4305="!!!",F4305="NEW"),"",COUNTBLANK(OFFSET(A$1,,,SUMPRODUCT(MAX(ROW(E$2:E4305)*(E4305=E$2:E4305)))))-COUNTBLANK(OFFSET(A$1,,,SUMPRODUCT(MAX(ROW(E$1:E4304)*(E2=E$1:E4304))))))</f>
        <v> </v>
      </c>
      <c r="K4305" s="26" t="str">
        <f>IF(OR(E4305="",E4305="!!!",F4305="NEW"),"",INDEX(J$1:J4304,SUMPRODUCT(MAX(ROW(E$1:E4304)*(E4305=E$1:E4304)))))</f>
        <v> </v>
      </c>
      <c r="L4305" s="27"/>
    </row>
    <row r="4306" spans="1:12">
      <c r="A4306" s="20" t="s">
        <v>2357</v>
      </c>
      <c r="B4306" s="21" t="s">
        <v>1161</v>
      </c>
      <c r="C4306" s="21" t="s">
        <v>1162</v>
      </c>
      <c r="D4306" s="21" t="s">
        <v>1144</v>
      </c>
      <c r="E4306" s="22">
        <f>IF(D4306="?OLD","!!!","")</f>
        <v/>
      </c>
      <c r="F4306" s="23" t="str">
        <f>IF(OR(E4306="",E4306="!!!"),"",IF(NOT(ISNA(VLOOKUP(E4306,E$1:E4305,1,FALSE()))),"OLD",IF(AND(E4306&lt;&gt;"",E4306&lt;&gt;"!!!"),"NEW","")))</f>
        <v> </v>
      </c>
      <c r="G4306" s="24" t="str">
        <f>IF(OR(E4306="",E4306="!!!"),"",IF(OR(J4306=0,AND(J4306=1,K4306=1),AND(J4306=1,I4306="SBJ"),AND(J4306=1,I4306=0)),"?IN_FOCUS",IF(J4306&lt;=2,"?ACTIVATED",IF(J4306&lt;&gt;"","?FAMILIAR",IF(F4306="NEW",IF(ISNA(VLOOKUP(E4306,#REF!,1,FALSE())),"?TYPE_IDENTIFIABLE","?REFERENTIAL"),"_")))))</f>
        <v> </v>
      </c>
      <c r="H4306" s="25" t="str">
        <f>IF(J4306&lt;&gt;1,"",IF(I4306="SBJ","CB","?"))</f>
        <v> </v>
      </c>
      <c r="I4306" s="26" t="str">
        <f>IF(OR(E4306="",E4306="!!!",F4306="NEW"),"",INDEX(B4305:B$2,-1+SUMPRODUCT(MAX(ROW(E4305:E$2)*(E4306=E4305:E$2)))))</f>
        <v> </v>
      </c>
      <c r="J4306" s="26" t="str">
        <f>IF(OR(E4306="",E4306="!!!",F4306="NEW"),"",COUNTBLANK(OFFSET(A$1,,,SUMPRODUCT(MAX(ROW(E$2:E4306)*(E4306=E$2:E4306)))))-COUNTBLANK(OFFSET(A$1,,,SUMPRODUCT(MAX(ROW(E$1:E4305)*(E2=E$1:E4305))))))</f>
        <v> </v>
      </c>
      <c r="K4306" s="26" t="str">
        <f>IF(OR(E4306="",E4306="!!!",F4306="NEW"),"",INDEX(J$1:J4305,SUMPRODUCT(MAX(ROW(E$1:E4305)*(E4306=E$1:E4305)))))</f>
        <v> </v>
      </c>
      <c r="L4306" s="27"/>
    </row>
    <row r="4307" spans="1:12">
      <c r="A4307" s="20" t="s">
        <v>312</v>
      </c>
      <c r="E4307" s="22">
        <f>IF(D4307="?OLD","!!!","")</f>
        <v/>
      </c>
      <c r="F4307" s="23" t="str">
        <f>IF(OR(E4307="",E4307="!!!"),"",IF(NOT(ISNA(VLOOKUP(E4307,E$1:E4306,1,FALSE()))),"OLD",IF(AND(E4307&lt;&gt;"",E4307&lt;&gt;"!!!"),"NEW","")))</f>
        <v> </v>
      </c>
      <c r="G4307" s="24" t="str">
        <f>IF(OR(E4307="",E4307="!!!"),"",IF(OR(J4307=0,AND(J4307=1,K4307=1),AND(J4307=1,I4307="SBJ"),AND(J4307=1,I4307=0)),"?IN_FOCUS",IF(J4307&lt;=2,"?ACTIVATED",IF(J4307&lt;&gt;"","?FAMILIAR",IF(F4307="NEW",IF(ISNA(VLOOKUP(E4307,#REF!,1,FALSE())),"?TYPE_IDENTIFIABLE","?REFERENTIAL"),"_")))))</f>
        <v> </v>
      </c>
      <c r="H4307" s="25" t="str">
        <f>IF(J4307&lt;&gt;1,"",IF(I4307="SBJ","CB","?"))</f>
        <v> </v>
      </c>
      <c r="I4307" s="26" t="str">
        <f>IF(OR(E4307="",E4307="!!!",F4307="NEW"),"",INDEX(B4306:B$2,-1+SUMPRODUCT(MAX(ROW(E4306:E$2)*(E4307=E4306:E$2)))))</f>
        <v> </v>
      </c>
      <c r="J4307" s="26" t="str">
        <f>IF(OR(E4307="",E4307="!!!",F4307="NEW"),"",COUNTBLANK(OFFSET(A$1,,,SUMPRODUCT(MAX(ROW(E$2:E4307)*(E4307=E$2:E4307)))))-COUNTBLANK(OFFSET(A$1,,,SUMPRODUCT(MAX(ROW(E$1:E4306)*(E2=E$1:E4306))))))</f>
        <v> </v>
      </c>
      <c r="K4307" s="26" t="str">
        <f>IF(OR(E4307="",E4307="!!!",F4307="NEW"),"",INDEX(J$1:J4306,SUMPRODUCT(MAX(ROW(E$1:E4306)*(E4307=E$1:E4306)))))</f>
        <v> </v>
      </c>
      <c r="L4307" s="27"/>
    </row>
    <row r="4308" spans="1:12">
      <c r="A4308" s="20"/>
    </row>
    <row r="4309" spans="1:12">
      <c r="A4309" s="20" t="s">
        <v>2391</v>
      </c>
    </row>
    <row r="4310" spans="1:12">
      <c r="A4310" s="20" t="s">
        <v>2392</v>
      </c>
      <c r="B4310" s="21" t="s">
        <v>1171</v>
      </c>
      <c r="C4310" s="21" t="s">
        <v>1168</v>
      </c>
      <c r="D4310" s="21" t="s">
        <v>1144</v>
      </c>
      <c r="E4310" s="22">
        <f>IF(D4310="?OLD","!!!","")</f>
        <v/>
      </c>
      <c r="F4310" s="23" t="str">
        <f>IF(OR(E4310="",E4310="!!!"),"",IF(NOT(ISNA(VLOOKUP(E4310,E$1:E4309,1,FALSE()))),"OLD",IF(AND(E4310&lt;&gt;"",E4310&lt;&gt;"!!!"),"NEW","")))</f>
        <v> </v>
      </c>
      <c r="G4310" s="24" t="str">
        <f>IF(OR(E4310="",E4310="!!!"),"",IF(OR(J4310=0,AND(J4310=1,K4310=1),AND(J4310=1,I4310="SBJ"),AND(J4310=1,I4310=0)),"?IN_FOCUS",IF(J4310&lt;=2,"?ACTIVATED",IF(J4310&lt;&gt;"","?FAMILIAR",IF(F4310="NEW",IF(ISNA(VLOOKUP(E4310,#REF!,1,FALSE())),"?TYPE_IDENTIFIABLE","?REFERENTIAL"),"_")))))</f>
        <v> </v>
      </c>
      <c r="H4310" s="25" t="str">
        <f>IF(J4310&lt;&gt;1,"",IF(I4310="SBJ","CB","?"))</f>
        <v> </v>
      </c>
      <c r="I4310" s="26" t="str">
        <f>IF(OR(E4310="",E4310="!!!",F4310="NEW"),"",INDEX(B4309:B$2,-1+SUMPRODUCT(MAX(ROW(E4309:E$2)*(E4310=E4309:E$2)))))</f>
        <v> </v>
      </c>
      <c r="J4310" s="26" t="str">
        <f>IF(OR(E4310="",E4310="!!!",F4310="NEW"),"",COUNTBLANK(OFFSET(A$1,,,SUMPRODUCT(MAX(ROW(E$2:E4310)*(E4310=E$2:E4310)))))-COUNTBLANK(OFFSET(A$1,,,SUMPRODUCT(MAX(ROW(E$1:E4309)*(E2=E$1:E4309))))))</f>
        <v> </v>
      </c>
      <c r="K4310" s="26" t="str">
        <f>IF(OR(E4310="",E4310="!!!",F4310="NEW"),"",INDEX(J$1:J4309,SUMPRODUCT(MAX(ROW(E$1:E4309)*(E4310=E$1:E4309)))))</f>
        <v> </v>
      </c>
      <c r="L4310" s="27"/>
    </row>
    <row r="4311" spans="1:12">
      <c r="A4311" s="20" t="s">
        <v>1284</v>
      </c>
      <c r="B4311" s="21" t="s">
        <v>1165</v>
      </c>
      <c r="C4311" s="21" t="s">
        <v>1214</v>
      </c>
      <c r="E4311" s="22">
        <f>IF(D4311="?OLD","!!!","")</f>
        <v/>
      </c>
      <c r="F4311" s="23" t="str">
        <f>IF(OR(E4311="",E4311="!!!"),"",IF(NOT(ISNA(VLOOKUP(E4311,E$1:E4310,1,FALSE()))),"OLD",IF(AND(E4311&lt;&gt;"",E4311&lt;&gt;"!!!"),"NEW","")))</f>
        <v> </v>
      </c>
      <c r="G4311" s="24" t="str">
        <f>IF(OR(E4311="",E4311="!!!"),"",IF(OR(J4311=0,AND(J4311=1,K4311=1),AND(J4311=1,I4311="SBJ"),AND(J4311=1,I4311=0)),"?IN_FOCUS",IF(J4311&lt;=2,"?ACTIVATED",IF(J4311&lt;&gt;"","?FAMILIAR",IF(F4311="NEW",IF(ISNA(VLOOKUP(E4311,#REF!,1,FALSE())),"?TYPE_IDENTIFIABLE","?REFERENTIAL"),"_")))))</f>
        <v> </v>
      </c>
      <c r="H4311" s="25" t="str">
        <f>IF(J4311&lt;&gt;1,"",IF(I4311="SBJ","CB","?"))</f>
        <v> </v>
      </c>
      <c r="I4311" s="26" t="str">
        <f>IF(OR(E4311="",E4311="!!!",F4311="NEW"),"",INDEX(B4310:B$2,-1+SUMPRODUCT(MAX(ROW(E4310:E$2)*(E4311=E4310:E$2)))))</f>
        <v> </v>
      </c>
      <c r="J4311" s="26" t="str">
        <f>IF(OR(E4311="",E4311="!!!",F4311="NEW"),"",COUNTBLANK(OFFSET(A$1,,,SUMPRODUCT(MAX(ROW(E$2:E4311)*(E4311=E$2:E4311)))))-COUNTBLANK(OFFSET(A$1,,,SUMPRODUCT(MAX(ROW(E$1:E4310)*(E2=E$1:E4310))))))</f>
        <v> </v>
      </c>
      <c r="K4311" s="26" t="str">
        <f>IF(OR(E4311="",E4311="!!!",F4311="NEW"),"",INDEX(J$1:J4310,SUMPRODUCT(MAX(ROW(E$1:E4310)*(E4311=E$1:E4310)))))</f>
        <v> </v>
      </c>
      <c r="L4311" s="27"/>
    </row>
    <row r="4312" spans="1:12">
      <c r="A4312" s="20" t="s">
        <v>1501</v>
      </c>
      <c r="E4312" s="22">
        <f>IF(D4312="?OLD","!!!","")</f>
        <v/>
      </c>
      <c r="F4312" s="23" t="str">
        <f>IF(OR(E4312="",E4312="!!!"),"",IF(NOT(ISNA(VLOOKUP(E4312,E$1:E4311,1,FALSE()))),"OLD",IF(AND(E4312&lt;&gt;"",E4312&lt;&gt;"!!!"),"NEW","")))</f>
        <v> </v>
      </c>
      <c r="G4312" s="24" t="str">
        <f>IF(OR(E4312="",E4312="!!!"),"",IF(OR(J4312=0,AND(J4312=1,K4312=1),AND(J4312=1,I4312="SBJ"),AND(J4312=1,I4312=0)),"?IN_FOCUS",IF(J4312&lt;=2,"?ACTIVATED",IF(J4312&lt;&gt;"","?FAMILIAR",IF(F4312="NEW",IF(ISNA(VLOOKUP(E4312,#REF!,1,FALSE())),"?TYPE_IDENTIFIABLE","?REFERENTIAL"),"_")))))</f>
        <v> </v>
      </c>
      <c r="H4312" s="25" t="str">
        <f>IF(J4312&lt;&gt;1,"",IF(I4312="SBJ","CB","?"))</f>
        <v> </v>
      </c>
      <c r="I4312" s="26" t="str">
        <f>IF(OR(E4312="",E4312="!!!",F4312="NEW"),"",INDEX(B4311:B$2,-1+SUMPRODUCT(MAX(ROW(E4311:E$2)*(E4312=E4311:E$2)))))</f>
        <v> </v>
      </c>
      <c r="J4312" s="26" t="str">
        <f>IF(OR(E4312="",E4312="!!!",F4312="NEW"),"",COUNTBLANK(OFFSET(A$1,,,SUMPRODUCT(MAX(ROW(E$2:E4312)*(E4312=E$2:E4312)))))-COUNTBLANK(OFFSET(A$1,,,SUMPRODUCT(MAX(ROW(E$1:E4311)*(E2=E$1:E4311))))))</f>
        <v> </v>
      </c>
      <c r="K4312" s="26" t="str">
        <f>IF(OR(E4312="",E4312="!!!",F4312="NEW"),"",INDEX(J$1:J4311,SUMPRODUCT(MAX(ROW(E$1:E4311)*(E4312=E$1:E4311)))))</f>
        <v> </v>
      </c>
      <c r="L4312" s="27"/>
    </row>
    <row r="4313" spans="1:12">
      <c r="A4313" s="20" t="s">
        <v>1339</v>
      </c>
      <c r="E4313" s="22">
        <f>IF(D4313="?OLD","!!!","")</f>
        <v/>
      </c>
      <c r="F4313" s="23" t="str">
        <f>IF(OR(E4313="",E4313="!!!"),"",IF(NOT(ISNA(VLOOKUP(E4313,E$1:E4312,1,FALSE()))),"OLD",IF(AND(E4313&lt;&gt;"",E4313&lt;&gt;"!!!"),"NEW","")))</f>
        <v> </v>
      </c>
      <c r="G4313" s="24" t="str">
        <f>IF(OR(E4313="",E4313="!!!"),"",IF(OR(J4313=0,AND(J4313=1,K4313=1),AND(J4313=1,I4313="SBJ"),AND(J4313=1,I4313=0)),"?IN_FOCUS",IF(J4313&lt;=2,"?ACTIVATED",IF(J4313&lt;&gt;"","?FAMILIAR",IF(F4313="NEW",IF(ISNA(VLOOKUP(E4313,#REF!,1,FALSE())),"?TYPE_IDENTIFIABLE","?REFERENTIAL"),"_")))))</f>
        <v> </v>
      </c>
      <c r="H4313" s="25" t="str">
        <f>IF(J4313&lt;&gt;1,"",IF(I4313="SBJ","CB","?"))</f>
        <v> </v>
      </c>
      <c r="I4313" s="26" t="str">
        <f>IF(OR(E4313="",E4313="!!!",F4313="NEW"),"",INDEX(B4312:B$2,-1+SUMPRODUCT(MAX(ROW(E4312:E$2)*(E4313=E4312:E$2)))))</f>
        <v> </v>
      </c>
      <c r="J4313" s="26" t="str">
        <f>IF(OR(E4313="",E4313="!!!",F4313="NEW"),"",COUNTBLANK(OFFSET(A$1,,,SUMPRODUCT(MAX(ROW(E$2:E4313)*(E4313=E$2:E4313)))))-COUNTBLANK(OFFSET(A$1,,,SUMPRODUCT(MAX(ROW(E$1:E4312)*(E2=E$1:E4312))))))</f>
        <v> </v>
      </c>
      <c r="K4313" s="26" t="str">
        <f>IF(OR(E4313="",E4313="!!!",F4313="NEW"),"",INDEX(J$1:J4312,SUMPRODUCT(MAX(ROW(E$1:E4312)*(E4313=E$1:E4312)))))</f>
        <v> </v>
      </c>
      <c r="L4313" s="27"/>
    </row>
    <row r="4314" spans="1:12">
      <c r="A4314" s="20" t="s">
        <v>1159</v>
      </c>
      <c r="E4314" s="22">
        <f>IF(D4314="?OLD","!!!","")</f>
        <v/>
      </c>
      <c r="F4314" s="23" t="str">
        <f>IF(OR(E4314="",E4314="!!!"),"",IF(NOT(ISNA(VLOOKUP(E4314,E$1:E4313,1,FALSE()))),"OLD",IF(AND(E4314&lt;&gt;"",E4314&lt;&gt;"!!!"),"NEW","")))</f>
        <v> </v>
      </c>
      <c r="G4314" s="24" t="str">
        <f>IF(OR(E4314="",E4314="!!!"),"",IF(OR(J4314=0,AND(J4314=1,K4314=1),AND(J4314=1,I4314="SBJ"),AND(J4314=1,I4314=0)),"?IN_FOCUS",IF(J4314&lt;=2,"?ACTIVATED",IF(J4314&lt;&gt;"","?FAMILIAR",IF(F4314="NEW",IF(ISNA(VLOOKUP(E4314,#REF!,1,FALSE())),"?TYPE_IDENTIFIABLE","?REFERENTIAL"),"_")))))</f>
        <v> </v>
      </c>
      <c r="H4314" s="25" t="str">
        <f>IF(J4314&lt;&gt;1,"",IF(I4314="SBJ","CB","?"))</f>
        <v> </v>
      </c>
      <c r="I4314" s="26" t="str">
        <f>IF(OR(E4314="",E4314="!!!",F4314="NEW"),"",INDEX(B4313:B$2,-1+SUMPRODUCT(MAX(ROW(E4313:E$2)*(E4314=E4313:E$2)))))</f>
        <v> </v>
      </c>
      <c r="J4314" s="26" t="str">
        <f>IF(OR(E4314="",E4314="!!!",F4314="NEW"),"",COUNTBLANK(OFFSET(A$1,,,SUMPRODUCT(MAX(ROW(E$2:E4314)*(E4314=E$2:E4314)))))-COUNTBLANK(OFFSET(A$1,,,SUMPRODUCT(MAX(ROW(E$1:E4313)*(E2=E$1:E4313))))))</f>
        <v> </v>
      </c>
      <c r="K4314" s="26" t="str">
        <f>IF(OR(E4314="",E4314="!!!",F4314="NEW"),"",INDEX(J$1:J4313,SUMPRODUCT(MAX(ROW(E$1:E4313)*(E4314=E$1:E4313)))))</f>
        <v> </v>
      </c>
      <c r="L4314" s="27"/>
    </row>
    <row r="4315" spans="1:12">
      <c r="A4315" s="20" t="s">
        <v>2182</v>
      </c>
      <c r="B4315" s="21" t="s">
        <v>1171</v>
      </c>
      <c r="C4315" s="21" t="s">
        <v>1162</v>
      </c>
      <c r="D4315" s="21" t="s">
        <v>1144</v>
      </c>
      <c r="E4315" s="22">
        <f>IF(D4315="?OLD","!!!","")</f>
        <v/>
      </c>
      <c r="F4315" s="23" t="str">
        <f>IF(OR(E4315="",E4315="!!!"),"",IF(NOT(ISNA(VLOOKUP(E4315,E$1:E4314,1,FALSE()))),"OLD",IF(AND(E4315&lt;&gt;"",E4315&lt;&gt;"!!!"),"NEW","")))</f>
        <v> </v>
      </c>
      <c r="G4315" s="24" t="str">
        <f>IF(OR(E4315="",E4315="!!!"),"",IF(OR(J4315=0,AND(J4315=1,K4315=1),AND(J4315=1,I4315="SBJ"),AND(J4315=1,I4315=0)),"?IN_FOCUS",IF(J4315&lt;=2,"?ACTIVATED",IF(J4315&lt;&gt;"","?FAMILIAR",IF(F4315="NEW",IF(ISNA(VLOOKUP(E4315,#REF!,1,FALSE())),"?TYPE_IDENTIFIABLE","?REFERENTIAL"),"_")))))</f>
        <v> </v>
      </c>
      <c r="H4315" s="25" t="str">
        <f>IF(J4315&lt;&gt;1,"",IF(I4315="SBJ","CB","?"))</f>
        <v> </v>
      </c>
      <c r="I4315" s="26" t="str">
        <f>IF(OR(E4315="",E4315="!!!",F4315="NEW"),"",INDEX(B4314:B$2,-1+SUMPRODUCT(MAX(ROW(E4314:E$2)*(E4315=E4314:E$2)))))</f>
        <v> </v>
      </c>
      <c r="J4315" s="26" t="str">
        <f>IF(OR(E4315="",E4315="!!!",F4315="NEW"),"",COUNTBLANK(OFFSET(A$1,,,SUMPRODUCT(MAX(ROW(E$2:E4315)*(E4315=E$2:E4315)))))-COUNTBLANK(OFFSET(A$1,,,SUMPRODUCT(MAX(ROW(E$1:E4314)*(E2=E$1:E4314))))))</f>
        <v> </v>
      </c>
      <c r="K4315" s="26" t="str">
        <f>IF(OR(E4315="",E4315="!!!",F4315="NEW"),"",INDEX(J$1:J4314,SUMPRODUCT(MAX(ROW(E$1:E4314)*(E4315=E$1:E4314)))))</f>
        <v> </v>
      </c>
      <c r="L4315" s="27"/>
    </row>
    <row r="4316" spans="1:12">
      <c r="A4316" s="20" t="s">
        <v>1440</v>
      </c>
      <c r="E4316" s="22">
        <f>IF(D4316="?OLD","!!!","")</f>
        <v/>
      </c>
      <c r="F4316" s="23" t="str">
        <f>IF(OR(E4316="",E4316="!!!"),"",IF(NOT(ISNA(VLOOKUP(E4316,E$1:E4315,1,FALSE()))),"OLD",IF(AND(E4316&lt;&gt;"",E4316&lt;&gt;"!!!"),"NEW","")))</f>
        <v> </v>
      </c>
      <c r="G4316" s="24" t="str">
        <f>IF(OR(E4316="",E4316="!!!"),"",IF(OR(J4316=0,AND(J4316=1,K4316=1),AND(J4316=1,I4316="SBJ"),AND(J4316=1,I4316=0)),"?IN_FOCUS",IF(J4316&lt;=2,"?ACTIVATED",IF(J4316&lt;&gt;"","?FAMILIAR",IF(F4316="NEW",IF(ISNA(VLOOKUP(E4316,#REF!,1,FALSE())),"?TYPE_IDENTIFIABLE","?REFERENTIAL"),"_")))))</f>
        <v> </v>
      </c>
      <c r="H4316" s="25" t="str">
        <f>IF(J4316&lt;&gt;1,"",IF(I4316="SBJ","CB","?"))</f>
        <v> </v>
      </c>
      <c r="I4316" s="26" t="str">
        <f>IF(OR(E4316="",E4316="!!!",F4316="NEW"),"",INDEX(B4315:B$2,-1+SUMPRODUCT(MAX(ROW(E4315:E$2)*(E4316=E4315:E$2)))))</f>
        <v> </v>
      </c>
      <c r="J4316" s="26" t="str">
        <f>IF(OR(E4316="",E4316="!!!",F4316="NEW"),"",COUNTBLANK(OFFSET(A$1,,,SUMPRODUCT(MAX(ROW(E$2:E4316)*(E4316=E$2:E4316)))))-COUNTBLANK(OFFSET(A$1,,,SUMPRODUCT(MAX(ROW(E$1:E4315)*(E2=E$1:E4315))))))</f>
        <v> </v>
      </c>
      <c r="K4316" s="26" t="str">
        <f>IF(OR(E4316="",E4316="!!!",F4316="NEW"),"",INDEX(J$1:J4315,SUMPRODUCT(MAX(ROW(E$1:E4315)*(E4316=E$1:E4315)))))</f>
        <v> </v>
      </c>
      <c r="L4316" s="27"/>
    </row>
    <row r="4317" spans="1:12">
      <c r="A4317" s="20" t="s">
        <v>2393</v>
      </c>
      <c r="E4317" s="22">
        <f>IF(D4317="?OLD","!!!","")</f>
        <v/>
      </c>
      <c r="F4317" s="23" t="str">
        <f>IF(OR(E4317="",E4317="!!!"),"",IF(NOT(ISNA(VLOOKUP(E4317,E$1:E4316,1,FALSE()))),"OLD",IF(AND(E4317&lt;&gt;"",E4317&lt;&gt;"!!!"),"NEW","")))</f>
        <v> </v>
      </c>
      <c r="G4317" s="24" t="str">
        <f>IF(OR(E4317="",E4317="!!!"),"",IF(OR(J4317=0,AND(J4317=1,K4317=1),AND(J4317=1,I4317="SBJ"),AND(J4317=1,I4317=0)),"?IN_FOCUS",IF(J4317&lt;=2,"?ACTIVATED",IF(J4317&lt;&gt;"","?FAMILIAR",IF(F4317="NEW",IF(ISNA(VLOOKUP(E4317,#REF!,1,FALSE())),"?TYPE_IDENTIFIABLE","?REFERENTIAL"),"_")))))</f>
        <v> </v>
      </c>
      <c r="H4317" s="25" t="str">
        <f>IF(J4317&lt;&gt;1,"",IF(I4317="SBJ","CB","?"))</f>
        <v> </v>
      </c>
      <c r="I4317" s="26" t="str">
        <f>IF(OR(E4317="",E4317="!!!",F4317="NEW"),"",INDEX(B4316:B$2,-1+SUMPRODUCT(MAX(ROW(E4316:E$2)*(E4317=E4316:E$2)))))</f>
        <v> </v>
      </c>
      <c r="J4317" s="26" t="str">
        <f>IF(OR(E4317="",E4317="!!!",F4317="NEW"),"",COUNTBLANK(OFFSET(A$1,,,SUMPRODUCT(MAX(ROW(E$2:E4317)*(E4317=E$2:E4317)))))-COUNTBLANK(OFFSET(A$1,,,SUMPRODUCT(MAX(ROW(E$1:E4316)*(E2=E$1:E4316))))))</f>
        <v> </v>
      </c>
      <c r="K4317" s="26" t="str">
        <f>IF(OR(E4317="",E4317="!!!",F4317="NEW"),"",INDEX(J$1:J4316,SUMPRODUCT(MAX(ROW(E$1:E4316)*(E4317=E$1:E4316)))))</f>
        <v> </v>
      </c>
      <c r="L4317" s="27"/>
    </row>
    <row r="4318" spans="1:12">
      <c r="A4318" s="20" t="s">
        <v>2388</v>
      </c>
      <c r="E4318" s="22">
        <f>IF(D4318="?OLD","!!!","")</f>
        <v/>
      </c>
      <c r="F4318" s="23" t="str">
        <f>IF(OR(E4318="",E4318="!!!"),"",IF(NOT(ISNA(VLOOKUP(E4318,E$1:E4317,1,FALSE()))),"OLD",IF(AND(E4318&lt;&gt;"",E4318&lt;&gt;"!!!"),"NEW","")))</f>
        <v> </v>
      </c>
      <c r="G4318" s="24" t="str">
        <f>IF(OR(E4318="",E4318="!!!"),"",IF(OR(J4318=0,AND(J4318=1,K4318=1),AND(J4318=1,I4318="SBJ"),AND(J4318=1,I4318=0)),"?IN_FOCUS",IF(J4318&lt;=2,"?ACTIVATED",IF(J4318&lt;&gt;"","?FAMILIAR",IF(F4318="NEW",IF(ISNA(VLOOKUP(E4318,#REF!,1,FALSE())),"?TYPE_IDENTIFIABLE","?REFERENTIAL"),"_")))))</f>
        <v> </v>
      </c>
      <c r="H4318" s="25" t="str">
        <f>IF(J4318&lt;&gt;1,"",IF(I4318="SBJ","CB","?"))</f>
        <v> </v>
      </c>
      <c r="I4318" s="26" t="str">
        <f>IF(OR(E4318="",E4318="!!!",F4318="NEW"),"",INDEX(B4317:B$2,-1+SUMPRODUCT(MAX(ROW(E4317:E$2)*(E4318=E4317:E$2)))))</f>
        <v> </v>
      </c>
      <c r="J4318" s="26" t="str">
        <f>IF(OR(E4318="",E4318="!!!",F4318="NEW"),"",COUNTBLANK(OFFSET(A$1,,,SUMPRODUCT(MAX(ROW(E$2:E4318)*(E4318=E$2:E4318)))))-COUNTBLANK(OFFSET(A$1,,,SUMPRODUCT(MAX(ROW(E$1:E4317)*(E2=E$1:E4317))))))</f>
        <v> </v>
      </c>
      <c r="K4318" s="26" t="str">
        <f>IF(OR(E4318="",E4318="!!!",F4318="NEW"),"",INDEX(J$1:J4317,SUMPRODUCT(MAX(ROW(E$1:E4317)*(E4318=E$1:E4317)))))</f>
        <v> </v>
      </c>
      <c r="L4318" s="27"/>
    </row>
    <row r="4319" spans="1:12">
      <c r="A4319" s="20" t="s">
        <v>312</v>
      </c>
      <c r="E4319" s="22">
        <f>IF(D4319="?OLD","!!!","")</f>
        <v/>
      </c>
      <c r="F4319" s="23" t="str">
        <f>IF(OR(E4319="",E4319="!!!"),"",IF(NOT(ISNA(VLOOKUP(E4319,E$1:E4318,1,FALSE()))),"OLD",IF(AND(E4319&lt;&gt;"",E4319&lt;&gt;"!!!"),"NEW","")))</f>
        <v> </v>
      </c>
      <c r="G4319" s="24" t="str">
        <f>IF(OR(E4319="",E4319="!!!"),"",IF(OR(J4319=0,AND(J4319=1,K4319=1),AND(J4319=1,I4319="SBJ"),AND(J4319=1,I4319=0)),"?IN_FOCUS",IF(J4319&lt;=2,"?ACTIVATED",IF(J4319&lt;&gt;"","?FAMILIAR",IF(F4319="NEW",IF(ISNA(VLOOKUP(E4319,#REF!,1,FALSE())),"?TYPE_IDENTIFIABLE","?REFERENTIAL"),"_")))))</f>
        <v> </v>
      </c>
      <c r="H4319" s="25" t="str">
        <f>IF(J4319&lt;&gt;1,"",IF(I4319="SBJ","CB","?"))</f>
        <v> </v>
      </c>
      <c r="I4319" s="26" t="str">
        <f>IF(OR(E4319="",E4319="!!!",F4319="NEW"),"",INDEX(B4318:B$2,-1+SUMPRODUCT(MAX(ROW(E4318:E$2)*(E4319=E4318:E$2)))))</f>
        <v> </v>
      </c>
      <c r="J4319" s="26" t="str">
        <f>IF(OR(E4319="",E4319="!!!",F4319="NEW"),"",COUNTBLANK(OFFSET(A$1,,,SUMPRODUCT(MAX(ROW(E$2:E4319)*(E4319=E$2:E4319)))))-COUNTBLANK(OFFSET(A$1,,,SUMPRODUCT(MAX(ROW(E$1:E4318)*(E2=E$1:E4318))))))</f>
        <v> </v>
      </c>
      <c r="K4319" s="26" t="str">
        <f>IF(OR(E4319="",E4319="!!!",F4319="NEW"),"",INDEX(J$1:J4318,SUMPRODUCT(MAX(ROW(E$1:E4318)*(E4319=E$1:E4318)))))</f>
        <v> </v>
      </c>
      <c r="L4319" s="27"/>
    </row>
    <row r="4320" spans="1:12">
      <c r="A4320" s="20"/>
    </row>
    <row r="4321" spans="1:12">
      <c r="A4321" s="20" t="s">
        <v>2394</v>
      </c>
    </row>
    <row r="4322" spans="1:12">
      <c r="A4322" s="20" t="s">
        <v>1816</v>
      </c>
      <c r="B4322" s="21" t="s">
        <v>1165</v>
      </c>
      <c r="C4322" s="21" t="s">
        <v>1151</v>
      </c>
      <c r="D4322" s="21" t="s">
        <v>1144</v>
      </c>
      <c r="E4322" s="22">
        <f>IF(D4322="?OLD","!!!","")</f>
        <v/>
      </c>
      <c r="F4322" s="23" t="str">
        <f>IF(OR(E4322="",E4322="!!!"),"",IF(NOT(ISNA(VLOOKUP(E4322,E$1:E4321,1,FALSE()))),"OLD",IF(AND(E4322&lt;&gt;"",E4322&lt;&gt;"!!!"),"NEW","")))</f>
        <v> </v>
      </c>
      <c r="G4322" s="24" t="str">
        <f>IF(OR(E4322="",E4322="!!!"),"",IF(OR(J4322=0,AND(J4322=1,K4322=1),AND(J4322=1,I4322="SBJ"),AND(J4322=1,I4322=0)),"?IN_FOCUS",IF(J4322&lt;=2,"?ACTIVATED",IF(J4322&lt;&gt;"","?FAMILIAR",IF(F4322="NEW",IF(ISNA(VLOOKUP(E4322,#REF!,1,FALSE())),"?TYPE_IDENTIFIABLE","?REFERENTIAL"),"_")))))</f>
        <v> </v>
      </c>
      <c r="H4322" s="25" t="str">
        <f>IF(J4322&lt;&gt;1,"",IF(I4322="SBJ","CB","?"))</f>
        <v> </v>
      </c>
      <c r="I4322" s="26" t="str">
        <f>IF(OR(E4322="",E4322="!!!",F4322="NEW"),"",INDEX(B4321:B$2,-1+SUMPRODUCT(MAX(ROW(E4321:E$2)*(E4322=E4321:E$2)))))</f>
        <v> </v>
      </c>
      <c r="J4322" s="26" t="str">
        <f>IF(OR(E4322="",E4322="!!!",F4322="NEW"),"",COUNTBLANK(OFFSET(A$1,,,SUMPRODUCT(MAX(ROW(E$2:E4322)*(E4322=E$2:E4322)))))-COUNTBLANK(OFFSET(A$1,,,SUMPRODUCT(MAX(ROW(E$1:E4321)*(E2=E$1:E4321))))))</f>
        <v> </v>
      </c>
      <c r="K4322" s="26" t="str">
        <f>IF(OR(E4322="",E4322="!!!",F4322="NEW"),"",INDEX(J$1:J4321,SUMPRODUCT(MAX(ROW(E$1:E4321)*(E4322=E$1:E4321)))))</f>
        <v> </v>
      </c>
      <c r="L4322" s="27"/>
    </row>
    <row r="4323" spans="1:12">
      <c r="A4323" s="20" t="s">
        <v>2395</v>
      </c>
      <c r="E4323" s="22">
        <f>IF(D4323="?OLD","!!!","")</f>
        <v/>
      </c>
      <c r="F4323" s="23" t="str">
        <f>IF(OR(E4323="",E4323="!!!"),"",IF(NOT(ISNA(VLOOKUP(E4323,E$1:E4322,1,FALSE()))),"OLD",IF(AND(E4323&lt;&gt;"",E4323&lt;&gt;"!!!"),"NEW","")))</f>
        <v> </v>
      </c>
      <c r="G4323" s="24" t="str">
        <f>IF(OR(E4323="",E4323="!!!"),"",IF(OR(J4323=0,AND(J4323=1,K4323=1),AND(J4323=1,I4323="SBJ"),AND(J4323=1,I4323=0)),"?IN_FOCUS",IF(J4323&lt;=2,"?ACTIVATED",IF(J4323&lt;&gt;"","?FAMILIAR",IF(F4323="NEW",IF(ISNA(VLOOKUP(E4323,#REF!,1,FALSE())),"?TYPE_IDENTIFIABLE","?REFERENTIAL"),"_")))))</f>
        <v> </v>
      </c>
      <c r="H4323" s="25" t="str">
        <f>IF(J4323&lt;&gt;1,"",IF(I4323="SBJ","CB","?"))</f>
        <v> </v>
      </c>
      <c r="I4323" s="26" t="str">
        <f>IF(OR(E4323="",E4323="!!!",F4323="NEW"),"",INDEX(B4322:B$2,-1+SUMPRODUCT(MAX(ROW(E4322:E$2)*(E4323=E4322:E$2)))))</f>
        <v> </v>
      </c>
      <c r="J4323" s="26" t="str">
        <f>IF(OR(E4323="",E4323="!!!",F4323="NEW"),"",COUNTBLANK(OFFSET(A$1,,,SUMPRODUCT(MAX(ROW(E$2:E4323)*(E4323=E$2:E4323)))))-COUNTBLANK(OFFSET(A$1,,,SUMPRODUCT(MAX(ROW(E$1:E4322)*(E2=E$1:E4322))))))</f>
        <v> </v>
      </c>
      <c r="K4323" s="26" t="str">
        <f>IF(OR(E4323="",E4323="!!!",F4323="NEW"),"",INDEX(J$1:J4322,SUMPRODUCT(MAX(ROW(E$1:E4322)*(E4323=E$1:E4322)))))</f>
        <v> </v>
      </c>
      <c r="L4323" s="27"/>
    </row>
    <row r="4324" spans="1:12">
      <c r="A4324" s="20" t="s">
        <v>1166</v>
      </c>
      <c r="E4324" s="22">
        <f>IF(D4324="?OLD","!!!","")</f>
        <v/>
      </c>
      <c r="F4324" s="23" t="str">
        <f>IF(OR(E4324="",E4324="!!!"),"",IF(NOT(ISNA(VLOOKUP(E4324,E$1:E4323,1,FALSE()))),"OLD",IF(AND(E4324&lt;&gt;"",E4324&lt;&gt;"!!!"),"NEW","")))</f>
        <v> </v>
      </c>
      <c r="G4324" s="24" t="str">
        <f>IF(OR(E4324="",E4324="!!!"),"",IF(OR(J4324=0,AND(J4324=1,K4324=1),AND(J4324=1,I4324="SBJ"),AND(J4324=1,I4324=0)),"?IN_FOCUS",IF(J4324&lt;=2,"?ACTIVATED",IF(J4324&lt;&gt;"","?FAMILIAR",IF(F4324="NEW",IF(ISNA(VLOOKUP(E4324,#REF!,1,FALSE())),"?TYPE_IDENTIFIABLE","?REFERENTIAL"),"_")))))</f>
        <v> </v>
      </c>
      <c r="H4324" s="25" t="str">
        <f>IF(J4324&lt;&gt;1,"",IF(I4324="SBJ","CB","?"))</f>
        <v> </v>
      </c>
      <c r="I4324" s="26" t="str">
        <f>IF(OR(E4324="",E4324="!!!",F4324="NEW"),"",INDEX(B4323:B$2,-1+SUMPRODUCT(MAX(ROW(E4323:E$2)*(E4324=E4323:E$2)))))</f>
        <v> </v>
      </c>
      <c r="J4324" s="26" t="str">
        <f>IF(OR(E4324="",E4324="!!!",F4324="NEW"),"",COUNTBLANK(OFFSET(A$1,,,SUMPRODUCT(MAX(ROW(E$2:E4324)*(E4324=E$2:E4324)))))-COUNTBLANK(OFFSET(A$1,,,SUMPRODUCT(MAX(ROW(E$1:E4323)*(E2=E$1:E4323))))))</f>
        <v> </v>
      </c>
      <c r="K4324" s="26" t="str">
        <f>IF(OR(E4324="",E4324="!!!",F4324="NEW"),"",INDEX(J$1:J4323,SUMPRODUCT(MAX(ROW(E$1:E4323)*(E4324=E$1:E4323)))))</f>
        <v> </v>
      </c>
      <c r="L4324" s="27"/>
    </row>
    <row r="4325" spans="1:12">
      <c r="A4325" s="20" t="s">
        <v>1197</v>
      </c>
      <c r="E4325" s="22">
        <f>IF(D4325="?OLD","!!!","")</f>
        <v/>
      </c>
      <c r="F4325" s="23" t="str">
        <f>IF(OR(E4325="",E4325="!!!"),"",IF(NOT(ISNA(VLOOKUP(E4325,E$1:E4324,1,FALSE()))),"OLD",IF(AND(E4325&lt;&gt;"",E4325&lt;&gt;"!!!"),"NEW","")))</f>
        <v> </v>
      </c>
      <c r="G4325" s="24" t="str">
        <f>IF(OR(E4325="",E4325="!!!"),"",IF(OR(J4325=0,AND(J4325=1,K4325=1),AND(J4325=1,I4325="SBJ"),AND(J4325=1,I4325=0)),"?IN_FOCUS",IF(J4325&lt;=2,"?ACTIVATED",IF(J4325&lt;&gt;"","?FAMILIAR",IF(F4325="NEW",IF(ISNA(VLOOKUP(E4325,#REF!,1,FALSE())),"?TYPE_IDENTIFIABLE","?REFERENTIAL"),"_")))))</f>
        <v> </v>
      </c>
      <c r="H4325" s="25" t="str">
        <f>IF(J4325&lt;&gt;1,"",IF(I4325="SBJ","CB","?"))</f>
        <v> </v>
      </c>
      <c r="I4325" s="26" t="str">
        <f>IF(OR(E4325="",E4325="!!!",F4325="NEW"),"",INDEX(B4324:B$2,-1+SUMPRODUCT(MAX(ROW(E4324:E$2)*(E4325=E4324:E$2)))))</f>
        <v> </v>
      </c>
      <c r="J4325" s="26" t="str">
        <f>IF(OR(E4325="",E4325="!!!",F4325="NEW"),"",COUNTBLANK(OFFSET(A$1,,,SUMPRODUCT(MAX(ROW(E$2:E4325)*(E4325=E$2:E4325)))))-COUNTBLANK(OFFSET(A$1,,,SUMPRODUCT(MAX(ROW(E$1:E4324)*(E2=E$1:E4324))))))</f>
        <v> </v>
      </c>
      <c r="K4325" s="26" t="str">
        <f>IF(OR(E4325="",E4325="!!!",F4325="NEW"),"",INDEX(J$1:J4324,SUMPRODUCT(MAX(ROW(E$1:E4324)*(E4325=E$1:E4324)))))</f>
        <v> </v>
      </c>
      <c r="L4325" s="27"/>
    </row>
    <row r="4326" spans="1:12">
      <c r="A4326" s="20" t="s">
        <v>1230</v>
      </c>
      <c r="B4326" s="21" t="s">
        <v>1142</v>
      </c>
      <c r="C4326" s="21" t="s">
        <v>1151</v>
      </c>
      <c r="D4326" s="21" t="s">
        <v>1144</v>
      </c>
      <c r="E4326" s="22">
        <f>IF(D4326="?OLD","!!!","")</f>
        <v/>
      </c>
      <c r="F4326" s="23" t="str">
        <f>IF(OR(E4326="",E4326="!!!"),"",IF(NOT(ISNA(VLOOKUP(E4326,E$1:E4325,1,FALSE()))),"OLD",IF(AND(E4326&lt;&gt;"",E4326&lt;&gt;"!!!"),"NEW","")))</f>
        <v> </v>
      </c>
      <c r="G4326" s="24" t="str">
        <f>IF(OR(E4326="",E4326="!!!"),"",IF(OR(J4326=0,AND(J4326=1,K4326=1),AND(J4326=1,I4326="SBJ"),AND(J4326=1,I4326=0)),"?IN_FOCUS",IF(J4326&lt;=2,"?ACTIVATED",IF(J4326&lt;&gt;"","?FAMILIAR",IF(F4326="NEW",IF(ISNA(VLOOKUP(E4326,#REF!,1,FALSE())),"?TYPE_IDENTIFIABLE","?REFERENTIAL"),"_")))))</f>
        <v> </v>
      </c>
      <c r="H4326" s="25" t="str">
        <f>IF(J4326&lt;&gt;1,"",IF(I4326="SBJ","CB","?"))</f>
        <v> </v>
      </c>
      <c r="I4326" s="26" t="str">
        <f>IF(OR(E4326="",E4326="!!!",F4326="NEW"),"",INDEX(B4325:B$2,-1+SUMPRODUCT(MAX(ROW(E4325:E$2)*(E4326=E4325:E$2)))))</f>
        <v> </v>
      </c>
      <c r="J4326" s="26" t="str">
        <f>IF(OR(E4326="",E4326="!!!",F4326="NEW"),"",COUNTBLANK(OFFSET(A$1,,,SUMPRODUCT(MAX(ROW(E$2:E4326)*(E4326=E$2:E4326)))))-COUNTBLANK(OFFSET(A$1,,,SUMPRODUCT(MAX(ROW(E$1:E4325)*(E2=E$1:E4325))))))</f>
        <v> </v>
      </c>
      <c r="K4326" s="26" t="str">
        <f>IF(OR(E4326="",E4326="!!!",F4326="NEW"),"",INDEX(J$1:J4325,SUMPRODUCT(MAX(ROW(E$1:E4325)*(E4326=E$1:E4325)))))</f>
        <v> </v>
      </c>
      <c r="L4326" s="27"/>
    </row>
    <row r="4327" spans="1:12">
      <c r="A4327" s="20" t="s">
        <v>1238</v>
      </c>
      <c r="E4327" s="22">
        <f>IF(D4327="?OLD","!!!","")</f>
        <v/>
      </c>
      <c r="F4327" s="23" t="str">
        <f>IF(OR(E4327="",E4327="!!!"),"",IF(NOT(ISNA(VLOOKUP(E4327,E$1:E4326,1,FALSE()))),"OLD",IF(AND(E4327&lt;&gt;"",E4327&lt;&gt;"!!!"),"NEW","")))</f>
        <v> </v>
      </c>
      <c r="G4327" s="24" t="str">
        <f>IF(OR(E4327="",E4327="!!!"),"",IF(OR(J4327=0,AND(J4327=1,K4327=1),AND(J4327=1,I4327="SBJ"),AND(J4327=1,I4327=0)),"?IN_FOCUS",IF(J4327&lt;=2,"?ACTIVATED",IF(J4327&lt;&gt;"","?FAMILIAR",IF(F4327="NEW",IF(ISNA(VLOOKUP(E4327,#REF!,1,FALSE())),"?TYPE_IDENTIFIABLE","?REFERENTIAL"),"_")))))</f>
        <v> </v>
      </c>
      <c r="H4327" s="25" t="str">
        <f>IF(J4327&lt;&gt;1,"",IF(I4327="SBJ","CB","?"))</f>
        <v> </v>
      </c>
      <c r="I4327" s="26" t="str">
        <f>IF(OR(E4327="",E4327="!!!",F4327="NEW"),"",INDEX(B4326:B$2,-1+SUMPRODUCT(MAX(ROW(E4326:E$2)*(E4327=E4326:E$2)))))</f>
        <v> </v>
      </c>
      <c r="J4327" s="26" t="str">
        <f>IF(OR(E4327="",E4327="!!!",F4327="NEW"),"",COUNTBLANK(OFFSET(A$1,,,SUMPRODUCT(MAX(ROW(E$2:E4327)*(E4327=E$2:E4327)))))-COUNTBLANK(OFFSET(A$1,,,SUMPRODUCT(MAX(ROW(E$1:E4326)*(E2=E$1:E4326))))))</f>
        <v> </v>
      </c>
      <c r="K4327" s="26" t="str">
        <f>IF(OR(E4327="",E4327="!!!",F4327="NEW"),"",INDEX(J$1:J4326,SUMPRODUCT(MAX(ROW(E$1:E4326)*(E4327=E$1:E4326)))))</f>
        <v> </v>
      </c>
      <c r="L4327" s="27"/>
    </row>
    <row r="4328" spans="1:12">
      <c r="A4328" s="20" t="s">
        <v>1276</v>
      </c>
      <c r="B4328" s="21" t="s">
        <v>1150</v>
      </c>
      <c r="C4328" s="21" t="s">
        <v>1162</v>
      </c>
      <c r="D4328" s="21" t="s">
        <v>1144</v>
      </c>
      <c r="E4328" s="22">
        <f>IF(D4328="?OLD","!!!","")</f>
        <v/>
      </c>
      <c r="F4328" s="23" t="str">
        <f>IF(OR(E4328="",E4328="!!!"),"",IF(NOT(ISNA(VLOOKUP(E4328,E$1:E4327,1,FALSE()))),"OLD",IF(AND(E4328&lt;&gt;"",E4328&lt;&gt;"!!!"),"NEW","")))</f>
        <v> </v>
      </c>
      <c r="G4328" s="24" t="str">
        <f>IF(OR(E4328="",E4328="!!!"),"",IF(OR(J4328=0,AND(J4328=1,K4328=1),AND(J4328=1,I4328="SBJ"),AND(J4328=1,I4328=0)),"?IN_FOCUS",IF(J4328&lt;=2,"?ACTIVATED",IF(J4328&lt;&gt;"","?FAMILIAR",IF(F4328="NEW",IF(ISNA(VLOOKUP(E4328,#REF!,1,FALSE())),"?TYPE_IDENTIFIABLE","?REFERENTIAL"),"_")))))</f>
        <v> </v>
      </c>
      <c r="H4328" s="25" t="str">
        <f>IF(J4328&lt;&gt;1,"",IF(I4328="SBJ","CB","?"))</f>
        <v> </v>
      </c>
      <c r="I4328" s="26" t="str">
        <f>IF(OR(E4328="",E4328="!!!",F4328="NEW"),"",INDEX(B4327:B$2,-1+SUMPRODUCT(MAX(ROW(E4327:E$2)*(E4328=E4327:E$2)))))</f>
        <v> </v>
      </c>
      <c r="J4328" s="26" t="str">
        <f>IF(OR(E4328="",E4328="!!!",F4328="NEW"),"",COUNTBLANK(OFFSET(A$1,,,SUMPRODUCT(MAX(ROW(E$2:E4328)*(E4328=E$2:E4328)))))-COUNTBLANK(OFFSET(A$1,,,SUMPRODUCT(MAX(ROW(E$1:E4327)*(E2=E$1:E4327))))))</f>
        <v> </v>
      </c>
      <c r="K4328" s="26" t="str">
        <f>IF(OR(E4328="",E4328="!!!",F4328="NEW"),"",INDEX(J$1:J4327,SUMPRODUCT(MAX(ROW(E$1:E4327)*(E4328=E$1:E4327)))))</f>
        <v> </v>
      </c>
      <c r="L4328" s="27"/>
    </row>
    <row r="4329" spans="1:12">
      <c r="A4329" s="20" t="s">
        <v>443</v>
      </c>
      <c r="E4329" s="22">
        <f>IF(D4329="?OLD","!!!","")</f>
        <v/>
      </c>
      <c r="F4329" s="23" t="str">
        <f>IF(OR(E4329="",E4329="!!!"),"",IF(NOT(ISNA(VLOOKUP(E4329,E$1:E4328,1,FALSE()))),"OLD",IF(AND(E4329&lt;&gt;"",E4329&lt;&gt;"!!!"),"NEW","")))</f>
        <v> </v>
      </c>
      <c r="G4329" s="24" t="str">
        <f>IF(OR(E4329="",E4329="!!!"),"",IF(OR(J4329=0,AND(J4329=1,K4329=1),AND(J4329=1,I4329="SBJ"),AND(J4329=1,I4329=0)),"?IN_FOCUS",IF(J4329&lt;=2,"?ACTIVATED",IF(J4329&lt;&gt;"","?FAMILIAR",IF(F4329="NEW",IF(ISNA(VLOOKUP(E4329,#REF!,1,FALSE())),"?TYPE_IDENTIFIABLE","?REFERENTIAL"),"_")))))</f>
        <v> </v>
      </c>
      <c r="H4329" s="25" t="str">
        <f>IF(J4329&lt;&gt;1,"",IF(I4329="SBJ","CB","?"))</f>
        <v> </v>
      </c>
      <c r="I4329" s="26" t="str">
        <f>IF(OR(E4329="",E4329="!!!",F4329="NEW"),"",INDEX(B4328:B$2,-1+SUMPRODUCT(MAX(ROW(E4328:E$2)*(E4329=E4328:E$2)))))</f>
        <v> </v>
      </c>
      <c r="J4329" s="26" t="str">
        <f>IF(OR(E4329="",E4329="!!!",F4329="NEW"),"",COUNTBLANK(OFFSET(A$1,,,SUMPRODUCT(MAX(ROW(E$2:E4329)*(E4329=E$2:E4329)))))-COUNTBLANK(OFFSET(A$1,,,SUMPRODUCT(MAX(ROW(E$1:E4328)*(E2=E$1:E4328))))))</f>
        <v> </v>
      </c>
      <c r="K4329" s="26" t="str">
        <f>IF(OR(E4329="",E4329="!!!",F4329="NEW"),"",INDEX(J$1:J4328,SUMPRODUCT(MAX(ROW(E$1:E4328)*(E4329=E$1:E4328)))))</f>
        <v> </v>
      </c>
      <c r="L4329" s="27"/>
    </row>
    <row r="4330" spans="1:12">
      <c r="A4330" s="20" t="s">
        <v>2218</v>
      </c>
      <c r="E4330" s="22">
        <f>IF(D4330="?OLD","!!!","")</f>
        <v/>
      </c>
      <c r="F4330" s="23" t="str">
        <f>IF(OR(E4330="",E4330="!!!"),"",IF(NOT(ISNA(VLOOKUP(E4330,E$1:E4329,1,FALSE()))),"OLD",IF(AND(E4330&lt;&gt;"",E4330&lt;&gt;"!!!"),"NEW","")))</f>
        <v> </v>
      </c>
      <c r="G4330" s="24" t="str">
        <f>IF(OR(E4330="",E4330="!!!"),"",IF(OR(J4330=0,AND(J4330=1,K4330=1),AND(J4330=1,I4330="SBJ"),AND(J4330=1,I4330=0)),"?IN_FOCUS",IF(J4330&lt;=2,"?ACTIVATED",IF(J4330&lt;&gt;"","?FAMILIAR",IF(F4330="NEW",IF(ISNA(VLOOKUP(E4330,#REF!,1,FALSE())),"?TYPE_IDENTIFIABLE","?REFERENTIAL"),"_")))))</f>
        <v> </v>
      </c>
      <c r="H4330" s="25" t="str">
        <f>IF(J4330&lt;&gt;1,"",IF(I4330="SBJ","CB","?"))</f>
        <v> </v>
      </c>
      <c r="I4330" s="26" t="str">
        <f>IF(OR(E4330="",E4330="!!!",F4330="NEW"),"",INDEX(B4329:B$2,-1+SUMPRODUCT(MAX(ROW(E4329:E$2)*(E4330=E4329:E$2)))))</f>
        <v> </v>
      </c>
      <c r="J4330" s="26" t="str">
        <f>IF(OR(E4330="",E4330="!!!",F4330="NEW"),"",COUNTBLANK(OFFSET(A$1,,,SUMPRODUCT(MAX(ROW(E$2:E4330)*(E4330=E$2:E4330)))))-COUNTBLANK(OFFSET(A$1,,,SUMPRODUCT(MAX(ROW(E$1:E4329)*(E2=E$1:E4329))))))</f>
        <v> </v>
      </c>
      <c r="K4330" s="26" t="str">
        <f>IF(OR(E4330="",E4330="!!!",F4330="NEW"),"",INDEX(J$1:J4329,SUMPRODUCT(MAX(ROW(E$1:E4329)*(E4330=E$1:E4329)))))</f>
        <v> </v>
      </c>
      <c r="L4330" s="27"/>
    </row>
    <row r="4331" spans="1:12">
      <c r="A4331" s="20" t="s">
        <v>312</v>
      </c>
      <c r="E4331" s="22">
        <f>IF(D4331="?OLD","!!!","")</f>
        <v/>
      </c>
      <c r="F4331" s="23" t="str">
        <f>IF(OR(E4331="",E4331="!!!"),"",IF(NOT(ISNA(VLOOKUP(E4331,E$1:E4330,1,FALSE()))),"OLD",IF(AND(E4331&lt;&gt;"",E4331&lt;&gt;"!!!"),"NEW","")))</f>
        <v> </v>
      </c>
      <c r="G4331" s="24" t="str">
        <f>IF(OR(E4331="",E4331="!!!"),"",IF(OR(J4331=0,AND(J4331=1,K4331=1),AND(J4331=1,I4331="SBJ"),AND(J4331=1,I4331=0)),"?IN_FOCUS",IF(J4331&lt;=2,"?ACTIVATED",IF(J4331&lt;&gt;"","?FAMILIAR",IF(F4331="NEW",IF(ISNA(VLOOKUP(E4331,#REF!,1,FALSE())),"?TYPE_IDENTIFIABLE","?REFERENTIAL"),"_")))))</f>
        <v> </v>
      </c>
      <c r="H4331" s="25" t="str">
        <f>IF(J4331&lt;&gt;1,"",IF(I4331="SBJ","CB","?"))</f>
        <v> </v>
      </c>
      <c r="I4331" s="26" t="str">
        <f>IF(OR(E4331="",E4331="!!!",F4331="NEW"),"",INDEX(B4330:B$2,-1+SUMPRODUCT(MAX(ROW(E4330:E$2)*(E4331=E4330:E$2)))))</f>
        <v> </v>
      </c>
      <c r="J4331" s="26" t="str">
        <f>IF(OR(E4331="",E4331="!!!",F4331="NEW"),"",COUNTBLANK(OFFSET(A$1,,,SUMPRODUCT(MAX(ROW(E$2:E4331)*(E4331=E$2:E4331)))))-COUNTBLANK(OFFSET(A$1,,,SUMPRODUCT(MAX(ROW(E$1:E4330)*(E2=E$1:E4330))))))</f>
        <v> </v>
      </c>
      <c r="K4331" s="26" t="str">
        <f>IF(OR(E4331="",E4331="!!!",F4331="NEW"),"",INDEX(J$1:J4330,SUMPRODUCT(MAX(ROW(E$1:E4330)*(E4331=E$1:E4330)))))</f>
        <v> </v>
      </c>
      <c r="L4331" s="27"/>
    </row>
    <row r="4332" spans="1:12">
      <c r="A4332" s="20"/>
    </row>
    <row r="4333" spans="1:12">
      <c r="A4333" s="20" t="s">
        <v>2396</v>
      </c>
    </row>
    <row r="4334" spans="1:12">
      <c r="A4334" s="20" t="s">
        <v>1816</v>
      </c>
      <c r="B4334" s="21" t="s">
        <v>1165</v>
      </c>
      <c r="C4334" s="21" t="s">
        <v>1151</v>
      </c>
      <c r="D4334" s="21" t="s">
        <v>1144</v>
      </c>
      <c r="E4334" s="22">
        <f>IF(D4334="?OLD","!!!","")</f>
        <v/>
      </c>
      <c r="F4334" s="23" t="str">
        <f>IF(OR(E4334="",E4334="!!!"),"",IF(NOT(ISNA(VLOOKUP(E4334,E$1:E4333,1,FALSE()))),"OLD",IF(AND(E4334&lt;&gt;"",E4334&lt;&gt;"!!!"),"NEW","")))</f>
        <v> </v>
      </c>
      <c r="G4334" s="24" t="str">
        <f>IF(OR(E4334="",E4334="!!!"),"",IF(OR(J4334=0,AND(J4334=1,K4334=1),AND(J4334=1,I4334="SBJ"),AND(J4334=1,I4334=0)),"?IN_FOCUS",IF(J4334&lt;=2,"?ACTIVATED",IF(J4334&lt;&gt;"","?FAMILIAR",IF(F4334="NEW",IF(ISNA(VLOOKUP(E4334,#REF!,1,FALSE())),"?TYPE_IDENTIFIABLE","?REFERENTIAL"),"_")))))</f>
        <v> </v>
      </c>
      <c r="H4334" s="25" t="str">
        <f>IF(J4334&lt;&gt;1,"",IF(I4334="SBJ","CB","?"))</f>
        <v> </v>
      </c>
      <c r="I4334" s="26" t="str">
        <f>IF(OR(E4334="",E4334="!!!",F4334="NEW"),"",INDEX(B4333:B$2,-1+SUMPRODUCT(MAX(ROW(E4333:E$2)*(E4334=E4333:E$2)))))</f>
        <v> </v>
      </c>
      <c r="J4334" s="26" t="str">
        <f>IF(OR(E4334="",E4334="!!!",F4334="NEW"),"",COUNTBLANK(OFFSET(A$1,,,SUMPRODUCT(MAX(ROW(E$2:E4334)*(E4334=E$2:E4334)))))-COUNTBLANK(OFFSET(A$1,,,SUMPRODUCT(MAX(ROW(E$1:E4333)*(E2=E$1:E4333))))))</f>
        <v> </v>
      </c>
      <c r="K4334" s="26" t="str">
        <f>IF(OR(E4334="",E4334="!!!",F4334="NEW"),"",INDEX(J$1:J4333,SUMPRODUCT(MAX(ROW(E$1:E4333)*(E4334=E$1:E4333)))))</f>
        <v> </v>
      </c>
      <c r="L4334" s="27"/>
    </row>
    <row r="4335" spans="1:12">
      <c r="A4335" s="20" t="s">
        <v>2218</v>
      </c>
      <c r="E4335" s="22">
        <f>IF(D4335="?OLD","!!!","")</f>
        <v/>
      </c>
      <c r="F4335" s="23" t="str">
        <f>IF(OR(E4335="",E4335="!!!"),"",IF(NOT(ISNA(VLOOKUP(E4335,E$1:E4334,1,FALSE()))),"OLD",IF(AND(E4335&lt;&gt;"",E4335&lt;&gt;"!!!"),"NEW","")))</f>
        <v> </v>
      </c>
      <c r="G4335" s="24" t="str">
        <f>IF(OR(E4335="",E4335="!!!"),"",IF(OR(J4335=0,AND(J4335=1,K4335=1),AND(J4335=1,I4335="SBJ"),AND(J4335=1,I4335=0)),"?IN_FOCUS",IF(J4335&lt;=2,"?ACTIVATED",IF(J4335&lt;&gt;"","?FAMILIAR",IF(F4335="NEW",IF(ISNA(VLOOKUP(E4335,#REF!,1,FALSE())),"?TYPE_IDENTIFIABLE","?REFERENTIAL"),"_")))))</f>
        <v> </v>
      </c>
      <c r="H4335" s="25" t="str">
        <f>IF(J4335&lt;&gt;1,"",IF(I4335="SBJ","CB","?"))</f>
        <v> </v>
      </c>
      <c r="I4335" s="26" t="str">
        <f>IF(OR(E4335="",E4335="!!!",F4335="NEW"),"",INDEX(B4334:B$2,-1+SUMPRODUCT(MAX(ROW(E4334:E$2)*(E4335=E4334:E$2)))))</f>
        <v> </v>
      </c>
      <c r="J4335" s="26" t="str">
        <f>IF(OR(E4335="",E4335="!!!",F4335="NEW"),"",COUNTBLANK(OFFSET(A$1,,,SUMPRODUCT(MAX(ROW(E$2:E4335)*(E4335=E$2:E4335)))))-COUNTBLANK(OFFSET(A$1,,,SUMPRODUCT(MAX(ROW(E$1:E4334)*(E2=E$1:E4334))))))</f>
        <v> </v>
      </c>
      <c r="K4335" s="26" t="str">
        <f>IF(OR(E4335="",E4335="!!!",F4335="NEW"),"",INDEX(J$1:J4334,SUMPRODUCT(MAX(ROW(E$1:E4334)*(E4335=E$1:E4334)))))</f>
        <v> </v>
      </c>
      <c r="L4335" s="27"/>
    </row>
    <row r="4336" spans="1:12">
      <c r="A4336" s="20" t="s">
        <v>1278</v>
      </c>
      <c r="B4336" s="21" t="s">
        <v>1165</v>
      </c>
      <c r="C4336" s="21" t="s">
        <v>1168</v>
      </c>
      <c r="D4336" s="21" t="s">
        <v>1144</v>
      </c>
      <c r="E4336" s="22">
        <f>IF(D4336="?OLD","!!!","")</f>
        <v/>
      </c>
      <c r="F4336" s="23" t="str">
        <f>IF(OR(E4336="",E4336="!!!"),"",IF(NOT(ISNA(VLOOKUP(E4336,E$1:E4335,1,FALSE()))),"OLD",IF(AND(E4336&lt;&gt;"",E4336&lt;&gt;"!!!"),"NEW","")))</f>
        <v> </v>
      </c>
      <c r="G4336" s="24" t="str">
        <f>IF(OR(E4336="",E4336="!!!"),"",IF(OR(J4336=0,AND(J4336=1,K4336=1),AND(J4336=1,I4336="SBJ"),AND(J4336=1,I4336=0)),"?IN_FOCUS",IF(J4336&lt;=2,"?ACTIVATED",IF(J4336&lt;&gt;"","?FAMILIAR",IF(F4336="NEW",IF(ISNA(VLOOKUP(E4336,#REF!,1,FALSE())),"?TYPE_IDENTIFIABLE","?REFERENTIAL"),"_")))))</f>
        <v> </v>
      </c>
      <c r="H4336" s="25" t="str">
        <f>IF(J4336&lt;&gt;1,"",IF(I4336="SBJ","CB","?"))</f>
        <v> </v>
      </c>
      <c r="I4336" s="26" t="str">
        <f>IF(OR(E4336="",E4336="!!!",F4336="NEW"),"",INDEX(B4335:B$2,-1+SUMPRODUCT(MAX(ROW(E4335:E$2)*(E4336=E4335:E$2)))))</f>
        <v> </v>
      </c>
      <c r="J4336" s="26" t="str">
        <f>IF(OR(E4336="",E4336="!!!",F4336="NEW"),"",COUNTBLANK(OFFSET(A$1,,,SUMPRODUCT(MAX(ROW(E$2:E4336)*(E4336=E$2:E4336)))))-COUNTBLANK(OFFSET(A$1,,,SUMPRODUCT(MAX(ROW(E$1:E4335)*(E2=E$1:E4335))))))</f>
        <v> </v>
      </c>
      <c r="K4336" s="26" t="str">
        <f>IF(OR(E4336="",E4336="!!!",F4336="NEW"),"",INDEX(J$1:J4335,SUMPRODUCT(MAX(ROW(E$1:E4335)*(E4336=E$1:E4335)))))</f>
        <v> </v>
      </c>
      <c r="L4336" s="27"/>
    </row>
    <row r="4337" spans="1:12">
      <c r="A4337" s="20" t="s">
        <v>2168</v>
      </c>
      <c r="E4337" s="22">
        <f>IF(D4337="?OLD","!!!","")</f>
        <v/>
      </c>
      <c r="F4337" s="23" t="str">
        <f>IF(OR(E4337="",E4337="!!!"),"",IF(NOT(ISNA(VLOOKUP(E4337,E$1:E4336,1,FALSE()))),"OLD",IF(AND(E4337&lt;&gt;"",E4337&lt;&gt;"!!!"),"NEW","")))</f>
        <v> </v>
      </c>
      <c r="G4337" s="24" t="str">
        <f>IF(OR(E4337="",E4337="!!!"),"",IF(OR(J4337=0,AND(J4337=1,K4337=1),AND(J4337=1,I4337="SBJ"),AND(J4337=1,I4337=0)),"?IN_FOCUS",IF(J4337&lt;=2,"?ACTIVATED",IF(J4337&lt;&gt;"","?FAMILIAR",IF(F4337="NEW",IF(ISNA(VLOOKUP(E4337,#REF!,1,FALSE())),"?TYPE_IDENTIFIABLE","?REFERENTIAL"),"_")))))</f>
        <v> </v>
      </c>
      <c r="H4337" s="25" t="str">
        <f>IF(J4337&lt;&gt;1,"",IF(I4337="SBJ","CB","?"))</f>
        <v> </v>
      </c>
      <c r="I4337" s="26" t="str">
        <f>IF(OR(E4337="",E4337="!!!",F4337="NEW"),"",INDEX(B4336:B$2,-1+SUMPRODUCT(MAX(ROW(E4336:E$2)*(E4337=E4336:E$2)))))</f>
        <v> </v>
      </c>
      <c r="J4337" s="26" t="str">
        <f>IF(OR(E4337="",E4337="!!!",F4337="NEW"),"",COUNTBLANK(OFFSET(A$1,,,SUMPRODUCT(MAX(ROW(E$2:E4337)*(E4337=E$2:E4337)))))-COUNTBLANK(OFFSET(A$1,,,SUMPRODUCT(MAX(ROW(E$1:E4336)*(E2=E$1:E4336))))))</f>
        <v> </v>
      </c>
      <c r="K4337" s="26" t="str">
        <f>IF(OR(E4337="",E4337="!!!",F4337="NEW"),"",INDEX(J$1:J4336,SUMPRODUCT(MAX(ROW(E$1:E4336)*(E4337=E$1:E4336)))))</f>
        <v> </v>
      </c>
      <c r="L4337" s="27"/>
    </row>
    <row r="4338" spans="1:12">
      <c r="A4338" s="20" t="s">
        <v>218</v>
      </c>
      <c r="E4338" s="22">
        <f>IF(D4338="?OLD","!!!","")</f>
        <v/>
      </c>
      <c r="F4338" s="23" t="str">
        <f>IF(OR(E4338="",E4338="!!!"),"",IF(NOT(ISNA(VLOOKUP(E4338,E$1:E4337,1,FALSE()))),"OLD",IF(AND(E4338&lt;&gt;"",E4338&lt;&gt;"!!!"),"NEW","")))</f>
        <v> </v>
      </c>
      <c r="G4338" s="24" t="str">
        <f>IF(OR(E4338="",E4338="!!!"),"",IF(OR(J4338=0,AND(J4338=1,K4338=1),AND(J4338=1,I4338="SBJ"),AND(J4338=1,I4338=0)),"?IN_FOCUS",IF(J4338&lt;=2,"?ACTIVATED",IF(J4338&lt;&gt;"","?FAMILIAR",IF(F4338="NEW",IF(ISNA(VLOOKUP(E4338,#REF!,1,FALSE())),"?TYPE_IDENTIFIABLE","?REFERENTIAL"),"_")))))</f>
        <v> </v>
      </c>
      <c r="H4338" s="25" t="str">
        <f>IF(J4338&lt;&gt;1,"",IF(I4338="SBJ","CB","?"))</f>
        <v> </v>
      </c>
      <c r="I4338" s="26" t="str">
        <f>IF(OR(E4338="",E4338="!!!",F4338="NEW"),"",INDEX(B4337:B$2,-1+SUMPRODUCT(MAX(ROW(E4337:E$2)*(E4338=E4337:E$2)))))</f>
        <v> </v>
      </c>
      <c r="J4338" s="26" t="str">
        <f>IF(OR(E4338="",E4338="!!!",F4338="NEW"),"",COUNTBLANK(OFFSET(A$1,,,SUMPRODUCT(MAX(ROW(E$2:E4338)*(E4338=E$2:E4338)))))-COUNTBLANK(OFFSET(A$1,,,SUMPRODUCT(MAX(ROW(E$1:E4337)*(E2=E$1:E4337))))))</f>
        <v> </v>
      </c>
      <c r="K4338" s="26" t="str">
        <f>IF(OR(E4338="",E4338="!!!",F4338="NEW"),"",INDEX(J$1:J4337,SUMPRODUCT(MAX(ROW(E$1:E4337)*(E4338=E$1:E4337)))))</f>
        <v> </v>
      </c>
      <c r="L4338" s="27"/>
    </row>
    <row r="4339" spans="1:12">
      <c r="A4339" s="20" t="s">
        <v>312</v>
      </c>
      <c r="E4339" s="22">
        <f>IF(D4339="?OLD","!!!","")</f>
        <v/>
      </c>
      <c r="F4339" s="23" t="str">
        <f>IF(OR(E4339="",E4339="!!!"),"",IF(NOT(ISNA(VLOOKUP(E4339,E$1:E4338,1,FALSE()))),"OLD",IF(AND(E4339&lt;&gt;"",E4339&lt;&gt;"!!!"),"NEW","")))</f>
        <v> </v>
      </c>
      <c r="G4339" s="24" t="str">
        <f>IF(OR(E4339="",E4339="!!!"),"",IF(OR(J4339=0,AND(J4339=1,K4339=1),AND(J4339=1,I4339="SBJ"),AND(J4339=1,I4339=0)),"?IN_FOCUS",IF(J4339&lt;=2,"?ACTIVATED",IF(J4339&lt;&gt;"","?FAMILIAR",IF(F4339="NEW",IF(ISNA(VLOOKUP(E4339,#REF!,1,FALSE())),"?TYPE_IDENTIFIABLE","?REFERENTIAL"),"_")))))</f>
        <v> </v>
      </c>
      <c r="H4339" s="25" t="str">
        <f>IF(J4339&lt;&gt;1,"",IF(I4339="SBJ","CB","?"))</f>
        <v> </v>
      </c>
      <c r="I4339" s="26" t="str">
        <f>IF(OR(E4339="",E4339="!!!",F4339="NEW"),"",INDEX(B4338:B$2,-1+SUMPRODUCT(MAX(ROW(E4338:E$2)*(E4339=E4338:E$2)))))</f>
        <v> </v>
      </c>
      <c r="J4339" s="26" t="str">
        <f>IF(OR(E4339="",E4339="!!!",F4339="NEW"),"",COUNTBLANK(OFFSET(A$1,,,SUMPRODUCT(MAX(ROW(E$2:E4339)*(E4339=E$2:E4339)))))-COUNTBLANK(OFFSET(A$1,,,SUMPRODUCT(MAX(ROW(E$1:E4338)*(E2=E$1:E4338))))))</f>
        <v> </v>
      </c>
      <c r="K4339" s="26" t="str">
        <f>IF(OR(E4339="",E4339="!!!",F4339="NEW"),"",INDEX(J$1:J4338,SUMPRODUCT(MAX(ROW(E$1:E4338)*(E4339=E$1:E4338)))))</f>
        <v> </v>
      </c>
      <c r="L4339" s="27"/>
    </row>
    <row r="4340" spans="1:12">
      <c r="A4340" s="20"/>
    </row>
    <row r="4341" spans="1:12">
      <c r="A4341" s="20" t="s">
        <v>2397</v>
      </c>
    </row>
    <row r="4342" spans="1:12">
      <c r="A4342" s="20" t="s">
        <v>1330</v>
      </c>
      <c r="E4342" s="22">
        <f>IF(D4342="?OLD","!!!","")</f>
        <v/>
      </c>
      <c r="F4342" s="23" t="str">
        <f>IF(OR(E4342="",E4342="!!!"),"",IF(NOT(ISNA(VLOOKUP(E4342,E$1:E4341,1,FALSE()))),"OLD",IF(AND(E4342&lt;&gt;"",E4342&lt;&gt;"!!!"),"NEW","")))</f>
        <v> </v>
      </c>
      <c r="G4342" s="24" t="str">
        <f>IF(OR(E4342="",E4342="!!!"),"",IF(OR(J4342=0,AND(J4342=1,K4342=1),AND(J4342=1,I4342="SBJ"),AND(J4342=1,I4342=0)),"?IN_FOCUS",IF(J4342&lt;=2,"?ACTIVATED",IF(J4342&lt;&gt;"","?FAMILIAR",IF(F4342="NEW",IF(ISNA(VLOOKUP(E4342,#REF!,1,FALSE())),"?TYPE_IDENTIFIABLE","?REFERENTIAL"),"_")))))</f>
        <v> </v>
      </c>
      <c r="H4342" s="25" t="str">
        <f>IF(J4342&lt;&gt;1,"",IF(I4342="SBJ","CB","?"))</f>
        <v> </v>
      </c>
      <c r="I4342" s="26" t="str">
        <f>IF(OR(E4342="",E4342="!!!",F4342="NEW"),"",INDEX(B4341:B$2,-1+SUMPRODUCT(MAX(ROW(E4341:E$2)*(E4342=E4341:E$2)))))</f>
        <v> </v>
      </c>
      <c r="J4342" s="26" t="str">
        <f>IF(OR(E4342="",E4342="!!!",F4342="NEW"),"",COUNTBLANK(OFFSET(A$1,,,SUMPRODUCT(MAX(ROW(E$2:E4342)*(E4342=E$2:E4342)))))-COUNTBLANK(OFFSET(A$1,,,SUMPRODUCT(MAX(ROW(E$1:E4341)*(E2=E$1:E4341))))))</f>
        <v> </v>
      </c>
      <c r="K4342" s="26" t="str">
        <f>IF(OR(E4342="",E4342="!!!",F4342="NEW"),"",INDEX(J$1:J4341,SUMPRODUCT(MAX(ROW(E$1:E4341)*(E4342=E$1:E4341)))))</f>
        <v> </v>
      </c>
      <c r="L4342" s="27"/>
    </row>
    <row r="4343" spans="1:12">
      <c r="A4343" s="20" t="s">
        <v>2398</v>
      </c>
      <c r="E4343" s="22">
        <f>IF(D4343="?OLD","!!!","")</f>
        <v/>
      </c>
      <c r="F4343" s="23" t="str">
        <f>IF(OR(E4343="",E4343="!!!"),"",IF(NOT(ISNA(VLOOKUP(E4343,E$1:E4342,1,FALSE()))),"OLD",IF(AND(E4343&lt;&gt;"",E4343&lt;&gt;"!!!"),"NEW","")))</f>
        <v> </v>
      </c>
      <c r="G4343" s="24" t="str">
        <f>IF(OR(E4343="",E4343="!!!"),"",IF(OR(J4343=0,AND(J4343=1,K4343=1),AND(J4343=1,I4343="SBJ"),AND(J4343=1,I4343=0)),"?IN_FOCUS",IF(J4343&lt;=2,"?ACTIVATED",IF(J4343&lt;&gt;"","?FAMILIAR",IF(F4343="NEW",IF(ISNA(VLOOKUP(E4343,#REF!,1,FALSE())),"?TYPE_IDENTIFIABLE","?REFERENTIAL"),"_")))))</f>
        <v> </v>
      </c>
      <c r="H4343" s="25" t="str">
        <f>IF(J4343&lt;&gt;1,"",IF(I4343="SBJ","CB","?"))</f>
        <v> </v>
      </c>
      <c r="I4343" s="26" t="str">
        <f>IF(OR(E4343="",E4343="!!!",F4343="NEW"),"",INDEX(B4342:B$2,-1+SUMPRODUCT(MAX(ROW(E4342:E$2)*(E4343=E4342:E$2)))))</f>
        <v> </v>
      </c>
      <c r="J4343" s="26" t="str">
        <f>IF(OR(E4343="",E4343="!!!",F4343="NEW"),"",COUNTBLANK(OFFSET(A$1,,,SUMPRODUCT(MAX(ROW(E$2:E4343)*(E4343=E$2:E4343)))))-COUNTBLANK(OFFSET(A$1,,,SUMPRODUCT(MAX(ROW(E$1:E4342)*(E2=E$1:E4342))))))</f>
        <v> </v>
      </c>
      <c r="K4343" s="26" t="str">
        <f>IF(OR(E4343="",E4343="!!!",F4343="NEW"),"",INDEX(J$1:J4342,SUMPRODUCT(MAX(ROW(E$1:E4342)*(E4343=E$1:E4342)))))</f>
        <v> </v>
      </c>
      <c r="L4343" s="27"/>
    </row>
    <row r="4344" spans="1:12">
      <c r="A4344" s="20" t="s">
        <v>1191</v>
      </c>
      <c r="E4344" s="22">
        <f>IF(D4344="?OLD","!!!","")</f>
        <v/>
      </c>
      <c r="F4344" s="23" t="str">
        <f>IF(OR(E4344="",E4344="!!!"),"",IF(NOT(ISNA(VLOOKUP(E4344,E$1:E4343,1,FALSE()))),"OLD",IF(AND(E4344&lt;&gt;"",E4344&lt;&gt;"!!!"),"NEW","")))</f>
        <v> </v>
      </c>
      <c r="G4344" s="24" t="str">
        <f>IF(OR(E4344="",E4344="!!!"),"",IF(OR(J4344=0,AND(J4344=1,K4344=1),AND(J4344=1,I4344="SBJ"),AND(J4344=1,I4344=0)),"?IN_FOCUS",IF(J4344&lt;=2,"?ACTIVATED",IF(J4344&lt;&gt;"","?FAMILIAR",IF(F4344="NEW",IF(ISNA(VLOOKUP(E4344,#REF!,1,FALSE())),"?TYPE_IDENTIFIABLE","?REFERENTIAL"),"_")))))</f>
        <v> </v>
      </c>
      <c r="H4344" s="25" t="str">
        <f>IF(J4344&lt;&gt;1,"",IF(I4344="SBJ","CB","?"))</f>
        <v> </v>
      </c>
      <c r="I4344" s="26" t="str">
        <f>IF(OR(E4344="",E4344="!!!",F4344="NEW"),"",INDEX(B4343:B$2,-1+SUMPRODUCT(MAX(ROW(E4343:E$2)*(E4344=E4343:E$2)))))</f>
        <v> </v>
      </c>
      <c r="J4344" s="26" t="str">
        <f>IF(OR(E4344="",E4344="!!!",F4344="NEW"),"",COUNTBLANK(OFFSET(A$1,,,SUMPRODUCT(MAX(ROW(E$2:E4344)*(E4344=E$2:E4344)))))-COUNTBLANK(OFFSET(A$1,,,SUMPRODUCT(MAX(ROW(E$1:E4343)*(E2=E$1:E4343))))))</f>
        <v> </v>
      </c>
      <c r="K4344" s="26" t="str">
        <f>IF(OR(E4344="",E4344="!!!",F4344="NEW"),"",INDEX(J$1:J4343,SUMPRODUCT(MAX(ROW(E$1:E4343)*(E4344=E$1:E4343)))))</f>
        <v> </v>
      </c>
      <c r="L4344" s="27"/>
    </row>
    <row r="4345" spans="1:12">
      <c r="A4345" s="20" t="s">
        <v>1378</v>
      </c>
      <c r="B4345" s="21" t="s">
        <v>1154</v>
      </c>
      <c r="C4345" s="21" t="s">
        <v>1162</v>
      </c>
      <c r="D4345" s="21" t="s">
        <v>1144</v>
      </c>
      <c r="E4345" s="22">
        <f>IF(D4345="?OLD","!!!","")</f>
        <v/>
      </c>
      <c r="F4345" s="23" t="str">
        <f>IF(OR(E4345="",E4345="!!!"),"",IF(NOT(ISNA(VLOOKUP(E4345,E$1:E4344,1,FALSE()))),"OLD",IF(AND(E4345&lt;&gt;"",E4345&lt;&gt;"!!!"),"NEW","")))</f>
        <v> </v>
      </c>
      <c r="G4345" s="24" t="str">
        <f>IF(OR(E4345="",E4345="!!!"),"",IF(OR(J4345=0,AND(J4345=1,K4345=1),AND(J4345=1,I4345="SBJ"),AND(J4345=1,I4345=0)),"?IN_FOCUS",IF(J4345&lt;=2,"?ACTIVATED",IF(J4345&lt;&gt;"","?FAMILIAR",IF(F4345="NEW",IF(ISNA(VLOOKUP(E4345,#REF!,1,FALSE())),"?TYPE_IDENTIFIABLE","?REFERENTIAL"),"_")))))</f>
        <v> </v>
      </c>
      <c r="H4345" s="25" t="str">
        <f>IF(J4345&lt;&gt;1,"",IF(I4345="SBJ","CB","?"))</f>
        <v> </v>
      </c>
      <c r="I4345" s="26" t="str">
        <f>IF(OR(E4345="",E4345="!!!",F4345="NEW"),"",INDEX(B4344:B$2,-1+SUMPRODUCT(MAX(ROW(E4344:E$2)*(E4345=E4344:E$2)))))</f>
        <v> </v>
      </c>
      <c r="J4345" s="26" t="str">
        <f>IF(OR(E4345="",E4345="!!!",F4345="NEW"),"",COUNTBLANK(OFFSET(A$1,,,SUMPRODUCT(MAX(ROW(E$2:E4345)*(E4345=E$2:E4345)))))-COUNTBLANK(OFFSET(A$1,,,SUMPRODUCT(MAX(ROW(E$1:E4344)*(E2=E$1:E4344))))))</f>
        <v> </v>
      </c>
      <c r="K4345" s="26" t="str">
        <f>IF(OR(E4345="",E4345="!!!",F4345="NEW"),"",INDEX(J$1:J4344,SUMPRODUCT(MAX(ROW(E$1:E4344)*(E4345=E$1:E4344)))))</f>
        <v> </v>
      </c>
      <c r="L4345" s="27"/>
    </row>
    <row r="4346" spans="1:12">
      <c r="A4346" s="20" t="s">
        <v>1166</v>
      </c>
      <c r="E4346" s="22">
        <f>IF(D4346="?OLD","!!!","")</f>
        <v/>
      </c>
      <c r="F4346" s="23" t="str">
        <f>IF(OR(E4346="",E4346="!!!"),"",IF(NOT(ISNA(VLOOKUP(E4346,E$1:E4345,1,FALSE()))),"OLD",IF(AND(E4346&lt;&gt;"",E4346&lt;&gt;"!!!"),"NEW","")))</f>
        <v> </v>
      </c>
      <c r="G4346" s="24" t="str">
        <f>IF(OR(E4346="",E4346="!!!"),"",IF(OR(J4346=0,AND(J4346=1,K4346=1),AND(J4346=1,I4346="SBJ"),AND(J4346=1,I4346=0)),"?IN_FOCUS",IF(J4346&lt;=2,"?ACTIVATED",IF(J4346&lt;&gt;"","?FAMILIAR",IF(F4346="NEW",IF(ISNA(VLOOKUP(E4346,#REF!,1,FALSE())),"?TYPE_IDENTIFIABLE","?REFERENTIAL"),"_")))))</f>
        <v> </v>
      </c>
      <c r="H4346" s="25" t="str">
        <f>IF(J4346&lt;&gt;1,"",IF(I4346="SBJ","CB","?"))</f>
        <v> </v>
      </c>
      <c r="I4346" s="26" t="str">
        <f>IF(OR(E4346="",E4346="!!!",F4346="NEW"),"",INDEX(B4345:B$2,-1+SUMPRODUCT(MAX(ROW(E4345:E$2)*(E4346=E4345:E$2)))))</f>
        <v> </v>
      </c>
      <c r="J4346" s="26" t="str">
        <f>IF(OR(E4346="",E4346="!!!",F4346="NEW"),"",COUNTBLANK(OFFSET(A$1,,,SUMPRODUCT(MAX(ROW(E$2:E4346)*(E4346=E$2:E4346)))))-COUNTBLANK(OFFSET(A$1,,,SUMPRODUCT(MAX(ROW(E$1:E4345)*(E2=E$1:E4345))))))</f>
        <v> </v>
      </c>
      <c r="K4346" s="26" t="str">
        <f>IF(OR(E4346="",E4346="!!!",F4346="NEW"),"",INDEX(J$1:J4345,SUMPRODUCT(MAX(ROW(E$1:E4345)*(E4346=E$1:E4345)))))</f>
        <v> </v>
      </c>
      <c r="L4346" s="27"/>
    </row>
    <row r="4347" spans="1:12">
      <c r="A4347" s="20" t="s">
        <v>1302</v>
      </c>
      <c r="E4347" s="22">
        <f>IF(D4347="?OLD","!!!","")</f>
        <v/>
      </c>
      <c r="F4347" s="23" t="str">
        <f>IF(OR(E4347="",E4347="!!!"),"",IF(NOT(ISNA(VLOOKUP(E4347,E$1:E4346,1,FALSE()))),"OLD",IF(AND(E4347&lt;&gt;"",E4347&lt;&gt;"!!!"),"NEW","")))</f>
        <v> </v>
      </c>
      <c r="G4347" s="24" t="str">
        <f>IF(OR(E4347="",E4347="!!!"),"",IF(OR(J4347=0,AND(J4347=1,K4347=1),AND(J4347=1,I4347="SBJ"),AND(J4347=1,I4347=0)),"?IN_FOCUS",IF(J4347&lt;=2,"?ACTIVATED",IF(J4347&lt;&gt;"","?FAMILIAR",IF(F4347="NEW",IF(ISNA(VLOOKUP(E4347,#REF!,1,FALSE())),"?TYPE_IDENTIFIABLE","?REFERENTIAL"),"_")))))</f>
        <v> </v>
      </c>
      <c r="H4347" s="25" t="str">
        <f>IF(J4347&lt;&gt;1,"",IF(I4347="SBJ","CB","?"))</f>
        <v> </v>
      </c>
      <c r="I4347" s="26" t="str">
        <f>IF(OR(E4347="",E4347="!!!",F4347="NEW"),"",INDEX(B4346:B$2,-1+SUMPRODUCT(MAX(ROW(E4346:E$2)*(E4347=E4346:E$2)))))</f>
        <v> </v>
      </c>
      <c r="J4347" s="26" t="str">
        <f>IF(OR(E4347="",E4347="!!!",F4347="NEW"),"",COUNTBLANK(OFFSET(A$1,,,SUMPRODUCT(MAX(ROW(E$2:E4347)*(E4347=E$2:E4347)))))-COUNTBLANK(OFFSET(A$1,,,SUMPRODUCT(MAX(ROW(E$1:E4346)*(E2=E$1:E4346))))))</f>
        <v> </v>
      </c>
      <c r="K4347" s="26" t="str">
        <f>IF(OR(E4347="",E4347="!!!",F4347="NEW"),"",INDEX(J$1:J4346,SUMPRODUCT(MAX(ROW(E$1:E4346)*(E4347=E$1:E4346)))))</f>
        <v> </v>
      </c>
      <c r="L4347" s="27"/>
    </row>
    <row r="4348" spans="1:12">
      <c r="A4348" s="20" t="s">
        <v>1191</v>
      </c>
      <c r="B4348" s="21" t="s">
        <v>1161</v>
      </c>
      <c r="C4348" s="21" t="s">
        <v>1168</v>
      </c>
      <c r="D4348" s="21" t="s">
        <v>1144</v>
      </c>
      <c r="E4348" s="22">
        <f>IF(D4348="?OLD","!!!","")</f>
        <v/>
      </c>
      <c r="F4348" s="23" t="str">
        <f>IF(OR(E4348="",E4348="!!!"),"",IF(NOT(ISNA(VLOOKUP(E4348,E$1:E4347,1,FALSE()))),"OLD",IF(AND(E4348&lt;&gt;"",E4348&lt;&gt;"!!!"),"NEW","")))</f>
        <v> </v>
      </c>
      <c r="G4348" s="24" t="str">
        <f>IF(OR(E4348="",E4348="!!!"),"",IF(OR(J4348=0,AND(J4348=1,K4348=1),AND(J4348=1,I4348="SBJ"),AND(J4348=1,I4348=0)),"?IN_FOCUS",IF(J4348&lt;=2,"?ACTIVATED",IF(J4348&lt;&gt;"","?FAMILIAR",IF(F4348="NEW",IF(ISNA(VLOOKUP(E4348,#REF!,1,FALSE())),"?TYPE_IDENTIFIABLE","?REFERENTIAL"),"_")))))</f>
        <v> </v>
      </c>
      <c r="H4348" s="25" t="str">
        <f>IF(J4348&lt;&gt;1,"",IF(I4348="SBJ","CB","?"))</f>
        <v> </v>
      </c>
      <c r="I4348" s="26" t="str">
        <f>IF(OR(E4348="",E4348="!!!",F4348="NEW"),"",INDEX(B4347:B$2,-1+SUMPRODUCT(MAX(ROW(E4347:E$2)*(E4348=E4347:E$2)))))</f>
        <v> </v>
      </c>
      <c r="J4348" s="26" t="str">
        <f>IF(OR(E4348="",E4348="!!!",F4348="NEW"),"",COUNTBLANK(OFFSET(A$1,,,SUMPRODUCT(MAX(ROW(E$2:E4348)*(E4348=E$2:E4348)))))-COUNTBLANK(OFFSET(A$1,,,SUMPRODUCT(MAX(ROW(E$1:E4347)*(E2=E$1:E4347))))))</f>
        <v> </v>
      </c>
      <c r="K4348" s="26" t="str">
        <f>IF(OR(E4348="",E4348="!!!",F4348="NEW"),"",INDEX(J$1:J4347,SUMPRODUCT(MAX(ROW(E$1:E4347)*(E4348=E$1:E4347)))))</f>
        <v> </v>
      </c>
      <c r="L4348" s="27"/>
    </row>
    <row r="4349" spans="1:12">
      <c r="A4349" s="20" t="s">
        <v>1230</v>
      </c>
      <c r="B4349" s="21" t="s">
        <v>1165</v>
      </c>
      <c r="C4349" s="21" t="s">
        <v>1168</v>
      </c>
      <c r="D4349" s="21" t="s">
        <v>1144</v>
      </c>
      <c r="E4349" s="22">
        <f>IF(D4349="?OLD","!!!","")</f>
        <v/>
      </c>
      <c r="F4349" s="23" t="str">
        <f>IF(OR(E4349="",E4349="!!!"),"",IF(NOT(ISNA(VLOOKUP(E4349,E$1:E4348,1,FALSE()))),"OLD",IF(AND(E4349&lt;&gt;"",E4349&lt;&gt;"!!!"),"NEW","")))</f>
        <v> </v>
      </c>
      <c r="G4349" s="24" t="str">
        <f>IF(OR(E4349="",E4349="!!!"),"",IF(OR(J4349=0,AND(J4349=1,K4349=1),AND(J4349=1,I4349="SBJ"),AND(J4349=1,I4349=0)),"?IN_FOCUS",IF(J4349&lt;=2,"?ACTIVATED",IF(J4349&lt;&gt;"","?FAMILIAR",IF(F4349="NEW",IF(ISNA(VLOOKUP(E4349,#REF!,1,FALSE())),"?TYPE_IDENTIFIABLE","?REFERENTIAL"),"_")))))</f>
        <v> </v>
      </c>
      <c r="H4349" s="25" t="str">
        <f>IF(J4349&lt;&gt;1,"",IF(I4349="SBJ","CB","?"))</f>
        <v> </v>
      </c>
      <c r="I4349" s="26" t="str">
        <f>IF(OR(E4349="",E4349="!!!",F4349="NEW"),"",INDEX(B4348:B$2,-1+SUMPRODUCT(MAX(ROW(E4348:E$2)*(E4349=E4348:E$2)))))</f>
        <v> </v>
      </c>
      <c r="J4349" s="26" t="str">
        <f>IF(OR(E4349="",E4349="!!!",F4349="NEW"),"",COUNTBLANK(OFFSET(A$1,,,SUMPRODUCT(MAX(ROW(E$2:E4349)*(E4349=E$2:E4349)))))-COUNTBLANK(OFFSET(A$1,,,SUMPRODUCT(MAX(ROW(E$1:E4348)*(E2=E$1:E4348))))))</f>
        <v> </v>
      </c>
      <c r="K4349" s="26" t="str">
        <f>IF(OR(E4349="",E4349="!!!",F4349="NEW"),"",INDEX(J$1:J4348,SUMPRODUCT(MAX(ROW(E$1:E4348)*(E4349=E$1:E4348)))))</f>
        <v> </v>
      </c>
      <c r="L4349" s="27"/>
    </row>
    <row r="4350" spans="1:12">
      <c r="A4350" s="20" t="s">
        <v>2395</v>
      </c>
      <c r="E4350" s="22">
        <f>IF(D4350="?OLD","!!!","")</f>
        <v/>
      </c>
      <c r="F4350" s="23" t="str">
        <f>IF(OR(E4350="",E4350="!!!"),"",IF(NOT(ISNA(VLOOKUP(E4350,E$1:E4349,1,FALSE()))),"OLD",IF(AND(E4350&lt;&gt;"",E4350&lt;&gt;"!!!"),"NEW","")))</f>
        <v> </v>
      </c>
      <c r="G4350" s="24" t="str">
        <f>IF(OR(E4350="",E4350="!!!"),"",IF(OR(J4350=0,AND(J4350=1,K4350=1),AND(J4350=1,I4350="SBJ"),AND(J4350=1,I4350=0)),"?IN_FOCUS",IF(J4350&lt;=2,"?ACTIVATED",IF(J4350&lt;&gt;"","?FAMILIAR",IF(F4350="NEW",IF(ISNA(VLOOKUP(E4350,#REF!,1,FALSE())),"?TYPE_IDENTIFIABLE","?REFERENTIAL"),"_")))))</f>
        <v> </v>
      </c>
      <c r="H4350" s="25" t="str">
        <f>IF(J4350&lt;&gt;1,"",IF(I4350="SBJ","CB","?"))</f>
        <v> </v>
      </c>
      <c r="I4350" s="26" t="str">
        <f>IF(OR(E4350="",E4350="!!!",F4350="NEW"),"",INDEX(B4349:B$2,-1+SUMPRODUCT(MAX(ROW(E4349:E$2)*(E4350=E4349:E$2)))))</f>
        <v> </v>
      </c>
      <c r="J4350" s="26" t="str">
        <f>IF(OR(E4350="",E4350="!!!",F4350="NEW"),"",COUNTBLANK(OFFSET(A$1,,,SUMPRODUCT(MAX(ROW(E$2:E4350)*(E4350=E$2:E4350)))))-COUNTBLANK(OFFSET(A$1,,,SUMPRODUCT(MAX(ROW(E$1:E4349)*(E2=E$1:E4349))))))</f>
        <v> </v>
      </c>
      <c r="K4350" s="26" t="str">
        <f>IF(OR(E4350="",E4350="!!!",F4350="NEW"),"",INDEX(J$1:J4349,SUMPRODUCT(MAX(ROW(E$1:E4349)*(E4350=E$1:E4349)))))</f>
        <v> </v>
      </c>
      <c r="L4350" s="27"/>
    </row>
    <row r="4351" spans="1:12">
      <c r="A4351" s="20" t="s">
        <v>1166</v>
      </c>
      <c r="E4351" s="22">
        <f>IF(D4351="?OLD","!!!","")</f>
        <v/>
      </c>
      <c r="F4351" s="23" t="str">
        <f>IF(OR(E4351="",E4351="!!!"),"",IF(NOT(ISNA(VLOOKUP(E4351,E$1:E4350,1,FALSE()))),"OLD",IF(AND(E4351&lt;&gt;"",E4351&lt;&gt;"!!!"),"NEW","")))</f>
        <v> </v>
      </c>
      <c r="G4351" s="24" t="str">
        <f>IF(OR(E4351="",E4351="!!!"),"",IF(OR(J4351=0,AND(J4351=1,K4351=1),AND(J4351=1,I4351="SBJ"),AND(J4351=1,I4351=0)),"?IN_FOCUS",IF(J4351&lt;=2,"?ACTIVATED",IF(J4351&lt;&gt;"","?FAMILIAR",IF(F4351="NEW",IF(ISNA(VLOOKUP(E4351,#REF!,1,FALSE())),"?TYPE_IDENTIFIABLE","?REFERENTIAL"),"_")))))</f>
        <v> </v>
      </c>
      <c r="H4351" s="25" t="str">
        <f>IF(J4351&lt;&gt;1,"",IF(I4351="SBJ","CB","?"))</f>
        <v> </v>
      </c>
      <c r="I4351" s="26" t="str">
        <f>IF(OR(E4351="",E4351="!!!",F4351="NEW"),"",INDEX(B4350:B$2,-1+SUMPRODUCT(MAX(ROW(E4350:E$2)*(E4351=E4350:E$2)))))</f>
        <v> </v>
      </c>
      <c r="J4351" s="26" t="str">
        <f>IF(OR(E4351="",E4351="!!!",F4351="NEW"),"",COUNTBLANK(OFFSET(A$1,,,SUMPRODUCT(MAX(ROW(E$2:E4351)*(E4351=E$2:E4351)))))-COUNTBLANK(OFFSET(A$1,,,SUMPRODUCT(MAX(ROW(E$1:E4350)*(E2=E$1:E4350))))))</f>
        <v> </v>
      </c>
      <c r="K4351" s="26" t="str">
        <f>IF(OR(E4351="",E4351="!!!",F4351="NEW"),"",INDEX(J$1:J4350,SUMPRODUCT(MAX(ROW(E$1:E4350)*(E4351=E$1:E4350)))))</f>
        <v> </v>
      </c>
      <c r="L4351" s="27"/>
    </row>
    <row r="4352" spans="1:12">
      <c r="A4352" s="20" t="s">
        <v>1616</v>
      </c>
      <c r="E4352" s="22">
        <f>IF(D4352="?OLD","!!!","")</f>
        <v/>
      </c>
      <c r="F4352" s="23" t="str">
        <f>IF(OR(E4352="",E4352="!!!"),"",IF(NOT(ISNA(VLOOKUP(E4352,E$1:E4351,1,FALSE()))),"OLD",IF(AND(E4352&lt;&gt;"",E4352&lt;&gt;"!!!"),"NEW","")))</f>
        <v> </v>
      </c>
      <c r="G4352" s="24" t="str">
        <f>IF(OR(E4352="",E4352="!!!"),"",IF(OR(J4352=0,AND(J4352=1,K4352=1),AND(J4352=1,I4352="SBJ"),AND(J4352=1,I4352=0)),"?IN_FOCUS",IF(J4352&lt;=2,"?ACTIVATED",IF(J4352&lt;&gt;"","?FAMILIAR",IF(F4352="NEW",IF(ISNA(VLOOKUP(E4352,#REF!,1,FALSE())),"?TYPE_IDENTIFIABLE","?REFERENTIAL"),"_")))))</f>
        <v> </v>
      </c>
      <c r="H4352" s="25" t="str">
        <f>IF(J4352&lt;&gt;1,"",IF(I4352="SBJ","CB","?"))</f>
        <v> </v>
      </c>
      <c r="I4352" s="26" t="str">
        <f>IF(OR(E4352="",E4352="!!!",F4352="NEW"),"",INDEX(B4351:B$2,-1+SUMPRODUCT(MAX(ROW(E4351:E$2)*(E4352=E4351:E$2)))))</f>
        <v> </v>
      </c>
      <c r="J4352" s="26" t="str">
        <f>IF(OR(E4352="",E4352="!!!",F4352="NEW"),"",COUNTBLANK(OFFSET(A$1,,,SUMPRODUCT(MAX(ROW(E$2:E4352)*(E4352=E$2:E4352)))))-COUNTBLANK(OFFSET(A$1,,,SUMPRODUCT(MAX(ROW(E$1:E4351)*(E2=E$1:E4351))))))</f>
        <v> </v>
      </c>
      <c r="K4352" s="26" t="str">
        <f>IF(OR(E4352="",E4352="!!!",F4352="NEW"),"",INDEX(J$1:J4351,SUMPRODUCT(MAX(ROW(E$1:E4351)*(E4352=E$1:E4351)))))</f>
        <v> </v>
      </c>
      <c r="L4352" s="27"/>
    </row>
    <row r="4353" spans="1:12">
      <c r="A4353" s="20" t="s">
        <v>1226</v>
      </c>
      <c r="E4353" s="22">
        <f>IF(D4353="?OLD","!!!","")</f>
        <v/>
      </c>
      <c r="F4353" s="23" t="str">
        <f>IF(OR(E4353="",E4353="!!!"),"",IF(NOT(ISNA(VLOOKUP(E4353,E$1:E4352,1,FALSE()))),"OLD",IF(AND(E4353&lt;&gt;"",E4353&lt;&gt;"!!!"),"NEW","")))</f>
        <v> </v>
      </c>
      <c r="G4353" s="24" t="str">
        <f>IF(OR(E4353="",E4353="!!!"),"",IF(OR(J4353=0,AND(J4353=1,K4353=1),AND(J4353=1,I4353="SBJ"),AND(J4353=1,I4353=0)),"?IN_FOCUS",IF(J4353&lt;=2,"?ACTIVATED",IF(J4353&lt;&gt;"","?FAMILIAR",IF(F4353="NEW",IF(ISNA(VLOOKUP(E4353,#REF!,1,FALSE())),"?TYPE_IDENTIFIABLE","?REFERENTIAL"),"_")))))</f>
        <v> </v>
      </c>
      <c r="H4353" s="25" t="str">
        <f>IF(J4353&lt;&gt;1,"",IF(I4353="SBJ","CB","?"))</f>
        <v> </v>
      </c>
      <c r="I4353" s="26" t="str">
        <f>IF(OR(E4353="",E4353="!!!",F4353="NEW"),"",INDEX(B4352:B$2,-1+SUMPRODUCT(MAX(ROW(E4352:E$2)*(E4353=E4352:E$2)))))</f>
        <v> </v>
      </c>
      <c r="J4353" s="26" t="str">
        <f>IF(OR(E4353="",E4353="!!!",F4353="NEW"),"",COUNTBLANK(OFFSET(A$1,,,SUMPRODUCT(MAX(ROW(E$2:E4353)*(E4353=E$2:E4353)))))-COUNTBLANK(OFFSET(A$1,,,SUMPRODUCT(MAX(ROW(E$1:E4352)*(E2=E$1:E4352))))))</f>
        <v> </v>
      </c>
      <c r="K4353" s="26" t="str">
        <f>IF(OR(E4353="",E4353="!!!",F4353="NEW"),"",INDEX(J$1:J4352,SUMPRODUCT(MAX(ROW(E$1:E4352)*(E4353=E$1:E4352)))))</f>
        <v> </v>
      </c>
      <c r="L4353" s="27"/>
    </row>
    <row r="4354" spans="1:12">
      <c r="A4354" s="20" t="s">
        <v>1243</v>
      </c>
      <c r="B4354" s="21" t="s">
        <v>1142</v>
      </c>
      <c r="C4354" s="21" t="s">
        <v>1228</v>
      </c>
      <c r="E4354" s="22">
        <f>IF(D4354="?OLD","!!!","")</f>
        <v/>
      </c>
      <c r="F4354" s="23" t="str">
        <f>IF(OR(E4354="",E4354="!!!"),"",IF(NOT(ISNA(VLOOKUP(E4354,E$1:E4353,1,FALSE()))),"OLD",IF(AND(E4354&lt;&gt;"",E4354&lt;&gt;"!!!"),"NEW","")))</f>
        <v> </v>
      </c>
      <c r="G4354" s="24" t="str">
        <f>IF(OR(E4354="",E4354="!!!"),"",IF(OR(J4354=0,AND(J4354=1,K4354=1),AND(J4354=1,I4354="SBJ"),AND(J4354=1,I4354=0)),"?IN_FOCUS",IF(J4354&lt;=2,"?ACTIVATED",IF(J4354&lt;&gt;"","?FAMILIAR",IF(F4354="NEW",IF(ISNA(VLOOKUP(E4354,#REF!,1,FALSE())),"?TYPE_IDENTIFIABLE","?REFERENTIAL"),"_")))))</f>
        <v> </v>
      </c>
      <c r="H4354" s="25" t="str">
        <f>IF(J4354&lt;&gt;1,"",IF(I4354="SBJ","CB","?"))</f>
        <v> </v>
      </c>
      <c r="I4354" s="26" t="str">
        <f>IF(OR(E4354="",E4354="!!!",F4354="NEW"),"",INDEX(B4353:B$2,-1+SUMPRODUCT(MAX(ROW(E4353:E$2)*(E4354=E4353:E$2)))))</f>
        <v> </v>
      </c>
      <c r="J4354" s="26" t="str">
        <f>IF(OR(E4354="",E4354="!!!",F4354="NEW"),"",COUNTBLANK(OFFSET(A$1,,,SUMPRODUCT(MAX(ROW(E$2:E4354)*(E4354=E$2:E4354)))))-COUNTBLANK(OFFSET(A$1,,,SUMPRODUCT(MAX(ROW(E$1:E4353)*(E2=E$1:E4353))))))</f>
        <v> </v>
      </c>
      <c r="K4354" s="26" t="str">
        <f>IF(OR(E4354="",E4354="!!!",F4354="NEW"),"",INDEX(J$1:J4353,SUMPRODUCT(MAX(ROW(E$1:E4353)*(E4354=E$1:E4353)))))</f>
        <v> </v>
      </c>
      <c r="L4354" s="27"/>
    </row>
    <row r="4355" spans="1:12">
      <c r="A4355" s="20" t="s">
        <v>2399</v>
      </c>
      <c r="E4355" s="22">
        <f>IF(D4355="?OLD","!!!","")</f>
        <v/>
      </c>
      <c r="F4355" s="23" t="str">
        <f>IF(OR(E4355="",E4355="!!!"),"",IF(NOT(ISNA(VLOOKUP(E4355,E$1:E4354,1,FALSE()))),"OLD",IF(AND(E4355&lt;&gt;"",E4355&lt;&gt;"!!!"),"NEW","")))</f>
        <v> </v>
      </c>
      <c r="G4355" s="24" t="str">
        <f>IF(OR(E4355="",E4355="!!!"),"",IF(OR(J4355=0,AND(J4355=1,K4355=1),AND(J4355=1,I4355="SBJ"),AND(J4355=1,I4355=0)),"?IN_FOCUS",IF(J4355&lt;=2,"?ACTIVATED",IF(J4355&lt;&gt;"","?FAMILIAR",IF(F4355="NEW",IF(ISNA(VLOOKUP(E4355,#REF!,1,FALSE())),"?TYPE_IDENTIFIABLE","?REFERENTIAL"),"_")))))</f>
        <v> </v>
      </c>
      <c r="H4355" s="25" t="str">
        <f>IF(J4355&lt;&gt;1,"",IF(I4355="SBJ","CB","?"))</f>
        <v> </v>
      </c>
      <c r="I4355" s="26" t="str">
        <f>IF(OR(E4355="",E4355="!!!",F4355="NEW"),"",INDEX(B4354:B$2,-1+SUMPRODUCT(MAX(ROW(E4354:E$2)*(E4355=E4354:E$2)))))</f>
        <v> </v>
      </c>
      <c r="J4355" s="26" t="str">
        <f>IF(OR(E4355="",E4355="!!!",F4355="NEW"),"",COUNTBLANK(OFFSET(A$1,,,SUMPRODUCT(MAX(ROW(E$2:E4355)*(E4355=E$2:E4355)))))-COUNTBLANK(OFFSET(A$1,,,SUMPRODUCT(MAX(ROW(E$1:E4354)*(E2=E$1:E4354))))))</f>
        <v> </v>
      </c>
      <c r="K4355" s="26" t="str">
        <f>IF(OR(E4355="",E4355="!!!",F4355="NEW"),"",INDEX(J$1:J4354,SUMPRODUCT(MAX(ROW(E$1:E4354)*(E4355=E$1:E4354)))))</f>
        <v> </v>
      </c>
      <c r="L4355" s="27"/>
    </row>
    <row r="4356" spans="1:12">
      <c r="A4356" s="20" t="s">
        <v>119</v>
      </c>
      <c r="E4356" s="22">
        <f>IF(D4356="?OLD","!!!","")</f>
        <v/>
      </c>
      <c r="F4356" s="23" t="str">
        <f>IF(OR(E4356="",E4356="!!!"),"",IF(NOT(ISNA(VLOOKUP(E4356,E$1:E4355,1,FALSE()))),"OLD",IF(AND(E4356&lt;&gt;"",E4356&lt;&gt;"!!!"),"NEW","")))</f>
        <v> </v>
      </c>
      <c r="G4356" s="24" t="str">
        <f>IF(OR(E4356="",E4356="!!!"),"",IF(OR(J4356=0,AND(J4356=1,K4356=1),AND(J4356=1,I4356="SBJ"),AND(J4356=1,I4356=0)),"?IN_FOCUS",IF(J4356&lt;=2,"?ACTIVATED",IF(J4356&lt;&gt;"","?FAMILIAR",IF(F4356="NEW",IF(ISNA(VLOOKUP(E4356,#REF!,1,FALSE())),"?TYPE_IDENTIFIABLE","?REFERENTIAL"),"_")))))</f>
        <v> </v>
      </c>
      <c r="H4356" s="25" t="str">
        <f>IF(J4356&lt;&gt;1,"",IF(I4356="SBJ","CB","?"))</f>
        <v> </v>
      </c>
      <c r="I4356" s="26" t="str">
        <f>IF(OR(E4356="",E4356="!!!",F4356="NEW"),"",INDEX(B4355:B$2,-1+SUMPRODUCT(MAX(ROW(E4355:E$2)*(E4356=E4355:E$2)))))</f>
        <v> </v>
      </c>
      <c r="J4356" s="26" t="str">
        <f>IF(OR(E4356="",E4356="!!!",F4356="NEW"),"",COUNTBLANK(OFFSET(A$1,,,SUMPRODUCT(MAX(ROW(E$2:E4356)*(E4356=E$2:E4356)))))-COUNTBLANK(OFFSET(A$1,,,SUMPRODUCT(MAX(ROW(E$1:E4355)*(E2=E$1:E4355))))))</f>
        <v> </v>
      </c>
      <c r="K4356" s="26" t="str">
        <f>IF(OR(E4356="",E4356="!!!",F4356="NEW"),"",INDEX(J$1:J4355,SUMPRODUCT(MAX(ROW(E$1:E4355)*(E4356=E$1:E4355)))))</f>
        <v> </v>
      </c>
      <c r="L4356" s="27"/>
    </row>
    <row r="4357" spans="1:12">
      <c r="A4357" s="20" t="s">
        <v>1166</v>
      </c>
      <c r="E4357" s="22">
        <f>IF(D4357="?OLD","!!!","")</f>
        <v/>
      </c>
      <c r="F4357" s="23" t="str">
        <f>IF(OR(E4357="",E4357="!!!"),"",IF(NOT(ISNA(VLOOKUP(E4357,E$1:E4356,1,FALSE()))),"OLD",IF(AND(E4357&lt;&gt;"",E4357&lt;&gt;"!!!"),"NEW","")))</f>
        <v> </v>
      </c>
      <c r="G4357" s="24" t="str">
        <f>IF(OR(E4357="",E4357="!!!"),"",IF(OR(J4357=0,AND(J4357=1,K4357=1),AND(J4357=1,I4357="SBJ"),AND(J4357=1,I4357=0)),"?IN_FOCUS",IF(J4357&lt;=2,"?ACTIVATED",IF(J4357&lt;&gt;"","?FAMILIAR",IF(F4357="NEW",IF(ISNA(VLOOKUP(E4357,#REF!,1,FALSE())),"?TYPE_IDENTIFIABLE","?REFERENTIAL"),"_")))))</f>
        <v> </v>
      </c>
      <c r="H4357" s="25" t="str">
        <f>IF(J4357&lt;&gt;1,"",IF(I4357="SBJ","CB","?"))</f>
        <v> </v>
      </c>
      <c r="I4357" s="26" t="str">
        <f>IF(OR(E4357="",E4357="!!!",F4357="NEW"),"",INDEX(B4356:B$2,-1+SUMPRODUCT(MAX(ROW(E4356:E$2)*(E4357=E4356:E$2)))))</f>
        <v> </v>
      </c>
      <c r="J4357" s="26" t="str">
        <f>IF(OR(E4357="",E4357="!!!",F4357="NEW"),"",COUNTBLANK(OFFSET(A$1,,,SUMPRODUCT(MAX(ROW(E$2:E4357)*(E4357=E$2:E4357)))))-COUNTBLANK(OFFSET(A$1,,,SUMPRODUCT(MAX(ROW(E$1:E4356)*(E2=E$1:E4356))))))</f>
        <v> </v>
      </c>
      <c r="K4357" s="26" t="str">
        <f>IF(OR(E4357="",E4357="!!!",F4357="NEW"),"",INDEX(J$1:J4356,SUMPRODUCT(MAX(ROW(E$1:E4356)*(E4357=E$1:E4356)))))</f>
        <v> </v>
      </c>
      <c r="L4357" s="27"/>
    </row>
    <row r="4358" spans="1:12">
      <c r="A4358" s="20" t="s">
        <v>60</v>
      </c>
      <c r="E4358" s="22">
        <f>IF(D4358="?OLD","!!!","")</f>
        <v/>
      </c>
      <c r="F4358" s="23" t="str">
        <f>IF(OR(E4358="",E4358="!!!"),"",IF(NOT(ISNA(VLOOKUP(E4358,E$1:E4357,1,FALSE()))),"OLD",IF(AND(E4358&lt;&gt;"",E4358&lt;&gt;"!!!"),"NEW","")))</f>
        <v> </v>
      </c>
      <c r="G4358" s="24" t="str">
        <f>IF(OR(E4358="",E4358="!!!"),"",IF(OR(J4358=0,AND(J4358=1,K4358=1),AND(J4358=1,I4358="SBJ"),AND(J4358=1,I4358=0)),"?IN_FOCUS",IF(J4358&lt;=2,"?ACTIVATED",IF(J4358&lt;&gt;"","?FAMILIAR",IF(F4358="NEW",IF(ISNA(VLOOKUP(E4358,#REF!,1,FALSE())),"?TYPE_IDENTIFIABLE","?REFERENTIAL"),"_")))))</f>
        <v> </v>
      </c>
      <c r="H4358" s="25" t="str">
        <f>IF(J4358&lt;&gt;1,"",IF(I4358="SBJ","CB","?"))</f>
        <v> </v>
      </c>
      <c r="I4358" s="26" t="str">
        <f>IF(OR(E4358="",E4358="!!!",F4358="NEW"),"",INDEX(B4357:B$2,-1+SUMPRODUCT(MAX(ROW(E4357:E$2)*(E4358=E4357:E$2)))))</f>
        <v> </v>
      </c>
      <c r="J4358" s="26" t="str">
        <f>IF(OR(E4358="",E4358="!!!",F4358="NEW"),"",COUNTBLANK(OFFSET(A$1,,,SUMPRODUCT(MAX(ROW(E$2:E4358)*(E4358=E$2:E4358)))))-COUNTBLANK(OFFSET(A$1,,,SUMPRODUCT(MAX(ROW(E$1:E4357)*(E2=E$1:E4357))))))</f>
        <v> </v>
      </c>
      <c r="K4358" s="26" t="str">
        <f>IF(OR(E4358="",E4358="!!!",F4358="NEW"),"",INDEX(J$1:J4357,SUMPRODUCT(MAX(ROW(E$1:E4357)*(E4358=E$1:E4357)))))</f>
        <v> </v>
      </c>
      <c r="L4358" s="27"/>
    </row>
    <row r="4359" spans="1:12">
      <c r="A4359" s="20" t="s">
        <v>1176</v>
      </c>
      <c r="E4359" s="22">
        <f>IF(D4359="?OLD","!!!","")</f>
        <v/>
      </c>
      <c r="F4359" s="23" t="str">
        <f>IF(OR(E4359="",E4359="!!!"),"",IF(NOT(ISNA(VLOOKUP(E4359,E$1:E4358,1,FALSE()))),"OLD",IF(AND(E4359&lt;&gt;"",E4359&lt;&gt;"!!!"),"NEW","")))</f>
        <v> </v>
      </c>
      <c r="G4359" s="24" t="str">
        <f>IF(OR(E4359="",E4359="!!!"),"",IF(OR(J4359=0,AND(J4359=1,K4359=1),AND(J4359=1,I4359="SBJ"),AND(J4359=1,I4359=0)),"?IN_FOCUS",IF(J4359&lt;=2,"?ACTIVATED",IF(J4359&lt;&gt;"","?FAMILIAR",IF(F4359="NEW",IF(ISNA(VLOOKUP(E4359,#REF!,1,FALSE())),"?TYPE_IDENTIFIABLE","?REFERENTIAL"),"_")))))</f>
        <v> </v>
      </c>
      <c r="H4359" s="25" t="str">
        <f>IF(J4359&lt;&gt;1,"",IF(I4359="SBJ","CB","?"))</f>
        <v> </v>
      </c>
      <c r="I4359" s="26" t="str">
        <f>IF(OR(E4359="",E4359="!!!",F4359="NEW"),"",INDEX(B4358:B$2,-1+SUMPRODUCT(MAX(ROW(E4358:E$2)*(E4359=E4358:E$2)))))</f>
        <v> </v>
      </c>
      <c r="J4359" s="26" t="str">
        <f>IF(OR(E4359="",E4359="!!!",F4359="NEW"),"",COUNTBLANK(OFFSET(A$1,,,SUMPRODUCT(MAX(ROW(E$2:E4359)*(E4359=E$2:E4359)))))-COUNTBLANK(OFFSET(A$1,,,SUMPRODUCT(MAX(ROW(E$1:E4358)*(E2=E$1:E4358))))))</f>
        <v> </v>
      </c>
      <c r="K4359" s="26" t="str">
        <f>IF(OR(E4359="",E4359="!!!",F4359="NEW"),"",INDEX(J$1:J4358,SUMPRODUCT(MAX(ROW(E$1:E4358)*(E4359=E$1:E4358)))))</f>
        <v> </v>
      </c>
      <c r="L4359" s="27"/>
    </row>
    <row r="4360" spans="1:12">
      <c r="A4360" s="20" t="s">
        <v>1225</v>
      </c>
      <c r="E4360" s="22">
        <f>IF(D4360="?OLD","!!!","")</f>
        <v/>
      </c>
      <c r="F4360" s="23" t="str">
        <f>IF(OR(E4360="",E4360="!!!"),"",IF(NOT(ISNA(VLOOKUP(E4360,E$1:E4359,1,FALSE()))),"OLD",IF(AND(E4360&lt;&gt;"",E4360&lt;&gt;"!!!"),"NEW","")))</f>
        <v> </v>
      </c>
      <c r="G4360" s="24" t="str">
        <f>IF(OR(E4360="",E4360="!!!"),"",IF(OR(J4360=0,AND(J4360=1,K4360=1),AND(J4360=1,I4360="SBJ"),AND(J4360=1,I4360=0)),"?IN_FOCUS",IF(J4360&lt;=2,"?ACTIVATED",IF(J4360&lt;&gt;"","?FAMILIAR",IF(F4360="NEW",IF(ISNA(VLOOKUP(E4360,#REF!,1,FALSE())),"?TYPE_IDENTIFIABLE","?REFERENTIAL"),"_")))))</f>
        <v> </v>
      </c>
      <c r="H4360" s="25" t="str">
        <f>IF(J4360&lt;&gt;1,"",IF(I4360="SBJ","CB","?"))</f>
        <v> </v>
      </c>
      <c r="I4360" s="26" t="str">
        <f>IF(OR(E4360="",E4360="!!!",F4360="NEW"),"",INDEX(B4359:B$2,-1+SUMPRODUCT(MAX(ROW(E4359:E$2)*(E4360=E4359:E$2)))))</f>
        <v> </v>
      </c>
      <c r="J4360" s="26" t="str">
        <f>IF(OR(E4360="",E4360="!!!",F4360="NEW"),"",COUNTBLANK(OFFSET(A$1,,,SUMPRODUCT(MAX(ROW(E$2:E4360)*(E4360=E$2:E4360)))))-COUNTBLANK(OFFSET(A$1,,,SUMPRODUCT(MAX(ROW(E$1:E4359)*(E2=E$1:E4359))))))</f>
        <v> </v>
      </c>
      <c r="K4360" s="26" t="str">
        <f>IF(OR(E4360="",E4360="!!!",F4360="NEW"),"",INDEX(J$1:J4359,SUMPRODUCT(MAX(ROW(E$1:E4359)*(E4360=E$1:E4359)))))</f>
        <v> </v>
      </c>
      <c r="L4360" s="27"/>
    </row>
    <row r="4361" spans="1:12">
      <c r="A4361" s="20" t="s">
        <v>2364</v>
      </c>
      <c r="B4361" s="21" t="s">
        <v>1161</v>
      </c>
      <c r="C4361" s="21" t="s">
        <v>1182</v>
      </c>
      <c r="E4361" s="22">
        <f>IF(D4361="?OLD","!!!","")</f>
        <v/>
      </c>
      <c r="F4361" s="23" t="str">
        <f>IF(OR(E4361="",E4361="!!!"),"",IF(NOT(ISNA(VLOOKUP(E4361,E$1:E4360,1,FALSE()))),"OLD",IF(AND(E4361&lt;&gt;"",E4361&lt;&gt;"!!!"),"NEW","")))</f>
        <v> </v>
      </c>
      <c r="G4361" s="24" t="str">
        <f>IF(OR(E4361="",E4361="!!!"),"",IF(OR(J4361=0,AND(J4361=1,K4361=1),AND(J4361=1,I4361="SBJ"),AND(J4361=1,I4361=0)),"?IN_FOCUS",IF(J4361&lt;=2,"?ACTIVATED",IF(J4361&lt;&gt;"","?FAMILIAR",IF(F4361="NEW",IF(ISNA(VLOOKUP(E4361,#REF!,1,FALSE())),"?TYPE_IDENTIFIABLE","?REFERENTIAL"),"_")))))</f>
        <v> </v>
      </c>
      <c r="H4361" s="25" t="str">
        <f>IF(J4361&lt;&gt;1,"",IF(I4361="SBJ","CB","?"))</f>
        <v> </v>
      </c>
      <c r="I4361" s="26" t="str">
        <f>IF(OR(E4361="",E4361="!!!",F4361="NEW"),"",INDEX(B4360:B$2,-1+SUMPRODUCT(MAX(ROW(E4360:E$2)*(E4361=E4360:E$2)))))</f>
        <v> </v>
      </c>
      <c r="J4361" s="26" t="str">
        <f>IF(OR(E4361="",E4361="!!!",F4361="NEW"),"",COUNTBLANK(OFFSET(A$1,,,SUMPRODUCT(MAX(ROW(E$2:E4361)*(E4361=E$2:E4361)))))-COUNTBLANK(OFFSET(A$1,,,SUMPRODUCT(MAX(ROW(E$1:E4360)*(E2=E$1:E4360))))))</f>
        <v> </v>
      </c>
      <c r="K4361" s="26" t="str">
        <f>IF(OR(E4361="",E4361="!!!",F4361="NEW"),"",INDEX(J$1:J4360,SUMPRODUCT(MAX(ROW(E$1:E4360)*(E4361=E$1:E4360)))))</f>
        <v> </v>
      </c>
      <c r="L4361" s="27"/>
    </row>
    <row r="4362" spans="1:12">
      <c r="A4362" s="20" t="s">
        <v>2365</v>
      </c>
      <c r="B4362" s="21" t="s">
        <v>1150</v>
      </c>
      <c r="C4362" s="21" t="s">
        <v>1187</v>
      </c>
      <c r="E4362" s="22">
        <f>IF(D4362="?OLD","!!!","")</f>
        <v/>
      </c>
      <c r="F4362" s="23" t="str">
        <f>IF(OR(E4362="",E4362="!!!"),"",IF(NOT(ISNA(VLOOKUP(E4362,E$1:E4361,1,FALSE()))),"OLD",IF(AND(E4362&lt;&gt;"",E4362&lt;&gt;"!!!"),"NEW","")))</f>
        <v> </v>
      </c>
      <c r="G4362" s="24" t="str">
        <f>IF(OR(E4362="",E4362="!!!"),"",IF(OR(J4362=0,AND(J4362=1,K4362=1),AND(J4362=1,I4362="SBJ"),AND(J4362=1,I4362=0)),"?IN_FOCUS",IF(J4362&lt;=2,"?ACTIVATED",IF(J4362&lt;&gt;"","?FAMILIAR",IF(F4362="NEW",IF(ISNA(VLOOKUP(E4362,#REF!,1,FALSE())),"?TYPE_IDENTIFIABLE","?REFERENTIAL"),"_")))))</f>
        <v> </v>
      </c>
      <c r="H4362" s="25" t="str">
        <f>IF(J4362&lt;&gt;1,"",IF(I4362="SBJ","CB","?"))</f>
        <v> </v>
      </c>
      <c r="I4362" s="26" t="str">
        <f>IF(OR(E4362="",E4362="!!!",F4362="NEW"),"",INDEX(B4361:B$2,-1+SUMPRODUCT(MAX(ROW(E4361:E$2)*(E4362=E4361:E$2)))))</f>
        <v> </v>
      </c>
      <c r="J4362" s="26" t="str">
        <f>IF(OR(E4362="",E4362="!!!",F4362="NEW"),"",COUNTBLANK(OFFSET(A$1,,,SUMPRODUCT(MAX(ROW(E$2:E4362)*(E4362=E$2:E4362)))))-COUNTBLANK(OFFSET(A$1,,,SUMPRODUCT(MAX(ROW(E$1:E4361)*(E2=E$1:E4361))))))</f>
        <v> </v>
      </c>
      <c r="K4362" s="26" t="str">
        <f>IF(OR(E4362="",E4362="!!!",F4362="NEW"),"",INDEX(J$1:J4361,SUMPRODUCT(MAX(ROW(E$1:E4361)*(E4362=E$1:E4361)))))</f>
        <v> </v>
      </c>
      <c r="L4362" s="27"/>
    </row>
    <row r="4363" spans="1:12">
      <c r="A4363" s="20" t="s">
        <v>1263</v>
      </c>
      <c r="E4363" s="22">
        <f>IF(D4363="?OLD","!!!","")</f>
        <v/>
      </c>
      <c r="F4363" s="23" t="str">
        <f>IF(OR(E4363="",E4363="!!!"),"",IF(NOT(ISNA(VLOOKUP(E4363,E$1:E4362,1,FALSE()))),"OLD",IF(AND(E4363&lt;&gt;"",E4363&lt;&gt;"!!!"),"NEW","")))</f>
        <v> </v>
      </c>
      <c r="G4363" s="24" t="str">
        <f>IF(OR(E4363="",E4363="!!!"),"",IF(OR(J4363=0,AND(J4363=1,K4363=1),AND(J4363=1,I4363="SBJ"),AND(J4363=1,I4363=0)),"?IN_FOCUS",IF(J4363&lt;=2,"?ACTIVATED",IF(J4363&lt;&gt;"","?FAMILIAR",IF(F4363="NEW",IF(ISNA(VLOOKUP(E4363,#REF!,1,FALSE())),"?TYPE_IDENTIFIABLE","?REFERENTIAL"),"_")))))</f>
        <v> </v>
      </c>
      <c r="H4363" s="25" t="str">
        <f>IF(J4363&lt;&gt;1,"",IF(I4363="SBJ","CB","?"))</f>
        <v> </v>
      </c>
      <c r="I4363" s="26" t="str">
        <f>IF(OR(E4363="",E4363="!!!",F4363="NEW"),"",INDEX(B4362:B$2,-1+SUMPRODUCT(MAX(ROW(E4362:E$2)*(E4363=E4362:E$2)))))</f>
        <v> </v>
      </c>
      <c r="J4363" s="26" t="str">
        <f>IF(OR(E4363="",E4363="!!!",F4363="NEW"),"",COUNTBLANK(OFFSET(A$1,,,SUMPRODUCT(MAX(ROW(E$2:E4363)*(E4363=E$2:E4363)))))-COUNTBLANK(OFFSET(A$1,,,SUMPRODUCT(MAX(ROW(E$1:E4362)*(E2=E$1:E4362))))))</f>
        <v> </v>
      </c>
      <c r="K4363" s="26" t="str">
        <f>IF(OR(E4363="",E4363="!!!",F4363="NEW"),"",INDEX(J$1:J4362,SUMPRODUCT(MAX(ROW(E$1:E4362)*(E4363=E$1:E4362)))))</f>
        <v> </v>
      </c>
      <c r="L4363" s="27"/>
    </row>
    <row r="4364" spans="1:12">
      <c r="A4364" s="20"/>
    </row>
    <row r="4365" spans="1:12">
      <c r="A4365" s="20" t="s">
        <v>2400</v>
      </c>
    </row>
    <row r="4366" spans="1:12">
      <c r="A4366" s="20" t="s">
        <v>1297</v>
      </c>
      <c r="E4366" s="22">
        <f>IF(D4366="?OLD","!!!","")</f>
        <v/>
      </c>
      <c r="F4366" s="23" t="str">
        <f>IF(OR(E4366="",E4366="!!!"),"",IF(NOT(ISNA(VLOOKUP(E4366,E$1:E4365,1,FALSE()))),"OLD",IF(AND(E4366&lt;&gt;"",E4366&lt;&gt;"!!!"),"NEW","")))</f>
        <v> </v>
      </c>
      <c r="G4366" s="24" t="str">
        <f>IF(OR(E4366="",E4366="!!!"),"",IF(OR(J4366=0,AND(J4366=1,K4366=1),AND(J4366=1,I4366="SBJ"),AND(J4366=1,I4366=0)),"?IN_FOCUS",IF(J4366&lt;=2,"?ACTIVATED",IF(J4366&lt;&gt;"","?FAMILIAR",IF(F4366="NEW",IF(ISNA(VLOOKUP(E4366,#REF!,1,FALSE())),"?TYPE_IDENTIFIABLE","?REFERENTIAL"),"_")))))</f>
        <v> </v>
      </c>
      <c r="H4366" s="25" t="str">
        <f>IF(J4366&lt;&gt;1,"",IF(I4366="SBJ","CB","?"))</f>
        <v> </v>
      </c>
      <c r="I4366" s="26" t="str">
        <f>IF(OR(E4366="",E4366="!!!",F4366="NEW"),"",INDEX(B4365:B$2,-1+SUMPRODUCT(MAX(ROW(E4365:E$2)*(E4366=E4365:E$2)))))</f>
        <v> </v>
      </c>
      <c r="J4366" s="26" t="str">
        <f>IF(OR(E4366="",E4366="!!!",F4366="NEW"),"",COUNTBLANK(OFFSET(A$1,,,SUMPRODUCT(MAX(ROW(E$2:E4366)*(E4366=E$2:E4366)))))-COUNTBLANK(OFFSET(A$1,,,SUMPRODUCT(MAX(ROW(E$1:E4365)*(E2=E$1:E4365))))))</f>
        <v> </v>
      </c>
      <c r="K4366" s="26" t="str">
        <f>IF(OR(E4366="",E4366="!!!",F4366="NEW"),"",INDEX(J$1:J4365,SUMPRODUCT(MAX(ROW(E$1:E4365)*(E4366=E$1:E4365)))))</f>
        <v> </v>
      </c>
      <c r="L4366" s="27"/>
    </row>
    <row r="4367" spans="1:12">
      <c r="A4367" s="20" t="s">
        <v>1170</v>
      </c>
      <c r="B4367" s="21" t="s">
        <v>1161</v>
      </c>
      <c r="C4367" s="21" t="s">
        <v>1172</v>
      </c>
      <c r="D4367" s="21" t="s">
        <v>1144</v>
      </c>
      <c r="E4367" s="22">
        <f>IF(D4367="?OLD","!!!","")</f>
        <v/>
      </c>
      <c r="F4367" s="23" t="str">
        <f>IF(OR(E4367="",E4367="!!!"),"",IF(NOT(ISNA(VLOOKUP(E4367,E$1:E4366,1,FALSE()))),"OLD",IF(AND(E4367&lt;&gt;"",E4367&lt;&gt;"!!!"),"NEW","")))</f>
        <v> </v>
      </c>
      <c r="G4367" s="24" t="str">
        <f>IF(OR(E4367="",E4367="!!!"),"",IF(OR(J4367=0,AND(J4367=1,K4367=1),AND(J4367=1,I4367="SBJ"),AND(J4367=1,I4367=0)),"?IN_FOCUS",IF(J4367&lt;=2,"?ACTIVATED",IF(J4367&lt;&gt;"","?FAMILIAR",IF(F4367="NEW",IF(ISNA(VLOOKUP(E4367,#REF!,1,FALSE())),"?TYPE_IDENTIFIABLE","?REFERENTIAL"),"_")))))</f>
        <v> </v>
      </c>
      <c r="H4367" s="25" t="str">
        <f>IF(J4367&lt;&gt;1,"",IF(I4367="SBJ","CB","?"))</f>
        <v> </v>
      </c>
      <c r="I4367" s="26" t="str">
        <f>IF(OR(E4367="",E4367="!!!",F4367="NEW"),"",INDEX(B4366:B$2,-1+SUMPRODUCT(MAX(ROW(E4366:E$2)*(E4367=E4366:E$2)))))</f>
        <v> </v>
      </c>
      <c r="J4367" s="26" t="str">
        <f>IF(OR(E4367="",E4367="!!!",F4367="NEW"),"",COUNTBLANK(OFFSET(A$1,,,SUMPRODUCT(MAX(ROW(E$2:E4367)*(E4367=E$2:E4367)))))-COUNTBLANK(OFFSET(A$1,,,SUMPRODUCT(MAX(ROW(E$1:E4366)*(E2=E$1:E4366))))))</f>
        <v> </v>
      </c>
      <c r="K4367" s="26" t="str">
        <f>IF(OR(E4367="",E4367="!!!",F4367="NEW"),"",INDEX(J$1:J4366,SUMPRODUCT(MAX(ROW(E$1:E4366)*(E4367=E$1:E4366)))))</f>
        <v> </v>
      </c>
      <c r="L4367" s="27"/>
    </row>
    <row r="4368" spans="1:12">
      <c r="A4368" s="20" t="s">
        <v>165</v>
      </c>
      <c r="E4368" s="22">
        <f>IF(D4368="?OLD","!!!","")</f>
        <v/>
      </c>
      <c r="F4368" s="23" t="str">
        <f>IF(OR(E4368="",E4368="!!!"),"",IF(NOT(ISNA(VLOOKUP(E4368,E$1:E4367,1,FALSE()))),"OLD",IF(AND(E4368&lt;&gt;"",E4368&lt;&gt;"!!!"),"NEW","")))</f>
        <v> </v>
      </c>
      <c r="G4368" s="24" t="str">
        <f>IF(OR(E4368="",E4368="!!!"),"",IF(OR(J4368=0,AND(J4368=1,K4368=1),AND(J4368=1,I4368="SBJ"),AND(J4368=1,I4368=0)),"?IN_FOCUS",IF(J4368&lt;=2,"?ACTIVATED",IF(J4368&lt;&gt;"","?FAMILIAR",IF(F4368="NEW",IF(ISNA(VLOOKUP(E4368,#REF!,1,FALSE())),"?TYPE_IDENTIFIABLE","?REFERENTIAL"),"_")))))</f>
        <v> </v>
      </c>
      <c r="H4368" s="25" t="str">
        <f>IF(J4368&lt;&gt;1,"",IF(I4368="SBJ","CB","?"))</f>
        <v> </v>
      </c>
      <c r="I4368" s="26" t="str">
        <f>IF(OR(E4368="",E4368="!!!",F4368="NEW"),"",INDEX(B4367:B$2,-1+SUMPRODUCT(MAX(ROW(E4367:E$2)*(E4368=E4367:E$2)))))</f>
        <v> </v>
      </c>
      <c r="J4368" s="26" t="str">
        <f>IF(OR(E4368="",E4368="!!!",F4368="NEW"),"",COUNTBLANK(OFFSET(A$1,,,SUMPRODUCT(MAX(ROW(E$2:E4368)*(E4368=E$2:E4368)))))-COUNTBLANK(OFFSET(A$1,,,SUMPRODUCT(MAX(ROW(E$1:E4367)*(E2=E$1:E4367))))))</f>
        <v> </v>
      </c>
      <c r="K4368" s="26" t="str">
        <f>IF(OR(E4368="",E4368="!!!",F4368="NEW"),"",INDEX(J$1:J4367,SUMPRODUCT(MAX(ROW(E$1:E4367)*(E4368=E$1:E4367)))))</f>
        <v> </v>
      </c>
      <c r="L4368" s="27"/>
    </row>
    <row r="4369" spans="1:12">
      <c r="A4369" s="20" t="s">
        <v>1167</v>
      </c>
      <c r="B4369" s="21" t="s">
        <v>1165</v>
      </c>
      <c r="C4369" s="21" t="s">
        <v>1168</v>
      </c>
      <c r="D4369" s="21" t="s">
        <v>1144</v>
      </c>
      <c r="E4369" s="22">
        <f>IF(D4369="?OLD","!!!","")</f>
        <v/>
      </c>
      <c r="F4369" s="23" t="str">
        <f>IF(OR(E4369="",E4369="!!!"),"",IF(NOT(ISNA(VLOOKUP(E4369,E$1:E4368,1,FALSE()))),"OLD",IF(AND(E4369&lt;&gt;"",E4369&lt;&gt;"!!!"),"NEW","")))</f>
        <v> </v>
      </c>
      <c r="G4369" s="24" t="str">
        <f>IF(OR(E4369="",E4369="!!!"),"",IF(OR(J4369=0,AND(J4369=1,K4369=1),AND(J4369=1,I4369="SBJ"),AND(J4369=1,I4369=0)),"?IN_FOCUS",IF(J4369&lt;=2,"?ACTIVATED",IF(J4369&lt;&gt;"","?FAMILIAR",IF(F4369="NEW",IF(ISNA(VLOOKUP(E4369,#REF!,1,FALSE())),"?TYPE_IDENTIFIABLE","?REFERENTIAL"),"_")))))</f>
        <v> </v>
      </c>
      <c r="H4369" s="25" t="str">
        <f>IF(J4369&lt;&gt;1,"",IF(I4369="SBJ","CB","?"))</f>
        <v> </v>
      </c>
      <c r="I4369" s="26" t="str">
        <f>IF(OR(E4369="",E4369="!!!",F4369="NEW"),"",INDEX(B4368:B$2,-1+SUMPRODUCT(MAX(ROW(E4368:E$2)*(E4369=E4368:E$2)))))</f>
        <v> </v>
      </c>
      <c r="J4369" s="26" t="str">
        <f>IF(OR(E4369="",E4369="!!!",F4369="NEW"),"",COUNTBLANK(OFFSET(A$1,,,SUMPRODUCT(MAX(ROW(E$2:E4369)*(E4369=E$2:E4369)))))-COUNTBLANK(OFFSET(A$1,,,SUMPRODUCT(MAX(ROW(E$1:E4368)*(E2=E$1:E4368))))))</f>
        <v> </v>
      </c>
      <c r="K4369" s="26" t="str">
        <f>IF(OR(E4369="",E4369="!!!",F4369="NEW"),"",INDEX(J$1:J4368,SUMPRODUCT(MAX(ROW(E$1:E4368)*(E4369=E$1:E4368)))))</f>
        <v> </v>
      </c>
      <c r="L4369" s="27"/>
    </row>
    <row r="4370" spans="1:12">
      <c r="A4370" s="20" t="s">
        <v>1620</v>
      </c>
      <c r="B4370" s="21" t="s">
        <v>1161</v>
      </c>
      <c r="C4370" s="21" t="s">
        <v>1168</v>
      </c>
      <c r="D4370" s="21" t="s">
        <v>1144</v>
      </c>
      <c r="E4370" s="22">
        <f>IF(D4370="?OLD","!!!","")</f>
        <v/>
      </c>
      <c r="F4370" s="23" t="str">
        <f>IF(OR(E4370="",E4370="!!!"),"",IF(NOT(ISNA(VLOOKUP(E4370,E$1:E4369,1,FALSE()))),"OLD",IF(AND(E4370&lt;&gt;"",E4370&lt;&gt;"!!!"),"NEW","")))</f>
        <v> </v>
      </c>
      <c r="G4370" s="24" t="str">
        <f>IF(OR(E4370="",E4370="!!!"),"",IF(OR(J4370=0,AND(J4370=1,K4370=1),AND(J4370=1,I4370="SBJ"),AND(J4370=1,I4370=0)),"?IN_FOCUS",IF(J4370&lt;=2,"?ACTIVATED",IF(J4370&lt;&gt;"","?FAMILIAR",IF(F4370="NEW",IF(ISNA(VLOOKUP(E4370,#REF!,1,FALSE())),"?TYPE_IDENTIFIABLE","?REFERENTIAL"),"_")))))</f>
        <v> </v>
      </c>
      <c r="H4370" s="25" t="str">
        <f>IF(J4370&lt;&gt;1,"",IF(I4370="SBJ","CB","?"))</f>
        <v> </v>
      </c>
      <c r="I4370" s="26" t="str">
        <f>IF(OR(E4370="",E4370="!!!",F4370="NEW"),"",INDEX(B4369:B$2,-1+SUMPRODUCT(MAX(ROW(E4369:E$2)*(E4370=E4369:E$2)))))</f>
        <v> </v>
      </c>
      <c r="J4370" s="26" t="str">
        <f>IF(OR(E4370="",E4370="!!!",F4370="NEW"),"",COUNTBLANK(OFFSET(A$1,,,SUMPRODUCT(MAX(ROW(E$2:E4370)*(E4370=E$2:E4370)))))-COUNTBLANK(OFFSET(A$1,,,SUMPRODUCT(MAX(ROW(E$1:E4369)*(E2=E$1:E4369))))))</f>
        <v> </v>
      </c>
      <c r="K4370" s="26" t="str">
        <f>IF(OR(E4370="",E4370="!!!",F4370="NEW"),"",INDEX(J$1:J4369,SUMPRODUCT(MAX(ROW(E$1:E4369)*(E4370=E$1:E4369)))))</f>
        <v> </v>
      </c>
      <c r="L4370" s="27"/>
    </row>
    <row r="4371" spans="1:12">
      <c r="A4371" s="20" t="s">
        <v>1025</v>
      </c>
      <c r="B4371" s="21" t="s">
        <v>1161</v>
      </c>
      <c r="C4371" s="21" t="s">
        <v>1214</v>
      </c>
      <c r="E4371" s="22">
        <f>IF(D4371="?OLD","!!!","")</f>
        <v/>
      </c>
      <c r="F4371" s="23" t="str">
        <f>IF(OR(E4371="",E4371="!!!"),"",IF(NOT(ISNA(VLOOKUP(E4371,E$1:E4370,1,FALSE()))),"OLD",IF(AND(E4371&lt;&gt;"",E4371&lt;&gt;"!!!"),"NEW","")))</f>
        <v> </v>
      </c>
      <c r="G4371" s="24" t="str">
        <f>IF(OR(E4371="",E4371="!!!"),"",IF(OR(J4371=0,AND(J4371=1,K4371=1),AND(J4371=1,I4371="SBJ"),AND(J4371=1,I4371=0)),"?IN_FOCUS",IF(J4371&lt;=2,"?ACTIVATED",IF(J4371&lt;&gt;"","?FAMILIAR",IF(F4371="NEW",IF(ISNA(VLOOKUP(E4371,#REF!,1,FALSE())),"?TYPE_IDENTIFIABLE","?REFERENTIAL"),"_")))))</f>
        <v> </v>
      </c>
      <c r="H4371" s="25" t="str">
        <f>IF(J4371&lt;&gt;1,"",IF(I4371="SBJ","CB","?"))</f>
        <v> </v>
      </c>
      <c r="I4371" s="26" t="str">
        <f>IF(OR(E4371="",E4371="!!!",F4371="NEW"),"",INDEX(B4370:B$2,-1+SUMPRODUCT(MAX(ROW(E4370:E$2)*(E4371=E4370:E$2)))))</f>
        <v> </v>
      </c>
      <c r="J4371" s="26" t="str">
        <f>IF(OR(E4371="",E4371="!!!",F4371="NEW"),"",COUNTBLANK(OFFSET(A$1,,,SUMPRODUCT(MAX(ROW(E$2:E4371)*(E4371=E$2:E4371)))))-COUNTBLANK(OFFSET(A$1,,,SUMPRODUCT(MAX(ROW(E$1:E4370)*(E2=E$1:E4370))))))</f>
        <v> </v>
      </c>
      <c r="K4371" s="26" t="str">
        <f>IF(OR(E4371="",E4371="!!!",F4371="NEW"),"",INDEX(J$1:J4370,SUMPRODUCT(MAX(ROW(E$1:E4370)*(E4371=E$1:E4370)))))</f>
        <v> </v>
      </c>
      <c r="L4371" s="27"/>
    </row>
    <row r="4372" spans="1:12">
      <c r="A4372" s="20" t="s">
        <v>312</v>
      </c>
      <c r="E4372" s="22">
        <f>IF(D4372="?OLD","!!!","")</f>
        <v/>
      </c>
      <c r="F4372" s="23" t="str">
        <f>IF(OR(E4372="",E4372="!!!"),"",IF(NOT(ISNA(VLOOKUP(E4372,E$1:E4371,1,FALSE()))),"OLD",IF(AND(E4372&lt;&gt;"",E4372&lt;&gt;"!!!"),"NEW","")))</f>
        <v> </v>
      </c>
      <c r="G4372" s="24" t="str">
        <f>IF(OR(E4372="",E4372="!!!"),"",IF(OR(J4372=0,AND(J4372=1,K4372=1),AND(J4372=1,I4372="SBJ"),AND(J4372=1,I4372=0)),"?IN_FOCUS",IF(J4372&lt;=2,"?ACTIVATED",IF(J4372&lt;&gt;"","?FAMILIAR",IF(F4372="NEW",IF(ISNA(VLOOKUP(E4372,#REF!,1,FALSE())),"?TYPE_IDENTIFIABLE","?REFERENTIAL"),"_")))))</f>
        <v> </v>
      </c>
      <c r="H4372" s="25" t="str">
        <f>IF(J4372&lt;&gt;1,"",IF(I4372="SBJ","CB","?"))</f>
        <v> </v>
      </c>
      <c r="I4372" s="26" t="str">
        <f>IF(OR(E4372="",E4372="!!!",F4372="NEW"),"",INDEX(B4371:B$2,-1+SUMPRODUCT(MAX(ROW(E4371:E$2)*(E4372=E4371:E$2)))))</f>
        <v> </v>
      </c>
      <c r="J4372" s="26" t="str">
        <f>IF(OR(E4372="",E4372="!!!",F4372="NEW"),"",COUNTBLANK(OFFSET(A$1,,,SUMPRODUCT(MAX(ROW(E$2:E4372)*(E4372=E$2:E4372)))))-COUNTBLANK(OFFSET(A$1,,,SUMPRODUCT(MAX(ROW(E$1:E4371)*(E2=E$1:E4371))))))</f>
        <v> </v>
      </c>
      <c r="K4372" s="26" t="str">
        <f>IF(OR(E4372="",E4372="!!!",F4372="NEW"),"",INDEX(J$1:J4371,SUMPRODUCT(MAX(ROW(E$1:E4371)*(E4372=E$1:E4371)))))</f>
        <v> </v>
      </c>
      <c r="L4372" s="27"/>
    </row>
    <row r="4373" spans="1:12">
      <c r="A4373" s="20"/>
    </row>
    <row r="4374" spans="1:12">
      <c r="A4374" s="20" t="s">
        <v>2401</v>
      </c>
    </row>
    <row r="4375" spans="1:12">
      <c r="A4375" s="20" t="s">
        <v>1417</v>
      </c>
      <c r="B4375" s="21" t="s">
        <v>1165</v>
      </c>
      <c r="C4375" s="21" t="s">
        <v>1232</v>
      </c>
      <c r="D4375" s="21" t="s">
        <v>1144</v>
      </c>
      <c r="E4375" s="22">
        <f>IF(D4375="?OLD","!!!","")</f>
        <v/>
      </c>
      <c r="F4375" s="23" t="str">
        <f>IF(OR(E4375="",E4375="!!!"),"",IF(NOT(ISNA(VLOOKUP(E4375,E$1:E4374,1,FALSE()))),"OLD",IF(AND(E4375&lt;&gt;"",E4375&lt;&gt;"!!!"),"NEW","")))</f>
        <v> </v>
      </c>
      <c r="G4375" s="24" t="str">
        <f>IF(OR(E4375="",E4375="!!!"),"",IF(OR(J4375=0,AND(J4375=1,K4375=1),AND(J4375=1,I4375="SBJ"),AND(J4375=1,I4375=0)),"?IN_FOCUS",IF(J4375&lt;=2,"?ACTIVATED",IF(J4375&lt;&gt;"","?FAMILIAR",IF(F4375="NEW",IF(ISNA(VLOOKUP(E4375,#REF!,1,FALSE())),"?TYPE_IDENTIFIABLE","?REFERENTIAL"),"_")))))</f>
        <v> </v>
      </c>
      <c r="H4375" s="25" t="str">
        <f>IF(J4375&lt;&gt;1,"",IF(I4375="SBJ","CB","?"))</f>
        <v> </v>
      </c>
      <c r="I4375" s="26" t="str">
        <f>IF(OR(E4375="",E4375="!!!",F4375="NEW"),"",INDEX(B4374:B$2,-1+SUMPRODUCT(MAX(ROW(E4374:E$2)*(E4375=E4374:E$2)))))</f>
        <v> </v>
      </c>
      <c r="J4375" s="26" t="str">
        <f>IF(OR(E4375="",E4375="!!!",F4375="NEW"),"",COUNTBLANK(OFFSET(A$1,,,SUMPRODUCT(MAX(ROW(E$2:E4375)*(E4375=E$2:E4375)))))-COUNTBLANK(OFFSET(A$1,,,SUMPRODUCT(MAX(ROW(E$1:E4374)*(E2=E$1:E4374))))))</f>
        <v> </v>
      </c>
      <c r="K4375" s="26" t="str">
        <f>IF(OR(E4375="",E4375="!!!",F4375="NEW"),"",INDEX(J$1:J4374,SUMPRODUCT(MAX(ROW(E$1:E4374)*(E4375=E$1:E4374)))))</f>
        <v> </v>
      </c>
      <c r="L4375" s="27"/>
    </row>
    <row r="4376" spans="1:12">
      <c r="A4376" s="20" t="s">
        <v>1301</v>
      </c>
      <c r="E4376" s="22">
        <f>IF(D4376="?OLD","!!!","")</f>
        <v/>
      </c>
      <c r="F4376" s="23" t="str">
        <f>IF(OR(E4376="",E4376="!!!"),"",IF(NOT(ISNA(VLOOKUP(E4376,E$1:E4375,1,FALSE()))),"OLD",IF(AND(E4376&lt;&gt;"",E4376&lt;&gt;"!!!"),"NEW","")))</f>
        <v> </v>
      </c>
      <c r="G4376" s="24" t="str">
        <f>IF(OR(E4376="",E4376="!!!"),"",IF(OR(J4376=0,AND(J4376=1,K4376=1),AND(J4376=1,I4376="SBJ"),AND(J4376=1,I4376=0)),"?IN_FOCUS",IF(J4376&lt;=2,"?ACTIVATED",IF(J4376&lt;&gt;"","?FAMILIAR",IF(F4376="NEW",IF(ISNA(VLOOKUP(E4376,#REF!,1,FALSE())),"?TYPE_IDENTIFIABLE","?REFERENTIAL"),"_")))))</f>
        <v> </v>
      </c>
      <c r="H4376" s="25" t="str">
        <f>IF(J4376&lt;&gt;1,"",IF(I4376="SBJ","CB","?"))</f>
        <v> </v>
      </c>
      <c r="I4376" s="26" t="str">
        <f>IF(OR(E4376="",E4376="!!!",F4376="NEW"),"",INDEX(B4375:B$2,-1+SUMPRODUCT(MAX(ROW(E4375:E$2)*(E4376=E4375:E$2)))))</f>
        <v> </v>
      </c>
      <c r="J4376" s="26" t="str">
        <f>IF(OR(E4376="",E4376="!!!",F4376="NEW"),"",COUNTBLANK(OFFSET(A$1,,,SUMPRODUCT(MAX(ROW(E$2:E4376)*(E4376=E$2:E4376)))))-COUNTBLANK(OFFSET(A$1,,,SUMPRODUCT(MAX(ROW(E$1:E4375)*(E2=E$1:E4375))))))</f>
        <v> </v>
      </c>
      <c r="K4376" s="26" t="str">
        <f>IF(OR(E4376="",E4376="!!!",F4376="NEW"),"",INDEX(J$1:J4375,SUMPRODUCT(MAX(ROW(E$1:E4375)*(E4376=E$1:E4375)))))</f>
        <v> </v>
      </c>
      <c r="L4376" s="27"/>
    </row>
    <row r="4377" spans="1:12">
      <c r="A4377" s="20" t="s">
        <v>1176</v>
      </c>
      <c r="E4377" s="22">
        <f>IF(D4377="?OLD","!!!","")</f>
        <v/>
      </c>
      <c r="F4377" s="23" t="str">
        <f>IF(OR(E4377="",E4377="!!!"),"",IF(NOT(ISNA(VLOOKUP(E4377,E$1:E4376,1,FALSE()))),"OLD",IF(AND(E4377&lt;&gt;"",E4377&lt;&gt;"!!!"),"NEW","")))</f>
        <v> </v>
      </c>
      <c r="G4377" s="24" t="str">
        <f>IF(OR(E4377="",E4377="!!!"),"",IF(OR(J4377=0,AND(J4377=1,K4377=1),AND(J4377=1,I4377="SBJ"),AND(J4377=1,I4377=0)),"?IN_FOCUS",IF(J4377&lt;=2,"?ACTIVATED",IF(J4377&lt;&gt;"","?FAMILIAR",IF(F4377="NEW",IF(ISNA(VLOOKUP(E4377,#REF!,1,FALSE())),"?TYPE_IDENTIFIABLE","?REFERENTIAL"),"_")))))</f>
        <v> </v>
      </c>
      <c r="H4377" s="25" t="str">
        <f>IF(J4377&lt;&gt;1,"",IF(I4377="SBJ","CB","?"))</f>
        <v> </v>
      </c>
      <c r="I4377" s="26" t="str">
        <f>IF(OR(E4377="",E4377="!!!",F4377="NEW"),"",INDEX(B4376:B$2,-1+SUMPRODUCT(MAX(ROW(E4376:E$2)*(E4377=E4376:E$2)))))</f>
        <v> </v>
      </c>
      <c r="J4377" s="26" t="str">
        <f>IF(OR(E4377="",E4377="!!!",F4377="NEW"),"",COUNTBLANK(OFFSET(A$1,,,SUMPRODUCT(MAX(ROW(E$2:E4377)*(E4377=E$2:E4377)))))-COUNTBLANK(OFFSET(A$1,,,SUMPRODUCT(MAX(ROW(E$1:E4376)*(E2=E$1:E4376))))))</f>
        <v> </v>
      </c>
      <c r="K4377" s="26" t="str">
        <f>IF(OR(E4377="",E4377="!!!",F4377="NEW"),"",INDEX(J$1:J4376,SUMPRODUCT(MAX(ROW(E$1:E4376)*(E4377=E$1:E4376)))))</f>
        <v> </v>
      </c>
      <c r="L4377" s="27"/>
    </row>
    <row r="4378" spans="1:12">
      <c r="A4378" s="20" t="s">
        <v>1238</v>
      </c>
      <c r="E4378" s="22">
        <f>IF(D4378="?OLD","!!!","")</f>
        <v/>
      </c>
      <c r="F4378" s="23" t="str">
        <f>IF(OR(E4378="",E4378="!!!"),"",IF(NOT(ISNA(VLOOKUP(E4378,E$1:E4377,1,FALSE()))),"OLD",IF(AND(E4378&lt;&gt;"",E4378&lt;&gt;"!!!"),"NEW","")))</f>
        <v> </v>
      </c>
      <c r="G4378" s="24" t="str">
        <f>IF(OR(E4378="",E4378="!!!"),"",IF(OR(J4378=0,AND(J4378=1,K4378=1),AND(J4378=1,I4378="SBJ"),AND(J4378=1,I4378=0)),"?IN_FOCUS",IF(J4378&lt;=2,"?ACTIVATED",IF(J4378&lt;&gt;"","?FAMILIAR",IF(F4378="NEW",IF(ISNA(VLOOKUP(E4378,#REF!,1,FALSE())),"?TYPE_IDENTIFIABLE","?REFERENTIAL"),"_")))))</f>
        <v> </v>
      </c>
      <c r="H4378" s="25" t="str">
        <f>IF(J4378&lt;&gt;1,"",IF(I4378="SBJ","CB","?"))</f>
        <v> </v>
      </c>
      <c r="I4378" s="26" t="str">
        <f>IF(OR(E4378="",E4378="!!!",F4378="NEW"),"",INDEX(B4377:B$2,-1+SUMPRODUCT(MAX(ROW(E4377:E$2)*(E4378=E4377:E$2)))))</f>
        <v> </v>
      </c>
      <c r="J4378" s="26" t="str">
        <f>IF(OR(E4378="",E4378="!!!",F4378="NEW"),"",COUNTBLANK(OFFSET(A$1,,,SUMPRODUCT(MAX(ROW(E$2:E4378)*(E4378=E$2:E4378)))))-COUNTBLANK(OFFSET(A$1,,,SUMPRODUCT(MAX(ROW(E$1:E4377)*(E2=E$1:E4377))))))</f>
        <v> </v>
      </c>
      <c r="K4378" s="26" t="str">
        <f>IF(OR(E4378="",E4378="!!!",F4378="NEW"),"",INDEX(J$1:J4377,SUMPRODUCT(MAX(ROW(E$1:E4377)*(E4378=E$1:E4377)))))</f>
        <v> </v>
      </c>
      <c r="L4378" s="27"/>
    </row>
    <row r="4379" spans="1:12">
      <c r="A4379" s="20" t="s">
        <v>1753</v>
      </c>
      <c r="B4379" s="21" t="s">
        <v>1161</v>
      </c>
      <c r="C4379" s="21" t="s">
        <v>1162</v>
      </c>
      <c r="D4379" s="21" t="s">
        <v>1144</v>
      </c>
      <c r="E4379" s="22">
        <f>IF(D4379="?OLD","!!!","")</f>
        <v/>
      </c>
      <c r="F4379" s="23" t="str">
        <f>IF(OR(E4379="",E4379="!!!"),"",IF(NOT(ISNA(VLOOKUP(E4379,E$1:E4378,1,FALSE()))),"OLD",IF(AND(E4379&lt;&gt;"",E4379&lt;&gt;"!!!"),"NEW","")))</f>
        <v> </v>
      </c>
      <c r="G4379" s="24" t="str">
        <f>IF(OR(E4379="",E4379="!!!"),"",IF(OR(J4379=0,AND(J4379=1,K4379=1),AND(J4379=1,I4379="SBJ"),AND(J4379=1,I4379=0)),"?IN_FOCUS",IF(J4379&lt;=2,"?ACTIVATED",IF(J4379&lt;&gt;"","?FAMILIAR",IF(F4379="NEW",IF(ISNA(VLOOKUP(E4379,#REF!,1,FALSE())),"?TYPE_IDENTIFIABLE","?REFERENTIAL"),"_")))))</f>
        <v> </v>
      </c>
      <c r="H4379" s="25" t="str">
        <f>IF(J4379&lt;&gt;1,"",IF(I4379="SBJ","CB","?"))</f>
        <v> </v>
      </c>
      <c r="I4379" s="26" t="str">
        <f>IF(OR(E4379="",E4379="!!!",F4379="NEW"),"",INDEX(B4378:B$2,-1+SUMPRODUCT(MAX(ROW(E4378:E$2)*(E4379=E4378:E$2)))))</f>
        <v> </v>
      </c>
      <c r="J4379" s="26" t="str">
        <f>IF(OR(E4379="",E4379="!!!",F4379="NEW"),"",COUNTBLANK(OFFSET(A$1,,,SUMPRODUCT(MAX(ROW(E$2:E4379)*(E4379=E$2:E4379)))))-COUNTBLANK(OFFSET(A$1,,,SUMPRODUCT(MAX(ROW(E$1:E4378)*(E2=E$1:E4378))))))</f>
        <v> </v>
      </c>
      <c r="K4379" s="26" t="str">
        <f>IF(OR(E4379="",E4379="!!!",F4379="NEW"),"",INDEX(J$1:J4378,SUMPRODUCT(MAX(ROW(E$1:E4378)*(E4379=E$1:E4378)))))</f>
        <v> </v>
      </c>
      <c r="L4379" s="27"/>
    </row>
    <row r="4380" spans="1:12">
      <c r="A4380" s="20" t="s">
        <v>1166</v>
      </c>
      <c r="E4380" s="22">
        <f>IF(D4380="?OLD","!!!","")</f>
        <v/>
      </c>
      <c r="F4380" s="23" t="str">
        <f>IF(OR(E4380="",E4380="!!!"),"",IF(NOT(ISNA(VLOOKUP(E4380,E$1:E4379,1,FALSE()))),"OLD",IF(AND(E4380&lt;&gt;"",E4380&lt;&gt;"!!!"),"NEW","")))</f>
        <v> </v>
      </c>
      <c r="G4380" s="24" t="str">
        <f>IF(OR(E4380="",E4380="!!!"),"",IF(OR(J4380=0,AND(J4380=1,K4380=1),AND(J4380=1,I4380="SBJ"),AND(J4380=1,I4380=0)),"?IN_FOCUS",IF(J4380&lt;=2,"?ACTIVATED",IF(J4380&lt;&gt;"","?FAMILIAR",IF(F4380="NEW",IF(ISNA(VLOOKUP(E4380,#REF!,1,FALSE())),"?TYPE_IDENTIFIABLE","?REFERENTIAL"),"_")))))</f>
        <v> </v>
      </c>
      <c r="H4380" s="25" t="str">
        <f>IF(J4380&lt;&gt;1,"",IF(I4380="SBJ","CB","?"))</f>
        <v> </v>
      </c>
      <c r="I4380" s="26" t="str">
        <f>IF(OR(E4380="",E4380="!!!",F4380="NEW"),"",INDEX(B4379:B$2,-1+SUMPRODUCT(MAX(ROW(E4379:E$2)*(E4380=E4379:E$2)))))</f>
        <v> </v>
      </c>
      <c r="J4380" s="26" t="str">
        <f>IF(OR(E4380="",E4380="!!!",F4380="NEW"),"",COUNTBLANK(OFFSET(A$1,,,SUMPRODUCT(MAX(ROW(E$2:E4380)*(E4380=E$2:E4380)))))-COUNTBLANK(OFFSET(A$1,,,SUMPRODUCT(MAX(ROW(E$1:E4379)*(E2=E$1:E4379))))))</f>
        <v> </v>
      </c>
      <c r="K4380" s="26" t="str">
        <f>IF(OR(E4380="",E4380="!!!",F4380="NEW"),"",INDEX(J$1:J4379,SUMPRODUCT(MAX(ROW(E$1:E4379)*(E4380=E$1:E4379)))))</f>
        <v> </v>
      </c>
      <c r="L4380" s="27"/>
    </row>
    <row r="4381" spans="1:12">
      <c r="A4381" s="20" t="s">
        <v>1178</v>
      </c>
      <c r="E4381" s="22">
        <f>IF(D4381="?OLD","!!!","")</f>
        <v/>
      </c>
      <c r="F4381" s="23" t="str">
        <f>IF(OR(E4381="",E4381="!!!"),"",IF(NOT(ISNA(VLOOKUP(E4381,E$1:E4380,1,FALSE()))),"OLD",IF(AND(E4381&lt;&gt;"",E4381&lt;&gt;"!!!"),"NEW","")))</f>
        <v> </v>
      </c>
      <c r="G4381" s="24" t="str">
        <f>IF(OR(E4381="",E4381="!!!"),"",IF(OR(J4381=0,AND(J4381=1,K4381=1),AND(J4381=1,I4381="SBJ"),AND(J4381=1,I4381=0)),"?IN_FOCUS",IF(J4381&lt;=2,"?ACTIVATED",IF(J4381&lt;&gt;"","?FAMILIAR",IF(F4381="NEW",IF(ISNA(VLOOKUP(E4381,#REF!,1,FALSE())),"?TYPE_IDENTIFIABLE","?REFERENTIAL"),"_")))))</f>
        <v> </v>
      </c>
      <c r="H4381" s="25" t="str">
        <f>IF(J4381&lt;&gt;1,"",IF(I4381="SBJ","CB","?"))</f>
        <v> </v>
      </c>
      <c r="I4381" s="26" t="str">
        <f>IF(OR(E4381="",E4381="!!!",F4381="NEW"),"",INDEX(B4380:B$2,-1+SUMPRODUCT(MAX(ROW(E4380:E$2)*(E4381=E4380:E$2)))))</f>
        <v> </v>
      </c>
      <c r="J4381" s="26" t="str">
        <f>IF(OR(E4381="",E4381="!!!",F4381="NEW"),"",COUNTBLANK(OFFSET(A$1,,,SUMPRODUCT(MAX(ROW(E$2:E4381)*(E4381=E$2:E4381)))))-COUNTBLANK(OFFSET(A$1,,,SUMPRODUCT(MAX(ROW(E$1:E4380)*(E2=E$1:E4380))))))</f>
        <v> </v>
      </c>
      <c r="K4381" s="26" t="str">
        <f>IF(OR(E4381="",E4381="!!!",F4381="NEW"),"",INDEX(J$1:J4380,SUMPRODUCT(MAX(ROW(E$1:E4380)*(E4381=E$1:E4380)))))</f>
        <v> </v>
      </c>
      <c r="L4381" s="27"/>
    </row>
    <row r="4382" spans="1:12">
      <c r="A4382" s="20" t="s">
        <v>1167</v>
      </c>
      <c r="B4382" s="21" t="s">
        <v>1142</v>
      </c>
      <c r="C4382" s="21" t="s">
        <v>1168</v>
      </c>
      <c r="D4382" s="21" t="s">
        <v>1144</v>
      </c>
      <c r="E4382" s="22">
        <f>IF(D4382="?OLD","!!!","")</f>
        <v/>
      </c>
      <c r="F4382" s="23" t="str">
        <f>IF(OR(E4382="",E4382="!!!"),"",IF(NOT(ISNA(VLOOKUP(E4382,E$1:E4381,1,FALSE()))),"OLD",IF(AND(E4382&lt;&gt;"",E4382&lt;&gt;"!!!"),"NEW","")))</f>
        <v> </v>
      </c>
      <c r="G4382" s="24" t="str">
        <f>IF(OR(E4382="",E4382="!!!"),"",IF(OR(J4382=0,AND(J4382=1,K4382=1),AND(J4382=1,I4382="SBJ"),AND(J4382=1,I4382=0)),"?IN_FOCUS",IF(J4382&lt;=2,"?ACTIVATED",IF(J4382&lt;&gt;"","?FAMILIAR",IF(F4382="NEW",IF(ISNA(VLOOKUP(E4382,#REF!,1,FALSE())),"?TYPE_IDENTIFIABLE","?REFERENTIAL"),"_")))))</f>
        <v> </v>
      </c>
      <c r="H4382" s="25" t="str">
        <f>IF(J4382&lt;&gt;1,"",IF(I4382="SBJ","CB","?"))</f>
        <v> </v>
      </c>
      <c r="I4382" s="26" t="str">
        <f>IF(OR(E4382="",E4382="!!!",F4382="NEW"),"",INDEX(B4381:B$2,-1+SUMPRODUCT(MAX(ROW(E4381:E$2)*(E4382=E4381:E$2)))))</f>
        <v> </v>
      </c>
      <c r="J4382" s="26" t="str">
        <f>IF(OR(E4382="",E4382="!!!",F4382="NEW"),"",COUNTBLANK(OFFSET(A$1,,,SUMPRODUCT(MAX(ROW(E$2:E4382)*(E4382=E$2:E4382)))))-COUNTBLANK(OFFSET(A$1,,,SUMPRODUCT(MAX(ROW(E$1:E4381)*(E2=E$1:E4381))))))</f>
        <v> </v>
      </c>
      <c r="K4382" s="26" t="str">
        <f>IF(OR(E4382="",E4382="!!!",F4382="NEW"),"",INDEX(J$1:J4381,SUMPRODUCT(MAX(ROW(E$1:E4381)*(E4382=E$1:E4381)))))</f>
        <v> </v>
      </c>
      <c r="L4382" s="27"/>
    </row>
    <row r="4383" spans="1:12">
      <c r="A4383" s="20" t="s">
        <v>1378</v>
      </c>
      <c r="B4383" s="21" t="s">
        <v>1150</v>
      </c>
      <c r="C4383" s="21" t="s">
        <v>1187</v>
      </c>
      <c r="E4383" s="22">
        <f>IF(D4383="?OLD","!!!","")</f>
        <v/>
      </c>
      <c r="F4383" s="23" t="str">
        <f>IF(OR(E4383="",E4383="!!!"),"",IF(NOT(ISNA(VLOOKUP(E4383,E$1:E4382,1,FALSE()))),"OLD",IF(AND(E4383&lt;&gt;"",E4383&lt;&gt;"!!!"),"NEW","")))</f>
        <v> </v>
      </c>
      <c r="G4383" s="24" t="str">
        <f>IF(OR(E4383="",E4383="!!!"),"",IF(OR(J4383=0,AND(J4383=1,K4383=1),AND(J4383=1,I4383="SBJ"),AND(J4383=1,I4383=0)),"?IN_FOCUS",IF(J4383&lt;=2,"?ACTIVATED",IF(J4383&lt;&gt;"","?FAMILIAR",IF(F4383="NEW",IF(ISNA(VLOOKUP(E4383,#REF!,1,FALSE())),"?TYPE_IDENTIFIABLE","?REFERENTIAL"),"_")))))</f>
        <v> </v>
      </c>
      <c r="H4383" s="25" t="str">
        <f>IF(J4383&lt;&gt;1,"",IF(I4383="SBJ","CB","?"))</f>
        <v> </v>
      </c>
      <c r="I4383" s="26" t="str">
        <f>IF(OR(E4383="",E4383="!!!",F4383="NEW"),"",INDEX(B4382:B$2,-1+SUMPRODUCT(MAX(ROW(E4382:E$2)*(E4383=E4382:E$2)))))</f>
        <v> </v>
      </c>
      <c r="J4383" s="26" t="str">
        <f>IF(OR(E4383="",E4383="!!!",F4383="NEW"),"",COUNTBLANK(OFFSET(A$1,,,SUMPRODUCT(MAX(ROW(E$2:E4383)*(E4383=E$2:E4383)))))-COUNTBLANK(OFFSET(A$1,,,SUMPRODUCT(MAX(ROW(E$1:E4382)*(E2=E$1:E4382))))))</f>
        <v> </v>
      </c>
      <c r="K4383" s="26" t="str">
        <f>IF(OR(E4383="",E4383="!!!",F4383="NEW"),"",INDEX(J$1:J4382,SUMPRODUCT(MAX(ROW(E$1:E4382)*(E4383=E$1:E4382)))))</f>
        <v> </v>
      </c>
      <c r="L4383" s="27"/>
    </row>
    <row r="4384" spans="1:12">
      <c r="A4384" s="20" t="s">
        <v>36</v>
      </c>
      <c r="E4384" s="22">
        <f>IF(D4384="?OLD","!!!","")</f>
        <v/>
      </c>
      <c r="F4384" s="23" t="str">
        <f>IF(OR(E4384="",E4384="!!!"),"",IF(NOT(ISNA(VLOOKUP(E4384,E$1:E4383,1,FALSE()))),"OLD",IF(AND(E4384&lt;&gt;"",E4384&lt;&gt;"!!!"),"NEW","")))</f>
        <v> </v>
      </c>
      <c r="G4384" s="24" t="str">
        <f>IF(OR(E4384="",E4384="!!!"),"",IF(OR(J4384=0,AND(J4384=1,K4384=1),AND(J4384=1,I4384="SBJ"),AND(J4384=1,I4384=0)),"?IN_FOCUS",IF(J4384&lt;=2,"?ACTIVATED",IF(J4384&lt;&gt;"","?FAMILIAR",IF(F4384="NEW",IF(ISNA(VLOOKUP(E4384,#REF!,1,FALSE())),"?TYPE_IDENTIFIABLE","?REFERENTIAL"),"_")))))</f>
        <v> </v>
      </c>
      <c r="H4384" s="25" t="str">
        <f>IF(J4384&lt;&gt;1,"",IF(I4384="SBJ","CB","?"))</f>
        <v> </v>
      </c>
      <c r="I4384" s="26" t="str">
        <f>IF(OR(E4384="",E4384="!!!",F4384="NEW"),"",INDEX(B4383:B$2,-1+SUMPRODUCT(MAX(ROW(E4383:E$2)*(E4384=E4383:E$2)))))</f>
        <v> </v>
      </c>
      <c r="J4384" s="26" t="str">
        <f>IF(OR(E4384="",E4384="!!!",F4384="NEW"),"",COUNTBLANK(OFFSET(A$1,,,SUMPRODUCT(MAX(ROW(E$2:E4384)*(E4384=E$2:E4384)))))-COUNTBLANK(OFFSET(A$1,,,SUMPRODUCT(MAX(ROW(E$1:E4383)*(E2=E$1:E4383))))))</f>
        <v> </v>
      </c>
      <c r="K4384" s="26" t="str">
        <f>IF(OR(E4384="",E4384="!!!",F4384="NEW"),"",INDEX(J$1:J4383,SUMPRODUCT(MAX(ROW(E$1:E4383)*(E4384=E$1:E4383)))))</f>
        <v> </v>
      </c>
      <c r="L4384" s="27"/>
    </row>
    <row r="4385" spans="1:12">
      <c r="A4385" s="20" t="s">
        <v>312</v>
      </c>
      <c r="E4385" s="22">
        <f>IF(D4385="?OLD","!!!","")</f>
        <v/>
      </c>
      <c r="F4385" s="23" t="str">
        <f>IF(OR(E4385="",E4385="!!!"),"",IF(NOT(ISNA(VLOOKUP(E4385,E$1:E4384,1,FALSE()))),"OLD",IF(AND(E4385&lt;&gt;"",E4385&lt;&gt;"!!!"),"NEW","")))</f>
        <v> </v>
      </c>
      <c r="G4385" s="24" t="str">
        <f>IF(OR(E4385="",E4385="!!!"),"",IF(OR(J4385=0,AND(J4385=1,K4385=1),AND(J4385=1,I4385="SBJ"),AND(J4385=1,I4385=0)),"?IN_FOCUS",IF(J4385&lt;=2,"?ACTIVATED",IF(J4385&lt;&gt;"","?FAMILIAR",IF(F4385="NEW",IF(ISNA(VLOOKUP(E4385,#REF!,1,FALSE())),"?TYPE_IDENTIFIABLE","?REFERENTIAL"),"_")))))</f>
        <v> </v>
      </c>
      <c r="H4385" s="25" t="str">
        <f>IF(J4385&lt;&gt;1,"",IF(I4385="SBJ","CB","?"))</f>
        <v> </v>
      </c>
      <c r="I4385" s="26" t="str">
        <f>IF(OR(E4385="",E4385="!!!",F4385="NEW"),"",INDEX(B4384:B$2,-1+SUMPRODUCT(MAX(ROW(E4384:E$2)*(E4385=E4384:E$2)))))</f>
        <v> </v>
      </c>
      <c r="J4385" s="26" t="str">
        <f>IF(OR(E4385="",E4385="!!!",F4385="NEW"),"",COUNTBLANK(OFFSET(A$1,,,SUMPRODUCT(MAX(ROW(E$2:E4385)*(E4385=E$2:E4385)))))-COUNTBLANK(OFFSET(A$1,,,SUMPRODUCT(MAX(ROW(E$1:E4384)*(E2=E$1:E4384))))))</f>
        <v> </v>
      </c>
      <c r="K4385" s="26" t="str">
        <f>IF(OR(E4385="",E4385="!!!",F4385="NEW"),"",INDEX(J$1:J4384,SUMPRODUCT(MAX(ROW(E$1:E4384)*(E4385=E$1:E4384)))))</f>
        <v> </v>
      </c>
      <c r="L4385" s="27"/>
    </row>
    <row r="4386" spans="1:12">
      <c r="A4386" s="20"/>
    </row>
    <row r="4387" spans="1:12">
      <c r="A4387" s="20" t="s">
        <v>2402</v>
      </c>
    </row>
    <row r="4388" spans="1:12">
      <c r="A4388" s="20" t="s">
        <v>1189</v>
      </c>
      <c r="B4388" s="21" t="s">
        <v>1165</v>
      </c>
      <c r="C4388" s="21" t="s">
        <v>1151</v>
      </c>
      <c r="D4388" s="21" t="s">
        <v>1144</v>
      </c>
      <c r="E4388" s="22">
        <f>IF(D4388="?OLD","!!!","")</f>
        <v/>
      </c>
      <c r="F4388" s="23" t="str">
        <f>IF(OR(E4388="",E4388="!!!"),"",IF(NOT(ISNA(VLOOKUP(E4388,E$1:E4387,1,FALSE()))),"OLD",IF(AND(E4388&lt;&gt;"",E4388&lt;&gt;"!!!"),"NEW","")))</f>
        <v> </v>
      </c>
      <c r="G4388" s="24" t="str">
        <f>IF(OR(E4388="",E4388="!!!"),"",IF(OR(J4388=0,AND(J4388=1,K4388=1),AND(J4388=1,I4388="SBJ"),AND(J4388=1,I4388=0)),"?IN_FOCUS",IF(J4388&lt;=2,"?ACTIVATED",IF(J4388&lt;&gt;"","?FAMILIAR",IF(F4388="NEW",IF(ISNA(VLOOKUP(E4388,#REF!,1,FALSE())),"?TYPE_IDENTIFIABLE","?REFERENTIAL"),"_")))))</f>
        <v> </v>
      </c>
      <c r="H4388" s="25" t="str">
        <f>IF(J4388&lt;&gt;1,"",IF(I4388="SBJ","CB","?"))</f>
        <v> </v>
      </c>
      <c r="I4388" s="26" t="str">
        <f>IF(OR(E4388="",E4388="!!!",F4388="NEW"),"",INDEX(B4387:B$2,-1+SUMPRODUCT(MAX(ROW(E4387:E$2)*(E4388=E4387:E$2)))))</f>
        <v> </v>
      </c>
      <c r="J4388" s="26" t="str">
        <f>IF(OR(E4388="",E4388="!!!",F4388="NEW"),"",COUNTBLANK(OFFSET(A$1,,,SUMPRODUCT(MAX(ROW(E$2:E4388)*(E4388=E$2:E4388)))))-COUNTBLANK(OFFSET(A$1,,,SUMPRODUCT(MAX(ROW(E$1:E4387)*(E2=E$1:E4387))))))</f>
        <v> </v>
      </c>
      <c r="K4388" s="26" t="str">
        <f>IF(OR(E4388="",E4388="!!!",F4388="NEW"),"",INDEX(J$1:J4387,SUMPRODUCT(MAX(ROW(E$1:E4387)*(E4388=E$1:E4387)))))</f>
        <v> </v>
      </c>
      <c r="L4388" s="27"/>
    </row>
    <row r="4389" spans="1:12">
      <c r="A4389" s="20" t="s">
        <v>2150</v>
      </c>
      <c r="E4389" s="22">
        <f>IF(D4389="?OLD","!!!","")</f>
        <v/>
      </c>
      <c r="F4389" s="23" t="str">
        <f>IF(OR(E4389="",E4389="!!!"),"",IF(NOT(ISNA(VLOOKUP(E4389,E$1:E4388,1,FALSE()))),"OLD",IF(AND(E4389&lt;&gt;"",E4389&lt;&gt;"!!!"),"NEW","")))</f>
        <v> </v>
      </c>
      <c r="G4389" s="24" t="str">
        <f>IF(OR(E4389="",E4389="!!!"),"",IF(OR(J4389=0,AND(J4389=1,K4389=1),AND(J4389=1,I4389="SBJ"),AND(J4389=1,I4389=0)),"?IN_FOCUS",IF(J4389&lt;=2,"?ACTIVATED",IF(J4389&lt;&gt;"","?FAMILIAR",IF(F4389="NEW",IF(ISNA(VLOOKUP(E4389,#REF!,1,FALSE())),"?TYPE_IDENTIFIABLE","?REFERENTIAL"),"_")))))</f>
        <v> </v>
      </c>
      <c r="H4389" s="25" t="str">
        <f>IF(J4389&lt;&gt;1,"",IF(I4389="SBJ","CB","?"))</f>
        <v> </v>
      </c>
      <c r="I4389" s="26" t="str">
        <f>IF(OR(E4389="",E4389="!!!",F4389="NEW"),"",INDEX(B4388:B$2,-1+SUMPRODUCT(MAX(ROW(E4388:E$2)*(E4389=E4388:E$2)))))</f>
        <v> </v>
      </c>
      <c r="J4389" s="26" t="str">
        <f>IF(OR(E4389="",E4389="!!!",F4389="NEW"),"",COUNTBLANK(OFFSET(A$1,,,SUMPRODUCT(MAX(ROW(E$2:E4389)*(E4389=E$2:E4389)))))-COUNTBLANK(OFFSET(A$1,,,SUMPRODUCT(MAX(ROW(E$1:E4388)*(E2=E$1:E4388))))))</f>
        <v> </v>
      </c>
      <c r="K4389" s="26" t="str">
        <f>IF(OR(E4389="",E4389="!!!",F4389="NEW"),"",INDEX(J$1:J4388,SUMPRODUCT(MAX(ROW(E$1:E4388)*(E4389=E$1:E4388)))))</f>
        <v> </v>
      </c>
      <c r="L4389" s="27"/>
    </row>
    <row r="4390" spans="1:12">
      <c r="A4390" s="20" t="s">
        <v>1191</v>
      </c>
      <c r="E4390" s="22">
        <f>IF(D4390="?OLD","!!!","")</f>
        <v/>
      </c>
      <c r="F4390" s="23" t="str">
        <f>IF(OR(E4390="",E4390="!!!"),"",IF(NOT(ISNA(VLOOKUP(E4390,E$1:E4389,1,FALSE()))),"OLD",IF(AND(E4390&lt;&gt;"",E4390&lt;&gt;"!!!"),"NEW","")))</f>
        <v> </v>
      </c>
      <c r="G4390" s="24" t="str">
        <f>IF(OR(E4390="",E4390="!!!"),"",IF(OR(J4390=0,AND(J4390=1,K4390=1),AND(J4390=1,I4390="SBJ"),AND(J4390=1,I4390=0)),"?IN_FOCUS",IF(J4390&lt;=2,"?ACTIVATED",IF(J4390&lt;&gt;"","?FAMILIAR",IF(F4390="NEW",IF(ISNA(VLOOKUP(E4390,#REF!,1,FALSE())),"?TYPE_IDENTIFIABLE","?REFERENTIAL"),"_")))))</f>
        <v> </v>
      </c>
      <c r="H4390" s="25" t="str">
        <f>IF(J4390&lt;&gt;1,"",IF(I4390="SBJ","CB","?"))</f>
        <v> </v>
      </c>
      <c r="I4390" s="26" t="str">
        <f>IF(OR(E4390="",E4390="!!!",F4390="NEW"),"",INDEX(B4389:B$2,-1+SUMPRODUCT(MAX(ROW(E4389:E$2)*(E4390=E4389:E$2)))))</f>
        <v> </v>
      </c>
      <c r="J4390" s="26" t="str">
        <f>IF(OR(E4390="",E4390="!!!",F4390="NEW"),"",COUNTBLANK(OFFSET(A$1,,,SUMPRODUCT(MAX(ROW(E$2:E4390)*(E4390=E$2:E4390)))))-COUNTBLANK(OFFSET(A$1,,,SUMPRODUCT(MAX(ROW(E$1:E4389)*(E2=E$1:E4389))))))</f>
        <v> </v>
      </c>
      <c r="K4390" s="26" t="str">
        <f>IF(OR(E4390="",E4390="!!!",F4390="NEW"),"",INDEX(J$1:J4389,SUMPRODUCT(MAX(ROW(E$1:E4389)*(E4390=E$1:E4389)))))</f>
        <v> </v>
      </c>
      <c r="L4390" s="27"/>
    </row>
    <row r="4391" spans="1:12">
      <c r="A4391" s="20" t="s">
        <v>1982</v>
      </c>
      <c r="E4391" s="22">
        <f>IF(D4391="?OLD","!!!","")</f>
        <v/>
      </c>
      <c r="F4391" s="23" t="str">
        <f>IF(OR(E4391="",E4391="!!!"),"",IF(NOT(ISNA(VLOOKUP(E4391,E$1:E4390,1,FALSE()))),"OLD",IF(AND(E4391&lt;&gt;"",E4391&lt;&gt;"!!!"),"NEW","")))</f>
        <v> </v>
      </c>
      <c r="G4391" s="24" t="str">
        <f>IF(OR(E4391="",E4391="!!!"),"",IF(OR(J4391=0,AND(J4391=1,K4391=1),AND(J4391=1,I4391="SBJ"),AND(J4391=1,I4391=0)),"?IN_FOCUS",IF(J4391&lt;=2,"?ACTIVATED",IF(J4391&lt;&gt;"","?FAMILIAR",IF(F4391="NEW",IF(ISNA(VLOOKUP(E4391,#REF!,1,FALSE())),"?TYPE_IDENTIFIABLE","?REFERENTIAL"),"_")))))</f>
        <v> </v>
      </c>
      <c r="H4391" s="25" t="str">
        <f>IF(J4391&lt;&gt;1,"",IF(I4391="SBJ","CB","?"))</f>
        <v> </v>
      </c>
      <c r="I4391" s="26" t="str">
        <f>IF(OR(E4391="",E4391="!!!",F4391="NEW"),"",INDEX(B4390:B$2,-1+SUMPRODUCT(MAX(ROW(E4390:E$2)*(E4391=E4390:E$2)))))</f>
        <v> </v>
      </c>
      <c r="J4391" s="26" t="str">
        <f>IF(OR(E4391="",E4391="!!!",F4391="NEW"),"",COUNTBLANK(OFFSET(A$1,,,SUMPRODUCT(MAX(ROW(E$2:E4391)*(E4391=E$2:E4391)))))-COUNTBLANK(OFFSET(A$1,,,SUMPRODUCT(MAX(ROW(E$1:E4390)*(E2=E$1:E4390))))))</f>
        <v> </v>
      </c>
      <c r="K4391" s="26" t="str">
        <f>IF(OR(E4391="",E4391="!!!",F4391="NEW"),"",INDEX(J$1:J4390,SUMPRODUCT(MAX(ROW(E$1:E4390)*(E4391=E$1:E4390)))))</f>
        <v> </v>
      </c>
      <c r="L4391" s="27"/>
    </row>
    <row r="4392" spans="1:12">
      <c r="A4392" s="20" t="s">
        <v>1166</v>
      </c>
      <c r="E4392" s="22">
        <f>IF(D4392="?OLD","!!!","")</f>
        <v/>
      </c>
      <c r="F4392" s="23" t="str">
        <f>IF(OR(E4392="",E4392="!!!"),"",IF(NOT(ISNA(VLOOKUP(E4392,E$1:E4391,1,FALSE()))),"OLD",IF(AND(E4392&lt;&gt;"",E4392&lt;&gt;"!!!"),"NEW","")))</f>
        <v> </v>
      </c>
      <c r="G4392" s="24" t="str">
        <f>IF(OR(E4392="",E4392="!!!"),"",IF(OR(J4392=0,AND(J4392=1,K4392=1),AND(J4392=1,I4392="SBJ"),AND(J4392=1,I4392=0)),"?IN_FOCUS",IF(J4392&lt;=2,"?ACTIVATED",IF(J4392&lt;&gt;"","?FAMILIAR",IF(F4392="NEW",IF(ISNA(VLOOKUP(E4392,#REF!,1,FALSE())),"?TYPE_IDENTIFIABLE","?REFERENTIAL"),"_")))))</f>
        <v> </v>
      </c>
      <c r="H4392" s="25" t="str">
        <f>IF(J4392&lt;&gt;1,"",IF(I4392="SBJ","CB","?"))</f>
        <v> </v>
      </c>
      <c r="I4392" s="26" t="str">
        <f>IF(OR(E4392="",E4392="!!!",F4392="NEW"),"",INDEX(B4391:B$2,-1+SUMPRODUCT(MAX(ROW(E4391:E$2)*(E4392=E4391:E$2)))))</f>
        <v> </v>
      </c>
      <c r="J4392" s="26" t="str">
        <f>IF(OR(E4392="",E4392="!!!",F4392="NEW"),"",COUNTBLANK(OFFSET(A$1,,,SUMPRODUCT(MAX(ROW(E$2:E4392)*(E4392=E$2:E4392)))))-COUNTBLANK(OFFSET(A$1,,,SUMPRODUCT(MAX(ROW(E$1:E4391)*(E2=E$1:E4391))))))</f>
        <v> </v>
      </c>
      <c r="K4392" s="26" t="str">
        <f>IF(OR(E4392="",E4392="!!!",F4392="NEW"),"",INDEX(J$1:J4391,SUMPRODUCT(MAX(ROW(E$1:E4391)*(E4392=E$1:E4391)))))</f>
        <v> </v>
      </c>
      <c r="L4392" s="27"/>
    </row>
    <row r="4393" spans="1:12">
      <c r="A4393" s="20" t="s">
        <v>1197</v>
      </c>
      <c r="E4393" s="22">
        <f>IF(D4393="?OLD","!!!","")</f>
        <v/>
      </c>
      <c r="F4393" s="23" t="str">
        <f>IF(OR(E4393="",E4393="!!!"),"",IF(NOT(ISNA(VLOOKUP(E4393,E$1:E4392,1,FALSE()))),"OLD",IF(AND(E4393&lt;&gt;"",E4393&lt;&gt;"!!!"),"NEW","")))</f>
        <v> </v>
      </c>
      <c r="G4393" s="24" t="str">
        <f>IF(OR(E4393="",E4393="!!!"),"",IF(OR(J4393=0,AND(J4393=1,K4393=1),AND(J4393=1,I4393="SBJ"),AND(J4393=1,I4393=0)),"?IN_FOCUS",IF(J4393&lt;=2,"?ACTIVATED",IF(J4393&lt;&gt;"","?FAMILIAR",IF(F4393="NEW",IF(ISNA(VLOOKUP(E4393,#REF!,1,FALSE())),"?TYPE_IDENTIFIABLE","?REFERENTIAL"),"_")))))</f>
        <v> </v>
      </c>
      <c r="H4393" s="25" t="str">
        <f>IF(J4393&lt;&gt;1,"",IF(I4393="SBJ","CB","?"))</f>
        <v> </v>
      </c>
      <c r="I4393" s="26" t="str">
        <f>IF(OR(E4393="",E4393="!!!",F4393="NEW"),"",INDEX(B4392:B$2,-1+SUMPRODUCT(MAX(ROW(E4392:E$2)*(E4393=E4392:E$2)))))</f>
        <v> </v>
      </c>
      <c r="J4393" s="26" t="str">
        <f>IF(OR(E4393="",E4393="!!!",F4393="NEW"),"",COUNTBLANK(OFFSET(A$1,,,SUMPRODUCT(MAX(ROW(E$2:E4393)*(E4393=E$2:E4393)))))-COUNTBLANK(OFFSET(A$1,,,SUMPRODUCT(MAX(ROW(E$1:E4392)*(E2=E$1:E4392))))))</f>
        <v> </v>
      </c>
      <c r="K4393" s="26" t="str">
        <f>IF(OR(E4393="",E4393="!!!",F4393="NEW"),"",INDEX(J$1:J4392,SUMPRODUCT(MAX(ROW(E$1:E4392)*(E4393=E$1:E4392)))))</f>
        <v> </v>
      </c>
      <c r="L4393" s="27"/>
    </row>
    <row r="4394" spans="1:12">
      <c r="A4394" s="20" t="s">
        <v>1191</v>
      </c>
      <c r="E4394" s="22">
        <f>IF(D4394="?OLD","!!!","")</f>
        <v/>
      </c>
      <c r="F4394" s="23" t="str">
        <f>IF(OR(E4394="",E4394="!!!"),"",IF(NOT(ISNA(VLOOKUP(E4394,E$1:E4393,1,FALSE()))),"OLD",IF(AND(E4394&lt;&gt;"",E4394&lt;&gt;"!!!"),"NEW","")))</f>
        <v> </v>
      </c>
      <c r="G4394" s="24" t="str">
        <f>IF(OR(E4394="",E4394="!!!"),"",IF(OR(J4394=0,AND(J4394=1,K4394=1),AND(J4394=1,I4394="SBJ"),AND(J4394=1,I4394=0)),"?IN_FOCUS",IF(J4394&lt;=2,"?ACTIVATED",IF(J4394&lt;&gt;"","?FAMILIAR",IF(F4394="NEW",IF(ISNA(VLOOKUP(E4394,#REF!,1,FALSE())),"?TYPE_IDENTIFIABLE","?REFERENTIAL"),"_")))))</f>
        <v> </v>
      </c>
      <c r="H4394" s="25" t="str">
        <f>IF(J4394&lt;&gt;1,"",IF(I4394="SBJ","CB","?"))</f>
        <v> </v>
      </c>
      <c r="I4394" s="26" t="str">
        <f>IF(OR(E4394="",E4394="!!!",F4394="NEW"),"",INDEX(B4393:B$2,-1+SUMPRODUCT(MAX(ROW(E4393:E$2)*(E4394=E4393:E$2)))))</f>
        <v> </v>
      </c>
      <c r="J4394" s="26" t="str">
        <f>IF(OR(E4394="",E4394="!!!",F4394="NEW"),"",COUNTBLANK(OFFSET(A$1,,,SUMPRODUCT(MAX(ROW(E$2:E4394)*(E4394=E$2:E4394)))))-COUNTBLANK(OFFSET(A$1,,,SUMPRODUCT(MAX(ROW(E$1:E4393)*(E2=E$1:E4393))))))</f>
        <v> </v>
      </c>
      <c r="K4394" s="26" t="str">
        <f>IF(OR(E4394="",E4394="!!!",F4394="NEW"),"",INDEX(J$1:J4393,SUMPRODUCT(MAX(ROW(E$1:E4393)*(E4394=E$1:E4393)))))</f>
        <v> </v>
      </c>
      <c r="L4394" s="27"/>
    </row>
    <row r="4395" spans="1:12">
      <c r="A4395" s="20" t="s">
        <v>2403</v>
      </c>
      <c r="B4395" s="21" t="s">
        <v>1175</v>
      </c>
      <c r="C4395" s="21" t="s">
        <v>1162</v>
      </c>
      <c r="D4395" s="21" t="s">
        <v>1144</v>
      </c>
      <c r="E4395" s="22">
        <f>IF(D4395="?OLD","!!!","")</f>
        <v/>
      </c>
      <c r="F4395" s="23" t="str">
        <f>IF(OR(E4395="",E4395="!!!"),"",IF(NOT(ISNA(VLOOKUP(E4395,E$1:E4394,1,FALSE()))),"OLD",IF(AND(E4395&lt;&gt;"",E4395&lt;&gt;"!!!"),"NEW","")))</f>
        <v> </v>
      </c>
      <c r="G4395" s="24" t="str">
        <f>IF(OR(E4395="",E4395="!!!"),"",IF(OR(J4395=0,AND(J4395=1,K4395=1),AND(J4395=1,I4395="SBJ"),AND(J4395=1,I4395=0)),"?IN_FOCUS",IF(J4395&lt;=2,"?ACTIVATED",IF(J4395&lt;&gt;"","?FAMILIAR",IF(F4395="NEW",IF(ISNA(VLOOKUP(E4395,#REF!,1,FALSE())),"?TYPE_IDENTIFIABLE","?REFERENTIAL"),"_")))))</f>
        <v> </v>
      </c>
      <c r="H4395" s="25" t="str">
        <f>IF(J4395&lt;&gt;1,"",IF(I4395="SBJ","CB","?"))</f>
        <v> </v>
      </c>
      <c r="I4395" s="26" t="str">
        <f>IF(OR(E4395="",E4395="!!!",F4395="NEW"),"",INDEX(B4394:B$2,-1+SUMPRODUCT(MAX(ROW(E4394:E$2)*(E4395=E4394:E$2)))))</f>
        <v> </v>
      </c>
      <c r="J4395" s="26" t="str">
        <f>IF(OR(E4395="",E4395="!!!",F4395="NEW"),"",COUNTBLANK(OFFSET(A$1,,,SUMPRODUCT(MAX(ROW(E$2:E4395)*(E4395=E$2:E4395)))))-COUNTBLANK(OFFSET(A$1,,,SUMPRODUCT(MAX(ROW(E$1:E4394)*(E2=E$1:E4394))))))</f>
        <v> </v>
      </c>
      <c r="K4395" s="26" t="str">
        <f>IF(OR(E4395="",E4395="!!!",F4395="NEW"),"",INDEX(J$1:J4394,SUMPRODUCT(MAX(ROW(E$1:E4394)*(E4395=E$1:E4394)))))</f>
        <v> </v>
      </c>
      <c r="L4395" s="27"/>
    </row>
    <row r="4396" spans="1:12">
      <c r="A4396" s="20" t="s">
        <v>2404</v>
      </c>
      <c r="E4396" s="22">
        <f>IF(D4396="?OLD","!!!","")</f>
        <v/>
      </c>
      <c r="F4396" s="23" t="str">
        <f>IF(OR(E4396="",E4396="!!!"),"",IF(NOT(ISNA(VLOOKUP(E4396,E$1:E4395,1,FALSE()))),"OLD",IF(AND(E4396&lt;&gt;"",E4396&lt;&gt;"!!!"),"NEW","")))</f>
        <v> </v>
      </c>
      <c r="G4396" s="24" t="str">
        <f>IF(OR(E4396="",E4396="!!!"),"",IF(OR(J4396=0,AND(J4396=1,K4396=1),AND(J4396=1,I4396="SBJ"),AND(J4396=1,I4396=0)),"?IN_FOCUS",IF(J4396&lt;=2,"?ACTIVATED",IF(J4396&lt;&gt;"","?FAMILIAR",IF(F4396="NEW",IF(ISNA(VLOOKUP(E4396,#REF!,1,FALSE())),"?TYPE_IDENTIFIABLE","?REFERENTIAL"),"_")))))</f>
        <v> </v>
      </c>
      <c r="H4396" s="25" t="str">
        <f>IF(J4396&lt;&gt;1,"",IF(I4396="SBJ","CB","?"))</f>
        <v> </v>
      </c>
      <c r="I4396" s="26" t="str">
        <f>IF(OR(E4396="",E4396="!!!",F4396="NEW"),"",INDEX(B4395:B$2,-1+SUMPRODUCT(MAX(ROW(E4395:E$2)*(E4396=E4395:E$2)))))</f>
        <v> </v>
      </c>
      <c r="J4396" s="26" t="str">
        <f>IF(OR(E4396="",E4396="!!!",F4396="NEW"),"",COUNTBLANK(OFFSET(A$1,,,SUMPRODUCT(MAX(ROW(E$2:E4396)*(E4396=E$2:E4396)))))-COUNTBLANK(OFFSET(A$1,,,SUMPRODUCT(MAX(ROW(E$1:E4395)*(E2=E$1:E4395))))))</f>
        <v> </v>
      </c>
      <c r="K4396" s="26" t="str">
        <f>IF(OR(E4396="",E4396="!!!",F4396="NEW"),"",INDEX(J$1:J4395,SUMPRODUCT(MAX(ROW(E$1:E4395)*(E4396=E$1:E4395)))))</f>
        <v> </v>
      </c>
      <c r="L4396" s="27"/>
    </row>
    <row r="4397" spans="1:12">
      <c r="A4397" s="20" t="s">
        <v>2405</v>
      </c>
      <c r="B4397" s="21" t="s">
        <v>1193</v>
      </c>
      <c r="C4397" s="21" t="s">
        <v>1187</v>
      </c>
      <c r="E4397" s="22">
        <f>IF(D4397="?OLD","!!!","")</f>
        <v/>
      </c>
      <c r="F4397" s="23" t="str">
        <f>IF(OR(E4397="",E4397="!!!"),"",IF(NOT(ISNA(VLOOKUP(E4397,E$1:E4396,1,FALSE()))),"OLD",IF(AND(E4397&lt;&gt;"",E4397&lt;&gt;"!!!"),"NEW","")))</f>
        <v> </v>
      </c>
      <c r="G4397" s="24" t="str">
        <f>IF(OR(E4397="",E4397="!!!"),"",IF(OR(J4397=0,AND(J4397=1,K4397=1),AND(J4397=1,I4397="SBJ"),AND(J4397=1,I4397=0)),"?IN_FOCUS",IF(J4397&lt;=2,"?ACTIVATED",IF(J4397&lt;&gt;"","?FAMILIAR",IF(F4397="NEW",IF(ISNA(VLOOKUP(E4397,#REF!,1,FALSE())),"?TYPE_IDENTIFIABLE","?REFERENTIAL"),"_")))))</f>
        <v> </v>
      </c>
      <c r="H4397" s="25" t="str">
        <f>IF(J4397&lt;&gt;1,"",IF(I4397="SBJ","CB","?"))</f>
        <v> </v>
      </c>
      <c r="I4397" s="26" t="str">
        <f>IF(OR(E4397="",E4397="!!!",F4397="NEW"),"",INDEX(B4396:B$2,-1+SUMPRODUCT(MAX(ROW(E4396:E$2)*(E4397=E4396:E$2)))))</f>
        <v> </v>
      </c>
      <c r="J4397" s="26" t="str">
        <f>IF(OR(E4397="",E4397="!!!",F4397="NEW"),"",COUNTBLANK(OFFSET(A$1,,,SUMPRODUCT(MAX(ROW(E$2:E4397)*(E4397=E$2:E4397)))))-COUNTBLANK(OFFSET(A$1,,,SUMPRODUCT(MAX(ROW(E$1:E4396)*(E2=E$1:E4396))))))</f>
        <v> </v>
      </c>
      <c r="K4397" s="26" t="str">
        <f>IF(OR(E4397="",E4397="!!!",F4397="NEW"),"",INDEX(J$1:J4396,SUMPRODUCT(MAX(ROW(E$1:E4396)*(E4397=E$1:E4396)))))</f>
        <v> </v>
      </c>
      <c r="L4397" s="27"/>
    </row>
    <row r="4398" spans="1:12">
      <c r="A4398" s="20" t="s">
        <v>1339</v>
      </c>
      <c r="E4398" s="22">
        <f>IF(D4398="?OLD","!!!","")</f>
        <v/>
      </c>
      <c r="F4398" s="23" t="str">
        <f>IF(OR(E4398="",E4398="!!!"),"",IF(NOT(ISNA(VLOOKUP(E4398,E$1:E4397,1,FALSE()))),"OLD",IF(AND(E4398&lt;&gt;"",E4398&lt;&gt;"!!!"),"NEW","")))</f>
        <v> </v>
      </c>
      <c r="G4398" s="24" t="str">
        <f>IF(OR(E4398="",E4398="!!!"),"",IF(OR(J4398=0,AND(J4398=1,K4398=1),AND(J4398=1,I4398="SBJ"),AND(J4398=1,I4398=0)),"?IN_FOCUS",IF(J4398&lt;=2,"?ACTIVATED",IF(J4398&lt;&gt;"","?FAMILIAR",IF(F4398="NEW",IF(ISNA(VLOOKUP(E4398,#REF!,1,FALSE())),"?TYPE_IDENTIFIABLE","?REFERENTIAL"),"_")))))</f>
        <v> </v>
      </c>
      <c r="H4398" s="25" t="str">
        <f>IF(J4398&lt;&gt;1,"",IF(I4398="SBJ","CB","?"))</f>
        <v> </v>
      </c>
      <c r="I4398" s="26" t="str">
        <f>IF(OR(E4398="",E4398="!!!",F4398="NEW"),"",INDEX(B4397:B$2,-1+SUMPRODUCT(MAX(ROW(E4397:E$2)*(E4398=E4397:E$2)))))</f>
        <v> </v>
      </c>
      <c r="J4398" s="26" t="str">
        <f>IF(OR(E4398="",E4398="!!!",F4398="NEW"),"",COUNTBLANK(OFFSET(A$1,,,SUMPRODUCT(MAX(ROW(E$2:E4398)*(E4398=E$2:E4398)))))-COUNTBLANK(OFFSET(A$1,,,SUMPRODUCT(MAX(ROW(E$1:E4397)*(E2=E$1:E4397))))))</f>
        <v> </v>
      </c>
      <c r="K4398" s="26" t="str">
        <f>IF(OR(E4398="",E4398="!!!",F4398="NEW"),"",INDEX(J$1:J4397,SUMPRODUCT(MAX(ROW(E$1:E4397)*(E4398=E$1:E4397)))))</f>
        <v> </v>
      </c>
      <c r="L4398" s="27"/>
    </row>
    <row r="4399" spans="1:12">
      <c r="A4399" s="20" t="s">
        <v>1378</v>
      </c>
      <c r="B4399" s="21" t="s">
        <v>1147</v>
      </c>
      <c r="C4399" s="21" t="s">
        <v>1187</v>
      </c>
      <c r="E4399" s="22">
        <f>IF(D4399="?OLD","!!!","")</f>
        <v/>
      </c>
      <c r="F4399" s="23" t="str">
        <f>IF(OR(E4399="",E4399="!!!"),"",IF(NOT(ISNA(VLOOKUP(E4399,E$1:E4398,1,FALSE()))),"OLD",IF(AND(E4399&lt;&gt;"",E4399&lt;&gt;"!!!"),"NEW","")))</f>
        <v> </v>
      </c>
      <c r="G4399" s="24" t="str">
        <f>IF(OR(E4399="",E4399="!!!"),"",IF(OR(J4399=0,AND(J4399=1,K4399=1),AND(J4399=1,I4399="SBJ"),AND(J4399=1,I4399=0)),"?IN_FOCUS",IF(J4399&lt;=2,"?ACTIVATED",IF(J4399&lt;&gt;"","?FAMILIAR",IF(F4399="NEW",IF(ISNA(VLOOKUP(E4399,#REF!,1,FALSE())),"?TYPE_IDENTIFIABLE","?REFERENTIAL"),"_")))))</f>
        <v> </v>
      </c>
      <c r="H4399" s="25" t="str">
        <f>IF(J4399&lt;&gt;1,"",IF(I4399="SBJ","CB","?"))</f>
        <v> </v>
      </c>
      <c r="I4399" s="26" t="str">
        <f>IF(OR(E4399="",E4399="!!!",F4399="NEW"),"",INDEX(B4398:B$2,-1+SUMPRODUCT(MAX(ROW(E4398:E$2)*(E4399=E4398:E$2)))))</f>
        <v> </v>
      </c>
      <c r="J4399" s="26" t="str">
        <f>IF(OR(E4399="",E4399="!!!",F4399="NEW"),"",COUNTBLANK(OFFSET(A$1,,,SUMPRODUCT(MAX(ROW(E$2:E4399)*(E4399=E$2:E4399)))))-COUNTBLANK(OFFSET(A$1,,,SUMPRODUCT(MAX(ROW(E$1:E4398)*(E2=E$1:E4398))))))</f>
        <v> </v>
      </c>
      <c r="K4399" s="26" t="str">
        <f>IF(OR(E4399="",E4399="!!!",F4399="NEW"),"",INDEX(J$1:J4398,SUMPRODUCT(MAX(ROW(E$1:E4398)*(E4399=E$1:E4398)))))</f>
        <v> </v>
      </c>
      <c r="L4399" s="27"/>
    </row>
    <row r="4400" spans="1:12">
      <c r="A4400" s="20" t="s">
        <v>2406</v>
      </c>
      <c r="E4400" s="22">
        <f>IF(D4400="?OLD","!!!","")</f>
        <v/>
      </c>
      <c r="F4400" s="23" t="str">
        <f>IF(OR(E4400="",E4400="!!!"),"",IF(NOT(ISNA(VLOOKUP(E4400,E$1:E4399,1,FALSE()))),"OLD",IF(AND(E4400&lt;&gt;"",E4400&lt;&gt;"!!!"),"NEW","")))</f>
        <v> </v>
      </c>
      <c r="G4400" s="24" t="str">
        <f>IF(OR(E4400="",E4400="!!!"),"",IF(OR(J4400=0,AND(J4400=1,K4400=1),AND(J4400=1,I4400="SBJ"),AND(J4400=1,I4400=0)),"?IN_FOCUS",IF(J4400&lt;=2,"?ACTIVATED",IF(J4400&lt;&gt;"","?FAMILIAR",IF(F4400="NEW",IF(ISNA(VLOOKUP(E4400,#REF!,1,FALSE())),"?TYPE_IDENTIFIABLE","?REFERENTIAL"),"_")))))</f>
        <v> </v>
      </c>
      <c r="H4400" s="25" t="str">
        <f>IF(J4400&lt;&gt;1,"",IF(I4400="SBJ","CB","?"))</f>
        <v> </v>
      </c>
      <c r="I4400" s="26" t="str">
        <f>IF(OR(E4400="",E4400="!!!",F4400="NEW"),"",INDEX(B4399:B$2,-1+SUMPRODUCT(MAX(ROW(E4399:E$2)*(E4400=E4399:E$2)))))</f>
        <v> </v>
      </c>
      <c r="J4400" s="26" t="str">
        <f>IF(OR(E4400="",E4400="!!!",F4400="NEW"),"",COUNTBLANK(OFFSET(A$1,,,SUMPRODUCT(MAX(ROW(E$2:E4400)*(E4400=E$2:E4400)))))-COUNTBLANK(OFFSET(A$1,,,SUMPRODUCT(MAX(ROW(E$1:E4399)*(E2=E$1:E4399))))))</f>
        <v> </v>
      </c>
      <c r="K4400" s="26" t="str">
        <f>IF(OR(E4400="",E4400="!!!",F4400="NEW"),"",INDEX(J$1:J4399,SUMPRODUCT(MAX(ROW(E$1:E4399)*(E4400=E$1:E4399)))))</f>
        <v> </v>
      </c>
      <c r="L4400" s="27"/>
    </row>
    <row r="4401" spans="1:12">
      <c r="A4401" s="20" t="s">
        <v>312</v>
      </c>
      <c r="E4401" s="22">
        <f>IF(D4401="?OLD","!!!","")</f>
        <v/>
      </c>
      <c r="F4401" s="23" t="str">
        <f>IF(OR(E4401="",E4401="!!!"),"",IF(NOT(ISNA(VLOOKUP(E4401,E$1:E4400,1,FALSE()))),"OLD",IF(AND(E4401&lt;&gt;"",E4401&lt;&gt;"!!!"),"NEW","")))</f>
        <v> </v>
      </c>
      <c r="G4401" s="24" t="str">
        <f>IF(OR(E4401="",E4401="!!!"),"",IF(OR(J4401=0,AND(J4401=1,K4401=1),AND(J4401=1,I4401="SBJ"),AND(J4401=1,I4401=0)),"?IN_FOCUS",IF(J4401&lt;=2,"?ACTIVATED",IF(J4401&lt;&gt;"","?FAMILIAR",IF(F4401="NEW",IF(ISNA(VLOOKUP(E4401,#REF!,1,FALSE())),"?TYPE_IDENTIFIABLE","?REFERENTIAL"),"_")))))</f>
        <v> </v>
      </c>
      <c r="H4401" s="25" t="str">
        <f>IF(J4401&lt;&gt;1,"",IF(I4401="SBJ","CB","?"))</f>
        <v> </v>
      </c>
      <c r="I4401" s="26" t="str">
        <f>IF(OR(E4401="",E4401="!!!",F4401="NEW"),"",INDEX(B4400:B$2,-1+SUMPRODUCT(MAX(ROW(E4400:E$2)*(E4401=E4400:E$2)))))</f>
        <v> </v>
      </c>
      <c r="J4401" s="26" t="str">
        <f>IF(OR(E4401="",E4401="!!!",F4401="NEW"),"",COUNTBLANK(OFFSET(A$1,,,SUMPRODUCT(MAX(ROW(E$2:E4401)*(E4401=E$2:E4401)))))-COUNTBLANK(OFFSET(A$1,,,SUMPRODUCT(MAX(ROW(E$1:E4400)*(E2=E$1:E4400))))))</f>
        <v> </v>
      </c>
      <c r="K4401" s="26" t="str">
        <f>IF(OR(E4401="",E4401="!!!",F4401="NEW"),"",INDEX(J$1:J4400,SUMPRODUCT(MAX(ROW(E$1:E4400)*(E4401=E$1:E4400)))))</f>
        <v> </v>
      </c>
      <c r="L4401" s="27"/>
    </row>
    <row r="4402" spans="1:12">
      <c r="A4402" s="20"/>
    </row>
    <row r="4403" spans="1:12">
      <c r="A4403" s="20" t="s">
        <v>2407</v>
      </c>
    </row>
    <row r="4404" spans="1:12">
      <c r="A4404" s="20" t="s">
        <v>1158</v>
      </c>
      <c r="E4404" s="22">
        <f>IF(D4404="?OLD","!!!","")</f>
        <v/>
      </c>
      <c r="F4404" s="23" t="str">
        <f>IF(OR(E4404="",E4404="!!!"),"",IF(NOT(ISNA(VLOOKUP(E4404,E$1:E4403,1,FALSE()))),"OLD",IF(AND(E4404&lt;&gt;"",E4404&lt;&gt;"!!!"),"NEW","")))</f>
        <v> </v>
      </c>
      <c r="G4404" s="24" t="str">
        <f>IF(OR(E4404="",E4404="!!!"),"",IF(OR(J4404=0,AND(J4404=1,K4404=1),AND(J4404=1,I4404="SBJ"),AND(J4404=1,I4404=0)),"?IN_FOCUS",IF(J4404&lt;=2,"?ACTIVATED",IF(J4404&lt;&gt;"","?FAMILIAR",IF(F4404="NEW",IF(ISNA(VLOOKUP(E4404,#REF!,1,FALSE())),"?TYPE_IDENTIFIABLE","?REFERENTIAL"),"_")))))</f>
        <v> </v>
      </c>
      <c r="H4404" s="25" t="str">
        <f>IF(J4404&lt;&gt;1,"",IF(I4404="SBJ","CB","?"))</f>
        <v> </v>
      </c>
      <c r="I4404" s="26" t="str">
        <f>IF(OR(E4404="",E4404="!!!",F4404="NEW"),"",INDEX(B4403:B$2,-1+SUMPRODUCT(MAX(ROW(E4403:E$2)*(E4404=E4403:E$2)))))</f>
        <v> </v>
      </c>
      <c r="J4404" s="26" t="str">
        <f>IF(OR(E4404="",E4404="!!!",F4404="NEW"),"",COUNTBLANK(OFFSET(A$1,,,SUMPRODUCT(MAX(ROW(E$2:E4404)*(E4404=E$2:E4404)))))-COUNTBLANK(OFFSET(A$1,,,SUMPRODUCT(MAX(ROW(E$1:E4403)*(E2=E$1:E4403))))))</f>
        <v> </v>
      </c>
      <c r="K4404" s="26" t="str">
        <f>IF(OR(E4404="",E4404="!!!",F4404="NEW"),"",INDEX(J$1:J4403,SUMPRODUCT(MAX(ROW(E$1:E4403)*(E4404=E$1:E4403)))))</f>
        <v> </v>
      </c>
      <c r="L4404" s="27"/>
    </row>
    <row r="4405" spans="1:12">
      <c r="A4405" s="20" t="s">
        <v>1278</v>
      </c>
      <c r="B4405" s="21" t="s">
        <v>1161</v>
      </c>
      <c r="C4405" s="21" t="s">
        <v>1168</v>
      </c>
      <c r="D4405" s="21" t="s">
        <v>1144</v>
      </c>
      <c r="E4405" s="22">
        <f>IF(D4405="?OLD","!!!","")</f>
        <v/>
      </c>
      <c r="F4405" s="23" t="str">
        <f>IF(OR(E4405="",E4405="!!!"),"",IF(NOT(ISNA(VLOOKUP(E4405,E$1:E4404,1,FALSE()))),"OLD",IF(AND(E4405&lt;&gt;"",E4405&lt;&gt;"!!!"),"NEW","")))</f>
        <v> </v>
      </c>
      <c r="G4405" s="24" t="str">
        <f>IF(OR(E4405="",E4405="!!!"),"",IF(OR(J4405=0,AND(J4405=1,K4405=1),AND(J4405=1,I4405="SBJ"),AND(J4405=1,I4405=0)),"?IN_FOCUS",IF(J4405&lt;=2,"?ACTIVATED",IF(J4405&lt;&gt;"","?FAMILIAR",IF(F4405="NEW",IF(ISNA(VLOOKUP(E4405,#REF!,1,FALSE())),"?TYPE_IDENTIFIABLE","?REFERENTIAL"),"_")))))</f>
        <v> </v>
      </c>
      <c r="H4405" s="25" t="str">
        <f>IF(J4405&lt;&gt;1,"",IF(I4405="SBJ","CB","?"))</f>
        <v> </v>
      </c>
      <c r="I4405" s="26" t="str">
        <f>IF(OR(E4405="",E4405="!!!",F4405="NEW"),"",INDEX(B4404:B$2,-1+SUMPRODUCT(MAX(ROW(E4404:E$2)*(E4405=E4404:E$2)))))</f>
        <v> </v>
      </c>
      <c r="J4405" s="26" t="str">
        <f>IF(OR(E4405="",E4405="!!!",F4405="NEW"),"",COUNTBLANK(OFFSET(A$1,,,SUMPRODUCT(MAX(ROW(E$2:E4405)*(E4405=E$2:E4405)))))-COUNTBLANK(OFFSET(A$1,,,SUMPRODUCT(MAX(ROW(E$1:E4404)*(E2=E$1:E4404))))))</f>
        <v> </v>
      </c>
      <c r="K4405" s="26" t="str">
        <f>IF(OR(E4405="",E4405="!!!",F4405="NEW"),"",INDEX(J$1:J4404,SUMPRODUCT(MAX(ROW(E$1:E4404)*(E4405=E$1:E4404)))))</f>
        <v> </v>
      </c>
      <c r="L4405" s="27"/>
    </row>
    <row r="4406" spans="1:12">
      <c r="A4406" s="20" t="s">
        <v>941</v>
      </c>
      <c r="E4406" s="22">
        <f>IF(D4406="?OLD","!!!","")</f>
        <v/>
      </c>
      <c r="F4406" s="23" t="str">
        <f>IF(OR(E4406="",E4406="!!!"),"",IF(NOT(ISNA(VLOOKUP(E4406,E$1:E4405,1,FALSE()))),"OLD",IF(AND(E4406&lt;&gt;"",E4406&lt;&gt;"!!!"),"NEW","")))</f>
        <v> </v>
      </c>
      <c r="G4406" s="24" t="str">
        <f>IF(OR(E4406="",E4406="!!!"),"",IF(OR(J4406=0,AND(J4406=1,K4406=1),AND(J4406=1,I4406="SBJ"),AND(J4406=1,I4406=0)),"?IN_FOCUS",IF(J4406&lt;=2,"?ACTIVATED",IF(J4406&lt;&gt;"","?FAMILIAR",IF(F4406="NEW",IF(ISNA(VLOOKUP(E4406,#REF!,1,FALSE())),"?TYPE_IDENTIFIABLE","?REFERENTIAL"),"_")))))</f>
        <v> </v>
      </c>
      <c r="H4406" s="25" t="str">
        <f>IF(J4406&lt;&gt;1,"",IF(I4406="SBJ","CB","?"))</f>
        <v> </v>
      </c>
      <c r="I4406" s="26" t="str">
        <f>IF(OR(E4406="",E4406="!!!",F4406="NEW"),"",INDEX(B4405:B$2,-1+SUMPRODUCT(MAX(ROW(E4405:E$2)*(E4406=E4405:E$2)))))</f>
        <v> </v>
      </c>
      <c r="J4406" s="26" t="str">
        <f>IF(OR(E4406="",E4406="!!!",F4406="NEW"),"",COUNTBLANK(OFFSET(A$1,,,SUMPRODUCT(MAX(ROW(E$2:E4406)*(E4406=E$2:E4406)))))-COUNTBLANK(OFFSET(A$1,,,SUMPRODUCT(MAX(ROW(E$1:E4405)*(E2=E$1:E4405))))))</f>
        <v> </v>
      </c>
      <c r="K4406" s="26" t="str">
        <f>IF(OR(E4406="",E4406="!!!",F4406="NEW"),"",INDEX(J$1:J4405,SUMPRODUCT(MAX(ROW(E$1:E4405)*(E4406=E$1:E4405)))))</f>
        <v> </v>
      </c>
      <c r="L4406" s="27"/>
    </row>
    <row r="4407" spans="1:12">
      <c r="A4407" s="20" t="s">
        <v>1489</v>
      </c>
      <c r="B4407" s="21" t="s">
        <v>1165</v>
      </c>
      <c r="C4407" s="21" t="s">
        <v>1187</v>
      </c>
      <c r="E4407" s="22">
        <f>IF(D4407="?OLD","!!!","")</f>
        <v/>
      </c>
      <c r="F4407" s="23" t="str">
        <f>IF(OR(E4407="",E4407="!!!"),"",IF(NOT(ISNA(VLOOKUP(E4407,E$1:E4406,1,FALSE()))),"OLD",IF(AND(E4407&lt;&gt;"",E4407&lt;&gt;"!!!"),"NEW","")))</f>
        <v> </v>
      </c>
      <c r="G4407" s="24" t="str">
        <f>IF(OR(E4407="",E4407="!!!"),"",IF(OR(J4407=0,AND(J4407=1,K4407=1),AND(J4407=1,I4407="SBJ"),AND(J4407=1,I4407=0)),"?IN_FOCUS",IF(J4407&lt;=2,"?ACTIVATED",IF(J4407&lt;&gt;"","?FAMILIAR",IF(F4407="NEW",IF(ISNA(VLOOKUP(E4407,#REF!,1,FALSE())),"?TYPE_IDENTIFIABLE","?REFERENTIAL"),"_")))))</f>
        <v> </v>
      </c>
      <c r="H4407" s="25" t="str">
        <f>IF(J4407&lt;&gt;1,"",IF(I4407="SBJ","CB","?"))</f>
        <v> </v>
      </c>
      <c r="I4407" s="26" t="str">
        <f>IF(OR(E4407="",E4407="!!!",F4407="NEW"),"",INDEX(B4406:B$2,-1+SUMPRODUCT(MAX(ROW(E4406:E$2)*(E4407=E4406:E$2)))))</f>
        <v> </v>
      </c>
      <c r="J4407" s="26" t="str">
        <f>IF(OR(E4407="",E4407="!!!",F4407="NEW"),"",COUNTBLANK(OFFSET(A$1,,,SUMPRODUCT(MAX(ROW(E$2:E4407)*(E4407=E$2:E4407)))))-COUNTBLANK(OFFSET(A$1,,,SUMPRODUCT(MAX(ROW(E$1:E4406)*(E2=E$1:E4406))))))</f>
        <v> </v>
      </c>
      <c r="K4407" s="26" t="str">
        <f>IF(OR(E4407="",E4407="!!!",F4407="NEW"),"",INDEX(J$1:J4406,SUMPRODUCT(MAX(ROW(E$1:E4406)*(E4407=E$1:E4406)))))</f>
        <v> </v>
      </c>
      <c r="L4407" s="27"/>
    </row>
    <row r="4408" spans="1:12">
      <c r="A4408" s="20" t="s">
        <v>1481</v>
      </c>
      <c r="E4408" s="22">
        <f>IF(D4408="?OLD","!!!","")</f>
        <v/>
      </c>
      <c r="F4408" s="23" t="str">
        <f>IF(OR(E4408="",E4408="!!!"),"",IF(NOT(ISNA(VLOOKUP(E4408,E$1:E4407,1,FALSE()))),"OLD",IF(AND(E4408&lt;&gt;"",E4408&lt;&gt;"!!!"),"NEW","")))</f>
        <v> </v>
      </c>
      <c r="G4408" s="24" t="str">
        <f>IF(OR(E4408="",E4408="!!!"),"",IF(OR(J4408=0,AND(J4408=1,K4408=1),AND(J4408=1,I4408="SBJ"),AND(J4408=1,I4408=0)),"?IN_FOCUS",IF(J4408&lt;=2,"?ACTIVATED",IF(J4408&lt;&gt;"","?FAMILIAR",IF(F4408="NEW",IF(ISNA(VLOOKUP(E4408,#REF!,1,FALSE())),"?TYPE_IDENTIFIABLE","?REFERENTIAL"),"_")))))</f>
        <v> </v>
      </c>
      <c r="H4408" s="25" t="str">
        <f>IF(J4408&lt;&gt;1,"",IF(I4408="SBJ","CB","?"))</f>
        <v> </v>
      </c>
      <c r="I4408" s="26" t="str">
        <f>IF(OR(E4408="",E4408="!!!",F4408="NEW"),"",INDEX(B4407:B$2,-1+SUMPRODUCT(MAX(ROW(E4407:E$2)*(E4408=E4407:E$2)))))</f>
        <v> </v>
      </c>
      <c r="J4408" s="26" t="str">
        <f>IF(OR(E4408="",E4408="!!!",F4408="NEW"),"",COUNTBLANK(OFFSET(A$1,,,SUMPRODUCT(MAX(ROW(E$2:E4408)*(E4408=E$2:E4408)))))-COUNTBLANK(OFFSET(A$1,,,SUMPRODUCT(MAX(ROW(E$1:E4407)*(E2=E$1:E4407))))))</f>
        <v> </v>
      </c>
      <c r="K4408" s="26" t="str">
        <f>IF(OR(E4408="",E4408="!!!",F4408="NEW"),"",INDEX(J$1:J4407,SUMPRODUCT(MAX(ROW(E$1:E4407)*(E4408=E$1:E4407)))))</f>
        <v> </v>
      </c>
      <c r="L4408" s="27"/>
    </row>
    <row r="4409" spans="1:12">
      <c r="A4409" s="20" t="s">
        <v>2408</v>
      </c>
      <c r="B4409" s="21" t="s">
        <v>1154</v>
      </c>
      <c r="C4409" s="21" t="s">
        <v>1162</v>
      </c>
      <c r="D4409" s="21" t="s">
        <v>1144</v>
      </c>
      <c r="E4409" s="22">
        <f>IF(D4409="?OLD","!!!","")</f>
        <v/>
      </c>
      <c r="F4409" s="23" t="str">
        <f>IF(OR(E4409="",E4409="!!!"),"",IF(NOT(ISNA(VLOOKUP(E4409,E$1:E4408,1,FALSE()))),"OLD",IF(AND(E4409&lt;&gt;"",E4409&lt;&gt;"!!!"),"NEW","")))</f>
        <v> </v>
      </c>
      <c r="G4409" s="24" t="str">
        <f>IF(OR(E4409="",E4409="!!!"),"",IF(OR(J4409=0,AND(J4409=1,K4409=1),AND(J4409=1,I4409="SBJ"),AND(J4409=1,I4409=0)),"?IN_FOCUS",IF(J4409&lt;=2,"?ACTIVATED",IF(J4409&lt;&gt;"","?FAMILIAR",IF(F4409="NEW",IF(ISNA(VLOOKUP(E4409,#REF!,1,FALSE())),"?TYPE_IDENTIFIABLE","?REFERENTIAL"),"_")))))</f>
        <v> </v>
      </c>
      <c r="H4409" s="25" t="str">
        <f>IF(J4409&lt;&gt;1,"",IF(I4409="SBJ","CB","?"))</f>
        <v> </v>
      </c>
      <c r="I4409" s="26" t="str">
        <f>IF(OR(E4409="",E4409="!!!",F4409="NEW"),"",INDEX(B4408:B$2,-1+SUMPRODUCT(MAX(ROW(E4408:E$2)*(E4409=E4408:E$2)))))</f>
        <v> </v>
      </c>
      <c r="J4409" s="26" t="str">
        <f>IF(OR(E4409="",E4409="!!!",F4409="NEW"),"",COUNTBLANK(OFFSET(A$1,,,SUMPRODUCT(MAX(ROW(E$2:E4409)*(E4409=E$2:E4409)))))-COUNTBLANK(OFFSET(A$1,,,SUMPRODUCT(MAX(ROW(E$1:E4408)*(E2=E$1:E4408))))))</f>
        <v> </v>
      </c>
      <c r="K4409" s="26" t="str">
        <f>IF(OR(E4409="",E4409="!!!",F4409="NEW"),"",INDEX(J$1:J4408,SUMPRODUCT(MAX(ROW(E$1:E4408)*(E4409=E$1:E4408)))))</f>
        <v> </v>
      </c>
      <c r="L4409" s="27"/>
    </row>
    <row r="4410" spans="1:12">
      <c r="A4410" s="20" t="s">
        <v>2409</v>
      </c>
      <c r="E4410" s="22">
        <f>IF(D4410="?OLD","!!!","")</f>
        <v/>
      </c>
      <c r="F4410" s="23" t="str">
        <f>IF(OR(E4410="",E4410="!!!"),"",IF(NOT(ISNA(VLOOKUP(E4410,E$1:E4409,1,FALSE()))),"OLD",IF(AND(E4410&lt;&gt;"",E4410&lt;&gt;"!!!"),"NEW","")))</f>
        <v> </v>
      </c>
      <c r="G4410" s="24" t="str">
        <f>IF(OR(E4410="",E4410="!!!"),"",IF(OR(J4410=0,AND(J4410=1,K4410=1),AND(J4410=1,I4410="SBJ"),AND(J4410=1,I4410=0)),"?IN_FOCUS",IF(J4410&lt;=2,"?ACTIVATED",IF(J4410&lt;&gt;"","?FAMILIAR",IF(F4410="NEW",IF(ISNA(VLOOKUP(E4410,#REF!,1,FALSE())),"?TYPE_IDENTIFIABLE","?REFERENTIAL"),"_")))))</f>
        <v> </v>
      </c>
      <c r="H4410" s="25" t="str">
        <f>IF(J4410&lt;&gt;1,"",IF(I4410="SBJ","CB","?"))</f>
        <v> </v>
      </c>
      <c r="I4410" s="26" t="str">
        <f>IF(OR(E4410="",E4410="!!!",F4410="NEW"),"",INDEX(B4409:B$2,-1+SUMPRODUCT(MAX(ROW(E4409:E$2)*(E4410=E4409:E$2)))))</f>
        <v> </v>
      </c>
      <c r="J4410" s="26" t="str">
        <f>IF(OR(E4410="",E4410="!!!",F4410="NEW"),"",COUNTBLANK(OFFSET(A$1,,,SUMPRODUCT(MAX(ROW(E$2:E4410)*(E4410=E$2:E4410)))))-COUNTBLANK(OFFSET(A$1,,,SUMPRODUCT(MAX(ROW(E$1:E4409)*(E2=E$1:E4409))))))</f>
        <v> </v>
      </c>
      <c r="K4410" s="26" t="str">
        <f>IF(OR(E4410="",E4410="!!!",F4410="NEW"),"",INDEX(J$1:J4409,SUMPRODUCT(MAX(ROW(E$1:E4409)*(E4410=E$1:E4409)))))</f>
        <v> </v>
      </c>
      <c r="L4410" s="27"/>
    </row>
    <row r="4411" spans="1:12">
      <c r="A4411" s="20" t="s">
        <v>1243</v>
      </c>
      <c r="B4411" s="21" t="s">
        <v>1171</v>
      </c>
      <c r="C4411" s="21" t="s">
        <v>1228</v>
      </c>
      <c r="E4411" s="22">
        <f>IF(D4411="?OLD","!!!","")</f>
        <v/>
      </c>
      <c r="F4411" s="23" t="str">
        <f>IF(OR(E4411="",E4411="!!!"),"",IF(NOT(ISNA(VLOOKUP(E4411,E$1:E4410,1,FALSE()))),"OLD",IF(AND(E4411&lt;&gt;"",E4411&lt;&gt;"!!!"),"NEW","")))</f>
        <v> </v>
      </c>
      <c r="G4411" s="24" t="str">
        <f>IF(OR(E4411="",E4411="!!!"),"",IF(OR(J4411=0,AND(J4411=1,K4411=1),AND(J4411=1,I4411="SBJ"),AND(J4411=1,I4411=0)),"?IN_FOCUS",IF(J4411&lt;=2,"?ACTIVATED",IF(J4411&lt;&gt;"","?FAMILIAR",IF(F4411="NEW",IF(ISNA(VLOOKUP(E4411,#REF!,1,FALSE())),"?TYPE_IDENTIFIABLE","?REFERENTIAL"),"_")))))</f>
        <v> </v>
      </c>
      <c r="H4411" s="25" t="str">
        <f>IF(J4411&lt;&gt;1,"",IF(I4411="SBJ","CB","?"))</f>
        <v> </v>
      </c>
      <c r="I4411" s="26" t="str">
        <f>IF(OR(E4411="",E4411="!!!",F4411="NEW"),"",INDEX(B4410:B$2,-1+SUMPRODUCT(MAX(ROW(E4410:E$2)*(E4411=E4410:E$2)))))</f>
        <v> </v>
      </c>
      <c r="J4411" s="26" t="str">
        <f>IF(OR(E4411="",E4411="!!!",F4411="NEW"),"",COUNTBLANK(OFFSET(A$1,,,SUMPRODUCT(MAX(ROW(E$2:E4411)*(E4411=E$2:E4411)))))-COUNTBLANK(OFFSET(A$1,,,SUMPRODUCT(MAX(ROW(E$1:E4410)*(E2=E$1:E4410))))))</f>
        <v> </v>
      </c>
      <c r="K4411" s="26" t="str">
        <f>IF(OR(E4411="",E4411="!!!",F4411="NEW"),"",INDEX(J$1:J4410,SUMPRODUCT(MAX(ROW(E$1:E4410)*(E4411=E$1:E4410)))))</f>
        <v> </v>
      </c>
      <c r="L4411" s="27"/>
    </row>
    <row r="4412" spans="1:12">
      <c r="A4412" s="20" t="s">
        <v>1203</v>
      </c>
      <c r="E4412" s="22">
        <f>IF(D4412="?OLD","!!!","")</f>
        <v/>
      </c>
      <c r="F4412" s="23" t="str">
        <f>IF(OR(E4412="",E4412="!!!"),"",IF(NOT(ISNA(VLOOKUP(E4412,E$1:E4411,1,FALSE()))),"OLD",IF(AND(E4412&lt;&gt;"",E4412&lt;&gt;"!!!"),"NEW","")))</f>
        <v> </v>
      </c>
      <c r="G4412" s="24" t="str">
        <f>IF(OR(E4412="",E4412="!!!"),"",IF(OR(J4412=0,AND(J4412=1,K4412=1),AND(J4412=1,I4412="SBJ"),AND(J4412=1,I4412=0)),"?IN_FOCUS",IF(J4412&lt;=2,"?ACTIVATED",IF(J4412&lt;&gt;"","?FAMILIAR",IF(F4412="NEW",IF(ISNA(VLOOKUP(E4412,#REF!,1,FALSE())),"?TYPE_IDENTIFIABLE","?REFERENTIAL"),"_")))))</f>
        <v> </v>
      </c>
      <c r="H4412" s="25" t="str">
        <f>IF(J4412&lt;&gt;1,"",IF(I4412="SBJ","CB","?"))</f>
        <v> </v>
      </c>
      <c r="I4412" s="26" t="str">
        <f>IF(OR(E4412="",E4412="!!!",F4412="NEW"),"",INDEX(B4411:B$2,-1+SUMPRODUCT(MAX(ROW(E4411:E$2)*(E4412=E4411:E$2)))))</f>
        <v> </v>
      </c>
      <c r="J4412" s="26" t="str">
        <f>IF(OR(E4412="",E4412="!!!",F4412="NEW"),"",COUNTBLANK(OFFSET(A$1,,,SUMPRODUCT(MAX(ROW(E$2:E4412)*(E4412=E$2:E4412)))))-COUNTBLANK(OFFSET(A$1,,,SUMPRODUCT(MAX(ROW(E$1:E4411)*(E2=E$1:E4411))))))</f>
        <v> </v>
      </c>
      <c r="K4412" s="26" t="str">
        <f>IF(OR(E4412="",E4412="!!!",F4412="NEW"),"",INDEX(J$1:J4411,SUMPRODUCT(MAX(ROW(E$1:E4411)*(E4412=E$1:E4411)))))</f>
        <v> </v>
      </c>
      <c r="L4412" s="27"/>
    </row>
    <row r="4413" spans="1:12">
      <c r="A4413" s="20" t="s">
        <v>1266</v>
      </c>
      <c r="E4413" s="22">
        <f>IF(D4413="?OLD","!!!","")</f>
        <v/>
      </c>
      <c r="F4413" s="23" t="str">
        <f>IF(OR(E4413="",E4413="!!!"),"",IF(NOT(ISNA(VLOOKUP(E4413,E$1:E4412,1,FALSE()))),"OLD",IF(AND(E4413&lt;&gt;"",E4413&lt;&gt;"!!!"),"NEW","")))</f>
        <v> </v>
      </c>
      <c r="G4413" s="24" t="str">
        <f>IF(OR(E4413="",E4413="!!!"),"",IF(OR(J4413=0,AND(J4413=1,K4413=1),AND(J4413=1,I4413="SBJ"),AND(J4413=1,I4413=0)),"?IN_FOCUS",IF(J4413&lt;=2,"?ACTIVATED",IF(J4413&lt;&gt;"","?FAMILIAR",IF(F4413="NEW",IF(ISNA(VLOOKUP(E4413,#REF!,1,FALSE())),"?TYPE_IDENTIFIABLE","?REFERENTIAL"),"_")))))</f>
        <v> </v>
      </c>
      <c r="H4413" s="25" t="str">
        <f>IF(J4413&lt;&gt;1,"",IF(I4413="SBJ","CB","?"))</f>
        <v> </v>
      </c>
      <c r="I4413" s="26" t="str">
        <f>IF(OR(E4413="",E4413="!!!",F4413="NEW"),"",INDEX(B4412:B$2,-1+SUMPRODUCT(MAX(ROW(E4412:E$2)*(E4413=E4412:E$2)))))</f>
        <v> </v>
      </c>
      <c r="J4413" s="26" t="str">
        <f>IF(OR(E4413="",E4413="!!!",F4413="NEW"),"",COUNTBLANK(OFFSET(A$1,,,SUMPRODUCT(MAX(ROW(E$2:E4413)*(E4413=E$2:E4413)))))-COUNTBLANK(OFFSET(A$1,,,SUMPRODUCT(MAX(ROW(E$1:E4412)*(E2=E$1:E4412))))))</f>
        <v> </v>
      </c>
      <c r="K4413" s="26" t="str">
        <f>IF(OR(E4413="",E4413="!!!",F4413="NEW"),"",INDEX(J$1:J4412,SUMPRODUCT(MAX(ROW(E$1:E4412)*(E4413=E$1:E4412)))))</f>
        <v> </v>
      </c>
      <c r="L4413" s="27"/>
    </row>
    <row r="4414" spans="1:12">
      <c r="A4414" s="20" t="s">
        <v>2365</v>
      </c>
      <c r="B4414" s="21" t="s">
        <v>1161</v>
      </c>
      <c r="C4414" s="21" t="s">
        <v>1214</v>
      </c>
      <c r="E4414" s="22">
        <f>IF(D4414="?OLD","!!!","")</f>
        <v/>
      </c>
      <c r="F4414" s="23" t="str">
        <f>IF(OR(E4414="",E4414="!!!"),"",IF(NOT(ISNA(VLOOKUP(E4414,E$1:E4413,1,FALSE()))),"OLD",IF(AND(E4414&lt;&gt;"",E4414&lt;&gt;"!!!"),"NEW","")))</f>
        <v> </v>
      </c>
      <c r="G4414" s="24" t="str">
        <f>IF(OR(E4414="",E4414="!!!"),"",IF(OR(J4414=0,AND(J4414=1,K4414=1),AND(J4414=1,I4414="SBJ"),AND(J4414=1,I4414=0)),"?IN_FOCUS",IF(J4414&lt;=2,"?ACTIVATED",IF(J4414&lt;&gt;"","?FAMILIAR",IF(F4414="NEW",IF(ISNA(VLOOKUP(E4414,#REF!,1,FALSE())),"?TYPE_IDENTIFIABLE","?REFERENTIAL"),"_")))))</f>
        <v> </v>
      </c>
      <c r="H4414" s="25" t="str">
        <f>IF(J4414&lt;&gt;1,"",IF(I4414="SBJ","CB","?"))</f>
        <v> </v>
      </c>
      <c r="I4414" s="26" t="str">
        <f>IF(OR(E4414="",E4414="!!!",F4414="NEW"),"",INDEX(B4413:B$2,-1+SUMPRODUCT(MAX(ROW(E4413:E$2)*(E4414=E4413:E$2)))))</f>
        <v> </v>
      </c>
      <c r="J4414" s="26" t="str">
        <f>IF(OR(E4414="",E4414="!!!",F4414="NEW"),"",COUNTBLANK(OFFSET(A$1,,,SUMPRODUCT(MAX(ROW(E$2:E4414)*(E4414=E$2:E4414)))))-COUNTBLANK(OFFSET(A$1,,,SUMPRODUCT(MAX(ROW(E$1:E4413)*(E2=E$1:E4413))))))</f>
        <v> </v>
      </c>
      <c r="K4414" s="26" t="str">
        <f>IF(OR(E4414="",E4414="!!!",F4414="NEW"),"",INDEX(J$1:J4413,SUMPRODUCT(MAX(ROW(E$1:E4413)*(E4414=E$1:E4413)))))</f>
        <v> </v>
      </c>
      <c r="L4414" s="27"/>
    </row>
    <row r="4415" spans="1:12">
      <c r="A4415" s="20" t="s">
        <v>312</v>
      </c>
      <c r="E4415" s="22">
        <f>IF(D4415="?OLD","!!!","")</f>
        <v/>
      </c>
      <c r="F4415" s="23" t="str">
        <f>IF(OR(E4415="",E4415="!!!"),"",IF(NOT(ISNA(VLOOKUP(E4415,E$1:E4414,1,FALSE()))),"OLD",IF(AND(E4415&lt;&gt;"",E4415&lt;&gt;"!!!"),"NEW","")))</f>
        <v> </v>
      </c>
      <c r="G4415" s="24" t="str">
        <f>IF(OR(E4415="",E4415="!!!"),"",IF(OR(J4415=0,AND(J4415=1,K4415=1),AND(J4415=1,I4415="SBJ"),AND(J4415=1,I4415=0)),"?IN_FOCUS",IF(J4415&lt;=2,"?ACTIVATED",IF(J4415&lt;&gt;"","?FAMILIAR",IF(F4415="NEW",IF(ISNA(VLOOKUP(E4415,#REF!,1,FALSE())),"?TYPE_IDENTIFIABLE","?REFERENTIAL"),"_")))))</f>
        <v> </v>
      </c>
      <c r="H4415" s="25" t="str">
        <f>IF(J4415&lt;&gt;1,"",IF(I4415="SBJ","CB","?"))</f>
        <v> </v>
      </c>
      <c r="I4415" s="26" t="str">
        <f>IF(OR(E4415="",E4415="!!!",F4415="NEW"),"",INDEX(B4414:B$2,-1+SUMPRODUCT(MAX(ROW(E4414:E$2)*(E4415=E4414:E$2)))))</f>
        <v> </v>
      </c>
      <c r="J4415" s="26" t="str">
        <f>IF(OR(E4415="",E4415="!!!",F4415="NEW"),"",COUNTBLANK(OFFSET(A$1,,,SUMPRODUCT(MAX(ROW(E$2:E4415)*(E4415=E$2:E4415)))))-COUNTBLANK(OFFSET(A$1,,,SUMPRODUCT(MAX(ROW(E$1:E4414)*(E2=E$1:E4414))))))</f>
        <v> </v>
      </c>
      <c r="K4415" s="26" t="str">
        <f>IF(OR(E4415="",E4415="!!!",F4415="NEW"),"",INDEX(J$1:J4414,SUMPRODUCT(MAX(ROW(E$1:E4414)*(E4415=E$1:E4414)))))</f>
        <v> </v>
      </c>
      <c r="L4415" s="27"/>
    </row>
    <row r="4416" spans="1:12">
      <c r="A4416" s="20"/>
    </row>
    <row r="4417" spans="1:12">
      <c r="A4417" s="20" t="s">
        <v>2410</v>
      </c>
    </row>
    <row r="4418" spans="1:12">
      <c r="A4418" s="20" t="s">
        <v>1189</v>
      </c>
      <c r="B4418" s="21" t="s">
        <v>1165</v>
      </c>
      <c r="C4418" s="21" t="s">
        <v>1151</v>
      </c>
      <c r="D4418" s="21" t="s">
        <v>1144</v>
      </c>
      <c r="E4418" s="22">
        <f>IF(D4418="?OLD","!!!","")</f>
        <v/>
      </c>
      <c r="F4418" s="23" t="str">
        <f>IF(OR(E4418="",E4418="!!!"),"",IF(NOT(ISNA(VLOOKUP(E4418,E$1:E4417,1,FALSE()))),"OLD",IF(AND(E4418&lt;&gt;"",E4418&lt;&gt;"!!!"),"NEW","")))</f>
        <v> </v>
      </c>
      <c r="G4418" s="24" t="str">
        <f>IF(OR(E4418="",E4418="!!!"),"",IF(OR(J4418=0,AND(J4418=1,K4418=1),AND(J4418=1,I4418="SBJ"),AND(J4418=1,I4418=0)),"?IN_FOCUS",IF(J4418&lt;=2,"?ACTIVATED",IF(J4418&lt;&gt;"","?FAMILIAR",IF(F4418="NEW",IF(ISNA(VLOOKUP(E4418,#REF!,1,FALSE())),"?TYPE_IDENTIFIABLE","?REFERENTIAL"),"_")))))</f>
        <v> </v>
      </c>
      <c r="H4418" s="25" t="str">
        <f>IF(J4418&lt;&gt;1,"",IF(I4418="SBJ","CB","?"))</f>
        <v> </v>
      </c>
      <c r="I4418" s="26" t="str">
        <f>IF(OR(E4418="",E4418="!!!",F4418="NEW"),"",INDEX(B4417:B$2,-1+SUMPRODUCT(MAX(ROW(E4417:E$2)*(E4418=E4417:E$2)))))</f>
        <v> </v>
      </c>
      <c r="J4418" s="26" t="str">
        <f>IF(OR(E4418="",E4418="!!!",F4418="NEW"),"",COUNTBLANK(OFFSET(A$1,,,SUMPRODUCT(MAX(ROW(E$2:E4418)*(E4418=E$2:E4418)))))-COUNTBLANK(OFFSET(A$1,,,SUMPRODUCT(MAX(ROW(E$1:E4417)*(E2=E$1:E4417))))))</f>
        <v> </v>
      </c>
      <c r="K4418" s="26" t="str">
        <f>IF(OR(E4418="",E4418="!!!",F4418="NEW"),"",INDEX(J$1:J4417,SUMPRODUCT(MAX(ROW(E$1:E4417)*(E4418=E$1:E4417)))))</f>
        <v> </v>
      </c>
      <c r="L4418" s="27"/>
    </row>
    <row r="4419" spans="1:12">
      <c r="A4419" s="20" t="s">
        <v>2411</v>
      </c>
      <c r="E4419" s="22">
        <f>IF(D4419="?OLD","!!!","")</f>
        <v/>
      </c>
      <c r="F4419" s="23" t="str">
        <f>IF(OR(E4419="",E4419="!!!"),"",IF(NOT(ISNA(VLOOKUP(E4419,E$1:E4418,1,FALSE()))),"OLD",IF(AND(E4419&lt;&gt;"",E4419&lt;&gt;"!!!"),"NEW","")))</f>
        <v> </v>
      </c>
      <c r="G4419" s="24" t="str">
        <f>IF(OR(E4419="",E4419="!!!"),"",IF(OR(J4419=0,AND(J4419=1,K4419=1),AND(J4419=1,I4419="SBJ"),AND(J4419=1,I4419=0)),"?IN_FOCUS",IF(J4419&lt;=2,"?ACTIVATED",IF(J4419&lt;&gt;"","?FAMILIAR",IF(F4419="NEW",IF(ISNA(VLOOKUP(E4419,#REF!,1,FALSE())),"?TYPE_IDENTIFIABLE","?REFERENTIAL"),"_")))))</f>
        <v> </v>
      </c>
      <c r="H4419" s="25" t="str">
        <f>IF(J4419&lt;&gt;1,"",IF(I4419="SBJ","CB","?"))</f>
        <v> </v>
      </c>
      <c r="I4419" s="26" t="str">
        <f>IF(OR(E4419="",E4419="!!!",F4419="NEW"),"",INDEX(B4418:B$2,-1+SUMPRODUCT(MAX(ROW(E4418:E$2)*(E4419=E4418:E$2)))))</f>
        <v> </v>
      </c>
      <c r="J4419" s="26" t="str">
        <f>IF(OR(E4419="",E4419="!!!",F4419="NEW"),"",COUNTBLANK(OFFSET(A$1,,,SUMPRODUCT(MAX(ROW(E$2:E4419)*(E4419=E$2:E4419)))))-COUNTBLANK(OFFSET(A$1,,,SUMPRODUCT(MAX(ROW(E$1:E4418)*(E2=E$1:E4418))))))</f>
        <v> </v>
      </c>
      <c r="K4419" s="26" t="str">
        <f>IF(OR(E4419="",E4419="!!!",F4419="NEW"),"",INDEX(J$1:J4418,SUMPRODUCT(MAX(ROW(E$1:E4418)*(E4419=E$1:E4418)))))</f>
        <v> </v>
      </c>
      <c r="L4419" s="27"/>
    </row>
    <row r="4420" spans="1:12">
      <c r="A4420" s="20" t="s">
        <v>1166</v>
      </c>
      <c r="E4420" s="22">
        <f>IF(D4420="?OLD","!!!","")</f>
        <v/>
      </c>
      <c r="F4420" s="23" t="str">
        <f>IF(OR(E4420="",E4420="!!!"),"",IF(NOT(ISNA(VLOOKUP(E4420,E$1:E4419,1,FALSE()))),"OLD",IF(AND(E4420&lt;&gt;"",E4420&lt;&gt;"!!!"),"NEW","")))</f>
        <v> </v>
      </c>
      <c r="G4420" s="24" t="str">
        <f>IF(OR(E4420="",E4420="!!!"),"",IF(OR(J4420=0,AND(J4420=1,K4420=1),AND(J4420=1,I4420="SBJ"),AND(J4420=1,I4420=0)),"?IN_FOCUS",IF(J4420&lt;=2,"?ACTIVATED",IF(J4420&lt;&gt;"","?FAMILIAR",IF(F4420="NEW",IF(ISNA(VLOOKUP(E4420,#REF!,1,FALSE())),"?TYPE_IDENTIFIABLE","?REFERENTIAL"),"_")))))</f>
        <v> </v>
      </c>
      <c r="H4420" s="25" t="str">
        <f>IF(J4420&lt;&gt;1,"",IF(I4420="SBJ","CB","?"))</f>
        <v> </v>
      </c>
      <c r="I4420" s="26" t="str">
        <f>IF(OR(E4420="",E4420="!!!",F4420="NEW"),"",INDEX(B4419:B$2,-1+SUMPRODUCT(MAX(ROW(E4419:E$2)*(E4420=E4419:E$2)))))</f>
        <v> </v>
      </c>
      <c r="J4420" s="26" t="str">
        <f>IF(OR(E4420="",E4420="!!!",F4420="NEW"),"",COUNTBLANK(OFFSET(A$1,,,SUMPRODUCT(MAX(ROW(E$2:E4420)*(E4420=E$2:E4420)))))-COUNTBLANK(OFFSET(A$1,,,SUMPRODUCT(MAX(ROW(E$1:E4419)*(E2=E$1:E4419))))))</f>
        <v> </v>
      </c>
      <c r="K4420" s="26" t="str">
        <f>IF(OR(E4420="",E4420="!!!",F4420="NEW"),"",INDEX(J$1:J4419,SUMPRODUCT(MAX(ROW(E$1:E4419)*(E4420=E$1:E4419)))))</f>
        <v> </v>
      </c>
      <c r="L4420" s="27"/>
    </row>
    <row r="4421" spans="1:12">
      <c r="A4421" s="20" t="s">
        <v>1167</v>
      </c>
      <c r="B4421" s="21" t="s">
        <v>1142</v>
      </c>
      <c r="C4421" s="21" t="s">
        <v>1168</v>
      </c>
      <c r="D4421" s="21" t="s">
        <v>1144</v>
      </c>
      <c r="E4421" s="22">
        <f>IF(D4421="?OLD","!!!","")</f>
        <v/>
      </c>
      <c r="F4421" s="23" t="str">
        <f>IF(OR(E4421="",E4421="!!!"),"",IF(NOT(ISNA(VLOOKUP(E4421,E$1:E4420,1,FALSE()))),"OLD",IF(AND(E4421&lt;&gt;"",E4421&lt;&gt;"!!!"),"NEW","")))</f>
        <v> </v>
      </c>
      <c r="G4421" s="24" t="str">
        <f>IF(OR(E4421="",E4421="!!!"),"",IF(OR(J4421=0,AND(J4421=1,K4421=1),AND(J4421=1,I4421="SBJ"),AND(J4421=1,I4421=0)),"?IN_FOCUS",IF(J4421&lt;=2,"?ACTIVATED",IF(J4421&lt;&gt;"","?FAMILIAR",IF(F4421="NEW",IF(ISNA(VLOOKUP(E4421,#REF!,1,FALSE())),"?TYPE_IDENTIFIABLE","?REFERENTIAL"),"_")))))</f>
        <v> </v>
      </c>
      <c r="H4421" s="25" t="str">
        <f>IF(J4421&lt;&gt;1,"",IF(I4421="SBJ","CB","?"))</f>
        <v> </v>
      </c>
      <c r="I4421" s="26" t="str">
        <f>IF(OR(E4421="",E4421="!!!",F4421="NEW"),"",INDEX(B4420:B$2,-1+SUMPRODUCT(MAX(ROW(E4420:E$2)*(E4421=E4420:E$2)))))</f>
        <v> </v>
      </c>
      <c r="J4421" s="26" t="str">
        <f>IF(OR(E4421="",E4421="!!!",F4421="NEW"),"",COUNTBLANK(OFFSET(A$1,,,SUMPRODUCT(MAX(ROW(E$2:E4421)*(E4421=E$2:E4421)))))-COUNTBLANK(OFFSET(A$1,,,SUMPRODUCT(MAX(ROW(E$1:E4420)*(E2=E$1:E4420))))))</f>
        <v> </v>
      </c>
      <c r="K4421" s="26" t="str">
        <f>IF(OR(E4421="",E4421="!!!",F4421="NEW"),"",INDEX(J$1:J4420,SUMPRODUCT(MAX(ROW(E$1:E4420)*(E4421=E$1:E4420)))))</f>
        <v> </v>
      </c>
      <c r="L4421" s="27"/>
    </row>
    <row r="4422" spans="1:12">
      <c r="A4422" s="20" t="s">
        <v>2065</v>
      </c>
      <c r="E4422" s="22">
        <f>IF(D4422="?OLD","!!!","")</f>
        <v/>
      </c>
      <c r="F4422" s="23" t="str">
        <f>IF(OR(E4422="",E4422="!!!"),"",IF(NOT(ISNA(VLOOKUP(E4422,E$1:E4421,1,FALSE()))),"OLD",IF(AND(E4422&lt;&gt;"",E4422&lt;&gt;"!!!"),"NEW","")))</f>
        <v> </v>
      </c>
      <c r="G4422" s="24" t="str">
        <f>IF(OR(E4422="",E4422="!!!"),"",IF(OR(J4422=0,AND(J4422=1,K4422=1),AND(J4422=1,I4422="SBJ"),AND(J4422=1,I4422=0)),"?IN_FOCUS",IF(J4422&lt;=2,"?ACTIVATED",IF(J4422&lt;&gt;"","?FAMILIAR",IF(F4422="NEW",IF(ISNA(VLOOKUP(E4422,#REF!,1,FALSE())),"?TYPE_IDENTIFIABLE","?REFERENTIAL"),"_")))))</f>
        <v> </v>
      </c>
      <c r="H4422" s="25" t="str">
        <f>IF(J4422&lt;&gt;1,"",IF(I4422="SBJ","CB","?"))</f>
        <v> </v>
      </c>
      <c r="I4422" s="26" t="str">
        <f>IF(OR(E4422="",E4422="!!!",F4422="NEW"),"",INDEX(B4421:B$2,-1+SUMPRODUCT(MAX(ROW(E4421:E$2)*(E4422=E4421:E$2)))))</f>
        <v> </v>
      </c>
      <c r="J4422" s="26" t="str">
        <f>IF(OR(E4422="",E4422="!!!",F4422="NEW"),"",COUNTBLANK(OFFSET(A$1,,,SUMPRODUCT(MAX(ROW(E$2:E4422)*(E4422=E$2:E4422)))))-COUNTBLANK(OFFSET(A$1,,,SUMPRODUCT(MAX(ROW(E$1:E4421)*(E2=E$1:E4421))))))</f>
        <v> </v>
      </c>
      <c r="K4422" s="26" t="str">
        <f>IF(OR(E4422="",E4422="!!!",F4422="NEW"),"",INDEX(J$1:J4421,SUMPRODUCT(MAX(ROW(E$1:E4421)*(E4422=E$1:E4421)))))</f>
        <v> </v>
      </c>
      <c r="L4422" s="27"/>
    </row>
    <row r="4423" spans="1:12">
      <c r="A4423" s="20" t="s">
        <v>2412</v>
      </c>
      <c r="E4423" s="22">
        <f>IF(D4423="?OLD","!!!","")</f>
        <v/>
      </c>
      <c r="F4423" s="23" t="str">
        <f>IF(OR(E4423="",E4423="!!!"),"",IF(NOT(ISNA(VLOOKUP(E4423,E$1:E4422,1,FALSE()))),"OLD",IF(AND(E4423&lt;&gt;"",E4423&lt;&gt;"!!!"),"NEW","")))</f>
        <v> </v>
      </c>
      <c r="G4423" s="24" t="str">
        <f>IF(OR(E4423="",E4423="!!!"),"",IF(OR(J4423=0,AND(J4423=1,K4423=1),AND(J4423=1,I4423="SBJ"),AND(J4423=1,I4423=0)),"?IN_FOCUS",IF(J4423&lt;=2,"?ACTIVATED",IF(J4423&lt;&gt;"","?FAMILIAR",IF(F4423="NEW",IF(ISNA(VLOOKUP(E4423,#REF!,1,FALSE())),"?TYPE_IDENTIFIABLE","?REFERENTIAL"),"_")))))</f>
        <v> </v>
      </c>
      <c r="H4423" s="25" t="str">
        <f>IF(J4423&lt;&gt;1,"",IF(I4423="SBJ","CB","?"))</f>
        <v> </v>
      </c>
      <c r="I4423" s="26" t="str">
        <f>IF(OR(E4423="",E4423="!!!",F4423="NEW"),"",INDEX(B4422:B$2,-1+SUMPRODUCT(MAX(ROW(E4422:E$2)*(E4423=E4422:E$2)))))</f>
        <v> </v>
      </c>
      <c r="J4423" s="26" t="str">
        <f>IF(OR(E4423="",E4423="!!!",F4423="NEW"),"",COUNTBLANK(OFFSET(A$1,,,SUMPRODUCT(MAX(ROW(E$2:E4423)*(E4423=E$2:E4423)))))-COUNTBLANK(OFFSET(A$1,,,SUMPRODUCT(MAX(ROW(E$1:E4422)*(E2=E$1:E4422))))))</f>
        <v> </v>
      </c>
      <c r="K4423" s="26" t="str">
        <f>IF(OR(E4423="",E4423="!!!",F4423="NEW"),"",INDEX(J$1:J4422,SUMPRODUCT(MAX(ROW(E$1:E4422)*(E4423=E$1:E4422)))))</f>
        <v> </v>
      </c>
      <c r="L4423" s="27"/>
    </row>
    <row r="4424" spans="1:12">
      <c r="A4424" s="20" t="s">
        <v>1166</v>
      </c>
      <c r="E4424" s="22">
        <f>IF(D4424="?OLD","!!!","")</f>
        <v/>
      </c>
      <c r="F4424" s="23" t="str">
        <f>IF(OR(E4424="",E4424="!!!"),"",IF(NOT(ISNA(VLOOKUP(E4424,E$1:E4423,1,FALSE()))),"OLD",IF(AND(E4424&lt;&gt;"",E4424&lt;&gt;"!!!"),"NEW","")))</f>
        <v> </v>
      </c>
      <c r="G4424" s="24" t="str">
        <f>IF(OR(E4424="",E4424="!!!"),"",IF(OR(J4424=0,AND(J4424=1,K4424=1),AND(J4424=1,I4424="SBJ"),AND(J4424=1,I4424=0)),"?IN_FOCUS",IF(J4424&lt;=2,"?ACTIVATED",IF(J4424&lt;&gt;"","?FAMILIAR",IF(F4424="NEW",IF(ISNA(VLOOKUP(E4424,#REF!,1,FALSE())),"?TYPE_IDENTIFIABLE","?REFERENTIAL"),"_")))))</f>
        <v> </v>
      </c>
      <c r="H4424" s="25" t="str">
        <f>IF(J4424&lt;&gt;1,"",IF(I4424="SBJ","CB","?"))</f>
        <v> </v>
      </c>
      <c r="I4424" s="26" t="str">
        <f>IF(OR(E4424="",E4424="!!!",F4424="NEW"),"",INDEX(B4423:B$2,-1+SUMPRODUCT(MAX(ROW(E4423:E$2)*(E4424=E4423:E$2)))))</f>
        <v> </v>
      </c>
      <c r="J4424" s="26" t="str">
        <f>IF(OR(E4424="",E4424="!!!",F4424="NEW"),"",COUNTBLANK(OFFSET(A$1,,,SUMPRODUCT(MAX(ROW(E$2:E4424)*(E4424=E$2:E4424)))))-COUNTBLANK(OFFSET(A$1,,,SUMPRODUCT(MAX(ROW(E$1:E4423)*(E2=E$1:E4423))))))</f>
        <v> </v>
      </c>
      <c r="K4424" s="26" t="str">
        <f>IF(OR(E4424="",E4424="!!!",F4424="NEW"),"",INDEX(J$1:J4423,SUMPRODUCT(MAX(ROW(E$1:E4423)*(E4424=E$1:E4423)))))</f>
        <v> </v>
      </c>
      <c r="L4424" s="27"/>
    </row>
    <row r="4425" spans="1:12">
      <c r="A4425" s="20" t="s">
        <v>1210</v>
      </c>
      <c r="E4425" s="22">
        <f>IF(D4425="?OLD","!!!","")</f>
        <v/>
      </c>
      <c r="F4425" s="23" t="str">
        <f>IF(OR(E4425="",E4425="!!!"),"",IF(NOT(ISNA(VLOOKUP(E4425,E$1:E4424,1,FALSE()))),"OLD",IF(AND(E4425&lt;&gt;"",E4425&lt;&gt;"!!!"),"NEW","")))</f>
        <v> </v>
      </c>
      <c r="G4425" s="24" t="str">
        <f>IF(OR(E4425="",E4425="!!!"),"",IF(OR(J4425=0,AND(J4425=1,K4425=1),AND(J4425=1,I4425="SBJ"),AND(J4425=1,I4425=0)),"?IN_FOCUS",IF(J4425&lt;=2,"?ACTIVATED",IF(J4425&lt;&gt;"","?FAMILIAR",IF(F4425="NEW",IF(ISNA(VLOOKUP(E4425,#REF!,1,FALSE())),"?TYPE_IDENTIFIABLE","?REFERENTIAL"),"_")))))</f>
        <v> </v>
      </c>
      <c r="H4425" s="25" t="str">
        <f>IF(J4425&lt;&gt;1,"",IF(I4425="SBJ","CB","?"))</f>
        <v> </v>
      </c>
      <c r="I4425" s="26" t="str">
        <f>IF(OR(E4425="",E4425="!!!",F4425="NEW"),"",INDEX(B4424:B$2,-1+SUMPRODUCT(MAX(ROW(E4424:E$2)*(E4425=E4424:E$2)))))</f>
        <v> </v>
      </c>
      <c r="J4425" s="26" t="str">
        <f>IF(OR(E4425="",E4425="!!!",F4425="NEW"),"",COUNTBLANK(OFFSET(A$1,,,SUMPRODUCT(MAX(ROW(E$2:E4425)*(E4425=E$2:E4425)))))-COUNTBLANK(OFFSET(A$1,,,SUMPRODUCT(MAX(ROW(E$1:E4424)*(E2=E$1:E4424))))))</f>
        <v> </v>
      </c>
      <c r="K4425" s="26" t="str">
        <f>IF(OR(E4425="",E4425="!!!",F4425="NEW"),"",INDEX(J$1:J4424,SUMPRODUCT(MAX(ROW(E$1:E4424)*(E4425=E$1:E4424)))))</f>
        <v> </v>
      </c>
      <c r="L4425" s="27"/>
    </row>
    <row r="4426" spans="1:12">
      <c r="A4426" s="20" t="s">
        <v>1191</v>
      </c>
      <c r="B4426" s="21" t="s">
        <v>1175</v>
      </c>
      <c r="C4426" s="21" t="s">
        <v>1232</v>
      </c>
      <c r="D4426" s="21" t="s">
        <v>1144</v>
      </c>
      <c r="E4426" s="22">
        <f>IF(D4426="?OLD","!!!","")</f>
        <v/>
      </c>
      <c r="F4426" s="23" t="str">
        <f>IF(OR(E4426="",E4426="!!!"),"",IF(NOT(ISNA(VLOOKUP(E4426,E$1:E4425,1,FALSE()))),"OLD",IF(AND(E4426&lt;&gt;"",E4426&lt;&gt;"!!!"),"NEW","")))</f>
        <v> </v>
      </c>
      <c r="G4426" s="24" t="str">
        <f>IF(OR(E4426="",E4426="!!!"),"",IF(OR(J4426=0,AND(J4426=1,K4426=1),AND(J4426=1,I4426="SBJ"),AND(J4426=1,I4426=0)),"?IN_FOCUS",IF(J4426&lt;=2,"?ACTIVATED",IF(J4426&lt;&gt;"","?FAMILIAR",IF(F4426="NEW",IF(ISNA(VLOOKUP(E4426,#REF!,1,FALSE())),"?TYPE_IDENTIFIABLE","?REFERENTIAL"),"_")))))</f>
        <v> </v>
      </c>
      <c r="H4426" s="25" t="str">
        <f>IF(J4426&lt;&gt;1,"",IF(I4426="SBJ","CB","?"))</f>
        <v> </v>
      </c>
      <c r="I4426" s="26" t="str">
        <f>IF(OR(E4426="",E4426="!!!",F4426="NEW"),"",INDEX(B4425:B$2,-1+SUMPRODUCT(MAX(ROW(E4425:E$2)*(E4426=E4425:E$2)))))</f>
        <v> </v>
      </c>
      <c r="J4426" s="26" t="str">
        <f>IF(OR(E4426="",E4426="!!!",F4426="NEW"),"",COUNTBLANK(OFFSET(A$1,,,SUMPRODUCT(MAX(ROW(E$2:E4426)*(E4426=E$2:E4426)))))-COUNTBLANK(OFFSET(A$1,,,SUMPRODUCT(MAX(ROW(E$1:E4425)*(E2=E$1:E4425))))))</f>
        <v> </v>
      </c>
      <c r="K4426" s="26" t="str">
        <f>IF(OR(E4426="",E4426="!!!",F4426="NEW"),"",INDEX(J$1:J4425,SUMPRODUCT(MAX(ROW(E$1:E4425)*(E4426=E$1:E4425)))))</f>
        <v> </v>
      </c>
      <c r="L4426" s="27"/>
    </row>
    <row r="4427" spans="1:12">
      <c r="A4427" s="20" t="s">
        <v>1275</v>
      </c>
      <c r="E4427" s="22">
        <f>IF(D4427="?OLD","!!!","")</f>
        <v/>
      </c>
      <c r="F4427" s="23" t="str">
        <f>IF(OR(E4427="",E4427="!!!"),"",IF(NOT(ISNA(VLOOKUP(E4427,E$1:E4426,1,FALSE()))),"OLD",IF(AND(E4427&lt;&gt;"",E4427&lt;&gt;"!!!"),"NEW","")))</f>
        <v> </v>
      </c>
      <c r="G4427" s="24" t="str">
        <f>IF(OR(E4427="",E4427="!!!"),"",IF(OR(J4427=0,AND(J4427=1,K4427=1),AND(J4427=1,I4427="SBJ"),AND(J4427=1,I4427=0)),"?IN_FOCUS",IF(J4427&lt;=2,"?ACTIVATED",IF(J4427&lt;&gt;"","?FAMILIAR",IF(F4427="NEW",IF(ISNA(VLOOKUP(E4427,#REF!,1,FALSE())),"?TYPE_IDENTIFIABLE","?REFERENTIAL"),"_")))))</f>
        <v> </v>
      </c>
      <c r="H4427" s="25" t="str">
        <f>IF(J4427&lt;&gt;1,"",IF(I4427="SBJ","CB","?"))</f>
        <v> </v>
      </c>
      <c r="I4427" s="26" t="str">
        <f>IF(OR(E4427="",E4427="!!!",F4427="NEW"),"",INDEX(B4426:B$2,-1+SUMPRODUCT(MAX(ROW(E4426:E$2)*(E4427=E4426:E$2)))))</f>
        <v> </v>
      </c>
      <c r="J4427" s="26" t="str">
        <f>IF(OR(E4427="",E4427="!!!",F4427="NEW"),"",COUNTBLANK(OFFSET(A$1,,,SUMPRODUCT(MAX(ROW(E$2:E4427)*(E4427=E$2:E4427)))))-COUNTBLANK(OFFSET(A$1,,,SUMPRODUCT(MAX(ROW(E$1:E4426)*(E2=E$1:E4426))))))</f>
        <v> </v>
      </c>
      <c r="K4427" s="26" t="str">
        <f>IF(OR(E4427="",E4427="!!!",F4427="NEW"),"",INDEX(J$1:J4426,SUMPRODUCT(MAX(ROW(E$1:E4426)*(E4427=E$1:E4426)))))</f>
        <v> </v>
      </c>
      <c r="L4427" s="27"/>
    </row>
    <row r="4428" spans="1:12">
      <c r="A4428" s="20" t="s">
        <v>2083</v>
      </c>
      <c r="B4428" s="21" t="s">
        <v>1171</v>
      </c>
      <c r="C4428" s="21" t="s">
        <v>1162</v>
      </c>
      <c r="D4428" s="21" t="s">
        <v>1144</v>
      </c>
      <c r="E4428" s="22">
        <f>IF(D4428="?OLD","!!!","")</f>
        <v/>
      </c>
      <c r="F4428" s="23" t="str">
        <f>IF(OR(E4428="",E4428="!!!"),"",IF(NOT(ISNA(VLOOKUP(E4428,E$1:E4427,1,FALSE()))),"OLD",IF(AND(E4428&lt;&gt;"",E4428&lt;&gt;"!!!"),"NEW","")))</f>
        <v> </v>
      </c>
      <c r="G4428" s="24" t="str">
        <f>IF(OR(E4428="",E4428="!!!"),"",IF(OR(J4428=0,AND(J4428=1,K4428=1),AND(J4428=1,I4428="SBJ"),AND(J4428=1,I4428=0)),"?IN_FOCUS",IF(J4428&lt;=2,"?ACTIVATED",IF(J4428&lt;&gt;"","?FAMILIAR",IF(F4428="NEW",IF(ISNA(VLOOKUP(E4428,#REF!,1,FALSE())),"?TYPE_IDENTIFIABLE","?REFERENTIAL"),"_")))))</f>
        <v> </v>
      </c>
      <c r="H4428" s="25" t="str">
        <f>IF(J4428&lt;&gt;1,"",IF(I4428="SBJ","CB","?"))</f>
        <v> </v>
      </c>
      <c r="I4428" s="26" t="str">
        <f>IF(OR(E4428="",E4428="!!!",F4428="NEW"),"",INDEX(B4427:B$2,-1+SUMPRODUCT(MAX(ROW(E4427:E$2)*(E4428=E4427:E$2)))))</f>
        <v> </v>
      </c>
      <c r="J4428" s="26" t="str">
        <f>IF(OR(E4428="",E4428="!!!",F4428="NEW"),"",COUNTBLANK(OFFSET(A$1,,,SUMPRODUCT(MAX(ROW(E$2:E4428)*(E4428=E$2:E4428)))))-COUNTBLANK(OFFSET(A$1,,,SUMPRODUCT(MAX(ROW(E$1:E4427)*(E2=E$1:E4427))))))</f>
        <v> </v>
      </c>
      <c r="K4428" s="26" t="str">
        <f>IF(OR(E4428="",E4428="!!!",F4428="NEW"),"",INDEX(J$1:J4427,SUMPRODUCT(MAX(ROW(E$1:E4427)*(E4428=E$1:E4427)))))</f>
        <v> </v>
      </c>
      <c r="L4428" s="27"/>
    </row>
    <row r="4429" spans="1:12">
      <c r="A4429" s="20" t="s">
        <v>1301</v>
      </c>
      <c r="E4429" s="22">
        <f>IF(D4429="?OLD","!!!","")</f>
        <v/>
      </c>
      <c r="F4429" s="23" t="str">
        <f>IF(OR(E4429="",E4429="!!!"),"",IF(NOT(ISNA(VLOOKUP(E4429,E$1:E4428,1,FALSE()))),"OLD",IF(AND(E4429&lt;&gt;"",E4429&lt;&gt;"!!!"),"NEW","")))</f>
        <v> </v>
      </c>
      <c r="G4429" s="24" t="str">
        <f>IF(OR(E4429="",E4429="!!!"),"",IF(OR(J4429=0,AND(J4429=1,K4429=1),AND(J4429=1,I4429="SBJ"),AND(J4429=1,I4429=0)),"?IN_FOCUS",IF(J4429&lt;=2,"?ACTIVATED",IF(J4429&lt;&gt;"","?FAMILIAR",IF(F4429="NEW",IF(ISNA(VLOOKUP(E4429,#REF!,1,FALSE())),"?TYPE_IDENTIFIABLE","?REFERENTIAL"),"_")))))</f>
        <v> </v>
      </c>
      <c r="H4429" s="25" t="str">
        <f>IF(J4429&lt;&gt;1,"",IF(I4429="SBJ","CB","?"))</f>
        <v> </v>
      </c>
      <c r="I4429" s="26" t="str">
        <f>IF(OR(E4429="",E4429="!!!",F4429="NEW"),"",INDEX(B4428:B$2,-1+SUMPRODUCT(MAX(ROW(E4428:E$2)*(E4429=E4428:E$2)))))</f>
        <v> </v>
      </c>
      <c r="J4429" s="26" t="str">
        <f>IF(OR(E4429="",E4429="!!!",F4429="NEW"),"",COUNTBLANK(OFFSET(A$1,,,SUMPRODUCT(MAX(ROW(E$2:E4429)*(E4429=E$2:E4429)))))-COUNTBLANK(OFFSET(A$1,,,SUMPRODUCT(MAX(ROW(E$1:E4428)*(E2=E$1:E4428))))))</f>
        <v> </v>
      </c>
      <c r="K4429" s="26" t="str">
        <f>IF(OR(E4429="",E4429="!!!",F4429="NEW"),"",INDEX(J$1:J4428,SUMPRODUCT(MAX(ROW(E$1:E4428)*(E4429=E$1:E4428)))))</f>
        <v> </v>
      </c>
      <c r="L4429" s="27"/>
    </row>
    <row r="4430" spans="1:12">
      <c r="A4430" s="20" t="s">
        <v>312</v>
      </c>
      <c r="E4430" s="22">
        <f>IF(D4430="?OLD","!!!","")</f>
        <v/>
      </c>
      <c r="F4430" s="23" t="str">
        <f>IF(OR(E4430="",E4430="!!!"),"",IF(NOT(ISNA(VLOOKUP(E4430,E$1:E4429,1,FALSE()))),"OLD",IF(AND(E4430&lt;&gt;"",E4430&lt;&gt;"!!!"),"NEW","")))</f>
        <v> </v>
      </c>
      <c r="G4430" s="24" t="str">
        <f>IF(OR(E4430="",E4430="!!!"),"",IF(OR(J4430=0,AND(J4430=1,K4430=1),AND(J4430=1,I4430="SBJ"),AND(J4430=1,I4430=0)),"?IN_FOCUS",IF(J4430&lt;=2,"?ACTIVATED",IF(J4430&lt;&gt;"","?FAMILIAR",IF(F4430="NEW",IF(ISNA(VLOOKUP(E4430,#REF!,1,FALSE())),"?TYPE_IDENTIFIABLE","?REFERENTIAL"),"_")))))</f>
        <v> </v>
      </c>
      <c r="H4430" s="25" t="str">
        <f>IF(J4430&lt;&gt;1,"",IF(I4430="SBJ","CB","?"))</f>
        <v> </v>
      </c>
      <c r="I4430" s="26" t="str">
        <f>IF(OR(E4430="",E4430="!!!",F4430="NEW"),"",INDEX(B4429:B$2,-1+SUMPRODUCT(MAX(ROW(E4429:E$2)*(E4430=E4429:E$2)))))</f>
        <v> </v>
      </c>
      <c r="J4430" s="26" t="str">
        <f>IF(OR(E4430="",E4430="!!!",F4430="NEW"),"",COUNTBLANK(OFFSET(A$1,,,SUMPRODUCT(MAX(ROW(E$2:E4430)*(E4430=E$2:E4430)))))-COUNTBLANK(OFFSET(A$1,,,SUMPRODUCT(MAX(ROW(E$1:E4429)*(E2=E$1:E4429))))))</f>
        <v> </v>
      </c>
      <c r="K4430" s="26" t="str">
        <f>IF(OR(E4430="",E4430="!!!",F4430="NEW"),"",INDEX(J$1:J4429,SUMPRODUCT(MAX(ROW(E$1:E4429)*(E4430=E$1:E4429)))))</f>
        <v> </v>
      </c>
      <c r="L4430" s="27"/>
    </row>
    <row r="4431" spans="1:12">
      <c r="A4431" s="20"/>
    </row>
    <row r="4432" spans="1:12">
      <c r="A4432" s="20" t="s">
        <v>2413</v>
      </c>
    </row>
    <row r="4433" spans="1:12">
      <c r="A4433" s="20" t="s">
        <v>198</v>
      </c>
      <c r="B4433" s="21" t="s">
        <v>1161</v>
      </c>
      <c r="C4433" s="21" t="s">
        <v>1143</v>
      </c>
      <c r="D4433" s="21" t="s">
        <v>1144</v>
      </c>
      <c r="E4433" s="22">
        <f>IF(D4433="?OLD","!!!","")</f>
        <v/>
      </c>
      <c r="F4433" s="23" t="str">
        <f>IF(OR(E4433="",E4433="!!!"),"",IF(NOT(ISNA(VLOOKUP(E4433,E$1:E4432,1,FALSE()))),"OLD",IF(AND(E4433&lt;&gt;"",E4433&lt;&gt;"!!!"),"NEW","")))</f>
        <v> </v>
      </c>
      <c r="G4433" s="24" t="str">
        <f>IF(OR(E4433="",E4433="!!!"),"",IF(OR(J4433=0,AND(J4433=1,K4433=1),AND(J4433=1,I4433="SBJ"),AND(J4433=1,I4433=0)),"?IN_FOCUS",IF(J4433&lt;=2,"?ACTIVATED",IF(J4433&lt;&gt;"","?FAMILIAR",IF(F4433="NEW",IF(ISNA(VLOOKUP(E4433,#REF!,1,FALSE())),"?TYPE_IDENTIFIABLE","?REFERENTIAL"),"_")))))</f>
        <v> </v>
      </c>
      <c r="H4433" s="25" t="str">
        <f>IF(J4433&lt;&gt;1,"",IF(I4433="SBJ","CB","?"))</f>
        <v> </v>
      </c>
      <c r="I4433" s="26" t="str">
        <f>IF(OR(E4433="",E4433="!!!",F4433="NEW"),"",INDEX(B4432:B$2,-1+SUMPRODUCT(MAX(ROW(E4432:E$2)*(E4433=E4432:E$2)))))</f>
        <v> </v>
      </c>
      <c r="J4433" s="26" t="str">
        <f>IF(OR(E4433="",E4433="!!!",F4433="NEW"),"",COUNTBLANK(OFFSET(A$1,,,SUMPRODUCT(MAX(ROW(E$2:E4433)*(E4433=E$2:E4433)))))-COUNTBLANK(OFFSET(A$1,,,SUMPRODUCT(MAX(ROW(E$1:E4432)*(E2=E$1:E4432))))))</f>
        <v> </v>
      </c>
      <c r="K4433" s="26" t="str">
        <f>IF(OR(E4433="",E4433="!!!",F4433="NEW"),"",INDEX(J$1:J4432,SUMPRODUCT(MAX(ROW(E$1:E4432)*(E4433=E$1:E4432)))))</f>
        <v> </v>
      </c>
      <c r="L4433" s="27"/>
    </row>
    <row r="4434" spans="1:12">
      <c r="A4434" s="20" t="s">
        <v>1146</v>
      </c>
      <c r="E4434" s="22">
        <f>IF(D4434="?OLD","!!!","")</f>
        <v/>
      </c>
      <c r="F4434" s="23" t="str">
        <f>IF(OR(E4434="",E4434="!!!"),"",IF(NOT(ISNA(VLOOKUP(E4434,E$1:E4433,1,FALSE()))),"OLD",IF(AND(E4434&lt;&gt;"",E4434&lt;&gt;"!!!"),"NEW","")))</f>
        <v> </v>
      </c>
      <c r="G4434" s="24" t="str">
        <f>IF(OR(E4434="",E4434="!!!"),"",IF(OR(J4434=0,AND(J4434=1,K4434=1),AND(J4434=1,I4434="SBJ"),AND(J4434=1,I4434=0)),"?IN_FOCUS",IF(J4434&lt;=2,"?ACTIVATED",IF(J4434&lt;&gt;"","?FAMILIAR",IF(F4434="NEW",IF(ISNA(VLOOKUP(E4434,#REF!,1,FALSE())),"?TYPE_IDENTIFIABLE","?REFERENTIAL"),"_")))))</f>
        <v> </v>
      </c>
      <c r="H4434" s="25" t="str">
        <f>IF(J4434&lt;&gt;1,"",IF(I4434="SBJ","CB","?"))</f>
        <v> </v>
      </c>
      <c r="I4434" s="26" t="str">
        <f>IF(OR(E4434="",E4434="!!!",F4434="NEW"),"",INDEX(B4433:B$2,-1+SUMPRODUCT(MAX(ROW(E4433:E$2)*(E4434=E4433:E$2)))))</f>
        <v> </v>
      </c>
      <c r="J4434" s="26" t="str">
        <f>IF(OR(E4434="",E4434="!!!",F4434="NEW"),"",COUNTBLANK(OFFSET(A$1,,,SUMPRODUCT(MAX(ROW(E$2:E4434)*(E4434=E$2:E4434)))))-COUNTBLANK(OFFSET(A$1,,,SUMPRODUCT(MAX(ROW(E$1:E4433)*(E2=E$1:E4433))))))</f>
        <v> </v>
      </c>
      <c r="K4434" s="26" t="str">
        <f>IF(OR(E4434="",E4434="!!!",F4434="NEW"),"",INDEX(J$1:J4433,SUMPRODUCT(MAX(ROW(E$1:E4433)*(E4434=E$1:E4433)))))</f>
        <v> </v>
      </c>
      <c r="L4434" s="27"/>
    </row>
    <row r="4435" spans="1:12">
      <c r="A4435" s="20" t="s">
        <v>1189</v>
      </c>
      <c r="B4435" s="21" t="s">
        <v>1142</v>
      </c>
      <c r="C4435" s="21" t="s">
        <v>1151</v>
      </c>
      <c r="D4435" s="21" t="s">
        <v>1144</v>
      </c>
      <c r="E4435" s="22">
        <f>IF(D4435="?OLD","!!!","")</f>
        <v/>
      </c>
      <c r="F4435" s="23" t="str">
        <f>IF(OR(E4435="",E4435="!!!"),"",IF(NOT(ISNA(VLOOKUP(E4435,E$1:E4434,1,FALSE()))),"OLD",IF(AND(E4435&lt;&gt;"",E4435&lt;&gt;"!!!"),"NEW","")))</f>
        <v> </v>
      </c>
      <c r="G4435" s="24" t="str">
        <f>IF(OR(E4435="",E4435="!!!"),"",IF(OR(J4435=0,AND(J4435=1,K4435=1),AND(J4435=1,I4435="SBJ"),AND(J4435=1,I4435=0)),"?IN_FOCUS",IF(J4435&lt;=2,"?ACTIVATED",IF(J4435&lt;&gt;"","?FAMILIAR",IF(F4435="NEW",IF(ISNA(VLOOKUP(E4435,#REF!,1,FALSE())),"?TYPE_IDENTIFIABLE","?REFERENTIAL"),"_")))))</f>
        <v> </v>
      </c>
      <c r="H4435" s="25" t="str">
        <f>IF(J4435&lt;&gt;1,"",IF(I4435="SBJ","CB","?"))</f>
        <v> </v>
      </c>
      <c r="I4435" s="26" t="str">
        <f>IF(OR(E4435="",E4435="!!!",F4435="NEW"),"",INDEX(B4434:B$2,-1+SUMPRODUCT(MAX(ROW(E4434:E$2)*(E4435=E4434:E$2)))))</f>
        <v> </v>
      </c>
      <c r="J4435" s="26" t="str">
        <f>IF(OR(E4435="",E4435="!!!",F4435="NEW"),"",COUNTBLANK(OFFSET(A$1,,,SUMPRODUCT(MAX(ROW(E$2:E4435)*(E4435=E$2:E4435)))))-COUNTBLANK(OFFSET(A$1,,,SUMPRODUCT(MAX(ROW(E$1:E4434)*(E2=E$1:E4434))))))</f>
        <v> </v>
      </c>
      <c r="K4435" s="26" t="str">
        <f>IF(OR(E4435="",E4435="!!!",F4435="NEW"),"",INDEX(J$1:J4434,SUMPRODUCT(MAX(ROW(E$1:E4434)*(E4435=E$1:E4434)))))</f>
        <v> </v>
      </c>
      <c r="L4435" s="27"/>
    </row>
    <row r="4436" spans="1:12">
      <c r="A4436" s="20" t="s">
        <v>2414</v>
      </c>
      <c r="E4436" s="22">
        <f>IF(D4436="?OLD","!!!","")</f>
        <v/>
      </c>
      <c r="F4436" s="23" t="str">
        <f>IF(OR(E4436="",E4436="!!!"),"",IF(NOT(ISNA(VLOOKUP(E4436,E$1:E4435,1,FALSE()))),"OLD",IF(AND(E4436&lt;&gt;"",E4436&lt;&gt;"!!!"),"NEW","")))</f>
        <v> </v>
      </c>
      <c r="G4436" s="24" t="str">
        <f>IF(OR(E4436="",E4436="!!!"),"",IF(OR(J4436=0,AND(J4436=1,K4436=1),AND(J4436=1,I4436="SBJ"),AND(J4436=1,I4436=0)),"?IN_FOCUS",IF(J4436&lt;=2,"?ACTIVATED",IF(J4436&lt;&gt;"","?FAMILIAR",IF(F4436="NEW",IF(ISNA(VLOOKUP(E4436,#REF!,1,FALSE())),"?TYPE_IDENTIFIABLE","?REFERENTIAL"),"_")))))</f>
        <v> </v>
      </c>
      <c r="H4436" s="25" t="str">
        <f>IF(J4436&lt;&gt;1,"",IF(I4436="SBJ","CB","?"))</f>
        <v> </v>
      </c>
      <c r="I4436" s="26" t="str">
        <f>IF(OR(E4436="",E4436="!!!",F4436="NEW"),"",INDEX(B4435:B$2,-1+SUMPRODUCT(MAX(ROW(E4435:E$2)*(E4436=E4435:E$2)))))</f>
        <v> </v>
      </c>
      <c r="J4436" s="26" t="str">
        <f>IF(OR(E4436="",E4436="!!!",F4436="NEW"),"",COUNTBLANK(OFFSET(A$1,,,SUMPRODUCT(MAX(ROW(E$2:E4436)*(E4436=E$2:E4436)))))-COUNTBLANK(OFFSET(A$1,,,SUMPRODUCT(MAX(ROW(E$1:E4435)*(E2=E$1:E4435))))))</f>
        <v> </v>
      </c>
      <c r="K4436" s="26" t="str">
        <f>IF(OR(E4436="",E4436="!!!",F4436="NEW"),"",INDEX(J$1:J4435,SUMPRODUCT(MAX(ROW(E$1:E4435)*(E4436=E$1:E4435)))))</f>
        <v> </v>
      </c>
      <c r="L4436" s="27"/>
    </row>
    <row r="4437" spans="1:12">
      <c r="A4437" s="20" t="s">
        <v>2415</v>
      </c>
      <c r="B4437" s="21" t="s">
        <v>1154</v>
      </c>
      <c r="C4437" s="21" t="s">
        <v>2416</v>
      </c>
      <c r="D4437" s="21" t="s">
        <v>1144</v>
      </c>
      <c r="E4437" s="22">
        <f>IF(D4437="?OLD","!!!","")</f>
        <v/>
      </c>
      <c r="F4437" s="23" t="str">
        <f>IF(OR(E4437="",E4437="!!!"),"",IF(NOT(ISNA(VLOOKUP(E4437,E$1:E4436,1,FALSE()))),"OLD",IF(AND(E4437&lt;&gt;"",E4437&lt;&gt;"!!!"),"NEW","")))</f>
        <v> </v>
      </c>
      <c r="G4437" s="24" t="str">
        <f>IF(OR(E4437="",E4437="!!!"),"",IF(OR(J4437=0,AND(J4437=1,K4437=1),AND(J4437=1,I4437="SBJ"),AND(J4437=1,I4437=0)),"?IN_FOCUS",IF(J4437&lt;=2,"?ACTIVATED",IF(J4437&lt;&gt;"","?FAMILIAR",IF(F4437="NEW",IF(ISNA(VLOOKUP(E4437,#REF!,1,FALSE())),"?TYPE_IDENTIFIABLE","?REFERENTIAL"),"_")))))</f>
        <v> </v>
      </c>
      <c r="H4437" s="25" t="str">
        <f>IF(J4437&lt;&gt;1,"",IF(I4437="SBJ","CB","?"))</f>
        <v> </v>
      </c>
      <c r="I4437" s="26" t="str">
        <f>IF(OR(E4437="",E4437="!!!",F4437="NEW"),"",INDEX(B4436:B$2,-1+SUMPRODUCT(MAX(ROW(E4436:E$2)*(E4437=E4436:E$2)))))</f>
        <v> </v>
      </c>
      <c r="J4437" s="26" t="str">
        <f>IF(OR(E4437="",E4437="!!!",F4437="NEW"),"",COUNTBLANK(OFFSET(A$1,,,SUMPRODUCT(MAX(ROW(E$2:E4437)*(E4437=E$2:E4437)))))-COUNTBLANK(OFFSET(A$1,,,SUMPRODUCT(MAX(ROW(E$1:E4436)*(E2=E$1:E4436))))))</f>
        <v> </v>
      </c>
      <c r="K4437" s="26" t="str">
        <f>IF(OR(E4437="",E4437="!!!",F4437="NEW"),"",INDEX(J$1:J4436,SUMPRODUCT(MAX(ROW(E$1:E4436)*(E4437=E$1:E4436)))))</f>
        <v> </v>
      </c>
      <c r="L4437" s="27"/>
    </row>
    <row r="4438" spans="1:12">
      <c r="A4438" s="20" t="s">
        <v>1285</v>
      </c>
      <c r="E4438" s="22">
        <f>IF(D4438="?OLD","!!!","")</f>
        <v/>
      </c>
      <c r="F4438" s="23" t="str">
        <f>IF(OR(E4438="",E4438="!!!"),"",IF(NOT(ISNA(VLOOKUP(E4438,E$1:E4437,1,FALSE()))),"OLD",IF(AND(E4438&lt;&gt;"",E4438&lt;&gt;"!!!"),"NEW","")))</f>
        <v> </v>
      </c>
      <c r="G4438" s="24" t="str">
        <f>IF(OR(E4438="",E4438="!!!"),"",IF(OR(J4438=0,AND(J4438=1,K4438=1),AND(J4438=1,I4438="SBJ"),AND(J4438=1,I4438=0)),"?IN_FOCUS",IF(J4438&lt;=2,"?ACTIVATED",IF(J4438&lt;&gt;"","?FAMILIAR",IF(F4438="NEW",IF(ISNA(VLOOKUP(E4438,#REF!,1,FALSE())),"?TYPE_IDENTIFIABLE","?REFERENTIAL"),"_")))))</f>
        <v> </v>
      </c>
      <c r="H4438" s="25" t="str">
        <f>IF(J4438&lt;&gt;1,"",IF(I4438="SBJ","CB","?"))</f>
        <v> </v>
      </c>
      <c r="I4438" s="26" t="str">
        <f>IF(OR(E4438="",E4438="!!!",F4438="NEW"),"",INDEX(B4437:B$2,-1+SUMPRODUCT(MAX(ROW(E4437:E$2)*(E4438=E4437:E$2)))))</f>
        <v> </v>
      </c>
      <c r="J4438" s="26" t="str">
        <f>IF(OR(E4438="",E4438="!!!",F4438="NEW"),"",COUNTBLANK(OFFSET(A$1,,,SUMPRODUCT(MAX(ROW(E$2:E4438)*(E4438=E$2:E4438)))))-COUNTBLANK(OFFSET(A$1,,,SUMPRODUCT(MAX(ROW(E$1:E4437)*(E2=E$1:E4437))))))</f>
        <v> </v>
      </c>
      <c r="K4438" s="26" t="str">
        <f>IF(OR(E4438="",E4438="!!!",F4438="NEW"),"",INDEX(J$1:J4437,SUMPRODUCT(MAX(ROW(E$1:E4437)*(E4438=E$1:E4437)))))</f>
        <v> </v>
      </c>
      <c r="L4438" s="27"/>
    </row>
    <row r="4439" spans="1:12">
      <c r="A4439" s="20" t="s">
        <v>1689</v>
      </c>
      <c r="E4439" s="22">
        <f>IF(D4439="?OLD","!!!","")</f>
        <v/>
      </c>
      <c r="F4439" s="23" t="str">
        <f>IF(OR(E4439="",E4439="!!!"),"",IF(NOT(ISNA(VLOOKUP(E4439,E$1:E4438,1,FALSE()))),"OLD",IF(AND(E4439&lt;&gt;"",E4439&lt;&gt;"!!!"),"NEW","")))</f>
        <v> </v>
      </c>
      <c r="G4439" s="24" t="str">
        <f>IF(OR(E4439="",E4439="!!!"),"",IF(OR(J4439=0,AND(J4439=1,K4439=1),AND(J4439=1,I4439="SBJ"),AND(J4439=1,I4439=0)),"?IN_FOCUS",IF(J4439&lt;=2,"?ACTIVATED",IF(J4439&lt;&gt;"","?FAMILIAR",IF(F4439="NEW",IF(ISNA(VLOOKUP(E4439,#REF!,1,FALSE())),"?TYPE_IDENTIFIABLE","?REFERENTIAL"),"_")))))</f>
        <v> </v>
      </c>
      <c r="H4439" s="25" t="str">
        <f>IF(J4439&lt;&gt;1,"",IF(I4439="SBJ","CB","?"))</f>
        <v> </v>
      </c>
      <c r="I4439" s="26" t="str">
        <f>IF(OR(E4439="",E4439="!!!",F4439="NEW"),"",INDEX(B4438:B$2,-1+SUMPRODUCT(MAX(ROW(E4438:E$2)*(E4439=E4438:E$2)))))</f>
        <v> </v>
      </c>
      <c r="J4439" s="26" t="str">
        <f>IF(OR(E4439="",E4439="!!!",F4439="NEW"),"",COUNTBLANK(OFFSET(A$1,,,SUMPRODUCT(MAX(ROW(E$2:E4439)*(E4439=E$2:E4439)))))-COUNTBLANK(OFFSET(A$1,,,SUMPRODUCT(MAX(ROW(E$1:E4438)*(E2=E$1:E4438))))))</f>
        <v> </v>
      </c>
      <c r="K4439" s="26" t="str">
        <f>IF(OR(E4439="",E4439="!!!",F4439="NEW"),"",INDEX(J$1:J4438,SUMPRODUCT(MAX(ROW(E$1:E4438)*(E4439=E$1:E4438)))))</f>
        <v> </v>
      </c>
      <c r="L4439" s="27"/>
    </row>
    <row r="4440" spans="1:12">
      <c r="A4440" s="20" t="s">
        <v>1387</v>
      </c>
      <c r="E4440" s="22">
        <f>IF(D4440="?OLD","!!!","")</f>
        <v/>
      </c>
      <c r="F4440" s="23" t="str">
        <f>IF(OR(E4440="",E4440="!!!"),"",IF(NOT(ISNA(VLOOKUP(E4440,E$1:E4439,1,FALSE()))),"OLD",IF(AND(E4440&lt;&gt;"",E4440&lt;&gt;"!!!"),"NEW","")))</f>
        <v> </v>
      </c>
      <c r="G4440" s="24" t="str">
        <f>IF(OR(E4440="",E4440="!!!"),"",IF(OR(J4440=0,AND(J4440=1,K4440=1),AND(J4440=1,I4440="SBJ"),AND(J4440=1,I4440=0)),"?IN_FOCUS",IF(J4440&lt;=2,"?ACTIVATED",IF(J4440&lt;&gt;"","?FAMILIAR",IF(F4440="NEW",IF(ISNA(VLOOKUP(E4440,#REF!,1,FALSE())),"?TYPE_IDENTIFIABLE","?REFERENTIAL"),"_")))))</f>
        <v> </v>
      </c>
      <c r="H4440" s="25" t="str">
        <f>IF(J4440&lt;&gt;1,"",IF(I4440="SBJ","CB","?"))</f>
        <v> </v>
      </c>
      <c r="I4440" s="26" t="str">
        <f>IF(OR(E4440="",E4440="!!!",F4440="NEW"),"",INDEX(B4439:B$2,-1+SUMPRODUCT(MAX(ROW(E4439:E$2)*(E4440=E4439:E$2)))))</f>
        <v> </v>
      </c>
      <c r="J4440" s="26" t="str">
        <f>IF(OR(E4440="",E4440="!!!",F4440="NEW"),"",COUNTBLANK(OFFSET(A$1,,,SUMPRODUCT(MAX(ROW(E$2:E4440)*(E4440=E$2:E4440)))))-COUNTBLANK(OFFSET(A$1,,,SUMPRODUCT(MAX(ROW(E$1:E4439)*(E2=E$1:E4439))))))</f>
        <v> </v>
      </c>
      <c r="K4440" s="26" t="str">
        <f>IF(OR(E4440="",E4440="!!!",F4440="NEW"),"",INDEX(J$1:J4439,SUMPRODUCT(MAX(ROW(E$1:E4439)*(E4440=E$1:E4439)))))</f>
        <v> </v>
      </c>
      <c r="L4440" s="27"/>
    </row>
    <row r="4441" spans="1:12">
      <c r="A4441" s="20" t="s">
        <v>1525</v>
      </c>
      <c r="B4441" s="21" t="s">
        <v>1147</v>
      </c>
      <c r="C4441" s="21" t="s">
        <v>1232</v>
      </c>
      <c r="D4441" s="21" t="s">
        <v>1144</v>
      </c>
      <c r="E4441" s="22">
        <f>IF(D4441="?OLD","!!!","")</f>
        <v/>
      </c>
      <c r="F4441" s="23" t="str">
        <f>IF(OR(E4441="",E4441="!!!"),"",IF(NOT(ISNA(VLOOKUP(E4441,E$1:E4440,1,FALSE()))),"OLD",IF(AND(E4441&lt;&gt;"",E4441&lt;&gt;"!!!"),"NEW","")))</f>
        <v> </v>
      </c>
      <c r="G4441" s="24" t="str">
        <f>IF(OR(E4441="",E4441="!!!"),"",IF(OR(J4441=0,AND(J4441=1,K4441=1),AND(J4441=1,I4441="SBJ"),AND(J4441=1,I4441=0)),"?IN_FOCUS",IF(J4441&lt;=2,"?ACTIVATED",IF(J4441&lt;&gt;"","?FAMILIAR",IF(F4441="NEW",IF(ISNA(VLOOKUP(E4441,#REF!,1,FALSE())),"?TYPE_IDENTIFIABLE","?REFERENTIAL"),"_")))))</f>
        <v> </v>
      </c>
      <c r="H4441" s="25" t="str">
        <f>IF(J4441&lt;&gt;1,"",IF(I4441="SBJ","CB","?"))</f>
        <v> </v>
      </c>
      <c r="I4441" s="26" t="str">
        <f>IF(OR(E4441="",E4441="!!!",F4441="NEW"),"",INDEX(B4440:B$2,-1+SUMPRODUCT(MAX(ROW(E4440:E$2)*(E4441=E4440:E$2)))))</f>
        <v> </v>
      </c>
      <c r="J4441" s="26" t="str">
        <f>IF(OR(E4441="",E4441="!!!",F4441="NEW"),"",COUNTBLANK(OFFSET(A$1,,,SUMPRODUCT(MAX(ROW(E$2:E4441)*(E4441=E$2:E4441)))))-COUNTBLANK(OFFSET(A$1,,,SUMPRODUCT(MAX(ROW(E$1:E4440)*(E2=E$1:E4440))))))</f>
        <v> </v>
      </c>
      <c r="K4441" s="26" t="str">
        <f>IF(OR(E4441="",E4441="!!!",F4441="NEW"),"",INDEX(J$1:J4440,SUMPRODUCT(MAX(ROW(E$1:E4440)*(E4441=E$1:E4440)))))</f>
        <v> </v>
      </c>
      <c r="L4441" s="27"/>
    </row>
    <row r="4442" spans="1:12">
      <c r="A4442" s="20" t="s">
        <v>42</v>
      </c>
      <c r="B4442" s="21" t="s">
        <v>1171</v>
      </c>
      <c r="C4442" s="21" t="s">
        <v>1234</v>
      </c>
      <c r="D4442" s="21" t="s">
        <v>1144</v>
      </c>
      <c r="E4442" s="22">
        <f>IF(D4442="?OLD","!!!","")</f>
        <v/>
      </c>
      <c r="F4442" s="23" t="str">
        <f>IF(OR(E4442="",E4442="!!!"),"",IF(NOT(ISNA(VLOOKUP(E4442,E$1:E4441,1,FALSE()))),"OLD",IF(AND(E4442&lt;&gt;"",E4442&lt;&gt;"!!!"),"NEW","")))</f>
        <v> </v>
      </c>
      <c r="G4442" s="24" t="str">
        <f>IF(OR(E4442="",E4442="!!!"),"",IF(OR(J4442=0,AND(J4442=1,K4442=1),AND(J4442=1,I4442="SBJ"),AND(J4442=1,I4442=0)),"?IN_FOCUS",IF(J4442&lt;=2,"?ACTIVATED",IF(J4442&lt;&gt;"","?FAMILIAR",IF(F4442="NEW",IF(ISNA(VLOOKUP(E4442,#REF!,1,FALSE())),"?TYPE_IDENTIFIABLE","?REFERENTIAL"),"_")))))</f>
        <v> </v>
      </c>
      <c r="H4442" s="25" t="str">
        <f>IF(J4442&lt;&gt;1,"",IF(I4442="SBJ","CB","?"))</f>
        <v> </v>
      </c>
      <c r="I4442" s="26" t="str">
        <f>IF(OR(E4442="",E4442="!!!",F4442="NEW"),"",INDEX(B4441:B$2,-1+SUMPRODUCT(MAX(ROW(E4441:E$2)*(E4442=E4441:E$2)))))</f>
        <v> </v>
      </c>
      <c r="J4442" s="26" t="str">
        <f>IF(OR(E4442="",E4442="!!!",F4442="NEW"),"",COUNTBLANK(OFFSET(A$1,,,SUMPRODUCT(MAX(ROW(E$2:E4442)*(E4442=E$2:E4442)))))-COUNTBLANK(OFFSET(A$1,,,SUMPRODUCT(MAX(ROW(E$1:E4441)*(E2=E$1:E4441))))))</f>
        <v> </v>
      </c>
      <c r="K4442" s="26" t="str">
        <f>IF(OR(E4442="",E4442="!!!",F4442="NEW"),"",INDEX(J$1:J4441,SUMPRODUCT(MAX(ROW(E$1:E4441)*(E4442=E$1:E4441)))))</f>
        <v> </v>
      </c>
      <c r="L4442" s="27"/>
    </row>
    <row r="4443" spans="1:12">
      <c r="A4443" s="20" t="s">
        <v>1146</v>
      </c>
      <c r="E4443" s="22">
        <f>IF(D4443="?OLD","!!!","")</f>
        <v/>
      </c>
      <c r="F4443" s="23" t="str">
        <f>IF(OR(E4443="",E4443="!!!"),"",IF(NOT(ISNA(VLOOKUP(E4443,E$1:E4442,1,FALSE()))),"OLD",IF(AND(E4443&lt;&gt;"",E4443&lt;&gt;"!!!"),"NEW","")))</f>
        <v> </v>
      </c>
      <c r="G4443" s="24" t="str">
        <f>IF(OR(E4443="",E4443="!!!"),"",IF(OR(J4443=0,AND(J4443=1,K4443=1),AND(J4443=1,I4443="SBJ"),AND(J4443=1,I4443=0)),"?IN_FOCUS",IF(J4443&lt;=2,"?ACTIVATED",IF(J4443&lt;&gt;"","?FAMILIAR",IF(F4443="NEW",IF(ISNA(VLOOKUP(E4443,#REF!,1,FALSE())),"?TYPE_IDENTIFIABLE","?REFERENTIAL"),"_")))))</f>
        <v> </v>
      </c>
      <c r="H4443" s="25" t="str">
        <f>IF(J4443&lt;&gt;1,"",IF(I4443="SBJ","CB","?"))</f>
        <v> </v>
      </c>
      <c r="I4443" s="26" t="str">
        <f>IF(OR(E4443="",E4443="!!!",F4443="NEW"),"",INDEX(B4442:B$2,-1+SUMPRODUCT(MAX(ROW(E4442:E$2)*(E4443=E4442:E$2)))))</f>
        <v> </v>
      </c>
      <c r="J4443" s="26" t="str">
        <f>IF(OR(E4443="",E4443="!!!",F4443="NEW"),"",COUNTBLANK(OFFSET(A$1,,,SUMPRODUCT(MAX(ROW(E$2:E4443)*(E4443=E$2:E4443)))))-COUNTBLANK(OFFSET(A$1,,,SUMPRODUCT(MAX(ROW(E$1:E4442)*(E2=E$1:E4442))))))</f>
        <v> </v>
      </c>
      <c r="K4443" s="26" t="str">
        <f>IF(OR(E4443="",E4443="!!!",F4443="NEW"),"",INDEX(J$1:J4442,SUMPRODUCT(MAX(ROW(E$1:E4442)*(E4443=E$1:E4442)))))</f>
        <v> </v>
      </c>
      <c r="L4443" s="27"/>
    </row>
    <row r="4444" spans="1:12">
      <c r="A4444" s="20" t="s">
        <v>2417</v>
      </c>
      <c r="B4444" s="21" t="s">
        <v>1181</v>
      </c>
      <c r="C4444" s="21" t="s">
        <v>1168</v>
      </c>
      <c r="D4444" s="21" t="s">
        <v>1144</v>
      </c>
      <c r="E4444" s="22">
        <f>IF(D4444="?OLD","!!!","")</f>
        <v/>
      </c>
      <c r="F4444" s="23" t="str">
        <f>IF(OR(E4444="",E4444="!!!"),"",IF(NOT(ISNA(VLOOKUP(E4444,E$1:E4443,1,FALSE()))),"OLD",IF(AND(E4444&lt;&gt;"",E4444&lt;&gt;"!!!"),"NEW","")))</f>
        <v> </v>
      </c>
      <c r="G4444" s="24" t="str">
        <f>IF(OR(E4444="",E4444="!!!"),"",IF(OR(J4444=0,AND(J4444=1,K4444=1),AND(J4444=1,I4444="SBJ"),AND(J4444=1,I4444=0)),"?IN_FOCUS",IF(J4444&lt;=2,"?ACTIVATED",IF(J4444&lt;&gt;"","?FAMILIAR",IF(F4444="NEW",IF(ISNA(VLOOKUP(E4444,#REF!,1,FALSE())),"?TYPE_IDENTIFIABLE","?REFERENTIAL"),"_")))))</f>
        <v> </v>
      </c>
      <c r="H4444" s="25" t="str">
        <f>IF(J4444&lt;&gt;1,"",IF(I4444="SBJ","CB","?"))</f>
        <v> </v>
      </c>
      <c r="I4444" s="26" t="str">
        <f>IF(OR(E4444="",E4444="!!!",F4444="NEW"),"",INDEX(B4443:B$2,-1+SUMPRODUCT(MAX(ROW(E4443:E$2)*(E4444=E4443:E$2)))))</f>
        <v> </v>
      </c>
      <c r="J4444" s="26" t="str">
        <f>IF(OR(E4444="",E4444="!!!",F4444="NEW"),"",COUNTBLANK(OFFSET(A$1,,,SUMPRODUCT(MAX(ROW(E$2:E4444)*(E4444=E$2:E4444)))))-COUNTBLANK(OFFSET(A$1,,,SUMPRODUCT(MAX(ROW(E$1:E4443)*(E2=E$1:E4443))))))</f>
        <v> </v>
      </c>
      <c r="K4444" s="26" t="str">
        <f>IF(OR(E4444="",E4444="!!!",F4444="NEW"),"",INDEX(J$1:J4443,SUMPRODUCT(MAX(ROW(E$1:E4443)*(E4444=E$1:E4443)))))</f>
        <v> </v>
      </c>
      <c r="L4444" s="27"/>
    </row>
    <row r="4445" spans="1:12">
      <c r="A4445" s="20" t="s">
        <v>2418</v>
      </c>
      <c r="B4445" s="21" t="s">
        <v>1147</v>
      </c>
      <c r="C4445" s="21" t="s">
        <v>2416</v>
      </c>
      <c r="D4445" s="21" t="s">
        <v>1144</v>
      </c>
      <c r="E4445" s="22">
        <f>IF(D4445="?OLD","!!!","")</f>
        <v/>
      </c>
      <c r="F4445" s="23" t="str">
        <f>IF(OR(E4445="",E4445="!!!"),"",IF(NOT(ISNA(VLOOKUP(E4445,E$1:E4444,1,FALSE()))),"OLD",IF(AND(E4445&lt;&gt;"",E4445&lt;&gt;"!!!"),"NEW","")))</f>
        <v> </v>
      </c>
      <c r="G4445" s="24" t="str">
        <f>IF(OR(E4445="",E4445="!!!"),"",IF(OR(J4445=0,AND(J4445=1,K4445=1),AND(J4445=1,I4445="SBJ"),AND(J4445=1,I4445=0)),"?IN_FOCUS",IF(J4445&lt;=2,"?ACTIVATED",IF(J4445&lt;&gt;"","?FAMILIAR",IF(F4445="NEW",IF(ISNA(VLOOKUP(E4445,#REF!,1,FALSE())),"?TYPE_IDENTIFIABLE","?REFERENTIAL"),"_")))))</f>
        <v> </v>
      </c>
      <c r="H4445" s="25" t="str">
        <f>IF(J4445&lt;&gt;1,"",IF(I4445="SBJ","CB","?"))</f>
        <v> </v>
      </c>
      <c r="I4445" s="26" t="str">
        <f>IF(OR(E4445="",E4445="!!!",F4445="NEW"),"",INDEX(B4444:B$2,-1+SUMPRODUCT(MAX(ROW(E4444:E$2)*(E4445=E4444:E$2)))))</f>
        <v> </v>
      </c>
      <c r="J4445" s="26" t="str">
        <f>IF(OR(E4445="",E4445="!!!",F4445="NEW"),"",COUNTBLANK(OFFSET(A$1,,,SUMPRODUCT(MAX(ROW(E$2:E4445)*(E4445=E$2:E4445)))))-COUNTBLANK(OFFSET(A$1,,,SUMPRODUCT(MAX(ROW(E$1:E4444)*(E2=E$1:E4444))))))</f>
        <v> </v>
      </c>
      <c r="K4445" s="26" t="str">
        <f>IF(OR(E4445="",E4445="!!!",F4445="NEW"),"",INDEX(J$1:J4444,SUMPRODUCT(MAX(ROW(E$1:E4444)*(E4445=E$1:E4444)))))</f>
        <v> </v>
      </c>
      <c r="L4445" s="27"/>
    </row>
    <row r="4446" spans="1:12">
      <c r="A4446" s="20" t="s">
        <v>1166</v>
      </c>
      <c r="E4446" s="22">
        <f>IF(D4446="?OLD","!!!","")</f>
        <v/>
      </c>
      <c r="F4446" s="23" t="str">
        <f>IF(OR(E4446="",E4446="!!!"),"",IF(NOT(ISNA(VLOOKUP(E4446,E$1:E4445,1,FALSE()))),"OLD",IF(AND(E4446&lt;&gt;"",E4446&lt;&gt;"!!!"),"NEW","")))</f>
        <v> </v>
      </c>
      <c r="G4446" s="24" t="str">
        <f>IF(OR(E4446="",E4446="!!!"),"",IF(OR(J4446=0,AND(J4446=1,K4446=1),AND(J4446=1,I4446="SBJ"),AND(J4446=1,I4446=0)),"?IN_FOCUS",IF(J4446&lt;=2,"?ACTIVATED",IF(J4446&lt;&gt;"","?FAMILIAR",IF(F4446="NEW",IF(ISNA(VLOOKUP(E4446,#REF!,1,FALSE())),"?TYPE_IDENTIFIABLE","?REFERENTIAL"),"_")))))</f>
        <v> </v>
      </c>
      <c r="H4446" s="25" t="str">
        <f>IF(J4446&lt;&gt;1,"",IF(I4446="SBJ","CB","?"))</f>
        <v> </v>
      </c>
      <c r="I4446" s="26" t="str">
        <f>IF(OR(E4446="",E4446="!!!",F4446="NEW"),"",INDEX(B4445:B$2,-1+SUMPRODUCT(MAX(ROW(E4445:E$2)*(E4446=E4445:E$2)))))</f>
        <v> </v>
      </c>
      <c r="J4446" s="26" t="str">
        <f>IF(OR(E4446="",E4446="!!!",F4446="NEW"),"",COUNTBLANK(OFFSET(A$1,,,SUMPRODUCT(MAX(ROW(E$2:E4446)*(E4446=E$2:E4446)))))-COUNTBLANK(OFFSET(A$1,,,SUMPRODUCT(MAX(ROW(E$1:E4445)*(E2=E$1:E4445))))))</f>
        <v> </v>
      </c>
      <c r="K4446" s="26" t="str">
        <f>IF(OR(E4446="",E4446="!!!",F4446="NEW"),"",INDEX(J$1:J4445,SUMPRODUCT(MAX(ROW(E$1:E4445)*(E4446=E$1:E4445)))))</f>
        <v> </v>
      </c>
      <c r="L4446" s="27"/>
    </row>
    <row r="4447" spans="1:12">
      <c r="A4447" s="20" t="s">
        <v>1959</v>
      </c>
      <c r="B4447" s="21" t="s">
        <v>1242</v>
      </c>
      <c r="C4447" s="21" t="s">
        <v>1168</v>
      </c>
      <c r="D4447" s="21" t="s">
        <v>1144</v>
      </c>
      <c r="E4447" s="22">
        <f>IF(D4447="?OLD","!!!","")</f>
        <v/>
      </c>
      <c r="F4447" s="23" t="str">
        <f>IF(OR(E4447="",E4447="!!!"),"",IF(NOT(ISNA(VLOOKUP(E4447,E$1:E4446,1,FALSE()))),"OLD",IF(AND(E4447&lt;&gt;"",E4447&lt;&gt;"!!!"),"NEW","")))</f>
        <v> </v>
      </c>
      <c r="G4447" s="24" t="str">
        <f>IF(OR(E4447="",E4447="!!!"),"",IF(OR(J4447=0,AND(J4447=1,K4447=1),AND(J4447=1,I4447="SBJ"),AND(J4447=1,I4447=0)),"?IN_FOCUS",IF(J4447&lt;=2,"?ACTIVATED",IF(J4447&lt;&gt;"","?FAMILIAR",IF(F4447="NEW",IF(ISNA(VLOOKUP(E4447,#REF!,1,FALSE())),"?TYPE_IDENTIFIABLE","?REFERENTIAL"),"_")))))</f>
        <v> </v>
      </c>
      <c r="H4447" s="25" t="str">
        <f>IF(J4447&lt;&gt;1,"",IF(I4447="SBJ","CB","?"))</f>
        <v> </v>
      </c>
      <c r="I4447" s="26" t="str">
        <f>IF(OR(E4447="",E4447="!!!",F4447="NEW"),"",INDEX(B4446:B$2,-1+SUMPRODUCT(MAX(ROW(E4446:E$2)*(E4447=E4446:E$2)))))</f>
        <v> </v>
      </c>
      <c r="J4447" s="26" t="str">
        <f>IF(OR(E4447="",E4447="!!!",F4447="NEW"),"",COUNTBLANK(OFFSET(A$1,,,SUMPRODUCT(MAX(ROW(E$2:E4447)*(E4447=E$2:E4447)))))-COUNTBLANK(OFFSET(A$1,,,SUMPRODUCT(MAX(ROW(E$1:E4446)*(E2=E$1:E4446))))))</f>
        <v> </v>
      </c>
      <c r="K4447" s="26" t="str">
        <f>IF(OR(E4447="",E4447="!!!",F4447="NEW"),"",INDEX(J$1:J4446,SUMPRODUCT(MAX(ROW(E$1:E4446)*(E4447=E$1:E4446)))))</f>
        <v> </v>
      </c>
      <c r="L4447" s="27"/>
    </row>
    <row r="4448" spans="1:12">
      <c r="A4448" s="20" t="s">
        <v>2419</v>
      </c>
      <c r="B4448" s="21" t="s">
        <v>1199</v>
      </c>
      <c r="C4448" s="21" t="s">
        <v>1187</v>
      </c>
      <c r="E4448" s="22">
        <f>IF(D4448="?OLD","!!!","")</f>
        <v/>
      </c>
      <c r="F4448" s="23" t="str">
        <f>IF(OR(E4448="",E4448="!!!"),"",IF(NOT(ISNA(VLOOKUP(E4448,E$1:E4447,1,FALSE()))),"OLD",IF(AND(E4448&lt;&gt;"",E4448&lt;&gt;"!!!"),"NEW","")))</f>
        <v> </v>
      </c>
      <c r="G4448" s="24" t="str">
        <f>IF(OR(E4448="",E4448="!!!"),"",IF(OR(J4448=0,AND(J4448=1,K4448=1),AND(J4448=1,I4448="SBJ"),AND(J4448=1,I4448=0)),"?IN_FOCUS",IF(J4448&lt;=2,"?ACTIVATED",IF(J4448&lt;&gt;"","?FAMILIAR",IF(F4448="NEW",IF(ISNA(VLOOKUP(E4448,#REF!,1,FALSE())),"?TYPE_IDENTIFIABLE","?REFERENTIAL"),"_")))))</f>
        <v> </v>
      </c>
      <c r="H4448" s="25" t="str">
        <f>IF(J4448&lt;&gt;1,"",IF(I4448="SBJ","CB","?"))</f>
        <v> </v>
      </c>
      <c r="I4448" s="26" t="str">
        <f>IF(OR(E4448="",E4448="!!!",F4448="NEW"),"",INDEX(B4447:B$2,-1+SUMPRODUCT(MAX(ROW(E4447:E$2)*(E4448=E4447:E$2)))))</f>
        <v> </v>
      </c>
      <c r="J4448" s="26" t="str">
        <f>IF(OR(E4448="",E4448="!!!",F4448="NEW"),"",COUNTBLANK(OFFSET(A$1,,,SUMPRODUCT(MAX(ROW(E$2:E4448)*(E4448=E$2:E4448)))))-COUNTBLANK(OFFSET(A$1,,,SUMPRODUCT(MAX(ROW(E$1:E4447)*(E2=E$1:E4447))))))</f>
        <v> </v>
      </c>
      <c r="K4448" s="26" t="str">
        <f>IF(OR(E4448="",E4448="!!!",F4448="NEW"),"",INDEX(J$1:J4447,SUMPRODUCT(MAX(ROW(E$1:E4447)*(E4448=E$1:E4447)))))</f>
        <v> </v>
      </c>
      <c r="L4448" s="27"/>
    </row>
    <row r="4449" spans="1:12">
      <c r="A4449" s="20" t="s">
        <v>1148</v>
      </c>
      <c r="E4449" s="22">
        <f>IF(D4449="?OLD","!!!","")</f>
        <v/>
      </c>
      <c r="F4449" s="23" t="str">
        <f>IF(OR(E4449="",E4449="!!!"),"",IF(NOT(ISNA(VLOOKUP(E4449,E$1:E4448,1,FALSE()))),"OLD",IF(AND(E4449&lt;&gt;"",E4449&lt;&gt;"!!!"),"NEW","")))</f>
        <v> </v>
      </c>
      <c r="G4449" s="24" t="str">
        <f>IF(OR(E4449="",E4449="!!!"),"",IF(OR(J4449=0,AND(J4449=1,K4449=1),AND(J4449=1,I4449="SBJ"),AND(J4449=1,I4449=0)),"?IN_FOCUS",IF(J4449&lt;=2,"?ACTIVATED",IF(J4449&lt;&gt;"","?FAMILIAR",IF(F4449="NEW",IF(ISNA(VLOOKUP(E4449,#REF!,1,FALSE())),"?TYPE_IDENTIFIABLE","?REFERENTIAL"),"_")))))</f>
        <v> </v>
      </c>
      <c r="H4449" s="25" t="str">
        <f>IF(J4449&lt;&gt;1,"",IF(I4449="SBJ","CB","?"))</f>
        <v> </v>
      </c>
      <c r="I4449" s="26" t="str">
        <f>IF(OR(E4449="",E4449="!!!",F4449="NEW"),"",INDEX(B4448:B$2,-1+SUMPRODUCT(MAX(ROW(E4448:E$2)*(E4449=E4448:E$2)))))</f>
        <v> </v>
      </c>
      <c r="J4449" s="26" t="str">
        <f>IF(OR(E4449="",E4449="!!!",F4449="NEW"),"",COUNTBLANK(OFFSET(A$1,,,SUMPRODUCT(MAX(ROW(E$2:E4449)*(E4449=E$2:E4449)))))-COUNTBLANK(OFFSET(A$1,,,SUMPRODUCT(MAX(ROW(E$1:E4448)*(E2=E$1:E4448))))))</f>
        <v> </v>
      </c>
      <c r="K4449" s="26" t="str">
        <f>IF(OR(E4449="",E4449="!!!",F4449="NEW"),"",INDEX(J$1:J4448,SUMPRODUCT(MAX(ROW(E$1:E4448)*(E4449=E$1:E4448)))))</f>
        <v> </v>
      </c>
      <c r="L4449" s="27"/>
    </row>
    <row r="4450" spans="1:12">
      <c r="A4450" s="20" t="s">
        <v>242</v>
      </c>
      <c r="B4450" s="21" t="s">
        <v>1199</v>
      </c>
      <c r="C4450" s="21" t="s">
        <v>1151</v>
      </c>
      <c r="D4450" s="21" t="s">
        <v>1144</v>
      </c>
      <c r="E4450" s="22">
        <f>IF(D4450="?OLD","!!!","")</f>
        <v/>
      </c>
      <c r="F4450" s="23" t="str">
        <f>IF(OR(E4450="",E4450="!!!"),"",IF(NOT(ISNA(VLOOKUP(E4450,E$1:E4449,1,FALSE()))),"OLD",IF(AND(E4450&lt;&gt;"",E4450&lt;&gt;"!!!"),"NEW","")))</f>
        <v> </v>
      </c>
      <c r="G4450" s="24" t="str">
        <f>IF(OR(E4450="",E4450="!!!"),"",IF(OR(J4450=0,AND(J4450=1,K4450=1),AND(J4450=1,I4450="SBJ"),AND(J4450=1,I4450=0)),"?IN_FOCUS",IF(J4450&lt;=2,"?ACTIVATED",IF(J4450&lt;&gt;"","?FAMILIAR",IF(F4450="NEW",IF(ISNA(VLOOKUP(E4450,#REF!,1,FALSE())),"?TYPE_IDENTIFIABLE","?REFERENTIAL"),"_")))))</f>
        <v> </v>
      </c>
      <c r="H4450" s="25" t="str">
        <f>IF(J4450&lt;&gt;1,"",IF(I4450="SBJ","CB","?"))</f>
        <v> </v>
      </c>
      <c r="I4450" s="26" t="str">
        <f>IF(OR(E4450="",E4450="!!!",F4450="NEW"),"",INDEX(B4449:B$2,-1+SUMPRODUCT(MAX(ROW(E4449:E$2)*(E4450=E4449:E$2)))))</f>
        <v> </v>
      </c>
      <c r="J4450" s="26" t="str">
        <f>IF(OR(E4450="",E4450="!!!",F4450="NEW"),"",COUNTBLANK(OFFSET(A$1,,,SUMPRODUCT(MAX(ROW(E$2:E4450)*(E4450=E$2:E4450)))))-COUNTBLANK(OFFSET(A$1,,,SUMPRODUCT(MAX(ROW(E$1:E4449)*(E2=E$1:E4449))))))</f>
        <v> </v>
      </c>
      <c r="K4450" s="26" t="str">
        <f>IF(OR(E4450="",E4450="!!!",F4450="NEW"),"",INDEX(J$1:J4449,SUMPRODUCT(MAX(ROW(E$1:E4449)*(E4450=E$1:E4449)))))</f>
        <v> </v>
      </c>
      <c r="L4450" s="27"/>
    </row>
    <row r="4451" spans="1:12">
      <c r="A4451" s="20" t="s">
        <v>1238</v>
      </c>
      <c r="E4451" s="22">
        <f>IF(D4451="?OLD","!!!","")</f>
        <v/>
      </c>
      <c r="F4451" s="23" t="str">
        <f>IF(OR(E4451="",E4451="!!!"),"",IF(NOT(ISNA(VLOOKUP(E4451,E$1:E4450,1,FALSE()))),"OLD",IF(AND(E4451&lt;&gt;"",E4451&lt;&gt;"!!!"),"NEW","")))</f>
        <v> </v>
      </c>
      <c r="G4451" s="24" t="str">
        <f>IF(OR(E4451="",E4451="!!!"),"",IF(OR(J4451=0,AND(J4451=1,K4451=1),AND(J4451=1,I4451="SBJ"),AND(J4451=1,I4451=0)),"?IN_FOCUS",IF(J4451&lt;=2,"?ACTIVATED",IF(J4451&lt;&gt;"","?FAMILIAR",IF(F4451="NEW",IF(ISNA(VLOOKUP(E4451,#REF!,1,FALSE())),"?TYPE_IDENTIFIABLE","?REFERENTIAL"),"_")))))</f>
        <v> </v>
      </c>
      <c r="H4451" s="25" t="str">
        <f>IF(J4451&lt;&gt;1,"",IF(I4451="SBJ","CB","?"))</f>
        <v> </v>
      </c>
      <c r="I4451" s="26" t="str">
        <f>IF(OR(E4451="",E4451="!!!",F4451="NEW"),"",INDEX(B4450:B$2,-1+SUMPRODUCT(MAX(ROW(E4450:E$2)*(E4451=E4450:E$2)))))</f>
        <v> </v>
      </c>
      <c r="J4451" s="26" t="str">
        <f>IF(OR(E4451="",E4451="!!!",F4451="NEW"),"",COUNTBLANK(OFFSET(A$1,,,SUMPRODUCT(MAX(ROW(E$2:E4451)*(E4451=E$2:E4451)))))-COUNTBLANK(OFFSET(A$1,,,SUMPRODUCT(MAX(ROW(E$1:E4450)*(E2=E$1:E4450))))))</f>
        <v> </v>
      </c>
      <c r="K4451" s="26" t="str">
        <f>IF(OR(E4451="",E4451="!!!",F4451="NEW"),"",INDEX(J$1:J4450,SUMPRODUCT(MAX(ROW(E$1:E4450)*(E4451=E$1:E4450)))))</f>
        <v> </v>
      </c>
      <c r="L4451" s="27"/>
    </row>
    <row r="4452" spans="1:12">
      <c r="A4452" s="20" t="s">
        <v>2420</v>
      </c>
      <c r="E4452" s="22">
        <f>IF(D4452="?OLD","!!!","")</f>
        <v/>
      </c>
      <c r="F4452" s="23" t="str">
        <f>IF(OR(E4452="",E4452="!!!"),"",IF(NOT(ISNA(VLOOKUP(E4452,E$1:E4451,1,FALSE()))),"OLD",IF(AND(E4452&lt;&gt;"",E4452&lt;&gt;"!!!"),"NEW","")))</f>
        <v> </v>
      </c>
      <c r="G4452" s="24" t="str">
        <f>IF(OR(E4452="",E4452="!!!"),"",IF(OR(J4452=0,AND(J4452=1,K4452=1),AND(J4452=1,I4452="SBJ"),AND(J4452=1,I4452=0)),"?IN_FOCUS",IF(J4452&lt;=2,"?ACTIVATED",IF(J4452&lt;&gt;"","?FAMILIAR",IF(F4452="NEW",IF(ISNA(VLOOKUP(E4452,#REF!,1,FALSE())),"?TYPE_IDENTIFIABLE","?REFERENTIAL"),"_")))))</f>
        <v> </v>
      </c>
      <c r="H4452" s="25" t="str">
        <f>IF(J4452&lt;&gt;1,"",IF(I4452="SBJ","CB","?"))</f>
        <v> </v>
      </c>
      <c r="I4452" s="26" t="str">
        <f>IF(OR(E4452="",E4452="!!!",F4452="NEW"),"",INDEX(B4451:B$2,-1+SUMPRODUCT(MAX(ROW(E4451:E$2)*(E4452=E4451:E$2)))))</f>
        <v> </v>
      </c>
      <c r="J4452" s="26" t="str">
        <f>IF(OR(E4452="",E4452="!!!",F4452="NEW"),"",COUNTBLANK(OFFSET(A$1,,,SUMPRODUCT(MAX(ROW(E$2:E4452)*(E4452=E$2:E4452)))))-COUNTBLANK(OFFSET(A$1,,,SUMPRODUCT(MAX(ROW(E$1:E4451)*(E2=E$1:E4451))))))</f>
        <v> </v>
      </c>
      <c r="K4452" s="26" t="str">
        <f>IF(OR(E4452="",E4452="!!!",F4452="NEW"),"",INDEX(J$1:J4451,SUMPRODUCT(MAX(ROW(E$1:E4451)*(E4452=E$1:E4451)))))</f>
        <v> </v>
      </c>
      <c r="L4452" s="27"/>
    </row>
    <row r="4453" spans="1:12">
      <c r="A4453" s="20" t="s">
        <v>2421</v>
      </c>
      <c r="B4453" s="21" t="s">
        <v>1312</v>
      </c>
      <c r="C4453" s="21" t="s">
        <v>1162</v>
      </c>
      <c r="D4453" s="21" t="s">
        <v>1144</v>
      </c>
      <c r="E4453" s="22">
        <f>IF(D4453="?OLD","!!!","")</f>
        <v/>
      </c>
      <c r="F4453" s="23" t="str">
        <f>IF(OR(E4453="",E4453="!!!"),"",IF(NOT(ISNA(VLOOKUP(E4453,E$1:E4452,1,FALSE()))),"OLD",IF(AND(E4453&lt;&gt;"",E4453&lt;&gt;"!!!"),"NEW","")))</f>
        <v> </v>
      </c>
      <c r="G4453" s="24" t="str">
        <f>IF(OR(E4453="",E4453="!!!"),"",IF(OR(J4453=0,AND(J4453=1,K4453=1),AND(J4453=1,I4453="SBJ"),AND(J4453=1,I4453=0)),"?IN_FOCUS",IF(J4453&lt;=2,"?ACTIVATED",IF(J4453&lt;&gt;"","?FAMILIAR",IF(F4453="NEW",IF(ISNA(VLOOKUP(E4453,#REF!,1,FALSE())),"?TYPE_IDENTIFIABLE","?REFERENTIAL"),"_")))))</f>
        <v> </v>
      </c>
      <c r="H4453" s="25" t="str">
        <f>IF(J4453&lt;&gt;1,"",IF(I4453="SBJ","CB","?"))</f>
        <v> </v>
      </c>
      <c r="I4453" s="26" t="str">
        <f>IF(OR(E4453="",E4453="!!!",F4453="NEW"),"",INDEX(B4452:B$2,-1+SUMPRODUCT(MAX(ROW(E4452:E$2)*(E4453=E4452:E$2)))))</f>
        <v> </v>
      </c>
      <c r="J4453" s="26" t="str">
        <f>IF(OR(E4453="",E4453="!!!",F4453="NEW"),"",COUNTBLANK(OFFSET(A$1,,,SUMPRODUCT(MAX(ROW(E$2:E4453)*(E4453=E$2:E4453)))))-COUNTBLANK(OFFSET(A$1,,,SUMPRODUCT(MAX(ROW(E$1:E4452)*(E2=E$1:E4452))))))</f>
        <v> </v>
      </c>
      <c r="K4453" s="26" t="str">
        <f>IF(OR(E4453="",E4453="!!!",F4453="NEW"),"",INDEX(J$1:J4452,SUMPRODUCT(MAX(ROW(E$1:E4452)*(E4453=E$1:E4452)))))</f>
        <v> </v>
      </c>
      <c r="L4453" s="27"/>
    </row>
    <row r="4454" spans="1:12">
      <c r="A4454" s="20" t="s">
        <v>2422</v>
      </c>
      <c r="E4454" s="22">
        <f>IF(D4454="?OLD","!!!","")</f>
        <v/>
      </c>
      <c r="F4454" s="23" t="str">
        <f>IF(OR(E4454="",E4454="!!!"),"",IF(NOT(ISNA(VLOOKUP(E4454,E$1:E4453,1,FALSE()))),"OLD",IF(AND(E4454&lt;&gt;"",E4454&lt;&gt;"!!!"),"NEW","")))</f>
        <v> </v>
      </c>
      <c r="G4454" s="24" t="str">
        <f>IF(OR(E4454="",E4454="!!!"),"",IF(OR(J4454=0,AND(J4454=1,K4454=1),AND(J4454=1,I4454="SBJ"),AND(J4454=1,I4454=0)),"?IN_FOCUS",IF(J4454&lt;=2,"?ACTIVATED",IF(J4454&lt;&gt;"","?FAMILIAR",IF(F4454="NEW",IF(ISNA(VLOOKUP(E4454,#REF!,1,FALSE())),"?TYPE_IDENTIFIABLE","?REFERENTIAL"),"_")))))</f>
        <v> </v>
      </c>
      <c r="H4454" s="25" t="str">
        <f>IF(J4454&lt;&gt;1,"",IF(I4454="SBJ","CB","?"))</f>
        <v> </v>
      </c>
      <c r="I4454" s="26" t="str">
        <f>IF(OR(E4454="",E4454="!!!",F4454="NEW"),"",INDEX(B4453:B$2,-1+SUMPRODUCT(MAX(ROW(E4453:E$2)*(E4454=E4453:E$2)))))</f>
        <v> </v>
      </c>
      <c r="J4454" s="26" t="str">
        <f>IF(OR(E4454="",E4454="!!!",F4454="NEW"),"",COUNTBLANK(OFFSET(A$1,,,SUMPRODUCT(MAX(ROW(E$2:E4454)*(E4454=E$2:E4454)))))-COUNTBLANK(OFFSET(A$1,,,SUMPRODUCT(MAX(ROW(E$1:E4453)*(E2=E$1:E4453))))))</f>
        <v> </v>
      </c>
      <c r="K4454" s="26" t="str">
        <f>IF(OR(E4454="",E4454="!!!",F4454="NEW"),"",INDEX(J$1:J4453,SUMPRODUCT(MAX(ROW(E$1:E4453)*(E4454=E$1:E4453)))))</f>
        <v> </v>
      </c>
      <c r="L4454" s="27"/>
    </row>
    <row r="4455" spans="1:12">
      <c r="A4455" s="20" t="s">
        <v>1263</v>
      </c>
      <c r="E4455" s="22">
        <f>IF(D4455="?OLD","!!!","")</f>
        <v/>
      </c>
      <c r="F4455" s="23" t="str">
        <f>IF(OR(E4455="",E4455="!!!"),"",IF(NOT(ISNA(VLOOKUP(E4455,E$1:E4454,1,FALSE()))),"OLD",IF(AND(E4455&lt;&gt;"",E4455&lt;&gt;"!!!"),"NEW","")))</f>
        <v> </v>
      </c>
      <c r="G4455" s="24" t="str">
        <f>IF(OR(E4455="",E4455="!!!"),"",IF(OR(J4455=0,AND(J4455=1,K4455=1),AND(J4455=1,I4455="SBJ"),AND(J4455=1,I4455=0)),"?IN_FOCUS",IF(J4455&lt;=2,"?ACTIVATED",IF(J4455&lt;&gt;"","?FAMILIAR",IF(F4455="NEW",IF(ISNA(VLOOKUP(E4455,#REF!,1,FALSE())),"?TYPE_IDENTIFIABLE","?REFERENTIAL"),"_")))))</f>
        <v> </v>
      </c>
      <c r="H4455" s="25" t="str">
        <f>IF(J4455&lt;&gt;1,"",IF(I4455="SBJ","CB","?"))</f>
        <v> </v>
      </c>
      <c r="I4455" s="26" t="str">
        <f>IF(OR(E4455="",E4455="!!!",F4455="NEW"),"",INDEX(B4454:B$2,-1+SUMPRODUCT(MAX(ROW(E4454:E$2)*(E4455=E4454:E$2)))))</f>
        <v> </v>
      </c>
      <c r="J4455" s="26" t="str">
        <f>IF(OR(E4455="",E4455="!!!",F4455="NEW"),"",COUNTBLANK(OFFSET(A$1,,,SUMPRODUCT(MAX(ROW(E$2:E4455)*(E4455=E$2:E4455)))))-COUNTBLANK(OFFSET(A$1,,,SUMPRODUCT(MAX(ROW(E$1:E4454)*(E2=E$1:E4454))))))</f>
        <v> </v>
      </c>
      <c r="K4455" s="26" t="str">
        <f>IF(OR(E4455="",E4455="!!!",F4455="NEW"),"",INDEX(J$1:J4454,SUMPRODUCT(MAX(ROW(E$1:E4454)*(E4455=E$1:E4454)))))</f>
        <v> </v>
      </c>
      <c r="L4455" s="27"/>
    </row>
    <row r="4456" spans="1:12">
      <c r="A4456" s="20"/>
    </row>
    <row r="4457" spans="1:12">
      <c r="A4457" s="20" t="s">
        <v>1558</v>
      </c>
      <c r="E4457" s="22">
        <f>IF(D4457="?OLD","!!!","")</f>
        <v/>
      </c>
      <c r="F4457" s="23" t="str">
        <f>IF(OR(E4457="",E4457="!!!"),"",IF(NOT(ISNA(VLOOKUP(E4457,E$1:E4456,1,FALSE()))),"OLD",IF(AND(E4457&lt;&gt;"",E4457&lt;&gt;"!!!"),"NEW","")))</f>
        <v> </v>
      </c>
      <c r="G4457" s="24" t="str">
        <f>IF(OR(E4457="",E4457="!!!"),"",IF(OR(J4457=0,AND(J4457=1,K4457=1),AND(J4457=1,I4457="SBJ"),AND(J4457=1,I4457=0)),"?IN_FOCUS",IF(J4457&lt;=2,"?ACTIVATED",IF(J4457&lt;&gt;"","?FAMILIAR",IF(F4457="NEW",IF(ISNA(VLOOKUP(E4457,#REF!,1,FALSE())),"?TYPE_IDENTIFIABLE","?REFERENTIAL"),"_")))))</f>
        <v> </v>
      </c>
      <c r="H4457" s="25" t="str">
        <f>IF(J4457&lt;&gt;1,"",IF(I4457="SBJ","CB","?"))</f>
        <v> </v>
      </c>
      <c r="I4457" s="26" t="str">
        <f>IF(OR(E4457="",E4457="!!!",F4457="NEW"),"",INDEX(B4456:B$2,-1+SUMPRODUCT(MAX(ROW(E4456:E$2)*(E4457=E4456:E$2)))))</f>
        <v> </v>
      </c>
      <c r="J4457" s="26" t="str">
        <f>IF(OR(E4457="",E4457="!!!",F4457="NEW"),"",COUNTBLANK(OFFSET(A$1,,,SUMPRODUCT(MAX(ROW(E$2:E4457)*(E4457=E$2:E4457)))))-COUNTBLANK(OFFSET(A$1,,,SUMPRODUCT(MAX(ROW(E$1:E4456)*(E2=E$1:E4456))))))</f>
        <v> </v>
      </c>
      <c r="K4457" s="26" t="str">
        <f>IF(OR(E4457="",E4457="!!!",F4457="NEW"),"",INDEX(J$1:J4456,SUMPRODUCT(MAX(ROW(E$1:E4456)*(E4457=E$1:E4456)))))</f>
        <v> </v>
      </c>
      <c r="L4457" s="27"/>
    </row>
    <row r="4458" spans="1:12">
      <c r="A4458" s="20" t="s">
        <v>2423</v>
      </c>
    </row>
    <row r="4459" spans="1:12">
      <c r="A4459" s="20" t="s">
        <v>1284</v>
      </c>
      <c r="E4459" s="22">
        <f>IF(D4459="?OLD","!!!","")</f>
        <v/>
      </c>
      <c r="F4459" s="23" t="str">
        <f>IF(OR(E4459="",E4459="!!!"),"",IF(NOT(ISNA(VLOOKUP(E4459,E$1:E4458,1,FALSE()))),"OLD",IF(AND(E4459&lt;&gt;"",E4459&lt;&gt;"!!!"),"NEW","")))</f>
        <v> </v>
      </c>
      <c r="G4459" s="24" t="str">
        <f>IF(OR(E4459="",E4459="!!!"),"",IF(OR(J4459=0,AND(J4459=1,K4459=1),AND(J4459=1,I4459="SBJ"),AND(J4459=1,I4459=0)),"?IN_FOCUS",IF(J4459&lt;=2,"?ACTIVATED",IF(J4459&lt;&gt;"","?FAMILIAR",IF(F4459="NEW",IF(ISNA(VLOOKUP(E4459,#REF!,1,FALSE())),"?TYPE_IDENTIFIABLE","?REFERENTIAL"),"_")))))</f>
        <v> </v>
      </c>
      <c r="H4459" s="25" t="str">
        <f>IF(J4459&lt;&gt;1,"",IF(I4459="SBJ","CB","?"))</f>
        <v> </v>
      </c>
      <c r="I4459" s="26" t="str">
        <f>IF(OR(E4459="",E4459="!!!",F4459="NEW"),"",INDEX(B4458:B$2,-1+SUMPRODUCT(MAX(ROW(E4458:E$2)*(E4459=E4458:E$2)))))</f>
        <v> </v>
      </c>
      <c r="J4459" s="26" t="str">
        <f>IF(OR(E4459="",E4459="!!!",F4459="NEW"),"",COUNTBLANK(OFFSET(A$1,,,SUMPRODUCT(MAX(ROW(E$2:E4459)*(E4459=E$2:E4459)))))-COUNTBLANK(OFFSET(A$1,,,SUMPRODUCT(MAX(ROW(E$1:E4458)*(E2=E$1:E4458))))))</f>
        <v> </v>
      </c>
      <c r="K4459" s="26" t="str">
        <f>IF(OR(E4459="",E4459="!!!",F4459="NEW"),"",INDEX(J$1:J4458,SUMPRODUCT(MAX(ROW(E$1:E4458)*(E4459=E$1:E4458)))))</f>
        <v> </v>
      </c>
      <c r="L4459" s="27"/>
    </row>
    <row r="4460" spans="1:12">
      <c r="A4460" s="20" t="s">
        <v>1178</v>
      </c>
      <c r="E4460" s="22">
        <f>IF(D4460="?OLD","!!!","")</f>
        <v/>
      </c>
      <c r="F4460" s="23" t="str">
        <f>IF(OR(E4460="",E4460="!!!"),"",IF(NOT(ISNA(VLOOKUP(E4460,E$1:E4459,1,FALSE()))),"OLD",IF(AND(E4460&lt;&gt;"",E4460&lt;&gt;"!!!"),"NEW","")))</f>
        <v> </v>
      </c>
      <c r="G4460" s="24" t="str">
        <f>IF(OR(E4460="",E4460="!!!"),"",IF(OR(J4460=0,AND(J4460=1,K4460=1),AND(J4460=1,I4460="SBJ"),AND(J4460=1,I4460=0)),"?IN_FOCUS",IF(J4460&lt;=2,"?ACTIVATED",IF(J4460&lt;&gt;"","?FAMILIAR",IF(F4460="NEW",IF(ISNA(VLOOKUP(E4460,#REF!,1,FALSE())),"?TYPE_IDENTIFIABLE","?REFERENTIAL"),"_")))))</f>
        <v> </v>
      </c>
      <c r="H4460" s="25" t="str">
        <f>IF(J4460&lt;&gt;1,"",IF(I4460="SBJ","CB","?"))</f>
        <v> </v>
      </c>
      <c r="I4460" s="26" t="str">
        <f>IF(OR(E4460="",E4460="!!!",F4460="NEW"),"",INDEX(B4459:B$2,-1+SUMPRODUCT(MAX(ROW(E4459:E$2)*(E4460=E4459:E$2)))))</f>
        <v> </v>
      </c>
      <c r="J4460" s="26" t="str">
        <f>IF(OR(E4460="",E4460="!!!",F4460="NEW"),"",COUNTBLANK(OFFSET(A$1,,,SUMPRODUCT(MAX(ROW(E$2:E4460)*(E4460=E$2:E4460)))))-COUNTBLANK(OFFSET(A$1,,,SUMPRODUCT(MAX(ROW(E$1:E4459)*(E2=E$1:E4459))))))</f>
        <v> </v>
      </c>
      <c r="K4460" s="26" t="str">
        <f>IF(OR(E4460="",E4460="!!!",F4460="NEW"),"",INDEX(J$1:J4459,SUMPRODUCT(MAX(ROW(E$1:E4459)*(E4460=E$1:E4459)))))</f>
        <v> </v>
      </c>
      <c r="L4460" s="27"/>
    </row>
    <row r="4461" spans="1:12">
      <c r="A4461" s="20" t="s">
        <v>2424</v>
      </c>
      <c r="B4461" s="21" t="s">
        <v>1161</v>
      </c>
      <c r="C4461" s="21" t="s">
        <v>1143</v>
      </c>
      <c r="D4461" s="21" t="s">
        <v>1144</v>
      </c>
      <c r="E4461" s="22">
        <f>IF(D4461="?OLD","!!!","")</f>
        <v/>
      </c>
      <c r="F4461" s="23" t="str">
        <f>IF(OR(E4461="",E4461="!!!"),"",IF(NOT(ISNA(VLOOKUP(E4461,E$1:E4460,1,FALSE()))),"OLD",IF(AND(E4461&lt;&gt;"",E4461&lt;&gt;"!!!"),"NEW","")))</f>
        <v> </v>
      </c>
      <c r="G4461" s="24" t="str">
        <f>IF(OR(E4461="",E4461="!!!"),"",IF(OR(J4461=0,AND(J4461=1,K4461=1),AND(J4461=1,I4461="SBJ"),AND(J4461=1,I4461=0)),"?IN_FOCUS",IF(J4461&lt;=2,"?ACTIVATED",IF(J4461&lt;&gt;"","?FAMILIAR",IF(F4461="NEW",IF(ISNA(VLOOKUP(E4461,#REF!,1,FALSE())),"?TYPE_IDENTIFIABLE","?REFERENTIAL"),"_")))))</f>
        <v> </v>
      </c>
      <c r="H4461" s="25" t="str">
        <f>IF(J4461&lt;&gt;1,"",IF(I4461="SBJ","CB","?"))</f>
        <v> </v>
      </c>
      <c r="I4461" s="26" t="str">
        <f>IF(OR(E4461="",E4461="!!!",F4461="NEW"),"",INDEX(B4460:B$2,-1+SUMPRODUCT(MAX(ROW(E4460:E$2)*(E4461=E4460:E$2)))))</f>
        <v> </v>
      </c>
      <c r="J4461" s="26" t="str">
        <f>IF(OR(E4461="",E4461="!!!",F4461="NEW"),"",COUNTBLANK(OFFSET(A$1,,,SUMPRODUCT(MAX(ROW(E$2:E4461)*(E4461=E$2:E4461)))))-COUNTBLANK(OFFSET(A$1,,,SUMPRODUCT(MAX(ROW(E$1:E4460)*(E2=E$1:E4460))))))</f>
        <v> </v>
      </c>
      <c r="K4461" s="26" t="str">
        <f>IF(OR(E4461="",E4461="!!!",F4461="NEW"),"",INDEX(J$1:J4460,SUMPRODUCT(MAX(ROW(E$1:E4460)*(E4461=E$1:E4460)))))</f>
        <v> </v>
      </c>
      <c r="L4461" s="27"/>
    </row>
    <row r="4462" spans="1:12">
      <c r="A4462" s="20" t="s">
        <v>2425</v>
      </c>
      <c r="E4462" s="22">
        <f>IF(D4462="?OLD","!!!","")</f>
        <v/>
      </c>
      <c r="F4462" s="23" t="str">
        <f>IF(OR(E4462="",E4462="!!!"),"",IF(NOT(ISNA(VLOOKUP(E4462,E$1:E4461,1,FALSE()))),"OLD",IF(AND(E4462&lt;&gt;"",E4462&lt;&gt;"!!!"),"NEW","")))</f>
        <v> </v>
      </c>
      <c r="G4462" s="24" t="str">
        <f>IF(OR(E4462="",E4462="!!!"),"",IF(OR(J4462=0,AND(J4462=1,K4462=1),AND(J4462=1,I4462="SBJ"),AND(J4462=1,I4462=0)),"?IN_FOCUS",IF(J4462&lt;=2,"?ACTIVATED",IF(J4462&lt;&gt;"","?FAMILIAR",IF(F4462="NEW",IF(ISNA(VLOOKUP(E4462,#REF!,1,FALSE())),"?TYPE_IDENTIFIABLE","?REFERENTIAL"),"_")))))</f>
        <v> </v>
      </c>
      <c r="H4462" s="25" t="str">
        <f>IF(J4462&lt;&gt;1,"",IF(I4462="SBJ","CB","?"))</f>
        <v> </v>
      </c>
      <c r="I4462" s="26" t="str">
        <f>IF(OR(E4462="",E4462="!!!",F4462="NEW"),"",INDEX(B4461:B$2,-1+SUMPRODUCT(MAX(ROW(E4461:E$2)*(E4462=E4461:E$2)))))</f>
        <v> </v>
      </c>
      <c r="J4462" s="26" t="str">
        <f>IF(OR(E4462="",E4462="!!!",F4462="NEW"),"",COUNTBLANK(OFFSET(A$1,,,SUMPRODUCT(MAX(ROW(E$2:E4462)*(E4462=E$2:E4462)))))-COUNTBLANK(OFFSET(A$1,,,SUMPRODUCT(MAX(ROW(E$1:E4461)*(E2=E$1:E4461))))))</f>
        <v> </v>
      </c>
      <c r="K4462" s="26" t="str">
        <f>IF(OR(E4462="",E4462="!!!",F4462="NEW"),"",INDEX(J$1:J4461,SUMPRODUCT(MAX(ROW(E$1:E4461)*(E4462=E$1:E4461)))))</f>
        <v> </v>
      </c>
      <c r="L4462" s="27"/>
    </row>
    <row r="4463" spans="1:12">
      <c r="A4463" s="20" t="s">
        <v>2426</v>
      </c>
      <c r="E4463" s="22">
        <f>IF(D4463="?OLD","!!!","")</f>
        <v/>
      </c>
      <c r="F4463" s="23" t="str">
        <f>IF(OR(E4463="",E4463="!!!"),"",IF(NOT(ISNA(VLOOKUP(E4463,E$1:E4462,1,FALSE()))),"OLD",IF(AND(E4463&lt;&gt;"",E4463&lt;&gt;"!!!"),"NEW","")))</f>
        <v> </v>
      </c>
      <c r="G4463" s="24" t="str">
        <f>IF(OR(E4463="",E4463="!!!"),"",IF(OR(J4463=0,AND(J4463=1,K4463=1),AND(J4463=1,I4463="SBJ"),AND(J4463=1,I4463=0)),"?IN_FOCUS",IF(J4463&lt;=2,"?ACTIVATED",IF(J4463&lt;&gt;"","?FAMILIAR",IF(F4463="NEW",IF(ISNA(VLOOKUP(E4463,#REF!,1,FALSE())),"?TYPE_IDENTIFIABLE","?REFERENTIAL"),"_")))))</f>
        <v> </v>
      </c>
      <c r="H4463" s="25" t="str">
        <f>IF(J4463&lt;&gt;1,"",IF(I4463="SBJ","CB","?"))</f>
        <v> </v>
      </c>
      <c r="I4463" s="26" t="str">
        <f>IF(OR(E4463="",E4463="!!!",F4463="NEW"),"",INDEX(B4462:B$2,-1+SUMPRODUCT(MAX(ROW(E4462:E$2)*(E4463=E4462:E$2)))))</f>
        <v> </v>
      </c>
      <c r="J4463" s="26" t="str">
        <f>IF(OR(E4463="",E4463="!!!",F4463="NEW"),"",COUNTBLANK(OFFSET(A$1,,,SUMPRODUCT(MAX(ROW(E$2:E4463)*(E4463=E$2:E4463)))))-COUNTBLANK(OFFSET(A$1,,,SUMPRODUCT(MAX(ROW(E$1:E4462)*(E2=E$1:E4462))))))</f>
        <v> </v>
      </c>
      <c r="K4463" s="26" t="str">
        <f>IF(OR(E4463="",E4463="!!!",F4463="NEW"),"",INDEX(J$1:J4462,SUMPRODUCT(MAX(ROW(E$1:E4462)*(E4463=E$1:E4462)))))</f>
        <v> </v>
      </c>
      <c r="L4463" s="27"/>
    </row>
    <row r="4464" spans="1:12">
      <c r="A4464" s="20" t="s">
        <v>1565</v>
      </c>
      <c r="E4464" s="22">
        <f>IF(D4464="?OLD","!!!","")</f>
        <v/>
      </c>
      <c r="F4464" s="23" t="str">
        <f>IF(OR(E4464="",E4464="!!!"),"",IF(NOT(ISNA(VLOOKUP(E4464,E$1:E4463,1,FALSE()))),"OLD",IF(AND(E4464&lt;&gt;"",E4464&lt;&gt;"!!!"),"NEW","")))</f>
        <v> </v>
      </c>
      <c r="G4464" s="24" t="str">
        <f>IF(OR(E4464="",E4464="!!!"),"",IF(OR(J4464=0,AND(J4464=1,K4464=1),AND(J4464=1,I4464="SBJ"),AND(J4464=1,I4464=0)),"?IN_FOCUS",IF(J4464&lt;=2,"?ACTIVATED",IF(J4464&lt;&gt;"","?FAMILIAR",IF(F4464="NEW",IF(ISNA(VLOOKUP(E4464,#REF!,1,FALSE())),"?TYPE_IDENTIFIABLE","?REFERENTIAL"),"_")))))</f>
        <v> </v>
      </c>
      <c r="H4464" s="25" t="str">
        <f>IF(J4464&lt;&gt;1,"",IF(I4464="SBJ","CB","?"))</f>
        <v> </v>
      </c>
      <c r="I4464" s="26" t="str">
        <f>IF(OR(E4464="",E4464="!!!",F4464="NEW"),"",INDEX(B4463:B$2,-1+SUMPRODUCT(MAX(ROW(E4463:E$2)*(E4464=E4463:E$2)))))</f>
        <v> </v>
      </c>
      <c r="J4464" s="26" t="str">
        <f>IF(OR(E4464="",E4464="!!!",F4464="NEW"),"",COUNTBLANK(OFFSET(A$1,,,SUMPRODUCT(MAX(ROW(E$2:E4464)*(E4464=E$2:E4464)))))-COUNTBLANK(OFFSET(A$1,,,SUMPRODUCT(MAX(ROW(E$1:E4463)*(E2=E$1:E4463))))))</f>
        <v> </v>
      </c>
      <c r="K4464" s="26" t="str">
        <f>IF(OR(E4464="",E4464="!!!",F4464="NEW"),"",INDEX(J$1:J4463,SUMPRODUCT(MAX(ROW(E$1:E4463)*(E4464=E$1:E4463)))))</f>
        <v> </v>
      </c>
      <c r="L4464" s="27"/>
    </row>
    <row r="4465" spans="1:12">
      <c r="A4465" s="20" t="s">
        <v>2427</v>
      </c>
      <c r="B4465" s="21" t="s">
        <v>1154</v>
      </c>
      <c r="C4465" s="21" t="s">
        <v>1187</v>
      </c>
      <c r="E4465" s="22">
        <f>IF(D4465="?OLD","!!!","")</f>
        <v/>
      </c>
      <c r="F4465" s="23" t="str">
        <f>IF(OR(E4465="",E4465="!!!"),"",IF(NOT(ISNA(VLOOKUP(E4465,E$1:E4464,1,FALSE()))),"OLD",IF(AND(E4465&lt;&gt;"",E4465&lt;&gt;"!!!"),"NEW","")))</f>
        <v> </v>
      </c>
      <c r="G4465" s="24" t="str">
        <f>IF(OR(E4465="",E4465="!!!"),"",IF(OR(J4465=0,AND(J4465=1,K4465=1),AND(J4465=1,I4465="SBJ"),AND(J4465=1,I4465=0)),"?IN_FOCUS",IF(J4465&lt;=2,"?ACTIVATED",IF(J4465&lt;&gt;"","?FAMILIAR",IF(F4465="NEW",IF(ISNA(VLOOKUP(E4465,#REF!,1,FALSE())),"?TYPE_IDENTIFIABLE","?REFERENTIAL"),"_")))))</f>
        <v> </v>
      </c>
      <c r="H4465" s="25" t="str">
        <f>IF(J4465&lt;&gt;1,"",IF(I4465="SBJ","CB","?"))</f>
        <v> </v>
      </c>
      <c r="I4465" s="26" t="str">
        <f>IF(OR(E4465="",E4465="!!!",F4465="NEW"),"",INDEX(B4464:B$2,-1+SUMPRODUCT(MAX(ROW(E4464:E$2)*(E4465=E4464:E$2)))))</f>
        <v> </v>
      </c>
      <c r="J4465" s="26" t="str">
        <f>IF(OR(E4465="",E4465="!!!",F4465="NEW"),"",COUNTBLANK(OFFSET(A$1,,,SUMPRODUCT(MAX(ROW(E$2:E4465)*(E4465=E$2:E4465)))))-COUNTBLANK(OFFSET(A$1,,,SUMPRODUCT(MAX(ROW(E$1:E4464)*(E2=E$1:E4464))))))</f>
        <v> </v>
      </c>
      <c r="K4465" s="26" t="str">
        <f>IF(OR(E4465="",E4465="!!!",F4465="NEW"),"",INDEX(J$1:J4464,SUMPRODUCT(MAX(ROW(E$1:E4464)*(E4465=E$1:E4464)))))</f>
        <v> </v>
      </c>
      <c r="L4465" s="27"/>
    </row>
    <row r="4466" spans="1:12">
      <c r="A4466" s="20" t="s">
        <v>1565</v>
      </c>
      <c r="E4466" s="22">
        <f>IF(D4466="?OLD","!!!","")</f>
        <v/>
      </c>
      <c r="F4466" s="23" t="str">
        <f>IF(OR(E4466="",E4466="!!!"),"",IF(NOT(ISNA(VLOOKUP(E4466,E$1:E4465,1,FALSE()))),"OLD",IF(AND(E4466&lt;&gt;"",E4466&lt;&gt;"!!!"),"NEW","")))</f>
        <v> </v>
      </c>
      <c r="G4466" s="24" t="str">
        <f>IF(OR(E4466="",E4466="!!!"),"",IF(OR(J4466=0,AND(J4466=1,K4466=1),AND(J4466=1,I4466="SBJ"),AND(J4466=1,I4466=0)),"?IN_FOCUS",IF(J4466&lt;=2,"?ACTIVATED",IF(J4466&lt;&gt;"","?FAMILIAR",IF(F4466="NEW",IF(ISNA(VLOOKUP(E4466,#REF!,1,FALSE())),"?TYPE_IDENTIFIABLE","?REFERENTIAL"),"_")))))</f>
        <v> </v>
      </c>
      <c r="H4466" s="25" t="str">
        <f>IF(J4466&lt;&gt;1,"",IF(I4466="SBJ","CB","?"))</f>
        <v> </v>
      </c>
      <c r="I4466" s="26" t="str">
        <f>IF(OR(E4466="",E4466="!!!",F4466="NEW"),"",INDEX(B4465:B$2,-1+SUMPRODUCT(MAX(ROW(E4465:E$2)*(E4466=E4465:E$2)))))</f>
        <v> </v>
      </c>
      <c r="J4466" s="26" t="str">
        <f>IF(OR(E4466="",E4466="!!!",F4466="NEW"),"",COUNTBLANK(OFFSET(A$1,,,SUMPRODUCT(MAX(ROW(E$2:E4466)*(E4466=E$2:E4466)))))-COUNTBLANK(OFFSET(A$1,,,SUMPRODUCT(MAX(ROW(E$1:E4465)*(E2=E$1:E4465))))))</f>
        <v> </v>
      </c>
      <c r="K4466" s="26" t="str">
        <f>IF(OR(E4466="",E4466="!!!",F4466="NEW"),"",INDEX(J$1:J4465,SUMPRODUCT(MAX(ROW(E$1:E4465)*(E4466=E$1:E4465)))))</f>
        <v> </v>
      </c>
      <c r="L4466" s="27"/>
    </row>
    <row r="4467" spans="1:12">
      <c r="A4467" s="20" t="s">
        <v>312</v>
      </c>
      <c r="E4467" s="22">
        <f>IF(D4467="?OLD","!!!","")</f>
        <v/>
      </c>
      <c r="F4467" s="23" t="str">
        <f>IF(OR(E4467="",E4467="!!!"),"",IF(NOT(ISNA(VLOOKUP(E4467,E$1:E4466,1,FALSE()))),"OLD",IF(AND(E4467&lt;&gt;"",E4467&lt;&gt;"!!!"),"NEW","")))</f>
        <v> </v>
      </c>
      <c r="G4467" s="24" t="str">
        <f>IF(OR(E4467="",E4467="!!!"),"",IF(OR(J4467=0,AND(J4467=1,K4467=1),AND(J4467=1,I4467="SBJ"),AND(J4467=1,I4467=0)),"?IN_FOCUS",IF(J4467&lt;=2,"?ACTIVATED",IF(J4467&lt;&gt;"","?FAMILIAR",IF(F4467="NEW",IF(ISNA(VLOOKUP(E4467,#REF!,1,FALSE())),"?TYPE_IDENTIFIABLE","?REFERENTIAL"),"_")))))</f>
        <v> </v>
      </c>
      <c r="H4467" s="25" t="str">
        <f>IF(J4467&lt;&gt;1,"",IF(I4467="SBJ","CB","?"))</f>
        <v> </v>
      </c>
      <c r="I4467" s="26" t="str">
        <f>IF(OR(E4467="",E4467="!!!",F4467="NEW"),"",INDEX(B4466:B$2,-1+SUMPRODUCT(MAX(ROW(E4466:E$2)*(E4467=E4466:E$2)))))</f>
        <v> </v>
      </c>
      <c r="J4467" s="26" t="str">
        <f>IF(OR(E4467="",E4467="!!!",F4467="NEW"),"",COUNTBLANK(OFFSET(A$1,,,SUMPRODUCT(MAX(ROW(E$2:E4467)*(E4467=E$2:E4467)))))-COUNTBLANK(OFFSET(A$1,,,SUMPRODUCT(MAX(ROW(E$1:E4466)*(E2=E$1:E4466))))))</f>
        <v> </v>
      </c>
      <c r="K4467" s="26" t="str">
        <f>IF(OR(E4467="",E4467="!!!",F4467="NEW"),"",INDEX(J$1:J4466,SUMPRODUCT(MAX(ROW(E$1:E4466)*(E4467=E$1:E4466)))))</f>
        <v> </v>
      </c>
      <c r="L4467" s="27"/>
    </row>
    <row r="4468" spans="1:12">
      <c r="A4468" s="20"/>
    </row>
    <row r="4469" spans="1:12">
      <c r="A4469" s="20" t="s">
        <v>2428</v>
      </c>
    </row>
    <row r="4470" spans="1:12">
      <c r="A4470" s="20" t="s">
        <v>1852</v>
      </c>
      <c r="E4470" s="22">
        <f>IF(D4470="?OLD","!!!","")</f>
        <v/>
      </c>
      <c r="F4470" s="23" t="str">
        <f>IF(OR(E4470="",E4470="!!!"),"",IF(NOT(ISNA(VLOOKUP(E4470,E$1:E4469,1,FALSE()))),"OLD",IF(AND(E4470&lt;&gt;"",E4470&lt;&gt;"!!!"),"NEW","")))</f>
        <v> </v>
      </c>
      <c r="G4470" s="24" t="str">
        <f>IF(OR(E4470="",E4470="!!!"),"",IF(OR(J4470=0,AND(J4470=1,K4470=1),AND(J4470=1,I4470="SBJ"),AND(J4470=1,I4470=0)),"?IN_FOCUS",IF(J4470&lt;=2,"?ACTIVATED",IF(J4470&lt;&gt;"","?FAMILIAR",IF(F4470="NEW",IF(ISNA(VLOOKUP(E4470,#REF!,1,FALSE())),"?TYPE_IDENTIFIABLE","?REFERENTIAL"),"_")))))</f>
        <v> </v>
      </c>
      <c r="H4470" s="25" t="str">
        <f>IF(J4470&lt;&gt;1,"",IF(I4470="SBJ","CB","?"))</f>
        <v> </v>
      </c>
      <c r="I4470" s="26" t="str">
        <f>IF(OR(E4470="",E4470="!!!",F4470="NEW"),"",INDEX(B4469:B$2,-1+SUMPRODUCT(MAX(ROW(E4469:E$2)*(E4470=E4469:E$2)))))</f>
        <v> </v>
      </c>
      <c r="J4470" s="26" t="str">
        <f>IF(OR(E4470="",E4470="!!!",F4470="NEW"),"",COUNTBLANK(OFFSET(A$1,,,SUMPRODUCT(MAX(ROW(E$2:E4470)*(E4470=E$2:E4470)))))-COUNTBLANK(OFFSET(A$1,,,SUMPRODUCT(MAX(ROW(E$1:E4469)*(E2=E$1:E4469))))))</f>
        <v> </v>
      </c>
      <c r="K4470" s="26" t="str">
        <f>IF(OR(E4470="",E4470="!!!",F4470="NEW"),"",INDEX(J$1:J4469,SUMPRODUCT(MAX(ROW(E$1:E4469)*(E4470=E$1:E4469)))))</f>
        <v> </v>
      </c>
      <c r="L4470" s="27"/>
    </row>
    <row r="4471" spans="1:12">
      <c r="A4471" s="20" t="s">
        <v>1883</v>
      </c>
      <c r="B4471" s="21" t="s">
        <v>1165</v>
      </c>
      <c r="C4471" s="21" t="s">
        <v>1168</v>
      </c>
      <c r="D4471" s="21" t="s">
        <v>1144</v>
      </c>
      <c r="E4471" s="22">
        <f>IF(D4471="?OLD","!!!","")</f>
        <v/>
      </c>
      <c r="F4471" s="23" t="str">
        <f>IF(OR(E4471="",E4471="!!!"),"",IF(NOT(ISNA(VLOOKUP(E4471,E$1:E4470,1,FALSE()))),"OLD",IF(AND(E4471&lt;&gt;"",E4471&lt;&gt;"!!!"),"NEW","")))</f>
        <v> </v>
      </c>
      <c r="G4471" s="24" t="str">
        <f>IF(OR(E4471="",E4471="!!!"),"",IF(OR(J4471=0,AND(J4471=1,K4471=1),AND(J4471=1,I4471="SBJ"),AND(J4471=1,I4471=0)),"?IN_FOCUS",IF(J4471&lt;=2,"?ACTIVATED",IF(J4471&lt;&gt;"","?FAMILIAR",IF(F4471="NEW",IF(ISNA(VLOOKUP(E4471,#REF!,1,FALSE())),"?TYPE_IDENTIFIABLE","?REFERENTIAL"),"_")))))</f>
        <v> </v>
      </c>
      <c r="H4471" s="25" t="str">
        <f>IF(J4471&lt;&gt;1,"",IF(I4471="SBJ","CB","?"))</f>
        <v> </v>
      </c>
      <c r="I4471" s="26" t="str">
        <f>IF(OR(E4471="",E4471="!!!",F4471="NEW"),"",INDEX(B4470:B$2,-1+SUMPRODUCT(MAX(ROW(E4470:E$2)*(E4471=E4470:E$2)))))</f>
        <v> </v>
      </c>
      <c r="J4471" s="26" t="str">
        <f>IF(OR(E4471="",E4471="!!!",F4471="NEW"),"",COUNTBLANK(OFFSET(A$1,,,SUMPRODUCT(MAX(ROW(E$2:E4471)*(E4471=E$2:E4471)))))-COUNTBLANK(OFFSET(A$1,,,SUMPRODUCT(MAX(ROW(E$1:E4470)*(E2=E$1:E4470))))))</f>
        <v> </v>
      </c>
      <c r="K4471" s="26" t="str">
        <f>IF(OR(E4471="",E4471="!!!",F4471="NEW"),"",INDEX(J$1:J4470,SUMPRODUCT(MAX(ROW(E$1:E4470)*(E4471=E$1:E4470)))))</f>
        <v> </v>
      </c>
      <c r="L4471" s="27"/>
    </row>
    <row r="4472" spans="1:12">
      <c r="A4472" s="20" t="s">
        <v>1339</v>
      </c>
      <c r="E4472" s="22">
        <f>IF(D4472="?OLD","!!!","")</f>
        <v/>
      </c>
      <c r="F4472" s="23" t="str">
        <f>IF(OR(E4472="",E4472="!!!"),"",IF(NOT(ISNA(VLOOKUP(E4472,E$1:E4471,1,FALSE()))),"OLD",IF(AND(E4472&lt;&gt;"",E4472&lt;&gt;"!!!"),"NEW","")))</f>
        <v> </v>
      </c>
      <c r="G4472" s="24" t="str">
        <f>IF(OR(E4472="",E4472="!!!"),"",IF(OR(J4472=0,AND(J4472=1,K4472=1),AND(J4472=1,I4472="SBJ"),AND(J4472=1,I4472=0)),"?IN_FOCUS",IF(J4472&lt;=2,"?ACTIVATED",IF(J4472&lt;&gt;"","?FAMILIAR",IF(F4472="NEW",IF(ISNA(VLOOKUP(E4472,#REF!,1,FALSE())),"?TYPE_IDENTIFIABLE","?REFERENTIAL"),"_")))))</f>
        <v> </v>
      </c>
      <c r="H4472" s="25" t="str">
        <f>IF(J4472&lt;&gt;1,"",IF(I4472="SBJ","CB","?"))</f>
        <v> </v>
      </c>
      <c r="I4472" s="26" t="str">
        <f>IF(OR(E4472="",E4472="!!!",F4472="NEW"),"",INDEX(B4471:B$2,-1+SUMPRODUCT(MAX(ROW(E4471:E$2)*(E4472=E4471:E$2)))))</f>
        <v> </v>
      </c>
      <c r="J4472" s="26" t="str">
        <f>IF(OR(E4472="",E4472="!!!",F4472="NEW"),"",COUNTBLANK(OFFSET(A$1,,,SUMPRODUCT(MAX(ROW(E$2:E4472)*(E4472=E$2:E4472)))))-COUNTBLANK(OFFSET(A$1,,,SUMPRODUCT(MAX(ROW(E$1:E4471)*(E2=E$1:E4471))))))</f>
        <v> </v>
      </c>
      <c r="K4472" s="26" t="str">
        <f>IF(OR(E4472="",E4472="!!!",F4472="NEW"),"",INDEX(J$1:J4471,SUMPRODUCT(MAX(ROW(E$1:E4471)*(E4472=E$1:E4471)))))</f>
        <v> </v>
      </c>
      <c r="L4472" s="27"/>
    </row>
    <row r="4473" spans="1:12">
      <c r="A4473" s="20" t="s">
        <v>1481</v>
      </c>
      <c r="E4473" s="22">
        <f>IF(D4473="?OLD","!!!","")</f>
        <v/>
      </c>
      <c r="F4473" s="23" t="str">
        <f>IF(OR(E4473="",E4473="!!!"),"",IF(NOT(ISNA(VLOOKUP(E4473,E$1:E4472,1,FALSE()))),"OLD",IF(AND(E4473&lt;&gt;"",E4473&lt;&gt;"!!!"),"NEW","")))</f>
        <v> </v>
      </c>
      <c r="G4473" s="24" t="str">
        <f>IF(OR(E4473="",E4473="!!!"),"",IF(OR(J4473=0,AND(J4473=1,K4473=1),AND(J4473=1,I4473="SBJ"),AND(J4473=1,I4473=0)),"?IN_FOCUS",IF(J4473&lt;=2,"?ACTIVATED",IF(J4473&lt;&gt;"","?FAMILIAR",IF(F4473="NEW",IF(ISNA(VLOOKUP(E4473,#REF!,1,FALSE())),"?TYPE_IDENTIFIABLE","?REFERENTIAL"),"_")))))</f>
        <v> </v>
      </c>
      <c r="H4473" s="25" t="str">
        <f>IF(J4473&lt;&gt;1,"",IF(I4473="SBJ","CB","?"))</f>
        <v> </v>
      </c>
      <c r="I4473" s="26" t="str">
        <f>IF(OR(E4473="",E4473="!!!",F4473="NEW"),"",INDEX(B4472:B$2,-1+SUMPRODUCT(MAX(ROW(E4472:E$2)*(E4473=E4472:E$2)))))</f>
        <v> </v>
      </c>
      <c r="J4473" s="26" t="str">
        <f>IF(OR(E4473="",E4473="!!!",F4473="NEW"),"",COUNTBLANK(OFFSET(A$1,,,SUMPRODUCT(MAX(ROW(E$2:E4473)*(E4473=E$2:E4473)))))-COUNTBLANK(OFFSET(A$1,,,SUMPRODUCT(MAX(ROW(E$1:E4472)*(E2=E$1:E4472))))))</f>
        <v> </v>
      </c>
      <c r="K4473" s="26" t="str">
        <f>IF(OR(E4473="",E4473="!!!",F4473="NEW"),"",INDEX(J$1:J4472,SUMPRODUCT(MAX(ROW(E$1:E4472)*(E4473=E$1:E4472)))))</f>
        <v> </v>
      </c>
      <c r="L4473" s="27"/>
    </row>
    <row r="4474" spans="1:12">
      <c r="A4474" s="20" t="s">
        <v>2429</v>
      </c>
      <c r="B4474" s="21" t="s">
        <v>1171</v>
      </c>
      <c r="C4474" s="21" t="s">
        <v>1162</v>
      </c>
      <c r="D4474" s="21" t="s">
        <v>1144</v>
      </c>
      <c r="E4474" s="22">
        <f>IF(D4474="?OLD","!!!","")</f>
        <v/>
      </c>
      <c r="F4474" s="23" t="str">
        <f>IF(OR(E4474="",E4474="!!!"),"",IF(NOT(ISNA(VLOOKUP(E4474,E$1:E4473,1,FALSE()))),"OLD",IF(AND(E4474&lt;&gt;"",E4474&lt;&gt;"!!!"),"NEW","")))</f>
        <v> </v>
      </c>
      <c r="G4474" s="24" t="str">
        <f>IF(OR(E4474="",E4474="!!!"),"",IF(OR(J4474=0,AND(J4474=1,K4474=1),AND(J4474=1,I4474="SBJ"),AND(J4474=1,I4474=0)),"?IN_FOCUS",IF(J4474&lt;=2,"?ACTIVATED",IF(J4474&lt;&gt;"","?FAMILIAR",IF(F4474="NEW",IF(ISNA(VLOOKUP(E4474,#REF!,1,FALSE())),"?TYPE_IDENTIFIABLE","?REFERENTIAL"),"_")))))</f>
        <v> </v>
      </c>
      <c r="H4474" s="25" t="str">
        <f>IF(J4474&lt;&gt;1,"",IF(I4474="SBJ","CB","?"))</f>
        <v> </v>
      </c>
      <c r="I4474" s="26" t="str">
        <f>IF(OR(E4474="",E4474="!!!",F4474="NEW"),"",INDEX(B4473:B$2,-1+SUMPRODUCT(MAX(ROW(E4473:E$2)*(E4474=E4473:E$2)))))</f>
        <v> </v>
      </c>
      <c r="J4474" s="26" t="str">
        <f>IF(OR(E4474="",E4474="!!!",F4474="NEW"),"",COUNTBLANK(OFFSET(A$1,,,SUMPRODUCT(MAX(ROW(E$2:E4474)*(E4474=E$2:E4474)))))-COUNTBLANK(OFFSET(A$1,,,SUMPRODUCT(MAX(ROW(E$1:E4473)*(E2=E$1:E4473))))))</f>
        <v> </v>
      </c>
      <c r="K4474" s="26" t="str">
        <f>IF(OR(E4474="",E4474="!!!",F4474="NEW"),"",INDEX(J$1:J4473,SUMPRODUCT(MAX(ROW(E$1:E4473)*(E4474=E$1:E4473)))))</f>
        <v> </v>
      </c>
      <c r="L4474" s="27"/>
    </row>
    <row r="4475" spans="1:12">
      <c r="A4475" s="20" t="s">
        <v>165</v>
      </c>
      <c r="E4475" s="22">
        <f>IF(D4475="?OLD","!!!","")</f>
        <v/>
      </c>
      <c r="F4475" s="23" t="str">
        <f>IF(OR(E4475="",E4475="!!!"),"",IF(NOT(ISNA(VLOOKUP(E4475,E$1:E4474,1,FALSE()))),"OLD",IF(AND(E4475&lt;&gt;"",E4475&lt;&gt;"!!!"),"NEW","")))</f>
        <v> </v>
      </c>
      <c r="G4475" s="24" t="str">
        <f>IF(OR(E4475="",E4475="!!!"),"",IF(OR(J4475=0,AND(J4475=1,K4475=1),AND(J4475=1,I4475="SBJ"),AND(J4475=1,I4475=0)),"?IN_FOCUS",IF(J4475&lt;=2,"?ACTIVATED",IF(J4475&lt;&gt;"","?FAMILIAR",IF(F4475="NEW",IF(ISNA(VLOOKUP(E4475,#REF!,1,FALSE())),"?TYPE_IDENTIFIABLE","?REFERENTIAL"),"_")))))</f>
        <v> </v>
      </c>
      <c r="H4475" s="25" t="str">
        <f>IF(J4475&lt;&gt;1,"",IF(I4475="SBJ","CB","?"))</f>
        <v> </v>
      </c>
      <c r="I4475" s="26" t="str">
        <f>IF(OR(E4475="",E4475="!!!",F4475="NEW"),"",INDEX(B4474:B$2,-1+SUMPRODUCT(MAX(ROW(E4474:E$2)*(E4475=E4474:E$2)))))</f>
        <v> </v>
      </c>
      <c r="J4475" s="26" t="str">
        <f>IF(OR(E4475="",E4475="!!!",F4475="NEW"),"",COUNTBLANK(OFFSET(A$1,,,SUMPRODUCT(MAX(ROW(E$2:E4475)*(E4475=E$2:E4475)))))-COUNTBLANK(OFFSET(A$1,,,SUMPRODUCT(MAX(ROW(E$1:E4474)*(E2=E$1:E4474))))))</f>
        <v> </v>
      </c>
      <c r="K4475" s="26" t="str">
        <f>IF(OR(E4475="",E4475="!!!",F4475="NEW"),"",INDEX(J$1:J4474,SUMPRODUCT(MAX(ROW(E$1:E4474)*(E4475=E$1:E4474)))))</f>
        <v> </v>
      </c>
      <c r="L4475" s="27"/>
    </row>
    <row r="4476" spans="1:12">
      <c r="A4476" s="20" t="s">
        <v>1246</v>
      </c>
      <c r="E4476" s="22">
        <f>IF(D4476="?OLD","!!!","")</f>
        <v/>
      </c>
      <c r="F4476" s="23" t="str">
        <f>IF(OR(E4476="",E4476="!!!"),"",IF(NOT(ISNA(VLOOKUP(E4476,E$1:E4475,1,FALSE()))),"OLD",IF(AND(E4476&lt;&gt;"",E4476&lt;&gt;"!!!"),"NEW","")))</f>
        <v> </v>
      </c>
      <c r="G4476" s="24" t="str">
        <f>IF(OR(E4476="",E4476="!!!"),"",IF(OR(J4476=0,AND(J4476=1,K4476=1),AND(J4476=1,I4476="SBJ"),AND(J4476=1,I4476=0)),"?IN_FOCUS",IF(J4476&lt;=2,"?ACTIVATED",IF(J4476&lt;&gt;"","?FAMILIAR",IF(F4476="NEW",IF(ISNA(VLOOKUP(E4476,#REF!,1,FALSE())),"?TYPE_IDENTIFIABLE","?REFERENTIAL"),"_")))))</f>
        <v> </v>
      </c>
      <c r="H4476" s="25" t="str">
        <f>IF(J4476&lt;&gt;1,"",IF(I4476="SBJ","CB","?"))</f>
        <v> </v>
      </c>
      <c r="I4476" s="26" t="str">
        <f>IF(OR(E4476="",E4476="!!!",F4476="NEW"),"",INDEX(B4475:B$2,-1+SUMPRODUCT(MAX(ROW(E4475:E$2)*(E4476=E4475:E$2)))))</f>
        <v> </v>
      </c>
      <c r="J4476" s="26" t="str">
        <f>IF(OR(E4476="",E4476="!!!",F4476="NEW"),"",COUNTBLANK(OFFSET(A$1,,,SUMPRODUCT(MAX(ROW(E$2:E4476)*(E4476=E$2:E4476)))))-COUNTBLANK(OFFSET(A$1,,,SUMPRODUCT(MAX(ROW(E$1:E4475)*(E2=E$1:E4475))))))</f>
        <v> </v>
      </c>
      <c r="K4476" s="26" t="str">
        <f>IF(OR(E4476="",E4476="!!!",F4476="NEW"),"",INDEX(J$1:J4475,SUMPRODUCT(MAX(ROW(E$1:E4475)*(E4476=E$1:E4475)))))</f>
        <v> </v>
      </c>
      <c r="L4476" s="27"/>
    </row>
    <row r="4477" spans="1:12">
      <c r="A4477" s="20" t="s">
        <v>2430</v>
      </c>
      <c r="E4477" s="22">
        <f>IF(D4477="?OLD","!!!","")</f>
        <v/>
      </c>
      <c r="F4477" s="23" t="str">
        <f>IF(OR(E4477="",E4477="!!!"),"",IF(NOT(ISNA(VLOOKUP(E4477,E$1:E4476,1,FALSE()))),"OLD",IF(AND(E4477&lt;&gt;"",E4477&lt;&gt;"!!!"),"NEW","")))</f>
        <v> </v>
      </c>
      <c r="G4477" s="24" t="str">
        <f>IF(OR(E4477="",E4477="!!!"),"",IF(OR(J4477=0,AND(J4477=1,K4477=1),AND(J4477=1,I4477="SBJ"),AND(J4477=1,I4477=0)),"?IN_FOCUS",IF(J4477&lt;=2,"?ACTIVATED",IF(J4477&lt;&gt;"","?FAMILIAR",IF(F4477="NEW",IF(ISNA(VLOOKUP(E4477,#REF!,1,FALSE())),"?TYPE_IDENTIFIABLE","?REFERENTIAL"),"_")))))</f>
        <v> </v>
      </c>
      <c r="H4477" s="25" t="str">
        <f>IF(J4477&lt;&gt;1,"",IF(I4477="SBJ","CB","?"))</f>
        <v> </v>
      </c>
      <c r="I4477" s="26" t="str">
        <f>IF(OR(E4477="",E4477="!!!",F4477="NEW"),"",INDEX(B4476:B$2,-1+SUMPRODUCT(MAX(ROW(E4476:E$2)*(E4477=E4476:E$2)))))</f>
        <v> </v>
      </c>
      <c r="J4477" s="26" t="str">
        <f>IF(OR(E4477="",E4477="!!!",F4477="NEW"),"",COUNTBLANK(OFFSET(A$1,,,SUMPRODUCT(MAX(ROW(E$2:E4477)*(E4477=E$2:E4477)))))-COUNTBLANK(OFFSET(A$1,,,SUMPRODUCT(MAX(ROW(E$1:E4476)*(E2=E$1:E4476))))))</f>
        <v> </v>
      </c>
      <c r="K4477" s="26" t="str">
        <f>IF(OR(E4477="",E4477="!!!",F4477="NEW"),"",INDEX(J$1:J4476,SUMPRODUCT(MAX(ROW(E$1:E4476)*(E4477=E$1:E4476)))))</f>
        <v> </v>
      </c>
      <c r="L4477" s="27"/>
    </row>
    <row r="4478" spans="1:12">
      <c r="A4478" s="20" t="s">
        <v>312</v>
      </c>
      <c r="E4478" s="22">
        <f>IF(D4478="?OLD","!!!","")</f>
        <v/>
      </c>
      <c r="F4478" s="23" t="str">
        <f>IF(OR(E4478="",E4478="!!!"),"",IF(NOT(ISNA(VLOOKUP(E4478,E$1:E4477,1,FALSE()))),"OLD",IF(AND(E4478&lt;&gt;"",E4478&lt;&gt;"!!!"),"NEW","")))</f>
        <v> </v>
      </c>
      <c r="G4478" s="24" t="str">
        <f>IF(OR(E4478="",E4478="!!!"),"",IF(OR(J4478=0,AND(J4478=1,K4478=1),AND(J4478=1,I4478="SBJ"),AND(J4478=1,I4478=0)),"?IN_FOCUS",IF(J4478&lt;=2,"?ACTIVATED",IF(J4478&lt;&gt;"","?FAMILIAR",IF(F4478="NEW",IF(ISNA(VLOOKUP(E4478,#REF!,1,FALSE())),"?TYPE_IDENTIFIABLE","?REFERENTIAL"),"_")))))</f>
        <v> </v>
      </c>
      <c r="H4478" s="25" t="str">
        <f>IF(J4478&lt;&gt;1,"",IF(I4478="SBJ","CB","?"))</f>
        <v> </v>
      </c>
      <c r="I4478" s="26" t="str">
        <f>IF(OR(E4478="",E4478="!!!",F4478="NEW"),"",INDEX(B4477:B$2,-1+SUMPRODUCT(MAX(ROW(E4477:E$2)*(E4478=E4477:E$2)))))</f>
        <v> </v>
      </c>
      <c r="J4478" s="26" t="str">
        <f>IF(OR(E4478="",E4478="!!!",F4478="NEW"),"",COUNTBLANK(OFFSET(A$1,,,SUMPRODUCT(MAX(ROW(E$2:E4478)*(E4478=E$2:E4478)))))-COUNTBLANK(OFFSET(A$1,,,SUMPRODUCT(MAX(ROW(E$1:E4477)*(E2=E$1:E4477))))))</f>
        <v> </v>
      </c>
      <c r="K4478" s="26" t="str">
        <f>IF(OR(E4478="",E4478="!!!",F4478="NEW"),"",INDEX(J$1:J4477,SUMPRODUCT(MAX(ROW(E$1:E4477)*(E4478=E$1:E4477)))))</f>
        <v> </v>
      </c>
      <c r="L4478" s="27"/>
    </row>
    <row r="4479" spans="1:12">
      <c r="A4479" s="20"/>
    </row>
    <row r="4480" spans="1:12">
      <c r="A4480" s="20" t="s">
        <v>1558</v>
      </c>
      <c r="E4480" s="22">
        <f>IF(D4480="?OLD","!!!","")</f>
        <v/>
      </c>
      <c r="F4480" s="23" t="str">
        <f>IF(OR(E4480="",E4480="!!!"),"",IF(NOT(ISNA(VLOOKUP(E4480,E$1:E4479,1,FALSE()))),"OLD",IF(AND(E4480&lt;&gt;"",E4480&lt;&gt;"!!!"),"NEW","")))</f>
        <v> </v>
      </c>
      <c r="G4480" s="24" t="str">
        <f>IF(OR(E4480="",E4480="!!!"),"",IF(OR(J4480=0,AND(J4480=1,K4480=1),AND(J4480=1,I4480="SBJ"),AND(J4480=1,I4480=0)),"?IN_FOCUS",IF(J4480&lt;=2,"?ACTIVATED",IF(J4480&lt;&gt;"","?FAMILIAR",IF(F4480="NEW",IF(ISNA(VLOOKUP(E4480,#REF!,1,FALSE())),"?TYPE_IDENTIFIABLE","?REFERENTIAL"),"_")))))</f>
        <v> </v>
      </c>
      <c r="H4480" s="25" t="str">
        <f>IF(J4480&lt;&gt;1,"",IF(I4480="SBJ","CB","?"))</f>
        <v> </v>
      </c>
      <c r="I4480" s="26" t="str">
        <f>IF(OR(E4480="",E4480="!!!",F4480="NEW"),"",INDEX(B4479:B$2,-1+SUMPRODUCT(MAX(ROW(E4479:E$2)*(E4480=E4479:E$2)))))</f>
        <v> </v>
      </c>
      <c r="J4480" s="26" t="str">
        <f>IF(OR(E4480="",E4480="!!!",F4480="NEW"),"",COUNTBLANK(OFFSET(A$1,,,SUMPRODUCT(MAX(ROW(E$2:E4480)*(E4480=E$2:E4480)))))-COUNTBLANK(OFFSET(A$1,,,SUMPRODUCT(MAX(ROW(E$1:E4479)*(E2=E$1:E4479))))))</f>
        <v> </v>
      </c>
      <c r="K4480" s="26" t="str">
        <f>IF(OR(E4480="",E4480="!!!",F4480="NEW"),"",INDEX(J$1:J4479,SUMPRODUCT(MAX(ROW(E$1:E4479)*(E4480=E$1:E4479)))))</f>
        <v> </v>
      </c>
      <c r="L4480" s="27"/>
    </row>
    <row r="4481" spans="1:12">
      <c r="A4481" s="20" t="s">
        <v>2431</v>
      </c>
    </row>
    <row r="4482" spans="1:12">
      <c r="A4482" s="20" t="s">
        <v>2432</v>
      </c>
      <c r="B4482" s="21" t="s">
        <v>1165</v>
      </c>
      <c r="C4482" s="21" t="s">
        <v>1143</v>
      </c>
      <c r="D4482" s="21" t="s">
        <v>1144</v>
      </c>
      <c r="E4482" s="22">
        <f>IF(D4482="?OLD","!!!","")</f>
        <v/>
      </c>
      <c r="F4482" s="23" t="str">
        <f>IF(OR(E4482="",E4482="!!!"),"",IF(NOT(ISNA(VLOOKUP(E4482,E$1:E4481,1,FALSE()))),"OLD",IF(AND(E4482&lt;&gt;"",E4482&lt;&gt;"!!!"),"NEW","")))</f>
        <v> </v>
      </c>
      <c r="G4482" s="24" t="str">
        <f>IF(OR(E4482="",E4482="!!!"),"",IF(OR(J4482=0,AND(J4482=1,K4482=1),AND(J4482=1,I4482="SBJ"),AND(J4482=1,I4482=0)),"?IN_FOCUS",IF(J4482&lt;=2,"?ACTIVATED",IF(J4482&lt;&gt;"","?FAMILIAR",IF(F4482="NEW",IF(ISNA(VLOOKUP(E4482,#REF!,1,FALSE())),"?TYPE_IDENTIFIABLE","?REFERENTIAL"),"_")))))</f>
        <v> </v>
      </c>
      <c r="H4482" s="25" t="str">
        <f>IF(J4482&lt;&gt;1,"",IF(I4482="SBJ","CB","?"))</f>
        <v> </v>
      </c>
      <c r="I4482" s="26" t="str">
        <f>IF(OR(E4482="",E4482="!!!",F4482="NEW"),"",INDEX(B4481:B$2,-1+SUMPRODUCT(MAX(ROW(E4481:E$2)*(E4482=E4481:E$2)))))</f>
        <v> </v>
      </c>
      <c r="J4482" s="26" t="str">
        <f>IF(OR(E4482="",E4482="!!!",F4482="NEW"),"",COUNTBLANK(OFFSET(A$1,,,SUMPRODUCT(MAX(ROW(E$2:E4482)*(E4482=E$2:E4482)))))-COUNTBLANK(OFFSET(A$1,,,SUMPRODUCT(MAX(ROW(E$1:E4481)*(E2=E$1:E4481))))))</f>
        <v> </v>
      </c>
      <c r="K4482" s="26" t="str">
        <f>IF(OR(E4482="",E4482="!!!",F4482="NEW"),"",INDEX(J$1:J4481,SUMPRODUCT(MAX(ROW(E$1:E4481)*(E4482=E$1:E4481)))))</f>
        <v> </v>
      </c>
      <c r="L4482" s="27"/>
    </row>
    <row r="4483" spans="1:12">
      <c r="A4483" s="20" t="s">
        <v>2433</v>
      </c>
      <c r="E4483" s="22">
        <f>IF(D4483="?OLD","!!!","")</f>
        <v/>
      </c>
      <c r="F4483" s="23" t="str">
        <f>IF(OR(E4483="",E4483="!!!"),"",IF(NOT(ISNA(VLOOKUP(E4483,E$1:E4482,1,FALSE()))),"OLD",IF(AND(E4483&lt;&gt;"",E4483&lt;&gt;"!!!"),"NEW","")))</f>
        <v> </v>
      </c>
      <c r="G4483" s="24" t="str">
        <f>IF(OR(E4483="",E4483="!!!"),"",IF(OR(J4483=0,AND(J4483=1,K4483=1),AND(J4483=1,I4483="SBJ"),AND(J4483=1,I4483=0)),"?IN_FOCUS",IF(J4483&lt;=2,"?ACTIVATED",IF(J4483&lt;&gt;"","?FAMILIAR",IF(F4483="NEW",IF(ISNA(VLOOKUP(E4483,#REF!,1,FALSE())),"?TYPE_IDENTIFIABLE","?REFERENTIAL"),"_")))))</f>
        <v> </v>
      </c>
      <c r="H4483" s="25" t="str">
        <f>IF(J4483&lt;&gt;1,"",IF(I4483="SBJ","CB","?"))</f>
        <v> </v>
      </c>
      <c r="I4483" s="26" t="str">
        <f>IF(OR(E4483="",E4483="!!!",F4483="NEW"),"",INDEX(B4482:B$2,-1+SUMPRODUCT(MAX(ROW(E4482:E$2)*(E4483=E4482:E$2)))))</f>
        <v> </v>
      </c>
      <c r="J4483" s="26" t="str">
        <f>IF(OR(E4483="",E4483="!!!",F4483="NEW"),"",COUNTBLANK(OFFSET(A$1,,,SUMPRODUCT(MAX(ROW(E$2:E4483)*(E4483=E$2:E4483)))))-COUNTBLANK(OFFSET(A$1,,,SUMPRODUCT(MAX(ROW(E$1:E4482)*(E2=E$1:E4482))))))</f>
        <v> </v>
      </c>
      <c r="K4483" s="26" t="str">
        <f>IF(OR(E4483="",E4483="!!!",F4483="NEW"),"",INDEX(J$1:J4482,SUMPRODUCT(MAX(ROW(E$1:E4482)*(E4483=E$1:E4482)))))</f>
        <v> </v>
      </c>
      <c r="L4483" s="27"/>
    </row>
    <row r="4484" spans="1:12">
      <c r="A4484" s="20" t="s">
        <v>1203</v>
      </c>
      <c r="E4484" s="22">
        <f>IF(D4484="?OLD","!!!","")</f>
        <v/>
      </c>
      <c r="F4484" s="23" t="str">
        <f>IF(OR(E4484="",E4484="!!!"),"",IF(NOT(ISNA(VLOOKUP(E4484,E$1:E4483,1,FALSE()))),"OLD",IF(AND(E4484&lt;&gt;"",E4484&lt;&gt;"!!!"),"NEW","")))</f>
        <v> </v>
      </c>
      <c r="G4484" s="24" t="str">
        <f>IF(OR(E4484="",E4484="!!!"),"",IF(OR(J4484=0,AND(J4484=1,K4484=1),AND(J4484=1,I4484="SBJ"),AND(J4484=1,I4484=0)),"?IN_FOCUS",IF(J4484&lt;=2,"?ACTIVATED",IF(J4484&lt;&gt;"","?FAMILIAR",IF(F4484="NEW",IF(ISNA(VLOOKUP(E4484,#REF!,1,FALSE())),"?TYPE_IDENTIFIABLE","?REFERENTIAL"),"_")))))</f>
        <v> </v>
      </c>
      <c r="H4484" s="25" t="str">
        <f>IF(J4484&lt;&gt;1,"",IF(I4484="SBJ","CB","?"))</f>
        <v> </v>
      </c>
      <c r="I4484" s="26" t="str">
        <f>IF(OR(E4484="",E4484="!!!",F4484="NEW"),"",INDEX(B4483:B$2,-1+SUMPRODUCT(MAX(ROW(E4483:E$2)*(E4484=E4483:E$2)))))</f>
        <v> </v>
      </c>
      <c r="J4484" s="26" t="str">
        <f>IF(OR(E4484="",E4484="!!!",F4484="NEW"),"",COUNTBLANK(OFFSET(A$1,,,SUMPRODUCT(MAX(ROW(E$2:E4484)*(E4484=E$2:E4484)))))-COUNTBLANK(OFFSET(A$1,,,SUMPRODUCT(MAX(ROW(E$1:E4483)*(E2=E$1:E4483))))))</f>
        <v> </v>
      </c>
      <c r="K4484" s="26" t="str">
        <f>IF(OR(E4484="",E4484="!!!",F4484="NEW"),"",INDEX(J$1:J4483,SUMPRODUCT(MAX(ROW(E$1:E4483)*(E4484=E$1:E4483)))))</f>
        <v> </v>
      </c>
      <c r="L4484" s="27"/>
    </row>
    <row r="4485" spans="1:12">
      <c r="A4485" s="20" t="s">
        <v>2434</v>
      </c>
      <c r="B4485" s="21" t="s">
        <v>1171</v>
      </c>
      <c r="C4485" s="21" t="s">
        <v>1143</v>
      </c>
      <c r="D4485" s="21" t="s">
        <v>1144</v>
      </c>
      <c r="E4485" s="22">
        <f>IF(D4485="?OLD","!!!","")</f>
        <v/>
      </c>
      <c r="F4485" s="23" t="str">
        <f>IF(OR(E4485="",E4485="!!!"),"",IF(NOT(ISNA(VLOOKUP(E4485,E$1:E4484,1,FALSE()))),"OLD",IF(AND(E4485&lt;&gt;"",E4485&lt;&gt;"!!!"),"NEW","")))</f>
        <v> </v>
      </c>
      <c r="G4485" s="24" t="str">
        <f>IF(OR(E4485="",E4485="!!!"),"",IF(OR(J4485=0,AND(J4485=1,K4485=1),AND(J4485=1,I4485="SBJ"),AND(J4485=1,I4485=0)),"?IN_FOCUS",IF(J4485&lt;=2,"?ACTIVATED",IF(J4485&lt;&gt;"","?FAMILIAR",IF(F4485="NEW",IF(ISNA(VLOOKUP(E4485,#REF!,1,FALSE())),"?TYPE_IDENTIFIABLE","?REFERENTIAL"),"_")))))</f>
        <v> </v>
      </c>
      <c r="H4485" s="25" t="str">
        <f>IF(J4485&lt;&gt;1,"",IF(I4485="SBJ","CB","?"))</f>
        <v> </v>
      </c>
      <c r="I4485" s="26" t="str">
        <f>IF(OR(E4485="",E4485="!!!",F4485="NEW"),"",INDEX(B4484:B$2,-1+SUMPRODUCT(MAX(ROW(E4484:E$2)*(E4485=E4484:E$2)))))</f>
        <v> </v>
      </c>
      <c r="J4485" s="26" t="str">
        <f>IF(OR(E4485="",E4485="!!!",F4485="NEW"),"",COUNTBLANK(OFFSET(A$1,,,SUMPRODUCT(MAX(ROW(E$2:E4485)*(E4485=E$2:E4485)))))-COUNTBLANK(OFFSET(A$1,,,SUMPRODUCT(MAX(ROW(E$1:E4484)*(E2=E$1:E4484))))))</f>
        <v> </v>
      </c>
      <c r="K4485" s="26" t="str">
        <f>IF(OR(E4485="",E4485="!!!",F4485="NEW"),"",INDEX(J$1:J4484,SUMPRODUCT(MAX(ROW(E$1:E4484)*(E4485=E$1:E4484)))))</f>
        <v> </v>
      </c>
      <c r="L4485" s="27"/>
    </row>
    <row r="4486" spans="1:12">
      <c r="A4486" s="20" t="s">
        <v>2435</v>
      </c>
      <c r="E4486" s="22">
        <f>IF(D4486="?OLD","!!!","")</f>
        <v/>
      </c>
      <c r="F4486" s="23" t="str">
        <f>IF(OR(E4486="",E4486="!!!"),"",IF(NOT(ISNA(VLOOKUP(E4486,E$1:E4485,1,FALSE()))),"OLD",IF(AND(E4486&lt;&gt;"",E4486&lt;&gt;"!!!"),"NEW","")))</f>
        <v> </v>
      </c>
      <c r="G4486" s="24" t="str">
        <f>IF(OR(E4486="",E4486="!!!"),"",IF(OR(J4486=0,AND(J4486=1,K4486=1),AND(J4486=1,I4486="SBJ"),AND(J4486=1,I4486=0)),"?IN_FOCUS",IF(J4486&lt;=2,"?ACTIVATED",IF(J4486&lt;&gt;"","?FAMILIAR",IF(F4486="NEW",IF(ISNA(VLOOKUP(E4486,#REF!,1,FALSE())),"?TYPE_IDENTIFIABLE","?REFERENTIAL"),"_")))))</f>
        <v> </v>
      </c>
      <c r="H4486" s="25" t="str">
        <f>IF(J4486&lt;&gt;1,"",IF(I4486="SBJ","CB","?"))</f>
        <v> </v>
      </c>
      <c r="I4486" s="26" t="str">
        <f>IF(OR(E4486="",E4486="!!!",F4486="NEW"),"",INDEX(B4485:B$2,-1+SUMPRODUCT(MAX(ROW(E4485:E$2)*(E4486=E4485:E$2)))))</f>
        <v> </v>
      </c>
      <c r="J4486" s="26" t="str">
        <f>IF(OR(E4486="",E4486="!!!",F4486="NEW"),"",COUNTBLANK(OFFSET(A$1,,,SUMPRODUCT(MAX(ROW(E$2:E4486)*(E4486=E$2:E4486)))))-COUNTBLANK(OFFSET(A$1,,,SUMPRODUCT(MAX(ROW(E$1:E4485)*(E2=E$1:E4485))))))</f>
        <v> </v>
      </c>
      <c r="K4486" s="26" t="str">
        <f>IF(OR(E4486="",E4486="!!!",F4486="NEW"),"",INDEX(J$1:J4485,SUMPRODUCT(MAX(ROW(E$1:E4485)*(E4486=E$1:E4485)))))</f>
        <v> </v>
      </c>
      <c r="L4486" s="27"/>
    </row>
    <row r="4487" spans="1:12">
      <c r="A4487" s="20" t="s">
        <v>2426</v>
      </c>
      <c r="E4487" s="22">
        <f>IF(D4487="?OLD","!!!","")</f>
        <v/>
      </c>
      <c r="F4487" s="23" t="str">
        <f>IF(OR(E4487="",E4487="!!!"),"",IF(NOT(ISNA(VLOOKUP(E4487,E$1:E4486,1,FALSE()))),"OLD",IF(AND(E4487&lt;&gt;"",E4487&lt;&gt;"!!!"),"NEW","")))</f>
        <v> </v>
      </c>
      <c r="G4487" s="24" t="str">
        <f>IF(OR(E4487="",E4487="!!!"),"",IF(OR(J4487=0,AND(J4487=1,K4487=1),AND(J4487=1,I4487="SBJ"),AND(J4487=1,I4487=0)),"?IN_FOCUS",IF(J4487&lt;=2,"?ACTIVATED",IF(J4487&lt;&gt;"","?FAMILIAR",IF(F4487="NEW",IF(ISNA(VLOOKUP(E4487,#REF!,1,FALSE())),"?TYPE_IDENTIFIABLE","?REFERENTIAL"),"_")))))</f>
        <v> </v>
      </c>
      <c r="H4487" s="25" t="str">
        <f>IF(J4487&lt;&gt;1,"",IF(I4487="SBJ","CB","?"))</f>
        <v> </v>
      </c>
      <c r="I4487" s="26" t="str">
        <f>IF(OR(E4487="",E4487="!!!",F4487="NEW"),"",INDEX(B4486:B$2,-1+SUMPRODUCT(MAX(ROW(E4486:E$2)*(E4487=E4486:E$2)))))</f>
        <v> </v>
      </c>
      <c r="J4487" s="26" t="str">
        <f>IF(OR(E4487="",E4487="!!!",F4487="NEW"),"",COUNTBLANK(OFFSET(A$1,,,SUMPRODUCT(MAX(ROW(E$2:E4487)*(E4487=E$2:E4487)))))-COUNTBLANK(OFFSET(A$1,,,SUMPRODUCT(MAX(ROW(E$1:E4486)*(E2=E$1:E4486))))))</f>
        <v> </v>
      </c>
      <c r="K4487" s="26" t="str">
        <f>IF(OR(E4487="",E4487="!!!",F4487="NEW"),"",INDEX(J$1:J4486,SUMPRODUCT(MAX(ROW(E$1:E4486)*(E4487=E$1:E4486)))))</f>
        <v> </v>
      </c>
      <c r="L4487" s="27"/>
    </row>
    <row r="4488" spans="1:12">
      <c r="A4488" s="20" t="s">
        <v>1565</v>
      </c>
      <c r="E4488" s="22">
        <f>IF(D4488="?OLD","!!!","")</f>
        <v/>
      </c>
      <c r="F4488" s="23" t="str">
        <f>IF(OR(E4488="",E4488="!!!"),"",IF(NOT(ISNA(VLOOKUP(E4488,E$1:E4487,1,FALSE()))),"OLD",IF(AND(E4488&lt;&gt;"",E4488&lt;&gt;"!!!"),"NEW","")))</f>
        <v> </v>
      </c>
      <c r="G4488" s="24" t="str">
        <f>IF(OR(E4488="",E4488="!!!"),"",IF(OR(J4488=0,AND(J4488=1,K4488=1),AND(J4488=1,I4488="SBJ"),AND(J4488=1,I4488=0)),"?IN_FOCUS",IF(J4488&lt;=2,"?ACTIVATED",IF(J4488&lt;&gt;"","?FAMILIAR",IF(F4488="NEW",IF(ISNA(VLOOKUP(E4488,#REF!,1,FALSE())),"?TYPE_IDENTIFIABLE","?REFERENTIAL"),"_")))))</f>
        <v> </v>
      </c>
      <c r="H4488" s="25" t="str">
        <f>IF(J4488&lt;&gt;1,"",IF(I4488="SBJ","CB","?"))</f>
        <v> </v>
      </c>
      <c r="I4488" s="26" t="str">
        <f>IF(OR(E4488="",E4488="!!!",F4488="NEW"),"",INDEX(B4487:B$2,-1+SUMPRODUCT(MAX(ROW(E4487:E$2)*(E4488=E4487:E$2)))))</f>
        <v> </v>
      </c>
      <c r="J4488" s="26" t="str">
        <f>IF(OR(E4488="",E4488="!!!",F4488="NEW"),"",COUNTBLANK(OFFSET(A$1,,,SUMPRODUCT(MAX(ROW(E$2:E4488)*(E4488=E$2:E4488)))))-COUNTBLANK(OFFSET(A$1,,,SUMPRODUCT(MAX(ROW(E$1:E4487)*(E2=E$1:E4487))))))</f>
        <v> </v>
      </c>
      <c r="K4488" s="26" t="str">
        <f>IF(OR(E4488="",E4488="!!!",F4488="NEW"),"",INDEX(J$1:J4487,SUMPRODUCT(MAX(ROW(E$1:E4487)*(E4488=E$1:E4487)))))</f>
        <v> </v>
      </c>
      <c r="L4488" s="27"/>
    </row>
    <row r="4489" spans="1:12">
      <c r="A4489" s="20" t="s">
        <v>2436</v>
      </c>
      <c r="B4489" s="21" t="s">
        <v>1154</v>
      </c>
      <c r="C4489" s="21" t="s">
        <v>1187</v>
      </c>
      <c r="E4489" s="22">
        <f>IF(D4489="?OLD","!!!","")</f>
        <v/>
      </c>
      <c r="F4489" s="23" t="str">
        <f>IF(OR(E4489="",E4489="!!!"),"",IF(NOT(ISNA(VLOOKUP(E4489,E$1:E4488,1,FALSE()))),"OLD",IF(AND(E4489&lt;&gt;"",E4489&lt;&gt;"!!!"),"NEW","")))</f>
        <v> </v>
      </c>
      <c r="G4489" s="24" t="str">
        <f>IF(OR(E4489="",E4489="!!!"),"",IF(OR(J4489=0,AND(J4489=1,K4489=1),AND(J4489=1,I4489="SBJ"),AND(J4489=1,I4489=0)),"?IN_FOCUS",IF(J4489&lt;=2,"?ACTIVATED",IF(J4489&lt;&gt;"","?FAMILIAR",IF(F4489="NEW",IF(ISNA(VLOOKUP(E4489,#REF!,1,FALSE())),"?TYPE_IDENTIFIABLE","?REFERENTIAL"),"_")))))</f>
        <v> </v>
      </c>
      <c r="H4489" s="25" t="str">
        <f>IF(J4489&lt;&gt;1,"",IF(I4489="SBJ","CB","?"))</f>
        <v> </v>
      </c>
      <c r="I4489" s="26" t="str">
        <f>IF(OR(E4489="",E4489="!!!",F4489="NEW"),"",INDEX(B4488:B$2,-1+SUMPRODUCT(MAX(ROW(E4488:E$2)*(E4489=E4488:E$2)))))</f>
        <v> </v>
      </c>
      <c r="J4489" s="26" t="str">
        <f>IF(OR(E4489="",E4489="!!!",F4489="NEW"),"",COUNTBLANK(OFFSET(A$1,,,SUMPRODUCT(MAX(ROW(E$2:E4489)*(E4489=E$2:E4489)))))-COUNTBLANK(OFFSET(A$1,,,SUMPRODUCT(MAX(ROW(E$1:E4488)*(E2=E$1:E4488))))))</f>
        <v> </v>
      </c>
      <c r="K4489" s="26" t="str">
        <f>IF(OR(E4489="",E4489="!!!",F4489="NEW"),"",INDEX(J$1:J4488,SUMPRODUCT(MAX(ROW(E$1:E4488)*(E4489=E$1:E4488)))))</f>
        <v> </v>
      </c>
      <c r="L4489" s="27"/>
    </row>
    <row r="4490" spans="1:12">
      <c r="A4490" s="20" t="s">
        <v>1565</v>
      </c>
      <c r="E4490" s="22">
        <f>IF(D4490="?OLD","!!!","")</f>
        <v/>
      </c>
      <c r="F4490" s="23" t="str">
        <f>IF(OR(E4490="",E4490="!!!"),"",IF(NOT(ISNA(VLOOKUP(E4490,E$1:E4489,1,FALSE()))),"OLD",IF(AND(E4490&lt;&gt;"",E4490&lt;&gt;"!!!"),"NEW","")))</f>
        <v> </v>
      </c>
      <c r="G4490" s="24" t="str">
        <f>IF(OR(E4490="",E4490="!!!"),"",IF(OR(J4490=0,AND(J4490=1,K4490=1),AND(J4490=1,I4490="SBJ"),AND(J4490=1,I4490=0)),"?IN_FOCUS",IF(J4490&lt;=2,"?ACTIVATED",IF(J4490&lt;&gt;"","?FAMILIAR",IF(F4490="NEW",IF(ISNA(VLOOKUP(E4490,#REF!,1,FALSE())),"?TYPE_IDENTIFIABLE","?REFERENTIAL"),"_")))))</f>
        <v> </v>
      </c>
      <c r="H4490" s="25" t="str">
        <f>IF(J4490&lt;&gt;1,"",IF(I4490="SBJ","CB","?"))</f>
        <v> </v>
      </c>
      <c r="I4490" s="26" t="str">
        <f>IF(OR(E4490="",E4490="!!!",F4490="NEW"),"",INDEX(B4489:B$2,-1+SUMPRODUCT(MAX(ROW(E4489:E$2)*(E4490=E4489:E$2)))))</f>
        <v> </v>
      </c>
      <c r="J4490" s="26" t="str">
        <f>IF(OR(E4490="",E4490="!!!",F4490="NEW"),"",COUNTBLANK(OFFSET(A$1,,,SUMPRODUCT(MAX(ROW(E$2:E4490)*(E4490=E$2:E4490)))))-COUNTBLANK(OFFSET(A$1,,,SUMPRODUCT(MAX(ROW(E$1:E4489)*(E2=E$1:E4489))))))</f>
        <v> </v>
      </c>
      <c r="K4490" s="26" t="str">
        <f>IF(OR(E4490="",E4490="!!!",F4490="NEW"),"",INDEX(J$1:J4489,SUMPRODUCT(MAX(ROW(E$1:E4489)*(E4490=E$1:E4489)))))</f>
        <v> </v>
      </c>
      <c r="L4490" s="27"/>
    </row>
    <row r="4491" spans="1:12">
      <c r="A4491" s="20" t="s">
        <v>312</v>
      </c>
      <c r="E4491" s="22">
        <f>IF(D4491="?OLD","!!!","")</f>
        <v/>
      </c>
      <c r="F4491" s="23" t="str">
        <f>IF(OR(E4491="",E4491="!!!"),"",IF(NOT(ISNA(VLOOKUP(E4491,E$1:E4490,1,FALSE()))),"OLD",IF(AND(E4491&lt;&gt;"",E4491&lt;&gt;"!!!"),"NEW","")))</f>
        <v> </v>
      </c>
      <c r="G4491" s="24" t="str">
        <f>IF(OR(E4491="",E4491="!!!"),"",IF(OR(J4491=0,AND(J4491=1,K4491=1),AND(J4491=1,I4491="SBJ"),AND(J4491=1,I4491=0)),"?IN_FOCUS",IF(J4491&lt;=2,"?ACTIVATED",IF(J4491&lt;&gt;"","?FAMILIAR",IF(F4491="NEW",IF(ISNA(VLOOKUP(E4491,#REF!,1,FALSE())),"?TYPE_IDENTIFIABLE","?REFERENTIAL"),"_")))))</f>
        <v> </v>
      </c>
      <c r="H4491" s="25" t="str">
        <f>IF(J4491&lt;&gt;1,"",IF(I4491="SBJ","CB","?"))</f>
        <v> </v>
      </c>
      <c r="I4491" s="26" t="str">
        <f>IF(OR(E4491="",E4491="!!!",F4491="NEW"),"",INDEX(B4490:B$2,-1+SUMPRODUCT(MAX(ROW(E4490:E$2)*(E4491=E4490:E$2)))))</f>
        <v> </v>
      </c>
      <c r="J4491" s="26" t="str">
        <f>IF(OR(E4491="",E4491="!!!",F4491="NEW"),"",COUNTBLANK(OFFSET(A$1,,,SUMPRODUCT(MAX(ROW(E$2:E4491)*(E4491=E$2:E4491)))))-COUNTBLANK(OFFSET(A$1,,,SUMPRODUCT(MAX(ROW(E$1:E4490)*(E2=E$1:E4490))))))</f>
        <v> </v>
      </c>
      <c r="K4491" s="26" t="str">
        <f>IF(OR(E4491="",E4491="!!!",F4491="NEW"),"",INDEX(J$1:J4490,SUMPRODUCT(MAX(ROW(E$1:E4490)*(E4491=E$1:E4490)))))</f>
        <v> </v>
      </c>
      <c r="L4491" s="27"/>
    </row>
    <row r="4492" spans="1:12">
      <c r="A4492" s="20"/>
    </row>
    <row r="4493" spans="1:12">
      <c r="A4493" s="20" t="s">
        <v>2437</v>
      </c>
    </row>
    <row r="4494" spans="1:12">
      <c r="A4494" s="20" t="s">
        <v>2417</v>
      </c>
      <c r="B4494" s="21" t="s">
        <v>1171</v>
      </c>
      <c r="C4494" s="21" t="s">
        <v>1182</v>
      </c>
      <c r="E4494" s="22">
        <f>IF(D4494="?OLD","!!!","")</f>
        <v/>
      </c>
      <c r="F4494" s="23" t="str">
        <f>IF(OR(E4494="",E4494="!!!"),"",IF(NOT(ISNA(VLOOKUP(E4494,E$1:E4493,1,FALSE()))),"OLD",IF(AND(E4494&lt;&gt;"",E4494&lt;&gt;"!!!"),"NEW","")))</f>
        <v> </v>
      </c>
      <c r="G4494" s="24" t="str">
        <f>IF(OR(E4494="",E4494="!!!"),"",IF(OR(J4494=0,AND(J4494=1,K4494=1),AND(J4494=1,I4494="SBJ"),AND(J4494=1,I4494=0)),"?IN_FOCUS",IF(J4494&lt;=2,"?ACTIVATED",IF(J4494&lt;&gt;"","?FAMILIAR",IF(F4494="NEW",IF(ISNA(VLOOKUP(E4494,#REF!,1,FALSE())),"?TYPE_IDENTIFIABLE","?REFERENTIAL"),"_")))))</f>
        <v> </v>
      </c>
      <c r="H4494" s="25" t="str">
        <f>IF(J4494&lt;&gt;1,"",IF(I4494="SBJ","CB","?"))</f>
        <v> </v>
      </c>
      <c r="I4494" s="26" t="str">
        <f>IF(OR(E4494="",E4494="!!!",F4494="NEW"),"",INDEX(B4493:B$2,-1+SUMPRODUCT(MAX(ROW(E4493:E$2)*(E4494=E4493:E$2)))))</f>
        <v> </v>
      </c>
      <c r="J4494" s="26" t="str">
        <f>IF(OR(E4494="",E4494="!!!",F4494="NEW"),"",COUNTBLANK(OFFSET(A$1,,,SUMPRODUCT(MAX(ROW(E$2:E4494)*(E4494=E$2:E4494)))))-COUNTBLANK(OFFSET(A$1,,,SUMPRODUCT(MAX(ROW(E$1:E4493)*(E2=E$1:E4493))))))</f>
        <v> </v>
      </c>
      <c r="K4494" s="26" t="str">
        <f>IF(OR(E4494="",E4494="!!!",F4494="NEW"),"",INDEX(J$1:J4493,SUMPRODUCT(MAX(ROW(E$1:E4493)*(E4494=E$1:E4493)))))</f>
        <v> </v>
      </c>
      <c r="L4494" s="27"/>
    </row>
    <row r="4495" spans="1:12">
      <c r="A4495" s="20" t="s">
        <v>2418</v>
      </c>
      <c r="B4495" s="21" t="s">
        <v>1165</v>
      </c>
      <c r="C4495" s="21" t="s">
        <v>1187</v>
      </c>
      <c r="E4495" s="22">
        <f>IF(D4495="?OLD","!!!","")</f>
        <v/>
      </c>
      <c r="F4495" s="23" t="str">
        <f>IF(OR(E4495="",E4495="!!!"),"",IF(NOT(ISNA(VLOOKUP(E4495,E$1:E4494,1,FALSE()))),"OLD",IF(AND(E4495&lt;&gt;"",E4495&lt;&gt;"!!!"),"NEW","")))</f>
        <v> </v>
      </c>
      <c r="G4495" s="24" t="str">
        <f>IF(OR(E4495="",E4495="!!!"),"",IF(OR(J4495=0,AND(J4495=1,K4495=1),AND(J4495=1,I4495="SBJ"),AND(J4495=1,I4495=0)),"?IN_FOCUS",IF(J4495&lt;=2,"?ACTIVATED",IF(J4495&lt;&gt;"","?FAMILIAR",IF(F4495="NEW",IF(ISNA(VLOOKUP(E4495,#REF!,1,FALSE())),"?TYPE_IDENTIFIABLE","?REFERENTIAL"),"_")))))</f>
        <v> </v>
      </c>
      <c r="H4495" s="25" t="str">
        <f>IF(J4495&lt;&gt;1,"",IF(I4495="SBJ","CB","?"))</f>
        <v> </v>
      </c>
      <c r="I4495" s="26" t="str">
        <f>IF(OR(E4495="",E4495="!!!",F4495="NEW"),"",INDEX(B4494:B$2,-1+SUMPRODUCT(MAX(ROW(E4494:E$2)*(E4495=E4494:E$2)))))</f>
        <v> </v>
      </c>
      <c r="J4495" s="26" t="str">
        <f>IF(OR(E4495="",E4495="!!!",F4495="NEW"),"",COUNTBLANK(OFFSET(A$1,,,SUMPRODUCT(MAX(ROW(E$2:E4495)*(E4495=E$2:E4495)))))-COUNTBLANK(OFFSET(A$1,,,SUMPRODUCT(MAX(ROW(E$1:E4494)*(E2=E$1:E4494))))))</f>
        <v> </v>
      </c>
      <c r="K4495" s="26" t="str">
        <f>IF(OR(E4495="",E4495="!!!",F4495="NEW"),"",INDEX(J$1:J4494,SUMPRODUCT(MAX(ROW(E$1:E4494)*(E4495=E$1:E4494)))))</f>
        <v> </v>
      </c>
      <c r="L4495" s="27"/>
    </row>
    <row r="4496" spans="1:12">
      <c r="A4496" s="20" t="s">
        <v>12</v>
      </c>
      <c r="E4496" s="22">
        <f>IF(D4496="?OLD","!!!","")</f>
        <v/>
      </c>
      <c r="F4496" s="23" t="str">
        <f>IF(OR(E4496="",E4496="!!!"),"",IF(NOT(ISNA(VLOOKUP(E4496,E$1:E4495,1,FALSE()))),"OLD",IF(AND(E4496&lt;&gt;"",E4496&lt;&gt;"!!!"),"NEW","")))</f>
        <v> </v>
      </c>
      <c r="G4496" s="24" t="str">
        <f>IF(OR(E4496="",E4496="!!!"),"",IF(OR(J4496=0,AND(J4496=1,K4496=1),AND(J4496=1,I4496="SBJ"),AND(J4496=1,I4496=0)),"?IN_FOCUS",IF(J4496&lt;=2,"?ACTIVATED",IF(J4496&lt;&gt;"","?FAMILIAR",IF(F4496="NEW",IF(ISNA(VLOOKUP(E4496,#REF!,1,FALSE())),"?TYPE_IDENTIFIABLE","?REFERENTIAL"),"_")))))</f>
        <v> </v>
      </c>
      <c r="H4496" s="25" t="str">
        <f>IF(J4496&lt;&gt;1,"",IF(I4496="SBJ","CB","?"))</f>
        <v> </v>
      </c>
      <c r="I4496" s="26" t="str">
        <f>IF(OR(E4496="",E4496="!!!",F4496="NEW"),"",INDEX(B4495:B$2,-1+SUMPRODUCT(MAX(ROW(E4495:E$2)*(E4496=E4495:E$2)))))</f>
        <v> </v>
      </c>
      <c r="J4496" s="26" t="str">
        <f>IF(OR(E4496="",E4496="!!!",F4496="NEW"),"",COUNTBLANK(OFFSET(A$1,,,SUMPRODUCT(MAX(ROW(E$2:E4496)*(E4496=E$2:E4496)))))-COUNTBLANK(OFFSET(A$1,,,SUMPRODUCT(MAX(ROW(E$1:E4495)*(E2=E$1:E4495))))))</f>
        <v> </v>
      </c>
      <c r="K4496" s="26" t="str">
        <f>IF(OR(E4496="",E4496="!!!",F4496="NEW"),"",INDEX(J$1:J4495,SUMPRODUCT(MAX(ROW(E$1:E4495)*(E4496=E$1:E4495)))))</f>
        <v> </v>
      </c>
      <c r="L4496" s="27"/>
    </row>
    <row r="4497" spans="1:12">
      <c r="A4497" s="20" t="s">
        <v>1246</v>
      </c>
      <c r="E4497" s="22">
        <f>IF(D4497="?OLD","!!!","")</f>
        <v/>
      </c>
      <c r="F4497" s="23" t="str">
        <f>IF(OR(E4497="",E4497="!!!"),"",IF(NOT(ISNA(VLOOKUP(E4497,E$1:E4496,1,FALSE()))),"OLD",IF(AND(E4497&lt;&gt;"",E4497&lt;&gt;"!!!"),"NEW","")))</f>
        <v> </v>
      </c>
      <c r="G4497" s="24" t="str">
        <f>IF(OR(E4497="",E4497="!!!"),"",IF(OR(J4497=0,AND(J4497=1,K4497=1),AND(J4497=1,I4497="SBJ"),AND(J4497=1,I4497=0)),"?IN_FOCUS",IF(J4497&lt;=2,"?ACTIVATED",IF(J4497&lt;&gt;"","?FAMILIAR",IF(F4497="NEW",IF(ISNA(VLOOKUP(E4497,#REF!,1,FALSE())),"?TYPE_IDENTIFIABLE","?REFERENTIAL"),"_")))))</f>
        <v> </v>
      </c>
      <c r="H4497" s="25" t="str">
        <f>IF(J4497&lt;&gt;1,"",IF(I4497="SBJ","CB","?"))</f>
        <v> </v>
      </c>
      <c r="I4497" s="26" t="str">
        <f>IF(OR(E4497="",E4497="!!!",F4497="NEW"),"",INDEX(B4496:B$2,-1+SUMPRODUCT(MAX(ROW(E4496:E$2)*(E4497=E4496:E$2)))))</f>
        <v> </v>
      </c>
      <c r="J4497" s="26" t="str">
        <f>IF(OR(E4497="",E4497="!!!",F4497="NEW"),"",COUNTBLANK(OFFSET(A$1,,,SUMPRODUCT(MAX(ROW(E$2:E4497)*(E4497=E$2:E4497)))))-COUNTBLANK(OFFSET(A$1,,,SUMPRODUCT(MAX(ROW(E$1:E4496)*(E2=E$1:E4496))))))</f>
        <v> </v>
      </c>
      <c r="K4497" s="26" t="str">
        <f>IF(OR(E4497="",E4497="!!!",F4497="NEW"),"",INDEX(J$1:J4496,SUMPRODUCT(MAX(ROW(E$1:E4496)*(E4497=E$1:E4496)))))</f>
        <v> </v>
      </c>
      <c r="L4497" s="27"/>
    </row>
    <row r="4498" spans="1:12">
      <c r="A4498" s="20" t="s">
        <v>2438</v>
      </c>
      <c r="B4498" s="21" t="s">
        <v>1154</v>
      </c>
      <c r="C4498" s="21" t="s">
        <v>1168</v>
      </c>
      <c r="D4498" s="21" t="s">
        <v>1144</v>
      </c>
      <c r="E4498" s="22">
        <f>IF(D4498="?OLD","!!!","")</f>
        <v/>
      </c>
      <c r="F4498" s="23" t="str">
        <f>IF(OR(E4498="",E4498="!!!"),"",IF(NOT(ISNA(VLOOKUP(E4498,E$1:E4497,1,FALSE()))),"OLD",IF(AND(E4498&lt;&gt;"",E4498&lt;&gt;"!!!"),"NEW","")))</f>
        <v> </v>
      </c>
      <c r="G4498" s="24" t="str">
        <f>IF(OR(E4498="",E4498="!!!"),"",IF(OR(J4498=0,AND(J4498=1,K4498=1),AND(J4498=1,I4498="SBJ"),AND(J4498=1,I4498=0)),"?IN_FOCUS",IF(J4498&lt;=2,"?ACTIVATED",IF(J4498&lt;&gt;"","?FAMILIAR",IF(F4498="NEW",IF(ISNA(VLOOKUP(E4498,#REF!,1,FALSE())),"?TYPE_IDENTIFIABLE","?REFERENTIAL"),"_")))))</f>
        <v> </v>
      </c>
      <c r="H4498" s="25" t="str">
        <f>IF(J4498&lt;&gt;1,"",IF(I4498="SBJ","CB","?"))</f>
        <v> </v>
      </c>
      <c r="I4498" s="26" t="str">
        <f>IF(OR(E4498="",E4498="!!!",F4498="NEW"),"",INDEX(B4497:B$2,-1+SUMPRODUCT(MAX(ROW(E4497:E$2)*(E4498=E4497:E$2)))))</f>
        <v> </v>
      </c>
      <c r="J4498" s="26" t="str">
        <f>IF(OR(E4498="",E4498="!!!",F4498="NEW"),"",COUNTBLANK(OFFSET(A$1,,,SUMPRODUCT(MAX(ROW(E$2:E4498)*(E4498=E$2:E4498)))))-COUNTBLANK(OFFSET(A$1,,,SUMPRODUCT(MAX(ROW(E$1:E4497)*(E2=E$1:E4497))))))</f>
        <v> </v>
      </c>
      <c r="K4498" s="26" t="str">
        <f>IF(OR(E4498="",E4498="!!!",F4498="NEW"),"",INDEX(J$1:J4497,SUMPRODUCT(MAX(ROW(E$1:E4497)*(E4498=E$1:E4497)))))</f>
        <v> </v>
      </c>
      <c r="L4498" s="27"/>
    </row>
    <row r="4499" spans="1:12">
      <c r="A4499" s="20" t="s">
        <v>1198</v>
      </c>
      <c r="B4499" s="21" t="s">
        <v>1142</v>
      </c>
      <c r="C4499" s="21" t="s">
        <v>1151</v>
      </c>
      <c r="D4499" s="21" t="s">
        <v>1144</v>
      </c>
      <c r="E4499" s="22">
        <f>IF(D4499="?OLD","!!!","")</f>
        <v/>
      </c>
      <c r="F4499" s="23" t="str">
        <f>IF(OR(E4499="",E4499="!!!"),"",IF(NOT(ISNA(VLOOKUP(E4499,E$1:E4498,1,FALSE()))),"OLD",IF(AND(E4499&lt;&gt;"",E4499&lt;&gt;"!!!"),"NEW","")))</f>
        <v> </v>
      </c>
      <c r="G4499" s="24" t="str">
        <f>IF(OR(E4499="",E4499="!!!"),"",IF(OR(J4499=0,AND(J4499=1,K4499=1),AND(J4499=1,I4499="SBJ"),AND(J4499=1,I4499=0)),"?IN_FOCUS",IF(J4499&lt;=2,"?ACTIVATED",IF(J4499&lt;&gt;"","?FAMILIAR",IF(F4499="NEW",IF(ISNA(VLOOKUP(E4499,#REF!,1,FALSE())),"?TYPE_IDENTIFIABLE","?REFERENTIAL"),"_")))))</f>
        <v> </v>
      </c>
      <c r="H4499" s="25" t="str">
        <f>IF(J4499&lt;&gt;1,"",IF(I4499="SBJ","CB","?"))</f>
        <v> </v>
      </c>
      <c r="I4499" s="26" t="str">
        <f>IF(OR(E4499="",E4499="!!!",F4499="NEW"),"",INDEX(B4498:B$2,-1+SUMPRODUCT(MAX(ROW(E4498:E$2)*(E4499=E4498:E$2)))))</f>
        <v> </v>
      </c>
      <c r="J4499" s="26" t="str">
        <f>IF(OR(E4499="",E4499="!!!",F4499="NEW"),"",COUNTBLANK(OFFSET(A$1,,,SUMPRODUCT(MAX(ROW(E$2:E4499)*(E4499=E$2:E4499)))))-COUNTBLANK(OFFSET(A$1,,,SUMPRODUCT(MAX(ROW(E$1:E4498)*(E2=E$1:E4498))))))</f>
        <v> </v>
      </c>
      <c r="K4499" s="26" t="str">
        <f>IF(OR(E4499="",E4499="!!!",F4499="NEW"),"",INDEX(J$1:J4498,SUMPRODUCT(MAX(ROW(E$1:E4498)*(E4499=E$1:E4498)))))</f>
        <v> </v>
      </c>
      <c r="L4499" s="27"/>
    </row>
    <row r="4500" spans="1:12">
      <c r="A4500" s="20" t="s">
        <v>1529</v>
      </c>
      <c r="B4500" s="21" t="s">
        <v>1150</v>
      </c>
      <c r="E4500" s="22">
        <f>IF(D4500="?OLD","!!!","")</f>
        <v/>
      </c>
      <c r="F4500" s="23" t="str">
        <f>IF(OR(E4500="",E4500="!!!"),"",IF(NOT(ISNA(VLOOKUP(E4500,E$1:E4499,1,FALSE()))),"OLD",IF(AND(E4500&lt;&gt;"",E4500&lt;&gt;"!!!"),"NEW","")))</f>
        <v> </v>
      </c>
      <c r="G4500" s="24" t="str">
        <f>IF(OR(E4500="",E4500="!!!"),"",IF(OR(J4500=0,AND(J4500=1,K4500=1),AND(J4500=1,I4500="SBJ"),AND(J4500=1,I4500=0)),"?IN_FOCUS",IF(J4500&lt;=2,"?ACTIVATED",IF(J4500&lt;&gt;"","?FAMILIAR",IF(F4500="NEW",IF(ISNA(VLOOKUP(E4500,#REF!,1,FALSE())),"?TYPE_IDENTIFIABLE","?REFERENTIAL"),"_")))))</f>
        <v> </v>
      </c>
      <c r="H4500" s="25" t="str">
        <f>IF(J4500&lt;&gt;1,"",IF(I4500="SBJ","CB","?"))</f>
        <v> </v>
      </c>
      <c r="I4500" s="26" t="str">
        <f>IF(OR(E4500="",E4500="!!!",F4500="NEW"),"",INDEX(B4499:B$2,-1+SUMPRODUCT(MAX(ROW(E4499:E$2)*(E4500=E4499:E$2)))))</f>
        <v> </v>
      </c>
      <c r="J4500" s="26" t="str">
        <f>IF(OR(E4500="",E4500="!!!",F4500="NEW"),"",COUNTBLANK(OFFSET(A$1,,,SUMPRODUCT(MAX(ROW(E$2:E4500)*(E4500=E$2:E4500)))))-COUNTBLANK(OFFSET(A$1,,,SUMPRODUCT(MAX(ROW(E$1:E4499)*(E2=E$1:E4499))))))</f>
        <v> </v>
      </c>
      <c r="K4500" s="26" t="str">
        <f>IF(OR(E4500="",E4500="!!!",F4500="NEW"),"",INDEX(J$1:J4499,SUMPRODUCT(MAX(ROW(E$1:E4499)*(E4500=E$1:E4499)))))</f>
        <v> </v>
      </c>
      <c r="L4500" s="27"/>
    </row>
    <row r="4501" spans="1:12">
      <c r="A4501" s="20" t="s">
        <v>1432</v>
      </c>
      <c r="E4501" s="22">
        <f>IF(D4501="?OLD","!!!","")</f>
        <v/>
      </c>
      <c r="F4501" s="23" t="str">
        <f>IF(OR(E4501="",E4501="!!!"),"",IF(NOT(ISNA(VLOOKUP(E4501,E$1:E4500,1,FALSE()))),"OLD",IF(AND(E4501&lt;&gt;"",E4501&lt;&gt;"!!!"),"NEW","")))</f>
        <v> </v>
      </c>
      <c r="G4501" s="24" t="str">
        <f>IF(OR(E4501="",E4501="!!!"),"",IF(OR(J4501=0,AND(J4501=1,K4501=1),AND(J4501=1,I4501="SBJ"),AND(J4501=1,I4501=0)),"?IN_FOCUS",IF(J4501&lt;=2,"?ACTIVATED",IF(J4501&lt;&gt;"","?FAMILIAR",IF(F4501="NEW",IF(ISNA(VLOOKUP(E4501,#REF!,1,FALSE())),"?TYPE_IDENTIFIABLE","?REFERENTIAL"),"_")))))</f>
        <v> </v>
      </c>
      <c r="H4501" s="25" t="str">
        <f>IF(J4501&lt;&gt;1,"",IF(I4501="SBJ","CB","?"))</f>
        <v> </v>
      </c>
      <c r="I4501" s="26" t="str">
        <f>IF(OR(E4501="",E4501="!!!",F4501="NEW"),"",INDEX(B4500:B$2,-1+SUMPRODUCT(MAX(ROW(E4500:E$2)*(E4501=E4500:E$2)))))</f>
        <v> </v>
      </c>
      <c r="J4501" s="26" t="str">
        <f>IF(OR(E4501="",E4501="!!!",F4501="NEW"),"",COUNTBLANK(OFFSET(A$1,,,SUMPRODUCT(MAX(ROW(E$2:E4501)*(E4501=E$2:E4501)))))-COUNTBLANK(OFFSET(A$1,,,SUMPRODUCT(MAX(ROW(E$1:E4500)*(E2=E$1:E4500))))))</f>
        <v> </v>
      </c>
      <c r="K4501" s="26" t="str">
        <f>IF(OR(E4501="",E4501="!!!",F4501="NEW"),"",INDEX(J$1:J4500,SUMPRODUCT(MAX(ROW(E$1:E4500)*(E4501=E$1:E4500)))))</f>
        <v> </v>
      </c>
      <c r="L4501" s="27"/>
    </row>
    <row r="4502" spans="1:12">
      <c r="A4502" s="20" t="s">
        <v>1159</v>
      </c>
      <c r="E4502" s="22">
        <f>IF(D4502="?OLD","!!!","")</f>
        <v/>
      </c>
      <c r="F4502" s="23" t="str">
        <f>IF(OR(E4502="",E4502="!!!"),"",IF(NOT(ISNA(VLOOKUP(E4502,E$1:E4501,1,FALSE()))),"OLD",IF(AND(E4502&lt;&gt;"",E4502&lt;&gt;"!!!"),"NEW","")))</f>
        <v> </v>
      </c>
      <c r="G4502" s="24" t="str">
        <f>IF(OR(E4502="",E4502="!!!"),"",IF(OR(J4502=0,AND(J4502=1,K4502=1),AND(J4502=1,I4502="SBJ"),AND(J4502=1,I4502=0)),"?IN_FOCUS",IF(J4502&lt;=2,"?ACTIVATED",IF(J4502&lt;&gt;"","?FAMILIAR",IF(F4502="NEW",IF(ISNA(VLOOKUP(E4502,#REF!,1,FALSE())),"?TYPE_IDENTIFIABLE","?REFERENTIAL"),"_")))))</f>
        <v> </v>
      </c>
      <c r="H4502" s="25" t="str">
        <f>IF(J4502&lt;&gt;1,"",IF(I4502="SBJ","CB","?"))</f>
        <v> </v>
      </c>
      <c r="I4502" s="26" t="str">
        <f>IF(OR(E4502="",E4502="!!!",F4502="NEW"),"",INDEX(B4501:B$2,-1+SUMPRODUCT(MAX(ROW(E4501:E$2)*(E4502=E4501:E$2)))))</f>
        <v> </v>
      </c>
      <c r="J4502" s="26" t="str">
        <f>IF(OR(E4502="",E4502="!!!",F4502="NEW"),"",COUNTBLANK(OFFSET(A$1,,,SUMPRODUCT(MAX(ROW(E$2:E4502)*(E4502=E$2:E4502)))))-COUNTBLANK(OFFSET(A$1,,,SUMPRODUCT(MAX(ROW(E$1:E4501)*(E2=E$1:E4501))))))</f>
        <v> </v>
      </c>
      <c r="K4502" s="26" t="str">
        <f>IF(OR(E4502="",E4502="!!!",F4502="NEW"),"",INDEX(J$1:J4501,SUMPRODUCT(MAX(ROW(E$1:E4501)*(E4502=E$1:E4501)))))</f>
        <v> </v>
      </c>
      <c r="L4502" s="27"/>
    </row>
    <row r="4503" spans="1:12">
      <c r="A4503" s="20" t="s">
        <v>2439</v>
      </c>
      <c r="B4503" s="21" t="s">
        <v>1171</v>
      </c>
      <c r="C4503" s="21" t="s">
        <v>1162</v>
      </c>
      <c r="D4503" s="21" t="s">
        <v>1144</v>
      </c>
      <c r="E4503" s="22">
        <f>IF(D4503="?OLD","!!!","")</f>
        <v/>
      </c>
      <c r="F4503" s="23" t="str">
        <f>IF(OR(E4503="",E4503="!!!"),"",IF(NOT(ISNA(VLOOKUP(E4503,E$1:E4502,1,FALSE()))),"OLD",IF(AND(E4503&lt;&gt;"",E4503&lt;&gt;"!!!"),"NEW","")))</f>
        <v> </v>
      </c>
      <c r="G4503" s="24" t="str">
        <f>IF(OR(E4503="",E4503="!!!"),"",IF(OR(J4503=0,AND(J4503=1,K4503=1),AND(J4503=1,I4503="SBJ"),AND(J4503=1,I4503=0)),"?IN_FOCUS",IF(J4503&lt;=2,"?ACTIVATED",IF(J4503&lt;&gt;"","?FAMILIAR",IF(F4503="NEW",IF(ISNA(VLOOKUP(E4503,#REF!,1,FALSE())),"?TYPE_IDENTIFIABLE","?REFERENTIAL"),"_")))))</f>
        <v> </v>
      </c>
      <c r="H4503" s="25" t="str">
        <f>IF(J4503&lt;&gt;1,"",IF(I4503="SBJ","CB","?"))</f>
        <v> </v>
      </c>
      <c r="I4503" s="26" t="str">
        <f>IF(OR(E4503="",E4503="!!!",F4503="NEW"),"",INDEX(B4502:B$2,-1+SUMPRODUCT(MAX(ROW(E4502:E$2)*(E4503=E4502:E$2)))))</f>
        <v> </v>
      </c>
      <c r="J4503" s="26" t="str">
        <f>IF(OR(E4503="",E4503="!!!",F4503="NEW"),"",COUNTBLANK(OFFSET(A$1,,,SUMPRODUCT(MAX(ROW(E$2:E4503)*(E4503=E$2:E4503)))))-COUNTBLANK(OFFSET(A$1,,,SUMPRODUCT(MAX(ROW(E$1:E4502)*(E2=E$1:E4502))))))</f>
        <v> </v>
      </c>
      <c r="K4503" s="26" t="str">
        <f>IF(OR(E4503="",E4503="!!!",F4503="NEW"),"",INDEX(J$1:J4502,SUMPRODUCT(MAX(ROW(E$1:E4502)*(E4503=E$1:E4502)))))</f>
        <v> </v>
      </c>
      <c r="L4503" s="27"/>
    </row>
    <row r="4504" spans="1:12">
      <c r="A4504" s="20" t="s">
        <v>12</v>
      </c>
      <c r="E4504" s="22">
        <f>IF(D4504="?OLD","!!!","")</f>
        <v/>
      </c>
      <c r="F4504" s="23" t="str">
        <f>IF(OR(E4504="",E4504="!!!"),"",IF(NOT(ISNA(VLOOKUP(E4504,E$1:E4503,1,FALSE()))),"OLD",IF(AND(E4504&lt;&gt;"",E4504&lt;&gt;"!!!"),"NEW","")))</f>
        <v> </v>
      </c>
      <c r="G4504" s="24" t="str">
        <f>IF(OR(E4504="",E4504="!!!"),"",IF(OR(J4504=0,AND(J4504=1,K4504=1),AND(J4504=1,I4504="SBJ"),AND(J4504=1,I4504=0)),"?IN_FOCUS",IF(J4504&lt;=2,"?ACTIVATED",IF(J4504&lt;&gt;"","?FAMILIAR",IF(F4504="NEW",IF(ISNA(VLOOKUP(E4504,#REF!,1,FALSE())),"?TYPE_IDENTIFIABLE","?REFERENTIAL"),"_")))))</f>
        <v> </v>
      </c>
      <c r="H4504" s="25" t="str">
        <f>IF(J4504&lt;&gt;1,"",IF(I4504="SBJ","CB","?"))</f>
        <v> </v>
      </c>
      <c r="I4504" s="26" t="str">
        <f>IF(OR(E4504="",E4504="!!!",F4504="NEW"),"",INDEX(B4503:B$2,-1+SUMPRODUCT(MAX(ROW(E4503:E$2)*(E4504=E4503:E$2)))))</f>
        <v> </v>
      </c>
      <c r="J4504" s="26" t="str">
        <f>IF(OR(E4504="",E4504="!!!",F4504="NEW"),"",COUNTBLANK(OFFSET(A$1,,,SUMPRODUCT(MAX(ROW(E$2:E4504)*(E4504=E$2:E4504)))))-COUNTBLANK(OFFSET(A$1,,,SUMPRODUCT(MAX(ROW(E$1:E4503)*(E2=E$1:E4503))))))</f>
        <v> </v>
      </c>
      <c r="K4504" s="26" t="str">
        <f>IF(OR(E4504="",E4504="!!!",F4504="NEW"),"",INDEX(J$1:J4503,SUMPRODUCT(MAX(ROW(E$1:E4503)*(E4504=E$1:E4503)))))</f>
        <v> </v>
      </c>
      <c r="L4504" s="27"/>
    </row>
    <row r="4505" spans="1:12">
      <c r="A4505" s="20" t="s">
        <v>1148</v>
      </c>
      <c r="E4505" s="22">
        <f>IF(D4505="?OLD","!!!","")</f>
        <v/>
      </c>
      <c r="F4505" s="23" t="str">
        <f>IF(OR(E4505="",E4505="!!!"),"",IF(NOT(ISNA(VLOOKUP(E4505,E$1:E4504,1,FALSE()))),"OLD",IF(AND(E4505&lt;&gt;"",E4505&lt;&gt;"!!!"),"NEW","")))</f>
        <v> </v>
      </c>
      <c r="G4505" s="24" t="str">
        <f>IF(OR(E4505="",E4505="!!!"),"",IF(OR(J4505=0,AND(J4505=1,K4505=1),AND(J4505=1,I4505="SBJ"),AND(J4505=1,I4505=0)),"?IN_FOCUS",IF(J4505&lt;=2,"?ACTIVATED",IF(J4505&lt;&gt;"","?FAMILIAR",IF(F4505="NEW",IF(ISNA(VLOOKUP(E4505,#REF!,1,FALSE())),"?TYPE_IDENTIFIABLE","?REFERENTIAL"),"_")))))</f>
        <v> </v>
      </c>
      <c r="H4505" s="25" t="str">
        <f>IF(J4505&lt;&gt;1,"",IF(I4505="SBJ","CB","?"))</f>
        <v> </v>
      </c>
      <c r="I4505" s="26" t="str">
        <f>IF(OR(E4505="",E4505="!!!",F4505="NEW"),"",INDEX(B4504:B$2,-1+SUMPRODUCT(MAX(ROW(E4504:E$2)*(E4505=E4504:E$2)))))</f>
        <v> </v>
      </c>
      <c r="J4505" s="26" t="str">
        <f>IF(OR(E4505="",E4505="!!!",F4505="NEW"),"",COUNTBLANK(OFFSET(A$1,,,SUMPRODUCT(MAX(ROW(E$2:E4505)*(E4505=E$2:E4505)))))-COUNTBLANK(OFFSET(A$1,,,SUMPRODUCT(MAX(ROW(E$1:E4504)*(E2=E$1:E4504))))))</f>
        <v> </v>
      </c>
      <c r="K4505" s="26" t="str">
        <f>IF(OR(E4505="",E4505="!!!",F4505="NEW"),"",INDEX(J$1:J4504,SUMPRODUCT(MAX(ROW(E$1:E4504)*(E4505=E$1:E4504)))))</f>
        <v> </v>
      </c>
      <c r="L4505" s="27"/>
    </row>
    <row r="4506" spans="1:12">
      <c r="A4506" s="20" t="s">
        <v>1362</v>
      </c>
      <c r="B4506" s="21" t="s">
        <v>1165</v>
      </c>
      <c r="E4506" s="22">
        <f>IF(D4506="?OLD","!!!","")</f>
        <v/>
      </c>
      <c r="F4506" s="23" t="str">
        <f>IF(OR(E4506="",E4506="!!!"),"",IF(NOT(ISNA(VLOOKUP(E4506,E$1:E4505,1,FALSE()))),"OLD",IF(AND(E4506&lt;&gt;"",E4506&lt;&gt;"!!!"),"NEW","")))</f>
        <v> </v>
      </c>
      <c r="G4506" s="24" t="str">
        <f>IF(OR(E4506="",E4506="!!!"),"",IF(OR(J4506=0,AND(J4506=1,K4506=1),AND(J4506=1,I4506="SBJ"),AND(J4506=1,I4506=0)),"?IN_FOCUS",IF(J4506&lt;=2,"?ACTIVATED",IF(J4506&lt;&gt;"","?FAMILIAR",IF(F4506="NEW",IF(ISNA(VLOOKUP(E4506,#REF!,1,FALSE())),"?TYPE_IDENTIFIABLE","?REFERENTIAL"),"_")))))</f>
        <v> </v>
      </c>
      <c r="H4506" s="25" t="str">
        <f>IF(J4506&lt;&gt;1,"",IF(I4506="SBJ","CB","?"))</f>
        <v> </v>
      </c>
      <c r="I4506" s="26" t="str">
        <f>IF(OR(E4506="",E4506="!!!",F4506="NEW"),"",INDEX(B4505:B$2,-1+SUMPRODUCT(MAX(ROW(E4505:E$2)*(E4506=E4505:E$2)))))</f>
        <v> </v>
      </c>
      <c r="J4506" s="26" t="str">
        <f>IF(OR(E4506="",E4506="!!!",F4506="NEW"),"",COUNTBLANK(OFFSET(A$1,,,SUMPRODUCT(MAX(ROW(E$2:E4506)*(E4506=E$2:E4506)))))-COUNTBLANK(OFFSET(A$1,,,SUMPRODUCT(MAX(ROW(E$1:E4505)*(E2=E$1:E4505))))))</f>
        <v> </v>
      </c>
      <c r="K4506" s="26" t="str">
        <f>IF(OR(E4506="",E4506="!!!",F4506="NEW"),"",INDEX(J$1:J4505,SUMPRODUCT(MAX(ROW(E$1:E4505)*(E4506=E$1:E4505)))))</f>
        <v> </v>
      </c>
      <c r="L4506" s="27"/>
    </row>
    <row r="4507" spans="1:12">
      <c r="A4507" s="20" t="s">
        <v>2440</v>
      </c>
      <c r="E4507" s="22">
        <f>IF(D4507="?OLD","!!!","")</f>
        <v/>
      </c>
      <c r="F4507" s="23" t="str">
        <f>IF(OR(E4507="",E4507="!!!"),"",IF(NOT(ISNA(VLOOKUP(E4507,E$1:E4506,1,FALSE()))),"OLD",IF(AND(E4507&lt;&gt;"",E4507&lt;&gt;"!!!"),"NEW","")))</f>
        <v> </v>
      </c>
      <c r="G4507" s="24" t="str">
        <f>IF(OR(E4507="",E4507="!!!"),"",IF(OR(J4507=0,AND(J4507=1,K4507=1),AND(J4507=1,I4507="SBJ"),AND(J4507=1,I4507=0)),"?IN_FOCUS",IF(J4507&lt;=2,"?ACTIVATED",IF(J4507&lt;&gt;"","?FAMILIAR",IF(F4507="NEW",IF(ISNA(VLOOKUP(E4507,#REF!,1,FALSE())),"?TYPE_IDENTIFIABLE","?REFERENTIAL"),"_")))))</f>
        <v> </v>
      </c>
      <c r="H4507" s="25" t="str">
        <f>IF(J4507&lt;&gt;1,"",IF(I4507="SBJ","CB","?"))</f>
        <v> </v>
      </c>
      <c r="I4507" s="26" t="str">
        <f>IF(OR(E4507="",E4507="!!!",F4507="NEW"),"",INDEX(B4506:B$2,-1+SUMPRODUCT(MAX(ROW(E4506:E$2)*(E4507=E4506:E$2)))))</f>
        <v> </v>
      </c>
      <c r="J4507" s="26" t="str">
        <f>IF(OR(E4507="",E4507="!!!",F4507="NEW"),"",COUNTBLANK(OFFSET(A$1,,,SUMPRODUCT(MAX(ROW(E$2:E4507)*(E4507=E$2:E4507)))))-COUNTBLANK(OFFSET(A$1,,,SUMPRODUCT(MAX(ROW(E$1:E4506)*(E2=E$1:E4506))))))</f>
        <v> </v>
      </c>
      <c r="K4507" s="26" t="str">
        <f>IF(OR(E4507="",E4507="!!!",F4507="NEW"),"",INDEX(J$1:J4506,SUMPRODUCT(MAX(ROW(E$1:E4506)*(E4507=E$1:E4506)))))</f>
        <v> </v>
      </c>
      <c r="L4507" s="27"/>
    </row>
    <row r="4508" spans="1:12">
      <c r="A4508" s="20" t="s">
        <v>1166</v>
      </c>
      <c r="E4508" s="22">
        <f>IF(D4508="?OLD","!!!","")</f>
        <v/>
      </c>
      <c r="F4508" s="23" t="str">
        <f>IF(OR(E4508="",E4508="!!!"),"",IF(NOT(ISNA(VLOOKUP(E4508,E$1:E4507,1,FALSE()))),"OLD",IF(AND(E4508&lt;&gt;"",E4508&lt;&gt;"!!!"),"NEW","")))</f>
        <v> </v>
      </c>
      <c r="G4508" s="24" t="str">
        <f>IF(OR(E4508="",E4508="!!!"),"",IF(OR(J4508=0,AND(J4508=1,K4508=1),AND(J4508=1,I4508="SBJ"),AND(J4508=1,I4508=0)),"?IN_FOCUS",IF(J4508&lt;=2,"?ACTIVATED",IF(J4508&lt;&gt;"","?FAMILIAR",IF(F4508="NEW",IF(ISNA(VLOOKUP(E4508,#REF!,1,FALSE())),"?TYPE_IDENTIFIABLE","?REFERENTIAL"),"_")))))</f>
        <v> </v>
      </c>
      <c r="H4508" s="25" t="str">
        <f>IF(J4508&lt;&gt;1,"",IF(I4508="SBJ","CB","?"))</f>
        <v> </v>
      </c>
      <c r="I4508" s="26" t="str">
        <f>IF(OR(E4508="",E4508="!!!",F4508="NEW"),"",INDEX(B4507:B$2,-1+SUMPRODUCT(MAX(ROW(E4507:E$2)*(E4508=E4507:E$2)))))</f>
        <v> </v>
      </c>
      <c r="J4508" s="26" t="str">
        <f>IF(OR(E4508="",E4508="!!!",F4508="NEW"),"",COUNTBLANK(OFFSET(A$1,,,SUMPRODUCT(MAX(ROW(E$2:E4508)*(E4508=E$2:E4508)))))-COUNTBLANK(OFFSET(A$1,,,SUMPRODUCT(MAX(ROW(E$1:E4507)*(E2=E$1:E4507))))))</f>
        <v> </v>
      </c>
      <c r="K4508" s="26" t="str">
        <f>IF(OR(E4508="",E4508="!!!",F4508="NEW"),"",INDEX(J$1:J4507,SUMPRODUCT(MAX(ROW(E$1:E4507)*(E4508=E$1:E4507)))))</f>
        <v> </v>
      </c>
      <c r="L4508" s="27"/>
    </row>
    <row r="4509" spans="1:12">
      <c r="A4509" s="20" t="s">
        <v>1219</v>
      </c>
      <c r="E4509" s="22">
        <f>IF(D4509="?OLD","!!!","")</f>
        <v/>
      </c>
      <c r="F4509" s="23" t="str">
        <f>IF(OR(E4509="",E4509="!!!"),"",IF(NOT(ISNA(VLOOKUP(E4509,E$1:E4508,1,FALSE()))),"OLD",IF(AND(E4509&lt;&gt;"",E4509&lt;&gt;"!!!"),"NEW","")))</f>
        <v> </v>
      </c>
      <c r="G4509" s="24" t="str">
        <f>IF(OR(E4509="",E4509="!!!"),"",IF(OR(J4509=0,AND(J4509=1,K4509=1),AND(J4509=1,I4509="SBJ"),AND(J4509=1,I4509=0)),"?IN_FOCUS",IF(J4509&lt;=2,"?ACTIVATED",IF(J4509&lt;&gt;"","?FAMILIAR",IF(F4509="NEW",IF(ISNA(VLOOKUP(E4509,#REF!,1,FALSE())),"?TYPE_IDENTIFIABLE","?REFERENTIAL"),"_")))))</f>
        <v> </v>
      </c>
      <c r="H4509" s="25" t="str">
        <f>IF(J4509&lt;&gt;1,"",IF(I4509="SBJ","CB","?"))</f>
        <v> </v>
      </c>
      <c r="I4509" s="26" t="str">
        <f>IF(OR(E4509="",E4509="!!!",F4509="NEW"),"",INDEX(B4508:B$2,-1+SUMPRODUCT(MAX(ROW(E4508:E$2)*(E4509=E4508:E$2)))))</f>
        <v> </v>
      </c>
      <c r="J4509" s="26" t="str">
        <f>IF(OR(E4509="",E4509="!!!",F4509="NEW"),"",COUNTBLANK(OFFSET(A$1,,,SUMPRODUCT(MAX(ROW(E$2:E4509)*(E4509=E$2:E4509)))))-COUNTBLANK(OFFSET(A$1,,,SUMPRODUCT(MAX(ROW(E$1:E4508)*(E2=E$1:E4508))))))</f>
        <v> </v>
      </c>
      <c r="K4509" s="26" t="str">
        <f>IF(OR(E4509="",E4509="!!!",F4509="NEW"),"",INDEX(J$1:J4508,SUMPRODUCT(MAX(ROW(E$1:E4508)*(E4509=E$1:E4508)))))</f>
        <v> </v>
      </c>
      <c r="L4509" s="27"/>
    </row>
    <row r="4510" spans="1:12">
      <c r="A4510" s="20" t="s">
        <v>1238</v>
      </c>
      <c r="E4510" s="22">
        <f>IF(D4510="?OLD","!!!","")</f>
        <v/>
      </c>
      <c r="F4510" s="23" t="str">
        <f>IF(OR(E4510="",E4510="!!!"),"",IF(NOT(ISNA(VLOOKUP(E4510,E$1:E4509,1,FALSE()))),"OLD",IF(AND(E4510&lt;&gt;"",E4510&lt;&gt;"!!!"),"NEW","")))</f>
        <v> </v>
      </c>
      <c r="G4510" s="24" t="str">
        <f>IF(OR(E4510="",E4510="!!!"),"",IF(OR(J4510=0,AND(J4510=1,K4510=1),AND(J4510=1,I4510="SBJ"),AND(J4510=1,I4510=0)),"?IN_FOCUS",IF(J4510&lt;=2,"?ACTIVATED",IF(J4510&lt;&gt;"","?FAMILIAR",IF(F4510="NEW",IF(ISNA(VLOOKUP(E4510,#REF!,1,FALSE())),"?TYPE_IDENTIFIABLE","?REFERENTIAL"),"_")))))</f>
        <v> </v>
      </c>
      <c r="H4510" s="25" t="str">
        <f>IF(J4510&lt;&gt;1,"",IF(I4510="SBJ","CB","?"))</f>
        <v> </v>
      </c>
      <c r="I4510" s="26" t="str">
        <f>IF(OR(E4510="",E4510="!!!",F4510="NEW"),"",INDEX(B4509:B$2,-1+SUMPRODUCT(MAX(ROW(E4509:E$2)*(E4510=E4509:E$2)))))</f>
        <v> </v>
      </c>
      <c r="J4510" s="26" t="str">
        <f>IF(OR(E4510="",E4510="!!!",F4510="NEW"),"",COUNTBLANK(OFFSET(A$1,,,SUMPRODUCT(MAX(ROW(E$2:E4510)*(E4510=E$2:E4510)))))-COUNTBLANK(OFFSET(A$1,,,SUMPRODUCT(MAX(ROW(E$1:E4509)*(E2=E$1:E4509))))))</f>
        <v> </v>
      </c>
      <c r="K4510" s="26" t="str">
        <f>IF(OR(E4510="",E4510="!!!",F4510="NEW"),"",INDEX(J$1:J4509,SUMPRODUCT(MAX(ROW(E$1:E4509)*(E4510=E$1:E4509)))))</f>
        <v> </v>
      </c>
      <c r="L4510" s="27"/>
    </row>
    <row r="4511" spans="1:12">
      <c r="A4511" s="20" t="s">
        <v>1253</v>
      </c>
      <c r="B4511" s="21" t="s">
        <v>1171</v>
      </c>
      <c r="C4511" s="21" t="s">
        <v>1162</v>
      </c>
      <c r="D4511" s="21" t="s">
        <v>1144</v>
      </c>
      <c r="E4511" s="22">
        <f>IF(D4511="?OLD","!!!","")</f>
        <v/>
      </c>
      <c r="F4511" s="23" t="str">
        <f>IF(OR(E4511="",E4511="!!!"),"",IF(NOT(ISNA(VLOOKUP(E4511,E$1:E4510,1,FALSE()))),"OLD",IF(AND(E4511&lt;&gt;"",E4511&lt;&gt;"!!!"),"NEW","")))</f>
        <v> </v>
      </c>
      <c r="G4511" s="24" t="str">
        <f>IF(OR(E4511="",E4511="!!!"),"",IF(OR(J4511=0,AND(J4511=1,K4511=1),AND(J4511=1,I4511="SBJ"),AND(J4511=1,I4511=0)),"?IN_FOCUS",IF(J4511&lt;=2,"?ACTIVATED",IF(J4511&lt;&gt;"","?FAMILIAR",IF(F4511="NEW",IF(ISNA(VLOOKUP(E4511,#REF!,1,FALSE())),"?TYPE_IDENTIFIABLE","?REFERENTIAL"),"_")))))</f>
        <v> </v>
      </c>
      <c r="H4511" s="25" t="str">
        <f>IF(J4511&lt;&gt;1,"",IF(I4511="SBJ","CB","?"))</f>
        <v> </v>
      </c>
      <c r="I4511" s="26" t="str">
        <f>IF(OR(E4511="",E4511="!!!",F4511="NEW"),"",INDEX(B4510:B$2,-1+SUMPRODUCT(MAX(ROW(E4510:E$2)*(E4511=E4510:E$2)))))</f>
        <v> </v>
      </c>
      <c r="J4511" s="26" t="str">
        <f>IF(OR(E4511="",E4511="!!!",F4511="NEW"),"",COUNTBLANK(OFFSET(A$1,,,SUMPRODUCT(MAX(ROW(E$2:E4511)*(E4511=E$2:E4511)))))-COUNTBLANK(OFFSET(A$1,,,SUMPRODUCT(MAX(ROW(E$1:E4510)*(E2=E$1:E4510))))))</f>
        <v> </v>
      </c>
      <c r="K4511" s="26" t="str">
        <f>IF(OR(E4511="",E4511="!!!",F4511="NEW"),"",INDEX(J$1:J4510,SUMPRODUCT(MAX(ROW(E$1:E4510)*(E4511=E$1:E4510)))))</f>
        <v> </v>
      </c>
      <c r="L4511" s="27"/>
    </row>
    <row r="4512" spans="1:12">
      <c r="A4512" s="20" t="s">
        <v>2007</v>
      </c>
      <c r="E4512" s="22">
        <f>IF(D4512="?OLD","!!!","")</f>
        <v/>
      </c>
      <c r="F4512" s="23" t="str">
        <f>IF(OR(E4512="",E4512="!!!"),"",IF(NOT(ISNA(VLOOKUP(E4512,E$1:E4511,1,FALSE()))),"OLD",IF(AND(E4512&lt;&gt;"",E4512&lt;&gt;"!!!"),"NEW","")))</f>
        <v> </v>
      </c>
      <c r="G4512" s="24" t="str">
        <f>IF(OR(E4512="",E4512="!!!"),"",IF(OR(J4512=0,AND(J4512=1,K4512=1),AND(J4512=1,I4512="SBJ"),AND(J4512=1,I4512=0)),"?IN_FOCUS",IF(J4512&lt;=2,"?ACTIVATED",IF(J4512&lt;&gt;"","?FAMILIAR",IF(F4512="NEW",IF(ISNA(VLOOKUP(E4512,#REF!,1,FALSE())),"?TYPE_IDENTIFIABLE","?REFERENTIAL"),"_")))))</f>
        <v> </v>
      </c>
      <c r="H4512" s="25" t="str">
        <f>IF(J4512&lt;&gt;1,"",IF(I4512="SBJ","CB","?"))</f>
        <v> </v>
      </c>
      <c r="I4512" s="26" t="str">
        <f>IF(OR(E4512="",E4512="!!!",F4512="NEW"),"",INDEX(B4511:B$2,-1+SUMPRODUCT(MAX(ROW(E4511:E$2)*(E4512=E4511:E$2)))))</f>
        <v> </v>
      </c>
      <c r="J4512" s="26" t="str">
        <f>IF(OR(E4512="",E4512="!!!",F4512="NEW"),"",COUNTBLANK(OFFSET(A$1,,,SUMPRODUCT(MAX(ROW(E$2:E4512)*(E4512=E$2:E4512)))))-COUNTBLANK(OFFSET(A$1,,,SUMPRODUCT(MAX(ROW(E$1:E4511)*(E2=E$1:E4511))))))</f>
        <v> </v>
      </c>
      <c r="K4512" s="26" t="str">
        <f>IF(OR(E4512="",E4512="!!!",F4512="NEW"),"",INDEX(J$1:J4511,SUMPRODUCT(MAX(ROW(E$1:E4511)*(E4512=E$1:E4511)))))</f>
        <v> </v>
      </c>
      <c r="L4512" s="27"/>
    </row>
    <row r="4513" spans="1:12">
      <c r="A4513" s="20" t="s">
        <v>1203</v>
      </c>
      <c r="E4513" s="22">
        <f>IF(D4513="?OLD","!!!","")</f>
        <v/>
      </c>
      <c r="F4513" s="23" t="str">
        <f>IF(OR(E4513="",E4513="!!!"),"",IF(NOT(ISNA(VLOOKUP(E4513,E$1:E4512,1,FALSE()))),"OLD",IF(AND(E4513&lt;&gt;"",E4513&lt;&gt;"!!!"),"NEW","")))</f>
        <v> </v>
      </c>
      <c r="G4513" s="24" t="str">
        <f>IF(OR(E4513="",E4513="!!!"),"",IF(OR(J4513=0,AND(J4513=1,K4513=1),AND(J4513=1,I4513="SBJ"),AND(J4513=1,I4513=0)),"?IN_FOCUS",IF(J4513&lt;=2,"?ACTIVATED",IF(J4513&lt;&gt;"","?FAMILIAR",IF(F4513="NEW",IF(ISNA(VLOOKUP(E4513,#REF!,1,FALSE())),"?TYPE_IDENTIFIABLE","?REFERENTIAL"),"_")))))</f>
        <v> </v>
      </c>
      <c r="H4513" s="25" t="str">
        <f>IF(J4513&lt;&gt;1,"",IF(I4513="SBJ","CB","?"))</f>
        <v> </v>
      </c>
      <c r="I4513" s="26" t="str">
        <f>IF(OR(E4513="",E4513="!!!",F4513="NEW"),"",INDEX(B4512:B$2,-1+SUMPRODUCT(MAX(ROW(E4512:E$2)*(E4513=E4512:E$2)))))</f>
        <v> </v>
      </c>
      <c r="J4513" s="26" t="str">
        <f>IF(OR(E4513="",E4513="!!!",F4513="NEW"),"",COUNTBLANK(OFFSET(A$1,,,SUMPRODUCT(MAX(ROW(E$2:E4513)*(E4513=E$2:E4513)))))-COUNTBLANK(OFFSET(A$1,,,SUMPRODUCT(MAX(ROW(E$1:E4512)*(E2=E$1:E4512))))))</f>
        <v> </v>
      </c>
      <c r="K4513" s="26" t="str">
        <f>IF(OR(E4513="",E4513="!!!",F4513="NEW"),"",INDEX(J$1:J4512,SUMPRODUCT(MAX(ROW(E$1:E4512)*(E4513=E$1:E4512)))))</f>
        <v> </v>
      </c>
      <c r="L4513" s="27"/>
    </row>
    <row r="4514" spans="1:12">
      <c r="A4514" s="20" t="s">
        <v>2441</v>
      </c>
      <c r="E4514" s="22">
        <f>IF(D4514="?OLD","!!!","")</f>
        <v/>
      </c>
      <c r="F4514" s="23" t="str">
        <f>IF(OR(E4514="",E4514="!!!"),"",IF(NOT(ISNA(VLOOKUP(E4514,E$1:E4513,1,FALSE()))),"OLD",IF(AND(E4514&lt;&gt;"",E4514&lt;&gt;"!!!"),"NEW","")))</f>
        <v> </v>
      </c>
      <c r="G4514" s="24" t="str">
        <f>IF(OR(E4514="",E4514="!!!"),"",IF(OR(J4514=0,AND(J4514=1,K4514=1),AND(J4514=1,I4514="SBJ"),AND(J4514=1,I4514=0)),"?IN_FOCUS",IF(J4514&lt;=2,"?ACTIVATED",IF(J4514&lt;&gt;"","?FAMILIAR",IF(F4514="NEW",IF(ISNA(VLOOKUP(E4514,#REF!,1,FALSE())),"?TYPE_IDENTIFIABLE","?REFERENTIAL"),"_")))))</f>
        <v> </v>
      </c>
      <c r="H4514" s="25" t="str">
        <f>IF(J4514&lt;&gt;1,"",IF(I4514="SBJ","CB","?"))</f>
        <v> </v>
      </c>
      <c r="I4514" s="26" t="str">
        <f>IF(OR(E4514="",E4514="!!!",F4514="NEW"),"",INDEX(B4513:B$2,-1+SUMPRODUCT(MAX(ROW(E4513:E$2)*(E4514=E4513:E$2)))))</f>
        <v> </v>
      </c>
      <c r="J4514" s="26" t="str">
        <f>IF(OR(E4514="",E4514="!!!",F4514="NEW"),"",COUNTBLANK(OFFSET(A$1,,,SUMPRODUCT(MAX(ROW(E$2:E4514)*(E4514=E$2:E4514)))))-COUNTBLANK(OFFSET(A$1,,,SUMPRODUCT(MAX(ROW(E$1:E4513)*(E2=E$1:E4513))))))</f>
        <v> </v>
      </c>
      <c r="K4514" s="26" t="str">
        <f>IF(OR(E4514="",E4514="!!!",F4514="NEW"),"",INDEX(J$1:J4513,SUMPRODUCT(MAX(ROW(E$1:E4513)*(E4514=E$1:E4513)))))</f>
        <v> </v>
      </c>
      <c r="L4514" s="27"/>
    </row>
    <row r="4515" spans="1:12">
      <c r="A4515" s="20" t="s">
        <v>1238</v>
      </c>
      <c r="E4515" s="22">
        <f>IF(D4515="?OLD","!!!","")</f>
        <v/>
      </c>
      <c r="F4515" s="23" t="str">
        <f>IF(OR(E4515="",E4515="!!!"),"",IF(NOT(ISNA(VLOOKUP(E4515,E$1:E4514,1,FALSE()))),"OLD",IF(AND(E4515&lt;&gt;"",E4515&lt;&gt;"!!!"),"NEW","")))</f>
        <v> </v>
      </c>
      <c r="G4515" s="24" t="str">
        <f>IF(OR(E4515="",E4515="!!!"),"",IF(OR(J4515=0,AND(J4515=1,K4515=1),AND(J4515=1,I4515="SBJ"),AND(J4515=1,I4515=0)),"?IN_FOCUS",IF(J4515&lt;=2,"?ACTIVATED",IF(J4515&lt;&gt;"","?FAMILIAR",IF(F4515="NEW",IF(ISNA(VLOOKUP(E4515,#REF!,1,FALSE())),"?TYPE_IDENTIFIABLE","?REFERENTIAL"),"_")))))</f>
        <v> </v>
      </c>
      <c r="H4515" s="25" t="str">
        <f>IF(J4515&lt;&gt;1,"",IF(I4515="SBJ","CB","?"))</f>
        <v> </v>
      </c>
      <c r="I4515" s="26" t="str">
        <f>IF(OR(E4515="",E4515="!!!",F4515="NEW"),"",INDEX(B4514:B$2,-1+SUMPRODUCT(MAX(ROW(E4514:E$2)*(E4515=E4514:E$2)))))</f>
        <v> </v>
      </c>
      <c r="J4515" s="26" t="str">
        <f>IF(OR(E4515="",E4515="!!!",F4515="NEW"),"",COUNTBLANK(OFFSET(A$1,,,SUMPRODUCT(MAX(ROW(E$2:E4515)*(E4515=E$2:E4515)))))-COUNTBLANK(OFFSET(A$1,,,SUMPRODUCT(MAX(ROW(E$1:E4514)*(E2=E$1:E4514))))))</f>
        <v> </v>
      </c>
      <c r="K4515" s="26" t="str">
        <f>IF(OR(E4515="",E4515="!!!",F4515="NEW"),"",INDEX(J$1:J4514,SUMPRODUCT(MAX(ROW(E$1:E4514)*(E4515=E$1:E4514)))))</f>
        <v> </v>
      </c>
      <c r="L4515" s="27"/>
    </row>
    <row r="4516" spans="1:12">
      <c r="A4516" s="20" t="s">
        <v>2442</v>
      </c>
      <c r="B4516" s="21" t="s">
        <v>1150</v>
      </c>
      <c r="C4516" s="21" t="s">
        <v>1162</v>
      </c>
      <c r="D4516" s="21" t="s">
        <v>1144</v>
      </c>
      <c r="E4516" s="22">
        <f>IF(D4516="?OLD","!!!","")</f>
        <v/>
      </c>
      <c r="F4516" s="23" t="str">
        <f>IF(OR(E4516="",E4516="!!!"),"",IF(NOT(ISNA(VLOOKUP(E4516,E$1:E4515,1,FALSE()))),"OLD",IF(AND(E4516&lt;&gt;"",E4516&lt;&gt;"!!!"),"NEW","")))</f>
        <v> </v>
      </c>
      <c r="G4516" s="24" t="str">
        <f>IF(OR(E4516="",E4516="!!!"),"",IF(OR(J4516=0,AND(J4516=1,K4516=1),AND(J4516=1,I4516="SBJ"),AND(J4516=1,I4516=0)),"?IN_FOCUS",IF(J4516&lt;=2,"?ACTIVATED",IF(J4516&lt;&gt;"","?FAMILIAR",IF(F4516="NEW",IF(ISNA(VLOOKUP(E4516,#REF!,1,FALSE())),"?TYPE_IDENTIFIABLE","?REFERENTIAL"),"_")))))</f>
        <v> </v>
      </c>
      <c r="H4516" s="25" t="str">
        <f>IF(J4516&lt;&gt;1,"",IF(I4516="SBJ","CB","?"))</f>
        <v> </v>
      </c>
      <c r="I4516" s="26" t="str">
        <f>IF(OR(E4516="",E4516="!!!",F4516="NEW"),"",INDEX(B4515:B$2,-1+SUMPRODUCT(MAX(ROW(E4515:E$2)*(E4516=E4515:E$2)))))</f>
        <v> </v>
      </c>
      <c r="J4516" s="26" t="str">
        <f>IF(OR(E4516="",E4516="!!!",F4516="NEW"),"",COUNTBLANK(OFFSET(A$1,,,SUMPRODUCT(MAX(ROW(E$2:E4516)*(E4516=E$2:E4516)))))-COUNTBLANK(OFFSET(A$1,,,SUMPRODUCT(MAX(ROW(E$1:E4515)*(E2=E$1:E4515))))))</f>
        <v> </v>
      </c>
      <c r="K4516" s="26" t="str">
        <f>IF(OR(E4516="",E4516="!!!",F4516="NEW"),"",INDEX(J$1:J4515,SUMPRODUCT(MAX(ROW(E$1:E4515)*(E4516=E$1:E4515)))))</f>
        <v> </v>
      </c>
      <c r="L4516" s="27"/>
    </row>
    <row r="4517" spans="1:12">
      <c r="A4517" s="20" t="s">
        <v>1308</v>
      </c>
      <c r="E4517" s="22">
        <f>IF(D4517="?OLD","!!!","")</f>
        <v/>
      </c>
      <c r="F4517" s="23" t="str">
        <f>IF(OR(E4517="",E4517="!!!"),"",IF(NOT(ISNA(VLOOKUP(E4517,E$1:E4516,1,FALSE()))),"OLD",IF(AND(E4517&lt;&gt;"",E4517&lt;&gt;"!!!"),"NEW","")))</f>
        <v> </v>
      </c>
      <c r="G4517" s="24" t="str">
        <f>IF(OR(E4517="",E4517="!!!"),"",IF(OR(J4517=0,AND(J4517=1,K4517=1),AND(J4517=1,I4517="SBJ"),AND(J4517=1,I4517=0)),"?IN_FOCUS",IF(J4517&lt;=2,"?ACTIVATED",IF(J4517&lt;&gt;"","?FAMILIAR",IF(F4517="NEW",IF(ISNA(VLOOKUP(E4517,#REF!,1,FALSE())),"?TYPE_IDENTIFIABLE","?REFERENTIAL"),"_")))))</f>
        <v> </v>
      </c>
      <c r="H4517" s="25" t="str">
        <f>IF(J4517&lt;&gt;1,"",IF(I4517="SBJ","CB","?"))</f>
        <v> </v>
      </c>
      <c r="I4517" s="26" t="str">
        <f>IF(OR(E4517="",E4517="!!!",F4517="NEW"),"",INDEX(B4516:B$2,-1+SUMPRODUCT(MAX(ROW(E4516:E$2)*(E4517=E4516:E$2)))))</f>
        <v> </v>
      </c>
      <c r="J4517" s="26" t="str">
        <f>IF(OR(E4517="",E4517="!!!",F4517="NEW"),"",COUNTBLANK(OFFSET(A$1,,,SUMPRODUCT(MAX(ROW(E$2:E4517)*(E4517=E$2:E4517)))))-COUNTBLANK(OFFSET(A$1,,,SUMPRODUCT(MAX(ROW(E$1:E4516)*(E2=E$1:E4516))))))</f>
        <v> </v>
      </c>
      <c r="K4517" s="26" t="str">
        <f>IF(OR(E4517="",E4517="!!!",F4517="NEW"),"",INDEX(J$1:J4516,SUMPRODUCT(MAX(ROW(E$1:E4516)*(E4517=E$1:E4516)))))</f>
        <v> </v>
      </c>
      <c r="L4517" s="27"/>
    </row>
    <row r="4518" spans="1:12">
      <c r="A4518" s="20" t="s">
        <v>443</v>
      </c>
      <c r="E4518" s="22">
        <f>IF(D4518="?OLD","!!!","")</f>
        <v/>
      </c>
      <c r="F4518" s="23" t="str">
        <f>IF(OR(E4518="",E4518="!!!"),"",IF(NOT(ISNA(VLOOKUP(E4518,E$1:E4517,1,FALSE()))),"OLD",IF(AND(E4518&lt;&gt;"",E4518&lt;&gt;"!!!"),"NEW","")))</f>
        <v> </v>
      </c>
      <c r="G4518" s="24" t="str">
        <f>IF(OR(E4518="",E4518="!!!"),"",IF(OR(J4518=0,AND(J4518=1,K4518=1),AND(J4518=1,I4518="SBJ"),AND(J4518=1,I4518=0)),"?IN_FOCUS",IF(J4518&lt;=2,"?ACTIVATED",IF(J4518&lt;&gt;"","?FAMILIAR",IF(F4518="NEW",IF(ISNA(VLOOKUP(E4518,#REF!,1,FALSE())),"?TYPE_IDENTIFIABLE","?REFERENTIAL"),"_")))))</f>
        <v> </v>
      </c>
      <c r="H4518" s="25" t="str">
        <f>IF(J4518&lt;&gt;1,"",IF(I4518="SBJ","CB","?"))</f>
        <v> </v>
      </c>
      <c r="I4518" s="26" t="str">
        <f>IF(OR(E4518="",E4518="!!!",F4518="NEW"),"",INDEX(B4517:B$2,-1+SUMPRODUCT(MAX(ROW(E4517:E$2)*(E4518=E4517:E$2)))))</f>
        <v> </v>
      </c>
      <c r="J4518" s="26" t="str">
        <f>IF(OR(E4518="",E4518="!!!",F4518="NEW"),"",COUNTBLANK(OFFSET(A$1,,,SUMPRODUCT(MAX(ROW(E$2:E4518)*(E4518=E$2:E4518)))))-COUNTBLANK(OFFSET(A$1,,,SUMPRODUCT(MAX(ROW(E$1:E4517)*(E2=E$1:E4517))))))</f>
        <v> </v>
      </c>
      <c r="K4518" s="26" t="str">
        <f>IF(OR(E4518="",E4518="!!!",F4518="NEW"),"",INDEX(J$1:J4517,SUMPRODUCT(MAX(ROW(E$1:E4517)*(E4518=E$1:E4517)))))</f>
        <v> </v>
      </c>
      <c r="L4518" s="27"/>
    </row>
    <row r="4519" spans="1:12">
      <c r="A4519" s="20" t="s">
        <v>1263</v>
      </c>
      <c r="E4519" s="22">
        <f>IF(D4519="?OLD","!!!","")</f>
        <v/>
      </c>
      <c r="F4519" s="23" t="str">
        <f>IF(OR(E4519="",E4519="!!!"),"",IF(NOT(ISNA(VLOOKUP(E4519,E$1:E4518,1,FALSE()))),"OLD",IF(AND(E4519&lt;&gt;"",E4519&lt;&gt;"!!!"),"NEW","")))</f>
        <v> </v>
      </c>
      <c r="G4519" s="24" t="str">
        <f>IF(OR(E4519="",E4519="!!!"),"",IF(OR(J4519=0,AND(J4519=1,K4519=1),AND(J4519=1,I4519="SBJ"),AND(J4519=1,I4519=0)),"?IN_FOCUS",IF(J4519&lt;=2,"?ACTIVATED",IF(J4519&lt;&gt;"","?FAMILIAR",IF(F4519="NEW",IF(ISNA(VLOOKUP(E4519,#REF!,1,FALSE())),"?TYPE_IDENTIFIABLE","?REFERENTIAL"),"_")))))</f>
        <v> </v>
      </c>
      <c r="H4519" s="25" t="str">
        <f>IF(J4519&lt;&gt;1,"",IF(I4519="SBJ","CB","?"))</f>
        <v> </v>
      </c>
      <c r="I4519" s="26" t="str">
        <f>IF(OR(E4519="",E4519="!!!",F4519="NEW"),"",INDEX(B4518:B$2,-1+SUMPRODUCT(MAX(ROW(E4518:E$2)*(E4519=E4518:E$2)))))</f>
        <v> </v>
      </c>
      <c r="J4519" s="26" t="str">
        <f>IF(OR(E4519="",E4519="!!!",F4519="NEW"),"",COUNTBLANK(OFFSET(A$1,,,SUMPRODUCT(MAX(ROW(E$2:E4519)*(E4519=E$2:E4519)))))-COUNTBLANK(OFFSET(A$1,,,SUMPRODUCT(MAX(ROW(E$1:E4518)*(E2=E$1:E4518))))))</f>
        <v> </v>
      </c>
      <c r="K4519" s="26" t="str">
        <f>IF(OR(E4519="",E4519="!!!",F4519="NEW"),"",INDEX(J$1:J4518,SUMPRODUCT(MAX(ROW(E$1:E4518)*(E4519=E$1:E4518)))))</f>
        <v> </v>
      </c>
      <c r="L4519" s="27"/>
    </row>
    <row r="4520" spans="1:12">
      <c r="A4520" s="20"/>
    </row>
    <row r="4521" spans="1:12">
      <c r="A4521" s="20" t="s">
        <v>2443</v>
      </c>
    </row>
    <row r="4522" spans="1:12">
      <c r="A4522" s="20" t="s">
        <v>308</v>
      </c>
      <c r="B4522" s="21" t="s">
        <v>1161</v>
      </c>
      <c r="C4522" s="21" t="s">
        <v>1187</v>
      </c>
      <c r="E4522" s="22">
        <f>IF(D4522="?OLD","!!!","")</f>
        <v/>
      </c>
      <c r="F4522" s="23" t="str">
        <f>IF(OR(E4522="",E4522="!!!"),"",IF(NOT(ISNA(VLOOKUP(E4522,E$1:E4521,1,FALSE()))),"OLD",IF(AND(E4522&lt;&gt;"",E4522&lt;&gt;"!!!"),"NEW","")))</f>
        <v> </v>
      </c>
      <c r="G4522" s="24" t="str">
        <f>IF(OR(E4522="",E4522="!!!"),"",IF(OR(J4522=0,AND(J4522=1,K4522=1),AND(J4522=1,I4522="SBJ"),AND(J4522=1,I4522=0)),"?IN_FOCUS",IF(J4522&lt;=2,"?ACTIVATED",IF(J4522&lt;&gt;"","?FAMILIAR",IF(F4522="NEW",IF(ISNA(VLOOKUP(E4522,#REF!,1,FALSE())),"?TYPE_IDENTIFIABLE","?REFERENTIAL"),"_")))))</f>
        <v> </v>
      </c>
      <c r="H4522" s="25" t="str">
        <f>IF(J4522&lt;&gt;1,"",IF(I4522="SBJ","CB","?"))</f>
        <v> </v>
      </c>
      <c r="I4522" s="26" t="str">
        <f>IF(OR(E4522="",E4522="!!!",F4522="NEW"),"",INDEX(B4521:B$2,-1+SUMPRODUCT(MAX(ROW(E4521:E$2)*(E4522=E4521:E$2)))))</f>
        <v> </v>
      </c>
      <c r="J4522" s="26" t="str">
        <f>IF(OR(E4522="",E4522="!!!",F4522="NEW"),"",COUNTBLANK(OFFSET(A$1,,,SUMPRODUCT(MAX(ROW(E$2:E4522)*(E4522=E$2:E4522)))))-COUNTBLANK(OFFSET(A$1,,,SUMPRODUCT(MAX(ROW(E$1:E4521)*(E2=E$1:E4521))))))</f>
        <v> </v>
      </c>
      <c r="K4522" s="26" t="str">
        <f>IF(OR(E4522="",E4522="!!!",F4522="NEW"),"",INDEX(J$1:J4521,SUMPRODUCT(MAX(ROW(E$1:E4521)*(E4522=E$1:E4521)))))</f>
        <v> </v>
      </c>
      <c r="L4522" s="27"/>
    </row>
    <row r="4523" spans="1:12">
      <c r="A4523" s="20" t="s">
        <v>1146</v>
      </c>
      <c r="E4523" s="22">
        <f>IF(D4523="?OLD","!!!","")</f>
        <v/>
      </c>
      <c r="F4523" s="23" t="str">
        <f>IF(OR(E4523="",E4523="!!!"),"",IF(NOT(ISNA(VLOOKUP(E4523,E$1:E4522,1,FALSE()))),"OLD",IF(AND(E4523&lt;&gt;"",E4523&lt;&gt;"!!!"),"NEW","")))</f>
        <v> </v>
      </c>
      <c r="G4523" s="24" t="str">
        <f>IF(OR(E4523="",E4523="!!!"),"",IF(OR(J4523=0,AND(J4523=1,K4523=1),AND(J4523=1,I4523="SBJ"),AND(J4523=1,I4523=0)),"?IN_FOCUS",IF(J4523&lt;=2,"?ACTIVATED",IF(J4523&lt;&gt;"","?FAMILIAR",IF(F4523="NEW",IF(ISNA(VLOOKUP(E4523,#REF!,1,FALSE())),"?TYPE_IDENTIFIABLE","?REFERENTIAL"),"_")))))</f>
        <v> </v>
      </c>
      <c r="H4523" s="25" t="str">
        <f>IF(J4523&lt;&gt;1,"",IF(I4523="SBJ","CB","?"))</f>
        <v> </v>
      </c>
      <c r="I4523" s="26" t="str">
        <f>IF(OR(E4523="",E4523="!!!",F4523="NEW"),"",INDEX(B4522:B$2,-1+SUMPRODUCT(MAX(ROW(E4522:E$2)*(E4523=E4522:E$2)))))</f>
        <v> </v>
      </c>
      <c r="J4523" s="26" t="str">
        <f>IF(OR(E4523="",E4523="!!!",F4523="NEW"),"",COUNTBLANK(OFFSET(A$1,,,SUMPRODUCT(MAX(ROW(E$2:E4523)*(E4523=E$2:E4523)))))-COUNTBLANK(OFFSET(A$1,,,SUMPRODUCT(MAX(ROW(E$1:E4522)*(E2=E$1:E4522))))))</f>
        <v> </v>
      </c>
      <c r="K4523" s="26" t="str">
        <f>IF(OR(E4523="",E4523="!!!",F4523="NEW"),"",INDEX(J$1:J4522,SUMPRODUCT(MAX(ROW(E$1:E4522)*(E4523=E$1:E4522)))))</f>
        <v> </v>
      </c>
      <c r="L4523" s="27"/>
    </row>
    <row r="4524" spans="1:12">
      <c r="A4524" s="20" t="s">
        <v>1417</v>
      </c>
      <c r="E4524" s="22">
        <f>IF(D4524="?OLD","!!!","")</f>
        <v/>
      </c>
      <c r="F4524" s="23" t="str">
        <f>IF(OR(E4524="",E4524="!!!"),"",IF(NOT(ISNA(VLOOKUP(E4524,E$1:E4523,1,FALSE()))),"OLD",IF(AND(E4524&lt;&gt;"",E4524&lt;&gt;"!!!"),"NEW","")))</f>
        <v> </v>
      </c>
      <c r="G4524" s="24" t="str">
        <f>IF(OR(E4524="",E4524="!!!"),"",IF(OR(J4524=0,AND(J4524=1,K4524=1),AND(J4524=1,I4524="SBJ"),AND(J4524=1,I4524=0)),"?IN_FOCUS",IF(J4524&lt;=2,"?ACTIVATED",IF(J4524&lt;&gt;"","?FAMILIAR",IF(F4524="NEW",IF(ISNA(VLOOKUP(E4524,#REF!,1,FALSE())),"?TYPE_IDENTIFIABLE","?REFERENTIAL"),"_")))))</f>
        <v> </v>
      </c>
      <c r="H4524" s="25" t="str">
        <f>IF(J4524&lt;&gt;1,"",IF(I4524="SBJ","CB","?"))</f>
        <v> </v>
      </c>
      <c r="I4524" s="26" t="str">
        <f>IF(OR(E4524="",E4524="!!!",F4524="NEW"),"",INDEX(B4523:B$2,-1+SUMPRODUCT(MAX(ROW(E4523:E$2)*(E4524=E4523:E$2)))))</f>
        <v> </v>
      </c>
      <c r="J4524" s="26" t="str">
        <f>IF(OR(E4524="",E4524="!!!",F4524="NEW"),"",COUNTBLANK(OFFSET(A$1,,,SUMPRODUCT(MAX(ROW(E$2:E4524)*(E4524=E$2:E4524)))))-COUNTBLANK(OFFSET(A$1,,,SUMPRODUCT(MAX(ROW(E$1:E4523)*(E2=E$1:E4523))))))</f>
        <v> </v>
      </c>
      <c r="K4524" s="26" t="str">
        <f>IF(OR(E4524="",E4524="!!!",F4524="NEW"),"",INDEX(J$1:J4523,SUMPRODUCT(MAX(ROW(E$1:E4523)*(E4524=E$1:E4523)))))</f>
        <v> </v>
      </c>
      <c r="L4524" s="27"/>
    </row>
    <row r="4525" spans="1:12">
      <c r="A4525" s="20" t="s">
        <v>2444</v>
      </c>
      <c r="B4525" s="21" t="s">
        <v>1161</v>
      </c>
      <c r="C4525" s="21" t="s">
        <v>1162</v>
      </c>
      <c r="D4525" s="21" t="s">
        <v>1144</v>
      </c>
      <c r="E4525" s="22">
        <f>IF(D4525="?OLD","!!!","")</f>
        <v/>
      </c>
      <c r="F4525" s="23" t="str">
        <f>IF(OR(E4525="",E4525="!!!"),"",IF(NOT(ISNA(VLOOKUP(E4525,E$1:E4524,1,FALSE()))),"OLD",IF(AND(E4525&lt;&gt;"",E4525&lt;&gt;"!!!"),"NEW","")))</f>
        <v> </v>
      </c>
      <c r="G4525" s="24" t="str">
        <f>IF(OR(E4525="",E4525="!!!"),"",IF(OR(J4525=0,AND(J4525=1,K4525=1),AND(J4525=1,I4525="SBJ"),AND(J4525=1,I4525=0)),"?IN_FOCUS",IF(J4525&lt;=2,"?ACTIVATED",IF(J4525&lt;&gt;"","?FAMILIAR",IF(F4525="NEW",IF(ISNA(VLOOKUP(E4525,#REF!,1,FALSE())),"?TYPE_IDENTIFIABLE","?REFERENTIAL"),"_")))))</f>
        <v> </v>
      </c>
      <c r="H4525" s="25" t="str">
        <f>IF(J4525&lt;&gt;1,"",IF(I4525="SBJ","CB","?"))</f>
        <v> </v>
      </c>
      <c r="I4525" s="26" t="str">
        <f>IF(OR(E4525="",E4525="!!!",F4525="NEW"),"",INDEX(B4524:B$2,-1+SUMPRODUCT(MAX(ROW(E4524:E$2)*(E4525=E4524:E$2)))))</f>
        <v> </v>
      </c>
      <c r="J4525" s="26" t="str">
        <f>IF(OR(E4525="",E4525="!!!",F4525="NEW"),"",COUNTBLANK(OFFSET(A$1,,,SUMPRODUCT(MAX(ROW(E$2:E4525)*(E4525=E$2:E4525)))))-COUNTBLANK(OFFSET(A$1,,,SUMPRODUCT(MAX(ROW(E$1:E4524)*(E2=E$1:E4524))))))</f>
        <v> </v>
      </c>
      <c r="K4525" s="26" t="str">
        <f>IF(OR(E4525="",E4525="!!!",F4525="NEW"),"",INDEX(J$1:J4524,SUMPRODUCT(MAX(ROW(E$1:E4524)*(E4525=E$1:E4524)))))</f>
        <v> </v>
      </c>
      <c r="L4525" s="27"/>
    </row>
    <row r="4526" spans="1:12">
      <c r="A4526" s="20" t="s">
        <v>2010</v>
      </c>
      <c r="E4526" s="22">
        <f>IF(D4526="?OLD","!!!","")</f>
        <v/>
      </c>
      <c r="F4526" s="23" t="str">
        <f>IF(OR(E4526="",E4526="!!!"),"",IF(NOT(ISNA(VLOOKUP(E4526,E$1:E4525,1,FALSE()))),"OLD",IF(AND(E4526&lt;&gt;"",E4526&lt;&gt;"!!!"),"NEW","")))</f>
        <v> </v>
      </c>
      <c r="G4526" s="24" t="str">
        <f>IF(OR(E4526="",E4526="!!!"),"",IF(OR(J4526=0,AND(J4526=1,K4526=1),AND(J4526=1,I4526="SBJ"),AND(J4526=1,I4526=0)),"?IN_FOCUS",IF(J4526&lt;=2,"?ACTIVATED",IF(J4526&lt;&gt;"","?FAMILIAR",IF(F4526="NEW",IF(ISNA(VLOOKUP(E4526,#REF!,1,FALSE())),"?TYPE_IDENTIFIABLE","?REFERENTIAL"),"_")))))</f>
        <v> </v>
      </c>
      <c r="H4526" s="25" t="str">
        <f>IF(J4526&lt;&gt;1,"",IF(I4526="SBJ","CB","?"))</f>
        <v> </v>
      </c>
      <c r="I4526" s="26" t="str">
        <f>IF(OR(E4526="",E4526="!!!",F4526="NEW"),"",INDEX(B4525:B$2,-1+SUMPRODUCT(MAX(ROW(E4525:E$2)*(E4526=E4525:E$2)))))</f>
        <v> </v>
      </c>
      <c r="J4526" s="26" t="str">
        <f>IF(OR(E4526="",E4526="!!!",F4526="NEW"),"",COUNTBLANK(OFFSET(A$1,,,SUMPRODUCT(MAX(ROW(E$2:E4526)*(E4526=E$2:E4526)))))-COUNTBLANK(OFFSET(A$1,,,SUMPRODUCT(MAX(ROW(E$1:E4525)*(E2=E$1:E4525))))))</f>
        <v> </v>
      </c>
      <c r="K4526" s="26" t="str">
        <f>IF(OR(E4526="",E4526="!!!",F4526="NEW"),"",INDEX(J$1:J4525,SUMPRODUCT(MAX(ROW(E$1:E4525)*(E4526=E$1:E4525)))))</f>
        <v> </v>
      </c>
      <c r="L4526" s="27"/>
    </row>
    <row r="4527" spans="1:12">
      <c r="A4527" s="20" t="s">
        <v>1189</v>
      </c>
      <c r="B4527" s="21" t="s">
        <v>1142</v>
      </c>
      <c r="C4527" s="21" t="s">
        <v>1151</v>
      </c>
      <c r="D4527" s="21" t="s">
        <v>1144</v>
      </c>
      <c r="E4527" s="22">
        <f>IF(D4527="?OLD","!!!","")</f>
        <v/>
      </c>
      <c r="F4527" s="23" t="str">
        <f>IF(OR(E4527="",E4527="!!!"),"",IF(NOT(ISNA(VLOOKUP(E4527,E$1:E4526,1,FALSE()))),"OLD",IF(AND(E4527&lt;&gt;"",E4527&lt;&gt;"!!!"),"NEW","")))</f>
        <v> </v>
      </c>
      <c r="G4527" s="24" t="str">
        <f>IF(OR(E4527="",E4527="!!!"),"",IF(OR(J4527=0,AND(J4527=1,K4527=1),AND(J4527=1,I4527="SBJ"),AND(J4527=1,I4527=0)),"?IN_FOCUS",IF(J4527&lt;=2,"?ACTIVATED",IF(J4527&lt;&gt;"","?FAMILIAR",IF(F4527="NEW",IF(ISNA(VLOOKUP(E4527,#REF!,1,FALSE())),"?TYPE_IDENTIFIABLE","?REFERENTIAL"),"_")))))</f>
        <v> </v>
      </c>
      <c r="H4527" s="25" t="str">
        <f>IF(J4527&lt;&gt;1,"",IF(I4527="SBJ","CB","?"))</f>
        <v> </v>
      </c>
      <c r="I4527" s="26" t="str">
        <f>IF(OR(E4527="",E4527="!!!",F4527="NEW"),"",INDEX(B4526:B$2,-1+SUMPRODUCT(MAX(ROW(E4526:E$2)*(E4527=E4526:E$2)))))</f>
        <v> </v>
      </c>
      <c r="J4527" s="26" t="str">
        <f>IF(OR(E4527="",E4527="!!!",F4527="NEW"),"",COUNTBLANK(OFFSET(A$1,,,SUMPRODUCT(MAX(ROW(E$2:E4527)*(E4527=E$2:E4527)))))-COUNTBLANK(OFFSET(A$1,,,SUMPRODUCT(MAX(ROW(E$1:E4526)*(E2=E$1:E4526))))))</f>
        <v> </v>
      </c>
      <c r="K4527" s="26" t="str">
        <f>IF(OR(E4527="",E4527="!!!",F4527="NEW"),"",INDEX(J$1:J4526,SUMPRODUCT(MAX(ROW(E$1:E4526)*(E4527=E$1:E4526)))))</f>
        <v> </v>
      </c>
      <c r="L4527" s="27"/>
    </row>
    <row r="4528" spans="1:12">
      <c r="A4528" s="20" t="s">
        <v>1543</v>
      </c>
      <c r="E4528" s="22">
        <f>IF(D4528="?OLD","!!!","")</f>
        <v/>
      </c>
      <c r="F4528" s="23" t="str">
        <f>IF(OR(E4528="",E4528="!!!"),"",IF(NOT(ISNA(VLOOKUP(E4528,E$1:E4527,1,FALSE()))),"OLD",IF(AND(E4528&lt;&gt;"",E4528&lt;&gt;"!!!"),"NEW","")))</f>
        <v> </v>
      </c>
      <c r="G4528" s="24" t="str">
        <f>IF(OR(E4528="",E4528="!!!"),"",IF(OR(J4528=0,AND(J4528=1,K4528=1),AND(J4528=1,I4528="SBJ"),AND(J4528=1,I4528=0)),"?IN_FOCUS",IF(J4528&lt;=2,"?ACTIVATED",IF(J4528&lt;&gt;"","?FAMILIAR",IF(F4528="NEW",IF(ISNA(VLOOKUP(E4528,#REF!,1,FALSE())),"?TYPE_IDENTIFIABLE","?REFERENTIAL"),"_")))))</f>
        <v> </v>
      </c>
      <c r="H4528" s="25" t="str">
        <f>IF(J4528&lt;&gt;1,"",IF(I4528="SBJ","CB","?"))</f>
        <v> </v>
      </c>
      <c r="I4528" s="26" t="str">
        <f>IF(OR(E4528="",E4528="!!!",F4528="NEW"),"",INDEX(B4527:B$2,-1+SUMPRODUCT(MAX(ROW(E4527:E$2)*(E4528=E4527:E$2)))))</f>
        <v> </v>
      </c>
      <c r="J4528" s="26" t="str">
        <f>IF(OR(E4528="",E4528="!!!",F4528="NEW"),"",COUNTBLANK(OFFSET(A$1,,,SUMPRODUCT(MAX(ROW(E$2:E4528)*(E4528=E$2:E4528)))))-COUNTBLANK(OFFSET(A$1,,,SUMPRODUCT(MAX(ROW(E$1:E4527)*(E2=E$1:E4527))))))</f>
        <v> </v>
      </c>
      <c r="K4528" s="26" t="str">
        <f>IF(OR(E4528="",E4528="!!!",F4528="NEW"),"",INDEX(J$1:J4527,SUMPRODUCT(MAX(ROW(E$1:E4527)*(E4528=E$1:E4527)))))</f>
        <v> </v>
      </c>
      <c r="L4528" s="27"/>
    </row>
    <row r="4529" spans="1:12">
      <c r="A4529" s="20" t="s">
        <v>1149</v>
      </c>
      <c r="B4529" s="21" t="s">
        <v>1150</v>
      </c>
      <c r="C4529" s="21" t="s">
        <v>1151</v>
      </c>
      <c r="D4529" s="21" t="s">
        <v>1144</v>
      </c>
      <c r="E4529" s="22">
        <f>IF(D4529="?OLD","!!!","")</f>
        <v/>
      </c>
      <c r="F4529" s="23" t="str">
        <f>IF(OR(E4529="",E4529="!!!"),"",IF(NOT(ISNA(VLOOKUP(E4529,E$1:E4528,1,FALSE()))),"OLD",IF(AND(E4529&lt;&gt;"",E4529&lt;&gt;"!!!"),"NEW","")))</f>
        <v> </v>
      </c>
      <c r="G4529" s="24" t="str">
        <f>IF(OR(E4529="",E4529="!!!"),"",IF(OR(J4529=0,AND(J4529=1,K4529=1),AND(J4529=1,I4529="SBJ"),AND(J4529=1,I4529=0)),"?IN_FOCUS",IF(J4529&lt;=2,"?ACTIVATED",IF(J4529&lt;&gt;"","?FAMILIAR",IF(F4529="NEW",IF(ISNA(VLOOKUP(E4529,#REF!,1,FALSE())),"?TYPE_IDENTIFIABLE","?REFERENTIAL"),"_")))))</f>
        <v> </v>
      </c>
      <c r="H4529" s="25" t="str">
        <f>IF(J4529&lt;&gt;1,"",IF(I4529="SBJ","CB","?"))</f>
        <v> </v>
      </c>
      <c r="I4529" s="26" t="str">
        <f>IF(OR(E4529="",E4529="!!!",F4529="NEW"),"",INDEX(B4528:B$2,-1+SUMPRODUCT(MAX(ROW(E4528:E$2)*(E4529=E4528:E$2)))))</f>
        <v> </v>
      </c>
      <c r="J4529" s="26" t="str">
        <f>IF(OR(E4529="",E4529="!!!",F4529="NEW"),"",COUNTBLANK(OFFSET(A$1,,,SUMPRODUCT(MAX(ROW(E$2:E4529)*(E4529=E$2:E4529)))))-COUNTBLANK(OFFSET(A$1,,,SUMPRODUCT(MAX(ROW(E$1:E4528)*(E2=E$1:E4528))))))</f>
        <v> </v>
      </c>
      <c r="K4529" s="26" t="str">
        <f>IF(OR(E4529="",E4529="!!!",F4529="NEW"),"",INDEX(J$1:J4528,SUMPRODUCT(MAX(ROW(E$1:E4528)*(E4529=E$1:E4528)))))</f>
        <v> </v>
      </c>
      <c r="L4529" s="27"/>
    </row>
    <row r="4530" spans="1:12">
      <c r="A4530" s="20" t="s">
        <v>1590</v>
      </c>
      <c r="E4530" s="22">
        <f>IF(D4530="?OLD","!!!","")</f>
        <v/>
      </c>
      <c r="F4530" s="23" t="str">
        <f>IF(OR(E4530="",E4530="!!!"),"",IF(NOT(ISNA(VLOOKUP(E4530,E$1:E4529,1,FALSE()))),"OLD",IF(AND(E4530&lt;&gt;"",E4530&lt;&gt;"!!!"),"NEW","")))</f>
        <v> </v>
      </c>
      <c r="G4530" s="24" t="str">
        <f>IF(OR(E4530="",E4530="!!!"),"",IF(OR(J4530=0,AND(J4530=1,K4530=1),AND(J4530=1,I4530="SBJ"),AND(J4530=1,I4530=0)),"?IN_FOCUS",IF(J4530&lt;=2,"?ACTIVATED",IF(J4530&lt;&gt;"","?FAMILIAR",IF(F4530="NEW",IF(ISNA(VLOOKUP(E4530,#REF!,1,FALSE())),"?TYPE_IDENTIFIABLE","?REFERENTIAL"),"_")))))</f>
        <v> </v>
      </c>
      <c r="H4530" s="25" t="str">
        <f>IF(J4530&lt;&gt;1,"",IF(I4530="SBJ","CB","?"))</f>
        <v> </v>
      </c>
      <c r="I4530" s="26" t="str">
        <f>IF(OR(E4530="",E4530="!!!",F4530="NEW"),"",INDEX(B4529:B$2,-1+SUMPRODUCT(MAX(ROW(E4529:E$2)*(E4530=E4529:E$2)))))</f>
        <v> </v>
      </c>
      <c r="J4530" s="26" t="str">
        <f>IF(OR(E4530="",E4530="!!!",F4530="NEW"),"",COUNTBLANK(OFFSET(A$1,,,SUMPRODUCT(MAX(ROW(E$2:E4530)*(E4530=E$2:E4530)))))-COUNTBLANK(OFFSET(A$1,,,SUMPRODUCT(MAX(ROW(E$1:E4529)*(E2=E$1:E4529))))))</f>
        <v> </v>
      </c>
      <c r="K4530" s="26" t="str">
        <f>IF(OR(E4530="",E4530="!!!",F4530="NEW"),"",INDEX(J$1:J4529,SUMPRODUCT(MAX(ROW(E$1:E4529)*(E4530=E$1:E4529)))))</f>
        <v> </v>
      </c>
      <c r="L4530" s="27"/>
    </row>
    <row r="4531" spans="1:12">
      <c r="A4531" s="20" t="s">
        <v>1378</v>
      </c>
      <c r="B4531" s="21" t="s">
        <v>1142</v>
      </c>
      <c r="C4531" s="21" t="s">
        <v>1214</v>
      </c>
      <c r="E4531" s="22">
        <f>IF(D4531="?OLD","!!!","")</f>
        <v/>
      </c>
      <c r="F4531" s="23" t="str">
        <f>IF(OR(E4531="",E4531="!!!"),"",IF(NOT(ISNA(VLOOKUP(E4531,E$1:E4530,1,FALSE()))),"OLD",IF(AND(E4531&lt;&gt;"",E4531&lt;&gt;"!!!"),"NEW","")))</f>
        <v> </v>
      </c>
      <c r="G4531" s="24" t="str">
        <f>IF(OR(E4531="",E4531="!!!"),"",IF(OR(J4531=0,AND(J4531=1,K4531=1),AND(J4531=1,I4531="SBJ"),AND(J4531=1,I4531=0)),"?IN_FOCUS",IF(J4531&lt;=2,"?ACTIVATED",IF(J4531&lt;&gt;"","?FAMILIAR",IF(F4531="NEW",IF(ISNA(VLOOKUP(E4531,#REF!,1,FALSE())),"?TYPE_IDENTIFIABLE","?REFERENTIAL"),"_")))))</f>
        <v> </v>
      </c>
      <c r="H4531" s="25" t="str">
        <f>IF(J4531&lt;&gt;1,"",IF(I4531="SBJ","CB","?"))</f>
        <v> </v>
      </c>
      <c r="I4531" s="26" t="str">
        <f>IF(OR(E4531="",E4531="!!!",F4531="NEW"),"",INDEX(B4530:B$2,-1+SUMPRODUCT(MAX(ROW(E4530:E$2)*(E4531=E4530:E$2)))))</f>
        <v> </v>
      </c>
      <c r="J4531" s="26" t="str">
        <f>IF(OR(E4531="",E4531="!!!",F4531="NEW"),"",COUNTBLANK(OFFSET(A$1,,,SUMPRODUCT(MAX(ROW(E$2:E4531)*(E4531=E$2:E4531)))))-COUNTBLANK(OFFSET(A$1,,,SUMPRODUCT(MAX(ROW(E$1:E4530)*(E2=E$1:E4530))))))</f>
        <v> </v>
      </c>
      <c r="K4531" s="26" t="str">
        <f>IF(OR(E4531="",E4531="!!!",F4531="NEW"),"",INDEX(J$1:J4530,SUMPRODUCT(MAX(ROW(E$1:E4530)*(E4531=E$1:E4530)))))</f>
        <v> </v>
      </c>
      <c r="L4531" s="27"/>
    </row>
    <row r="4532" spans="1:12">
      <c r="A4532" s="20" t="s">
        <v>1697</v>
      </c>
      <c r="E4532" s="22">
        <f>IF(D4532="?OLD","!!!","")</f>
        <v/>
      </c>
      <c r="F4532" s="23" t="str">
        <f>IF(OR(E4532="",E4532="!!!"),"",IF(NOT(ISNA(VLOOKUP(E4532,E$1:E4531,1,FALSE()))),"OLD",IF(AND(E4532&lt;&gt;"",E4532&lt;&gt;"!!!"),"NEW","")))</f>
        <v> </v>
      </c>
      <c r="G4532" s="24" t="str">
        <f>IF(OR(E4532="",E4532="!!!"),"",IF(OR(J4532=0,AND(J4532=1,K4532=1),AND(J4532=1,I4532="SBJ"),AND(J4532=1,I4532=0)),"?IN_FOCUS",IF(J4532&lt;=2,"?ACTIVATED",IF(J4532&lt;&gt;"","?FAMILIAR",IF(F4532="NEW",IF(ISNA(VLOOKUP(E4532,#REF!,1,FALSE())),"?TYPE_IDENTIFIABLE","?REFERENTIAL"),"_")))))</f>
        <v> </v>
      </c>
      <c r="H4532" s="25" t="str">
        <f>IF(J4532&lt;&gt;1,"",IF(I4532="SBJ","CB","?"))</f>
        <v> </v>
      </c>
      <c r="I4532" s="26" t="str">
        <f>IF(OR(E4532="",E4532="!!!",F4532="NEW"),"",INDEX(B4531:B$2,-1+SUMPRODUCT(MAX(ROW(E4531:E$2)*(E4532=E4531:E$2)))))</f>
        <v> </v>
      </c>
      <c r="J4532" s="26" t="str">
        <f>IF(OR(E4532="",E4532="!!!",F4532="NEW"),"",COUNTBLANK(OFFSET(A$1,,,SUMPRODUCT(MAX(ROW(E$2:E4532)*(E4532=E$2:E4532)))))-COUNTBLANK(OFFSET(A$1,,,SUMPRODUCT(MAX(ROW(E$1:E4531)*(E2=E$1:E4531))))))</f>
        <v> </v>
      </c>
      <c r="K4532" s="26" t="str">
        <f>IF(OR(E4532="",E4532="!!!",F4532="NEW"),"",INDEX(J$1:J4531,SUMPRODUCT(MAX(ROW(E$1:E4531)*(E4532=E$1:E4531)))))</f>
        <v> </v>
      </c>
      <c r="L4532" s="27"/>
    </row>
    <row r="4533" spans="1:12">
      <c r="A4533" s="20" t="s">
        <v>1203</v>
      </c>
      <c r="E4533" s="22">
        <f>IF(D4533="?OLD","!!!","")</f>
        <v/>
      </c>
      <c r="F4533" s="23" t="str">
        <f>IF(OR(E4533="",E4533="!!!"),"",IF(NOT(ISNA(VLOOKUP(E4533,E$1:E4532,1,FALSE()))),"OLD",IF(AND(E4533&lt;&gt;"",E4533&lt;&gt;"!!!"),"NEW","")))</f>
        <v> </v>
      </c>
      <c r="G4533" s="24" t="str">
        <f>IF(OR(E4533="",E4533="!!!"),"",IF(OR(J4533=0,AND(J4533=1,K4533=1),AND(J4533=1,I4533="SBJ"),AND(J4533=1,I4533=0)),"?IN_FOCUS",IF(J4533&lt;=2,"?ACTIVATED",IF(J4533&lt;&gt;"","?FAMILIAR",IF(F4533="NEW",IF(ISNA(VLOOKUP(E4533,#REF!,1,FALSE())),"?TYPE_IDENTIFIABLE","?REFERENTIAL"),"_")))))</f>
        <v> </v>
      </c>
      <c r="H4533" s="25" t="str">
        <f>IF(J4533&lt;&gt;1,"",IF(I4533="SBJ","CB","?"))</f>
        <v> </v>
      </c>
      <c r="I4533" s="26" t="str">
        <f>IF(OR(E4533="",E4533="!!!",F4533="NEW"),"",INDEX(B4532:B$2,-1+SUMPRODUCT(MAX(ROW(E4532:E$2)*(E4533=E4532:E$2)))))</f>
        <v> </v>
      </c>
      <c r="J4533" s="26" t="str">
        <f>IF(OR(E4533="",E4533="!!!",F4533="NEW"),"",COUNTBLANK(OFFSET(A$1,,,SUMPRODUCT(MAX(ROW(E$2:E4533)*(E4533=E$2:E4533)))))-COUNTBLANK(OFFSET(A$1,,,SUMPRODUCT(MAX(ROW(E$1:E4532)*(E2=E$1:E4532))))))</f>
        <v> </v>
      </c>
      <c r="K4533" s="26" t="str">
        <f>IF(OR(E4533="",E4533="!!!",F4533="NEW"),"",INDEX(J$1:J4532,SUMPRODUCT(MAX(ROW(E$1:E4532)*(E4533=E$1:E4532)))))</f>
        <v> </v>
      </c>
      <c r="L4533" s="27"/>
    </row>
    <row r="4534" spans="1:12">
      <c r="A4534" s="20" t="s">
        <v>1828</v>
      </c>
      <c r="E4534" s="22">
        <f>IF(D4534="?OLD","!!!","")</f>
        <v/>
      </c>
      <c r="F4534" s="23" t="str">
        <f>IF(OR(E4534="",E4534="!!!"),"",IF(NOT(ISNA(VLOOKUP(E4534,E$1:E4533,1,FALSE()))),"OLD",IF(AND(E4534&lt;&gt;"",E4534&lt;&gt;"!!!"),"NEW","")))</f>
        <v> </v>
      </c>
      <c r="G4534" s="24" t="str">
        <f>IF(OR(E4534="",E4534="!!!"),"",IF(OR(J4534=0,AND(J4534=1,K4534=1),AND(J4534=1,I4534="SBJ"),AND(J4534=1,I4534=0)),"?IN_FOCUS",IF(J4534&lt;=2,"?ACTIVATED",IF(J4534&lt;&gt;"","?FAMILIAR",IF(F4534="NEW",IF(ISNA(VLOOKUP(E4534,#REF!,1,FALSE())),"?TYPE_IDENTIFIABLE","?REFERENTIAL"),"_")))))</f>
        <v> </v>
      </c>
      <c r="H4534" s="25" t="str">
        <f>IF(J4534&lt;&gt;1,"",IF(I4534="SBJ","CB","?"))</f>
        <v> </v>
      </c>
      <c r="I4534" s="26" t="str">
        <f>IF(OR(E4534="",E4534="!!!",F4534="NEW"),"",INDEX(B4533:B$2,-1+SUMPRODUCT(MAX(ROW(E4533:E$2)*(E4534=E4533:E$2)))))</f>
        <v> </v>
      </c>
      <c r="J4534" s="26" t="str">
        <f>IF(OR(E4534="",E4534="!!!",F4534="NEW"),"",COUNTBLANK(OFFSET(A$1,,,SUMPRODUCT(MAX(ROW(E$2:E4534)*(E4534=E$2:E4534)))))-COUNTBLANK(OFFSET(A$1,,,SUMPRODUCT(MAX(ROW(E$1:E4533)*(E2=E$1:E4533))))))</f>
        <v> </v>
      </c>
      <c r="K4534" s="26" t="str">
        <f>IF(OR(E4534="",E4534="!!!",F4534="NEW"),"",INDEX(J$1:J4533,SUMPRODUCT(MAX(ROW(E$1:E4533)*(E4534=E$1:E4533)))))</f>
        <v> </v>
      </c>
      <c r="L4534" s="27"/>
    </row>
    <row r="4535" spans="1:12">
      <c r="A4535" s="20" t="s">
        <v>1166</v>
      </c>
      <c r="E4535" s="22">
        <f>IF(D4535="?OLD","!!!","")</f>
        <v/>
      </c>
      <c r="F4535" s="23" t="str">
        <f>IF(OR(E4535="",E4535="!!!"),"",IF(NOT(ISNA(VLOOKUP(E4535,E$1:E4534,1,FALSE()))),"OLD",IF(AND(E4535&lt;&gt;"",E4535&lt;&gt;"!!!"),"NEW","")))</f>
        <v> </v>
      </c>
      <c r="G4535" s="24" t="str">
        <f>IF(OR(E4535="",E4535="!!!"),"",IF(OR(J4535=0,AND(J4535=1,K4535=1),AND(J4535=1,I4535="SBJ"),AND(J4535=1,I4535=0)),"?IN_FOCUS",IF(J4535&lt;=2,"?ACTIVATED",IF(J4535&lt;&gt;"","?FAMILIAR",IF(F4535="NEW",IF(ISNA(VLOOKUP(E4535,#REF!,1,FALSE())),"?TYPE_IDENTIFIABLE","?REFERENTIAL"),"_")))))</f>
        <v> </v>
      </c>
      <c r="H4535" s="25" t="str">
        <f>IF(J4535&lt;&gt;1,"",IF(I4535="SBJ","CB","?"))</f>
        <v> </v>
      </c>
      <c r="I4535" s="26" t="str">
        <f>IF(OR(E4535="",E4535="!!!",F4535="NEW"),"",INDEX(B4534:B$2,-1+SUMPRODUCT(MAX(ROW(E4534:E$2)*(E4535=E4534:E$2)))))</f>
        <v> </v>
      </c>
      <c r="J4535" s="26" t="str">
        <f>IF(OR(E4535="",E4535="!!!",F4535="NEW"),"",COUNTBLANK(OFFSET(A$1,,,SUMPRODUCT(MAX(ROW(E$2:E4535)*(E4535=E$2:E4535)))))-COUNTBLANK(OFFSET(A$1,,,SUMPRODUCT(MAX(ROW(E$1:E4534)*(E2=E$1:E4534))))))</f>
        <v> </v>
      </c>
      <c r="K4535" s="26" t="str">
        <f>IF(OR(E4535="",E4535="!!!",F4535="NEW"),"",INDEX(J$1:J4534,SUMPRODUCT(MAX(ROW(E$1:E4534)*(E4535=E$1:E4534)))))</f>
        <v> </v>
      </c>
      <c r="L4535" s="27"/>
    </row>
    <row r="4536" spans="1:12">
      <c r="A4536" s="20" t="s">
        <v>1236</v>
      </c>
      <c r="E4536" s="22">
        <f>IF(D4536="?OLD","!!!","")</f>
        <v/>
      </c>
      <c r="F4536" s="23" t="str">
        <f>IF(OR(E4536="",E4536="!!!"),"",IF(NOT(ISNA(VLOOKUP(E4536,E$1:E4535,1,FALSE()))),"OLD",IF(AND(E4536&lt;&gt;"",E4536&lt;&gt;"!!!"),"NEW","")))</f>
        <v> </v>
      </c>
      <c r="G4536" s="24" t="str">
        <f>IF(OR(E4536="",E4536="!!!"),"",IF(OR(J4536=0,AND(J4536=1,K4536=1),AND(J4536=1,I4536="SBJ"),AND(J4536=1,I4536=0)),"?IN_FOCUS",IF(J4536&lt;=2,"?ACTIVATED",IF(J4536&lt;&gt;"","?FAMILIAR",IF(F4536="NEW",IF(ISNA(VLOOKUP(E4536,#REF!,1,FALSE())),"?TYPE_IDENTIFIABLE","?REFERENTIAL"),"_")))))</f>
        <v> </v>
      </c>
      <c r="H4536" s="25" t="str">
        <f>IF(J4536&lt;&gt;1,"",IF(I4536="SBJ","CB","?"))</f>
        <v> </v>
      </c>
      <c r="I4536" s="26" t="str">
        <f>IF(OR(E4536="",E4536="!!!",F4536="NEW"),"",INDEX(B4535:B$2,-1+SUMPRODUCT(MAX(ROW(E4535:E$2)*(E4536=E4535:E$2)))))</f>
        <v> </v>
      </c>
      <c r="J4536" s="26" t="str">
        <f>IF(OR(E4536="",E4536="!!!",F4536="NEW"),"",COUNTBLANK(OFFSET(A$1,,,SUMPRODUCT(MAX(ROW(E$2:E4536)*(E4536=E$2:E4536)))))-COUNTBLANK(OFFSET(A$1,,,SUMPRODUCT(MAX(ROW(E$1:E4535)*(E2=E$1:E4535))))))</f>
        <v> </v>
      </c>
      <c r="K4536" s="26" t="str">
        <f>IF(OR(E4536="",E4536="!!!",F4536="NEW"),"",INDEX(J$1:J4535,SUMPRODUCT(MAX(ROW(E$1:E4535)*(E4536=E$1:E4535)))))</f>
        <v> </v>
      </c>
      <c r="L4536" s="27"/>
    </row>
    <row r="4537" spans="1:12">
      <c r="A4537" s="20" t="s">
        <v>1278</v>
      </c>
      <c r="B4537" s="21" t="s">
        <v>1175</v>
      </c>
      <c r="C4537" s="21" t="s">
        <v>1168</v>
      </c>
      <c r="D4537" s="21" t="s">
        <v>1144</v>
      </c>
      <c r="E4537" s="22">
        <f>IF(D4537="?OLD","!!!","")</f>
        <v/>
      </c>
      <c r="F4537" s="23" t="str">
        <f>IF(OR(E4537="",E4537="!!!"),"",IF(NOT(ISNA(VLOOKUP(E4537,E$1:E4536,1,FALSE()))),"OLD",IF(AND(E4537&lt;&gt;"",E4537&lt;&gt;"!!!"),"NEW","")))</f>
        <v> </v>
      </c>
      <c r="G4537" s="24" t="str">
        <f>IF(OR(E4537="",E4537="!!!"),"",IF(OR(J4537=0,AND(J4537=1,K4537=1),AND(J4537=1,I4537="SBJ"),AND(J4537=1,I4537=0)),"?IN_FOCUS",IF(J4537&lt;=2,"?ACTIVATED",IF(J4537&lt;&gt;"","?FAMILIAR",IF(F4537="NEW",IF(ISNA(VLOOKUP(E4537,#REF!,1,FALSE())),"?TYPE_IDENTIFIABLE","?REFERENTIAL"),"_")))))</f>
        <v> </v>
      </c>
      <c r="H4537" s="25" t="str">
        <f>IF(J4537&lt;&gt;1,"",IF(I4537="SBJ","CB","?"))</f>
        <v> </v>
      </c>
      <c r="I4537" s="26" t="str">
        <f>IF(OR(E4537="",E4537="!!!",F4537="NEW"),"",INDEX(B4536:B$2,-1+SUMPRODUCT(MAX(ROW(E4536:E$2)*(E4537=E4536:E$2)))))</f>
        <v> </v>
      </c>
      <c r="J4537" s="26" t="str">
        <f>IF(OR(E4537="",E4537="!!!",F4537="NEW"),"",COUNTBLANK(OFFSET(A$1,,,SUMPRODUCT(MAX(ROW(E$2:E4537)*(E4537=E$2:E4537)))))-COUNTBLANK(OFFSET(A$1,,,SUMPRODUCT(MAX(ROW(E$1:E4536)*(E2=E$1:E4536))))))</f>
        <v> </v>
      </c>
      <c r="K4537" s="26" t="str">
        <f>IF(OR(E4537="",E4537="!!!",F4537="NEW"),"",INDEX(J$1:J4536,SUMPRODUCT(MAX(ROW(E$1:E4536)*(E4537=E$1:E4536)))))</f>
        <v> </v>
      </c>
      <c r="L4537" s="27"/>
    </row>
    <row r="4538" spans="1:12">
      <c r="A4538" s="20" t="s">
        <v>1371</v>
      </c>
      <c r="B4538" s="21" t="s">
        <v>1193</v>
      </c>
      <c r="E4538" s="22">
        <f>IF(D4538="?OLD","!!!","")</f>
        <v/>
      </c>
      <c r="F4538" s="23" t="str">
        <f>IF(OR(E4538="",E4538="!!!"),"",IF(NOT(ISNA(VLOOKUP(E4538,E$1:E4537,1,FALSE()))),"OLD",IF(AND(E4538&lt;&gt;"",E4538&lt;&gt;"!!!"),"NEW","")))</f>
        <v> </v>
      </c>
      <c r="G4538" s="24" t="str">
        <f>IF(OR(E4538="",E4538="!!!"),"",IF(OR(J4538=0,AND(J4538=1,K4538=1),AND(J4538=1,I4538="SBJ"),AND(J4538=1,I4538=0)),"?IN_FOCUS",IF(J4538&lt;=2,"?ACTIVATED",IF(J4538&lt;&gt;"","?FAMILIAR",IF(F4538="NEW",IF(ISNA(VLOOKUP(E4538,#REF!,1,FALSE())),"?TYPE_IDENTIFIABLE","?REFERENTIAL"),"_")))))</f>
        <v> </v>
      </c>
      <c r="H4538" s="25" t="str">
        <f>IF(J4538&lt;&gt;1,"",IF(I4538="SBJ","CB","?"))</f>
        <v> </v>
      </c>
      <c r="I4538" s="26" t="str">
        <f>IF(OR(E4538="",E4538="!!!",F4538="NEW"),"",INDEX(B4537:B$2,-1+SUMPRODUCT(MAX(ROW(E4537:E$2)*(E4538=E4537:E$2)))))</f>
        <v> </v>
      </c>
      <c r="J4538" s="26" t="str">
        <f>IF(OR(E4538="",E4538="!!!",F4538="NEW"),"",COUNTBLANK(OFFSET(A$1,,,SUMPRODUCT(MAX(ROW(E$2:E4538)*(E4538=E$2:E4538)))))-COUNTBLANK(OFFSET(A$1,,,SUMPRODUCT(MAX(ROW(E$1:E4537)*(E2=E$1:E4537))))))</f>
        <v> </v>
      </c>
      <c r="K4538" s="26" t="str">
        <f>IF(OR(E4538="",E4538="!!!",F4538="NEW"),"",INDEX(J$1:J4537,SUMPRODUCT(MAX(ROW(E$1:E4537)*(E4538=E$1:E4537)))))</f>
        <v> </v>
      </c>
      <c r="L4538" s="27"/>
    </row>
    <row r="4539" spans="1:12">
      <c r="A4539" s="20" t="s">
        <v>2445</v>
      </c>
      <c r="E4539" s="22">
        <f>IF(D4539="?OLD","!!!","")</f>
        <v/>
      </c>
      <c r="F4539" s="23" t="str">
        <f>IF(OR(E4539="",E4539="!!!"),"",IF(NOT(ISNA(VLOOKUP(E4539,E$1:E4538,1,FALSE()))),"OLD",IF(AND(E4539&lt;&gt;"",E4539&lt;&gt;"!!!"),"NEW","")))</f>
        <v> </v>
      </c>
      <c r="G4539" s="24" t="str">
        <f>IF(OR(E4539="",E4539="!!!"),"",IF(OR(J4539=0,AND(J4539=1,K4539=1),AND(J4539=1,I4539="SBJ"),AND(J4539=1,I4539=0)),"?IN_FOCUS",IF(J4539&lt;=2,"?ACTIVATED",IF(J4539&lt;&gt;"","?FAMILIAR",IF(F4539="NEW",IF(ISNA(VLOOKUP(E4539,#REF!,1,FALSE())),"?TYPE_IDENTIFIABLE","?REFERENTIAL"),"_")))))</f>
        <v> </v>
      </c>
      <c r="H4539" s="25" t="str">
        <f>IF(J4539&lt;&gt;1,"",IF(I4539="SBJ","CB","?"))</f>
        <v> </v>
      </c>
      <c r="I4539" s="26" t="str">
        <f>IF(OR(E4539="",E4539="!!!",F4539="NEW"),"",INDEX(B4538:B$2,-1+SUMPRODUCT(MAX(ROW(E4538:E$2)*(E4539=E4538:E$2)))))</f>
        <v> </v>
      </c>
      <c r="J4539" s="26" t="str">
        <f>IF(OR(E4539="",E4539="!!!",F4539="NEW"),"",COUNTBLANK(OFFSET(A$1,,,SUMPRODUCT(MAX(ROW(E$2:E4539)*(E4539=E$2:E4539)))))-COUNTBLANK(OFFSET(A$1,,,SUMPRODUCT(MAX(ROW(E$1:E4538)*(E2=E$1:E4538))))))</f>
        <v> </v>
      </c>
      <c r="K4539" s="26" t="str">
        <f>IF(OR(E4539="",E4539="!!!",F4539="NEW"),"",INDEX(J$1:J4538,SUMPRODUCT(MAX(ROW(E$1:E4538)*(E4539=E$1:E4538)))))</f>
        <v> </v>
      </c>
      <c r="L4539" s="27"/>
    </row>
    <row r="4540" spans="1:12">
      <c r="A4540" s="20" t="s">
        <v>1176</v>
      </c>
      <c r="E4540" s="22">
        <f>IF(D4540="?OLD","!!!","")</f>
        <v/>
      </c>
      <c r="F4540" s="23" t="str">
        <f>IF(OR(E4540="",E4540="!!!"),"",IF(NOT(ISNA(VLOOKUP(E4540,E$1:E4539,1,FALSE()))),"OLD",IF(AND(E4540&lt;&gt;"",E4540&lt;&gt;"!!!"),"NEW","")))</f>
        <v> </v>
      </c>
      <c r="G4540" s="24" t="str">
        <f>IF(OR(E4540="",E4540="!!!"),"",IF(OR(J4540=0,AND(J4540=1,K4540=1),AND(J4540=1,I4540="SBJ"),AND(J4540=1,I4540=0)),"?IN_FOCUS",IF(J4540&lt;=2,"?ACTIVATED",IF(J4540&lt;&gt;"","?FAMILIAR",IF(F4540="NEW",IF(ISNA(VLOOKUP(E4540,#REF!,1,FALSE())),"?TYPE_IDENTIFIABLE","?REFERENTIAL"),"_")))))</f>
        <v> </v>
      </c>
      <c r="H4540" s="25" t="str">
        <f>IF(J4540&lt;&gt;1,"",IF(I4540="SBJ","CB","?"))</f>
        <v> </v>
      </c>
      <c r="I4540" s="26" t="str">
        <f>IF(OR(E4540="",E4540="!!!",F4540="NEW"),"",INDEX(B4539:B$2,-1+SUMPRODUCT(MAX(ROW(E4539:E$2)*(E4540=E4539:E$2)))))</f>
        <v> </v>
      </c>
      <c r="J4540" s="26" t="str">
        <f>IF(OR(E4540="",E4540="!!!",F4540="NEW"),"",COUNTBLANK(OFFSET(A$1,,,SUMPRODUCT(MAX(ROW(E$2:E4540)*(E4540=E$2:E4540)))))-COUNTBLANK(OFFSET(A$1,,,SUMPRODUCT(MAX(ROW(E$1:E4539)*(E2=E$1:E4539))))))</f>
        <v> </v>
      </c>
      <c r="K4540" s="26" t="str">
        <f>IF(OR(E4540="",E4540="!!!",F4540="NEW"),"",INDEX(J$1:J4539,SUMPRODUCT(MAX(ROW(E$1:E4539)*(E4540=E$1:E4539)))))</f>
        <v> </v>
      </c>
      <c r="L4540" s="27"/>
    </row>
    <row r="4541" spans="1:12">
      <c r="A4541" s="20" t="s">
        <v>2446</v>
      </c>
      <c r="E4541" s="22">
        <f>IF(D4541="?OLD","!!!","")</f>
        <v/>
      </c>
      <c r="F4541" s="23" t="str">
        <f>IF(OR(E4541="",E4541="!!!"),"",IF(NOT(ISNA(VLOOKUP(E4541,E$1:E4540,1,FALSE()))),"OLD",IF(AND(E4541&lt;&gt;"",E4541&lt;&gt;"!!!"),"NEW","")))</f>
        <v> </v>
      </c>
      <c r="G4541" s="24" t="str">
        <f>IF(OR(E4541="",E4541="!!!"),"",IF(OR(J4541=0,AND(J4541=1,K4541=1),AND(J4541=1,I4541="SBJ"),AND(J4541=1,I4541=0)),"?IN_FOCUS",IF(J4541&lt;=2,"?ACTIVATED",IF(J4541&lt;&gt;"","?FAMILIAR",IF(F4541="NEW",IF(ISNA(VLOOKUP(E4541,#REF!,1,FALSE())),"?TYPE_IDENTIFIABLE","?REFERENTIAL"),"_")))))</f>
        <v> </v>
      </c>
      <c r="H4541" s="25" t="str">
        <f>IF(J4541&lt;&gt;1,"",IF(I4541="SBJ","CB","?"))</f>
        <v> </v>
      </c>
      <c r="I4541" s="26" t="str">
        <f>IF(OR(E4541="",E4541="!!!",F4541="NEW"),"",INDEX(B4540:B$2,-1+SUMPRODUCT(MAX(ROW(E4540:E$2)*(E4541=E4540:E$2)))))</f>
        <v> </v>
      </c>
      <c r="J4541" s="26" t="str">
        <f>IF(OR(E4541="",E4541="!!!",F4541="NEW"),"",COUNTBLANK(OFFSET(A$1,,,SUMPRODUCT(MAX(ROW(E$2:E4541)*(E4541=E$2:E4541)))))-COUNTBLANK(OFFSET(A$1,,,SUMPRODUCT(MAX(ROW(E$1:E4540)*(E2=E$1:E4540))))))</f>
        <v> </v>
      </c>
      <c r="K4541" s="26" t="str">
        <f>IF(OR(E4541="",E4541="!!!",F4541="NEW"),"",INDEX(J$1:J4540,SUMPRODUCT(MAX(ROW(E$1:E4540)*(E4541=E$1:E4540)))))</f>
        <v> </v>
      </c>
      <c r="L4541" s="27"/>
    </row>
    <row r="4542" spans="1:12">
      <c r="A4542" s="20" t="s">
        <v>312</v>
      </c>
      <c r="E4542" s="22">
        <f>IF(D4542="?OLD","!!!","")</f>
        <v/>
      </c>
      <c r="F4542" s="23" t="str">
        <f>IF(OR(E4542="",E4542="!!!"),"",IF(NOT(ISNA(VLOOKUP(E4542,E$1:E4541,1,FALSE()))),"OLD",IF(AND(E4542&lt;&gt;"",E4542&lt;&gt;"!!!"),"NEW","")))</f>
        <v> </v>
      </c>
      <c r="G4542" s="24" t="str">
        <f>IF(OR(E4542="",E4542="!!!"),"",IF(OR(J4542=0,AND(J4542=1,K4542=1),AND(J4542=1,I4542="SBJ"),AND(J4542=1,I4542=0)),"?IN_FOCUS",IF(J4542&lt;=2,"?ACTIVATED",IF(J4542&lt;&gt;"","?FAMILIAR",IF(F4542="NEW",IF(ISNA(VLOOKUP(E4542,#REF!,1,FALSE())),"?TYPE_IDENTIFIABLE","?REFERENTIAL"),"_")))))</f>
        <v> </v>
      </c>
      <c r="H4542" s="25" t="str">
        <f>IF(J4542&lt;&gt;1,"",IF(I4542="SBJ","CB","?"))</f>
        <v> </v>
      </c>
      <c r="I4542" s="26" t="str">
        <f>IF(OR(E4542="",E4542="!!!",F4542="NEW"),"",INDEX(B4541:B$2,-1+SUMPRODUCT(MAX(ROW(E4541:E$2)*(E4542=E4541:E$2)))))</f>
        <v> </v>
      </c>
      <c r="J4542" s="26" t="str">
        <f>IF(OR(E4542="",E4542="!!!",F4542="NEW"),"",COUNTBLANK(OFFSET(A$1,,,SUMPRODUCT(MAX(ROW(E$2:E4542)*(E4542=E$2:E4542)))))-COUNTBLANK(OFFSET(A$1,,,SUMPRODUCT(MAX(ROW(E$1:E4541)*(E2=E$1:E4541))))))</f>
        <v> </v>
      </c>
      <c r="K4542" s="26" t="str">
        <f>IF(OR(E4542="",E4542="!!!",F4542="NEW"),"",INDEX(J$1:J4541,SUMPRODUCT(MAX(ROW(E$1:E4541)*(E4542=E$1:E4541)))))</f>
        <v> </v>
      </c>
      <c r="L4542" s="27"/>
    </row>
    <row r="4543" spans="1:12">
      <c r="A4543" s="20"/>
    </row>
    <row r="4544" spans="1:12">
      <c r="A4544" s="20" t="s">
        <v>2447</v>
      </c>
    </row>
    <row r="4545" spans="1:12">
      <c r="A4545" s="20" t="s">
        <v>1217</v>
      </c>
      <c r="B4545" s="21" t="s">
        <v>1165</v>
      </c>
      <c r="C4545" s="21" t="s">
        <v>1168</v>
      </c>
      <c r="D4545" s="21" t="s">
        <v>1144</v>
      </c>
      <c r="E4545" s="22">
        <f>IF(D4545="?OLD","!!!","")</f>
        <v/>
      </c>
      <c r="F4545" s="23" t="str">
        <f>IF(OR(E4545="",E4545="!!!"),"",IF(NOT(ISNA(VLOOKUP(E4545,E$1:E4544,1,FALSE()))),"OLD",IF(AND(E4545&lt;&gt;"",E4545&lt;&gt;"!!!"),"NEW","")))</f>
        <v> </v>
      </c>
      <c r="G4545" s="24" t="str">
        <f>IF(OR(E4545="",E4545="!!!"),"",IF(OR(J4545=0,AND(J4545=1,K4545=1),AND(J4545=1,I4545="SBJ"),AND(J4545=1,I4545=0)),"?IN_FOCUS",IF(J4545&lt;=2,"?ACTIVATED",IF(J4545&lt;&gt;"","?FAMILIAR",IF(F4545="NEW",IF(ISNA(VLOOKUP(E4545,#REF!,1,FALSE())),"?TYPE_IDENTIFIABLE","?REFERENTIAL"),"_")))))</f>
        <v> </v>
      </c>
      <c r="H4545" s="25" t="str">
        <f>IF(J4545&lt;&gt;1,"",IF(I4545="SBJ","CB","?"))</f>
        <v> </v>
      </c>
      <c r="I4545" s="26" t="str">
        <f>IF(OR(E4545="",E4545="!!!",F4545="NEW"),"",INDEX(B4544:B$2,-1+SUMPRODUCT(MAX(ROW(E4544:E$2)*(E4545=E4544:E$2)))))</f>
        <v> </v>
      </c>
      <c r="J4545" s="26" t="str">
        <f>IF(OR(E4545="",E4545="!!!",F4545="NEW"),"",COUNTBLANK(OFFSET(A$1,,,SUMPRODUCT(MAX(ROW(E$2:E4545)*(E4545=E$2:E4545)))))-COUNTBLANK(OFFSET(A$1,,,SUMPRODUCT(MAX(ROW(E$1:E4544)*(E2=E$1:E4544))))))</f>
        <v> </v>
      </c>
      <c r="K4545" s="26" t="str">
        <f>IF(OR(E4545="",E4545="!!!",F4545="NEW"),"",INDEX(J$1:J4544,SUMPRODUCT(MAX(ROW(E$1:E4544)*(E4545=E$1:E4544)))))</f>
        <v> </v>
      </c>
      <c r="L4545" s="27"/>
    </row>
    <row r="4546" spans="1:12">
      <c r="A4546" s="20" t="s">
        <v>165</v>
      </c>
      <c r="E4546" s="22">
        <f>IF(D4546="?OLD","!!!","")</f>
        <v/>
      </c>
      <c r="F4546" s="23" t="str">
        <f>IF(OR(E4546="",E4546="!!!"),"",IF(NOT(ISNA(VLOOKUP(E4546,E$1:E4545,1,FALSE()))),"OLD",IF(AND(E4546&lt;&gt;"",E4546&lt;&gt;"!!!"),"NEW","")))</f>
        <v> </v>
      </c>
      <c r="G4546" s="24" t="str">
        <f>IF(OR(E4546="",E4546="!!!"),"",IF(OR(J4546=0,AND(J4546=1,K4546=1),AND(J4546=1,I4546="SBJ"),AND(J4546=1,I4546=0)),"?IN_FOCUS",IF(J4546&lt;=2,"?ACTIVATED",IF(J4546&lt;&gt;"","?FAMILIAR",IF(F4546="NEW",IF(ISNA(VLOOKUP(E4546,#REF!,1,FALSE())),"?TYPE_IDENTIFIABLE","?REFERENTIAL"),"_")))))</f>
        <v> </v>
      </c>
      <c r="H4546" s="25" t="str">
        <f>IF(J4546&lt;&gt;1,"",IF(I4546="SBJ","CB","?"))</f>
        <v> </v>
      </c>
      <c r="I4546" s="26" t="str">
        <f>IF(OR(E4546="",E4546="!!!",F4546="NEW"),"",INDEX(B4545:B$2,-1+SUMPRODUCT(MAX(ROW(E4545:E$2)*(E4546=E4545:E$2)))))</f>
        <v> </v>
      </c>
      <c r="J4546" s="26" t="str">
        <f>IF(OR(E4546="",E4546="!!!",F4546="NEW"),"",COUNTBLANK(OFFSET(A$1,,,SUMPRODUCT(MAX(ROW(E$2:E4546)*(E4546=E$2:E4546)))))-COUNTBLANK(OFFSET(A$1,,,SUMPRODUCT(MAX(ROW(E$1:E4545)*(E2=E$1:E4545))))))</f>
        <v> </v>
      </c>
      <c r="K4546" s="26" t="str">
        <f>IF(OR(E4546="",E4546="!!!",F4546="NEW"),"",INDEX(J$1:J4545,SUMPRODUCT(MAX(ROW(E$1:E4545)*(E4546=E$1:E4545)))))</f>
        <v> </v>
      </c>
      <c r="L4546" s="27"/>
    </row>
    <row r="4547" spans="1:12">
      <c r="A4547" s="20" t="s">
        <v>1205</v>
      </c>
      <c r="E4547" s="22">
        <f>IF(D4547="?OLD","!!!","")</f>
        <v/>
      </c>
      <c r="F4547" s="23" t="str">
        <f>IF(OR(E4547="",E4547="!!!"),"",IF(NOT(ISNA(VLOOKUP(E4547,E$1:E4546,1,FALSE()))),"OLD",IF(AND(E4547&lt;&gt;"",E4547&lt;&gt;"!!!"),"NEW","")))</f>
        <v> </v>
      </c>
      <c r="G4547" s="24" t="str">
        <f>IF(OR(E4547="",E4547="!!!"),"",IF(OR(J4547=0,AND(J4547=1,K4547=1),AND(J4547=1,I4547="SBJ"),AND(J4547=1,I4547=0)),"?IN_FOCUS",IF(J4547&lt;=2,"?ACTIVATED",IF(J4547&lt;&gt;"","?FAMILIAR",IF(F4547="NEW",IF(ISNA(VLOOKUP(E4547,#REF!,1,FALSE())),"?TYPE_IDENTIFIABLE","?REFERENTIAL"),"_")))))</f>
        <v> </v>
      </c>
      <c r="H4547" s="25" t="str">
        <f>IF(J4547&lt;&gt;1,"",IF(I4547="SBJ","CB","?"))</f>
        <v> </v>
      </c>
      <c r="I4547" s="26" t="str">
        <f>IF(OR(E4547="",E4547="!!!",F4547="NEW"),"",INDEX(B4546:B$2,-1+SUMPRODUCT(MAX(ROW(E4546:E$2)*(E4547=E4546:E$2)))))</f>
        <v> </v>
      </c>
      <c r="J4547" s="26" t="str">
        <f>IF(OR(E4547="",E4547="!!!",F4547="NEW"),"",COUNTBLANK(OFFSET(A$1,,,SUMPRODUCT(MAX(ROW(E$2:E4547)*(E4547=E$2:E4547)))))-COUNTBLANK(OFFSET(A$1,,,SUMPRODUCT(MAX(ROW(E$1:E4546)*(E2=E$1:E4546))))))</f>
        <v> </v>
      </c>
      <c r="K4547" s="26" t="str">
        <f>IF(OR(E4547="",E4547="!!!",F4547="NEW"),"",INDEX(J$1:J4546,SUMPRODUCT(MAX(ROW(E$1:E4546)*(E4547=E$1:E4546)))))</f>
        <v> </v>
      </c>
      <c r="L4547" s="27"/>
    </row>
    <row r="4548" spans="1:12">
      <c r="A4548" s="20" t="s">
        <v>2448</v>
      </c>
      <c r="E4548" s="22">
        <f>IF(D4548="?OLD","!!!","")</f>
        <v/>
      </c>
      <c r="F4548" s="23" t="str">
        <f>IF(OR(E4548="",E4548="!!!"),"",IF(NOT(ISNA(VLOOKUP(E4548,E$1:E4547,1,FALSE()))),"OLD",IF(AND(E4548&lt;&gt;"",E4548&lt;&gt;"!!!"),"NEW","")))</f>
        <v> </v>
      </c>
      <c r="G4548" s="24" t="str">
        <f>IF(OR(E4548="",E4548="!!!"),"",IF(OR(J4548=0,AND(J4548=1,K4548=1),AND(J4548=1,I4548="SBJ"),AND(J4548=1,I4548=0)),"?IN_FOCUS",IF(J4548&lt;=2,"?ACTIVATED",IF(J4548&lt;&gt;"","?FAMILIAR",IF(F4548="NEW",IF(ISNA(VLOOKUP(E4548,#REF!,1,FALSE())),"?TYPE_IDENTIFIABLE","?REFERENTIAL"),"_")))))</f>
        <v> </v>
      </c>
      <c r="H4548" s="25" t="str">
        <f>IF(J4548&lt;&gt;1,"",IF(I4548="SBJ","CB","?"))</f>
        <v> </v>
      </c>
      <c r="I4548" s="26" t="str">
        <f>IF(OR(E4548="",E4548="!!!",F4548="NEW"),"",INDEX(B4547:B$2,-1+SUMPRODUCT(MAX(ROW(E4547:E$2)*(E4548=E4547:E$2)))))</f>
        <v> </v>
      </c>
      <c r="J4548" s="26" t="str">
        <f>IF(OR(E4548="",E4548="!!!",F4548="NEW"),"",COUNTBLANK(OFFSET(A$1,,,SUMPRODUCT(MAX(ROW(E$2:E4548)*(E4548=E$2:E4548)))))-COUNTBLANK(OFFSET(A$1,,,SUMPRODUCT(MAX(ROW(E$1:E4547)*(E2=E$1:E4547))))))</f>
        <v> </v>
      </c>
      <c r="K4548" s="26" t="str">
        <f>IF(OR(E4548="",E4548="!!!",F4548="NEW"),"",INDEX(J$1:J4547,SUMPRODUCT(MAX(ROW(E$1:E4547)*(E4548=E$1:E4547)))))</f>
        <v> </v>
      </c>
      <c r="L4548" s="27"/>
    </row>
    <row r="4549" spans="1:12">
      <c r="A4549" s="20" t="s">
        <v>2449</v>
      </c>
      <c r="B4549" s="21" t="s">
        <v>1154</v>
      </c>
      <c r="C4549" s="21" t="s">
        <v>1155</v>
      </c>
      <c r="E4549" s="22">
        <f>IF(D4549="?OLD","!!!","")</f>
        <v/>
      </c>
      <c r="F4549" s="23" t="str">
        <f>IF(OR(E4549="",E4549="!!!"),"",IF(NOT(ISNA(VLOOKUP(E4549,E$1:E4548,1,FALSE()))),"OLD",IF(AND(E4549&lt;&gt;"",E4549&lt;&gt;"!!!"),"NEW","")))</f>
        <v> </v>
      </c>
      <c r="G4549" s="24" t="str">
        <f>IF(OR(E4549="",E4549="!!!"),"",IF(OR(J4549=0,AND(J4549=1,K4549=1),AND(J4549=1,I4549="SBJ"),AND(J4549=1,I4549=0)),"?IN_FOCUS",IF(J4549&lt;=2,"?ACTIVATED",IF(J4549&lt;&gt;"","?FAMILIAR",IF(F4549="NEW",IF(ISNA(VLOOKUP(E4549,#REF!,1,FALSE())),"?TYPE_IDENTIFIABLE","?REFERENTIAL"),"_")))))</f>
        <v> </v>
      </c>
      <c r="H4549" s="25" t="str">
        <f>IF(J4549&lt;&gt;1,"",IF(I4549="SBJ","CB","?"))</f>
        <v> </v>
      </c>
      <c r="I4549" s="26" t="str">
        <f>IF(OR(E4549="",E4549="!!!",F4549="NEW"),"",INDEX(B4548:B$2,-1+SUMPRODUCT(MAX(ROW(E4548:E$2)*(E4549=E4548:E$2)))))</f>
        <v> </v>
      </c>
      <c r="J4549" s="26" t="str">
        <f>IF(OR(E4549="",E4549="!!!",F4549="NEW"),"",COUNTBLANK(OFFSET(A$1,,,SUMPRODUCT(MAX(ROW(E$2:E4549)*(E4549=E$2:E4549)))))-COUNTBLANK(OFFSET(A$1,,,SUMPRODUCT(MAX(ROW(E$1:E4548)*(E2=E$1:E4548))))))</f>
        <v> </v>
      </c>
      <c r="K4549" s="26" t="str">
        <f>IF(OR(E4549="",E4549="!!!",F4549="NEW"),"",INDEX(J$1:J4548,SUMPRODUCT(MAX(ROW(E$1:E4548)*(E4549=E$1:E4548)))))</f>
        <v> </v>
      </c>
      <c r="L4549" s="27"/>
    </row>
    <row r="4550" spans="1:12">
      <c r="A4550" s="20" t="s">
        <v>1314</v>
      </c>
      <c r="E4550" s="22">
        <f>IF(D4550="?OLD","!!!","")</f>
        <v/>
      </c>
      <c r="F4550" s="23" t="str">
        <f>IF(OR(E4550="",E4550="!!!"),"",IF(NOT(ISNA(VLOOKUP(E4550,E$1:E4549,1,FALSE()))),"OLD",IF(AND(E4550&lt;&gt;"",E4550&lt;&gt;"!!!"),"NEW","")))</f>
        <v> </v>
      </c>
      <c r="G4550" s="24" t="str">
        <f>IF(OR(E4550="",E4550="!!!"),"",IF(OR(J4550=0,AND(J4550=1,K4550=1),AND(J4550=1,I4550="SBJ"),AND(J4550=1,I4550=0)),"?IN_FOCUS",IF(J4550&lt;=2,"?ACTIVATED",IF(J4550&lt;&gt;"","?FAMILIAR",IF(F4550="NEW",IF(ISNA(VLOOKUP(E4550,#REF!,1,FALSE())),"?TYPE_IDENTIFIABLE","?REFERENTIAL"),"_")))))</f>
        <v> </v>
      </c>
      <c r="H4550" s="25" t="str">
        <f>IF(J4550&lt;&gt;1,"",IF(I4550="SBJ","CB","?"))</f>
        <v> </v>
      </c>
      <c r="I4550" s="26" t="str">
        <f>IF(OR(E4550="",E4550="!!!",F4550="NEW"),"",INDEX(B4549:B$2,-1+SUMPRODUCT(MAX(ROW(E4549:E$2)*(E4550=E4549:E$2)))))</f>
        <v> </v>
      </c>
      <c r="J4550" s="26" t="str">
        <f>IF(OR(E4550="",E4550="!!!",F4550="NEW"),"",COUNTBLANK(OFFSET(A$1,,,SUMPRODUCT(MAX(ROW(E$2:E4550)*(E4550=E$2:E4550)))))-COUNTBLANK(OFFSET(A$1,,,SUMPRODUCT(MAX(ROW(E$1:E4549)*(E2=E$1:E4549))))))</f>
        <v> </v>
      </c>
      <c r="K4550" s="26" t="str">
        <f>IF(OR(E4550="",E4550="!!!",F4550="NEW"),"",INDEX(J$1:J4549,SUMPRODUCT(MAX(ROW(E$1:E4549)*(E4550=E$1:E4549)))))</f>
        <v> </v>
      </c>
      <c r="L4550" s="27"/>
    </row>
    <row r="4551" spans="1:12">
      <c r="A4551" s="20" t="s">
        <v>1378</v>
      </c>
      <c r="B4551" s="21" t="s">
        <v>1171</v>
      </c>
      <c r="C4551" s="21" t="s">
        <v>1187</v>
      </c>
      <c r="E4551" s="22">
        <f>IF(D4551="?OLD","!!!","")</f>
        <v/>
      </c>
      <c r="F4551" s="23" t="str">
        <f>IF(OR(E4551="",E4551="!!!"),"",IF(NOT(ISNA(VLOOKUP(E4551,E$1:E4550,1,FALSE()))),"OLD",IF(AND(E4551&lt;&gt;"",E4551&lt;&gt;"!!!"),"NEW","")))</f>
        <v> </v>
      </c>
      <c r="G4551" s="24" t="str">
        <f>IF(OR(E4551="",E4551="!!!"),"",IF(OR(J4551=0,AND(J4551=1,K4551=1),AND(J4551=1,I4551="SBJ"),AND(J4551=1,I4551=0)),"?IN_FOCUS",IF(J4551&lt;=2,"?ACTIVATED",IF(J4551&lt;&gt;"","?FAMILIAR",IF(F4551="NEW",IF(ISNA(VLOOKUP(E4551,#REF!,1,FALSE())),"?TYPE_IDENTIFIABLE","?REFERENTIAL"),"_")))))</f>
        <v> </v>
      </c>
      <c r="H4551" s="25" t="str">
        <f>IF(J4551&lt;&gt;1,"",IF(I4551="SBJ","CB","?"))</f>
        <v> </v>
      </c>
      <c r="I4551" s="26" t="str">
        <f>IF(OR(E4551="",E4551="!!!",F4551="NEW"),"",INDEX(B4550:B$2,-1+SUMPRODUCT(MAX(ROW(E4550:E$2)*(E4551=E4550:E$2)))))</f>
        <v> </v>
      </c>
      <c r="J4551" s="26" t="str">
        <f>IF(OR(E4551="",E4551="!!!",F4551="NEW"),"",COUNTBLANK(OFFSET(A$1,,,SUMPRODUCT(MAX(ROW(E$2:E4551)*(E4551=E$2:E4551)))))-COUNTBLANK(OFFSET(A$1,,,SUMPRODUCT(MAX(ROW(E$1:E4550)*(E2=E$1:E4550))))))</f>
        <v> </v>
      </c>
      <c r="K4551" s="26" t="str">
        <f>IF(OR(E4551="",E4551="!!!",F4551="NEW"),"",INDEX(J$1:J4550,SUMPRODUCT(MAX(ROW(E$1:E4550)*(E4551=E$1:E4550)))))</f>
        <v> </v>
      </c>
      <c r="L4551" s="27"/>
    </row>
    <row r="4552" spans="1:12">
      <c r="A4552" s="20" t="s">
        <v>312</v>
      </c>
      <c r="E4552" s="22">
        <f>IF(D4552="?OLD","!!!","")</f>
        <v/>
      </c>
      <c r="F4552" s="23" t="str">
        <f>IF(OR(E4552="",E4552="!!!"),"",IF(NOT(ISNA(VLOOKUP(E4552,E$1:E4551,1,FALSE()))),"OLD",IF(AND(E4552&lt;&gt;"",E4552&lt;&gt;"!!!"),"NEW","")))</f>
        <v> </v>
      </c>
      <c r="G4552" s="24" t="str">
        <f>IF(OR(E4552="",E4552="!!!"),"",IF(OR(J4552=0,AND(J4552=1,K4552=1),AND(J4552=1,I4552="SBJ"),AND(J4552=1,I4552=0)),"?IN_FOCUS",IF(J4552&lt;=2,"?ACTIVATED",IF(J4552&lt;&gt;"","?FAMILIAR",IF(F4552="NEW",IF(ISNA(VLOOKUP(E4552,#REF!,1,FALSE())),"?TYPE_IDENTIFIABLE","?REFERENTIAL"),"_")))))</f>
        <v> </v>
      </c>
      <c r="H4552" s="25" t="str">
        <f>IF(J4552&lt;&gt;1,"",IF(I4552="SBJ","CB","?"))</f>
        <v> </v>
      </c>
      <c r="I4552" s="26" t="str">
        <f>IF(OR(E4552="",E4552="!!!",F4552="NEW"),"",INDEX(B4551:B$2,-1+SUMPRODUCT(MAX(ROW(E4551:E$2)*(E4552=E4551:E$2)))))</f>
        <v> </v>
      </c>
      <c r="J4552" s="26" t="str">
        <f>IF(OR(E4552="",E4552="!!!",F4552="NEW"),"",COUNTBLANK(OFFSET(A$1,,,SUMPRODUCT(MAX(ROW(E$2:E4552)*(E4552=E$2:E4552)))))-COUNTBLANK(OFFSET(A$1,,,SUMPRODUCT(MAX(ROW(E$1:E4551)*(E2=E$1:E4551))))))</f>
        <v> </v>
      </c>
      <c r="K4552" s="26" t="str">
        <f>IF(OR(E4552="",E4552="!!!",F4552="NEW"),"",INDEX(J$1:J4551,SUMPRODUCT(MAX(ROW(E$1:E4551)*(E4552=E$1:E4551)))))</f>
        <v> </v>
      </c>
      <c r="L4552" s="27"/>
    </row>
    <row r="4553" spans="1:12">
      <c r="A4553" s="20"/>
    </row>
    <row r="4554" spans="1:12">
      <c r="A4554" s="20" t="s">
        <v>2450</v>
      </c>
    </row>
    <row r="4555" spans="1:12">
      <c r="A4555" s="20" t="s">
        <v>1189</v>
      </c>
      <c r="B4555" s="21" t="s">
        <v>1165</v>
      </c>
      <c r="C4555" s="21" t="s">
        <v>1151</v>
      </c>
      <c r="D4555" s="21" t="s">
        <v>1144</v>
      </c>
      <c r="E4555" s="22">
        <f>IF(D4555="?OLD","!!!","")</f>
        <v/>
      </c>
      <c r="F4555" s="23" t="str">
        <f>IF(OR(E4555="",E4555="!!!"),"",IF(NOT(ISNA(VLOOKUP(E4555,E$1:E4554,1,FALSE()))),"OLD",IF(AND(E4555&lt;&gt;"",E4555&lt;&gt;"!!!"),"NEW","")))</f>
        <v> </v>
      </c>
      <c r="G4555" s="24" t="str">
        <f>IF(OR(E4555="",E4555="!!!"),"",IF(OR(J4555=0,AND(J4555=1,K4555=1),AND(J4555=1,I4555="SBJ"),AND(J4555=1,I4555=0)),"?IN_FOCUS",IF(J4555&lt;=2,"?ACTIVATED",IF(J4555&lt;&gt;"","?FAMILIAR",IF(F4555="NEW",IF(ISNA(VLOOKUP(E4555,#REF!,1,FALSE())),"?TYPE_IDENTIFIABLE","?REFERENTIAL"),"_")))))</f>
        <v> </v>
      </c>
      <c r="H4555" s="25" t="str">
        <f>IF(J4555&lt;&gt;1,"",IF(I4555="SBJ","CB","?"))</f>
        <v> </v>
      </c>
      <c r="I4555" s="26" t="str">
        <f>IF(OR(E4555="",E4555="!!!",F4555="NEW"),"",INDEX(B4554:B$2,-1+SUMPRODUCT(MAX(ROW(E4554:E$2)*(E4555=E4554:E$2)))))</f>
        <v> </v>
      </c>
      <c r="J4555" s="26" t="str">
        <f>IF(OR(E4555="",E4555="!!!",F4555="NEW"),"",COUNTBLANK(OFFSET(A$1,,,SUMPRODUCT(MAX(ROW(E$2:E4555)*(E4555=E$2:E4555)))))-COUNTBLANK(OFFSET(A$1,,,SUMPRODUCT(MAX(ROW(E$1:E4554)*(E2=E$1:E4554))))))</f>
        <v> </v>
      </c>
      <c r="K4555" s="26" t="str">
        <f>IF(OR(E4555="",E4555="!!!",F4555="NEW"),"",INDEX(J$1:J4554,SUMPRODUCT(MAX(ROW(E$1:E4554)*(E4555=E$1:E4554)))))</f>
        <v> </v>
      </c>
      <c r="L4555" s="27"/>
    </row>
    <row r="4556" spans="1:12">
      <c r="A4556" s="20" t="s">
        <v>2221</v>
      </c>
      <c r="E4556" s="22">
        <f>IF(D4556="?OLD","!!!","")</f>
        <v/>
      </c>
      <c r="F4556" s="23" t="str">
        <f>IF(OR(E4556="",E4556="!!!"),"",IF(NOT(ISNA(VLOOKUP(E4556,E$1:E4555,1,FALSE()))),"OLD",IF(AND(E4556&lt;&gt;"",E4556&lt;&gt;"!!!"),"NEW","")))</f>
        <v> </v>
      </c>
      <c r="G4556" s="24" t="str">
        <f>IF(OR(E4556="",E4556="!!!"),"",IF(OR(J4556=0,AND(J4556=1,K4556=1),AND(J4556=1,I4556="SBJ"),AND(J4556=1,I4556=0)),"?IN_FOCUS",IF(J4556&lt;=2,"?ACTIVATED",IF(J4556&lt;&gt;"","?FAMILIAR",IF(F4556="NEW",IF(ISNA(VLOOKUP(E4556,#REF!,1,FALSE())),"?TYPE_IDENTIFIABLE","?REFERENTIAL"),"_")))))</f>
        <v> </v>
      </c>
      <c r="H4556" s="25" t="str">
        <f>IF(J4556&lt;&gt;1,"",IF(I4556="SBJ","CB","?"))</f>
        <v> </v>
      </c>
      <c r="I4556" s="26" t="str">
        <f>IF(OR(E4556="",E4556="!!!",F4556="NEW"),"",INDEX(B4555:B$2,-1+SUMPRODUCT(MAX(ROW(E4555:E$2)*(E4556=E4555:E$2)))))</f>
        <v> </v>
      </c>
      <c r="J4556" s="26" t="str">
        <f>IF(OR(E4556="",E4556="!!!",F4556="NEW"),"",COUNTBLANK(OFFSET(A$1,,,SUMPRODUCT(MAX(ROW(E$2:E4556)*(E4556=E$2:E4556)))))-COUNTBLANK(OFFSET(A$1,,,SUMPRODUCT(MAX(ROW(E$1:E4555)*(E2=E$1:E4555))))))</f>
        <v> </v>
      </c>
      <c r="K4556" s="26" t="str">
        <f>IF(OR(E4556="",E4556="!!!",F4556="NEW"),"",INDEX(J$1:J4555,SUMPRODUCT(MAX(ROW(E$1:E4555)*(E4556=E$1:E4555)))))</f>
        <v> </v>
      </c>
      <c r="L4556" s="27"/>
    </row>
    <row r="4557" spans="1:12">
      <c r="A4557" s="20" t="s">
        <v>1529</v>
      </c>
      <c r="B4557" s="21" t="s">
        <v>1154</v>
      </c>
      <c r="E4557" s="22">
        <f>IF(D4557="?OLD","!!!","")</f>
        <v/>
      </c>
      <c r="F4557" s="23" t="str">
        <f>IF(OR(E4557="",E4557="!!!"),"",IF(NOT(ISNA(VLOOKUP(E4557,E$1:E4556,1,FALSE()))),"OLD",IF(AND(E4557&lt;&gt;"",E4557&lt;&gt;"!!!"),"NEW","")))</f>
        <v> </v>
      </c>
      <c r="G4557" s="24" t="str">
        <f>IF(OR(E4557="",E4557="!!!"),"",IF(OR(J4557=0,AND(J4557=1,K4557=1),AND(J4557=1,I4557="SBJ"),AND(J4557=1,I4557=0)),"?IN_FOCUS",IF(J4557&lt;=2,"?ACTIVATED",IF(J4557&lt;&gt;"","?FAMILIAR",IF(F4557="NEW",IF(ISNA(VLOOKUP(E4557,#REF!,1,FALSE())),"?TYPE_IDENTIFIABLE","?REFERENTIAL"),"_")))))</f>
        <v> </v>
      </c>
      <c r="H4557" s="25" t="str">
        <f>IF(J4557&lt;&gt;1,"",IF(I4557="SBJ","CB","?"))</f>
        <v> </v>
      </c>
      <c r="I4557" s="26" t="str">
        <f>IF(OR(E4557="",E4557="!!!",F4557="NEW"),"",INDEX(B4556:B$2,-1+SUMPRODUCT(MAX(ROW(E4556:E$2)*(E4557=E4556:E$2)))))</f>
        <v> </v>
      </c>
      <c r="J4557" s="26" t="str">
        <f>IF(OR(E4557="",E4557="!!!",F4557="NEW"),"",COUNTBLANK(OFFSET(A$1,,,SUMPRODUCT(MAX(ROW(E$2:E4557)*(E4557=E$2:E4557)))))-COUNTBLANK(OFFSET(A$1,,,SUMPRODUCT(MAX(ROW(E$1:E4556)*(E2=E$1:E4556))))))</f>
        <v> </v>
      </c>
      <c r="K4557" s="26" t="str">
        <f>IF(OR(E4557="",E4557="!!!",F4557="NEW"),"",INDEX(J$1:J4556,SUMPRODUCT(MAX(ROW(E$1:E4556)*(E4557=E$1:E4556)))))</f>
        <v> </v>
      </c>
      <c r="L4557" s="27"/>
    </row>
    <row r="4558" spans="1:12">
      <c r="A4558" s="20" t="s">
        <v>1146</v>
      </c>
      <c r="E4558" s="22">
        <f>IF(D4558="?OLD","!!!","")</f>
        <v/>
      </c>
      <c r="F4558" s="23" t="str">
        <f>IF(OR(E4558="",E4558="!!!"),"",IF(NOT(ISNA(VLOOKUP(E4558,E$1:E4557,1,FALSE()))),"OLD",IF(AND(E4558&lt;&gt;"",E4558&lt;&gt;"!!!"),"NEW","")))</f>
        <v> </v>
      </c>
      <c r="G4558" s="24" t="str">
        <f>IF(OR(E4558="",E4558="!!!"),"",IF(OR(J4558=0,AND(J4558=1,K4558=1),AND(J4558=1,I4558="SBJ"),AND(J4558=1,I4558=0)),"?IN_FOCUS",IF(J4558&lt;=2,"?ACTIVATED",IF(J4558&lt;&gt;"","?FAMILIAR",IF(F4558="NEW",IF(ISNA(VLOOKUP(E4558,#REF!,1,FALSE())),"?TYPE_IDENTIFIABLE","?REFERENTIAL"),"_")))))</f>
        <v> </v>
      </c>
      <c r="H4558" s="25" t="str">
        <f>IF(J4558&lt;&gt;1,"",IF(I4558="SBJ","CB","?"))</f>
        <v> </v>
      </c>
      <c r="I4558" s="26" t="str">
        <f>IF(OR(E4558="",E4558="!!!",F4558="NEW"),"",INDEX(B4557:B$2,-1+SUMPRODUCT(MAX(ROW(E4557:E$2)*(E4558=E4557:E$2)))))</f>
        <v> </v>
      </c>
      <c r="J4558" s="26" t="str">
        <f>IF(OR(E4558="",E4558="!!!",F4558="NEW"),"",COUNTBLANK(OFFSET(A$1,,,SUMPRODUCT(MAX(ROW(E$2:E4558)*(E4558=E$2:E4558)))))-COUNTBLANK(OFFSET(A$1,,,SUMPRODUCT(MAX(ROW(E$1:E4557)*(E2=E$1:E4557))))))</f>
        <v> </v>
      </c>
      <c r="K4558" s="26" t="str">
        <f>IF(OR(E4558="",E4558="!!!",F4558="NEW"),"",INDEX(J$1:J4557,SUMPRODUCT(MAX(ROW(E$1:E4557)*(E4558=E$1:E4557)))))</f>
        <v> </v>
      </c>
      <c r="L4558" s="27"/>
    </row>
    <row r="4559" spans="1:12">
      <c r="A4559" s="20" t="s">
        <v>1399</v>
      </c>
      <c r="B4559" s="21" t="s">
        <v>1175</v>
      </c>
      <c r="C4559" s="21" t="s">
        <v>1168</v>
      </c>
      <c r="D4559" s="21" t="s">
        <v>1144</v>
      </c>
      <c r="E4559" s="22">
        <f>IF(D4559="?OLD","!!!","")</f>
        <v/>
      </c>
      <c r="F4559" s="23" t="str">
        <f>IF(OR(E4559="",E4559="!!!"),"",IF(NOT(ISNA(VLOOKUP(E4559,E$1:E4558,1,FALSE()))),"OLD",IF(AND(E4559&lt;&gt;"",E4559&lt;&gt;"!!!"),"NEW","")))</f>
        <v> </v>
      </c>
      <c r="G4559" s="24" t="str">
        <f>IF(OR(E4559="",E4559="!!!"),"",IF(OR(J4559=0,AND(J4559=1,K4559=1),AND(J4559=1,I4559="SBJ"),AND(J4559=1,I4559=0)),"?IN_FOCUS",IF(J4559&lt;=2,"?ACTIVATED",IF(J4559&lt;&gt;"","?FAMILIAR",IF(F4559="NEW",IF(ISNA(VLOOKUP(E4559,#REF!,1,FALSE())),"?TYPE_IDENTIFIABLE","?REFERENTIAL"),"_")))))</f>
        <v> </v>
      </c>
      <c r="H4559" s="25" t="str">
        <f>IF(J4559&lt;&gt;1,"",IF(I4559="SBJ","CB","?"))</f>
        <v> </v>
      </c>
      <c r="I4559" s="26" t="str">
        <f>IF(OR(E4559="",E4559="!!!",F4559="NEW"),"",INDEX(B4558:B$2,-1+SUMPRODUCT(MAX(ROW(E4558:E$2)*(E4559=E4558:E$2)))))</f>
        <v> </v>
      </c>
      <c r="J4559" s="26" t="str">
        <f>IF(OR(E4559="",E4559="!!!",F4559="NEW"),"",COUNTBLANK(OFFSET(A$1,,,SUMPRODUCT(MAX(ROW(E$2:E4559)*(E4559=E$2:E4559)))))-COUNTBLANK(OFFSET(A$1,,,SUMPRODUCT(MAX(ROW(E$1:E4558)*(E2=E$1:E4558))))))</f>
        <v> </v>
      </c>
      <c r="K4559" s="26" t="str">
        <f>IF(OR(E4559="",E4559="!!!",F4559="NEW"),"",INDEX(J$1:J4558,SUMPRODUCT(MAX(ROW(E$1:E4558)*(E4559=E$1:E4558)))))</f>
        <v> </v>
      </c>
      <c r="L4559" s="27"/>
    </row>
    <row r="4560" spans="1:12">
      <c r="A4560" s="20" t="s">
        <v>165</v>
      </c>
      <c r="E4560" s="22">
        <f>IF(D4560="?OLD","!!!","")</f>
        <v/>
      </c>
      <c r="F4560" s="23" t="str">
        <f>IF(OR(E4560="",E4560="!!!"),"",IF(NOT(ISNA(VLOOKUP(E4560,E$1:E4559,1,FALSE()))),"OLD",IF(AND(E4560&lt;&gt;"",E4560&lt;&gt;"!!!"),"NEW","")))</f>
        <v> </v>
      </c>
      <c r="G4560" s="24" t="str">
        <f>IF(OR(E4560="",E4560="!!!"),"",IF(OR(J4560=0,AND(J4560=1,K4560=1),AND(J4560=1,I4560="SBJ"),AND(J4560=1,I4560=0)),"?IN_FOCUS",IF(J4560&lt;=2,"?ACTIVATED",IF(J4560&lt;&gt;"","?FAMILIAR",IF(F4560="NEW",IF(ISNA(VLOOKUP(E4560,#REF!,1,FALSE())),"?TYPE_IDENTIFIABLE","?REFERENTIAL"),"_")))))</f>
        <v> </v>
      </c>
      <c r="H4560" s="25" t="str">
        <f>IF(J4560&lt;&gt;1,"",IF(I4560="SBJ","CB","?"))</f>
        <v> </v>
      </c>
      <c r="I4560" s="26" t="str">
        <f>IF(OR(E4560="",E4560="!!!",F4560="NEW"),"",INDEX(B4559:B$2,-1+SUMPRODUCT(MAX(ROW(E4559:E$2)*(E4560=E4559:E$2)))))</f>
        <v> </v>
      </c>
      <c r="J4560" s="26" t="str">
        <f>IF(OR(E4560="",E4560="!!!",F4560="NEW"),"",COUNTBLANK(OFFSET(A$1,,,SUMPRODUCT(MAX(ROW(E$2:E4560)*(E4560=E$2:E4560)))))-COUNTBLANK(OFFSET(A$1,,,SUMPRODUCT(MAX(ROW(E$1:E4559)*(E2=E$1:E4559))))))</f>
        <v> </v>
      </c>
      <c r="K4560" s="26" t="str">
        <f>IF(OR(E4560="",E4560="!!!",F4560="NEW"),"",INDEX(J$1:J4559,SUMPRODUCT(MAX(ROW(E$1:E4559)*(E4560=E$1:E4559)))))</f>
        <v> </v>
      </c>
      <c r="L4560" s="27"/>
    </row>
    <row r="4561" spans="1:12">
      <c r="A4561" s="20" t="s">
        <v>1278</v>
      </c>
      <c r="B4561" s="21" t="s">
        <v>1193</v>
      </c>
      <c r="C4561" s="21" t="s">
        <v>1168</v>
      </c>
      <c r="D4561" s="21" t="s">
        <v>1144</v>
      </c>
      <c r="E4561" s="22">
        <f>IF(D4561="?OLD","!!!","")</f>
        <v/>
      </c>
      <c r="F4561" s="23" t="str">
        <f>IF(OR(E4561="",E4561="!!!"),"",IF(NOT(ISNA(VLOOKUP(E4561,E$1:E4560,1,FALSE()))),"OLD",IF(AND(E4561&lt;&gt;"",E4561&lt;&gt;"!!!"),"NEW","")))</f>
        <v> </v>
      </c>
      <c r="G4561" s="24" t="str">
        <f>IF(OR(E4561="",E4561="!!!"),"",IF(OR(J4561=0,AND(J4561=1,K4561=1),AND(J4561=1,I4561="SBJ"),AND(J4561=1,I4561=0)),"?IN_FOCUS",IF(J4561&lt;=2,"?ACTIVATED",IF(J4561&lt;&gt;"","?FAMILIAR",IF(F4561="NEW",IF(ISNA(VLOOKUP(E4561,#REF!,1,FALSE())),"?TYPE_IDENTIFIABLE","?REFERENTIAL"),"_")))))</f>
        <v> </v>
      </c>
      <c r="H4561" s="25" t="str">
        <f>IF(J4561&lt;&gt;1,"",IF(I4561="SBJ","CB","?"))</f>
        <v> </v>
      </c>
      <c r="I4561" s="26" t="str">
        <f>IF(OR(E4561="",E4561="!!!",F4561="NEW"),"",INDEX(B4560:B$2,-1+SUMPRODUCT(MAX(ROW(E4560:E$2)*(E4561=E4560:E$2)))))</f>
        <v> </v>
      </c>
      <c r="J4561" s="26" t="str">
        <f>IF(OR(E4561="",E4561="!!!",F4561="NEW"),"",COUNTBLANK(OFFSET(A$1,,,SUMPRODUCT(MAX(ROW(E$2:E4561)*(E4561=E$2:E4561)))))-COUNTBLANK(OFFSET(A$1,,,SUMPRODUCT(MAX(ROW(E$1:E4560)*(E2=E$1:E4560))))))</f>
        <v> </v>
      </c>
      <c r="K4561" s="26" t="str">
        <f>IF(OR(E4561="",E4561="!!!",F4561="NEW"),"",INDEX(J$1:J4560,SUMPRODUCT(MAX(ROW(E$1:E4560)*(E4561=E$1:E4560)))))</f>
        <v> </v>
      </c>
      <c r="L4561" s="27"/>
    </row>
    <row r="4562" spans="1:12">
      <c r="A4562" s="20" t="s">
        <v>2451</v>
      </c>
      <c r="E4562" s="22">
        <f>IF(D4562="?OLD","!!!","")</f>
        <v/>
      </c>
      <c r="F4562" s="23" t="str">
        <f>IF(OR(E4562="",E4562="!!!"),"",IF(NOT(ISNA(VLOOKUP(E4562,E$1:E4561,1,FALSE()))),"OLD",IF(AND(E4562&lt;&gt;"",E4562&lt;&gt;"!!!"),"NEW","")))</f>
        <v> </v>
      </c>
      <c r="G4562" s="24" t="str">
        <f>IF(OR(E4562="",E4562="!!!"),"",IF(OR(J4562=0,AND(J4562=1,K4562=1),AND(J4562=1,I4562="SBJ"),AND(J4562=1,I4562=0)),"?IN_FOCUS",IF(J4562&lt;=2,"?ACTIVATED",IF(J4562&lt;&gt;"","?FAMILIAR",IF(F4562="NEW",IF(ISNA(VLOOKUP(E4562,#REF!,1,FALSE())),"?TYPE_IDENTIFIABLE","?REFERENTIAL"),"_")))))</f>
        <v> </v>
      </c>
      <c r="H4562" s="25" t="str">
        <f>IF(J4562&lt;&gt;1,"",IF(I4562="SBJ","CB","?"))</f>
        <v> </v>
      </c>
      <c r="I4562" s="26" t="str">
        <f>IF(OR(E4562="",E4562="!!!",F4562="NEW"),"",INDEX(B4561:B$2,-1+SUMPRODUCT(MAX(ROW(E4561:E$2)*(E4562=E4561:E$2)))))</f>
        <v> </v>
      </c>
      <c r="J4562" s="26" t="str">
        <f>IF(OR(E4562="",E4562="!!!",F4562="NEW"),"",COUNTBLANK(OFFSET(A$1,,,SUMPRODUCT(MAX(ROW(E$2:E4562)*(E4562=E$2:E4562)))))-COUNTBLANK(OFFSET(A$1,,,SUMPRODUCT(MAX(ROW(E$1:E4561)*(E2=E$1:E4561))))))</f>
        <v> </v>
      </c>
      <c r="K4562" s="26" t="str">
        <f>IF(OR(E4562="",E4562="!!!",F4562="NEW"),"",INDEX(J$1:J4561,SUMPRODUCT(MAX(ROW(E$1:E4561)*(E4562=E$1:E4561)))))</f>
        <v> </v>
      </c>
      <c r="L4562" s="27"/>
    </row>
    <row r="4563" spans="1:12">
      <c r="A4563" s="20" t="s">
        <v>2452</v>
      </c>
      <c r="E4563" s="22">
        <f>IF(D4563="?OLD","!!!","")</f>
        <v/>
      </c>
      <c r="F4563" s="23" t="str">
        <f>IF(OR(E4563="",E4563="!!!"),"",IF(NOT(ISNA(VLOOKUP(E4563,E$1:E4562,1,FALSE()))),"OLD",IF(AND(E4563&lt;&gt;"",E4563&lt;&gt;"!!!"),"NEW","")))</f>
        <v> </v>
      </c>
      <c r="G4563" s="24" t="str">
        <f>IF(OR(E4563="",E4563="!!!"),"",IF(OR(J4563=0,AND(J4563=1,K4563=1),AND(J4563=1,I4563="SBJ"),AND(J4563=1,I4563=0)),"?IN_FOCUS",IF(J4563&lt;=2,"?ACTIVATED",IF(J4563&lt;&gt;"","?FAMILIAR",IF(F4563="NEW",IF(ISNA(VLOOKUP(E4563,#REF!,1,FALSE())),"?TYPE_IDENTIFIABLE","?REFERENTIAL"),"_")))))</f>
        <v> </v>
      </c>
      <c r="H4563" s="25" t="str">
        <f>IF(J4563&lt;&gt;1,"",IF(I4563="SBJ","CB","?"))</f>
        <v> </v>
      </c>
      <c r="I4563" s="26" t="str">
        <f>IF(OR(E4563="",E4563="!!!",F4563="NEW"),"",INDEX(B4562:B$2,-1+SUMPRODUCT(MAX(ROW(E4562:E$2)*(E4563=E4562:E$2)))))</f>
        <v> </v>
      </c>
      <c r="J4563" s="26" t="str">
        <f>IF(OR(E4563="",E4563="!!!",F4563="NEW"),"",COUNTBLANK(OFFSET(A$1,,,SUMPRODUCT(MAX(ROW(E$2:E4563)*(E4563=E$2:E4563)))))-COUNTBLANK(OFFSET(A$1,,,SUMPRODUCT(MAX(ROW(E$1:E4562)*(E2=E$1:E4562))))))</f>
        <v> </v>
      </c>
      <c r="K4563" s="26" t="str">
        <f>IF(OR(E4563="",E4563="!!!",F4563="NEW"),"",INDEX(J$1:J4562,SUMPRODUCT(MAX(ROW(E$1:E4562)*(E4563=E$1:E4562)))))</f>
        <v> </v>
      </c>
      <c r="L4563" s="27"/>
    </row>
    <row r="4564" spans="1:12">
      <c r="A4564" s="20" t="s">
        <v>2051</v>
      </c>
      <c r="E4564" s="22">
        <f>IF(D4564="?OLD","!!!","")</f>
        <v/>
      </c>
      <c r="F4564" s="23" t="str">
        <f>IF(OR(E4564="",E4564="!!!"),"",IF(NOT(ISNA(VLOOKUP(E4564,E$1:E4563,1,FALSE()))),"OLD",IF(AND(E4564&lt;&gt;"",E4564&lt;&gt;"!!!"),"NEW","")))</f>
        <v> </v>
      </c>
      <c r="G4564" s="24" t="str">
        <f>IF(OR(E4564="",E4564="!!!"),"",IF(OR(J4564=0,AND(J4564=1,K4564=1),AND(J4564=1,I4564="SBJ"),AND(J4564=1,I4564=0)),"?IN_FOCUS",IF(J4564&lt;=2,"?ACTIVATED",IF(J4564&lt;&gt;"","?FAMILIAR",IF(F4564="NEW",IF(ISNA(VLOOKUP(E4564,#REF!,1,FALSE())),"?TYPE_IDENTIFIABLE","?REFERENTIAL"),"_")))))</f>
        <v> </v>
      </c>
      <c r="H4564" s="25" t="str">
        <f>IF(J4564&lt;&gt;1,"",IF(I4564="SBJ","CB","?"))</f>
        <v> </v>
      </c>
      <c r="I4564" s="26" t="str">
        <f>IF(OR(E4564="",E4564="!!!",F4564="NEW"),"",INDEX(B4563:B$2,-1+SUMPRODUCT(MAX(ROW(E4563:E$2)*(E4564=E4563:E$2)))))</f>
        <v> </v>
      </c>
      <c r="J4564" s="26" t="str">
        <f>IF(OR(E4564="",E4564="!!!",F4564="NEW"),"",COUNTBLANK(OFFSET(A$1,,,SUMPRODUCT(MAX(ROW(E$2:E4564)*(E4564=E$2:E4564)))))-COUNTBLANK(OFFSET(A$1,,,SUMPRODUCT(MAX(ROW(E$1:E4563)*(E2=E$1:E4563))))))</f>
        <v> </v>
      </c>
      <c r="K4564" s="26" t="str">
        <f>IF(OR(E4564="",E4564="!!!",F4564="NEW"),"",INDEX(J$1:J4563,SUMPRODUCT(MAX(ROW(E$1:E4563)*(E4564=E$1:E4563)))))</f>
        <v> </v>
      </c>
      <c r="L4564" s="27"/>
    </row>
    <row r="4565" spans="1:12">
      <c r="A4565" s="20" t="s">
        <v>1263</v>
      </c>
      <c r="E4565" s="22">
        <f>IF(D4565="?OLD","!!!","")</f>
        <v/>
      </c>
      <c r="F4565" s="23" t="str">
        <f>IF(OR(E4565="",E4565="!!!"),"",IF(NOT(ISNA(VLOOKUP(E4565,E$1:E4564,1,FALSE()))),"OLD",IF(AND(E4565&lt;&gt;"",E4565&lt;&gt;"!!!"),"NEW","")))</f>
        <v> </v>
      </c>
      <c r="G4565" s="24" t="str">
        <f>IF(OR(E4565="",E4565="!!!"),"",IF(OR(J4565=0,AND(J4565=1,K4565=1),AND(J4565=1,I4565="SBJ"),AND(J4565=1,I4565=0)),"?IN_FOCUS",IF(J4565&lt;=2,"?ACTIVATED",IF(J4565&lt;&gt;"","?FAMILIAR",IF(F4565="NEW",IF(ISNA(VLOOKUP(E4565,#REF!,1,FALSE())),"?TYPE_IDENTIFIABLE","?REFERENTIAL"),"_")))))</f>
        <v> </v>
      </c>
      <c r="H4565" s="25" t="str">
        <f>IF(J4565&lt;&gt;1,"",IF(I4565="SBJ","CB","?"))</f>
        <v> </v>
      </c>
      <c r="I4565" s="26" t="str">
        <f>IF(OR(E4565="",E4565="!!!",F4565="NEW"),"",INDEX(B4564:B$2,-1+SUMPRODUCT(MAX(ROW(E4564:E$2)*(E4565=E4564:E$2)))))</f>
        <v> </v>
      </c>
      <c r="J4565" s="26" t="str">
        <f>IF(OR(E4565="",E4565="!!!",F4565="NEW"),"",COUNTBLANK(OFFSET(A$1,,,SUMPRODUCT(MAX(ROW(E$2:E4565)*(E4565=E$2:E4565)))))-COUNTBLANK(OFFSET(A$1,,,SUMPRODUCT(MAX(ROW(E$1:E4564)*(E2=E$1:E4564))))))</f>
        <v> </v>
      </c>
      <c r="K4565" s="26" t="str">
        <f>IF(OR(E4565="",E4565="!!!",F4565="NEW"),"",INDEX(J$1:J4564,SUMPRODUCT(MAX(ROW(E$1:E4564)*(E4565=E$1:E4564)))))</f>
        <v> </v>
      </c>
      <c r="L4565" s="27"/>
    </row>
    <row r="4566" spans="1:12">
      <c r="A4566" s="20"/>
    </row>
    <row r="4567" spans="1:12">
      <c r="A4567" s="20" t="s">
        <v>2453</v>
      </c>
    </row>
    <row r="4568" spans="1:12">
      <c r="A4568" s="20" t="s">
        <v>1399</v>
      </c>
      <c r="B4568" s="21" t="s">
        <v>1142</v>
      </c>
      <c r="C4568" s="21" t="s">
        <v>1168</v>
      </c>
      <c r="D4568" s="21" t="s">
        <v>1144</v>
      </c>
      <c r="E4568" s="22">
        <f>IF(D4568="?OLD","!!!","")</f>
        <v/>
      </c>
      <c r="F4568" s="23" t="str">
        <f>IF(OR(E4568="",E4568="!!!"),"",IF(NOT(ISNA(VLOOKUP(E4568,E$1:E4567,1,FALSE()))),"OLD",IF(AND(E4568&lt;&gt;"",E4568&lt;&gt;"!!!"),"NEW","")))</f>
        <v> </v>
      </c>
      <c r="G4568" s="24" t="str">
        <f>IF(OR(E4568="",E4568="!!!"),"",IF(OR(J4568=0,AND(J4568=1,K4568=1),AND(J4568=1,I4568="SBJ"),AND(J4568=1,I4568=0)),"?IN_FOCUS",IF(J4568&lt;=2,"?ACTIVATED",IF(J4568&lt;&gt;"","?FAMILIAR",IF(F4568="NEW",IF(ISNA(VLOOKUP(E4568,#REF!,1,FALSE())),"?TYPE_IDENTIFIABLE","?REFERENTIAL"),"_")))))</f>
        <v> </v>
      </c>
      <c r="H4568" s="25" t="str">
        <f>IF(J4568&lt;&gt;1,"",IF(I4568="SBJ","CB","?"))</f>
        <v> </v>
      </c>
      <c r="I4568" s="26" t="str">
        <f>IF(OR(E4568="",E4568="!!!",F4568="NEW"),"",INDEX(B4567:B$2,-1+SUMPRODUCT(MAX(ROW(E4567:E$2)*(E4568=E4567:E$2)))))</f>
        <v> </v>
      </c>
      <c r="J4568" s="26" t="str">
        <f>IF(OR(E4568="",E4568="!!!",F4568="NEW"),"",COUNTBLANK(OFFSET(A$1,,,SUMPRODUCT(MAX(ROW(E$2:E4568)*(E4568=E$2:E4568)))))-COUNTBLANK(OFFSET(A$1,,,SUMPRODUCT(MAX(ROW(E$1:E4567)*(E2=E$1:E4567))))))</f>
        <v> </v>
      </c>
      <c r="K4568" s="26" t="str">
        <f>IF(OR(E4568="",E4568="!!!",F4568="NEW"),"",INDEX(J$1:J4567,SUMPRODUCT(MAX(ROW(E$1:E4567)*(E4568=E$1:E4567)))))</f>
        <v> </v>
      </c>
      <c r="L4568" s="27"/>
    </row>
    <row r="4569" spans="1:12">
      <c r="A4569" s="20" t="s">
        <v>165</v>
      </c>
      <c r="E4569" s="22">
        <f>IF(D4569="?OLD","!!!","")</f>
        <v/>
      </c>
      <c r="F4569" s="23" t="str">
        <f>IF(OR(E4569="",E4569="!!!"),"",IF(NOT(ISNA(VLOOKUP(E4569,E$1:E4568,1,FALSE()))),"OLD",IF(AND(E4569&lt;&gt;"",E4569&lt;&gt;"!!!"),"NEW","")))</f>
        <v> </v>
      </c>
      <c r="G4569" s="24" t="str">
        <f>IF(OR(E4569="",E4569="!!!"),"",IF(OR(J4569=0,AND(J4569=1,K4569=1),AND(J4569=1,I4569="SBJ"),AND(J4569=1,I4569=0)),"?IN_FOCUS",IF(J4569&lt;=2,"?ACTIVATED",IF(J4569&lt;&gt;"","?FAMILIAR",IF(F4569="NEW",IF(ISNA(VLOOKUP(E4569,#REF!,1,FALSE())),"?TYPE_IDENTIFIABLE","?REFERENTIAL"),"_")))))</f>
        <v> </v>
      </c>
      <c r="H4569" s="25" t="str">
        <f>IF(J4569&lt;&gt;1,"",IF(I4569="SBJ","CB","?"))</f>
        <v> </v>
      </c>
      <c r="I4569" s="26" t="str">
        <f>IF(OR(E4569="",E4569="!!!",F4569="NEW"),"",INDEX(B4568:B$2,-1+SUMPRODUCT(MAX(ROW(E4568:E$2)*(E4569=E4568:E$2)))))</f>
        <v> </v>
      </c>
      <c r="J4569" s="26" t="str">
        <f>IF(OR(E4569="",E4569="!!!",F4569="NEW"),"",COUNTBLANK(OFFSET(A$1,,,SUMPRODUCT(MAX(ROW(E$2:E4569)*(E4569=E$2:E4569)))))-COUNTBLANK(OFFSET(A$1,,,SUMPRODUCT(MAX(ROW(E$1:E4568)*(E2=E$1:E4568))))))</f>
        <v> </v>
      </c>
      <c r="K4569" s="26" t="str">
        <f>IF(OR(E4569="",E4569="!!!",F4569="NEW"),"",INDEX(J$1:J4568,SUMPRODUCT(MAX(ROW(E$1:E4568)*(E4569=E$1:E4568)))))</f>
        <v> </v>
      </c>
      <c r="L4569" s="27"/>
    </row>
    <row r="4570" spans="1:12">
      <c r="A4570" s="20" t="s">
        <v>1231</v>
      </c>
      <c r="B4570" s="21" t="s">
        <v>1147</v>
      </c>
      <c r="C4570" s="21" t="s">
        <v>1232</v>
      </c>
      <c r="D4570" s="21" t="s">
        <v>1144</v>
      </c>
      <c r="E4570" s="22">
        <f>IF(D4570="?OLD","!!!","")</f>
        <v/>
      </c>
      <c r="F4570" s="23" t="str">
        <f>IF(OR(E4570="",E4570="!!!"),"",IF(NOT(ISNA(VLOOKUP(E4570,E$1:E4569,1,FALSE()))),"OLD",IF(AND(E4570&lt;&gt;"",E4570&lt;&gt;"!!!"),"NEW","")))</f>
        <v> </v>
      </c>
      <c r="G4570" s="24" t="str">
        <f>IF(OR(E4570="",E4570="!!!"),"",IF(OR(J4570=0,AND(J4570=1,K4570=1),AND(J4570=1,I4570="SBJ"),AND(J4570=1,I4570=0)),"?IN_FOCUS",IF(J4570&lt;=2,"?ACTIVATED",IF(J4570&lt;&gt;"","?FAMILIAR",IF(F4570="NEW",IF(ISNA(VLOOKUP(E4570,#REF!,1,FALSE())),"?TYPE_IDENTIFIABLE","?REFERENTIAL"),"_")))))</f>
        <v> </v>
      </c>
      <c r="H4570" s="25" t="str">
        <f>IF(J4570&lt;&gt;1,"",IF(I4570="SBJ","CB","?"))</f>
        <v> </v>
      </c>
      <c r="I4570" s="26" t="str">
        <f>IF(OR(E4570="",E4570="!!!",F4570="NEW"),"",INDEX(B4569:B$2,-1+SUMPRODUCT(MAX(ROW(E4569:E$2)*(E4570=E4569:E$2)))))</f>
        <v> </v>
      </c>
      <c r="J4570" s="26" t="str">
        <f>IF(OR(E4570="",E4570="!!!",F4570="NEW"),"",COUNTBLANK(OFFSET(A$1,,,SUMPRODUCT(MAX(ROW(E$2:E4570)*(E4570=E$2:E4570)))))-COUNTBLANK(OFFSET(A$1,,,SUMPRODUCT(MAX(ROW(E$1:E4569)*(E2=E$1:E4569))))))</f>
        <v> </v>
      </c>
      <c r="K4570" s="26" t="str">
        <f>IF(OR(E4570="",E4570="!!!",F4570="NEW"),"",INDEX(J$1:J4569,SUMPRODUCT(MAX(ROW(E$1:E4569)*(E4570=E$1:E4569)))))</f>
        <v> </v>
      </c>
      <c r="L4570" s="27"/>
    </row>
    <row r="4571" spans="1:12">
      <c r="A4571" s="20" t="s">
        <v>1378</v>
      </c>
      <c r="B4571" s="21" t="s">
        <v>1142</v>
      </c>
      <c r="C4571" s="21" t="s">
        <v>1234</v>
      </c>
      <c r="D4571" s="21" t="s">
        <v>1144</v>
      </c>
      <c r="E4571" s="22">
        <f>IF(D4571="?OLD","!!!","")</f>
        <v/>
      </c>
      <c r="F4571" s="23" t="str">
        <f>IF(OR(E4571="",E4571="!!!"),"",IF(NOT(ISNA(VLOOKUP(E4571,E$1:E4570,1,FALSE()))),"OLD",IF(AND(E4571&lt;&gt;"",E4571&lt;&gt;"!!!"),"NEW","")))</f>
        <v> </v>
      </c>
      <c r="G4571" s="24" t="str">
        <f>IF(OR(E4571="",E4571="!!!"),"",IF(OR(J4571=0,AND(J4571=1,K4571=1),AND(J4571=1,I4571="SBJ"),AND(J4571=1,I4571=0)),"?IN_FOCUS",IF(J4571&lt;=2,"?ACTIVATED",IF(J4571&lt;&gt;"","?FAMILIAR",IF(F4571="NEW",IF(ISNA(VLOOKUP(E4571,#REF!,1,FALSE())),"?TYPE_IDENTIFIABLE","?REFERENTIAL"),"_")))))</f>
        <v> </v>
      </c>
      <c r="H4571" s="25" t="str">
        <f>IF(J4571&lt;&gt;1,"",IF(I4571="SBJ","CB","?"))</f>
        <v> </v>
      </c>
      <c r="I4571" s="26" t="str">
        <f>IF(OR(E4571="",E4571="!!!",F4571="NEW"),"",INDEX(B4570:B$2,-1+SUMPRODUCT(MAX(ROW(E4570:E$2)*(E4571=E4570:E$2)))))</f>
        <v> </v>
      </c>
      <c r="J4571" s="26" t="str">
        <f>IF(OR(E4571="",E4571="!!!",F4571="NEW"),"",COUNTBLANK(OFFSET(A$1,,,SUMPRODUCT(MAX(ROW(E$2:E4571)*(E4571=E$2:E4571)))))-COUNTBLANK(OFFSET(A$1,,,SUMPRODUCT(MAX(ROW(E$1:E4570)*(E2=E$1:E4570))))))</f>
        <v> </v>
      </c>
      <c r="K4571" s="26" t="str">
        <f>IF(OR(E4571="",E4571="!!!",F4571="NEW"),"",INDEX(J$1:J4570,SUMPRODUCT(MAX(ROW(E$1:E4570)*(E4571=E$1:E4570)))))</f>
        <v> </v>
      </c>
      <c r="L4571" s="27"/>
    </row>
    <row r="4572" spans="1:12">
      <c r="A4572" s="20" t="s">
        <v>1303</v>
      </c>
      <c r="B4572" s="21" t="s">
        <v>1165</v>
      </c>
      <c r="C4572" s="21" t="s">
        <v>1182</v>
      </c>
      <c r="E4572" s="22">
        <f>IF(D4572="?OLD","!!!","")</f>
        <v/>
      </c>
      <c r="F4572" s="23" t="str">
        <f>IF(OR(E4572="",E4572="!!!"),"",IF(NOT(ISNA(VLOOKUP(E4572,E$1:E4571,1,FALSE()))),"OLD",IF(AND(E4572&lt;&gt;"",E4572&lt;&gt;"!!!"),"NEW","")))</f>
        <v> </v>
      </c>
      <c r="G4572" s="24" t="str">
        <f>IF(OR(E4572="",E4572="!!!"),"",IF(OR(J4572=0,AND(J4572=1,K4572=1),AND(J4572=1,I4572="SBJ"),AND(J4572=1,I4572=0)),"?IN_FOCUS",IF(J4572&lt;=2,"?ACTIVATED",IF(J4572&lt;&gt;"","?FAMILIAR",IF(F4572="NEW",IF(ISNA(VLOOKUP(E4572,#REF!,1,FALSE())),"?TYPE_IDENTIFIABLE","?REFERENTIAL"),"_")))))</f>
        <v> </v>
      </c>
      <c r="H4572" s="25" t="str">
        <f>IF(J4572&lt;&gt;1,"",IF(I4572="SBJ","CB","?"))</f>
        <v> </v>
      </c>
      <c r="I4572" s="26" t="str">
        <f>IF(OR(E4572="",E4572="!!!",F4572="NEW"),"",INDEX(B4571:B$2,-1+SUMPRODUCT(MAX(ROW(E4571:E$2)*(E4572=E4571:E$2)))))</f>
        <v> </v>
      </c>
      <c r="J4572" s="26" t="str">
        <f>IF(OR(E4572="",E4572="!!!",F4572="NEW"),"",COUNTBLANK(OFFSET(A$1,,,SUMPRODUCT(MAX(ROW(E$2:E4572)*(E4572=E$2:E4572)))))-COUNTBLANK(OFFSET(A$1,,,SUMPRODUCT(MAX(ROW(E$1:E4571)*(E2=E$1:E4571))))))</f>
        <v> </v>
      </c>
      <c r="K4572" s="26" t="str">
        <f>IF(OR(E4572="",E4572="!!!",F4572="NEW"),"",INDEX(J$1:J4571,SUMPRODUCT(MAX(ROW(E$1:E4571)*(E4572=E$1:E4571)))))</f>
        <v> </v>
      </c>
      <c r="L4572" s="27"/>
    </row>
    <row r="4573" spans="1:12">
      <c r="A4573" s="20" t="s">
        <v>2452</v>
      </c>
      <c r="E4573" s="22">
        <f>IF(D4573="?OLD","!!!","")</f>
        <v/>
      </c>
      <c r="F4573" s="23" t="str">
        <f>IF(OR(E4573="",E4573="!!!"),"",IF(NOT(ISNA(VLOOKUP(E4573,E$1:E4572,1,FALSE()))),"OLD",IF(AND(E4573&lt;&gt;"",E4573&lt;&gt;"!!!"),"NEW","")))</f>
        <v> </v>
      </c>
      <c r="G4573" s="24" t="str">
        <f>IF(OR(E4573="",E4573="!!!"),"",IF(OR(J4573=0,AND(J4573=1,K4573=1),AND(J4573=1,I4573="SBJ"),AND(J4573=1,I4573=0)),"?IN_FOCUS",IF(J4573&lt;=2,"?ACTIVATED",IF(J4573&lt;&gt;"","?FAMILIAR",IF(F4573="NEW",IF(ISNA(VLOOKUP(E4573,#REF!,1,FALSE())),"?TYPE_IDENTIFIABLE","?REFERENTIAL"),"_")))))</f>
        <v> </v>
      </c>
      <c r="H4573" s="25" t="str">
        <f>IF(J4573&lt;&gt;1,"",IF(I4573="SBJ","CB","?"))</f>
        <v> </v>
      </c>
      <c r="I4573" s="26" t="str">
        <f>IF(OR(E4573="",E4573="!!!",F4573="NEW"),"",INDEX(B4572:B$2,-1+SUMPRODUCT(MAX(ROW(E4572:E$2)*(E4573=E4572:E$2)))))</f>
        <v> </v>
      </c>
      <c r="J4573" s="26" t="str">
        <f>IF(OR(E4573="",E4573="!!!",F4573="NEW"),"",COUNTBLANK(OFFSET(A$1,,,SUMPRODUCT(MAX(ROW(E$2:E4573)*(E4573=E$2:E4573)))))-COUNTBLANK(OFFSET(A$1,,,SUMPRODUCT(MAX(ROW(E$1:E4572)*(E2=E$1:E4572))))))</f>
        <v> </v>
      </c>
      <c r="K4573" s="26" t="str">
        <f>IF(OR(E4573="",E4573="!!!",F4573="NEW"),"",INDEX(J$1:J4572,SUMPRODUCT(MAX(ROW(E$1:E4572)*(E4573=E$1:E4572)))))</f>
        <v> </v>
      </c>
      <c r="L4573" s="27"/>
    </row>
    <row r="4574" spans="1:12">
      <c r="A4574" s="20" t="s">
        <v>2051</v>
      </c>
      <c r="E4574" s="22">
        <f>IF(D4574="?OLD","!!!","")</f>
        <v/>
      </c>
      <c r="F4574" s="23" t="str">
        <f>IF(OR(E4574="",E4574="!!!"),"",IF(NOT(ISNA(VLOOKUP(E4574,E$1:E4573,1,FALSE()))),"OLD",IF(AND(E4574&lt;&gt;"",E4574&lt;&gt;"!!!"),"NEW","")))</f>
        <v> </v>
      </c>
      <c r="G4574" s="24" t="str">
        <f>IF(OR(E4574="",E4574="!!!"),"",IF(OR(J4574=0,AND(J4574=1,K4574=1),AND(J4574=1,I4574="SBJ"),AND(J4574=1,I4574=0)),"?IN_FOCUS",IF(J4574&lt;=2,"?ACTIVATED",IF(J4574&lt;&gt;"","?FAMILIAR",IF(F4574="NEW",IF(ISNA(VLOOKUP(E4574,#REF!,1,FALSE())),"?TYPE_IDENTIFIABLE","?REFERENTIAL"),"_")))))</f>
        <v> </v>
      </c>
      <c r="H4574" s="25" t="str">
        <f>IF(J4574&lt;&gt;1,"",IF(I4574="SBJ","CB","?"))</f>
        <v> </v>
      </c>
      <c r="I4574" s="26" t="str">
        <f>IF(OR(E4574="",E4574="!!!",F4574="NEW"),"",INDEX(B4573:B$2,-1+SUMPRODUCT(MAX(ROW(E4573:E$2)*(E4574=E4573:E$2)))))</f>
        <v> </v>
      </c>
      <c r="J4574" s="26" t="str">
        <f>IF(OR(E4574="",E4574="!!!",F4574="NEW"),"",COUNTBLANK(OFFSET(A$1,,,SUMPRODUCT(MAX(ROW(E$2:E4574)*(E4574=E$2:E4574)))))-COUNTBLANK(OFFSET(A$1,,,SUMPRODUCT(MAX(ROW(E$1:E4573)*(E2=E$1:E4573))))))</f>
        <v> </v>
      </c>
      <c r="K4574" s="26" t="str">
        <f>IF(OR(E4574="",E4574="!!!",F4574="NEW"),"",INDEX(J$1:J4573,SUMPRODUCT(MAX(ROW(E$1:E4573)*(E4574=E$1:E4573)))))</f>
        <v> </v>
      </c>
      <c r="L4574" s="27"/>
    </row>
    <row r="4575" spans="1:12">
      <c r="A4575" s="20" t="s">
        <v>1263</v>
      </c>
      <c r="E4575" s="22">
        <f>IF(D4575="?OLD","!!!","")</f>
        <v/>
      </c>
      <c r="F4575" s="23" t="str">
        <f>IF(OR(E4575="",E4575="!!!"),"",IF(NOT(ISNA(VLOOKUP(E4575,E$1:E4574,1,FALSE()))),"OLD",IF(AND(E4575&lt;&gt;"",E4575&lt;&gt;"!!!"),"NEW","")))</f>
        <v> </v>
      </c>
      <c r="G4575" s="24" t="str">
        <f>IF(OR(E4575="",E4575="!!!"),"",IF(OR(J4575=0,AND(J4575=1,K4575=1),AND(J4575=1,I4575="SBJ"),AND(J4575=1,I4575=0)),"?IN_FOCUS",IF(J4575&lt;=2,"?ACTIVATED",IF(J4575&lt;&gt;"","?FAMILIAR",IF(F4575="NEW",IF(ISNA(VLOOKUP(E4575,#REF!,1,FALSE())),"?TYPE_IDENTIFIABLE","?REFERENTIAL"),"_")))))</f>
        <v> </v>
      </c>
      <c r="H4575" s="25" t="str">
        <f>IF(J4575&lt;&gt;1,"",IF(I4575="SBJ","CB","?"))</f>
        <v> </v>
      </c>
      <c r="I4575" s="26" t="str">
        <f>IF(OR(E4575="",E4575="!!!",F4575="NEW"),"",INDEX(B4574:B$2,-1+SUMPRODUCT(MAX(ROW(E4574:E$2)*(E4575=E4574:E$2)))))</f>
        <v> </v>
      </c>
      <c r="J4575" s="26" t="str">
        <f>IF(OR(E4575="",E4575="!!!",F4575="NEW"),"",COUNTBLANK(OFFSET(A$1,,,SUMPRODUCT(MAX(ROW(E$2:E4575)*(E4575=E$2:E4575)))))-COUNTBLANK(OFFSET(A$1,,,SUMPRODUCT(MAX(ROW(E$1:E4574)*(E2=E$1:E4574))))))</f>
        <v> </v>
      </c>
      <c r="K4575" s="26" t="str">
        <f>IF(OR(E4575="",E4575="!!!",F4575="NEW"),"",INDEX(J$1:J4574,SUMPRODUCT(MAX(ROW(E$1:E4574)*(E4575=E$1:E4574)))))</f>
        <v> </v>
      </c>
      <c r="L4575" s="27"/>
    </row>
    <row r="4576" spans="1:12">
      <c r="A4576" s="20"/>
    </row>
    <row r="4577" spans="1:12">
      <c r="A4577" s="20" t="s">
        <v>2454</v>
      </c>
    </row>
    <row r="4578" spans="1:12">
      <c r="A4578" s="20" t="s">
        <v>2455</v>
      </c>
      <c r="E4578" s="22">
        <f>IF(D4578="?OLD","!!!","")</f>
        <v/>
      </c>
      <c r="F4578" s="23" t="str">
        <f>IF(OR(E4578="",E4578="!!!"),"",IF(NOT(ISNA(VLOOKUP(E4578,E$1:E4577,1,FALSE()))),"OLD",IF(AND(E4578&lt;&gt;"",E4578&lt;&gt;"!!!"),"NEW","")))</f>
        <v> </v>
      </c>
      <c r="G4578" s="24" t="str">
        <f>IF(OR(E4578="",E4578="!!!"),"",IF(OR(J4578=0,AND(J4578=1,K4578=1),AND(J4578=1,I4578="SBJ"),AND(J4578=1,I4578=0)),"?IN_FOCUS",IF(J4578&lt;=2,"?ACTIVATED",IF(J4578&lt;&gt;"","?FAMILIAR",IF(F4578="NEW",IF(ISNA(VLOOKUP(E4578,#REF!,1,FALSE())),"?TYPE_IDENTIFIABLE","?REFERENTIAL"),"_")))))</f>
        <v> </v>
      </c>
      <c r="H4578" s="25" t="str">
        <f>IF(J4578&lt;&gt;1,"",IF(I4578="SBJ","CB","?"))</f>
        <v> </v>
      </c>
      <c r="I4578" s="26" t="str">
        <f>IF(OR(E4578="",E4578="!!!",F4578="NEW"),"",INDEX(B4577:B$2,-1+SUMPRODUCT(MAX(ROW(E4577:E$2)*(E4578=E4577:E$2)))))</f>
        <v> </v>
      </c>
      <c r="J4578" s="26" t="str">
        <f>IF(OR(E4578="",E4578="!!!",F4578="NEW"),"",COUNTBLANK(OFFSET(A$1,,,SUMPRODUCT(MAX(ROW(E$2:E4578)*(E4578=E$2:E4578)))))-COUNTBLANK(OFFSET(A$1,,,SUMPRODUCT(MAX(ROW(E$1:E4577)*(E2=E$1:E4577))))))</f>
        <v> </v>
      </c>
      <c r="K4578" s="26" t="str">
        <f>IF(OR(E4578="",E4578="!!!",F4578="NEW"),"",INDEX(J$1:J4577,SUMPRODUCT(MAX(ROW(E$1:E4577)*(E4578=E$1:E4577)))))</f>
        <v> </v>
      </c>
      <c r="L4578" s="27"/>
    </row>
    <row r="4579" spans="1:12">
      <c r="A4579" s="20" t="s">
        <v>165</v>
      </c>
      <c r="E4579" s="22">
        <f>IF(D4579="?OLD","!!!","")</f>
        <v/>
      </c>
      <c r="F4579" s="23" t="str">
        <f>IF(OR(E4579="",E4579="!!!"),"",IF(NOT(ISNA(VLOOKUP(E4579,E$1:E4578,1,FALSE()))),"OLD",IF(AND(E4579&lt;&gt;"",E4579&lt;&gt;"!!!"),"NEW","")))</f>
        <v> </v>
      </c>
      <c r="G4579" s="24" t="str">
        <f>IF(OR(E4579="",E4579="!!!"),"",IF(OR(J4579=0,AND(J4579=1,K4579=1),AND(J4579=1,I4579="SBJ"),AND(J4579=1,I4579=0)),"?IN_FOCUS",IF(J4579&lt;=2,"?ACTIVATED",IF(J4579&lt;&gt;"","?FAMILIAR",IF(F4579="NEW",IF(ISNA(VLOOKUP(E4579,#REF!,1,FALSE())),"?TYPE_IDENTIFIABLE","?REFERENTIAL"),"_")))))</f>
        <v> </v>
      </c>
      <c r="H4579" s="25" t="str">
        <f>IF(J4579&lt;&gt;1,"",IF(I4579="SBJ","CB","?"))</f>
        <v> </v>
      </c>
      <c r="I4579" s="26" t="str">
        <f>IF(OR(E4579="",E4579="!!!",F4579="NEW"),"",INDEX(B4578:B$2,-1+SUMPRODUCT(MAX(ROW(E4578:E$2)*(E4579=E4578:E$2)))))</f>
        <v> </v>
      </c>
      <c r="J4579" s="26" t="str">
        <f>IF(OR(E4579="",E4579="!!!",F4579="NEW"),"",COUNTBLANK(OFFSET(A$1,,,SUMPRODUCT(MAX(ROW(E$2:E4579)*(E4579=E$2:E4579)))))-COUNTBLANK(OFFSET(A$1,,,SUMPRODUCT(MAX(ROW(E$1:E4578)*(E2=E$1:E4578))))))</f>
        <v> </v>
      </c>
      <c r="K4579" s="26" t="str">
        <f>IF(OR(E4579="",E4579="!!!",F4579="NEW"),"",INDEX(J$1:J4578,SUMPRODUCT(MAX(ROW(E$1:E4578)*(E4579=E$1:E4578)))))</f>
        <v> </v>
      </c>
      <c r="L4579" s="27"/>
    </row>
    <row r="4580" spans="1:12">
      <c r="A4580" s="20" t="s">
        <v>1278</v>
      </c>
      <c r="B4580" s="21" t="s">
        <v>1165</v>
      </c>
      <c r="C4580" s="21" t="s">
        <v>1168</v>
      </c>
      <c r="D4580" s="21" t="s">
        <v>1144</v>
      </c>
      <c r="E4580" s="22">
        <f>IF(D4580="?OLD","!!!","")</f>
        <v/>
      </c>
      <c r="F4580" s="23" t="str">
        <f>IF(OR(E4580="",E4580="!!!"),"",IF(NOT(ISNA(VLOOKUP(E4580,E$1:E4579,1,FALSE()))),"OLD",IF(AND(E4580&lt;&gt;"",E4580&lt;&gt;"!!!"),"NEW","")))</f>
        <v> </v>
      </c>
      <c r="G4580" s="24" t="str">
        <f>IF(OR(E4580="",E4580="!!!"),"",IF(OR(J4580=0,AND(J4580=1,K4580=1),AND(J4580=1,I4580="SBJ"),AND(J4580=1,I4580=0)),"?IN_FOCUS",IF(J4580&lt;=2,"?ACTIVATED",IF(J4580&lt;&gt;"","?FAMILIAR",IF(F4580="NEW",IF(ISNA(VLOOKUP(E4580,#REF!,1,FALSE())),"?TYPE_IDENTIFIABLE","?REFERENTIAL"),"_")))))</f>
        <v> </v>
      </c>
      <c r="H4580" s="25" t="str">
        <f>IF(J4580&lt;&gt;1,"",IF(I4580="SBJ","CB","?"))</f>
        <v> </v>
      </c>
      <c r="I4580" s="26" t="str">
        <f>IF(OR(E4580="",E4580="!!!",F4580="NEW"),"",INDEX(B4579:B$2,-1+SUMPRODUCT(MAX(ROW(E4579:E$2)*(E4580=E4579:E$2)))))</f>
        <v> </v>
      </c>
      <c r="J4580" s="26" t="str">
        <f>IF(OR(E4580="",E4580="!!!",F4580="NEW"),"",COUNTBLANK(OFFSET(A$1,,,SUMPRODUCT(MAX(ROW(E$2:E4580)*(E4580=E$2:E4580)))))-COUNTBLANK(OFFSET(A$1,,,SUMPRODUCT(MAX(ROW(E$1:E4579)*(E2=E$1:E4579))))))</f>
        <v> </v>
      </c>
      <c r="K4580" s="26" t="str">
        <f>IF(OR(E4580="",E4580="!!!",F4580="NEW"),"",INDEX(J$1:J4579,SUMPRODUCT(MAX(ROW(E$1:E4579)*(E4580=E$1:E4579)))))</f>
        <v> </v>
      </c>
      <c r="L4580" s="27"/>
    </row>
    <row r="4581" spans="1:12">
      <c r="A4581" s="20" t="s">
        <v>1616</v>
      </c>
      <c r="E4581" s="22">
        <f>IF(D4581="?OLD","!!!","")</f>
        <v/>
      </c>
      <c r="F4581" s="23" t="str">
        <f>IF(OR(E4581="",E4581="!!!"),"",IF(NOT(ISNA(VLOOKUP(E4581,E$1:E4580,1,FALSE()))),"OLD",IF(AND(E4581&lt;&gt;"",E4581&lt;&gt;"!!!"),"NEW","")))</f>
        <v> </v>
      </c>
      <c r="G4581" s="24" t="str">
        <f>IF(OR(E4581="",E4581="!!!"),"",IF(OR(J4581=0,AND(J4581=1,K4581=1),AND(J4581=1,I4581="SBJ"),AND(J4581=1,I4581=0)),"?IN_FOCUS",IF(J4581&lt;=2,"?ACTIVATED",IF(J4581&lt;&gt;"","?FAMILIAR",IF(F4581="NEW",IF(ISNA(VLOOKUP(E4581,#REF!,1,FALSE())),"?TYPE_IDENTIFIABLE","?REFERENTIAL"),"_")))))</f>
        <v> </v>
      </c>
      <c r="H4581" s="25" t="str">
        <f>IF(J4581&lt;&gt;1,"",IF(I4581="SBJ","CB","?"))</f>
        <v> </v>
      </c>
      <c r="I4581" s="26" t="str">
        <f>IF(OR(E4581="",E4581="!!!",F4581="NEW"),"",INDEX(B4580:B$2,-1+SUMPRODUCT(MAX(ROW(E4580:E$2)*(E4581=E4580:E$2)))))</f>
        <v> </v>
      </c>
      <c r="J4581" s="26" t="str">
        <f>IF(OR(E4581="",E4581="!!!",F4581="NEW"),"",COUNTBLANK(OFFSET(A$1,,,SUMPRODUCT(MAX(ROW(E$2:E4581)*(E4581=E$2:E4581)))))-COUNTBLANK(OFFSET(A$1,,,SUMPRODUCT(MAX(ROW(E$1:E4580)*(E2=E$1:E4580))))))</f>
        <v> </v>
      </c>
      <c r="K4581" s="26" t="str">
        <f>IF(OR(E4581="",E4581="!!!",F4581="NEW"),"",INDEX(J$1:J4580,SUMPRODUCT(MAX(ROW(E$1:E4580)*(E4581=E$1:E4580)))))</f>
        <v> </v>
      </c>
      <c r="L4581" s="27"/>
    </row>
    <row r="4582" spans="1:12">
      <c r="A4582" s="20" t="s">
        <v>1238</v>
      </c>
      <c r="E4582" s="22">
        <f>IF(D4582="?OLD","!!!","")</f>
        <v/>
      </c>
      <c r="F4582" s="23" t="str">
        <f>IF(OR(E4582="",E4582="!!!"),"",IF(NOT(ISNA(VLOOKUP(E4582,E$1:E4581,1,FALSE()))),"OLD",IF(AND(E4582&lt;&gt;"",E4582&lt;&gt;"!!!"),"NEW","")))</f>
        <v> </v>
      </c>
      <c r="G4582" s="24" t="str">
        <f>IF(OR(E4582="",E4582="!!!"),"",IF(OR(J4582=0,AND(J4582=1,K4582=1),AND(J4582=1,I4582="SBJ"),AND(J4582=1,I4582=0)),"?IN_FOCUS",IF(J4582&lt;=2,"?ACTIVATED",IF(J4582&lt;&gt;"","?FAMILIAR",IF(F4582="NEW",IF(ISNA(VLOOKUP(E4582,#REF!,1,FALSE())),"?TYPE_IDENTIFIABLE","?REFERENTIAL"),"_")))))</f>
        <v> </v>
      </c>
      <c r="H4582" s="25" t="str">
        <f>IF(J4582&lt;&gt;1,"",IF(I4582="SBJ","CB","?"))</f>
        <v> </v>
      </c>
      <c r="I4582" s="26" t="str">
        <f>IF(OR(E4582="",E4582="!!!",F4582="NEW"),"",INDEX(B4581:B$2,-1+SUMPRODUCT(MAX(ROW(E4581:E$2)*(E4582=E4581:E$2)))))</f>
        <v> </v>
      </c>
      <c r="J4582" s="26" t="str">
        <f>IF(OR(E4582="",E4582="!!!",F4582="NEW"),"",COUNTBLANK(OFFSET(A$1,,,SUMPRODUCT(MAX(ROW(E$2:E4582)*(E4582=E$2:E4582)))))-COUNTBLANK(OFFSET(A$1,,,SUMPRODUCT(MAX(ROW(E$1:E4581)*(E2=E$1:E4581))))))</f>
        <v> </v>
      </c>
      <c r="K4582" s="26" t="str">
        <f>IF(OR(E4582="",E4582="!!!",F4582="NEW"),"",INDEX(J$1:J4581,SUMPRODUCT(MAX(ROW(E$1:E4581)*(E4582=E$1:E4581)))))</f>
        <v> </v>
      </c>
      <c r="L4582" s="27"/>
    </row>
    <row r="4583" spans="1:12">
      <c r="A4583" s="20" t="s">
        <v>1253</v>
      </c>
      <c r="B4583" s="21" t="s">
        <v>1154</v>
      </c>
      <c r="C4583" s="21" t="s">
        <v>1162</v>
      </c>
      <c r="D4583" s="21" t="s">
        <v>1144</v>
      </c>
      <c r="E4583" s="22">
        <f>IF(D4583="?OLD","!!!","")</f>
        <v/>
      </c>
      <c r="F4583" s="23" t="str">
        <f>IF(OR(E4583="",E4583="!!!"),"",IF(NOT(ISNA(VLOOKUP(E4583,E$1:E4582,1,FALSE()))),"OLD",IF(AND(E4583&lt;&gt;"",E4583&lt;&gt;"!!!"),"NEW","")))</f>
        <v> </v>
      </c>
      <c r="G4583" s="24" t="str">
        <f>IF(OR(E4583="",E4583="!!!"),"",IF(OR(J4583=0,AND(J4583=1,K4583=1),AND(J4583=1,I4583="SBJ"),AND(J4583=1,I4583=0)),"?IN_FOCUS",IF(J4583&lt;=2,"?ACTIVATED",IF(J4583&lt;&gt;"","?FAMILIAR",IF(F4583="NEW",IF(ISNA(VLOOKUP(E4583,#REF!,1,FALSE())),"?TYPE_IDENTIFIABLE","?REFERENTIAL"),"_")))))</f>
        <v> </v>
      </c>
      <c r="H4583" s="25" t="str">
        <f>IF(J4583&lt;&gt;1,"",IF(I4583="SBJ","CB","?"))</f>
        <v> </v>
      </c>
      <c r="I4583" s="26" t="str">
        <f>IF(OR(E4583="",E4583="!!!",F4583="NEW"),"",INDEX(B4582:B$2,-1+SUMPRODUCT(MAX(ROW(E4582:E$2)*(E4583=E4582:E$2)))))</f>
        <v> </v>
      </c>
      <c r="J4583" s="26" t="str">
        <f>IF(OR(E4583="",E4583="!!!",F4583="NEW"),"",COUNTBLANK(OFFSET(A$1,,,SUMPRODUCT(MAX(ROW(E$2:E4583)*(E4583=E$2:E4583)))))-COUNTBLANK(OFFSET(A$1,,,SUMPRODUCT(MAX(ROW(E$1:E4582)*(E2=E$1:E4582))))))</f>
        <v> </v>
      </c>
      <c r="K4583" s="26" t="str">
        <f>IF(OR(E4583="",E4583="!!!",F4583="NEW"),"",INDEX(J$1:J4582,SUMPRODUCT(MAX(ROW(E$1:E4582)*(E4583=E$1:E4582)))))</f>
        <v> </v>
      </c>
      <c r="L4583" s="27"/>
    </row>
    <row r="4584" spans="1:12">
      <c r="A4584" s="20" t="s">
        <v>2456</v>
      </c>
      <c r="E4584" s="22">
        <f>IF(D4584="?OLD","!!!","")</f>
        <v/>
      </c>
      <c r="F4584" s="23" t="str">
        <f>IF(OR(E4584="",E4584="!!!"),"",IF(NOT(ISNA(VLOOKUP(E4584,E$1:E4583,1,FALSE()))),"OLD",IF(AND(E4584&lt;&gt;"",E4584&lt;&gt;"!!!"),"NEW","")))</f>
        <v> </v>
      </c>
      <c r="G4584" s="24" t="str">
        <f>IF(OR(E4584="",E4584="!!!"),"",IF(OR(J4584=0,AND(J4584=1,K4584=1),AND(J4584=1,I4584="SBJ"),AND(J4584=1,I4584=0)),"?IN_FOCUS",IF(J4584&lt;=2,"?ACTIVATED",IF(J4584&lt;&gt;"","?FAMILIAR",IF(F4584="NEW",IF(ISNA(VLOOKUP(E4584,#REF!,1,FALSE())),"?TYPE_IDENTIFIABLE","?REFERENTIAL"),"_")))))</f>
        <v> </v>
      </c>
      <c r="H4584" s="25" t="str">
        <f>IF(J4584&lt;&gt;1,"",IF(I4584="SBJ","CB","?"))</f>
        <v> </v>
      </c>
      <c r="I4584" s="26" t="str">
        <f>IF(OR(E4584="",E4584="!!!",F4584="NEW"),"",INDEX(B4583:B$2,-1+SUMPRODUCT(MAX(ROW(E4583:E$2)*(E4584=E4583:E$2)))))</f>
        <v> </v>
      </c>
      <c r="J4584" s="26" t="str">
        <f>IF(OR(E4584="",E4584="!!!",F4584="NEW"),"",COUNTBLANK(OFFSET(A$1,,,SUMPRODUCT(MAX(ROW(E$2:E4584)*(E4584=E$2:E4584)))))-COUNTBLANK(OFFSET(A$1,,,SUMPRODUCT(MAX(ROW(E$1:E4583)*(E2=E$1:E4583))))))</f>
        <v> </v>
      </c>
      <c r="K4584" s="26" t="str">
        <f>IF(OR(E4584="",E4584="!!!",F4584="NEW"),"",INDEX(J$1:J4583,SUMPRODUCT(MAX(ROW(E$1:E4583)*(E4584=E$1:E4583)))))</f>
        <v> </v>
      </c>
      <c r="L4584" s="27"/>
    </row>
    <row r="4585" spans="1:12">
      <c r="A4585" s="20" t="s">
        <v>2457</v>
      </c>
      <c r="B4585" s="21" t="s">
        <v>1161</v>
      </c>
      <c r="C4585" s="21" t="s">
        <v>1187</v>
      </c>
      <c r="E4585" s="22">
        <f>IF(D4585="?OLD","!!!","")</f>
        <v/>
      </c>
      <c r="F4585" s="23" t="str">
        <f>IF(OR(E4585="",E4585="!!!"),"",IF(NOT(ISNA(VLOOKUP(E4585,E$1:E4584,1,FALSE()))),"OLD",IF(AND(E4585&lt;&gt;"",E4585&lt;&gt;"!!!"),"NEW","")))</f>
        <v> </v>
      </c>
      <c r="G4585" s="24" t="str">
        <f>IF(OR(E4585="",E4585="!!!"),"",IF(OR(J4585=0,AND(J4585=1,K4585=1),AND(J4585=1,I4585="SBJ"),AND(J4585=1,I4585=0)),"?IN_FOCUS",IF(J4585&lt;=2,"?ACTIVATED",IF(J4585&lt;&gt;"","?FAMILIAR",IF(F4585="NEW",IF(ISNA(VLOOKUP(E4585,#REF!,1,FALSE())),"?TYPE_IDENTIFIABLE","?REFERENTIAL"),"_")))))</f>
        <v> </v>
      </c>
      <c r="H4585" s="25" t="str">
        <f>IF(J4585&lt;&gt;1,"",IF(I4585="SBJ","CB","?"))</f>
        <v> </v>
      </c>
      <c r="I4585" s="26" t="str">
        <f>IF(OR(E4585="",E4585="!!!",F4585="NEW"),"",INDEX(B4584:B$2,-1+SUMPRODUCT(MAX(ROW(E4584:E$2)*(E4585=E4584:E$2)))))</f>
        <v> </v>
      </c>
      <c r="J4585" s="26" t="str">
        <f>IF(OR(E4585="",E4585="!!!",F4585="NEW"),"",COUNTBLANK(OFFSET(A$1,,,SUMPRODUCT(MAX(ROW(E$2:E4585)*(E4585=E$2:E4585)))))-COUNTBLANK(OFFSET(A$1,,,SUMPRODUCT(MAX(ROW(E$1:E4584)*(E2=E$1:E4584))))))</f>
        <v> </v>
      </c>
      <c r="K4585" s="26" t="str">
        <f>IF(OR(E4585="",E4585="!!!",F4585="NEW"),"",INDEX(J$1:J4584,SUMPRODUCT(MAX(ROW(E$1:E4584)*(E4585=E$1:E4584)))))</f>
        <v> </v>
      </c>
      <c r="L4585" s="27"/>
    </row>
    <row r="4586" spans="1:12">
      <c r="A4586" s="20" t="s">
        <v>2458</v>
      </c>
      <c r="E4586" s="22">
        <f>IF(D4586="?OLD","!!!","")</f>
        <v/>
      </c>
      <c r="F4586" s="23" t="str">
        <f>IF(OR(E4586="",E4586="!!!"),"",IF(NOT(ISNA(VLOOKUP(E4586,E$1:E4585,1,FALSE()))),"OLD",IF(AND(E4586&lt;&gt;"",E4586&lt;&gt;"!!!"),"NEW","")))</f>
        <v> </v>
      </c>
      <c r="G4586" s="24" t="str">
        <f>IF(OR(E4586="",E4586="!!!"),"",IF(OR(J4586=0,AND(J4586=1,K4586=1),AND(J4586=1,I4586="SBJ"),AND(J4586=1,I4586=0)),"?IN_FOCUS",IF(J4586&lt;=2,"?ACTIVATED",IF(J4586&lt;&gt;"","?FAMILIAR",IF(F4586="NEW",IF(ISNA(VLOOKUP(E4586,#REF!,1,FALSE())),"?TYPE_IDENTIFIABLE","?REFERENTIAL"),"_")))))</f>
        <v> </v>
      </c>
      <c r="H4586" s="25" t="str">
        <f>IF(J4586&lt;&gt;1,"",IF(I4586="SBJ","CB","?"))</f>
        <v> </v>
      </c>
      <c r="I4586" s="26" t="str">
        <f>IF(OR(E4586="",E4586="!!!",F4586="NEW"),"",INDEX(B4585:B$2,-1+SUMPRODUCT(MAX(ROW(E4585:E$2)*(E4586=E4585:E$2)))))</f>
        <v> </v>
      </c>
      <c r="J4586" s="26" t="str">
        <f>IF(OR(E4586="",E4586="!!!",F4586="NEW"),"",COUNTBLANK(OFFSET(A$1,,,SUMPRODUCT(MAX(ROW(E$2:E4586)*(E4586=E$2:E4586)))))-COUNTBLANK(OFFSET(A$1,,,SUMPRODUCT(MAX(ROW(E$1:E4585)*(E2=E$1:E4585))))))</f>
        <v> </v>
      </c>
      <c r="K4586" s="26" t="str">
        <f>IF(OR(E4586="",E4586="!!!",F4586="NEW"),"",INDEX(J$1:J4585,SUMPRODUCT(MAX(ROW(E$1:E4585)*(E4586=E$1:E4585)))))</f>
        <v> </v>
      </c>
      <c r="L4586" s="27"/>
    </row>
    <row r="4587" spans="1:12">
      <c r="A4587" s="20" t="s">
        <v>312</v>
      </c>
      <c r="E4587" s="22">
        <f>IF(D4587="?OLD","!!!","")</f>
        <v/>
      </c>
      <c r="F4587" s="23" t="str">
        <f>IF(OR(E4587="",E4587="!!!"),"",IF(NOT(ISNA(VLOOKUP(E4587,E$1:E4586,1,FALSE()))),"OLD",IF(AND(E4587&lt;&gt;"",E4587&lt;&gt;"!!!"),"NEW","")))</f>
        <v> </v>
      </c>
      <c r="G4587" s="24" t="str">
        <f>IF(OR(E4587="",E4587="!!!"),"",IF(OR(J4587=0,AND(J4587=1,K4587=1),AND(J4587=1,I4587="SBJ"),AND(J4587=1,I4587=0)),"?IN_FOCUS",IF(J4587&lt;=2,"?ACTIVATED",IF(J4587&lt;&gt;"","?FAMILIAR",IF(F4587="NEW",IF(ISNA(VLOOKUP(E4587,#REF!,1,FALSE())),"?TYPE_IDENTIFIABLE","?REFERENTIAL"),"_")))))</f>
        <v> </v>
      </c>
      <c r="H4587" s="25" t="str">
        <f>IF(J4587&lt;&gt;1,"",IF(I4587="SBJ","CB","?"))</f>
        <v> </v>
      </c>
      <c r="I4587" s="26" t="str">
        <f>IF(OR(E4587="",E4587="!!!",F4587="NEW"),"",INDEX(B4586:B$2,-1+SUMPRODUCT(MAX(ROW(E4586:E$2)*(E4587=E4586:E$2)))))</f>
        <v> </v>
      </c>
      <c r="J4587" s="26" t="str">
        <f>IF(OR(E4587="",E4587="!!!",F4587="NEW"),"",COUNTBLANK(OFFSET(A$1,,,SUMPRODUCT(MAX(ROW(E$2:E4587)*(E4587=E$2:E4587)))))-COUNTBLANK(OFFSET(A$1,,,SUMPRODUCT(MAX(ROW(E$1:E4586)*(E2=E$1:E4586))))))</f>
        <v> </v>
      </c>
      <c r="K4587" s="26" t="str">
        <f>IF(OR(E4587="",E4587="!!!",F4587="NEW"),"",INDEX(J$1:J4586,SUMPRODUCT(MAX(ROW(E$1:E4586)*(E4587=E$1:E4586)))))</f>
        <v> </v>
      </c>
      <c r="L4587" s="27"/>
    </row>
    <row r="4588" spans="1:12">
      <c r="A4588" s="20"/>
    </row>
    <row r="4589" spans="1:12">
      <c r="A4589" s="20" t="s">
        <v>2459</v>
      </c>
    </row>
    <row r="4590" spans="1:12">
      <c r="A4590" s="20" t="s">
        <v>1189</v>
      </c>
      <c r="B4590" s="21" t="s">
        <v>1142</v>
      </c>
      <c r="C4590" s="21" t="s">
        <v>1151</v>
      </c>
      <c r="D4590" s="21" t="s">
        <v>1144</v>
      </c>
      <c r="E4590" s="22">
        <f>IF(D4590="?OLD","!!!","")</f>
        <v/>
      </c>
      <c r="F4590" s="23" t="str">
        <f>IF(OR(E4590="",E4590="!!!"),"",IF(NOT(ISNA(VLOOKUP(E4590,E$1:E4589,1,FALSE()))),"OLD",IF(AND(E4590&lt;&gt;"",E4590&lt;&gt;"!!!"),"NEW","")))</f>
        <v> </v>
      </c>
      <c r="G4590" s="24" t="str">
        <f>IF(OR(E4590="",E4590="!!!"),"",IF(OR(J4590=0,AND(J4590=1,K4590=1),AND(J4590=1,I4590="SBJ"),AND(J4590=1,I4590=0)),"?IN_FOCUS",IF(J4590&lt;=2,"?ACTIVATED",IF(J4590&lt;&gt;"","?FAMILIAR",IF(F4590="NEW",IF(ISNA(VLOOKUP(E4590,#REF!,1,FALSE())),"?TYPE_IDENTIFIABLE","?REFERENTIAL"),"_")))))</f>
        <v> </v>
      </c>
      <c r="H4590" s="25" t="str">
        <f>IF(J4590&lt;&gt;1,"",IF(I4590="SBJ","CB","?"))</f>
        <v> </v>
      </c>
      <c r="I4590" s="26" t="str">
        <f>IF(OR(E4590="",E4590="!!!",F4590="NEW"),"",INDEX(B4589:B$2,-1+SUMPRODUCT(MAX(ROW(E4589:E$2)*(E4590=E4589:E$2)))))</f>
        <v> </v>
      </c>
      <c r="J4590" s="26" t="str">
        <f>IF(OR(E4590="",E4590="!!!",F4590="NEW"),"",COUNTBLANK(OFFSET(A$1,,,SUMPRODUCT(MAX(ROW(E$2:E4590)*(E4590=E$2:E4590)))))-COUNTBLANK(OFFSET(A$1,,,SUMPRODUCT(MAX(ROW(E$1:E4589)*(E2=E$1:E4589))))))</f>
        <v> </v>
      </c>
      <c r="K4590" s="26" t="str">
        <f>IF(OR(E4590="",E4590="!!!",F4590="NEW"),"",INDEX(J$1:J4589,SUMPRODUCT(MAX(ROW(E$1:E4589)*(E4590=E$1:E4589)))))</f>
        <v> </v>
      </c>
      <c r="L4590" s="27"/>
    </row>
    <row r="4591" spans="1:12">
      <c r="A4591" s="20" t="s">
        <v>1293</v>
      </c>
      <c r="E4591" s="22">
        <f>IF(D4591="?OLD","!!!","")</f>
        <v/>
      </c>
      <c r="F4591" s="23" t="str">
        <f>IF(OR(E4591="",E4591="!!!"),"",IF(NOT(ISNA(VLOOKUP(E4591,E$1:E4590,1,FALSE()))),"OLD",IF(AND(E4591&lt;&gt;"",E4591&lt;&gt;"!!!"),"NEW","")))</f>
        <v> </v>
      </c>
      <c r="G4591" s="24" t="str">
        <f>IF(OR(E4591="",E4591="!!!"),"",IF(OR(J4591=0,AND(J4591=1,K4591=1),AND(J4591=1,I4591="SBJ"),AND(J4591=1,I4591=0)),"?IN_FOCUS",IF(J4591&lt;=2,"?ACTIVATED",IF(J4591&lt;&gt;"","?FAMILIAR",IF(F4591="NEW",IF(ISNA(VLOOKUP(E4591,#REF!,1,FALSE())),"?TYPE_IDENTIFIABLE","?REFERENTIAL"),"_")))))</f>
        <v> </v>
      </c>
      <c r="H4591" s="25" t="str">
        <f>IF(J4591&lt;&gt;1,"",IF(I4591="SBJ","CB","?"))</f>
        <v> </v>
      </c>
      <c r="I4591" s="26" t="str">
        <f>IF(OR(E4591="",E4591="!!!",F4591="NEW"),"",INDEX(B4590:B$2,-1+SUMPRODUCT(MAX(ROW(E4590:E$2)*(E4591=E4590:E$2)))))</f>
        <v> </v>
      </c>
      <c r="J4591" s="26" t="str">
        <f>IF(OR(E4591="",E4591="!!!",F4591="NEW"),"",COUNTBLANK(OFFSET(A$1,,,SUMPRODUCT(MAX(ROW(E$2:E4591)*(E4591=E$2:E4591)))))-COUNTBLANK(OFFSET(A$1,,,SUMPRODUCT(MAX(ROW(E$1:E4590)*(E2=E$1:E4590))))))</f>
        <v> </v>
      </c>
      <c r="K4591" s="26" t="str">
        <f>IF(OR(E4591="",E4591="!!!",F4591="NEW"),"",INDEX(J$1:J4590,SUMPRODUCT(MAX(ROW(E$1:E4590)*(E4591=E$1:E4590)))))</f>
        <v> </v>
      </c>
      <c r="L4591" s="27"/>
    </row>
    <row r="4592" spans="1:12">
      <c r="A4592" s="20" t="s">
        <v>2460</v>
      </c>
      <c r="E4592" s="22">
        <f>IF(D4592="?OLD","!!!","")</f>
        <v/>
      </c>
      <c r="F4592" s="23" t="str">
        <f>IF(OR(E4592="",E4592="!!!"),"",IF(NOT(ISNA(VLOOKUP(E4592,E$1:E4591,1,FALSE()))),"OLD",IF(AND(E4592&lt;&gt;"",E4592&lt;&gt;"!!!"),"NEW","")))</f>
        <v> </v>
      </c>
      <c r="G4592" s="24" t="str">
        <f>IF(OR(E4592="",E4592="!!!"),"",IF(OR(J4592=0,AND(J4592=1,K4592=1),AND(J4592=1,I4592="SBJ"),AND(J4592=1,I4592=0)),"?IN_FOCUS",IF(J4592&lt;=2,"?ACTIVATED",IF(J4592&lt;&gt;"","?FAMILIAR",IF(F4592="NEW",IF(ISNA(VLOOKUP(E4592,#REF!,1,FALSE())),"?TYPE_IDENTIFIABLE","?REFERENTIAL"),"_")))))</f>
        <v> </v>
      </c>
      <c r="H4592" s="25" t="str">
        <f>IF(J4592&lt;&gt;1,"",IF(I4592="SBJ","CB","?"))</f>
        <v> </v>
      </c>
      <c r="I4592" s="26" t="str">
        <f>IF(OR(E4592="",E4592="!!!",F4592="NEW"),"",INDEX(B4591:B$2,-1+SUMPRODUCT(MAX(ROW(E4591:E$2)*(E4592=E4591:E$2)))))</f>
        <v> </v>
      </c>
      <c r="J4592" s="26" t="str">
        <f>IF(OR(E4592="",E4592="!!!",F4592="NEW"),"",COUNTBLANK(OFFSET(A$1,,,SUMPRODUCT(MAX(ROW(E$2:E4592)*(E4592=E$2:E4592)))))-COUNTBLANK(OFFSET(A$1,,,SUMPRODUCT(MAX(ROW(E$1:E4591)*(E2=E$1:E4591))))))</f>
        <v> </v>
      </c>
      <c r="K4592" s="26" t="str">
        <f>IF(OR(E4592="",E4592="!!!",F4592="NEW"),"",INDEX(J$1:J4591,SUMPRODUCT(MAX(ROW(E$1:E4591)*(E4592=E$1:E4591)))))</f>
        <v> </v>
      </c>
      <c r="L4592" s="27"/>
    </row>
    <row r="4593" spans="1:12">
      <c r="A4593" s="20" t="s">
        <v>1166</v>
      </c>
      <c r="E4593" s="22">
        <f>IF(D4593="?OLD","!!!","")</f>
        <v/>
      </c>
      <c r="F4593" s="23" t="str">
        <f>IF(OR(E4593="",E4593="!!!"),"",IF(NOT(ISNA(VLOOKUP(E4593,E$1:E4592,1,FALSE()))),"OLD",IF(AND(E4593&lt;&gt;"",E4593&lt;&gt;"!!!"),"NEW","")))</f>
        <v> </v>
      </c>
      <c r="G4593" s="24" t="str">
        <f>IF(OR(E4593="",E4593="!!!"),"",IF(OR(J4593=0,AND(J4593=1,K4593=1),AND(J4593=1,I4593="SBJ"),AND(J4593=1,I4593=0)),"?IN_FOCUS",IF(J4593&lt;=2,"?ACTIVATED",IF(J4593&lt;&gt;"","?FAMILIAR",IF(F4593="NEW",IF(ISNA(VLOOKUP(E4593,#REF!,1,FALSE())),"?TYPE_IDENTIFIABLE","?REFERENTIAL"),"_")))))</f>
        <v> </v>
      </c>
      <c r="H4593" s="25" t="str">
        <f>IF(J4593&lt;&gt;1,"",IF(I4593="SBJ","CB","?"))</f>
        <v> </v>
      </c>
      <c r="I4593" s="26" t="str">
        <f>IF(OR(E4593="",E4593="!!!",F4593="NEW"),"",INDEX(B4592:B$2,-1+SUMPRODUCT(MAX(ROW(E4592:E$2)*(E4593=E4592:E$2)))))</f>
        <v> </v>
      </c>
      <c r="J4593" s="26" t="str">
        <f>IF(OR(E4593="",E4593="!!!",F4593="NEW"),"",COUNTBLANK(OFFSET(A$1,,,SUMPRODUCT(MAX(ROW(E$2:E4593)*(E4593=E$2:E4593)))))-COUNTBLANK(OFFSET(A$1,,,SUMPRODUCT(MAX(ROW(E$1:E4592)*(E2=E$1:E4592))))))</f>
        <v> </v>
      </c>
      <c r="K4593" s="26" t="str">
        <f>IF(OR(E4593="",E4593="!!!",F4593="NEW"),"",INDEX(J$1:J4592,SUMPRODUCT(MAX(ROW(E$1:E4592)*(E4593=E$1:E4592)))))</f>
        <v> </v>
      </c>
      <c r="L4593" s="27"/>
    </row>
    <row r="4594" spans="1:12">
      <c r="A4594" s="20" t="s">
        <v>1529</v>
      </c>
      <c r="B4594" s="21" t="s">
        <v>1193</v>
      </c>
      <c r="C4594" s="21" t="s">
        <v>1151</v>
      </c>
      <c r="D4594" s="21" t="s">
        <v>1144</v>
      </c>
      <c r="E4594" s="22">
        <f>IF(D4594="?OLD","!!!","")</f>
        <v/>
      </c>
      <c r="F4594" s="23" t="str">
        <f>IF(OR(E4594="",E4594="!!!"),"",IF(NOT(ISNA(VLOOKUP(E4594,E$1:E4593,1,FALSE()))),"OLD",IF(AND(E4594&lt;&gt;"",E4594&lt;&gt;"!!!"),"NEW","")))</f>
        <v> </v>
      </c>
      <c r="G4594" s="24" t="str">
        <f>IF(OR(E4594="",E4594="!!!"),"",IF(OR(J4594=0,AND(J4594=1,K4594=1),AND(J4594=1,I4594="SBJ"),AND(J4594=1,I4594=0)),"?IN_FOCUS",IF(J4594&lt;=2,"?ACTIVATED",IF(J4594&lt;&gt;"","?FAMILIAR",IF(F4594="NEW",IF(ISNA(VLOOKUP(E4594,#REF!,1,FALSE())),"?TYPE_IDENTIFIABLE","?REFERENTIAL"),"_")))))</f>
        <v> </v>
      </c>
      <c r="H4594" s="25" t="str">
        <f>IF(J4594&lt;&gt;1,"",IF(I4594="SBJ","CB","?"))</f>
        <v> </v>
      </c>
      <c r="I4594" s="26" t="str">
        <f>IF(OR(E4594="",E4594="!!!",F4594="NEW"),"",INDEX(B4593:B$2,-1+SUMPRODUCT(MAX(ROW(E4593:E$2)*(E4594=E4593:E$2)))))</f>
        <v> </v>
      </c>
      <c r="J4594" s="26" t="str">
        <f>IF(OR(E4594="",E4594="!!!",F4594="NEW"),"",COUNTBLANK(OFFSET(A$1,,,SUMPRODUCT(MAX(ROW(E$2:E4594)*(E4594=E$2:E4594)))))-COUNTBLANK(OFFSET(A$1,,,SUMPRODUCT(MAX(ROW(E$1:E4593)*(E2=E$1:E4593))))))</f>
        <v> </v>
      </c>
      <c r="K4594" s="26" t="str">
        <f>IF(OR(E4594="",E4594="!!!",F4594="NEW"),"",INDEX(J$1:J4593,SUMPRODUCT(MAX(ROW(E$1:E4593)*(E4594=E$1:E4593)))))</f>
        <v> </v>
      </c>
      <c r="L4594" s="27"/>
    </row>
    <row r="4595" spans="1:12">
      <c r="A4595" s="20" t="s">
        <v>2005</v>
      </c>
      <c r="E4595" s="22">
        <f>IF(D4595="?OLD","!!!","")</f>
        <v/>
      </c>
      <c r="F4595" s="23" t="str">
        <f>IF(OR(E4595="",E4595="!!!"),"",IF(NOT(ISNA(VLOOKUP(E4595,E$1:E4594,1,FALSE()))),"OLD",IF(AND(E4595&lt;&gt;"",E4595&lt;&gt;"!!!"),"NEW","")))</f>
        <v> </v>
      </c>
      <c r="G4595" s="24" t="str">
        <f>IF(OR(E4595="",E4595="!!!"),"",IF(OR(J4595=0,AND(J4595=1,K4595=1),AND(J4595=1,I4595="SBJ"),AND(J4595=1,I4595=0)),"?IN_FOCUS",IF(J4595&lt;=2,"?ACTIVATED",IF(J4595&lt;&gt;"","?FAMILIAR",IF(F4595="NEW",IF(ISNA(VLOOKUP(E4595,#REF!,1,FALSE())),"?TYPE_IDENTIFIABLE","?REFERENTIAL"),"_")))))</f>
        <v> </v>
      </c>
      <c r="H4595" s="25" t="str">
        <f>IF(J4595&lt;&gt;1,"",IF(I4595="SBJ","CB","?"))</f>
        <v> </v>
      </c>
      <c r="I4595" s="26" t="str">
        <f>IF(OR(E4595="",E4595="!!!",F4595="NEW"),"",INDEX(B4594:B$2,-1+SUMPRODUCT(MAX(ROW(E4594:E$2)*(E4595=E4594:E$2)))))</f>
        <v> </v>
      </c>
      <c r="J4595" s="26" t="str">
        <f>IF(OR(E4595="",E4595="!!!",F4595="NEW"),"",COUNTBLANK(OFFSET(A$1,,,SUMPRODUCT(MAX(ROW(E$2:E4595)*(E4595=E$2:E4595)))))-COUNTBLANK(OFFSET(A$1,,,SUMPRODUCT(MAX(ROW(E$1:E4594)*(E2=E$1:E4594))))))</f>
        <v> </v>
      </c>
      <c r="K4595" s="26" t="str">
        <f>IF(OR(E4595="",E4595="!!!",F4595="NEW"),"",INDEX(J$1:J4594,SUMPRODUCT(MAX(ROW(E$1:E4594)*(E4595=E$1:E4594)))))</f>
        <v> </v>
      </c>
      <c r="L4595" s="27"/>
    </row>
    <row r="4596" spans="1:12">
      <c r="A4596" s="20" t="s">
        <v>1308</v>
      </c>
      <c r="E4596" s="22">
        <f>IF(D4596="?OLD","!!!","")</f>
        <v/>
      </c>
      <c r="F4596" s="23" t="str">
        <f>IF(OR(E4596="",E4596="!!!"),"",IF(NOT(ISNA(VLOOKUP(E4596,E$1:E4595,1,FALSE()))),"OLD",IF(AND(E4596&lt;&gt;"",E4596&lt;&gt;"!!!"),"NEW","")))</f>
        <v> </v>
      </c>
      <c r="G4596" s="24" t="str">
        <f>IF(OR(E4596="",E4596="!!!"),"",IF(OR(J4596=0,AND(J4596=1,K4596=1),AND(J4596=1,I4596="SBJ"),AND(J4596=1,I4596=0)),"?IN_FOCUS",IF(J4596&lt;=2,"?ACTIVATED",IF(J4596&lt;&gt;"","?FAMILIAR",IF(F4596="NEW",IF(ISNA(VLOOKUP(E4596,#REF!,1,FALSE())),"?TYPE_IDENTIFIABLE","?REFERENTIAL"),"_")))))</f>
        <v> </v>
      </c>
      <c r="H4596" s="25" t="str">
        <f>IF(J4596&lt;&gt;1,"",IF(I4596="SBJ","CB","?"))</f>
        <v> </v>
      </c>
      <c r="I4596" s="26" t="str">
        <f>IF(OR(E4596="",E4596="!!!",F4596="NEW"),"",INDEX(B4595:B$2,-1+SUMPRODUCT(MAX(ROW(E4595:E$2)*(E4596=E4595:E$2)))))</f>
        <v> </v>
      </c>
      <c r="J4596" s="26" t="str">
        <f>IF(OR(E4596="",E4596="!!!",F4596="NEW"),"",COUNTBLANK(OFFSET(A$1,,,SUMPRODUCT(MAX(ROW(E$2:E4596)*(E4596=E$2:E4596)))))-COUNTBLANK(OFFSET(A$1,,,SUMPRODUCT(MAX(ROW(E$1:E4595)*(E2=E$1:E4595))))))</f>
        <v> </v>
      </c>
      <c r="K4596" s="26" t="str">
        <f>IF(OR(E4596="",E4596="!!!",F4596="NEW"),"",INDEX(J$1:J4595,SUMPRODUCT(MAX(ROW(E$1:E4595)*(E4596=E$1:E4595)))))</f>
        <v> </v>
      </c>
      <c r="L4596" s="27"/>
    </row>
    <row r="4597" spans="1:12">
      <c r="A4597" s="20" t="s">
        <v>2461</v>
      </c>
      <c r="E4597" s="22">
        <f>IF(D4597="?OLD","!!!","")</f>
        <v/>
      </c>
      <c r="F4597" s="23" t="str">
        <f>IF(OR(E4597="",E4597="!!!"),"",IF(NOT(ISNA(VLOOKUP(E4597,E$1:E4596,1,FALSE()))),"OLD",IF(AND(E4597&lt;&gt;"",E4597&lt;&gt;"!!!"),"NEW","")))</f>
        <v> </v>
      </c>
      <c r="G4597" s="24" t="str">
        <f>IF(OR(E4597="",E4597="!!!"),"",IF(OR(J4597=0,AND(J4597=1,K4597=1),AND(J4597=1,I4597="SBJ"),AND(J4597=1,I4597=0)),"?IN_FOCUS",IF(J4597&lt;=2,"?ACTIVATED",IF(J4597&lt;&gt;"","?FAMILIAR",IF(F4597="NEW",IF(ISNA(VLOOKUP(E4597,#REF!,1,FALSE())),"?TYPE_IDENTIFIABLE","?REFERENTIAL"),"_")))))</f>
        <v> </v>
      </c>
      <c r="H4597" s="25" t="str">
        <f>IF(J4597&lt;&gt;1,"",IF(I4597="SBJ","CB","?"))</f>
        <v> </v>
      </c>
      <c r="I4597" s="26" t="str">
        <f>IF(OR(E4597="",E4597="!!!",F4597="NEW"),"",INDEX(B4596:B$2,-1+SUMPRODUCT(MAX(ROW(E4596:E$2)*(E4597=E4596:E$2)))))</f>
        <v> </v>
      </c>
      <c r="J4597" s="26" t="str">
        <f>IF(OR(E4597="",E4597="!!!",F4597="NEW"),"",COUNTBLANK(OFFSET(A$1,,,SUMPRODUCT(MAX(ROW(E$2:E4597)*(E4597=E$2:E4597)))))-COUNTBLANK(OFFSET(A$1,,,SUMPRODUCT(MAX(ROW(E$1:E4596)*(E2=E$1:E4596))))))</f>
        <v> </v>
      </c>
      <c r="K4597" s="26" t="str">
        <f>IF(OR(E4597="",E4597="!!!",F4597="NEW"),"",INDEX(J$1:J4596,SUMPRODUCT(MAX(ROW(E$1:E4596)*(E4597=E$1:E4596)))))</f>
        <v> </v>
      </c>
      <c r="L4597" s="27"/>
    </row>
    <row r="4598" spans="1:12">
      <c r="A4598" s="20" t="s">
        <v>1203</v>
      </c>
      <c r="E4598" s="22">
        <f>IF(D4598="?OLD","!!!","")</f>
        <v/>
      </c>
      <c r="F4598" s="23" t="str">
        <f>IF(OR(E4598="",E4598="!!!"),"",IF(NOT(ISNA(VLOOKUP(E4598,E$1:E4597,1,FALSE()))),"OLD",IF(AND(E4598&lt;&gt;"",E4598&lt;&gt;"!!!"),"NEW","")))</f>
        <v> </v>
      </c>
      <c r="G4598" s="24" t="str">
        <f>IF(OR(E4598="",E4598="!!!"),"",IF(OR(J4598=0,AND(J4598=1,K4598=1),AND(J4598=1,I4598="SBJ"),AND(J4598=1,I4598=0)),"?IN_FOCUS",IF(J4598&lt;=2,"?ACTIVATED",IF(J4598&lt;&gt;"","?FAMILIAR",IF(F4598="NEW",IF(ISNA(VLOOKUP(E4598,#REF!,1,FALSE())),"?TYPE_IDENTIFIABLE","?REFERENTIAL"),"_")))))</f>
        <v> </v>
      </c>
      <c r="H4598" s="25" t="str">
        <f>IF(J4598&lt;&gt;1,"",IF(I4598="SBJ","CB","?"))</f>
        <v> </v>
      </c>
      <c r="I4598" s="26" t="str">
        <f>IF(OR(E4598="",E4598="!!!",F4598="NEW"),"",INDEX(B4597:B$2,-1+SUMPRODUCT(MAX(ROW(E4597:E$2)*(E4598=E4597:E$2)))))</f>
        <v> </v>
      </c>
      <c r="J4598" s="26" t="str">
        <f>IF(OR(E4598="",E4598="!!!",F4598="NEW"),"",COUNTBLANK(OFFSET(A$1,,,SUMPRODUCT(MAX(ROW(E$2:E4598)*(E4598=E$2:E4598)))))-COUNTBLANK(OFFSET(A$1,,,SUMPRODUCT(MAX(ROW(E$1:E4597)*(E2=E$1:E4597))))))</f>
        <v> </v>
      </c>
      <c r="K4598" s="26" t="str">
        <f>IF(OR(E4598="",E4598="!!!",F4598="NEW"),"",INDEX(J$1:J4597,SUMPRODUCT(MAX(ROW(E$1:E4597)*(E4598=E$1:E4597)))))</f>
        <v> </v>
      </c>
      <c r="L4598" s="27"/>
    </row>
    <row r="4599" spans="1:12">
      <c r="A4599" s="20" t="s">
        <v>1308</v>
      </c>
      <c r="E4599" s="22">
        <f>IF(D4599="?OLD","!!!","")</f>
        <v/>
      </c>
      <c r="F4599" s="23" t="str">
        <f>IF(OR(E4599="",E4599="!!!"),"",IF(NOT(ISNA(VLOOKUP(E4599,E$1:E4598,1,FALSE()))),"OLD",IF(AND(E4599&lt;&gt;"",E4599&lt;&gt;"!!!"),"NEW","")))</f>
        <v> </v>
      </c>
      <c r="G4599" s="24" t="str">
        <f>IF(OR(E4599="",E4599="!!!"),"",IF(OR(J4599=0,AND(J4599=1,K4599=1),AND(J4599=1,I4599="SBJ"),AND(J4599=1,I4599=0)),"?IN_FOCUS",IF(J4599&lt;=2,"?ACTIVATED",IF(J4599&lt;&gt;"","?FAMILIAR",IF(F4599="NEW",IF(ISNA(VLOOKUP(E4599,#REF!,1,FALSE())),"?TYPE_IDENTIFIABLE","?REFERENTIAL"),"_")))))</f>
        <v> </v>
      </c>
      <c r="H4599" s="25" t="str">
        <f>IF(J4599&lt;&gt;1,"",IF(I4599="SBJ","CB","?"))</f>
        <v> </v>
      </c>
      <c r="I4599" s="26" t="str">
        <f>IF(OR(E4599="",E4599="!!!",F4599="NEW"),"",INDEX(B4598:B$2,-1+SUMPRODUCT(MAX(ROW(E4598:E$2)*(E4599=E4598:E$2)))))</f>
        <v> </v>
      </c>
      <c r="J4599" s="26" t="str">
        <f>IF(OR(E4599="",E4599="!!!",F4599="NEW"),"",COUNTBLANK(OFFSET(A$1,,,SUMPRODUCT(MAX(ROW(E$2:E4599)*(E4599=E$2:E4599)))))-COUNTBLANK(OFFSET(A$1,,,SUMPRODUCT(MAX(ROW(E$1:E4598)*(E2=E$1:E4598))))))</f>
        <v> </v>
      </c>
      <c r="K4599" s="26" t="str">
        <f>IF(OR(E4599="",E4599="!!!",F4599="NEW"),"",INDEX(J$1:J4598,SUMPRODUCT(MAX(ROW(E$1:E4598)*(E4599=E$1:E4598)))))</f>
        <v> </v>
      </c>
      <c r="L4599" s="27"/>
    </row>
    <row r="4600" spans="1:12">
      <c r="A4600" s="20" t="s">
        <v>53</v>
      </c>
      <c r="E4600" s="22">
        <f>IF(D4600="?OLD","!!!","")</f>
        <v/>
      </c>
      <c r="F4600" s="23" t="str">
        <f>IF(OR(E4600="",E4600="!!!"),"",IF(NOT(ISNA(VLOOKUP(E4600,E$1:E4599,1,FALSE()))),"OLD",IF(AND(E4600&lt;&gt;"",E4600&lt;&gt;"!!!"),"NEW","")))</f>
        <v> </v>
      </c>
      <c r="G4600" s="24" t="str">
        <f>IF(OR(E4600="",E4600="!!!"),"",IF(OR(J4600=0,AND(J4600=1,K4600=1),AND(J4600=1,I4600="SBJ"),AND(J4600=1,I4600=0)),"?IN_FOCUS",IF(J4600&lt;=2,"?ACTIVATED",IF(J4600&lt;&gt;"","?FAMILIAR",IF(F4600="NEW",IF(ISNA(VLOOKUP(E4600,#REF!,1,FALSE())),"?TYPE_IDENTIFIABLE","?REFERENTIAL"),"_")))))</f>
        <v> </v>
      </c>
      <c r="H4600" s="25" t="str">
        <f>IF(J4600&lt;&gt;1,"",IF(I4600="SBJ","CB","?"))</f>
        <v> </v>
      </c>
      <c r="I4600" s="26" t="str">
        <f>IF(OR(E4600="",E4600="!!!",F4600="NEW"),"",INDEX(B4599:B$2,-1+SUMPRODUCT(MAX(ROW(E4599:E$2)*(E4600=E4599:E$2)))))</f>
        <v> </v>
      </c>
      <c r="J4600" s="26" t="str">
        <f>IF(OR(E4600="",E4600="!!!",F4600="NEW"),"",COUNTBLANK(OFFSET(A$1,,,SUMPRODUCT(MAX(ROW(E$2:E4600)*(E4600=E$2:E4600)))))-COUNTBLANK(OFFSET(A$1,,,SUMPRODUCT(MAX(ROW(E$1:E4599)*(E2=E$1:E4599))))))</f>
        <v> </v>
      </c>
      <c r="K4600" s="26" t="str">
        <f>IF(OR(E4600="",E4600="!!!",F4600="NEW"),"",INDEX(J$1:J4599,SUMPRODUCT(MAX(ROW(E$1:E4599)*(E4600=E$1:E4599)))))</f>
        <v> </v>
      </c>
      <c r="L4600" s="27"/>
    </row>
    <row r="4601" spans="1:12">
      <c r="A4601" s="20" t="s">
        <v>1146</v>
      </c>
      <c r="E4601" s="22">
        <f>IF(D4601="?OLD","!!!","")</f>
        <v/>
      </c>
      <c r="F4601" s="23" t="str">
        <f>IF(OR(E4601="",E4601="!!!"),"",IF(NOT(ISNA(VLOOKUP(E4601,E$1:E4600,1,FALSE()))),"OLD",IF(AND(E4601&lt;&gt;"",E4601&lt;&gt;"!!!"),"NEW","")))</f>
        <v> </v>
      </c>
      <c r="G4601" s="24" t="str">
        <f>IF(OR(E4601="",E4601="!!!"),"",IF(OR(J4601=0,AND(J4601=1,K4601=1),AND(J4601=1,I4601="SBJ"),AND(J4601=1,I4601=0)),"?IN_FOCUS",IF(J4601&lt;=2,"?ACTIVATED",IF(J4601&lt;&gt;"","?FAMILIAR",IF(F4601="NEW",IF(ISNA(VLOOKUP(E4601,#REF!,1,FALSE())),"?TYPE_IDENTIFIABLE","?REFERENTIAL"),"_")))))</f>
        <v> </v>
      </c>
      <c r="H4601" s="25" t="str">
        <f>IF(J4601&lt;&gt;1,"",IF(I4601="SBJ","CB","?"))</f>
        <v> </v>
      </c>
      <c r="I4601" s="26" t="str">
        <f>IF(OR(E4601="",E4601="!!!",F4601="NEW"),"",INDEX(B4600:B$2,-1+SUMPRODUCT(MAX(ROW(E4600:E$2)*(E4601=E4600:E$2)))))</f>
        <v> </v>
      </c>
      <c r="J4601" s="26" t="str">
        <f>IF(OR(E4601="",E4601="!!!",F4601="NEW"),"",COUNTBLANK(OFFSET(A$1,,,SUMPRODUCT(MAX(ROW(E$2:E4601)*(E4601=E$2:E4601)))))-COUNTBLANK(OFFSET(A$1,,,SUMPRODUCT(MAX(ROW(E$1:E4600)*(E2=E$1:E4600))))))</f>
        <v> </v>
      </c>
      <c r="K4601" s="26" t="str">
        <f>IF(OR(E4601="",E4601="!!!",F4601="NEW"),"",INDEX(J$1:J4600,SUMPRODUCT(MAX(ROW(E$1:E4600)*(E4601=E$1:E4600)))))</f>
        <v> </v>
      </c>
      <c r="L4601" s="27"/>
    </row>
    <row r="4602" spans="1:12">
      <c r="A4602" s="20" t="s">
        <v>1574</v>
      </c>
      <c r="E4602" s="22">
        <f>IF(D4602="?OLD","!!!","")</f>
        <v/>
      </c>
      <c r="F4602" s="23" t="str">
        <f>IF(OR(E4602="",E4602="!!!"),"",IF(NOT(ISNA(VLOOKUP(E4602,E$1:E4601,1,FALSE()))),"OLD",IF(AND(E4602&lt;&gt;"",E4602&lt;&gt;"!!!"),"NEW","")))</f>
        <v> </v>
      </c>
      <c r="G4602" s="24" t="str">
        <f>IF(OR(E4602="",E4602="!!!"),"",IF(OR(J4602=0,AND(J4602=1,K4602=1),AND(J4602=1,I4602="SBJ"),AND(J4602=1,I4602=0)),"?IN_FOCUS",IF(J4602&lt;=2,"?ACTIVATED",IF(J4602&lt;&gt;"","?FAMILIAR",IF(F4602="NEW",IF(ISNA(VLOOKUP(E4602,#REF!,1,FALSE())),"?TYPE_IDENTIFIABLE","?REFERENTIAL"),"_")))))</f>
        <v> </v>
      </c>
      <c r="H4602" s="25" t="str">
        <f>IF(J4602&lt;&gt;1,"",IF(I4602="SBJ","CB","?"))</f>
        <v> </v>
      </c>
      <c r="I4602" s="26" t="str">
        <f>IF(OR(E4602="",E4602="!!!",F4602="NEW"),"",INDEX(B4601:B$2,-1+SUMPRODUCT(MAX(ROW(E4601:E$2)*(E4602=E4601:E$2)))))</f>
        <v> </v>
      </c>
      <c r="J4602" s="26" t="str">
        <f>IF(OR(E4602="",E4602="!!!",F4602="NEW"),"",COUNTBLANK(OFFSET(A$1,,,SUMPRODUCT(MAX(ROW(E$2:E4602)*(E4602=E$2:E4602)))))-COUNTBLANK(OFFSET(A$1,,,SUMPRODUCT(MAX(ROW(E$1:E4601)*(E2=E$1:E4601))))))</f>
        <v> </v>
      </c>
      <c r="K4602" s="26" t="str">
        <f>IF(OR(E4602="",E4602="!!!",F4602="NEW"),"",INDEX(J$1:J4601,SUMPRODUCT(MAX(ROW(E$1:E4601)*(E4602=E$1:E4601)))))</f>
        <v> </v>
      </c>
      <c r="L4602" s="27"/>
    </row>
    <row r="4603" spans="1:12">
      <c r="A4603" s="20" t="s">
        <v>1326</v>
      </c>
      <c r="E4603" s="22">
        <f>IF(D4603="?OLD","!!!","")</f>
        <v/>
      </c>
      <c r="F4603" s="23" t="str">
        <f>IF(OR(E4603="",E4603="!!!"),"",IF(NOT(ISNA(VLOOKUP(E4603,E$1:E4602,1,FALSE()))),"OLD",IF(AND(E4603&lt;&gt;"",E4603&lt;&gt;"!!!"),"NEW","")))</f>
        <v> </v>
      </c>
      <c r="G4603" s="24" t="str">
        <f>IF(OR(E4603="",E4603="!!!"),"",IF(OR(J4603=0,AND(J4603=1,K4603=1),AND(J4603=1,I4603="SBJ"),AND(J4603=1,I4603=0)),"?IN_FOCUS",IF(J4603&lt;=2,"?ACTIVATED",IF(J4603&lt;&gt;"","?FAMILIAR",IF(F4603="NEW",IF(ISNA(VLOOKUP(E4603,#REF!,1,FALSE())),"?TYPE_IDENTIFIABLE","?REFERENTIAL"),"_")))))</f>
        <v> </v>
      </c>
      <c r="H4603" s="25" t="str">
        <f>IF(J4603&lt;&gt;1,"",IF(I4603="SBJ","CB","?"))</f>
        <v> </v>
      </c>
      <c r="I4603" s="26" t="str">
        <f>IF(OR(E4603="",E4603="!!!",F4603="NEW"),"",INDEX(B4602:B$2,-1+SUMPRODUCT(MAX(ROW(E4602:E$2)*(E4603=E4602:E$2)))))</f>
        <v> </v>
      </c>
      <c r="J4603" s="26" t="str">
        <f>IF(OR(E4603="",E4603="!!!",F4603="NEW"),"",COUNTBLANK(OFFSET(A$1,,,SUMPRODUCT(MAX(ROW(E$2:E4603)*(E4603=E$2:E4603)))))-COUNTBLANK(OFFSET(A$1,,,SUMPRODUCT(MAX(ROW(E$1:E4602)*(E2=E$1:E4602))))))</f>
        <v> </v>
      </c>
      <c r="K4603" s="26" t="str">
        <f>IF(OR(E4603="",E4603="!!!",F4603="NEW"),"",INDEX(J$1:J4602,SUMPRODUCT(MAX(ROW(E$1:E4602)*(E4603=E$1:E4602)))))</f>
        <v> </v>
      </c>
      <c r="L4603" s="27"/>
    </row>
    <row r="4604" spans="1:12">
      <c r="A4604" s="20" t="s">
        <v>1238</v>
      </c>
      <c r="E4604" s="22">
        <f>IF(D4604="?OLD","!!!","")</f>
        <v/>
      </c>
      <c r="F4604" s="23" t="str">
        <f>IF(OR(E4604="",E4604="!!!"),"",IF(NOT(ISNA(VLOOKUP(E4604,E$1:E4603,1,FALSE()))),"OLD",IF(AND(E4604&lt;&gt;"",E4604&lt;&gt;"!!!"),"NEW","")))</f>
        <v> </v>
      </c>
      <c r="G4604" s="24" t="str">
        <f>IF(OR(E4604="",E4604="!!!"),"",IF(OR(J4604=0,AND(J4604=1,K4604=1),AND(J4604=1,I4604="SBJ"),AND(J4604=1,I4604=0)),"?IN_FOCUS",IF(J4604&lt;=2,"?ACTIVATED",IF(J4604&lt;&gt;"","?FAMILIAR",IF(F4604="NEW",IF(ISNA(VLOOKUP(E4604,#REF!,1,FALSE())),"?TYPE_IDENTIFIABLE","?REFERENTIAL"),"_")))))</f>
        <v> </v>
      </c>
      <c r="H4604" s="25" t="str">
        <f>IF(J4604&lt;&gt;1,"",IF(I4604="SBJ","CB","?"))</f>
        <v> </v>
      </c>
      <c r="I4604" s="26" t="str">
        <f>IF(OR(E4604="",E4604="!!!",F4604="NEW"),"",INDEX(B4603:B$2,-1+SUMPRODUCT(MAX(ROW(E4603:E$2)*(E4604=E4603:E$2)))))</f>
        <v> </v>
      </c>
      <c r="J4604" s="26" t="str">
        <f>IF(OR(E4604="",E4604="!!!",F4604="NEW"),"",COUNTBLANK(OFFSET(A$1,,,SUMPRODUCT(MAX(ROW(E$2:E4604)*(E4604=E$2:E4604)))))-COUNTBLANK(OFFSET(A$1,,,SUMPRODUCT(MAX(ROW(E$1:E4603)*(E2=E$1:E4603))))))</f>
        <v> </v>
      </c>
      <c r="K4604" s="26" t="str">
        <f>IF(OR(E4604="",E4604="!!!",F4604="NEW"),"",INDEX(J$1:J4603,SUMPRODUCT(MAX(ROW(E$1:E4603)*(E4604=E$1:E4603)))))</f>
        <v> </v>
      </c>
      <c r="L4604" s="27"/>
    </row>
    <row r="4605" spans="1:12">
      <c r="A4605" s="20" t="s">
        <v>1253</v>
      </c>
      <c r="B4605" s="21" t="s">
        <v>1165</v>
      </c>
      <c r="C4605" s="21" t="s">
        <v>1162</v>
      </c>
      <c r="D4605" s="21" t="s">
        <v>1144</v>
      </c>
      <c r="E4605" s="22">
        <f>IF(D4605="?OLD","!!!","")</f>
        <v/>
      </c>
      <c r="F4605" s="23" t="str">
        <f>IF(OR(E4605="",E4605="!!!"),"",IF(NOT(ISNA(VLOOKUP(E4605,E$1:E4604,1,FALSE()))),"OLD",IF(AND(E4605&lt;&gt;"",E4605&lt;&gt;"!!!"),"NEW","")))</f>
        <v> </v>
      </c>
      <c r="G4605" s="24" t="str">
        <f>IF(OR(E4605="",E4605="!!!"),"",IF(OR(J4605=0,AND(J4605=1,K4605=1),AND(J4605=1,I4605="SBJ"),AND(J4605=1,I4605=0)),"?IN_FOCUS",IF(J4605&lt;=2,"?ACTIVATED",IF(J4605&lt;&gt;"","?FAMILIAR",IF(F4605="NEW",IF(ISNA(VLOOKUP(E4605,#REF!,1,FALSE())),"?TYPE_IDENTIFIABLE","?REFERENTIAL"),"_")))))</f>
        <v> </v>
      </c>
      <c r="H4605" s="25" t="str">
        <f>IF(J4605&lt;&gt;1,"",IF(I4605="SBJ","CB","?"))</f>
        <v> </v>
      </c>
      <c r="I4605" s="26" t="str">
        <f>IF(OR(E4605="",E4605="!!!",F4605="NEW"),"",INDEX(B4604:B$2,-1+SUMPRODUCT(MAX(ROW(E4604:E$2)*(E4605=E4604:E$2)))))</f>
        <v> </v>
      </c>
      <c r="J4605" s="26" t="str">
        <f>IF(OR(E4605="",E4605="!!!",F4605="NEW"),"",COUNTBLANK(OFFSET(A$1,,,SUMPRODUCT(MAX(ROW(E$2:E4605)*(E4605=E$2:E4605)))))-COUNTBLANK(OFFSET(A$1,,,SUMPRODUCT(MAX(ROW(E$1:E4604)*(E2=E$1:E4604))))))</f>
        <v> </v>
      </c>
      <c r="K4605" s="26" t="str">
        <f>IF(OR(E4605="",E4605="!!!",F4605="NEW"),"",INDEX(J$1:J4604,SUMPRODUCT(MAX(ROW(E$1:E4604)*(E4605=E$1:E4604)))))</f>
        <v> </v>
      </c>
      <c r="L4605" s="27"/>
    </row>
    <row r="4606" spans="1:12">
      <c r="A4606" s="20" t="s">
        <v>1076</v>
      </c>
      <c r="E4606" s="22">
        <f>IF(D4606="?OLD","!!!","")</f>
        <v/>
      </c>
      <c r="F4606" s="23" t="str">
        <f>IF(OR(E4606="",E4606="!!!"),"",IF(NOT(ISNA(VLOOKUP(E4606,E$1:E4605,1,FALSE()))),"OLD",IF(AND(E4606&lt;&gt;"",E4606&lt;&gt;"!!!"),"NEW","")))</f>
        <v> </v>
      </c>
      <c r="G4606" s="24" t="str">
        <f>IF(OR(E4606="",E4606="!!!"),"",IF(OR(J4606=0,AND(J4606=1,K4606=1),AND(J4606=1,I4606="SBJ"),AND(J4606=1,I4606=0)),"?IN_FOCUS",IF(J4606&lt;=2,"?ACTIVATED",IF(J4606&lt;&gt;"","?FAMILIAR",IF(F4606="NEW",IF(ISNA(VLOOKUP(E4606,#REF!,1,FALSE())),"?TYPE_IDENTIFIABLE","?REFERENTIAL"),"_")))))</f>
        <v> </v>
      </c>
      <c r="H4606" s="25" t="str">
        <f>IF(J4606&lt;&gt;1,"",IF(I4606="SBJ","CB","?"))</f>
        <v> </v>
      </c>
      <c r="I4606" s="26" t="str">
        <f>IF(OR(E4606="",E4606="!!!",F4606="NEW"),"",INDEX(B4605:B$2,-1+SUMPRODUCT(MAX(ROW(E4605:E$2)*(E4606=E4605:E$2)))))</f>
        <v> </v>
      </c>
      <c r="J4606" s="26" t="str">
        <f>IF(OR(E4606="",E4606="!!!",F4606="NEW"),"",COUNTBLANK(OFFSET(A$1,,,SUMPRODUCT(MAX(ROW(E$2:E4606)*(E4606=E$2:E4606)))))-COUNTBLANK(OFFSET(A$1,,,SUMPRODUCT(MAX(ROW(E$1:E4605)*(E2=E$1:E4605))))))</f>
        <v> </v>
      </c>
      <c r="K4606" s="26" t="str">
        <f>IF(OR(E4606="",E4606="!!!",F4606="NEW"),"",INDEX(J$1:J4605,SUMPRODUCT(MAX(ROW(E$1:E4605)*(E4606=E$1:E4605)))))</f>
        <v> </v>
      </c>
      <c r="L4606" s="27"/>
    </row>
    <row r="4607" spans="1:12">
      <c r="A4607" s="20" t="s">
        <v>1263</v>
      </c>
      <c r="E4607" s="22">
        <f>IF(D4607="?OLD","!!!","")</f>
        <v/>
      </c>
      <c r="F4607" s="23" t="str">
        <f>IF(OR(E4607="",E4607="!!!"),"",IF(NOT(ISNA(VLOOKUP(E4607,E$1:E4606,1,FALSE()))),"OLD",IF(AND(E4607&lt;&gt;"",E4607&lt;&gt;"!!!"),"NEW","")))</f>
        <v> </v>
      </c>
      <c r="G4607" s="24" t="str">
        <f>IF(OR(E4607="",E4607="!!!"),"",IF(OR(J4607=0,AND(J4607=1,K4607=1),AND(J4607=1,I4607="SBJ"),AND(J4607=1,I4607=0)),"?IN_FOCUS",IF(J4607&lt;=2,"?ACTIVATED",IF(J4607&lt;&gt;"","?FAMILIAR",IF(F4607="NEW",IF(ISNA(VLOOKUP(E4607,#REF!,1,FALSE())),"?TYPE_IDENTIFIABLE","?REFERENTIAL"),"_")))))</f>
        <v> </v>
      </c>
      <c r="H4607" s="25" t="str">
        <f>IF(J4607&lt;&gt;1,"",IF(I4607="SBJ","CB","?"))</f>
        <v> </v>
      </c>
      <c r="I4607" s="26" t="str">
        <f>IF(OR(E4607="",E4607="!!!",F4607="NEW"),"",INDEX(B4606:B$2,-1+SUMPRODUCT(MAX(ROW(E4606:E$2)*(E4607=E4606:E$2)))))</f>
        <v> </v>
      </c>
      <c r="J4607" s="26" t="str">
        <f>IF(OR(E4607="",E4607="!!!",F4607="NEW"),"",COUNTBLANK(OFFSET(A$1,,,SUMPRODUCT(MAX(ROW(E$2:E4607)*(E4607=E$2:E4607)))))-COUNTBLANK(OFFSET(A$1,,,SUMPRODUCT(MAX(ROW(E$1:E4606)*(E2=E$1:E4606))))))</f>
        <v> </v>
      </c>
      <c r="K4607" s="26" t="str">
        <f>IF(OR(E4607="",E4607="!!!",F4607="NEW"),"",INDEX(J$1:J4606,SUMPRODUCT(MAX(ROW(E$1:E4606)*(E4607=E$1:E4606)))))</f>
        <v> </v>
      </c>
      <c r="L4607" s="27"/>
    </row>
    <row r="4608" spans="1:12">
      <c r="A4608" s="20"/>
    </row>
    <row r="4609" spans="1:12">
      <c r="A4609" s="20" t="s">
        <v>2462</v>
      </c>
    </row>
    <row r="4610" spans="1:12">
      <c r="A4610" s="20" t="s">
        <v>1217</v>
      </c>
      <c r="B4610" s="21" t="s">
        <v>1165</v>
      </c>
      <c r="C4610" s="21" t="s">
        <v>1168</v>
      </c>
      <c r="D4610" s="21" t="s">
        <v>1144</v>
      </c>
      <c r="E4610" s="22">
        <f>IF(D4610="?OLD","!!!","")</f>
        <v/>
      </c>
      <c r="F4610" s="23" t="str">
        <f>IF(OR(E4610="",E4610="!!!"),"",IF(NOT(ISNA(VLOOKUP(E4610,E$1:E4609,1,FALSE()))),"OLD",IF(AND(E4610&lt;&gt;"",E4610&lt;&gt;"!!!"),"NEW","")))</f>
        <v> </v>
      </c>
      <c r="G4610" s="24" t="str">
        <f>IF(OR(E4610="",E4610="!!!"),"",IF(OR(J4610=0,AND(J4610=1,K4610=1),AND(J4610=1,I4610="SBJ"),AND(J4610=1,I4610=0)),"?IN_FOCUS",IF(J4610&lt;=2,"?ACTIVATED",IF(J4610&lt;&gt;"","?FAMILIAR",IF(F4610="NEW",IF(ISNA(VLOOKUP(E4610,#REF!,1,FALSE())),"?TYPE_IDENTIFIABLE","?REFERENTIAL"),"_")))))</f>
        <v> </v>
      </c>
      <c r="H4610" s="25" t="str">
        <f>IF(J4610&lt;&gt;1,"",IF(I4610="SBJ","CB","?"))</f>
        <v> </v>
      </c>
      <c r="I4610" s="26" t="str">
        <f>IF(OR(E4610="",E4610="!!!",F4610="NEW"),"",INDEX(B4609:B$2,-1+SUMPRODUCT(MAX(ROW(E4609:E$2)*(E4610=E4609:E$2)))))</f>
        <v> </v>
      </c>
      <c r="J4610" s="26" t="str">
        <f>IF(OR(E4610="",E4610="!!!",F4610="NEW"),"",COUNTBLANK(OFFSET(A$1,,,SUMPRODUCT(MAX(ROW(E$2:E4610)*(E4610=E$2:E4610)))))-COUNTBLANK(OFFSET(A$1,,,SUMPRODUCT(MAX(ROW(E$1:E4609)*(E2=E$1:E4609))))))</f>
        <v> </v>
      </c>
      <c r="K4610" s="26" t="str">
        <f>IF(OR(E4610="",E4610="!!!",F4610="NEW"),"",INDEX(J$1:J4609,SUMPRODUCT(MAX(ROW(E$1:E4609)*(E4610=E$1:E4609)))))</f>
        <v> </v>
      </c>
      <c r="L4610" s="27"/>
    </row>
    <row r="4611" spans="1:12">
      <c r="A4611" s="20" t="s">
        <v>1080</v>
      </c>
      <c r="E4611" s="22">
        <f>IF(D4611="?OLD","!!!","")</f>
        <v/>
      </c>
      <c r="F4611" s="23" t="str">
        <f>IF(OR(E4611="",E4611="!!!"),"",IF(NOT(ISNA(VLOOKUP(E4611,E$1:E4610,1,FALSE()))),"OLD",IF(AND(E4611&lt;&gt;"",E4611&lt;&gt;"!!!"),"NEW","")))</f>
        <v> </v>
      </c>
      <c r="G4611" s="24" t="str">
        <f>IF(OR(E4611="",E4611="!!!"),"",IF(OR(J4611=0,AND(J4611=1,K4611=1),AND(J4611=1,I4611="SBJ"),AND(J4611=1,I4611=0)),"?IN_FOCUS",IF(J4611&lt;=2,"?ACTIVATED",IF(J4611&lt;&gt;"","?FAMILIAR",IF(F4611="NEW",IF(ISNA(VLOOKUP(E4611,#REF!,1,FALSE())),"?TYPE_IDENTIFIABLE","?REFERENTIAL"),"_")))))</f>
        <v> </v>
      </c>
      <c r="H4611" s="25" t="str">
        <f>IF(J4611&lt;&gt;1,"",IF(I4611="SBJ","CB","?"))</f>
        <v> </v>
      </c>
      <c r="I4611" s="26" t="str">
        <f>IF(OR(E4611="",E4611="!!!",F4611="NEW"),"",INDEX(B4610:B$2,-1+SUMPRODUCT(MAX(ROW(E4610:E$2)*(E4611=E4610:E$2)))))</f>
        <v> </v>
      </c>
      <c r="J4611" s="26" t="str">
        <f>IF(OR(E4611="",E4611="!!!",F4611="NEW"),"",COUNTBLANK(OFFSET(A$1,,,SUMPRODUCT(MAX(ROW(E$2:E4611)*(E4611=E$2:E4611)))))-COUNTBLANK(OFFSET(A$1,,,SUMPRODUCT(MAX(ROW(E$1:E4610)*(E2=E$1:E4610))))))</f>
        <v> </v>
      </c>
      <c r="K4611" s="26" t="str">
        <f>IF(OR(E4611="",E4611="!!!",F4611="NEW"),"",INDEX(J$1:J4610,SUMPRODUCT(MAX(ROW(E$1:E4610)*(E4611=E$1:E4610)))))</f>
        <v> </v>
      </c>
      <c r="L4611" s="27"/>
    </row>
    <row r="4612" spans="1:12">
      <c r="A4612" s="20" t="s">
        <v>1167</v>
      </c>
      <c r="B4612" s="21" t="s">
        <v>1165</v>
      </c>
      <c r="C4612" s="21" t="s">
        <v>1168</v>
      </c>
      <c r="D4612" s="21" t="s">
        <v>1144</v>
      </c>
      <c r="E4612" s="22">
        <f>IF(D4612="?OLD","!!!","")</f>
        <v/>
      </c>
      <c r="F4612" s="23" t="str">
        <f>IF(OR(E4612="",E4612="!!!"),"",IF(NOT(ISNA(VLOOKUP(E4612,E$1:E4611,1,FALSE()))),"OLD",IF(AND(E4612&lt;&gt;"",E4612&lt;&gt;"!!!"),"NEW","")))</f>
        <v> </v>
      </c>
      <c r="G4612" s="24" t="str">
        <f>IF(OR(E4612="",E4612="!!!"),"",IF(OR(J4612=0,AND(J4612=1,K4612=1),AND(J4612=1,I4612="SBJ"),AND(J4612=1,I4612=0)),"?IN_FOCUS",IF(J4612&lt;=2,"?ACTIVATED",IF(J4612&lt;&gt;"","?FAMILIAR",IF(F4612="NEW",IF(ISNA(VLOOKUP(E4612,#REF!,1,FALSE())),"?TYPE_IDENTIFIABLE","?REFERENTIAL"),"_")))))</f>
        <v> </v>
      </c>
      <c r="H4612" s="25" t="str">
        <f>IF(J4612&lt;&gt;1,"",IF(I4612="SBJ","CB","?"))</f>
        <v> </v>
      </c>
      <c r="I4612" s="26" t="str">
        <f>IF(OR(E4612="",E4612="!!!",F4612="NEW"),"",INDEX(B4611:B$2,-1+SUMPRODUCT(MAX(ROW(E4611:E$2)*(E4612=E4611:E$2)))))</f>
        <v> </v>
      </c>
      <c r="J4612" s="26" t="str">
        <f>IF(OR(E4612="",E4612="!!!",F4612="NEW"),"",COUNTBLANK(OFFSET(A$1,,,SUMPRODUCT(MAX(ROW(E$2:E4612)*(E4612=E$2:E4612)))))-COUNTBLANK(OFFSET(A$1,,,SUMPRODUCT(MAX(ROW(E$1:E4611)*(E2=E$1:E4611))))))</f>
        <v> </v>
      </c>
      <c r="K4612" s="26" t="str">
        <f>IF(OR(E4612="",E4612="!!!",F4612="NEW"),"",INDEX(J$1:J4611,SUMPRODUCT(MAX(ROW(E$1:E4611)*(E4612=E$1:E4611)))))</f>
        <v> </v>
      </c>
      <c r="L4612" s="27"/>
    </row>
    <row r="4613" spans="1:12">
      <c r="A4613" s="20" t="s">
        <v>1278</v>
      </c>
      <c r="B4613" s="21" t="s">
        <v>1154</v>
      </c>
      <c r="C4613" s="21" t="s">
        <v>1168</v>
      </c>
      <c r="D4613" s="21" t="s">
        <v>1144</v>
      </c>
      <c r="E4613" s="22">
        <f>IF(D4613="?OLD","!!!","")</f>
        <v/>
      </c>
      <c r="F4613" s="23" t="str">
        <f>IF(OR(E4613="",E4613="!!!"),"",IF(NOT(ISNA(VLOOKUP(E4613,E$1:E4612,1,FALSE()))),"OLD",IF(AND(E4613&lt;&gt;"",E4613&lt;&gt;"!!!"),"NEW","")))</f>
        <v> </v>
      </c>
      <c r="G4613" s="24" t="str">
        <f>IF(OR(E4613="",E4613="!!!"),"",IF(OR(J4613=0,AND(J4613=1,K4613=1),AND(J4613=1,I4613="SBJ"),AND(J4613=1,I4613=0)),"?IN_FOCUS",IF(J4613&lt;=2,"?ACTIVATED",IF(J4613&lt;&gt;"","?FAMILIAR",IF(F4613="NEW",IF(ISNA(VLOOKUP(E4613,#REF!,1,FALSE())),"?TYPE_IDENTIFIABLE","?REFERENTIAL"),"_")))))</f>
        <v> </v>
      </c>
      <c r="H4613" s="25" t="str">
        <f>IF(J4613&lt;&gt;1,"",IF(I4613="SBJ","CB","?"))</f>
        <v> </v>
      </c>
      <c r="I4613" s="26" t="str">
        <f>IF(OR(E4613="",E4613="!!!",F4613="NEW"),"",INDEX(B4612:B$2,-1+SUMPRODUCT(MAX(ROW(E4612:E$2)*(E4613=E4612:E$2)))))</f>
        <v> </v>
      </c>
      <c r="J4613" s="26" t="str">
        <f>IF(OR(E4613="",E4613="!!!",F4613="NEW"),"",COUNTBLANK(OFFSET(A$1,,,SUMPRODUCT(MAX(ROW(E$2:E4613)*(E4613=E$2:E4613)))))-COUNTBLANK(OFFSET(A$1,,,SUMPRODUCT(MAX(ROW(E$1:E4612)*(E2=E$1:E4612))))))</f>
        <v> </v>
      </c>
      <c r="K4613" s="26" t="str">
        <f>IF(OR(E4613="",E4613="!!!",F4613="NEW"),"",INDEX(J$1:J4612,SUMPRODUCT(MAX(ROW(E$1:E4612)*(E4613=E$1:E4612)))))</f>
        <v> </v>
      </c>
      <c r="L4613" s="27"/>
    </row>
    <row r="4614" spans="1:12">
      <c r="A4614" s="20" t="s">
        <v>1263</v>
      </c>
      <c r="E4614" s="22">
        <f>IF(D4614="?OLD","!!!","")</f>
        <v/>
      </c>
      <c r="F4614" s="23" t="str">
        <f>IF(OR(E4614="",E4614="!!!"),"",IF(NOT(ISNA(VLOOKUP(E4614,E$1:E4613,1,FALSE()))),"OLD",IF(AND(E4614&lt;&gt;"",E4614&lt;&gt;"!!!"),"NEW","")))</f>
        <v> </v>
      </c>
      <c r="G4614" s="24" t="str">
        <f>IF(OR(E4614="",E4614="!!!"),"",IF(OR(J4614=0,AND(J4614=1,K4614=1),AND(J4614=1,I4614="SBJ"),AND(J4614=1,I4614=0)),"?IN_FOCUS",IF(J4614&lt;=2,"?ACTIVATED",IF(J4614&lt;&gt;"","?FAMILIAR",IF(F4614="NEW",IF(ISNA(VLOOKUP(E4614,#REF!,1,FALSE())),"?TYPE_IDENTIFIABLE","?REFERENTIAL"),"_")))))</f>
        <v> </v>
      </c>
      <c r="H4614" s="25" t="str">
        <f>IF(J4614&lt;&gt;1,"",IF(I4614="SBJ","CB","?"))</f>
        <v> </v>
      </c>
      <c r="I4614" s="26" t="str">
        <f>IF(OR(E4614="",E4614="!!!",F4614="NEW"),"",INDEX(B4613:B$2,-1+SUMPRODUCT(MAX(ROW(E4613:E$2)*(E4614=E4613:E$2)))))</f>
        <v> </v>
      </c>
      <c r="J4614" s="26" t="str">
        <f>IF(OR(E4614="",E4614="!!!",F4614="NEW"),"",COUNTBLANK(OFFSET(A$1,,,SUMPRODUCT(MAX(ROW(E$2:E4614)*(E4614=E$2:E4614)))))-COUNTBLANK(OFFSET(A$1,,,SUMPRODUCT(MAX(ROW(E$1:E4613)*(E2=E$1:E4613))))))</f>
        <v> </v>
      </c>
      <c r="K4614" s="26" t="str">
        <f>IF(OR(E4614="",E4614="!!!",F4614="NEW"),"",INDEX(J$1:J4613,SUMPRODUCT(MAX(ROW(E$1:E4613)*(E4614=E$1:E4613)))))</f>
        <v> </v>
      </c>
      <c r="L4614" s="27"/>
    </row>
    <row r="4615" spans="1:12">
      <c r="A4615" s="20"/>
    </row>
    <row r="4616" spans="1:12">
      <c r="A4616" s="20" t="s">
        <v>2463</v>
      </c>
    </row>
    <row r="4617" spans="1:12">
      <c r="A4617" s="20" t="s">
        <v>1574</v>
      </c>
      <c r="E4617" s="22">
        <f>IF(D4617="?OLD","!!!","")</f>
        <v/>
      </c>
      <c r="F4617" s="23" t="str">
        <f>IF(OR(E4617="",E4617="!!!"),"",IF(NOT(ISNA(VLOOKUP(E4617,E$1:E4616,1,FALSE()))),"OLD",IF(AND(E4617&lt;&gt;"",E4617&lt;&gt;"!!!"),"NEW","")))</f>
        <v> </v>
      </c>
      <c r="G4617" s="24" t="str">
        <f>IF(OR(E4617="",E4617="!!!"),"",IF(OR(J4617=0,AND(J4617=1,K4617=1),AND(J4617=1,I4617="SBJ"),AND(J4617=1,I4617=0)),"?IN_FOCUS",IF(J4617&lt;=2,"?ACTIVATED",IF(J4617&lt;&gt;"","?FAMILIAR",IF(F4617="NEW",IF(ISNA(VLOOKUP(E4617,#REF!,1,FALSE())),"?TYPE_IDENTIFIABLE","?REFERENTIAL"),"_")))))</f>
        <v> </v>
      </c>
      <c r="H4617" s="25" t="str">
        <f>IF(J4617&lt;&gt;1,"",IF(I4617="SBJ","CB","?"))</f>
        <v> </v>
      </c>
      <c r="I4617" s="26" t="str">
        <f>IF(OR(E4617="",E4617="!!!",F4617="NEW"),"",INDEX(B4616:B$2,-1+SUMPRODUCT(MAX(ROW(E4616:E$2)*(E4617=E4616:E$2)))))</f>
        <v> </v>
      </c>
      <c r="J4617" s="26" t="str">
        <f>IF(OR(E4617="",E4617="!!!",F4617="NEW"),"",COUNTBLANK(OFFSET(A$1,,,SUMPRODUCT(MAX(ROW(E$2:E4617)*(E4617=E$2:E4617)))))-COUNTBLANK(OFFSET(A$1,,,SUMPRODUCT(MAX(ROW(E$1:E4616)*(E2=E$1:E4616))))))</f>
        <v> </v>
      </c>
      <c r="K4617" s="26" t="str">
        <f>IF(OR(E4617="",E4617="!!!",F4617="NEW"),"",INDEX(J$1:J4616,SUMPRODUCT(MAX(ROW(E$1:E4616)*(E4617=E$1:E4616)))))</f>
        <v> </v>
      </c>
      <c r="L4617" s="27"/>
    </row>
    <row r="4618" spans="1:12">
      <c r="A4618" s="20" t="s">
        <v>852</v>
      </c>
      <c r="E4618" s="22">
        <f>IF(D4618="?OLD","!!!","")</f>
        <v/>
      </c>
      <c r="F4618" s="23" t="str">
        <f>IF(OR(E4618="",E4618="!!!"),"",IF(NOT(ISNA(VLOOKUP(E4618,E$1:E4617,1,FALSE()))),"OLD",IF(AND(E4618&lt;&gt;"",E4618&lt;&gt;"!!!"),"NEW","")))</f>
        <v> </v>
      </c>
      <c r="G4618" s="24" t="str">
        <f>IF(OR(E4618="",E4618="!!!"),"",IF(OR(J4618=0,AND(J4618=1,K4618=1),AND(J4618=1,I4618="SBJ"),AND(J4618=1,I4618=0)),"?IN_FOCUS",IF(J4618&lt;=2,"?ACTIVATED",IF(J4618&lt;&gt;"","?FAMILIAR",IF(F4618="NEW",IF(ISNA(VLOOKUP(E4618,#REF!,1,FALSE())),"?TYPE_IDENTIFIABLE","?REFERENTIAL"),"_")))))</f>
        <v> </v>
      </c>
      <c r="H4618" s="25" t="str">
        <f>IF(J4618&lt;&gt;1,"",IF(I4618="SBJ","CB","?"))</f>
        <v> </v>
      </c>
      <c r="I4618" s="26" t="str">
        <f>IF(OR(E4618="",E4618="!!!",F4618="NEW"),"",INDEX(B4617:B$2,-1+SUMPRODUCT(MAX(ROW(E4617:E$2)*(E4618=E4617:E$2)))))</f>
        <v> </v>
      </c>
      <c r="J4618" s="26" t="str">
        <f>IF(OR(E4618="",E4618="!!!",F4618="NEW"),"",COUNTBLANK(OFFSET(A$1,,,SUMPRODUCT(MAX(ROW(E$2:E4618)*(E4618=E$2:E4618)))))-COUNTBLANK(OFFSET(A$1,,,SUMPRODUCT(MAX(ROW(E$1:E4617)*(E2=E$1:E4617))))))</f>
        <v> </v>
      </c>
      <c r="K4618" s="26" t="str">
        <f>IF(OR(E4618="",E4618="!!!",F4618="NEW"),"",INDEX(J$1:J4617,SUMPRODUCT(MAX(ROW(E$1:E4617)*(E4618=E$1:E4617)))))</f>
        <v> </v>
      </c>
      <c r="L4618" s="27"/>
    </row>
    <row r="4619" spans="1:12">
      <c r="A4619" s="20" t="s">
        <v>1167</v>
      </c>
      <c r="B4619" s="21" t="s">
        <v>1165</v>
      </c>
      <c r="C4619" s="21" t="s">
        <v>1168</v>
      </c>
      <c r="D4619" s="21" t="s">
        <v>1144</v>
      </c>
      <c r="E4619" s="22">
        <f>IF(D4619="?OLD","!!!","")</f>
        <v/>
      </c>
      <c r="F4619" s="23" t="str">
        <f>IF(OR(E4619="",E4619="!!!"),"",IF(NOT(ISNA(VLOOKUP(E4619,E$1:E4618,1,FALSE()))),"OLD",IF(AND(E4619&lt;&gt;"",E4619&lt;&gt;"!!!"),"NEW","")))</f>
        <v> </v>
      </c>
      <c r="G4619" s="24" t="str">
        <f>IF(OR(E4619="",E4619="!!!"),"",IF(OR(J4619=0,AND(J4619=1,K4619=1),AND(J4619=1,I4619="SBJ"),AND(J4619=1,I4619=0)),"?IN_FOCUS",IF(J4619&lt;=2,"?ACTIVATED",IF(J4619&lt;&gt;"","?FAMILIAR",IF(F4619="NEW",IF(ISNA(VLOOKUP(E4619,#REF!,1,FALSE())),"?TYPE_IDENTIFIABLE","?REFERENTIAL"),"_")))))</f>
        <v> </v>
      </c>
      <c r="H4619" s="25" t="str">
        <f>IF(J4619&lt;&gt;1,"",IF(I4619="SBJ","CB","?"))</f>
        <v> </v>
      </c>
      <c r="I4619" s="26" t="str">
        <f>IF(OR(E4619="",E4619="!!!",F4619="NEW"),"",INDEX(B4618:B$2,-1+SUMPRODUCT(MAX(ROW(E4618:E$2)*(E4619=E4618:E$2)))))</f>
        <v> </v>
      </c>
      <c r="J4619" s="26" t="str">
        <f>IF(OR(E4619="",E4619="!!!",F4619="NEW"),"",COUNTBLANK(OFFSET(A$1,,,SUMPRODUCT(MAX(ROW(E$2:E4619)*(E4619=E$2:E4619)))))-COUNTBLANK(OFFSET(A$1,,,SUMPRODUCT(MAX(ROW(E$1:E4618)*(E2=E$1:E4618))))))</f>
        <v> </v>
      </c>
      <c r="K4619" s="26" t="str">
        <f>IF(OR(E4619="",E4619="!!!",F4619="NEW"),"",INDEX(J$1:J4618,SUMPRODUCT(MAX(ROW(E$1:E4618)*(E4619=E$1:E4618)))))</f>
        <v> </v>
      </c>
      <c r="L4619" s="27"/>
    </row>
    <row r="4620" spans="1:12">
      <c r="A4620" s="20" t="s">
        <v>1944</v>
      </c>
      <c r="B4620" s="21" t="s">
        <v>1171</v>
      </c>
      <c r="C4620" s="21" t="s">
        <v>1270</v>
      </c>
      <c r="D4620" s="21" t="s">
        <v>1144</v>
      </c>
      <c r="E4620" s="22">
        <f>IF(D4620="?OLD","!!!","")</f>
        <v/>
      </c>
      <c r="F4620" s="23" t="str">
        <f>IF(OR(E4620="",E4620="!!!"),"",IF(NOT(ISNA(VLOOKUP(E4620,E$1:E4619,1,FALSE()))),"OLD",IF(AND(E4620&lt;&gt;"",E4620&lt;&gt;"!!!"),"NEW","")))</f>
        <v> </v>
      </c>
      <c r="G4620" s="24" t="str">
        <f>IF(OR(E4620="",E4620="!!!"),"",IF(OR(J4620=0,AND(J4620=1,K4620=1),AND(J4620=1,I4620="SBJ"),AND(J4620=1,I4620=0)),"?IN_FOCUS",IF(J4620&lt;=2,"?ACTIVATED",IF(J4620&lt;&gt;"","?FAMILIAR",IF(F4620="NEW",IF(ISNA(VLOOKUP(E4620,#REF!,1,FALSE())),"?TYPE_IDENTIFIABLE","?REFERENTIAL"),"_")))))</f>
        <v> </v>
      </c>
      <c r="H4620" s="25" t="str">
        <f>IF(J4620&lt;&gt;1,"",IF(I4620="SBJ","CB","?"))</f>
        <v> </v>
      </c>
      <c r="I4620" s="26" t="str">
        <f>IF(OR(E4620="",E4620="!!!",F4620="NEW"),"",INDEX(B4619:B$2,-1+SUMPRODUCT(MAX(ROW(E4619:E$2)*(E4620=E4619:E$2)))))</f>
        <v> </v>
      </c>
      <c r="J4620" s="26" t="str">
        <f>IF(OR(E4620="",E4620="!!!",F4620="NEW"),"",COUNTBLANK(OFFSET(A$1,,,SUMPRODUCT(MAX(ROW(E$2:E4620)*(E4620=E$2:E4620)))))-COUNTBLANK(OFFSET(A$1,,,SUMPRODUCT(MAX(ROW(E$1:E4619)*(E2=E$1:E4619))))))</f>
        <v> </v>
      </c>
      <c r="K4620" s="26" t="str">
        <f>IF(OR(E4620="",E4620="!!!",F4620="NEW"),"",INDEX(J$1:J4619,SUMPRODUCT(MAX(ROW(E$1:E4619)*(E4620=E$1:E4619)))))</f>
        <v> </v>
      </c>
      <c r="L4620" s="27"/>
    </row>
    <row r="4621" spans="1:12">
      <c r="A4621" s="20" t="s">
        <v>2464</v>
      </c>
      <c r="B4621" s="21" t="s">
        <v>1154</v>
      </c>
      <c r="C4621" s="21" t="s">
        <v>1187</v>
      </c>
      <c r="E4621" s="22">
        <f>IF(D4621="?OLD","!!!","")</f>
        <v/>
      </c>
      <c r="F4621" s="23" t="str">
        <f>IF(OR(E4621="",E4621="!!!"),"",IF(NOT(ISNA(VLOOKUP(E4621,E$1:E4620,1,FALSE()))),"OLD",IF(AND(E4621&lt;&gt;"",E4621&lt;&gt;"!!!"),"NEW","")))</f>
        <v> </v>
      </c>
      <c r="G4621" s="24" t="str">
        <f>IF(OR(E4621="",E4621="!!!"),"",IF(OR(J4621=0,AND(J4621=1,K4621=1),AND(J4621=1,I4621="SBJ"),AND(J4621=1,I4621=0)),"?IN_FOCUS",IF(J4621&lt;=2,"?ACTIVATED",IF(J4621&lt;&gt;"","?FAMILIAR",IF(F4621="NEW",IF(ISNA(VLOOKUP(E4621,#REF!,1,FALSE())),"?TYPE_IDENTIFIABLE","?REFERENTIAL"),"_")))))</f>
        <v> </v>
      </c>
      <c r="H4621" s="25" t="str">
        <f>IF(J4621&lt;&gt;1,"",IF(I4621="SBJ","CB","?"))</f>
        <v> </v>
      </c>
      <c r="I4621" s="26" t="str">
        <f>IF(OR(E4621="",E4621="!!!",F4621="NEW"),"",INDEX(B4620:B$2,-1+SUMPRODUCT(MAX(ROW(E4620:E$2)*(E4621=E4620:E$2)))))</f>
        <v> </v>
      </c>
      <c r="J4621" s="26" t="str">
        <f>IF(OR(E4621="",E4621="!!!",F4621="NEW"),"",COUNTBLANK(OFFSET(A$1,,,SUMPRODUCT(MAX(ROW(E$2:E4621)*(E4621=E$2:E4621)))))-COUNTBLANK(OFFSET(A$1,,,SUMPRODUCT(MAX(ROW(E$1:E4620)*(E2=E$1:E4620))))))</f>
        <v> </v>
      </c>
      <c r="K4621" s="26" t="str">
        <f>IF(OR(E4621="",E4621="!!!",F4621="NEW"),"",INDEX(J$1:J4620,SUMPRODUCT(MAX(ROW(E$1:E4620)*(E4621=E$1:E4620)))))</f>
        <v> </v>
      </c>
      <c r="L4621" s="27"/>
    </row>
    <row r="4622" spans="1:12">
      <c r="A4622" s="20" t="s">
        <v>1354</v>
      </c>
      <c r="E4622" s="22">
        <f>IF(D4622="?OLD","!!!","")</f>
        <v/>
      </c>
      <c r="F4622" s="23" t="str">
        <f>IF(OR(E4622="",E4622="!!!"),"",IF(NOT(ISNA(VLOOKUP(E4622,E$1:E4621,1,FALSE()))),"OLD",IF(AND(E4622&lt;&gt;"",E4622&lt;&gt;"!!!"),"NEW","")))</f>
        <v> </v>
      </c>
      <c r="G4622" s="24" t="str">
        <f>IF(OR(E4622="",E4622="!!!"),"",IF(OR(J4622=0,AND(J4622=1,K4622=1),AND(J4622=1,I4622="SBJ"),AND(J4622=1,I4622=0)),"?IN_FOCUS",IF(J4622&lt;=2,"?ACTIVATED",IF(J4622&lt;&gt;"","?FAMILIAR",IF(F4622="NEW",IF(ISNA(VLOOKUP(E4622,#REF!,1,FALSE())),"?TYPE_IDENTIFIABLE","?REFERENTIAL"),"_")))))</f>
        <v> </v>
      </c>
      <c r="H4622" s="25" t="str">
        <f>IF(J4622&lt;&gt;1,"",IF(I4622="SBJ","CB","?"))</f>
        <v> </v>
      </c>
      <c r="I4622" s="26" t="str">
        <f>IF(OR(E4622="",E4622="!!!",F4622="NEW"),"",INDEX(B4621:B$2,-1+SUMPRODUCT(MAX(ROW(E4621:E$2)*(E4622=E4621:E$2)))))</f>
        <v> </v>
      </c>
      <c r="J4622" s="26" t="str">
        <f>IF(OR(E4622="",E4622="!!!",F4622="NEW"),"",COUNTBLANK(OFFSET(A$1,,,SUMPRODUCT(MAX(ROW(E$2:E4622)*(E4622=E$2:E4622)))))-COUNTBLANK(OFFSET(A$1,,,SUMPRODUCT(MAX(ROW(E$1:E4621)*(E2=E$1:E4621))))))</f>
        <v> </v>
      </c>
      <c r="K4622" s="26" t="str">
        <f>IF(OR(E4622="",E4622="!!!",F4622="NEW"),"",INDEX(J$1:J4621,SUMPRODUCT(MAX(ROW(E$1:E4621)*(E4622=E$1:E4621)))))</f>
        <v> </v>
      </c>
      <c r="L4622" s="27"/>
    </row>
    <row r="4623" spans="1:12">
      <c r="A4623" s="20" t="s">
        <v>1166</v>
      </c>
      <c r="E4623" s="22">
        <f>IF(D4623="?OLD","!!!","")</f>
        <v/>
      </c>
      <c r="F4623" s="23" t="str">
        <f>IF(OR(E4623="",E4623="!!!"),"",IF(NOT(ISNA(VLOOKUP(E4623,E$1:E4622,1,FALSE()))),"OLD",IF(AND(E4623&lt;&gt;"",E4623&lt;&gt;"!!!"),"NEW","")))</f>
        <v> </v>
      </c>
      <c r="G4623" s="24" t="str">
        <f>IF(OR(E4623="",E4623="!!!"),"",IF(OR(J4623=0,AND(J4623=1,K4623=1),AND(J4623=1,I4623="SBJ"),AND(J4623=1,I4623=0)),"?IN_FOCUS",IF(J4623&lt;=2,"?ACTIVATED",IF(J4623&lt;&gt;"","?FAMILIAR",IF(F4623="NEW",IF(ISNA(VLOOKUP(E4623,#REF!,1,FALSE())),"?TYPE_IDENTIFIABLE","?REFERENTIAL"),"_")))))</f>
        <v> </v>
      </c>
      <c r="H4623" s="25" t="str">
        <f>IF(J4623&lt;&gt;1,"",IF(I4623="SBJ","CB","?"))</f>
        <v> </v>
      </c>
      <c r="I4623" s="26" t="str">
        <f>IF(OR(E4623="",E4623="!!!",F4623="NEW"),"",INDEX(B4622:B$2,-1+SUMPRODUCT(MAX(ROW(E4622:E$2)*(E4623=E4622:E$2)))))</f>
        <v> </v>
      </c>
      <c r="J4623" s="26" t="str">
        <f>IF(OR(E4623="",E4623="!!!",F4623="NEW"),"",COUNTBLANK(OFFSET(A$1,,,SUMPRODUCT(MAX(ROW(E$2:E4623)*(E4623=E$2:E4623)))))-COUNTBLANK(OFFSET(A$1,,,SUMPRODUCT(MAX(ROW(E$1:E4622)*(E2=E$1:E4622))))))</f>
        <v> </v>
      </c>
      <c r="K4623" s="26" t="str">
        <f>IF(OR(E4623="",E4623="!!!",F4623="NEW"),"",INDEX(J$1:J4622,SUMPRODUCT(MAX(ROW(E$1:E4622)*(E4623=E$1:E4622)))))</f>
        <v> </v>
      </c>
      <c r="L4623" s="27"/>
    </row>
    <row r="4624" spans="1:12">
      <c r="A4624" s="20" t="s">
        <v>1371</v>
      </c>
      <c r="B4624" s="21" t="s">
        <v>1150</v>
      </c>
      <c r="E4624" s="22">
        <f>IF(D4624="?OLD","!!!","")</f>
        <v/>
      </c>
      <c r="F4624" s="23" t="str">
        <f>IF(OR(E4624="",E4624="!!!"),"",IF(NOT(ISNA(VLOOKUP(E4624,E$1:E4623,1,FALSE()))),"OLD",IF(AND(E4624&lt;&gt;"",E4624&lt;&gt;"!!!"),"NEW","")))</f>
        <v> </v>
      </c>
      <c r="G4624" s="24" t="str">
        <f>IF(OR(E4624="",E4624="!!!"),"",IF(OR(J4624=0,AND(J4624=1,K4624=1),AND(J4624=1,I4624="SBJ"),AND(J4624=1,I4624=0)),"?IN_FOCUS",IF(J4624&lt;=2,"?ACTIVATED",IF(J4624&lt;&gt;"","?FAMILIAR",IF(F4624="NEW",IF(ISNA(VLOOKUP(E4624,#REF!,1,FALSE())),"?TYPE_IDENTIFIABLE","?REFERENTIAL"),"_")))))</f>
        <v> </v>
      </c>
      <c r="H4624" s="25" t="str">
        <f>IF(J4624&lt;&gt;1,"",IF(I4624="SBJ","CB","?"))</f>
        <v> </v>
      </c>
      <c r="I4624" s="26" t="str">
        <f>IF(OR(E4624="",E4624="!!!",F4624="NEW"),"",INDEX(B4623:B$2,-1+SUMPRODUCT(MAX(ROW(E4623:E$2)*(E4624=E4623:E$2)))))</f>
        <v> </v>
      </c>
      <c r="J4624" s="26" t="str">
        <f>IF(OR(E4624="",E4624="!!!",F4624="NEW"),"",COUNTBLANK(OFFSET(A$1,,,SUMPRODUCT(MAX(ROW(E$2:E4624)*(E4624=E$2:E4624)))))-COUNTBLANK(OFFSET(A$1,,,SUMPRODUCT(MAX(ROW(E$1:E4623)*(E2=E$1:E4623))))))</f>
        <v> </v>
      </c>
      <c r="K4624" s="26" t="str">
        <f>IF(OR(E4624="",E4624="!!!",F4624="NEW"),"",INDEX(J$1:J4623,SUMPRODUCT(MAX(ROW(E$1:E4623)*(E4624=E$1:E4623)))))</f>
        <v> </v>
      </c>
      <c r="L4624" s="27"/>
    </row>
    <row r="4625" spans="1:12">
      <c r="A4625" s="20" t="s">
        <v>1518</v>
      </c>
      <c r="E4625" s="22">
        <f>IF(D4625="?OLD","!!!","")</f>
        <v/>
      </c>
      <c r="F4625" s="23" t="str">
        <f>IF(OR(E4625="",E4625="!!!"),"",IF(NOT(ISNA(VLOOKUP(E4625,E$1:E4624,1,FALSE()))),"OLD",IF(AND(E4625&lt;&gt;"",E4625&lt;&gt;"!!!"),"NEW","")))</f>
        <v> </v>
      </c>
      <c r="G4625" s="24" t="str">
        <f>IF(OR(E4625="",E4625="!!!"),"",IF(OR(J4625=0,AND(J4625=1,K4625=1),AND(J4625=1,I4625="SBJ"),AND(J4625=1,I4625=0)),"?IN_FOCUS",IF(J4625&lt;=2,"?ACTIVATED",IF(J4625&lt;&gt;"","?FAMILIAR",IF(F4625="NEW",IF(ISNA(VLOOKUP(E4625,#REF!,1,FALSE())),"?TYPE_IDENTIFIABLE","?REFERENTIAL"),"_")))))</f>
        <v> </v>
      </c>
      <c r="H4625" s="25" t="str">
        <f>IF(J4625&lt;&gt;1,"",IF(I4625="SBJ","CB","?"))</f>
        <v> </v>
      </c>
      <c r="I4625" s="26" t="str">
        <f>IF(OR(E4625="",E4625="!!!",F4625="NEW"),"",INDEX(B4624:B$2,-1+SUMPRODUCT(MAX(ROW(E4624:E$2)*(E4625=E4624:E$2)))))</f>
        <v> </v>
      </c>
      <c r="J4625" s="26" t="str">
        <f>IF(OR(E4625="",E4625="!!!",F4625="NEW"),"",COUNTBLANK(OFFSET(A$1,,,SUMPRODUCT(MAX(ROW(E$2:E4625)*(E4625=E$2:E4625)))))-COUNTBLANK(OFFSET(A$1,,,SUMPRODUCT(MAX(ROW(E$1:E4624)*(E2=E$1:E4624))))))</f>
        <v> </v>
      </c>
      <c r="K4625" s="26" t="str">
        <f>IF(OR(E4625="",E4625="!!!",F4625="NEW"),"",INDEX(J$1:J4624,SUMPRODUCT(MAX(ROW(E$1:E4624)*(E4625=E$1:E4624)))))</f>
        <v> </v>
      </c>
      <c r="L4625" s="27"/>
    </row>
    <row r="4626" spans="1:12">
      <c r="A4626" s="20" t="s">
        <v>1278</v>
      </c>
      <c r="B4626" s="21" t="s">
        <v>1171</v>
      </c>
      <c r="C4626" s="21" t="s">
        <v>1168</v>
      </c>
      <c r="D4626" s="21" t="s">
        <v>1144</v>
      </c>
      <c r="E4626" s="22">
        <f>IF(D4626="?OLD","!!!","")</f>
        <v/>
      </c>
      <c r="F4626" s="23" t="str">
        <f>IF(OR(E4626="",E4626="!!!"),"",IF(NOT(ISNA(VLOOKUP(E4626,E$1:E4625,1,FALSE()))),"OLD",IF(AND(E4626&lt;&gt;"",E4626&lt;&gt;"!!!"),"NEW","")))</f>
        <v> </v>
      </c>
      <c r="G4626" s="24" t="str">
        <f>IF(OR(E4626="",E4626="!!!"),"",IF(OR(J4626=0,AND(J4626=1,K4626=1),AND(J4626=1,I4626="SBJ"),AND(J4626=1,I4626=0)),"?IN_FOCUS",IF(J4626&lt;=2,"?ACTIVATED",IF(J4626&lt;&gt;"","?FAMILIAR",IF(F4626="NEW",IF(ISNA(VLOOKUP(E4626,#REF!,1,FALSE())),"?TYPE_IDENTIFIABLE","?REFERENTIAL"),"_")))))</f>
        <v> </v>
      </c>
      <c r="H4626" s="25" t="str">
        <f>IF(J4626&lt;&gt;1,"",IF(I4626="SBJ","CB","?"))</f>
        <v> </v>
      </c>
      <c r="I4626" s="26" t="str">
        <f>IF(OR(E4626="",E4626="!!!",F4626="NEW"),"",INDEX(B4625:B$2,-1+SUMPRODUCT(MAX(ROW(E4625:E$2)*(E4626=E4625:E$2)))))</f>
        <v> </v>
      </c>
      <c r="J4626" s="26" t="str">
        <f>IF(OR(E4626="",E4626="!!!",F4626="NEW"),"",COUNTBLANK(OFFSET(A$1,,,SUMPRODUCT(MAX(ROW(E$2:E4626)*(E4626=E$2:E4626)))))-COUNTBLANK(OFFSET(A$1,,,SUMPRODUCT(MAX(ROW(E$1:E4625)*(E2=E$1:E4625))))))</f>
        <v> </v>
      </c>
      <c r="K4626" s="26" t="str">
        <f>IF(OR(E4626="",E4626="!!!",F4626="NEW"),"",INDEX(J$1:J4625,SUMPRODUCT(MAX(ROW(E$1:E4625)*(E4626=E$1:E4625)))))</f>
        <v> </v>
      </c>
      <c r="L4626" s="27"/>
    </row>
    <row r="4627" spans="1:12">
      <c r="A4627" s="20" t="s">
        <v>1308</v>
      </c>
      <c r="E4627" s="22">
        <f>IF(D4627="?OLD","!!!","")</f>
        <v/>
      </c>
      <c r="F4627" s="23" t="str">
        <f>IF(OR(E4627="",E4627="!!!"),"",IF(NOT(ISNA(VLOOKUP(E4627,E$1:E4626,1,FALSE()))),"OLD",IF(AND(E4627&lt;&gt;"",E4627&lt;&gt;"!!!"),"NEW","")))</f>
        <v> </v>
      </c>
      <c r="G4627" s="24" t="str">
        <f>IF(OR(E4627="",E4627="!!!"),"",IF(OR(J4627=0,AND(J4627=1,K4627=1),AND(J4627=1,I4627="SBJ"),AND(J4627=1,I4627=0)),"?IN_FOCUS",IF(J4627&lt;=2,"?ACTIVATED",IF(J4627&lt;&gt;"","?FAMILIAR",IF(F4627="NEW",IF(ISNA(VLOOKUP(E4627,#REF!,1,FALSE())),"?TYPE_IDENTIFIABLE","?REFERENTIAL"),"_")))))</f>
        <v> </v>
      </c>
      <c r="H4627" s="25" t="str">
        <f>IF(J4627&lt;&gt;1,"",IF(I4627="SBJ","CB","?"))</f>
        <v> </v>
      </c>
      <c r="I4627" s="26" t="str">
        <f>IF(OR(E4627="",E4627="!!!",F4627="NEW"),"",INDEX(B4626:B$2,-1+SUMPRODUCT(MAX(ROW(E4626:E$2)*(E4627=E4626:E$2)))))</f>
        <v> </v>
      </c>
      <c r="J4627" s="26" t="str">
        <f>IF(OR(E4627="",E4627="!!!",F4627="NEW"),"",COUNTBLANK(OFFSET(A$1,,,SUMPRODUCT(MAX(ROW(E$2:E4627)*(E4627=E$2:E4627)))))-COUNTBLANK(OFFSET(A$1,,,SUMPRODUCT(MAX(ROW(E$1:E4626)*(E2=E$1:E4626))))))</f>
        <v> </v>
      </c>
      <c r="K4627" s="26" t="str">
        <f>IF(OR(E4627="",E4627="!!!",F4627="NEW"),"",INDEX(J$1:J4626,SUMPRODUCT(MAX(ROW(E$1:E4626)*(E4627=E$1:E4626)))))</f>
        <v> </v>
      </c>
      <c r="L4627" s="27"/>
    </row>
    <row r="4628" spans="1:12">
      <c r="A4628" s="20" t="s">
        <v>2461</v>
      </c>
      <c r="E4628" s="22">
        <f>IF(D4628="?OLD","!!!","")</f>
        <v/>
      </c>
      <c r="F4628" s="23" t="str">
        <f>IF(OR(E4628="",E4628="!!!"),"",IF(NOT(ISNA(VLOOKUP(E4628,E$1:E4627,1,FALSE()))),"OLD",IF(AND(E4628&lt;&gt;"",E4628&lt;&gt;"!!!"),"NEW","")))</f>
        <v> </v>
      </c>
      <c r="G4628" s="24" t="str">
        <f>IF(OR(E4628="",E4628="!!!"),"",IF(OR(J4628=0,AND(J4628=1,K4628=1),AND(J4628=1,I4628="SBJ"),AND(J4628=1,I4628=0)),"?IN_FOCUS",IF(J4628&lt;=2,"?ACTIVATED",IF(J4628&lt;&gt;"","?FAMILIAR",IF(F4628="NEW",IF(ISNA(VLOOKUP(E4628,#REF!,1,FALSE())),"?TYPE_IDENTIFIABLE","?REFERENTIAL"),"_")))))</f>
        <v> </v>
      </c>
      <c r="H4628" s="25" t="str">
        <f>IF(J4628&lt;&gt;1,"",IF(I4628="SBJ","CB","?"))</f>
        <v> </v>
      </c>
      <c r="I4628" s="26" t="str">
        <f>IF(OR(E4628="",E4628="!!!",F4628="NEW"),"",INDEX(B4627:B$2,-1+SUMPRODUCT(MAX(ROW(E4627:E$2)*(E4628=E4627:E$2)))))</f>
        <v> </v>
      </c>
      <c r="J4628" s="26" t="str">
        <f>IF(OR(E4628="",E4628="!!!",F4628="NEW"),"",COUNTBLANK(OFFSET(A$1,,,SUMPRODUCT(MAX(ROW(E$2:E4628)*(E4628=E$2:E4628)))))-COUNTBLANK(OFFSET(A$1,,,SUMPRODUCT(MAX(ROW(E$1:E4627)*(E2=E$1:E4627))))))</f>
        <v> </v>
      </c>
      <c r="K4628" s="26" t="str">
        <f>IF(OR(E4628="",E4628="!!!",F4628="NEW"),"",INDEX(J$1:J4627,SUMPRODUCT(MAX(ROW(E$1:E4627)*(E4628=E$1:E4627)))))</f>
        <v> </v>
      </c>
      <c r="L4628" s="27"/>
    </row>
    <row r="4629" spans="1:12">
      <c r="A4629" s="20" t="s">
        <v>1203</v>
      </c>
      <c r="E4629" s="22">
        <f>IF(D4629="?OLD","!!!","")</f>
        <v/>
      </c>
      <c r="F4629" s="23" t="str">
        <f>IF(OR(E4629="",E4629="!!!"),"",IF(NOT(ISNA(VLOOKUP(E4629,E$1:E4628,1,FALSE()))),"OLD",IF(AND(E4629&lt;&gt;"",E4629&lt;&gt;"!!!"),"NEW","")))</f>
        <v> </v>
      </c>
      <c r="G4629" s="24" t="str">
        <f>IF(OR(E4629="",E4629="!!!"),"",IF(OR(J4629=0,AND(J4629=1,K4629=1),AND(J4629=1,I4629="SBJ"),AND(J4629=1,I4629=0)),"?IN_FOCUS",IF(J4629&lt;=2,"?ACTIVATED",IF(J4629&lt;&gt;"","?FAMILIAR",IF(F4629="NEW",IF(ISNA(VLOOKUP(E4629,#REF!,1,FALSE())),"?TYPE_IDENTIFIABLE","?REFERENTIAL"),"_")))))</f>
        <v> </v>
      </c>
      <c r="H4629" s="25" t="str">
        <f>IF(J4629&lt;&gt;1,"",IF(I4629="SBJ","CB","?"))</f>
        <v> </v>
      </c>
      <c r="I4629" s="26" t="str">
        <f>IF(OR(E4629="",E4629="!!!",F4629="NEW"),"",INDEX(B4628:B$2,-1+SUMPRODUCT(MAX(ROW(E4628:E$2)*(E4629=E4628:E$2)))))</f>
        <v> </v>
      </c>
      <c r="J4629" s="26" t="str">
        <f>IF(OR(E4629="",E4629="!!!",F4629="NEW"),"",COUNTBLANK(OFFSET(A$1,,,SUMPRODUCT(MAX(ROW(E$2:E4629)*(E4629=E$2:E4629)))))-COUNTBLANK(OFFSET(A$1,,,SUMPRODUCT(MAX(ROW(E$1:E4628)*(E2=E$1:E4628))))))</f>
        <v> </v>
      </c>
      <c r="K4629" s="26" t="str">
        <f>IF(OR(E4629="",E4629="!!!",F4629="NEW"),"",INDEX(J$1:J4628,SUMPRODUCT(MAX(ROW(E$1:E4628)*(E4629=E$1:E4628)))))</f>
        <v> </v>
      </c>
      <c r="L4629" s="27"/>
    </row>
    <row r="4630" spans="1:12">
      <c r="A4630" s="20" t="s">
        <v>1278</v>
      </c>
      <c r="B4630" s="21" t="s">
        <v>1175</v>
      </c>
      <c r="C4630" s="21" t="s">
        <v>1168</v>
      </c>
      <c r="D4630" s="21" t="s">
        <v>1144</v>
      </c>
      <c r="E4630" s="22">
        <f>IF(D4630="?OLD","!!!","")</f>
        <v/>
      </c>
      <c r="F4630" s="23" t="str">
        <f>IF(OR(E4630="",E4630="!!!"),"",IF(NOT(ISNA(VLOOKUP(E4630,E$1:E4629,1,FALSE()))),"OLD",IF(AND(E4630&lt;&gt;"",E4630&lt;&gt;"!!!"),"NEW","")))</f>
        <v> </v>
      </c>
      <c r="G4630" s="24" t="str">
        <f>IF(OR(E4630="",E4630="!!!"),"",IF(OR(J4630=0,AND(J4630=1,K4630=1),AND(J4630=1,I4630="SBJ"),AND(J4630=1,I4630=0)),"?IN_FOCUS",IF(J4630&lt;=2,"?ACTIVATED",IF(J4630&lt;&gt;"","?FAMILIAR",IF(F4630="NEW",IF(ISNA(VLOOKUP(E4630,#REF!,1,FALSE())),"?TYPE_IDENTIFIABLE","?REFERENTIAL"),"_")))))</f>
        <v> </v>
      </c>
      <c r="H4630" s="25" t="str">
        <f>IF(J4630&lt;&gt;1,"",IF(I4630="SBJ","CB","?"))</f>
        <v> </v>
      </c>
      <c r="I4630" s="26" t="str">
        <f>IF(OR(E4630="",E4630="!!!",F4630="NEW"),"",INDEX(B4629:B$2,-1+SUMPRODUCT(MAX(ROW(E4629:E$2)*(E4630=E4629:E$2)))))</f>
        <v> </v>
      </c>
      <c r="J4630" s="26" t="str">
        <f>IF(OR(E4630="",E4630="!!!",F4630="NEW"),"",COUNTBLANK(OFFSET(A$1,,,SUMPRODUCT(MAX(ROW(E$2:E4630)*(E4630=E$2:E4630)))))-COUNTBLANK(OFFSET(A$1,,,SUMPRODUCT(MAX(ROW(E$1:E4629)*(E2=E$1:E4629))))))</f>
        <v> </v>
      </c>
      <c r="K4630" s="26" t="str">
        <f>IF(OR(E4630="",E4630="!!!",F4630="NEW"),"",INDEX(J$1:J4629,SUMPRODUCT(MAX(ROW(E$1:E4629)*(E4630=E$1:E4629)))))</f>
        <v> </v>
      </c>
      <c r="L4630" s="27"/>
    </row>
    <row r="4631" spans="1:12">
      <c r="A4631" s="20" t="s">
        <v>1387</v>
      </c>
      <c r="E4631" s="22">
        <f>IF(D4631="?OLD","!!!","")</f>
        <v/>
      </c>
      <c r="F4631" s="23" t="str">
        <f>IF(OR(E4631="",E4631="!!!"),"",IF(NOT(ISNA(VLOOKUP(E4631,E$1:E4630,1,FALSE()))),"OLD",IF(AND(E4631&lt;&gt;"",E4631&lt;&gt;"!!!"),"NEW","")))</f>
        <v> </v>
      </c>
      <c r="G4631" s="24" t="str">
        <f>IF(OR(E4631="",E4631="!!!"),"",IF(OR(J4631=0,AND(J4631=1,K4631=1),AND(J4631=1,I4631="SBJ"),AND(J4631=1,I4631=0)),"?IN_FOCUS",IF(J4631&lt;=2,"?ACTIVATED",IF(J4631&lt;&gt;"","?FAMILIAR",IF(F4631="NEW",IF(ISNA(VLOOKUP(E4631,#REF!,1,FALSE())),"?TYPE_IDENTIFIABLE","?REFERENTIAL"),"_")))))</f>
        <v> </v>
      </c>
      <c r="H4631" s="25" t="str">
        <f>IF(J4631&lt;&gt;1,"",IF(I4631="SBJ","CB","?"))</f>
        <v> </v>
      </c>
      <c r="I4631" s="26" t="str">
        <f>IF(OR(E4631="",E4631="!!!",F4631="NEW"),"",INDEX(B4630:B$2,-1+SUMPRODUCT(MAX(ROW(E4630:E$2)*(E4631=E4630:E$2)))))</f>
        <v> </v>
      </c>
      <c r="J4631" s="26" t="str">
        <f>IF(OR(E4631="",E4631="!!!",F4631="NEW"),"",COUNTBLANK(OFFSET(A$1,,,SUMPRODUCT(MAX(ROW(E$2:E4631)*(E4631=E$2:E4631)))))-COUNTBLANK(OFFSET(A$1,,,SUMPRODUCT(MAX(ROW(E$1:E4630)*(E2=E$1:E4630))))))</f>
        <v> </v>
      </c>
      <c r="K4631" s="26" t="str">
        <f>IF(OR(E4631="",E4631="!!!",F4631="NEW"),"",INDEX(J$1:J4630,SUMPRODUCT(MAX(ROW(E$1:E4630)*(E4631=E$1:E4630)))))</f>
        <v> </v>
      </c>
      <c r="L4631" s="27"/>
    </row>
    <row r="4632" spans="1:12">
      <c r="A4632" s="20" t="s">
        <v>2465</v>
      </c>
      <c r="B4632" s="21" t="s">
        <v>1147</v>
      </c>
      <c r="C4632" s="21" t="s">
        <v>1187</v>
      </c>
      <c r="E4632" s="22">
        <f>IF(D4632="?OLD","!!!","")</f>
        <v/>
      </c>
      <c r="F4632" s="23" t="str">
        <f>IF(OR(E4632="",E4632="!!!"),"",IF(NOT(ISNA(VLOOKUP(E4632,E$1:E4631,1,FALSE()))),"OLD",IF(AND(E4632&lt;&gt;"",E4632&lt;&gt;"!!!"),"NEW","")))</f>
        <v> </v>
      </c>
      <c r="G4632" s="24" t="str">
        <f>IF(OR(E4632="",E4632="!!!"),"",IF(OR(J4632=0,AND(J4632=1,K4632=1),AND(J4632=1,I4632="SBJ"),AND(J4632=1,I4632=0)),"?IN_FOCUS",IF(J4632&lt;=2,"?ACTIVATED",IF(J4632&lt;&gt;"","?FAMILIAR",IF(F4632="NEW",IF(ISNA(VLOOKUP(E4632,#REF!,1,FALSE())),"?TYPE_IDENTIFIABLE","?REFERENTIAL"),"_")))))</f>
        <v> </v>
      </c>
      <c r="H4632" s="25" t="str">
        <f>IF(J4632&lt;&gt;1,"",IF(I4632="SBJ","CB","?"))</f>
        <v> </v>
      </c>
      <c r="I4632" s="26" t="str">
        <f>IF(OR(E4632="",E4632="!!!",F4632="NEW"),"",INDEX(B4631:B$2,-1+SUMPRODUCT(MAX(ROW(E4631:E$2)*(E4632=E4631:E$2)))))</f>
        <v> </v>
      </c>
      <c r="J4632" s="26" t="str">
        <f>IF(OR(E4632="",E4632="!!!",F4632="NEW"),"",COUNTBLANK(OFFSET(A$1,,,SUMPRODUCT(MAX(ROW(E$2:E4632)*(E4632=E$2:E4632)))))-COUNTBLANK(OFFSET(A$1,,,SUMPRODUCT(MAX(ROW(E$1:E4631)*(E2=E$1:E4631))))))</f>
        <v> </v>
      </c>
      <c r="K4632" s="26" t="str">
        <f>IF(OR(E4632="",E4632="!!!",F4632="NEW"),"",INDEX(J$1:J4631,SUMPRODUCT(MAX(ROW(E$1:E4631)*(E4632=E$1:E4631)))))</f>
        <v> </v>
      </c>
      <c r="L4632" s="27"/>
    </row>
    <row r="4633" spans="1:12">
      <c r="A4633" s="20" t="s">
        <v>2466</v>
      </c>
      <c r="E4633" s="22">
        <f>IF(D4633="?OLD","!!!","")</f>
        <v/>
      </c>
      <c r="F4633" s="23" t="str">
        <f>IF(OR(E4633="",E4633="!!!"),"",IF(NOT(ISNA(VLOOKUP(E4633,E$1:E4632,1,FALSE()))),"OLD",IF(AND(E4633&lt;&gt;"",E4633&lt;&gt;"!!!"),"NEW","")))</f>
        <v> </v>
      </c>
      <c r="G4633" s="24" t="str">
        <f>IF(OR(E4633="",E4633="!!!"),"",IF(OR(J4633=0,AND(J4633=1,K4633=1),AND(J4633=1,I4633="SBJ"),AND(J4633=1,I4633=0)),"?IN_FOCUS",IF(J4633&lt;=2,"?ACTIVATED",IF(J4633&lt;&gt;"","?FAMILIAR",IF(F4633="NEW",IF(ISNA(VLOOKUP(E4633,#REF!,1,FALSE())),"?TYPE_IDENTIFIABLE","?REFERENTIAL"),"_")))))</f>
        <v> </v>
      </c>
      <c r="H4633" s="25" t="str">
        <f>IF(J4633&lt;&gt;1,"",IF(I4633="SBJ","CB","?"))</f>
        <v> </v>
      </c>
      <c r="I4633" s="26" t="str">
        <f>IF(OR(E4633="",E4633="!!!",F4633="NEW"),"",INDEX(B4632:B$2,-1+SUMPRODUCT(MAX(ROW(E4632:E$2)*(E4633=E4632:E$2)))))</f>
        <v> </v>
      </c>
      <c r="J4633" s="26" t="str">
        <f>IF(OR(E4633="",E4633="!!!",F4633="NEW"),"",COUNTBLANK(OFFSET(A$1,,,SUMPRODUCT(MAX(ROW(E$2:E4633)*(E4633=E$2:E4633)))))-COUNTBLANK(OFFSET(A$1,,,SUMPRODUCT(MAX(ROW(E$1:E4632)*(E2=E$1:E4632))))))</f>
        <v> </v>
      </c>
      <c r="K4633" s="26" t="str">
        <f>IF(OR(E4633="",E4633="!!!",F4633="NEW"),"",INDEX(J$1:J4632,SUMPRODUCT(MAX(ROW(E$1:E4632)*(E4633=E$1:E4632)))))</f>
        <v> </v>
      </c>
      <c r="L4633" s="27"/>
    </row>
    <row r="4634" spans="1:12">
      <c r="A4634" s="20" t="s">
        <v>1263</v>
      </c>
      <c r="E4634" s="22">
        <f>IF(D4634="?OLD","!!!","")</f>
        <v/>
      </c>
      <c r="F4634" s="23" t="str">
        <f>IF(OR(E4634="",E4634="!!!"),"",IF(NOT(ISNA(VLOOKUP(E4634,E$1:E4633,1,FALSE()))),"OLD",IF(AND(E4634&lt;&gt;"",E4634&lt;&gt;"!!!"),"NEW","")))</f>
        <v> </v>
      </c>
      <c r="G4634" s="24" t="str">
        <f>IF(OR(E4634="",E4634="!!!"),"",IF(OR(J4634=0,AND(J4634=1,K4634=1),AND(J4634=1,I4634="SBJ"),AND(J4634=1,I4634=0)),"?IN_FOCUS",IF(J4634&lt;=2,"?ACTIVATED",IF(J4634&lt;&gt;"","?FAMILIAR",IF(F4634="NEW",IF(ISNA(VLOOKUP(E4634,#REF!,1,FALSE())),"?TYPE_IDENTIFIABLE","?REFERENTIAL"),"_")))))</f>
        <v> </v>
      </c>
      <c r="H4634" s="25" t="str">
        <f>IF(J4634&lt;&gt;1,"",IF(I4634="SBJ","CB","?"))</f>
        <v> </v>
      </c>
      <c r="I4634" s="26" t="str">
        <f>IF(OR(E4634="",E4634="!!!",F4634="NEW"),"",INDEX(B4633:B$2,-1+SUMPRODUCT(MAX(ROW(E4633:E$2)*(E4634=E4633:E$2)))))</f>
        <v> </v>
      </c>
      <c r="J4634" s="26" t="str">
        <f>IF(OR(E4634="",E4634="!!!",F4634="NEW"),"",COUNTBLANK(OFFSET(A$1,,,SUMPRODUCT(MAX(ROW(E$2:E4634)*(E4634=E$2:E4634)))))-COUNTBLANK(OFFSET(A$1,,,SUMPRODUCT(MAX(ROW(E$1:E4633)*(E2=E$1:E4633))))))</f>
        <v> </v>
      </c>
      <c r="K4634" s="26" t="str">
        <f>IF(OR(E4634="",E4634="!!!",F4634="NEW"),"",INDEX(J$1:J4633,SUMPRODUCT(MAX(ROW(E$1:E4633)*(E4634=E$1:E4633)))))</f>
        <v> </v>
      </c>
      <c r="L4634" s="27"/>
    </row>
    <row r="4635" spans="1:12">
      <c r="A4635" s="20"/>
    </row>
    <row r="4636" spans="1:12">
      <c r="A4636" s="20" t="s">
        <v>2467</v>
      </c>
    </row>
    <row r="4637" spans="1:12">
      <c r="A4637" s="20" t="s">
        <v>1662</v>
      </c>
      <c r="E4637" s="22">
        <f>IF(D4637="?OLD","!!!","")</f>
        <v/>
      </c>
      <c r="F4637" s="23" t="str">
        <f>IF(OR(E4637="",E4637="!!!"),"",IF(NOT(ISNA(VLOOKUP(E4637,E$1:E4636,1,FALSE()))),"OLD",IF(AND(E4637&lt;&gt;"",E4637&lt;&gt;"!!!"),"NEW","")))</f>
        <v> </v>
      </c>
      <c r="G4637" s="24" t="str">
        <f>IF(OR(E4637="",E4637="!!!"),"",IF(OR(J4637=0,AND(J4637=1,K4637=1),AND(J4637=1,I4637="SBJ"),AND(J4637=1,I4637=0)),"?IN_FOCUS",IF(J4637&lt;=2,"?ACTIVATED",IF(J4637&lt;&gt;"","?FAMILIAR",IF(F4637="NEW",IF(ISNA(VLOOKUP(E4637,#REF!,1,FALSE())),"?TYPE_IDENTIFIABLE","?REFERENTIAL"),"_")))))</f>
        <v> </v>
      </c>
      <c r="H4637" s="25" t="str">
        <f>IF(J4637&lt;&gt;1,"",IF(I4637="SBJ","CB","?"))</f>
        <v> </v>
      </c>
      <c r="I4637" s="26" t="str">
        <f>IF(OR(E4637="",E4637="!!!",F4637="NEW"),"",INDEX(B4636:B$2,-1+SUMPRODUCT(MAX(ROW(E4636:E$2)*(E4637=E4636:E$2)))))</f>
        <v> </v>
      </c>
      <c r="J4637" s="26" t="str">
        <f>IF(OR(E4637="",E4637="!!!",F4637="NEW"),"",COUNTBLANK(OFFSET(A$1,,,SUMPRODUCT(MAX(ROW(E$2:E4637)*(E4637=E$2:E4637)))))-COUNTBLANK(OFFSET(A$1,,,SUMPRODUCT(MAX(ROW(E$1:E4636)*(E2=E$1:E4636))))))</f>
        <v> </v>
      </c>
      <c r="K4637" s="26" t="str">
        <f>IF(OR(E4637="",E4637="!!!",F4637="NEW"),"",INDEX(J$1:J4636,SUMPRODUCT(MAX(ROW(E$1:E4636)*(E4637=E$1:E4636)))))</f>
        <v> </v>
      </c>
      <c r="L4637" s="27"/>
    </row>
    <row r="4638" spans="1:12">
      <c r="A4638" s="20" t="s">
        <v>1397</v>
      </c>
      <c r="E4638" s="22">
        <f>IF(D4638="?OLD","!!!","")</f>
        <v/>
      </c>
      <c r="F4638" s="23" t="str">
        <f>IF(OR(E4638="",E4638="!!!"),"",IF(NOT(ISNA(VLOOKUP(E4638,E$1:E4637,1,FALSE()))),"OLD",IF(AND(E4638&lt;&gt;"",E4638&lt;&gt;"!!!"),"NEW","")))</f>
        <v> </v>
      </c>
      <c r="G4638" s="24" t="str">
        <f>IF(OR(E4638="",E4638="!!!"),"",IF(OR(J4638=0,AND(J4638=1,K4638=1),AND(J4638=1,I4638="SBJ"),AND(J4638=1,I4638=0)),"?IN_FOCUS",IF(J4638&lt;=2,"?ACTIVATED",IF(J4638&lt;&gt;"","?FAMILIAR",IF(F4638="NEW",IF(ISNA(VLOOKUP(E4638,#REF!,1,FALSE())),"?TYPE_IDENTIFIABLE","?REFERENTIAL"),"_")))))</f>
        <v> </v>
      </c>
      <c r="H4638" s="25" t="str">
        <f>IF(J4638&lt;&gt;1,"",IF(I4638="SBJ","CB","?"))</f>
        <v> </v>
      </c>
      <c r="I4638" s="26" t="str">
        <f>IF(OR(E4638="",E4638="!!!",F4638="NEW"),"",INDEX(B4637:B$2,-1+SUMPRODUCT(MAX(ROW(E4637:E$2)*(E4638=E4637:E$2)))))</f>
        <v> </v>
      </c>
      <c r="J4638" s="26" t="str">
        <f>IF(OR(E4638="",E4638="!!!",F4638="NEW"),"",COUNTBLANK(OFFSET(A$1,,,SUMPRODUCT(MAX(ROW(E$2:E4638)*(E4638=E$2:E4638)))))-COUNTBLANK(OFFSET(A$1,,,SUMPRODUCT(MAX(ROW(E$1:E4637)*(E2=E$1:E4637))))))</f>
        <v> </v>
      </c>
      <c r="K4638" s="26" t="str">
        <f>IF(OR(E4638="",E4638="!!!",F4638="NEW"),"",INDEX(J$1:J4637,SUMPRODUCT(MAX(ROW(E$1:E4637)*(E4638=E$1:E4637)))))</f>
        <v> </v>
      </c>
      <c r="L4638" s="27"/>
    </row>
    <row r="4639" spans="1:12">
      <c r="A4639" s="20" t="s">
        <v>1261</v>
      </c>
      <c r="B4639" s="21" t="s">
        <v>1165</v>
      </c>
      <c r="C4639" s="21" t="s">
        <v>1151</v>
      </c>
      <c r="D4639" s="21" t="s">
        <v>1144</v>
      </c>
      <c r="E4639" s="22">
        <f>IF(D4639="?OLD","!!!","")</f>
        <v/>
      </c>
      <c r="F4639" s="23" t="str">
        <f>IF(OR(E4639="",E4639="!!!"),"",IF(NOT(ISNA(VLOOKUP(E4639,E$1:E4638,1,FALSE()))),"OLD",IF(AND(E4639&lt;&gt;"",E4639&lt;&gt;"!!!"),"NEW","")))</f>
        <v> </v>
      </c>
      <c r="G4639" s="24" t="str">
        <f>IF(OR(E4639="",E4639="!!!"),"",IF(OR(J4639=0,AND(J4639=1,K4639=1),AND(J4639=1,I4639="SBJ"),AND(J4639=1,I4639=0)),"?IN_FOCUS",IF(J4639&lt;=2,"?ACTIVATED",IF(J4639&lt;&gt;"","?FAMILIAR",IF(F4639="NEW",IF(ISNA(VLOOKUP(E4639,#REF!,1,FALSE())),"?TYPE_IDENTIFIABLE","?REFERENTIAL"),"_")))))</f>
        <v> </v>
      </c>
      <c r="H4639" s="25" t="str">
        <f>IF(J4639&lt;&gt;1,"",IF(I4639="SBJ","CB","?"))</f>
        <v> </v>
      </c>
      <c r="I4639" s="26" t="str">
        <f>IF(OR(E4639="",E4639="!!!",F4639="NEW"),"",INDEX(B4638:B$2,-1+SUMPRODUCT(MAX(ROW(E4638:E$2)*(E4639=E4638:E$2)))))</f>
        <v> </v>
      </c>
      <c r="J4639" s="26" t="str">
        <f>IF(OR(E4639="",E4639="!!!",F4639="NEW"),"",COUNTBLANK(OFFSET(A$1,,,SUMPRODUCT(MAX(ROW(E$2:E4639)*(E4639=E$2:E4639)))))-COUNTBLANK(OFFSET(A$1,,,SUMPRODUCT(MAX(ROW(E$1:E4638)*(E2=E$1:E4638))))))</f>
        <v> </v>
      </c>
      <c r="K4639" s="26" t="str">
        <f>IF(OR(E4639="",E4639="!!!",F4639="NEW"),"",INDEX(J$1:J4638,SUMPRODUCT(MAX(ROW(E$1:E4638)*(E4639=E$1:E4638)))))</f>
        <v> </v>
      </c>
      <c r="L4639" s="27"/>
    </row>
    <row r="4640" spans="1:12">
      <c r="A4640" s="20" t="s">
        <v>1238</v>
      </c>
      <c r="E4640" s="22">
        <f>IF(D4640="?OLD","!!!","")</f>
        <v/>
      </c>
      <c r="F4640" s="23" t="str">
        <f>IF(OR(E4640="",E4640="!!!"),"",IF(NOT(ISNA(VLOOKUP(E4640,E$1:E4639,1,FALSE()))),"OLD",IF(AND(E4640&lt;&gt;"",E4640&lt;&gt;"!!!"),"NEW","")))</f>
        <v> </v>
      </c>
      <c r="G4640" s="24" t="str">
        <f>IF(OR(E4640="",E4640="!!!"),"",IF(OR(J4640=0,AND(J4640=1,K4640=1),AND(J4640=1,I4640="SBJ"),AND(J4640=1,I4640=0)),"?IN_FOCUS",IF(J4640&lt;=2,"?ACTIVATED",IF(J4640&lt;&gt;"","?FAMILIAR",IF(F4640="NEW",IF(ISNA(VLOOKUP(E4640,#REF!,1,FALSE())),"?TYPE_IDENTIFIABLE","?REFERENTIAL"),"_")))))</f>
        <v> </v>
      </c>
      <c r="H4640" s="25" t="str">
        <f>IF(J4640&lt;&gt;1,"",IF(I4640="SBJ","CB","?"))</f>
        <v> </v>
      </c>
      <c r="I4640" s="26" t="str">
        <f>IF(OR(E4640="",E4640="!!!",F4640="NEW"),"",INDEX(B4639:B$2,-1+SUMPRODUCT(MAX(ROW(E4639:E$2)*(E4640=E4639:E$2)))))</f>
        <v> </v>
      </c>
      <c r="J4640" s="26" t="str">
        <f>IF(OR(E4640="",E4640="!!!",F4640="NEW"),"",COUNTBLANK(OFFSET(A$1,,,SUMPRODUCT(MAX(ROW(E$2:E4640)*(E4640=E$2:E4640)))))-COUNTBLANK(OFFSET(A$1,,,SUMPRODUCT(MAX(ROW(E$1:E4639)*(E2=E$1:E4639))))))</f>
        <v> </v>
      </c>
      <c r="K4640" s="26" t="str">
        <f>IF(OR(E4640="",E4640="!!!",F4640="NEW"),"",INDEX(J$1:J4639,SUMPRODUCT(MAX(ROW(E$1:E4639)*(E4640=E$1:E4639)))))</f>
        <v> </v>
      </c>
      <c r="L4640" s="27"/>
    </row>
    <row r="4641" spans="1:12">
      <c r="A4641" s="20" t="s">
        <v>2427</v>
      </c>
      <c r="B4641" s="21" t="s">
        <v>1161</v>
      </c>
      <c r="C4641" s="21" t="s">
        <v>1162</v>
      </c>
      <c r="D4641" s="21" t="s">
        <v>1144</v>
      </c>
      <c r="E4641" s="22">
        <f>IF(D4641="?OLD","!!!","")</f>
        <v/>
      </c>
      <c r="F4641" s="23" t="str">
        <f>IF(OR(E4641="",E4641="!!!"),"",IF(NOT(ISNA(VLOOKUP(E4641,E$1:E4640,1,FALSE()))),"OLD",IF(AND(E4641&lt;&gt;"",E4641&lt;&gt;"!!!"),"NEW","")))</f>
        <v> </v>
      </c>
      <c r="G4641" s="24" t="str">
        <f>IF(OR(E4641="",E4641="!!!"),"",IF(OR(J4641=0,AND(J4641=1,K4641=1),AND(J4641=1,I4641="SBJ"),AND(J4641=1,I4641=0)),"?IN_FOCUS",IF(J4641&lt;=2,"?ACTIVATED",IF(J4641&lt;&gt;"","?FAMILIAR",IF(F4641="NEW",IF(ISNA(VLOOKUP(E4641,#REF!,1,FALSE())),"?TYPE_IDENTIFIABLE","?REFERENTIAL"),"_")))))</f>
        <v> </v>
      </c>
      <c r="H4641" s="25" t="str">
        <f>IF(J4641&lt;&gt;1,"",IF(I4641="SBJ","CB","?"))</f>
        <v> </v>
      </c>
      <c r="I4641" s="26" t="str">
        <f>IF(OR(E4641="",E4641="!!!",F4641="NEW"),"",INDEX(B4640:B$2,-1+SUMPRODUCT(MAX(ROW(E4640:E$2)*(E4641=E4640:E$2)))))</f>
        <v> </v>
      </c>
      <c r="J4641" s="26" t="str">
        <f>IF(OR(E4641="",E4641="!!!",F4641="NEW"),"",COUNTBLANK(OFFSET(A$1,,,SUMPRODUCT(MAX(ROW(E$2:E4641)*(E4641=E$2:E4641)))))-COUNTBLANK(OFFSET(A$1,,,SUMPRODUCT(MAX(ROW(E$1:E4640)*(E2=E$1:E4640))))))</f>
        <v> </v>
      </c>
      <c r="K4641" s="26" t="str">
        <f>IF(OR(E4641="",E4641="!!!",F4641="NEW"),"",INDEX(J$1:J4640,SUMPRODUCT(MAX(ROW(E$1:E4640)*(E4641=E$1:E4640)))))</f>
        <v> </v>
      </c>
      <c r="L4641" s="27"/>
    </row>
    <row r="4642" spans="1:12">
      <c r="A4642" s="20" t="s">
        <v>1166</v>
      </c>
      <c r="E4642" s="22">
        <f>IF(D4642="?OLD","!!!","")</f>
        <v/>
      </c>
      <c r="F4642" s="23" t="str">
        <f>IF(OR(E4642="",E4642="!!!"),"",IF(NOT(ISNA(VLOOKUP(E4642,E$1:E4641,1,FALSE()))),"OLD",IF(AND(E4642&lt;&gt;"",E4642&lt;&gt;"!!!"),"NEW","")))</f>
        <v> </v>
      </c>
      <c r="G4642" s="24" t="str">
        <f>IF(OR(E4642="",E4642="!!!"),"",IF(OR(J4642=0,AND(J4642=1,K4642=1),AND(J4642=1,I4642="SBJ"),AND(J4642=1,I4642=0)),"?IN_FOCUS",IF(J4642&lt;=2,"?ACTIVATED",IF(J4642&lt;&gt;"","?FAMILIAR",IF(F4642="NEW",IF(ISNA(VLOOKUP(E4642,#REF!,1,FALSE())),"?TYPE_IDENTIFIABLE","?REFERENTIAL"),"_")))))</f>
        <v> </v>
      </c>
      <c r="H4642" s="25" t="str">
        <f>IF(J4642&lt;&gt;1,"",IF(I4642="SBJ","CB","?"))</f>
        <v> </v>
      </c>
      <c r="I4642" s="26" t="str">
        <f>IF(OR(E4642="",E4642="!!!",F4642="NEW"),"",INDEX(B4641:B$2,-1+SUMPRODUCT(MAX(ROW(E4641:E$2)*(E4642=E4641:E$2)))))</f>
        <v> </v>
      </c>
      <c r="J4642" s="26" t="str">
        <f>IF(OR(E4642="",E4642="!!!",F4642="NEW"),"",COUNTBLANK(OFFSET(A$1,,,SUMPRODUCT(MAX(ROW(E$2:E4642)*(E4642=E$2:E4642)))))-COUNTBLANK(OFFSET(A$1,,,SUMPRODUCT(MAX(ROW(E$1:E4641)*(E2=E$1:E4641))))))</f>
        <v> </v>
      </c>
      <c r="K4642" s="26" t="str">
        <f>IF(OR(E4642="",E4642="!!!",F4642="NEW"),"",INDEX(J$1:J4641,SUMPRODUCT(MAX(ROW(E$1:E4641)*(E4642=E$1:E4641)))))</f>
        <v> </v>
      </c>
      <c r="L4642" s="27"/>
    </row>
    <row r="4643" spans="1:12">
      <c r="A4643" s="20" t="s">
        <v>1191</v>
      </c>
      <c r="B4643" s="21" t="s">
        <v>1142</v>
      </c>
      <c r="E4643" s="22">
        <f>IF(D4643="?OLD","!!!","")</f>
        <v/>
      </c>
      <c r="F4643" s="23" t="str">
        <f>IF(OR(E4643="",E4643="!!!"),"",IF(NOT(ISNA(VLOOKUP(E4643,E$1:E4642,1,FALSE()))),"OLD",IF(AND(E4643&lt;&gt;"",E4643&lt;&gt;"!!!"),"NEW","")))</f>
        <v> </v>
      </c>
      <c r="G4643" s="24" t="str">
        <f>IF(OR(E4643="",E4643="!!!"),"",IF(OR(J4643=0,AND(J4643=1,K4643=1),AND(J4643=1,I4643="SBJ"),AND(J4643=1,I4643=0)),"?IN_FOCUS",IF(J4643&lt;=2,"?ACTIVATED",IF(J4643&lt;&gt;"","?FAMILIAR",IF(F4643="NEW",IF(ISNA(VLOOKUP(E4643,#REF!,1,FALSE())),"?TYPE_IDENTIFIABLE","?REFERENTIAL"),"_")))))</f>
        <v> </v>
      </c>
      <c r="H4643" s="25" t="str">
        <f>IF(J4643&lt;&gt;1,"",IF(I4643="SBJ","CB","?"))</f>
        <v> </v>
      </c>
      <c r="I4643" s="26" t="str">
        <f>IF(OR(E4643="",E4643="!!!",F4643="NEW"),"",INDEX(B4642:B$2,-1+SUMPRODUCT(MAX(ROW(E4642:E$2)*(E4643=E4642:E$2)))))</f>
        <v> </v>
      </c>
      <c r="J4643" s="26" t="str">
        <f>IF(OR(E4643="",E4643="!!!",F4643="NEW"),"",COUNTBLANK(OFFSET(A$1,,,SUMPRODUCT(MAX(ROW(E$2:E4643)*(E4643=E$2:E4643)))))-COUNTBLANK(OFFSET(A$1,,,SUMPRODUCT(MAX(ROW(E$1:E4642)*(E2=E$1:E4642))))))</f>
        <v> </v>
      </c>
      <c r="K4643" s="26" t="str">
        <f>IF(OR(E4643="",E4643="!!!",F4643="NEW"),"",INDEX(J$1:J4642,SUMPRODUCT(MAX(ROW(E$1:E4642)*(E4643=E$1:E4642)))))</f>
        <v> </v>
      </c>
      <c r="L4643" s="27"/>
    </row>
    <row r="4644" spans="1:12">
      <c r="A4644" s="20" t="s">
        <v>2468</v>
      </c>
      <c r="B4644" s="21" t="s">
        <v>1150</v>
      </c>
      <c r="E4644" s="22">
        <f>IF(D4644="?OLD","!!!","")</f>
        <v/>
      </c>
      <c r="F4644" s="23" t="str">
        <f>IF(OR(E4644="",E4644="!!!"),"",IF(NOT(ISNA(VLOOKUP(E4644,E$1:E4643,1,FALSE()))),"OLD",IF(AND(E4644&lt;&gt;"",E4644&lt;&gt;"!!!"),"NEW","")))</f>
        <v> </v>
      </c>
      <c r="G4644" s="24" t="str">
        <f>IF(OR(E4644="",E4644="!!!"),"",IF(OR(J4644=0,AND(J4644=1,K4644=1),AND(J4644=1,I4644="SBJ"),AND(J4644=1,I4644=0)),"?IN_FOCUS",IF(J4644&lt;=2,"?ACTIVATED",IF(J4644&lt;&gt;"","?FAMILIAR",IF(F4644="NEW",IF(ISNA(VLOOKUP(E4644,#REF!,1,FALSE())),"?TYPE_IDENTIFIABLE","?REFERENTIAL"),"_")))))</f>
        <v> </v>
      </c>
      <c r="H4644" s="25" t="str">
        <f>IF(J4644&lt;&gt;1,"",IF(I4644="SBJ","CB","?"))</f>
        <v> </v>
      </c>
      <c r="I4644" s="26" t="str">
        <f>IF(OR(E4644="",E4644="!!!",F4644="NEW"),"",INDEX(B4643:B$2,-1+SUMPRODUCT(MAX(ROW(E4643:E$2)*(E4644=E4643:E$2)))))</f>
        <v> </v>
      </c>
      <c r="J4644" s="26" t="str">
        <f>IF(OR(E4644="",E4644="!!!",F4644="NEW"),"",COUNTBLANK(OFFSET(A$1,,,SUMPRODUCT(MAX(ROW(E$2:E4644)*(E4644=E$2:E4644)))))-COUNTBLANK(OFFSET(A$1,,,SUMPRODUCT(MAX(ROW(E$1:E4643)*(E2=E$1:E4643))))))</f>
        <v> </v>
      </c>
      <c r="K4644" s="26" t="str">
        <f>IF(OR(E4644="",E4644="!!!",F4644="NEW"),"",INDEX(J$1:J4643,SUMPRODUCT(MAX(ROW(E$1:E4643)*(E4644=E$1:E4643)))))</f>
        <v> </v>
      </c>
      <c r="L4644" s="27"/>
    </row>
    <row r="4645" spans="1:12">
      <c r="A4645" s="20" t="s">
        <v>12</v>
      </c>
      <c r="E4645" s="22">
        <f>IF(D4645="?OLD","!!!","")</f>
        <v/>
      </c>
      <c r="F4645" s="23" t="str">
        <f>IF(OR(E4645="",E4645="!!!"),"",IF(NOT(ISNA(VLOOKUP(E4645,E$1:E4644,1,FALSE()))),"OLD",IF(AND(E4645&lt;&gt;"",E4645&lt;&gt;"!!!"),"NEW","")))</f>
        <v> </v>
      </c>
      <c r="G4645" s="24" t="str">
        <f>IF(OR(E4645="",E4645="!!!"),"",IF(OR(J4645=0,AND(J4645=1,K4645=1),AND(J4645=1,I4645="SBJ"),AND(J4645=1,I4645=0)),"?IN_FOCUS",IF(J4645&lt;=2,"?ACTIVATED",IF(J4645&lt;&gt;"","?FAMILIAR",IF(F4645="NEW",IF(ISNA(VLOOKUP(E4645,#REF!,1,FALSE())),"?TYPE_IDENTIFIABLE","?REFERENTIAL"),"_")))))</f>
        <v> </v>
      </c>
      <c r="H4645" s="25" t="str">
        <f>IF(J4645&lt;&gt;1,"",IF(I4645="SBJ","CB","?"))</f>
        <v> </v>
      </c>
      <c r="I4645" s="26" t="str">
        <f>IF(OR(E4645="",E4645="!!!",F4645="NEW"),"",INDEX(B4644:B$2,-1+SUMPRODUCT(MAX(ROW(E4644:E$2)*(E4645=E4644:E$2)))))</f>
        <v> </v>
      </c>
      <c r="J4645" s="26" t="str">
        <f>IF(OR(E4645="",E4645="!!!",F4645="NEW"),"",COUNTBLANK(OFFSET(A$1,,,SUMPRODUCT(MAX(ROW(E$2:E4645)*(E4645=E$2:E4645)))))-COUNTBLANK(OFFSET(A$1,,,SUMPRODUCT(MAX(ROW(E$1:E4644)*(E2=E$1:E4644))))))</f>
        <v> </v>
      </c>
      <c r="K4645" s="26" t="str">
        <f>IF(OR(E4645="",E4645="!!!",F4645="NEW"),"",INDEX(J$1:J4644,SUMPRODUCT(MAX(ROW(E$1:E4644)*(E4645=E$1:E4644)))))</f>
        <v> </v>
      </c>
      <c r="L4645" s="27"/>
    </row>
    <row r="4646" spans="1:12">
      <c r="A4646" s="20" t="s">
        <v>2469</v>
      </c>
      <c r="E4646" s="22">
        <f>IF(D4646="?OLD","!!!","")</f>
        <v/>
      </c>
      <c r="F4646" s="23" t="str">
        <f>IF(OR(E4646="",E4646="!!!"),"",IF(NOT(ISNA(VLOOKUP(E4646,E$1:E4645,1,FALSE()))),"OLD",IF(AND(E4646&lt;&gt;"",E4646&lt;&gt;"!!!"),"NEW","")))</f>
        <v> </v>
      </c>
      <c r="G4646" s="24" t="str">
        <f>IF(OR(E4646="",E4646="!!!"),"",IF(OR(J4646=0,AND(J4646=1,K4646=1),AND(J4646=1,I4646="SBJ"),AND(J4646=1,I4646=0)),"?IN_FOCUS",IF(J4646&lt;=2,"?ACTIVATED",IF(J4646&lt;&gt;"","?FAMILIAR",IF(F4646="NEW",IF(ISNA(VLOOKUP(E4646,#REF!,1,FALSE())),"?TYPE_IDENTIFIABLE","?REFERENTIAL"),"_")))))</f>
        <v> </v>
      </c>
      <c r="H4646" s="25" t="str">
        <f>IF(J4646&lt;&gt;1,"",IF(I4646="SBJ","CB","?"))</f>
        <v> </v>
      </c>
      <c r="I4646" s="26" t="str">
        <f>IF(OR(E4646="",E4646="!!!",F4646="NEW"),"",INDEX(B4645:B$2,-1+SUMPRODUCT(MAX(ROW(E4645:E$2)*(E4646=E4645:E$2)))))</f>
        <v> </v>
      </c>
      <c r="J4646" s="26" t="str">
        <f>IF(OR(E4646="",E4646="!!!",F4646="NEW"),"",COUNTBLANK(OFFSET(A$1,,,SUMPRODUCT(MAX(ROW(E$2:E4646)*(E4646=E$2:E4646)))))-COUNTBLANK(OFFSET(A$1,,,SUMPRODUCT(MAX(ROW(E$1:E4645)*(E2=E$1:E4645))))))</f>
        <v> </v>
      </c>
      <c r="K4646" s="26" t="str">
        <f>IF(OR(E4646="",E4646="!!!",F4646="NEW"),"",INDEX(J$1:J4645,SUMPRODUCT(MAX(ROW(E$1:E4645)*(E4646=E$1:E4645)))))</f>
        <v> </v>
      </c>
      <c r="L4646" s="27"/>
    </row>
    <row r="4647" spans="1:12">
      <c r="A4647" s="20" t="s">
        <v>2470</v>
      </c>
      <c r="E4647" s="22">
        <f>IF(D4647="?OLD","!!!","")</f>
        <v/>
      </c>
      <c r="F4647" s="23" t="str">
        <f>IF(OR(E4647="",E4647="!!!"),"",IF(NOT(ISNA(VLOOKUP(E4647,E$1:E4646,1,FALSE()))),"OLD",IF(AND(E4647&lt;&gt;"",E4647&lt;&gt;"!!!"),"NEW","")))</f>
        <v> </v>
      </c>
      <c r="G4647" s="24" t="str">
        <f>IF(OR(E4647="",E4647="!!!"),"",IF(OR(J4647=0,AND(J4647=1,K4647=1),AND(J4647=1,I4647="SBJ"),AND(J4647=1,I4647=0)),"?IN_FOCUS",IF(J4647&lt;=2,"?ACTIVATED",IF(J4647&lt;&gt;"","?FAMILIAR",IF(F4647="NEW",IF(ISNA(VLOOKUP(E4647,#REF!,1,FALSE())),"?TYPE_IDENTIFIABLE","?REFERENTIAL"),"_")))))</f>
        <v> </v>
      </c>
      <c r="H4647" s="25" t="str">
        <f>IF(J4647&lt;&gt;1,"",IF(I4647="SBJ","CB","?"))</f>
        <v> </v>
      </c>
      <c r="I4647" s="26" t="str">
        <f>IF(OR(E4647="",E4647="!!!",F4647="NEW"),"",INDEX(B4646:B$2,-1+SUMPRODUCT(MAX(ROW(E4646:E$2)*(E4647=E4646:E$2)))))</f>
        <v> </v>
      </c>
      <c r="J4647" s="26" t="str">
        <f>IF(OR(E4647="",E4647="!!!",F4647="NEW"),"",COUNTBLANK(OFFSET(A$1,,,SUMPRODUCT(MAX(ROW(E$2:E4647)*(E4647=E$2:E4647)))))-COUNTBLANK(OFFSET(A$1,,,SUMPRODUCT(MAX(ROW(E$1:E4646)*(E2=E$1:E4646))))))</f>
        <v> </v>
      </c>
      <c r="K4647" s="26" t="str">
        <f>IF(OR(E4647="",E4647="!!!",F4647="NEW"),"",INDEX(J$1:J4646,SUMPRODUCT(MAX(ROW(E$1:E4646)*(E4647=E$1:E4646)))))</f>
        <v> </v>
      </c>
      <c r="L4647" s="27"/>
    </row>
    <row r="4648" spans="1:12">
      <c r="A4648" s="20" t="s">
        <v>1166</v>
      </c>
      <c r="E4648" s="22">
        <f>IF(D4648="?OLD","!!!","")</f>
        <v/>
      </c>
      <c r="F4648" s="23" t="str">
        <f>IF(OR(E4648="",E4648="!!!"),"",IF(NOT(ISNA(VLOOKUP(E4648,E$1:E4647,1,FALSE()))),"OLD",IF(AND(E4648&lt;&gt;"",E4648&lt;&gt;"!!!"),"NEW","")))</f>
        <v> </v>
      </c>
      <c r="G4648" s="24" t="str">
        <f>IF(OR(E4648="",E4648="!!!"),"",IF(OR(J4648=0,AND(J4648=1,K4648=1),AND(J4648=1,I4648="SBJ"),AND(J4648=1,I4648=0)),"?IN_FOCUS",IF(J4648&lt;=2,"?ACTIVATED",IF(J4648&lt;&gt;"","?FAMILIAR",IF(F4648="NEW",IF(ISNA(VLOOKUP(E4648,#REF!,1,FALSE())),"?TYPE_IDENTIFIABLE","?REFERENTIAL"),"_")))))</f>
        <v> </v>
      </c>
      <c r="H4648" s="25" t="str">
        <f>IF(J4648&lt;&gt;1,"",IF(I4648="SBJ","CB","?"))</f>
        <v> </v>
      </c>
      <c r="I4648" s="26" t="str">
        <f>IF(OR(E4648="",E4648="!!!",F4648="NEW"),"",INDEX(B4647:B$2,-1+SUMPRODUCT(MAX(ROW(E4647:E$2)*(E4648=E4647:E$2)))))</f>
        <v> </v>
      </c>
      <c r="J4648" s="26" t="str">
        <f>IF(OR(E4648="",E4648="!!!",F4648="NEW"),"",COUNTBLANK(OFFSET(A$1,,,SUMPRODUCT(MAX(ROW(E$2:E4648)*(E4648=E$2:E4648)))))-COUNTBLANK(OFFSET(A$1,,,SUMPRODUCT(MAX(ROW(E$1:E4647)*(E2=E$1:E4647))))))</f>
        <v> </v>
      </c>
      <c r="K4648" s="26" t="str">
        <f>IF(OR(E4648="",E4648="!!!",F4648="NEW"),"",INDEX(J$1:J4647,SUMPRODUCT(MAX(ROW(E$1:E4647)*(E4648=E$1:E4647)))))</f>
        <v> </v>
      </c>
      <c r="L4648" s="27"/>
    </row>
    <row r="4649" spans="1:12">
      <c r="A4649" s="20" t="s">
        <v>1219</v>
      </c>
      <c r="E4649" s="22">
        <f>IF(D4649="?OLD","!!!","")</f>
        <v/>
      </c>
      <c r="F4649" s="23" t="str">
        <f>IF(OR(E4649="",E4649="!!!"),"",IF(NOT(ISNA(VLOOKUP(E4649,E$1:E4648,1,FALSE()))),"OLD",IF(AND(E4649&lt;&gt;"",E4649&lt;&gt;"!!!"),"NEW","")))</f>
        <v> </v>
      </c>
      <c r="G4649" s="24" t="str">
        <f>IF(OR(E4649="",E4649="!!!"),"",IF(OR(J4649=0,AND(J4649=1,K4649=1),AND(J4649=1,I4649="SBJ"),AND(J4649=1,I4649=0)),"?IN_FOCUS",IF(J4649&lt;=2,"?ACTIVATED",IF(J4649&lt;&gt;"","?FAMILIAR",IF(F4649="NEW",IF(ISNA(VLOOKUP(E4649,#REF!,1,FALSE())),"?TYPE_IDENTIFIABLE","?REFERENTIAL"),"_")))))</f>
        <v> </v>
      </c>
      <c r="H4649" s="25" t="str">
        <f>IF(J4649&lt;&gt;1,"",IF(I4649="SBJ","CB","?"))</f>
        <v> </v>
      </c>
      <c r="I4649" s="26" t="str">
        <f>IF(OR(E4649="",E4649="!!!",F4649="NEW"),"",INDEX(B4648:B$2,-1+SUMPRODUCT(MAX(ROW(E4648:E$2)*(E4649=E4648:E$2)))))</f>
        <v> </v>
      </c>
      <c r="J4649" s="26" t="str">
        <f>IF(OR(E4649="",E4649="!!!",F4649="NEW"),"",COUNTBLANK(OFFSET(A$1,,,SUMPRODUCT(MAX(ROW(E$2:E4649)*(E4649=E$2:E4649)))))-COUNTBLANK(OFFSET(A$1,,,SUMPRODUCT(MAX(ROW(E$1:E4648)*(E2=E$1:E4648))))))</f>
        <v> </v>
      </c>
      <c r="K4649" s="26" t="str">
        <f>IF(OR(E4649="",E4649="!!!",F4649="NEW"),"",INDEX(J$1:J4648,SUMPRODUCT(MAX(ROW(E$1:E4648)*(E4649=E$1:E4648)))))</f>
        <v> </v>
      </c>
      <c r="L4649" s="27"/>
    </row>
    <row r="4650" spans="1:12">
      <c r="A4650" s="20" t="s">
        <v>1238</v>
      </c>
      <c r="E4650" s="22">
        <f>IF(D4650="?OLD","!!!","")</f>
        <v/>
      </c>
      <c r="F4650" s="23" t="str">
        <f>IF(OR(E4650="",E4650="!!!"),"",IF(NOT(ISNA(VLOOKUP(E4650,E$1:E4649,1,FALSE()))),"OLD",IF(AND(E4650&lt;&gt;"",E4650&lt;&gt;"!!!"),"NEW","")))</f>
        <v> </v>
      </c>
      <c r="G4650" s="24" t="str">
        <f>IF(OR(E4650="",E4650="!!!"),"",IF(OR(J4650=0,AND(J4650=1,K4650=1),AND(J4650=1,I4650="SBJ"),AND(J4650=1,I4650=0)),"?IN_FOCUS",IF(J4650&lt;=2,"?ACTIVATED",IF(J4650&lt;&gt;"","?FAMILIAR",IF(F4650="NEW",IF(ISNA(VLOOKUP(E4650,#REF!,1,FALSE())),"?TYPE_IDENTIFIABLE","?REFERENTIAL"),"_")))))</f>
        <v> </v>
      </c>
      <c r="H4650" s="25" t="str">
        <f>IF(J4650&lt;&gt;1,"",IF(I4650="SBJ","CB","?"))</f>
        <v> </v>
      </c>
      <c r="I4650" s="26" t="str">
        <f>IF(OR(E4650="",E4650="!!!",F4650="NEW"),"",INDEX(B4649:B$2,-1+SUMPRODUCT(MAX(ROW(E4649:E$2)*(E4650=E4649:E$2)))))</f>
        <v> </v>
      </c>
      <c r="J4650" s="26" t="str">
        <f>IF(OR(E4650="",E4650="!!!",F4650="NEW"),"",COUNTBLANK(OFFSET(A$1,,,SUMPRODUCT(MAX(ROW(E$2:E4650)*(E4650=E$2:E4650)))))-COUNTBLANK(OFFSET(A$1,,,SUMPRODUCT(MAX(ROW(E$1:E4649)*(E2=E$1:E4649))))))</f>
        <v> </v>
      </c>
      <c r="K4650" s="26" t="str">
        <f>IF(OR(E4650="",E4650="!!!",F4650="NEW"),"",INDEX(J$1:J4649,SUMPRODUCT(MAX(ROW(E$1:E4649)*(E4650=E$1:E4649)))))</f>
        <v> </v>
      </c>
      <c r="L4650" s="27"/>
    </row>
    <row r="4651" spans="1:12">
      <c r="A4651" s="20" t="s">
        <v>1883</v>
      </c>
      <c r="B4651" s="21" t="s">
        <v>1147</v>
      </c>
      <c r="C4651" s="21" t="s">
        <v>1168</v>
      </c>
      <c r="D4651" s="21" t="s">
        <v>1144</v>
      </c>
      <c r="E4651" s="22">
        <f>IF(D4651="?OLD","!!!","")</f>
        <v/>
      </c>
      <c r="F4651" s="23" t="str">
        <f>IF(OR(E4651="",E4651="!!!"),"",IF(NOT(ISNA(VLOOKUP(E4651,E$1:E4650,1,FALSE()))),"OLD",IF(AND(E4651&lt;&gt;"",E4651&lt;&gt;"!!!"),"NEW","")))</f>
        <v> </v>
      </c>
      <c r="G4651" s="24" t="str">
        <f>IF(OR(E4651="",E4651="!!!"),"",IF(OR(J4651=0,AND(J4651=1,K4651=1),AND(J4651=1,I4651="SBJ"),AND(J4651=1,I4651=0)),"?IN_FOCUS",IF(J4651&lt;=2,"?ACTIVATED",IF(J4651&lt;&gt;"","?FAMILIAR",IF(F4651="NEW",IF(ISNA(VLOOKUP(E4651,#REF!,1,FALSE())),"?TYPE_IDENTIFIABLE","?REFERENTIAL"),"_")))))</f>
        <v> </v>
      </c>
      <c r="H4651" s="25" t="str">
        <f>IF(J4651&lt;&gt;1,"",IF(I4651="SBJ","CB","?"))</f>
        <v> </v>
      </c>
      <c r="I4651" s="26" t="str">
        <f>IF(OR(E4651="",E4651="!!!",F4651="NEW"),"",INDEX(B4650:B$2,-1+SUMPRODUCT(MAX(ROW(E4650:E$2)*(E4651=E4650:E$2)))))</f>
        <v> </v>
      </c>
      <c r="J4651" s="26" t="str">
        <f>IF(OR(E4651="",E4651="!!!",F4651="NEW"),"",COUNTBLANK(OFFSET(A$1,,,SUMPRODUCT(MAX(ROW(E$2:E4651)*(E4651=E$2:E4651)))))-COUNTBLANK(OFFSET(A$1,,,SUMPRODUCT(MAX(ROW(E$1:E4650)*(E2=E$1:E4650))))))</f>
        <v> </v>
      </c>
      <c r="K4651" s="26" t="str">
        <f>IF(OR(E4651="",E4651="!!!",F4651="NEW"),"",INDEX(J$1:J4650,SUMPRODUCT(MAX(ROW(E$1:E4650)*(E4651=E$1:E4650)))))</f>
        <v> </v>
      </c>
      <c r="L4651" s="27"/>
    </row>
    <row r="4652" spans="1:12">
      <c r="A4652" s="20" t="s">
        <v>1923</v>
      </c>
      <c r="E4652" s="22">
        <f>IF(D4652="?OLD","!!!","")</f>
        <v/>
      </c>
      <c r="F4652" s="23" t="str">
        <f>IF(OR(E4652="",E4652="!!!"),"",IF(NOT(ISNA(VLOOKUP(E4652,E$1:E4651,1,FALSE()))),"OLD",IF(AND(E4652&lt;&gt;"",E4652&lt;&gt;"!!!"),"NEW","")))</f>
        <v> </v>
      </c>
      <c r="G4652" s="24" t="str">
        <f>IF(OR(E4652="",E4652="!!!"),"",IF(OR(J4652=0,AND(J4652=1,K4652=1),AND(J4652=1,I4652="SBJ"),AND(J4652=1,I4652=0)),"?IN_FOCUS",IF(J4652&lt;=2,"?ACTIVATED",IF(J4652&lt;&gt;"","?FAMILIAR",IF(F4652="NEW",IF(ISNA(VLOOKUP(E4652,#REF!,1,FALSE())),"?TYPE_IDENTIFIABLE","?REFERENTIAL"),"_")))))</f>
        <v> </v>
      </c>
      <c r="H4652" s="25" t="str">
        <f>IF(J4652&lt;&gt;1,"",IF(I4652="SBJ","CB","?"))</f>
        <v> </v>
      </c>
      <c r="I4652" s="26" t="str">
        <f>IF(OR(E4652="",E4652="!!!",F4652="NEW"),"",INDEX(B4651:B$2,-1+SUMPRODUCT(MAX(ROW(E4651:E$2)*(E4652=E4651:E$2)))))</f>
        <v> </v>
      </c>
      <c r="J4652" s="26" t="str">
        <f>IF(OR(E4652="",E4652="!!!",F4652="NEW"),"",COUNTBLANK(OFFSET(A$1,,,SUMPRODUCT(MAX(ROW(E$2:E4652)*(E4652=E$2:E4652)))))-COUNTBLANK(OFFSET(A$1,,,SUMPRODUCT(MAX(ROW(E$1:E4651)*(E2=E$1:E4651))))))</f>
        <v> </v>
      </c>
      <c r="K4652" s="26" t="str">
        <f>IF(OR(E4652="",E4652="!!!",F4652="NEW"),"",INDEX(J$1:J4651,SUMPRODUCT(MAX(ROW(E$1:E4651)*(E4652=E$1:E4651)))))</f>
        <v> </v>
      </c>
      <c r="L4652" s="27"/>
    </row>
    <row r="4653" spans="1:12">
      <c r="A4653" s="20" t="s">
        <v>1176</v>
      </c>
      <c r="E4653" s="22">
        <f>IF(D4653="?OLD","!!!","")</f>
        <v/>
      </c>
      <c r="F4653" s="23" t="str">
        <f>IF(OR(E4653="",E4653="!!!"),"",IF(NOT(ISNA(VLOOKUP(E4653,E$1:E4652,1,FALSE()))),"OLD",IF(AND(E4653&lt;&gt;"",E4653&lt;&gt;"!!!"),"NEW","")))</f>
        <v> </v>
      </c>
      <c r="G4653" s="24" t="str">
        <f>IF(OR(E4653="",E4653="!!!"),"",IF(OR(J4653=0,AND(J4653=1,K4653=1),AND(J4653=1,I4653="SBJ"),AND(J4653=1,I4653=0)),"?IN_FOCUS",IF(J4653&lt;=2,"?ACTIVATED",IF(J4653&lt;&gt;"","?FAMILIAR",IF(F4653="NEW",IF(ISNA(VLOOKUP(E4653,#REF!,1,FALSE())),"?TYPE_IDENTIFIABLE","?REFERENTIAL"),"_")))))</f>
        <v> </v>
      </c>
      <c r="H4653" s="25" t="str">
        <f>IF(J4653&lt;&gt;1,"",IF(I4653="SBJ","CB","?"))</f>
        <v> </v>
      </c>
      <c r="I4653" s="26" t="str">
        <f>IF(OR(E4653="",E4653="!!!",F4653="NEW"),"",INDEX(B4652:B$2,-1+SUMPRODUCT(MAX(ROW(E4652:E$2)*(E4653=E4652:E$2)))))</f>
        <v> </v>
      </c>
      <c r="J4653" s="26" t="str">
        <f>IF(OR(E4653="",E4653="!!!",F4653="NEW"),"",COUNTBLANK(OFFSET(A$1,,,SUMPRODUCT(MAX(ROW(E$2:E4653)*(E4653=E$2:E4653)))))-COUNTBLANK(OFFSET(A$1,,,SUMPRODUCT(MAX(ROW(E$1:E4652)*(E2=E$1:E4652))))))</f>
        <v> </v>
      </c>
      <c r="K4653" s="26" t="str">
        <f>IF(OR(E4653="",E4653="!!!",F4653="NEW"),"",INDEX(J$1:J4652,SUMPRODUCT(MAX(ROW(E$1:E4652)*(E4653=E$1:E4652)))))</f>
        <v> </v>
      </c>
      <c r="L4653" s="27"/>
    </row>
    <row r="4654" spans="1:12">
      <c r="A4654" s="20" t="s">
        <v>551</v>
      </c>
      <c r="E4654" s="22">
        <f>IF(D4654="?OLD","!!!","")</f>
        <v/>
      </c>
      <c r="F4654" s="23" t="str">
        <f>IF(OR(E4654="",E4654="!!!"),"",IF(NOT(ISNA(VLOOKUP(E4654,E$1:E4653,1,FALSE()))),"OLD",IF(AND(E4654&lt;&gt;"",E4654&lt;&gt;"!!!"),"NEW","")))</f>
        <v> </v>
      </c>
      <c r="G4654" s="24" t="str">
        <f>IF(OR(E4654="",E4654="!!!"),"",IF(OR(J4654=0,AND(J4654=1,K4654=1),AND(J4654=1,I4654="SBJ"),AND(J4654=1,I4654=0)),"?IN_FOCUS",IF(J4654&lt;=2,"?ACTIVATED",IF(J4654&lt;&gt;"","?FAMILIAR",IF(F4654="NEW",IF(ISNA(VLOOKUP(E4654,#REF!,1,FALSE())),"?TYPE_IDENTIFIABLE","?REFERENTIAL"),"_")))))</f>
        <v> </v>
      </c>
      <c r="H4654" s="25" t="str">
        <f>IF(J4654&lt;&gt;1,"",IF(I4654="SBJ","CB","?"))</f>
        <v> </v>
      </c>
      <c r="I4654" s="26" t="str">
        <f>IF(OR(E4654="",E4654="!!!",F4654="NEW"),"",INDEX(B4653:B$2,-1+SUMPRODUCT(MAX(ROW(E4653:E$2)*(E4654=E4653:E$2)))))</f>
        <v> </v>
      </c>
      <c r="J4654" s="26" t="str">
        <f>IF(OR(E4654="",E4654="!!!",F4654="NEW"),"",COUNTBLANK(OFFSET(A$1,,,SUMPRODUCT(MAX(ROW(E$2:E4654)*(E4654=E$2:E4654)))))-COUNTBLANK(OFFSET(A$1,,,SUMPRODUCT(MAX(ROW(E$1:E4653)*(E2=E$1:E4653))))))</f>
        <v> </v>
      </c>
      <c r="K4654" s="26" t="str">
        <f>IF(OR(E4654="",E4654="!!!",F4654="NEW"),"",INDEX(J$1:J4653,SUMPRODUCT(MAX(ROW(E$1:E4653)*(E4654=E$1:E4653)))))</f>
        <v> </v>
      </c>
      <c r="L4654" s="27"/>
    </row>
    <row r="4655" spans="1:12">
      <c r="A4655" s="20" t="s">
        <v>2300</v>
      </c>
      <c r="E4655" s="22">
        <f>IF(D4655="?OLD","!!!","")</f>
        <v/>
      </c>
      <c r="F4655" s="23" t="str">
        <f>IF(OR(E4655="",E4655="!!!"),"",IF(NOT(ISNA(VLOOKUP(E4655,E$1:E4654,1,FALSE()))),"OLD",IF(AND(E4655&lt;&gt;"",E4655&lt;&gt;"!!!"),"NEW","")))</f>
        <v> </v>
      </c>
      <c r="G4655" s="24" t="str">
        <f>IF(OR(E4655="",E4655="!!!"),"",IF(OR(J4655=0,AND(J4655=1,K4655=1),AND(J4655=1,I4655="SBJ"),AND(J4655=1,I4655=0)),"?IN_FOCUS",IF(J4655&lt;=2,"?ACTIVATED",IF(J4655&lt;&gt;"","?FAMILIAR",IF(F4655="NEW",IF(ISNA(VLOOKUP(E4655,#REF!,1,FALSE())),"?TYPE_IDENTIFIABLE","?REFERENTIAL"),"_")))))</f>
        <v> </v>
      </c>
      <c r="H4655" s="25" t="str">
        <f>IF(J4655&lt;&gt;1,"",IF(I4655="SBJ","CB","?"))</f>
        <v> </v>
      </c>
      <c r="I4655" s="26" t="str">
        <f>IF(OR(E4655="",E4655="!!!",F4655="NEW"),"",INDEX(B4654:B$2,-1+SUMPRODUCT(MAX(ROW(E4654:E$2)*(E4655=E4654:E$2)))))</f>
        <v> </v>
      </c>
      <c r="J4655" s="26" t="str">
        <f>IF(OR(E4655="",E4655="!!!",F4655="NEW"),"",COUNTBLANK(OFFSET(A$1,,,SUMPRODUCT(MAX(ROW(E$2:E4655)*(E4655=E$2:E4655)))))-COUNTBLANK(OFFSET(A$1,,,SUMPRODUCT(MAX(ROW(E$1:E4654)*(E2=E$1:E4654))))))</f>
        <v> </v>
      </c>
      <c r="K4655" s="26" t="str">
        <f>IF(OR(E4655="",E4655="!!!",F4655="NEW"),"",INDEX(J$1:J4654,SUMPRODUCT(MAX(ROW(E$1:E4654)*(E4655=E$1:E4654)))))</f>
        <v> </v>
      </c>
      <c r="L4655" s="27"/>
    </row>
    <row r="4656" spans="1:12">
      <c r="A4656" s="20"/>
    </row>
    <row r="4657" spans="1:12">
      <c r="A4657" s="20" t="s">
        <v>2471</v>
      </c>
    </row>
    <row r="4658" spans="1:12">
      <c r="A4658" s="20" t="s">
        <v>1191</v>
      </c>
      <c r="E4658" s="22">
        <f>IF(D4658="?OLD","!!!","")</f>
        <v/>
      </c>
      <c r="F4658" s="23" t="str">
        <f>IF(OR(E4658="",E4658="!!!"),"",IF(NOT(ISNA(VLOOKUP(E4658,E$1:E4657,1,FALSE()))),"OLD",IF(AND(E4658&lt;&gt;"",E4658&lt;&gt;"!!!"),"NEW","")))</f>
        <v> </v>
      </c>
      <c r="G4658" s="24" t="str">
        <f>IF(OR(E4658="",E4658="!!!"),"",IF(OR(J4658=0,AND(J4658=1,K4658=1),AND(J4658=1,I4658="SBJ"),AND(J4658=1,I4658=0)),"?IN_FOCUS",IF(J4658&lt;=2,"?ACTIVATED",IF(J4658&lt;&gt;"","?FAMILIAR",IF(F4658="NEW",IF(ISNA(VLOOKUP(E4658,#REF!,1,FALSE())),"?TYPE_IDENTIFIABLE","?REFERENTIAL"),"_")))))</f>
        <v> </v>
      </c>
      <c r="H4658" s="25" t="str">
        <f>IF(J4658&lt;&gt;1,"",IF(I4658="SBJ","CB","?"))</f>
        <v> </v>
      </c>
      <c r="I4658" s="26" t="str">
        <f>IF(OR(E4658="",E4658="!!!",F4658="NEW"),"",INDEX(B4657:B$2,-1+SUMPRODUCT(MAX(ROW(E4657:E$2)*(E4658=E4657:E$2)))))</f>
        <v> </v>
      </c>
      <c r="J4658" s="26" t="str">
        <f>IF(OR(E4658="",E4658="!!!",F4658="NEW"),"",COUNTBLANK(OFFSET(A$1,,,SUMPRODUCT(MAX(ROW(E$2:E4658)*(E4658=E$2:E4658)))))-COUNTBLANK(OFFSET(A$1,,,SUMPRODUCT(MAX(ROW(E$1:E4657)*(E2=E$1:E4657))))))</f>
        <v> </v>
      </c>
      <c r="K4658" s="26" t="str">
        <f>IF(OR(E4658="",E4658="!!!",F4658="NEW"),"",INDEX(J$1:J4657,SUMPRODUCT(MAX(ROW(E$1:E4657)*(E4658=E$1:E4657)))))</f>
        <v> </v>
      </c>
      <c r="L4658" s="27"/>
    </row>
    <row r="4659" spans="1:12">
      <c r="A4659" s="20" t="s">
        <v>2472</v>
      </c>
      <c r="B4659" s="21" t="s">
        <v>1161</v>
      </c>
      <c r="C4659" s="21" t="s">
        <v>1162</v>
      </c>
      <c r="D4659" s="21" t="s">
        <v>1144</v>
      </c>
      <c r="E4659" s="22">
        <f>IF(D4659="?OLD","!!!","")</f>
        <v/>
      </c>
      <c r="F4659" s="23" t="str">
        <f>IF(OR(E4659="",E4659="!!!"),"",IF(NOT(ISNA(VLOOKUP(E4659,E$1:E4658,1,FALSE()))),"OLD",IF(AND(E4659&lt;&gt;"",E4659&lt;&gt;"!!!"),"NEW","")))</f>
        <v> </v>
      </c>
      <c r="G4659" s="24" t="str">
        <f>IF(OR(E4659="",E4659="!!!"),"",IF(OR(J4659=0,AND(J4659=1,K4659=1),AND(J4659=1,I4659="SBJ"),AND(J4659=1,I4659=0)),"?IN_FOCUS",IF(J4659&lt;=2,"?ACTIVATED",IF(J4659&lt;&gt;"","?FAMILIAR",IF(F4659="NEW",IF(ISNA(VLOOKUP(E4659,#REF!,1,FALSE())),"?TYPE_IDENTIFIABLE","?REFERENTIAL"),"_")))))</f>
        <v> </v>
      </c>
      <c r="H4659" s="25" t="str">
        <f>IF(J4659&lt;&gt;1,"",IF(I4659="SBJ","CB","?"))</f>
        <v> </v>
      </c>
      <c r="I4659" s="26" t="str">
        <f>IF(OR(E4659="",E4659="!!!",F4659="NEW"),"",INDEX(B4658:B$2,-1+SUMPRODUCT(MAX(ROW(E4658:E$2)*(E4659=E4658:E$2)))))</f>
        <v> </v>
      </c>
      <c r="J4659" s="26" t="str">
        <f>IF(OR(E4659="",E4659="!!!",F4659="NEW"),"",COUNTBLANK(OFFSET(A$1,,,SUMPRODUCT(MAX(ROW(E$2:E4659)*(E4659=E$2:E4659)))))-COUNTBLANK(OFFSET(A$1,,,SUMPRODUCT(MAX(ROW(E$1:E4658)*(E2=E$1:E4658))))))</f>
        <v> </v>
      </c>
      <c r="K4659" s="26" t="str">
        <f>IF(OR(E4659="",E4659="!!!",F4659="NEW"),"",INDEX(J$1:J4658,SUMPRODUCT(MAX(ROW(E$1:E4658)*(E4659=E$1:E4658)))))</f>
        <v> </v>
      </c>
      <c r="L4659" s="27"/>
    </row>
    <row r="4660" spans="1:12">
      <c r="A4660" s="20" t="s">
        <v>1314</v>
      </c>
      <c r="E4660" s="22">
        <f>IF(D4660="?OLD","!!!","")</f>
        <v/>
      </c>
      <c r="F4660" s="23" t="str">
        <f>IF(OR(E4660="",E4660="!!!"),"",IF(NOT(ISNA(VLOOKUP(E4660,E$1:E4659,1,FALSE()))),"OLD",IF(AND(E4660&lt;&gt;"",E4660&lt;&gt;"!!!"),"NEW","")))</f>
        <v> </v>
      </c>
      <c r="G4660" s="24" t="str">
        <f>IF(OR(E4660="",E4660="!!!"),"",IF(OR(J4660=0,AND(J4660=1,K4660=1),AND(J4660=1,I4660="SBJ"),AND(J4660=1,I4660=0)),"?IN_FOCUS",IF(J4660&lt;=2,"?ACTIVATED",IF(J4660&lt;&gt;"","?FAMILIAR",IF(F4660="NEW",IF(ISNA(VLOOKUP(E4660,#REF!,1,FALSE())),"?TYPE_IDENTIFIABLE","?REFERENTIAL"),"_")))))</f>
        <v> </v>
      </c>
      <c r="H4660" s="25" t="str">
        <f>IF(J4660&lt;&gt;1,"",IF(I4660="SBJ","CB","?"))</f>
        <v> </v>
      </c>
      <c r="I4660" s="26" t="str">
        <f>IF(OR(E4660="",E4660="!!!",F4660="NEW"),"",INDEX(B4659:B$2,-1+SUMPRODUCT(MAX(ROW(E4659:E$2)*(E4660=E4659:E$2)))))</f>
        <v> </v>
      </c>
      <c r="J4660" s="26" t="str">
        <f>IF(OR(E4660="",E4660="!!!",F4660="NEW"),"",COUNTBLANK(OFFSET(A$1,,,SUMPRODUCT(MAX(ROW(E$2:E4660)*(E4660=E$2:E4660)))))-COUNTBLANK(OFFSET(A$1,,,SUMPRODUCT(MAX(ROW(E$1:E4659)*(E2=E$1:E4659))))))</f>
        <v> </v>
      </c>
      <c r="K4660" s="26" t="str">
        <f>IF(OR(E4660="",E4660="!!!",F4660="NEW"),"",INDEX(J$1:J4659,SUMPRODUCT(MAX(ROW(E$1:E4659)*(E4660=E$1:E4659)))))</f>
        <v> </v>
      </c>
      <c r="L4660" s="27"/>
    </row>
    <row r="4661" spans="1:12">
      <c r="A4661" s="20" t="s">
        <v>1949</v>
      </c>
      <c r="B4661" s="21" t="s">
        <v>1161</v>
      </c>
      <c r="C4661" s="21" t="s">
        <v>1143</v>
      </c>
      <c r="D4661" s="21" t="s">
        <v>1144</v>
      </c>
      <c r="E4661" s="22">
        <f>IF(D4661="?OLD","!!!","")</f>
        <v/>
      </c>
      <c r="F4661" s="23" t="str">
        <f>IF(OR(E4661="",E4661="!!!"),"",IF(NOT(ISNA(VLOOKUP(E4661,E$1:E4660,1,FALSE()))),"OLD",IF(AND(E4661&lt;&gt;"",E4661&lt;&gt;"!!!"),"NEW","")))</f>
        <v> </v>
      </c>
      <c r="G4661" s="24" t="str">
        <f>IF(OR(E4661="",E4661="!!!"),"",IF(OR(J4661=0,AND(J4661=1,K4661=1),AND(J4661=1,I4661="SBJ"),AND(J4661=1,I4661=0)),"?IN_FOCUS",IF(J4661&lt;=2,"?ACTIVATED",IF(J4661&lt;&gt;"","?FAMILIAR",IF(F4661="NEW",IF(ISNA(VLOOKUP(E4661,#REF!,1,FALSE())),"?TYPE_IDENTIFIABLE","?REFERENTIAL"),"_")))))</f>
        <v> </v>
      </c>
      <c r="H4661" s="25" t="str">
        <f>IF(J4661&lt;&gt;1,"",IF(I4661="SBJ","CB","?"))</f>
        <v> </v>
      </c>
      <c r="I4661" s="26" t="str">
        <f>IF(OR(E4661="",E4661="!!!",F4661="NEW"),"",INDEX(B4660:B$2,-1+SUMPRODUCT(MAX(ROW(E4660:E$2)*(E4661=E4660:E$2)))))</f>
        <v> </v>
      </c>
      <c r="J4661" s="26" t="str">
        <f>IF(OR(E4661="",E4661="!!!",F4661="NEW"),"",COUNTBLANK(OFFSET(A$1,,,SUMPRODUCT(MAX(ROW(E$2:E4661)*(E4661=E$2:E4661)))))-COUNTBLANK(OFFSET(A$1,,,SUMPRODUCT(MAX(ROW(E$1:E4660)*(E2=E$1:E4660))))))</f>
        <v> </v>
      </c>
      <c r="K4661" s="26" t="str">
        <f>IF(OR(E4661="",E4661="!!!",F4661="NEW"),"",INDEX(J$1:J4660,SUMPRODUCT(MAX(ROW(E$1:E4660)*(E4661=E$1:E4660)))))</f>
        <v> </v>
      </c>
      <c r="L4661" s="27"/>
    </row>
    <row r="4662" spans="1:12">
      <c r="A4662" s="20" t="s">
        <v>1166</v>
      </c>
      <c r="E4662" s="22">
        <f>IF(D4662="?OLD","!!!","")</f>
        <v/>
      </c>
      <c r="F4662" s="23" t="str">
        <f>IF(OR(E4662="",E4662="!!!"),"",IF(NOT(ISNA(VLOOKUP(E4662,E$1:E4661,1,FALSE()))),"OLD",IF(AND(E4662&lt;&gt;"",E4662&lt;&gt;"!!!"),"NEW","")))</f>
        <v> </v>
      </c>
      <c r="G4662" s="24" t="str">
        <f>IF(OR(E4662="",E4662="!!!"),"",IF(OR(J4662=0,AND(J4662=1,K4662=1),AND(J4662=1,I4662="SBJ"),AND(J4662=1,I4662=0)),"?IN_FOCUS",IF(J4662&lt;=2,"?ACTIVATED",IF(J4662&lt;&gt;"","?FAMILIAR",IF(F4662="NEW",IF(ISNA(VLOOKUP(E4662,#REF!,1,FALSE())),"?TYPE_IDENTIFIABLE","?REFERENTIAL"),"_")))))</f>
        <v> </v>
      </c>
      <c r="H4662" s="25" t="str">
        <f>IF(J4662&lt;&gt;1,"",IF(I4662="SBJ","CB","?"))</f>
        <v> </v>
      </c>
      <c r="I4662" s="26" t="str">
        <f>IF(OR(E4662="",E4662="!!!",F4662="NEW"),"",INDEX(B4661:B$2,-1+SUMPRODUCT(MAX(ROW(E4661:E$2)*(E4662=E4661:E$2)))))</f>
        <v> </v>
      </c>
      <c r="J4662" s="26" t="str">
        <f>IF(OR(E4662="",E4662="!!!",F4662="NEW"),"",COUNTBLANK(OFFSET(A$1,,,SUMPRODUCT(MAX(ROW(E$2:E4662)*(E4662=E$2:E4662)))))-COUNTBLANK(OFFSET(A$1,,,SUMPRODUCT(MAX(ROW(E$1:E4661)*(E2=E$1:E4661))))))</f>
        <v> </v>
      </c>
      <c r="K4662" s="26" t="str">
        <f>IF(OR(E4662="",E4662="!!!",F4662="NEW"),"",INDEX(J$1:J4661,SUMPRODUCT(MAX(ROW(E$1:E4661)*(E4662=E$1:E4661)))))</f>
        <v> </v>
      </c>
      <c r="L4662" s="27"/>
    </row>
    <row r="4663" spans="1:12">
      <c r="A4663" s="20" t="s">
        <v>1314</v>
      </c>
      <c r="E4663" s="22">
        <f>IF(D4663="?OLD","!!!","")</f>
        <v/>
      </c>
      <c r="F4663" s="23" t="str">
        <f>IF(OR(E4663="",E4663="!!!"),"",IF(NOT(ISNA(VLOOKUP(E4663,E$1:E4662,1,FALSE()))),"OLD",IF(AND(E4663&lt;&gt;"",E4663&lt;&gt;"!!!"),"NEW","")))</f>
        <v> </v>
      </c>
      <c r="G4663" s="24" t="str">
        <f>IF(OR(E4663="",E4663="!!!"),"",IF(OR(J4663=0,AND(J4663=1,K4663=1),AND(J4663=1,I4663="SBJ"),AND(J4663=1,I4663=0)),"?IN_FOCUS",IF(J4663&lt;=2,"?ACTIVATED",IF(J4663&lt;&gt;"","?FAMILIAR",IF(F4663="NEW",IF(ISNA(VLOOKUP(E4663,#REF!,1,FALSE())),"?TYPE_IDENTIFIABLE","?REFERENTIAL"),"_")))))</f>
        <v> </v>
      </c>
      <c r="H4663" s="25" t="str">
        <f>IF(J4663&lt;&gt;1,"",IF(I4663="SBJ","CB","?"))</f>
        <v> </v>
      </c>
      <c r="I4663" s="26" t="str">
        <f>IF(OR(E4663="",E4663="!!!",F4663="NEW"),"",INDEX(B4662:B$2,-1+SUMPRODUCT(MAX(ROW(E4662:E$2)*(E4663=E4662:E$2)))))</f>
        <v> </v>
      </c>
      <c r="J4663" s="26" t="str">
        <f>IF(OR(E4663="",E4663="!!!",F4663="NEW"),"",COUNTBLANK(OFFSET(A$1,,,SUMPRODUCT(MAX(ROW(E$2:E4663)*(E4663=E$2:E4663)))))-COUNTBLANK(OFFSET(A$1,,,SUMPRODUCT(MAX(ROW(E$1:E4662)*(E2=E$1:E4662))))))</f>
        <v> </v>
      </c>
      <c r="K4663" s="26" t="str">
        <f>IF(OR(E4663="",E4663="!!!",F4663="NEW"),"",INDEX(J$1:J4662,SUMPRODUCT(MAX(ROW(E$1:E4662)*(E4663=E$1:E4662)))))</f>
        <v> </v>
      </c>
      <c r="L4663" s="27"/>
    </row>
    <row r="4664" spans="1:12">
      <c r="A4664" s="20" t="s">
        <v>1984</v>
      </c>
      <c r="E4664" s="22">
        <f>IF(D4664="?OLD","!!!","")</f>
        <v/>
      </c>
      <c r="F4664" s="23" t="str">
        <f>IF(OR(E4664="",E4664="!!!"),"",IF(NOT(ISNA(VLOOKUP(E4664,E$1:E4663,1,FALSE()))),"OLD",IF(AND(E4664&lt;&gt;"",E4664&lt;&gt;"!!!"),"NEW","")))</f>
        <v> </v>
      </c>
      <c r="G4664" s="24" t="str">
        <f>IF(OR(E4664="",E4664="!!!"),"",IF(OR(J4664=0,AND(J4664=1,K4664=1),AND(J4664=1,I4664="SBJ"),AND(J4664=1,I4664=0)),"?IN_FOCUS",IF(J4664&lt;=2,"?ACTIVATED",IF(J4664&lt;&gt;"","?FAMILIAR",IF(F4664="NEW",IF(ISNA(VLOOKUP(E4664,#REF!,1,FALSE())),"?TYPE_IDENTIFIABLE","?REFERENTIAL"),"_")))))</f>
        <v> </v>
      </c>
      <c r="H4664" s="25" t="str">
        <f>IF(J4664&lt;&gt;1,"",IF(I4664="SBJ","CB","?"))</f>
        <v> </v>
      </c>
      <c r="I4664" s="26" t="str">
        <f>IF(OR(E4664="",E4664="!!!",F4664="NEW"),"",INDEX(B4663:B$2,-1+SUMPRODUCT(MAX(ROW(E4663:E$2)*(E4664=E4663:E$2)))))</f>
        <v> </v>
      </c>
      <c r="J4664" s="26" t="str">
        <f>IF(OR(E4664="",E4664="!!!",F4664="NEW"),"",COUNTBLANK(OFFSET(A$1,,,SUMPRODUCT(MAX(ROW(E$2:E4664)*(E4664=E$2:E4664)))))-COUNTBLANK(OFFSET(A$1,,,SUMPRODUCT(MAX(ROW(E$1:E4663)*(E2=E$1:E4663))))))</f>
        <v> </v>
      </c>
      <c r="K4664" s="26" t="str">
        <f>IF(OR(E4664="",E4664="!!!",F4664="NEW"),"",INDEX(J$1:J4663,SUMPRODUCT(MAX(ROW(E$1:E4663)*(E4664=E$1:E4663)))))</f>
        <v> </v>
      </c>
      <c r="L4664" s="27"/>
    </row>
    <row r="4665" spans="1:12">
      <c r="A4665" s="20" t="s">
        <v>1620</v>
      </c>
      <c r="B4665" s="21" t="s">
        <v>1193</v>
      </c>
      <c r="C4665" s="21" t="s">
        <v>1168</v>
      </c>
      <c r="D4665" s="21" t="s">
        <v>1144</v>
      </c>
      <c r="E4665" s="22">
        <f>IF(D4665="?OLD","!!!","")</f>
        <v/>
      </c>
      <c r="F4665" s="23" t="str">
        <f>IF(OR(E4665="",E4665="!!!"),"",IF(NOT(ISNA(VLOOKUP(E4665,E$1:E4664,1,FALSE()))),"OLD",IF(AND(E4665&lt;&gt;"",E4665&lt;&gt;"!!!"),"NEW","")))</f>
        <v> </v>
      </c>
      <c r="G4665" s="24" t="str">
        <f>IF(OR(E4665="",E4665="!!!"),"",IF(OR(J4665=0,AND(J4665=1,K4665=1),AND(J4665=1,I4665="SBJ"),AND(J4665=1,I4665=0)),"?IN_FOCUS",IF(J4665&lt;=2,"?ACTIVATED",IF(J4665&lt;&gt;"","?FAMILIAR",IF(F4665="NEW",IF(ISNA(VLOOKUP(E4665,#REF!,1,FALSE())),"?TYPE_IDENTIFIABLE","?REFERENTIAL"),"_")))))</f>
        <v> </v>
      </c>
      <c r="H4665" s="25" t="str">
        <f>IF(J4665&lt;&gt;1,"",IF(I4665="SBJ","CB","?"))</f>
        <v> </v>
      </c>
      <c r="I4665" s="26" t="str">
        <f>IF(OR(E4665="",E4665="!!!",F4665="NEW"),"",INDEX(B4664:B$2,-1+SUMPRODUCT(MAX(ROW(E4664:E$2)*(E4665=E4664:E$2)))))</f>
        <v> </v>
      </c>
      <c r="J4665" s="26" t="str">
        <f>IF(OR(E4665="",E4665="!!!",F4665="NEW"),"",COUNTBLANK(OFFSET(A$1,,,SUMPRODUCT(MAX(ROW(E$2:E4665)*(E4665=E$2:E4665)))))-COUNTBLANK(OFFSET(A$1,,,SUMPRODUCT(MAX(ROW(E$1:E4664)*(E2=E$1:E4664))))))</f>
        <v> </v>
      </c>
      <c r="K4665" s="26" t="str">
        <f>IF(OR(E4665="",E4665="!!!",F4665="NEW"),"",INDEX(J$1:J4664,SUMPRODUCT(MAX(ROW(E$1:E4664)*(E4665=E$1:E4664)))))</f>
        <v> </v>
      </c>
      <c r="L4665" s="27"/>
    </row>
    <row r="4666" spans="1:12">
      <c r="A4666" s="20" t="s">
        <v>2473</v>
      </c>
      <c r="B4666" s="21" t="s">
        <v>1175</v>
      </c>
      <c r="C4666" s="21" t="s">
        <v>1182</v>
      </c>
      <c r="E4666" s="22">
        <f>IF(D4666="?OLD","!!!","")</f>
        <v/>
      </c>
      <c r="F4666" s="23" t="str">
        <f>IF(OR(E4666="",E4666="!!!"),"",IF(NOT(ISNA(VLOOKUP(E4666,E$1:E4665,1,FALSE()))),"OLD",IF(AND(E4666&lt;&gt;"",E4666&lt;&gt;"!!!"),"NEW","")))</f>
        <v> </v>
      </c>
      <c r="G4666" s="24" t="str">
        <f>IF(OR(E4666="",E4666="!!!"),"",IF(OR(J4666=0,AND(J4666=1,K4666=1),AND(J4666=1,I4666="SBJ"),AND(J4666=1,I4666=0)),"?IN_FOCUS",IF(J4666&lt;=2,"?ACTIVATED",IF(J4666&lt;&gt;"","?FAMILIAR",IF(F4666="NEW",IF(ISNA(VLOOKUP(E4666,#REF!,1,FALSE())),"?TYPE_IDENTIFIABLE","?REFERENTIAL"),"_")))))</f>
        <v> </v>
      </c>
      <c r="H4666" s="25" t="str">
        <f>IF(J4666&lt;&gt;1,"",IF(I4666="SBJ","CB","?"))</f>
        <v> </v>
      </c>
      <c r="I4666" s="26" t="str">
        <f>IF(OR(E4666="",E4666="!!!",F4666="NEW"),"",INDEX(B4665:B$2,-1+SUMPRODUCT(MAX(ROW(E4665:E$2)*(E4666=E4665:E$2)))))</f>
        <v> </v>
      </c>
      <c r="J4666" s="26" t="str">
        <f>IF(OR(E4666="",E4666="!!!",F4666="NEW"),"",COUNTBLANK(OFFSET(A$1,,,SUMPRODUCT(MAX(ROW(E$2:E4666)*(E4666=E$2:E4666)))))-COUNTBLANK(OFFSET(A$1,,,SUMPRODUCT(MAX(ROW(E$1:E4665)*(E2=E$1:E4665))))))</f>
        <v> </v>
      </c>
      <c r="K4666" s="26" t="str">
        <f>IF(OR(E4666="",E4666="!!!",F4666="NEW"),"",INDEX(J$1:J4665,SUMPRODUCT(MAX(ROW(E$1:E4665)*(E4666=E$1:E4665)))))</f>
        <v> </v>
      </c>
      <c r="L4666" s="27"/>
    </row>
    <row r="4667" spans="1:12">
      <c r="A4667" s="20" t="s">
        <v>2474</v>
      </c>
      <c r="E4667" s="22">
        <f>IF(D4667="?OLD","!!!","")</f>
        <v/>
      </c>
      <c r="F4667" s="23" t="str">
        <f>IF(OR(E4667="",E4667="!!!"),"",IF(NOT(ISNA(VLOOKUP(E4667,E$1:E4666,1,FALSE()))),"OLD",IF(AND(E4667&lt;&gt;"",E4667&lt;&gt;"!!!"),"NEW","")))</f>
        <v> </v>
      </c>
      <c r="G4667" s="24" t="str">
        <f>IF(OR(E4667="",E4667="!!!"),"",IF(OR(J4667=0,AND(J4667=1,K4667=1),AND(J4667=1,I4667="SBJ"),AND(J4667=1,I4667=0)),"?IN_FOCUS",IF(J4667&lt;=2,"?ACTIVATED",IF(J4667&lt;&gt;"","?FAMILIAR",IF(F4667="NEW",IF(ISNA(VLOOKUP(E4667,#REF!,1,FALSE())),"?TYPE_IDENTIFIABLE","?REFERENTIAL"),"_")))))</f>
        <v> </v>
      </c>
      <c r="H4667" s="25" t="str">
        <f>IF(J4667&lt;&gt;1,"",IF(I4667="SBJ","CB","?"))</f>
        <v> </v>
      </c>
      <c r="I4667" s="26" t="str">
        <f>IF(OR(E4667="",E4667="!!!",F4667="NEW"),"",INDEX(B4666:B$2,-1+SUMPRODUCT(MAX(ROW(E4666:E$2)*(E4667=E4666:E$2)))))</f>
        <v> </v>
      </c>
      <c r="J4667" s="26" t="str">
        <f>IF(OR(E4667="",E4667="!!!",F4667="NEW"),"",COUNTBLANK(OFFSET(A$1,,,SUMPRODUCT(MAX(ROW(E$2:E4667)*(E4667=E$2:E4667)))))-COUNTBLANK(OFFSET(A$1,,,SUMPRODUCT(MAX(ROW(E$1:E4666)*(E2=E$1:E4666))))))</f>
        <v> </v>
      </c>
      <c r="K4667" s="26" t="str">
        <f>IF(OR(E4667="",E4667="!!!",F4667="NEW"),"",INDEX(J$1:J4666,SUMPRODUCT(MAX(ROW(E$1:E4666)*(E4667=E$1:E4666)))))</f>
        <v> </v>
      </c>
      <c r="L4667" s="27"/>
    </row>
    <row r="4668" spans="1:12">
      <c r="A4668" s="20" t="s">
        <v>1166</v>
      </c>
      <c r="E4668" s="22">
        <f>IF(D4668="?OLD","!!!","")</f>
        <v/>
      </c>
      <c r="F4668" s="23" t="str">
        <f>IF(OR(E4668="",E4668="!!!"),"",IF(NOT(ISNA(VLOOKUP(E4668,E$1:E4667,1,FALSE()))),"OLD",IF(AND(E4668&lt;&gt;"",E4668&lt;&gt;"!!!"),"NEW","")))</f>
        <v> </v>
      </c>
      <c r="G4668" s="24" t="str">
        <f>IF(OR(E4668="",E4668="!!!"),"",IF(OR(J4668=0,AND(J4668=1,K4668=1),AND(J4668=1,I4668="SBJ"),AND(J4668=1,I4668=0)),"?IN_FOCUS",IF(J4668&lt;=2,"?ACTIVATED",IF(J4668&lt;&gt;"","?FAMILIAR",IF(F4668="NEW",IF(ISNA(VLOOKUP(E4668,#REF!,1,FALSE())),"?TYPE_IDENTIFIABLE","?REFERENTIAL"),"_")))))</f>
        <v> </v>
      </c>
      <c r="H4668" s="25" t="str">
        <f>IF(J4668&lt;&gt;1,"",IF(I4668="SBJ","CB","?"))</f>
        <v> </v>
      </c>
      <c r="I4668" s="26" t="str">
        <f>IF(OR(E4668="",E4668="!!!",F4668="NEW"),"",INDEX(B4667:B$2,-1+SUMPRODUCT(MAX(ROW(E4667:E$2)*(E4668=E4667:E$2)))))</f>
        <v> </v>
      </c>
      <c r="J4668" s="26" t="str">
        <f>IF(OR(E4668="",E4668="!!!",F4668="NEW"),"",COUNTBLANK(OFFSET(A$1,,,SUMPRODUCT(MAX(ROW(E$2:E4668)*(E4668=E$2:E4668)))))-COUNTBLANK(OFFSET(A$1,,,SUMPRODUCT(MAX(ROW(E$1:E4667)*(E2=E$1:E4667))))))</f>
        <v> </v>
      </c>
      <c r="K4668" s="26" t="str">
        <f>IF(OR(E4668="",E4668="!!!",F4668="NEW"),"",INDEX(J$1:J4667,SUMPRODUCT(MAX(ROW(E$1:E4667)*(E4668=E$1:E4667)))))</f>
        <v> </v>
      </c>
      <c r="L4668" s="27"/>
    </row>
    <row r="4669" spans="1:12">
      <c r="A4669" s="20" t="s">
        <v>1197</v>
      </c>
      <c r="E4669" s="22">
        <f>IF(D4669="?OLD","!!!","")</f>
        <v/>
      </c>
      <c r="F4669" s="23" t="str">
        <f>IF(OR(E4669="",E4669="!!!"),"",IF(NOT(ISNA(VLOOKUP(E4669,E$1:E4668,1,FALSE()))),"OLD",IF(AND(E4669&lt;&gt;"",E4669&lt;&gt;"!!!"),"NEW","")))</f>
        <v> </v>
      </c>
      <c r="G4669" s="24" t="str">
        <f>IF(OR(E4669="",E4669="!!!"),"",IF(OR(J4669=0,AND(J4669=1,K4669=1),AND(J4669=1,I4669="SBJ"),AND(J4669=1,I4669=0)),"?IN_FOCUS",IF(J4669&lt;=2,"?ACTIVATED",IF(J4669&lt;&gt;"","?FAMILIAR",IF(F4669="NEW",IF(ISNA(VLOOKUP(E4669,#REF!,1,FALSE())),"?TYPE_IDENTIFIABLE","?REFERENTIAL"),"_")))))</f>
        <v> </v>
      </c>
      <c r="H4669" s="25" t="str">
        <f>IF(J4669&lt;&gt;1,"",IF(I4669="SBJ","CB","?"))</f>
        <v> </v>
      </c>
      <c r="I4669" s="26" t="str">
        <f>IF(OR(E4669="",E4669="!!!",F4669="NEW"),"",INDEX(B4668:B$2,-1+SUMPRODUCT(MAX(ROW(E4668:E$2)*(E4669=E4668:E$2)))))</f>
        <v> </v>
      </c>
      <c r="J4669" s="26" t="str">
        <f>IF(OR(E4669="",E4669="!!!",F4669="NEW"),"",COUNTBLANK(OFFSET(A$1,,,SUMPRODUCT(MAX(ROW(E$2:E4669)*(E4669=E$2:E4669)))))-COUNTBLANK(OFFSET(A$1,,,SUMPRODUCT(MAX(ROW(E$1:E4668)*(E2=E$1:E4668))))))</f>
        <v> </v>
      </c>
      <c r="K4669" s="26" t="str">
        <f>IF(OR(E4669="",E4669="!!!",F4669="NEW"),"",INDEX(J$1:J4668,SUMPRODUCT(MAX(ROW(E$1:E4668)*(E4669=E$1:E4668)))))</f>
        <v> </v>
      </c>
      <c r="L4669" s="27"/>
    </row>
    <row r="4670" spans="1:12">
      <c r="A4670" s="20" t="s">
        <v>2475</v>
      </c>
      <c r="E4670" s="22">
        <f>IF(D4670="?OLD","!!!","")</f>
        <v/>
      </c>
      <c r="F4670" s="23" t="str">
        <f>IF(OR(E4670="",E4670="!!!"),"",IF(NOT(ISNA(VLOOKUP(E4670,E$1:E4669,1,FALSE()))),"OLD",IF(AND(E4670&lt;&gt;"",E4670&lt;&gt;"!!!"),"NEW","")))</f>
        <v> </v>
      </c>
      <c r="G4670" s="24" t="str">
        <f>IF(OR(E4670="",E4670="!!!"),"",IF(OR(J4670=0,AND(J4670=1,K4670=1),AND(J4670=1,I4670="SBJ"),AND(J4670=1,I4670=0)),"?IN_FOCUS",IF(J4670&lt;=2,"?ACTIVATED",IF(J4670&lt;&gt;"","?FAMILIAR",IF(F4670="NEW",IF(ISNA(VLOOKUP(E4670,#REF!,1,FALSE())),"?TYPE_IDENTIFIABLE","?REFERENTIAL"),"_")))))</f>
        <v> </v>
      </c>
      <c r="H4670" s="25" t="str">
        <f>IF(J4670&lt;&gt;1,"",IF(I4670="SBJ","CB","?"))</f>
        <v> </v>
      </c>
      <c r="I4670" s="26" t="str">
        <f>IF(OR(E4670="",E4670="!!!",F4670="NEW"),"",INDEX(B4669:B$2,-1+SUMPRODUCT(MAX(ROW(E4669:E$2)*(E4670=E4669:E$2)))))</f>
        <v> </v>
      </c>
      <c r="J4670" s="26" t="str">
        <f>IF(OR(E4670="",E4670="!!!",F4670="NEW"),"",COUNTBLANK(OFFSET(A$1,,,SUMPRODUCT(MAX(ROW(E$2:E4670)*(E4670=E$2:E4670)))))-COUNTBLANK(OFFSET(A$1,,,SUMPRODUCT(MAX(ROW(E$1:E4669)*(E2=E$1:E4669))))))</f>
        <v> </v>
      </c>
      <c r="K4670" s="26" t="str">
        <f>IF(OR(E4670="",E4670="!!!",F4670="NEW"),"",INDEX(J$1:J4669,SUMPRODUCT(MAX(ROW(E$1:E4669)*(E4670=E$1:E4669)))))</f>
        <v> </v>
      </c>
      <c r="L4670" s="27"/>
    </row>
    <row r="4671" spans="1:12">
      <c r="A4671" s="20" t="s">
        <v>2476</v>
      </c>
      <c r="E4671" s="22">
        <f>IF(D4671="?OLD","!!!","")</f>
        <v/>
      </c>
      <c r="F4671" s="23" t="str">
        <f>IF(OR(E4671="",E4671="!!!"),"",IF(NOT(ISNA(VLOOKUP(E4671,E$1:E4670,1,FALSE()))),"OLD",IF(AND(E4671&lt;&gt;"",E4671&lt;&gt;"!!!"),"NEW","")))</f>
        <v> </v>
      </c>
      <c r="G4671" s="24" t="str">
        <f>IF(OR(E4671="",E4671="!!!"),"",IF(OR(J4671=0,AND(J4671=1,K4671=1),AND(J4671=1,I4671="SBJ"),AND(J4671=1,I4671=0)),"?IN_FOCUS",IF(J4671&lt;=2,"?ACTIVATED",IF(J4671&lt;&gt;"","?FAMILIAR",IF(F4671="NEW",IF(ISNA(VLOOKUP(E4671,#REF!,1,FALSE())),"?TYPE_IDENTIFIABLE","?REFERENTIAL"),"_")))))</f>
        <v> </v>
      </c>
      <c r="H4671" s="25" t="str">
        <f>IF(J4671&lt;&gt;1,"",IF(I4671="SBJ","CB","?"))</f>
        <v> </v>
      </c>
      <c r="I4671" s="26" t="str">
        <f>IF(OR(E4671="",E4671="!!!",F4671="NEW"),"",INDEX(B4670:B$2,-1+SUMPRODUCT(MAX(ROW(E4670:E$2)*(E4671=E4670:E$2)))))</f>
        <v> </v>
      </c>
      <c r="J4671" s="26" t="str">
        <f>IF(OR(E4671="",E4671="!!!",F4671="NEW"),"",COUNTBLANK(OFFSET(A$1,,,SUMPRODUCT(MAX(ROW(E$2:E4671)*(E4671=E$2:E4671)))))-COUNTBLANK(OFFSET(A$1,,,SUMPRODUCT(MAX(ROW(E$1:E4670)*(E2=E$1:E4670))))))</f>
        <v> </v>
      </c>
      <c r="K4671" s="26" t="str">
        <f>IF(OR(E4671="",E4671="!!!",F4671="NEW"),"",INDEX(J$1:J4670,SUMPRODUCT(MAX(ROW(E$1:E4670)*(E4671=E$1:E4670)))))</f>
        <v> </v>
      </c>
      <c r="L4671" s="27"/>
    </row>
    <row r="4672" spans="1:12">
      <c r="A4672" s="20" t="s">
        <v>2267</v>
      </c>
      <c r="B4672" s="21" t="s">
        <v>1311</v>
      </c>
      <c r="C4672" s="21" t="s">
        <v>1187</v>
      </c>
      <c r="E4672" s="22">
        <f>IF(D4672="?OLD","!!!","")</f>
        <v/>
      </c>
      <c r="F4672" s="23" t="str">
        <f>IF(OR(E4672="",E4672="!!!"),"",IF(NOT(ISNA(VLOOKUP(E4672,E$1:E4671,1,FALSE()))),"OLD",IF(AND(E4672&lt;&gt;"",E4672&lt;&gt;"!!!"),"NEW","")))</f>
        <v> </v>
      </c>
      <c r="G4672" s="24" t="str">
        <f>IF(OR(E4672="",E4672="!!!"),"",IF(OR(J4672=0,AND(J4672=1,K4672=1),AND(J4672=1,I4672="SBJ"),AND(J4672=1,I4672=0)),"?IN_FOCUS",IF(J4672&lt;=2,"?ACTIVATED",IF(J4672&lt;&gt;"","?FAMILIAR",IF(F4672="NEW",IF(ISNA(VLOOKUP(E4672,#REF!,1,FALSE())),"?TYPE_IDENTIFIABLE","?REFERENTIAL"),"_")))))</f>
        <v> </v>
      </c>
      <c r="H4672" s="25" t="str">
        <f>IF(J4672&lt;&gt;1,"",IF(I4672="SBJ","CB","?"))</f>
        <v> </v>
      </c>
      <c r="I4672" s="26" t="str">
        <f>IF(OR(E4672="",E4672="!!!",F4672="NEW"),"",INDEX(B4671:B$2,-1+SUMPRODUCT(MAX(ROW(E4671:E$2)*(E4672=E4671:E$2)))))</f>
        <v> </v>
      </c>
      <c r="J4672" s="26" t="str">
        <f>IF(OR(E4672="",E4672="!!!",F4672="NEW"),"",COUNTBLANK(OFFSET(A$1,,,SUMPRODUCT(MAX(ROW(E$2:E4672)*(E4672=E$2:E4672)))))-COUNTBLANK(OFFSET(A$1,,,SUMPRODUCT(MAX(ROW(E$1:E4671)*(E2=E$1:E4671))))))</f>
        <v> </v>
      </c>
      <c r="K4672" s="26" t="str">
        <f>IF(OR(E4672="",E4672="!!!",F4672="NEW"),"",INDEX(J$1:J4671,SUMPRODUCT(MAX(ROW(E$1:E4671)*(E4672=E$1:E4671)))))</f>
        <v> </v>
      </c>
      <c r="L4672" s="27"/>
    </row>
    <row r="4673" spans="1:12">
      <c r="A4673" s="20" t="s">
        <v>2290</v>
      </c>
      <c r="E4673" s="22">
        <f>IF(D4673="?OLD","!!!","")</f>
        <v/>
      </c>
      <c r="F4673" s="23" t="str">
        <f>IF(OR(E4673="",E4673="!!!"),"",IF(NOT(ISNA(VLOOKUP(E4673,E$1:E4672,1,FALSE()))),"OLD",IF(AND(E4673&lt;&gt;"",E4673&lt;&gt;"!!!"),"NEW","")))</f>
        <v> </v>
      </c>
      <c r="G4673" s="24" t="str">
        <f>IF(OR(E4673="",E4673="!!!"),"",IF(OR(J4673=0,AND(J4673=1,K4673=1),AND(J4673=1,I4673="SBJ"),AND(J4673=1,I4673=0)),"?IN_FOCUS",IF(J4673&lt;=2,"?ACTIVATED",IF(J4673&lt;&gt;"","?FAMILIAR",IF(F4673="NEW",IF(ISNA(VLOOKUP(E4673,#REF!,1,FALSE())),"?TYPE_IDENTIFIABLE","?REFERENTIAL"),"_")))))</f>
        <v> </v>
      </c>
      <c r="H4673" s="25" t="str">
        <f>IF(J4673&lt;&gt;1,"",IF(I4673="SBJ","CB","?"))</f>
        <v> </v>
      </c>
      <c r="I4673" s="26" t="str">
        <f>IF(OR(E4673="",E4673="!!!",F4673="NEW"),"",INDEX(B4672:B$2,-1+SUMPRODUCT(MAX(ROW(E4672:E$2)*(E4673=E4672:E$2)))))</f>
        <v> </v>
      </c>
      <c r="J4673" s="26" t="str">
        <f>IF(OR(E4673="",E4673="!!!",F4673="NEW"),"",COUNTBLANK(OFFSET(A$1,,,SUMPRODUCT(MAX(ROW(E$2:E4673)*(E4673=E$2:E4673)))))-COUNTBLANK(OFFSET(A$1,,,SUMPRODUCT(MAX(ROW(E$1:E4672)*(E2=E$1:E4672))))))</f>
        <v> </v>
      </c>
      <c r="K4673" s="26" t="str">
        <f>IF(OR(E4673="",E4673="!!!",F4673="NEW"),"",INDEX(J$1:J4672,SUMPRODUCT(MAX(ROW(E$1:E4672)*(E4673=E$1:E4672)))))</f>
        <v> </v>
      </c>
      <c r="L4673" s="27"/>
    </row>
    <row r="4674" spans="1:12">
      <c r="A4674" s="20" t="s">
        <v>2300</v>
      </c>
      <c r="E4674" s="22">
        <f>IF(D4674="?OLD","!!!","")</f>
        <v/>
      </c>
      <c r="F4674" s="23" t="str">
        <f>IF(OR(E4674="",E4674="!!!"),"",IF(NOT(ISNA(VLOOKUP(E4674,E$1:E4673,1,FALSE()))),"OLD",IF(AND(E4674&lt;&gt;"",E4674&lt;&gt;"!!!"),"NEW","")))</f>
        <v> </v>
      </c>
      <c r="G4674" s="24" t="str">
        <f>IF(OR(E4674="",E4674="!!!"),"",IF(OR(J4674=0,AND(J4674=1,K4674=1),AND(J4674=1,I4674="SBJ"),AND(J4674=1,I4674=0)),"?IN_FOCUS",IF(J4674&lt;=2,"?ACTIVATED",IF(J4674&lt;&gt;"","?FAMILIAR",IF(F4674="NEW",IF(ISNA(VLOOKUP(E4674,#REF!,1,FALSE())),"?TYPE_IDENTIFIABLE","?REFERENTIAL"),"_")))))</f>
        <v> </v>
      </c>
      <c r="H4674" s="25" t="str">
        <f>IF(J4674&lt;&gt;1,"",IF(I4674="SBJ","CB","?"))</f>
        <v> </v>
      </c>
      <c r="I4674" s="26" t="str">
        <f>IF(OR(E4674="",E4674="!!!",F4674="NEW"),"",INDEX(B4673:B$2,-1+SUMPRODUCT(MAX(ROW(E4673:E$2)*(E4674=E4673:E$2)))))</f>
        <v> </v>
      </c>
      <c r="J4674" s="26" t="str">
        <f>IF(OR(E4674="",E4674="!!!",F4674="NEW"),"",COUNTBLANK(OFFSET(A$1,,,SUMPRODUCT(MAX(ROW(E$2:E4674)*(E4674=E$2:E4674)))))-COUNTBLANK(OFFSET(A$1,,,SUMPRODUCT(MAX(ROW(E$1:E4673)*(E2=E$1:E4673))))))</f>
        <v> </v>
      </c>
      <c r="K4674" s="26" t="str">
        <f>IF(OR(E4674="",E4674="!!!",F4674="NEW"),"",INDEX(J$1:J4673,SUMPRODUCT(MAX(ROW(E$1:E4673)*(E4674=E$1:E4673)))))</f>
        <v> </v>
      </c>
      <c r="L4674" s="27"/>
    </row>
    <row r="4675" spans="1:12">
      <c r="A4675" s="20"/>
    </row>
    <row r="4676" spans="1:12">
      <c r="A4676" s="20" t="s">
        <v>2477</v>
      </c>
    </row>
    <row r="4677" spans="1:12">
      <c r="A4677" s="20" t="s">
        <v>1238</v>
      </c>
      <c r="E4677" s="22">
        <f>IF(D4677="?OLD","!!!","")</f>
        <v/>
      </c>
      <c r="F4677" s="23" t="str">
        <f>IF(OR(E4677="",E4677="!!!"),"",IF(NOT(ISNA(VLOOKUP(E4677,E$1:E4676,1,FALSE()))),"OLD",IF(AND(E4677&lt;&gt;"",E4677&lt;&gt;"!!!"),"NEW","")))</f>
        <v> </v>
      </c>
      <c r="G4677" s="24" t="str">
        <f>IF(OR(E4677="",E4677="!!!"),"",IF(OR(J4677=0,AND(J4677=1,K4677=1),AND(J4677=1,I4677="SBJ"),AND(J4677=1,I4677=0)),"?IN_FOCUS",IF(J4677&lt;=2,"?ACTIVATED",IF(J4677&lt;&gt;"","?FAMILIAR",IF(F4677="NEW",IF(ISNA(VLOOKUP(E4677,#REF!,1,FALSE())),"?TYPE_IDENTIFIABLE","?REFERENTIAL"),"_")))))</f>
        <v> </v>
      </c>
      <c r="H4677" s="25" t="str">
        <f>IF(J4677&lt;&gt;1,"",IF(I4677="SBJ","CB","?"))</f>
        <v> </v>
      </c>
      <c r="I4677" s="26" t="str">
        <f>IF(OR(E4677="",E4677="!!!",F4677="NEW"),"",INDEX(B4676:B$2,-1+SUMPRODUCT(MAX(ROW(E4676:E$2)*(E4677=E4676:E$2)))))</f>
        <v> </v>
      </c>
      <c r="J4677" s="26" t="str">
        <f>IF(OR(E4677="",E4677="!!!",F4677="NEW"),"",COUNTBLANK(OFFSET(A$1,,,SUMPRODUCT(MAX(ROW(E$2:E4677)*(E4677=E$2:E4677)))))-COUNTBLANK(OFFSET(A$1,,,SUMPRODUCT(MAX(ROW(E$1:E4676)*(E2=E$1:E4676))))))</f>
        <v> </v>
      </c>
      <c r="K4677" s="26" t="str">
        <f>IF(OR(E4677="",E4677="!!!",F4677="NEW"),"",INDEX(J$1:J4676,SUMPRODUCT(MAX(ROW(E$1:E4676)*(E4677=E$1:E4676)))))</f>
        <v> </v>
      </c>
      <c r="L4677" s="27"/>
    </row>
    <row r="4678" spans="1:12">
      <c r="A4678" s="20" t="s">
        <v>2478</v>
      </c>
      <c r="B4678" s="21" t="s">
        <v>1165</v>
      </c>
      <c r="C4678" s="21" t="s">
        <v>1162</v>
      </c>
      <c r="D4678" s="21" t="s">
        <v>1144</v>
      </c>
      <c r="E4678" s="22">
        <f>IF(D4678="?OLD","!!!","")</f>
        <v/>
      </c>
      <c r="F4678" s="23" t="str">
        <f>IF(OR(E4678="",E4678="!!!"),"",IF(NOT(ISNA(VLOOKUP(E4678,E$1:E4677,1,FALSE()))),"OLD",IF(AND(E4678&lt;&gt;"",E4678&lt;&gt;"!!!"),"NEW","")))</f>
        <v> </v>
      </c>
      <c r="G4678" s="24" t="str">
        <f>IF(OR(E4678="",E4678="!!!"),"",IF(OR(J4678=0,AND(J4678=1,K4678=1),AND(J4678=1,I4678="SBJ"),AND(J4678=1,I4678=0)),"?IN_FOCUS",IF(J4678&lt;=2,"?ACTIVATED",IF(J4678&lt;&gt;"","?FAMILIAR",IF(F4678="NEW",IF(ISNA(VLOOKUP(E4678,#REF!,1,FALSE())),"?TYPE_IDENTIFIABLE","?REFERENTIAL"),"_")))))</f>
        <v> </v>
      </c>
      <c r="H4678" s="25" t="str">
        <f>IF(J4678&lt;&gt;1,"",IF(I4678="SBJ","CB","?"))</f>
        <v> </v>
      </c>
      <c r="I4678" s="26" t="str">
        <f>IF(OR(E4678="",E4678="!!!",F4678="NEW"),"",INDEX(B4677:B$2,-1+SUMPRODUCT(MAX(ROW(E4677:E$2)*(E4678=E4677:E$2)))))</f>
        <v> </v>
      </c>
      <c r="J4678" s="26" t="str">
        <f>IF(OR(E4678="",E4678="!!!",F4678="NEW"),"",COUNTBLANK(OFFSET(A$1,,,SUMPRODUCT(MAX(ROW(E$2:E4678)*(E4678=E$2:E4678)))))-COUNTBLANK(OFFSET(A$1,,,SUMPRODUCT(MAX(ROW(E$1:E4677)*(E2=E$1:E4677))))))</f>
        <v> </v>
      </c>
      <c r="K4678" s="26" t="str">
        <f>IF(OR(E4678="",E4678="!!!",F4678="NEW"),"",INDEX(J$1:J4677,SUMPRODUCT(MAX(ROW(E$1:E4677)*(E4678=E$1:E4677)))))</f>
        <v> </v>
      </c>
      <c r="L4678" s="27"/>
    </row>
    <row r="4679" spans="1:12">
      <c r="A4679" s="20" t="s">
        <v>1166</v>
      </c>
      <c r="E4679" s="22">
        <f>IF(D4679="?OLD","!!!","")</f>
        <v/>
      </c>
      <c r="F4679" s="23" t="str">
        <f>IF(OR(E4679="",E4679="!!!"),"",IF(NOT(ISNA(VLOOKUP(E4679,E$1:E4678,1,FALSE()))),"OLD",IF(AND(E4679&lt;&gt;"",E4679&lt;&gt;"!!!"),"NEW","")))</f>
        <v> </v>
      </c>
      <c r="G4679" s="24" t="str">
        <f>IF(OR(E4679="",E4679="!!!"),"",IF(OR(J4679=0,AND(J4679=1,K4679=1),AND(J4679=1,I4679="SBJ"),AND(J4679=1,I4679=0)),"?IN_FOCUS",IF(J4679&lt;=2,"?ACTIVATED",IF(J4679&lt;&gt;"","?FAMILIAR",IF(F4679="NEW",IF(ISNA(VLOOKUP(E4679,#REF!,1,FALSE())),"?TYPE_IDENTIFIABLE","?REFERENTIAL"),"_")))))</f>
        <v> </v>
      </c>
      <c r="H4679" s="25" t="str">
        <f>IF(J4679&lt;&gt;1,"",IF(I4679="SBJ","CB","?"))</f>
        <v> </v>
      </c>
      <c r="I4679" s="26" t="str">
        <f>IF(OR(E4679="",E4679="!!!",F4679="NEW"),"",INDEX(B4678:B$2,-1+SUMPRODUCT(MAX(ROW(E4678:E$2)*(E4679=E4678:E$2)))))</f>
        <v> </v>
      </c>
      <c r="J4679" s="26" t="str">
        <f>IF(OR(E4679="",E4679="!!!",F4679="NEW"),"",COUNTBLANK(OFFSET(A$1,,,SUMPRODUCT(MAX(ROW(E$2:E4679)*(E4679=E$2:E4679)))))-COUNTBLANK(OFFSET(A$1,,,SUMPRODUCT(MAX(ROW(E$1:E4678)*(E2=E$1:E4678))))))</f>
        <v> </v>
      </c>
      <c r="K4679" s="26" t="str">
        <f>IF(OR(E4679="",E4679="!!!",F4679="NEW"),"",INDEX(J$1:J4678,SUMPRODUCT(MAX(ROW(E$1:E4678)*(E4679=E$1:E4678)))))</f>
        <v> </v>
      </c>
      <c r="L4679" s="27"/>
    </row>
    <row r="4680" spans="1:12">
      <c r="A4680" s="20" t="s">
        <v>1191</v>
      </c>
      <c r="B4680" s="21" t="s">
        <v>1175</v>
      </c>
      <c r="E4680" s="22">
        <f>IF(D4680="?OLD","!!!","")</f>
        <v/>
      </c>
      <c r="F4680" s="23" t="str">
        <f>IF(OR(E4680="",E4680="!!!"),"",IF(NOT(ISNA(VLOOKUP(E4680,E$1:E4679,1,FALSE()))),"OLD",IF(AND(E4680&lt;&gt;"",E4680&lt;&gt;"!!!"),"NEW","")))</f>
        <v> </v>
      </c>
      <c r="G4680" s="24" t="str">
        <f>IF(OR(E4680="",E4680="!!!"),"",IF(OR(J4680=0,AND(J4680=1,K4680=1),AND(J4680=1,I4680="SBJ"),AND(J4680=1,I4680=0)),"?IN_FOCUS",IF(J4680&lt;=2,"?ACTIVATED",IF(J4680&lt;&gt;"","?FAMILIAR",IF(F4680="NEW",IF(ISNA(VLOOKUP(E4680,#REF!,1,FALSE())),"?TYPE_IDENTIFIABLE","?REFERENTIAL"),"_")))))</f>
        <v> </v>
      </c>
      <c r="H4680" s="25" t="str">
        <f>IF(J4680&lt;&gt;1,"",IF(I4680="SBJ","CB","?"))</f>
        <v> </v>
      </c>
      <c r="I4680" s="26" t="str">
        <f>IF(OR(E4680="",E4680="!!!",F4680="NEW"),"",INDEX(B4679:B$2,-1+SUMPRODUCT(MAX(ROW(E4679:E$2)*(E4680=E4679:E$2)))))</f>
        <v> </v>
      </c>
      <c r="J4680" s="26" t="str">
        <f>IF(OR(E4680="",E4680="!!!",F4680="NEW"),"",COUNTBLANK(OFFSET(A$1,,,SUMPRODUCT(MAX(ROW(E$2:E4680)*(E4680=E$2:E4680)))))-COUNTBLANK(OFFSET(A$1,,,SUMPRODUCT(MAX(ROW(E$1:E4679)*(E2=E$1:E4679))))))</f>
        <v> </v>
      </c>
      <c r="K4680" s="26" t="str">
        <f>IF(OR(E4680="",E4680="!!!",F4680="NEW"),"",INDEX(J$1:J4679,SUMPRODUCT(MAX(ROW(E$1:E4679)*(E4680=E$1:E4679)))))</f>
        <v> </v>
      </c>
      <c r="L4680" s="27"/>
    </row>
    <row r="4681" spans="1:12">
      <c r="A4681" s="20" t="s">
        <v>1308</v>
      </c>
      <c r="E4681" s="22">
        <f>IF(D4681="?OLD","!!!","")</f>
        <v/>
      </c>
      <c r="F4681" s="23" t="str">
        <f>IF(OR(E4681="",E4681="!!!"),"",IF(NOT(ISNA(VLOOKUP(E4681,E$1:E4680,1,FALSE()))),"OLD",IF(AND(E4681&lt;&gt;"",E4681&lt;&gt;"!!!"),"NEW","")))</f>
        <v> </v>
      </c>
      <c r="G4681" s="24" t="str">
        <f>IF(OR(E4681="",E4681="!!!"),"",IF(OR(J4681=0,AND(J4681=1,K4681=1),AND(J4681=1,I4681="SBJ"),AND(J4681=1,I4681=0)),"?IN_FOCUS",IF(J4681&lt;=2,"?ACTIVATED",IF(J4681&lt;&gt;"","?FAMILIAR",IF(F4681="NEW",IF(ISNA(VLOOKUP(E4681,#REF!,1,FALSE())),"?TYPE_IDENTIFIABLE","?REFERENTIAL"),"_")))))</f>
        <v> </v>
      </c>
      <c r="H4681" s="25" t="str">
        <f>IF(J4681&lt;&gt;1,"",IF(I4681="SBJ","CB","?"))</f>
        <v> </v>
      </c>
      <c r="I4681" s="26" t="str">
        <f>IF(OR(E4681="",E4681="!!!",F4681="NEW"),"",INDEX(B4680:B$2,-1+SUMPRODUCT(MAX(ROW(E4680:E$2)*(E4681=E4680:E$2)))))</f>
        <v> </v>
      </c>
      <c r="J4681" s="26" t="str">
        <f>IF(OR(E4681="",E4681="!!!",F4681="NEW"),"",COUNTBLANK(OFFSET(A$1,,,SUMPRODUCT(MAX(ROW(E$2:E4681)*(E4681=E$2:E4681)))))-COUNTBLANK(OFFSET(A$1,,,SUMPRODUCT(MAX(ROW(E$1:E4680)*(E2=E$1:E4680))))))</f>
        <v> </v>
      </c>
      <c r="K4681" s="26" t="str">
        <f>IF(OR(E4681="",E4681="!!!",F4681="NEW"),"",INDEX(J$1:J4680,SUMPRODUCT(MAX(ROW(E$1:E4680)*(E4681=E$1:E4680)))))</f>
        <v> </v>
      </c>
      <c r="L4681" s="27"/>
    </row>
    <row r="4682" spans="1:12">
      <c r="A4682" s="20" t="s">
        <v>451</v>
      </c>
      <c r="E4682" s="22">
        <f>IF(D4682="?OLD","!!!","")</f>
        <v/>
      </c>
      <c r="F4682" s="23" t="str">
        <f>IF(OR(E4682="",E4682="!!!"),"",IF(NOT(ISNA(VLOOKUP(E4682,E$1:E4681,1,FALSE()))),"OLD",IF(AND(E4682&lt;&gt;"",E4682&lt;&gt;"!!!"),"NEW","")))</f>
        <v> </v>
      </c>
      <c r="G4682" s="24" t="str">
        <f>IF(OR(E4682="",E4682="!!!"),"",IF(OR(J4682=0,AND(J4682=1,K4682=1),AND(J4682=1,I4682="SBJ"),AND(J4682=1,I4682=0)),"?IN_FOCUS",IF(J4682&lt;=2,"?ACTIVATED",IF(J4682&lt;&gt;"","?FAMILIAR",IF(F4682="NEW",IF(ISNA(VLOOKUP(E4682,#REF!,1,FALSE())),"?TYPE_IDENTIFIABLE","?REFERENTIAL"),"_")))))</f>
        <v> </v>
      </c>
      <c r="H4682" s="25" t="str">
        <f>IF(J4682&lt;&gt;1,"",IF(I4682="SBJ","CB","?"))</f>
        <v> </v>
      </c>
      <c r="I4682" s="26" t="str">
        <f>IF(OR(E4682="",E4682="!!!",F4682="NEW"),"",INDEX(B4681:B$2,-1+SUMPRODUCT(MAX(ROW(E4681:E$2)*(E4682=E4681:E$2)))))</f>
        <v> </v>
      </c>
      <c r="J4682" s="26" t="str">
        <f>IF(OR(E4682="",E4682="!!!",F4682="NEW"),"",COUNTBLANK(OFFSET(A$1,,,SUMPRODUCT(MAX(ROW(E$2:E4682)*(E4682=E$2:E4682)))))-COUNTBLANK(OFFSET(A$1,,,SUMPRODUCT(MAX(ROW(E$1:E4681)*(E2=E$1:E4681))))))</f>
        <v> </v>
      </c>
      <c r="K4682" s="26" t="str">
        <f>IF(OR(E4682="",E4682="!!!",F4682="NEW"),"",INDEX(J$1:J4681,SUMPRODUCT(MAX(ROW(E$1:E4681)*(E4682=E$1:E4681)))))</f>
        <v> </v>
      </c>
      <c r="L4682" s="27"/>
    </row>
    <row r="4683" spans="1:12">
      <c r="A4683" s="20" t="s">
        <v>1166</v>
      </c>
      <c r="E4683" s="22">
        <f>IF(D4683="?OLD","!!!","")</f>
        <v/>
      </c>
      <c r="F4683" s="23" t="str">
        <f>IF(OR(E4683="",E4683="!!!"),"",IF(NOT(ISNA(VLOOKUP(E4683,E$1:E4682,1,FALSE()))),"OLD",IF(AND(E4683&lt;&gt;"",E4683&lt;&gt;"!!!"),"NEW","")))</f>
        <v> </v>
      </c>
      <c r="G4683" s="24" t="str">
        <f>IF(OR(E4683="",E4683="!!!"),"",IF(OR(J4683=0,AND(J4683=1,K4683=1),AND(J4683=1,I4683="SBJ"),AND(J4683=1,I4683=0)),"?IN_FOCUS",IF(J4683&lt;=2,"?ACTIVATED",IF(J4683&lt;&gt;"","?FAMILIAR",IF(F4683="NEW",IF(ISNA(VLOOKUP(E4683,#REF!,1,FALSE())),"?TYPE_IDENTIFIABLE","?REFERENTIAL"),"_")))))</f>
        <v> </v>
      </c>
      <c r="H4683" s="25" t="str">
        <f>IF(J4683&lt;&gt;1,"",IF(I4683="SBJ","CB","?"))</f>
        <v> </v>
      </c>
      <c r="I4683" s="26" t="str">
        <f>IF(OR(E4683="",E4683="!!!",F4683="NEW"),"",INDEX(B4682:B$2,-1+SUMPRODUCT(MAX(ROW(E4682:E$2)*(E4683=E4682:E$2)))))</f>
        <v> </v>
      </c>
      <c r="J4683" s="26" t="str">
        <f>IF(OR(E4683="",E4683="!!!",F4683="NEW"),"",COUNTBLANK(OFFSET(A$1,,,SUMPRODUCT(MAX(ROW(E$2:E4683)*(E4683=E$2:E4683)))))-COUNTBLANK(OFFSET(A$1,,,SUMPRODUCT(MAX(ROW(E$1:E4682)*(E2=E$1:E4682))))))</f>
        <v> </v>
      </c>
      <c r="K4683" s="26" t="str">
        <f>IF(OR(E4683="",E4683="!!!",F4683="NEW"),"",INDEX(J$1:J4682,SUMPRODUCT(MAX(ROW(E$1:E4682)*(E4683=E$1:E4682)))))</f>
        <v> </v>
      </c>
      <c r="L4683" s="27"/>
    </row>
    <row r="4684" spans="1:12">
      <c r="A4684" s="20" t="s">
        <v>1191</v>
      </c>
      <c r="E4684" s="22">
        <f>IF(D4684="?OLD","!!!","")</f>
        <v/>
      </c>
      <c r="F4684" s="23" t="str">
        <f>IF(OR(E4684="",E4684="!!!"),"",IF(NOT(ISNA(VLOOKUP(E4684,E$1:E4683,1,FALSE()))),"OLD",IF(AND(E4684&lt;&gt;"",E4684&lt;&gt;"!!!"),"NEW","")))</f>
        <v> </v>
      </c>
      <c r="G4684" s="24" t="str">
        <f>IF(OR(E4684="",E4684="!!!"),"",IF(OR(J4684=0,AND(J4684=1,K4684=1),AND(J4684=1,I4684="SBJ"),AND(J4684=1,I4684=0)),"?IN_FOCUS",IF(J4684&lt;=2,"?ACTIVATED",IF(J4684&lt;&gt;"","?FAMILIAR",IF(F4684="NEW",IF(ISNA(VLOOKUP(E4684,#REF!,1,FALSE())),"?TYPE_IDENTIFIABLE","?REFERENTIAL"),"_")))))</f>
        <v> </v>
      </c>
      <c r="H4684" s="25" t="str">
        <f>IF(J4684&lt;&gt;1,"",IF(I4684="SBJ","CB","?"))</f>
        <v> </v>
      </c>
      <c r="I4684" s="26" t="str">
        <f>IF(OR(E4684="",E4684="!!!",F4684="NEW"),"",INDEX(B4683:B$2,-1+SUMPRODUCT(MAX(ROW(E4683:E$2)*(E4684=E4683:E$2)))))</f>
        <v> </v>
      </c>
      <c r="J4684" s="26" t="str">
        <f>IF(OR(E4684="",E4684="!!!",F4684="NEW"),"",COUNTBLANK(OFFSET(A$1,,,SUMPRODUCT(MAX(ROW(E$2:E4684)*(E4684=E$2:E4684)))))-COUNTBLANK(OFFSET(A$1,,,SUMPRODUCT(MAX(ROW(E$1:E4683)*(E2=E$1:E4683))))))</f>
        <v> </v>
      </c>
      <c r="K4684" s="26" t="str">
        <f>IF(OR(E4684="",E4684="!!!",F4684="NEW"),"",INDEX(J$1:J4683,SUMPRODUCT(MAX(ROW(E$1:E4683)*(E4684=E$1:E4683)))))</f>
        <v> </v>
      </c>
      <c r="L4684" s="27"/>
    </row>
    <row r="4685" spans="1:12">
      <c r="A4685" s="20" t="s">
        <v>2479</v>
      </c>
      <c r="B4685" s="21" t="s">
        <v>1154</v>
      </c>
      <c r="C4685" s="21" t="s">
        <v>1162</v>
      </c>
      <c r="D4685" s="21" t="s">
        <v>1144</v>
      </c>
      <c r="E4685" s="22">
        <f>IF(D4685="?OLD","!!!","")</f>
        <v/>
      </c>
      <c r="F4685" s="23" t="str">
        <f>IF(OR(E4685="",E4685="!!!"),"",IF(NOT(ISNA(VLOOKUP(E4685,E$1:E4684,1,FALSE()))),"OLD",IF(AND(E4685&lt;&gt;"",E4685&lt;&gt;"!!!"),"NEW","")))</f>
        <v> </v>
      </c>
      <c r="G4685" s="24" t="str">
        <f>IF(OR(E4685="",E4685="!!!"),"",IF(OR(J4685=0,AND(J4685=1,K4685=1),AND(J4685=1,I4685="SBJ"),AND(J4685=1,I4685=0)),"?IN_FOCUS",IF(J4685&lt;=2,"?ACTIVATED",IF(J4685&lt;&gt;"","?FAMILIAR",IF(F4685="NEW",IF(ISNA(VLOOKUP(E4685,#REF!,1,FALSE())),"?TYPE_IDENTIFIABLE","?REFERENTIAL"),"_")))))</f>
        <v> </v>
      </c>
      <c r="H4685" s="25" t="str">
        <f>IF(J4685&lt;&gt;1,"",IF(I4685="SBJ","CB","?"))</f>
        <v> </v>
      </c>
      <c r="I4685" s="26" t="str">
        <f>IF(OR(E4685="",E4685="!!!",F4685="NEW"),"",INDEX(B4684:B$2,-1+SUMPRODUCT(MAX(ROW(E4684:E$2)*(E4685=E4684:E$2)))))</f>
        <v> </v>
      </c>
      <c r="J4685" s="26" t="str">
        <f>IF(OR(E4685="",E4685="!!!",F4685="NEW"),"",COUNTBLANK(OFFSET(A$1,,,SUMPRODUCT(MAX(ROW(E$2:E4685)*(E4685=E$2:E4685)))))-COUNTBLANK(OFFSET(A$1,,,SUMPRODUCT(MAX(ROW(E$1:E4684)*(E2=E$1:E4684))))))</f>
        <v> </v>
      </c>
      <c r="K4685" s="26" t="str">
        <f>IF(OR(E4685="",E4685="!!!",F4685="NEW"),"",INDEX(J$1:J4684,SUMPRODUCT(MAX(ROW(E$1:E4684)*(E4685=E$1:E4684)))))</f>
        <v> </v>
      </c>
      <c r="L4685" s="27"/>
    </row>
    <row r="4686" spans="1:12">
      <c r="A4686" s="20" t="s">
        <v>2480</v>
      </c>
      <c r="E4686" s="22">
        <f>IF(D4686="?OLD","!!!","")</f>
        <v/>
      </c>
      <c r="F4686" s="23" t="str">
        <f>IF(OR(E4686="",E4686="!!!"),"",IF(NOT(ISNA(VLOOKUP(E4686,E$1:E4685,1,FALSE()))),"OLD",IF(AND(E4686&lt;&gt;"",E4686&lt;&gt;"!!!"),"NEW","")))</f>
        <v> </v>
      </c>
      <c r="G4686" s="24" t="str">
        <f>IF(OR(E4686="",E4686="!!!"),"",IF(OR(J4686=0,AND(J4686=1,K4686=1),AND(J4686=1,I4686="SBJ"),AND(J4686=1,I4686=0)),"?IN_FOCUS",IF(J4686&lt;=2,"?ACTIVATED",IF(J4686&lt;&gt;"","?FAMILIAR",IF(F4686="NEW",IF(ISNA(VLOOKUP(E4686,#REF!,1,FALSE())),"?TYPE_IDENTIFIABLE","?REFERENTIAL"),"_")))))</f>
        <v> </v>
      </c>
      <c r="H4686" s="25" t="str">
        <f>IF(J4686&lt;&gt;1,"",IF(I4686="SBJ","CB","?"))</f>
        <v> </v>
      </c>
      <c r="I4686" s="26" t="str">
        <f>IF(OR(E4686="",E4686="!!!",F4686="NEW"),"",INDEX(B4685:B$2,-1+SUMPRODUCT(MAX(ROW(E4685:E$2)*(E4686=E4685:E$2)))))</f>
        <v> </v>
      </c>
      <c r="J4686" s="26" t="str">
        <f>IF(OR(E4686="",E4686="!!!",F4686="NEW"),"",COUNTBLANK(OFFSET(A$1,,,SUMPRODUCT(MAX(ROW(E$2:E4686)*(E4686=E$2:E4686)))))-COUNTBLANK(OFFSET(A$1,,,SUMPRODUCT(MAX(ROW(E$1:E4685)*(E2=E$1:E4685))))))</f>
        <v> </v>
      </c>
      <c r="K4686" s="26" t="str">
        <f>IF(OR(E4686="",E4686="!!!",F4686="NEW"),"",INDEX(J$1:J4685,SUMPRODUCT(MAX(ROW(E$1:E4685)*(E4686=E$1:E4685)))))</f>
        <v> </v>
      </c>
      <c r="L4686" s="27"/>
    </row>
    <row r="4687" spans="1:12">
      <c r="A4687" s="20" t="s">
        <v>312</v>
      </c>
      <c r="E4687" s="22">
        <f>IF(D4687="?OLD","!!!","")</f>
        <v/>
      </c>
      <c r="F4687" s="23" t="str">
        <f>IF(OR(E4687="",E4687="!!!"),"",IF(NOT(ISNA(VLOOKUP(E4687,E$1:E4686,1,FALSE()))),"OLD",IF(AND(E4687&lt;&gt;"",E4687&lt;&gt;"!!!"),"NEW","")))</f>
        <v> </v>
      </c>
      <c r="G4687" s="24" t="str">
        <f>IF(OR(E4687="",E4687="!!!"),"",IF(OR(J4687=0,AND(J4687=1,K4687=1),AND(J4687=1,I4687="SBJ"),AND(J4687=1,I4687=0)),"?IN_FOCUS",IF(J4687&lt;=2,"?ACTIVATED",IF(J4687&lt;&gt;"","?FAMILIAR",IF(F4687="NEW",IF(ISNA(VLOOKUP(E4687,#REF!,1,FALSE())),"?TYPE_IDENTIFIABLE","?REFERENTIAL"),"_")))))</f>
        <v> </v>
      </c>
      <c r="H4687" s="25" t="str">
        <f>IF(J4687&lt;&gt;1,"",IF(I4687="SBJ","CB","?"))</f>
        <v> </v>
      </c>
      <c r="I4687" s="26" t="str">
        <f>IF(OR(E4687="",E4687="!!!",F4687="NEW"),"",INDEX(B4686:B$2,-1+SUMPRODUCT(MAX(ROW(E4686:E$2)*(E4687=E4686:E$2)))))</f>
        <v> </v>
      </c>
      <c r="J4687" s="26" t="str">
        <f>IF(OR(E4687="",E4687="!!!",F4687="NEW"),"",COUNTBLANK(OFFSET(A$1,,,SUMPRODUCT(MAX(ROW(E$2:E4687)*(E4687=E$2:E4687)))))-COUNTBLANK(OFFSET(A$1,,,SUMPRODUCT(MAX(ROW(E$1:E4686)*(E2=E$1:E4686))))))</f>
        <v> </v>
      </c>
      <c r="K4687" s="26" t="str">
        <f>IF(OR(E4687="",E4687="!!!",F4687="NEW"),"",INDEX(J$1:J4686,SUMPRODUCT(MAX(ROW(E$1:E4686)*(E4687=E$1:E4686)))))</f>
        <v> </v>
      </c>
      <c r="L4687" s="27"/>
    </row>
    <row r="4688" spans="1:12">
      <c r="A4688" s="20"/>
    </row>
    <row r="4689" spans="1:12">
      <c r="A4689" s="20" t="s">
        <v>2481</v>
      </c>
    </row>
    <row r="4690" spans="1:12">
      <c r="A4690" s="20" t="s">
        <v>2482</v>
      </c>
      <c r="E4690" s="22">
        <f>IF(D4690="?OLD","!!!","")</f>
        <v/>
      </c>
      <c r="F4690" s="23" t="str">
        <f>IF(OR(E4690="",E4690="!!!"),"",IF(NOT(ISNA(VLOOKUP(E4690,E$1:E4689,1,FALSE()))),"OLD",IF(AND(E4690&lt;&gt;"",E4690&lt;&gt;"!!!"),"NEW","")))</f>
        <v> </v>
      </c>
      <c r="G4690" s="24" t="str">
        <f>IF(OR(E4690="",E4690="!!!"),"",IF(OR(J4690=0,AND(J4690=1,K4690=1),AND(J4690=1,I4690="SBJ"),AND(J4690=1,I4690=0)),"?IN_FOCUS",IF(J4690&lt;=2,"?ACTIVATED",IF(J4690&lt;&gt;"","?FAMILIAR",IF(F4690="NEW",IF(ISNA(VLOOKUP(E4690,#REF!,1,FALSE())),"?TYPE_IDENTIFIABLE","?REFERENTIAL"),"_")))))</f>
        <v> </v>
      </c>
      <c r="H4690" s="25" t="str">
        <f>IF(J4690&lt;&gt;1,"",IF(I4690="SBJ","CB","?"))</f>
        <v> </v>
      </c>
      <c r="I4690" s="26" t="str">
        <f>IF(OR(E4690="",E4690="!!!",F4690="NEW"),"",INDEX(B4689:B$2,-1+SUMPRODUCT(MAX(ROW(E4689:E$2)*(E4690=E4689:E$2)))))</f>
        <v> </v>
      </c>
      <c r="J4690" s="26" t="str">
        <f>IF(OR(E4690="",E4690="!!!",F4690="NEW"),"",COUNTBLANK(OFFSET(A$1,,,SUMPRODUCT(MAX(ROW(E$2:E4690)*(E4690=E$2:E4690)))))-COUNTBLANK(OFFSET(A$1,,,SUMPRODUCT(MAX(ROW(E$1:E4689)*(E2=E$1:E4689))))))</f>
        <v> </v>
      </c>
      <c r="K4690" s="26" t="str">
        <f>IF(OR(E4690="",E4690="!!!",F4690="NEW"),"",INDEX(J$1:J4689,SUMPRODUCT(MAX(ROW(E$1:E4689)*(E4690=E$1:E4689)))))</f>
        <v> </v>
      </c>
      <c r="L4690" s="27"/>
    </row>
    <row r="4691" spans="1:12">
      <c r="A4691" s="20" t="s">
        <v>242</v>
      </c>
      <c r="B4691" s="21" t="s">
        <v>1171</v>
      </c>
      <c r="C4691" s="21" t="s">
        <v>1168</v>
      </c>
      <c r="D4691" s="21" t="s">
        <v>1144</v>
      </c>
      <c r="E4691" s="22">
        <f>IF(D4691="?OLD","!!!","")</f>
        <v/>
      </c>
      <c r="F4691" s="23" t="str">
        <f>IF(OR(E4691="",E4691="!!!"),"",IF(NOT(ISNA(VLOOKUP(E4691,E$1:E4690,1,FALSE()))),"OLD",IF(AND(E4691&lt;&gt;"",E4691&lt;&gt;"!!!"),"NEW","")))</f>
        <v> </v>
      </c>
      <c r="G4691" s="24" t="str">
        <f>IF(OR(E4691="",E4691="!!!"),"",IF(OR(J4691=0,AND(J4691=1,K4691=1),AND(J4691=1,I4691="SBJ"),AND(J4691=1,I4691=0)),"?IN_FOCUS",IF(J4691&lt;=2,"?ACTIVATED",IF(J4691&lt;&gt;"","?FAMILIAR",IF(F4691="NEW",IF(ISNA(VLOOKUP(E4691,#REF!,1,FALSE())),"?TYPE_IDENTIFIABLE","?REFERENTIAL"),"_")))))</f>
        <v> </v>
      </c>
      <c r="H4691" s="25" t="str">
        <f>IF(J4691&lt;&gt;1,"",IF(I4691="SBJ","CB","?"))</f>
        <v> </v>
      </c>
      <c r="I4691" s="26" t="str">
        <f>IF(OR(E4691="",E4691="!!!",F4691="NEW"),"",INDEX(B4690:B$2,-1+SUMPRODUCT(MAX(ROW(E4690:E$2)*(E4691=E4690:E$2)))))</f>
        <v> </v>
      </c>
      <c r="J4691" s="26" t="str">
        <f>IF(OR(E4691="",E4691="!!!",F4691="NEW"),"",COUNTBLANK(OFFSET(A$1,,,SUMPRODUCT(MAX(ROW(E$2:E4691)*(E4691=E$2:E4691)))))-COUNTBLANK(OFFSET(A$1,,,SUMPRODUCT(MAX(ROW(E$1:E4690)*(E2=E$1:E4690))))))</f>
        <v> </v>
      </c>
      <c r="K4691" s="26" t="str">
        <f>IF(OR(E4691="",E4691="!!!",F4691="NEW"),"",INDEX(J$1:J4690,SUMPRODUCT(MAX(ROW(E$1:E4690)*(E4691=E$1:E4690)))))</f>
        <v> </v>
      </c>
      <c r="L4691" s="27"/>
    </row>
    <row r="4692" spans="1:12">
      <c r="A4692" s="20" t="s">
        <v>2483</v>
      </c>
      <c r="B4692" s="21" t="s">
        <v>1161</v>
      </c>
      <c r="C4692" s="21" t="s">
        <v>1187</v>
      </c>
      <c r="E4692" s="22">
        <f>IF(D4692="?OLD","!!!","")</f>
        <v/>
      </c>
      <c r="F4692" s="23" t="str">
        <f>IF(OR(E4692="",E4692="!!!"),"",IF(NOT(ISNA(VLOOKUP(E4692,E$1:E4691,1,FALSE()))),"OLD",IF(AND(E4692&lt;&gt;"",E4692&lt;&gt;"!!!"),"NEW","")))</f>
        <v> </v>
      </c>
      <c r="G4692" s="24" t="str">
        <f>IF(OR(E4692="",E4692="!!!"),"",IF(OR(J4692=0,AND(J4692=1,K4692=1),AND(J4692=1,I4692="SBJ"),AND(J4692=1,I4692=0)),"?IN_FOCUS",IF(J4692&lt;=2,"?ACTIVATED",IF(J4692&lt;&gt;"","?FAMILIAR",IF(F4692="NEW",IF(ISNA(VLOOKUP(E4692,#REF!,1,FALSE())),"?TYPE_IDENTIFIABLE","?REFERENTIAL"),"_")))))</f>
        <v> </v>
      </c>
      <c r="H4692" s="25" t="str">
        <f>IF(J4692&lt;&gt;1,"",IF(I4692="SBJ","CB","?"))</f>
        <v> </v>
      </c>
      <c r="I4692" s="26" t="str">
        <f>IF(OR(E4692="",E4692="!!!",F4692="NEW"),"",INDEX(B4691:B$2,-1+SUMPRODUCT(MAX(ROW(E4691:E$2)*(E4692=E4691:E$2)))))</f>
        <v> </v>
      </c>
      <c r="J4692" s="26" t="str">
        <f>IF(OR(E4692="",E4692="!!!",F4692="NEW"),"",COUNTBLANK(OFFSET(A$1,,,SUMPRODUCT(MAX(ROW(E$2:E4692)*(E4692=E$2:E4692)))))-COUNTBLANK(OFFSET(A$1,,,SUMPRODUCT(MAX(ROW(E$1:E4691)*(E2=E$1:E4691))))))</f>
        <v> </v>
      </c>
      <c r="K4692" s="26" t="str">
        <f>IF(OR(E4692="",E4692="!!!",F4692="NEW"),"",INDEX(J$1:J4691,SUMPRODUCT(MAX(ROW(E$1:E4691)*(E4692=E$1:E4691)))))</f>
        <v> </v>
      </c>
      <c r="L4692" s="27"/>
    </row>
    <row r="4693" spans="1:12">
      <c r="A4693" s="20" t="s">
        <v>1314</v>
      </c>
      <c r="E4693" s="22">
        <f>IF(D4693="?OLD","!!!","")</f>
        <v/>
      </c>
      <c r="F4693" s="23" t="str">
        <f>IF(OR(E4693="",E4693="!!!"),"",IF(NOT(ISNA(VLOOKUP(E4693,E$1:E4692,1,FALSE()))),"OLD",IF(AND(E4693&lt;&gt;"",E4693&lt;&gt;"!!!"),"NEW","")))</f>
        <v> </v>
      </c>
      <c r="G4693" s="24" t="str">
        <f>IF(OR(E4693="",E4693="!!!"),"",IF(OR(J4693=0,AND(J4693=1,K4693=1),AND(J4693=1,I4693="SBJ"),AND(J4693=1,I4693=0)),"?IN_FOCUS",IF(J4693&lt;=2,"?ACTIVATED",IF(J4693&lt;&gt;"","?FAMILIAR",IF(F4693="NEW",IF(ISNA(VLOOKUP(E4693,#REF!,1,FALSE())),"?TYPE_IDENTIFIABLE","?REFERENTIAL"),"_")))))</f>
        <v> </v>
      </c>
      <c r="H4693" s="25" t="str">
        <f>IF(J4693&lt;&gt;1,"",IF(I4693="SBJ","CB","?"))</f>
        <v> </v>
      </c>
      <c r="I4693" s="26" t="str">
        <f>IF(OR(E4693="",E4693="!!!",F4693="NEW"),"",INDEX(B4692:B$2,-1+SUMPRODUCT(MAX(ROW(E4692:E$2)*(E4693=E4692:E$2)))))</f>
        <v> </v>
      </c>
      <c r="J4693" s="26" t="str">
        <f>IF(OR(E4693="",E4693="!!!",F4693="NEW"),"",COUNTBLANK(OFFSET(A$1,,,SUMPRODUCT(MAX(ROW(E$2:E4693)*(E4693=E$2:E4693)))))-COUNTBLANK(OFFSET(A$1,,,SUMPRODUCT(MAX(ROW(E$1:E4692)*(E2=E$1:E4692))))))</f>
        <v> </v>
      </c>
      <c r="K4693" s="26" t="str">
        <f>IF(OR(E4693="",E4693="!!!",F4693="NEW"),"",INDEX(J$1:J4692,SUMPRODUCT(MAX(ROW(E$1:E4692)*(E4693=E$1:E4692)))))</f>
        <v> </v>
      </c>
      <c r="L4693" s="27"/>
    </row>
    <row r="4694" spans="1:12">
      <c r="A4694" s="20" t="s">
        <v>2010</v>
      </c>
      <c r="E4694" s="22">
        <f>IF(D4694="?OLD","!!!","")</f>
        <v/>
      </c>
      <c r="F4694" s="23" t="str">
        <f>IF(OR(E4694="",E4694="!!!"),"",IF(NOT(ISNA(VLOOKUP(E4694,E$1:E4693,1,FALSE()))),"OLD",IF(AND(E4694&lt;&gt;"",E4694&lt;&gt;"!!!"),"NEW","")))</f>
        <v> </v>
      </c>
      <c r="G4694" s="24" t="str">
        <f>IF(OR(E4694="",E4694="!!!"),"",IF(OR(J4694=0,AND(J4694=1,K4694=1),AND(J4694=1,I4694="SBJ"),AND(J4694=1,I4694=0)),"?IN_FOCUS",IF(J4694&lt;=2,"?ACTIVATED",IF(J4694&lt;&gt;"","?FAMILIAR",IF(F4694="NEW",IF(ISNA(VLOOKUP(E4694,#REF!,1,FALSE())),"?TYPE_IDENTIFIABLE","?REFERENTIAL"),"_")))))</f>
        <v> </v>
      </c>
      <c r="H4694" s="25" t="str">
        <f>IF(J4694&lt;&gt;1,"",IF(I4694="SBJ","CB","?"))</f>
        <v> </v>
      </c>
      <c r="I4694" s="26" t="str">
        <f>IF(OR(E4694="",E4694="!!!",F4694="NEW"),"",INDEX(B4693:B$2,-1+SUMPRODUCT(MAX(ROW(E4693:E$2)*(E4694=E4693:E$2)))))</f>
        <v> </v>
      </c>
      <c r="J4694" s="26" t="str">
        <f>IF(OR(E4694="",E4694="!!!",F4694="NEW"),"",COUNTBLANK(OFFSET(A$1,,,SUMPRODUCT(MAX(ROW(E$2:E4694)*(E4694=E$2:E4694)))))-COUNTBLANK(OFFSET(A$1,,,SUMPRODUCT(MAX(ROW(E$1:E4693)*(E2=E$1:E4693))))))</f>
        <v> </v>
      </c>
      <c r="K4694" s="26" t="str">
        <f>IF(OR(E4694="",E4694="!!!",F4694="NEW"),"",INDEX(J$1:J4693,SUMPRODUCT(MAX(ROW(E$1:E4693)*(E4694=E$1:E4693)))))</f>
        <v> </v>
      </c>
      <c r="L4694" s="27"/>
    </row>
    <row r="4695" spans="1:12">
      <c r="A4695" s="20" t="s">
        <v>1189</v>
      </c>
      <c r="B4695" s="21" t="s">
        <v>1165</v>
      </c>
      <c r="C4695" s="21" t="s">
        <v>1151</v>
      </c>
      <c r="D4695" s="21" t="s">
        <v>1144</v>
      </c>
      <c r="E4695" s="22">
        <f>IF(D4695="?OLD","!!!","")</f>
        <v/>
      </c>
      <c r="F4695" s="23" t="str">
        <f>IF(OR(E4695="",E4695="!!!"),"",IF(NOT(ISNA(VLOOKUP(E4695,E$1:E4694,1,FALSE()))),"OLD",IF(AND(E4695&lt;&gt;"",E4695&lt;&gt;"!!!"),"NEW","")))</f>
        <v> </v>
      </c>
      <c r="G4695" s="24" t="str">
        <f>IF(OR(E4695="",E4695="!!!"),"",IF(OR(J4695=0,AND(J4695=1,K4695=1),AND(J4695=1,I4695="SBJ"),AND(J4695=1,I4695=0)),"?IN_FOCUS",IF(J4695&lt;=2,"?ACTIVATED",IF(J4695&lt;&gt;"","?FAMILIAR",IF(F4695="NEW",IF(ISNA(VLOOKUP(E4695,#REF!,1,FALSE())),"?TYPE_IDENTIFIABLE","?REFERENTIAL"),"_")))))</f>
        <v> </v>
      </c>
      <c r="H4695" s="25" t="str">
        <f>IF(J4695&lt;&gt;1,"",IF(I4695="SBJ","CB","?"))</f>
        <v> </v>
      </c>
      <c r="I4695" s="26" t="str">
        <f>IF(OR(E4695="",E4695="!!!",F4695="NEW"),"",INDEX(B4694:B$2,-1+SUMPRODUCT(MAX(ROW(E4694:E$2)*(E4695=E4694:E$2)))))</f>
        <v> </v>
      </c>
      <c r="J4695" s="26" t="str">
        <f>IF(OR(E4695="",E4695="!!!",F4695="NEW"),"",COUNTBLANK(OFFSET(A$1,,,SUMPRODUCT(MAX(ROW(E$2:E4695)*(E4695=E$2:E4695)))))-COUNTBLANK(OFFSET(A$1,,,SUMPRODUCT(MAX(ROW(E$1:E4694)*(E2=E$1:E4694))))))</f>
        <v> </v>
      </c>
      <c r="K4695" s="26" t="str">
        <f>IF(OR(E4695="",E4695="!!!",F4695="NEW"),"",INDEX(J$1:J4694,SUMPRODUCT(MAX(ROW(E$1:E4694)*(E4695=E$1:E4694)))))</f>
        <v> </v>
      </c>
      <c r="L4695" s="27"/>
    </row>
    <row r="4696" spans="1:12">
      <c r="A4696" s="20" t="s">
        <v>1635</v>
      </c>
      <c r="E4696" s="22">
        <f>IF(D4696="?OLD","!!!","")</f>
        <v/>
      </c>
      <c r="F4696" s="23" t="str">
        <f>IF(OR(E4696="",E4696="!!!"),"",IF(NOT(ISNA(VLOOKUP(E4696,E$1:E4695,1,FALSE()))),"OLD",IF(AND(E4696&lt;&gt;"",E4696&lt;&gt;"!!!"),"NEW","")))</f>
        <v> </v>
      </c>
      <c r="G4696" s="24" t="str">
        <f>IF(OR(E4696="",E4696="!!!"),"",IF(OR(J4696=0,AND(J4696=1,K4696=1),AND(J4696=1,I4696="SBJ"),AND(J4696=1,I4696=0)),"?IN_FOCUS",IF(J4696&lt;=2,"?ACTIVATED",IF(J4696&lt;&gt;"","?FAMILIAR",IF(F4696="NEW",IF(ISNA(VLOOKUP(E4696,#REF!,1,FALSE())),"?TYPE_IDENTIFIABLE","?REFERENTIAL"),"_")))))</f>
        <v> </v>
      </c>
      <c r="H4696" s="25" t="str">
        <f>IF(J4696&lt;&gt;1,"",IF(I4696="SBJ","CB","?"))</f>
        <v> </v>
      </c>
      <c r="I4696" s="26" t="str">
        <f>IF(OR(E4696="",E4696="!!!",F4696="NEW"),"",INDEX(B4695:B$2,-1+SUMPRODUCT(MAX(ROW(E4695:E$2)*(E4696=E4695:E$2)))))</f>
        <v> </v>
      </c>
      <c r="J4696" s="26" t="str">
        <f>IF(OR(E4696="",E4696="!!!",F4696="NEW"),"",COUNTBLANK(OFFSET(A$1,,,SUMPRODUCT(MAX(ROW(E$2:E4696)*(E4696=E$2:E4696)))))-COUNTBLANK(OFFSET(A$1,,,SUMPRODUCT(MAX(ROW(E$1:E4695)*(E2=E$1:E4695))))))</f>
        <v> </v>
      </c>
      <c r="K4696" s="26" t="str">
        <f>IF(OR(E4696="",E4696="!!!",F4696="NEW"),"",INDEX(J$1:J4695,SUMPRODUCT(MAX(ROW(E$1:E4695)*(E4696=E$1:E4695)))))</f>
        <v> </v>
      </c>
      <c r="L4696" s="27"/>
    </row>
    <row r="4697" spans="1:12">
      <c r="A4697" s="20" t="s">
        <v>1179</v>
      </c>
      <c r="E4697" s="22">
        <f>IF(D4697="?OLD","!!!","")</f>
        <v/>
      </c>
      <c r="F4697" s="23" t="str">
        <f>IF(OR(E4697="",E4697="!!!"),"",IF(NOT(ISNA(VLOOKUP(E4697,E$1:E4696,1,FALSE()))),"OLD",IF(AND(E4697&lt;&gt;"",E4697&lt;&gt;"!!!"),"NEW","")))</f>
        <v> </v>
      </c>
      <c r="G4697" s="24" t="str">
        <f>IF(OR(E4697="",E4697="!!!"),"",IF(OR(J4697=0,AND(J4697=1,K4697=1),AND(J4697=1,I4697="SBJ"),AND(J4697=1,I4697=0)),"?IN_FOCUS",IF(J4697&lt;=2,"?ACTIVATED",IF(J4697&lt;&gt;"","?FAMILIAR",IF(F4697="NEW",IF(ISNA(VLOOKUP(E4697,#REF!,1,FALSE())),"?TYPE_IDENTIFIABLE","?REFERENTIAL"),"_")))))</f>
        <v> </v>
      </c>
      <c r="H4697" s="25" t="str">
        <f>IF(J4697&lt;&gt;1,"",IF(I4697="SBJ","CB","?"))</f>
        <v> </v>
      </c>
      <c r="I4697" s="26" t="str">
        <f>IF(OR(E4697="",E4697="!!!",F4697="NEW"),"",INDEX(B4696:B$2,-1+SUMPRODUCT(MAX(ROW(E4696:E$2)*(E4697=E4696:E$2)))))</f>
        <v> </v>
      </c>
      <c r="J4697" s="26" t="str">
        <f>IF(OR(E4697="",E4697="!!!",F4697="NEW"),"",COUNTBLANK(OFFSET(A$1,,,SUMPRODUCT(MAX(ROW(E$2:E4697)*(E4697=E$2:E4697)))))-COUNTBLANK(OFFSET(A$1,,,SUMPRODUCT(MAX(ROW(E$1:E4696)*(E2=E$1:E4696))))))</f>
        <v> </v>
      </c>
      <c r="K4697" s="26" t="str">
        <f>IF(OR(E4697="",E4697="!!!",F4697="NEW"),"",INDEX(J$1:J4696,SUMPRODUCT(MAX(ROW(E$1:E4696)*(E4697=E$1:E4696)))))</f>
        <v> </v>
      </c>
      <c r="L4697" s="27"/>
    </row>
    <row r="4698" spans="1:12">
      <c r="A4698" s="20" t="s">
        <v>2484</v>
      </c>
      <c r="E4698" s="22">
        <f>IF(D4698="?OLD","!!!","")</f>
        <v/>
      </c>
      <c r="F4698" s="23" t="str">
        <f>IF(OR(E4698="",E4698="!!!"),"",IF(NOT(ISNA(VLOOKUP(E4698,E$1:E4697,1,FALSE()))),"OLD",IF(AND(E4698&lt;&gt;"",E4698&lt;&gt;"!!!"),"NEW","")))</f>
        <v> </v>
      </c>
      <c r="G4698" s="24" t="str">
        <f>IF(OR(E4698="",E4698="!!!"),"",IF(OR(J4698=0,AND(J4698=1,K4698=1),AND(J4698=1,I4698="SBJ"),AND(J4698=1,I4698=0)),"?IN_FOCUS",IF(J4698&lt;=2,"?ACTIVATED",IF(J4698&lt;&gt;"","?FAMILIAR",IF(F4698="NEW",IF(ISNA(VLOOKUP(E4698,#REF!,1,FALSE())),"?TYPE_IDENTIFIABLE","?REFERENTIAL"),"_")))))</f>
        <v> </v>
      </c>
      <c r="H4698" s="25" t="str">
        <f>IF(J4698&lt;&gt;1,"",IF(I4698="SBJ","CB","?"))</f>
        <v> </v>
      </c>
      <c r="I4698" s="26" t="str">
        <f>IF(OR(E4698="",E4698="!!!",F4698="NEW"),"",INDEX(B4697:B$2,-1+SUMPRODUCT(MAX(ROW(E4697:E$2)*(E4698=E4697:E$2)))))</f>
        <v> </v>
      </c>
      <c r="J4698" s="26" t="str">
        <f>IF(OR(E4698="",E4698="!!!",F4698="NEW"),"",COUNTBLANK(OFFSET(A$1,,,SUMPRODUCT(MAX(ROW(E$2:E4698)*(E4698=E$2:E4698)))))-COUNTBLANK(OFFSET(A$1,,,SUMPRODUCT(MAX(ROW(E$1:E4697)*(E2=E$1:E4697))))))</f>
        <v> </v>
      </c>
      <c r="K4698" s="26" t="str">
        <f>IF(OR(E4698="",E4698="!!!",F4698="NEW"),"",INDEX(J$1:J4697,SUMPRODUCT(MAX(ROW(E$1:E4697)*(E4698=E$1:E4697)))))</f>
        <v> </v>
      </c>
      <c r="L4698" s="27"/>
    </row>
    <row r="4699" spans="1:12">
      <c r="A4699" s="20" t="s">
        <v>2485</v>
      </c>
      <c r="E4699" s="22">
        <f>IF(D4699="?OLD","!!!","")</f>
        <v/>
      </c>
      <c r="F4699" s="23" t="str">
        <f>IF(OR(E4699="",E4699="!!!"),"",IF(NOT(ISNA(VLOOKUP(E4699,E$1:E4698,1,FALSE()))),"OLD",IF(AND(E4699&lt;&gt;"",E4699&lt;&gt;"!!!"),"NEW","")))</f>
        <v> </v>
      </c>
      <c r="G4699" s="24" t="str">
        <f>IF(OR(E4699="",E4699="!!!"),"",IF(OR(J4699=0,AND(J4699=1,K4699=1),AND(J4699=1,I4699="SBJ"),AND(J4699=1,I4699=0)),"?IN_FOCUS",IF(J4699&lt;=2,"?ACTIVATED",IF(J4699&lt;&gt;"","?FAMILIAR",IF(F4699="NEW",IF(ISNA(VLOOKUP(E4699,#REF!,1,FALSE())),"?TYPE_IDENTIFIABLE","?REFERENTIAL"),"_")))))</f>
        <v> </v>
      </c>
      <c r="H4699" s="25" t="str">
        <f>IF(J4699&lt;&gt;1,"",IF(I4699="SBJ","CB","?"))</f>
        <v> </v>
      </c>
      <c r="I4699" s="26" t="str">
        <f>IF(OR(E4699="",E4699="!!!",F4699="NEW"),"",INDEX(B4698:B$2,-1+SUMPRODUCT(MAX(ROW(E4698:E$2)*(E4699=E4698:E$2)))))</f>
        <v> </v>
      </c>
      <c r="J4699" s="26" t="str">
        <f>IF(OR(E4699="",E4699="!!!",F4699="NEW"),"",COUNTBLANK(OFFSET(A$1,,,SUMPRODUCT(MAX(ROW(E$2:E4699)*(E4699=E$2:E4699)))))-COUNTBLANK(OFFSET(A$1,,,SUMPRODUCT(MAX(ROW(E$1:E4698)*(E2=E$1:E4698))))))</f>
        <v> </v>
      </c>
      <c r="K4699" s="26" t="str">
        <f>IF(OR(E4699="",E4699="!!!",F4699="NEW"),"",INDEX(J$1:J4698,SUMPRODUCT(MAX(ROW(E$1:E4698)*(E4699=E$1:E4698)))))</f>
        <v> </v>
      </c>
      <c r="L4699" s="27"/>
    </row>
    <row r="4700" spans="1:12">
      <c r="A4700" s="20" t="s">
        <v>1166</v>
      </c>
      <c r="E4700" s="22">
        <f>IF(D4700="?OLD","!!!","")</f>
        <v/>
      </c>
      <c r="F4700" s="23" t="str">
        <f>IF(OR(E4700="",E4700="!!!"),"",IF(NOT(ISNA(VLOOKUP(E4700,E$1:E4699,1,FALSE()))),"OLD",IF(AND(E4700&lt;&gt;"",E4700&lt;&gt;"!!!"),"NEW","")))</f>
        <v> </v>
      </c>
      <c r="G4700" s="24" t="str">
        <f>IF(OR(E4700="",E4700="!!!"),"",IF(OR(J4700=0,AND(J4700=1,K4700=1),AND(J4700=1,I4700="SBJ"),AND(J4700=1,I4700=0)),"?IN_FOCUS",IF(J4700&lt;=2,"?ACTIVATED",IF(J4700&lt;&gt;"","?FAMILIAR",IF(F4700="NEW",IF(ISNA(VLOOKUP(E4700,#REF!,1,FALSE())),"?TYPE_IDENTIFIABLE","?REFERENTIAL"),"_")))))</f>
        <v> </v>
      </c>
      <c r="H4700" s="25" t="str">
        <f>IF(J4700&lt;&gt;1,"",IF(I4700="SBJ","CB","?"))</f>
        <v> </v>
      </c>
      <c r="I4700" s="26" t="str">
        <f>IF(OR(E4700="",E4700="!!!",F4700="NEW"),"",INDEX(B4699:B$2,-1+SUMPRODUCT(MAX(ROW(E4699:E$2)*(E4700=E4699:E$2)))))</f>
        <v> </v>
      </c>
      <c r="J4700" s="26" t="str">
        <f>IF(OR(E4700="",E4700="!!!",F4700="NEW"),"",COUNTBLANK(OFFSET(A$1,,,SUMPRODUCT(MAX(ROW(E$2:E4700)*(E4700=E$2:E4700)))))-COUNTBLANK(OFFSET(A$1,,,SUMPRODUCT(MAX(ROW(E$1:E4699)*(E2=E$1:E4699))))))</f>
        <v> </v>
      </c>
      <c r="K4700" s="26" t="str">
        <f>IF(OR(E4700="",E4700="!!!",F4700="NEW"),"",INDEX(J$1:J4699,SUMPRODUCT(MAX(ROW(E$1:E4699)*(E4700=E$1:E4699)))))</f>
        <v> </v>
      </c>
      <c r="L4700" s="27"/>
    </row>
    <row r="4701" spans="1:12">
      <c r="A4701" s="20" t="s">
        <v>1314</v>
      </c>
      <c r="E4701" s="22">
        <f>IF(D4701="?OLD","!!!","")</f>
        <v/>
      </c>
      <c r="F4701" s="23" t="str">
        <f>IF(OR(E4701="",E4701="!!!"),"",IF(NOT(ISNA(VLOOKUP(E4701,E$1:E4700,1,FALSE()))),"OLD",IF(AND(E4701&lt;&gt;"",E4701&lt;&gt;"!!!"),"NEW","")))</f>
        <v> </v>
      </c>
      <c r="G4701" s="24" t="str">
        <f>IF(OR(E4701="",E4701="!!!"),"",IF(OR(J4701=0,AND(J4701=1,K4701=1),AND(J4701=1,I4701="SBJ"),AND(J4701=1,I4701=0)),"?IN_FOCUS",IF(J4701&lt;=2,"?ACTIVATED",IF(J4701&lt;&gt;"","?FAMILIAR",IF(F4701="NEW",IF(ISNA(VLOOKUP(E4701,#REF!,1,FALSE())),"?TYPE_IDENTIFIABLE","?REFERENTIAL"),"_")))))</f>
        <v> </v>
      </c>
      <c r="H4701" s="25" t="str">
        <f>IF(J4701&lt;&gt;1,"",IF(I4701="SBJ","CB","?"))</f>
        <v> </v>
      </c>
      <c r="I4701" s="26" t="str">
        <f>IF(OR(E4701="",E4701="!!!",F4701="NEW"),"",INDEX(B4700:B$2,-1+SUMPRODUCT(MAX(ROW(E4700:E$2)*(E4701=E4700:E$2)))))</f>
        <v> </v>
      </c>
      <c r="J4701" s="26" t="str">
        <f>IF(OR(E4701="",E4701="!!!",F4701="NEW"),"",COUNTBLANK(OFFSET(A$1,,,SUMPRODUCT(MAX(ROW(E$2:E4701)*(E4701=E$2:E4701)))))-COUNTBLANK(OFFSET(A$1,,,SUMPRODUCT(MAX(ROW(E$1:E4700)*(E2=E$1:E4700))))))</f>
        <v> </v>
      </c>
      <c r="K4701" s="26" t="str">
        <f>IF(OR(E4701="",E4701="!!!",F4701="NEW"),"",INDEX(J$1:J4700,SUMPRODUCT(MAX(ROW(E$1:E4700)*(E4701=E$1:E4700)))))</f>
        <v> </v>
      </c>
      <c r="L4701" s="27"/>
    </row>
    <row r="4702" spans="1:12">
      <c r="A4702" s="20" t="s">
        <v>2483</v>
      </c>
      <c r="B4702" s="21" t="s">
        <v>1147</v>
      </c>
      <c r="C4702" s="21" t="s">
        <v>1187</v>
      </c>
      <c r="E4702" s="22">
        <f>IF(D4702="?OLD","!!!","")</f>
        <v/>
      </c>
      <c r="F4702" s="23" t="str">
        <f>IF(OR(E4702="",E4702="!!!"),"",IF(NOT(ISNA(VLOOKUP(E4702,E$1:E4701,1,FALSE()))),"OLD",IF(AND(E4702&lt;&gt;"",E4702&lt;&gt;"!!!"),"NEW","")))</f>
        <v> </v>
      </c>
      <c r="G4702" s="24" t="str">
        <f>IF(OR(E4702="",E4702="!!!"),"",IF(OR(J4702=0,AND(J4702=1,K4702=1),AND(J4702=1,I4702="SBJ"),AND(J4702=1,I4702=0)),"?IN_FOCUS",IF(J4702&lt;=2,"?ACTIVATED",IF(J4702&lt;&gt;"","?FAMILIAR",IF(F4702="NEW",IF(ISNA(VLOOKUP(E4702,#REF!,1,FALSE())),"?TYPE_IDENTIFIABLE","?REFERENTIAL"),"_")))))</f>
        <v> </v>
      </c>
      <c r="H4702" s="25" t="str">
        <f>IF(J4702&lt;&gt;1,"",IF(I4702="SBJ","CB","?"))</f>
        <v> </v>
      </c>
      <c r="I4702" s="26" t="str">
        <f>IF(OR(E4702="",E4702="!!!",F4702="NEW"),"",INDEX(B4701:B$2,-1+SUMPRODUCT(MAX(ROW(E4701:E$2)*(E4702=E4701:E$2)))))</f>
        <v> </v>
      </c>
      <c r="J4702" s="26" t="str">
        <f>IF(OR(E4702="",E4702="!!!",F4702="NEW"),"",COUNTBLANK(OFFSET(A$1,,,SUMPRODUCT(MAX(ROW(E$2:E4702)*(E4702=E$2:E4702)))))-COUNTBLANK(OFFSET(A$1,,,SUMPRODUCT(MAX(ROW(E$1:E4701)*(E2=E$1:E4701))))))</f>
        <v> </v>
      </c>
      <c r="K4702" s="26" t="str">
        <f>IF(OR(E4702="",E4702="!!!",F4702="NEW"),"",INDEX(J$1:J4701,SUMPRODUCT(MAX(ROW(E$1:E4701)*(E4702=E$1:E4701)))))</f>
        <v> </v>
      </c>
      <c r="L4702" s="27"/>
    </row>
    <row r="4703" spans="1:12">
      <c r="A4703" s="20" t="s">
        <v>1308</v>
      </c>
      <c r="E4703" s="22">
        <f>IF(D4703="?OLD","!!!","")</f>
        <v/>
      </c>
      <c r="F4703" s="23" t="str">
        <f>IF(OR(E4703="",E4703="!!!"),"",IF(NOT(ISNA(VLOOKUP(E4703,E$1:E4702,1,FALSE()))),"OLD",IF(AND(E4703&lt;&gt;"",E4703&lt;&gt;"!!!"),"NEW","")))</f>
        <v> </v>
      </c>
      <c r="G4703" s="24" t="str">
        <f>IF(OR(E4703="",E4703="!!!"),"",IF(OR(J4703=0,AND(J4703=1,K4703=1),AND(J4703=1,I4703="SBJ"),AND(J4703=1,I4703=0)),"?IN_FOCUS",IF(J4703&lt;=2,"?ACTIVATED",IF(J4703&lt;&gt;"","?FAMILIAR",IF(F4703="NEW",IF(ISNA(VLOOKUP(E4703,#REF!,1,FALSE())),"?TYPE_IDENTIFIABLE","?REFERENTIAL"),"_")))))</f>
        <v> </v>
      </c>
      <c r="H4703" s="25" t="str">
        <f>IF(J4703&lt;&gt;1,"",IF(I4703="SBJ","CB","?"))</f>
        <v> </v>
      </c>
      <c r="I4703" s="26" t="str">
        <f>IF(OR(E4703="",E4703="!!!",F4703="NEW"),"",INDEX(B4702:B$2,-1+SUMPRODUCT(MAX(ROW(E4702:E$2)*(E4703=E4702:E$2)))))</f>
        <v> </v>
      </c>
      <c r="J4703" s="26" t="str">
        <f>IF(OR(E4703="",E4703="!!!",F4703="NEW"),"",COUNTBLANK(OFFSET(A$1,,,SUMPRODUCT(MAX(ROW(E$2:E4703)*(E4703=E$2:E4703)))))-COUNTBLANK(OFFSET(A$1,,,SUMPRODUCT(MAX(ROW(E$1:E4702)*(E2=E$1:E4702))))))</f>
        <v> </v>
      </c>
      <c r="K4703" s="26" t="str">
        <f>IF(OR(E4703="",E4703="!!!",F4703="NEW"),"",INDEX(J$1:J4702,SUMPRODUCT(MAX(ROW(E$1:E4702)*(E4703=E$1:E4702)))))</f>
        <v> </v>
      </c>
      <c r="L4703" s="27"/>
    </row>
    <row r="4704" spans="1:12">
      <c r="A4704" s="20" t="s">
        <v>69</v>
      </c>
      <c r="E4704" s="22">
        <f>IF(D4704="?OLD","!!!","")</f>
        <v/>
      </c>
      <c r="F4704" s="23" t="str">
        <f>IF(OR(E4704="",E4704="!!!"),"",IF(NOT(ISNA(VLOOKUP(E4704,E$1:E4703,1,FALSE()))),"OLD",IF(AND(E4704&lt;&gt;"",E4704&lt;&gt;"!!!"),"NEW","")))</f>
        <v> </v>
      </c>
      <c r="G4704" s="24" t="str">
        <f>IF(OR(E4704="",E4704="!!!"),"",IF(OR(J4704=0,AND(J4704=1,K4704=1),AND(J4704=1,I4704="SBJ"),AND(J4704=1,I4704=0)),"?IN_FOCUS",IF(J4704&lt;=2,"?ACTIVATED",IF(J4704&lt;&gt;"","?FAMILIAR",IF(F4704="NEW",IF(ISNA(VLOOKUP(E4704,#REF!,1,FALSE())),"?TYPE_IDENTIFIABLE","?REFERENTIAL"),"_")))))</f>
        <v> </v>
      </c>
      <c r="H4704" s="25" t="str">
        <f>IF(J4704&lt;&gt;1,"",IF(I4704="SBJ","CB","?"))</f>
        <v> </v>
      </c>
      <c r="I4704" s="26" t="str">
        <f>IF(OR(E4704="",E4704="!!!",F4704="NEW"),"",INDEX(B4703:B$2,-1+SUMPRODUCT(MAX(ROW(E4703:E$2)*(E4704=E4703:E$2)))))</f>
        <v> </v>
      </c>
      <c r="J4704" s="26" t="str">
        <f>IF(OR(E4704="",E4704="!!!",F4704="NEW"),"",COUNTBLANK(OFFSET(A$1,,,SUMPRODUCT(MAX(ROW(E$2:E4704)*(E4704=E$2:E4704)))))-COUNTBLANK(OFFSET(A$1,,,SUMPRODUCT(MAX(ROW(E$1:E4703)*(E2=E$1:E4703))))))</f>
        <v> </v>
      </c>
      <c r="K4704" s="26" t="str">
        <f>IF(OR(E4704="",E4704="!!!",F4704="NEW"),"",INDEX(J$1:J4703,SUMPRODUCT(MAX(ROW(E$1:E4703)*(E4704=E$1:E4703)))))</f>
        <v> </v>
      </c>
      <c r="L4704" s="27"/>
    </row>
    <row r="4705" spans="1:12">
      <c r="A4705" s="20" t="s">
        <v>1166</v>
      </c>
      <c r="E4705" s="22">
        <f>IF(D4705="?OLD","!!!","")</f>
        <v/>
      </c>
      <c r="F4705" s="23" t="str">
        <f>IF(OR(E4705="",E4705="!!!"),"",IF(NOT(ISNA(VLOOKUP(E4705,E$1:E4704,1,FALSE()))),"OLD",IF(AND(E4705&lt;&gt;"",E4705&lt;&gt;"!!!"),"NEW","")))</f>
        <v> </v>
      </c>
      <c r="G4705" s="24" t="str">
        <f>IF(OR(E4705="",E4705="!!!"),"",IF(OR(J4705=0,AND(J4705=1,K4705=1),AND(J4705=1,I4705="SBJ"),AND(J4705=1,I4705=0)),"?IN_FOCUS",IF(J4705&lt;=2,"?ACTIVATED",IF(J4705&lt;&gt;"","?FAMILIAR",IF(F4705="NEW",IF(ISNA(VLOOKUP(E4705,#REF!,1,FALSE())),"?TYPE_IDENTIFIABLE","?REFERENTIAL"),"_")))))</f>
        <v> </v>
      </c>
      <c r="H4705" s="25" t="str">
        <f>IF(J4705&lt;&gt;1,"",IF(I4705="SBJ","CB","?"))</f>
        <v> </v>
      </c>
      <c r="I4705" s="26" t="str">
        <f>IF(OR(E4705="",E4705="!!!",F4705="NEW"),"",INDEX(B4704:B$2,-1+SUMPRODUCT(MAX(ROW(E4704:E$2)*(E4705=E4704:E$2)))))</f>
        <v> </v>
      </c>
      <c r="J4705" s="26" t="str">
        <f>IF(OR(E4705="",E4705="!!!",F4705="NEW"),"",COUNTBLANK(OFFSET(A$1,,,SUMPRODUCT(MAX(ROW(E$2:E4705)*(E4705=E$2:E4705)))))-COUNTBLANK(OFFSET(A$1,,,SUMPRODUCT(MAX(ROW(E$1:E4704)*(E2=E$1:E4704))))))</f>
        <v> </v>
      </c>
      <c r="K4705" s="26" t="str">
        <f>IF(OR(E4705="",E4705="!!!",F4705="NEW"),"",INDEX(J$1:J4704,SUMPRODUCT(MAX(ROW(E$1:E4704)*(E4705=E$1:E4704)))))</f>
        <v> </v>
      </c>
      <c r="L4705" s="27"/>
    </row>
    <row r="4706" spans="1:12">
      <c r="A4706" s="20" t="s">
        <v>1210</v>
      </c>
      <c r="E4706" s="22">
        <f>IF(D4706="?OLD","!!!","")</f>
        <v/>
      </c>
      <c r="F4706" s="23" t="str">
        <f>IF(OR(E4706="",E4706="!!!"),"",IF(NOT(ISNA(VLOOKUP(E4706,E$1:E4705,1,FALSE()))),"OLD",IF(AND(E4706&lt;&gt;"",E4706&lt;&gt;"!!!"),"NEW","")))</f>
        <v> </v>
      </c>
      <c r="G4706" s="24" t="str">
        <f>IF(OR(E4706="",E4706="!!!"),"",IF(OR(J4706=0,AND(J4706=1,K4706=1),AND(J4706=1,I4706="SBJ"),AND(J4706=1,I4706=0)),"?IN_FOCUS",IF(J4706&lt;=2,"?ACTIVATED",IF(J4706&lt;&gt;"","?FAMILIAR",IF(F4706="NEW",IF(ISNA(VLOOKUP(E4706,#REF!,1,FALSE())),"?TYPE_IDENTIFIABLE","?REFERENTIAL"),"_")))))</f>
        <v> </v>
      </c>
      <c r="H4706" s="25" t="str">
        <f>IF(J4706&lt;&gt;1,"",IF(I4706="SBJ","CB","?"))</f>
        <v> </v>
      </c>
      <c r="I4706" s="26" t="str">
        <f>IF(OR(E4706="",E4706="!!!",F4706="NEW"),"",INDEX(B4705:B$2,-1+SUMPRODUCT(MAX(ROW(E4705:E$2)*(E4706=E4705:E$2)))))</f>
        <v> </v>
      </c>
      <c r="J4706" s="26" t="str">
        <f>IF(OR(E4706="",E4706="!!!",F4706="NEW"),"",COUNTBLANK(OFFSET(A$1,,,SUMPRODUCT(MAX(ROW(E$2:E4706)*(E4706=E$2:E4706)))))-COUNTBLANK(OFFSET(A$1,,,SUMPRODUCT(MAX(ROW(E$1:E4705)*(E2=E$1:E4705))))))</f>
        <v> </v>
      </c>
      <c r="K4706" s="26" t="str">
        <f>IF(OR(E4706="",E4706="!!!",F4706="NEW"),"",INDEX(J$1:J4705,SUMPRODUCT(MAX(ROW(E$1:E4705)*(E4706=E$1:E4705)))))</f>
        <v> </v>
      </c>
      <c r="L4706" s="27"/>
    </row>
    <row r="4707" spans="1:12">
      <c r="A4707" s="20" t="s">
        <v>1261</v>
      </c>
      <c r="B4707" s="21" t="s">
        <v>1175</v>
      </c>
      <c r="C4707" s="21" t="s">
        <v>1151</v>
      </c>
      <c r="D4707" s="21" t="s">
        <v>1144</v>
      </c>
      <c r="E4707" s="22">
        <f>IF(D4707="?OLD","!!!","")</f>
        <v/>
      </c>
      <c r="F4707" s="23" t="str">
        <f>IF(OR(E4707="",E4707="!!!"),"",IF(NOT(ISNA(VLOOKUP(E4707,E$1:E4706,1,FALSE()))),"OLD",IF(AND(E4707&lt;&gt;"",E4707&lt;&gt;"!!!"),"NEW","")))</f>
        <v> </v>
      </c>
      <c r="G4707" s="24" t="str">
        <f>IF(OR(E4707="",E4707="!!!"),"",IF(OR(J4707=0,AND(J4707=1,K4707=1),AND(J4707=1,I4707="SBJ"),AND(J4707=1,I4707=0)),"?IN_FOCUS",IF(J4707&lt;=2,"?ACTIVATED",IF(J4707&lt;&gt;"","?FAMILIAR",IF(F4707="NEW",IF(ISNA(VLOOKUP(E4707,#REF!,1,FALSE())),"?TYPE_IDENTIFIABLE","?REFERENTIAL"),"_")))))</f>
        <v> </v>
      </c>
      <c r="H4707" s="25" t="str">
        <f>IF(J4707&lt;&gt;1,"",IF(I4707="SBJ","CB","?"))</f>
        <v> </v>
      </c>
      <c r="I4707" s="26" t="str">
        <f>IF(OR(E4707="",E4707="!!!",F4707="NEW"),"",INDEX(B4706:B$2,-1+SUMPRODUCT(MAX(ROW(E4706:E$2)*(E4707=E4706:E$2)))))</f>
        <v> </v>
      </c>
      <c r="J4707" s="26" t="str">
        <f>IF(OR(E4707="",E4707="!!!",F4707="NEW"),"",COUNTBLANK(OFFSET(A$1,,,SUMPRODUCT(MAX(ROW(E$2:E4707)*(E4707=E$2:E4707)))))-COUNTBLANK(OFFSET(A$1,,,SUMPRODUCT(MAX(ROW(E$1:E4706)*(E2=E$1:E4706))))))</f>
        <v> </v>
      </c>
      <c r="K4707" s="26" t="str">
        <f>IF(OR(E4707="",E4707="!!!",F4707="NEW"),"",INDEX(J$1:J4706,SUMPRODUCT(MAX(ROW(E$1:E4706)*(E4707=E$1:E4706)))))</f>
        <v> </v>
      </c>
      <c r="L4707" s="27"/>
    </row>
    <row r="4708" spans="1:12">
      <c r="A4708" s="20" t="s">
        <v>2486</v>
      </c>
      <c r="E4708" s="22">
        <f>IF(D4708="?OLD","!!!","")</f>
        <v/>
      </c>
      <c r="F4708" s="23" t="str">
        <f>IF(OR(E4708="",E4708="!!!"),"",IF(NOT(ISNA(VLOOKUP(E4708,E$1:E4707,1,FALSE()))),"OLD",IF(AND(E4708&lt;&gt;"",E4708&lt;&gt;"!!!"),"NEW","")))</f>
        <v> </v>
      </c>
      <c r="G4708" s="24" t="str">
        <f>IF(OR(E4708="",E4708="!!!"),"",IF(OR(J4708=0,AND(J4708=1,K4708=1),AND(J4708=1,I4708="SBJ"),AND(J4708=1,I4708=0)),"?IN_FOCUS",IF(J4708&lt;=2,"?ACTIVATED",IF(J4708&lt;&gt;"","?FAMILIAR",IF(F4708="NEW",IF(ISNA(VLOOKUP(E4708,#REF!,1,FALSE())),"?TYPE_IDENTIFIABLE","?REFERENTIAL"),"_")))))</f>
        <v> </v>
      </c>
      <c r="H4708" s="25" t="str">
        <f>IF(J4708&lt;&gt;1,"",IF(I4708="SBJ","CB","?"))</f>
        <v> </v>
      </c>
      <c r="I4708" s="26" t="str">
        <f>IF(OR(E4708="",E4708="!!!",F4708="NEW"),"",INDEX(B4707:B$2,-1+SUMPRODUCT(MAX(ROW(E4707:E$2)*(E4708=E4707:E$2)))))</f>
        <v> </v>
      </c>
      <c r="J4708" s="26" t="str">
        <f>IF(OR(E4708="",E4708="!!!",F4708="NEW"),"",COUNTBLANK(OFFSET(A$1,,,SUMPRODUCT(MAX(ROW(E$2:E4708)*(E4708=E$2:E4708)))))-COUNTBLANK(OFFSET(A$1,,,SUMPRODUCT(MAX(ROW(E$1:E4707)*(E2=E$1:E4707))))))</f>
        <v> </v>
      </c>
      <c r="K4708" s="26" t="str">
        <f>IF(OR(E4708="",E4708="!!!",F4708="NEW"),"",INDEX(J$1:J4707,SUMPRODUCT(MAX(ROW(E$1:E4707)*(E4708=E$1:E4707)))))</f>
        <v> </v>
      </c>
      <c r="L4708" s="27"/>
    </row>
    <row r="4709" spans="1:12">
      <c r="A4709" s="20" t="s">
        <v>1146</v>
      </c>
      <c r="E4709" s="22">
        <f>IF(D4709="?OLD","!!!","")</f>
        <v/>
      </c>
      <c r="F4709" s="23" t="str">
        <f>IF(OR(E4709="",E4709="!!!"),"",IF(NOT(ISNA(VLOOKUP(E4709,E$1:E4708,1,FALSE()))),"OLD",IF(AND(E4709&lt;&gt;"",E4709&lt;&gt;"!!!"),"NEW","")))</f>
        <v> </v>
      </c>
      <c r="G4709" s="24" t="str">
        <f>IF(OR(E4709="",E4709="!!!"),"",IF(OR(J4709=0,AND(J4709=1,K4709=1),AND(J4709=1,I4709="SBJ"),AND(J4709=1,I4709=0)),"?IN_FOCUS",IF(J4709&lt;=2,"?ACTIVATED",IF(J4709&lt;&gt;"","?FAMILIAR",IF(F4709="NEW",IF(ISNA(VLOOKUP(E4709,#REF!,1,FALSE())),"?TYPE_IDENTIFIABLE","?REFERENTIAL"),"_")))))</f>
        <v> </v>
      </c>
      <c r="H4709" s="25" t="str">
        <f>IF(J4709&lt;&gt;1,"",IF(I4709="SBJ","CB","?"))</f>
        <v> </v>
      </c>
      <c r="I4709" s="26" t="str">
        <f>IF(OR(E4709="",E4709="!!!",F4709="NEW"),"",INDEX(B4708:B$2,-1+SUMPRODUCT(MAX(ROW(E4708:E$2)*(E4709=E4708:E$2)))))</f>
        <v> </v>
      </c>
      <c r="J4709" s="26" t="str">
        <f>IF(OR(E4709="",E4709="!!!",F4709="NEW"),"",COUNTBLANK(OFFSET(A$1,,,SUMPRODUCT(MAX(ROW(E$2:E4709)*(E4709=E$2:E4709)))))-COUNTBLANK(OFFSET(A$1,,,SUMPRODUCT(MAX(ROW(E$1:E4708)*(E2=E$1:E4708))))))</f>
        <v> </v>
      </c>
      <c r="K4709" s="26" t="str">
        <f>IF(OR(E4709="",E4709="!!!",F4709="NEW"),"",INDEX(J$1:J4708,SUMPRODUCT(MAX(ROW(E$1:E4708)*(E4709=E$1:E4708)))))</f>
        <v> </v>
      </c>
      <c r="L4709" s="27"/>
    </row>
    <row r="4710" spans="1:12">
      <c r="A4710" s="20" t="s">
        <v>1300</v>
      </c>
      <c r="B4710" s="21" t="s">
        <v>1311</v>
      </c>
      <c r="C4710" s="21" t="s">
        <v>1151</v>
      </c>
      <c r="D4710" s="21" t="s">
        <v>1144</v>
      </c>
      <c r="E4710" s="22">
        <f>IF(D4710="?OLD","!!!","")</f>
        <v/>
      </c>
      <c r="F4710" s="23" t="str">
        <f>IF(OR(E4710="",E4710="!!!"),"",IF(NOT(ISNA(VLOOKUP(E4710,E$1:E4709,1,FALSE()))),"OLD",IF(AND(E4710&lt;&gt;"",E4710&lt;&gt;"!!!"),"NEW","")))</f>
        <v> </v>
      </c>
      <c r="G4710" s="24" t="str">
        <f>IF(OR(E4710="",E4710="!!!"),"",IF(OR(J4710=0,AND(J4710=1,K4710=1),AND(J4710=1,I4710="SBJ"),AND(J4710=1,I4710=0)),"?IN_FOCUS",IF(J4710&lt;=2,"?ACTIVATED",IF(J4710&lt;&gt;"","?FAMILIAR",IF(F4710="NEW",IF(ISNA(VLOOKUP(E4710,#REF!,1,FALSE())),"?TYPE_IDENTIFIABLE","?REFERENTIAL"),"_")))))</f>
        <v> </v>
      </c>
      <c r="H4710" s="25" t="str">
        <f>IF(J4710&lt;&gt;1,"",IF(I4710="SBJ","CB","?"))</f>
        <v> </v>
      </c>
      <c r="I4710" s="26" t="str">
        <f>IF(OR(E4710="",E4710="!!!",F4710="NEW"),"",INDEX(B4709:B$2,-1+SUMPRODUCT(MAX(ROW(E4709:E$2)*(E4710=E4709:E$2)))))</f>
        <v> </v>
      </c>
      <c r="J4710" s="26" t="str">
        <f>IF(OR(E4710="",E4710="!!!",F4710="NEW"),"",COUNTBLANK(OFFSET(A$1,,,SUMPRODUCT(MAX(ROW(E$2:E4710)*(E4710=E$2:E4710)))))-COUNTBLANK(OFFSET(A$1,,,SUMPRODUCT(MAX(ROW(E$1:E4709)*(E2=E$1:E4709))))))</f>
        <v> </v>
      </c>
      <c r="K4710" s="26" t="str">
        <f>IF(OR(E4710="",E4710="!!!",F4710="NEW"),"",INDEX(J$1:J4709,SUMPRODUCT(MAX(ROW(E$1:E4709)*(E4710=E$1:E4709)))))</f>
        <v> </v>
      </c>
      <c r="L4710" s="27"/>
    </row>
    <row r="4711" spans="1:12">
      <c r="A4711" s="20" t="s">
        <v>1397</v>
      </c>
      <c r="E4711" s="22">
        <f>IF(D4711="?OLD","!!!","")</f>
        <v/>
      </c>
      <c r="F4711" s="23" t="str">
        <f>IF(OR(E4711="",E4711="!!!"),"",IF(NOT(ISNA(VLOOKUP(E4711,E$1:E4710,1,FALSE()))),"OLD",IF(AND(E4711&lt;&gt;"",E4711&lt;&gt;"!!!"),"NEW","")))</f>
        <v> </v>
      </c>
      <c r="G4711" s="24" t="str">
        <f>IF(OR(E4711="",E4711="!!!"),"",IF(OR(J4711=0,AND(J4711=1,K4711=1),AND(J4711=1,I4711="SBJ"),AND(J4711=1,I4711=0)),"?IN_FOCUS",IF(J4711&lt;=2,"?ACTIVATED",IF(J4711&lt;&gt;"","?FAMILIAR",IF(F4711="NEW",IF(ISNA(VLOOKUP(E4711,#REF!,1,FALSE())),"?TYPE_IDENTIFIABLE","?REFERENTIAL"),"_")))))</f>
        <v> </v>
      </c>
      <c r="H4711" s="25" t="str">
        <f>IF(J4711&lt;&gt;1,"",IF(I4711="SBJ","CB","?"))</f>
        <v> </v>
      </c>
      <c r="I4711" s="26" t="str">
        <f>IF(OR(E4711="",E4711="!!!",F4711="NEW"),"",INDEX(B4710:B$2,-1+SUMPRODUCT(MAX(ROW(E4710:E$2)*(E4711=E4710:E$2)))))</f>
        <v> </v>
      </c>
      <c r="J4711" s="26" t="str">
        <f>IF(OR(E4711="",E4711="!!!",F4711="NEW"),"",COUNTBLANK(OFFSET(A$1,,,SUMPRODUCT(MAX(ROW(E$2:E4711)*(E4711=E$2:E4711)))))-COUNTBLANK(OFFSET(A$1,,,SUMPRODUCT(MAX(ROW(E$1:E4710)*(E2=E$1:E4710))))))</f>
        <v> </v>
      </c>
      <c r="K4711" s="26" t="str">
        <f>IF(OR(E4711="",E4711="!!!",F4711="NEW"),"",INDEX(J$1:J4710,SUMPRODUCT(MAX(ROW(E$1:E4710)*(E4711=E$1:E4710)))))</f>
        <v> </v>
      </c>
      <c r="L4711" s="27"/>
    </row>
    <row r="4712" spans="1:12">
      <c r="A4712" s="20" t="s">
        <v>1179</v>
      </c>
      <c r="E4712" s="22">
        <f>IF(D4712="?OLD","!!!","")</f>
        <v/>
      </c>
      <c r="F4712" s="23" t="str">
        <f>IF(OR(E4712="",E4712="!!!"),"",IF(NOT(ISNA(VLOOKUP(E4712,E$1:E4711,1,FALSE()))),"OLD",IF(AND(E4712&lt;&gt;"",E4712&lt;&gt;"!!!"),"NEW","")))</f>
        <v> </v>
      </c>
      <c r="G4712" s="24" t="str">
        <f>IF(OR(E4712="",E4712="!!!"),"",IF(OR(J4712=0,AND(J4712=1,K4712=1),AND(J4712=1,I4712="SBJ"),AND(J4712=1,I4712=0)),"?IN_FOCUS",IF(J4712&lt;=2,"?ACTIVATED",IF(J4712&lt;&gt;"","?FAMILIAR",IF(F4712="NEW",IF(ISNA(VLOOKUP(E4712,#REF!,1,FALSE())),"?TYPE_IDENTIFIABLE","?REFERENTIAL"),"_")))))</f>
        <v> </v>
      </c>
      <c r="H4712" s="25" t="str">
        <f>IF(J4712&lt;&gt;1,"",IF(I4712="SBJ","CB","?"))</f>
        <v> </v>
      </c>
      <c r="I4712" s="26" t="str">
        <f>IF(OR(E4712="",E4712="!!!",F4712="NEW"),"",INDEX(B4711:B$2,-1+SUMPRODUCT(MAX(ROW(E4711:E$2)*(E4712=E4711:E$2)))))</f>
        <v> </v>
      </c>
      <c r="J4712" s="26" t="str">
        <f>IF(OR(E4712="",E4712="!!!",F4712="NEW"),"",COUNTBLANK(OFFSET(A$1,,,SUMPRODUCT(MAX(ROW(E$2:E4712)*(E4712=E$2:E4712)))))-COUNTBLANK(OFFSET(A$1,,,SUMPRODUCT(MAX(ROW(E$1:E4711)*(E2=E$1:E4711))))))</f>
        <v> </v>
      </c>
      <c r="K4712" s="26" t="str">
        <f>IF(OR(E4712="",E4712="!!!",F4712="NEW"),"",INDEX(J$1:J4711,SUMPRODUCT(MAX(ROW(E$1:E4711)*(E4712=E$1:E4711)))))</f>
        <v> </v>
      </c>
      <c r="L4712" s="27"/>
    </row>
    <row r="4713" spans="1:12">
      <c r="A4713" s="20" t="s">
        <v>2487</v>
      </c>
      <c r="E4713" s="22">
        <f>IF(D4713="?OLD","!!!","")</f>
        <v/>
      </c>
      <c r="F4713" s="23" t="str">
        <f>IF(OR(E4713="",E4713="!!!"),"",IF(NOT(ISNA(VLOOKUP(E4713,E$1:E4712,1,FALSE()))),"OLD",IF(AND(E4713&lt;&gt;"",E4713&lt;&gt;"!!!"),"NEW","")))</f>
        <v> </v>
      </c>
      <c r="G4713" s="24" t="str">
        <f>IF(OR(E4713="",E4713="!!!"),"",IF(OR(J4713=0,AND(J4713=1,K4713=1),AND(J4713=1,I4713="SBJ"),AND(J4713=1,I4713=0)),"?IN_FOCUS",IF(J4713&lt;=2,"?ACTIVATED",IF(J4713&lt;&gt;"","?FAMILIAR",IF(F4713="NEW",IF(ISNA(VLOOKUP(E4713,#REF!,1,FALSE())),"?TYPE_IDENTIFIABLE","?REFERENTIAL"),"_")))))</f>
        <v> </v>
      </c>
      <c r="H4713" s="25" t="str">
        <f>IF(J4713&lt;&gt;1,"",IF(I4713="SBJ","CB","?"))</f>
        <v> </v>
      </c>
      <c r="I4713" s="26" t="str">
        <f>IF(OR(E4713="",E4713="!!!",F4713="NEW"),"",INDEX(B4712:B$2,-1+SUMPRODUCT(MAX(ROW(E4712:E$2)*(E4713=E4712:E$2)))))</f>
        <v> </v>
      </c>
      <c r="J4713" s="26" t="str">
        <f>IF(OR(E4713="",E4713="!!!",F4713="NEW"),"",COUNTBLANK(OFFSET(A$1,,,SUMPRODUCT(MAX(ROW(E$2:E4713)*(E4713=E$2:E4713)))))-COUNTBLANK(OFFSET(A$1,,,SUMPRODUCT(MAX(ROW(E$1:E4712)*(E2=E$1:E4712))))))</f>
        <v> </v>
      </c>
      <c r="K4713" s="26" t="str">
        <f>IF(OR(E4713="",E4713="!!!",F4713="NEW"),"",INDEX(J$1:J4712,SUMPRODUCT(MAX(ROW(E$1:E4712)*(E4713=E$1:E4712)))))</f>
        <v> </v>
      </c>
      <c r="L4713" s="27"/>
    </row>
    <row r="4714" spans="1:12">
      <c r="A4714" s="20" t="s">
        <v>2488</v>
      </c>
      <c r="B4714" s="21" t="s">
        <v>1147</v>
      </c>
      <c r="C4714" s="21" t="s">
        <v>1155</v>
      </c>
      <c r="E4714" s="22">
        <f>IF(D4714="?OLD","!!!","")</f>
        <v/>
      </c>
      <c r="F4714" s="23" t="str">
        <f>IF(OR(E4714="",E4714="!!!"),"",IF(NOT(ISNA(VLOOKUP(E4714,E$1:E4713,1,FALSE()))),"OLD",IF(AND(E4714&lt;&gt;"",E4714&lt;&gt;"!!!"),"NEW","")))</f>
        <v> </v>
      </c>
      <c r="G4714" s="24" t="str">
        <f>IF(OR(E4714="",E4714="!!!"),"",IF(OR(J4714=0,AND(J4714=1,K4714=1),AND(J4714=1,I4714="SBJ"),AND(J4714=1,I4714=0)),"?IN_FOCUS",IF(J4714&lt;=2,"?ACTIVATED",IF(J4714&lt;&gt;"","?FAMILIAR",IF(F4714="NEW",IF(ISNA(VLOOKUP(E4714,#REF!,1,FALSE())),"?TYPE_IDENTIFIABLE","?REFERENTIAL"),"_")))))</f>
        <v> </v>
      </c>
      <c r="H4714" s="25" t="str">
        <f>IF(J4714&lt;&gt;1,"",IF(I4714="SBJ","CB","?"))</f>
        <v> </v>
      </c>
      <c r="I4714" s="26" t="str">
        <f>IF(OR(E4714="",E4714="!!!",F4714="NEW"),"",INDEX(B4713:B$2,-1+SUMPRODUCT(MAX(ROW(E4713:E$2)*(E4714=E4713:E$2)))))</f>
        <v> </v>
      </c>
      <c r="J4714" s="26" t="str">
        <f>IF(OR(E4714="",E4714="!!!",F4714="NEW"),"",COUNTBLANK(OFFSET(A$1,,,SUMPRODUCT(MAX(ROW(E$2:E4714)*(E4714=E$2:E4714)))))-COUNTBLANK(OFFSET(A$1,,,SUMPRODUCT(MAX(ROW(E$1:E4713)*(E2=E$1:E4713))))))</f>
        <v> </v>
      </c>
      <c r="K4714" s="26" t="str">
        <f>IF(OR(E4714="",E4714="!!!",F4714="NEW"),"",INDEX(J$1:J4713,SUMPRODUCT(MAX(ROW(E$1:E4713)*(E4714=E$1:E4713)))))</f>
        <v> </v>
      </c>
      <c r="L4714" s="27"/>
    </row>
    <row r="4715" spans="1:12">
      <c r="A4715" s="20" t="s">
        <v>1166</v>
      </c>
      <c r="E4715" s="22">
        <f>IF(D4715="?OLD","!!!","")</f>
        <v/>
      </c>
      <c r="F4715" s="23" t="str">
        <f>IF(OR(E4715="",E4715="!!!"),"",IF(NOT(ISNA(VLOOKUP(E4715,E$1:E4714,1,FALSE()))),"OLD",IF(AND(E4715&lt;&gt;"",E4715&lt;&gt;"!!!"),"NEW","")))</f>
        <v> </v>
      </c>
      <c r="G4715" s="24" t="str">
        <f>IF(OR(E4715="",E4715="!!!"),"",IF(OR(J4715=0,AND(J4715=1,K4715=1),AND(J4715=1,I4715="SBJ"),AND(J4715=1,I4715=0)),"?IN_FOCUS",IF(J4715&lt;=2,"?ACTIVATED",IF(J4715&lt;&gt;"","?FAMILIAR",IF(F4715="NEW",IF(ISNA(VLOOKUP(E4715,#REF!,1,FALSE())),"?TYPE_IDENTIFIABLE","?REFERENTIAL"),"_")))))</f>
        <v> </v>
      </c>
      <c r="H4715" s="25" t="str">
        <f>IF(J4715&lt;&gt;1,"",IF(I4715="SBJ","CB","?"))</f>
        <v> </v>
      </c>
      <c r="I4715" s="26" t="str">
        <f>IF(OR(E4715="",E4715="!!!",F4715="NEW"),"",INDEX(B4714:B$2,-1+SUMPRODUCT(MAX(ROW(E4714:E$2)*(E4715=E4714:E$2)))))</f>
        <v> </v>
      </c>
      <c r="J4715" s="26" t="str">
        <f>IF(OR(E4715="",E4715="!!!",F4715="NEW"),"",COUNTBLANK(OFFSET(A$1,,,SUMPRODUCT(MAX(ROW(E$2:E4715)*(E4715=E$2:E4715)))))-COUNTBLANK(OFFSET(A$1,,,SUMPRODUCT(MAX(ROW(E$1:E4714)*(E2=E$1:E4714))))))</f>
        <v> </v>
      </c>
      <c r="K4715" s="26" t="str">
        <f>IF(OR(E4715="",E4715="!!!",F4715="NEW"),"",INDEX(J$1:J4714,SUMPRODUCT(MAX(ROW(E$1:E4714)*(E4715=E$1:E4714)))))</f>
        <v> </v>
      </c>
      <c r="L4715" s="27"/>
    </row>
    <row r="4716" spans="1:12">
      <c r="A4716" s="20" t="s">
        <v>1481</v>
      </c>
      <c r="B4716" s="21" t="s">
        <v>1312</v>
      </c>
      <c r="E4716" s="22">
        <f>IF(D4716="?OLD","!!!","")</f>
        <v/>
      </c>
      <c r="F4716" s="23" t="str">
        <f>IF(OR(E4716="",E4716="!!!"),"",IF(NOT(ISNA(VLOOKUP(E4716,E$1:E4715,1,FALSE()))),"OLD",IF(AND(E4716&lt;&gt;"",E4716&lt;&gt;"!!!"),"NEW","")))</f>
        <v> </v>
      </c>
      <c r="G4716" s="24" t="str">
        <f>IF(OR(E4716="",E4716="!!!"),"",IF(OR(J4716=0,AND(J4716=1,K4716=1),AND(J4716=1,I4716="SBJ"),AND(J4716=1,I4716=0)),"?IN_FOCUS",IF(J4716&lt;=2,"?ACTIVATED",IF(J4716&lt;&gt;"","?FAMILIAR",IF(F4716="NEW",IF(ISNA(VLOOKUP(E4716,#REF!,1,FALSE())),"?TYPE_IDENTIFIABLE","?REFERENTIAL"),"_")))))</f>
        <v> </v>
      </c>
      <c r="H4716" s="25" t="str">
        <f>IF(J4716&lt;&gt;1,"",IF(I4716="SBJ","CB","?"))</f>
        <v> </v>
      </c>
      <c r="I4716" s="26" t="str">
        <f>IF(OR(E4716="",E4716="!!!",F4716="NEW"),"",INDEX(B4715:B$2,-1+SUMPRODUCT(MAX(ROW(E4715:E$2)*(E4716=E4715:E$2)))))</f>
        <v> </v>
      </c>
      <c r="J4716" s="26" t="str">
        <f>IF(OR(E4716="",E4716="!!!",F4716="NEW"),"",COUNTBLANK(OFFSET(A$1,,,SUMPRODUCT(MAX(ROW(E$2:E4716)*(E4716=E$2:E4716)))))-COUNTBLANK(OFFSET(A$1,,,SUMPRODUCT(MAX(ROW(E$1:E4715)*(E2=E$1:E4715))))))</f>
        <v> </v>
      </c>
      <c r="K4716" s="26" t="str">
        <f>IF(OR(E4716="",E4716="!!!",F4716="NEW"),"",INDEX(J$1:J4715,SUMPRODUCT(MAX(ROW(E$1:E4715)*(E4716=E$1:E4715)))))</f>
        <v> </v>
      </c>
      <c r="L4716" s="27"/>
    </row>
    <row r="4717" spans="1:12">
      <c r="A4717" s="20" t="s">
        <v>1167</v>
      </c>
      <c r="B4717" s="21" t="s">
        <v>1199</v>
      </c>
      <c r="C4717" s="21" t="s">
        <v>1168</v>
      </c>
      <c r="D4717" s="21" t="s">
        <v>1144</v>
      </c>
      <c r="E4717" s="22">
        <f>IF(D4717="?OLD","!!!","")</f>
        <v/>
      </c>
      <c r="F4717" s="23" t="str">
        <f>IF(OR(E4717="",E4717="!!!"),"",IF(NOT(ISNA(VLOOKUP(E4717,E$1:E4716,1,FALSE()))),"OLD",IF(AND(E4717&lt;&gt;"",E4717&lt;&gt;"!!!"),"NEW","")))</f>
        <v> </v>
      </c>
      <c r="G4717" s="24" t="str">
        <f>IF(OR(E4717="",E4717="!!!"),"",IF(OR(J4717=0,AND(J4717=1,K4717=1),AND(J4717=1,I4717="SBJ"),AND(J4717=1,I4717=0)),"?IN_FOCUS",IF(J4717&lt;=2,"?ACTIVATED",IF(J4717&lt;&gt;"","?FAMILIAR",IF(F4717="NEW",IF(ISNA(VLOOKUP(E4717,#REF!,1,FALSE())),"?TYPE_IDENTIFIABLE","?REFERENTIAL"),"_")))))</f>
        <v> </v>
      </c>
      <c r="H4717" s="25" t="str">
        <f>IF(J4717&lt;&gt;1,"",IF(I4717="SBJ","CB","?"))</f>
        <v> </v>
      </c>
      <c r="I4717" s="26" t="str">
        <f>IF(OR(E4717="",E4717="!!!",F4717="NEW"),"",INDEX(B4716:B$2,-1+SUMPRODUCT(MAX(ROW(E4716:E$2)*(E4717=E4716:E$2)))))</f>
        <v> </v>
      </c>
      <c r="J4717" s="26" t="str">
        <f>IF(OR(E4717="",E4717="!!!",F4717="NEW"),"",COUNTBLANK(OFFSET(A$1,,,SUMPRODUCT(MAX(ROW(E$2:E4717)*(E4717=E$2:E4717)))))-COUNTBLANK(OFFSET(A$1,,,SUMPRODUCT(MAX(ROW(E$1:E4716)*(E2=E$1:E4716))))))</f>
        <v> </v>
      </c>
      <c r="K4717" s="26" t="str">
        <f>IF(OR(E4717="",E4717="!!!",F4717="NEW"),"",INDEX(J$1:J4716,SUMPRODUCT(MAX(ROW(E$1:E4716)*(E4717=E$1:E4716)))))</f>
        <v> </v>
      </c>
      <c r="L4717" s="27"/>
    </row>
    <row r="4718" spans="1:12">
      <c r="A4718" s="20" t="s">
        <v>2489</v>
      </c>
      <c r="E4718" s="22">
        <f>IF(D4718="?OLD","!!!","")</f>
        <v/>
      </c>
      <c r="F4718" s="23" t="str">
        <f>IF(OR(E4718="",E4718="!!!"),"",IF(NOT(ISNA(VLOOKUP(E4718,E$1:E4717,1,FALSE()))),"OLD",IF(AND(E4718&lt;&gt;"",E4718&lt;&gt;"!!!"),"NEW","")))</f>
        <v> </v>
      </c>
      <c r="G4718" s="24" t="str">
        <f>IF(OR(E4718="",E4718="!!!"),"",IF(OR(J4718=0,AND(J4718=1,K4718=1),AND(J4718=1,I4718="SBJ"),AND(J4718=1,I4718=0)),"?IN_FOCUS",IF(J4718&lt;=2,"?ACTIVATED",IF(J4718&lt;&gt;"","?FAMILIAR",IF(F4718="NEW",IF(ISNA(VLOOKUP(E4718,#REF!,1,FALSE())),"?TYPE_IDENTIFIABLE","?REFERENTIAL"),"_")))))</f>
        <v> </v>
      </c>
      <c r="H4718" s="25" t="str">
        <f>IF(J4718&lt;&gt;1,"",IF(I4718="SBJ","CB","?"))</f>
        <v> </v>
      </c>
      <c r="I4718" s="26" t="str">
        <f>IF(OR(E4718="",E4718="!!!",F4718="NEW"),"",INDEX(B4717:B$2,-1+SUMPRODUCT(MAX(ROW(E4717:E$2)*(E4718=E4717:E$2)))))</f>
        <v> </v>
      </c>
      <c r="J4718" s="26" t="str">
        <f>IF(OR(E4718="",E4718="!!!",F4718="NEW"),"",COUNTBLANK(OFFSET(A$1,,,SUMPRODUCT(MAX(ROW(E$2:E4718)*(E4718=E$2:E4718)))))-COUNTBLANK(OFFSET(A$1,,,SUMPRODUCT(MAX(ROW(E$1:E4717)*(E2=E$1:E4717))))))</f>
        <v> </v>
      </c>
      <c r="K4718" s="26" t="str">
        <f>IF(OR(E4718="",E4718="!!!",F4718="NEW"),"",INDEX(J$1:J4717,SUMPRODUCT(MAX(ROW(E$1:E4717)*(E4718=E$1:E4717)))))</f>
        <v> </v>
      </c>
      <c r="L4718" s="27"/>
    </row>
    <row r="4719" spans="1:12">
      <c r="A4719" s="20" t="s">
        <v>312</v>
      </c>
      <c r="E4719" s="22">
        <f>IF(D4719="?OLD","!!!","")</f>
        <v/>
      </c>
      <c r="F4719" s="23" t="str">
        <f>IF(OR(E4719="",E4719="!!!"),"",IF(NOT(ISNA(VLOOKUP(E4719,E$1:E4718,1,FALSE()))),"OLD",IF(AND(E4719&lt;&gt;"",E4719&lt;&gt;"!!!"),"NEW","")))</f>
        <v> </v>
      </c>
      <c r="G4719" s="24" t="str">
        <f>IF(OR(E4719="",E4719="!!!"),"",IF(OR(J4719=0,AND(J4719=1,K4719=1),AND(J4719=1,I4719="SBJ"),AND(J4719=1,I4719=0)),"?IN_FOCUS",IF(J4719&lt;=2,"?ACTIVATED",IF(J4719&lt;&gt;"","?FAMILIAR",IF(F4719="NEW",IF(ISNA(VLOOKUP(E4719,#REF!,1,FALSE())),"?TYPE_IDENTIFIABLE","?REFERENTIAL"),"_")))))</f>
        <v> </v>
      </c>
      <c r="H4719" s="25" t="str">
        <f>IF(J4719&lt;&gt;1,"",IF(I4719="SBJ","CB","?"))</f>
        <v> </v>
      </c>
      <c r="I4719" s="26" t="str">
        <f>IF(OR(E4719="",E4719="!!!",F4719="NEW"),"",INDEX(B4718:B$2,-1+SUMPRODUCT(MAX(ROW(E4718:E$2)*(E4719=E4718:E$2)))))</f>
        <v> </v>
      </c>
      <c r="J4719" s="26" t="str">
        <f>IF(OR(E4719="",E4719="!!!",F4719="NEW"),"",COUNTBLANK(OFFSET(A$1,,,SUMPRODUCT(MAX(ROW(E$2:E4719)*(E4719=E$2:E4719)))))-COUNTBLANK(OFFSET(A$1,,,SUMPRODUCT(MAX(ROW(E$1:E4718)*(E2=E$1:E4718))))))</f>
        <v> </v>
      </c>
      <c r="K4719" s="26" t="str">
        <f>IF(OR(E4719="",E4719="!!!",F4719="NEW"),"",INDEX(J$1:J4718,SUMPRODUCT(MAX(ROW(E$1:E4718)*(E4719=E$1:E4718)))))</f>
        <v> </v>
      </c>
      <c r="L4719" s="27"/>
    </row>
    <row r="4720" spans="1:12">
      <c r="A4720" s="20"/>
    </row>
    <row r="4721" spans="1:12">
      <c r="A4721" s="20" t="s">
        <v>2490</v>
      </c>
    </row>
    <row r="4722" spans="1:12">
      <c r="A4722" s="20" t="s">
        <v>1300</v>
      </c>
      <c r="E4722" s="22">
        <f>IF(D4722="?OLD","!!!","")</f>
        <v/>
      </c>
      <c r="F4722" s="23" t="str">
        <f>IF(OR(E4722="",E4722="!!!"),"",IF(NOT(ISNA(VLOOKUP(E4722,E$1:E4721,1,FALSE()))),"OLD",IF(AND(E4722&lt;&gt;"",E4722&lt;&gt;"!!!"),"NEW","")))</f>
        <v> </v>
      </c>
      <c r="G4722" s="24" t="str">
        <f>IF(OR(E4722="",E4722="!!!"),"",IF(OR(J4722=0,AND(J4722=1,K4722=1),AND(J4722=1,I4722="SBJ"),AND(J4722=1,I4722=0)),"?IN_FOCUS",IF(J4722&lt;=2,"?ACTIVATED",IF(J4722&lt;&gt;"","?FAMILIAR",IF(F4722="NEW",IF(ISNA(VLOOKUP(E4722,#REF!,1,FALSE())),"?TYPE_IDENTIFIABLE","?REFERENTIAL"),"_")))))</f>
        <v> </v>
      </c>
      <c r="H4722" s="25" t="str">
        <f>IF(J4722&lt;&gt;1,"",IF(I4722="SBJ","CB","?"))</f>
        <v> </v>
      </c>
      <c r="I4722" s="26" t="str">
        <f>IF(OR(E4722="",E4722="!!!",F4722="NEW"),"",INDEX(B4721:B$2,-1+SUMPRODUCT(MAX(ROW(E4721:E$2)*(E4722=E4721:E$2)))))</f>
        <v> </v>
      </c>
      <c r="J4722" s="26" t="str">
        <f>IF(OR(E4722="",E4722="!!!",F4722="NEW"),"",COUNTBLANK(OFFSET(A$1,,,SUMPRODUCT(MAX(ROW(E$2:E4722)*(E4722=E$2:E4722)))))-COUNTBLANK(OFFSET(A$1,,,SUMPRODUCT(MAX(ROW(E$1:E4721)*(E2=E$1:E4721))))))</f>
        <v> </v>
      </c>
      <c r="K4722" s="26" t="str">
        <f>IF(OR(E4722="",E4722="!!!",F4722="NEW"),"",INDEX(J$1:J4721,SUMPRODUCT(MAX(ROW(E$1:E4721)*(E4722=E$1:E4721)))))</f>
        <v> </v>
      </c>
      <c r="L4722" s="27"/>
    </row>
    <row r="4723" spans="1:12">
      <c r="A4723" s="20" t="s">
        <v>1397</v>
      </c>
      <c r="E4723" s="22">
        <f>IF(D4723="?OLD","!!!","")</f>
        <v/>
      </c>
      <c r="F4723" s="23" t="str">
        <f>IF(OR(E4723="",E4723="!!!"),"",IF(NOT(ISNA(VLOOKUP(E4723,E$1:E4722,1,FALSE()))),"OLD",IF(AND(E4723&lt;&gt;"",E4723&lt;&gt;"!!!"),"NEW","")))</f>
        <v> </v>
      </c>
      <c r="G4723" s="24" t="str">
        <f>IF(OR(E4723="",E4723="!!!"),"",IF(OR(J4723=0,AND(J4723=1,K4723=1),AND(J4723=1,I4723="SBJ"),AND(J4723=1,I4723=0)),"?IN_FOCUS",IF(J4723&lt;=2,"?ACTIVATED",IF(J4723&lt;&gt;"","?FAMILIAR",IF(F4723="NEW",IF(ISNA(VLOOKUP(E4723,#REF!,1,FALSE())),"?TYPE_IDENTIFIABLE","?REFERENTIAL"),"_")))))</f>
        <v> </v>
      </c>
      <c r="H4723" s="25" t="str">
        <f>IF(J4723&lt;&gt;1,"",IF(I4723="SBJ","CB","?"))</f>
        <v> </v>
      </c>
      <c r="I4723" s="26" t="str">
        <f>IF(OR(E4723="",E4723="!!!",F4723="NEW"),"",INDEX(B4722:B$2,-1+SUMPRODUCT(MAX(ROW(E4722:E$2)*(E4723=E4722:E$2)))))</f>
        <v> </v>
      </c>
      <c r="J4723" s="26" t="str">
        <f>IF(OR(E4723="",E4723="!!!",F4723="NEW"),"",COUNTBLANK(OFFSET(A$1,,,SUMPRODUCT(MAX(ROW(E$2:E4723)*(E4723=E$2:E4723)))))-COUNTBLANK(OFFSET(A$1,,,SUMPRODUCT(MAX(ROW(E$1:E4722)*(E2=E$1:E4722))))))</f>
        <v> </v>
      </c>
      <c r="K4723" s="26" t="str">
        <f>IF(OR(E4723="",E4723="!!!",F4723="NEW"),"",INDEX(J$1:J4722,SUMPRODUCT(MAX(ROW(E$1:E4722)*(E4723=E$1:E4722)))))</f>
        <v> </v>
      </c>
      <c r="L4723" s="27"/>
    </row>
    <row r="4724" spans="1:12">
      <c r="A4724" s="20" t="s">
        <v>1176</v>
      </c>
      <c r="E4724" s="22">
        <f>IF(D4724="?OLD","!!!","")</f>
        <v/>
      </c>
      <c r="F4724" s="23" t="str">
        <f>IF(OR(E4724="",E4724="!!!"),"",IF(NOT(ISNA(VLOOKUP(E4724,E$1:E4723,1,FALSE()))),"OLD",IF(AND(E4724&lt;&gt;"",E4724&lt;&gt;"!!!"),"NEW","")))</f>
        <v> </v>
      </c>
      <c r="G4724" s="24" t="str">
        <f>IF(OR(E4724="",E4724="!!!"),"",IF(OR(J4724=0,AND(J4724=1,K4724=1),AND(J4724=1,I4724="SBJ"),AND(J4724=1,I4724=0)),"?IN_FOCUS",IF(J4724&lt;=2,"?ACTIVATED",IF(J4724&lt;&gt;"","?FAMILIAR",IF(F4724="NEW",IF(ISNA(VLOOKUP(E4724,#REF!,1,FALSE())),"?TYPE_IDENTIFIABLE","?REFERENTIAL"),"_")))))</f>
        <v> </v>
      </c>
      <c r="H4724" s="25" t="str">
        <f>IF(J4724&lt;&gt;1,"",IF(I4724="SBJ","CB","?"))</f>
        <v> </v>
      </c>
      <c r="I4724" s="26" t="str">
        <f>IF(OR(E4724="",E4724="!!!",F4724="NEW"),"",INDEX(B4723:B$2,-1+SUMPRODUCT(MAX(ROW(E4723:E$2)*(E4724=E4723:E$2)))))</f>
        <v> </v>
      </c>
      <c r="J4724" s="26" t="str">
        <f>IF(OR(E4724="",E4724="!!!",F4724="NEW"),"",COUNTBLANK(OFFSET(A$1,,,SUMPRODUCT(MAX(ROW(E$2:E4724)*(E4724=E$2:E4724)))))-COUNTBLANK(OFFSET(A$1,,,SUMPRODUCT(MAX(ROW(E$1:E4723)*(E2=E$1:E4723))))))</f>
        <v> </v>
      </c>
      <c r="K4724" s="26" t="str">
        <f>IF(OR(E4724="",E4724="!!!",F4724="NEW"),"",INDEX(J$1:J4723,SUMPRODUCT(MAX(ROW(E$1:E4723)*(E4724=E$1:E4723)))))</f>
        <v> </v>
      </c>
      <c r="L4724" s="27"/>
    </row>
    <row r="4725" spans="1:12">
      <c r="A4725" s="20" t="s">
        <v>1166</v>
      </c>
      <c r="E4725" s="22">
        <f>IF(D4725="?OLD","!!!","")</f>
        <v/>
      </c>
      <c r="F4725" s="23" t="str">
        <f>IF(OR(E4725="",E4725="!!!"),"",IF(NOT(ISNA(VLOOKUP(E4725,E$1:E4724,1,FALSE()))),"OLD",IF(AND(E4725&lt;&gt;"",E4725&lt;&gt;"!!!"),"NEW","")))</f>
        <v> </v>
      </c>
      <c r="G4725" s="24" t="str">
        <f>IF(OR(E4725="",E4725="!!!"),"",IF(OR(J4725=0,AND(J4725=1,K4725=1),AND(J4725=1,I4725="SBJ"),AND(J4725=1,I4725=0)),"?IN_FOCUS",IF(J4725&lt;=2,"?ACTIVATED",IF(J4725&lt;&gt;"","?FAMILIAR",IF(F4725="NEW",IF(ISNA(VLOOKUP(E4725,#REF!,1,FALSE())),"?TYPE_IDENTIFIABLE","?REFERENTIAL"),"_")))))</f>
        <v> </v>
      </c>
      <c r="H4725" s="25" t="str">
        <f>IF(J4725&lt;&gt;1,"",IF(I4725="SBJ","CB","?"))</f>
        <v> </v>
      </c>
      <c r="I4725" s="26" t="str">
        <f>IF(OR(E4725="",E4725="!!!",F4725="NEW"),"",INDEX(B4724:B$2,-1+SUMPRODUCT(MAX(ROW(E4724:E$2)*(E4725=E4724:E$2)))))</f>
        <v> </v>
      </c>
      <c r="J4725" s="26" t="str">
        <f>IF(OR(E4725="",E4725="!!!",F4725="NEW"),"",COUNTBLANK(OFFSET(A$1,,,SUMPRODUCT(MAX(ROW(E$2:E4725)*(E4725=E$2:E4725)))))-COUNTBLANK(OFFSET(A$1,,,SUMPRODUCT(MAX(ROW(E$1:E4724)*(E2=E$1:E4724))))))</f>
        <v> </v>
      </c>
      <c r="K4725" s="26" t="str">
        <f>IF(OR(E4725="",E4725="!!!",F4725="NEW"),"",INDEX(J$1:J4724,SUMPRODUCT(MAX(ROW(E$1:E4724)*(E4725=E$1:E4724)))))</f>
        <v> </v>
      </c>
      <c r="L4725" s="27"/>
    </row>
    <row r="4726" spans="1:12">
      <c r="A4726" s="20" t="s">
        <v>2491</v>
      </c>
      <c r="E4726" s="22">
        <f>IF(D4726="?OLD","!!!","")</f>
        <v/>
      </c>
      <c r="F4726" s="23" t="str">
        <f>IF(OR(E4726="",E4726="!!!"),"",IF(NOT(ISNA(VLOOKUP(E4726,E$1:E4725,1,FALSE()))),"OLD",IF(AND(E4726&lt;&gt;"",E4726&lt;&gt;"!!!"),"NEW","")))</f>
        <v> </v>
      </c>
      <c r="G4726" s="24" t="str">
        <f>IF(OR(E4726="",E4726="!!!"),"",IF(OR(J4726=0,AND(J4726=1,K4726=1),AND(J4726=1,I4726="SBJ"),AND(J4726=1,I4726=0)),"?IN_FOCUS",IF(J4726&lt;=2,"?ACTIVATED",IF(J4726&lt;&gt;"","?FAMILIAR",IF(F4726="NEW",IF(ISNA(VLOOKUP(E4726,#REF!,1,FALSE())),"?TYPE_IDENTIFIABLE","?REFERENTIAL"),"_")))))</f>
        <v> </v>
      </c>
      <c r="H4726" s="25" t="str">
        <f>IF(J4726&lt;&gt;1,"",IF(I4726="SBJ","CB","?"))</f>
        <v> </v>
      </c>
      <c r="I4726" s="26" t="str">
        <f>IF(OR(E4726="",E4726="!!!",F4726="NEW"),"",INDEX(B4725:B$2,-1+SUMPRODUCT(MAX(ROW(E4725:E$2)*(E4726=E4725:E$2)))))</f>
        <v> </v>
      </c>
      <c r="J4726" s="26" t="str">
        <f>IF(OR(E4726="",E4726="!!!",F4726="NEW"),"",COUNTBLANK(OFFSET(A$1,,,SUMPRODUCT(MAX(ROW(E$2:E4726)*(E4726=E$2:E4726)))))-COUNTBLANK(OFFSET(A$1,,,SUMPRODUCT(MAX(ROW(E$1:E4725)*(E2=E$1:E4725))))))</f>
        <v> </v>
      </c>
      <c r="K4726" s="26" t="str">
        <f>IF(OR(E4726="",E4726="!!!",F4726="NEW"),"",INDEX(J$1:J4725,SUMPRODUCT(MAX(ROW(E$1:E4725)*(E4726=E$1:E4725)))))</f>
        <v> </v>
      </c>
      <c r="L4726" s="27"/>
    </row>
    <row r="4727" spans="1:12">
      <c r="A4727" s="20" t="s">
        <v>1167</v>
      </c>
      <c r="B4727" s="21" t="s">
        <v>1142</v>
      </c>
      <c r="C4727" s="21" t="s">
        <v>1168</v>
      </c>
      <c r="D4727" s="21" t="s">
        <v>1144</v>
      </c>
      <c r="E4727" s="22">
        <f>IF(D4727="?OLD","!!!","")</f>
        <v/>
      </c>
      <c r="F4727" s="23" t="str">
        <f>IF(OR(E4727="",E4727="!!!"),"",IF(NOT(ISNA(VLOOKUP(E4727,E$1:E4726,1,FALSE()))),"OLD",IF(AND(E4727&lt;&gt;"",E4727&lt;&gt;"!!!"),"NEW","")))</f>
        <v> </v>
      </c>
      <c r="G4727" s="24" t="str">
        <f>IF(OR(E4727="",E4727="!!!"),"",IF(OR(J4727=0,AND(J4727=1,K4727=1),AND(J4727=1,I4727="SBJ"),AND(J4727=1,I4727=0)),"?IN_FOCUS",IF(J4727&lt;=2,"?ACTIVATED",IF(J4727&lt;&gt;"","?FAMILIAR",IF(F4727="NEW",IF(ISNA(VLOOKUP(E4727,#REF!,1,FALSE())),"?TYPE_IDENTIFIABLE","?REFERENTIAL"),"_")))))</f>
        <v> </v>
      </c>
      <c r="H4727" s="25" t="str">
        <f>IF(J4727&lt;&gt;1,"",IF(I4727="SBJ","CB","?"))</f>
        <v> </v>
      </c>
      <c r="I4727" s="26" t="str">
        <f>IF(OR(E4727="",E4727="!!!",F4727="NEW"),"",INDEX(B4726:B$2,-1+SUMPRODUCT(MAX(ROW(E4726:E$2)*(E4727=E4726:E$2)))))</f>
        <v> </v>
      </c>
      <c r="J4727" s="26" t="str">
        <f>IF(OR(E4727="",E4727="!!!",F4727="NEW"),"",COUNTBLANK(OFFSET(A$1,,,SUMPRODUCT(MAX(ROW(E$2:E4727)*(E4727=E$2:E4727)))))-COUNTBLANK(OFFSET(A$1,,,SUMPRODUCT(MAX(ROW(E$1:E4726)*(E2=E$1:E4726))))))</f>
        <v> </v>
      </c>
      <c r="K4727" s="26" t="str">
        <f>IF(OR(E4727="",E4727="!!!",F4727="NEW"),"",INDEX(J$1:J4726,SUMPRODUCT(MAX(ROW(E$1:E4726)*(E4727=E$1:E4726)))))</f>
        <v> </v>
      </c>
      <c r="L4727" s="27"/>
    </row>
    <row r="4728" spans="1:12">
      <c r="A4728" s="20" t="s">
        <v>1308</v>
      </c>
      <c r="E4728" s="22">
        <f>IF(D4728="?OLD","!!!","")</f>
        <v/>
      </c>
      <c r="F4728" s="23" t="str">
        <f>IF(OR(E4728="",E4728="!!!"),"",IF(NOT(ISNA(VLOOKUP(E4728,E$1:E4727,1,FALSE()))),"OLD",IF(AND(E4728&lt;&gt;"",E4728&lt;&gt;"!!!"),"NEW","")))</f>
        <v> </v>
      </c>
      <c r="G4728" s="24" t="str">
        <f>IF(OR(E4728="",E4728="!!!"),"",IF(OR(J4728=0,AND(J4728=1,K4728=1),AND(J4728=1,I4728="SBJ"),AND(J4728=1,I4728=0)),"?IN_FOCUS",IF(J4728&lt;=2,"?ACTIVATED",IF(J4728&lt;&gt;"","?FAMILIAR",IF(F4728="NEW",IF(ISNA(VLOOKUP(E4728,#REF!,1,FALSE())),"?TYPE_IDENTIFIABLE","?REFERENTIAL"),"_")))))</f>
        <v> </v>
      </c>
      <c r="H4728" s="25" t="str">
        <f>IF(J4728&lt;&gt;1,"",IF(I4728="SBJ","CB","?"))</f>
        <v> </v>
      </c>
      <c r="I4728" s="26" t="str">
        <f>IF(OR(E4728="",E4728="!!!",F4728="NEW"),"",INDEX(B4727:B$2,-1+SUMPRODUCT(MAX(ROW(E4727:E$2)*(E4728=E4727:E$2)))))</f>
        <v> </v>
      </c>
      <c r="J4728" s="26" t="str">
        <f>IF(OR(E4728="",E4728="!!!",F4728="NEW"),"",COUNTBLANK(OFFSET(A$1,,,SUMPRODUCT(MAX(ROW(E$2:E4728)*(E4728=E$2:E4728)))))-COUNTBLANK(OFFSET(A$1,,,SUMPRODUCT(MAX(ROW(E$1:E4727)*(E2=E$1:E4727))))))</f>
        <v> </v>
      </c>
      <c r="K4728" s="26" t="str">
        <f>IF(OR(E4728="",E4728="!!!",F4728="NEW"),"",INDEX(J$1:J4727,SUMPRODUCT(MAX(ROW(E$1:E4727)*(E4728=E$1:E4727)))))</f>
        <v> </v>
      </c>
      <c r="L4728" s="27"/>
    </row>
    <row r="4729" spans="1:12">
      <c r="A4729" s="20" t="s">
        <v>1275</v>
      </c>
      <c r="E4729" s="22">
        <f>IF(D4729="?OLD","!!!","")</f>
        <v/>
      </c>
      <c r="F4729" s="23" t="str">
        <f>IF(OR(E4729="",E4729="!!!"),"",IF(NOT(ISNA(VLOOKUP(E4729,E$1:E4728,1,FALSE()))),"OLD",IF(AND(E4729&lt;&gt;"",E4729&lt;&gt;"!!!"),"NEW","")))</f>
        <v> </v>
      </c>
      <c r="G4729" s="24" t="str">
        <f>IF(OR(E4729="",E4729="!!!"),"",IF(OR(J4729=0,AND(J4729=1,K4729=1),AND(J4729=1,I4729="SBJ"),AND(J4729=1,I4729=0)),"?IN_FOCUS",IF(J4729&lt;=2,"?ACTIVATED",IF(J4729&lt;&gt;"","?FAMILIAR",IF(F4729="NEW",IF(ISNA(VLOOKUP(E4729,#REF!,1,FALSE())),"?TYPE_IDENTIFIABLE","?REFERENTIAL"),"_")))))</f>
        <v> </v>
      </c>
      <c r="H4729" s="25" t="str">
        <f>IF(J4729&lt;&gt;1,"",IF(I4729="SBJ","CB","?"))</f>
        <v> </v>
      </c>
      <c r="I4729" s="26" t="str">
        <f>IF(OR(E4729="",E4729="!!!",F4729="NEW"),"",INDEX(B4728:B$2,-1+SUMPRODUCT(MAX(ROW(E4728:E$2)*(E4729=E4728:E$2)))))</f>
        <v> </v>
      </c>
      <c r="J4729" s="26" t="str">
        <f>IF(OR(E4729="",E4729="!!!",F4729="NEW"),"",COUNTBLANK(OFFSET(A$1,,,SUMPRODUCT(MAX(ROW(E$2:E4729)*(E4729=E$2:E4729)))))-COUNTBLANK(OFFSET(A$1,,,SUMPRODUCT(MAX(ROW(E$1:E4728)*(E2=E$1:E4728))))))</f>
        <v> </v>
      </c>
      <c r="K4729" s="26" t="str">
        <f>IF(OR(E4729="",E4729="!!!",F4729="NEW"),"",INDEX(J$1:J4728,SUMPRODUCT(MAX(ROW(E$1:E4728)*(E4729=E$1:E4728)))))</f>
        <v> </v>
      </c>
      <c r="L4729" s="27"/>
    </row>
    <row r="4730" spans="1:12">
      <c r="A4730" s="20" t="s">
        <v>1243</v>
      </c>
      <c r="B4730" s="21" t="s">
        <v>1161</v>
      </c>
      <c r="C4730" s="21" t="s">
        <v>1162</v>
      </c>
      <c r="D4730" s="21" t="s">
        <v>1144</v>
      </c>
      <c r="E4730" s="22">
        <f>IF(D4730="?OLD","!!!","")</f>
        <v/>
      </c>
      <c r="F4730" s="23" t="str">
        <f>IF(OR(E4730="",E4730="!!!"),"",IF(NOT(ISNA(VLOOKUP(E4730,E$1:E4729,1,FALSE()))),"OLD",IF(AND(E4730&lt;&gt;"",E4730&lt;&gt;"!!!"),"NEW","")))</f>
        <v> </v>
      </c>
      <c r="G4730" s="24" t="str">
        <f>IF(OR(E4730="",E4730="!!!"),"",IF(OR(J4730=0,AND(J4730=1,K4730=1),AND(J4730=1,I4730="SBJ"),AND(J4730=1,I4730=0)),"?IN_FOCUS",IF(J4730&lt;=2,"?ACTIVATED",IF(J4730&lt;&gt;"","?FAMILIAR",IF(F4730="NEW",IF(ISNA(VLOOKUP(E4730,#REF!,1,FALSE())),"?TYPE_IDENTIFIABLE","?REFERENTIAL"),"_")))))</f>
        <v> </v>
      </c>
      <c r="H4730" s="25" t="str">
        <f>IF(J4730&lt;&gt;1,"",IF(I4730="SBJ","CB","?"))</f>
        <v> </v>
      </c>
      <c r="I4730" s="26" t="str">
        <f>IF(OR(E4730="",E4730="!!!",F4730="NEW"),"",INDEX(B4729:B$2,-1+SUMPRODUCT(MAX(ROW(E4729:E$2)*(E4730=E4729:E$2)))))</f>
        <v> </v>
      </c>
      <c r="J4730" s="26" t="str">
        <f>IF(OR(E4730="",E4730="!!!",F4730="NEW"),"",COUNTBLANK(OFFSET(A$1,,,SUMPRODUCT(MAX(ROW(E$2:E4730)*(E4730=E$2:E4730)))))-COUNTBLANK(OFFSET(A$1,,,SUMPRODUCT(MAX(ROW(E$1:E4729)*(E2=E$1:E4729))))))</f>
        <v> </v>
      </c>
      <c r="K4730" s="26" t="str">
        <f>IF(OR(E4730="",E4730="!!!",F4730="NEW"),"",INDEX(J$1:J4729,SUMPRODUCT(MAX(ROW(E$1:E4729)*(E4730=E$1:E4729)))))</f>
        <v> </v>
      </c>
      <c r="L4730" s="27"/>
    </row>
    <row r="4731" spans="1:12">
      <c r="A4731" s="20" t="s">
        <v>2492</v>
      </c>
      <c r="E4731" s="22">
        <f>IF(D4731="?OLD","!!!","")</f>
        <v/>
      </c>
      <c r="F4731" s="23" t="str">
        <f>IF(OR(E4731="",E4731="!!!"),"",IF(NOT(ISNA(VLOOKUP(E4731,E$1:E4730,1,FALSE()))),"OLD",IF(AND(E4731&lt;&gt;"",E4731&lt;&gt;"!!!"),"NEW","")))</f>
        <v> </v>
      </c>
      <c r="G4731" s="24" t="str">
        <f>IF(OR(E4731="",E4731="!!!"),"",IF(OR(J4731=0,AND(J4731=1,K4731=1),AND(J4731=1,I4731="SBJ"),AND(J4731=1,I4731=0)),"?IN_FOCUS",IF(J4731&lt;=2,"?ACTIVATED",IF(J4731&lt;&gt;"","?FAMILIAR",IF(F4731="NEW",IF(ISNA(VLOOKUP(E4731,#REF!,1,FALSE())),"?TYPE_IDENTIFIABLE","?REFERENTIAL"),"_")))))</f>
        <v> </v>
      </c>
      <c r="H4731" s="25" t="str">
        <f>IF(J4731&lt;&gt;1,"",IF(I4731="SBJ","CB","?"))</f>
        <v> </v>
      </c>
      <c r="I4731" s="26" t="str">
        <f>IF(OR(E4731="",E4731="!!!",F4731="NEW"),"",INDEX(B4730:B$2,-1+SUMPRODUCT(MAX(ROW(E4730:E$2)*(E4731=E4730:E$2)))))</f>
        <v> </v>
      </c>
      <c r="J4731" s="26" t="str">
        <f>IF(OR(E4731="",E4731="!!!",F4731="NEW"),"",COUNTBLANK(OFFSET(A$1,,,SUMPRODUCT(MAX(ROW(E$2:E4731)*(E4731=E$2:E4731)))))-COUNTBLANK(OFFSET(A$1,,,SUMPRODUCT(MAX(ROW(E$1:E4730)*(E2=E$1:E4730))))))</f>
        <v> </v>
      </c>
      <c r="K4731" s="26" t="str">
        <f>IF(OR(E4731="",E4731="!!!",F4731="NEW"),"",INDEX(J$1:J4730,SUMPRODUCT(MAX(ROW(E$1:E4730)*(E4731=E$1:E4730)))))</f>
        <v> </v>
      </c>
      <c r="L4731" s="27"/>
    </row>
    <row r="4732" spans="1:12">
      <c r="A4732" s="20" t="s">
        <v>312</v>
      </c>
      <c r="E4732" s="22">
        <f>IF(D4732="?OLD","!!!","")</f>
        <v/>
      </c>
      <c r="F4732" s="23" t="str">
        <f>IF(OR(E4732="",E4732="!!!"),"",IF(NOT(ISNA(VLOOKUP(E4732,E$1:E4731,1,FALSE()))),"OLD",IF(AND(E4732&lt;&gt;"",E4732&lt;&gt;"!!!"),"NEW","")))</f>
        <v> </v>
      </c>
      <c r="G4732" s="24" t="str">
        <f>IF(OR(E4732="",E4732="!!!"),"",IF(OR(J4732=0,AND(J4732=1,K4732=1),AND(J4732=1,I4732="SBJ"),AND(J4732=1,I4732=0)),"?IN_FOCUS",IF(J4732&lt;=2,"?ACTIVATED",IF(J4732&lt;&gt;"","?FAMILIAR",IF(F4732="NEW",IF(ISNA(VLOOKUP(E4732,#REF!,1,FALSE())),"?TYPE_IDENTIFIABLE","?REFERENTIAL"),"_")))))</f>
        <v> </v>
      </c>
      <c r="H4732" s="25" t="str">
        <f>IF(J4732&lt;&gt;1,"",IF(I4732="SBJ","CB","?"))</f>
        <v> </v>
      </c>
      <c r="I4732" s="26" t="str">
        <f>IF(OR(E4732="",E4732="!!!",F4732="NEW"),"",INDEX(B4731:B$2,-1+SUMPRODUCT(MAX(ROW(E4731:E$2)*(E4732=E4731:E$2)))))</f>
        <v> </v>
      </c>
      <c r="J4732" s="26" t="str">
        <f>IF(OR(E4732="",E4732="!!!",F4732="NEW"),"",COUNTBLANK(OFFSET(A$1,,,SUMPRODUCT(MAX(ROW(E$2:E4732)*(E4732=E$2:E4732)))))-COUNTBLANK(OFFSET(A$1,,,SUMPRODUCT(MAX(ROW(E$1:E4731)*(E2=E$1:E4731))))))</f>
        <v> </v>
      </c>
      <c r="K4732" s="26" t="str">
        <f>IF(OR(E4732="",E4732="!!!",F4732="NEW"),"",INDEX(J$1:J4731,SUMPRODUCT(MAX(ROW(E$1:E4731)*(E4732=E$1:E4731)))))</f>
        <v> </v>
      </c>
      <c r="L4732" s="27"/>
    </row>
    <row r="4733" spans="1:12">
      <c r="A4733" s="20"/>
    </row>
    <row r="4734" spans="1:12">
      <c r="A4734" s="20" t="s">
        <v>2493</v>
      </c>
    </row>
    <row r="4735" spans="1:12">
      <c r="A4735" s="20" t="s">
        <v>1189</v>
      </c>
      <c r="B4735" s="21" t="s">
        <v>1165</v>
      </c>
      <c r="C4735" s="21" t="s">
        <v>1151</v>
      </c>
      <c r="D4735" s="21" t="s">
        <v>1144</v>
      </c>
      <c r="E4735" s="22">
        <f>IF(D4735="?OLD","!!!","")</f>
        <v/>
      </c>
      <c r="F4735" s="23" t="str">
        <f>IF(OR(E4735="",E4735="!!!"),"",IF(NOT(ISNA(VLOOKUP(E4735,E$1:E4734,1,FALSE()))),"OLD",IF(AND(E4735&lt;&gt;"",E4735&lt;&gt;"!!!"),"NEW","")))</f>
        <v> </v>
      </c>
      <c r="G4735" s="24" t="str">
        <f>IF(OR(E4735="",E4735="!!!"),"",IF(OR(J4735=0,AND(J4735=1,K4735=1),AND(J4735=1,I4735="SBJ"),AND(J4735=1,I4735=0)),"?IN_FOCUS",IF(J4735&lt;=2,"?ACTIVATED",IF(J4735&lt;&gt;"","?FAMILIAR",IF(F4735="NEW",IF(ISNA(VLOOKUP(E4735,#REF!,1,FALSE())),"?TYPE_IDENTIFIABLE","?REFERENTIAL"),"_")))))</f>
        <v> </v>
      </c>
      <c r="H4735" s="25" t="str">
        <f>IF(J4735&lt;&gt;1,"",IF(I4735="SBJ","CB","?"))</f>
        <v> </v>
      </c>
      <c r="I4735" s="26" t="str">
        <f>IF(OR(E4735="",E4735="!!!",F4735="NEW"),"",INDEX(B4734:B$2,-1+SUMPRODUCT(MAX(ROW(E4734:E$2)*(E4735=E4734:E$2)))))</f>
        <v> </v>
      </c>
      <c r="J4735" s="26" t="str">
        <f>IF(OR(E4735="",E4735="!!!",F4735="NEW"),"",COUNTBLANK(OFFSET(A$1,,,SUMPRODUCT(MAX(ROW(E$2:E4735)*(E4735=E$2:E4735)))))-COUNTBLANK(OFFSET(A$1,,,SUMPRODUCT(MAX(ROW(E$1:E4734)*(E2=E$1:E4734))))))</f>
        <v> </v>
      </c>
      <c r="K4735" s="26" t="str">
        <f>IF(OR(E4735="",E4735="!!!",F4735="NEW"),"",INDEX(J$1:J4734,SUMPRODUCT(MAX(ROW(E$1:E4734)*(E4735=E$1:E4734)))))</f>
        <v> </v>
      </c>
      <c r="L4735" s="27"/>
    </row>
    <row r="4736" spans="1:12">
      <c r="A4736" s="20" t="s">
        <v>1635</v>
      </c>
      <c r="E4736" s="22">
        <f>IF(D4736="?OLD","!!!","")</f>
        <v/>
      </c>
      <c r="F4736" s="23" t="str">
        <f>IF(OR(E4736="",E4736="!!!"),"",IF(NOT(ISNA(VLOOKUP(E4736,E$1:E4735,1,FALSE()))),"OLD",IF(AND(E4736&lt;&gt;"",E4736&lt;&gt;"!!!"),"NEW","")))</f>
        <v> </v>
      </c>
      <c r="G4736" s="24" t="str">
        <f>IF(OR(E4736="",E4736="!!!"),"",IF(OR(J4736=0,AND(J4736=1,K4736=1),AND(J4736=1,I4736="SBJ"),AND(J4736=1,I4736=0)),"?IN_FOCUS",IF(J4736&lt;=2,"?ACTIVATED",IF(J4736&lt;&gt;"","?FAMILIAR",IF(F4736="NEW",IF(ISNA(VLOOKUP(E4736,#REF!,1,FALSE())),"?TYPE_IDENTIFIABLE","?REFERENTIAL"),"_")))))</f>
        <v> </v>
      </c>
      <c r="H4736" s="25" t="str">
        <f>IF(J4736&lt;&gt;1,"",IF(I4736="SBJ","CB","?"))</f>
        <v> </v>
      </c>
      <c r="I4736" s="26" t="str">
        <f>IF(OR(E4736="",E4736="!!!",F4736="NEW"),"",INDEX(B4735:B$2,-1+SUMPRODUCT(MAX(ROW(E4735:E$2)*(E4736=E4735:E$2)))))</f>
        <v> </v>
      </c>
      <c r="J4736" s="26" t="str">
        <f>IF(OR(E4736="",E4736="!!!",F4736="NEW"),"",COUNTBLANK(OFFSET(A$1,,,SUMPRODUCT(MAX(ROW(E$2:E4736)*(E4736=E$2:E4736)))))-COUNTBLANK(OFFSET(A$1,,,SUMPRODUCT(MAX(ROW(E$1:E4735)*(E2=E$1:E4735))))))</f>
        <v> </v>
      </c>
      <c r="K4736" s="26" t="str">
        <f>IF(OR(E4736="",E4736="!!!",F4736="NEW"),"",INDEX(J$1:J4735,SUMPRODUCT(MAX(ROW(E$1:E4735)*(E4736=E$1:E4735)))))</f>
        <v> </v>
      </c>
      <c r="L4736" s="27"/>
    </row>
    <row r="4737" spans="1:12">
      <c r="A4737" s="20" t="s">
        <v>2494</v>
      </c>
      <c r="B4737" s="21" t="s">
        <v>1154</v>
      </c>
      <c r="C4737" s="21" t="s">
        <v>1187</v>
      </c>
      <c r="E4737" s="22">
        <f>IF(D4737="?OLD","!!!","")</f>
        <v/>
      </c>
      <c r="F4737" s="23" t="str">
        <f>IF(OR(E4737="",E4737="!!!"),"",IF(NOT(ISNA(VLOOKUP(E4737,E$1:E4736,1,FALSE()))),"OLD",IF(AND(E4737&lt;&gt;"",E4737&lt;&gt;"!!!"),"NEW","")))</f>
        <v> </v>
      </c>
      <c r="G4737" s="24" t="str">
        <f>IF(OR(E4737="",E4737="!!!"),"",IF(OR(J4737=0,AND(J4737=1,K4737=1),AND(J4737=1,I4737="SBJ"),AND(J4737=1,I4737=0)),"?IN_FOCUS",IF(J4737&lt;=2,"?ACTIVATED",IF(J4737&lt;&gt;"","?FAMILIAR",IF(F4737="NEW",IF(ISNA(VLOOKUP(E4737,#REF!,1,FALSE())),"?TYPE_IDENTIFIABLE","?REFERENTIAL"),"_")))))</f>
        <v> </v>
      </c>
      <c r="H4737" s="25" t="str">
        <f>IF(J4737&lt;&gt;1,"",IF(I4737="SBJ","CB","?"))</f>
        <v> </v>
      </c>
      <c r="I4737" s="26" t="str">
        <f>IF(OR(E4737="",E4737="!!!",F4737="NEW"),"",INDEX(B4736:B$2,-1+SUMPRODUCT(MAX(ROW(E4736:E$2)*(E4737=E4736:E$2)))))</f>
        <v> </v>
      </c>
      <c r="J4737" s="26" t="str">
        <f>IF(OR(E4737="",E4737="!!!",F4737="NEW"),"",COUNTBLANK(OFFSET(A$1,,,SUMPRODUCT(MAX(ROW(E$2:E4737)*(E4737=E$2:E4737)))))-COUNTBLANK(OFFSET(A$1,,,SUMPRODUCT(MAX(ROW(E$1:E4736)*(E2=E$1:E4736))))))</f>
        <v> </v>
      </c>
      <c r="K4737" s="26" t="str">
        <f>IF(OR(E4737="",E4737="!!!",F4737="NEW"),"",INDEX(J$1:J4736,SUMPRODUCT(MAX(ROW(E$1:E4736)*(E4737=E$1:E4736)))))</f>
        <v> </v>
      </c>
      <c r="L4737" s="27"/>
    </row>
    <row r="4738" spans="1:12">
      <c r="A4738" s="20" t="s">
        <v>1166</v>
      </c>
      <c r="E4738" s="22">
        <f>IF(D4738="?OLD","!!!","")</f>
        <v/>
      </c>
      <c r="F4738" s="23" t="str">
        <f>IF(OR(E4738="",E4738="!!!"),"",IF(NOT(ISNA(VLOOKUP(E4738,E$1:E4737,1,FALSE()))),"OLD",IF(AND(E4738&lt;&gt;"",E4738&lt;&gt;"!!!"),"NEW","")))</f>
        <v> </v>
      </c>
      <c r="G4738" s="24" t="str">
        <f>IF(OR(E4738="",E4738="!!!"),"",IF(OR(J4738=0,AND(J4738=1,K4738=1),AND(J4738=1,I4738="SBJ"),AND(J4738=1,I4738=0)),"?IN_FOCUS",IF(J4738&lt;=2,"?ACTIVATED",IF(J4738&lt;&gt;"","?FAMILIAR",IF(F4738="NEW",IF(ISNA(VLOOKUP(E4738,#REF!,1,FALSE())),"?TYPE_IDENTIFIABLE","?REFERENTIAL"),"_")))))</f>
        <v> </v>
      </c>
      <c r="H4738" s="25" t="str">
        <f>IF(J4738&lt;&gt;1,"",IF(I4738="SBJ","CB","?"))</f>
        <v> </v>
      </c>
      <c r="I4738" s="26" t="str">
        <f>IF(OR(E4738="",E4738="!!!",F4738="NEW"),"",INDEX(B4737:B$2,-1+SUMPRODUCT(MAX(ROW(E4737:E$2)*(E4738=E4737:E$2)))))</f>
        <v> </v>
      </c>
      <c r="J4738" s="26" t="str">
        <f>IF(OR(E4738="",E4738="!!!",F4738="NEW"),"",COUNTBLANK(OFFSET(A$1,,,SUMPRODUCT(MAX(ROW(E$2:E4738)*(E4738=E$2:E4738)))))-COUNTBLANK(OFFSET(A$1,,,SUMPRODUCT(MAX(ROW(E$1:E4737)*(E2=E$1:E4737))))))</f>
        <v> </v>
      </c>
      <c r="K4738" s="26" t="str">
        <f>IF(OR(E4738="",E4738="!!!",F4738="NEW"),"",INDEX(J$1:J4737,SUMPRODUCT(MAX(ROW(E$1:E4737)*(E4738=E$1:E4737)))))</f>
        <v> </v>
      </c>
      <c r="L4738" s="27"/>
    </row>
    <row r="4739" spans="1:12">
      <c r="A4739" s="20" t="s">
        <v>1197</v>
      </c>
      <c r="E4739" s="22">
        <f>IF(D4739="?OLD","!!!","")</f>
        <v/>
      </c>
      <c r="F4739" s="23" t="str">
        <f>IF(OR(E4739="",E4739="!!!"),"",IF(NOT(ISNA(VLOOKUP(E4739,E$1:E4738,1,FALSE()))),"OLD",IF(AND(E4739&lt;&gt;"",E4739&lt;&gt;"!!!"),"NEW","")))</f>
        <v> </v>
      </c>
      <c r="G4739" s="24" t="str">
        <f>IF(OR(E4739="",E4739="!!!"),"",IF(OR(J4739=0,AND(J4739=1,K4739=1),AND(J4739=1,I4739="SBJ"),AND(J4739=1,I4739=0)),"?IN_FOCUS",IF(J4739&lt;=2,"?ACTIVATED",IF(J4739&lt;&gt;"","?FAMILIAR",IF(F4739="NEW",IF(ISNA(VLOOKUP(E4739,#REF!,1,FALSE())),"?TYPE_IDENTIFIABLE","?REFERENTIAL"),"_")))))</f>
        <v> </v>
      </c>
      <c r="H4739" s="25" t="str">
        <f>IF(J4739&lt;&gt;1,"",IF(I4739="SBJ","CB","?"))</f>
        <v> </v>
      </c>
      <c r="I4739" s="26" t="str">
        <f>IF(OR(E4739="",E4739="!!!",F4739="NEW"),"",INDEX(B4738:B$2,-1+SUMPRODUCT(MAX(ROW(E4738:E$2)*(E4739=E4738:E$2)))))</f>
        <v> </v>
      </c>
      <c r="J4739" s="26" t="str">
        <f>IF(OR(E4739="",E4739="!!!",F4739="NEW"),"",COUNTBLANK(OFFSET(A$1,,,SUMPRODUCT(MAX(ROW(E$2:E4739)*(E4739=E$2:E4739)))))-COUNTBLANK(OFFSET(A$1,,,SUMPRODUCT(MAX(ROW(E$1:E4738)*(E2=E$1:E4738))))))</f>
        <v> </v>
      </c>
      <c r="K4739" s="26" t="str">
        <f>IF(OR(E4739="",E4739="!!!",F4739="NEW"),"",INDEX(J$1:J4738,SUMPRODUCT(MAX(ROW(E$1:E4738)*(E4739=E$1:E4738)))))</f>
        <v> </v>
      </c>
      <c r="L4739" s="27"/>
    </row>
    <row r="4740" spans="1:12">
      <c r="A4740" s="20" t="s">
        <v>1198</v>
      </c>
      <c r="B4740" s="21" t="s">
        <v>1142</v>
      </c>
      <c r="C4740" s="21" t="s">
        <v>1151</v>
      </c>
      <c r="D4740" s="21" t="s">
        <v>1144</v>
      </c>
      <c r="E4740" s="22">
        <f>IF(D4740="?OLD","!!!","")</f>
        <v/>
      </c>
      <c r="F4740" s="23" t="str">
        <f>IF(OR(E4740="",E4740="!!!"),"",IF(NOT(ISNA(VLOOKUP(E4740,E$1:E4739,1,FALSE()))),"OLD",IF(AND(E4740&lt;&gt;"",E4740&lt;&gt;"!!!"),"NEW","")))</f>
        <v> </v>
      </c>
      <c r="G4740" s="24" t="str">
        <f>IF(OR(E4740="",E4740="!!!"),"",IF(OR(J4740=0,AND(J4740=1,K4740=1),AND(J4740=1,I4740="SBJ"),AND(J4740=1,I4740=0)),"?IN_FOCUS",IF(J4740&lt;=2,"?ACTIVATED",IF(J4740&lt;&gt;"","?FAMILIAR",IF(F4740="NEW",IF(ISNA(VLOOKUP(E4740,#REF!,1,FALSE())),"?TYPE_IDENTIFIABLE","?REFERENTIAL"),"_")))))</f>
        <v> </v>
      </c>
      <c r="H4740" s="25" t="str">
        <f>IF(J4740&lt;&gt;1,"",IF(I4740="SBJ","CB","?"))</f>
        <v> </v>
      </c>
      <c r="I4740" s="26" t="str">
        <f>IF(OR(E4740="",E4740="!!!",F4740="NEW"),"",INDEX(B4739:B$2,-1+SUMPRODUCT(MAX(ROW(E4739:E$2)*(E4740=E4739:E$2)))))</f>
        <v> </v>
      </c>
      <c r="J4740" s="26" t="str">
        <f>IF(OR(E4740="",E4740="!!!",F4740="NEW"),"",COUNTBLANK(OFFSET(A$1,,,SUMPRODUCT(MAX(ROW(E$2:E4740)*(E4740=E$2:E4740)))))-COUNTBLANK(OFFSET(A$1,,,SUMPRODUCT(MAX(ROW(E$1:E4739)*(E2=E$1:E4739))))))</f>
        <v> </v>
      </c>
      <c r="K4740" s="26" t="str">
        <f>IF(OR(E4740="",E4740="!!!",F4740="NEW"),"",INDEX(J$1:J4739,SUMPRODUCT(MAX(ROW(E$1:E4739)*(E4740=E$1:E4739)))))</f>
        <v> </v>
      </c>
      <c r="L4740" s="27"/>
    </row>
    <row r="4741" spans="1:12">
      <c r="A4741" s="20" t="s">
        <v>1243</v>
      </c>
      <c r="B4741" s="21" t="s">
        <v>1150</v>
      </c>
      <c r="C4741" s="21" t="s">
        <v>1187</v>
      </c>
      <c r="E4741" s="22">
        <f>IF(D4741="?OLD","!!!","")</f>
        <v/>
      </c>
      <c r="F4741" s="23" t="str">
        <f>IF(OR(E4741="",E4741="!!!"),"",IF(NOT(ISNA(VLOOKUP(E4741,E$1:E4740,1,FALSE()))),"OLD",IF(AND(E4741&lt;&gt;"",E4741&lt;&gt;"!!!"),"NEW","")))</f>
        <v> </v>
      </c>
      <c r="G4741" s="24" t="str">
        <f>IF(OR(E4741="",E4741="!!!"),"",IF(OR(J4741=0,AND(J4741=1,K4741=1),AND(J4741=1,I4741="SBJ"),AND(J4741=1,I4741=0)),"?IN_FOCUS",IF(J4741&lt;=2,"?ACTIVATED",IF(J4741&lt;&gt;"","?FAMILIAR",IF(F4741="NEW",IF(ISNA(VLOOKUP(E4741,#REF!,1,FALSE())),"?TYPE_IDENTIFIABLE","?REFERENTIAL"),"_")))))</f>
        <v> </v>
      </c>
      <c r="H4741" s="25" t="str">
        <f>IF(J4741&lt;&gt;1,"",IF(I4741="SBJ","CB","?"))</f>
        <v> </v>
      </c>
      <c r="I4741" s="26" t="str">
        <f>IF(OR(E4741="",E4741="!!!",F4741="NEW"),"",INDEX(B4740:B$2,-1+SUMPRODUCT(MAX(ROW(E4740:E$2)*(E4741=E4740:E$2)))))</f>
        <v> </v>
      </c>
      <c r="J4741" s="26" t="str">
        <f>IF(OR(E4741="",E4741="!!!",F4741="NEW"),"",COUNTBLANK(OFFSET(A$1,,,SUMPRODUCT(MAX(ROW(E$2:E4741)*(E4741=E$2:E4741)))))-COUNTBLANK(OFFSET(A$1,,,SUMPRODUCT(MAX(ROW(E$1:E4740)*(E2=E$1:E4740))))))</f>
        <v> </v>
      </c>
      <c r="K4741" s="26" t="str">
        <f>IF(OR(E4741="",E4741="!!!",F4741="NEW"),"",INDEX(J$1:J4740,SUMPRODUCT(MAX(ROW(E$1:E4740)*(E4741=E$1:E4740)))))</f>
        <v> </v>
      </c>
      <c r="L4741" s="27"/>
    </row>
    <row r="4742" spans="1:12">
      <c r="A4742" s="20" t="s">
        <v>2005</v>
      </c>
      <c r="E4742" s="22">
        <f>IF(D4742="?OLD","!!!","")</f>
        <v/>
      </c>
      <c r="F4742" s="23" t="str">
        <f>IF(OR(E4742="",E4742="!!!"),"",IF(NOT(ISNA(VLOOKUP(E4742,E$1:E4741,1,FALSE()))),"OLD",IF(AND(E4742&lt;&gt;"",E4742&lt;&gt;"!!!"),"NEW","")))</f>
        <v> </v>
      </c>
      <c r="G4742" s="24" t="str">
        <f>IF(OR(E4742="",E4742="!!!"),"",IF(OR(J4742=0,AND(J4742=1,K4742=1),AND(J4742=1,I4742="SBJ"),AND(J4742=1,I4742=0)),"?IN_FOCUS",IF(J4742&lt;=2,"?ACTIVATED",IF(J4742&lt;&gt;"","?FAMILIAR",IF(F4742="NEW",IF(ISNA(VLOOKUP(E4742,#REF!,1,FALSE())),"?TYPE_IDENTIFIABLE","?REFERENTIAL"),"_")))))</f>
        <v> </v>
      </c>
      <c r="H4742" s="25" t="str">
        <f>IF(J4742&lt;&gt;1,"",IF(I4742="SBJ","CB","?"))</f>
        <v> </v>
      </c>
      <c r="I4742" s="26" t="str">
        <f>IF(OR(E4742="",E4742="!!!",F4742="NEW"),"",INDEX(B4741:B$2,-1+SUMPRODUCT(MAX(ROW(E4741:E$2)*(E4742=E4741:E$2)))))</f>
        <v> </v>
      </c>
      <c r="J4742" s="26" t="str">
        <f>IF(OR(E4742="",E4742="!!!",F4742="NEW"),"",COUNTBLANK(OFFSET(A$1,,,SUMPRODUCT(MAX(ROW(E$2:E4742)*(E4742=E$2:E4742)))))-COUNTBLANK(OFFSET(A$1,,,SUMPRODUCT(MAX(ROW(E$1:E4741)*(E2=E$1:E4741))))))</f>
        <v> </v>
      </c>
      <c r="K4742" s="26" t="str">
        <f>IF(OR(E4742="",E4742="!!!",F4742="NEW"),"",INDEX(J$1:J4741,SUMPRODUCT(MAX(ROW(E$1:E4741)*(E4742=E$1:E4741)))))</f>
        <v> </v>
      </c>
      <c r="L4742" s="27"/>
    </row>
    <row r="4743" spans="1:12">
      <c r="A4743" s="20" t="s">
        <v>2495</v>
      </c>
      <c r="E4743" s="22">
        <f>IF(D4743="?OLD","!!!","")</f>
        <v/>
      </c>
      <c r="F4743" s="23" t="str">
        <f>IF(OR(E4743="",E4743="!!!"),"",IF(NOT(ISNA(VLOOKUP(E4743,E$1:E4742,1,FALSE()))),"OLD",IF(AND(E4743&lt;&gt;"",E4743&lt;&gt;"!!!"),"NEW","")))</f>
        <v> </v>
      </c>
      <c r="G4743" s="24" t="str">
        <f>IF(OR(E4743="",E4743="!!!"),"",IF(OR(J4743=0,AND(J4743=1,K4743=1),AND(J4743=1,I4743="SBJ"),AND(J4743=1,I4743=0)),"?IN_FOCUS",IF(J4743&lt;=2,"?ACTIVATED",IF(J4743&lt;&gt;"","?FAMILIAR",IF(F4743="NEW",IF(ISNA(VLOOKUP(E4743,#REF!,1,FALSE())),"?TYPE_IDENTIFIABLE","?REFERENTIAL"),"_")))))</f>
        <v> </v>
      </c>
      <c r="H4743" s="25" t="str">
        <f>IF(J4743&lt;&gt;1,"",IF(I4743="SBJ","CB","?"))</f>
        <v> </v>
      </c>
      <c r="I4743" s="26" t="str">
        <f>IF(OR(E4743="",E4743="!!!",F4743="NEW"),"",INDEX(B4742:B$2,-1+SUMPRODUCT(MAX(ROW(E4742:E$2)*(E4743=E4742:E$2)))))</f>
        <v> </v>
      </c>
      <c r="J4743" s="26" t="str">
        <f>IF(OR(E4743="",E4743="!!!",F4743="NEW"),"",COUNTBLANK(OFFSET(A$1,,,SUMPRODUCT(MAX(ROW(E$2:E4743)*(E4743=E$2:E4743)))))-COUNTBLANK(OFFSET(A$1,,,SUMPRODUCT(MAX(ROW(E$1:E4742)*(E2=E$1:E4742))))))</f>
        <v> </v>
      </c>
      <c r="K4743" s="26" t="str">
        <f>IF(OR(E4743="",E4743="!!!",F4743="NEW"),"",INDEX(J$1:J4742,SUMPRODUCT(MAX(ROW(E$1:E4742)*(E4743=E$1:E4742)))))</f>
        <v> </v>
      </c>
      <c r="L4743" s="27"/>
    </row>
    <row r="4744" spans="1:12">
      <c r="A4744" s="20" t="s">
        <v>312</v>
      </c>
      <c r="E4744" s="22">
        <f>IF(D4744="?OLD","!!!","")</f>
        <v/>
      </c>
      <c r="F4744" s="23" t="str">
        <f>IF(OR(E4744="",E4744="!!!"),"",IF(NOT(ISNA(VLOOKUP(E4744,E$1:E4743,1,FALSE()))),"OLD",IF(AND(E4744&lt;&gt;"",E4744&lt;&gt;"!!!"),"NEW","")))</f>
        <v> </v>
      </c>
      <c r="G4744" s="24" t="str">
        <f>IF(OR(E4744="",E4744="!!!"),"",IF(OR(J4744=0,AND(J4744=1,K4744=1),AND(J4744=1,I4744="SBJ"),AND(J4744=1,I4744=0)),"?IN_FOCUS",IF(J4744&lt;=2,"?ACTIVATED",IF(J4744&lt;&gt;"","?FAMILIAR",IF(F4744="NEW",IF(ISNA(VLOOKUP(E4744,#REF!,1,FALSE())),"?TYPE_IDENTIFIABLE","?REFERENTIAL"),"_")))))</f>
        <v> </v>
      </c>
      <c r="H4744" s="25" t="str">
        <f>IF(J4744&lt;&gt;1,"",IF(I4744="SBJ","CB","?"))</f>
        <v> </v>
      </c>
      <c r="I4744" s="26" t="str">
        <f>IF(OR(E4744="",E4744="!!!",F4744="NEW"),"",INDEX(B4743:B$2,-1+SUMPRODUCT(MAX(ROW(E4743:E$2)*(E4744=E4743:E$2)))))</f>
        <v> </v>
      </c>
      <c r="J4744" s="26" t="str">
        <f>IF(OR(E4744="",E4744="!!!",F4744="NEW"),"",COUNTBLANK(OFFSET(A$1,,,SUMPRODUCT(MAX(ROW(E$2:E4744)*(E4744=E$2:E4744)))))-COUNTBLANK(OFFSET(A$1,,,SUMPRODUCT(MAX(ROW(E$1:E4743)*(E2=E$1:E4743))))))</f>
        <v> </v>
      </c>
      <c r="K4744" s="26" t="str">
        <f>IF(OR(E4744="",E4744="!!!",F4744="NEW"),"",INDEX(J$1:J4743,SUMPRODUCT(MAX(ROW(E$1:E4743)*(E4744=E$1:E4743)))))</f>
        <v> </v>
      </c>
      <c r="L4744" s="27"/>
    </row>
    <row r="4745" spans="1:12">
      <c r="A4745" s="20"/>
    </row>
    <row r="4746" spans="1:12">
      <c r="A4746" s="20" t="s">
        <v>2496</v>
      </c>
    </row>
    <row r="4747" spans="1:12">
      <c r="A4747" s="20" t="s">
        <v>1417</v>
      </c>
      <c r="B4747" s="21" t="s">
        <v>1165</v>
      </c>
      <c r="C4747" s="21" t="s">
        <v>1168</v>
      </c>
      <c r="D4747" s="21" t="s">
        <v>1144</v>
      </c>
      <c r="E4747" s="22">
        <f>IF(D4747="?OLD","!!!","")</f>
        <v/>
      </c>
      <c r="F4747" s="23" t="str">
        <f>IF(OR(E4747="",E4747="!!!"),"",IF(NOT(ISNA(VLOOKUP(E4747,E$1:E4746,1,FALSE()))),"OLD",IF(AND(E4747&lt;&gt;"",E4747&lt;&gt;"!!!"),"NEW","")))</f>
        <v> </v>
      </c>
      <c r="G4747" s="24" t="str">
        <f>IF(OR(E4747="",E4747="!!!"),"",IF(OR(J4747=0,AND(J4747=1,K4747=1),AND(J4747=1,I4747="SBJ"),AND(J4747=1,I4747=0)),"?IN_FOCUS",IF(J4747&lt;=2,"?ACTIVATED",IF(J4747&lt;&gt;"","?FAMILIAR",IF(F4747="NEW",IF(ISNA(VLOOKUP(E4747,#REF!,1,FALSE())),"?TYPE_IDENTIFIABLE","?REFERENTIAL"),"_")))))</f>
        <v> </v>
      </c>
      <c r="H4747" s="25" t="str">
        <f>IF(J4747&lt;&gt;1,"",IF(I4747="SBJ","CB","?"))</f>
        <v> </v>
      </c>
      <c r="I4747" s="26" t="str">
        <f>IF(OR(E4747="",E4747="!!!",F4747="NEW"),"",INDEX(B4746:B$2,-1+SUMPRODUCT(MAX(ROW(E4746:E$2)*(E4747=E4746:E$2)))))</f>
        <v> </v>
      </c>
      <c r="J4747" s="26" t="str">
        <f>IF(OR(E4747="",E4747="!!!",F4747="NEW"),"",COUNTBLANK(OFFSET(A$1,,,SUMPRODUCT(MAX(ROW(E$2:E4747)*(E4747=E$2:E4747)))))-COUNTBLANK(OFFSET(A$1,,,SUMPRODUCT(MAX(ROW(E$1:E4746)*(E2=E$1:E4746))))))</f>
        <v> </v>
      </c>
      <c r="K4747" s="26" t="str">
        <f>IF(OR(E4747="",E4747="!!!",F4747="NEW"),"",INDEX(J$1:J4746,SUMPRODUCT(MAX(ROW(E$1:E4746)*(E4747=E$1:E4746)))))</f>
        <v> </v>
      </c>
      <c r="L4747" s="27"/>
    </row>
    <row r="4748" spans="1:12">
      <c r="A4748" s="20" t="s">
        <v>1397</v>
      </c>
      <c r="E4748" s="22">
        <f>IF(D4748="?OLD","!!!","")</f>
        <v/>
      </c>
      <c r="F4748" s="23" t="str">
        <f>IF(OR(E4748="",E4748="!!!"),"",IF(NOT(ISNA(VLOOKUP(E4748,E$1:E4747,1,FALSE()))),"OLD",IF(AND(E4748&lt;&gt;"",E4748&lt;&gt;"!!!"),"NEW","")))</f>
        <v> </v>
      </c>
      <c r="G4748" s="24" t="str">
        <f>IF(OR(E4748="",E4748="!!!"),"",IF(OR(J4748=0,AND(J4748=1,K4748=1),AND(J4748=1,I4748="SBJ"),AND(J4748=1,I4748=0)),"?IN_FOCUS",IF(J4748&lt;=2,"?ACTIVATED",IF(J4748&lt;&gt;"","?FAMILIAR",IF(F4748="NEW",IF(ISNA(VLOOKUP(E4748,#REF!,1,FALSE())),"?TYPE_IDENTIFIABLE","?REFERENTIAL"),"_")))))</f>
        <v> </v>
      </c>
      <c r="H4748" s="25" t="str">
        <f>IF(J4748&lt;&gt;1,"",IF(I4748="SBJ","CB","?"))</f>
        <v> </v>
      </c>
      <c r="I4748" s="26" t="str">
        <f>IF(OR(E4748="",E4748="!!!",F4748="NEW"),"",INDEX(B4747:B$2,-1+SUMPRODUCT(MAX(ROW(E4747:E$2)*(E4748=E4747:E$2)))))</f>
        <v> </v>
      </c>
      <c r="J4748" s="26" t="str">
        <f>IF(OR(E4748="",E4748="!!!",F4748="NEW"),"",COUNTBLANK(OFFSET(A$1,,,SUMPRODUCT(MAX(ROW(E$2:E4748)*(E4748=E$2:E4748)))))-COUNTBLANK(OFFSET(A$1,,,SUMPRODUCT(MAX(ROW(E$1:E4747)*(E2=E$1:E4747))))))</f>
        <v> </v>
      </c>
      <c r="K4748" s="26" t="str">
        <f>IF(OR(E4748="",E4748="!!!",F4748="NEW"),"",INDEX(J$1:J4747,SUMPRODUCT(MAX(ROW(E$1:E4747)*(E4748=E$1:E4747)))))</f>
        <v> </v>
      </c>
      <c r="L4748" s="27"/>
    </row>
    <row r="4749" spans="1:12">
      <c r="A4749" s="20" t="s">
        <v>2497</v>
      </c>
      <c r="E4749" s="22">
        <f>IF(D4749="?OLD","!!!","")</f>
        <v/>
      </c>
      <c r="F4749" s="23" t="str">
        <f>IF(OR(E4749="",E4749="!!!"),"",IF(NOT(ISNA(VLOOKUP(E4749,E$1:E4748,1,FALSE()))),"OLD",IF(AND(E4749&lt;&gt;"",E4749&lt;&gt;"!!!"),"NEW","")))</f>
        <v> </v>
      </c>
      <c r="G4749" s="24" t="str">
        <f>IF(OR(E4749="",E4749="!!!"),"",IF(OR(J4749=0,AND(J4749=1,K4749=1),AND(J4749=1,I4749="SBJ"),AND(J4749=1,I4749=0)),"?IN_FOCUS",IF(J4749&lt;=2,"?ACTIVATED",IF(J4749&lt;&gt;"","?FAMILIAR",IF(F4749="NEW",IF(ISNA(VLOOKUP(E4749,#REF!,1,FALSE())),"?TYPE_IDENTIFIABLE","?REFERENTIAL"),"_")))))</f>
        <v> </v>
      </c>
      <c r="H4749" s="25" t="str">
        <f>IF(J4749&lt;&gt;1,"",IF(I4749="SBJ","CB","?"))</f>
        <v> </v>
      </c>
      <c r="I4749" s="26" t="str">
        <f>IF(OR(E4749="",E4749="!!!",F4749="NEW"),"",INDEX(B4748:B$2,-1+SUMPRODUCT(MAX(ROW(E4748:E$2)*(E4749=E4748:E$2)))))</f>
        <v> </v>
      </c>
      <c r="J4749" s="26" t="str">
        <f>IF(OR(E4749="",E4749="!!!",F4749="NEW"),"",COUNTBLANK(OFFSET(A$1,,,SUMPRODUCT(MAX(ROW(E$2:E4749)*(E4749=E$2:E4749)))))-COUNTBLANK(OFFSET(A$1,,,SUMPRODUCT(MAX(ROW(E$1:E4748)*(E2=E$1:E4748))))))</f>
        <v> </v>
      </c>
      <c r="K4749" s="26" t="str">
        <f>IF(OR(E4749="",E4749="!!!",F4749="NEW"),"",INDEX(J$1:J4748,SUMPRODUCT(MAX(ROW(E$1:E4748)*(E4749=E$1:E4748)))))</f>
        <v> </v>
      </c>
      <c r="L4749" s="27"/>
    </row>
    <row r="4750" spans="1:12">
      <c r="A4750" s="20" t="s">
        <v>1166</v>
      </c>
      <c r="E4750" s="22">
        <f>IF(D4750="?OLD","!!!","")</f>
        <v/>
      </c>
      <c r="F4750" s="23" t="str">
        <f>IF(OR(E4750="",E4750="!!!"),"",IF(NOT(ISNA(VLOOKUP(E4750,E$1:E4749,1,FALSE()))),"OLD",IF(AND(E4750&lt;&gt;"",E4750&lt;&gt;"!!!"),"NEW","")))</f>
        <v> </v>
      </c>
      <c r="G4750" s="24" t="str">
        <f>IF(OR(E4750="",E4750="!!!"),"",IF(OR(J4750=0,AND(J4750=1,K4750=1),AND(J4750=1,I4750="SBJ"),AND(J4750=1,I4750=0)),"?IN_FOCUS",IF(J4750&lt;=2,"?ACTIVATED",IF(J4750&lt;&gt;"","?FAMILIAR",IF(F4750="NEW",IF(ISNA(VLOOKUP(E4750,#REF!,1,FALSE())),"?TYPE_IDENTIFIABLE","?REFERENTIAL"),"_")))))</f>
        <v> </v>
      </c>
      <c r="H4750" s="25" t="str">
        <f>IF(J4750&lt;&gt;1,"",IF(I4750="SBJ","CB","?"))</f>
        <v> </v>
      </c>
      <c r="I4750" s="26" t="str">
        <f>IF(OR(E4750="",E4750="!!!",F4750="NEW"),"",INDEX(B4749:B$2,-1+SUMPRODUCT(MAX(ROW(E4749:E$2)*(E4750=E4749:E$2)))))</f>
        <v> </v>
      </c>
      <c r="J4750" s="26" t="str">
        <f>IF(OR(E4750="",E4750="!!!",F4750="NEW"),"",COUNTBLANK(OFFSET(A$1,,,SUMPRODUCT(MAX(ROW(E$2:E4750)*(E4750=E$2:E4750)))))-COUNTBLANK(OFFSET(A$1,,,SUMPRODUCT(MAX(ROW(E$1:E4749)*(E2=E$1:E4749))))))</f>
        <v> </v>
      </c>
      <c r="K4750" s="26" t="str">
        <f>IF(OR(E4750="",E4750="!!!",F4750="NEW"),"",INDEX(J$1:J4749,SUMPRODUCT(MAX(ROW(E$1:E4749)*(E4750=E$1:E4749)))))</f>
        <v> </v>
      </c>
      <c r="L4750" s="27"/>
    </row>
    <row r="4751" spans="1:12">
      <c r="A4751" s="20" t="s">
        <v>1287</v>
      </c>
      <c r="E4751" s="22">
        <f>IF(D4751="?OLD","!!!","")</f>
        <v/>
      </c>
      <c r="F4751" s="23" t="str">
        <f>IF(OR(E4751="",E4751="!!!"),"",IF(NOT(ISNA(VLOOKUP(E4751,E$1:E4750,1,FALSE()))),"OLD",IF(AND(E4751&lt;&gt;"",E4751&lt;&gt;"!!!"),"NEW","")))</f>
        <v> </v>
      </c>
      <c r="G4751" s="24" t="str">
        <f>IF(OR(E4751="",E4751="!!!"),"",IF(OR(J4751=0,AND(J4751=1,K4751=1),AND(J4751=1,I4751="SBJ"),AND(J4751=1,I4751=0)),"?IN_FOCUS",IF(J4751&lt;=2,"?ACTIVATED",IF(J4751&lt;&gt;"","?FAMILIAR",IF(F4751="NEW",IF(ISNA(VLOOKUP(E4751,#REF!,1,FALSE())),"?TYPE_IDENTIFIABLE","?REFERENTIAL"),"_")))))</f>
        <v> </v>
      </c>
      <c r="H4751" s="25" t="str">
        <f>IF(J4751&lt;&gt;1,"",IF(I4751="SBJ","CB","?"))</f>
        <v> </v>
      </c>
      <c r="I4751" s="26" t="str">
        <f>IF(OR(E4751="",E4751="!!!",F4751="NEW"),"",INDEX(B4750:B$2,-1+SUMPRODUCT(MAX(ROW(E4750:E$2)*(E4751=E4750:E$2)))))</f>
        <v> </v>
      </c>
      <c r="J4751" s="26" t="str">
        <f>IF(OR(E4751="",E4751="!!!",F4751="NEW"),"",COUNTBLANK(OFFSET(A$1,,,SUMPRODUCT(MAX(ROW(E$2:E4751)*(E4751=E$2:E4751)))))-COUNTBLANK(OFFSET(A$1,,,SUMPRODUCT(MAX(ROW(E$1:E4750)*(E2=E$1:E4750))))))</f>
        <v> </v>
      </c>
      <c r="K4751" s="26" t="str">
        <f>IF(OR(E4751="",E4751="!!!",F4751="NEW"),"",INDEX(J$1:J4750,SUMPRODUCT(MAX(ROW(E$1:E4750)*(E4751=E$1:E4750)))))</f>
        <v> </v>
      </c>
      <c r="L4751" s="27"/>
    </row>
    <row r="4752" spans="1:12">
      <c r="A4752" s="20" t="s">
        <v>1191</v>
      </c>
      <c r="B4752" s="21" t="s">
        <v>1142</v>
      </c>
      <c r="C4752" s="21" t="s">
        <v>1232</v>
      </c>
      <c r="D4752" s="21" t="s">
        <v>1144</v>
      </c>
      <c r="E4752" s="22">
        <f>IF(D4752="?OLD","!!!","")</f>
        <v/>
      </c>
      <c r="F4752" s="23" t="str">
        <f>IF(OR(E4752="",E4752="!!!"),"",IF(NOT(ISNA(VLOOKUP(E4752,E$1:E4751,1,FALSE()))),"OLD",IF(AND(E4752&lt;&gt;"",E4752&lt;&gt;"!!!"),"NEW","")))</f>
        <v> </v>
      </c>
      <c r="G4752" s="24" t="str">
        <f>IF(OR(E4752="",E4752="!!!"),"",IF(OR(J4752=0,AND(J4752=1,K4752=1),AND(J4752=1,I4752="SBJ"),AND(J4752=1,I4752=0)),"?IN_FOCUS",IF(J4752&lt;=2,"?ACTIVATED",IF(J4752&lt;&gt;"","?FAMILIAR",IF(F4752="NEW",IF(ISNA(VLOOKUP(E4752,#REF!,1,FALSE())),"?TYPE_IDENTIFIABLE","?REFERENTIAL"),"_")))))</f>
        <v> </v>
      </c>
      <c r="H4752" s="25" t="str">
        <f>IF(J4752&lt;&gt;1,"",IF(I4752="SBJ","CB","?"))</f>
        <v> </v>
      </c>
      <c r="I4752" s="26" t="str">
        <f>IF(OR(E4752="",E4752="!!!",F4752="NEW"),"",INDEX(B4751:B$2,-1+SUMPRODUCT(MAX(ROW(E4751:E$2)*(E4752=E4751:E$2)))))</f>
        <v> </v>
      </c>
      <c r="J4752" s="26" t="str">
        <f>IF(OR(E4752="",E4752="!!!",F4752="NEW"),"",COUNTBLANK(OFFSET(A$1,,,SUMPRODUCT(MAX(ROW(E$2:E4752)*(E4752=E$2:E4752)))))-COUNTBLANK(OFFSET(A$1,,,SUMPRODUCT(MAX(ROW(E$1:E4751)*(E2=E$1:E4751))))))</f>
        <v> </v>
      </c>
      <c r="K4752" s="26" t="str">
        <f>IF(OR(E4752="",E4752="!!!",F4752="NEW"),"",INDEX(J$1:J4751,SUMPRODUCT(MAX(ROW(E$1:E4751)*(E4752=E$1:E4751)))))</f>
        <v> </v>
      </c>
      <c r="L4752" s="27"/>
    </row>
    <row r="4753" spans="1:12">
      <c r="A4753" s="20" t="s">
        <v>1397</v>
      </c>
      <c r="E4753" s="22">
        <f>IF(D4753="?OLD","!!!","")</f>
        <v/>
      </c>
      <c r="F4753" s="23" t="str">
        <f>IF(OR(E4753="",E4753="!!!"),"",IF(NOT(ISNA(VLOOKUP(E4753,E$1:E4752,1,FALSE()))),"OLD",IF(AND(E4753&lt;&gt;"",E4753&lt;&gt;"!!!"),"NEW","")))</f>
        <v> </v>
      </c>
      <c r="G4753" s="24" t="str">
        <f>IF(OR(E4753="",E4753="!!!"),"",IF(OR(J4753=0,AND(J4753=1,K4753=1),AND(J4753=1,I4753="SBJ"),AND(J4753=1,I4753=0)),"?IN_FOCUS",IF(J4753&lt;=2,"?ACTIVATED",IF(J4753&lt;&gt;"","?FAMILIAR",IF(F4753="NEW",IF(ISNA(VLOOKUP(E4753,#REF!,1,FALSE())),"?TYPE_IDENTIFIABLE","?REFERENTIAL"),"_")))))</f>
        <v> </v>
      </c>
      <c r="H4753" s="25" t="str">
        <f>IF(J4753&lt;&gt;1,"",IF(I4753="SBJ","CB","?"))</f>
        <v> </v>
      </c>
      <c r="I4753" s="26" t="str">
        <f>IF(OR(E4753="",E4753="!!!",F4753="NEW"),"",INDEX(B4752:B$2,-1+SUMPRODUCT(MAX(ROW(E4752:E$2)*(E4753=E4752:E$2)))))</f>
        <v> </v>
      </c>
      <c r="J4753" s="26" t="str">
        <f>IF(OR(E4753="",E4753="!!!",F4753="NEW"),"",COUNTBLANK(OFFSET(A$1,,,SUMPRODUCT(MAX(ROW(E$2:E4753)*(E4753=E$2:E4753)))))-COUNTBLANK(OFFSET(A$1,,,SUMPRODUCT(MAX(ROW(E$1:E4752)*(E2=E$1:E4752))))))</f>
        <v> </v>
      </c>
      <c r="K4753" s="26" t="str">
        <f>IF(OR(E4753="",E4753="!!!",F4753="NEW"),"",INDEX(J$1:J4752,SUMPRODUCT(MAX(ROW(E$1:E4752)*(E4753=E$1:E4752)))))</f>
        <v> </v>
      </c>
      <c r="L4753" s="27"/>
    </row>
    <row r="4754" spans="1:12">
      <c r="A4754" s="20" t="s">
        <v>1238</v>
      </c>
      <c r="E4754" s="22">
        <f>IF(D4754="?OLD","!!!","")</f>
        <v/>
      </c>
      <c r="F4754" s="23" t="str">
        <f>IF(OR(E4754="",E4754="!!!"),"",IF(NOT(ISNA(VLOOKUP(E4754,E$1:E4753,1,FALSE()))),"OLD",IF(AND(E4754&lt;&gt;"",E4754&lt;&gt;"!!!"),"NEW","")))</f>
        <v> </v>
      </c>
      <c r="G4754" s="24" t="str">
        <f>IF(OR(E4754="",E4754="!!!"),"",IF(OR(J4754=0,AND(J4754=1,K4754=1),AND(J4754=1,I4754="SBJ"),AND(J4754=1,I4754=0)),"?IN_FOCUS",IF(J4754&lt;=2,"?ACTIVATED",IF(J4754&lt;&gt;"","?FAMILIAR",IF(F4754="NEW",IF(ISNA(VLOOKUP(E4754,#REF!,1,FALSE())),"?TYPE_IDENTIFIABLE","?REFERENTIAL"),"_")))))</f>
        <v> </v>
      </c>
      <c r="H4754" s="25" t="str">
        <f>IF(J4754&lt;&gt;1,"",IF(I4754="SBJ","CB","?"))</f>
        <v> </v>
      </c>
      <c r="I4754" s="26" t="str">
        <f>IF(OR(E4754="",E4754="!!!",F4754="NEW"),"",INDEX(B4753:B$2,-1+SUMPRODUCT(MAX(ROW(E4753:E$2)*(E4754=E4753:E$2)))))</f>
        <v> </v>
      </c>
      <c r="J4754" s="26" t="str">
        <f>IF(OR(E4754="",E4754="!!!",F4754="NEW"),"",COUNTBLANK(OFFSET(A$1,,,SUMPRODUCT(MAX(ROW(E$2:E4754)*(E4754=E$2:E4754)))))-COUNTBLANK(OFFSET(A$1,,,SUMPRODUCT(MAX(ROW(E$1:E4753)*(E2=E$1:E4753))))))</f>
        <v> </v>
      </c>
      <c r="K4754" s="26" t="str">
        <f>IF(OR(E4754="",E4754="!!!",F4754="NEW"),"",INDEX(J$1:J4753,SUMPRODUCT(MAX(ROW(E$1:E4753)*(E4754=E$1:E4753)))))</f>
        <v> </v>
      </c>
      <c r="L4754" s="27"/>
    </row>
    <row r="4755" spans="1:12">
      <c r="A4755" s="20" t="s">
        <v>1253</v>
      </c>
      <c r="B4755" s="21" t="s">
        <v>1161</v>
      </c>
      <c r="C4755" s="21" t="s">
        <v>1162</v>
      </c>
      <c r="D4755" s="21" t="s">
        <v>1144</v>
      </c>
      <c r="E4755" s="22">
        <f>IF(D4755="?OLD","!!!","")</f>
        <v/>
      </c>
      <c r="F4755" s="23" t="str">
        <f>IF(OR(E4755="",E4755="!!!"),"",IF(NOT(ISNA(VLOOKUP(E4755,E$1:E4754,1,FALSE()))),"OLD",IF(AND(E4755&lt;&gt;"",E4755&lt;&gt;"!!!"),"NEW","")))</f>
        <v> </v>
      </c>
      <c r="G4755" s="24" t="str">
        <f>IF(OR(E4755="",E4755="!!!"),"",IF(OR(J4755=0,AND(J4755=1,K4755=1),AND(J4755=1,I4755="SBJ"),AND(J4755=1,I4755=0)),"?IN_FOCUS",IF(J4755&lt;=2,"?ACTIVATED",IF(J4755&lt;&gt;"","?FAMILIAR",IF(F4755="NEW",IF(ISNA(VLOOKUP(E4755,#REF!,1,FALSE())),"?TYPE_IDENTIFIABLE","?REFERENTIAL"),"_")))))</f>
        <v> </v>
      </c>
      <c r="H4755" s="25" t="str">
        <f>IF(J4755&lt;&gt;1,"",IF(I4755="SBJ","CB","?"))</f>
        <v> </v>
      </c>
      <c r="I4755" s="26" t="str">
        <f>IF(OR(E4755="",E4755="!!!",F4755="NEW"),"",INDEX(B4754:B$2,-1+SUMPRODUCT(MAX(ROW(E4754:E$2)*(E4755=E4754:E$2)))))</f>
        <v> </v>
      </c>
      <c r="J4755" s="26" t="str">
        <f>IF(OR(E4755="",E4755="!!!",F4755="NEW"),"",COUNTBLANK(OFFSET(A$1,,,SUMPRODUCT(MAX(ROW(E$2:E4755)*(E4755=E$2:E4755)))))-COUNTBLANK(OFFSET(A$1,,,SUMPRODUCT(MAX(ROW(E$1:E4754)*(E2=E$1:E4754))))))</f>
        <v> </v>
      </c>
      <c r="K4755" s="26" t="str">
        <f>IF(OR(E4755="",E4755="!!!",F4755="NEW"),"",INDEX(J$1:J4754,SUMPRODUCT(MAX(ROW(E$1:E4754)*(E4755=E$1:E4754)))))</f>
        <v> </v>
      </c>
      <c r="L4755" s="27"/>
    </row>
    <row r="4756" spans="1:12">
      <c r="A4756" s="20" t="s">
        <v>1166</v>
      </c>
      <c r="E4756" s="22">
        <f>IF(D4756="?OLD","!!!","")</f>
        <v/>
      </c>
      <c r="F4756" s="23" t="str">
        <f>IF(OR(E4756="",E4756="!!!"),"",IF(NOT(ISNA(VLOOKUP(E4756,E$1:E4755,1,FALSE()))),"OLD",IF(AND(E4756&lt;&gt;"",E4756&lt;&gt;"!!!"),"NEW","")))</f>
        <v> </v>
      </c>
      <c r="G4756" s="24" t="str">
        <f>IF(OR(E4756="",E4756="!!!"),"",IF(OR(J4756=0,AND(J4756=1,K4756=1),AND(J4756=1,I4756="SBJ"),AND(J4756=1,I4756=0)),"?IN_FOCUS",IF(J4756&lt;=2,"?ACTIVATED",IF(J4756&lt;&gt;"","?FAMILIAR",IF(F4756="NEW",IF(ISNA(VLOOKUP(E4756,#REF!,1,FALSE())),"?TYPE_IDENTIFIABLE","?REFERENTIAL"),"_")))))</f>
        <v> </v>
      </c>
      <c r="H4756" s="25" t="str">
        <f>IF(J4756&lt;&gt;1,"",IF(I4756="SBJ","CB","?"))</f>
        <v> </v>
      </c>
      <c r="I4756" s="26" t="str">
        <f>IF(OR(E4756="",E4756="!!!",F4756="NEW"),"",INDEX(B4755:B$2,-1+SUMPRODUCT(MAX(ROW(E4755:E$2)*(E4756=E4755:E$2)))))</f>
        <v> </v>
      </c>
      <c r="J4756" s="26" t="str">
        <f>IF(OR(E4756="",E4756="!!!",F4756="NEW"),"",COUNTBLANK(OFFSET(A$1,,,SUMPRODUCT(MAX(ROW(E$2:E4756)*(E4756=E$2:E4756)))))-COUNTBLANK(OFFSET(A$1,,,SUMPRODUCT(MAX(ROW(E$1:E4755)*(E2=E$1:E4755))))))</f>
        <v> </v>
      </c>
      <c r="K4756" s="26" t="str">
        <f>IF(OR(E4756="",E4756="!!!",F4756="NEW"),"",INDEX(J$1:J4755,SUMPRODUCT(MAX(ROW(E$1:E4755)*(E4756=E$1:E4755)))))</f>
        <v> </v>
      </c>
      <c r="L4756" s="27"/>
    </row>
    <row r="4757" spans="1:12">
      <c r="A4757" s="20" t="s">
        <v>1409</v>
      </c>
      <c r="E4757" s="22">
        <f>IF(D4757="?OLD","!!!","")</f>
        <v/>
      </c>
      <c r="F4757" s="23" t="str">
        <f>IF(OR(E4757="",E4757="!!!"),"",IF(NOT(ISNA(VLOOKUP(E4757,E$1:E4756,1,FALSE()))),"OLD",IF(AND(E4757&lt;&gt;"",E4757&lt;&gt;"!!!"),"NEW","")))</f>
        <v> </v>
      </c>
      <c r="G4757" s="24" t="str">
        <f>IF(OR(E4757="",E4757="!!!"),"",IF(OR(J4757=0,AND(J4757=1,K4757=1),AND(J4757=1,I4757="SBJ"),AND(J4757=1,I4757=0)),"?IN_FOCUS",IF(J4757&lt;=2,"?ACTIVATED",IF(J4757&lt;&gt;"","?FAMILIAR",IF(F4757="NEW",IF(ISNA(VLOOKUP(E4757,#REF!,1,FALSE())),"?TYPE_IDENTIFIABLE","?REFERENTIAL"),"_")))))</f>
        <v> </v>
      </c>
      <c r="H4757" s="25" t="str">
        <f>IF(J4757&lt;&gt;1,"",IF(I4757="SBJ","CB","?"))</f>
        <v> </v>
      </c>
      <c r="I4757" s="26" t="str">
        <f>IF(OR(E4757="",E4757="!!!",F4757="NEW"),"",INDEX(B4756:B$2,-1+SUMPRODUCT(MAX(ROW(E4756:E$2)*(E4757=E4756:E$2)))))</f>
        <v> </v>
      </c>
      <c r="J4757" s="26" t="str">
        <f>IF(OR(E4757="",E4757="!!!",F4757="NEW"),"",COUNTBLANK(OFFSET(A$1,,,SUMPRODUCT(MAX(ROW(E$2:E4757)*(E4757=E$2:E4757)))))-COUNTBLANK(OFFSET(A$1,,,SUMPRODUCT(MAX(ROW(E$1:E4756)*(E2=E$1:E4756))))))</f>
        <v> </v>
      </c>
      <c r="K4757" s="26" t="str">
        <f>IF(OR(E4757="",E4757="!!!",F4757="NEW"),"",INDEX(J$1:J4756,SUMPRODUCT(MAX(ROW(E$1:E4756)*(E4757=E$1:E4756)))))</f>
        <v> </v>
      </c>
      <c r="L4757" s="27"/>
    </row>
    <row r="4758" spans="1:12">
      <c r="A4758" s="20" t="s">
        <v>1263</v>
      </c>
      <c r="E4758" s="22">
        <f>IF(D4758="?OLD","!!!","")</f>
        <v/>
      </c>
      <c r="F4758" s="23" t="str">
        <f>IF(OR(E4758="",E4758="!!!"),"",IF(NOT(ISNA(VLOOKUP(E4758,E$1:E4757,1,FALSE()))),"OLD",IF(AND(E4758&lt;&gt;"",E4758&lt;&gt;"!!!"),"NEW","")))</f>
        <v> </v>
      </c>
      <c r="G4758" s="24" t="str">
        <f>IF(OR(E4758="",E4758="!!!"),"",IF(OR(J4758=0,AND(J4758=1,K4758=1),AND(J4758=1,I4758="SBJ"),AND(J4758=1,I4758=0)),"?IN_FOCUS",IF(J4758&lt;=2,"?ACTIVATED",IF(J4758&lt;&gt;"","?FAMILIAR",IF(F4758="NEW",IF(ISNA(VLOOKUP(E4758,#REF!,1,FALSE())),"?TYPE_IDENTIFIABLE","?REFERENTIAL"),"_")))))</f>
        <v> </v>
      </c>
      <c r="H4758" s="25" t="str">
        <f>IF(J4758&lt;&gt;1,"",IF(I4758="SBJ","CB","?"))</f>
        <v> </v>
      </c>
      <c r="I4758" s="26" t="str">
        <f>IF(OR(E4758="",E4758="!!!",F4758="NEW"),"",INDEX(B4757:B$2,-1+SUMPRODUCT(MAX(ROW(E4757:E$2)*(E4758=E4757:E$2)))))</f>
        <v> </v>
      </c>
      <c r="J4758" s="26" t="str">
        <f>IF(OR(E4758="",E4758="!!!",F4758="NEW"),"",COUNTBLANK(OFFSET(A$1,,,SUMPRODUCT(MAX(ROW(E$2:E4758)*(E4758=E$2:E4758)))))-COUNTBLANK(OFFSET(A$1,,,SUMPRODUCT(MAX(ROW(E$1:E4757)*(E2=E$1:E4757))))))</f>
        <v> </v>
      </c>
      <c r="K4758" s="26" t="str">
        <f>IF(OR(E4758="",E4758="!!!",F4758="NEW"),"",INDEX(J$1:J4757,SUMPRODUCT(MAX(ROW(E$1:E4757)*(E4758=E$1:E4757)))))</f>
        <v> </v>
      </c>
      <c r="L4758" s="27"/>
    </row>
    <row r="4759" spans="1:12">
      <c r="A4759" s="20"/>
    </row>
    <row r="4760" spans="1:12">
      <c r="A4760" s="20" t="s">
        <v>2498</v>
      </c>
    </row>
    <row r="4761" spans="1:12">
      <c r="A4761" s="20" t="s">
        <v>1300</v>
      </c>
      <c r="B4761" s="21" t="s">
        <v>1165</v>
      </c>
      <c r="C4761" s="21" t="s">
        <v>1151</v>
      </c>
      <c r="D4761" s="21" t="s">
        <v>1144</v>
      </c>
      <c r="E4761" s="22">
        <f>IF(D4761="?OLD","!!!","")</f>
        <v/>
      </c>
      <c r="F4761" s="23" t="str">
        <f>IF(OR(E4761="",E4761="!!!"),"",IF(NOT(ISNA(VLOOKUP(E4761,E$1:E4760,1,FALSE()))),"OLD",IF(AND(E4761&lt;&gt;"",E4761&lt;&gt;"!!!"),"NEW","")))</f>
        <v> </v>
      </c>
      <c r="G4761" s="24" t="str">
        <f>IF(OR(E4761="",E4761="!!!"),"",IF(OR(J4761=0,AND(J4761=1,K4761=1),AND(J4761=1,I4761="SBJ"),AND(J4761=1,I4761=0)),"?IN_FOCUS",IF(J4761&lt;=2,"?ACTIVATED",IF(J4761&lt;&gt;"","?FAMILIAR",IF(F4761="NEW",IF(ISNA(VLOOKUP(E4761,#REF!,1,FALSE())),"?TYPE_IDENTIFIABLE","?REFERENTIAL"),"_")))))</f>
        <v> </v>
      </c>
      <c r="H4761" s="25" t="str">
        <f>IF(J4761&lt;&gt;1,"",IF(I4761="SBJ","CB","?"))</f>
        <v> </v>
      </c>
      <c r="I4761" s="26" t="str">
        <f>IF(OR(E4761="",E4761="!!!",F4761="NEW"),"",INDEX(B4760:B$2,-1+SUMPRODUCT(MAX(ROW(E4760:E$2)*(E4761=E4760:E$2)))))</f>
        <v> </v>
      </c>
      <c r="J4761" s="26" t="str">
        <f>IF(OR(E4761="",E4761="!!!",F4761="NEW"),"",COUNTBLANK(OFFSET(A$1,,,SUMPRODUCT(MAX(ROW(E$2:E4761)*(E4761=E$2:E4761)))))-COUNTBLANK(OFFSET(A$1,,,SUMPRODUCT(MAX(ROW(E$1:E4760)*(E2=E$1:E4760))))))</f>
        <v> </v>
      </c>
      <c r="K4761" s="26" t="str">
        <f>IF(OR(E4761="",E4761="!!!",F4761="NEW"),"",INDEX(J$1:J4760,SUMPRODUCT(MAX(ROW(E$1:E4760)*(E4761=E$1:E4760)))))</f>
        <v> </v>
      </c>
      <c r="L4761" s="27"/>
    </row>
    <row r="4762" spans="1:12">
      <c r="A4762" s="20" t="s">
        <v>1397</v>
      </c>
      <c r="E4762" s="22">
        <f>IF(D4762="?OLD","!!!","")</f>
        <v/>
      </c>
      <c r="F4762" s="23" t="str">
        <f>IF(OR(E4762="",E4762="!!!"),"",IF(NOT(ISNA(VLOOKUP(E4762,E$1:E4761,1,FALSE()))),"OLD",IF(AND(E4762&lt;&gt;"",E4762&lt;&gt;"!!!"),"NEW","")))</f>
        <v> </v>
      </c>
      <c r="G4762" s="24" t="str">
        <f>IF(OR(E4762="",E4762="!!!"),"",IF(OR(J4762=0,AND(J4762=1,K4762=1),AND(J4762=1,I4762="SBJ"),AND(J4762=1,I4762=0)),"?IN_FOCUS",IF(J4762&lt;=2,"?ACTIVATED",IF(J4762&lt;&gt;"","?FAMILIAR",IF(F4762="NEW",IF(ISNA(VLOOKUP(E4762,#REF!,1,FALSE())),"?TYPE_IDENTIFIABLE","?REFERENTIAL"),"_")))))</f>
        <v> </v>
      </c>
      <c r="H4762" s="25" t="str">
        <f>IF(J4762&lt;&gt;1,"",IF(I4762="SBJ","CB","?"))</f>
        <v> </v>
      </c>
      <c r="I4762" s="26" t="str">
        <f>IF(OR(E4762="",E4762="!!!",F4762="NEW"),"",INDEX(B4761:B$2,-1+SUMPRODUCT(MAX(ROW(E4761:E$2)*(E4762=E4761:E$2)))))</f>
        <v> </v>
      </c>
      <c r="J4762" s="26" t="str">
        <f>IF(OR(E4762="",E4762="!!!",F4762="NEW"),"",COUNTBLANK(OFFSET(A$1,,,SUMPRODUCT(MAX(ROW(E$2:E4762)*(E4762=E$2:E4762)))))-COUNTBLANK(OFFSET(A$1,,,SUMPRODUCT(MAX(ROW(E$1:E4761)*(E2=E$1:E4761))))))</f>
        <v> </v>
      </c>
      <c r="K4762" s="26" t="str">
        <f>IF(OR(E4762="",E4762="!!!",F4762="NEW"),"",INDEX(J$1:J4761,SUMPRODUCT(MAX(ROW(E$1:E4761)*(E4762=E$1:E4761)))))</f>
        <v> </v>
      </c>
      <c r="L4762" s="27"/>
    </row>
    <row r="4763" spans="1:12">
      <c r="A4763" s="20" t="s">
        <v>1152</v>
      </c>
      <c r="E4763" s="22">
        <f>IF(D4763="?OLD","!!!","")</f>
        <v/>
      </c>
      <c r="F4763" s="23" t="str">
        <f>IF(OR(E4763="",E4763="!!!"),"",IF(NOT(ISNA(VLOOKUP(E4763,E$1:E4762,1,FALSE()))),"OLD",IF(AND(E4763&lt;&gt;"",E4763&lt;&gt;"!!!"),"NEW","")))</f>
        <v> </v>
      </c>
      <c r="G4763" s="24" t="str">
        <f>IF(OR(E4763="",E4763="!!!"),"",IF(OR(J4763=0,AND(J4763=1,K4763=1),AND(J4763=1,I4763="SBJ"),AND(J4763=1,I4763=0)),"?IN_FOCUS",IF(J4763&lt;=2,"?ACTIVATED",IF(J4763&lt;&gt;"","?FAMILIAR",IF(F4763="NEW",IF(ISNA(VLOOKUP(E4763,#REF!,1,FALSE())),"?TYPE_IDENTIFIABLE","?REFERENTIAL"),"_")))))</f>
        <v> </v>
      </c>
      <c r="H4763" s="25" t="str">
        <f>IF(J4763&lt;&gt;1,"",IF(I4763="SBJ","CB","?"))</f>
        <v> </v>
      </c>
      <c r="I4763" s="26" t="str">
        <f>IF(OR(E4763="",E4763="!!!",F4763="NEW"),"",INDEX(B4762:B$2,-1+SUMPRODUCT(MAX(ROW(E4762:E$2)*(E4763=E4762:E$2)))))</f>
        <v> </v>
      </c>
      <c r="J4763" s="26" t="str">
        <f>IF(OR(E4763="",E4763="!!!",F4763="NEW"),"",COUNTBLANK(OFFSET(A$1,,,SUMPRODUCT(MAX(ROW(E$2:E4763)*(E4763=E$2:E4763)))))-COUNTBLANK(OFFSET(A$1,,,SUMPRODUCT(MAX(ROW(E$1:E4762)*(E2=E$1:E4762))))))</f>
        <v> </v>
      </c>
      <c r="K4763" s="26" t="str">
        <f>IF(OR(E4763="",E4763="!!!",F4763="NEW"),"",INDEX(J$1:J4762,SUMPRODUCT(MAX(ROW(E$1:E4762)*(E4763=E$1:E4762)))))</f>
        <v> </v>
      </c>
      <c r="L4763" s="27"/>
    </row>
    <row r="4764" spans="1:12">
      <c r="A4764" s="20" t="s">
        <v>2118</v>
      </c>
      <c r="E4764" s="22">
        <f>IF(D4764="?OLD","!!!","")</f>
        <v/>
      </c>
      <c r="F4764" s="23" t="str">
        <f>IF(OR(E4764="",E4764="!!!"),"",IF(NOT(ISNA(VLOOKUP(E4764,E$1:E4763,1,FALSE()))),"OLD",IF(AND(E4764&lt;&gt;"",E4764&lt;&gt;"!!!"),"NEW","")))</f>
        <v> </v>
      </c>
      <c r="G4764" s="24" t="str">
        <f>IF(OR(E4764="",E4764="!!!"),"",IF(OR(J4764=0,AND(J4764=1,K4764=1),AND(J4764=1,I4764="SBJ"),AND(J4764=1,I4764=0)),"?IN_FOCUS",IF(J4764&lt;=2,"?ACTIVATED",IF(J4764&lt;&gt;"","?FAMILIAR",IF(F4764="NEW",IF(ISNA(VLOOKUP(E4764,#REF!,1,FALSE())),"?TYPE_IDENTIFIABLE","?REFERENTIAL"),"_")))))</f>
        <v> </v>
      </c>
      <c r="H4764" s="25" t="str">
        <f>IF(J4764&lt;&gt;1,"",IF(I4764="SBJ","CB","?"))</f>
        <v> </v>
      </c>
      <c r="I4764" s="26" t="str">
        <f>IF(OR(E4764="",E4764="!!!",F4764="NEW"),"",INDEX(B4763:B$2,-1+SUMPRODUCT(MAX(ROW(E4763:E$2)*(E4764=E4763:E$2)))))</f>
        <v> </v>
      </c>
      <c r="J4764" s="26" t="str">
        <f>IF(OR(E4764="",E4764="!!!",F4764="NEW"),"",COUNTBLANK(OFFSET(A$1,,,SUMPRODUCT(MAX(ROW(E$2:E4764)*(E4764=E$2:E4764)))))-COUNTBLANK(OFFSET(A$1,,,SUMPRODUCT(MAX(ROW(E$1:E4763)*(E2=E$1:E4763))))))</f>
        <v> </v>
      </c>
      <c r="K4764" s="26" t="str">
        <f>IF(OR(E4764="",E4764="!!!",F4764="NEW"),"",INDEX(J$1:J4763,SUMPRODUCT(MAX(ROW(E$1:E4763)*(E4764=E$1:E4763)))))</f>
        <v> </v>
      </c>
      <c r="L4764" s="27"/>
    </row>
    <row r="4765" spans="1:12">
      <c r="A4765" s="20" t="s">
        <v>1526</v>
      </c>
      <c r="B4765" s="21" t="s">
        <v>1161</v>
      </c>
      <c r="C4765" s="21" t="s">
        <v>1155</v>
      </c>
      <c r="E4765" s="22">
        <f>IF(D4765="?OLD","!!!","")</f>
        <v/>
      </c>
      <c r="F4765" s="23" t="str">
        <f>IF(OR(E4765="",E4765="!!!"),"",IF(NOT(ISNA(VLOOKUP(E4765,E$1:E4764,1,FALSE()))),"OLD",IF(AND(E4765&lt;&gt;"",E4765&lt;&gt;"!!!"),"NEW","")))</f>
        <v> </v>
      </c>
      <c r="G4765" s="24" t="str">
        <f>IF(OR(E4765="",E4765="!!!"),"",IF(OR(J4765=0,AND(J4765=1,K4765=1),AND(J4765=1,I4765="SBJ"),AND(J4765=1,I4765=0)),"?IN_FOCUS",IF(J4765&lt;=2,"?ACTIVATED",IF(J4765&lt;&gt;"","?FAMILIAR",IF(F4765="NEW",IF(ISNA(VLOOKUP(E4765,#REF!,1,FALSE())),"?TYPE_IDENTIFIABLE","?REFERENTIAL"),"_")))))</f>
        <v> </v>
      </c>
      <c r="H4765" s="25" t="str">
        <f>IF(J4765&lt;&gt;1,"",IF(I4765="SBJ","CB","?"))</f>
        <v> </v>
      </c>
      <c r="I4765" s="26" t="str">
        <f>IF(OR(E4765="",E4765="!!!",F4765="NEW"),"",INDEX(B4764:B$2,-1+SUMPRODUCT(MAX(ROW(E4764:E$2)*(E4765=E4764:E$2)))))</f>
        <v> </v>
      </c>
      <c r="J4765" s="26" t="str">
        <f>IF(OR(E4765="",E4765="!!!",F4765="NEW"),"",COUNTBLANK(OFFSET(A$1,,,SUMPRODUCT(MAX(ROW(E$2:E4765)*(E4765=E$2:E4765)))))-COUNTBLANK(OFFSET(A$1,,,SUMPRODUCT(MAX(ROW(E$1:E4764)*(E2=E$1:E4764))))))</f>
        <v> </v>
      </c>
      <c r="K4765" s="26" t="str">
        <f>IF(OR(E4765="",E4765="!!!",F4765="NEW"),"",INDEX(J$1:J4764,SUMPRODUCT(MAX(ROW(E$1:E4764)*(E4765=E$1:E4764)))))</f>
        <v> </v>
      </c>
      <c r="L4765" s="27"/>
    </row>
    <row r="4766" spans="1:12">
      <c r="A4766" s="20" t="s">
        <v>1166</v>
      </c>
      <c r="E4766" s="22">
        <f>IF(D4766="?OLD","!!!","")</f>
        <v/>
      </c>
      <c r="F4766" s="23" t="str">
        <f>IF(OR(E4766="",E4766="!!!"),"",IF(NOT(ISNA(VLOOKUP(E4766,E$1:E4765,1,FALSE()))),"OLD",IF(AND(E4766&lt;&gt;"",E4766&lt;&gt;"!!!"),"NEW","")))</f>
        <v> </v>
      </c>
      <c r="G4766" s="24" t="str">
        <f>IF(OR(E4766="",E4766="!!!"),"",IF(OR(J4766=0,AND(J4766=1,K4766=1),AND(J4766=1,I4766="SBJ"),AND(J4766=1,I4766=0)),"?IN_FOCUS",IF(J4766&lt;=2,"?ACTIVATED",IF(J4766&lt;&gt;"","?FAMILIAR",IF(F4766="NEW",IF(ISNA(VLOOKUP(E4766,#REF!,1,FALSE())),"?TYPE_IDENTIFIABLE","?REFERENTIAL"),"_")))))</f>
        <v> </v>
      </c>
      <c r="H4766" s="25" t="str">
        <f>IF(J4766&lt;&gt;1,"",IF(I4766="SBJ","CB","?"))</f>
        <v> </v>
      </c>
      <c r="I4766" s="26" t="str">
        <f>IF(OR(E4766="",E4766="!!!",F4766="NEW"),"",INDEX(B4765:B$2,-1+SUMPRODUCT(MAX(ROW(E4765:E$2)*(E4766=E4765:E$2)))))</f>
        <v> </v>
      </c>
      <c r="J4766" s="26" t="str">
        <f>IF(OR(E4766="",E4766="!!!",F4766="NEW"),"",COUNTBLANK(OFFSET(A$1,,,SUMPRODUCT(MAX(ROW(E$2:E4766)*(E4766=E$2:E4766)))))-COUNTBLANK(OFFSET(A$1,,,SUMPRODUCT(MAX(ROW(E$1:E4765)*(E2=E$1:E4765))))))</f>
        <v> </v>
      </c>
      <c r="K4766" s="26" t="str">
        <f>IF(OR(E4766="",E4766="!!!",F4766="NEW"),"",INDEX(J$1:J4765,SUMPRODUCT(MAX(ROW(E$1:E4765)*(E4766=E$1:E4765)))))</f>
        <v> </v>
      </c>
      <c r="L4766" s="27"/>
    </row>
    <row r="4767" spans="1:12">
      <c r="A4767" s="20" t="s">
        <v>1320</v>
      </c>
      <c r="B4767" s="21" t="s">
        <v>1171</v>
      </c>
      <c r="C4767" s="21" t="s">
        <v>1172</v>
      </c>
      <c r="D4767" s="21" t="s">
        <v>1144</v>
      </c>
      <c r="E4767" s="22">
        <f>IF(D4767="?OLD","!!!","")</f>
        <v/>
      </c>
      <c r="F4767" s="23" t="str">
        <f>IF(OR(E4767="",E4767="!!!"),"",IF(NOT(ISNA(VLOOKUP(E4767,E$1:E4766,1,FALSE()))),"OLD",IF(AND(E4767&lt;&gt;"",E4767&lt;&gt;"!!!"),"NEW","")))</f>
        <v> </v>
      </c>
      <c r="G4767" s="24" t="str">
        <f>IF(OR(E4767="",E4767="!!!"),"",IF(OR(J4767=0,AND(J4767=1,K4767=1),AND(J4767=1,I4767="SBJ"),AND(J4767=1,I4767=0)),"?IN_FOCUS",IF(J4767&lt;=2,"?ACTIVATED",IF(J4767&lt;&gt;"","?FAMILIAR",IF(F4767="NEW",IF(ISNA(VLOOKUP(E4767,#REF!,1,FALSE())),"?TYPE_IDENTIFIABLE","?REFERENTIAL"),"_")))))</f>
        <v> </v>
      </c>
      <c r="H4767" s="25" t="str">
        <f>IF(J4767&lt;&gt;1,"",IF(I4767="SBJ","CB","?"))</f>
        <v> </v>
      </c>
      <c r="I4767" s="26" t="str">
        <f>IF(OR(E4767="",E4767="!!!",F4767="NEW"),"",INDEX(B4766:B$2,-1+SUMPRODUCT(MAX(ROW(E4766:E$2)*(E4767=E4766:E$2)))))</f>
        <v> </v>
      </c>
      <c r="J4767" s="26" t="str">
        <f>IF(OR(E4767="",E4767="!!!",F4767="NEW"),"",COUNTBLANK(OFFSET(A$1,,,SUMPRODUCT(MAX(ROW(E$2:E4767)*(E4767=E$2:E4767)))))-COUNTBLANK(OFFSET(A$1,,,SUMPRODUCT(MAX(ROW(E$1:E4766)*(E2=E$1:E4766))))))</f>
        <v> </v>
      </c>
      <c r="K4767" s="26" t="str">
        <f>IF(OR(E4767="",E4767="!!!",F4767="NEW"),"",INDEX(J$1:J4766,SUMPRODUCT(MAX(ROW(E$1:E4766)*(E4767=E$1:E4766)))))</f>
        <v> </v>
      </c>
      <c r="L4767" s="27"/>
    </row>
    <row r="4768" spans="1:12">
      <c r="A4768" s="20" t="s">
        <v>1308</v>
      </c>
      <c r="E4768" s="22">
        <f>IF(D4768="?OLD","!!!","")</f>
        <v/>
      </c>
      <c r="F4768" s="23" t="str">
        <f>IF(OR(E4768="",E4768="!!!"),"",IF(NOT(ISNA(VLOOKUP(E4768,E$1:E4767,1,FALSE()))),"OLD",IF(AND(E4768&lt;&gt;"",E4768&lt;&gt;"!!!"),"NEW","")))</f>
        <v> </v>
      </c>
      <c r="G4768" s="24" t="str">
        <f>IF(OR(E4768="",E4768="!!!"),"",IF(OR(J4768=0,AND(J4768=1,K4768=1),AND(J4768=1,I4768="SBJ"),AND(J4768=1,I4768=0)),"?IN_FOCUS",IF(J4768&lt;=2,"?ACTIVATED",IF(J4768&lt;&gt;"","?FAMILIAR",IF(F4768="NEW",IF(ISNA(VLOOKUP(E4768,#REF!,1,FALSE())),"?TYPE_IDENTIFIABLE","?REFERENTIAL"),"_")))))</f>
        <v> </v>
      </c>
      <c r="H4768" s="25" t="str">
        <f>IF(J4768&lt;&gt;1,"",IF(I4768="SBJ","CB","?"))</f>
        <v> </v>
      </c>
      <c r="I4768" s="26" t="str">
        <f>IF(OR(E4768="",E4768="!!!",F4768="NEW"),"",INDEX(B4767:B$2,-1+SUMPRODUCT(MAX(ROW(E4767:E$2)*(E4768=E4767:E$2)))))</f>
        <v> </v>
      </c>
      <c r="J4768" s="26" t="str">
        <f>IF(OR(E4768="",E4768="!!!",F4768="NEW"),"",COUNTBLANK(OFFSET(A$1,,,SUMPRODUCT(MAX(ROW(E$2:E4768)*(E4768=E$2:E4768)))))-COUNTBLANK(OFFSET(A$1,,,SUMPRODUCT(MAX(ROW(E$1:E4767)*(E2=E$1:E4767))))))</f>
        <v> </v>
      </c>
      <c r="K4768" s="26" t="str">
        <f>IF(OR(E4768="",E4768="!!!",F4768="NEW"),"",INDEX(J$1:J4767,SUMPRODUCT(MAX(ROW(E$1:E4767)*(E4768=E$1:E4767)))))</f>
        <v> </v>
      </c>
      <c r="L4768" s="27"/>
    </row>
    <row r="4769" spans="1:12">
      <c r="A4769" s="20" t="s">
        <v>69</v>
      </c>
      <c r="E4769" s="22">
        <f>IF(D4769="?OLD","!!!","")</f>
        <v/>
      </c>
      <c r="F4769" s="23" t="str">
        <f>IF(OR(E4769="",E4769="!!!"),"",IF(NOT(ISNA(VLOOKUP(E4769,E$1:E4768,1,FALSE()))),"OLD",IF(AND(E4769&lt;&gt;"",E4769&lt;&gt;"!!!"),"NEW","")))</f>
        <v> </v>
      </c>
      <c r="G4769" s="24" t="str">
        <f>IF(OR(E4769="",E4769="!!!"),"",IF(OR(J4769=0,AND(J4769=1,K4769=1),AND(J4769=1,I4769="SBJ"),AND(J4769=1,I4769=0)),"?IN_FOCUS",IF(J4769&lt;=2,"?ACTIVATED",IF(J4769&lt;&gt;"","?FAMILIAR",IF(F4769="NEW",IF(ISNA(VLOOKUP(E4769,#REF!,1,FALSE())),"?TYPE_IDENTIFIABLE","?REFERENTIAL"),"_")))))</f>
        <v> </v>
      </c>
      <c r="H4769" s="25" t="str">
        <f>IF(J4769&lt;&gt;1,"",IF(I4769="SBJ","CB","?"))</f>
        <v> </v>
      </c>
      <c r="I4769" s="26" t="str">
        <f>IF(OR(E4769="",E4769="!!!",F4769="NEW"),"",INDEX(B4768:B$2,-1+SUMPRODUCT(MAX(ROW(E4768:E$2)*(E4769=E4768:E$2)))))</f>
        <v> </v>
      </c>
      <c r="J4769" s="26" t="str">
        <f>IF(OR(E4769="",E4769="!!!",F4769="NEW"),"",COUNTBLANK(OFFSET(A$1,,,SUMPRODUCT(MAX(ROW(E$2:E4769)*(E4769=E$2:E4769)))))-COUNTBLANK(OFFSET(A$1,,,SUMPRODUCT(MAX(ROW(E$1:E4768)*(E2=E$1:E4768))))))</f>
        <v> </v>
      </c>
      <c r="K4769" s="26" t="str">
        <f>IF(OR(E4769="",E4769="!!!",F4769="NEW"),"",INDEX(J$1:J4768,SUMPRODUCT(MAX(ROW(E$1:E4768)*(E4769=E$1:E4768)))))</f>
        <v> </v>
      </c>
      <c r="L4769" s="27"/>
    </row>
    <row r="4770" spans="1:12">
      <c r="A4770" s="20" t="s">
        <v>312</v>
      </c>
      <c r="E4770" s="22">
        <f>IF(D4770="?OLD","!!!","")</f>
        <v/>
      </c>
      <c r="F4770" s="23" t="str">
        <f>IF(OR(E4770="",E4770="!!!"),"",IF(NOT(ISNA(VLOOKUP(E4770,E$1:E4769,1,FALSE()))),"OLD",IF(AND(E4770&lt;&gt;"",E4770&lt;&gt;"!!!"),"NEW","")))</f>
        <v> </v>
      </c>
      <c r="G4770" s="24" t="str">
        <f>IF(OR(E4770="",E4770="!!!"),"",IF(OR(J4770=0,AND(J4770=1,K4770=1),AND(J4770=1,I4770="SBJ"),AND(J4770=1,I4770=0)),"?IN_FOCUS",IF(J4770&lt;=2,"?ACTIVATED",IF(J4770&lt;&gt;"","?FAMILIAR",IF(F4770="NEW",IF(ISNA(VLOOKUP(E4770,#REF!,1,FALSE())),"?TYPE_IDENTIFIABLE","?REFERENTIAL"),"_")))))</f>
        <v> </v>
      </c>
      <c r="H4770" s="25" t="str">
        <f>IF(J4770&lt;&gt;1,"",IF(I4770="SBJ","CB","?"))</f>
        <v> </v>
      </c>
      <c r="I4770" s="26" t="str">
        <f>IF(OR(E4770="",E4770="!!!",F4770="NEW"),"",INDEX(B4769:B$2,-1+SUMPRODUCT(MAX(ROW(E4769:E$2)*(E4770=E4769:E$2)))))</f>
        <v> </v>
      </c>
      <c r="J4770" s="26" t="str">
        <f>IF(OR(E4770="",E4770="!!!",F4770="NEW"),"",COUNTBLANK(OFFSET(A$1,,,SUMPRODUCT(MAX(ROW(E$2:E4770)*(E4770=E$2:E4770)))))-COUNTBLANK(OFFSET(A$1,,,SUMPRODUCT(MAX(ROW(E$1:E4769)*(E2=E$1:E4769))))))</f>
        <v> </v>
      </c>
      <c r="K4770" s="26" t="str">
        <f>IF(OR(E4770="",E4770="!!!",F4770="NEW"),"",INDEX(J$1:J4769,SUMPRODUCT(MAX(ROW(E$1:E4769)*(E4770=E$1:E4769)))))</f>
        <v> </v>
      </c>
      <c r="L4770" s="27"/>
    </row>
    <row r="4771" spans="1:12">
      <c r="A4771" s="20"/>
    </row>
    <row r="4772" spans="1:12">
      <c r="A4772" s="20" t="s">
        <v>2499</v>
      </c>
    </row>
    <row r="4773" spans="1:12">
      <c r="A4773" s="20" t="s">
        <v>198</v>
      </c>
      <c r="B4773" s="21" t="s">
        <v>1165</v>
      </c>
      <c r="C4773" s="21" t="s">
        <v>1143</v>
      </c>
      <c r="D4773" s="21" t="s">
        <v>1144</v>
      </c>
      <c r="E4773" s="22">
        <f>IF(D4773="?OLD","!!!","")</f>
        <v/>
      </c>
      <c r="F4773" s="23" t="str">
        <f>IF(OR(E4773="",E4773="!!!"),"",IF(NOT(ISNA(VLOOKUP(E4773,E$1:E4772,1,FALSE()))),"OLD",IF(AND(E4773&lt;&gt;"",E4773&lt;&gt;"!!!"),"NEW","")))</f>
        <v> </v>
      </c>
      <c r="G4773" s="24" t="str">
        <f>IF(OR(E4773="",E4773="!!!"),"",IF(OR(J4773=0,AND(J4773=1,K4773=1),AND(J4773=1,I4773="SBJ"),AND(J4773=1,I4773=0)),"?IN_FOCUS",IF(J4773&lt;=2,"?ACTIVATED",IF(J4773&lt;&gt;"","?FAMILIAR",IF(F4773="NEW",IF(ISNA(VLOOKUP(E4773,#REF!,1,FALSE())),"?TYPE_IDENTIFIABLE","?REFERENTIAL"),"_")))))</f>
        <v> </v>
      </c>
      <c r="H4773" s="25" t="str">
        <f>IF(J4773&lt;&gt;1,"",IF(I4773="SBJ","CB","?"))</f>
        <v> </v>
      </c>
      <c r="I4773" s="26" t="str">
        <f>IF(OR(E4773="",E4773="!!!",F4773="NEW"),"",INDEX(B4772:B$2,-1+SUMPRODUCT(MAX(ROW(E4772:E$2)*(E4773=E4772:E$2)))))</f>
        <v> </v>
      </c>
      <c r="J4773" s="26" t="str">
        <f>IF(OR(E4773="",E4773="!!!",F4773="NEW"),"",COUNTBLANK(OFFSET(A$1,,,SUMPRODUCT(MAX(ROW(E$2:E4773)*(E4773=E$2:E4773)))))-COUNTBLANK(OFFSET(A$1,,,SUMPRODUCT(MAX(ROW(E$1:E4772)*(E2=E$1:E4772))))))</f>
        <v> </v>
      </c>
      <c r="K4773" s="26" t="str">
        <f>IF(OR(E4773="",E4773="!!!",F4773="NEW"),"",INDEX(J$1:J4772,SUMPRODUCT(MAX(ROW(E$1:E4772)*(E4773=E$1:E4772)))))</f>
        <v> </v>
      </c>
      <c r="L4773" s="27"/>
    </row>
    <row r="4774" spans="1:12">
      <c r="A4774" s="20" t="s">
        <v>1146</v>
      </c>
      <c r="E4774" s="22">
        <f>IF(D4774="?OLD","!!!","")</f>
        <v/>
      </c>
      <c r="F4774" s="23" t="str">
        <f>IF(OR(E4774="",E4774="!!!"),"",IF(NOT(ISNA(VLOOKUP(E4774,E$1:E4773,1,FALSE()))),"OLD",IF(AND(E4774&lt;&gt;"",E4774&lt;&gt;"!!!"),"NEW","")))</f>
        <v> </v>
      </c>
      <c r="G4774" s="24" t="str">
        <f>IF(OR(E4774="",E4774="!!!"),"",IF(OR(J4774=0,AND(J4774=1,K4774=1),AND(J4774=1,I4774="SBJ"),AND(J4774=1,I4774=0)),"?IN_FOCUS",IF(J4774&lt;=2,"?ACTIVATED",IF(J4774&lt;&gt;"","?FAMILIAR",IF(F4774="NEW",IF(ISNA(VLOOKUP(E4774,#REF!,1,FALSE())),"?TYPE_IDENTIFIABLE","?REFERENTIAL"),"_")))))</f>
        <v> </v>
      </c>
      <c r="H4774" s="25" t="str">
        <f>IF(J4774&lt;&gt;1,"",IF(I4774="SBJ","CB","?"))</f>
        <v> </v>
      </c>
      <c r="I4774" s="26" t="str">
        <f>IF(OR(E4774="",E4774="!!!",F4774="NEW"),"",INDEX(B4773:B$2,-1+SUMPRODUCT(MAX(ROW(E4773:E$2)*(E4774=E4773:E$2)))))</f>
        <v> </v>
      </c>
      <c r="J4774" s="26" t="str">
        <f>IF(OR(E4774="",E4774="!!!",F4774="NEW"),"",COUNTBLANK(OFFSET(A$1,,,SUMPRODUCT(MAX(ROW(E$2:E4774)*(E4774=E$2:E4774)))))-COUNTBLANK(OFFSET(A$1,,,SUMPRODUCT(MAX(ROW(E$1:E4773)*(E2=E$1:E4773))))))</f>
        <v> </v>
      </c>
      <c r="K4774" s="26" t="str">
        <f>IF(OR(E4774="",E4774="!!!",F4774="NEW"),"",INDEX(J$1:J4773,SUMPRODUCT(MAX(ROW(E$1:E4773)*(E4774=E$1:E4773)))))</f>
        <v> </v>
      </c>
      <c r="L4774" s="27"/>
    </row>
    <row r="4775" spans="1:12">
      <c r="A4775" s="20" t="s">
        <v>1300</v>
      </c>
      <c r="B4775" s="21" t="s">
        <v>1165</v>
      </c>
      <c r="C4775" s="21" t="s">
        <v>1151</v>
      </c>
      <c r="D4775" s="21" t="s">
        <v>1144</v>
      </c>
      <c r="E4775" s="22">
        <f>IF(D4775="?OLD","!!!","")</f>
        <v/>
      </c>
      <c r="F4775" s="23" t="str">
        <f>IF(OR(E4775="",E4775="!!!"),"",IF(NOT(ISNA(VLOOKUP(E4775,E$1:E4774,1,FALSE()))),"OLD",IF(AND(E4775&lt;&gt;"",E4775&lt;&gt;"!!!"),"NEW","")))</f>
        <v> </v>
      </c>
      <c r="G4775" s="24" t="str">
        <f>IF(OR(E4775="",E4775="!!!"),"",IF(OR(J4775=0,AND(J4775=1,K4775=1),AND(J4775=1,I4775="SBJ"),AND(J4775=1,I4775=0)),"?IN_FOCUS",IF(J4775&lt;=2,"?ACTIVATED",IF(J4775&lt;&gt;"","?FAMILIAR",IF(F4775="NEW",IF(ISNA(VLOOKUP(E4775,#REF!,1,FALSE())),"?TYPE_IDENTIFIABLE","?REFERENTIAL"),"_")))))</f>
        <v> </v>
      </c>
      <c r="H4775" s="25" t="str">
        <f>IF(J4775&lt;&gt;1,"",IF(I4775="SBJ","CB","?"))</f>
        <v> </v>
      </c>
      <c r="I4775" s="26" t="str">
        <f>IF(OR(E4775="",E4775="!!!",F4775="NEW"),"",INDEX(B4774:B$2,-1+SUMPRODUCT(MAX(ROW(E4774:E$2)*(E4775=E4774:E$2)))))</f>
        <v> </v>
      </c>
      <c r="J4775" s="26" t="str">
        <f>IF(OR(E4775="",E4775="!!!",F4775="NEW"),"",COUNTBLANK(OFFSET(A$1,,,SUMPRODUCT(MAX(ROW(E$2:E4775)*(E4775=E$2:E4775)))))-COUNTBLANK(OFFSET(A$1,,,SUMPRODUCT(MAX(ROW(E$1:E4774)*(E2=E$1:E4774))))))</f>
        <v> </v>
      </c>
      <c r="K4775" s="26" t="str">
        <f>IF(OR(E4775="",E4775="!!!",F4775="NEW"),"",INDEX(J$1:J4774,SUMPRODUCT(MAX(ROW(E$1:E4774)*(E4775=E$1:E4774)))))</f>
        <v> </v>
      </c>
      <c r="L4775" s="27"/>
    </row>
    <row r="4776" spans="1:12">
      <c r="A4776" s="20" t="s">
        <v>1301</v>
      </c>
      <c r="E4776" s="22">
        <f>IF(D4776="?OLD","!!!","")</f>
        <v/>
      </c>
      <c r="F4776" s="23" t="str">
        <f>IF(OR(E4776="",E4776="!!!"),"",IF(NOT(ISNA(VLOOKUP(E4776,E$1:E4775,1,FALSE()))),"OLD",IF(AND(E4776&lt;&gt;"",E4776&lt;&gt;"!!!"),"NEW","")))</f>
        <v> </v>
      </c>
      <c r="G4776" s="24" t="str">
        <f>IF(OR(E4776="",E4776="!!!"),"",IF(OR(J4776=0,AND(J4776=1,K4776=1),AND(J4776=1,I4776="SBJ"),AND(J4776=1,I4776=0)),"?IN_FOCUS",IF(J4776&lt;=2,"?ACTIVATED",IF(J4776&lt;&gt;"","?FAMILIAR",IF(F4776="NEW",IF(ISNA(VLOOKUP(E4776,#REF!,1,FALSE())),"?TYPE_IDENTIFIABLE","?REFERENTIAL"),"_")))))</f>
        <v> </v>
      </c>
      <c r="H4776" s="25" t="str">
        <f>IF(J4776&lt;&gt;1,"",IF(I4776="SBJ","CB","?"))</f>
        <v> </v>
      </c>
      <c r="I4776" s="26" t="str">
        <f>IF(OR(E4776="",E4776="!!!",F4776="NEW"),"",INDEX(B4775:B$2,-1+SUMPRODUCT(MAX(ROW(E4775:E$2)*(E4776=E4775:E$2)))))</f>
        <v> </v>
      </c>
      <c r="J4776" s="26" t="str">
        <f>IF(OR(E4776="",E4776="!!!",F4776="NEW"),"",COUNTBLANK(OFFSET(A$1,,,SUMPRODUCT(MAX(ROW(E$2:E4776)*(E4776=E$2:E4776)))))-COUNTBLANK(OFFSET(A$1,,,SUMPRODUCT(MAX(ROW(E$1:E4775)*(E2=E$1:E4775))))))</f>
        <v> </v>
      </c>
      <c r="K4776" s="26" t="str">
        <f>IF(OR(E4776="",E4776="!!!",F4776="NEW"),"",INDEX(J$1:J4775,SUMPRODUCT(MAX(ROW(E$1:E4775)*(E4776=E$1:E4775)))))</f>
        <v> </v>
      </c>
      <c r="L4776" s="27"/>
    </row>
    <row r="4777" spans="1:12">
      <c r="A4777" s="20" t="s">
        <v>2500</v>
      </c>
      <c r="E4777" s="22">
        <f>IF(D4777="?OLD","!!!","")</f>
        <v/>
      </c>
      <c r="F4777" s="23" t="str">
        <f>IF(OR(E4777="",E4777="!!!"),"",IF(NOT(ISNA(VLOOKUP(E4777,E$1:E4776,1,FALSE()))),"OLD",IF(AND(E4777&lt;&gt;"",E4777&lt;&gt;"!!!"),"NEW","")))</f>
        <v> </v>
      </c>
      <c r="G4777" s="24" t="str">
        <f>IF(OR(E4777="",E4777="!!!"),"",IF(OR(J4777=0,AND(J4777=1,K4777=1),AND(J4777=1,I4777="SBJ"),AND(J4777=1,I4777=0)),"?IN_FOCUS",IF(J4777&lt;=2,"?ACTIVATED",IF(J4777&lt;&gt;"","?FAMILIAR",IF(F4777="NEW",IF(ISNA(VLOOKUP(E4777,#REF!,1,FALSE())),"?TYPE_IDENTIFIABLE","?REFERENTIAL"),"_")))))</f>
        <v> </v>
      </c>
      <c r="H4777" s="25" t="str">
        <f>IF(J4777&lt;&gt;1,"",IF(I4777="SBJ","CB","?"))</f>
        <v> </v>
      </c>
      <c r="I4777" s="26" t="str">
        <f>IF(OR(E4777="",E4777="!!!",F4777="NEW"),"",INDEX(B4776:B$2,-1+SUMPRODUCT(MAX(ROW(E4776:E$2)*(E4777=E4776:E$2)))))</f>
        <v> </v>
      </c>
      <c r="J4777" s="26" t="str">
        <f>IF(OR(E4777="",E4777="!!!",F4777="NEW"),"",COUNTBLANK(OFFSET(A$1,,,SUMPRODUCT(MAX(ROW(E$2:E4777)*(E4777=E$2:E4777)))))-COUNTBLANK(OFFSET(A$1,,,SUMPRODUCT(MAX(ROW(E$1:E4776)*(E2=E$1:E4776))))))</f>
        <v> </v>
      </c>
      <c r="K4777" s="26" t="str">
        <f>IF(OR(E4777="",E4777="!!!",F4777="NEW"),"",INDEX(J$1:J4776,SUMPRODUCT(MAX(ROW(E$1:E4776)*(E4777=E$1:E4776)))))</f>
        <v> </v>
      </c>
      <c r="L4777" s="27"/>
    </row>
    <row r="4778" spans="1:12">
      <c r="A4778" s="20" t="s">
        <v>1166</v>
      </c>
      <c r="E4778" s="22">
        <f>IF(D4778="?OLD","!!!","")</f>
        <v/>
      </c>
      <c r="F4778" s="23" t="str">
        <f>IF(OR(E4778="",E4778="!!!"),"",IF(NOT(ISNA(VLOOKUP(E4778,E$1:E4777,1,FALSE()))),"OLD",IF(AND(E4778&lt;&gt;"",E4778&lt;&gt;"!!!"),"NEW","")))</f>
        <v> </v>
      </c>
      <c r="G4778" s="24" t="str">
        <f>IF(OR(E4778="",E4778="!!!"),"",IF(OR(J4778=0,AND(J4778=1,K4778=1),AND(J4778=1,I4778="SBJ"),AND(J4778=1,I4778=0)),"?IN_FOCUS",IF(J4778&lt;=2,"?ACTIVATED",IF(J4778&lt;&gt;"","?FAMILIAR",IF(F4778="NEW",IF(ISNA(VLOOKUP(E4778,#REF!,1,FALSE())),"?TYPE_IDENTIFIABLE","?REFERENTIAL"),"_")))))</f>
        <v> </v>
      </c>
      <c r="H4778" s="25" t="str">
        <f>IF(J4778&lt;&gt;1,"",IF(I4778="SBJ","CB","?"))</f>
        <v> </v>
      </c>
      <c r="I4778" s="26" t="str">
        <f>IF(OR(E4778="",E4778="!!!",F4778="NEW"),"",INDEX(B4777:B$2,-1+SUMPRODUCT(MAX(ROW(E4777:E$2)*(E4778=E4777:E$2)))))</f>
        <v> </v>
      </c>
      <c r="J4778" s="26" t="str">
        <f>IF(OR(E4778="",E4778="!!!",F4778="NEW"),"",COUNTBLANK(OFFSET(A$1,,,SUMPRODUCT(MAX(ROW(E$2:E4778)*(E4778=E$2:E4778)))))-COUNTBLANK(OFFSET(A$1,,,SUMPRODUCT(MAX(ROW(E$1:E4777)*(E2=E$1:E4777))))))</f>
        <v> </v>
      </c>
      <c r="K4778" s="26" t="str">
        <f>IF(OR(E4778="",E4778="!!!",F4778="NEW"),"",INDEX(J$1:J4777,SUMPRODUCT(MAX(ROW(E$1:E4777)*(E4778=E$1:E4777)))))</f>
        <v> </v>
      </c>
      <c r="L4778" s="27"/>
    </row>
    <row r="4779" spans="1:12">
      <c r="A4779" s="20" t="s">
        <v>1362</v>
      </c>
      <c r="B4779" s="21" t="s">
        <v>1150</v>
      </c>
      <c r="E4779" s="22">
        <f>IF(D4779="?OLD","!!!","")</f>
        <v/>
      </c>
      <c r="F4779" s="23" t="str">
        <f>IF(OR(E4779="",E4779="!!!"),"",IF(NOT(ISNA(VLOOKUP(E4779,E$1:E4778,1,FALSE()))),"OLD",IF(AND(E4779&lt;&gt;"",E4779&lt;&gt;"!!!"),"NEW","")))</f>
        <v> </v>
      </c>
      <c r="G4779" s="24" t="str">
        <f>IF(OR(E4779="",E4779="!!!"),"",IF(OR(J4779=0,AND(J4779=1,K4779=1),AND(J4779=1,I4779="SBJ"),AND(J4779=1,I4779=0)),"?IN_FOCUS",IF(J4779&lt;=2,"?ACTIVATED",IF(J4779&lt;&gt;"","?FAMILIAR",IF(F4779="NEW",IF(ISNA(VLOOKUP(E4779,#REF!,1,FALSE())),"?TYPE_IDENTIFIABLE","?REFERENTIAL"),"_")))))</f>
        <v> </v>
      </c>
      <c r="H4779" s="25" t="str">
        <f>IF(J4779&lt;&gt;1,"",IF(I4779="SBJ","CB","?"))</f>
        <v> </v>
      </c>
      <c r="I4779" s="26" t="str">
        <f>IF(OR(E4779="",E4779="!!!",F4779="NEW"),"",INDEX(B4778:B$2,-1+SUMPRODUCT(MAX(ROW(E4778:E$2)*(E4779=E4778:E$2)))))</f>
        <v> </v>
      </c>
      <c r="J4779" s="26" t="str">
        <f>IF(OR(E4779="",E4779="!!!",F4779="NEW"),"",COUNTBLANK(OFFSET(A$1,,,SUMPRODUCT(MAX(ROW(E$2:E4779)*(E4779=E$2:E4779)))))-COUNTBLANK(OFFSET(A$1,,,SUMPRODUCT(MAX(ROW(E$1:E4778)*(E2=E$1:E4778))))))</f>
        <v> </v>
      </c>
      <c r="K4779" s="26" t="str">
        <f>IF(OR(E4779="",E4779="!!!",F4779="NEW"),"",INDEX(J$1:J4778,SUMPRODUCT(MAX(ROW(E$1:E4778)*(E4779=E$1:E4778)))))</f>
        <v> </v>
      </c>
      <c r="L4779" s="27"/>
    </row>
    <row r="4780" spans="1:12">
      <c r="A4780" s="20" t="s">
        <v>1501</v>
      </c>
      <c r="E4780" s="22">
        <f>IF(D4780="?OLD","!!!","")</f>
        <v/>
      </c>
      <c r="F4780" s="23" t="str">
        <f>IF(OR(E4780="",E4780="!!!"),"",IF(NOT(ISNA(VLOOKUP(E4780,E$1:E4779,1,FALSE()))),"OLD",IF(AND(E4780&lt;&gt;"",E4780&lt;&gt;"!!!"),"NEW","")))</f>
        <v> </v>
      </c>
      <c r="G4780" s="24" t="str">
        <f>IF(OR(E4780="",E4780="!!!"),"",IF(OR(J4780=0,AND(J4780=1,K4780=1),AND(J4780=1,I4780="SBJ"),AND(J4780=1,I4780=0)),"?IN_FOCUS",IF(J4780&lt;=2,"?ACTIVATED",IF(J4780&lt;&gt;"","?FAMILIAR",IF(F4780="NEW",IF(ISNA(VLOOKUP(E4780,#REF!,1,FALSE())),"?TYPE_IDENTIFIABLE","?REFERENTIAL"),"_")))))</f>
        <v> </v>
      </c>
      <c r="H4780" s="25" t="str">
        <f>IF(J4780&lt;&gt;1,"",IF(I4780="SBJ","CB","?"))</f>
        <v> </v>
      </c>
      <c r="I4780" s="26" t="str">
        <f>IF(OR(E4780="",E4780="!!!",F4780="NEW"),"",INDEX(B4779:B$2,-1+SUMPRODUCT(MAX(ROW(E4779:E$2)*(E4780=E4779:E$2)))))</f>
        <v> </v>
      </c>
      <c r="J4780" s="26" t="str">
        <f>IF(OR(E4780="",E4780="!!!",F4780="NEW"),"",COUNTBLANK(OFFSET(A$1,,,SUMPRODUCT(MAX(ROW(E$2:E4780)*(E4780=E$2:E4780)))))-COUNTBLANK(OFFSET(A$1,,,SUMPRODUCT(MAX(ROW(E$1:E4779)*(E2=E$1:E4779))))))</f>
        <v> </v>
      </c>
      <c r="K4780" s="26" t="str">
        <f>IF(OR(E4780="",E4780="!!!",F4780="NEW"),"",INDEX(J$1:J4779,SUMPRODUCT(MAX(ROW(E$1:E4779)*(E4780=E$1:E4779)))))</f>
        <v> </v>
      </c>
      <c r="L4780" s="27"/>
    </row>
    <row r="4781" spans="1:12">
      <c r="A4781" s="20" t="s">
        <v>1308</v>
      </c>
      <c r="E4781" s="22">
        <f>IF(D4781="?OLD","!!!","")</f>
        <v/>
      </c>
      <c r="F4781" s="23" t="str">
        <f>IF(OR(E4781="",E4781="!!!"),"",IF(NOT(ISNA(VLOOKUP(E4781,E$1:E4780,1,FALSE()))),"OLD",IF(AND(E4781&lt;&gt;"",E4781&lt;&gt;"!!!"),"NEW","")))</f>
        <v> </v>
      </c>
      <c r="G4781" s="24" t="str">
        <f>IF(OR(E4781="",E4781="!!!"),"",IF(OR(J4781=0,AND(J4781=1,K4781=1),AND(J4781=1,I4781="SBJ"),AND(J4781=1,I4781=0)),"?IN_FOCUS",IF(J4781&lt;=2,"?ACTIVATED",IF(J4781&lt;&gt;"","?FAMILIAR",IF(F4781="NEW",IF(ISNA(VLOOKUP(E4781,#REF!,1,FALSE())),"?TYPE_IDENTIFIABLE","?REFERENTIAL"),"_")))))</f>
        <v> </v>
      </c>
      <c r="H4781" s="25" t="str">
        <f>IF(J4781&lt;&gt;1,"",IF(I4781="SBJ","CB","?"))</f>
        <v> </v>
      </c>
      <c r="I4781" s="26" t="str">
        <f>IF(OR(E4781="",E4781="!!!",F4781="NEW"),"",INDEX(B4780:B$2,-1+SUMPRODUCT(MAX(ROW(E4780:E$2)*(E4781=E4780:E$2)))))</f>
        <v> </v>
      </c>
      <c r="J4781" s="26" t="str">
        <f>IF(OR(E4781="",E4781="!!!",F4781="NEW"),"",COUNTBLANK(OFFSET(A$1,,,SUMPRODUCT(MAX(ROW(E$2:E4781)*(E4781=E$2:E4781)))))-COUNTBLANK(OFFSET(A$1,,,SUMPRODUCT(MAX(ROW(E$1:E4780)*(E2=E$1:E4780))))))</f>
        <v> </v>
      </c>
      <c r="K4781" s="26" t="str">
        <f>IF(OR(E4781="",E4781="!!!",F4781="NEW"),"",INDEX(J$1:J4780,SUMPRODUCT(MAX(ROW(E$1:E4780)*(E4781=E$1:E4780)))))</f>
        <v> </v>
      </c>
      <c r="L4781" s="27"/>
    </row>
    <row r="4782" spans="1:12">
      <c r="A4782" s="20" t="s">
        <v>36</v>
      </c>
      <c r="E4782" s="22">
        <f>IF(D4782="?OLD","!!!","")</f>
        <v/>
      </c>
      <c r="F4782" s="23" t="str">
        <f>IF(OR(E4782="",E4782="!!!"),"",IF(NOT(ISNA(VLOOKUP(E4782,E$1:E4781,1,FALSE()))),"OLD",IF(AND(E4782&lt;&gt;"",E4782&lt;&gt;"!!!"),"NEW","")))</f>
        <v> </v>
      </c>
      <c r="G4782" s="24" t="str">
        <f>IF(OR(E4782="",E4782="!!!"),"",IF(OR(J4782=0,AND(J4782=1,K4782=1),AND(J4782=1,I4782="SBJ"),AND(J4782=1,I4782=0)),"?IN_FOCUS",IF(J4782&lt;=2,"?ACTIVATED",IF(J4782&lt;&gt;"","?FAMILIAR",IF(F4782="NEW",IF(ISNA(VLOOKUP(E4782,#REF!,1,FALSE())),"?TYPE_IDENTIFIABLE","?REFERENTIAL"),"_")))))</f>
        <v> </v>
      </c>
      <c r="H4782" s="25" t="str">
        <f>IF(J4782&lt;&gt;1,"",IF(I4782="SBJ","CB","?"))</f>
        <v> </v>
      </c>
      <c r="I4782" s="26" t="str">
        <f>IF(OR(E4782="",E4782="!!!",F4782="NEW"),"",INDEX(B4781:B$2,-1+SUMPRODUCT(MAX(ROW(E4781:E$2)*(E4782=E4781:E$2)))))</f>
        <v> </v>
      </c>
      <c r="J4782" s="26" t="str">
        <f>IF(OR(E4782="",E4782="!!!",F4782="NEW"),"",COUNTBLANK(OFFSET(A$1,,,SUMPRODUCT(MAX(ROW(E$2:E4782)*(E4782=E$2:E4782)))))-COUNTBLANK(OFFSET(A$1,,,SUMPRODUCT(MAX(ROW(E$1:E4781)*(E2=E$1:E4781))))))</f>
        <v> </v>
      </c>
      <c r="K4782" s="26" t="str">
        <f>IF(OR(E4782="",E4782="!!!",F4782="NEW"),"",INDEX(J$1:J4781,SUMPRODUCT(MAX(ROW(E$1:E4781)*(E4782=E$1:E4781)))))</f>
        <v> </v>
      </c>
      <c r="L4782" s="27"/>
    </row>
    <row r="4783" spans="1:12">
      <c r="A4783" s="20" t="s">
        <v>1166</v>
      </c>
      <c r="E4783" s="22">
        <f>IF(D4783="?OLD","!!!","")</f>
        <v/>
      </c>
      <c r="F4783" s="23" t="str">
        <f>IF(OR(E4783="",E4783="!!!"),"",IF(NOT(ISNA(VLOOKUP(E4783,E$1:E4782,1,FALSE()))),"OLD",IF(AND(E4783&lt;&gt;"",E4783&lt;&gt;"!!!"),"NEW","")))</f>
        <v> </v>
      </c>
      <c r="G4783" s="24" t="str">
        <f>IF(OR(E4783="",E4783="!!!"),"",IF(OR(J4783=0,AND(J4783=1,K4783=1),AND(J4783=1,I4783="SBJ"),AND(J4783=1,I4783=0)),"?IN_FOCUS",IF(J4783&lt;=2,"?ACTIVATED",IF(J4783&lt;&gt;"","?FAMILIAR",IF(F4783="NEW",IF(ISNA(VLOOKUP(E4783,#REF!,1,FALSE())),"?TYPE_IDENTIFIABLE","?REFERENTIAL"),"_")))))</f>
        <v> </v>
      </c>
      <c r="H4783" s="25" t="str">
        <f>IF(J4783&lt;&gt;1,"",IF(I4783="SBJ","CB","?"))</f>
        <v> </v>
      </c>
      <c r="I4783" s="26" t="str">
        <f>IF(OR(E4783="",E4783="!!!",F4783="NEW"),"",INDEX(B4782:B$2,-1+SUMPRODUCT(MAX(ROW(E4782:E$2)*(E4783=E4782:E$2)))))</f>
        <v> </v>
      </c>
      <c r="J4783" s="26" t="str">
        <f>IF(OR(E4783="",E4783="!!!",F4783="NEW"),"",COUNTBLANK(OFFSET(A$1,,,SUMPRODUCT(MAX(ROW(E$2:E4783)*(E4783=E$2:E4783)))))-COUNTBLANK(OFFSET(A$1,,,SUMPRODUCT(MAX(ROW(E$1:E4782)*(E2=E$1:E4782))))))</f>
        <v> </v>
      </c>
      <c r="K4783" s="26" t="str">
        <f>IF(OR(E4783="",E4783="!!!",F4783="NEW"),"",INDEX(J$1:J4782,SUMPRODUCT(MAX(ROW(E$1:E4782)*(E4783=E$1:E4782)))))</f>
        <v> </v>
      </c>
      <c r="L4783" s="27"/>
    </row>
    <row r="4784" spans="1:12">
      <c r="A4784" s="20" t="s">
        <v>2500</v>
      </c>
      <c r="E4784" s="22">
        <f>IF(D4784="?OLD","!!!","")</f>
        <v/>
      </c>
      <c r="F4784" s="23" t="str">
        <f>IF(OR(E4784="",E4784="!!!"),"",IF(NOT(ISNA(VLOOKUP(E4784,E$1:E4783,1,FALSE()))),"OLD",IF(AND(E4784&lt;&gt;"",E4784&lt;&gt;"!!!"),"NEW","")))</f>
        <v> </v>
      </c>
      <c r="G4784" s="24" t="str">
        <f>IF(OR(E4784="",E4784="!!!"),"",IF(OR(J4784=0,AND(J4784=1,K4784=1),AND(J4784=1,I4784="SBJ"),AND(J4784=1,I4784=0)),"?IN_FOCUS",IF(J4784&lt;=2,"?ACTIVATED",IF(J4784&lt;&gt;"","?FAMILIAR",IF(F4784="NEW",IF(ISNA(VLOOKUP(E4784,#REF!,1,FALSE())),"?TYPE_IDENTIFIABLE","?REFERENTIAL"),"_")))))</f>
        <v> </v>
      </c>
      <c r="H4784" s="25" t="str">
        <f>IF(J4784&lt;&gt;1,"",IF(I4784="SBJ","CB","?"))</f>
        <v> </v>
      </c>
      <c r="I4784" s="26" t="str">
        <f>IF(OR(E4784="",E4784="!!!",F4784="NEW"),"",INDEX(B4783:B$2,-1+SUMPRODUCT(MAX(ROW(E4783:E$2)*(E4784=E4783:E$2)))))</f>
        <v> </v>
      </c>
      <c r="J4784" s="26" t="str">
        <f>IF(OR(E4784="",E4784="!!!",F4784="NEW"),"",COUNTBLANK(OFFSET(A$1,,,SUMPRODUCT(MAX(ROW(E$2:E4784)*(E4784=E$2:E4784)))))-COUNTBLANK(OFFSET(A$1,,,SUMPRODUCT(MAX(ROW(E$1:E4783)*(E2=E$1:E4783))))))</f>
        <v> </v>
      </c>
      <c r="K4784" s="26" t="str">
        <f>IF(OR(E4784="",E4784="!!!",F4784="NEW"),"",INDEX(J$1:J4783,SUMPRODUCT(MAX(ROW(E$1:E4783)*(E4784=E$1:E4783)))))</f>
        <v> </v>
      </c>
      <c r="L4784" s="27"/>
    </row>
    <row r="4785" spans="1:12">
      <c r="A4785" s="20" t="s">
        <v>1166</v>
      </c>
      <c r="E4785" s="22">
        <f>IF(D4785="?OLD","!!!","")</f>
        <v/>
      </c>
      <c r="F4785" s="23" t="str">
        <f>IF(OR(E4785="",E4785="!!!"),"",IF(NOT(ISNA(VLOOKUP(E4785,E$1:E4784,1,FALSE()))),"OLD",IF(AND(E4785&lt;&gt;"",E4785&lt;&gt;"!!!"),"NEW","")))</f>
        <v> </v>
      </c>
      <c r="G4785" s="24" t="str">
        <f>IF(OR(E4785="",E4785="!!!"),"",IF(OR(J4785=0,AND(J4785=1,K4785=1),AND(J4785=1,I4785="SBJ"),AND(J4785=1,I4785=0)),"?IN_FOCUS",IF(J4785&lt;=2,"?ACTIVATED",IF(J4785&lt;&gt;"","?FAMILIAR",IF(F4785="NEW",IF(ISNA(VLOOKUP(E4785,#REF!,1,FALSE())),"?TYPE_IDENTIFIABLE","?REFERENTIAL"),"_")))))</f>
        <v> </v>
      </c>
      <c r="H4785" s="25" t="str">
        <f>IF(J4785&lt;&gt;1,"",IF(I4785="SBJ","CB","?"))</f>
        <v> </v>
      </c>
      <c r="I4785" s="26" t="str">
        <f>IF(OR(E4785="",E4785="!!!",F4785="NEW"),"",INDEX(B4784:B$2,-1+SUMPRODUCT(MAX(ROW(E4784:E$2)*(E4785=E4784:E$2)))))</f>
        <v> </v>
      </c>
      <c r="J4785" s="26" t="str">
        <f>IF(OR(E4785="",E4785="!!!",F4785="NEW"),"",COUNTBLANK(OFFSET(A$1,,,SUMPRODUCT(MAX(ROW(E$2:E4785)*(E4785=E$2:E4785)))))-COUNTBLANK(OFFSET(A$1,,,SUMPRODUCT(MAX(ROW(E$1:E4784)*(E2=E$1:E4784))))))</f>
        <v> </v>
      </c>
      <c r="K4785" s="26" t="str">
        <f>IF(OR(E4785="",E4785="!!!",F4785="NEW"),"",INDEX(J$1:J4784,SUMPRODUCT(MAX(ROW(E$1:E4784)*(E4785=E$1:E4784)))))</f>
        <v> </v>
      </c>
      <c r="L4785" s="27"/>
    </row>
    <row r="4786" spans="1:12">
      <c r="A4786" s="20" t="s">
        <v>1362</v>
      </c>
      <c r="B4786" s="21" t="s">
        <v>1310</v>
      </c>
      <c r="E4786" s="22">
        <f>IF(D4786="?OLD","!!!","")</f>
        <v/>
      </c>
      <c r="F4786" s="23" t="str">
        <f>IF(OR(E4786="",E4786="!!!"),"",IF(NOT(ISNA(VLOOKUP(E4786,E$1:E4785,1,FALSE()))),"OLD",IF(AND(E4786&lt;&gt;"",E4786&lt;&gt;"!!!"),"NEW","")))</f>
        <v> </v>
      </c>
      <c r="G4786" s="24" t="str">
        <f>IF(OR(E4786="",E4786="!!!"),"",IF(OR(J4786=0,AND(J4786=1,K4786=1),AND(J4786=1,I4786="SBJ"),AND(J4786=1,I4786=0)),"?IN_FOCUS",IF(J4786&lt;=2,"?ACTIVATED",IF(J4786&lt;&gt;"","?FAMILIAR",IF(F4786="NEW",IF(ISNA(VLOOKUP(E4786,#REF!,1,FALSE())),"?TYPE_IDENTIFIABLE","?REFERENTIAL"),"_")))))</f>
        <v> </v>
      </c>
      <c r="H4786" s="25" t="str">
        <f>IF(J4786&lt;&gt;1,"",IF(I4786="SBJ","CB","?"))</f>
        <v> </v>
      </c>
      <c r="I4786" s="26" t="str">
        <f>IF(OR(E4786="",E4786="!!!",F4786="NEW"),"",INDEX(B4785:B$2,-1+SUMPRODUCT(MAX(ROW(E4785:E$2)*(E4786=E4785:E$2)))))</f>
        <v> </v>
      </c>
      <c r="J4786" s="26" t="str">
        <f>IF(OR(E4786="",E4786="!!!",F4786="NEW"),"",COUNTBLANK(OFFSET(A$1,,,SUMPRODUCT(MAX(ROW(E$2:E4786)*(E4786=E$2:E4786)))))-COUNTBLANK(OFFSET(A$1,,,SUMPRODUCT(MAX(ROW(E$1:E4785)*(E2=E$1:E4785))))))</f>
        <v> </v>
      </c>
      <c r="K4786" s="26" t="str">
        <f>IF(OR(E4786="",E4786="!!!",F4786="NEW"),"",INDEX(J$1:J4785,SUMPRODUCT(MAX(ROW(E$1:E4785)*(E4786=E$1:E4785)))))</f>
        <v> </v>
      </c>
      <c r="L4786" s="27"/>
    </row>
    <row r="4787" spans="1:12">
      <c r="A4787" s="20" t="s">
        <v>1308</v>
      </c>
      <c r="E4787" s="22">
        <f>IF(D4787="?OLD","!!!","")</f>
        <v/>
      </c>
      <c r="F4787" s="23" t="str">
        <f>IF(OR(E4787="",E4787="!!!"),"",IF(NOT(ISNA(VLOOKUP(E4787,E$1:E4786,1,FALSE()))),"OLD",IF(AND(E4787&lt;&gt;"",E4787&lt;&gt;"!!!"),"NEW","")))</f>
        <v> </v>
      </c>
      <c r="G4787" s="24" t="str">
        <f>IF(OR(E4787="",E4787="!!!"),"",IF(OR(J4787=0,AND(J4787=1,K4787=1),AND(J4787=1,I4787="SBJ"),AND(J4787=1,I4787=0)),"?IN_FOCUS",IF(J4787&lt;=2,"?ACTIVATED",IF(J4787&lt;&gt;"","?FAMILIAR",IF(F4787="NEW",IF(ISNA(VLOOKUP(E4787,#REF!,1,FALSE())),"?TYPE_IDENTIFIABLE","?REFERENTIAL"),"_")))))</f>
        <v> </v>
      </c>
      <c r="H4787" s="25" t="str">
        <f>IF(J4787&lt;&gt;1,"",IF(I4787="SBJ","CB","?"))</f>
        <v> </v>
      </c>
      <c r="I4787" s="26" t="str">
        <f>IF(OR(E4787="",E4787="!!!",F4787="NEW"),"",INDEX(B4786:B$2,-1+SUMPRODUCT(MAX(ROW(E4786:E$2)*(E4787=E4786:E$2)))))</f>
        <v> </v>
      </c>
      <c r="J4787" s="26" t="str">
        <f>IF(OR(E4787="",E4787="!!!",F4787="NEW"),"",COUNTBLANK(OFFSET(A$1,,,SUMPRODUCT(MAX(ROW(E$2:E4787)*(E4787=E$2:E4787)))))-COUNTBLANK(OFFSET(A$1,,,SUMPRODUCT(MAX(ROW(E$1:E4786)*(E2=E$1:E4786))))))</f>
        <v> </v>
      </c>
      <c r="K4787" s="26" t="str">
        <f>IF(OR(E4787="",E4787="!!!",F4787="NEW"),"",INDEX(J$1:J4786,SUMPRODUCT(MAX(ROW(E$1:E4786)*(E4787=E$1:E4786)))))</f>
        <v> </v>
      </c>
      <c r="L4787" s="27"/>
    </row>
    <row r="4788" spans="1:12">
      <c r="A4788" s="20" t="s">
        <v>2501</v>
      </c>
      <c r="E4788" s="22">
        <f>IF(D4788="?OLD","!!!","")</f>
        <v/>
      </c>
      <c r="F4788" s="23" t="str">
        <f>IF(OR(E4788="",E4788="!!!"),"",IF(NOT(ISNA(VLOOKUP(E4788,E$1:E4787,1,FALSE()))),"OLD",IF(AND(E4788&lt;&gt;"",E4788&lt;&gt;"!!!"),"NEW","")))</f>
        <v> </v>
      </c>
      <c r="G4788" s="24" t="str">
        <f>IF(OR(E4788="",E4788="!!!"),"",IF(OR(J4788=0,AND(J4788=1,K4788=1),AND(J4788=1,I4788="SBJ"),AND(J4788=1,I4788=0)),"?IN_FOCUS",IF(J4788&lt;=2,"?ACTIVATED",IF(J4788&lt;&gt;"","?FAMILIAR",IF(F4788="NEW",IF(ISNA(VLOOKUP(E4788,#REF!,1,FALSE())),"?TYPE_IDENTIFIABLE","?REFERENTIAL"),"_")))))</f>
        <v> </v>
      </c>
      <c r="H4788" s="25" t="str">
        <f>IF(J4788&lt;&gt;1,"",IF(I4788="SBJ","CB","?"))</f>
        <v> </v>
      </c>
      <c r="I4788" s="26" t="str">
        <f>IF(OR(E4788="",E4788="!!!",F4788="NEW"),"",INDEX(B4787:B$2,-1+SUMPRODUCT(MAX(ROW(E4787:E$2)*(E4788=E4787:E$2)))))</f>
        <v> </v>
      </c>
      <c r="J4788" s="26" t="str">
        <f>IF(OR(E4788="",E4788="!!!",F4788="NEW"),"",COUNTBLANK(OFFSET(A$1,,,SUMPRODUCT(MAX(ROW(E$2:E4788)*(E4788=E$2:E4788)))))-COUNTBLANK(OFFSET(A$1,,,SUMPRODUCT(MAX(ROW(E$1:E4787)*(E2=E$1:E4787))))))</f>
        <v> </v>
      </c>
      <c r="K4788" s="26" t="str">
        <f>IF(OR(E4788="",E4788="!!!",F4788="NEW"),"",INDEX(J$1:J4787,SUMPRODUCT(MAX(ROW(E$1:E4787)*(E4788=E$1:E4787)))))</f>
        <v> </v>
      </c>
      <c r="L4788" s="27"/>
    </row>
    <row r="4789" spans="1:12">
      <c r="A4789" s="20" t="s">
        <v>1166</v>
      </c>
      <c r="E4789" s="22">
        <f>IF(D4789="?OLD","!!!","")</f>
        <v/>
      </c>
      <c r="F4789" s="23" t="str">
        <f>IF(OR(E4789="",E4789="!!!"),"",IF(NOT(ISNA(VLOOKUP(E4789,E$1:E4788,1,FALSE()))),"OLD",IF(AND(E4789&lt;&gt;"",E4789&lt;&gt;"!!!"),"NEW","")))</f>
        <v> </v>
      </c>
      <c r="G4789" s="24" t="str">
        <f>IF(OR(E4789="",E4789="!!!"),"",IF(OR(J4789=0,AND(J4789=1,K4789=1),AND(J4789=1,I4789="SBJ"),AND(J4789=1,I4789=0)),"?IN_FOCUS",IF(J4789&lt;=2,"?ACTIVATED",IF(J4789&lt;&gt;"","?FAMILIAR",IF(F4789="NEW",IF(ISNA(VLOOKUP(E4789,#REF!,1,FALSE())),"?TYPE_IDENTIFIABLE","?REFERENTIAL"),"_")))))</f>
        <v> </v>
      </c>
      <c r="H4789" s="25" t="str">
        <f>IF(J4789&lt;&gt;1,"",IF(I4789="SBJ","CB","?"))</f>
        <v> </v>
      </c>
      <c r="I4789" s="26" t="str">
        <f>IF(OR(E4789="",E4789="!!!",F4789="NEW"),"",INDEX(B4788:B$2,-1+SUMPRODUCT(MAX(ROW(E4788:E$2)*(E4789=E4788:E$2)))))</f>
        <v> </v>
      </c>
      <c r="J4789" s="26" t="str">
        <f>IF(OR(E4789="",E4789="!!!",F4789="NEW"),"",COUNTBLANK(OFFSET(A$1,,,SUMPRODUCT(MAX(ROW(E$2:E4789)*(E4789=E$2:E4789)))))-COUNTBLANK(OFFSET(A$1,,,SUMPRODUCT(MAX(ROW(E$1:E4788)*(E2=E$1:E4788))))))</f>
        <v> </v>
      </c>
      <c r="K4789" s="26" t="str">
        <f>IF(OR(E4789="",E4789="!!!",F4789="NEW"),"",INDEX(J$1:J4788,SUMPRODUCT(MAX(ROW(E$1:E4788)*(E4789=E$1:E4788)))))</f>
        <v> </v>
      </c>
      <c r="L4789" s="27"/>
    </row>
    <row r="4790" spans="1:12">
      <c r="A4790" s="20" t="s">
        <v>1203</v>
      </c>
      <c r="E4790" s="22">
        <f>IF(D4790="?OLD","!!!","")</f>
        <v/>
      </c>
      <c r="F4790" s="23" t="str">
        <f>IF(OR(E4790="",E4790="!!!"),"",IF(NOT(ISNA(VLOOKUP(E4790,E$1:E4789,1,FALSE()))),"OLD",IF(AND(E4790&lt;&gt;"",E4790&lt;&gt;"!!!"),"NEW","")))</f>
        <v> </v>
      </c>
      <c r="G4790" s="24" t="str">
        <f>IF(OR(E4790="",E4790="!!!"),"",IF(OR(J4790=0,AND(J4790=1,K4790=1),AND(J4790=1,I4790="SBJ"),AND(J4790=1,I4790=0)),"?IN_FOCUS",IF(J4790&lt;=2,"?ACTIVATED",IF(J4790&lt;&gt;"","?FAMILIAR",IF(F4790="NEW",IF(ISNA(VLOOKUP(E4790,#REF!,1,FALSE())),"?TYPE_IDENTIFIABLE","?REFERENTIAL"),"_")))))</f>
        <v> </v>
      </c>
      <c r="H4790" s="25" t="str">
        <f>IF(J4790&lt;&gt;1,"",IF(I4790="SBJ","CB","?"))</f>
        <v> </v>
      </c>
      <c r="I4790" s="26" t="str">
        <f>IF(OR(E4790="",E4790="!!!",F4790="NEW"),"",INDEX(B4789:B$2,-1+SUMPRODUCT(MAX(ROW(E4789:E$2)*(E4790=E4789:E$2)))))</f>
        <v> </v>
      </c>
      <c r="J4790" s="26" t="str">
        <f>IF(OR(E4790="",E4790="!!!",F4790="NEW"),"",COUNTBLANK(OFFSET(A$1,,,SUMPRODUCT(MAX(ROW(E$2:E4790)*(E4790=E$2:E4790)))))-COUNTBLANK(OFFSET(A$1,,,SUMPRODUCT(MAX(ROW(E$1:E4789)*(E2=E$1:E4789))))))</f>
        <v> </v>
      </c>
      <c r="K4790" s="26" t="str">
        <f>IF(OR(E4790="",E4790="!!!",F4790="NEW"),"",INDEX(J$1:J4789,SUMPRODUCT(MAX(ROW(E$1:E4789)*(E4790=E$1:E4789)))))</f>
        <v> </v>
      </c>
      <c r="L4790" s="27"/>
    </row>
    <row r="4791" spans="1:12">
      <c r="A4791" s="20" t="s">
        <v>1179</v>
      </c>
      <c r="E4791" s="22">
        <f>IF(D4791="?OLD","!!!","")</f>
        <v/>
      </c>
      <c r="F4791" s="23" t="str">
        <f>IF(OR(E4791="",E4791="!!!"),"",IF(NOT(ISNA(VLOOKUP(E4791,E$1:E4790,1,FALSE()))),"OLD",IF(AND(E4791&lt;&gt;"",E4791&lt;&gt;"!!!"),"NEW","")))</f>
        <v> </v>
      </c>
      <c r="G4791" s="24" t="str">
        <f>IF(OR(E4791="",E4791="!!!"),"",IF(OR(J4791=0,AND(J4791=1,K4791=1),AND(J4791=1,I4791="SBJ"),AND(J4791=1,I4791=0)),"?IN_FOCUS",IF(J4791&lt;=2,"?ACTIVATED",IF(J4791&lt;&gt;"","?FAMILIAR",IF(F4791="NEW",IF(ISNA(VLOOKUP(E4791,#REF!,1,FALSE())),"?TYPE_IDENTIFIABLE","?REFERENTIAL"),"_")))))</f>
        <v> </v>
      </c>
      <c r="H4791" s="25" t="str">
        <f>IF(J4791&lt;&gt;1,"",IF(I4791="SBJ","CB","?"))</f>
        <v> </v>
      </c>
      <c r="I4791" s="26" t="str">
        <f>IF(OR(E4791="",E4791="!!!",F4791="NEW"),"",INDEX(B4790:B$2,-1+SUMPRODUCT(MAX(ROW(E4790:E$2)*(E4791=E4790:E$2)))))</f>
        <v> </v>
      </c>
      <c r="J4791" s="26" t="str">
        <f>IF(OR(E4791="",E4791="!!!",F4791="NEW"),"",COUNTBLANK(OFFSET(A$1,,,SUMPRODUCT(MAX(ROW(E$2:E4791)*(E4791=E$2:E4791)))))-COUNTBLANK(OFFSET(A$1,,,SUMPRODUCT(MAX(ROW(E$1:E4790)*(E2=E$1:E4790))))))</f>
        <v> </v>
      </c>
      <c r="K4791" s="26" t="str">
        <f>IF(OR(E4791="",E4791="!!!",F4791="NEW"),"",INDEX(J$1:J4790,SUMPRODUCT(MAX(ROW(E$1:E4790)*(E4791=E$1:E4790)))))</f>
        <v> </v>
      </c>
      <c r="L4791" s="27"/>
    </row>
    <row r="4792" spans="1:12">
      <c r="A4792" s="20" t="s">
        <v>2502</v>
      </c>
      <c r="B4792" s="21" t="s">
        <v>1161</v>
      </c>
      <c r="C4792" s="21" t="s">
        <v>1155</v>
      </c>
      <c r="E4792" s="22">
        <f>IF(D4792="?OLD","!!!","")</f>
        <v/>
      </c>
      <c r="F4792" s="23" t="str">
        <f>IF(OR(E4792="",E4792="!!!"),"",IF(NOT(ISNA(VLOOKUP(E4792,E$1:E4791,1,FALSE()))),"OLD",IF(AND(E4792&lt;&gt;"",E4792&lt;&gt;"!!!"),"NEW","")))</f>
        <v> </v>
      </c>
      <c r="G4792" s="24" t="str">
        <f>IF(OR(E4792="",E4792="!!!"),"",IF(OR(J4792=0,AND(J4792=1,K4792=1),AND(J4792=1,I4792="SBJ"),AND(J4792=1,I4792=0)),"?IN_FOCUS",IF(J4792&lt;=2,"?ACTIVATED",IF(J4792&lt;&gt;"","?FAMILIAR",IF(F4792="NEW",IF(ISNA(VLOOKUP(E4792,#REF!,1,FALSE())),"?TYPE_IDENTIFIABLE","?REFERENTIAL"),"_")))))</f>
        <v> </v>
      </c>
      <c r="H4792" s="25" t="str">
        <f>IF(J4792&lt;&gt;1,"",IF(I4792="SBJ","CB","?"))</f>
        <v> </v>
      </c>
      <c r="I4792" s="26" t="str">
        <f>IF(OR(E4792="",E4792="!!!",F4792="NEW"),"",INDEX(B4791:B$2,-1+SUMPRODUCT(MAX(ROW(E4791:E$2)*(E4792=E4791:E$2)))))</f>
        <v> </v>
      </c>
      <c r="J4792" s="26" t="str">
        <f>IF(OR(E4792="",E4792="!!!",F4792="NEW"),"",COUNTBLANK(OFFSET(A$1,,,SUMPRODUCT(MAX(ROW(E$2:E4792)*(E4792=E$2:E4792)))))-COUNTBLANK(OFFSET(A$1,,,SUMPRODUCT(MAX(ROW(E$1:E4791)*(E2=E$1:E4791))))))</f>
        <v> </v>
      </c>
      <c r="K4792" s="26" t="str">
        <f>IF(OR(E4792="",E4792="!!!",F4792="NEW"),"",INDEX(J$1:J4791,SUMPRODUCT(MAX(ROW(E$1:E4791)*(E4792=E$1:E4791)))))</f>
        <v> </v>
      </c>
      <c r="L4792" s="27"/>
    </row>
    <row r="4793" spans="1:12">
      <c r="A4793" s="20" t="s">
        <v>1166</v>
      </c>
      <c r="E4793" s="22">
        <f>IF(D4793="?OLD","!!!","")</f>
        <v/>
      </c>
      <c r="F4793" s="23" t="str">
        <f>IF(OR(E4793="",E4793="!!!"),"",IF(NOT(ISNA(VLOOKUP(E4793,E$1:E4792,1,FALSE()))),"OLD",IF(AND(E4793&lt;&gt;"",E4793&lt;&gt;"!!!"),"NEW","")))</f>
        <v> </v>
      </c>
      <c r="G4793" s="24" t="str">
        <f>IF(OR(E4793="",E4793="!!!"),"",IF(OR(J4793=0,AND(J4793=1,K4793=1),AND(J4793=1,I4793="SBJ"),AND(J4793=1,I4793=0)),"?IN_FOCUS",IF(J4793&lt;=2,"?ACTIVATED",IF(J4793&lt;&gt;"","?FAMILIAR",IF(F4793="NEW",IF(ISNA(VLOOKUP(E4793,#REF!,1,FALSE())),"?TYPE_IDENTIFIABLE","?REFERENTIAL"),"_")))))</f>
        <v> </v>
      </c>
      <c r="H4793" s="25" t="str">
        <f>IF(J4793&lt;&gt;1,"",IF(I4793="SBJ","CB","?"))</f>
        <v> </v>
      </c>
      <c r="I4793" s="26" t="str">
        <f>IF(OR(E4793="",E4793="!!!",F4793="NEW"),"",INDEX(B4792:B$2,-1+SUMPRODUCT(MAX(ROW(E4792:E$2)*(E4793=E4792:E$2)))))</f>
        <v> </v>
      </c>
      <c r="J4793" s="26" t="str">
        <f>IF(OR(E4793="",E4793="!!!",F4793="NEW"),"",COUNTBLANK(OFFSET(A$1,,,SUMPRODUCT(MAX(ROW(E$2:E4793)*(E4793=E$2:E4793)))))-COUNTBLANK(OFFSET(A$1,,,SUMPRODUCT(MAX(ROW(E$1:E4792)*(E2=E$1:E4792))))))</f>
        <v> </v>
      </c>
      <c r="K4793" s="26" t="str">
        <f>IF(OR(E4793="",E4793="!!!",F4793="NEW"),"",INDEX(J$1:J4792,SUMPRODUCT(MAX(ROW(E$1:E4792)*(E4793=E$1:E4792)))))</f>
        <v> </v>
      </c>
      <c r="L4793" s="27"/>
    </row>
    <row r="4794" spans="1:12">
      <c r="A4794" s="20" t="s">
        <v>1387</v>
      </c>
      <c r="E4794" s="22">
        <f>IF(D4794="?OLD","!!!","")</f>
        <v/>
      </c>
      <c r="F4794" s="23" t="str">
        <f>IF(OR(E4794="",E4794="!!!"),"",IF(NOT(ISNA(VLOOKUP(E4794,E$1:E4793,1,FALSE()))),"OLD",IF(AND(E4794&lt;&gt;"",E4794&lt;&gt;"!!!"),"NEW","")))</f>
        <v> </v>
      </c>
      <c r="G4794" s="24" t="str">
        <f>IF(OR(E4794="",E4794="!!!"),"",IF(OR(J4794=0,AND(J4794=1,K4794=1),AND(J4794=1,I4794="SBJ"),AND(J4794=1,I4794=0)),"?IN_FOCUS",IF(J4794&lt;=2,"?ACTIVATED",IF(J4794&lt;&gt;"","?FAMILIAR",IF(F4794="NEW",IF(ISNA(VLOOKUP(E4794,#REF!,1,FALSE())),"?TYPE_IDENTIFIABLE","?REFERENTIAL"),"_")))))</f>
        <v> </v>
      </c>
      <c r="H4794" s="25" t="str">
        <f>IF(J4794&lt;&gt;1,"",IF(I4794="SBJ","CB","?"))</f>
        <v> </v>
      </c>
      <c r="I4794" s="26" t="str">
        <f>IF(OR(E4794="",E4794="!!!",F4794="NEW"),"",INDEX(B4793:B$2,-1+SUMPRODUCT(MAX(ROW(E4793:E$2)*(E4794=E4793:E$2)))))</f>
        <v> </v>
      </c>
      <c r="J4794" s="26" t="str">
        <f>IF(OR(E4794="",E4794="!!!",F4794="NEW"),"",COUNTBLANK(OFFSET(A$1,,,SUMPRODUCT(MAX(ROW(E$2:E4794)*(E4794=E$2:E4794)))))-COUNTBLANK(OFFSET(A$1,,,SUMPRODUCT(MAX(ROW(E$1:E4793)*(E2=E$1:E4793))))))</f>
        <v> </v>
      </c>
      <c r="K4794" s="26" t="str">
        <f>IF(OR(E4794="",E4794="!!!",F4794="NEW"),"",INDEX(J$1:J4793,SUMPRODUCT(MAX(ROW(E$1:E4793)*(E4794=E$1:E4793)))))</f>
        <v> </v>
      </c>
      <c r="L4794" s="27"/>
    </row>
    <row r="4795" spans="1:12">
      <c r="A4795" s="20" t="s">
        <v>242</v>
      </c>
      <c r="B4795" s="21" t="s">
        <v>1147</v>
      </c>
      <c r="C4795" s="21" t="s">
        <v>1151</v>
      </c>
      <c r="D4795" s="21" t="s">
        <v>1144</v>
      </c>
      <c r="E4795" s="22">
        <f>IF(D4795="?OLD","!!!","")</f>
        <v/>
      </c>
      <c r="F4795" s="23" t="str">
        <f>IF(OR(E4795="",E4795="!!!"),"",IF(NOT(ISNA(VLOOKUP(E4795,E$1:E4794,1,FALSE()))),"OLD",IF(AND(E4795&lt;&gt;"",E4795&lt;&gt;"!!!"),"NEW","")))</f>
        <v> </v>
      </c>
      <c r="G4795" s="24" t="str">
        <f>IF(OR(E4795="",E4795="!!!"),"",IF(OR(J4795=0,AND(J4795=1,K4795=1),AND(J4795=1,I4795="SBJ"),AND(J4795=1,I4795=0)),"?IN_FOCUS",IF(J4795&lt;=2,"?ACTIVATED",IF(J4795&lt;&gt;"","?FAMILIAR",IF(F4795="NEW",IF(ISNA(VLOOKUP(E4795,#REF!,1,FALSE())),"?TYPE_IDENTIFIABLE","?REFERENTIAL"),"_")))))</f>
        <v> </v>
      </c>
      <c r="H4795" s="25" t="str">
        <f>IF(J4795&lt;&gt;1,"",IF(I4795="SBJ","CB","?"))</f>
        <v> </v>
      </c>
      <c r="I4795" s="26" t="str">
        <f>IF(OR(E4795="",E4795="!!!",F4795="NEW"),"",INDEX(B4794:B$2,-1+SUMPRODUCT(MAX(ROW(E4794:E$2)*(E4795=E4794:E$2)))))</f>
        <v> </v>
      </c>
      <c r="J4795" s="26" t="str">
        <f>IF(OR(E4795="",E4795="!!!",F4795="NEW"),"",COUNTBLANK(OFFSET(A$1,,,SUMPRODUCT(MAX(ROW(E$2:E4795)*(E4795=E$2:E4795)))))-COUNTBLANK(OFFSET(A$1,,,SUMPRODUCT(MAX(ROW(E$1:E4794)*(E2=E$1:E4794))))))</f>
        <v> </v>
      </c>
      <c r="K4795" s="26" t="str">
        <f>IF(OR(E4795="",E4795="!!!",F4795="NEW"),"",INDEX(J$1:J4794,SUMPRODUCT(MAX(ROW(E$1:E4794)*(E4795=E$1:E4794)))))</f>
        <v> </v>
      </c>
      <c r="L4795" s="27"/>
    </row>
    <row r="4796" spans="1:12">
      <c r="A4796" s="20" t="s">
        <v>1314</v>
      </c>
      <c r="E4796" s="22">
        <f>IF(D4796="?OLD","!!!","")</f>
        <v/>
      </c>
      <c r="F4796" s="23" t="str">
        <f>IF(OR(E4796="",E4796="!!!"),"",IF(NOT(ISNA(VLOOKUP(E4796,E$1:E4795,1,FALSE()))),"OLD",IF(AND(E4796&lt;&gt;"",E4796&lt;&gt;"!!!"),"NEW","")))</f>
        <v> </v>
      </c>
      <c r="G4796" s="24" t="str">
        <f>IF(OR(E4796="",E4796="!!!"),"",IF(OR(J4796=0,AND(J4796=1,K4796=1),AND(J4796=1,I4796="SBJ"),AND(J4796=1,I4796=0)),"?IN_FOCUS",IF(J4796&lt;=2,"?ACTIVATED",IF(J4796&lt;&gt;"","?FAMILIAR",IF(F4796="NEW",IF(ISNA(VLOOKUP(E4796,#REF!,1,FALSE())),"?TYPE_IDENTIFIABLE","?REFERENTIAL"),"_")))))</f>
        <v> </v>
      </c>
      <c r="H4796" s="25" t="str">
        <f>IF(J4796&lt;&gt;1,"",IF(I4796="SBJ","CB","?"))</f>
        <v> </v>
      </c>
      <c r="I4796" s="26" t="str">
        <f>IF(OR(E4796="",E4796="!!!",F4796="NEW"),"",INDEX(B4795:B$2,-1+SUMPRODUCT(MAX(ROW(E4795:E$2)*(E4796=E4795:E$2)))))</f>
        <v> </v>
      </c>
      <c r="J4796" s="26" t="str">
        <f>IF(OR(E4796="",E4796="!!!",F4796="NEW"),"",COUNTBLANK(OFFSET(A$1,,,SUMPRODUCT(MAX(ROW(E$2:E4796)*(E4796=E$2:E4796)))))-COUNTBLANK(OFFSET(A$1,,,SUMPRODUCT(MAX(ROW(E$1:E4795)*(E2=E$1:E4795))))))</f>
        <v> </v>
      </c>
      <c r="K4796" s="26" t="str">
        <f>IF(OR(E4796="",E4796="!!!",F4796="NEW"),"",INDEX(J$1:J4795,SUMPRODUCT(MAX(ROW(E$1:E4795)*(E4796=E$1:E4795)))))</f>
        <v> </v>
      </c>
      <c r="L4796" s="27"/>
    </row>
    <row r="4797" spans="1:12">
      <c r="A4797" s="20" t="s">
        <v>1758</v>
      </c>
      <c r="B4797" s="21" t="s">
        <v>1181</v>
      </c>
      <c r="C4797" s="21" t="s">
        <v>1232</v>
      </c>
      <c r="D4797" s="21" t="s">
        <v>1144</v>
      </c>
      <c r="E4797" s="22">
        <f>IF(D4797="?OLD","!!!","")</f>
        <v/>
      </c>
      <c r="F4797" s="23" t="str">
        <f>IF(OR(E4797="",E4797="!!!"),"",IF(NOT(ISNA(VLOOKUP(E4797,E$1:E4796,1,FALSE()))),"OLD",IF(AND(E4797&lt;&gt;"",E4797&lt;&gt;"!!!"),"NEW","")))</f>
        <v> </v>
      </c>
      <c r="G4797" s="24" t="str">
        <f>IF(OR(E4797="",E4797="!!!"),"",IF(OR(J4797=0,AND(J4797=1,K4797=1),AND(J4797=1,I4797="SBJ"),AND(J4797=1,I4797=0)),"?IN_FOCUS",IF(J4797&lt;=2,"?ACTIVATED",IF(J4797&lt;&gt;"","?FAMILIAR",IF(F4797="NEW",IF(ISNA(VLOOKUP(E4797,#REF!,1,FALSE())),"?TYPE_IDENTIFIABLE","?REFERENTIAL"),"_")))))</f>
        <v> </v>
      </c>
      <c r="H4797" s="25" t="str">
        <f>IF(J4797&lt;&gt;1,"",IF(I4797="SBJ","CB","?"))</f>
        <v> </v>
      </c>
      <c r="I4797" s="26" t="str">
        <f>IF(OR(E4797="",E4797="!!!",F4797="NEW"),"",INDEX(B4796:B$2,-1+SUMPRODUCT(MAX(ROW(E4796:E$2)*(E4797=E4796:E$2)))))</f>
        <v> </v>
      </c>
      <c r="J4797" s="26" t="str">
        <f>IF(OR(E4797="",E4797="!!!",F4797="NEW"),"",COUNTBLANK(OFFSET(A$1,,,SUMPRODUCT(MAX(ROW(E$2:E4797)*(E4797=E$2:E4797)))))-COUNTBLANK(OFFSET(A$1,,,SUMPRODUCT(MAX(ROW(E$1:E4796)*(E2=E$1:E4796))))))</f>
        <v> </v>
      </c>
      <c r="K4797" s="26" t="str">
        <f>IF(OR(E4797="",E4797="!!!",F4797="NEW"),"",INDEX(J$1:J4796,SUMPRODUCT(MAX(ROW(E$1:E4796)*(E4797=E$1:E4796)))))</f>
        <v> </v>
      </c>
      <c r="L4797" s="27"/>
    </row>
    <row r="4798" spans="1:12">
      <c r="A4798" s="20" t="s">
        <v>2503</v>
      </c>
      <c r="B4798" s="21" t="s">
        <v>1147</v>
      </c>
      <c r="C4798" s="21" t="s">
        <v>1234</v>
      </c>
      <c r="D4798" s="21" t="s">
        <v>1144</v>
      </c>
      <c r="E4798" s="22">
        <f>IF(D4798="?OLD","!!!","")</f>
        <v/>
      </c>
      <c r="F4798" s="23" t="str">
        <f>IF(OR(E4798="",E4798="!!!"),"",IF(NOT(ISNA(VLOOKUP(E4798,E$1:E4797,1,FALSE()))),"OLD",IF(AND(E4798&lt;&gt;"",E4798&lt;&gt;"!!!"),"NEW","")))</f>
        <v> </v>
      </c>
      <c r="G4798" s="24" t="str">
        <f>IF(OR(E4798="",E4798="!!!"),"",IF(OR(J4798=0,AND(J4798=1,K4798=1),AND(J4798=1,I4798="SBJ"),AND(J4798=1,I4798=0)),"?IN_FOCUS",IF(J4798&lt;=2,"?ACTIVATED",IF(J4798&lt;&gt;"","?FAMILIAR",IF(F4798="NEW",IF(ISNA(VLOOKUP(E4798,#REF!,1,FALSE())),"?TYPE_IDENTIFIABLE","?REFERENTIAL"),"_")))))</f>
        <v> </v>
      </c>
      <c r="H4798" s="25" t="str">
        <f>IF(J4798&lt;&gt;1,"",IF(I4798="SBJ","CB","?"))</f>
        <v> </v>
      </c>
      <c r="I4798" s="26" t="str">
        <f>IF(OR(E4798="",E4798="!!!",F4798="NEW"),"",INDEX(B4797:B$2,-1+SUMPRODUCT(MAX(ROW(E4797:E$2)*(E4798=E4797:E$2)))))</f>
        <v> </v>
      </c>
      <c r="J4798" s="26" t="str">
        <f>IF(OR(E4798="",E4798="!!!",F4798="NEW"),"",COUNTBLANK(OFFSET(A$1,,,SUMPRODUCT(MAX(ROW(E$2:E4798)*(E4798=E$2:E4798)))))-COUNTBLANK(OFFSET(A$1,,,SUMPRODUCT(MAX(ROW(E$1:E4797)*(E2=E$1:E4797))))))</f>
        <v> </v>
      </c>
      <c r="K4798" s="26" t="str">
        <f>IF(OR(E4798="",E4798="!!!",F4798="NEW"),"",INDEX(J$1:J4797,SUMPRODUCT(MAX(ROW(E$1:E4797)*(E4798=E$1:E4797)))))</f>
        <v> </v>
      </c>
      <c r="L4798" s="27"/>
    </row>
    <row r="4799" spans="1:12">
      <c r="A4799" s="20" t="s">
        <v>1308</v>
      </c>
      <c r="E4799" s="22">
        <f>IF(D4799="?OLD","!!!","")</f>
        <v/>
      </c>
      <c r="F4799" s="23" t="str">
        <f>IF(OR(E4799="",E4799="!!!"),"",IF(NOT(ISNA(VLOOKUP(E4799,E$1:E4798,1,FALSE()))),"OLD",IF(AND(E4799&lt;&gt;"",E4799&lt;&gt;"!!!"),"NEW","")))</f>
        <v> </v>
      </c>
      <c r="G4799" s="24" t="str">
        <f>IF(OR(E4799="",E4799="!!!"),"",IF(OR(J4799=0,AND(J4799=1,K4799=1),AND(J4799=1,I4799="SBJ"),AND(J4799=1,I4799=0)),"?IN_FOCUS",IF(J4799&lt;=2,"?ACTIVATED",IF(J4799&lt;&gt;"","?FAMILIAR",IF(F4799="NEW",IF(ISNA(VLOOKUP(E4799,#REF!,1,FALSE())),"?TYPE_IDENTIFIABLE","?REFERENTIAL"),"_")))))</f>
        <v> </v>
      </c>
      <c r="H4799" s="25" t="str">
        <f>IF(J4799&lt;&gt;1,"",IF(I4799="SBJ","CB","?"))</f>
        <v> </v>
      </c>
      <c r="I4799" s="26" t="str">
        <f>IF(OR(E4799="",E4799="!!!",F4799="NEW"),"",INDEX(B4798:B$2,-1+SUMPRODUCT(MAX(ROW(E4798:E$2)*(E4799=E4798:E$2)))))</f>
        <v> </v>
      </c>
      <c r="J4799" s="26" t="str">
        <f>IF(OR(E4799="",E4799="!!!",F4799="NEW"),"",COUNTBLANK(OFFSET(A$1,,,SUMPRODUCT(MAX(ROW(E$2:E4799)*(E4799=E$2:E4799)))))-COUNTBLANK(OFFSET(A$1,,,SUMPRODUCT(MAX(ROW(E$1:E4798)*(E2=E$1:E4798))))))</f>
        <v> </v>
      </c>
      <c r="K4799" s="26" t="str">
        <f>IF(OR(E4799="",E4799="!!!",F4799="NEW"),"",INDEX(J$1:J4798,SUMPRODUCT(MAX(ROW(E$1:E4798)*(E4799=E$1:E4798)))))</f>
        <v> </v>
      </c>
      <c r="L4799" s="27"/>
    </row>
    <row r="4800" spans="1:12">
      <c r="A4800" s="20" t="s">
        <v>2504</v>
      </c>
      <c r="E4800" s="22">
        <f>IF(D4800="?OLD","!!!","")</f>
        <v/>
      </c>
      <c r="F4800" s="23" t="str">
        <f>IF(OR(E4800="",E4800="!!!"),"",IF(NOT(ISNA(VLOOKUP(E4800,E$1:E4799,1,FALSE()))),"OLD",IF(AND(E4800&lt;&gt;"",E4800&lt;&gt;"!!!"),"NEW","")))</f>
        <v> </v>
      </c>
      <c r="G4800" s="24" t="str">
        <f>IF(OR(E4800="",E4800="!!!"),"",IF(OR(J4800=0,AND(J4800=1,K4800=1),AND(J4800=1,I4800="SBJ"),AND(J4800=1,I4800=0)),"?IN_FOCUS",IF(J4800&lt;=2,"?ACTIVATED",IF(J4800&lt;&gt;"","?FAMILIAR",IF(F4800="NEW",IF(ISNA(VLOOKUP(E4800,#REF!,1,FALSE())),"?TYPE_IDENTIFIABLE","?REFERENTIAL"),"_")))))</f>
        <v> </v>
      </c>
      <c r="H4800" s="25" t="str">
        <f>IF(J4800&lt;&gt;1,"",IF(I4800="SBJ","CB","?"))</f>
        <v> </v>
      </c>
      <c r="I4800" s="26" t="str">
        <f>IF(OR(E4800="",E4800="!!!",F4800="NEW"),"",INDEX(B4799:B$2,-1+SUMPRODUCT(MAX(ROW(E4799:E$2)*(E4800=E4799:E$2)))))</f>
        <v> </v>
      </c>
      <c r="J4800" s="26" t="str">
        <f>IF(OR(E4800="",E4800="!!!",F4800="NEW"),"",COUNTBLANK(OFFSET(A$1,,,SUMPRODUCT(MAX(ROW(E$2:E4800)*(E4800=E$2:E4800)))))-COUNTBLANK(OFFSET(A$1,,,SUMPRODUCT(MAX(ROW(E$1:E4799)*(E2=E$1:E4799))))))</f>
        <v> </v>
      </c>
      <c r="K4800" s="26" t="str">
        <f>IF(OR(E4800="",E4800="!!!",F4800="NEW"),"",INDEX(J$1:J4799,SUMPRODUCT(MAX(ROW(E$1:E4799)*(E4800=E$1:E4799)))))</f>
        <v> </v>
      </c>
      <c r="L4800" s="27"/>
    </row>
    <row r="4801" spans="1:12">
      <c r="A4801" s="20" t="s">
        <v>312</v>
      </c>
      <c r="E4801" s="22">
        <f>IF(D4801="?OLD","!!!","")</f>
        <v/>
      </c>
      <c r="F4801" s="23" t="str">
        <f>IF(OR(E4801="",E4801="!!!"),"",IF(NOT(ISNA(VLOOKUP(E4801,E$1:E4800,1,FALSE()))),"OLD",IF(AND(E4801&lt;&gt;"",E4801&lt;&gt;"!!!"),"NEW","")))</f>
        <v> </v>
      </c>
      <c r="G4801" s="24" t="str">
        <f>IF(OR(E4801="",E4801="!!!"),"",IF(OR(J4801=0,AND(J4801=1,K4801=1),AND(J4801=1,I4801="SBJ"),AND(J4801=1,I4801=0)),"?IN_FOCUS",IF(J4801&lt;=2,"?ACTIVATED",IF(J4801&lt;&gt;"","?FAMILIAR",IF(F4801="NEW",IF(ISNA(VLOOKUP(E4801,#REF!,1,FALSE())),"?TYPE_IDENTIFIABLE","?REFERENTIAL"),"_")))))</f>
        <v> </v>
      </c>
      <c r="H4801" s="25" t="str">
        <f>IF(J4801&lt;&gt;1,"",IF(I4801="SBJ","CB","?"))</f>
        <v> </v>
      </c>
      <c r="I4801" s="26" t="str">
        <f>IF(OR(E4801="",E4801="!!!",F4801="NEW"),"",INDEX(B4800:B$2,-1+SUMPRODUCT(MAX(ROW(E4800:E$2)*(E4801=E4800:E$2)))))</f>
        <v> </v>
      </c>
      <c r="J4801" s="26" t="str">
        <f>IF(OR(E4801="",E4801="!!!",F4801="NEW"),"",COUNTBLANK(OFFSET(A$1,,,SUMPRODUCT(MAX(ROW(E$2:E4801)*(E4801=E$2:E4801)))))-COUNTBLANK(OFFSET(A$1,,,SUMPRODUCT(MAX(ROW(E$1:E4800)*(E2=E$1:E4800))))))</f>
        <v> </v>
      </c>
      <c r="K4801" s="26" t="str">
        <f>IF(OR(E4801="",E4801="!!!",F4801="NEW"),"",INDEX(J$1:J4800,SUMPRODUCT(MAX(ROW(E$1:E4800)*(E4801=E$1:E4800)))))</f>
        <v> </v>
      </c>
      <c r="L4801" s="27"/>
    </row>
    <row r="4802" spans="1:12">
      <c r="A4802" s="20"/>
    </row>
    <row r="4803" spans="1:12">
      <c r="A4803" s="20" t="s">
        <v>2505</v>
      </c>
    </row>
    <row r="4804" spans="1:12">
      <c r="A4804" s="20" t="s">
        <v>2506</v>
      </c>
      <c r="B4804" s="21" t="s">
        <v>1161</v>
      </c>
      <c r="C4804" s="21" t="s">
        <v>1187</v>
      </c>
      <c r="E4804" s="22">
        <f>IF(D4804="?OLD","!!!","")</f>
        <v/>
      </c>
      <c r="F4804" s="23" t="str">
        <f>IF(OR(E4804="",E4804="!!!"),"",IF(NOT(ISNA(VLOOKUP(E4804,E$1:E4803,1,FALSE()))),"OLD",IF(AND(E4804&lt;&gt;"",E4804&lt;&gt;"!!!"),"NEW","")))</f>
        <v> </v>
      </c>
      <c r="G4804" s="24" t="str">
        <f>IF(OR(E4804="",E4804="!!!"),"",IF(OR(J4804=0,AND(J4804=1,K4804=1),AND(J4804=1,I4804="SBJ"),AND(J4804=1,I4804=0)),"?IN_FOCUS",IF(J4804&lt;=2,"?ACTIVATED",IF(J4804&lt;&gt;"","?FAMILIAR",IF(F4804="NEW",IF(ISNA(VLOOKUP(E4804,#REF!,1,FALSE())),"?TYPE_IDENTIFIABLE","?REFERENTIAL"),"_")))))</f>
        <v> </v>
      </c>
      <c r="H4804" s="25" t="str">
        <f>IF(J4804&lt;&gt;1,"",IF(I4804="SBJ","CB","?"))</f>
        <v> </v>
      </c>
      <c r="I4804" s="26" t="str">
        <f>IF(OR(E4804="",E4804="!!!",F4804="NEW"),"",INDEX(B4803:B$2,-1+SUMPRODUCT(MAX(ROW(E4803:E$2)*(E4804=E4803:E$2)))))</f>
        <v> </v>
      </c>
      <c r="J4804" s="26" t="str">
        <f>IF(OR(E4804="",E4804="!!!",F4804="NEW"),"",COUNTBLANK(OFFSET(A$1,,,SUMPRODUCT(MAX(ROW(E$2:E4804)*(E4804=E$2:E4804)))))-COUNTBLANK(OFFSET(A$1,,,SUMPRODUCT(MAX(ROW(E$1:E4803)*(E2=E$1:E4803))))))</f>
        <v> </v>
      </c>
      <c r="K4804" s="26" t="str">
        <f>IF(OR(E4804="",E4804="!!!",F4804="NEW"),"",INDEX(J$1:J4803,SUMPRODUCT(MAX(ROW(E$1:E4803)*(E4804=E$1:E4803)))))</f>
        <v> </v>
      </c>
      <c r="L4804" s="27"/>
    </row>
    <row r="4805" spans="1:12">
      <c r="A4805" s="20" t="s">
        <v>1166</v>
      </c>
      <c r="E4805" s="22">
        <f>IF(D4805="?OLD","!!!","")</f>
        <v/>
      </c>
      <c r="F4805" s="23" t="str">
        <f>IF(OR(E4805="",E4805="!!!"),"",IF(NOT(ISNA(VLOOKUP(E4805,E$1:E4804,1,FALSE()))),"OLD",IF(AND(E4805&lt;&gt;"",E4805&lt;&gt;"!!!"),"NEW","")))</f>
        <v> </v>
      </c>
      <c r="G4805" s="24" t="str">
        <f>IF(OR(E4805="",E4805="!!!"),"",IF(OR(J4805=0,AND(J4805=1,K4805=1),AND(J4805=1,I4805="SBJ"),AND(J4805=1,I4805=0)),"?IN_FOCUS",IF(J4805&lt;=2,"?ACTIVATED",IF(J4805&lt;&gt;"","?FAMILIAR",IF(F4805="NEW",IF(ISNA(VLOOKUP(E4805,#REF!,1,FALSE())),"?TYPE_IDENTIFIABLE","?REFERENTIAL"),"_")))))</f>
        <v> </v>
      </c>
      <c r="H4805" s="25" t="str">
        <f>IF(J4805&lt;&gt;1,"",IF(I4805="SBJ","CB","?"))</f>
        <v> </v>
      </c>
      <c r="I4805" s="26" t="str">
        <f>IF(OR(E4805="",E4805="!!!",F4805="NEW"),"",INDEX(B4804:B$2,-1+SUMPRODUCT(MAX(ROW(E4804:E$2)*(E4805=E4804:E$2)))))</f>
        <v> </v>
      </c>
      <c r="J4805" s="26" t="str">
        <f>IF(OR(E4805="",E4805="!!!",F4805="NEW"),"",COUNTBLANK(OFFSET(A$1,,,SUMPRODUCT(MAX(ROW(E$2:E4805)*(E4805=E$2:E4805)))))-COUNTBLANK(OFFSET(A$1,,,SUMPRODUCT(MAX(ROW(E$1:E4804)*(E2=E$1:E4804))))))</f>
        <v> </v>
      </c>
      <c r="K4805" s="26" t="str">
        <f>IF(OR(E4805="",E4805="!!!",F4805="NEW"),"",INDEX(J$1:J4804,SUMPRODUCT(MAX(ROW(E$1:E4804)*(E4805=E$1:E4804)))))</f>
        <v> </v>
      </c>
      <c r="L4805" s="27"/>
    </row>
    <row r="4806" spans="1:12">
      <c r="A4806" s="20" t="s">
        <v>22</v>
      </c>
      <c r="B4806" s="21" t="s">
        <v>1161</v>
      </c>
      <c r="C4806" s="21" t="s">
        <v>1143</v>
      </c>
      <c r="D4806" s="21" t="s">
        <v>1144</v>
      </c>
      <c r="E4806" s="22">
        <f>IF(D4806="?OLD","!!!","")</f>
        <v/>
      </c>
      <c r="F4806" s="23" t="str">
        <f>IF(OR(E4806="",E4806="!!!"),"",IF(NOT(ISNA(VLOOKUP(E4806,E$1:E4805,1,FALSE()))),"OLD",IF(AND(E4806&lt;&gt;"",E4806&lt;&gt;"!!!"),"NEW","")))</f>
        <v> </v>
      </c>
      <c r="G4806" s="24" t="str">
        <f>IF(OR(E4806="",E4806="!!!"),"",IF(OR(J4806=0,AND(J4806=1,K4806=1),AND(J4806=1,I4806="SBJ"),AND(J4806=1,I4806=0)),"?IN_FOCUS",IF(J4806&lt;=2,"?ACTIVATED",IF(J4806&lt;&gt;"","?FAMILIAR",IF(F4806="NEW",IF(ISNA(VLOOKUP(E4806,#REF!,1,FALSE())),"?TYPE_IDENTIFIABLE","?REFERENTIAL"),"_")))))</f>
        <v> </v>
      </c>
      <c r="H4806" s="25" t="str">
        <f>IF(J4806&lt;&gt;1,"",IF(I4806="SBJ","CB","?"))</f>
        <v> </v>
      </c>
      <c r="I4806" s="26" t="str">
        <f>IF(OR(E4806="",E4806="!!!",F4806="NEW"),"",INDEX(B4805:B$2,-1+SUMPRODUCT(MAX(ROW(E4805:E$2)*(E4806=E4805:E$2)))))</f>
        <v> </v>
      </c>
      <c r="J4806" s="26" t="str">
        <f>IF(OR(E4806="",E4806="!!!",F4806="NEW"),"",COUNTBLANK(OFFSET(A$1,,,SUMPRODUCT(MAX(ROW(E$2:E4806)*(E4806=E$2:E4806)))))-COUNTBLANK(OFFSET(A$1,,,SUMPRODUCT(MAX(ROW(E$1:E4805)*(E2=E$1:E4805))))))</f>
        <v> </v>
      </c>
      <c r="K4806" s="26" t="str">
        <f>IF(OR(E4806="",E4806="!!!",F4806="NEW"),"",INDEX(J$1:J4805,SUMPRODUCT(MAX(ROW(E$1:E4805)*(E4806=E$1:E4805)))))</f>
        <v> </v>
      </c>
      <c r="L4806" s="27"/>
    </row>
    <row r="4807" spans="1:12">
      <c r="A4807" s="20" t="s">
        <v>1215</v>
      </c>
      <c r="E4807" s="22">
        <f>IF(D4807="?OLD","!!!","")</f>
        <v/>
      </c>
      <c r="F4807" s="23" t="str">
        <f>IF(OR(E4807="",E4807="!!!"),"",IF(NOT(ISNA(VLOOKUP(E4807,E$1:E4806,1,FALSE()))),"OLD",IF(AND(E4807&lt;&gt;"",E4807&lt;&gt;"!!!"),"NEW","")))</f>
        <v> </v>
      </c>
      <c r="G4807" s="24" t="str">
        <f>IF(OR(E4807="",E4807="!!!"),"",IF(OR(J4807=0,AND(J4807=1,K4807=1),AND(J4807=1,I4807="SBJ"),AND(J4807=1,I4807=0)),"?IN_FOCUS",IF(J4807&lt;=2,"?ACTIVATED",IF(J4807&lt;&gt;"","?FAMILIAR",IF(F4807="NEW",IF(ISNA(VLOOKUP(E4807,#REF!,1,FALSE())),"?TYPE_IDENTIFIABLE","?REFERENTIAL"),"_")))))</f>
        <v> </v>
      </c>
      <c r="H4807" s="25" t="str">
        <f>IF(J4807&lt;&gt;1,"",IF(I4807="SBJ","CB","?"))</f>
        <v> </v>
      </c>
      <c r="I4807" s="26" t="str">
        <f>IF(OR(E4807="",E4807="!!!",F4807="NEW"),"",INDEX(B4806:B$2,-1+SUMPRODUCT(MAX(ROW(E4806:E$2)*(E4807=E4806:E$2)))))</f>
        <v> </v>
      </c>
      <c r="J4807" s="26" t="str">
        <f>IF(OR(E4807="",E4807="!!!",F4807="NEW"),"",COUNTBLANK(OFFSET(A$1,,,SUMPRODUCT(MAX(ROW(E$2:E4807)*(E4807=E$2:E4807)))))-COUNTBLANK(OFFSET(A$1,,,SUMPRODUCT(MAX(ROW(E$1:E4806)*(E2=E$1:E4806))))))</f>
        <v> </v>
      </c>
      <c r="K4807" s="26" t="str">
        <f>IF(OR(E4807="",E4807="!!!",F4807="NEW"),"",INDEX(J$1:J4806,SUMPRODUCT(MAX(ROW(E$1:E4806)*(E4807=E$1:E4806)))))</f>
        <v> </v>
      </c>
      <c r="L4807" s="27"/>
    </row>
    <row r="4808" spans="1:12">
      <c r="A4808" s="20"/>
    </row>
    <row r="4809" spans="1:12">
      <c r="A4809" s="20" t="s">
        <v>2507</v>
      </c>
    </row>
    <row r="4810" spans="1:12">
      <c r="A4810" s="20" t="s">
        <v>308</v>
      </c>
      <c r="B4810" s="21" t="s">
        <v>1161</v>
      </c>
      <c r="C4810" s="21" t="s">
        <v>1187</v>
      </c>
      <c r="E4810" s="22">
        <f>IF(D4810="?OLD","!!!","")</f>
        <v/>
      </c>
      <c r="F4810" s="23" t="str">
        <f>IF(OR(E4810="",E4810="!!!"),"",IF(NOT(ISNA(VLOOKUP(E4810,E$1:E4809,1,FALSE()))),"OLD",IF(AND(E4810&lt;&gt;"",E4810&lt;&gt;"!!!"),"NEW","")))</f>
        <v> </v>
      </c>
      <c r="G4810" s="24" t="str">
        <f>IF(OR(E4810="",E4810="!!!"),"",IF(OR(J4810=0,AND(J4810=1,K4810=1),AND(J4810=1,I4810="SBJ"),AND(J4810=1,I4810=0)),"?IN_FOCUS",IF(J4810&lt;=2,"?ACTIVATED",IF(J4810&lt;&gt;"","?FAMILIAR",IF(F4810="NEW",IF(ISNA(VLOOKUP(E4810,#REF!,1,FALSE())),"?TYPE_IDENTIFIABLE","?REFERENTIAL"),"_")))))</f>
        <v> </v>
      </c>
      <c r="H4810" s="25" t="str">
        <f>IF(J4810&lt;&gt;1,"",IF(I4810="SBJ","CB","?"))</f>
        <v> </v>
      </c>
      <c r="I4810" s="26" t="str">
        <f>IF(OR(E4810="",E4810="!!!",F4810="NEW"),"",INDEX(B4809:B$2,-1+SUMPRODUCT(MAX(ROW(E4809:E$2)*(E4810=E4809:E$2)))))</f>
        <v> </v>
      </c>
      <c r="J4810" s="26" t="str">
        <f>IF(OR(E4810="",E4810="!!!",F4810="NEW"),"",COUNTBLANK(OFFSET(A$1,,,SUMPRODUCT(MAX(ROW(E$2:E4810)*(E4810=E$2:E4810)))))-COUNTBLANK(OFFSET(A$1,,,SUMPRODUCT(MAX(ROW(E$1:E4809)*(E2=E$1:E4809))))))</f>
        <v> </v>
      </c>
      <c r="K4810" s="26" t="str">
        <f>IF(OR(E4810="",E4810="!!!",F4810="NEW"),"",INDEX(J$1:J4809,SUMPRODUCT(MAX(ROW(E$1:E4809)*(E4810=E$1:E4809)))))</f>
        <v> </v>
      </c>
      <c r="L4810" s="27"/>
    </row>
    <row r="4811" spans="1:12">
      <c r="A4811" s="20" t="s">
        <v>1146</v>
      </c>
      <c r="E4811" s="22">
        <f>IF(D4811="?OLD","!!!","")</f>
        <v/>
      </c>
      <c r="F4811" s="23" t="str">
        <f>IF(OR(E4811="",E4811="!!!"),"",IF(NOT(ISNA(VLOOKUP(E4811,E$1:E4810,1,FALSE()))),"OLD",IF(AND(E4811&lt;&gt;"",E4811&lt;&gt;"!!!"),"NEW","")))</f>
        <v> </v>
      </c>
      <c r="G4811" s="24" t="str">
        <f>IF(OR(E4811="",E4811="!!!"),"",IF(OR(J4811=0,AND(J4811=1,K4811=1),AND(J4811=1,I4811="SBJ"),AND(J4811=1,I4811=0)),"?IN_FOCUS",IF(J4811&lt;=2,"?ACTIVATED",IF(J4811&lt;&gt;"","?FAMILIAR",IF(F4811="NEW",IF(ISNA(VLOOKUP(E4811,#REF!,1,FALSE())),"?TYPE_IDENTIFIABLE","?REFERENTIAL"),"_")))))</f>
        <v> </v>
      </c>
      <c r="H4811" s="25" t="str">
        <f>IF(J4811&lt;&gt;1,"",IF(I4811="SBJ","CB","?"))</f>
        <v> </v>
      </c>
      <c r="I4811" s="26" t="str">
        <f>IF(OR(E4811="",E4811="!!!",F4811="NEW"),"",INDEX(B4810:B$2,-1+SUMPRODUCT(MAX(ROW(E4810:E$2)*(E4811=E4810:E$2)))))</f>
        <v> </v>
      </c>
      <c r="J4811" s="26" t="str">
        <f>IF(OR(E4811="",E4811="!!!",F4811="NEW"),"",COUNTBLANK(OFFSET(A$1,,,SUMPRODUCT(MAX(ROW(E$2:E4811)*(E4811=E$2:E4811)))))-COUNTBLANK(OFFSET(A$1,,,SUMPRODUCT(MAX(ROW(E$1:E4810)*(E2=E$1:E4810))))))</f>
        <v> </v>
      </c>
      <c r="K4811" s="26" t="str">
        <f>IF(OR(E4811="",E4811="!!!",F4811="NEW"),"",INDEX(J$1:J4810,SUMPRODUCT(MAX(ROW(E$1:E4810)*(E4811=E$1:E4810)))))</f>
        <v> </v>
      </c>
      <c r="L4811" s="27"/>
    </row>
    <row r="4812" spans="1:12">
      <c r="A4812" s="20" t="s">
        <v>1189</v>
      </c>
      <c r="B4812" s="21" t="s">
        <v>1142</v>
      </c>
      <c r="C4812" s="21" t="s">
        <v>1151</v>
      </c>
      <c r="D4812" s="21" t="s">
        <v>1144</v>
      </c>
      <c r="E4812" s="22">
        <f>IF(D4812="?OLD","!!!","")</f>
        <v/>
      </c>
      <c r="F4812" s="23" t="str">
        <f>IF(OR(E4812="",E4812="!!!"),"",IF(NOT(ISNA(VLOOKUP(E4812,E$1:E4811,1,FALSE()))),"OLD",IF(AND(E4812&lt;&gt;"",E4812&lt;&gt;"!!!"),"NEW","")))</f>
        <v> </v>
      </c>
      <c r="G4812" s="24" t="str">
        <f>IF(OR(E4812="",E4812="!!!"),"",IF(OR(J4812=0,AND(J4812=1,K4812=1),AND(J4812=1,I4812="SBJ"),AND(J4812=1,I4812=0)),"?IN_FOCUS",IF(J4812&lt;=2,"?ACTIVATED",IF(J4812&lt;&gt;"","?FAMILIAR",IF(F4812="NEW",IF(ISNA(VLOOKUP(E4812,#REF!,1,FALSE())),"?TYPE_IDENTIFIABLE","?REFERENTIAL"),"_")))))</f>
        <v> </v>
      </c>
      <c r="H4812" s="25" t="str">
        <f>IF(J4812&lt;&gt;1,"",IF(I4812="SBJ","CB","?"))</f>
        <v> </v>
      </c>
      <c r="I4812" s="26" t="str">
        <f>IF(OR(E4812="",E4812="!!!",F4812="NEW"),"",INDEX(B4811:B$2,-1+SUMPRODUCT(MAX(ROW(E4811:E$2)*(E4812=E4811:E$2)))))</f>
        <v> </v>
      </c>
      <c r="J4812" s="26" t="str">
        <f>IF(OR(E4812="",E4812="!!!",F4812="NEW"),"",COUNTBLANK(OFFSET(A$1,,,SUMPRODUCT(MAX(ROW(E$2:E4812)*(E4812=E$2:E4812)))))-COUNTBLANK(OFFSET(A$1,,,SUMPRODUCT(MAX(ROW(E$1:E4811)*(E2=E$1:E4811))))))</f>
        <v> </v>
      </c>
      <c r="K4812" s="26" t="str">
        <f>IF(OR(E4812="",E4812="!!!",F4812="NEW"),"",INDEX(J$1:J4811,SUMPRODUCT(MAX(ROW(E$1:E4811)*(E4812=E$1:E4811)))))</f>
        <v> </v>
      </c>
      <c r="L4812" s="27"/>
    </row>
    <row r="4813" spans="1:12">
      <c r="A4813" s="20" t="s">
        <v>2508</v>
      </c>
      <c r="E4813" s="22">
        <f>IF(D4813="?OLD","!!!","")</f>
        <v/>
      </c>
      <c r="F4813" s="23" t="str">
        <f>IF(OR(E4813="",E4813="!!!"),"",IF(NOT(ISNA(VLOOKUP(E4813,E$1:E4812,1,FALSE()))),"OLD",IF(AND(E4813&lt;&gt;"",E4813&lt;&gt;"!!!"),"NEW","")))</f>
        <v> </v>
      </c>
      <c r="G4813" s="24" t="str">
        <f>IF(OR(E4813="",E4813="!!!"),"",IF(OR(J4813=0,AND(J4813=1,K4813=1),AND(J4813=1,I4813="SBJ"),AND(J4813=1,I4813=0)),"?IN_FOCUS",IF(J4813&lt;=2,"?ACTIVATED",IF(J4813&lt;&gt;"","?FAMILIAR",IF(F4813="NEW",IF(ISNA(VLOOKUP(E4813,#REF!,1,FALSE())),"?TYPE_IDENTIFIABLE","?REFERENTIAL"),"_")))))</f>
        <v> </v>
      </c>
      <c r="H4813" s="25" t="str">
        <f>IF(J4813&lt;&gt;1,"",IF(I4813="SBJ","CB","?"))</f>
        <v> </v>
      </c>
      <c r="I4813" s="26" t="str">
        <f>IF(OR(E4813="",E4813="!!!",F4813="NEW"),"",INDEX(B4812:B$2,-1+SUMPRODUCT(MAX(ROW(E4812:E$2)*(E4813=E4812:E$2)))))</f>
        <v> </v>
      </c>
      <c r="J4813" s="26" t="str">
        <f>IF(OR(E4813="",E4813="!!!",F4813="NEW"),"",COUNTBLANK(OFFSET(A$1,,,SUMPRODUCT(MAX(ROW(E$2:E4813)*(E4813=E$2:E4813)))))-COUNTBLANK(OFFSET(A$1,,,SUMPRODUCT(MAX(ROW(E$1:E4812)*(E2=E$1:E4812))))))</f>
        <v> </v>
      </c>
      <c r="K4813" s="26" t="str">
        <f>IF(OR(E4813="",E4813="!!!",F4813="NEW"),"",INDEX(J$1:J4812,SUMPRODUCT(MAX(ROW(E$1:E4812)*(E4813=E$1:E4812)))))</f>
        <v> </v>
      </c>
      <c r="L4813" s="27"/>
    </row>
    <row r="4814" spans="1:12">
      <c r="A4814" s="20" t="s">
        <v>242</v>
      </c>
      <c r="B4814" s="21" t="s">
        <v>1171</v>
      </c>
      <c r="C4814" s="21" t="s">
        <v>1151</v>
      </c>
      <c r="D4814" s="21" t="s">
        <v>1144</v>
      </c>
      <c r="E4814" s="22">
        <f>IF(D4814="?OLD","!!!","")</f>
        <v/>
      </c>
      <c r="F4814" s="23" t="str">
        <f>IF(OR(E4814="",E4814="!!!"),"",IF(NOT(ISNA(VLOOKUP(E4814,E$1:E4813,1,FALSE()))),"OLD",IF(AND(E4814&lt;&gt;"",E4814&lt;&gt;"!!!"),"NEW","")))</f>
        <v> </v>
      </c>
      <c r="G4814" s="24" t="str">
        <f>IF(OR(E4814="",E4814="!!!"),"",IF(OR(J4814=0,AND(J4814=1,K4814=1),AND(J4814=1,I4814="SBJ"),AND(J4814=1,I4814=0)),"?IN_FOCUS",IF(J4814&lt;=2,"?ACTIVATED",IF(J4814&lt;&gt;"","?FAMILIAR",IF(F4814="NEW",IF(ISNA(VLOOKUP(E4814,#REF!,1,FALSE())),"?TYPE_IDENTIFIABLE","?REFERENTIAL"),"_")))))</f>
        <v> </v>
      </c>
      <c r="H4814" s="25" t="str">
        <f>IF(J4814&lt;&gt;1,"",IF(I4814="SBJ","CB","?"))</f>
        <v> </v>
      </c>
      <c r="I4814" s="26" t="str">
        <f>IF(OR(E4814="",E4814="!!!",F4814="NEW"),"",INDEX(B4813:B$2,-1+SUMPRODUCT(MAX(ROW(E4813:E$2)*(E4814=E4813:E$2)))))</f>
        <v> </v>
      </c>
      <c r="J4814" s="26" t="str">
        <f>IF(OR(E4814="",E4814="!!!",F4814="NEW"),"",COUNTBLANK(OFFSET(A$1,,,SUMPRODUCT(MAX(ROW(E$2:E4814)*(E4814=E$2:E4814)))))-COUNTBLANK(OFFSET(A$1,,,SUMPRODUCT(MAX(ROW(E$1:E4813)*(E2=E$1:E4813))))))</f>
        <v> </v>
      </c>
      <c r="K4814" s="26" t="str">
        <f>IF(OR(E4814="",E4814="!!!",F4814="NEW"),"",INDEX(J$1:J4813,SUMPRODUCT(MAX(ROW(E$1:E4813)*(E4814=E$1:E4813)))))</f>
        <v> </v>
      </c>
      <c r="L4814" s="27"/>
    </row>
    <row r="4815" spans="1:12">
      <c r="A4815" s="20" t="s">
        <v>312</v>
      </c>
      <c r="E4815" s="22">
        <f>IF(D4815="?OLD","!!!","")</f>
        <v/>
      </c>
      <c r="F4815" s="23" t="str">
        <f>IF(OR(E4815="",E4815="!!!"),"",IF(NOT(ISNA(VLOOKUP(E4815,E$1:E4814,1,FALSE()))),"OLD",IF(AND(E4815&lt;&gt;"",E4815&lt;&gt;"!!!"),"NEW","")))</f>
        <v> </v>
      </c>
      <c r="G4815" s="24" t="str">
        <f>IF(OR(E4815="",E4815="!!!"),"",IF(OR(J4815=0,AND(J4815=1,K4815=1),AND(J4815=1,I4815="SBJ"),AND(J4815=1,I4815=0)),"?IN_FOCUS",IF(J4815&lt;=2,"?ACTIVATED",IF(J4815&lt;&gt;"","?FAMILIAR",IF(F4815="NEW",IF(ISNA(VLOOKUP(E4815,#REF!,1,FALSE())),"?TYPE_IDENTIFIABLE","?REFERENTIAL"),"_")))))</f>
        <v> </v>
      </c>
      <c r="H4815" s="25" t="str">
        <f>IF(J4815&lt;&gt;1,"",IF(I4815="SBJ","CB","?"))</f>
        <v> </v>
      </c>
      <c r="I4815" s="26" t="str">
        <f>IF(OR(E4815="",E4815="!!!",F4815="NEW"),"",INDEX(B4814:B$2,-1+SUMPRODUCT(MAX(ROW(E4814:E$2)*(E4815=E4814:E$2)))))</f>
        <v> </v>
      </c>
      <c r="J4815" s="26" t="str">
        <f>IF(OR(E4815="",E4815="!!!",F4815="NEW"),"",COUNTBLANK(OFFSET(A$1,,,SUMPRODUCT(MAX(ROW(E$2:E4815)*(E4815=E$2:E4815)))))-COUNTBLANK(OFFSET(A$1,,,SUMPRODUCT(MAX(ROW(E$1:E4814)*(E2=E$1:E4814))))))</f>
        <v> </v>
      </c>
      <c r="K4815" s="26" t="str">
        <f>IF(OR(E4815="",E4815="!!!",F4815="NEW"),"",INDEX(J$1:J4814,SUMPRODUCT(MAX(ROW(E$1:E4814)*(E4815=E$1:E4814)))))</f>
        <v> </v>
      </c>
      <c r="L4815" s="27"/>
    </row>
    <row r="4816" spans="1:12">
      <c r="A4816" s="20"/>
    </row>
    <row r="4817" spans="1:12">
      <c r="A4817" s="20" t="s">
        <v>2509</v>
      </c>
    </row>
    <row r="4818" spans="1:12">
      <c r="A4818" s="20" t="s">
        <v>198</v>
      </c>
      <c r="B4818" s="21" t="s">
        <v>1161</v>
      </c>
      <c r="C4818" s="21" t="s">
        <v>1143</v>
      </c>
      <c r="D4818" s="21" t="s">
        <v>1144</v>
      </c>
      <c r="E4818" s="22">
        <f>IF(D4818="?OLD","!!!","")</f>
        <v/>
      </c>
      <c r="F4818" s="23" t="str">
        <f>IF(OR(E4818="",E4818="!!!"),"",IF(NOT(ISNA(VLOOKUP(E4818,E$1:E4817,1,FALSE()))),"OLD",IF(AND(E4818&lt;&gt;"",E4818&lt;&gt;"!!!"),"NEW","")))</f>
        <v> </v>
      </c>
      <c r="G4818" s="24" t="str">
        <f>IF(OR(E4818="",E4818="!!!"),"",IF(OR(J4818=0,AND(J4818=1,K4818=1),AND(J4818=1,I4818="SBJ"),AND(J4818=1,I4818=0)),"?IN_FOCUS",IF(J4818&lt;=2,"?ACTIVATED",IF(J4818&lt;&gt;"","?FAMILIAR",IF(F4818="NEW",IF(ISNA(VLOOKUP(E4818,#REF!,1,FALSE())),"?TYPE_IDENTIFIABLE","?REFERENTIAL"),"_")))))</f>
        <v> </v>
      </c>
      <c r="H4818" s="25" t="str">
        <f>IF(J4818&lt;&gt;1,"",IF(I4818="SBJ","CB","?"))</f>
        <v> </v>
      </c>
      <c r="I4818" s="26" t="str">
        <f>IF(OR(E4818="",E4818="!!!",F4818="NEW"),"",INDEX(B4817:B$2,-1+SUMPRODUCT(MAX(ROW(E4817:E$2)*(E4818=E4817:E$2)))))</f>
        <v> </v>
      </c>
      <c r="J4818" s="26" t="str">
        <f>IF(OR(E4818="",E4818="!!!",F4818="NEW"),"",COUNTBLANK(OFFSET(A$1,,,SUMPRODUCT(MAX(ROW(E$2:E4818)*(E4818=E$2:E4818)))))-COUNTBLANK(OFFSET(A$1,,,SUMPRODUCT(MAX(ROW(E$1:E4817)*(E2=E$1:E4817))))))</f>
        <v> </v>
      </c>
      <c r="K4818" s="26" t="str">
        <f>IF(OR(E4818="",E4818="!!!",F4818="NEW"),"",INDEX(J$1:J4817,SUMPRODUCT(MAX(ROW(E$1:E4817)*(E4818=E$1:E4817)))))</f>
        <v> </v>
      </c>
      <c r="L4818" s="27"/>
    </row>
    <row r="4819" spans="1:12">
      <c r="A4819" s="20" t="s">
        <v>1146</v>
      </c>
      <c r="E4819" s="22">
        <f>IF(D4819="?OLD","!!!","")</f>
        <v/>
      </c>
      <c r="F4819" s="23" t="str">
        <f>IF(OR(E4819="",E4819="!!!"),"",IF(NOT(ISNA(VLOOKUP(E4819,E$1:E4818,1,FALSE()))),"OLD",IF(AND(E4819&lt;&gt;"",E4819&lt;&gt;"!!!"),"NEW","")))</f>
        <v> </v>
      </c>
      <c r="G4819" s="24" t="str">
        <f>IF(OR(E4819="",E4819="!!!"),"",IF(OR(J4819=0,AND(J4819=1,K4819=1),AND(J4819=1,I4819="SBJ"),AND(J4819=1,I4819=0)),"?IN_FOCUS",IF(J4819&lt;=2,"?ACTIVATED",IF(J4819&lt;&gt;"","?FAMILIAR",IF(F4819="NEW",IF(ISNA(VLOOKUP(E4819,#REF!,1,FALSE())),"?TYPE_IDENTIFIABLE","?REFERENTIAL"),"_")))))</f>
        <v> </v>
      </c>
      <c r="H4819" s="25" t="str">
        <f>IF(J4819&lt;&gt;1,"",IF(I4819="SBJ","CB","?"))</f>
        <v> </v>
      </c>
      <c r="I4819" s="26" t="str">
        <f>IF(OR(E4819="",E4819="!!!",F4819="NEW"),"",INDEX(B4818:B$2,-1+SUMPRODUCT(MAX(ROW(E4818:E$2)*(E4819=E4818:E$2)))))</f>
        <v> </v>
      </c>
      <c r="J4819" s="26" t="str">
        <f>IF(OR(E4819="",E4819="!!!",F4819="NEW"),"",COUNTBLANK(OFFSET(A$1,,,SUMPRODUCT(MAX(ROW(E$2:E4819)*(E4819=E$2:E4819)))))-COUNTBLANK(OFFSET(A$1,,,SUMPRODUCT(MAX(ROW(E$1:E4818)*(E2=E$1:E4818))))))</f>
        <v> </v>
      </c>
      <c r="K4819" s="26" t="str">
        <f>IF(OR(E4819="",E4819="!!!",F4819="NEW"),"",INDEX(J$1:J4818,SUMPRODUCT(MAX(ROW(E$1:E4818)*(E4819=E$1:E4818)))))</f>
        <v> </v>
      </c>
      <c r="L4819" s="27"/>
    </row>
    <row r="4820" spans="1:12">
      <c r="A4820" s="20" t="s">
        <v>22</v>
      </c>
      <c r="B4820" s="21" t="s">
        <v>1161</v>
      </c>
      <c r="C4820" s="21" t="s">
        <v>1143</v>
      </c>
      <c r="D4820" s="21" t="s">
        <v>1144</v>
      </c>
      <c r="E4820" s="22">
        <f>IF(D4820="?OLD","!!!","")</f>
        <v/>
      </c>
      <c r="F4820" s="23" t="str">
        <f>IF(OR(E4820="",E4820="!!!"),"",IF(NOT(ISNA(VLOOKUP(E4820,E$1:E4819,1,FALSE()))),"OLD",IF(AND(E4820&lt;&gt;"",E4820&lt;&gt;"!!!"),"NEW","")))</f>
        <v> </v>
      </c>
      <c r="G4820" s="24" t="str">
        <f>IF(OR(E4820="",E4820="!!!"),"",IF(OR(J4820=0,AND(J4820=1,K4820=1),AND(J4820=1,I4820="SBJ"),AND(J4820=1,I4820=0)),"?IN_FOCUS",IF(J4820&lt;=2,"?ACTIVATED",IF(J4820&lt;&gt;"","?FAMILIAR",IF(F4820="NEW",IF(ISNA(VLOOKUP(E4820,#REF!,1,FALSE())),"?TYPE_IDENTIFIABLE","?REFERENTIAL"),"_")))))</f>
        <v> </v>
      </c>
      <c r="H4820" s="25" t="str">
        <f>IF(J4820&lt;&gt;1,"",IF(I4820="SBJ","CB","?"))</f>
        <v> </v>
      </c>
      <c r="I4820" s="26" t="str">
        <f>IF(OR(E4820="",E4820="!!!",F4820="NEW"),"",INDEX(B4819:B$2,-1+SUMPRODUCT(MAX(ROW(E4819:E$2)*(E4820=E4819:E$2)))))</f>
        <v> </v>
      </c>
      <c r="J4820" s="26" t="str">
        <f>IF(OR(E4820="",E4820="!!!",F4820="NEW"),"",COUNTBLANK(OFFSET(A$1,,,SUMPRODUCT(MAX(ROW(E$2:E4820)*(E4820=E$2:E4820)))))-COUNTBLANK(OFFSET(A$1,,,SUMPRODUCT(MAX(ROW(E$1:E4819)*(E2=E$1:E4819))))))</f>
        <v> </v>
      </c>
      <c r="K4820" s="26" t="str">
        <f>IF(OR(E4820="",E4820="!!!",F4820="NEW"),"",INDEX(J$1:J4819,SUMPRODUCT(MAX(ROW(E$1:E4819)*(E4820=E$1:E4819)))))</f>
        <v> </v>
      </c>
      <c r="L4820" s="27"/>
    </row>
    <row r="4821" spans="1:12">
      <c r="A4821" s="20" t="s">
        <v>1212</v>
      </c>
      <c r="E4821" s="22">
        <f>IF(D4821="?OLD","!!!","")</f>
        <v/>
      </c>
      <c r="F4821" s="23" t="str">
        <f>IF(OR(E4821="",E4821="!!!"),"",IF(NOT(ISNA(VLOOKUP(E4821,E$1:E4820,1,FALSE()))),"OLD",IF(AND(E4821&lt;&gt;"",E4821&lt;&gt;"!!!"),"NEW","")))</f>
        <v> </v>
      </c>
      <c r="G4821" s="24" t="str">
        <f>IF(OR(E4821="",E4821="!!!"),"",IF(OR(J4821=0,AND(J4821=1,K4821=1),AND(J4821=1,I4821="SBJ"),AND(J4821=1,I4821=0)),"?IN_FOCUS",IF(J4821&lt;=2,"?ACTIVATED",IF(J4821&lt;&gt;"","?FAMILIAR",IF(F4821="NEW",IF(ISNA(VLOOKUP(E4821,#REF!,1,FALSE())),"?TYPE_IDENTIFIABLE","?REFERENTIAL"),"_")))))</f>
        <v> </v>
      </c>
      <c r="H4821" s="25" t="str">
        <f>IF(J4821&lt;&gt;1,"",IF(I4821="SBJ","CB","?"))</f>
        <v> </v>
      </c>
      <c r="I4821" s="26" t="str">
        <f>IF(OR(E4821="",E4821="!!!",F4821="NEW"),"",INDEX(B4820:B$2,-1+SUMPRODUCT(MAX(ROW(E4820:E$2)*(E4821=E4820:E$2)))))</f>
        <v> </v>
      </c>
      <c r="J4821" s="26" t="str">
        <f>IF(OR(E4821="",E4821="!!!",F4821="NEW"),"",COUNTBLANK(OFFSET(A$1,,,SUMPRODUCT(MAX(ROW(E$2:E4821)*(E4821=E$2:E4821)))))-COUNTBLANK(OFFSET(A$1,,,SUMPRODUCT(MAX(ROW(E$1:E4820)*(E2=E$1:E4820))))))</f>
        <v> </v>
      </c>
      <c r="K4821" s="26" t="str">
        <f>IF(OR(E4821="",E4821="!!!",F4821="NEW"),"",INDEX(J$1:J4820,SUMPRODUCT(MAX(ROW(E$1:E4820)*(E4821=E$1:E4820)))))</f>
        <v> </v>
      </c>
      <c r="L4821" s="27"/>
    </row>
    <row r="4822" spans="1:12">
      <c r="A4822" s="20" t="s">
        <v>312</v>
      </c>
      <c r="E4822" s="22">
        <f>IF(D4822="?OLD","!!!","")</f>
        <v/>
      </c>
      <c r="F4822" s="23" t="str">
        <f>IF(OR(E4822="",E4822="!!!"),"",IF(NOT(ISNA(VLOOKUP(E4822,E$1:E4821,1,FALSE()))),"OLD",IF(AND(E4822&lt;&gt;"",E4822&lt;&gt;"!!!"),"NEW","")))</f>
        <v> </v>
      </c>
      <c r="G4822" s="24" t="str">
        <f>IF(OR(E4822="",E4822="!!!"),"",IF(OR(J4822=0,AND(J4822=1,K4822=1),AND(J4822=1,I4822="SBJ"),AND(J4822=1,I4822=0)),"?IN_FOCUS",IF(J4822&lt;=2,"?ACTIVATED",IF(J4822&lt;&gt;"","?FAMILIAR",IF(F4822="NEW",IF(ISNA(VLOOKUP(E4822,#REF!,1,FALSE())),"?TYPE_IDENTIFIABLE","?REFERENTIAL"),"_")))))</f>
        <v> </v>
      </c>
      <c r="H4822" s="25" t="str">
        <f>IF(J4822&lt;&gt;1,"",IF(I4822="SBJ","CB","?"))</f>
        <v> </v>
      </c>
      <c r="I4822" s="26" t="str">
        <f>IF(OR(E4822="",E4822="!!!",F4822="NEW"),"",INDEX(B4821:B$2,-1+SUMPRODUCT(MAX(ROW(E4821:E$2)*(E4822=E4821:E$2)))))</f>
        <v> </v>
      </c>
      <c r="J4822" s="26" t="str">
        <f>IF(OR(E4822="",E4822="!!!",F4822="NEW"),"",COUNTBLANK(OFFSET(A$1,,,SUMPRODUCT(MAX(ROW(E$2:E4822)*(E4822=E$2:E4822)))))-COUNTBLANK(OFFSET(A$1,,,SUMPRODUCT(MAX(ROW(E$1:E4821)*(E2=E$1:E4821))))))</f>
        <v> </v>
      </c>
      <c r="K4822" s="26" t="str">
        <f>IF(OR(E4822="",E4822="!!!",F4822="NEW"),"",INDEX(J$1:J4821,SUMPRODUCT(MAX(ROW(E$1:E4821)*(E4822=E$1:E4821)))))</f>
        <v> </v>
      </c>
      <c r="L4822" s="27"/>
    </row>
    <row r="4823" spans="1:12">
      <c r="A4823"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2024-05-19T12:50:32Z</dcterms:created>
  <dcterms:modified xsi:type="dcterms:W3CDTF">2024-05-19T12:50:32Z</dcterms:modified>
</cp:coreProperties>
</file>