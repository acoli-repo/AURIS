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<sst xmlns="http://schemas.openxmlformats.org/spreadsheetml/2006/main" count="1824" uniqueCount="508">
  <si>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</si>
  <si>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</si>
  <si>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</si>
  <si>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</si>
  <si>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</si>
  <si>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</si>
  <si>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</si>
  <si>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</si>
  <si>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</si>
  <si>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</si>
  <si>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</si>
  <si>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2</t>
  </si>
  <si>
    <t>_</t>
  </si>
  <si>
    <t>sein (sein Dorfmädchen)</t>
  </si>
  <si>
    <t>Es war einmal ein kleines Dorfmädchen , das war so niedlich , als man nur je eins sehen konnte ; ſeine Mutter war ganz entzückt von dem Kinde und seine Großmutter war es noch viel mehr .</t>
  </si>
  <si>
    <t>file://conllu/de/rotkaeppchen_khm-026_perrault.conllu#s1_0</t>
  </si>
  <si>
    <t>4</t>
  </si>
  <si>
    <t>lassen</t>
  </si>
  <si>
    <t>Diese gute Frau ließ ihm ein rothes Käppchen machen und das stand ihm so gut , daß man es überall das kleine Rothkäppchen nannte . Eines Tages hatte seine Mutter Brodkuchen gebacken und sagte zu ihm : Geh doch zu deiner Großmutter und steh , wie fte fich befindet , denn ich habe gehört , daß sie krank sei ; bringe ihr einen Brodkuchen und dieses Töpfchen Butter .</t>
  </si>
  <si>
    <t>file://conllu/de/rotkaeppchen_khm-026_perrault.conllu#s2_0</t>
  </si>
  <si>
    <t>3</t>
  </si>
  <si>
    <t>gehen</t>
  </si>
  <si>
    <t>Rothkäppchen ging sogleich fort zu ihrer Großmutter , die in einem andern Dorfe wohnte .</t>
  </si>
  <si>
    <t>file://conllu/de/rotkaeppchen_khm-026_perrault.conllu#s3_0</t>
  </si>
  <si>
    <t>8</t>
  </si>
  <si>
    <t>begegnen</t>
  </si>
  <si>
    <t>Als sie durch ein Gehölz kam , begegnete ihr der Gevatter Wolf , welcher große Luft hatte , ste zu fressen ; aber er wagte es nicht , weil mehre Holzhauer im in dem Walde waren . Er fragte fie , wohin fte ginge .</t>
  </si>
  <si>
    <t>file://conllu/de/rotkaeppchen_khm-026_perrault.conllu#s4_0</t>
  </si>
  <si>
    <t>5</t>
  </si>
  <si>
    <t>22</t>
  </si>
  <si>
    <t>sagen</t>
  </si>
  <si>
    <t>Das arme Kind , welches nicht wußte , daß es gefährlich sei , still zu stehen und einen Wolf anzuhören , sagte zu ihm : „ Ich gehe zu meiner Großmutter und trage ihr einen Brodkuchen und einen Topf mit Butter hin , welche meine Mutter ihr schickt .</t>
  </si>
  <si>
    <t>file://conllu/de/rotkaeppchen_khm-026_perrault.conllu#s5_0</t>
  </si>
  <si>
    <t>6</t>
  </si>
  <si>
    <t>10</t>
  </si>
  <si>
    <t>fragen</t>
  </si>
  <si>
    <t>' &amp;quot; „ Wohnt sie sehr weit ? &amp;quot; fragte der Wolf .</t>
  </si>
  <si>
    <t>file://conllu/de/rotkaeppchen_khm-026_perrault.conllu#s6_0</t>
  </si>
  <si>
    <t>7</t>
  </si>
  <si>
    <t>11</t>
  </si>
  <si>
    <t>fen</t>
  </si>
  <si>
    <t>&amp;quot; , ! ja , &amp;quot; sagte Rothkäppchen ; fte wohnt jenseit der kleinen Mühle , die du dort ganz unten siehst , im in dem ersten Hauſe des Dorfes .</t>
  </si>
  <si>
    <t>file://conllu/de/rotkaeppchen_khm-026_perrault.conllu#s7_0</t>
  </si>
  <si>
    <t>&amp;quot;</t>
  </si>
  <si>
    <t>&amp;quot; &amp;quot; &amp;quot;</t>
  </si>
  <si>
    <t>file://conllu/de/rotkaeppchen_khm-026_perrault.conllu#s8_0</t>
  </si>
  <si>
    <t>9</t>
  </si>
  <si>
    <t>20</t>
  </si>
  <si>
    <t>nehmen</t>
  </si>
  <si>
    <t>Nun wohl , &amp;quot; entgegnete der Wolf , ich will auch zu ihr gehen ; ich werde diesen Weg nehmen , nimm du jenen und wir wollen sehen , wer zuerst da sein wird . “ Der Wolf fing an aus allen Kräften auf dem Wege zu laufen , der der kürzeste war , und das kleine Mädchen ging auf dem längsten Wege fort , und beluftigte sich damit , Haselnüſſe zu pflücken , Schmetterlinge zu haſchen und Sträuße zu winden von kleinen Blumen , die sie fand . Der Wolf kam bald bei dem Hause der Großmutter an ; er klopft an : bum , bum .</t>
  </si>
  <si>
    <t>file://conllu/de/rotkaeppchen_khm-026_perrault.conllu#s9_0</t>
  </si>
  <si>
    <t>14</t>
  </si>
  <si>
    <t>&amp;quot; Wer ist da ? &amp;quot; Deine Tochter , das Rothkäppchen , &amp;quot; sagte der Wolf , in dem er ihre Stimme nachahmte ; „ ich bringe dir einen Brod kuchen und ein Töpfchen Butter , welches meine Mutter dir schickt .</t>
  </si>
  <si>
    <t>file://conllu/de/rotkaeppchen_khm-026_perrault.conllu#s10_0</t>
  </si>
  <si>
    <t>18</t>
  </si>
  <si>
    <t>rufen</t>
  </si>
  <si>
    <t>“ Die gute Großmutter , welche im in dem Bette lag , weil sie etwas unwohl war , rief ihm zu : „ Ziehe an dem Pflöckchen , so wird das Schloß aufspringen .</t>
  </si>
  <si>
    <t>file://conllu/de/rotkaeppchen_khm-026_perrault.conllu#s11_0</t>
  </si>
  <si>
    <t>12</t>
  </si>
  <si>
    <t>ziehen</t>
  </si>
  <si>
    <t>&amp;quot; Der Wolf zog an dem Pflock und die Thür ging auf .</t>
  </si>
  <si>
    <t>file://conllu/de/rotkaeppchen_khm-026_perrault.conllu#s12_0</t>
  </si>
  <si>
    <t>13</t>
  </si>
  <si>
    <t>werfen</t>
  </si>
  <si>
    <t>Er warf sich auf die gute Frau und verschlang sie mit einem Ruck , denn er hatte länger als drei Tage nichts gegessen . Dann klinkte er die Thür zu und legte sich in das Bett der Großmutter und wartete auf Rothkäppchen , die einige Zeit nachher an die Thür flopfte : Bum , bum .</t>
  </si>
  <si>
    <t>file://conllu/de/rotkaeppchen_khm-026_perrault.conllu#s13_0</t>
  </si>
  <si>
    <t>16</t>
  </si>
  <si>
    <t>haben</t>
  </si>
  <si>
    <t>Wer ist da ? &amp;quot; Rothkäppchen , welches die grobe Stimme des Wolfs hörte , hatte zuerst Furcht , aber da es glaubte , daß seine Großmutter den Schnupfen hätte , antwortete es : Es ist Deine Tochter , das Rothkäppchen ; ste bringt Dir einen Brodkuchen und ein Töpfchen Butter , den die Mutter Dir schickt .</t>
  </si>
  <si>
    <t>file://conllu/de/rotkaeppchen_khm-026_perrault.conllu#s14_0</t>
  </si>
  <si>
    <t>15</t>
  </si>
  <si>
    <t>&amp;quot; &amp;quot;</t>
  </si>
  <si>
    <t>file://conllu/de/rotkaeppchen_khm-026_perrault.conllu#s15_0</t>
  </si>
  <si>
    <t>Der Wolf rief ihr zu , indem er seine Stimme ein bischen besänftigte : „ Ziehe an dem Pflöckchen , so wird das Schloß auf gehen .</t>
  </si>
  <si>
    <t>file://conllu/de/rotkaeppchen_khm-026_perrault.conllu#s16_0</t>
  </si>
  <si>
    <t>17</t>
  </si>
  <si>
    <t>&amp;quot; Rothkäppchen zog an dem Pflock und die Thür ging auf .</t>
  </si>
  <si>
    <t>file://conllu/de/rotkaeppchen_khm-026_perrault.conllu#s17_0</t>
  </si>
  <si>
    <t>sehen (sehen sagen)</t>
  </si>
  <si>
    <t>Als der Wolf fte eintreten sah , sagte er zu ihr , indem er sich unter dem Deckbett versteckte : Lege den Brodkuchen und das Töpf = chen Butter auf den Backtrog und komm zu mir in's Bett .</t>
  </si>
  <si>
    <t>file://conllu/de/rotkaeppchen_khm-026_perrault.conllu#s18_0</t>
  </si>
  <si>
    <t>19</t>
  </si>
  <si>
    <t>file://conllu/de/rotkaeppchen_khm-026_perrault.conllu#s19_0</t>
  </si>
  <si>
    <t>Rothkäppchen zog sich aus und legte sich in's Bett , wo es sehr erstaunt über das Aussehen seiner Großmutter war , als es Diese ausgezogen sah .</t>
  </si>
  <si>
    <t>file://conllu/de/rotkaeppchen_khm-026_perrault.conllu#s20_0</t>
  </si>
  <si>
    <t>21</t>
  </si>
  <si>
    <t>Es sagte zu ihr : „ Liebe Großmutter , was hast Du für lange Arme ! &amp;quot; &amp;quot; Weil ich Dich beſſer damit umarmen kann , meine Tochter .</t>
  </si>
  <si>
    <t>file://conllu/de/rotkaeppchen_khm-026_perrault.conllu#s21_0</t>
  </si>
  <si>
    <t>45</t>
  </si>
  <si>
    <t>Was?</t>
  </si>
  <si>
    <t>Großmutter</t>
  </si>
  <si>
    <t>&amp;quot; Großmutter , was hast Du für große Beine ! &amp;quot; „ Weil ich besser damit laufen kann , mein Kind . &amp;quot; Großmutter , was hast Du für große Ohren ! &amp;quot; Weil ich besser damit hören kann , mein Kind . &amp;quot; Großmutter , was hast Du für große Augen ! &amp;quot; Weil ich besser damit sehen kann , mein Kind . &amp;quot; Großmutter , was hast Du für große Zähne ! &amp;quot; Um Dich damit zu freffen .</t>
  </si>
  <si>
    <t>file://conllu/de/rotkaeppchen_khm-026_perrault.conllu#s22_0</t>
  </si>
  <si>
    <t>23</t>
  </si>
  <si>
    <t>&amp;quot; Und indem er diese Worte sagte , warf sich der böse Wolf auf Rothkäppchen und fraß es auf .</t>
  </si>
  <si>
    <t>file://conllu/de/rotkaeppchen_khm-026_perrault.conllu#s23_0</t>
  </si>
  <si>
    <t>24</t>
  </si>
  <si>
    <t>Moral</t>
  </si>
  <si>
    <t>Moral .</t>
  </si>
  <si>
    <t>file://conllu/de/rotkaeppchen_khm-026_perrault.conllu#s24_0</t>
  </si>
  <si>
    <t>25</t>
  </si>
  <si>
    <t>warnen</t>
  </si>
  <si>
    <t>Man warnt hiermit die kleinen Kinder , / Und junge Mädchen auch nicht minder , / Wenn sie schön und reizend sind , / Nicht zu glauben so geschwind , Was so ein Wolf von böser Art / Ihnen flüstert sanft und zart ; / Denn es giebt der Wölfe viel , Die nur treiben böses Spiel / Und die Kinder gern verderben , / Die dann ohne Rettung sterben .</t>
  </si>
  <si>
    <t>file://conllu/de/rotkaeppchen_khm-026_perrault.conllu#s25_0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</si>
  <si>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</si>
  <si>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</si>
  <si>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</si>
  <si>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</si>
  <si>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</si>
  <si>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</si>
  <si>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</si>
  <si>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</si>
  <si>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</si>
  <si>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</si>
  <si>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</si>
  <si>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Es war einmal ein kleines Dorfmädchen , das war so niedlich, als man nur je eins sehen konnte ; ſeine Mutter war ganz entzückt von dem Kinde und seine Großmutter war es noch viel mehr.</t>
  </si>
  <si>
    <t>Es</t>
  </si>
  <si>
    <t>SBJ</t>
  </si>
  <si>
    <t>pron.pper</t>
  </si>
  <si>
    <t>?OLD</t>
  </si>
  <si>
    <t>war</t>
  </si>
  <si>
    <t>einmal</t>
  </si>
  <si>
    <t>ein</t>
  </si>
  <si>
    <t>kleines</t>
  </si>
  <si>
    <t>Dorfmädchen</t>
  </si>
  <si>
    <t>other</t>
  </si>
  <si>
    <t>indef-np.a</t>
  </si>
  <si>
    <t>,</t>
  </si>
  <si>
    <t>das</t>
  </si>
  <si>
    <t>SBJ_2</t>
  </si>
  <si>
    <t>so</t>
  </si>
  <si>
    <t>niedlich</t>
  </si>
  <si>
    <t>als</t>
  </si>
  <si>
    <t>man</t>
  </si>
  <si>
    <t>SBJ_3</t>
  </si>
  <si>
    <t>pron.pind</t>
  </si>
  <si>
    <t>nur</t>
  </si>
  <si>
    <t>je</t>
  </si>
  <si>
    <t>eins</t>
  </si>
  <si>
    <t>OBJ_3</t>
  </si>
  <si>
    <t>sehen</t>
  </si>
  <si>
    <t>konnte</t>
  </si>
  <si>
    <t>;</t>
  </si>
  <si>
    <t>ſeine</t>
  </si>
  <si>
    <t>Mutter</t>
  </si>
  <si>
    <t>indef-np.bare</t>
  </si>
  <si>
    <t>ganz</t>
  </si>
  <si>
    <t>entzückt</t>
  </si>
  <si>
    <t>von</t>
  </si>
  <si>
    <t>dem</t>
  </si>
  <si>
    <t>Kinde</t>
  </si>
  <si>
    <t>other_2</t>
  </si>
  <si>
    <t>def-np.the</t>
  </si>
  <si>
    <t>und</t>
  </si>
  <si>
    <t>seine</t>
  </si>
  <si>
    <t>SBJ_4</t>
  </si>
  <si>
    <t>indef-np</t>
  </si>
  <si>
    <t>es</t>
  </si>
  <si>
    <t>SBJ_5</t>
  </si>
  <si>
    <t>noch</t>
  </si>
  <si>
    <t>viel</t>
  </si>
  <si>
    <t>mehr</t>
  </si>
  <si>
    <t>other_3</t>
  </si>
  <si>
    <t>.</t>
  </si>
  <si>
    <t># text = Diese gute Frau ließ ihm ein rothes Käppchen machen und das stand ihm so gut , daß man es überall das kleine Rothkäppchen nannte . Eines Tages hatte seine Mutter Brodkuchen gebacken und sagte zu ihm : Geh doch zu deiner Großmutter und steh , wie fte fich befindet , denn ich habe gehört, daß sie krank sei ; bringe ihr einen Brodkuchen und dieses Töpfchen Butter.</t>
  </si>
  <si>
    <t>Diese</t>
  </si>
  <si>
    <t>pron.pds</t>
  </si>
  <si>
    <t>gute</t>
  </si>
  <si>
    <t>Frau</t>
  </si>
  <si>
    <t>def-np.dem</t>
  </si>
  <si>
    <t>ließ</t>
  </si>
  <si>
    <t>ihm</t>
  </si>
  <si>
    <t>OBJ</t>
  </si>
  <si>
    <t>rothes</t>
  </si>
  <si>
    <t>Käppchen</t>
  </si>
  <si>
    <t>OBJ_2</t>
  </si>
  <si>
    <t>machen</t>
  </si>
  <si>
    <t>stand</t>
  </si>
  <si>
    <t>gut</t>
  </si>
  <si>
    <t>daß</t>
  </si>
  <si>
    <t>überall</t>
  </si>
  <si>
    <t>kleine</t>
  </si>
  <si>
    <t>Rothkäppchen</t>
  </si>
  <si>
    <t>nannte</t>
  </si>
  <si>
    <t>Eines</t>
  </si>
  <si>
    <t>pron</t>
  </si>
  <si>
    <t>Tages</t>
  </si>
  <si>
    <t>hatte</t>
  </si>
  <si>
    <t>Brodkuchen</t>
  </si>
  <si>
    <t>gebacken</t>
  </si>
  <si>
    <t>sagte</t>
  </si>
  <si>
    <t>zu</t>
  </si>
  <si>
    <t>:</t>
  </si>
  <si>
    <t>Geh</t>
  </si>
  <si>
    <t>doch</t>
  </si>
  <si>
    <t>other_4</t>
  </si>
  <si>
    <t>deiner</t>
  </si>
  <si>
    <t>steh</t>
  </si>
  <si>
    <t>wie</t>
  </si>
  <si>
    <t>fte</t>
  </si>
  <si>
    <t>fich</t>
  </si>
  <si>
    <t>befindet</t>
  </si>
  <si>
    <t>denn</t>
  </si>
  <si>
    <t>ich</t>
  </si>
  <si>
    <t>habe</t>
  </si>
  <si>
    <t>gehört</t>
  </si>
  <si>
    <t>sie</t>
  </si>
  <si>
    <t>krank</t>
  </si>
  <si>
    <t>sei</t>
  </si>
  <si>
    <t>bringe</t>
  </si>
  <si>
    <t>ihr</t>
  </si>
  <si>
    <t>einen</t>
  </si>
  <si>
    <t>dieses</t>
  </si>
  <si>
    <t>other_6</t>
  </si>
  <si>
    <t>Töpfchen</t>
  </si>
  <si>
    <t>other_5</t>
  </si>
  <si>
    <t>Butter</t>
  </si>
  <si>
    <t># text = Rothkäppchen ging sogleich fort zu ihrer Großmutter , die in einem andern Dorfe wohnte.</t>
  </si>
  <si>
    <t>ne</t>
  </si>
  <si>
    <t>ging</t>
  </si>
  <si>
    <t>sogleich</t>
  </si>
  <si>
    <t>fort</t>
  </si>
  <si>
    <t>ihrer</t>
  </si>
  <si>
    <t>die</t>
  </si>
  <si>
    <t>in</t>
  </si>
  <si>
    <t>einem</t>
  </si>
  <si>
    <t>andern</t>
  </si>
  <si>
    <t>Dorfe</t>
  </si>
  <si>
    <t>wohnte</t>
  </si>
  <si>
    <t># text = Als sie durch ein Gehölz kam , begegnete ihr der Gevatter Wolf, welcher große Luft hatte , ste zu fressen ; aber er wagte es nicht , weil mehre Holzhauer im Walde waren . Er fragte fie, wohin fte ginge.</t>
  </si>
  <si>
    <t>Als</t>
  </si>
  <si>
    <t>durch</t>
  </si>
  <si>
    <t>Gehölz</t>
  </si>
  <si>
    <t>kam</t>
  </si>
  <si>
    <t>begegnete</t>
  </si>
  <si>
    <t>der</t>
  </si>
  <si>
    <t>Gevatter</t>
  </si>
  <si>
    <t>Wolf</t>
  </si>
  <si>
    <t>welcher</t>
  </si>
  <si>
    <t>große</t>
  </si>
  <si>
    <t>Luft</t>
  </si>
  <si>
    <t>ste</t>
  </si>
  <si>
    <t>fressen</t>
  </si>
  <si>
    <t>aber</t>
  </si>
  <si>
    <t>er</t>
  </si>
  <si>
    <t>wagte</t>
  </si>
  <si>
    <t>nicht</t>
  </si>
  <si>
    <t>weil</t>
  </si>
  <si>
    <t>mehre</t>
  </si>
  <si>
    <t>Holzhauer</t>
  </si>
  <si>
    <t>Walde</t>
  </si>
  <si>
    <t>waren</t>
  </si>
  <si>
    <t>Er</t>
  </si>
  <si>
    <t>fragte</t>
  </si>
  <si>
    <t>fie</t>
  </si>
  <si>
    <t>wohin</t>
  </si>
  <si>
    <t>ginge</t>
  </si>
  <si>
    <t># text = Das arme Kind , welches nicht wußte, daß es gefährlich sei , still zu stehen und einen Wolf anzuhören, sagte zu ihm : „ Ich gehe zu meiner Großmutter und trage ihr einen Brodkuchen und einen Topf mit Butter hin , welche meine Mutter ihr schickt.</t>
  </si>
  <si>
    <t>Das</t>
  </si>
  <si>
    <t>arme</t>
  </si>
  <si>
    <t>Kind</t>
  </si>
  <si>
    <t>welches</t>
  </si>
  <si>
    <t>wußte</t>
  </si>
  <si>
    <t>gefährlich</t>
  </si>
  <si>
    <t>still</t>
  </si>
  <si>
    <t>stehen</t>
  </si>
  <si>
    <t>OBJ_4</t>
  </si>
  <si>
    <t>anzuhören</t>
  </si>
  <si>
    <t>„</t>
  </si>
  <si>
    <t>Ich</t>
  </si>
  <si>
    <t>gehe</t>
  </si>
  <si>
    <t>meiner</t>
  </si>
  <si>
    <t>pron.ppos</t>
  </si>
  <si>
    <t>trage</t>
  </si>
  <si>
    <t>Topf</t>
  </si>
  <si>
    <t>mit</t>
  </si>
  <si>
    <t>hin</t>
  </si>
  <si>
    <t>welche</t>
  </si>
  <si>
    <t>meine</t>
  </si>
  <si>
    <t>schickt</t>
  </si>
  <si>
    <t>--</t>
  </si>
  <si>
    <t># text = ' \" „ Wohnt sie sehr weit ? \" fragte der Wolf.</t>
  </si>
  <si>
    <t>'</t>
  </si>
  <si>
    <t>Wohnt</t>
  </si>
  <si>
    <t>sehr</t>
  </si>
  <si>
    <t>weit</t>
  </si>
  <si>
    <t>?</t>
  </si>
  <si>
    <t># text = " , O ! ja , " sagte Rothkäppchen ; fte wohnt jenseit der kleinen Mühle , die du dort ganz unten siehst , im ersten Hauſe des Dorfes.</t>
  </si>
  <si>
    <t>!</t>
  </si>
  <si>
    <t>ja</t>
  </si>
  <si>
    <t>wohnt</t>
  </si>
  <si>
    <t>jenseit</t>
  </si>
  <si>
    <t>kleinen</t>
  </si>
  <si>
    <t>Mühle</t>
  </si>
  <si>
    <t>du</t>
  </si>
  <si>
    <t>dort</t>
  </si>
  <si>
    <t>unten</t>
  </si>
  <si>
    <t>siehst</t>
  </si>
  <si>
    <t>ersten</t>
  </si>
  <si>
    <t>Hauſe</t>
  </si>
  <si>
    <t>des</t>
  </si>
  <si>
    <t>Dorfes</t>
  </si>
  <si>
    <t># text = \" \" \"</t>
  </si>
  <si>
    <t># text = Nun wohl , \" entgegnete der Wolf, ich will auch zu ihr gehen ; ich werde diesen Weg nehmen , nimm du jenen und wir wollen sehen , wer zuerst da sein wird . “ Der Wolf fing an aus allen Kräften auf dem Wege zu laufen , der der kürzeste war , und das kleine Mädchen ging auf dem längsten Wege fort , und beluftigte sich damit , Haselnüſſe zu pflücken , Schmetterlinge zu haſchen und Sträuße zu winden von kleinen Blumen , die sie fand . Der Wolf kam bald bei dem Hause der Großmutter an ; er klopft an : bum, bum.</t>
  </si>
  <si>
    <t>Nun</t>
  </si>
  <si>
    <t>wohl</t>
  </si>
  <si>
    <t>entgegnete</t>
  </si>
  <si>
    <t>will</t>
  </si>
  <si>
    <t>auch</t>
  </si>
  <si>
    <t>werde</t>
  </si>
  <si>
    <t>diesen</t>
  </si>
  <si>
    <t>Weg</t>
  </si>
  <si>
    <t>nimm</t>
  </si>
  <si>
    <t>jenen</t>
  </si>
  <si>
    <t>wir</t>
  </si>
  <si>
    <t>wollen</t>
  </si>
  <si>
    <t>wer</t>
  </si>
  <si>
    <t>pron.pint</t>
  </si>
  <si>
    <t>zuerst</t>
  </si>
  <si>
    <t>da</t>
  </si>
  <si>
    <t>sein</t>
  </si>
  <si>
    <t>wird</t>
  </si>
  <si>
    <t>“</t>
  </si>
  <si>
    <t>Der</t>
  </si>
  <si>
    <t>fing</t>
  </si>
  <si>
    <t>an</t>
  </si>
  <si>
    <t>aus</t>
  </si>
  <si>
    <t>allen</t>
  </si>
  <si>
    <t>other_7</t>
  </si>
  <si>
    <t>Kräften</t>
  </si>
  <si>
    <t>indef-np.quant</t>
  </si>
  <si>
    <t>auf</t>
  </si>
  <si>
    <t>Wege</t>
  </si>
  <si>
    <t>laufen</t>
  </si>
  <si>
    <t>SBJ_6</t>
  </si>
  <si>
    <t>kürzeste</t>
  </si>
  <si>
    <t>Mädchen</t>
  </si>
  <si>
    <t>längsten</t>
  </si>
  <si>
    <t>beluftigte</t>
  </si>
  <si>
    <t>sich</t>
  </si>
  <si>
    <t>OBJ_6</t>
  </si>
  <si>
    <t>damit</t>
  </si>
  <si>
    <t>Haselnüſſe</t>
  </si>
  <si>
    <t>OBJ_5</t>
  </si>
  <si>
    <t>pflücken</t>
  </si>
  <si>
    <t>Schmetterlinge</t>
  </si>
  <si>
    <t>haſchen</t>
  </si>
  <si>
    <t>Sträuße</t>
  </si>
  <si>
    <t>winden</t>
  </si>
  <si>
    <t>Blumen</t>
  </si>
  <si>
    <t>OBJ_7</t>
  </si>
  <si>
    <t>SBJ_7</t>
  </si>
  <si>
    <t>fand</t>
  </si>
  <si>
    <t>bald</t>
  </si>
  <si>
    <t>bei</t>
  </si>
  <si>
    <t>Hause</t>
  </si>
  <si>
    <t>klopft</t>
  </si>
  <si>
    <t>bum</t>
  </si>
  <si>
    <t># text = \" Wer ist da ? \" Deine Tochter , das Rothkäppchen , \" sagte der Wolf, in- dem er ihre Stimme nachahmte ; „ ich bringe dir einen Brod- kuchen und ein Töpfchen Butter , welches meine Mutter dir schickt.</t>
  </si>
  <si>
    <t>Wer</t>
  </si>
  <si>
    <t>ist</t>
  </si>
  <si>
    <t>Deine</t>
  </si>
  <si>
    <t>Tochter</t>
  </si>
  <si>
    <t>ihre</t>
  </si>
  <si>
    <t>Stimme</t>
  </si>
  <si>
    <t>nachahmte</t>
  </si>
  <si>
    <t>dir</t>
  </si>
  <si>
    <t>Brod</t>
  </si>
  <si>
    <t>kuchen</t>
  </si>
  <si>
    <t># text = “ Die gute Großmutter , welche im Bette lag , weil sie etwas unwohl war , rief ihm zu : „ Ziehe an dem Pflöckchen , so wird das Schloß aufspringen.</t>
  </si>
  <si>
    <t>Die</t>
  </si>
  <si>
    <t>Bette</t>
  </si>
  <si>
    <t>lag</t>
  </si>
  <si>
    <t>etwas</t>
  </si>
  <si>
    <t>unwohl</t>
  </si>
  <si>
    <t>rief</t>
  </si>
  <si>
    <t>Ziehe</t>
  </si>
  <si>
    <t>Pflöckchen</t>
  </si>
  <si>
    <t>Schloß</t>
  </si>
  <si>
    <t>aufspringen</t>
  </si>
  <si>
    <t># text = " Der Wolf zog an dem Pflock und die Thür ging auf.</t>
  </si>
  <si>
    <t>zog</t>
  </si>
  <si>
    <t>Pflock</t>
  </si>
  <si>
    <t>Thür</t>
  </si>
  <si>
    <t># text = Er warf sich auf die gute Frau und verschlang sie mit einem Ruck, denn er hatte länger als drei Tage nichts gegessen . Dann klinkte er die Thür zu und legte sich in das Bett der Großmutter und wartete auf Rothkäppchen , die einige Zeit nachher an die Thür flopfte : Bum , bum.</t>
  </si>
  <si>
    <t>warf</t>
  </si>
  <si>
    <t>verschlang</t>
  </si>
  <si>
    <t>Ruck</t>
  </si>
  <si>
    <t>länger</t>
  </si>
  <si>
    <t>drei</t>
  </si>
  <si>
    <t>Tage</t>
  </si>
  <si>
    <t>nichts</t>
  </si>
  <si>
    <t>gegessen</t>
  </si>
  <si>
    <t>Dann</t>
  </si>
  <si>
    <t>klinkte</t>
  </si>
  <si>
    <t>legte</t>
  </si>
  <si>
    <t>Bett</t>
  </si>
  <si>
    <t>wartete</t>
  </si>
  <si>
    <t>einige</t>
  </si>
  <si>
    <t>Zeit</t>
  </si>
  <si>
    <t>nachher</t>
  </si>
  <si>
    <t>flopfte</t>
  </si>
  <si>
    <t>Bum</t>
  </si>
  <si>
    <t># text = Wer ist da ? " Rothkäppchen , welches die grobe Stimme des Wolfs hörte, hatte zuerst Furcht , aber da es glaubte , daß seine Großmutter den Schnupfen hätte , antwortete es : Es ist Deine Tochter , das Rothkäppchen ; ste bringt Dir einen Brodkuchen und ein Töpfchen Butter , den die Mutter Dir schickt.</t>
  </si>
  <si>
    <t>grobe</t>
  </si>
  <si>
    <t>Wolfs</t>
  </si>
  <si>
    <t>hörte</t>
  </si>
  <si>
    <t>Furcht</t>
  </si>
  <si>
    <t>glaubte</t>
  </si>
  <si>
    <t>den</t>
  </si>
  <si>
    <t>Schnupfen</t>
  </si>
  <si>
    <t>hätte</t>
  </si>
  <si>
    <t>antwortete</t>
  </si>
  <si>
    <t>bringt</t>
  </si>
  <si>
    <t>Dir</t>
  </si>
  <si>
    <t>OBJ_9</t>
  </si>
  <si>
    <t>SBJ_9</t>
  </si>
  <si>
    <t>other_10</t>
  </si>
  <si>
    <t># text = " "</t>
  </si>
  <si>
    <t># text = Der Wolf rief ihr zu , indem er seine Stimme ein bischen besänftigte : „ Ziehe an dem Pflöckchen , so wird das Schloß auf- gehen.</t>
  </si>
  <si>
    <t>indem</t>
  </si>
  <si>
    <t>bischen</t>
  </si>
  <si>
    <t>besänftigte</t>
  </si>
  <si>
    <t># text = \" Rothkäppchen zog an dem Pflock und die Thür ging auf.</t>
  </si>
  <si>
    <t># text = Als der Wolf fte eintreten sah , sagte er zu ihr , indem er sich unter dem Deckbett versteckte : Lege den Brodkuchen und das Töpf= chen Butter auf den Backtrog und komm zu mir in's Bett.</t>
  </si>
  <si>
    <t>eintreten</t>
  </si>
  <si>
    <t>sah</t>
  </si>
  <si>
    <t>unter</t>
  </si>
  <si>
    <t>Deckbett</t>
  </si>
  <si>
    <t>versteckte</t>
  </si>
  <si>
    <t>Lege</t>
  </si>
  <si>
    <t>Töpf</t>
  </si>
  <si>
    <t>chen</t>
  </si>
  <si>
    <t>Backtrog</t>
  </si>
  <si>
    <t>komm</t>
  </si>
  <si>
    <t>mir</t>
  </si>
  <si>
    <t>in's</t>
  </si>
  <si>
    <t># text = Rothkäppchen zog sich aus und legte sich in's Bett , wo es sehr erstaunt über das Aussehen seiner Großmutter war , als es Diese ausgezogen sah.</t>
  </si>
  <si>
    <t>wo</t>
  </si>
  <si>
    <t>erstaunt</t>
  </si>
  <si>
    <t>über</t>
  </si>
  <si>
    <t>Aussehen</t>
  </si>
  <si>
    <t>seiner</t>
  </si>
  <si>
    <t>ausgezogen</t>
  </si>
  <si>
    <t># text = Es sagte zu ihr : „ Liebe Großmutter , was hast Du für lange Arme ! " " Weil ich Dich beſſer damit umarmen kann , meine Tochter.</t>
  </si>
  <si>
    <t>Liebe</t>
  </si>
  <si>
    <t>was</t>
  </si>
  <si>
    <t>hast</t>
  </si>
  <si>
    <t>Du</t>
  </si>
  <si>
    <t>für</t>
  </si>
  <si>
    <t>lange</t>
  </si>
  <si>
    <t>Arme</t>
  </si>
  <si>
    <t>Weil</t>
  </si>
  <si>
    <t>Dich</t>
  </si>
  <si>
    <t>beſſer</t>
  </si>
  <si>
    <t>umarmen</t>
  </si>
  <si>
    <t>kann</t>
  </si>
  <si>
    <t># text = \" Großmutter , was hast Du für große Beine ! \" „Weil ich besser damit laufen kann , mein Kind . \" Großmutter , was hast Du für große Ohren ! \" Weil ich besser damit hören kann , mein Kind . \" Großmutter , was hast Du für große Augen ! \" Weil ich besser damit sehen kann , mein Kind . \" Großmutter , was hast Du für große Zähne ! \" Um Dich damit zu freffen.</t>
  </si>
  <si>
    <t>Beine</t>
  </si>
  <si>
    <t>besser</t>
  </si>
  <si>
    <t>mein</t>
  </si>
  <si>
    <t>Ohren</t>
  </si>
  <si>
    <t>hören</t>
  </si>
  <si>
    <t>Augen</t>
  </si>
  <si>
    <t>Zähne</t>
  </si>
  <si>
    <t>Um</t>
  </si>
  <si>
    <t>freffen</t>
  </si>
  <si>
    <t># text = " Und indem er diese Worte sagte , warf sich der böse Wolf auf Rothkäppchen und fraß es auf.</t>
  </si>
  <si>
    <t>Und</t>
  </si>
  <si>
    <t>diese</t>
  </si>
  <si>
    <t>Worte</t>
  </si>
  <si>
    <t>böse</t>
  </si>
  <si>
    <t>fraß</t>
  </si>
  <si>
    <t># text = Moral.</t>
  </si>
  <si>
    <t># text = Man warnt hiermit die kleinen Kinder, / Und junge Mädchen auch nicht minder, / Wenn sie schön und reizend sind, / Nicht zu glauben so geschwind, Was so ein Wolf von böser Art / Ihnen flüstert sanft und zart ; / Denn es giebt der Wölfe viel, Die nur treiben böses Spiel / Und die Kinder gern verderben , / Die dann ohne Rettung sterben.</t>
  </si>
  <si>
    <t>Man</t>
  </si>
  <si>
    <t>warnt</t>
  </si>
  <si>
    <t>hiermit</t>
  </si>
  <si>
    <t>Kinder</t>
  </si>
  <si>
    <t>/</t>
  </si>
  <si>
    <t>junge</t>
  </si>
  <si>
    <t>minder</t>
  </si>
  <si>
    <t>Wenn</t>
  </si>
  <si>
    <t>schön</t>
  </si>
  <si>
    <t>reizend</t>
  </si>
  <si>
    <t>sind</t>
  </si>
  <si>
    <t>Nicht</t>
  </si>
  <si>
    <t>glauben</t>
  </si>
  <si>
    <t>geschwind</t>
  </si>
  <si>
    <t>Was</t>
  </si>
  <si>
    <t>böser</t>
  </si>
  <si>
    <t>Art</t>
  </si>
  <si>
    <t>Ihnen</t>
  </si>
  <si>
    <t>flüstert</t>
  </si>
  <si>
    <t>sanft</t>
  </si>
  <si>
    <t>zart</t>
  </si>
  <si>
    <t>Denn</t>
  </si>
  <si>
    <t>giebt</t>
  </si>
  <si>
    <t>Wölfe</t>
  </si>
  <si>
    <t>treiben</t>
  </si>
  <si>
    <t>böses</t>
  </si>
  <si>
    <t>Spiel</t>
  </si>
  <si>
    <t>gern</t>
  </si>
  <si>
    <t>verderben</t>
  </si>
  <si>
    <t>dann</t>
  </si>
  <si>
    <t>ohne</t>
  </si>
  <si>
    <t>Rettung</t>
  </si>
  <si>
    <t>sterben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</si>
</sst>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6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11</v>
      </c>
      <c r="B3" s="6" t="s">
        <v>16</v>
      </c>
      <c r="C3" s="6" t="s">
        <v>12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20</v>
      </c>
      <c r="B4" s="6" t="s">
        <v>11</v>
      </c>
      <c r="C4" s="6" t="s">
        <v>12</v>
      </c>
      <c r="D4" s="7" t="s">
        <v>21</v>
      </c>
      <c r="E4" s="8" t="s">
        <v>22</v>
      </c>
      <c r="F4" s="6" t="s">
        <v>23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16</v>
      </c>
      <c r="B5" s="6" t="s">
        <v>24</v>
      </c>
      <c r="C5" s="6" t="s">
        <v>12</v>
      </c>
      <c r="D5" s="7" t="s">
        <v>25</v>
      </c>
      <c r="E5" s="8" t="s">
        <v>26</v>
      </c>
      <c r="F5" s="6" t="s">
        <v>27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28</v>
      </c>
      <c r="B6" s="6" t="s">
        <v>29</v>
      </c>
      <c r="C6" s="6" t="s">
        <v>12</v>
      </c>
      <c r="D6" s="7" t="s">
        <v>30</v>
      </c>
      <c r="E6" s="8" t="s">
        <v>31</v>
      </c>
      <c r="F6" s="6" t="s">
        <v>32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33</v>
      </c>
      <c r="B7" s="6" t="s">
        <v>34</v>
      </c>
      <c r="C7" s="6" t="s">
        <v>12</v>
      </c>
      <c r="D7" s="7" t="s">
        <v>35</v>
      </c>
      <c r="E7" s="8" t="s">
        <v>36</v>
      </c>
      <c r="F7" s="6" t="s">
        <v>37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38</v>
      </c>
      <c r="B8" s="6" t="s">
        <v>39</v>
      </c>
      <c r="C8" s="6" t="s">
        <v>12</v>
      </c>
      <c r="D8" s="7" t="s">
        <v>40</v>
      </c>
      <c r="E8" s="8" t="s">
        <v>41</v>
      </c>
      <c r="F8" s="6" t="s">
        <v>42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24</v>
      </c>
      <c r="B9" s="6" t="s">
        <v>11</v>
      </c>
      <c r="C9" s="6" t="s">
        <v>12</v>
      </c>
      <c r="D9" s="7" t="s">
        <v>43</v>
      </c>
      <c r="E9" s="8" t="s">
        <v>44</v>
      </c>
      <c r="F9" s="6" t="s">
        <v>45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46</v>
      </c>
      <c r="B10" s="6" t="s">
        <v>47</v>
      </c>
      <c r="C10" s="6" t="s">
        <v>12</v>
      </c>
      <c r="D10" s="7" t="s">
        <v>48</v>
      </c>
      <c r="E10" s="8" t="s">
        <v>49</v>
      </c>
      <c r="F10" s="6" t="s">
        <v>50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34</v>
      </c>
      <c r="B11" s="6" t="s">
        <v>51</v>
      </c>
      <c r="C11" s="6" t="s">
        <v>12</v>
      </c>
      <c r="D11" s="7" t="s">
        <v>30</v>
      </c>
      <c r="E11" s="8" t="s">
        <v>52</v>
      </c>
      <c r="F11" s="6" t="s">
        <v>53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39</v>
      </c>
      <c r="B12" s="6" t="s">
        <v>54</v>
      </c>
      <c r="C12" s="6" t="s">
        <v>12</v>
      </c>
      <c r="D12" s="7" t="s">
        <v>55</v>
      </c>
      <c r="E12" s="8" t="s">
        <v>56</v>
      </c>
      <c r="F12" s="6" t="s">
        <v>57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58</v>
      </c>
      <c r="B13" s="6" t="s">
        <v>16</v>
      </c>
      <c r="C13" s="6" t="s">
        <v>12</v>
      </c>
      <c r="D13" s="7" t="s">
        <v>59</v>
      </c>
      <c r="E13" s="8" t="s">
        <v>60</v>
      </c>
      <c r="F13" s="6" t="s">
        <v>61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62</v>
      </c>
      <c r="B14" s="6" t="s">
        <v>11</v>
      </c>
      <c r="C14" s="6" t="s">
        <v>12</v>
      </c>
      <c r="D14" s="7" t="s">
        <v>63</v>
      </c>
      <c r="E14" s="8" t="s">
        <v>64</v>
      </c>
      <c r="F14" s="6" t="s">
        <v>65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51</v>
      </c>
      <c r="B15" s="6" t="s">
        <v>66</v>
      </c>
      <c r="C15" s="6" t="s">
        <v>12</v>
      </c>
      <c r="D15" s="7" t="s">
        <v>67</v>
      </c>
      <c r="E15" s="8" t="s">
        <v>68</v>
      </c>
      <c r="F15" s="6" t="s">
        <v>69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70</v>
      </c>
      <c r="B16" s="6" t="s">
        <v>11</v>
      </c>
      <c r="C16" s="6" t="s">
        <v>12</v>
      </c>
      <c r="D16" s="7" t="s">
        <v>43</v>
      </c>
      <c r="E16" s="8" t="s">
        <v>71</v>
      </c>
      <c r="F16" s="6" t="s">
        <v>72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66</v>
      </c>
      <c r="B17" s="6" t="s">
        <v>20</v>
      </c>
      <c r="C17" s="6" t="s">
        <v>12</v>
      </c>
      <c r="D17" s="7" t="s">
        <v>55</v>
      </c>
      <c r="E17" s="8" t="s">
        <v>73</v>
      </c>
      <c r="F17" s="6" t="s">
        <v>74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75</v>
      </c>
      <c r="B18" s="6" t="s">
        <v>20</v>
      </c>
      <c r="C18" s="6" t="s">
        <v>12</v>
      </c>
      <c r="D18" s="7" t="s">
        <v>59</v>
      </c>
      <c r="E18" s="8" t="s">
        <v>76</v>
      </c>
      <c r="F18" s="6" t="s">
        <v>77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54</v>
      </c>
      <c r="B19" s="6" t="s">
        <v>33</v>
      </c>
      <c r="C19" s="6" t="s">
        <v>12</v>
      </c>
      <c r="D19" s="7" t="s">
        <v>78</v>
      </c>
      <c r="E19" s="8" t="s">
        <v>79</v>
      </c>
      <c r="F19" s="6" t="s">
        <v>80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81</v>
      </c>
      <c r="B20" s="6" t="s">
        <v>11</v>
      </c>
      <c r="C20" s="6" t="s">
        <v>12</v>
      </c>
      <c r="D20" s="7" t="s">
        <v>43</v>
      </c>
      <c r="E20" s="8" t="s">
        <v>71</v>
      </c>
      <c r="F20" s="6" t="s">
        <v>82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47</v>
      </c>
      <c r="B21" s="6" t="s">
        <v>11</v>
      </c>
      <c r="C21" s="6" t="s">
        <v>12</v>
      </c>
      <c r="D21" s="7" t="s">
        <v>59</v>
      </c>
      <c r="E21" s="8" t="s">
        <v>83</v>
      </c>
      <c r="F21" s="6" t="s">
        <v>84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85</v>
      </c>
      <c r="B22" s="6" t="s">
        <v>11</v>
      </c>
      <c r="C22" s="6" t="s">
        <v>12</v>
      </c>
      <c r="D22" s="7" t="s">
        <v>30</v>
      </c>
      <c r="E22" s="8" t="s">
        <v>86</v>
      </c>
      <c r="F22" s="6" t="s">
        <v>87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29</v>
      </c>
      <c r="B23" s="6" t="s">
        <v>88</v>
      </c>
      <c r="C23" s="6" t="s">
        <v>89</v>
      </c>
      <c r="D23" s="7" t="s">
        <v>90</v>
      </c>
      <c r="E23" s="8" t="s">
        <v>91</v>
      </c>
      <c r="F23" s="6" t="s">
        <v>92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93</v>
      </c>
      <c r="B24" s="6" t="s">
        <v>38</v>
      </c>
      <c r="C24" s="6" t="s">
        <v>12</v>
      </c>
      <c r="D24" s="7" t="s">
        <v>30</v>
      </c>
      <c r="E24" s="8" t="s">
        <v>94</v>
      </c>
      <c r="F24" s="6" t="s">
        <v>95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96</v>
      </c>
      <c r="B25" s="6" t="s">
        <v>10</v>
      </c>
      <c r="C25" s="6" t="s">
        <v>12</v>
      </c>
      <c r="D25" s="7" t="s">
        <v>97</v>
      </c>
      <c r="E25" s="8" t="s">
        <v>98</v>
      </c>
      <c r="F25" s="6" t="s">
        <v>99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100</v>
      </c>
      <c r="B26" s="6" t="s">
        <v>11</v>
      </c>
      <c r="C26" s="6" t="s">
        <v>12</v>
      </c>
      <c r="D26" s="7" t="s">
        <v>101</v>
      </c>
      <c r="E26" s="8" t="s">
        <v>102</v>
      </c>
      <c r="F26" s="6" t="s">
        <v>103</v>
      </c>
      <c r="G26" s="9">
        <f>IF(A26=1,"_",IF(C26="_","???",C26))</f>
        <v/>
      </c>
      <c r="H26" s="10" t="s">
        <v>12</v>
      </c>
      <c r="I26" s="11" t="s">
        <v>12</v>
      </c>
      <c r="J26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95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104</v>
      </c>
      <c r="B1" s="13" t="s">
        <v>105</v>
      </c>
      <c r="C1" s="13" t="s">
        <v>106</v>
      </c>
      <c r="D1" s="13" t="s">
        <v>107</v>
      </c>
      <c r="E1" s="14" t="s">
        <v>108</v>
      </c>
      <c r="F1" s="15" t="s">
        <v>109</v>
      </c>
      <c r="G1" s="16" t="s">
        <v>110</v>
      </c>
      <c r="H1" s="17" t="s">
        <v>111</v>
      </c>
      <c r="I1" s="18" t="s">
        <v>112</v>
      </c>
      <c r="J1" s="18" t="s">
        <v>113</v>
      </c>
      <c r="K1" s="18" t="s">
        <v>114</v>
      </c>
      <c r="L1" s="19" t="s">
        <v>9</v>
      </c>
    </row>
    <row r="2" spans="1:12">
      <c r="A2" s="20" t="s">
        <v>115</v>
      </c>
    </row>
    <row r="3" spans="1:12">
      <c r="A3" s="20" t="s">
        <v>116</v>
      </c>
      <c r="B3" s="21" t="s">
        <v>117</v>
      </c>
      <c r="C3" s="21" t="s">
        <v>118</v>
      </c>
      <c r="D3" s="21" t="s">
        <v>119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120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121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122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123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124</v>
      </c>
      <c r="B8" s="21" t="s">
        <v>125</v>
      </c>
      <c r="C8" s="21" t="s">
        <v>126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127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128</v>
      </c>
      <c r="B10" s="21" t="s">
        <v>129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120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130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131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127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132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133</v>
      </c>
      <c r="B16" s="21" t="s">
        <v>134</v>
      </c>
      <c r="C16" s="21" t="s">
        <v>135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136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137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138</v>
      </c>
      <c r="B19" s="21" t="s">
        <v>139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140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141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142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143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144</v>
      </c>
      <c r="B24" s="21" t="s">
        <v>129</v>
      </c>
      <c r="C24" s="21" t="s">
        <v>145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120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146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147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148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149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150</v>
      </c>
      <c r="B30" s="21" t="s">
        <v>151</v>
      </c>
      <c r="C30" s="21" t="s">
        <v>152</v>
      </c>
      <c r="D30" s="21" t="s">
        <v>119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153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154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90</v>
      </c>
      <c r="B33" s="21" t="s">
        <v>155</v>
      </c>
      <c r="C33" s="21" t="s">
        <v>156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120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157</v>
      </c>
      <c r="B35" s="21" t="s">
        <v>158</v>
      </c>
      <c r="C35" s="21" t="s">
        <v>118</v>
      </c>
      <c r="D35" s="21" t="s">
        <v>119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159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160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161</v>
      </c>
      <c r="B38" s="21" t="s">
        <v>162</v>
      </c>
      <c r="C38" s="21" t="s">
        <v>135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163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/>
    </row>
    <row r="41" spans="1:12">
      <c r="A41" s="20" t="s">
        <v>164</v>
      </c>
    </row>
    <row r="42" spans="1:12">
      <c r="A42" s="20" t="s">
        <v>165</v>
      </c>
      <c r="B42" s="21" t="s">
        <v>151</v>
      </c>
      <c r="C42" s="21" t="s">
        <v>166</v>
      </c>
      <c r="D42" s="21" t="s">
        <v>119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167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168</v>
      </c>
      <c r="B44" s="21" t="s">
        <v>117</v>
      </c>
      <c r="C44" s="21" t="s">
        <v>169</v>
      </c>
      <c r="D44" s="21" t="s">
        <v>119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170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171</v>
      </c>
      <c r="B46" s="21" t="s">
        <v>172</v>
      </c>
      <c r="C46" s="21" t="s">
        <v>118</v>
      </c>
      <c r="D46" s="21" t="s">
        <v>119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122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173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174</v>
      </c>
      <c r="B49" s="21" t="s">
        <v>175</v>
      </c>
      <c r="C49" s="21" t="s">
        <v>126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176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153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128</v>
      </c>
      <c r="B52" s="21" t="s">
        <v>129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177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171</v>
      </c>
      <c r="B54" s="21" t="s">
        <v>175</v>
      </c>
      <c r="C54" s="21" t="s">
        <v>118</v>
      </c>
      <c r="D54" s="21" t="s">
        <v>119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130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 t="s">
        <v>178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127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179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133</v>
      </c>
      <c r="B59" s="21" t="s">
        <v>134</v>
      </c>
      <c r="C59" s="21" t="s">
        <v>135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157</v>
      </c>
      <c r="B60" s="21" t="s">
        <v>139</v>
      </c>
      <c r="C60" s="21" t="s">
        <v>118</v>
      </c>
      <c r="D60" s="21" t="s">
        <v>119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180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128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181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182</v>
      </c>
      <c r="B64" s="21" t="s">
        <v>134</v>
      </c>
      <c r="C64" s="21" t="s">
        <v>152</v>
      </c>
      <c r="D64" s="21" t="s">
        <v>119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183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163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184</v>
      </c>
      <c r="B67" s="21" t="s">
        <v>151</v>
      </c>
      <c r="C67" s="21" t="s">
        <v>185</v>
      </c>
      <c r="D67" s="21" t="s">
        <v>119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186</v>
      </c>
      <c r="B68" s="21" t="s">
        <v>125</v>
      </c>
      <c r="C68" s="21" t="s">
        <v>126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187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154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144</v>
      </c>
      <c r="B71" s="21" t="s">
        <v>175</v>
      </c>
      <c r="C71" s="21" t="s">
        <v>156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188</v>
      </c>
      <c r="B72" s="21" t="s">
        <v>129</v>
      </c>
      <c r="C72" s="21" t="s">
        <v>145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189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153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190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191</v>
      </c>
      <c r="B76" s="21" t="s">
        <v>162</v>
      </c>
      <c r="C76" s="21" t="s">
        <v>135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171</v>
      </c>
      <c r="B77" s="21" t="s">
        <v>151</v>
      </c>
      <c r="C77" s="21" t="s">
        <v>118</v>
      </c>
      <c r="D77" s="21" t="s">
        <v>119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192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193</v>
      </c>
      <c r="B79" s="21" t="s">
        <v>134</v>
      </c>
      <c r="C79" s="21" t="s">
        <v>145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194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191</v>
      </c>
      <c r="B81" s="21" t="s">
        <v>195</v>
      </c>
      <c r="C81" s="21" t="s">
        <v>135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196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90</v>
      </c>
      <c r="B83" s="21" t="s">
        <v>134</v>
      </c>
      <c r="C83" s="21" t="s">
        <v>156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153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197</v>
      </c>
      <c r="B85" s="21" t="s">
        <v>195</v>
      </c>
      <c r="C85" s="21" t="s">
        <v>145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127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198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199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200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201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127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202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203</v>
      </c>
      <c r="B93" s="21" t="s">
        <v>155</v>
      </c>
      <c r="C93" s="21" t="s">
        <v>118</v>
      </c>
      <c r="D93" s="21" t="s">
        <v>119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204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205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127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179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206</v>
      </c>
      <c r="B98" s="21" t="s">
        <v>158</v>
      </c>
      <c r="C98" s="21" t="s">
        <v>185</v>
      </c>
      <c r="D98" s="21" t="s">
        <v>119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207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208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142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209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210</v>
      </c>
      <c r="B103" s="21" t="s">
        <v>139</v>
      </c>
      <c r="C103" s="21" t="s">
        <v>118</v>
      </c>
      <c r="D103" s="21" t="s">
        <v>119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211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188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153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212</v>
      </c>
      <c r="B107" s="21" t="s">
        <v>213</v>
      </c>
      <c r="C107" s="21" t="s">
        <v>166</v>
      </c>
      <c r="D107" s="21" t="s">
        <v>119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214</v>
      </c>
      <c r="B108" s="21" t="s">
        <v>215</v>
      </c>
      <c r="C108" s="21" t="s">
        <v>169</v>
      </c>
      <c r="D108" s="21" t="s">
        <v>119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216</v>
      </c>
      <c r="B109" s="21" t="s">
        <v>139</v>
      </c>
      <c r="C109" s="21" t="s">
        <v>145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163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/>
    </row>
    <row r="112" spans="1:12">
      <c r="A112" s="20" t="s">
        <v>217</v>
      </c>
    </row>
    <row r="113" spans="1:12">
      <c r="A113" s="20" t="s">
        <v>182</v>
      </c>
      <c r="B113" s="21" t="s">
        <v>117</v>
      </c>
      <c r="C113" s="21" t="s">
        <v>218</v>
      </c>
      <c r="D113" s="21" t="s">
        <v>119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219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220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221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191</v>
      </c>
      <c r="B117" s="21" t="s">
        <v>151</v>
      </c>
      <c r="C117" s="21" t="s">
        <v>135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222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90</v>
      </c>
      <c r="B119" s="21" t="s">
        <v>125</v>
      </c>
      <c r="C119" s="21" t="s">
        <v>156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127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223</v>
      </c>
      <c r="B121" s="21" t="s">
        <v>134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224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225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226</v>
      </c>
      <c r="B124" s="21" t="s">
        <v>162</v>
      </c>
      <c r="C124" s="21" t="s">
        <v>126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227</v>
      </c>
      <c r="B125" s="21" t="s">
        <v>134</v>
      </c>
      <c r="C125" s="21" t="s">
        <v>145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228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163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/>
    </row>
    <row r="129" spans="1:12">
      <c r="A129" s="20" t="s">
        <v>229</v>
      </c>
    </row>
    <row r="130" spans="1:12">
      <c r="A130" s="20" t="s">
        <v>230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206</v>
      </c>
      <c r="B131" s="21" t="s">
        <v>129</v>
      </c>
      <c r="C131" s="21" t="s">
        <v>185</v>
      </c>
      <c r="D131" s="21" t="s">
        <v>119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231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122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232</v>
      </c>
      <c r="B134" s="21" t="s">
        <v>151</v>
      </c>
      <c r="C134" s="21" t="s">
        <v>126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233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127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234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210</v>
      </c>
      <c r="B138" s="21" t="s">
        <v>117</v>
      </c>
      <c r="C138" s="21" t="s">
        <v>118</v>
      </c>
      <c r="D138" s="21" t="s">
        <v>119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235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236</v>
      </c>
      <c r="B140" s="21" t="s">
        <v>172</v>
      </c>
      <c r="C140" s="21" t="s">
        <v>152</v>
      </c>
      <c r="D140" s="21" t="s">
        <v>119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237</v>
      </c>
      <c r="B141" s="21" t="s">
        <v>151</v>
      </c>
      <c r="C141" s="21" t="s">
        <v>218</v>
      </c>
      <c r="D141" s="21" t="s">
        <v>119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127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238</v>
      </c>
      <c r="B143" s="21" t="s">
        <v>134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239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240</v>
      </c>
      <c r="B145" s="21" t="s">
        <v>139</v>
      </c>
      <c r="C145" s="21" t="s">
        <v>145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187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127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241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191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242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142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243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244</v>
      </c>
      <c r="B153" s="21" t="s">
        <v>129</v>
      </c>
      <c r="C153" s="21" t="s">
        <v>118</v>
      </c>
      <c r="D153" s="21" t="s">
        <v>119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245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157</v>
      </c>
      <c r="B155" s="21" t="s">
        <v>175</v>
      </c>
      <c r="C155" s="21" t="s">
        <v>118</v>
      </c>
      <c r="D155" s="21" t="s">
        <v>119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246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127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247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248</v>
      </c>
      <c r="B159" s="21" t="s">
        <v>195</v>
      </c>
      <c r="C159" s="21" t="s">
        <v>135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249</v>
      </c>
      <c r="B160" s="21" t="s">
        <v>134</v>
      </c>
      <c r="C160" s="21" t="s">
        <v>145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224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149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250</v>
      </c>
      <c r="B163" s="21" t="s">
        <v>195</v>
      </c>
      <c r="C163" s="21" t="s">
        <v>152</v>
      </c>
      <c r="D163" s="21" t="s">
        <v>119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251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163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252</v>
      </c>
      <c r="B166" s="21" t="s">
        <v>134</v>
      </c>
      <c r="C166" s="21" t="s">
        <v>118</v>
      </c>
      <c r="D166" s="21" t="s">
        <v>119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253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254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127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255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199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256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163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/>
    </row>
    <row r="175" spans="1:12">
      <c r="A175" s="20" t="s">
        <v>257</v>
      </c>
    </row>
    <row r="176" spans="1:12">
      <c r="A176" s="20" t="s">
        <v>258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259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260</v>
      </c>
      <c r="B178" s="21" t="s">
        <v>117</v>
      </c>
      <c r="C178" s="21" t="s">
        <v>152</v>
      </c>
      <c r="D178" s="21" t="s">
        <v>119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127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261</v>
      </c>
      <c r="B180" s="21" t="s">
        <v>134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246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262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127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179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157</v>
      </c>
      <c r="B185" s="21" t="s">
        <v>155</v>
      </c>
      <c r="C185" s="21" t="s">
        <v>118</v>
      </c>
      <c r="D185" s="21" t="s">
        <v>119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263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208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127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264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191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265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153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211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237</v>
      </c>
      <c r="B194" s="21" t="s">
        <v>266</v>
      </c>
      <c r="C194" s="21" t="s">
        <v>126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267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127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190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191</v>
      </c>
      <c r="B198" s="21" t="s">
        <v>151</v>
      </c>
      <c r="C198" s="21" t="s">
        <v>135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171</v>
      </c>
      <c r="B199" s="21" t="s">
        <v>125</v>
      </c>
      <c r="C199" s="21" t="s">
        <v>118</v>
      </c>
      <c r="D199" s="21" t="s">
        <v>119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192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268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269</v>
      </c>
      <c r="B202" s="21" t="s">
        <v>129</v>
      </c>
      <c r="C202" s="21" t="s">
        <v>118</v>
      </c>
      <c r="D202" s="21" t="s">
        <v>119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270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191</v>
      </c>
      <c r="B204" s="21" t="s">
        <v>162</v>
      </c>
      <c r="C204" s="21" t="s">
        <v>135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271</v>
      </c>
      <c r="B205" s="21" t="s">
        <v>162</v>
      </c>
      <c r="C205" s="21" t="s">
        <v>272</v>
      </c>
      <c r="D205" s="21" t="s">
        <v>119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90</v>
      </c>
      <c r="B206" s="21" t="s">
        <v>151</v>
      </c>
      <c r="C206" s="21" t="s">
        <v>145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153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273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210</v>
      </c>
      <c r="B209" s="21" t="s">
        <v>139</v>
      </c>
      <c r="C209" s="21" t="s">
        <v>118</v>
      </c>
      <c r="D209" s="21" t="s">
        <v>119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211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188</v>
      </c>
      <c r="B211" s="21" t="s">
        <v>139</v>
      </c>
      <c r="C211" s="21" t="s">
        <v>126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153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211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274</v>
      </c>
      <c r="B214" s="21" t="s">
        <v>195</v>
      </c>
      <c r="C214" s="21" t="s">
        <v>126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275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216</v>
      </c>
      <c r="B216" s="21" t="s">
        <v>162</v>
      </c>
      <c r="C216" s="21" t="s">
        <v>145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276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127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277</v>
      </c>
      <c r="B219" s="21" t="s">
        <v>155</v>
      </c>
      <c r="C219" s="21" t="s">
        <v>185</v>
      </c>
      <c r="D219" s="21" t="s">
        <v>119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278</v>
      </c>
      <c r="B220" s="21" t="s">
        <v>215</v>
      </c>
      <c r="C220" s="21" t="s">
        <v>272</v>
      </c>
      <c r="D220" s="21" t="s">
        <v>119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144</v>
      </c>
      <c r="B221" s="21" t="s">
        <v>155</v>
      </c>
      <c r="C221" s="21" t="s">
        <v>145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210</v>
      </c>
      <c r="B222" s="21" t="s">
        <v>266</v>
      </c>
      <c r="C222" s="21" t="s">
        <v>118</v>
      </c>
      <c r="D222" s="21" t="s">
        <v>119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279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163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/>
    </row>
    <row r="226" spans="1:12">
      <c r="A226" s="20" t="s">
        <v>280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281</v>
      </c>
    </row>
    <row r="228" spans="1:12">
      <c r="A228" s="20" t="s">
        <v>282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43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268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283</v>
      </c>
      <c r="B231" s="21" t="s">
        <v>117</v>
      </c>
      <c r="C231" s="21" t="s">
        <v>145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206</v>
      </c>
      <c r="B232" s="21" t="s">
        <v>134</v>
      </c>
      <c r="C232" s="21" t="s">
        <v>185</v>
      </c>
      <c r="D232" s="21" t="s">
        <v>119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284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285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286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43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253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235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237</v>
      </c>
      <c r="B239" s="21" t="s">
        <v>117</v>
      </c>
      <c r="C239" s="21" t="s">
        <v>152</v>
      </c>
      <c r="D239" s="21" t="s">
        <v>119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163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/>
    </row>
    <row r="242" spans="1:12">
      <c r="A242" s="20" t="s">
        <v>280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287</v>
      </c>
    </row>
    <row r="244" spans="1:12">
      <c r="A244" s="20" t="s">
        <v>43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127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12</v>
      </c>
      <c r="B246" s="21" t="s">
        <v>162</v>
      </c>
      <c r="C246" s="21" t="s">
        <v>218</v>
      </c>
      <c r="D246" s="21" t="s">
        <v>119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288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289</v>
      </c>
      <c r="B248" s="21" t="s">
        <v>151</v>
      </c>
      <c r="C248" s="21" t="s">
        <v>218</v>
      </c>
      <c r="D248" s="21" t="s">
        <v>119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127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43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190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182</v>
      </c>
      <c r="B252" s="21" t="s">
        <v>129</v>
      </c>
      <c r="C252" s="21" t="s">
        <v>218</v>
      </c>
      <c r="D252" s="21" t="s">
        <v>119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142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199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290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291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235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292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293</v>
      </c>
      <c r="B259" s="21" t="s">
        <v>125</v>
      </c>
      <c r="C259" s="21" t="s">
        <v>152</v>
      </c>
      <c r="D259" s="21" t="s">
        <v>119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127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223</v>
      </c>
      <c r="B261" s="21" t="s">
        <v>155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294</v>
      </c>
      <c r="B262" s="21" t="s">
        <v>134</v>
      </c>
      <c r="C262" s="21" t="s">
        <v>118</v>
      </c>
      <c r="D262" s="21" t="s">
        <v>119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295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146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296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297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127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224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149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298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299</v>
      </c>
      <c r="B271" s="21" t="s">
        <v>151</v>
      </c>
      <c r="C271" s="21" t="s">
        <v>152</v>
      </c>
      <c r="D271" s="21" t="s">
        <v>119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300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301</v>
      </c>
      <c r="B273" s="21" t="s">
        <v>162</v>
      </c>
      <c r="C273" s="21" t="s">
        <v>152</v>
      </c>
      <c r="D273" s="21" t="s">
        <v>119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163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/>
    </row>
    <row r="276" spans="1:12">
      <c r="A276" s="20" t="s">
        <v>280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302</v>
      </c>
    </row>
    <row r="278" spans="1:12">
      <c r="A278" s="20" t="s">
        <v>43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43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43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/>
    </row>
    <row r="282" spans="1:12">
      <c r="A282" s="20" t="s">
        <v>280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303</v>
      </c>
    </row>
    <row r="284" spans="1:12">
      <c r="A284" s="20" t="s">
        <v>304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305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127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43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306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235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237</v>
      </c>
      <c r="B290" s="21" t="s">
        <v>129</v>
      </c>
      <c r="C290" s="21" t="s">
        <v>152</v>
      </c>
      <c r="D290" s="21" t="s">
        <v>119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127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203</v>
      </c>
      <c r="B292" s="21" t="s">
        <v>155</v>
      </c>
      <c r="C292" s="21" t="s">
        <v>118</v>
      </c>
      <c r="D292" s="21" t="s">
        <v>119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307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308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191</v>
      </c>
      <c r="B295" s="21" t="s">
        <v>215</v>
      </c>
      <c r="C295" s="21" t="s">
        <v>135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210</v>
      </c>
      <c r="B296" s="21" t="s">
        <v>195</v>
      </c>
      <c r="C296" s="21" t="s">
        <v>118</v>
      </c>
      <c r="D296" s="21" t="s">
        <v>119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21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142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203</v>
      </c>
      <c r="B299" s="21" t="s">
        <v>129</v>
      </c>
      <c r="C299" s="21" t="s">
        <v>118</v>
      </c>
      <c r="D299" s="21" t="s">
        <v>119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309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310</v>
      </c>
      <c r="B301" s="21" t="s">
        <v>151</v>
      </c>
      <c r="C301" s="21" t="s">
        <v>166</v>
      </c>
      <c r="D301" s="21" t="s">
        <v>119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311</v>
      </c>
      <c r="B302" s="21" t="s">
        <v>172</v>
      </c>
      <c r="C302" s="21" t="s">
        <v>169</v>
      </c>
      <c r="D302" s="21" t="s">
        <v>119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48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127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312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294</v>
      </c>
      <c r="B306" s="21" t="s">
        <v>117</v>
      </c>
      <c r="C306" s="21" t="s">
        <v>118</v>
      </c>
      <c r="D306" s="21" t="s">
        <v>119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313</v>
      </c>
      <c r="B307" s="21" t="s">
        <v>125</v>
      </c>
      <c r="C307" s="21" t="s">
        <v>166</v>
      </c>
      <c r="D307" s="21" t="s">
        <v>119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153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314</v>
      </c>
      <c r="B309" s="21" t="s">
        <v>129</v>
      </c>
      <c r="C309" s="21" t="s">
        <v>185</v>
      </c>
      <c r="D309" s="21" t="s">
        <v>119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315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140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127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316</v>
      </c>
      <c r="B313" s="21" t="s">
        <v>162</v>
      </c>
      <c r="C313" s="21" t="s">
        <v>317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318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319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320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321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163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322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323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237</v>
      </c>
      <c r="B321" s="21" t="s">
        <v>155</v>
      </c>
      <c r="C321" s="21" t="s">
        <v>218</v>
      </c>
      <c r="D321" s="21" t="s">
        <v>119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324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325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326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327</v>
      </c>
      <c r="B325" s="21" t="s">
        <v>328</v>
      </c>
      <c r="C325" s="21" t="s">
        <v>135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329</v>
      </c>
      <c r="B326" s="21" t="s">
        <v>213</v>
      </c>
      <c r="C326" s="21" t="s">
        <v>330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331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149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332</v>
      </c>
      <c r="B329" s="21" t="s">
        <v>215</v>
      </c>
      <c r="C329" s="21" t="s">
        <v>152</v>
      </c>
      <c r="D329" s="21" t="s">
        <v>119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191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333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127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235</v>
      </c>
      <c r="B333" s="21" t="s">
        <v>334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235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335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120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127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153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128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181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336</v>
      </c>
      <c r="B341" s="21" t="s">
        <v>158</v>
      </c>
      <c r="C341" s="21" t="s">
        <v>152</v>
      </c>
      <c r="D341" s="21" t="s">
        <v>119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219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331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149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337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332</v>
      </c>
      <c r="B346" s="21" t="s">
        <v>215</v>
      </c>
      <c r="C346" s="21" t="s">
        <v>152</v>
      </c>
      <c r="D346" s="21" t="s">
        <v>119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221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127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153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338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339</v>
      </c>
      <c r="B351" s="21" t="s">
        <v>340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341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127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342</v>
      </c>
      <c r="B354" s="21" t="s">
        <v>343</v>
      </c>
      <c r="C354" s="21" t="s">
        <v>218</v>
      </c>
      <c r="D354" s="21" t="s">
        <v>119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191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344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127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 t="s">
        <v>345</v>
      </c>
      <c r="B358" s="21" t="s">
        <v>340</v>
      </c>
      <c r="C358" s="21" t="s">
        <v>145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191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346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153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347</v>
      </c>
      <c r="B362" s="21" t="s">
        <v>343</v>
      </c>
      <c r="C362" s="21" t="s">
        <v>145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191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348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148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292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349</v>
      </c>
      <c r="B367" s="21" t="s">
        <v>215</v>
      </c>
      <c r="C367" s="21" t="s">
        <v>145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127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223</v>
      </c>
      <c r="B369" s="21" t="s">
        <v>350</v>
      </c>
      <c r="C369" s="21" t="s">
        <v>185</v>
      </c>
      <c r="D369" s="21" t="s">
        <v>119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206</v>
      </c>
      <c r="B370" s="21" t="s">
        <v>351</v>
      </c>
      <c r="C370" s="21" t="s">
        <v>185</v>
      </c>
      <c r="D370" s="21" t="s">
        <v>119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352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163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323</v>
      </c>
      <c r="B373" s="21" t="s">
        <v>162</v>
      </c>
      <c r="C373" s="21" t="s">
        <v>185</v>
      </c>
      <c r="D373" s="21" t="s">
        <v>119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237</v>
      </c>
      <c r="B374" s="21" t="s">
        <v>134</v>
      </c>
      <c r="C374" s="21" t="s">
        <v>218</v>
      </c>
      <c r="D374" s="21" t="s">
        <v>119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233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353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354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149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355</v>
      </c>
      <c r="B379" s="21" t="s">
        <v>162</v>
      </c>
      <c r="C379" s="21" t="s">
        <v>152</v>
      </c>
      <c r="D379" s="21" t="s">
        <v>119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235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90</v>
      </c>
      <c r="B381" s="21" t="s">
        <v>134</v>
      </c>
      <c r="C381" s="21" t="s">
        <v>152</v>
      </c>
      <c r="D381" s="21" t="s">
        <v>119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325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142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244</v>
      </c>
      <c r="B384" s="21" t="s">
        <v>155</v>
      </c>
      <c r="C384" s="21" t="s">
        <v>118</v>
      </c>
      <c r="D384" s="21" t="s">
        <v>119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356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325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192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357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127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357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163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/>
    </row>
    <row r="393" spans="1:12">
      <c r="A393" s="20" t="s">
        <v>280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358</v>
      </c>
    </row>
    <row r="395" spans="1:12">
      <c r="A395" s="20" t="s">
        <v>43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359</v>
      </c>
      <c r="B396" s="21" t="s">
        <v>134</v>
      </c>
      <c r="C396" s="21" t="s">
        <v>317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360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319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286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43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361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362</v>
      </c>
      <c r="B402" s="21" t="s">
        <v>117</v>
      </c>
      <c r="C402" s="21" t="s">
        <v>156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127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128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182</v>
      </c>
      <c r="B405" s="21" t="s">
        <v>151</v>
      </c>
      <c r="C405" s="21" t="s">
        <v>152</v>
      </c>
      <c r="D405" s="21" t="s">
        <v>119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127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43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190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235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237</v>
      </c>
      <c r="B410" s="21" t="s">
        <v>117</v>
      </c>
      <c r="C410" s="21" t="s">
        <v>152</v>
      </c>
      <c r="D410" s="21" t="s">
        <v>119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127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224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12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149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244</v>
      </c>
      <c r="B415" s="21" t="s">
        <v>134</v>
      </c>
      <c r="C415" s="21" t="s">
        <v>118</v>
      </c>
      <c r="D415" s="21" t="s">
        <v>119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363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364</v>
      </c>
      <c r="B417" s="21" t="s">
        <v>139</v>
      </c>
      <c r="C417" s="21" t="s">
        <v>156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365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142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268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203</v>
      </c>
      <c r="B421" s="21" t="s">
        <v>129</v>
      </c>
      <c r="C421" s="21" t="s">
        <v>118</v>
      </c>
      <c r="D421" s="21" t="s">
        <v>119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209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366</v>
      </c>
      <c r="B423" s="21" t="s">
        <v>175</v>
      </c>
      <c r="C423" s="21" t="s">
        <v>118</v>
      </c>
      <c r="D423" s="21" t="s">
        <v>119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211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367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12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368</v>
      </c>
      <c r="B427" s="21" t="s">
        <v>175</v>
      </c>
      <c r="C427" s="21" t="s">
        <v>126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153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122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214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216</v>
      </c>
      <c r="B431" s="21" t="s">
        <v>162</v>
      </c>
      <c r="C431" s="21" t="s">
        <v>126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127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261</v>
      </c>
      <c r="B433" s="21" t="s">
        <v>158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278</v>
      </c>
      <c r="B434" s="21" t="s">
        <v>213</v>
      </c>
      <c r="C434" s="21" t="s">
        <v>272</v>
      </c>
      <c r="D434" s="21" t="s">
        <v>119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144</v>
      </c>
      <c r="B435" s="21" t="s">
        <v>158</v>
      </c>
      <c r="C435" s="21" t="s">
        <v>145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366</v>
      </c>
      <c r="B436" s="21" t="s">
        <v>343</v>
      </c>
      <c r="C436" s="21" t="s">
        <v>118</v>
      </c>
      <c r="D436" s="21" t="s">
        <v>119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279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163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/>
    </row>
    <row r="440" spans="1:12">
      <c r="A440" s="20" t="s">
        <v>369</v>
      </c>
    </row>
    <row r="441" spans="1:12">
      <c r="A441" s="20" t="s">
        <v>322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370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167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90</v>
      </c>
      <c r="B444" s="21" t="s">
        <v>117</v>
      </c>
      <c r="C444" s="21" t="s">
        <v>152</v>
      </c>
      <c r="D444" s="21" t="s">
        <v>119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127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277</v>
      </c>
      <c r="B446" s="21" t="s">
        <v>134</v>
      </c>
      <c r="C446" s="21" t="s">
        <v>185</v>
      </c>
      <c r="D446" s="21" t="s">
        <v>119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224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149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371</v>
      </c>
      <c r="B449" s="21" t="s">
        <v>162</v>
      </c>
      <c r="C449" s="21" t="s">
        <v>152</v>
      </c>
      <c r="D449" s="21" t="s">
        <v>119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372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127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247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206</v>
      </c>
      <c r="B453" s="21" t="s">
        <v>155</v>
      </c>
      <c r="C453" s="21" t="s">
        <v>185</v>
      </c>
      <c r="D453" s="21" t="s">
        <v>119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373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 t="s">
        <v>374</v>
      </c>
      <c r="E455" s="22">
        <f>IF(D455="?OLD","!!!","")</f>
        <v/>
      </c>
      <c r="F455" s="23" t="str">
        <f>IF(OR(E455="",E455="!!!"),"",IF(NOT(ISNA(VLOOKUP(E455,E$1:E454,1,FALSE()))),"OLD",IF(AND(E455&lt;&gt;"",E455&lt;&gt;"!!!"),"NEW","")))</f>
        <v> </v>
      </c>
      <c r="G455" s="24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5" t="str">
        <f>IF(J455&lt;&gt;1,"",IF(I455="SBJ","CB","?"))</f>
        <v> </v>
      </c>
      <c r="I455" s="26" t="str">
        <f>IF(OR(E455="",E455="!!!",F455="NEW"),"",INDEX(B454:B$2,-1+SUMPRODUCT(MAX(ROW(E454:E$2)*(E455=E454:E$2)))))</f>
        <v> </v>
      </c>
      <c r="J455" s="26" t="str">
        <f>IF(OR(E455="",E455="!!!",F455="NEW"),"",COUNTBLANK(OFFSET(A$1,,,SUMPRODUCT(MAX(ROW(E$2:E455)*(E455=E$2:E455)))))-COUNTBLANK(OFFSET(A$1,,,SUMPRODUCT(MAX(ROW(E$1:E454)*(E2=E$1:E454))))))</f>
        <v> </v>
      </c>
      <c r="K455" s="26" t="str">
        <f>IF(OR(E455="",E455="!!!",F455="NEW"),"",INDEX(J$1:J454,SUMPRODUCT(MAX(ROW(E$1:E454)*(E455=E$1:E454)))))</f>
        <v> </v>
      </c>
      <c r="L455" s="27"/>
    </row>
    <row r="456" spans="1:12">
      <c r="A456" s="20" t="s">
        <v>120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127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375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171</v>
      </c>
      <c r="B459" s="21" t="s">
        <v>172</v>
      </c>
      <c r="C459" s="21" t="s">
        <v>118</v>
      </c>
      <c r="D459" s="21" t="s">
        <v>119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191</v>
      </c>
      <c r="B460" s="21" t="s">
        <v>125</v>
      </c>
      <c r="C460" s="21" t="s">
        <v>135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192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268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376</v>
      </c>
      <c r="B463" s="21" t="s">
        <v>151</v>
      </c>
      <c r="C463" s="21" t="s">
        <v>145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325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149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377</v>
      </c>
      <c r="B466" s="21" t="s">
        <v>162</v>
      </c>
      <c r="C466" s="21" t="s">
        <v>152</v>
      </c>
      <c r="D466" s="21" t="s">
        <v>119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127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130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321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128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378</v>
      </c>
      <c r="B471" s="21" t="s">
        <v>129</v>
      </c>
      <c r="C471" s="21" t="s">
        <v>152</v>
      </c>
      <c r="D471" s="21" t="s">
        <v>119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379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 t="s">
        <v>163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/>
    </row>
    <row r="475" spans="1:12">
      <c r="A475" s="20" t="s">
        <v>280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380</v>
      </c>
    </row>
    <row r="477" spans="1:12">
      <c r="A477" s="20" t="s">
        <v>43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323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237</v>
      </c>
      <c r="B479" s="21" t="s">
        <v>117</v>
      </c>
      <c r="C479" s="21" t="s">
        <v>218</v>
      </c>
      <c r="D479" s="21" t="s">
        <v>119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381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325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 t="s">
        <v>149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382</v>
      </c>
      <c r="B483" s="21" t="s">
        <v>125</v>
      </c>
      <c r="C483" s="21" t="s">
        <v>152</v>
      </c>
      <c r="D483" s="21" t="s">
        <v>119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153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223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 t="s">
        <v>383</v>
      </c>
      <c r="B486" s="21" t="s">
        <v>129</v>
      </c>
      <c r="C486" s="21" t="s">
        <v>152</v>
      </c>
      <c r="D486" s="21" t="s">
        <v>119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 t="s">
        <v>219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331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163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/>
    </row>
    <row r="491" spans="1:12">
      <c r="A491" s="20" t="s">
        <v>384</v>
      </c>
    </row>
    <row r="492" spans="1:12">
      <c r="A492" s="20" t="s">
        <v>252</v>
      </c>
      <c r="B492" s="21" t="s">
        <v>117</v>
      </c>
      <c r="C492" s="21" t="s">
        <v>118</v>
      </c>
      <c r="D492" s="21" t="s">
        <v>119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385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339</v>
      </c>
      <c r="B494" s="21" t="s">
        <v>172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331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 t="s">
        <v>223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 t="s">
        <v>167</v>
      </c>
      <c r="E497" s="22">
        <f>IF(D497="?OLD","!!!","")</f>
        <v/>
      </c>
      <c r="F497" s="23" t="str">
        <f>IF(OR(E497="",E497="!!!"),"",IF(NOT(ISNA(VLOOKUP(E497,E$1:E496,1,FALSE()))),"OLD",IF(AND(E497&lt;&gt;"",E497&lt;&gt;"!!!"),"NEW","")))</f>
        <v> </v>
      </c>
      <c r="G497" s="24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5" t="str">
        <f>IF(J497&lt;&gt;1,"",IF(I497="SBJ","CB","?"))</f>
        <v> </v>
      </c>
      <c r="I497" s="26" t="str">
        <f>IF(OR(E497="",E497="!!!",F497="NEW"),"",INDEX(B496:B$2,-1+SUMPRODUCT(MAX(ROW(E496:E$2)*(E497=E496:E$2)))))</f>
        <v> </v>
      </c>
      <c r="J497" s="26" t="str">
        <f>IF(OR(E497="",E497="!!!",F497="NEW"),"",COUNTBLANK(OFFSET(A$1,,,SUMPRODUCT(MAX(ROW(E$2:E497)*(E497=E$2:E497)))))-COUNTBLANK(OFFSET(A$1,,,SUMPRODUCT(MAX(ROW(E$1:E496)*(E2=E$1:E496))))))</f>
        <v> </v>
      </c>
      <c r="K497" s="26" t="str">
        <f>IF(OR(E497="",E497="!!!",F497="NEW"),"",INDEX(J$1:J496,SUMPRODUCT(MAX(ROW(E$1:E496)*(E497=E$1:E496)))))</f>
        <v> </v>
      </c>
      <c r="L497" s="27"/>
    </row>
    <row r="498" spans="1:12">
      <c r="A498" s="20" t="s">
        <v>168</v>
      </c>
      <c r="B498" s="21" t="s">
        <v>125</v>
      </c>
      <c r="C498" s="21" t="s">
        <v>152</v>
      </c>
      <c r="D498" s="21" t="s">
        <v>119</v>
      </c>
      <c r="E498" s="22">
        <f>IF(D498="?OLD","!!!","")</f>
        <v/>
      </c>
      <c r="F498" s="23" t="str">
        <f>IF(OR(E498="",E498="!!!"),"",IF(NOT(ISNA(VLOOKUP(E498,E$1:E497,1,FALSE()))),"OLD",IF(AND(E498&lt;&gt;"",E498&lt;&gt;"!!!"),"NEW","")))</f>
        <v> </v>
      </c>
      <c r="G498" s="24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5" t="str">
        <f>IF(J498&lt;&gt;1,"",IF(I498="SBJ","CB","?"))</f>
        <v> </v>
      </c>
      <c r="I498" s="26" t="str">
        <f>IF(OR(E498="",E498="!!!",F498="NEW"),"",INDEX(B497:B$2,-1+SUMPRODUCT(MAX(ROW(E497:E$2)*(E498=E497:E$2)))))</f>
        <v> </v>
      </c>
      <c r="J498" s="26" t="str">
        <f>IF(OR(E498="",E498="!!!",F498="NEW"),"",COUNTBLANK(OFFSET(A$1,,,SUMPRODUCT(MAX(ROW(E$2:E498)*(E498=E$2:E498)))))-COUNTBLANK(OFFSET(A$1,,,SUMPRODUCT(MAX(ROW(E$1:E497)*(E2=E$1:E497))))))</f>
        <v> </v>
      </c>
      <c r="K498" s="26" t="str">
        <f>IF(OR(E498="",E498="!!!",F498="NEW"),"",INDEX(J$1:J497,SUMPRODUCT(MAX(ROW(E$1:E497)*(E498=E$1:E497)))))</f>
        <v> </v>
      </c>
      <c r="L498" s="27"/>
    </row>
    <row r="499" spans="1:12">
      <c r="A499" s="20" t="s">
        <v>153</v>
      </c>
      <c r="E499" s="22">
        <f>IF(D499="?OLD","!!!","")</f>
        <v/>
      </c>
      <c r="F499" s="23" t="str">
        <f>IF(OR(E499="",E499="!!!"),"",IF(NOT(ISNA(VLOOKUP(E499,E$1:E498,1,FALSE()))),"OLD",IF(AND(E499&lt;&gt;"",E499&lt;&gt;"!!!"),"NEW","")))</f>
        <v> </v>
      </c>
      <c r="G499" s="24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5" t="str">
        <f>IF(J499&lt;&gt;1,"",IF(I499="SBJ","CB","?"))</f>
        <v> </v>
      </c>
      <c r="I499" s="26" t="str">
        <f>IF(OR(E499="",E499="!!!",F499="NEW"),"",INDEX(B498:B$2,-1+SUMPRODUCT(MAX(ROW(E498:E$2)*(E499=E498:E$2)))))</f>
        <v> </v>
      </c>
      <c r="J499" s="26" t="str">
        <f>IF(OR(E499="",E499="!!!",F499="NEW"),"",COUNTBLANK(OFFSET(A$1,,,SUMPRODUCT(MAX(ROW(E$2:E499)*(E499=E$2:E499)))))-COUNTBLANK(OFFSET(A$1,,,SUMPRODUCT(MAX(ROW(E$1:E498)*(E2=E$1:E498))))))</f>
        <v> </v>
      </c>
      <c r="K499" s="26" t="str">
        <f>IF(OR(E499="",E499="!!!",F499="NEW"),"",INDEX(J$1:J498,SUMPRODUCT(MAX(ROW(E$1:E498)*(E499=E$1:E498)))))</f>
        <v> </v>
      </c>
      <c r="L499" s="27"/>
    </row>
    <row r="500" spans="1:12">
      <c r="A500" s="20" t="s">
        <v>386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 t="s">
        <v>206</v>
      </c>
      <c r="B501" s="21" t="s">
        <v>175</v>
      </c>
      <c r="C501" s="21" t="s">
        <v>185</v>
      </c>
      <c r="D501" s="21" t="s">
        <v>119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 t="s">
        <v>275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225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387</v>
      </c>
      <c r="B504" s="21" t="s">
        <v>151</v>
      </c>
      <c r="C504" s="21" t="s">
        <v>126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 t="s">
        <v>127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 t="s">
        <v>202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244</v>
      </c>
      <c r="B507" s="21" t="s">
        <v>129</v>
      </c>
      <c r="C507" s="21" t="s">
        <v>118</v>
      </c>
      <c r="D507" s="21" t="s">
        <v>119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 t="s">
        <v>187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 t="s">
        <v>388</v>
      </c>
      <c r="E509" s="22">
        <f>IF(D509="?OLD","!!!","")</f>
        <v/>
      </c>
      <c r="F509" s="23" t="str">
        <f>IF(OR(E509="",E509="!!!"),"",IF(NOT(ISNA(VLOOKUP(E509,E$1:E508,1,FALSE()))),"OLD",IF(AND(E509&lt;&gt;"",E509&lt;&gt;"!!!"),"NEW","")))</f>
        <v> </v>
      </c>
      <c r="G509" s="24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5" t="str">
        <f>IF(J509&lt;&gt;1,"",IF(I509="SBJ","CB","?"))</f>
        <v> </v>
      </c>
      <c r="I509" s="26" t="str">
        <f>IF(OR(E509="",E509="!!!",F509="NEW"),"",INDEX(B508:B$2,-1+SUMPRODUCT(MAX(ROW(E508:E$2)*(E509=E508:E$2)))))</f>
        <v> </v>
      </c>
      <c r="J509" s="26" t="str">
        <f>IF(OR(E509="",E509="!!!",F509="NEW"),"",COUNTBLANK(OFFSET(A$1,,,SUMPRODUCT(MAX(ROW(E$2:E509)*(E509=E$2:E509)))))-COUNTBLANK(OFFSET(A$1,,,SUMPRODUCT(MAX(ROW(E$1:E508)*(E2=E$1:E508))))))</f>
        <v> </v>
      </c>
      <c r="K509" s="26" t="str">
        <f>IF(OR(E509="",E509="!!!",F509="NEW"),"",INDEX(J$1:J508,SUMPRODUCT(MAX(ROW(E$1:E508)*(E509=E$1:E508)))))</f>
        <v> </v>
      </c>
      <c r="L509" s="27"/>
    </row>
    <row r="510" spans="1:12">
      <c r="A510" s="20" t="s">
        <v>132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389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390</v>
      </c>
      <c r="B512" s="21" t="s">
        <v>162</v>
      </c>
      <c r="C512" s="21" t="s">
        <v>330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391</v>
      </c>
      <c r="B513" s="21" t="s">
        <v>139</v>
      </c>
      <c r="C513" s="21" t="s">
        <v>185</v>
      </c>
      <c r="D513" s="21" t="s">
        <v>119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392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163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393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394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 t="s">
        <v>244</v>
      </c>
      <c r="B518" s="21" t="s">
        <v>129</v>
      </c>
      <c r="C518" s="21" t="s">
        <v>118</v>
      </c>
      <c r="D518" s="21" t="s">
        <v>119</v>
      </c>
      <c r="E518" s="22">
        <f>IF(D518="?OLD","!!!","")</f>
        <v/>
      </c>
      <c r="F518" s="23" t="str">
        <f>IF(OR(E518="",E518="!!!"),"",IF(NOT(ISNA(VLOOKUP(E518,E$1:E517,1,FALSE()))),"OLD",IF(AND(E518&lt;&gt;"",E518&lt;&gt;"!!!"),"NEW","")))</f>
        <v> </v>
      </c>
      <c r="G518" s="24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5" t="str">
        <f>IF(J518&lt;&gt;1,"",IF(I518="SBJ","CB","?"))</f>
        <v> </v>
      </c>
      <c r="I518" s="26" t="str">
        <f>IF(OR(E518="",E518="!!!",F518="NEW"),"",INDEX(B517:B$2,-1+SUMPRODUCT(MAX(ROW(E517:E$2)*(E518=E517:E$2)))))</f>
        <v> </v>
      </c>
      <c r="J518" s="26" t="str">
        <f>IF(OR(E518="",E518="!!!",F518="NEW"),"",COUNTBLANK(OFFSET(A$1,,,SUMPRODUCT(MAX(ROW(E$2:E518)*(E518=E$2:E518)))))-COUNTBLANK(OFFSET(A$1,,,SUMPRODUCT(MAX(ROW(E$1:E517)*(E2=E$1:E517))))))</f>
        <v> </v>
      </c>
      <c r="K518" s="26" t="str">
        <f>IF(OR(E518="",E518="!!!",F518="NEW"),"",INDEX(J$1:J517,SUMPRODUCT(MAX(ROW(E$1:E517)*(E518=E$1:E517)))))</f>
        <v> </v>
      </c>
      <c r="L518" s="27"/>
    </row>
    <row r="519" spans="1:12">
      <c r="A519" s="20" t="s">
        <v>223</v>
      </c>
      <c r="E519" s="22">
        <f>IF(D519="?OLD","!!!","")</f>
        <v/>
      </c>
      <c r="F519" s="23" t="str">
        <f>IF(OR(E519="",E519="!!!"),"",IF(NOT(ISNA(VLOOKUP(E519,E$1:E518,1,FALSE()))),"OLD",IF(AND(E519&lt;&gt;"",E519&lt;&gt;"!!!"),"NEW","")))</f>
        <v> </v>
      </c>
      <c r="G519" s="24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5" t="str">
        <f>IF(J519&lt;&gt;1,"",IF(I519="SBJ","CB","?"))</f>
        <v> </v>
      </c>
      <c r="I519" s="26" t="str">
        <f>IF(OR(E519="",E519="!!!",F519="NEW"),"",INDEX(B518:B$2,-1+SUMPRODUCT(MAX(ROW(E518:E$2)*(E519=E518:E$2)))))</f>
        <v> </v>
      </c>
      <c r="J519" s="26" t="str">
        <f>IF(OR(E519="",E519="!!!",F519="NEW"),"",COUNTBLANK(OFFSET(A$1,,,SUMPRODUCT(MAX(ROW(E$2:E519)*(E519=E$2:E519)))))-COUNTBLANK(OFFSET(A$1,,,SUMPRODUCT(MAX(ROW(E$1:E518)*(E2=E$1:E518))))))</f>
        <v> </v>
      </c>
      <c r="K519" s="26" t="str">
        <f>IF(OR(E519="",E519="!!!",F519="NEW"),"",INDEX(J$1:J518,SUMPRODUCT(MAX(ROW(E$1:E518)*(E519=E$1:E518)))))</f>
        <v> </v>
      </c>
      <c r="L519" s="27"/>
    </row>
    <row r="520" spans="1:12">
      <c r="A520" s="20" t="s">
        <v>383</v>
      </c>
      <c r="B520" s="21" t="s">
        <v>175</v>
      </c>
      <c r="C520" s="21" t="s">
        <v>152</v>
      </c>
      <c r="D520" s="21" t="s">
        <v>119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 t="s">
        <v>191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153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395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339</v>
      </c>
      <c r="B524" s="21" t="s">
        <v>175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 t="s">
        <v>224</v>
      </c>
      <c r="E525" s="22">
        <f>IF(D525="?OLD","!!!","")</f>
        <v/>
      </c>
      <c r="F525" s="23" t="str">
        <f>IF(OR(E525="",E525="!!!"),"",IF(NOT(ISNA(VLOOKUP(E525,E$1:E524,1,FALSE()))),"OLD",IF(AND(E525&lt;&gt;"",E525&lt;&gt;"!!!"),"NEW","")))</f>
        <v> </v>
      </c>
      <c r="G525" s="24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5" t="str">
        <f>IF(J525&lt;&gt;1,"",IF(I525="SBJ","CB","?"))</f>
        <v> </v>
      </c>
      <c r="I525" s="26" t="str">
        <f>IF(OR(E525="",E525="!!!",F525="NEW"),"",INDEX(B524:B$2,-1+SUMPRODUCT(MAX(ROW(E524:E$2)*(E525=E524:E$2)))))</f>
        <v> </v>
      </c>
      <c r="J525" s="26" t="str">
        <f>IF(OR(E525="",E525="!!!",F525="NEW"),"",COUNTBLANK(OFFSET(A$1,,,SUMPRODUCT(MAX(ROW(E$2:E525)*(E525=E$2:E525)))))-COUNTBLANK(OFFSET(A$1,,,SUMPRODUCT(MAX(ROW(E$1:E524)*(E2=E$1:E524))))))</f>
        <v> </v>
      </c>
      <c r="K525" s="26" t="str">
        <f>IF(OR(E525="",E525="!!!",F525="NEW"),"",INDEX(J$1:J524,SUMPRODUCT(MAX(ROW(E$1:E524)*(E525=E$1:E524)))))</f>
        <v> </v>
      </c>
      <c r="L525" s="27"/>
    </row>
    <row r="526" spans="1:12">
      <c r="A526" s="20" t="s">
        <v>128</v>
      </c>
      <c r="E526" s="22">
        <f>IF(D526="?OLD","!!!","")</f>
        <v/>
      </c>
      <c r="F526" s="23" t="str">
        <f>IF(OR(E526="",E526="!!!"),"",IF(NOT(ISNA(VLOOKUP(E526,E$1:E525,1,FALSE()))),"OLD",IF(AND(E526&lt;&gt;"",E526&lt;&gt;"!!!"),"NEW","")))</f>
        <v> </v>
      </c>
      <c r="G526" s="24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5" t="str">
        <f>IF(J526&lt;&gt;1,"",IF(I526="SBJ","CB","?"))</f>
        <v> </v>
      </c>
      <c r="I526" s="26" t="str">
        <f>IF(OR(E526="",E526="!!!",F526="NEW"),"",INDEX(B525:B$2,-1+SUMPRODUCT(MAX(ROW(E525:E$2)*(E526=E525:E$2)))))</f>
        <v> </v>
      </c>
      <c r="J526" s="26" t="str">
        <f>IF(OR(E526="",E526="!!!",F526="NEW"),"",COUNTBLANK(OFFSET(A$1,,,SUMPRODUCT(MAX(ROW(E$2:E526)*(E526=E$2:E526)))))-COUNTBLANK(OFFSET(A$1,,,SUMPRODUCT(MAX(ROW(E$1:E525)*(E2=E$1:E525))))))</f>
        <v> </v>
      </c>
      <c r="K526" s="26" t="str">
        <f>IF(OR(E526="",E526="!!!",F526="NEW"),"",INDEX(J$1:J525,SUMPRODUCT(MAX(ROW(E$1:E525)*(E526=E$1:E525)))))</f>
        <v> </v>
      </c>
      <c r="L526" s="27"/>
    </row>
    <row r="527" spans="1:12">
      <c r="A527" s="20" t="s">
        <v>396</v>
      </c>
      <c r="B527" s="21" t="s">
        <v>162</v>
      </c>
      <c r="C527" s="21" t="s">
        <v>152</v>
      </c>
      <c r="D527" s="21" t="s">
        <v>119</v>
      </c>
      <c r="E527" s="22">
        <f>IF(D527="?OLD","!!!","")</f>
        <v/>
      </c>
      <c r="F527" s="23" t="str">
        <f>IF(OR(E527="",E527="!!!"),"",IF(NOT(ISNA(VLOOKUP(E527,E$1:E526,1,FALSE()))),"OLD",IF(AND(E527&lt;&gt;"",E527&lt;&gt;"!!!"),"NEW","")))</f>
        <v> </v>
      </c>
      <c r="G527" s="24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5" t="str">
        <f>IF(J527&lt;&gt;1,"",IF(I527="SBJ","CB","?"))</f>
        <v> </v>
      </c>
      <c r="I527" s="26" t="str">
        <f>IF(OR(E527="",E527="!!!",F527="NEW"),"",INDEX(B526:B$2,-1+SUMPRODUCT(MAX(ROW(E526:E$2)*(E527=E526:E$2)))))</f>
        <v> </v>
      </c>
      <c r="J527" s="26" t="str">
        <f>IF(OR(E527="",E527="!!!",F527="NEW"),"",COUNTBLANK(OFFSET(A$1,,,SUMPRODUCT(MAX(ROW(E$2:E527)*(E527=E$2:E527)))))-COUNTBLANK(OFFSET(A$1,,,SUMPRODUCT(MAX(ROW(E$1:E526)*(E2=E$1:E526))))))</f>
        <v> </v>
      </c>
      <c r="K527" s="26" t="str">
        <f>IF(OR(E527="",E527="!!!",F527="NEW"),"",INDEX(J$1:J526,SUMPRODUCT(MAX(ROW(E$1:E526)*(E527=E$1:E526)))))</f>
        <v> </v>
      </c>
      <c r="L527" s="27"/>
    </row>
    <row r="528" spans="1:12">
      <c r="A528" s="20" t="s">
        <v>235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 t="s">
        <v>90</v>
      </c>
      <c r="B529" s="21" t="s">
        <v>134</v>
      </c>
      <c r="C529" s="21" t="s">
        <v>152</v>
      </c>
      <c r="D529" s="21" t="s">
        <v>119</v>
      </c>
      <c r="E529" s="22">
        <f>IF(D529="?OLD","!!!","")</f>
        <v/>
      </c>
      <c r="F529" s="23" t="str">
        <f>IF(OR(E529="",E529="!!!"),"",IF(NOT(ISNA(VLOOKUP(E529,E$1:E528,1,FALSE()))),"OLD",IF(AND(E529&lt;&gt;"",E529&lt;&gt;"!!!"),"NEW","")))</f>
        <v> </v>
      </c>
      <c r="G529" s="24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5" t="str">
        <f>IF(J529&lt;&gt;1,"",IF(I529="SBJ","CB","?"))</f>
        <v> </v>
      </c>
      <c r="I529" s="26" t="str">
        <f>IF(OR(E529="",E529="!!!",F529="NEW"),"",INDEX(B528:B$2,-1+SUMPRODUCT(MAX(ROW(E528:E$2)*(E529=E528:E$2)))))</f>
        <v> </v>
      </c>
      <c r="J529" s="26" t="str">
        <f>IF(OR(E529="",E529="!!!",F529="NEW"),"",COUNTBLANK(OFFSET(A$1,,,SUMPRODUCT(MAX(ROW(E$2:E529)*(E529=E$2:E529)))))-COUNTBLANK(OFFSET(A$1,,,SUMPRODUCT(MAX(ROW(E$1:E528)*(E2=E$1:E528))))))</f>
        <v> </v>
      </c>
      <c r="K529" s="26" t="str">
        <f>IF(OR(E529="",E529="!!!",F529="NEW"),"",INDEX(J$1:J528,SUMPRODUCT(MAX(ROW(E$1:E528)*(E529=E$1:E528)))))</f>
        <v> </v>
      </c>
      <c r="L529" s="27"/>
    </row>
    <row r="530" spans="1:12">
      <c r="A530" s="20" t="s">
        <v>153</v>
      </c>
      <c r="E530" s="22">
        <f>IF(D530="?OLD","!!!","")</f>
        <v/>
      </c>
      <c r="F530" s="23" t="str">
        <f>IF(OR(E530="",E530="!!!"),"",IF(NOT(ISNA(VLOOKUP(E530,E$1:E529,1,FALSE()))),"OLD",IF(AND(E530&lt;&gt;"",E530&lt;&gt;"!!!"),"NEW","")))</f>
        <v> </v>
      </c>
      <c r="G530" s="24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5" t="str">
        <f>IF(J530&lt;&gt;1,"",IF(I530="SBJ","CB","?"))</f>
        <v> </v>
      </c>
      <c r="I530" s="26" t="str">
        <f>IF(OR(E530="",E530="!!!",F530="NEW"),"",INDEX(B529:B$2,-1+SUMPRODUCT(MAX(ROW(E529:E$2)*(E530=E529:E$2)))))</f>
        <v> </v>
      </c>
      <c r="J530" s="26" t="str">
        <f>IF(OR(E530="",E530="!!!",F530="NEW"),"",COUNTBLANK(OFFSET(A$1,,,SUMPRODUCT(MAX(ROW(E$2:E530)*(E530=E$2:E530)))))-COUNTBLANK(OFFSET(A$1,,,SUMPRODUCT(MAX(ROW(E$1:E529)*(E2=E$1:E529))))))</f>
        <v> </v>
      </c>
      <c r="K530" s="26" t="str">
        <f>IF(OR(E530="",E530="!!!",F530="NEW"),"",INDEX(J$1:J529,SUMPRODUCT(MAX(ROW(E$1:E529)*(E530=E$1:E529)))))</f>
        <v> </v>
      </c>
      <c r="L530" s="27"/>
    </row>
    <row r="531" spans="1:12">
      <c r="A531" s="20" t="s">
        <v>397</v>
      </c>
      <c r="E531" s="22">
        <f>IF(D531="?OLD","!!!","")</f>
        <v/>
      </c>
      <c r="F531" s="23" t="str">
        <f>IF(OR(E531="",E531="!!!"),"",IF(NOT(ISNA(VLOOKUP(E531,E$1:E530,1,FALSE()))),"OLD",IF(AND(E531&lt;&gt;"",E531&lt;&gt;"!!!"),"NEW","")))</f>
        <v> </v>
      </c>
      <c r="G531" s="24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5" t="str">
        <f>IF(J531&lt;&gt;1,"",IF(I531="SBJ","CB","?"))</f>
        <v> </v>
      </c>
      <c r="I531" s="26" t="str">
        <f>IF(OR(E531="",E531="!!!",F531="NEW"),"",INDEX(B530:B$2,-1+SUMPRODUCT(MAX(ROW(E530:E$2)*(E531=E530:E$2)))))</f>
        <v> </v>
      </c>
      <c r="J531" s="26" t="str">
        <f>IF(OR(E531="",E531="!!!",F531="NEW"),"",COUNTBLANK(OFFSET(A$1,,,SUMPRODUCT(MAX(ROW(E$2:E531)*(E531=E$2:E531)))))-COUNTBLANK(OFFSET(A$1,,,SUMPRODUCT(MAX(ROW(E$1:E530)*(E2=E$1:E530))))))</f>
        <v> </v>
      </c>
      <c r="K531" s="26" t="str">
        <f>IF(OR(E531="",E531="!!!",F531="NEW"),"",INDEX(J$1:J530,SUMPRODUCT(MAX(ROW(E$1:E530)*(E531=E$1:E530)))))</f>
        <v> </v>
      </c>
      <c r="L531" s="27"/>
    </row>
    <row r="532" spans="1:12">
      <c r="A532" s="20" t="s">
        <v>331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 t="s">
        <v>182</v>
      </c>
      <c r="B533" s="21" t="s">
        <v>162</v>
      </c>
      <c r="C533" s="21" t="s">
        <v>145</v>
      </c>
      <c r="E533" s="22">
        <f>IF(D533="?OLD","!!!","")</f>
        <v/>
      </c>
      <c r="F533" s="23" t="str">
        <f>IF(OR(E533="",E533="!!!"),"",IF(NOT(ISNA(VLOOKUP(E533,E$1:E532,1,FALSE()))),"OLD",IF(AND(E533&lt;&gt;"",E533&lt;&gt;"!!!"),"NEW","")))</f>
        <v> </v>
      </c>
      <c r="G533" s="24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5" t="str">
        <f>IF(J533&lt;&gt;1,"",IF(I533="SBJ","CB","?"))</f>
        <v> </v>
      </c>
      <c r="I533" s="26" t="str">
        <f>IF(OR(E533="",E533="!!!",F533="NEW"),"",INDEX(B532:B$2,-1+SUMPRODUCT(MAX(ROW(E532:E$2)*(E533=E532:E$2)))))</f>
        <v> </v>
      </c>
      <c r="J533" s="26" t="str">
        <f>IF(OR(E533="",E533="!!!",F533="NEW"),"",COUNTBLANK(OFFSET(A$1,,,SUMPRODUCT(MAX(ROW(E$2:E533)*(E533=E$2:E533)))))-COUNTBLANK(OFFSET(A$1,,,SUMPRODUCT(MAX(ROW(E$1:E532)*(E2=E$1:E532))))))</f>
        <v> </v>
      </c>
      <c r="K533" s="26" t="str">
        <f>IF(OR(E533="",E533="!!!",F533="NEW"),"",INDEX(J$1:J532,SUMPRODUCT(MAX(ROW(E$1:E532)*(E533=E$1:E532)))))</f>
        <v> </v>
      </c>
      <c r="L533" s="27"/>
    </row>
    <row r="534" spans="1:12">
      <c r="A534" s="20" t="s">
        <v>127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 t="s">
        <v>223</v>
      </c>
      <c r="B535" s="21" t="s">
        <v>158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398</v>
      </c>
      <c r="B536" s="21" t="s">
        <v>213</v>
      </c>
      <c r="C536" s="21" t="s">
        <v>135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 t="s">
        <v>399</v>
      </c>
      <c r="B537" s="21" t="s">
        <v>343</v>
      </c>
      <c r="C537" s="21" t="s">
        <v>330</v>
      </c>
      <c r="E537" s="22">
        <f>IF(D537="?OLD","!!!","")</f>
        <v/>
      </c>
      <c r="F537" s="23" t="str">
        <f>IF(OR(E537="",E537="!!!"),"",IF(NOT(ISNA(VLOOKUP(E537,E$1:E536,1,FALSE()))),"OLD",IF(AND(E537&lt;&gt;"",E537&lt;&gt;"!!!"),"NEW","")))</f>
        <v> </v>
      </c>
      <c r="G537" s="24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5" t="str">
        <f>IF(J537&lt;&gt;1,"",IF(I537="SBJ","CB","?"))</f>
        <v> </v>
      </c>
      <c r="I537" s="26" t="str">
        <f>IF(OR(E537="",E537="!!!",F537="NEW"),"",INDEX(B536:B$2,-1+SUMPRODUCT(MAX(ROW(E536:E$2)*(E537=E536:E$2)))))</f>
        <v> </v>
      </c>
      <c r="J537" s="26" t="str">
        <f>IF(OR(E537="",E537="!!!",F537="NEW"),"",COUNTBLANK(OFFSET(A$1,,,SUMPRODUCT(MAX(ROW(E$2:E537)*(E537=E$2:E537)))))-COUNTBLANK(OFFSET(A$1,,,SUMPRODUCT(MAX(ROW(E$1:E536)*(E2=E$1:E536))))))</f>
        <v> </v>
      </c>
      <c r="K537" s="26" t="str">
        <f>IF(OR(E537="",E537="!!!",F537="NEW"),"",INDEX(J$1:J536,SUMPRODUCT(MAX(ROW(E$1:E536)*(E537=E$1:E536)))))</f>
        <v> </v>
      </c>
      <c r="L537" s="27"/>
    </row>
    <row r="538" spans="1:12">
      <c r="A538" s="20" t="s">
        <v>400</v>
      </c>
      <c r="E538" s="22">
        <f>IF(D538="?OLD","!!!","")</f>
        <v/>
      </c>
      <c r="F538" s="23" t="str">
        <f>IF(OR(E538="",E538="!!!"),"",IF(NOT(ISNA(VLOOKUP(E538,E$1:E537,1,FALSE()))),"OLD",IF(AND(E538&lt;&gt;"",E538&lt;&gt;"!!!"),"NEW","")))</f>
        <v> </v>
      </c>
      <c r="G538" s="24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5" t="str">
        <f>IF(J538&lt;&gt;1,"",IF(I538="SBJ","CB","?"))</f>
        <v> </v>
      </c>
      <c r="I538" s="26" t="str">
        <f>IF(OR(E538="",E538="!!!",F538="NEW"),"",INDEX(B537:B$2,-1+SUMPRODUCT(MAX(ROW(E537:E$2)*(E538=E537:E$2)))))</f>
        <v> </v>
      </c>
      <c r="J538" s="26" t="str">
        <f>IF(OR(E538="",E538="!!!",F538="NEW"),"",COUNTBLANK(OFFSET(A$1,,,SUMPRODUCT(MAX(ROW(E$2:E538)*(E538=E$2:E538)))))-COUNTBLANK(OFFSET(A$1,,,SUMPRODUCT(MAX(ROW(E$1:E537)*(E2=E$1:E537))))))</f>
        <v> </v>
      </c>
      <c r="K538" s="26" t="str">
        <f>IF(OR(E538="",E538="!!!",F538="NEW"),"",INDEX(J$1:J537,SUMPRODUCT(MAX(ROW(E$1:E537)*(E538=E$1:E537)))))</f>
        <v> </v>
      </c>
      <c r="L538" s="27"/>
    </row>
    <row r="539" spans="1:12">
      <c r="A539" s="20" t="s">
        <v>325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 t="s">
        <v>223</v>
      </c>
      <c r="E540" s="22">
        <f>IF(D540="?OLD","!!!","")</f>
        <v/>
      </c>
      <c r="F540" s="23" t="str">
        <f>IF(OR(E540="",E540="!!!"),"",IF(NOT(ISNA(VLOOKUP(E540,E$1:E539,1,FALSE()))),"OLD",IF(AND(E540&lt;&gt;"",E540&lt;&gt;"!!!"),"NEW","")))</f>
        <v> </v>
      </c>
      <c r="G540" s="24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5" t="str">
        <f>IF(J540&lt;&gt;1,"",IF(I540="SBJ","CB","?"))</f>
        <v> </v>
      </c>
      <c r="I540" s="26" t="str">
        <f>IF(OR(E540="",E540="!!!",F540="NEW"),"",INDEX(B539:B$2,-1+SUMPRODUCT(MAX(ROW(E539:E$2)*(E540=E539:E$2)))))</f>
        <v> </v>
      </c>
      <c r="J540" s="26" t="str">
        <f>IF(OR(E540="",E540="!!!",F540="NEW"),"",COUNTBLANK(OFFSET(A$1,,,SUMPRODUCT(MAX(ROW(E$2:E540)*(E540=E$2:E540)))))-COUNTBLANK(OFFSET(A$1,,,SUMPRODUCT(MAX(ROW(E$1:E539)*(E2=E$1:E539))))))</f>
        <v> </v>
      </c>
      <c r="K540" s="26" t="str">
        <f>IF(OR(E540="",E540="!!!",F540="NEW"),"",INDEX(J$1:J539,SUMPRODUCT(MAX(ROW(E$1:E539)*(E540=E$1:E539)))))</f>
        <v> </v>
      </c>
      <c r="L540" s="27"/>
    </row>
    <row r="541" spans="1:12">
      <c r="A541" s="20" t="s">
        <v>383</v>
      </c>
      <c r="B541" s="21" t="s">
        <v>215</v>
      </c>
      <c r="C541" s="21" t="s">
        <v>152</v>
      </c>
      <c r="D541" s="21" t="s">
        <v>119</v>
      </c>
      <c r="E541" s="22">
        <f>IF(D541="?OLD","!!!","")</f>
        <v/>
      </c>
      <c r="F541" s="23" t="str">
        <f>IF(OR(E541="",E541="!!!"),"",IF(NOT(ISNA(VLOOKUP(E541,E$1:E540,1,FALSE()))),"OLD",IF(AND(E541&lt;&gt;"",E541&lt;&gt;"!!!"),"NEW","")))</f>
        <v> </v>
      </c>
      <c r="G541" s="24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5" t="str">
        <f>IF(J541&lt;&gt;1,"",IF(I541="SBJ","CB","?"))</f>
        <v> </v>
      </c>
      <c r="I541" s="26" t="str">
        <f>IF(OR(E541="",E541="!!!",F541="NEW"),"",INDEX(B540:B$2,-1+SUMPRODUCT(MAX(ROW(E540:E$2)*(E541=E540:E$2)))))</f>
        <v> </v>
      </c>
      <c r="J541" s="26" t="str">
        <f>IF(OR(E541="",E541="!!!",F541="NEW"),"",COUNTBLANK(OFFSET(A$1,,,SUMPRODUCT(MAX(ROW(E$2:E541)*(E541=E$2:E541)))))-COUNTBLANK(OFFSET(A$1,,,SUMPRODUCT(MAX(ROW(E$1:E540)*(E2=E$1:E540))))))</f>
        <v> </v>
      </c>
      <c r="K541" s="26" t="str">
        <f>IF(OR(E541="",E541="!!!",F541="NEW"),"",INDEX(J$1:J540,SUMPRODUCT(MAX(ROW(E$1:E540)*(E541=E$1:E540)))))</f>
        <v> </v>
      </c>
      <c r="L541" s="27"/>
    </row>
    <row r="542" spans="1:12">
      <c r="A542" s="20" t="s">
        <v>401</v>
      </c>
      <c r="E542" s="22">
        <f>IF(D542="?OLD","!!!","")</f>
        <v/>
      </c>
      <c r="F542" s="23" t="str">
        <f>IF(OR(E542="",E542="!!!"),"",IF(NOT(ISNA(VLOOKUP(E542,E$1:E541,1,FALSE()))),"OLD",IF(AND(E542&lt;&gt;"",E542&lt;&gt;"!!!"),"NEW","")))</f>
        <v> </v>
      </c>
      <c r="G542" s="24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5" t="str">
        <f>IF(J542&lt;&gt;1,"",IF(I542="SBJ","CB","?"))</f>
        <v> </v>
      </c>
      <c r="I542" s="26" t="str">
        <f>IF(OR(E542="",E542="!!!",F542="NEW"),"",INDEX(B541:B$2,-1+SUMPRODUCT(MAX(ROW(E541:E$2)*(E542=E541:E$2)))))</f>
        <v> </v>
      </c>
      <c r="J542" s="26" t="str">
        <f>IF(OR(E542="",E542="!!!",F542="NEW"),"",COUNTBLANK(OFFSET(A$1,,,SUMPRODUCT(MAX(ROW(E$2:E542)*(E542=E$2:E542)))))-COUNTBLANK(OFFSET(A$1,,,SUMPRODUCT(MAX(ROW(E$1:E541)*(E2=E$1:E541))))))</f>
        <v> </v>
      </c>
      <c r="K542" s="26" t="str">
        <f>IF(OR(E542="",E542="!!!",F542="NEW"),"",INDEX(J$1:J541,SUMPRODUCT(MAX(ROW(E$1:E541)*(E542=E$1:E541)))))</f>
        <v> </v>
      </c>
      <c r="L542" s="27"/>
    </row>
    <row r="543" spans="1:12">
      <c r="A543" s="20" t="s">
        <v>192</v>
      </c>
      <c r="E543" s="22">
        <f>IF(D543="?OLD","!!!","")</f>
        <v/>
      </c>
      <c r="F543" s="23" t="str">
        <f>IF(OR(E543="",E543="!!!"),"",IF(NOT(ISNA(VLOOKUP(E543,E$1:E542,1,FALSE()))),"OLD",IF(AND(E543&lt;&gt;"",E543&lt;&gt;"!!!"),"NEW","")))</f>
        <v> </v>
      </c>
      <c r="G543" s="24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5" t="str">
        <f>IF(J543&lt;&gt;1,"",IF(I543="SBJ","CB","?"))</f>
        <v> </v>
      </c>
      <c r="I543" s="26" t="str">
        <f>IF(OR(E543="",E543="!!!",F543="NEW"),"",INDEX(B542:B$2,-1+SUMPRODUCT(MAX(ROW(E542:E$2)*(E543=E542:E$2)))))</f>
        <v> </v>
      </c>
      <c r="J543" s="26" t="str">
        <f>IF(OR(E543="",E543="!!!",F543="NEW"),"",COUNTBLANK(OFFSET(A$1,,,SUMPRODUCT(MAX(ROW(E$2:E543)*(E543=E$2:E543)))))-COUNTBLANK(OFFSET(A$1,,,SUMPRODUCT(MAX(ROW(E$1:E542)*(E2=E$1:E542))))))</f>
        <v> </v>
      </c>
      <c r="K543" s="26" t="str">
        <f>IF(OR(E543="",E543="!!!",F543="NEW"),"",INDEX(J$1:J542,SUMPRODUCT(MAX(ROW(E$1:E542)*(E543=E$1:E542)))))</f>
        <v> </v>
      </c>
      <c r="L543" s="27"/>
    </row>
    <row r="544" spans="1:12">
      <c r="A544" s="20" t="s">
        <v>402</v>
      </c>
      <c r="B544" s="21" t="s">
        <v>125</v>
      </c>
      <c r="C544" s="21" t="s">
        <v>218</v>
      </c>
      <c r="D544" s="21" t="s">
        <v>119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127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357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163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/>
    </row>
    <row r="549" spans="1:12">
      <c r="A549" s="20" t="s">
        <v>280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 t="s">
        <v>403</v>
      </c>
    </row>
    <row r="551" spans="1:12">
      <c r="A551" s="20" t="s">
        <v>359</v>
      </c>
      <c r="B551" s="21" t="s">
        <v>134</v>
      </c>
      <c r="C551" s="21" t="s">
        <v>317</v>
      </c>
      <c r="E551" s="22">
        <f>IF(D551="?OLD","!!!","")</f>
        <v/>
      </c>
      <c r="F551" s="23" t="str">
        <f>IF(OR(E551="",E551="!!!"),"",IF(NOT(ISNA(VLOOKUP(E551,E$1:E550,1,FALSE()))),"OLD",IF(AND(E551&lt;&gt;"",E551&lt;&gt;"!!!"),"NEW","")))</f>
        <v> </v>
      </c>
      <c r="G551" s="24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5" t="str">
        <f>IF(J551&lt;&gt;1,"",IF(I551="SBJ","CB","?"))</f>
        <v> </v>
      </c>
      <c r="I551" s="26" t="str">
        <f>IF(OR(E551="",E551="!!!",F551="NEW"),"",INDEX(B550:B$2,-1+SUMPRODUCT(MAX(ROW(E550:E$2)*(E551=E550:E$2)))))</f>
        <v> </v>
      </c>
      <c r="J551" s="26" t="str">
        <f>IF(OR(E551="",E551="!!!",F551="NEW"),"",COUNTBLANK(OFFSET(A$1,,,SUMPRODUCT(MAX(ROW(E$2:E551)*(E551=E$2:E551)))))-COUNTBLANK(OFFSET(A$1,,,SUMPRODUCT(MAX(ROW(E$1:E550)*(E2=E$1:E550))))))</f>
        <v> </v>
      </c>
      <c r="K551" s="26" t="str">
        <f>IF(OR(E551="",E551="!!!",F551="NEW"),"",INDEX(J$1:J550,SUMPRODUCT(MAX(ROW(E$1:E550)*(E551=E$1:E550)))))</f>
        <v> </v>
      </c>
      <c r="L551" s="27"/>
    </row>
    <row r="552" spans="1:12">
      <c r="A552" s="20" t="s">
        <v>360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 t="s">
        <v>319</v>
      </c>
      <c r="E553" s="22">
        <f>IF(D553="?OLD","!!!","")</f>
        <v/>
      </c>
      <c r="F553" s="23" t="str">
        <f>IF(OR(E553="",E553="!!!"),"",IF(NOT(ISNA(VLOOKUP(E553,E$1:E552,1,FALSE()))),"OLD",IF(AND(E553&lt;&gt;"",E553&lt;&gt;"!!!"),"NEW","")))</f>
        <v> </v>
      </c>
      <c r="G553" s="24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5" t="str">
        <f>IF(J553&lt;&gt;1,"",IF(I553="SBJ","CB","?"))</f>
        <v> </v>
      </c>
      <c r="I553" s="26" t="str">
        <f>IF(OR(E553="",E553="!!!",F553="NEW"),"",INDEX(B552:B$2,-1+SUMPRODUCT(MAX(ROW(E552:E$2)*(E553=E552:E$2)))))</f>
        <v> </v>
      </c>
      <c r="J553" s="26" t="str">
        <f>IF(OR(E553="",E553="!!!",F553="NEW"),"",COUNTBLANK(OFFSET(A$1,,,SUMPRODUCT(MAX(ROW(E$2:E553)*(E553=E$2:E553)))))-COUNTBLANK(OFFSET(A$1,,,SUMPRODUCT(MAX(ROW(E$1:E552)*(E2=E$1:E552))))))</f>
        <v> </v>
      </c>
      <c r="K553" s="26" t="str">
        <f>IF(OR(E553="",E553="!!!",F553="NEW"),"",INDEX(J$1:J552,SUMPRODUCT(MAX(ROW(E$1:E552)*(E553=E$1:E552)))))</f>
        <v> </v>
      </c>
      <c r="L553" s="27"/>
    </row>
    <row r="554" spans="1:12">
      <c r="A554" s="20" t="s">
        <v>286</v>
      </c>
      <c r="E554" s="22">
        <f>IF(D554="?OLD","!!!","")</f>
        <v/>
      </c>
      <c r="F554" s="23" t="str">
        <f>IF(OR(E554="",E554="!!!"),"",IF(NOT(ISNA(VLOOKUP(E554,E$1:E553,1,FALSE()))),"OLD",IF(AND(E554&lt;&gt;"",E554&lt;&gt;"!!!"),"NEW","")))</f>
        <v> </v>
      </c>
      <c r="G554" s="24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5" t="str">
        <f>IF(J554&lt;&gt;1,"",IF(I554="SBJ","CB","?"))</f>
        <v> </v>
      </c>
      <c r="I554" s="26" t="str">
        <f>IF(OR(E554="",E554="!!!",F554="NEW"),"",INDEX(B553:B$2,-1+SUMPRODUCT(MAX(ROW(E553:E$2)*(E554=E553:E$2)))))</f>
        <v> </v>
      </c>
      <c r="J554" s="26" t="str">
        <f>IF(OR(E554="",E554="!!!",F554="NEW"),"",COUNTBLANK(OFFSET(A$1,,,SUMPRODUCT(MAX(ROW(E$2:E554)*(E554=E$2:E554)))))-COUNTBLANK(OFFSET(A$1,,,SUMPRODUCT(MAX(ROW(E$1:E553)*(E2=E$1:E553))))))</f>
        <v> </v>
      </c>
      <c r="K554" s="26" t="str">
        <f>IF(OR(E554="",E554="!!!",F554="NEW"),"",INDEX(J$1:J553,SUMPRODUCT(MAX(ROW(E$1:E553)*(E554=E$1:E553)))))</f>
        <v> </v>
      </c>
      <c r="L554" s="27"/>
    </row>
    <row r="555" spans="1:12">
      <c r="A555" s="20" t="s">
        <v>43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 t="s">
        <v>182</v>
      </c>
      <c r="B556" s="21" t="s">
        <v>117</v>
      </c>
      <c r="C556" s="21" t="s">
        <v>145</v>
      </c>
      <c r="E556" s="22">
        <f>IF(D556="?OLD","!!!","")</f>
        <v/>
      </c>
      <c r="F556" s="23" t="str">
        <f>IF(OR(E556="",E556="!!!"),"",IF(NOT(ISNA(VLOOKUP(E556,E$1:E555,1,FALSE()))),"OLD",IF(AND(E556&lt;&gt;"",E556&lt;&gt;"!!!"),"NEW","")))</f>
        <v> </v>
      </c>
      <c r="G556" s="24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5" t="str">
        <f>IF(J556&lt;&gt;1,"",IF(I556="SBJ","CB","?"))</f>
        <v> </v>
      </c>
      <c r="I556" s="26" t="str">
        <f>IF(OR(E556="",E556="!!!",F556="NEW"),"",INDEX(B555:B$2,-1+SUMPRODUCT(MAX(ROW(E555:E$2)*(E556=E555:E$2)))))</f>
        <v> </v>
      </c>
      <c r="J556" s="26" t="str">
        <f>IF(OR(E556="",E556="!!!",F556="NEW"),"",COUNTBLANK(OFFSET(A$1,,,SUMPRODUCT(MAX(ROW(E$2:E556)*(E556=E$2:E556)))))-COUNTBLANK(OFFSET(A$1,,,SUMPRODUCT(MAX(ROW(E$1:E555)*(E2=E$1:E555))))))</f>
        <v> </v>
      </c>
      <c r="K556" s="26" t="str">
        <f>IF(OR(E556="",E556="!!!",F556="NEW"),"",INDEX(J$1:J555,SUMPRODUCT(MAX(ROW(E$1:E555)*(E556=E$1:E555)))))</f>
        <v> </v>
      </c>
      <c r="L556" s="27"/>
    </row>
    <row r="557" spans="1:12">
      <c r="A557" s="20" t="s">
        <v>127</v>
      </c>
      <c r="E557" s="22">
        <f>IF(D557="?OLD","!!!","")</f>
        <v/>
      </c>
      <c r="F557" s="23" t="str">
        <f>IF(OR(E557="",E557="!!!"),"",IF(NOT(ISNA(VLOOKUP(E557,E$1:E556,1,FALSE()))),"OLD",IF(AND(E557&lt;&gt;"",E557&lt;&gt;"!!!"),"NEW","")))</f>
        <v> </v>
      </c>
      <c r="G557" s="24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5" t="str">
        <f>IF(J557&lt;&gt;1,"",IF(I557="SBJ","CB","?"))</f>
        <v> </v>
      </c>
      <c r="I557" s="26" t="str">
        <f>IF(OR(E557="",E557="!!!",F557="NEW"),"",INDEX(B556:B$2,-1+SUMPRODUCT(MAX(ROW(E556:E$2)*(E557=E556:E$2)))))</f>
        <v> </v>
      </c>
      <c r="J557" s="26" t="str">
        <f>IF(OR(E557="",E557="!!!",F557="NEW"),"",COUNTBLANK(OFFSET(A$1,,,SUMPRODUCT(MAX(ROW(E$2:E557)*(E557=E$2:E557)))))-COUNTBLANK(OFFSET(A$1,,,SUMPRODUCT(MAX(ROW(E$1:E556)*(E2=E$1:E556))))))</f>
        <v> </v>
      </c>
      <c r="K557" s="26" t="str">
        <f>IF(OR(E557="",E557="!!!",F557="NEW"),"",INDEX(J$1:J556,SUMPRODUCT(MAX(ROW(E$1:E556)*(E557=E$1:E556)))))</f>
        <v> </v>
      </c>
      <c r="L557" s="27"/>
    </row>
    <row r="558" spans="1:12">
      <c r="A558" s="20" t="s">
        <v>261</v>
      </c>
      <c r="B558" s="21" t="s">
        <v>134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223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 t="s">
        <v>404</v>
      </c>
      <c r="E560" s="22">
        <f>IF(D560="?OLD","!!!","")</f>
        <v/>
      </c>
      <c r="F560" s="23" t="str">
        <f>IF(OR(E560="",E560="!!!"),"",IF(NOT(ISNA(VLOOKUP(E560,E$1:E559,1,FALSE()))),"OLD",IF(AND(E560&lt;&gt;"",E560&lt;&gt;"!!!"),"NEW","")))</f>
        <v> </v>
      </c>
      <c r="G560" s="24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5" t="str">
        <f>IF(J560&lt;&gt;1,"",IF(I560="SBJ","CB","?"))</f>
        <v> </v>
      </c>
      <c r="I560" s="26" t="str">
        <f>IF(OR(E560="",E560="!!!",F560="NEW"),"",INDEX(B559:B$2,-1+SUMPRODUCT(MAX(ROW(E559:E$2)*(E560=E559:E$2)))))</f>
        <v> </v>
      </c>
      <c r="J560" s="26" t="str">
        <f>IF(OR(E560="",E560="!!!",F560="NEW"),"",COUNTBLANK(OFFSET(A$1,,,SUMPRODUCT(MAX(ROW(E$2:E560)*(E560=E$2:E560)))))-COUNTBLANK(OFFSET(A$1,,,SUMPRODUCT(MAX(ROW(E$1:E559)*(E2=E$1:E559))))))</f>
        <v> </v>
      </c>
      <c r="K560" s="26" t="str">
        <f>IF(OR(E560="",E560="!!!",F560="NEW"),"",INDEX(J$1:J559,SUMPRODUCT(MAX(ROW(E$1:E559)*(E560=E$1:E559)))))</f>
        <v> </v>
      </c>
      <c r="L560" s="27"/>
    </row>
    <row r="561" spans="1:12">
      <c r="A561" s="20" t="s">
        <v>364</v>
      </c>
      <c r="B561" s="21" t="s">
        <v>139</v>
      </c>
      <c r="C561" s="21" t="s">
        <v>152</v>
      </c>
      <c r="D561" s="21" t="s">
        <v>119</v>
      </c>
      <c r="E561" s="22">
        <f>IF(D561="?OLD","!!!","")</f>
        <v/>
      </c>
      <c r="F561" s="23" t="str">
        <f>IF(OR(E561="",E561="!!!"),"",IF(NOT(ISNA(VLOOKUP(E561,E$1:E560,1,FALSE()))),"OLD",IF(AND(E561&lt;&gt;"",E561&lt;&gt;"!!!"),"NEW","")))</f>
        <v> </v>
      </c>
      <c r="G561" s="24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5" t="str">
        <f>IF(J561&lt;&gt;1,"",IF(I561="SBJ","CB","?"))</f>
        <v> </v>
      </c>
      <c r="I561" s="26" t="str">
        <f>IF(OR(E561="",E561="!!!",F561="NEW"),"",INDEX(B560:B$2,-1+SUMPRODUCT(MAX(ROW(E560:E$2)*(E561=E560:E$2)))))</f>
        <v> </v>
      </c>
      <c r="J561" s="26" t="str">
        <f>IF(OR(E561="",E561="!!!",F561="NEW"),"",COUNTBLANK(OFFSET(A$1,,,SUMPRODUCT(MAX(ROW(E$2:E561)*(E561=E$2:E561)))))-COUNTBLANK(OFFSET(A$1,,,SUMPRODUCT(MAX(ROW(E$1:E560)*(E2=E$1:E560))))))</f>
        <v> </v>
      </c>
      <c r="K561" s="26" t="str">
        <f>IF(OR(E561="",E561="!!!",F561="NEW"),"",INDEX(J$1:J560,SUMPRODUCT(MAX(ROW(E$1:E560)*(E561=E$1:E560)))))</f>
        <v> </v>
      </c>
      <c r="L561" s="27"/>
    </row>
    <row r="562" spans="1:12">
      <c r="A562" s="20" t="s">
        <v>300</v>
      </c>
      <c r="E562" s="22">
        <f>IF(D562="?OLD","!!!","")</f>
        <v/>
      </c>
      <c r="F562" s="23" t="str">
        <f>IF(OR(E562="",E562="!!!"),"",IF(NOT(ISNA(VLOOKUP(E562,E$1:E561,1,FALSE()))),"OLD",IF(AND(E562&lt;&gt;"",E562&lt;&gt;"!!!"),"NEW","")))</f>
        <v> </v>
      </c>
      <c r="G562" s="24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5" t="str">
        <f>IF(J562&lt;&gt;1,"",IF(I562="SBJ","CB","?"))</f>
        <v> </v>
      </c>
      <c r="I562" s="26" t="str">
        <f>IF(OR(E562="",E562="!!!",F562="NEW"),"",INDEX(B561:B$2,-1+SUMPRODUCT(MAX(ROW(E561:E$2)*(E562=E561:E$2)))))</f>
        <v> </v>
      </c>
      <c r="J562" s="26" t="str">
        <f>IF(OR(E562="",E562="!!!",F562="NEW"),"",COUNTBLANK(OFFSET(A$1,,,SUMPRODUCT(MAX(ROW(E$2:E562)*(E562=E$2:E562)))))-COUNTBLANK(OFFSET(A$1,,,SUMPRODUCT(MAX(ROW(E$1:E561)*(E2=E$1:E561))))))</f>
        <v> </v>
      </c>
      <c r="K562" s="26" t="str">
        <f>IF(OR(E562="",E562="!!!",F562="NEW"),"",INDEX(J$1:J561,SUMPRODUCT(MAX(ROW(E$1:E561)*(E562=E$1:E561)))))</f>
        <v> </v>
      </c>
      <c r="L562" s="27"/>
    </row>
    <row r="563" spans="1:12">
      <c r="A563" s="20" t="s">
        <v>405</v>
      </c>
      <c r="B563" s="21" t="s">
        <v>195</v>
      </c>
      <c r="C563" s="21" t="s">
        <v>152</v>
      </c>
      <c r="D563" s="21" t="s">
        <v>119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 t="s">
        <v>406</v>
      </c>
      <c r="E564" s="22">
        <f>IF(D564="?OLD","!!!","")</f>
        <v/>
      </c>
      <c r="F564" s="23" t="str">
        <f>IF(OR(E564="",E564="!!!"),"",IF(NOT(ISNA(VLOOKUP(E564,E$1:E563,1,FALSE()))),"OLD",IF(AND(E564&lt;&gt;"",E564&lt;&gt;"!!!"),"NEW","")))</f>
        <v> </v>
      </c>
      <c r="G564" s="24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5" t="str">
        <f>IF(J564&lt;&gt;1,"",IF(I564="SBJ","CB","?"))</f>
        <v> </v>
      </c>
      <c r="I564" s="26" t="str">
        <f>IF(OR(E564="",E564="!!!",F564="NEW"),"",INDEX(B563:B$2,-1+SUMPRODUCT(MAX(ROW(E563:E$2)*(E564=E563:E$2)))))</f>
        <v> </v>
      </c>
      <c r="J564" s="26" t="str">
        <f>IF(OR(E564="",E564="!!!",F564="NEW"),"",COUNTBLANK(OFFSET(A$1,,,SUMPRODUCT(MAX(ROW(E$2:E564)*(E564=E$2:E564)))))-COUNTBLANK(OFFSET(A$1,,,SUMPRODUCT(MAX(ROW(E$1:E563)*(E2=E$1:E563))))))</f>
        <v> </v>
      </c>
      <c r="K564" s="26" t="str">
        <f>IF(OR(E564="",E564="!!!",F564="NEW"),"",INDEX(J$1:J563,SUMPRODUCT(MAX(ROW(E$1:E563)*(E564=E$1:E563)))))</f>
        <v> </v>
      </c>
      <c r="L564" s="27"/>
    </row>
    <row r="565" spans="1:12">
      <c r="A565" s="20" t="s">
        <v>127</v>
      </c>
      <c r="E565" s="22">
        <f>IF(D565="?OLD","!!!","")</f>
        <v/>
      </c>
      <c r="F565" s="23" t="str">
        <f>IF(OR(E565="",E565="!!!"),"",IF(NOT(ISNA(VLOOKUP(E565,E$1:E564,1,FALSE()))),"OLD",IF(AND(E565&lt;&gt;"",E565&lt;&gt;"!!!"),"NEW","")))</f>
        <v> </v>
      </c>
      <c r="G565" s="24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5" t="str">
        <f>IF(J565&lt;&gt;1,"",IF(I565="SBJ","CB","?"))</f>
        <v> </v>
      </c>
      <c r="I565" s="26" t="str">
        <f>IF(OR(E565="",E565="!!!",F565="NEW"),"",INDEX(B564:B$2,-1+SUMPRODUCT(MAX(ROW(E564:E$2)*(E565=E564:E$2)))))</f>
        <v> </v>
      </c>
      <c r="J565" s="26" t="str">
        <f>IF(OR(E565="",E565="!!!",F565="NEW"),"",COUNTBLANK(OFFSET(A$1,,,SUMPRODUCT(MAX(ROW(E$2:E565)*(E565=E$2:E565)))))-COUNTBLANK(OFFSET(A$1,,,SUMPRODUCT(MAX(ROW(E$1:E564)*(E2=E$1:E564))))))</f>
        <v> </v>
      </c>
      <c r="K565" s="26" t="str">
        <f>IF(OR(E565="",E565="!!!",F565="NEW"),"",INDEX(J$1:J564,SUMPRODUCT(MAX(ROW(E$1:E564)*(E565=E$1:E564)))))</f>
        <v> </v>
      </c>
      <c r="L565" s="27"/>
    </row>
    <row r="566" spans="1:12">
      <c r="A566" s="20" t="s">
        <v>187</v>
      </c>
      <c r="E566" s="22">
        <f>IF(D566="?OLD","!!!","")</f>
        <v/>
      </c>
      <c r="F566" s="23" t="str">
        <f>IF(OR(E566="",E566="!!!"),"",IF(NOT(ISNA(VLOOKUP(E566,E$1:E565,1,FALSE()))),"OLD",IF(AND(E566&lt;&gt;"",E566&lt;&gt;"!!!"),"NEW","")))</f>
        <v> </v>
      </c>
      <c r="G566" s="24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5" t="str">
        <f>IF(J566&lt;&gt;1,"",IF(I566="SBJ","CB","?"))</f>
        <v> </v>
      </c>
      <c r="I566" s="26" t="str">
        <f>IF(OR(E566="",E566="!!!",F566="NEW"),"",INDEX(B565:B$2,-1+SUMPRODUCT(MAX(ROW(E565:E$2)*(E566=E565:E$2)))))</f>
        <v> </v>
      </c>
      <c r="J566" s="26" t="str">
        <f>IF(OR(E566="",E566="!!!",F566="NEW"),"",COUNTBLANK(OFFSET(A$1,,,SUMPRODUCT(MAX(ROW(E$2:E566)*(E566=E$2:E566)))))-COUNTBLANK(OFFSET(A$1,,,SUMPRODUCT(MAX(ROW(E$1:E565)*(E2=E$1:E565))))))</f>
        <v> </v>
      </c>
      <c r="K566" s="26" t="str">
        <f>IF(OR(E566="",E566="!!!",F566="NEW"),"",INDEX(J$1:J565,SUMPRODUCT(MAX(ROW(E$1:E565)*(E566=E$1:E565)))))</f>
        <v> </v>
      </c>
      <c r="L566" s="27"/>
    </row>
    <row r="567" spans="1:12">
      <c r="A567" s="20" t="s">
        <v>318</v>
      </c>
      <c r="E567" s="22">
        <f>IF(D567="?OLD","!!!","")</f>
        <v/>
      </c>
      <c r="F567" s="23" t="str">
        <f>IF(OR(E567="",E567="!!!"),"",IF(NOT(ISNA(VLOOKUP(E567,E$1:E566,1,FALSE()))),"OLD",IF(AND(E567&lt;&gt;"",E567&lt;&gt;"!!!"),"NEW","")))</f>
        <v> </v>
      </c>
      <c r="G567" s="24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5" t="str">
        <f>IF(J567&lt;&gt;1,"",IF(I567="SBJ","CB","?"))</f>
        <v> </v>
      </c>
      <c r="I567" s="26" t="str">
        <f>IF(OR(E567="",E567="!!!",F567="NEW"),"",INDEX(B566:B$2,-1+SUMPRODUCT(MAX(ROW(E566:E$2)*(E567=E566:E$2)))))</f>
        <v> </v>
      </c>
      <c r="J567" s="26" t="str">
        <f>IF(OR(E567="",E567="!!!",F567="NEW"),"",COUNTBLANK(OFFSET(A$1,,,SUMPRODUCT(MAX(ROW(E$2:E567)*(E567=E$2:E567)))))-COUNTBLANK(OFFSET(A$1,,,SUMPRODUCT(MAX(ROW(E$1:E566)*(E2=E$1:E566))))))</f>
        <v> </v>
      </c>
      <c r="K567" s="26" t="str">
        <f>IF(OR(E567="",E567="!!!",F567="NEW"),"",INDEX(J$1:J566,SUMPRODUCT(MAX(ROW(E$1:E566)*(E567=E$1:E566)))))</f>
        <v> </v>
      </c>
      <c r="L567" s="27"/>
    </row>
    <row r="568" spans="1:12">
      <c r="A568" s="20" t="s">
        <v>407</v>
      </c>
      <c r="B568" s="21" t="s">
        <v>172</v>
      </c>
      <c r="C568" s="21" t="s">
        <v>145</v>
      </c>
      <c r="E568" s="22">
        <f>IF(D568="?OLD","!!!","")</f>
        <v/>
      </c>
      <c r="F568" s="23" t="str">
        <f>IF(OR(E568="",E568="!!!"),"",IF(NOT(ISNA(VLOOKUP(E568,E$1:E567,1,FALSE()))),"OLD",IF(AND(E568&lt;&gt;"",E568&lt;&gt;"!!!"),"NEW","")))</f>
        <v> </v>
      </c>
      <c r="G568" s="24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5" t="str">
        <f>IF(J568&lt;&gt;1,"",IF(I568="SBJ","CB","?"))</f>
        <v> </v>
      </c>
      <c r="I568" s="26" t="str">
        <f>IF(OR(E568="",E568="!!!",F568="NEW"),"",INDEX(B567:B$2,-1+SUMPRODUCT(MAX(ROW(E567:E$2)*(E568=E567:E$2)))))</f>
        <v> </v>
      </c>
      <c r="J568" s="26" t="str">
        <f>IF(OR(E568="",E568="!!!",F568="NEW"),"",COUNTBLANK(OFFSET(A$1,,,SUMPRODUCT(MAX(ROW(E$2:E568)*(E568=E$2:E568)))))-COUNTBLANK(OFFSET(A$1,,,SUMPRODUCT(MAX(ROW(E$1:E567)*(E2=E$1:E567))))))</f>
        <v> </v>
      </c>
      <c r="K568" s="26" t="str">
        <f>IF(OR(E568="",E568="!!!",F568="NEW"),"",INDEX(J$1:J567,SUMPRODUCT(MAX(ROW(E$1:E567)*(E568=E$1:E567)))))</f>
        <v> </v>
      </c>
      <c r="L568" s="27"/>
    </row>
    <row r="569" spans="1:12">
      <c r="A569" s="20" t="s">
        <v>127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 t="s">
        <v>243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 t="s">
        <v>319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 t="s">
        <v>157</v>
      </c>
      <c r="B572" s="21" t="s">
        <v>129</v>
      </c>
      <c r="C572" s="21" t="s">
        <v>118</v>
      </c>
      <c r="D572" s="21" t="s">
        <v>119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 t="s">
        <v>408</v>
      </c>
      <c r="E573" s="22">
        <f>IF(D573="?OLD","!!!","")</f>
        <v/>
      </c>
      <c r="F573" s="23" t="str">
        <f>IF(OR(E573="",E573="!!!"),"",IF(NOT(ISNA(VLOOKUP(E573,E$1:E572,1,FALSE()))),"OLD",IF(AND(E573&lt;&gt;"",E573&lt;&gt;"!!!"),"NEW","")))</f>
        <v> </v>
      </c>
      <c r="G573" s="24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5" t="str">
        <f>IF(J573&lt;&gt;1,"",IF(I573="SBJ","CB","?"))</f>
        <v> </v>
      </c>
      <c r="I573" s="26" t="str">
        <f>IF(OR(E573="",E573="!!!",F573="NEW"),"",INDEX(B572:B$2,-1+SUMPRODUCT(MAX(ROW(E572:E$2)*(E573=E572:E$2)))))</f>
        <v> </v>
      </c>
      <c r="J573" s="26" t="str">
        <f>IF(OR(E573="",E573="!!!",F573="NEW"),"",COUNTBLANK(OFFSET(A$1,,,SUMPRODUCT(MAX(ROW(E$2:E573)*(E573=E$2:E573)))))-COUNTBLANK(OFFSET(A$1,,,SUMPRODUCT(MAX(ROW(E$1:E572)*(E2=E$1:E572))))))</f>
        <v> </v>
      </c>
      <c r="K573" s="26" t="str">
        <f>IF(OR(E573="",E573="!!!",F573="NEW"),"",INDEX(J$1:J572,SUMPRODUCT(MAX(ROW(E$1:E572)*(E573=E$1:E572)))))</f>
        <v> </v>
      </c>
      <c r="L573" s="27"/>
    </row>
    <row r="574" spans="1:12">
      <c r="A574" s="20" t="s">
        <v>127</v>
      </c>
      <c r="E574" s="22">
        <f>IF(D574="?OLD","!!!","")</f>
        <v/>
      </c>
      <c r="F574" s="23" t="str">
        <f>IF(OR(E574="",E574="!!!"),"",IF(NOT(ISNA(VLOOKUP(E574,E$1:E573,1,FALSE()))),"OLD",IF(AND(E574&lt;&gt;"",E574&lt;&gt;"!!!"),"NEW","")))</f>
        <v> </v>
      </c>
      <c r="G574" s="24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5" t="str">
        <f>IF(J574&lt;&gt;1,"",IF(I574="SBJ","CB","?"))</f>
        <v> </v>
      </c>
      <c r="I574" s="26" t="str">
        <f>IF(OR(E574="",E574="!!!",F574="NEW"),"",INDEX(B573:B$2,-1+SUMPRODUCT(MAX(ROW(E573:E$2)*(E574=E573:E$2)))))</f>
        <v> </v>
      </c>
      <c r="J574" s="26" t="str">
        <f>IF(OR(E574="",E574="!!!",F574="NEW"),"",COUNTBLANK(OFFSET(A$1,,,SUMPRODUCT(MAX(ROW(E$2:E574)*(E574=E$2:E574)))))-COUNTBLANK(OFFSET(A$1,,,SUMPRODUCT(MAX(ROW(E$1:E573)*(E2=E$1:E573))))))</f>
        <v> </v>
      </c>
      <c r="K574" s="26" t="str">
        <f>IF(OR(E574="",E574="!!!",F574="NEW"),"",INDEX(J$1:J573,SUMPRODUCT(MAX(ROW(E$1:E573)*(E574=E$1:E573)))))</f>
        <v> </v>
      </c>
      <c r="L574" s="27"/>
    </row>
    <row r="575" spans="1:12">
      <c r="A575" s="20" t="s">
        <v>179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 t="s">
        <v>154</v>
      </c>
      <c r="E576" s="22">
        <f>IF(D576="?OLD","!!!","")</f>
        <v/>
      </c>
      <c r="F576" s="23" t="str">
        <f>IF(OR(E576="",E576="!!!"),"",IF(NOT(ISNA(VLOOKUP(E576,E$1:E575,1,FALSE()))),"OLD",IF(AND(E576&lt;&gt;"",E576&lt;&gt;"!!!"),"NEW","")))</f>
        <v> </v>
      </c>
      <c r="G576" s="24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5" t="str">
        <f>IF(J576&lt;&gt;1,"",IF(I576="SBJ","CB","?"))</f>
        <v> </v>
      </c>
      <c r="I576" s="26" t="str">
        <f>IF(OR(E576="",E576="!!!",F576="NEW"),"",INDEX(B575:B$2,-1+SUMPRODUCT(MAX(ROW(E575:E$2)*(E576=E575:E$2)))))</f>
        <v> </v>
      </c>
      <c r="J576" s="26" t="str">
        <f>IF(OR(E576="",E576="!!!",F576="NEW"),"",COUNTBLANK(OFFSET(A$1,,,SUMPRODUCT(MAX(ROW(E$2:E576)*(E576=E$2:E576)))))-COUNTBLANK(OFFSET(A$1,,,SUMPRODUCT(MAX(ROW(E$1:E575)*(E2=E$1:E575))))))</f>
        <v> </v>
      </c>
      <c r="K576" s="26" t="str">
        <f>IF(OR(E576="",E576="!!!",F576="NEW"),"",INDEX(J$1:J575,SUMPRODUCT(MAX(ROW(E$1:E575)*(E576=E$1:E575)))))</f>
        <v> </v>
      </c>
      <c r="L576" s="27"/>
    </row>
    <row r="577" spans="1:12">
      <c r="A577" s="20" t="s">
        <v>90</v>
      </c>
      <c r="B577" s="21" t="s">
        <v>155</v>
      </c>
      <c r="C577" s="21" t="s">
        <v>156</v>
      </c>
      <c r="E577" s="22">
        <f>IF(D577="?OLD","!!!","")</f>
        <v/>
      </c>
      <c r="F577" s="23" t="str">
        <f>IF(OR(E577="",E577="!!!"),"",IF(NOT(ISNA(VLOOKUP(E577,E$1:E576,1,FALSE()))),"OLD",IF(AND(E577&lt;&gt;"",E577&lt;&gt;"!!!"),"NEW","")))</f>
        <v> </v>
      </c>
      <c r="G577" s="24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5" t="str">
        <f>IF(J577&lt;&gt;1,"",IF(I577="SBJ","CB","?"))</f>
        <v> </v>
      </c>
      <c r="I577" s="26" t="str">
        <f>IF(OR(E577="",E577="!!!",F577="NEW"),"",INDEX(B576:B$2,-1+SUMPRODUCT(MAX(ROW(E576:E$2)*(E577=E576:E$2)))))</f>
        <v> </v>
      </c>
      <c r="J577" s="26" t="str">
        <f>IF(OR(E577="",E577="!!!",F577="NEW"),"",COUNTBLANK(OFFSET(A$1,,,SUMPRODUCT(MAX(ROW(E$2:E577)*(E577=E$2:E577)))))-COUNTBLANK(OFFSET(A$1,,,SUMPRODUCT(MAX(ROW(E$1:E576)*(E2=E$1:E576))))))</f>
        <v> </v>
      </c>
      <c r="K577" s="26" t="str">
        <f>IF(OR(E577="",E577="!!!",F577="NEW"),"",INDEX(J$1:J576,SUMPRODUCT(MAX(ROW(E$1:E576)*(E577=E$1:E576)))))</f>
        <v> </v>
      </c>
      <c r="L577" s="27"/>
    </row>
    <row r="578" spans="1:12">
      <c r="A578" s="20" t="s">
        <v>409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 t="s">
        <v>410</v>
      </c>
      <c r="B579" s="21" t="s">
        <v>266</v>
      </c>
      <c r="C579" s="21" t="s">
        <v>152</v>
      </c>
      <c r="D579" s="21" t="s">
        <v>119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 t="s">
        <v>411</v>
      </c>
      <c r="E580" s="22">
        <f>IF(D580="?OLD","!!!","")</f>
        <v/>
      </c>
      <c r="F580" s="23" t="str">
        <f>IF(OR(E580="",E580="!!!"),"",IF(NOT(ISNA(VLOOKUP(E580,E$1:E579,1,FALSE()))),"OLD",IF(AND(E580&lt;&gt;"",E580&lt;&gt;"!!!"),"NEW","")))</f>
        <v> </v>
      </c>
      <c r="G580" s="24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5" t="str">
        <f>IF(J580&lt;&gt;1,"",IF(I580="SBJ","CB","?"))</f>
        <v> </v>
      </c>
      <c r="I580" s="26" t="str">
        <f>IF(OR(E580="",E580="!!!",F580="NEW"),"",INDEX(B579:B$2,-1+SUMPRODUCT(MAX(ROW(E579:E$2)*(E580=E579:E$2)))))</f>
        <v> </v>
      </c>
      <c r="J580" s="26" t="str">
        <f>IF(OR(E580="",E580="!!!",F580="NEW"),"",COUNTBLANK(OFFSET(A$1,,,SUMPRODUCT(MAX(ROW(E$2:E580)*(E580=E$2:E580)))))-COUNTBLANK(OFFSET(A$1,,,SUMPRODUCT(MAX(ROW(E$1:E579)*(E2=E$1:E579))))))</f>
        <v> </v>
      </c>
      <c r="K580" s="26" t="str">
        <f>IF(OR(E580="",E580="!!!",F580="NEW"),"",INDEX(J$1:J579,SUMPRODUCT(MAX(ROW(E$1:E579)*(E580=E$1:E579)))))</f>
        <v> </v>
      </c>
      <c r="L580" s="27"/>
    </row>
    <row r="581" spans="1:12">
      <c r="A581" s="20" t="s">
        <v>127</v>
      </c>
      <c r="E581" s="22">
        <f>IF(D581="?OLD","!!!","")</f>
        <v/>
      </c>
      <c r="F581" s="23" t="str">
        <f>IF(OR(E581="",E581="!!!"),"",IF(NOT(ISNA(VLOOKUP(E581,E$1:E580,1,FALSE()))),"OLD",IF(AND(E581&lt;&gt;"",E581&lt;&gt;"!!!"),"NEW","")))</f>
        <v> </v>
      </c>
      <c r="G581" s="24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5" t="str">
        <f>IF(J581&lt;&gt;1,"",IF(I581="SBJ","CB","?"))</f>
        <v> </v>
      </c>
      <c r="I581" s="26" t="str">
        <f>IF(OR(E581="",E581="!!!",F581="NEW"),"",INDEX(B580:B$2,-1+SUMPRODUCT(MAX(ROW(E580:E$2)*(E581=E580:E$2)))))</f>
        <v> </v>
      </c>
      <c r="J581" s="26" t="str">
        <f>IF(OR(E581="",E581="!!!",F581="NEW"),"",COUNTBLANK(OFFSET(A$1,,,SUMPRODUCT(MAX(ROW(E$2:E581)*(E581=E$2:E581)))))-COUNTBLANK(OFFSET(A$1,,,SUMPRODUCT(MAX(ROW(E$1:E580)*(E2=E$1:E580))))))</f>
        <v> </v>
      </c>
      <c r="K581" s="26" t="str">
        <f>IF(OR(E581="",E581="!!!",F581="NEW"),"",INDEX(J$1:J580,SUMPRODUCT(MAX(ROW(E$1:E580)*(E581=E$1:E580)))))</f>
        <v> </v>
      </c>
      <c r="L581" s="27"/>
    </row>
    <row r="582" spans="1:12">
      <c r="A582" s="20" t="s">
        <v>412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157</v>
      </c>
      <c r="B583" s="21" t="s">
        <v>134</v>
      </c>
      <c r="C583" s="21" t="s">
        <v>118</v>
      </c>
      <c r="D583" s="21" t="s">
        <v>119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192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 t="s">
        <v>116</v>
      </c>
      <c r="B585" s="21" t="s">
        <v>155</v>
      </c>
      <c r="C585" s="21" t="s">
        <v>118</v>
      </c>
      <c r="D585" s="21" t="s">
        <v>119</v>
      </c>
      <c r="E585" s="22">
        <f>IF(D585="?OLD","!!!","")</f>
        <v/>
      </c>
      <c r="F585" s="23" t="str">
        <f>IF(OR(E585="",E585="!!!"),"",IF(NOT(ISNA(VLOOKUP(E585,E$1:E584,1,FALSE()))),"OLD",IF(AND(E585&lt;&gt;"",E585&lt;&gt;"!!!"),"NEW","")))</f>
        <v> </v>
      </c>
      <c r="G585" s="24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5" t="str">
        <f>IF(J585&lt;&gt;1,"",IF(I585="SBJ","CB","?"))</f>
        <v> </v>
      </c>
      <c r="I585" s="26" t="str">
        <f>IF(OR(E585="",E585="!!!",F585="NEW"),"",INDEX(B584:B$2,-1+SUMPRODUCT(MAX(ROW(E584:E$2)*(E585=E584:E$2)))))</f>
        <v> </v>
      </c>
      <c r="J585" s="26" t="str">
        <f>IF(OR(E585="",E585="!!!",F585="NEW"),"",COUNTBLANK(OFFSET(A$1,,,SUMPRODUCT(MAX(ROW(E$2:E585)*(E585=E$2:E585)))))-COUNTBLANK(OFFSET(A$1,,,SUMPRODUCT(MAX(ROW(E$1:E584)*(E2=E$1:E584))))))</f>
        <v> </v>
      </c>
      <c r="K585" s="26" t="str">
        <f>IF(OR(E585="",E585="!!!",F585="NEW"),"",INDEX(J$1:J584,SUMPRODUCT(MAX(ROW(E$1:E584)*(E585=E$1:E584)))))</f>
        <v> </v>
      </c>
      <c r="L585" s="27"/>
    </row>
    <row r="586" spans="1:12">
      <c r="A586" s="20" t="s">
        <v>360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 t="s">
        <v>361</v>
      </c>
      <c r="B587" s="21" t="s">
        <v>266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 t="s">
        <v>362</v>
      </c>
      <c r="B588" s="21" t="s">
        <v>155</v>
      </c>
      <c r="C588" s="21" t="s">
        <v>145</v>
      </c>
      <c r="E588" s="22">
        <f>IF(D588="?OLD","!!!","")</f>
        <v/>
      </c>
      <c r="F588" s="23" t="str">
        <f>IF(OR(E588="",E588="!!!"),"",IF(NOT(ISNA(VLOOKUP(E588,E$1:E587,1,FALSE()))),"OLD",IF(AND(E588&lt;&gt;"",E588&lt;&gt;"!!!"),"NEW","")))</f>
        <v> </v>
      </c>
      <c r="G588" s="24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5" t="str">
        <f>IF(J588&lt;&gt;1,"",IF(I588="SBJ","CB","?"))</f>
        <v> </v>
      </c>
      <c r="I588" s="26" t="str">
        <f>IF(OR(E588="",E588="!!!",F588="NEW"),"",INDEX(B587:B$2,-1+SUMPRODUCT(MAX(ROW(E587:E$2)*(E588=E587:E$2)))))</f>
        <v> </v>
      </c>
      <c r="J588" s="26" t="str">
        <f>IF(OR(E588="",E588="!!!",F588="NEW"),"",COUNTBLANK(OFFSET(A$1,,,SUMPRODUCT(MAX(ROW(E$2:E588)*(E588=E$2:E588)))))-COUNTBLANK(OFFSET(A$1,,,SUMPRODUCT(MAX(ROW(E$1:E587)*(E2=E$1:E587))))))</f>
        <v> </v>
      </c>
      <c r="K588" s="26" t="str">
        <f>IF(OR(E588="",E588="!!!",F588="NEW"),"",INDEX(J$1:J587,SUMPRODUCT(MAX(ROW(E$1:E587)*(E588=E$1:E587)))))</f>
        <v> </v>
      </c>
      <c r="L588" s="27"/>
    </row>
    <row r="589" spans="1:12">
      <c r="A589" s="20" t="s">
        <v>127</v>
      </c>
      <c r="E589" s="22">
        <f>IF(D589="?OLD","!!!","")</f>
        <v/>
      </c>
      <c r="F589" s="23" t="str">
        <f>IF(OR(E589="",E589="!!!"),"",IF(NOT(ISNA(VLOOKUP(E589,E$1:E588,1,FALSE()))),"OLD",IF(AND(E589&lt;&gt;"",E589&lt;&gt;"!!!"),"NEW","")))</f>
        <v> </v>
      </c>
      <c r="G589" s="24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5" t="str">
        <f>IF(J589&lt;&gt;1,"",IF(I589="SBJ","CB","?"))</f>
        <v> </v>
      </c>
      <c r="I589" s="26" t="str">
        <f>IF(OR(E589="",E589="!!!",F589="NEW"),"",INDEX(B588:B$2,-1+SUMPRODUCT(MAX(ROW(E588:E$2)*(E589=E588:E$2)))))</f>
        <v> </v>
      </c>
      <c r="J589" s="26" t="str">
        <f>IF(OR(E589="",E589="!!!",F589="NEW"),"",COUNTBLANK(OFFSET(A$1,,,SUMPRODUCT(MAX(ROW(E$2:E589)*(E589=E$2:E589)))))-COUNTBLANK(OFFSET(A$1,,,SUMPRODUCT(MAX(ROW(E$1:E588)*(E2=E$1:E588))))))</f>
        <v> </v>
      </c>
      <c r="K589" s="26" t="str">
        <f>IF(OR(E589="",E589="!!!",F589="NEW"),"",INDEX(J$1:J588,SUMPRODUCT(MAX(ROW(E$1:E588)*(E589=E$1:E588)))))</f>
        <v> </v>
      </c>
      <c r="L589" s="27"/>
    </row>
    <row r="590" spans="1:12">
      <c r="A590" s="20" t="s">
        <v>128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 t="s">
        <v>182</v>
      </c>
      <c r="B591" s="21" t="s">
        <v>215</v>
      </c>
      <c r="C591" s="21" t="s">
        <v>152</v>
      </c>
      <c r="D591" s="21" t="s">
        <v>119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 t="s">
        <v>142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 t="s">
        <v>241</v>
      </c>
      <c r="E593" s="22">
        <f>IF(D593="?OLD","!!!","")</f>
        <v/>
      </c>
      <c r="F593" s="23" t="str">
        <f>IF(OR(E593="",E593="!!!"),"",IF(NOT(ISNA(VLOOKUP(E593,E$1:E592,1,FALSE()))),"OLD",IF(AND(E593&lt;&gt;"",E593&lt;&gt;"!!!"),"NEW","")))</f>
        <v> </v>
      </c>
      <c r="G593" s="24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5" t="str">
        <f>IF(J593&lt;&gt;1,"",IF(I593="SBJ","CB","?"))</f>
        <v> </v>
      </c>
      <c r="I593" s="26" t="str">
        <f>IF(OR(E593="",E593="!!!",F593="NEW"),"",INDEX(B592:B$2,-1+SUMPRODUCT(MAX(ROW(E592:E$2)*(E593=E592:E$2)))))</f>
        <v> </v>
      </c>
      <c r="J593" s="26" t="str">
        <f>IF(OR(E593="",E593="!!!",F593="NEW"),"",COUNTBLANK(OFFSET(A$1,,,SUMPRODUCT(MAX(ROW(E$2:E593)*(E593=E$2:E593)))))-COUNTBLANK(OFFSET(A$1,,,SUMPRODUCT(MAX(ROW(E$1:E592)*(E2=E$1:E592))))))</f>
        <v> </v>
      </c>
      <c r="K593" s="26" t="str">
        <f>IF(OR(E593="",E593="!!!",F593="NEW"),"",INDEX(J$1:J592,SUMPRODUCT(MAX(ROW(E$1:E592)*(E593=E$1:E592)))))</f>
        <v> </v>
      </c>
      <c r="L593" s="27"/>
    </row>
    <row r="594" spans="1:12">
      <c r="A594" s="20" t="s">
        <v>413</v>
      </c>
      <c r="E594" s="22">
        <f>IF(D594="?OLD","!!!","")</f>
        <v/>
      </c>
      <c r="F594" s="23" t="str">
        <f>IF(OR(E594="",E594="!!!"),"",IF(NOT(ISNA(VLOOKUP(E594,E$1:E593,1,FALSE()))),"OLD",IF(AND(E594&lt;&gt;"",E594&lt;&gt;"!!!"),"NEW","")))</f>
        <v> </v>
      </c>
      <c r="G594" s="24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5" t="str">
        <f>IF(J594&lt;&gt;1,"",IF(I594="SBJ","CB","?"))</f>
        <v> </v>
      </c>
      <c r="I594" s="26" t="str">
        <f>IF(OR(E594="",E594="!!!",F594="NEW"),"",INDEX(B593:B$2,-1+SUMPRODUCT(MAX(ROW(E593:E$2)*(E594=E593:E$2)))))</f>
        <v> </v>
      </c>
      <c r="J594" s="26" t="str">
        <f>IF(OR(E594="",E594="!!!",F594="NEW"),"",COUNTBLANK(OFFSET(A$1,,,SUMPRODUCT(MAX(ROW(E$2:E594)*(E594=E$2:E594)))))-COUNTBLANK(OFFSET(A$1,,,SUMPRODUCT(MAX(ROW(E$1:E593)*(E2=E$1:E593))))))</f>
        <v> </v>
      </c>
      <c r="K594" s="26" t="str">
        <f>IF(OR(E594="",E594="!!!",F594="NEW"),"",INDEX(J$1:J593,SUMPRODUCT(MAX(ROW(E$1:E593)*(E594=E$1:E593)))))</f>
        <v> </v>
      </c>
      <c r="L594" s="27"/>
    </row>
    <row r="595" spans="1:12">
      <c r="A595" s="20" t="s">
        <v>414</v>
      </c>
      <c r="B595" s="21" t="s">
        <v>343</v>
      </c>
      <c r="C595" s="21" t="s">
        <v>185</v>
      </c>
      <c r="D595" s="21" t="s">
        <v>119</v>
      </c>
      <c r="E595" s="22">
        <f>IF(D595="?OLD","!!!","")</f>
        <v/>
      </c>
      <c r="F595" s="23" t="str">
        <f>IF(OR(E595="",E595="!!!"),"",IF(NOT(ISNA(VLOOKUP(E595,E$1:E594,1,FALSE()))),"OLD",IF(AND(E595&lt;&gt;"",E595&lt;&gt;"!!!"),"NEW","")))</f>
        <v> </v>
      </c>
      <c r="G595" s="24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5" t="str">
        <f>IF(J595&lt;&gt;1,"",IF(I595="SBJ","CB","?"))</f>
        <v> </v>
      </c>
      <c r="I595" s="26" t="str">
        <f>IF(OR(E595="",E595="!!!",F595="NEW"),"",INDEX(B594:B$2,-1+SUMPRODUCT(MAX(ROW(E594:E$2)*(E595=E594:E$2)))))</f>
        <v> </v>
      </c>
      <c r="J595" s="26" t="str">
        <f>IF(OR(E595="",E595="!!!",F595="NEW"),"",COUNTBLANK(OFFSET(A$1,,,SUMPRODUCT(MAX(ROW(E$2:E595)*(E595=E$2:E595)))))-COUNTBLANK(OFFSET(A$1,,,SUMPRODUCT(MAX(ROW(E$1:E594)*(E2=E$1:E594))))))</f>
        <v> </v>
      </c>
      <c r="K595" s="26" t="str">
        <f>IF(OR(E595="",E595="!!!",F595="NEW"),"",INDEX(J$1:J594,SUMPRODUCT(MAX(ROW(E$1:E594)*(E595=E$1:E594)))))</f>
        <v> </v>
      </c>
      <c r="L595" s="27"/>
    </row>
    <row r="596" spans="1:12">
      <c r="A596" s="20" t="s">
        <v>211</v>
      </c>
      <c r="E596" s="22">
        <f>IF(D596="?OLD","!!!","")</f>
        <v/>
      </c>
      <c r="F596" s="23" t="str">
        <f>IF(OR(E596="",E596="!!!"),"",IF(NOT(ISNA(VLOOKUP(E596,E$1:E595,1,FALSE()))),"OLD",IF(AND(E596&lt;&gt;"",E596&lt;&gt;"!!!"),"NEW","")))</f>
        <v> </v>
      </c>
      <c r="G596" s="24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5" t="str">
        <f>IF(J596&lt;&gt;1,"",IF(I596="SBJ","CB","?"))</f>
        <v> </v>
      </c>
      <c r="I596" s="26" t="str">
        <f>IF(OR(E596="",E596="!!!",F596="NEW"),"",INDEX(B595:B$2,-1+SUMPRODUCT(MAX(ROW(E595:E$2)*(E596=E595:E$2)))))</f>
        <v> </v>
      </c>
      <c r="J596" s="26" t="str">
        <f>IF(OR(E596="",E596="!!!",F596="NEW"),"",COUNTBLANK(OFFSET(A$1,,,SUMPRODUCT(MAX(ROW(E$2:E596)*(E596=E$2:E596)))))-COUNTBLANK(OFFSET(A$1,,,SUMPRODUCT(MAX(ROW(E$1:E595)*(E2=E$1:E595))))))</f>
        <v> </v>
      </c>
      <c r="K596" s="26" t="str">
        <f>IF(OR(E596="",E596="!!!",F596="NEW"),"",INDEX(J$1:J595,SUMPRODUCT(MAX(ROW(E$1:E595)*(E596=E$1:E595)))))</f>
        <v> </v>
      </c>
      <c r="L596" s="27"/>
    </row>
    <row r="597" spans="1:12">
      <c r="A597" s="20" t="s">
        <v>188</v>
      </c>
      <c r="B597" s="21" t="s">
        <v>343</v>
      </c>
      <c r="C597" s="21" t="s">
        <v>126</v>
      </c>
      <c r="E597" s="22">
        <f>IF(D597="?OLD","!!!","")</f>
        <v/>
      </c>
      <c r="F597" s="23" t="str">
        <f>IF(OR(E597="",E597="!!!"),"",IF(NOT(ISNA(VLOOKUP(E597,E$1:E596,1,FALSE()))),"OLD",IF(AND(E597&lt;&gt;"",E597&lt;&gt;"!!!"),"NEW","")))</f>
        <v> </v>
      </c>
      <c r="G597" s="24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5" t="str">
        <f>IF(J597&lt;&gt;1,"",IF(I597="SBJ","CB","?"))</f>
        <v> </v>
      </c>
      <c r="I597" s="26" t="str">
        <f>IF(OR(E597="",E597="!!!",F597="NEW"),"",INDEX(B596:B$2,-1+SUMPRODUCT(MAX(ROW(E596:E$2)*(E597=E596:E$2)))))</f>
        <v> </v>
      </c>
      <c r="J597" s="26" t="str">
        <f>IF(OR(E597="",E597="!!!",F597="NEW"),"",COUNTBLANK(OFFSET(A$1,,,SUMPRODUCT(MAX(ROW(E$2:E597)*(E597=E$2:E597)))))-COUNTBLANK(OFFSET(A$1,,,SUMPRODUCT(MAX(ROW(E$1:E596)*(E2=E$1:E596))))))</f>
        <v> </v>
      </c>
      <c r="K597" s="26" t="str">
        <f>IF(OR(E597="",E597="!!!",F597="NEW"),"",INDEX(J$1:J596,SUMPRODUCT(MAX(ROW(E$1:E596)*(E597=E$1:E596)))))</f>
        <v> </v>
      </c>
      <c r="L597" s="27"/>
    </row>
    <row r="598" spans="1:12">
      <c r="A598" s="20" t="s">
        <v>153</v>
      </c>
      <c r="E598" s="22">
        <f>IF(D598="?OLD","!!!","")</f>
        <v/>
      </c>
      <c r="F598" s="23" t="str">
        <f>IF(OR(E598="",E598="!!!"),"",IF(NOT(ISNA(VLOOKUP(E598,E$1:E597,1,FALSE()))),"OLD",IF(AND(E598&lt;&gt;"",E598&lt;&gt;"!!!"),"NEW","")))</f>
        <v> </v>
      </c>
      <c r="G598" s="24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5" t="str">
        <f>IF(J598&lt;&gt;1,"",IF(I598="SBJ","CB","?"))</f>
        <v> </v>
      </c>
      <c r="I598" s="26" t="str">
        <f>IF(OR(E598="",E598="!!!",F598="NEW"),"",INDEX(B597:B$2,-1+SUMPRODUCT(MAX(ROW(E597:E$2)*(E598=E597:E$2)))))</f>
        <v> </v>
      </c>
      <c r="J598" s="26" t="str">
        <f>IF(OR(E598="",E598="!!!",F598="NEW"),"",COUNTBLANK(OFFSET(A$1,,,SUMPRODUCT(MAX(ROW(E$2:E598)*(E598=E$2:E598)))))-COUNTBLANK(OFFSET(A$1,,,SUMPRODUCT(MAX(ROW(E$1:E597)*(E2=E$1:E597))))))</f>
        <v> </v>
      </c>
      <c r="K598" s="26" t="str">
        <f>IF(OR(E598="",E598="!!!",F598="NEW"),"",INDEX(J$1:J597,SUMPRODUCT(MAX(ROW(E$1:E597)*(E598=E$1:E597)))))</f>
        <v> </v>
      </c>
      <c r="L598" s="27"/>
    </row>
    <row r="599" spans="1:12">
      <c r="A599" s="20" t="s">
        <v>122</v>
      </c>
      <c r="E599" s="22">
        <f>IF(D599="?OLD","!!!","")</f>
        <v/>
      </c>
      <c r="F599" s="23" t="str">
        <f>IF(OR(E599="",E599="!!!"),"",IF(NOT(ISNA(VLOOKUP(E599,E$1:E598,1,FALSE()))),"OLD",IF(AND(E599&lt;&gt;"",E599&lt;&gt;"!!!"),"NEW","")))</f>
        <v> </v>
      </c>
      <c r="G599" s="24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5" t="str">
        <f>IF(J599&lt;&gt;1,"",IF(I599="SBJ","CB","?"))</f>
        <v> </v>
      </c>
      <c r="I599" s="26" t="str">
        <f>IF(OR(E599="",E599="!!!",F599="NEW"),"",INDEX(B598:B$2,-1+SUMPRODUCT(MAX(ROW(E598:E$2)*(E599=E598:E$2)))))</f>
        <v> </v>
      </c>
      <c r="J599" s="26" t="str">
        <f>IF(OR(E599="",E599="!!!",F599="NEW"),"",COUNTBLANK(OFFSET(A$1,,,SUMPRODUCT(MAX(ROW(E$2:E599)*(E599=E$2:E599)))))-COUNTBLANK(OFFSET(A$1,,,SUMPRODUCT(MAX(ROW(E$1:E598)*(E2=E$1:E598))))))</f>
        <v> </v>
      </c>
      <c r="K599" s="26" t="str">
        <f>IF(OR(E599="",E599="!!!",F599="NEW"),"",INDEX(J$1:J598,SUMPRODUCT(MAX(ROW(E$1:E598)*(E599=E$1:E598)))))</f>
        <v> </v>
      </c>
      <c r="L599" s="27"/>
    </row>
    <row r="600" spans="1:12">
      <c r="A600" s="20" t="s">
        <v>214</v>
      </c>
      <c r="B600" s="21" t="s">
        <v>213</v>
      </c>
      <c r="C600" s="21" t="s">
        <v>126</v>
      </c>
      <c r="E600" s="22">
        <f>IF(D600="?OLD","!!!","")</f>
        <v/>
      </c>
      <c r="F600" s="23" t="str">
        <f>IF(OR(E600="",E600="!!!"),"",IF(NOT(ISNA(VLOOKUP(E600,E$1:E599,1,FALSE()))),"OLD",IF(AND(E600&lt;&gt;"",E600&lt;&gt;"!!!"),"NEW","")))</f>
        <v> </v>
      </c>
      <c r="G600" s="24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5" t="str">
        <f>IF(J600&lt;&gt;1,"",IF(I600="SBJ","CB","?"))</f>
        <v> </v>
      </c>
      <c r="I600" s="26" t="str">
        <f>IF(OR(E600="",E600="!!!",F600="NEW"),"",INDEX(B599:B$2,-1+SUMPRODUCT(MAX(ROW(E599:E$2)*(E600=E599:E$2)))))</f>
        <v> </v>
      </c>
      <c r="J600" s="26" t="str">
        <f>IF(OR(E600="",E600="!!!",F600="NEW"),"",COUNTBLANK(OFFSET(A$1,,,SUMPRODUCT(MAX(ROW(E$2:E600)*(E600=E$2:E600)))))-COUNTBLANK(OFFSET(A$1,,,SUMPRODUCT(MAX(ROW(E$1:E599)*(E2=E$1:E599))))))</f>
        <v> </v>
      </c>
      <c r="K600" s="26" t="str">
        <f>IF(OR(E600="",E600="!!!",F600="NEW"),"",INDEX(J$1:J599,SUMPRODUCT(MAX(ROW(E$1:E599)*(E600=E$1:E599)))))</f>
        <v> </v>
      </c>
      <c r="L600" s="27"/>
    </row>
    <row r="601" spans="1:12">
      <c r="A601" s="20" t="s">
        <v>216</v>
      </c>
      <c r="B601" s="21" t="s">
        <v>328</v>
      </c>
      <c r="C601" s="21" t="s">
        <v>145</v>
      </c>
      <c r="E601" s="22">
        <f>IF(D601="?OLD","!!!","")</f>
        <v/>
      </c>
      <c r="F601" s="23" t="str">
        <f>IF(OR(E601="",E601="!!!"),"",IF(NOT(ISNA(VLOOKUP(E601,E$1:E600,1,FALSE()))),"OLD",IF(AND(E601&lt;&gt;"",E601&lt;&gt;"!!!"),"NEW","")))</f>
        <v> </v>
      </c>
      <c r="G601" s="24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5" t="str">
        <f>IF(J601&lt;&gt;1,"",IF(I601="SBJ","CB","?"))</f>
        <v> </v>
      </c>
      <c r="I601" s="26" t="str">
        <f>IF(OR(E601="",E601="!!!",F601="NEW"),"",INDEX(B600:B$2,-1+SUMPRODUCT(MAX(ROW(E600:E$2)*(E601=E600:E$2)))))</f>
        <v> </v>
      </c>
      <c r="J601" s="26" t="str">
        <f>IF(OR(E601="",E601="!!!",F601="NEW"),"",COUNTBLANK(OFFSET(A$1,,,SUMPRODUCT(MAX(ROW(E$2:E601)*(E601=E$2:E601)))))-COUNTBLANK(OFFSET(A$1,,,SUMPRODUCT(MAX(ROW(E$1:E600)*(E2=E$1:E600))))))</f>
        <v> </v>
      </c>
      <c r="K601" s="26" t="str">
        <f>IF(OR(E601="",E601="!!!",F601="NEW"),"",INDEX(J$1:J600,SUMPRODUCT(MAX(ROW(E$1:E600)*(E601=E$1:E600)))))</f>
        <v> </v>
      </c>
      <c r="L601" s="27"/>
    </row>
    <row r="602" spans="1:12">
      <c r="A602" s="20" t="s">
        <v>127</v>
      </c>
      <c r="E602" s="22">
        <f>IF(D602="?OLD","!!!","")</f>
        <v/>
      </c>
      <c r="F602" s="23" t="str">
        <f>IF(OR(E602="",E602="!!!"),"",IF(NOT(ISNA(VLOOKUP(E602,E$1:E601,1,FALSE()))),"OLD",IF(AND(E602&lt;&gt;"",E602&lt;&gt;"!!!"),"NEW","")))</f>
        <v> </v>
      </c>
      <c r="G602" s="24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5" t="str">
        <f>IF(J602&lt;&gt;1,"",IF(I602="SBJ","CB","?"))</f>
        <v> </v>
      </c>
      <c r="I602" s="26" t="str">
        <f>IF(OR(E602="",E602="!!!",F602="NEW"),"",INDEX(B601:B$2,-1+SUMPRODUCT(MAX(ROW(E601:E$2)*(E602=E601:E$2)))))</f>
        <v> </v>
      </c>
      <c r="J602" s="26" t="str">
        <f>IF(OR(E602="",E602="!!!",F602="NEW"),"",COUNTBLANK(OFFSET(A$1,,,SUMPRODUCT(MAX(ROW(E$2:E602)*(E602=E$2:E602)))))-COUNTBLANK(OFFSET(A$1,,,SUMPRODUCT(MAX(ROW(E$1:E601)*(E2=E$1:E601))))))</f>
        <v> </v>
      </c>
      <c r="K602" s="26" t="str">
        <f>IF(OR(E602="",E602="!!!",F602="NEW"),"",INDEX(J$1:J601,SUMPRODUCT(MAX(ROW(E$1:E601)*(E602=E$1:E601)))))</f>
        <v> </v>
      </c>
      <c r="L602" s="27"/>
    </row>
    <row r="603" spans="1:12">
      <c r="A603" s="20" t="s">
        <v>409</v>
      </c>
      <c r="B603" s="21" t="s">
        <v>415</v>
      </c>
      <c r="E603" s="22">
        <f>IF(D603="?OLD","!!!","")</f>
        <v/>
      </c>
      <c r="F603" s="23" t="str">
        <f>IF(OR(E603="",E603="!!!"),"",IF(NOT(ISNA(VLOOKUP(E603,E$1:E602,1,FALSE()))),"OLD",IF(AND(E603&lt;&gt;"",E603&lt;&gt;"!!!"),"NEW","")))</f>
        <v> </v>
      </c>
      <c r="G603" s="24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5" t="str">
        <f>IF(J603&lt;&gt;1,"",IF(I603="SBJ","CB","?"))</f>
        <v> </v>
      </c>
      <c r="I603" s="26" t="str">
        <f>IF(OR(E603="",E603="!!!",F603="NEW"),"",INDEX(B602:B$2,-1+SUMPRODUCT(MAX(ROW(E602:E$2)*(E603=E602:E$2)))))</f>
        <v> </v>
      </c>
      <c r="J603" s="26" t="str">
        <f>IF(OR(E603="",E603="!!!",F603="NEW"),"",COUNTBLANK(OFFSET(A$1,,,SUMPRODUCT(MAX(ROW(E$2:E603)*(E603=E$2:E603)))))-COUNTBLANK(OFFSET(A$1,,,SUMPRODUCT(MAX(ROW(E$1:E602)*(E2=E$1:E602))))))</f>
        <v> </v>
      </c>
      <c r="K603" s="26" t="str">
        <f>IF(OR(E603="",E603="!!!",F603="NEW"),"",INDEX(J$1:J602,SUMPRODUCT(MAX(ROW(E$1:E602)*(E603=E$1:E602)))))</f>
        <v> </v>
      </c>
      <c r="L603" s="27"/>
    </row>
    <row r="604" spans="1:12">
      <c r="A604" s="20" t="s">
        <v>223</v>
      </c>
      <c r="E604" s="22">
        <f>IF(D604="?OLD","!!!","")</f>
        <v/>
      </c>
      <c r="F604" s="23" t="str">
        <f>IF(OR(E604="",E604="!!!"),"",IF(NOT(ISNA(VLOOKUP(E604,E$1:E603,1,FALSE()))),"OLD",IF(AND(E604&lt;&gt;"",E604&lt;&gt;"!!!"),"NEW","")))</f>
        <v> </v>
      </c>
      <c r="G604" s="24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5" t="str">
        <f>IF(J604&lt;&gt;1,"",IF(I604="SBJ","CB","?"))</f>
        <v> </v>
      </c>
      <c r="I604" s="26" t="str">
        <f>IF(OR(E604="",E604="!!!",F604="NEW"),"",INDEX(B603:B$2,-1+SUMPRODUCT(MAX(ROW(E603:E$2)*(E604=E603:E$2)))))</f>
        <v> </v>
      </c>
      <c r="J604" s="26" t="str">
        <f>IF(OR(E604="",E604="!!!",F604="NEW"),"",COUNTBLANK(OFFSET(A$1,,,SUMPRODUCT(MAX(ROW(E$2:E604)*(E604=E$2:E604)))))-COUNTBLANK(OFFSET(A$1,,,SUMPRODUCT(MAX(ROW(E$1:E603)*(E2=E$1:E603))))))</f>
        <v> </v>
      </c>
      <c r="K604" s="26" t="str">
        <f>IF(OR(E604="",E604="!!!",F604="NEW"),"",INDEX(J$1:J603,SUMPRODUCT(MAX(ROW(E$1:E603)*(E604=E$1:E603)))))</f>
        <v> </v>
      </c>
      <c r="L604" s="27"/>
    </row>
    <row r="605" spans="1:12">
      <c r="A605" s="20" t="s">
        <v>144</v>
      </c>
      <c r="B605" s="21" t="s">
        <v>416</v>
      </c>
      <c r="C605" s="21" t="s">
        <v>152</v>
      </c>
      <c r="D605" s="21" t="s">
        <v>119</v>
      </c>
      <c r="E605" s="22">
        <f>IF(D605="?OLD","!!!","")</f>
        <v/>
      </c>
      <c r="F605" s="23" t="str">
        <f>IF(OR(E605="",E605="!!!"),"",IF(NOT(ISNA(VLOOKUP(E605,E$1:E604,1,FALSE()))),"OLD",IF(AND(E605&lt;&gt;"",E605&lt;&gt;"!!!"),"NEW","")))</f>
        <v> </v>
      </c>
      <c r="G605" s="24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5" t="str">
        <f>IF(J605&lt;&gt;1,"",IF(I605="SBJ","CB","?"))</f>
        <v> </v>
      </c>
      <c r="I605" s="26" t="str">
        <f>IF(OR(E605="",E605="!!!",F605="NEW"),"",INDEX(B604:B$2,-1+SUMPRODUCT(MAX(ROW(E604:E$2)*(E605=E604:E$2)))))</f>
        <v> </v>
      </c>
      <c r="J605" s="26" t="str">
        <f>IF(OR(E605="",E605="!!!",F605="NEW"),"",COUNTBLANK(OFFSET(A$1,,,SUMPRODUCT(MAX(ROW(E$2:E605)*(E605=E$2:E605)))))-COUNTBLANK(OFFSET(A$1,,,SUMPRODUCT(MAX(ROW(E$1:E604)*(E2=E$1:E604))))))</f>
        <v> </v>
      </c>
      <c r="K605" s="26" t="str">
        <f>IF(OR(E605="",E605="!!!",F605="NEW"),"",INDEX(J$1:J604,SUMPRODUCT(MAX(ROW(E$1:E604)*(E605=E$1:E604)))))</f>
        <v> </v>
      </c>
      <c r="L605" s="27"/>
    </row>
    <row r="606" spans="1:12">
      <c r="A606" s="20" t="s">
        <v>414</v>
      </c>
      <c r="B606" s="21" t="s">
        <v>417</v>
      </c>
      <c r="C606" s="21" t="s">
        <v>185</v>
      </c>
      <c r="D606" s="21" t="s">
        <v>119</v>
      </c>
      <c r="E606" s="22">
        <f>IF(D606="?OLD","!!!","")</f>
        <v/>
      </c>
      <c r="F606" s="23" t="str">
        <f>IF(OR(E606="",E606="!!!"),"",IF(NOT(ISNA(VLOOKUP(E606,E$1:E605,1,FALSE()))),"OLD",IF(AND(E606&lt;&gt;"",E606&lt;&gt;"!!!"),"NEW","")))</f>
        <v> </v>
      </c>
      <c r="G606" s="24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5" t="str">
        <f>IF(J606&lt;&gt;1,"",IF(I606="SBJ","CB","?"))</f>
        <v> </v>
      </c>
      <c r="I606" s="26" t="str">
        <f>IF(OR(E606="",E606="!!!",F606="NEW"),"",INDEX(B605:B$2,-1+SUMPRODUCT(MAX(ROW(E605:E$2)*(E606=E605:E$2)))))</f>
        <v> </v>
      </c>
      <c r="J606" s="26" t="str">
        <f>IF(OR(E606="",E606="!!!",F606="NEW"),"",COUNTBLANK(OFFSET(A$1,,,SUMPRODUCT(MAX(ROW(E$2:E606)*(E606=E$2:E606)))))-COUNTBLANK(OFFSET(A$1,,,SUMPRODUCT(MAX(ROW(E$1:E605)*(E2=E$1:E605))))))</f>
        <v> </v>
      </c>
      <c r="K606" s="26" t="str">
        <f>IF(OR(E606="",E606="!!!",F606="NEW"),"",INDEX(J$1:J605,SUMPRODUCT(MAX(ROW(E$1:E605)*(E606=E$1:E605)))))</f>
        <v> </v>
      </c>
      <c r="L606" s="27"/>
    </row>
    <row r="607" spans="1:12">
      <c r="A607" s="20" t="s">
        <v>279</v>
      </c>
      <c r="E607" s="22">
        <f>IF(D607="?OLD","!!!","")</f>
        <v/>
      </c>
      <c r="F607" s="23" t="str">
        <f>IF(OR(E607="",E607="!!!"),"",IF(NOT(ISNA(VLOOKUP(E607,E$1:E606,1,FALSE()))),"OLD",IF(AND(E607&lt;&gt;"",E607&lt;&gt;"!!!"),"NEW","")))</f>
        <v> </v>
      </c>
      <c r="G607" s="24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5" t="str">
        <f>IF(J607&lt;&gt;1,"",IF(I607="SBJ","CB","?"))</f>
        <v> </v>
      </c>
      <c r="I607" s="26" t="str">
        <f>IF(OR(E607="",E607="!!!",F607="NEW"),"",INDEX(B606:B$2,-1+SUMPRODUCT(MAX(ROW(E606:E$2)*(E607=E606:E$2)))))</f>
        <v> </v>
      </c>
      <c r="J607" s="26" t="str">
        <f>IF(OR(E607="",E607="!!!",F607="NEW"),"",COUNTBLANK(OFFSET(A$1,,,SUMPRODUCT(MAX(ROW(E$2:E607)*(E607=E$2:E607)))))-COUNTBLANK(OFFSET(A$1,,,SUMPRODUCT(MAX(ROW(E$1:E606)*(E2=E$1:E606))))))</f>
        <v> </v>
      </c>
      <c r="K607" s="26" t="str">
        <f>IF(OR(E607="",E607="!!!",F607="NEW"),"",INDEX(J$1:J606,SUMPRODUCT(MAX(ROW(E$1:E606)*(E607=E$1:E606)))))</f>
        <v> </v>
      </c>
      <c r="L607" s="27"/>
    </row>
    <row r="608" spans="1:12">
      <c r="A608" s="20" t="s">
        <v>163</v>
      </c>
      <c r="E608" s="22">
        <f>IF(D608="?OLD","!!!","")</f>
        <v/>
      </c>
      <c r="F608" s="23" t="str">
        <f>IF(OR(E608="",E608="!!!"),"",IF(NOT(ISNA(VLOOKUP(E608,E$1:E607,1,FALSE()))),"OLD",IF(AND(E608&lt;&gt;"",E608&lt;&gt;"!!!"),"NEW","")))</f>
        <v> </v>
      </c>
      <c r="G608" s="24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5" t="str">
        <f>IF(J608&lt;&gt;1,"",IF(I608="SBJ","CB","?"))</f>
        <v> </v>
      </c>
      <c r="I608" s="26" t="str">
        <f>IF(OR(E608="",E608="!!!",F608="NEW"),"",INDEX(B607:B$2,-1+SUMPRODUCT(MAX(ROW(E607:E$2)*(E608=E607:E$2)))))</f>
        <v> </v>
      </c>
      <c r="J608" s="26" t="str">
        <f>IF(OR(E608="",E608="!!!",F608="NEW"),"",COUNTBLANK(OFFSET(A$1,,,SUMPRODUCT(MAX(ROW(E$2:E608)*(E608=E$2:E608)))))-COUNTBLANK(OFFSET(A$1,,,SUMPRODUCT(MAX(ROW(E$1:E607)*(E2=E$1:E607))))))</f>
        <v> </v>
      </c>
      <c r="K608" s="26" t="str">
        <f>IF(OR(E608="",E608="!!!",F608="NEW"),"",INDEX(J$1:J607,SUMPRODUCT(MAX(ROW(E$1:E607)*(E608=E$1:E607)))))</f>
        <v> </v>
      </c>
      <c r="L608" s="27"/>
    </row>
    <row r="609" spans="1:12">
      <c r="A609" s="20"/>
    </row>
    <row r="610" spans="1:12">
      <c r="A610" s="20" t="s">
        <v>280</v>
      </c>
      <c r="E610" s="22">
        <f>IF(D610="?OLD","!!!","")</f>
        <v/>
      </c>
      <c r="F610" s="23" t="str">
        <f>IF(OR(E610="",E610="!!!"),"",IF(NOT(ISNA(VLOOKUP(E610,E$1:E609,1,FALSE()))),"OLD",IF(AND(E610&lt;&gt;"",E610&lt;&gt;"!!!"),"NEW","")))</f>
        <v> </v>
      </c>
      <c r="G610" s="24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5" t="str">
        <f>IF(J610&lt;&gt;1,"",IF(I610="SBJ","CB","?"))</f>
        <v> </v>
      </c>
      <c r="I610" s="26" t="str">
        <f>IF(OR(E610="",E610="!!!",F610="NEW"),"",INDEX(B609:B$2,-1+SUMPRODUCT(MAX(ROW(E609:E$2)*(E610=E609:E$2)))))</f>
        <v> </v>
      </c>
      <c r="J610" s="26" t="str">
        <f>IF(OR(E610="",E610="!!!",F610="NEW"),"",COUNTBLANK(OFFSET(A$1,,,SUMPRODUCT(MAX(ROW(E$2:E610)*(E610=E$2:E610)))))-COUNTBLANK(OFFSET(A$1,,,SUMPRODUCT(MAX(ROW(E$1:E609)*(E2=E$1:E609))))))</f>
        <v> </v>
      </c>
      <c r="K610" s="26" t="str">
        <f>IF(OR(E610="",E610="!!!",F610="NEW"),"",INDEX(J$1:J609,SUMPRODUCT(MAX(ROW(E$1:E609)*(E610=E$1:E609)))))</f>
        <v> </v>
      </c>
      <c r="L610" s="27"/>
    </row>
    <row r="611" spans="1:12">
      <c r="A611" s="20" t="s">
        <v>418</v>
      </c>
    </row>
    <row r="612" spans="1:12">
      <c r="A612" s="20" t="s">
        <v>43</v>
      </c>
      <c r="E612" s="22">
        <f>IF(D612="?OLD","!!!","")</f>
        <v/>
      </c>
      <c r="F612" s="23" t="str">
        <f>IF(OR(E612="",E612="!!!"),"",IF(NOT(ISNA(VLOOKUP(E612,E$1:E611,1,FALSE()))),"OLD",IF(AND(E612&lt;&gt;"",E612&lt;&gt;"!!!"),"NEW","")))</f>
        <v> </v>
      </c>
      <c r="G612" s="24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5" t="str">
        <f>IF(J612&lt;&gt;1,"",IF(I612="SBJ","CB","?"))</f>
        <v> </v>
      </c>
      <c r="I612" s="26" t="str">
        <f>IF(OR(E612="",E612="!!!",F612="NEW"),"",INDEX(B611:B$2,-1+SUMPRODUCT(MAX(ROW(E611:E$2)*(E612=E611:E$2)))))</f>
        <v> </v>
      </c>
      <c r="J612" s="26" t="str">
        <f>IF(OR(E612="",E612="!!!",F612="NEW"),"",COUNTBLANK(OFFSET(A$1,,,SUMPRODUCT(MAX(ROW(E$2:E612)*(E612=E$2:E612)))))-COUNTBLANK(OFFSET(A$1,,,SUMPRODUCT(MAX(ROW(E$1:E611)*(E2=E$1:E611))))))</f>
        <v> </v>
      </c>
      <c r="K612" s="26" t="str">
        <f>IF(OR(E612="",E612="!!!",F612="NEW"),"",INDEX(J$1:J611,SUMPRODUCT(MAX(ROW(E$1:E611)*(E612=E$1:E611)))))</f>
        <v> </v>
      </c>
      <c r="L612" s="27"/>
    </row>
    <row r="613" spans="1:12">
      <c r="A613" s="20" t="s">
        <v>43</v>
      </c>
      <c r="E613" s="22">
        <f>IF(D613="?OLD","!!!","")</f>
        <v/>
      </c>
      <c r="F613" s="23" t="str">
        <f>IF(OR(E613="",E613="!!!"),"",IF(NOT(ISNA(VLOOKUP(E613,E$1:E612,1,FALSE()))),"OLD",IF(AND(E613&lt;&gt;"",E613&lt;&gt;"!!!"),"NEW","")))</f>
        <v> </v>
      </c>
      <c r="G613" s="24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5" t="str">
        <f>IF(J613&lt;&gt;1,"",IF(I613="SBJ","CB","?"))</f>
        <v> </v>
      </c>
      <c r="I613" s="26" t="str">
        <f>IF(OR(E613="",E613="!!!",F613="NEW"),"",INDEX(B612:B$2,-1+SUMPRODUCT(MAX(ROW(E612:E$2)*(E613=E612:E$2)))))</f>
        <v> </v>
      </c>
      <c r="J613" s="26" t="str">
        <f>IF(OR(E613="",E613="!!!",F613="NEW"),"",COUNTBLANK(OFFSET(A$1,,,SUMPRODUCT(MAX(ROW(E$2:E613)*(E613=E$2:E613)))))-COUNTBLANK(OFFSET(A$1,,,SUMPRODUCT(MAX(ROW(E$1:E612)*(E2=E$1:E612))))))</f>
        <v> </v>
      </c>
      <c r="K613" s="26" t="str">
        <f>IF(OR(E613="",E613="!!!",F613="NEW"),"",INDEX(J$1:J612,SUMPRODUCT(MAX(ROW(E$1:E612)*(E613=E$1:E612)))))</f>
        <v> </v>
      </c>
      <c r="L613" s="27"/>
    </row>
    <row r="614" spans="1:12">
      <c r="A614" s="20"/>
    </row>
    <row r="615" spans="1:12">
      <c r="A615" s="20" t="s">
        <v>419</v>
      </c>
    </row>
    <row r="616" spans="1:12">
      <c r="A616" s="20" t="s">
        <v>323</v>
      </c>
      <c r="E616" s="22">
        <f>IF(D616="?OLD","!!!","")</f>
        <v/>
      </c>
      <c r="F616" s="23" t="str">
        <f>IF(OR(E616="",E616="!!!"),"",IF(NOT(ISNA(VLOOKUP(E616,E$1:E615,1,FALSE()))),"OLD",IF(AND(E616&lt;&gt;"",E616&lt;&gt;"!!!"),"NEW","")))</f>
        <v> </v>
      </c>
      <c r="G616" s="24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5" t="str">
        <f>IF(J616&lt;&gt;1,"",IF(I616="SBJ","CB","?"))</f>
        <v> </v>
      </c>
      <c r="I616" s="26" t="str">
        <f>IF(OR(E616="",E616="!!!",F616="NEW"),"",INDEX(B615:B$2,-1+SUMPRODUCT(MAX(ROW(E615:E$2)*(E616=E615:E$2)))))</f>
        <v> </v>
      </c>
      <c r="J616" s="26" t="str">
        <f>IF(OR(E616="",E616="!!!",F616="NEW"),"",COUNTBLANK(OFFSET(A$1,,,SUMPRODUCT(MAX(ROW(E$2:E616)*(E616=E$2:E616)))))-COUNTBLANK(OFFSET(A$1,,,SUMPRODUCT(MAX(ROW(E$1:E615)*(E2=E$1:E615))))))</f>
        <v> </v>
      </c>
      <c r="K616" s="26" t="str">
        <f>IF(OR(E616="",E616="!!!",F616="NEW"),"",INDEX(J$1:J615,SUMPRODUCT(MAX(ROW(E$1:E615)*(E616=E$1:E615)))))</f>
        <v> </v>
      </c>
      <c r="L616" s="27"/>
    </row>
    <row r="617" spans="1:12">
      <c r="A617" s="20" t="s">
        <v>237</v>
      </c>
      <c r="B617" s="21" t="s">
        <v>117</v>
      </c>
      <c r="C617" s="21" t="s">
        <v>152</v>
      </c>
      <c r="D617" s="21" t="s">
        <v>119</v>
      </c>
      <c r="E617" s="22">
        <f>IF(D617="?OLD","!!!","")</f>
        <v/>
      </c>
      <c r="F617" s="23" t="str">
        <f>IF(OR(E617="",E617="!!!"),"",IF(NOT(ISNA(VLOOKUP(E617,E$1:E616,1,FALSE()))),"OLD",IF(AND(E617&lt;&gt;"",E617&lt;&gt;"!!!"),"NEW","")))</f>
        <v> </v>
      </c>
      <c r="G617" s="24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5" t="str">
        <f>IF(J617&lt;&gt;1,"",IF(I617="SBJ","CB","?"))</f>
        <v> </v>
      </c>
      <c r="I617" s="26" t="str">
        <f>IF(OR(E617="",E617="!!!",F617="NEW"),"",INDEX(B616:B$2,-1+SUMPRODUCT(MAX(ROW(E616:E$2)*(E617=E616:E$2)))))</f>
        <v> </v>
      </c>
      <c r="J617" s="26" t="str">
        <f>IF(OR(E617="",E617="!!!",F617="NEW"),"",COUNTBLANK(OFFSET(A$1,,,SUMPRODUCT(MAX(ROW(E$2:E617)*(E617=E$2:E617)))))-COUNTBLANK(OFFSET(A$1,,,SUMPRODUCT(MAX(ROW(E$1:E616)*(E2=E$1:E616))))))</f>
        <v> </v>
      </c>
      <c r="K617" s="26" t="str">
        <f>IF(OR(E617="",E617="!!!",F617="NEW"),"",INDEX(J$1:J616,SUMPRODUCT(MAX(ROW(E$1:E616)*(E617=E$1:E616)))))</f>
        <v> </v>
      </c>
      <c r="L617" s="27"/>
    </row>
    <row r="618" spans="1:12">
      <c r="A618" s="20" t="s">
        <v>375</v>
      </c>
      <c r="E618" s="22">
        <f>IF(D618="?OLD","!!!","")</f>
        <v/>
      </c>
      <c r="F618" s="23" t="str">
        <f>IF(OR(E618="",E618="!!!"),"",IF(NOT(ISNA(VLOOKUP(E618,E$1:E617,1,FALSE()))),"OLD",IF(AND(E618&lt;&gt;"",E618&lt;&gt;"!!!"),"NEW","")))</f>
        <v> </v>
      </c>
      <c r="G618" s="24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5" t="str">
        <f>IF(J618&lt;&gt;1,"",IF(I618="SBJ","CB","?"))</f>
        <v> </v>
      </c>
      <c r="I618" s="26" t="str">
        <f>IF(OR(E618="",E618="!!!",F618="NEW"),"",INDEX(B617:B$2,-1+SUMPRODUCT(MAX(ROW(E617:E$2)*(E618=E617:E$2)))))</f>
        <v> </v>
      </c>
      <c r="J618" s="26" t="str">
        <f>IF(OR(E618="",E618="!!!",F618="NEW"),"",COUNTBLANK(OFFSET(A$1,,,SUMPRODUCT(MAX(ROW(E$2:E618)*(E618=E$2:E618)))))-COUNTBLANK(OFFSET(A$1,,,SUMPRODUCT(MAX(ROW(E$1:E617)*(E2=E$1:E617))))))</f>
        <v> </v>
      </c>
      <c r="K618" s="26" t="str">
        <f>IF(OR(E618="",E618="!!!",F618="NEW"),"",INDEX(J$1:J617,SUMPRODUCT(MAX(ROW(E$1:E617)*(E618=E$1:E617)))))</f>
        <v> </v>
      </c>
      <c r="L618" s="27"/>
    </row>
    <row r="619" spans="1:12">
      <c r="A619" s="20" t="s">
        <v>210</v>
      </c>
      <c r="B619" s="21" t="s">
        <v>172</v>
      </c>
      <c r="C619" s="21" t="s">
        <v>185</v>
      </c>
      <c r="D619" s="21" t="s">
        <v>119</v>
      </c>
      <c r="E619" s="22">
        <f>IF(D619="?OLD","!!!","")</f>
        <v/>
      </c>
      <c r="F619" s="23" t="str">
        <f>IF(OR(E619="",E619="!!!"),"",IF(NOT(ISNA(VLOOKUP(E619,E$1:E618,1,FALSE()))),"OLD",IF(AND(E619&lt;&gt;"",E619&lt;&gt;"!!!"),"NEW","")))</f>
        <v> </v>
      </c>
      <c r="G619" s="24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5" t="str">
        <f>IF(J619&lt;&gt;1,"",IF(I619="SBJ","CB","?"))</f>
        <v> </v>
      </c>
      <c r="I619" s="26" t="str">
        <f>IF(OR(E619="",E619="!!!",F619="NEW"),"",INDEX(B618:B$2,-1+SUMPRODUCT(MAX(ROW(E618:E$2)*(E619=E618:E$2)))))</f>
        <v> </v>
      </c>
      <c r="J619" s="26" t="str">
        <f>IF(OR(E619="",E619="!!!",F619="NEW"),"",COUNTBLANK(OFFSET(A$1,,,SUMPRODUCT(MAX(ROW(E$2:E619)*(E619=E$2:E619)))))-COUNTBLANK(OFFSET(A$1,,,SUMPRODUCT(MAX(ROW(E$1:E618)*(E2=E$1:E618))))))</f>
        <v> </v>
      </c>
      <c r="K619" s="26" t="str">
        <f>IF(OR(E619="",E619="!!!",F619="NEW"),"",INDEX(J$1:J618,SUMPRODUCT(MAX(ROW(E$1:E618)*(E619=E$1:E618)))))</f>
        <v> </v>
      </c>
      <c r="L619" s="27"/>
    </row>
    <row r="620" spans="1:12">
      <c r="A620" s="20" t="s">
        <v>191</v>
      </c>
      <c r="E620" s="22">
        <f>IF(D620="?OLD","!!!","")</f>
        <v/>
      </c>
      <c r="F620" s="23" t="str">
        <f>IF(OR(E620="",E620="!!!"),"",IF(NOT(ISNA(VLOOKUP(E620,E$1:E619,1,FALSE()))),"OLD",IF(AND(E620&lt;&gt;"",E620&lt;&gt;"!!!"),"NEW","")))</f>
        <v> </v>
      </c>
      <c r="G620" s="24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5" t="str">
        <f>IF(J620&lt;&gt;1,"",IF(I620="SBJ","CB","?"))</f>
        <v> </v>
      </c>
      <c r="I620" s="26" t="str">
        <f>IF(OR(E620="",E620="!!!",F620="NEW"),"",INDEX(B619:B$2,-1+SUMPRODUCT(MAX(ROW(E619:E$2)*(E620=E619:E$2)))))</f>
        <v> </v>
      </c>
      <c r="J620" s="26" t="str">
        <f>IF(OR(E620="",E620="!!!",F620="NEW"),"",COUNTBLANK(OFFSET(A$1,,,SUMPRODUCT(MAX(ROW(E$2:E620)*(E620=E$2:E620)))))-COUNTBLANK(OFFSET(A$1,,,SUMPRODUCT(MAX(ROW(E$1:E619)*(E2=E$1:E619))))))</f>
        <v> </v>
      </c>
      <c r="K620" s="26" t="str">
        <f>IF(OR(E620="",E620="!!!",F620="NEW"),"",INDEX(J$1:J619,SUMPRODUCT(MAX(ROW(E$1:E619)*(E620=E$1:E619)))))</f>
        <v> </v>
      </c>
      <c r="L620" s="27"/>
    </row>
    <row r="621" spans="1:12">
      <c r="A621" s="20" t="s">
        <v>127</v>
      </c>
      <c r="E621" s="22">
        <f>IF(D621="?OLD","!!!","")</f>
        <v/>
      </c>
      <c r="F621" s="23" t="str">
        <f>IF(OR(E621="",E621="!!!"),"",IF(NOT(ISNA(VLOOKUP(E621,E$1:E620,1,FALSE()))),"OLD",IF(AND(E621&lt;&gt;"",E621&lt;&gt;"!!!"),"NEW","")))</f>
        <v> </v>
      </c>
      <c r="G621" s="24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5" t="str">
        <f>IF(J621&lt;&gt;1,"",IF(I621="SBJ","CB","?"))</f>
        <v> </v>
      </c>
      <c r="I621" s="26" t="str">
        <f>IF(OR(E621="",E621="!!!",F621="NEW"),"",INDEX(B620:B$2,-1+SUMPRODUCT(MAX(ROW(E620:E$2)*(E621=E620:E$2)))))</f>
        <v> </v>
      </c>
      <c r="J621" s="26" t="str">
        <f>IF(OR(E621="",E621="!!!",F621="NEW"),"",COUNTBLANK(OFFSET(A$1,,,SUMPRODUCT(MAX(ROW(E$2:E621)*(E621=E$2:E621)))))-COUNTBLANK(OFFSET(A$1,,,SUMPRODUCT(MAX(ROW(E$1:E620)*(E2=E$1:E620))))))</f>
        <v> </v>
      </c>
      <c r="K621" s="26" t="str">
        <f>IF(OR(E621="",E621="!!!",F621="NEW"),"",INDEX(J$1:J620,SUMPRODUCT(MAX(ROW(E$1:E620)*(E621=E$1:E620)))))</f>
        <v> </v>
      </c>
      <c r="L621" s="27"/>
    </row>
    <row r="622" spans="1:12">
      <c r="A622" s="20" t="s">
        <v>420</v>
      </c>
      <c r="E622" s="22">
        <f>IF(D622="?OLD","!!!","")</f>
        <v/>
      </c>
      <c r="F622" s="23" t="str">
        <f>IF(OR(E622="",E622="!!!"),"",IF(NOT(ISNA(VLOOKUP(E622,E$1:E621,1,FALSE()))),"OLD",IF(AND(E622&lt;&gt;"",E622&lt;&gt;"!!!"),"NEW","")))</f>
        <v> </v>
      </c>
      <c r="G622" s="24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5" t="str">
        <f>IF(J622&lt;&gt;1,"",IF(I622="SBJ","CB","?"))</f>
        <v> </v>
      </c>
      <c r="I622" s="26" t="str">
        <f>IF(OR(E622="",E622="!!!",F622="NEW"),"",INDEX(B621:B$2,-1+SUMPRODUCT(MAX(ROW(E621:E$2)*(E622=E621:E$2)))))</f>
        <v> </v>
      </c>
      <c r="J622" s="26" t="str">
        <f>IF(OR(E622="",E622="!!!",F622="NEW"),"",COUNTBLANK(OFFSET(A$1,,,SUMPRODUCT(MAX(ROW(E$2:E622)*(E622=E$2:E622)))))-COUNTBLANK(OFFSET(A$1,,,SUMPRODUCT(MAX(ROW(E$1:E621)*(E2=E$1:E621))))))</f>
        <v> </v>
      </c>
      <c r="K622" s="26" t="str">
        <f>IF(OR(E622="",E622="!!!",F622="NEW"),"",INDEX(J$1:J621,SUMPRODUCT(MAX(ROW(E$1:E621)*(E622=E$1:E621)))))</f>
        <v> </v>
      </c>
      <c r="L622" s="27"/>
    </row>
    <row r="623" spans="1:12">
      <c r="A623" s="20" t="s">
        <v>244</v>
      </c>
      <c r="B623" s="21" t="s">
        <v>129</v>
      </c>
      <c r="C623" s="21" t="s">
        <v>118</v>
      </c>
      <c r="D623" s="21" t="s">
        <v>119</v>
      </c>
      <c r="E623" s="22">
        <f>IF(D623="?OLD","!!!","")</f>
        <v/>
      </c>
      <c r="F623" s="23" t="str">
        <f>IF(OR(E623="",E623="!!!"),"",IF(NOT(ISNA(VLOOKUP(E623,E$1:E622,1,FALSE()))),"OLD",IF(AND(E623&lt;&gt;"",E623&lt;&gt;"!!!"),"NEW","")))</f>
        <v> </v>
      </c>
      <c r="G623" s="24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5" t="str">
        <f>IF(J623&lt;&gt;1,"",IF(I623="SBJ","CB","?"))</f>
        <v> </v>
      </c>
      <c r="I623" s="26" t="str">
        <f>IF(OR(E623="",E623="!!!",F623="NEW"),"",INDEX(B622:B$2,-1+SUMPRODUCT(MAX(ROW(E622:E$2)*(E623=E622:E$2)))))</f>
        <v> </v>
      </c>
      <c r="J623" s="26" t="str">
        <f>IF(OR(E623="",E623="!!!",F623="NEW"),"",COUNTBLANK(OFFSET(A$1,,,SUMPRODUCT(MAX(ROW(E$2:E623)*(E623=E$2:E623)))))-COUNTBLANK(OFFSET(A$1,,,SUMPRODUCT(MAX(ROW(E$1:E622)*(E2=E$1:E622))))))</f>
        <v> </v>
      </c>
      <c r="K623" s="26" t="str">
        <f>IF(OR(E623="",E623="!!!",F623="NEW"),"",INDEX(J$1:J622,SUMPRODUCT(MAX(ROW(E$1:E622)*(E623=E$1:E622)))))</f>
        <v> </v>
      </c>
      <c r="L623" s="27"/>
    </row>
    <row r="624" spans="1:12">
      <c r="A624" s="20" t="s">
        <v>154</v>
      </c>
      <c r="E624" s="22">
        <f>IF(D624="?OLD","!!!","")</f>
        <v/>
      </c>
      <c r="F624" s="23" t="str">
        <f>IF(OR(E624="",E624="!!!"),"",IF(NOT(ISNA(VLOOKUP(E624,E$1:E623,1,FALSE()))),"OLD",IF(AND(E624&lt;&gt;"",E624&lt;&gt;"!!!"),"NEW","")))</f>
        <v> </v>
      </c>
      <c r="G624" s="24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5" t="str">
        <f>IF(J624&lt;&gt;1,"",IF(I624="SBJ","CB","?"))</f>
        <v> </v>
      </c>
      <c r="I624" s="26" t="str">
        <f>IF(OR(E624="",E624="!!!",F624="NEW"),"",INDEX(B623:B$2,-1+SUMPRODUCT(MAX(ROW(E623:E$2)*(E624=E623:E$2)))))</f>
        <v> </v>
      </c>
      <c r="J624" s="26" t="str">
        <f>IF(OR(E624="",E624="!!!",F624="NEW"),"",COUNTBLANK(OFFSET(A$1,,,SUMPRODUCT(MAX(ROW(E$2:E624)*(E624=E$2:E624)))))-COUNTBLANK(OFFSET(A$1,,,SUMPRODUCT(MAX(ROW(E$1:E623)*(E2=E$1:E623))))))</f>
        <v> </v>
      </c>
      <c r="K624" s="26" t="str">
        <f>IF(OR(E624="",E624="!!!",F624="NEW"),"",INDEX(J$1:J623,SUMPRODUCT(MAX(ROW(E$1:E623)*(E624=E$1:E623)))))</f>
        <v> </v>
      </c>
      <c r="L624" s="27"/>
    </row>
    <row r="625" spans="1:12">
      <c r="A625" s="20" t="s">
        <v>364</v>
      </c>
      <c r="B625" s="21" t="s">
        <v>175</v>
      </c>
      <c r="C625" s="21" t="s">
        <v>156</v>
      </c>
      <c r="E625" s="22">
        <f>IF(D625="?OLD","!!!","")</f>
        <v/>
      </c>
      <c r="F625" s="23" t="str">
        <f>IF(OR(E625="",E625="!!!"),"",IF(NOT(ISNA(VLOOKUP(E625,E$1:E624,1,FALSE()))),"OLD",IF(AND(E625&lt;&gt;"",E625&lt;&gt;"!!!"),"NEW","")))</f>
        <v> </v>
      </c>
      <c r="G625" s="24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5" t="str">
        <f>IF(J625&lt;&gt;1,"",IF(I625="SBJ","CB","?"))</f>
        <v> </v>
      </c>
      <c r="I625" s="26" t="str">
        <f>IF(OR(E625="",E625="!!!",F625="NEW"),"",INDEX(B624:B$2,-1+SUMPRODUCT(MAX(ROW(E624:E$2)*(E625=E624:E$2)))))</f>
        <v> </v>
      </c>
      <c r="J625" s="26" t="str">
        <f>IF(OR(E625="",E625="!!!",F625="NEW"),"",COUNTBLANK(OFFSET(A$1,,,SUMPRODUCT(MAX(ROW(E$2:E625)*(E625=E$2:E625)))))-COUNTBLANK(OFFSET(A$1,,,SUMPRODUCT(MAX(ROW(E$1:E624)*(E2=E$1:E624))))))</f>
        <v> </v>
      </c>
      <c r="K625" s="26" t="str">
        <f>IF(OR(E625="",E625="!!!",F625="NEW"),"",INDEX(J$1:J624,SUMPRODUCT(MAX(ROW(E$1:E624)*(E625=E$1:E624)))))</f>
        <v> </v>
      </c>
      <c r="L625" s="27"/>
    </row>
    <row r="626" spans="1:12">
      <c r="A626" s="20" t="s">
        <v>122</v>
      </c>
      <c r="E626" s="22">
        <f>IF(D626="?OLD","!!!","")</f>
        <v/>
      </c>
      <c r="F626" s="23" t="str">
        <f>IF(OR(E626="",E626="!!!"),"",IF(NOT(ISNA(VLOOKUP(E626,E$1:E625,1,FALSE()))),"OLD",IF(AND(E626&lt;&gt;"",E626&lt;&gt;"!!!"),"NEW","")))</f>
        <v> </v>
      </c>
      <c r="G626" s="24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5" t="str">
        <f>IF(J626&lt;&gt;1,"",IF(I626="SBJ","CB","?"))</f>
        <v> </v>
      </c>
      <c r="I626" s="26" t="str">
        <f>IF(OR(E626="",E626="!!!",F626="NEW"),"",INDEX(B625:B$2,-1+SUMPRODUCT(MAX(ROW(E625:E$2)*(E626=E625:E$2)))))</f>
        <v> </v>
      </c>
      <c r="J626" s="26" t="str">
        <f>IF(OR(E626="",E626="!!!",F626="NEW"),"",COUNTBLANK(OFFSET(A$1,,,SUMPRODUCT(MAX(ROW(E$2:E626)*(E626=E$2:E626)))))-COUNTBLANK(OFFSET(A$1,,,SUMPRODUCT(MAX(ROW(E$1:E625)*(E2=E$1:E625))))))</f>
        <v> </v>
      </c>
      <c r="K626" s="26" t="str">
        <f>IF(OR(E626="",E626="!!!",F626="NEW"),"",INDEX(J$1:J625,SUMPRODUCT(MAX(ROW(E$1:E625)*(E626=E$1:E625)))))</f>
        <v> </v>
      </c>
      <c r="L626" s="27"/>
    </row>
    <row r="627" spans="1:12">
      <c r="A627" s="20" t="s">
        <v>421</v>
      </c>
      <c r="E627" s="22">
        <f>IF(D627="?OLD","!!!","")</f>
        <v/>
      </c>
      <c r="F627" s="23" t="str">
        <f>IF(OR(E627="",E627="!!!"),"",IF(NOT(ISNA(VLOOKUP(E627,E$1:E626,1,FALSE()))),"OLD",IF(AND(E627&lt;&gt;"",E627&lt;&gt;"!!!"),"NEW","")))</f>
        <v> </v>
      </c>
      <c r="G627" s="24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5" t="str">
        <f>IF(J627&lt;&gt;1,"",IF(I627="SBJ","CB","?"))</f>
        <v> </v>
      </c>
      <c r="I627" s="26" t="str">
        <f>IF(OR(E627="",E627="!!!",F627="NEW"),"",INDEX(B626:B$2,-1+SUMPRODUCT(MAX(ROW(E626:E$2)*(E627=E626:E$2)))))</f>
        <v> </v>
      </c>
      <c r="J627" s="26" t="str">
        <f>IF(OR(E627="",E627="!!!",F627="NEW"),"",COUNTBLANK(OFFSET(A$1,,,SUMPRODUCT(MAX(ROW(E$2:E627)*(E627=E$2:E627)))))-COUNTBLANK(OFFSET(A$1,,,SUMPRODUCT(MAX(ROW(E$1:E626)*(E2=E$1:E626))))))</f>
        <v> </v>
      </c>
      <c r="K627" s="26" t="str">
        <f>IF(OR(E627="",E627="!!!",F627="NEW"),"",INDEX(J$1:J626,SUMPRODUCT(MAX(ROW(E$1:E626)*(E627=E$1:E626)))))</f>
        <v> </v>
      </c>
      <c r="L627" s="27"/>
    </row>
    <row r="628" spans="1:12">
      <c r="A628" s="20" t="s">
        <v>422</v>
      </c>
      <c r="E628" s="22">
        <f>IF(D628="?OLD","!!!","")</f>
        <v/>
      </c>
      <c r="F628" s="23" t="str">
        <f>IF(OR(E628="",E628="!!!"),"",IF(NOT(ISNA(VLOOKUP(E628,E$1:E627,1,FALSE()))),"OLD",IF(AND(E628&lt;&gt;"",E628&lt;&gt;"!!!"),"NEW","")))</f>
        <v> </v>
      </c>
      <c r="G628" s="24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5" t="str">
        <f>IF(J628&lt;&gt;1,"",IF(I628="SBJ","CB","?"))</f>
        <v> </v>
      </c>
      <c r="I628" s="26" t="str">
        <f>IF(OR(E628="",E628="!!!",F628="NEW"),"",INDEX(B627:B$2,-1+SUMPRODUCT(MAX(ROW(E627:E$2)*(E628=E627:E$2)))))</f>
        <v> </v>
      </c>
      <c r="J628" s="26" t="str">
        <f>IF(OR(E628="",E628="!!!",F628="NEW"),"",COUNTBLANK(OFFSET(A$1,,,SUMPRODUCT(MAX(ROW(E$2:E628)*(E628=E$2:E628)))))-COUNTBLANK(OFFSET(A$1,,,SUMPRODUCT(MAX(ROW(E$1:E627)*(E2=E$1:E627))))))</f>
        <v> </v>
      </c>
      <c r="K628" s="26" t="str">
        <f>IF(OR(E628="",E628="!!!",F628="NEW"),"",INDEX(J$1:J627,SUMPRODUCT(MAX(ROW(E$1:E627)*(E628=E$1:E627)))))</f>
        <v> </v>
      </c>
      <c r="L628" s="27"/>
    </row>
    <row r="629" spans="1:12">
      <c r="A629" s="20" t="s">
        <v>192</v>
      </c>
      <c r="E629" s="22">
        <f>IF(D629="?OLD","!!!","")</f>
        <v/>
      </c>
      <c r="F629" s="23" t="str">
        <f>IF(OR(E629="",E629="!!!"),"",IF(NOT(ISNA(VLOOKUP(E629,E$1:E628,1,FALSE()))),"OLD",IF(AND(E629&lt;&gt;"",E629&lt;&gt;"!!!"),"NEW","")))</f>
        <v> </v>
      </c>
      <c r="G629" s="24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5" t="str">
        <f>IF(J629&lt;&gt;1,"",IF(I629="SBJ","CB","?"))</f>
        <v> </v>
      </c>
      <c r="I629" s="26" t="str">
        <f>IF(OR(E629="",E629="!!!",F629="NEW"),"",INDEX(B628:B$2,-1+SUMPRODUCT(MAX(ROW(E628:E$2)*(E629=E628:E$2)))))</f>
        <v> </v>
      </c>
      <c r="J629" s="26" t="str">
        <f>IF(OR(E629="",E629="!!!",F629="NEW"),"",COUNTBLANK(OFFSET(A$1,,,SUMPRODUCT(MAX(ROW(E$2:E629)*(E629=E$2:E629)))))-COUNTBLANK(OFFSET(A$1,,,SUMPRODUCT(MAX(ROW(E$1:E628)*(E2=E$1:E628))))))</f>
        <v> </v>
      </c>
      <c r="K629" s="26" t="str">
        <f>IF(OR(E629="",E629="!!!",F629="NEW"),"",INDEX(J$1:J628,SUMPRODUCT(MAX(ROW(E$1:E628)*(E629=E$1:E628)))))</f>
        <v> </v>
      </c>
      <c r="L629" s="27"/>
    </row>
    <row r="630" spans="1:12">
      <c r="A630" s="20" t="s">
        <v>268</v>
      </c>
      <c r="E630" s="22">
        <f>IF(D630="?OLD","!!!","")</f>
        <v/>
      </c>
      <c r="F630" s="23" t="str">
        <f>IF(OR(E630="",E630="!!!"),"",IF(NOT(ISNA(VLOOKUP(E630,E$1:E629,1,FALSE()))),"OLD",IF(AND(E630&lt;&gt;"",E630&lt;&gt;"!!!"),"NEW","")))</f>
        <v> </v>
      </c>
      <c r="G630" s="24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5" t="str">
        <f>IF(J630&lt;&gt;1,"",IF(I630="SBJ","CB","?"))</f>
        <v> </v>
      </c>
      <c r="I630" s="26" t="str">
        <f>IF(OR(E630="",E630="!!!",F630="NEW"),"",INDEX(B629:B$2,-1+SUMPRODUCT(MAX(ROW(E629:E$2)*(E630=E629:E$2)))))</f>
        <v> </v>
      </c>
      <c r="J630" s="26" t="str">
        <f>IF(OR(E630="",E630="!!!",F630="NEW"),"",COUNTBLANK(OFFSET(A$1,,,SUMPRODUCT(MAX(ROW(E$2:E630)*(E630=E$2:E630)))))-COUNTBLANK(OFFSET(A$1,,,SUMPRODUCT(MAX(ROW(E$1:E629)*(E2=E$1:E629))))))</f>
        <v> </v>
      </c>
      <c r="K630" s="26" t="str">
        <f>IF(OR(E630="",E630="!!!",F630="NEW"),"",INDEX(J$1:J629,SUMPRODUCT(MAX(ROW(E$1:E629)*(E630=E$1:E629)))))</f>
        <v> </v>
      </c>
      <c r="L630" s="27"/>
    </row>
    <row r="631" spans="1:12">
      <c r="A631" s="20" t="s">
        <v>376</v>
      </c>
      <c r="B631" s="21" t="s">
        <v>162</v>
      </c>
      <c r="C631" s="21" t="s">
        <v>145</v>
      </c>
      <c r="E631" s="22">
        <f>IF(D631="?OLD","!!!","")</f>
        <v/>
      </c>
      <c r="F631" s="23" t="str">
        <f>IF(OR(E631="",E631="!!!"),"",IF(NOT(ISNA(VLOOKUP(E631,E$1:E630,1,FALSE()))),"OLD",IF(AND(E631&lt;&gt;"",E631&lt;&gt;"!!!"),"NEW","")))</f>
        <v> </v>
      </c>
      <c r="G631" s="24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5" t="str">
        <f>IF(J631&lt;&gt;1,"",IF(I631="SBJ","CB","?"))</f>
        <v> </v>
      </c>
      <c r="I631" s="26" t="str">
        <f>IF(OR(E631="",E631="!!!",F631="NEW"),"",INDEX(B630:B$2,-1+SUMPRODUCT(MAX(ROW(E630:E$2)*(E631=E630:E$2)))))</f>
        <v> </v>
      </c>
      <c r="J631" s="26" t="str">
        <f>IF(OR(E631="",E631="!!!",F631="NEW"),"",COUNTBLANK(OFFSET(A$1,,,SUMPRODUCT(MAX(ROW(E$2:E631)*(E631=E$2:E631)))))-COUNTBLANK(OFFSET(A$1,,,SUMPRODUCT(MAX(ROW(E$1:E630)*(E2=E$1:E630))))))</f>
        <v> </v>
      </c>
      <c r="K631" s="26" t="str">
        <f>IF(OR(E631="",E631="!!!",F631="NEW"),"",INDEX(J$1:J630,SUMPRODUCT(MAX(ROW(E$1:E630)*(E631=E$1:E630)))))</f>
        <v> </v>
      </c>
      <c r="L631" s="27"/>
    </row>
    <row r="632" spans="1:12">
      <c r="A632" s="20" t="s">
        <v>325</v>
      </c>
      <c r="E632" s="22">
        <f>IF(D632="?OLD","!!!","")</f>
        <v/>
      </c>
      <c r="F632" s="23" t="str">
        <f>IF(OR(E632="",E632="!!!"),"",IF(NOT(ISNA(VLOOKUP(E632,E$1:E631,1,FALSE()))),"OLD",IF(AND(E632&lt;&gt;"",E632&lt;&gt;"!!!"),"NEW","")))</f>
        <v> </v>
      </c>
      <c r="G632" s="24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5" t="str">
        <f>IF(J632&lt;&gt;1,"",IF(I632="SBJ","CB","?"))</f>
        <v> </v>
      </c>
      <c r="I632" s="26" t="str">
        <f>IF(OR(E632="",E632="!!!",F632="NEW"),"",INDEX(B631:B$2,-1+SUMPRODUCT(MAX(ROW(E631:E$2)*(E632=E631:E$2)))))</f>
        <v> </v>
      </c>
      <c r="J632" s="26" t="str">
        <f>IF(OR(E632="",E632="!!!",F632="NEW"),"",COUNTBLANK(OFFSET(A$1,,,SUMPRODUCT(MAX(ROW(E$2:E632)*(E632=E$2:E632)))))-COUNTBLANK(OFFSET(A$1,,,SUMPRODUCT(MAX(ROW(E$1:E631)*(E2=E$1:E631))))))</f>
        <v> </v>
      </c>
      <c r="K632" s="26" t="str">
        <f>IF(OR(E632="",E632="!!!",F632="NEW"),"",INDEX(J$1:J631,SUMPRODUCT(MAX(ROW(E$1:E631)*(E632=E$1:E631)))))</f>
        <v> </v>
      </c>
      <c r="L632" s="27"/>
    </row>
    <row r="633" spans="1:12">
      <c r="A633" s="20" t="s">
        <v>149</v>
      </c>
      <c r="E633" s="22">
        <f>IF(D633="?OLD","!!!","")</f>
        <v/>
      </c>
      <c r="F633" s="23" t="str">
        <f>IF(OR(E633="",E633="!!!"),"",IF(NOT(ISNA(VLOOKUP(E633,E$1:E632,1,FALSE()))),"OLD",IF(AND(E633&lt;&gt;"",E633&lt;&gt;"!!!"),"NEW","")))</f>
        <v> </v>
      </c>
      <c r="G633" s="24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5" t="str">
        <f>IF(J633&lt;&gt;1,"",IF(I633="SBJ","CB","?"))</f>
        <v> </v>
      </c>
      <c r="I633" s="26" t="str">
        <f>IF(OR(E633="",E633="!!!",F633="NEW"),"",INDEX(B632:B$2,-1+SUMPRODUCT(MAX(ROW(E632:E$2)*(E633=E632:E$2)))))</f>
        <v> </v>
      </c>
      <c r="J633" s="26" t="str">
        <f>IF(OR(E633="",E633="!!!",F633="NEW"),"",COUNTBLANK(OFFSET(A$1,,,SUMPRODUCT(MAX(ROW(E$2:E633)*(E633=E$2:E633)))))-COUNTBLANK(OFFSET(A$1,,,SUMPRODUCT(MAX(ROW(E$1:E632)*(E2=E$1:E632))))))</f>
        <v> </v>
      </c>
      <c r="K633" s="26" t="str">
        <f>IF(OR(E633="",E633="!!!",F633="NEW"),"",INDEX(J$1:J632,SUMPRODUCT(MAX(ROW(E$1:E632)*(E633=E$1:E632)))))</f>
        <v> </v>
      </c>
      <c r="L633" s="27"/>
    </row>
    <row r="634" spans="1:12">
      <c r="A634" s="20" t="s">
        <v>377</v>
      </c>
      <c r="B634" s="21" t="s">
        <v>195</v>
      </c>
      <c r="C634" s="21" t="s">
        <v>152</v>
      </c>
      <c r="D634" s="21" t="s">
        <v>119</v>
      </c>
      <c r="E634" s="22">
        <f>IF(D634="?OLD","!!!","")</f>
        <v/>
      </c>
      <c r="F634" s="23" t="str">
        <f>IF(OR(E634="",E634="!!!"),"",IF(NOT(ISNA(VLOOKUP(E634,E$1:E633,1,FALSE()))),"OLD",IF(AND(E634&lt;&gt;"",E634&lt;&gt;"!!!"),"NEW","")))</f>
        <v> </v>
      </c>
      <c r="G634" s="24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5" t="str">
        <f>IF(J634&lt;&gt;1,"",IF(I634="SBJ","CB","?"))</f>
        <v> </v>
      </c>
      <c r="I634" s="26" t="str">
        <f>IF(OR(E634="",E634="!!!",F634="NEW"),"",INDEX(B633:B$2,-1+SUMPRODUCT(MAX(ROW(E633:E$2)*(E634=E633:E$2)))))</f>
        <v> </v>
      </c>
      <c r="J634" s="26" t="str">
        <f>IF(OR(E634="",E634="!!!",F634="NEW"),"",COUNTBLANK(OFFSET(A$1,,,SUMPRODUCT(MAX(ROW(E$2:E634)*(E634=E$2:E634)))))-COUNTBLANK(OFFSET(A$1,,,SUMPRODUCT(MAX(ROW(E$1:E633)*(E2=E$1:E633))))))</f>
        <v> </v>
      </c>
      <c r="K634" s="26" t="str">
        <f>IF(OR(E634="",E634="!!!",F634="NEW"),"",INDEX(J$1:J633,SUMPRODUCT(MAX(ROW(E$1:E633)*(E634=E$1:E633)))))</f>
        <v> </v>
      </c>
      <c r="L634" s="27"/>
    </row>
    <row r="635" spans="1:12">
      <c r="A635" s="20" t="s">
        <v>127</v>
      </c>
      <c r="E635" s="22">
        <f>IF(D635="?OLD","!!!","")</f>
        <v/>
      </c>
      <c r="F635" s="23" t="str">
        <f>IF(OR(E635="",E635="!!!"),"",IF(NOT(ISNA(VLOOKUP(E635,E$1:E634,1,FALSE()))),"OLD",IF(AND(E635&lt;&gt;"",E635&lt;&gt;"!!!"),"NEW","")))</f>
        <v> </v>
      </c>
      <c r="G635" s="24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5" t="str">
        <f>IF(J635&lt;&gt;1,"",IF(I635="SBJ","CB","?"))</f>
        <v> </v>
      </c>
      <c r="I635" s="26" t="str">
        <f>IF(OR(E635="",E635="!!!",F635="NEW"),"",INDEX(B634:B$2,-1+SUMPRODUCT(MAX(ROW(E634:E$2)*(E635=E634:E$2)))))</f>
        <v> </v>
      </c>
      <c r="J635" s="26" t="str">
        <f>IF(OR(E635="",E635="!!!",F635="NEW"),"",COUNTBLANK(OFFSET(A$1,,,SUMPRODUCT(MAX(ROW(E$2:E635)*(E635=E$2:E635)))))-COUNTBLANK(OFFSET(A$1,,,SUMPRODUCT(MAX(ROW(E$1:E634)*(E2=E$1:E634))))))</f>
        <v> </v>
      </c>
      <c r="K635" s="26" t="str">
        <f>IF(OR(E635="",E635="!!!",F635="NEW"),"",INDEX(J$1:J634,SUMPRODUCT(MAX(ROW(E$1:E634)*(E635=E$1:E634)))))</f>
        <v> </v>
      </c>
      <c r="L635" s="27"/>
    </row>
    <row r="636" spans="1:12">
      <c r="A636" s="20" t="s">
        <v>130</v>
      </c>
      <c r="E636" s="22">
        <f>IF(D636="?OLD","!!!","")</f>
        <v/>
      </c>
      <c r="F636" s="23" t="str">
        <f>IF(OR(E636="",E636="!!!"),"",IF(NOT(ISNA(VLOOKUP(E636,E$1:E635,1,FALSE()))),"OLD",IF(AND(E636&lt;&gt;"",E636&lt;&gt;"!!!"),"NEW","")))</f>
        <v> </v>
      </c>
      <c r="G636" s="24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5" t="str">
        <f>IF(J636&lt;&gt;1,"",IF(I636="SBJ","CB","?"))</f>
        <v> </v>
      </c>
      <c r="I636" s="26" t="str">
        <f>IF(OR(E636="",E636="!!!",F636="NEW"),"",INDEX(B635:B$2,-1+SUMPRODUCT(MAX(ROW(E635:E$2)*(E636=E635:E$2)))))</f>
        <v> </v>
      </c>
      <c r="J636" s="26" t="str">
        <f>IF(OR(E636="",E636="!!!",F636="NEW"),"",COUNTBLANK(OFFSET(A$1,,,SUMPRODUCT(MAX(ROW(E$2:E636)*(E636=E$2:E636)))))-COUNTBLANK(OFFSET(A$1,,,SUMPRODUCT(MAX(ROW(E$1:E635)*(E2=E$1:E635))))))</f>
        <v> </v>
      </c>
      <c r="K636" s="26" t="str">
        <f>IF(OR(E636="",E636="!!!",F636="NEW"),"",INDEX(J$1:J635,SUMPRODUCT(MAX(ROW(E$1:E635)*(E636=E$1:E635)))))</f>
        <v> </v>
      </c>
      <c r="L636" s="27"/>
    </row>
    <row r="637" spans="1:12">
      <c r="A637" s="20" t="s">
        <v>321</v>
      </c>
      <c r="E637" s="22">
        <f>IF(D637="?OLD","!!!","")</f>
        <v/>
      </c>
      <c r="F637" s="23" t="str">
        <f>IF(OR(E637="",E637="!!!"),"",IF(NOT(ISNA(VLOOKUP(E637,E$1:E636,1,FALSE()))),"OLD",IF(AND(E637&lt;&gt;"",E637&lt;&gt;"!!!"),"NEW","")))</f>
        <v> </v>
      </c>
      <c r="G637" s="24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5" t="str">
        <f>IF(J637&lt;&gt;1,"",IF(I637="SBJ","CB","?"))</f>
        <v> </v>
      </c>
      <c r="I637" s="26" t="str">
        <f>IF(OR(E637="",E637="!!!",F637="NEW"),"",INDEX(B636:B$2,-1+SUMPRODUCT(MAX(ROW(E636:E$2)*(E637=E636:E$2)))))</f>
        <v> </v>
      </c>
      <c r="J637" s="26" t="str">
        <f>IF(OR(E637="",E637="!!!",F637="NEW"),"",COUNTBLANK(OFFSET(A$1,,,SUMPRODUCT(MAX(ROW(E$2:E637)*(E637=E$2:E637)))))-COUNTBLANK(OFFSET(A$1,,,SUMPRODUCT(MAX(ROW(E$1:E636)*(E2=E$1:E636))))))</f>
        <v> </v>
      </c>
      <c r="K637" s="26" t="str">
        <f>IF(OR(E637="",E637="!!!",F637="NEW"),"",INDEX(J$1:J636,SUMPRODUCT(MAX(ROW(E$1:E636)*(E637=E$1:E636)))))</f>
        <v> </v>
      </c>
      <c r="L637" s="27"/>
    </row>
    <row r="638" spans="1:12">
      <c r="A638" s="20" t="s">
        <v>128</v>
      </c>
      <c r="E638" s="22">
        <f>IF(D638="?OLD","!!!","")</f>
        <v/>
      </c>
      <c r="F638" s="23" t="str">
        <f>IF(OR(E638="",E638="!!!"),"",IF(NOT(ISNA(VLOOKUP(E638,E$1:E637,1,FALSE()))),"OLD",IF(AND(E638&lt;&gt;"",E638&lt;&gt;"!!!"),"NEW","")))</f>
        <v> </v>
      </c>
      <c r="G638" s="24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5" t="str">
        <f>IF(J638&lt;&gt;1,"",IF(I638="SBJ","CB","?"))</f>
        <v> </v>
      </c>
      <c r="I638" s="26" t="str">
        <f>IF(OR(E638="",E638="!!!",F638="NEW"),"",INDEX(B637:B$2,-1+SUMPRODUCT(MAX(ROW(E637:E$2)*(E638=E637:E$2)))))</f>
        <v> </v>
      </c>
      <c r="J638" s="26" t="str">
        <f>IF(OR(E638="",E638="!!!",F638="NEW"),"",COUNTBLANK(OFFSET(A$1,,,SUMPRODUCT(MAX(ROW(E$2:E638)*(E638=E$2:E638)))))-COUNTBLANK(OFFSET(A$1,,,SUMPRODUCT(MAX(ROW(E$1:E637)*(E2=E$1:E637))))))</f>
        <v> </v>
      </c>
      <c r="K638" s="26" t="str">
        <f>IF(OR(E638="",E638="!!!",F638="NEW"),"",INDEX(J$1:J637,SUMPRODUCT(MAX(ROW(E$1:E637)*(E638=E$1:E637)))))</f>
        <v> </v>
      </c>
      <c r="L638" s="27"/>
    </row>
    <row r="639" spans="1:12">
      <c r="A639" s="20" t="s">
        <v>378</v>
      </c>
      <c r="B639" s="21" t="s">
        <v>134</v>
      </c>
      <c r="C639" s="21" t="s">
        <v>152</v>
      </c>
      <c r="D639" s="21" t="s">
        <v>119</v>
      </c>
      <c r="E639" s="22">
        <f>IF(D639="?OLD","!!!","")</f>
        <v/>
      </c>
      <c r="F639" s="23" t="str">
        <f>IF(OR(E639="",E639="!!!"),"",IF(NOT(ISNA(VLOOKUP(E639,E$1:E638,1,FALSE()))),"OLD",IF(AND(E639&lt;&gt;"",E639&lt;&gt;"!!!"),"NEW","")))</f>
        <v> </v>
      </c>
      <c r="G639" s="24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5" t="str">
        <f>IF(J639&lt;&gt;1,"",IF(I639="SBJ","CB","?"))</f>
        <v> </v>
      </c>
      <c r="I639" s="26" t="str">
        <f>IF(OR(E639="",E639="!!!",F639="NEW"),"",INDEX(B638:B$2,-1+SUMPRODUCT(MAX(ROW(E638:E$2)*(E639=E638:E$2)))))</f>
        <v> </v>
      </c>
      <c r="J639" s="26" t="str">
        <f>IF(OR(E639="",E639="!!!",F639="NEW"),"",COUNTBLANK(OFFSET(A$1,,,SUMPRODUCT(MAX(ROW(E$2:E639)*(E639=E$2:E639)))))-COUNTBLANK(OFFSET(A$1,,,SUMPRODUCT(MAX(ROW(E$1:E638)*(E2=E$1:E638))))))</f>
        <v> </v>
      </c>
      <c r="K639" s="26" t="str">
        <f>IF(OR(E639="",E639="!!!",F639="NEW"),"",INDEX(J$1:J638,SUMPRODUCT(MAX(ROW(E$1:E638)*(E639=E$1:E638)))))</f>
        <v> </v>
      </c>
      <c r="L639" s="27"/>
    </row>
    <row r="640" spans="1:12">
      <c r="A640" s="20" t="s">
        <v>331</v>
      </c>
      <c r="E640" s="22">
        <f>IF(D640="?OLD","!!!","")</f>
        <v/>
      </c>
      <c r="F640" s="23" t="str">
        <f>IF(OR(E640="",E640="!!!"),"",IF(NOT(ISNA(VLOOKUP(E640,E$1:E639,1,FALSE()))),"OLD",IF(AND(E640&lt;&gt;"",E640&lt;&gt;"!!!"),"NEW","")))</f>
        <v> </v>
      </c>
      <c r="G640" s="24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5" t="str">
        <f>IF(J640&lt;&gt;1,"",IF(I640="SBJ","CB","?"))</f>
        <v> </v>
      </c>
      <c r="I640" s="26" t="str">
        <f>IF(OR(E640="",E640="!!!",F640="NEW"),"",INDEX(B639:B$2,-1+SUMPRODUCT(MAX(ROW(E639:E$2)*(E640=E639:E$2)))))</f>
        <v> </v>
      </c>
      <c r="J640" s="26" t="str">
        <f>IF(OR(E640="",E640="!!!",F640="NEW"),"",COUNTBLANK(OFFSET(A$1,,,SUMPRODUCT(MAX(ROW(E$2:E640)*(E640=E$2:E640)))))-COUNTBLANK(OFFSET(A$1,,,SUMPRODUCT(MAX(ROW(E$1:E639)*(E2=E$1:E639))))))</f>
        <v> </v>
      </c>
      <c r="K640" s="26" t="str">
        <f>IF(OR(E640="",E640="!!!",F640="NEW"),"",INDEX(J$1:J639,SUMPRODUCT(MAX(ROW(E$1:E639)*(E640=E$1:E639)))))</f>
        <v> </v>
      </c>
      <c r="L640" s="27"/>
    </row>
    <row r="641" spans="1:12">
      <c r="A641" s="20" t="s">
        <v>12</v>
      </c>
      <c r="E641" s="22">
        <f>IF(D641="?OLD","!!!","")</f>
        <v/>
      </c>
      <c r="F641" s="23" t="str">
        <f>IF(OR(E641="",E641="!!!"),"",IF(NOT(ISNA(VLOOKUP(E641,E$1:E640,1,FALSE()))),"OLD",IF(AND(E641&lt;&gt;"",E641&lt;&gt;"!!!"),"NEW","")))</f>
        <v> </v>
      </c>
      <c r="G641" s="24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5" t="str">
        <f>IF(J641&lt;&gt;1,"",IF(I641="SBJ","CB","?"))</f>
        <v> </v>
      </c>
      <c r="I641" s="26" t="str">
        <f>IF(OR(E641="",E641="!!!",F641="NEW"),"",INDEX(B640:B$2,-1+SUMPRODUCT(MAX(ROW(E640:E$2)*(E641=E640:E$2)))))</f>
        <v> </v>
      </c>
      <c r="J641" s="26" t="str">
        <f>IF(OR(E641="",E641="!!!",F641="NEW"),"",COUNTBLANK(OFFSET(A$1,,,SUMPRODUCT(MAX(ROW(E$2:E641)*(E641=E$2:E641)))))-COUNTBLANK(OFFSET(A$1,,,SUMPRODUCT(MAX(ROW(E$1:E640)*(E2=E$1:E640))))))</f>
        <v> </v>
      </c>
      <c r="K641" s="26" t="str">
        <f>IF(OR(E641="",E641="!!!",F641="NEW"),"",INDEX(J$1:J640,SUMPRODUCT(MAX(ROW(E$1:E640)*(E641=E$1:E640)))))</f>
        <v> </v>
      </c>
      <c r="L641" s="27"/>
    </row>
    <row r="642" spans="1:12">
      <c r="A642" s="20" t="s">
        <v>21</v>
      </c>
      <c r="E642" s="22">
        <f>IF(D642="?OLD","!!!","")</f>
        <v/>
      </c>
      <c r="F642" s="23" t="str">
        <f>IF(OR(E642="",E642="!!!"),"",IF(NOT(ISNA(VLOOKUP(E642,E$1:E641,1,FALSE()))),"OLD",IF(AND(E642&lt;&gt;"",E642&lt;&gt;"!!!"),"NEW","")))</f>
        <v> </v>
      </c>
      <c r="G642" s="24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5" t="str">
        <f>IF(J642&lt;&gt;1,"",IF(I642="SBJ","CB","?"))</f>
        <v> </v>
      </c>
      <c r="I642" s="26" t="str">
        <f>IF(OR(E642="",E642="!!!",F642="NEW"),"",INDEX(B641:B$2,-1+SUMPRODUCT(MAX(ROW(E641:E$2)*(E642=E641:E$2)))))</f>
        <v> </v>
      </c>
      <c r="J642" s="26" t="str">
        <f>IF(OR(E642="",E642="!!!",F642="NEW"),"",COUNTBLANK(OFFSET(A$1,,,SUMPRODUCT(MAX(ROW(E$2:E642)*(E642=E$2:E642)))))-COUNTBLANK(OFFSET(A$1,,,SUMPRODUCT(MAX(ROW(E$1:E641)*(E2=E$1:E641))))))</f>
        <v> </v>
      </c>
      <c r="K642" s="26" t="str">
        <f>IF(OR(E642="",E642="!!!",F642="NEW"),"",INDEX(J$1:J641,SUMPRODUCT(MAX(ROW(E$1:E641)*(E642=E$1:E641)))))</f>
        <v> </v>
      </c>
      <c r="L642" s="27"/>
    </row>
    <row r="643" spans="1:12">
      <c r="A643" s="20" t="s">
        <v>163</v>
      </c>
      <c r="E643" s="22">
        <f>IF(D643="?OLD","!!!","")</f>
        <v/>
      </c>
      <c r="F643" s="23" t="str">
        <f>IF(OR(E643="",E643="!!!"),"",IF(NOT(ISNA(VLOOKUP(E643,E$1:E642,1,FALSE()))),"OLD",IF(AND(E643&lt;&gt;"",E643&lt;&gt;"!!!"),"NEW","")))</f>
        <v> </v>
      </c>
      <c r="G643" s="24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5" t="str">
        <f>IF(J643&lt;&gt;1,"",IF(I643="SBJ","CB","?"))</f>
        <v> </v>
      </c>
      <c r="I643" s="26" t="str">
        <f>IF(OR(E643="",E643="!!!",F643="NEW"),"",INDEX(B642:B$2,-1+SUMPRODUCT(MAX(ROW(E642:E$2)*(E643=E642:E$2)))))</f>
        <v> </v>
      </c>
      <c r="J643" s="26" t="str">
        <f>IF(OR(E643="",E643="!!!",F643="NEW"),"",COUNTBLANK(OFFSET(A$1,,,SUMPRODUCT(MAX(ROW(E$2:E643)*(E643=E$2:E643)))))-COUNTBLANK(OFFSET(A$1,,,SUMPRODUCT(MAX(ROW(E$1:E642)*(E2=E$1:E642))))))</f>
        <v> </v>
      </c>
      <c r="K643" s="26" t="str">
        <f>IF(OR(E643="",E643="!!!",F643="NEW"),"",INDEX(J$1:J642,SUMPRODUCT(MAX(ROW(E$1:E642)*(E643=E$1:E642)))))</f>
        <v> </v>
      </c>
      <c r="L643" s="27"/>
    </row>
    <row r="644" spans="1:12">
      <c r="A644" s="20"/>
    </row>
    <row r="645" spans="1:12">
      <c r="A645" s="20" t="s">
        <v>280</v>
      </c>
      <c r="E645" s="22">
        <f>IF(D645="?OLD","!!!","")</f>
        <v/>
      </c>
      <c r="F645" s="23" t="str">
        <f>IF(OR(E645="",E645="!!!"),"",IF(NOT(ISNA(VLOOKUP(E645,E$1:E644,1,FALSE()))),"OLD",IF(AND(E645&lt;&gt;"",E645&lt;&gt;"!!!"),"NEW","")))</f>
        <v> </v>
      </c>
      <c r="G645" s="24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5" t="str">
        <f>IF(J645&lt;&gt;1,"",IF(I645="SBJ","CB","?"))</f>
        <v> </v>
      </c>
      <c r="I645" s="26" t="str">
        <f>IF(OR(E645="",E645="!!!",F645="NEW"),"",INDEX(B644:B$2,-1+SUMPRODUCT(MAX(ROW(E644:E$2)*(E645=E644:E$2)))))</f>
        <v> </v>
      </c>
      <c r="J645" s="26" t="str">
        <f>IF(OR(E645="",E645="!!!",F645="NEW"),"",COUNTBLANK(OFFSET(A$1,,,SUMPRODUCT(MAX(ROW(E$2:E645)*(E645=E$2:E645)))))-COUNTBLANK(OFFSET(A$1,,,SUMPRODUCT(MAX(ROW(E$1:E644)*(E2=E$1:E644))))))</f>
        <v> </v>
      </c>
      <c r="K645" s="26" t="str">
        <f>IF(OR(E645="",E645="!!!",F645="NEW"),"",INDEX(J$1:J644,SUMPRODUCT(MAX(ROW(E$1:E644)*(E645=E$1:E644)))))</f>
        <v> </v>
      </c>
      <c r="L645" s="27"/>
    </row>
    <row r="646" spans="1:12">
      <c r="A646" s="20" t="s">
        <v>423</v>
      </c>
    </row>
    <row r="647" spans="1:12">
      <c r="A647" s="20" t="s">
        <v>43</v>
      </c>
      <c r="E647" s="22">
        <f>IF(D647="?OLD","!!!","")</f>
        <v/>
      </c>
      <c r="F647" s="23" t="str">
        <f>IF(OR(E647="",E647="!!!"),"",IF(NOT(ISNA(VLOOKUP(E647,E$1:E646,1,FALSE()))),"OLD",IF(AND(E647&lt;&gt;"",E647&lt;&gt;"!!!"),"NEW","")))</f>
        <v> </v>
      </c>
      <c r="G647" s="24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5" t="str">
        <f>IF(J647&lt;&gt;1,"",IF(I647="SBJ","CB","?"))</f>
        <v> </v>
      </c>
      <c r="I647" s="26" t="str">
        <f>IF(OR(E647="",E647="!!!",F647="NEW"),"",INDEX(B646:B$2,-1+SUMPRODUCT(MAX(ROW(E646:E$2)*(E647=E646:E$2)))))</f>
        <v> </v>
      </c>
      <c r="J647" s="26" t="str">
        <f>IF(OR(E647="",E647="!!!",F647="NEW"),"",COUNTBLANK(OFFSET(A$1,,,SUMPRODUCT(MAX(ROW(E$2:E647)*(E647=E$2:E647)))))-COUNTBLANK(OFFSET(A$1,,,SUMPRODUCT(MAX(ROW(E$1:E646)*(E2=E$1:E646))))))</f>
        <v> </v>
      </c>
      <c r="K647" s="26" t="str">
        <f>IF(OR(E647="",E647="!!!",F647="NEW"),"",INDEX(J$1:J646,SUMPRODUCT(MAX(ROW(E$1:E646)*(E647=E$1:E646)))))</f>
        <v> </v>
      </c>
      <c r="L647" s="27"/>
    </row>
    <row r="648" spans="1:12">
      <c r="A648" s="20" t="s">
        <v>182</v>
      </c>
      <c r="B648" s="21" t="s">
        <v>117</v>
      </c>
      <c r="C648" s="21" t="s">
        <v>218</v>
      </c>
      <c r="D648" s="21" t="s">
        <v>119</v>
      </c>
      <c r="E648" s="22">
        <f>IF(D648="?OLD","!!!","")</f>
        <v/>
      </c>
      <c r="F648" s="23" t="str">
        <f>IF(OR(E648="",E648="!!!"),"",IF(NOT(ISNA(VLOOKUP(E648,E$1:E647,1,FALSE()))),"OLD",IF(AND(E648&lt;&gt;"",E648&lt;&gt;"!!!"),"NEW","")))</f>
        <v> </v>
      </c>
      <c r="G648" s="24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5" t="str">
        <f>IF(J648&lt;&gt;1,"",IF(I648="SBJ","CB","?"))</f>
        <v> </v>
      </c>
      <c r="I648" s="26" t="str">
        <f>IF(OR(E648="",E648="!!!",F648="NEW"),"",INDEX(B647:B$2,-1+SUMPRODUCT(MAX(ROW(E647:E$2)*(E648=E647:E$2)))))</f>
        <v> </v>
      </c>
      <c r="J648" s="26" t="str">
        <f>IF(OR(E648="",E648="!!!",F648="NEW"),"",COUNTBLANK(OFFSET(A$1,,,SUMPRODUCT(MAX(ROW(E$2:E648)*(E648=E$2:E648)))))-COUNTBLANK(OFFSET(A$1,,,SUMPRODUCT(MAX(ROW(E$1:E647)*(E2=E$1:E647))))))</f>
        <v> </v>
      </c>
      <c r="K648" s="26" t="str">
        <f>IF(OR(E648="",E648="!!!",F648="NEW"),"",INDEX(J$1:J647,SUMPRODUCT(MAX(ROW(E$1:E647)*(E648=E$1:E647)))))</f>
        <v> </v>
      </c>
      <c r="L648" s="27"/>
    </row>
    <row r="649" spans="1:12">
      <c r="A649" s="20" t="s">
        <v>381</v>
      </c>
      <c r="E649" s="22">
        <f>IF(D649="?OLD","!!!","")</f>
        <v/>
      </c>
      <c r="F649" s="23" t="str">
        <f>IF(OR(E649="",E649="!!!"),"",IF(NOT(ISNA(VLOOKUP(E649,E$1:E648,1,FALSE()))),"OLD",IF(AND(E649&lt;&gt;"",E649&lt;&gt;"!!!"),"NEW","")))</f>
        <v> </v>
      </c>
      <c r="G649" s="24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5" t="str">
        <f>IF(J649&lt;&gt;1,"",IF(I649="SBJ","CB","?"))</f>
        <v> </v>
      </c>
      <c r="I649" s="26" t="str">
        <f>IF(OR(E649="",E649="!!!",F649="NEW"),"",INDEX(B648:B$2,-1+SUMPRODUCT(MAX(ROW(E648:E$2)*(E649=E648:E$2)))))</f>
        <v> </v>
      </c>
      <c r="J649" s="26" t="str">
        <f>IF(OR(E649="",E649="!!!",F649="NEW"),"",COUNTBLANK(OFFSET(A$1,,,SUMPRODUCT(MAX(ROW(E$2:E649)*(E649=E$2:E649)))))-COUNTBLANK(OFFSET(A$1,,,SUMPRODUCT(MAX(ROW(E$1:E648)*(E2=E$1:E648))))))</f>
        <v> </v>
      </c>
      <c r="K649" s="26" t="str">
        <f>IF(OR(E649="",E649="!!!",F649="NEW"),"",INDEX(J$1:J648,SUMPRODUCT(MAX(ROW(E$1:E648)*(E649=E$1:E648)))))</f>
        <v> </v>
      </c>
      <c r="L649" s="27"/>
    </row>
    <row r="650" spans="1:12">
      <c r="A650" s="20" t="s">
        <v>325</v>
      </c>
      <c r="E650" s="22">
        <f>IF(D650="?OLD","!!!","")</f>
        <v/>
      </c>
      <c r="F650" s="23" t="str">
        <f>IF(OR(E650="",E650="!!!"),"",IF(NOT(ISNA(VLOOKUP(E650,E$1:E649,1,FALSE()))),"OLD",IF(AND(E650&lt;&gt;"",E650&lt;&gt;"!!!"),"NEW","")))</f>
        <v> </v>
      </c>
      <c r="G650" s="24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5" t="str">
        <f>IF(J650&lt;&gt;1,"",IF(I650="SBJ","CB","?"))</f>
        <v> </v>
      </c>
      <c r="I650" s="26" t="str">
        <f>IF(OR(E650="",E650="!!!",F650="NEW"),"",INDEX(B649:B$2,-1+SUMPRODUCT(MAX(ROW(E649:E$2)*(E650=E649:E$2)))))</f>
        <v> </v>
      </c>
      <c r="J650" s="26" t="str">
        <f>IF(OR(E650="",E650="!!!",F650="NEW"),"",COUNTBLANK(OFFSET(A$1,,,SUMPRODUCT(MAX(ROW(E$2:E650)*(E650=E$2:E650)))))-COUNTBLANK(OFFSET(A$1,,,SUMPRODUCT(MAX(ROW(E$1:E649)*(E2=E$1:E649))))))</f>
        <v> </v>
      </c>
      <c r="K650" s="26" t="str">
        <f>IF(OR(E650="",E650="!!!",F650="NEW"),"",INDEX(J$1:J649,SUMPRODUCT(MAX(ROW(E$1:E649)*(E650=E$1:E649)))))</f>
        <v> </v>
      </c>
      <c r="L650" s="27"/>
    </row>
    <row r="651" spans="1:12">
      <c r="A651" s="20" t="s">
        <v>149</v>
      </c>
      <c r="E651" s="22">
        <f>IF(D651="?OLD","!!!","")</f>
        <v/>
      </c>
      <c r="F651" s="23" t="str">
        <f>IF(OR(E651="",E651="!!!"),"",IF(NOT(ISNA(VLOOKUP(E651,E$1:E650,1,FALSE()))),"OLD",IF(AND(E651&lt;&gt;"",E651&lt;&gt;"!!!"),"NEW","")))</f>
        <v> </v>
      </c>
      <c r="G651" s="24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5" t="str">
        <f>IF(J651&lt;&gt;1,"",IF(I651="SBJ","CB","?"))</f>
        <v> </v>
      </c>
      <c r="I651" s="26" t="str">
        <f>IF(OR(E651="",E651="!!!",F651="NEW"),"",INDEX(B650:B$2,-1+SUMPRODUCT(MAX(ROW(E650:E$2)*(E651=E650:E$2)))))</f>
        <v> </v>
      </c>
      <c r="J651" s="26" t="str">
        <f>IF(OR(E651="",E651="!!!",F651="NEW"),"",COUNTBLANK(OFFSET(A$1,,,SUMPRODUCT(MAX(ROW(E$2:E651)*(E651=E$2:E651)))))-COUNTBLANK(OFFSET(A$1,,,SUMPRODUCT(MAX(ROW(E$1:E650)*(E2=E$1:E650))))))</f>
        <v> </v>
      </c>
      <c r="K651" s="26" t="str">
        <f>IF(OR(E651="",E651="!!!",F651="NEW"),"",INDEX(J$1:J650,SUMPRODUCT(MAX(ROW(E$1:E650)*(E651=E$1:E650)))))</f>
        <v> </v>
      </c>
      <c r="L651" s="27"/>
    </row>
    <row r="652" spans="1:12">
      <c r="A652" s="20" t="s">
        <v>382</v>
      </c>
      <c r="B652" s="21" t="s">
        <v>125</v>
      </c>
      <c r="C652" s="21" t="s">
        <v>152</v>
      </c>
      <c r="D652" s="21" t="s">
        <v>119</v>
      </c>
      <c r="E652" s="22">
        <f>IF(D652="?OLD","!!!","")</f>
        <v/>
      </c>
      <c r="F652" s="23" t="str">
        <f>IF(OR(E652="",E652="!!!"),"",IF(NOT(ISNA(VLOOKUP(E652,E$1:E651,1,FALSE()))),"OLD",IF(AND(E652&lt;&gt;"",E652&lt;&gt;"!!!"),"NEW","")))</f>
        <v> </v>
      </c>
      <c r="G652" s="24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5" t="str">
        <f>IF(J652&lt;&gt;1,"",IF(I652="SBJ","CB","?"))</f>
        <v> </v>
      </c>
      <c r="I652" s="26" t="str">
        <f>IF(OR(E652="",E652="!!!",F652="NEW"),"",INDEX(B651:B$2,-1+SUMPRODUCT(MAX(ROW(E651:E$2)*(E652=E651:E$2)))))</f>
        <v> </v>
      </c>
      <c r="J652" s="26" t="str">
        <f>IF(OR(E652="",E652="!!!",F652="NEW"),"",COUNTBLANK(OFFSET(A$1,,,SUMPRODUCT(MAX(ROW(E$2:E652)*(E652=E$2:E652)))))-COUNTBLANK(OFFSET(A$1,,,SUMPRODUCT(MAX(ROW(E$1:E651)*(E2=E$1:E651))))))</f>
        <v> </v>
      </c>
      <c r="K652" s="26" t="str">
        <f>IF(OR(E652="",E652="!!!",F652="NEW"),"",INDEX(J$1:J651,SUMPRODUCT(MAX(ROW(E$1:E651)*(E652=E$1:E651)))))</f>
        <v> </v>
      </c>
      <c r="L652" s="27"/>
    </row>
    <row r="653" spans="1:12">
      <c r="A653" s="20" t="s">
        <v>153</v>
      </c>
      <c r="E653" s="22">
        <f>IF(D653="?OLD","!!!","")</f>
        <v/>
      </c>
      <c r="F653" s="23" t="str">
        <f>IF(OR(E653="",E653="!!!"),"",IF(NOT(ISNA(VLOOKUP(E653,E$1:E652,1,FALSE()))),"OLD",IF(AND(E653&lt;&gt;"",E653&lt;&gt;"!!!"),"NEW","")))</f>
        <v> </v>
      </c>
      <c r="G653" s="24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5" t="str">
        <f>IF(J653&lt;&gt;1,"",IF(I653="SBJ","CB","?"))</f>
        <v> </v>
      </c>
      <c r="I653" s="26" t="str">
        <f>IF(OR(E653="",E653="!!!",F653="NEW"),"",INDEX(B652:B$2,-1+SUMPRODUCT(MAX(ROW(E652:E$2)*(E653=E652:E$2)))))</f>
        <v> </v>
      </c>
      <c r="J653" s="26" t="str">
        <f>IF(OR(E653="",E653="!!!",F653="NEW"),"",COUNTBLANK(OFFSET(A$1,,,SUMPRODUCT(MAX(ROW(E$2:E653)*(E653=E$2:E653)))))-COUNTBLANK(OFFSET(A$1,,,SUMPRODUCT(MAX(ROW(E$1:E652)*(E2=E$1:E652))))))</f>
        <v> </v>
      </c>
      <c r="K653" s="26" t="str">
        <f>IF(OR(E653="",E653="!!!",F653="NEW"),"",INDEX(J$1:J652,SUMPRODUCT(MAX(ROW(E$1:E652)*(E653=E$1:E652)))))</f>
        <v> </v>
      </c>
      <c r="L653" s="27"/>
    </row>
    <row r="654" spans="1:12">
      <c r="A654" s="20" t="s">
        <v>223</v>
      </c>
      <c r="E654" s="22">
        <f>IF(D654="?OLD","!!!","")</f>
        <v/>
      </c>
      <c r="F654" s="23" t="str">
        <f>IF(OR(E654="",E654="!!!"),"",IF(NOT(ISNA(VLOOKUP(E654,E$1:E653,1,FALSE()))),"OLD",IF(AND(E654&lt;&gt;"",E654&lt;&gt;"!!!"),"NEW","")))</f>
        <v> </v>
      </c>
      <c r="G654" s="24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5" t="str">
        <f>IF(J654&lt;&gt;1,"",IF(I654="SBJ","CB","?"))</f>
        <v> </v>
      </c>
      <c r="I654" s="26" t="str">
        <f>IF(OR(E654="",E654="!!!",F654="NEW"),"",INDEX(B653:B$2,-1+SUMPRODUCT(MAX(ROW(E653:E$2)*(E654=E653:E$2)))))</f>
        <v> </v>
      </c>
      <c r="J654" s="26" t="str">
        <f>IF(OR(E654="",E654="!!!",F654="NEW"),"",COUNTBLANK(OFFSET(A$1,,,SUMPRODUCT(MAX(ROW(E$2:E654)*(E654=E$2:E654)))))-COUNTBLANK(OFFSET(A$1,,,SUMPRODUCT(MAX(ROW(E$1:E653)*(E2=E$1:E653))))))</f>
        <v> </v>
      </c>
      <c r="K654" s="26" t="str">
        <f>IF(OR(E654="",E654="!!!",F654="NEW"),"",INDEX(J$1:J653,SUMPRODUCT(MAX(ROW(E$1:E653)*(E654=E$1:E653)))))</f>
        <v> </v>
      </c>
      <c r="L654" s="27"/>
    </row>
    <row r="655" spans="1:12">
      <c r="A655" s="20" t="s">
        <v>383</v>
      </c>
      <c r="B655" s="21" t="s">
        <v>151</v>
      </c>
      <c r="C655" s="21" t="s">
        <v>152</v>
      </c>
      <c r="D655" s="21" t="s">
        <v>119</v>
      </c>
      <c r="E655" s="22">
        <f>IF(D655="?OLD","!!!","")</f>
        <v/>
      </c>
      <c r="F655" s="23" t="str">
        <f>IF(OR(E655="",E655="!!!"),"",IF(NOT(ISNA(VLOOKUP(E655,E$1:E654,1,FALSE()))),"OLD",IF(AND(E655&lt;&gt;"",E655&lt;&gt;"!!!"),"NEW","")))</f>
        <v> </v>
      </c>
      <c r="G655" s="24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5" t="str">
        <f>IF(J655&lt;&gt;1,"",IF(I655="SBJ","CB","?"))</f>
        <v> </v>
      </c>
      <c r="I655" s="26" t="str">
        <f>IF(OR(E655="",E655="!!!",F655="NEW"),"",INDEX(B654:B$2,-1+SUMPRODUCT(MAX(ROW(E654:E$2)*(E655=E654:E$2)))))</f>
        <v> </v>
      </c>
      <c r="J655" s="26" t="str">
        <f>IF(OR(E655="",E655="!!!",F655="NEW"),"",COUNTBLANK(OFFSET(A$1,,,SUMPRODUCT(MAX(ROW(E$2:E655)*(E655=E$2:E655)))))-COUNTBLANK(OFFSET(A$1,,,SUMPRODUCT(MAX(ROW(E$1:E654)*(E2=E$1:E654))))))</f>
        <v> </v>
      </c>
      <c r="K655" s="26" t="str">
        <f>IF(OR(E655="",E655="!!!",F655="NEW"),"",INDEX(J$1:J654,SUMPRODUCT(MAX(ROW(E$1:E654)*(E655=E$1:E654)))))</f>
        <v> </v>
      </c>
      <c r="L655" s="27"/>
    </row>
    <row r="656" spans="1:12">
      <c r="A656" s="20" t="s">
        <v>219</v>
      </c>
      <c r="E656" s="22">
        <f>IF(D656="?OLD","!!!","")</f>
        <v/>
      </c>
      <c r="F656" s="23" t="str">
        <f>IF(OR(E656="",E656="!!!"),"",IF(NOT(ISNA(VLOOKUP(E656,E$1:E655,1,FALSE()))),"OLD",IF(AND(E656&lt;&gt;"",E656&lt;&gt;"!!!"),"NEW","")))</f>
        <v> </v>
      </c>
      <c r="G656" s="24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5" t="str">
        <f>IF(J656&lt;&gt;1,"",IF(I656="SBJ","CB","?"))</f>
        <v> </v>
      </c>
      <c r="I656" s="26" t="str">
        <f>IF(OR(E656="",E656="!!!",F656="NEW"),"",INDEX(B655:B$2,-1+SUMPRODUCT(MAX(ROW(E655:E$2)*(E656=E655:E$2)))))</f>
        <v> </v>
      </c>
      <c r="J656" s="26" t="str">
        <f>IF(OR(E656="",E656="!!!",F656="NEW"),"",COUNTBLANK(OFFSET(A$1,,,SUMPRODUCT(MAX(ROW(E$2:E656)*(E656=E$2:E656)))))-COUNTBLANK(OFFSET(A$1,,,SUMPRODUCT(MAX(ROW(E$1:E655)*(E2=E$1:E655))))))</f>
        <v> </v>
      </c>
      <c r="K656" s="26" t="str">
        <f>IF(OR(E656="",E656="!!!",F656="NEW"),"",INDEX(J$1:J655,SUMPRODUCT(MAX(ROW(E$1:E655)*(E656=E$1:E655)))))</f>
        <v> </v>
      </c>
      <c r="L656" s="27"/>
    </row>
    <row r="657" spans="1:12">
      <c r="A657" s="20" t="s">
        <v>331</v>
      </c>
      <c r="E657" s="22">
        <f>IF(D657="?OLD","!!!","")</f>
        <v/>
      </c>
      <c r="F657" s="23" t="str">
        <f>IF(OR(E657="",E657="!!!"),"",IF(NOT(ISNA(VLOOKUP(E657,E$1:E656,1,FALSE()))),"OLD",IF(AND(E657&lt;&gt;"",E657&lt;&gt;"!!!"),"NEW","")))</f>
        <v> </v>
      </c>
      <c r="G657" s="24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5" t="str">
        <f>IF(J657&lt;&gt;1,"",IF(I657="SBJ","CB","?"))</f>
        <v> </v>
      </c>
      <c r="I657" s="26" t="str">
        <f>IF(OR(E657="",E657="!!!",F657="NEW"),"",INDEX(B656:B$2,-1+SUMPRODUCT(MAX(ROW(E656:E$2)*(E657=E656:E$2)))))</f>
        <v> </v>
      </c>
      <c r="J657" s="26" t="str">
        <f>IF(OR(E657="",E657="!!!",F657="NEW"),"",COUNTBLANK(OFFSET(A$1,,,SUMPRODUCT(MAX(ROW(E$2:E657)*(E657=E$2:E657)))))-COUNTBLANK(OFFSET(A$1,,,SUMPRODUCT(MAX(ROW(E$1:E656)*(E2=E$1:E656))))))</f>
        <v> </v>
      </c>
      <c r="K657" s="26" t="str">
        <f>IF(OR(E657="",E657="!!!",F657="NEW"),"",INDEX(J$1:J656,SUMPRODUCT(MAX(ROW(E$1:E656)*(E657=E$1:E656)))))</f>
        <v> </v>
      </c>
      <c r="L657" s="27"/>
    </row>
    <row r="658" spans="1:12">
      <c r="A658" s="20" t="s">
        <v>163</v>
      </c>
      <c r="E658" s="22">
        <f>IF(D658="?OLD","!!!","")</f>
        <v/>
      </c>
      <c r="F658" s="23" t="str">
        <f>IF(OR(E658="",E658="!!!"),"",IF(NOT(ISNA(VLOOKUP(E658,E$1:E657,1,FALSE()))),"OLD",IF(AND(E658&lt;&gt;"",E658&lt;&gt;"!!!"),"NEW","")))</f>
        <v> </v>
      </c>
      <c r="G658" s="24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5" t="str">
        <f>IF(J658&lt;&gt;1,"",IF(I658="SBJ","CB","?"))</f>
        <v> </v>
      </c>
      <c r="I658" s="26" t="str">
        <f>IF(OR(E658="",E658="!!!",F658="NEW"),"",INDEX(B657:B$2,-1+SUMPRODUCT(MAX(ROW(E657:E$2)*(E658=E657:E$2)))))</f>
        <v> </v>
      </c>
      <c r="J658" s="26" t="str">
        <f>IF(OR(E658="",E658="!!!",F658="NEW"),"",COUNTBLANK(OFFSET(A$1,,,SUMPRODUCT(MAX(ROW(E$2:E658)*(E658=E$2:E658)))))-COUNTBLANK(OFFSET(A$1,,,SUMPRODUCT(MAX(ROW(E$1:E657)*(E2=E$1:E657))))))</f>
        <v> </v>
      </c>
      <c r="K658" s="26" t="str">
        <f>IF(OR(E658="",E658="!!!",F658="NEW"),"",INDEX(J$1:J657,SUMPRODUCT(MAX(ROW(E$1:E657)*(E658=E$1:E657)))))</f>
        <v> </v>
      </c>
      <c r="L658" s="27"/>
    </row>
    <row r="659" spans="1:12">
      <c r="A659" s="20"/>
    </row>
    <row r="660" spans="1:12">
      <c r="A660" s="20" t="s">
        <v>424</v>
      </c>
    </row>
    <row r="661" spans="1:12">
      <c r="A661" s="20" t="s">
        <v>230</v>
      </c>
      <c r="E661" s="22">
        <f>IF(D661="?OLD","!!!","")</f>
        <v/>
      </c>
      <c r="F661" s="23" t="str">
        <f>IF(OR(E661="",E661="!!!"),"",IF(NOT(ISNA(VLOOKUP(E661,E$1:E660,1,FALSE()))),"OLD",IF(AND(E661&lt;&gt;"",E661&lt;&gt;"!!!"),"NEW","")))</f>
        <v> </v>
      </c>
      <c r="G661" s="24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5" t="str">
        <f>IF(J661&lt;&gt;1,"",IF(I661="SBJ","CB","?"))</f>
        <v> </v>
      </c>
      <c r="I661" s="26" t="str">
        <f>IF(OR(E661="",E661="!!!",F661="NEW"),"",INDEX(B660:B$2,-1+SUMPRODUCT(MAX(ROW(E660:E$2)*(E661=E660:E$2)))))</f>
        <v> </v>
      </c>
      <c r="J661" s="26" t="str">
        <f>IF(OR(E661="",E661="!!!",F661="NEW"),"",COUNTBLANK(OFFSET(A$1,,,SUMPRODUCT(MAX(ROW(E$2:E661)*(E661=E$2:E661)))))-COUNTBLANK(OFFSET(A$1,,,SUMPRODUCT(MAX(ROW(E$1:E660)*(E2=E$1:E660))))))</f>
        <v> </v>
      </c>
      <c r="K661" s="26" t="str">
        <f>IF(OR(E661="",E661="!!!",F661="NEW"),"",INDEX(J$1:J660,SUMPRODUCT(MAX(ROW(E$1:E660)*(E661=E$1:E660)))))</f>
        <v> </v>
      </c>
      <c r="L661" s="27"/>
    </row>
    <row r="662" spans="1:12">
      <c r="A662" s="20" t="s">
        <v>235</v>
      </c>
      <c r="E662" s="22">
        <f>IF(D662="?OLD","!!!","")</f>
        <v/>
      </c>
      <c r="F662" s="23" t="str">
        <f>IF(OR(E662="",E662="!!!"),"",IF(NOT(ISNA(VLOOKUP(E662,E$1:E661,1,FALSE()))),"OLD",IF(AND(E662&lt;&gt;"",E662&lt;&gt;"!!!"),"NEW","")))</f>
        <v> </v>
      </c>
      <c r="G662" s="24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5" t="str">
        <f>IF(J662&lt;&gt;1,"",IF(I662="SBJ","CB","?"))</f>
        <v> </v>
      </c>
      <c r="I662" s="26" t="str">
        <f>IF(OR(E662="",E662="!!!",F662="NEW"),"",INDEX(B661:B$2,-1+SUMPRODUCT(MAX(ROW(E661:E$2)*(E662=E661:E$2)))))</f>
        <v> </v>
      </c>
      <c r="J662" s="26" t="str">
        <f>IF(OR(E662="",E662="!!!",F662="NEW"),"",COUNTBLANK(OFFSET(A$1,,,SUMPRODUCT(MAX(ROW(E$2:E662)*(E662=E$2:E662)))))-COUNTBLANK(OFFSET(A$1,,,SUMPRODUCT(MAX(ROW(E$1:E661)*(E2=E$1:E661))))))</f>
        <v> </v>
      </c>
      <c r="K662" s="26" t="str">
        <f>IF(OR(E662="",E662="!!!",F662="NEW"),"",INDEX(J$1:J661,SUMPRODUCT(MAX(ROW(E$1:E661)*(E662=E$1:E661)))))</f>
        <v> </v>
      </c>
      <c r="L662" s="27"/>
    </row>
    <row r="663" spans="1:12">
      <c r="A663" s="20" t="s">
        <v>237</v>
      </c>
      <c r="B663" s="21" t="s">
        <v>151</v>
      </c>
      <c r="C663" s="21" t="s">
        <v>152</v>
      </c>
      <c r="D663" s="21" t="s">
        <v>119</v>
      </c>
      <c r="E663" s="22">
        <f>IF(D663="?OLD","!!!","")</f>
        <v/>
      </c>
      <c r="F663" s="23" t="str">
        <f>IF(OR(E663="",E663="!!!"),"",IF(NOT(ISNA(VLOOKUP(E663,E$1:E662,1,FALSE()))),"OLD",IF(AND(E663&lt;&gt;"",E663&lt;&gt;"!!!"),"NEW","")))</f>
        <v> </v>
      </c>
      <c r="G663" s="24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5" t="str">
        <f>IF(J663&lt;&gt;1,"",IF(I663="SBJ","CB","?"))</f>
        <v> </v>
      </c>
      <c r="I663" s="26" t="str">
        <f>IF(OR(E663="",E663="!!!",F663="NEW"),"",INDEX(B662:B$2,-1+SUMPRODUCT(MAX(ROW(E662:E$2)*(E663=E662:E$2)))))</f>
        <v> </v>
      </c>
      <c r="J663" s="26" t="str">
        <f>IF(OR(E663="",E663="!!!",F663="NEW"),"",COUNTBLANK(OFFSET(A$1,,,SUMPRODUCT(MAX(ROW(E$2:E663)*(E663=E$2:E663)))))-COUNTBLANK(OFFSET(A$1,,,SUMPRODUCT(MAX(ROW(E$1:E662)*(E2=E$1:E662))))))</f>
        <v> </v>
      </c>
      <c r="K663" s="26" t="str">
        <f>IF(OR(E663="",E663="!!!",F663="NEW"),"",INDEX(J$1:J662,SUMPRODUCT(MAX(ROW(E$1:E662)*(E663=E$1:E662)))))</f>
        <v> </v>
      </c>
      <c r="L663" s="27"/>
    </row>
    <row r="664" spans="1:12">
      <c r="A664" s="20" t="s">
        <v>199</v>
      </c>
      <c r="E664" s="22">
        <f>IF(D664="?OLD","!!!","")</f>
        <v/>
      </c>
      <c r="F664" s="23" t="str">
        <f>IF(OR(E664="",E664="!!!"),"",IF(NOT(ISNA(VLOOKUP(E664,E$1:E663,1,FALSE()))),"OLD",IF(AND(E664&lt;&gt;"",E664&lt;&gt;"!!!"),"NEW","")))</f>
        <v> </v>
      </c>
      <c r="G664" s="24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5" t="str">
        <f>IF(J664&lt;&gt;1,"",IF(I664="SBJ","CB","?"))</f>
        <v> </v>
      </c>
      <c r="I664" s="26" t="str">
        <f>IF(OR(E664="",E664="!!!",F664="NEW"),"",INDEX(B663:B$2,-1+SUMPRODUCT(MAX(ROW(E663:E$2)*(E664=E663:E$2)))))</f>
        <v> </v>
      </c>
      <c r="J664" s="26" t="str">
        <f>IF(OR(E664="",E664="!!!",F664="NEW"),"",COUNTBLANK(OFFSET(A$1,,,SUMPRODUCT(MAX(ROW(E$2:E664)*(E664=E$2:E664)))))-COUNTBLANK(OFFSET(A$1,,,SUMPRODUCT(MAX(ROW(E$1:E663)*(E2=E$1:E663))))))</f>
        <v> </v>
      </c>
      <c r="K664" s="26" t="str">
        <f>IF(OR(E664="",E664="!!!",F664="NEW"),"",INDEX(J$1:J663,SUMPRODUCT(MAX(ROW(E$1:E663)*(E664=E$1:E663)))))</f>
        <v> </v>
      </c>
      <c r="L664" s="27"/>
    </row>
    <row r="665" spans="1:12">
      <c r="A665" s="20" t="s">
        <v>425</v>
      </c>
      <c r="E665" s="22">
        <f>IF(D665="?OLD","!!!","")</f>
        <v/>
      </c>
      <c r="F665" s="23" t="str">
        <f>IF(OR(E665="",E665="!!!"),"",IF(NOT(ISNA(VLOOKUP(E665,E$1:E664,1,FALSE()))),"OLD",IF(AND(E665&lt;&gt;"",E665&lt;&gt;"!!!"),"NEW","")))</f>
        <v> </v>
      </c>
      <c r="G665" s="24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5" t="str">
        <f>IF(J665&lt;&gt;1,"",IF(I665="SBJ","CB","?"))</f>
        <v> </v>
      </c>
      <c r="I665" s="26" t="str">
        <f>IF(OR(E665="",E665="!!!",F665="NEW"),"",INDEX(B664:B$2,-1+SUMPRODUCT(MAX(ROW(E664:E$2)*(E665=E664:E$2)))))</f>
        <v> </v>
      </c>
      <c r="J665" s="26" t="str">
        <f>IF(OR(E665="",E665="!!!",F665="NEW"),"",COUNTBLANK(OFFSET(A$1,,,SUMPRODUCT(MAX(ROW(E$2:E665)*(E665=E$2:E665)))))-COUNTBLANK(OFFSET(A$1,,,SUMPRODUCT(MAX(ROW(E$1:E664)*(E2=E$1:E664))))))</f>
        <v> </v>
      </c>
      <c r="K665" s="26" t="str">
        <f>IF(OR(E665="",E665="!!!",F665="NEW"),"",INDEX(J$1:J664,SUMPRODUCT(MAX(ROW(E$1:E664)*(E665=E$1:E664)))))</f>
        <v> </v>
      </c>
      <c r="L665" s="27"/>
    </row>
    <row r="666" spans="1:12">
      <c r="A666" s="20" t="s">
        <v>426</v>
      </c>
      <c r="E666" s="22">
        <f>IF(D666="?OLD","!!!","")</f>
        <v/>
      </c>
      <c r="F666" s="23" t="str">
        <f>IF(OR(E666="",E666="!!!"),"",IF(NOT(ISNA(VLOOKUP(E666,E$1:E665,1,FALSE()))),"OLD",IF(AND(E666&lt;&gt;"",E666&lt;&gt;"!!!"),"NEW","")))</f>
        <v> </v>
      </c>
      <c r="G666" s="24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5" t="str">
        <f>IF(J666&lt;&gt;1,"",IF(I666="SBJ","CB","?"))</f>
        <v> </v>
      </c>
      <c r="I666" s="26" t="str">
        <f>IF(OR(E666="",E666="!!!",F666="NEW"),"",INDEX(B665:B$2,-1+SUMPRODUCT(MAX(ROW(E665:E$2)*(E666=E665:E$2)))))</f>
        <v> </v>
      </c>
      <c r="J666" s="26" t="str">
        <f>IF(OR(E666="",E666="!!!",F666="NEW"),"",COUNTBLANK(OFFSET(A$1,,,SUMPRODUCT(MAX(ROW(E$2:E666)*(E666=E$2:E666)))))-COUNTBLANK(OFFSET(A$1,,,SUMPRODUCT(MAX(ROW(E$1:E665)*(E2=E$1:E665))))))</f>
        <v> </v>
      </c>
      <c r="K666" s="26" t="str">
        <f>IF(OR(E666="",E666="!!!",F666="NEW"),"",INDEX(J$1:J665,SUMPRODUCT(MAX(ROW(E$1:E665)*(E666=E$1:E665)))))</f>
        <v> </v>
      </c>
      <c r="L666" s="27"/>
    </row>
    <row r="667" spans="1:12">
      <c r="A667" s="20" t="s">
        <v>127</v>
      </c>
      <c r="E667" s="22">
        <f>IF(D667="?OLD","!!!","")</f>
        <v/>
      </c>
      <c r="F667" s="23" t="str">
        <f>IF(OR(E667="",E667="!!!"),"",IF(NOT(ISNA(VLOOKUP(E667,E$1:E666,1,FALSE()))),"OLD",IF(AND(E667&lt;&gt;"",E667&lt;&gt;"!!!"),"NEW","")))</f>
        <v> </v>
      </c>
      <c r="G667" s="24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5" t="str">
        <f>IF(J667&lt;&gt;1,"",IF(I667="SBJ","CB","?"))</f>
        <v> </v>
      </c>
      <c r="I667" s="26" t="str">
        <f>IF(OR(E667="",E667="!!!",F667="NEW"),"",INDEX(B666:B$2,-1+SUMPRODUCT(MAX(ROW(E666:E$2)*(E667=E666:E$2)))))</f>
        <v> </v>
      </c>
      <c r="J667" s="26" t="str">
        <f>IF(OR(E667="",E667="!!!",F667="NEW"),"",COUNTBLANK(OFFSET(A$1,,,SUMPRODUCT(MAX(ROW(E$2:E667)*(E667=E$2:E667)))))-COUNTBLANK(OFFSET(A$1,,,SUMPRODUCT(MAX(ROW(E$1:E666)*(E2=E$1:E666))))))</f>
        <v> </v>
      </c>
      <c r="K667" s="26" t="str">
        <f>IF(OR(E667="",E667="!!!",F667="NEW"),"",INDEX(J$1:J666,SUMPRODUCT(MAX(ROW(E$1:E666)*(E667=E$1:E666)))))</f>
        <v> </v>
      </c>
      <c r="L667" s="27"/>
    </row>
    <row r="668" spans="1:12">
      <c r="A668" s="20" t="s">
        <v>190</v>
      </c>
      <c r="E668" s="22">
        <f>IF(D668="?OLD","!!!","")</f>
        <v/>
      </c>
      <c r="F668" s="23" t="str">
        <f>IF(OR(E668="",E668="!!!"),"",IF(NOT(ISNA(VLOOKUP(E668,E$1:E667,1,FALSE()))),"OLD",IF(AND(E668&lt;&gt;"",E668&lt;&gt;"!!!"),"NEW","")))</f>
        <v> </v>
      </c>
      <c r="G668" s="24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5" t="str">
        <f>IF(J668&lt;&gt;1,"",IF(I668="SBJ","CB","?"))</f>
        <v> </v>
      </c>
      <c r="I668" s="26" t="str">
        <f>IF(OR(E668="",E668="!!!",F668="NEW"),"",INDEX(B667:B$2,-1+SUMPRODUCT(MAX(ROW(E667:E$2)*(E668=E667:E$2)))))</f>
        <v> </v>
      </c>
      <c r="J668" s="26" t="str">
        <f>IF(OR(E668="",E668="!!!",F668="NEW"),"",COUNTBLANK(OFFSET(A$1,,,SUMPRODUCT(MAX(ROW(E$2:E668)*(E668=E$2:E668)))))-COUNTBLANK(OFFSET(A$1,,,SUMPRODUCT(MAX(ROW(E$1:E667)*(E2=E$1:E667))))))</f>
        <v> </v>
      </c>
      <c r="K668" s="26" t="str">
        <f>IF(OR(E668="",E668="!!!",F668="NEW"),"",INDEX(J$1:J667,SUMPRODUCT(MAX(ROW(E$1:E667)*(E668=E$1:E667)))))</f>
        <v> </v>
      </c>
      <c r="L668" s="27"/>
    </row>
    <row r="669" spans="1:12">
      <c r="A669" s="20" t="s">
        <v>244</v>
      </c>
      <c r="B669" s="21" t="s">
        <v>117</v>
      </c>
      <c r="C669" s="21" t="s">
        <v>118</v>
      </c>
      <c r="D669" s="21" t="s">
        <v>119</v>
      </c>
      <c r="E669" s="22">
        <f>IF(D669="?OLD","!!!","")</f>
        <v/>
      </c>
      <c r="F669" s="23" t="str">
        <f>IF(OR(E669="",E669="!!!"),"",IF(NOT(ISNA(VLOOKUP(E669,E$1:E668,1,FALSE()))),"OLD",IF(AND(E669&lt;&gt;"",E669&lt;&gt;"!!!"),"NEW","")))</f>
        <v> </v>
      </c>
      <c r="G669" s="24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5" t="str">
        <f>IF(J669&lt;&gt;1,"",IF(I669="SBJ","CB","?"))</f>
        <v> </v>
      </c>
      <c r="I669" s="26" t="str">
        <f>IF(OR(E669="",E669="!!!",F669="NEW"),"",INDEX(B668:B$2,-1+SUMPRODUCT(MAX(ROW(E668:E$2)*(E669=E668:E$2)))))</f>
        <v> </v>
      </c>
      <c r="J669" s="26" t="str">
        <f>IF(OR(E669="",E669="!!!",F669="NEW"),"",COUNTBLANK(OFFSET(A$1,,,SUMPRODUCT(MAX(ROW(E$2:E669)*(E669=E$2:E669)))))-COUNTBLANK(OFFSET(A$1,,,SUMPRODUCT(MAX(ROW(E$1:E668)*(E2=E$1:E668))))))</f>
        <v> </v>
      </c>
      <c r="K669" s="26" t="str">
        <f>IF(OR(E669="",E669="!!!",F669="NEW"),"",INDEX(J$1:J668,SUMPRODUCT(MAX(ROW(E$1:E668)*(E669=E$1:E668)))))</f>
        <v> </v>
      </c>
      <c r="L669" s="27"/>
    </row>
    <row r="670" spans="1:12">
      <c r="A670" s="20" t="s">
        <v>191</v>
      </c>
      <c r="B670" s="21" t="s">
        <v>151</v>
      </c>
      <c r="C670" s="21" t="s">
        <v>135</v>
      </c>
      <c r="E670" s="22">
        <f>IF(D670="?OLD","!!!","")</f>
        <v/>
      </c>
      <c r="F670" s="23" t="str">
        <f>IF(OR(E670="",E670="!!!"),"",IF(NOT(ISNA(VLOOKUP(E670,E$1:E669,1,FALSE()))),"OLD",IF(AND(E670&lt;&gt;"",E670&lt;&gt;"!!!"),"NEW","")))</f>
        <v> </v>
      </c>
      <c r="G670" s="24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5" t="str">
        <f>IF(J670&lt;&gt;1,"",IF(I670="SBJ","CB","?"))</f>
        <v> </v>
      </c>
      <c r="I670" s="26" t="str">
        <f>IF(OR(E670="",E670="!!!",F670="NEW"),"",INDEX(B669:B$2,-1+SUMPRODUCT(MAX(ROW(E669:E$2)*(E670=E669:E$2)))))</f>
        <v> </v>
      </c>
      <c r="J670" s="26" t="str">
        <f>IF(OR(E670="",E670="!!!",F670="NEW"),"",COUNTBLANK(OFFSET(A$1,,,SUMPRODUCT(MAX(ROW(E$2:E670)*(E670=E$2:E670)))))-COUNTBLANK(OFFSET(A$1,,,SUMPRODUCT(MAX(ROW(E$1:E669)*(E2=E$1:E669))))))</f>
        <v> </v>
      </c>
      <c r="K670" s="26" t="str">
        <f>IF(OR(E670="",E670="!!!",F670="NEW"),"",INDEX(J$1:J669,SUMPRODUCT(MAX(ROW(E$1:E669)*(E670=E$1:E669)))))</f>
        <v> </v>
      </c>
      <c r="L670" s="27"/>
    </row>
    <row r="671" spans="1:12">
      <c r="A671" s="20" t="s">
        <v>210</v>
      </c>
      <c r="B671" s="21" t="s">
        <v>125</v>
      </c>
      <c r="C671" s="21" t="s">
        <v>118</v>
      </c>
      <c r="D671" s="21" t="s">
        <v>119</v>
      </c>
      <c r="E671" s="22">
        <f>IF(D671="?OLD","!!!","")</f>
        <v/>
      </c>
      <c r="F671" s="23" t="str">
        <f>IF(OR(E671="",E671="!!!"),"",IF(NOT(ISNA(VLOOKUP(E671,E$1:E670,1,FALSE()))),"OLD",IF(AND(E671&lt;&gt;"",E671&lt;&gt;"!!!"),"NEW","")))</f>
        <v> </v>
      </c>
      <c r="G671" s="24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5" t="str">
        <f>IF(J671&lt;&gt;1,"",IF(I671="SBJ","CB","?"))</f>
        <v> </v>
      </c>
      <c r="I671" s="26" t="str">
        <f>IF(OR(E671="",E671="!!!",F671="NEW"),"",INDEX(B670:B$2,-1+SUMPRODUCT(MAX(ROW(E670:E$2)*(E671=E670:E$2)))))</f>
        <v> </v>
      </c>
      <c r="J671" s="26" t="str">
        <f>IF(OR(E671="",E671="!!!",F671="NEW"),"",COUNTBLANK(OFFSET(A$1,,,SUMPRODUCT(MAX(ROW(E$2:E671)*(E671=E$2:E671)))))-COUNTBLANK(OFFSET(A$1,,,SUMPRODUCT(MAX(ROW(E$1:E670)*(E2=E$1:E670))))))</f>
        <v> </v>
      </c>
      <c r="K671" s="26" t="str">
        <f>IF(OR(E671="",E671="!!!",F671="NEW"),"",INDEX(J$1:J670,SUMPRODUCT(MAX(ROW(E$1:E670)*(E671=E$1:E670)))))</f>
        <v> </v>
      </c>
      <c r="L671" s="27"/>
    </row>
    <row r="672" spans="1:12">
      <c r="A672" s="20" t="s">
        <v>127</v>
      </c>
      <c r="E672" s="22">
        <f>IF(D672="?OLD","!!!","")</f>
        <v/>
      </c>
      <c r="F672" s="23" t="str">
        <f>IF(OR(E672="",E672="!!!"),"",IF(NOT(ISNA(VLOOKUP(E672,E$1:E671,1,FALSE()))),"OLD",IF(AND(E672&lt;&gt;"",E672&lt;&gt;"!!!"),"NEW","")))</f>
        <v> </v>
      </c>
      <c r="G672" s="24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5" t="str">
        <f>IF(J672&lt;&gt;1,"",IF(I672="SBJ","CB","?"))</f>
        <v> </v>
      </c>
      <c r="I672" s="26" t="str">
        <f>IF(OR(E672="",E672="!!!",F672="NEW"),"",INDEX(B671:B$2,-1+SUMPRODUCT(MAX(ROW(E671:E$2)*(E672=E671:E$2)))))</f>
        <v> </v>
      </c>
      <c r="J672" s="26" t="str">
        <f>IF(OR(E672="",E672="!!!",F672="NEW"),"",COUNTBLANK(OFFSET(A$1,,,SUMPRODUCT(MAX(ROW(E$2:E672)*(E672=E$2:E672)))))-COUNTBLANK(OFFSET(A$1,,,SUMPRODUCT(MAX(ROW(E$1:E671)*(E2=E$1:E671))))))</f>
        <v> </v>
      </c>
      <c r="K672" s="26" t="str">
        <f>IF(OR(E672="",E672="!!!",F672="NEW"),"",INDEX(J$1:J671,SUMPRODUCT(MAX(ROW(E$1:E671)*(E672=E$1:E671)))))</f>
        <v> </v>
      </c>
      <c r="L672" s="27"/>
    </row>
    <row r="673" spans="1:12">
      <c r="A673" s="20" t="s">
        <v>420</v>
      </c>
      <c r="E673" s="22">
        <f>IF(D673="?OLD","!!!","")</f>
        <v/>
      </c>
      <c r="F673" s="23" t="str">
        <f>IF(OR(E673="",E673="!!!"),"",IF(NOT(ISNA(VLOOKUP(E673,E$1:E672,1,FALSE()))),"OLD",IF(AND(E673&lt;&gt;"",E673&lt;&gt;"!!!"),"NEW","")))</f>
        <v> </v>
      </c>
      <c r="G673" s="24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5" t="str">
        <f>IF(J673&lt;&gt;1,"",IF(I673="SBJ","CB","?"))</f>
        <v> </v>
      </c>
      <c r="I673" s="26" t="str">
        <f>IF(OR(E673="",E673="!!!",F673="NEW"),"",INDEX(B672:B$2,-1+SUMPRODUCT(MAX(ROW(E672:E$2)*(E673=E672:E$2)))))</f>
        <v> </v>
      </c>
      <c r="J673" s="26" t="str">
        <f>IF(OR(E673="",E673="!!!",F673="NEW"),"",COUNTBLANK(OFFSET(A$1,,,SUMPRODUCT(MAX(ROW(E$2:E673)*(E673=E$2:E673)))))-COUNTBLANK(OFFSET(A$1,,,SUMPRODUCT(MAX(ROW(E$1:E672)*(E2=E$1:E672))))))</f>
        <v> </v>
      </c>
      <c r="K673" s="26" t="str">
        <f>IF(OR(E673="",E673="!!!",F673="NEW"),"",INDEX(J$1:J672,SUMPRODUCT(MAX(ROW(E$1:E672)*(E673=E$1:E672)))))</f>
        <v> </v>
      </c>
      <c r="L673" s="27"/>
    </row>
    <row r="674" spans="1:12">
      <c r="A674" s="20" t="s">
        <v>244</v>
      </c>
      <c r="B674" s="21" t="s">
        <v>129</v>
      </c>
      <c r="C674" s="21" t="s">
        <v>118</v>
      </c>
      <c r="D674" s="21" t="s">
        <v>119</v>
      </c>
      <c r="E674" s="22">
        <f>IF(D674="?OLD","!!!","")</f>
        <v/>
      </c>
      <c r="F674" s="23" t="str">
        <f>IF(OR(E674="",E674="!!!"),"",IF(NOT(ISNA(VLOOKUP(E674,E$1:E673,1,FALSE()))),"OLD",IF(AND(E674&lt;&gt;"",E674&lt;&gt;"!!!"),"NEW","")))</f>
        <v> </v>
      </c>
      <c r="G674" s="24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5" t="str">
        <f>IF(J674&lt;&gt;1,"",IF(I674="SBJ","CB","?"))</f>
        <v> </v>
      </c>
      <c r="I674" s="26" t="str">
        <f>IF(OR(E674="",E674="!!!",F674="NEW"),"",INDEX(B673:B$2,-1+SUMPRODUCT(MAX(ROW(E673:E$2)*(E674=E673:E$2)))))</f>
        <v> </v>
      </c>
      <c r="J674" s="26" t="str">
        <f>IF(OR(E674="",E674="!!!",F674="NEW"),"",COUNTBLANK(OFFSET(A$1,,,SUMPRODUCT(MAX(ROW(E$2:E674)*(E674=E$2:E674)))))-COUNTBLANK(OFFSET(A$1,,,SUMPRODUCT(MAX(ROW(E$1:E673)*(E2=E$1:E673))))))</f>
        <v> </v>
      </c>
      <c r="K674" s="26" t="str">
        <f>IF(OR(E674="",E674="!!!",F674="NEW"),"",INDEX(J$1:J673,SUMPRODUCT(MAX(ROW(E$1:E673)*(E674=E$1:E673)))))</f>
        <v> </v>
      </c>
      <c r="L674" s="27"/>
    </row>
    <row r="675" spans="1:12">
      <c r="A675" s="20" t="s">
        <v>339</v>
      </c>
      <c r="B675" s="21" t="s">
        <v>175</v>
      </c>
      <c r="E675" s="22">
        <f>IF(D675="?OLD","!!!","")</f>
        <v/>
      </c>
      <c r="F675" s="23" t="str">
        <f>IF(OR(E675="",E675="!!!"),"",IF(NOT(ISNA(VLOOKUP(E675,E$1:E674,1,FALSE()))),"OLD",IF(AND(E675&lt;&gt;"",E675&lt;&gt;"!!!"),"NEW","")))</f>
        <v> </v>
      </c>
      <c r="G675" s="24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5" t="str">
        <f>IF(J675&lt;&gt;1,"",IF(I675="SBJ","CB","?"))</f>
        <v> </v>
      </c>
      <c r="I675" s="26" t="str">
        <f>IF(OR(E675="",E675="!!!",F675="NEW"),"",INDEX(B674:B$2,-1+SUMPRODUCT(MAX(ROW(E674:E$2)*(E675=E674:E$2)))))</f>
        <v> </v>
      </c>
      <c r="J675" s="26" t="str">
        <f>IF(OR(E675="",E675="!!!",F675="NEW"),"",COUNTBLANK(OFFSET(A$1,,,SUMPRODUCT(MAX(ROW(E$2:E675)*(E675=E$2:E675)))))-COUNTBLANK(OFFSET(A$1,,,SUMPRODUCT(MAX(ROW(E$1:E674)*(E2=E$1:E674))))))</f>
        <v> </v>
      </c>
      <c r="K675" s="26" t="str">
        <f>IF(OR(E675="",E675="!!!",F675="NEW"),"",INDEX(J$1:J674,SUMPRODUCT(MAX(ROW(E$1:E674)*(E675=E$1:E674)))))</f>
        <v> </v>
      </c>
      <c r="L675" s="27"/>
    </row>
    <row r="676" spans="1:12">
      <c r="A676" s="20" t="s">
        <v>427</v>
      </c>
      <c r="E676" s="22">
        <f>IF(D676="?OLD","!!!","")</f>
        <v/>
      </c>
      <c r="F676" s="23" t="str">
        <f>IF(OR(E676="",E676="!!!"),"",IF(NOT(ISNA(VLOOKUP(E676,E$1:E675,1,FALSE()))),"OLD",IF(AND(E676&lt;&gt;"",E676&lt;&gt;"!!!"),"NEW","")))</f>
        <v> </v>
      </c>
      <c r="G676" s="24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5" t="str">
        <f>IF(J676&lt;&gt;1,"",IF(I676="SBJ","CB","?"))</f>
        <v> </v>
      </c>
      <c r="I676" s="26" t="str">
        <f>IF(OR(E676="",E676="!!!",F676="NEW"),"",INDEX(B675:B$2,-1+SUMPRODUCT(MAX(ROW(E675:E$2)*(E676=E675:E$2)))))</f>
        <v> </v>
      </c>
      <c r="J676" s="26" t="str">
        <f>IF(OR(E676="",E676="!!!",F676="NEW"),"",COUNTBLANK(OFFSET(A$1,,,SUMPRODUCT(MAX(ROW(E$2:E676)*(E676=E$2:E676)))))-COUNTBLANK(OFFSET(A$1,,,SUMPRODUCT(MAX(ROW(E$1:E675)*(E2=E$1:E675))))))</f>
        <v> </v>
      </c>
      <c r="K676" s="26" t="str">
        <f>IF(OR(E676="",E676="!!!",F676="NEW"),"",INDEX(J$1:J675,SUMPRODUCT(MAX(ROW(E$1:E675)*(E676=E$1:E675)))))</f>
        <v> </v>
      </c>
      <c r="L676" s="27"/>
    </row>
    <row r="677" spans="1:12">
      <c r="A677" s="20" t="s">
        <v>149</v>
      </c>
      <c r="E677" s="22">
        <f>IF(D677="?OLD","!!!","")</f>
        <v/>
      </c>
      <c r="F677" s="23" t="str">
        <f>IF(OR(E677="",E677="!!!"),"",IF(NOT(ISNA(VLOOKUP(E677,E$1:E676,1,FALSE()))),"OLD",IF(AND(E677&lt;&gt;"",E677&lt;&gt;"!!!"),"NEW","")))</f>
        <v> </v>
      </c>
      <c r="G677" s="24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5" t="str">
        <f>IF(J677&lt;&gt;1,"",IF(I677="SBJ","CB","?"))</f>
        <v> </v>
      </c>
      <c r="I677" s="26" t="str">
        <f>IF(OR(E677="",E677="!!!",F677="NEW"),"",INDEX(B676:B$2,-1+SUMPRODUCT(MAX(ROW(E676:E$2)*(E677=E676:E$2)))))</f>
        <v> </v>
      </c>
      <c r="J677" s="26" t="str">
        <f>IF(OR(E677="",E677="!!!",F677="NEW"),"",COUNTBLANK(OFFSET(A$1,,,SUMPRODUCT(MAX(ROW(E$2:E677)*(E677=E$2:E677)))))-COUNTBLANK(OFFSET(A$1,,,SUMPRODUCT(MAX(ROW(E$1:E676)*(E2=E$1:E676))))))</f>
        <v> </v>
      </c>
      <c r="K677" s="26" t="str">
        <f>IF(OR(E677="",E677="!!!",F677="NEW"),"",INDEX(J$1:J676,SUMPRODUCT(MAX(ROW(E$1:E676)*(E677=E$1:E676)))))</f>
        <v> </v>
      </c>
      <c r="L677" s="27"/>
    </row>
    <row r="678" spans="1:12">
      <c r="A678" s="20" t="s">
        <v>428</v>
      </c>
      <c r="B678" s="21" t="s">
        <v>151</v>
      </c>
      <c r="C678" s="21" t="s">
        <v>152</v>
      </c>
      <c r="D678" s="21" t="s">
        <v>119</v>
      </c>
      <c r="E678" s="22">
        <f>IF(D678="?OLD","!!!","")</f>
        <v/>
      </c>
      <c r="F678" s="23" t="str">
        <f>IF(OR(E678="",E678="!!!"),"",IF(NOT(ISNA(VLOOKUP(E678,E$1:E677,1,FALSE()))),"OLD",IF(AND(E678&lt;&gt;"",E678&lt;&gt;"!!!"),"NEW","")))</f>
        <v> </v>
      </c>
      <c r="G678" s="24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5" t="str">
        <f>IF(J678&lt;&gt;1,"",IF(I678="SBJ","CB","?"))</f>
        <v> </v>
      </c>
      <c r="I678" s="26" t="str">
        <f>IF(OR(E678="",E678="!!!",F678="NEW"),"",INDEX(B677:B$2,-1+SUMPRODUCT(MAX(ROW(E677:E$2)*(E678=E677:E$2)))))</f>
        <v> </v>
      </c>
      <c r="J678" s="26" t="str">
        <f>IF(OR(E678="",E678="!!!",F678="NEW"),"",COUNTBLANK(OFFSET(A$1,,,SUMPRODUCT(MAX(ROW(E$2:E678)*(E678=E$2:E678)))))-COUNTBLANK(OFFSET(A$1,,,SUMPRODUCT(MAX(ROW(E$1:E677)*(E2=E$1:E677))))))</f>
        <v> </v>
      </c>
      <c r="K678" s="26" t="str">
        <f>IF(OR(E678="",E678="!!!",F678="NEW"),"",INDEX(J$1:J677,SUMPRODUCT(MAX(ROW(E$1:E677)*(E678=E$1:E677)))))</f>
        <v> </v>
      </c>
      <c r="L678" s="27"/>
    </row>
    <row r="679" spans="1:12">
      <c r="A679" s="20" t="s">
        <v>429</v>
      </c>
      <c r="E679" s="22">
        <f>IF(D679="?OLD","!!!","")</f>
        <v/>
      </c>
      <c r="F679" s="23" t="str">
        <f>IF(OR(E679="",E679="!!!"),"",IF(NOT(ISNA(VLOOKUP(E679,E$1:E678,1,FALSE()))),"OLD",IF(AND(E679&lt;&gt;"",E679&lt;&gt;"!!!"),"NEW","")))</f>
        <v> </v>
      </c>
      <c r="G679" s="24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5" t="str">
        <f>IF(J679&lt;&gt;1,"",IF(I679="SBJ","CB","?"))</f>
        <v> </v>
      </c>
      <c r="I679" s="26" t="str">
        <f>IF(OR(E679="",E679="!!!",F679="NEW"),"",INDEX(B678:B$2,-1+SUMPRODUCT(MAX(ROW(E678:E$2)*(E679=E678:E$2)))))</f>
        <v> </v>
      </c>
      <c r="J679" s="26" t="str">
        <f>IF(OR(E679="",E679="!!!",F679="NEW"),"",COUNTBLANK(OFFSET(A$1,,,SUMPRODUCT(MAX(ROW(E$2:E679)*(E679=E$2:E679)))))-COUNTBLANK(OFFSET(A$1,,,SUMPRODUCT(MAX(ROW(E$1:E678)*(E2=E$1:E678))))))</f>
        <v> </v>
      </c>
      <c r="K679" s="26" t="str">
        <f>IF(OR(E679="",E679="!!!",F679="NEW"),"",INDEX(J$1:J678,SUMPRODUCT(MAX(ROW(E$1:E678)*(E679=E$1:E678)))))</f>
        <v> </v>
      </c>
      <c r="L679" s="27"/>
    </row>
    <row r="680" spans="1:12">
      <c r="A680" s="20" t="s">
        <v>192</v>
      </c>
      <c r="E680" s="22">
        <f>IF(D680="?OLD","!!!","")</f>
        <v/>
      </c>
      <c r="F680" s="23" t="str">
        <f>IF(OR(E680="",E680="!!!"),"",IF(NOT(ISNA(VLOOKUP(E680,E$1:E679,1,FALSE()))),"OLD",IF(AND(E680&lt;&gt;"",E680&lt;&gt;"!!!"),"NEW","")))</f>
        <v> </v>
      </c>
      <c r="G680" s="24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5" t="str">
        <f>IF(J680&lt;&gt;1,"",IF(I680="SBJ","CB","?"))</f>
        <v> </v>
      </c>
      <c r="I680" s="26" t="str">
        <f>IF(OR(E680="",E680="!!!",F680="NEW"),"",INDEX(B679:B$2,-1+SUMPRODUCT(MAX(ROW(E679:E$2)*(E680=E679:E$2)))))</f>
        <v> </v>
      </c>
      <c r="J680" s="26" t="str">
        <f>IF(OR(E680="",E680="!!!",F680="NEW"),"",COUNTBLANK(OFFSET(A$1,,,SUMPRODUCT(MAX(ROW(E$2:E680)*(E680=E$2:E680)))))-COUNTBLANK(OFFSET(A$1,,,SUMPRODUCT(MAX(ROW(E$1:E679)*(E2=E$1:E679))))))</f>
        <v> </v>
      </c>
      <c r="K680" s="26" t="str">
        <f>IF(OR(E680="",E680="!!!",F680="NEW"),"",INDEX(J$1:J679,SUMPRODUCT(MAX(ROW(E$1:E679)*(E680=E$1:E679)))))</f>
        <v> </v>
      </c>
      <c r="L680" s="27"/>
    </row>
    <row r="681" spans="1:12">
      <c r="A681" s="20" t="s">
        <v>430</v>
      </c>
      <c r="B681" s="21" t="s">
        <v>134</v>
      </c>
      <c r="C681" s="21" t="s">
        <v>145</v>
      </c>
      <c r="E681" s="22">
        <f>IF(D681="?OLD","!!!","")</f>
        <v/>
      </c>
      <c r="F681" s="23" t="str">
        <f>IF(OR(E681="",E681="!!!"),"",IF(NOT(ISNA(VLOOKUP(E681,E$1:E680,1,FALSE()))),"OLD",IF(AND(E681&lt;&gt;"",E681&lt;&gt;"!!!"),"NEW","")))</f>
        <v> </v>
      </c>
      <c r="G681" s="24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5" t="str">
        <f>IF(J681&lt;&gt;1,"",IF(I681="SBJ","CB","?"))</f>
        <v> </v>
      </c>
      <c r="I681" s="26" t="str">
        <f>IF(OR(E681="",E681="!!!",F681="NEW"),"",INDEX(B680:B$2,-1+SUMPRODUCT(MAX(ROW(E680:E$2)*(E681=E680:E$2)))))</f>
        <v> </v>
      </c>
      <c r="J681" s="26" t="str">
        <f>IF(OR(E681="",E681="!!!",F681="NEW"),"",COUNTBLANK(OFFSET(A$1,,,SUMPRODUCT(MAX(ROW(E$2:E681)*(E681=E$2:E681)))))-COUNTBLANK(OFFSET(A$1,,,SUMPRODUCT(MAX(ROW(E$1:E680)*(E2=E$1:E680))))))</f>
        <v> </v>
      </c>
      <c r="K681" s="26" t="str">
        <f>IF(OR(E681="",E681="!!!",F681="NEW"),"",INDEX(J$1:J680,SUMPRODUCT(MAX(ROW(E$1:E680)*(E681=E$1:E680)))))</f>
        <v> </v>
      </c>
      <c r="L681" s="27"/>
    </row>
    <row r="682" spans="1:12">
      <c r="A682" s="20" t="s">
        <v>409</v>
      </c>
      <c r="E682" s="22">
        <f>IF(D682="?OLD","!!!","")</f>
        <v/>
      </c>
      <c r="F682" s="23" t="str">
        <f>IF(OR(E682="",E682="!!!"),"",IF(NOT(ISNA(VLOOKUP(E682,E$1:E681,1,FALSE()))),"OLD",IF(AND(E682&lt;&gt;"",E682&lt;&gt;"!!!"),"NEW","")))</f>
        <v> </v>
      </c>
      <c r="G682" s="24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5" t="str">
        <f>IF(J682&lt;&gt;1,"",IF(I682="SBJ","CB","?"))</f>
        <v> </v>
      </c>
      <c r="I682" s="26" t="str">
        <f>IF(OR(E682="",E682="!!!",F682="NEW"),"",INDEX(B681:B$2,-1+SUMPRODUCT(MAX(ROW(E681:E$2)*(E682=E681:E$2)))))</f>
        <v> </v>
      </c>
      <c r="J682" s="26" t="str">
        <f>IF(OR(E682="",E682="!!!",F682="NEW"),"",COUNTBLANK(OFFSET(A$1,,,SUMPRODUCT(MAX(ROW(E$2:E682)*(E682=E$2:E682)))))-COUNTBLANK(OFFSET(A$1,,,SUMPRODUCT(MAX(ROW(E$1:E681)*(E2=E$1:E681))))))</f>
        <v> </v>
      </c>
      <c r="K682" s="26" t="str">
        <f>IF(OR(E682="",E682="!!!",F682="NEW"),"",INDEX(J$1:J681,SUMPRODUCT(MAX(ROW(E$1:E681)*(E682=E$1:E681)))))</f>
        <v> </v>
      </c>
      <c r="L682" s="27"/>
    </row>
    <row r="683" spans="1:12">
      <c r="A683" s="20" t="s">
        <v>188</v>
      </c>
      <c r="B683" s="21" t="s">
        <v>266</v>
      </c>
      <c r="C683" s="21" t="s">
        <v>152</v>
      </c>
      <c r="D683" s="21" t="s">
        <v>119</v>
      </c>
      <c r="E683" s="22">
        <f>IF(D683="?OLD","!!!","")</f>
        <v/>
      </c>
      <c r="F683" s="23" t="str">
        <f>IF(OR(E683="",E683="!!!"),"",IF(NOT(ISNA(VLOOKUP(E683,E$1:E682,1,FALSE()))),"OLD",IF(AND(E683&lt;&gt;"",E683&lt;&gt;"!!!"),"NEW","")))</f>
        <v> </v>
      </c>
      <c r="G683" s="24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5" t="str">
        <f>IF(J683&lt;&gt;1,"",IF(I683="SBJ","CB","?"))</f>
        <v> </v>
      </c>
      <c r="I683" s="26" t="str">
        <f>IF(OR(E683="",E683="!!!",F683="NEW"),"",INDEX(B682:B$2,-1+SUMPRODUCT(MAX(ROW(E682:E$2)*(E683=E682:E$2)))))</f>
        <v> </v>
      </c>
      <c r="J683" s="26" t="str">
        <f>IF(OR(E683="",E683="!!!",F683="NEW"),"",COUNTBLANK(OFFSET(A$1,,,SUMPRODUCT(MAX(ROW(E$2:E683)*(E683=E$2:E683)))))-COUNTBLANK(OFFSET(A$1,,,SUMPRODUCT(MAX(ROW(E$1:E682)*(E2=E$1:E682))))))</f>
        <v> </v>
      </c>
      <c r="K683" s="26" t="str">
        <f>IF(OR(E683="",E683="!!!",F683="NEW"),"",INDEX(J$1:J682,SUMPRODUCT(MAX(ROW(E$1:E682)*(E683=E$1:E682)))))</f>
        <v> </v>
      </c>
      <c r="L683" s="27"/>
    </row>
    <row r="684" spans="1:12">
      <c r="A684" s="20" t="s">
        <v>153</v>
      </c>
      <c r="E684" s="22">
        <f>IF(D684="?OLD","!!!","")</f>
        <v/>
      </c>
      <c r="F684" s="23" t="str">
        <f>IF(OR(E684="",E684="!!!"),"",IF(NOT(ISNA(VLOOKUP(E684,E$1:E683,1,FALSE()))),"OLD",IF(AND(E684&lt;&gt;"",E684&lt;&gt;"!!!"),"NEW","")))</f>
        <v> </v>
      </c>
      <c r="G684" s="24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5" t="str">
        <f>IF(J684&lt;&gt;1,"",IF(I684="SBJ","CB","?"))</f>
        <v> </v>
      </c>
      <c r="I684" s="26" t="str">
        <f>IF(OR(E684="",E684="!!!",F684="NEW"),"",INDEX(B683:B$2,-1+SUMPRODUCT(MAX(ROW(E683:E$2)*(E684=E683:E$2)))))</f>
        <v> </v>
      </c>
      <c r="J684" s="26" t="str">
        <f>IF(OR(E684="",E684="!!!",F684="NEW"),"",COUNTBLANK(OFFSET(A$1,,,SUMPRODUCT(MAX(ROW(E$2:E684)*(E684=E$2:E684)))))-COUNTBLANK(OFFSET(A$1,,,SUMPRODUCT(MAX(ROW(E$1:E683)*(E2=E$1:E683))))))</f>
        <v> </v>
      </c>
      <c r="K684" s="26" t="str">
        <f>IF(OR(E684="",E684="!!!",F684="NEW"),"",INDEX(J$1:J683,SUMPRODUCT(MAX(ROW(E$1:E683)*(E684=E$1:E683)))))</f>
        <v> </v>
      </c>
      <c r="L684" s="27"/>
    </row>
    <row r="685" spans="1:12">
      <c r="A685" s="20" t="s">
        <v>128</v>
      </c>
      <c r="E685" s="22">
        <f>IF(D685="?OLD","!!!","")</f>
        <v/>
      </c>
      <c r="F685" s="23" t="str">
        <f>IF(OR(E685="",E685="!!!"),"",IF(NOT(ISNA(VLOOKUP(E685,E$1:E684,1,FALSE()))),"OLD",IF(AND(E685&lt;&gt;"",E685&lt;&gt;"!!!"),"NEW","")))</f>
        <v> </v>
      </c>
      <c r="G685" s="24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5" t="str">
        <f>IF(J685&lt;&gt;1,"",IF(I685="SBJ","CB","?"))</f>
        <v> </v>
      </c>
      <c r="I685" s="26" t="str">
        <f>IF(OR(E685="",E685="!!!",F685="NEW"),"",INDEX(B684:B$2,-1+SUMPRODUCT(MAX(ROW(E684:E$2)*(E685=E684:E$2)))))</f>
        <v> </v>
      </c>
      <c r="J685" s="26" t="str">
        <f>IF(OR(E685="",E685="!!!",F685="NEW"),"",COUNTBLANK(OFFSET(A$1,,,SUMPRODUCT(MAX(ROW(E$2:E685)*(E685=E$2:E685)))))-COUNTBLANK(OFFSET(A$1,,,SUMPRODUCT(MAX(ROW(E$1:E684)*(E2=E$1:E684))))))</f>
        <v> </v>
      </c>
      <c r="K685" s="26" t="str">
        <f>IF(OR(E685="",E685="!!!",F685="NEW"),"",INDEX(J$1:J684,SUMPRODUCT(MAX(ROW(E$1:E684)*(E685=E$1:E684)))))</f>
        <v> </v>
      </c>
      <c r="L685" s="27"/>
    </row>
    <row r="686" spans="1:12">
      <c r="A686" s="20" t="s">
        <v>431</v>
      </c>
      <c r="B686" s="21" t="s">
        <v>215</v>
      </c>
      <c r="C686" s="21" t="s">
        <v>152</v>
      </c>
      <c r="D686" s="21" t="s">
        <v>119</v>
      </c>
      <c r="E686" s="22">
        <f>IF(D686="?OLD","!!!","")</f>
        <v/>
      </c>
      <c r="F686" s="23" t="str">
        <f>IF(OR(E686="",E686="!!!"),"",IF(NOT(ISNA(VLOOKUP(E686,E$1:E685,1,FALSE()))),"OLD",IF(AND(E686&lt;&gt;"",E686&lt;&gt;"!!!"),"NEW","")))</f>
        <v> </v>
      </c>
      <c r="G686" s="24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5" t="str">
        <f>IF(J686&lt;&gt;1,"",IF(I686="SBJ","CB","?"))</f>
        <v> </v>
      </c>
      <c r="I686" s="26" t="str">
        <f>IF(OR(E686="",E686="!!!",F686="NEW"),"",INDEX(B685:B$2,-1+SUMPRODUCT(MAX(ROW(E685:E$2)*(E686=E685:E$2)))))</f>
        <v> </v>
      </c>
      <c r="J686" s="26" t="str">
        <f>IF(OR(E686="",E686="!!!",F686="NEW"),"",COUNTBLANK(OFFSET(A$1,,,SUMPRODUCT(MAX(ROW(E$2:E686)*(E686=E$2:E686)))))-COUNTBLANK(OFFSET(A$1,,,SUMPRODUCT(MAX(ROW(E$1:E685)*(E2=E$1:E685))))))</f>
        <v> </v>
      </c>
      <c r="K686" s="26" t="str">
        <f>IF(OR(E686="",E686="!!!",F686="NEW"),"",INDEX(J$1:J685,SUMPRODUCT(MAX(ROW(E$1:E685)*(E686=E$1:E685)))))</f>
        <v> </v>
      </c>
      <c r="L686" s="27"/>
    </row>
    <row r="687" spans="1:12">
      <c r="A687" s="20">
        <f/>
        <v>0</v>
      </c>
      <c r="E687" s="22">
        <f>IF(D687="?OLD","!!!","")</f>
        <v/>
      </c>
      <c r="F687" s="23" t="str">
        <f>IF(OR(E687="",E687="!!!"),"",IF(NOT(ISNA(VLOOKUP(E687,E$1:E686,1,FALSE()))),"OLD",IF(AND(E687&lt;&gt;"",E687&lt;&gt;"!!!"),"NEW","")))</f>
        <v> </v>
      </c>
      <c r="G687" s="24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5" t="str">
        <f>IF(J687&lt;&gt;1,"",IF(I687="SBJ","CB","?"))</f>
        <v> </v>
      </c>
      <c r="I687" s="26" t="str">
        <f>IF(OR(E687="",E687="!!!",F687="NEW"),"",INDEX(B686:B$2,-1+SUMPRODUCT(MAX(ROW(E686:E$2)*(E687=E686:E$2)))))</f>
        <v> </v>
      </c>
      <c r="J687" s="26" t="str">
        <f>IF(OR(E687="",E687="!!!",F687="NEW"),"",COUNTBLANK(OFFSET(A$1,,,SUMPRODUCT(MAX(ROW(E$2:E687)*(E687=E$2:E687)))))-COUNTBLANK(OFFSET(A$1,,,SUMPRODUCT(MAX(ROW(E$1:E686)*(E2=E$1:E686))))))</f>
        <v> </v>
      </c>
      <c r="K687" s="26" t="str">
        <f>IF(OR(E687="",E687="!!!",F687="NEW"),"",INDEX(J$1:J686,SUMPRODUCT(MAX(ROW(E$1:E686)*(E687=E$1:E686)))))</f>
        <v> </v>
      </c>
      <c r="L687" s="27"/>
    </row>
    <row r="688" spans="1:12">
      <c r="A688" s="20" t="s">
        <v>432</v>
      </c>
      <c r="E688" s="22">
        <f>IF(D688="?OLD","!!!","")</f>
        <v/>
      </c>
      <c r="F688" s="23" t="str">
        <f>IF(OR(E688="",E688="!!!"),"",IF(NOT(ISNA(VLOOKUP(E688,E$1:E687,1,FALSE()))),"OLD",IF(AND(E688&lt;&gt;"",E688&lt;&gt;"!!!"),"NEW","")))</f>
        <v> </v>
      </c>
      <c r="G688" s="24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5" t="str">
        <f>IF(J688&lt;&gt;1,"",IF(I688="SBJ","CB","?"))</f>
        <v> </v>
      </c>
      <c r="I688" s="26" t="str">
        <f>IF(OR(E688="",E688="!!!",F688="NEW"),"",INDEX(B687:B$2,-1+SUMPRODUCT(MAX(ROW(E687:E$2)*(E688=E687:E$2)))))</f>
        <v> </v>
      </c>
      <c r="J688" s="26" t="str">
        <f>IF(OR(E688="",E688="!!!",F688="NEW"),"",COUNTBLANK(OFFSET(A$1,,,SUMPRODUCT(MAX(ROW(E$2:E688)*(E688=E$2:E688)))))-COUNTBLANK(OFFSET(A$1,,,SUMPRODUCT(MAX(ROW(E$1:E687)*(E2=E$1:E687))))))</f>
        <v> </v>
      </c>
      <c r="K688" s="26" t="str">
        <f>IF(OR(E688="",E688="!!!",F688="NEW"),"",INDEX(J$1:J687,SUMPRODUCT(MAX(ROW(E$1:E687)*(E688=E$1:E687)))))</f>
        <v> </v>
      </c>
      <c r="L688" s="27"/>
    </row>
    <row r="689" spans="1:12">
      <c r="A689" s="20" t="s">
        <v>216</v>
      </c>
      <c r="B689" s="21" t="s">
        <v>213</v>
      </c>
      <c r="C689" s="21" t="s">
        <v>145</v>
      </c>
      <c r="E689" s="22">
        <f>IF(D689="?OLD","!!!","")</f>
        <v/>
      </c>
      <c r="F689" s="23" t="str">
        <f>IF(OR(E689="",E689="!!!"),"",IF(NOT(ISNA(VLOOKUP(E689,E$1:E688,1,FALSE()))),"OLD",IF(AND(E689&lt;&gt;"",E689&lt;&gt;"!!!"),"NEW","")))</f>
        <v> </v>
      </c>
      <c r="G689" s="24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5" t="str">
        <f>IF(J689&lt;&gt;1,"",IF(I689="SBJ","CB","?"))</f>
        <v> </v>
      </c>
      <c r="I689" s="26" t="str">
        <f>IF(OR(E689="",E689="!!!",F689="NEW"),"",INDEX(B688:B$2,-1+SUMPRODUCT(MAX(ROW(E688:E$2)*(E689=E688:E$2)))))</f>
        <v> </v>
      </c>
      <c r="J689" s="26" t="str">
        <f>IF(OR(E689="",E689="!!!",F689="NEW"),"",COUNTBLANK(OFFSET(A$1,,,SUMPRODUCT(MAX(ROW(E$2:E689)*(E689=E$2:E689)))))-COUNTBLANK(OFFSET(A$1,,,SUMPRODUCT(MAX(ROW(E$1:E688)*(E2=E$1:E688))))))</f>
        <v> </v>
      </c>
      <c r="K689" s="26" t="str">
        <f>IF(OR(E689="",E689="!!!",F689="NEW"),"",INDEX(J$1:J688,SUMPRODUCT(MAX(ROW(E$1:E688)*(E689=E$1:E688)))))</f>
        <v> </v>
      </c>
      <c r="L689" s="27"/>
    </row>
    <row r="690" spans="1:12">
      <c r="A690" s="20" t="s">
        <v>331</v>
      </c>
      <c r="E690" s="22">
        <f>IF(D690="?OLD","!!!","")</f>
        <v/>
      </c>
      <c r="F690" s="23" t="str">
        <f>IF(OR(E690="",E690="!!!"),"",IF(NOT(ISNA(VLOOKUP(E690,E$1:E689,1,FALSE()))),"OLD",IF(AND(E690&lt;&gt;"",E690&lt;&gt;"!!!"),"NEW","")))</f>
        <v> </v>
      </c>
      <c r="G690" s="24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5" t="str">
        <f>IF(J690&lt;&gt;1,"",IF(I690="SBJ","CB","?"))</f>
        <v> </v>
      </c>
      <c r="I690" s="26" t="str">
        <f>IF(OR(E690="",E690="!!!",F690="NEW"),"",INDEX(B689:B$2,-1+SUMPRODUCT(MAX(ROW(E689:E$2)*(E690=E689:E$2)))))</f>
        <v> </v>
      </c>
      <c r="J690" s="26" t="str">
        <f>IF(OR(E690="",E690="!!!",F690="NEW"),"",COUNTBLANK(OFFSET(A$1,,,SUMPRODUCT(MAX(ROW(E$2:E690)*(E690=E$2:E690)))))-COUNTBLANK(OFFSET(A$1,,,SUMPRODUCT(MAX(ROW(E$1:E689)*(E2=E$1:E689))))))</f>
        <v> </v>
      </c>
      <c r="K690" s="26" t="str">
        <f>IF(OR(E690="",E690="!!!",F690="NEW"),"",INDEX(J$1:J689,SUMPRODUCT(MAX(ROW(E$1:E689)*(E690=E$1:E689)))))</f>
        <v> </v>
      </c>
      <c r="L690" s="27"/>
    </row>
    <row r="691" spans="1:12">
      <c r="A691" s="20" t="s">
        <v>409</v>
      </c>
      <c r="E691" s="22">
        <f>IF(D691="?OLD","!!!","")</f>
        <v/>
      </c>
      <c r="F691" s="23" t="str">
        <f>IF(OR(E691="",E691="!!!"),"",IF(NOT(ISNA(VLOOKUP(E691,E$1:E690,1,FALSE()))),"OLD",IF(AND(E691&lt;&gt;"",E691&lt;&gt;"!!!"),"NEW","")))</f>
        <v> </v>
      </c>
      <c r="G691" s="24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5" t="str">
        <f>IF(J691&lt;&gt;1,"",IF(I691="SBJ","CB","?"))</f>
        <v> </v>
      </c>
      <c r="I691" s="26" t="str">
        <f>IF(OR(E691="",E691="!!!",F691="NEW"),"",INDEX(B690:B$2,-1+SUMPRODUCT(MAX(ROW(E690:E$2)*(E691=E690:E$2)))))</f>
        <v> </v>
      </c>
      <c r="J691" s="26" t="str">
        <f>IF(OR(E691="",E691="!!!",F691="NEW"),"",COUNTBLANK(OFFSET(A$1,,,SUMPRODUCT(MAX(ROW(E$2:E691)*(E691=E$2:E691)))))-COUNTBLANK(OFFSET(A$1,,,SUMPRODUCT(MAX(ROW(E$1:E690)*(E2=E$1:E690))))))</f>
        <v> </v>
      </c>
      <c r="K691" s="26" t="str">
        <f>IF(OR(E691="",E691="!!!",F691="NEW"),"",INDEX(J$1:J690,SUMPRODUCT(MAX(ROW(E$1:E690)*(E691=E$1:E690)))))</f>
        <v> </v>
      </c>
      <c r="L691" s="27"/>
    </row>
    <row r="692" spans="1:12">
      <c r="A692" s="20" t="s">
        <v>433</v>
      </c>
      <c r="B692" s="21" t="s">
        <v>215</v>
      </c>
      <c r="C692" s="21" t="s">
        <v>152</v>
      </c>
      <c r="D692" s="21" t="s">
        <v>119</v>
      </c>
      <c r="E692" s="22">
        <f>IF(D692="?OLD","!!!","")</f>
        <v/>
      </c>
      <c r="F692" s="23" t="str">
        <f>IF(OR(E692="",E692="!!!"),"",IF(NOT(ISNA(VLOOKUP(E692,E$1:E691,1,FALSE()))),"OLD",IF(AND(E692&lt;&gt;"",E692&lt;&gt;"!!!"),"NEW","")))</f>
        <v> </v>
      </c>
      <c r="G692" s="24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5" t="str">
        <f>IF(J692&lt;&gt;1,"",IF(I692="SBJ","CB","?"))</f>
        <v> </v>
      </c>
      <c r="I692" s="26" t="str">
        <f>IF(OR(E692="",E692="!!!",F692="NEW"),"",INDEX(B691:B$2,-1+SUMPRODUCT(MAX(ROW(E691:E$2)*(E692=E691:E$2)))))</f>
        <v> </v>
      </c>
      <c r="J692" s="26" t="str">
        <f>IF(OR(E692="",E692="!!!",F692="NEW"),"",COUNTBLANK(OFFSET(A$1,,,SUMPRODUCT(MAX(ROW(E$2:E692)*(E692=E$2:E692)))))-COUNTBLANK(OFFSET(A$1,,,SUMPRODUCT(MAX(ROW(E$1:E691)*(E2=E$1:E691))))))</f>
        <v> </v>
      </c>
      <c r="K692" s="26" t="str">
        <f>IF(OR(E692="",E692="!!!",F692="NEW"),"",INDEX(J$1:J691,SUMPRODUCT(MAX(ROW(E$1:E691)*(E692=E$1:E691)))))</f>
        <v> </v>
      </c>
      <c r="L692" s="27"/>
    </row>
    <row r="693" spans="1:12">
      <c r="A693" s="20" t="s">
        <v>153</v>
      </c>
      <c r="E693" s="22">
        <f>IF(D693="?OLD","!!!","")</f>
        <v/>
      </c>
      <c r="F693" s="23" t="str">
        <f>IF(OR(E693="",E693="!!!"),"",IF(NOT(ISNA(VLOOKUP(E693,E$1:E692,1,FALSE()))),"OLD",IF(AND(E693&lt;&gt;"",E693&lt;&gt;"!!!"),"NEW","")))</f>
        <v> </v>
      </c>
      <c r="G693" s="24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5" t="str">
        <f>IF(J693&lt;&gt;1,"",IF(I693="SBJ","CB","?"))</f>
        <v> </v>
      </c>
      <c r="I693" s="26" t="str">
        <f>IF(OR(E693="",E693="!!!",F693="NEW"),"",INDEX(B692:B$2,-1+SUMPRODUCT(MAX(ROW(E692:E$2)*(E693=E692:E$2)))))</f>
        <v> </v>
      </c>
      <c r="J693" s="26" t="str">
        <f>IF(OR(E693="",E693="!!!",F693="NEW"),"",COUNTBLANK(OFFSET(A$1,,,SUMPRODUCT(MAX(ROW(E$2:E693)*(E693=E$2:E693)))))-COUNTBLANK(OFFSET(A$1,,,SUMPRODUCT(MAX(ROW(E$1:E692)*(E2=E$1:E692))))))</f>
        <v> </v>
      </c>
      <c r="K693" s="26" t="str">
        <f>IF(OR(E693="",E693="!!!",F693="NEW"),"",INDEX(J$1:J692,SUMPRODUCT(MAX(ROW(E$1:E692)*(E693=E$1:E692)))))</f>
        <v> </v>
      </c>
      <c r="L693" s="27"/>
    </row>
    <row r="694" spans="1:12">
      <c r="A694" s="20" t="s">
        <v>434</v>
      </c>
      <c r="E694" s="22">
        <f>IF(D694="?OLD","!!!","")</f>
        <v/>
      </c>
      <c r="F694" s="23" t="str">
        <f>IF(OR(E694="",E694="!!!"),"",IF(NOT(ISNA(VLOOKUP(E694,E$1:E693,1,FALSE()))),"OLD",IF(AND(E694&lt;&gt;"",E694&lt;&gt;"!!!"),"NEW","")))</f>
        <v> </v>
      </c>
      <c r="G694" s="24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5" t="str">
        <f>IF(J694&lt;&gt;1,"",IF(I694="SBJ","CB","?"))</f>
        <v> </v>
      </c>
      <c r="I694" s="26" t="str">
        <f>IF(OR(E694="",E694="!!!",F694="NEW"),"",INDEX(B693:B$2,-1+SUMPRODUCT(MAX(ROW(E693:E$2)*(E694=E693:E$2)))))</f>
        <v> </v>
      </c>
      <c r="J694" s="26" t="str">
        <f>IF(OR(E694="",E694="!!!",F694="NEW"),"",COUNTBLANK(OFFSET(A$1,,,SUMPRODUCT(MAX(ROW(E$2:E694)*(E694=E$2:E694)))))-COUNTBLANK(OFFSET(A$1,,,SUMPRODUCT(MAX(ROW(E$1:E693)*(E2=E$1:E693))))))</f>
        <v> </v>
      </c>
      <c r="K694" s="26" t="str">
        <f>IF(OR(E694="",E694="!!!",F694="NEW"),"",INDEX(J$1:J693,SUMPRODUCT(MAX(ROW(E$1:E693)*(E694=E$1:E693)))))</f>
        <v> </v>
      </c>
      <c r="L694" s="27"/>
    </row>
    <row r="695" spans="1:12">
      <c r="A695" s="20" t="s">
        <v>191</v>
      </c>
      <c r="B695" s="21" t="s">
        <v>195</v>
      </c>
      <c r="C695" s="21" t="s">
        <v>135</v>
      </c>
      <c r="E695" s="22">
        <f>IF(D695="?OLD","!!!","")</f>
        <v/>
      </c>
      <c r="F695" s="23" t="str">
        <f>IF(OR(E695="",E695="!!!"),"",IF(NOT(ISNA(VLOOKUP(E695,E$1:E694,1,FALSE()))),"OLD",IF(AND(E695&lt;&gt;"",E695&lt;&gt;"!!!"),"NEW","")))</f>
        <v> </v>
      </c>
      <c r="G695" s="24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5" t="str">
        <f>IF(J695&lt;&gt;1,"",IF(I695="SBJ","CB","?"))</f>
        <v> </v>
      </c>
      <c r="I695" s="26" t="str">
        <f>IF(OR(E695="",E695="!!!",F695="NEW"),"",INDEX(B694:B$2,-1+SUMPRODUCT(MAX(ROW(E694:E$2)*(E695=E694:E$2)))))</f>
        <v> </v>
      </c>
      <c r="J695" s="26" t="str">
        <f>IF(OR(E695="",E695="!!!",F695="NEW"),"",COUNTBLANK(OFFSET(A$1,,,SUMPRODUCT(MAX(ROW(E$2:E695)*(E695=E$2:E695)))))-COUNTBLANK(OFFSET(A$1,,,SUMPRODUCT(MAX(ROW(E$1:E694)*(E2=E$1:E694))))))</f>
        <v> </v>
      </c>
      <c r="K695" s="26" t="str">
        <f>IF(OR(E695="",E695="!!!",F695="NEW"),"",INDEX(J$1:J694,SUMPRODUCT(MAX(ROW(E$1:E694)*(E695=E$1:E694)))))</f>
        <v> </v>
      </c>
      <c r="L695" s="27"/>
    </row>
    <row r="696" spans="1:12">
      <c r="A696" s="20" t="s">
        <v>435</v>
      </c>
      <c r="B696" s="21" t="s">
        <v>266</v>
      </c>
      <c r="C696" s="21" t="s">
        <v>118</v>
      </c>
      <c r="D696" s="21" t="s">
        <v>119</v>
      </c>
      <c r="E696" s="22">
        <f>IF(D696="?OLD","!!!","")</f>
        <v/>
      </c>
      <c r="F696" s="23" t="str">
        <f>IF(OR(E696="",E696="!!!"),"",IF(NOT(ISNA(VLOOKUP(E696,E$1:E695,1,FALSE()))),"OLD",IF(AND(E696&lt;&gt;"",E696&lt;&gt;"!!!"),"NEW","")))</f>
        <v> </v>
      </c>
      <c r="G696" s="24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5" t="str">
        <f>IF(J696&lt;&gt;1,"",IF(I696="SBJ","CB","?"))</f>
        <v> </v>
      </c>
      <c r="I696" s="26" t="str">
        <f>IF(OR(E696="",E696="!!!",F696="NEW"),"",INDEX(B695:B$2,-1+SUMPRODUCT(MAX(ROW(E695:E$2)*(E696=E695:E$2)))))</f>
        <v> </v>
      </c>
      <c r="J696" s="26" t="str">
        <f>IF(OR(E696="",E696="!!!",F696="NEW"),"",COUNTBLANK(OFFSET(A$1,,,SUMPRODUCT(MAX(ROW(E$2:E696)*(E696=E$2:E696)))))-COUNTBLANK(OFFSET(A$1,,,SUMPRODUCT(MAX(ROW(E$1:E695)*(E2=E$1:E695))))))</f>
        <v> </v>
      </c>
      <c r="K696" s="26" t="str">
        <f>IF(OR(E696="",E696="!!!",F696="NEW"),"",INDEX(J$1:J695,SUMPRODUCT(MAX(ROW(E$1:E695)*(E696=E$1:E695)))))</f>
        <v> </v>
      </c>
      <c r="L696" s="27"/>
    </row>
    <row r="697" spans="1:12">
      <c r="A697" s="20" t="s">
        <v>436</v>
      </c>
      <c r="E697" s="22">
        <f>IF(D697="?OLD","!!!","")</f>
        <v/>
      </c>
      <c r="F697" s="23" t="str">
        <f>IF(OR(E697="",E697="!!!"),"",IF(NOT(ISNA(VLOOKUP(E697,E$1:E696,1,FALSE()))),"OLD",IF(AND(E697&lt;&gt;"",E697&lt;&gt;"!!!"),"NEW","")))</f>
        <v> </v>
      </c>
      <c r="G697" s="24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5" t="str">
        <f>IF(J697&lt;&gt;1,"",IF(I697="SBJ","CB","?"))</f>
        <v> </v>
      </c>
      <c r="I697" s="26" t="str">
        <f>IF(OR(E697="",E697="!!!",F697="NEW"),"",INDEX(B696:B$2,-1+SUMPRODUCT(MAX(ROW(E696:E$2)*(E697=E696:E$2)))))</f>
        <v> </v>
      </c>
      <c r="J697" s="26" t="str">
        <f>IF(OR(E697="",E697="!!!",F697="NEW"),"",COUNTBLANK(OFFSET(A$1,,,SUMPRODUCT(MAX(ROW(E$2:E697)*(E697=E$2:E697)))))-COUNTBLANK(OFFSET(A$1,,,SUMPRODUCT(MAX(ROW(E$1:E696)*(E2=E$1:E696))))))</f>
        <v> </v>
      </c>
      <c r="K697" s="26" t="str">
        <f>IF(OR(E697="",E697="!!!",F697="NEW"),"",INDEX(J$1:J696,SUMPRODUCT(MAX(ROW(E$1:E696)*(E697=E$1:E696)))))</f>
        <v> </v>
      </c>
      <c r="L697" s="27"/>
    </row>
    <row r="698" spans="1:12">
      <c r="A698" s="20" t="s">
        <v>396</v>
      </c>
      <c r="B698" s="21" t="s">
        <v>162</v>
      </c>
      <c r="C698" s="21" t="s">
        <v>145</v>
      </c>
      <c r="E698" s="22">
        <f>IF(D698="?OLD","!!!","")</f>
        <v/>
      </c>
      <c r="F698" s="23" t="str">
        <f>IF(OR(E698="",E698="!!!"),"",IF(NOT(ISNA(VLOOKUP(E698,E$1:E697,1,FALSE()))),"OLD",IF(AND(E698&lt;&gt;"",E698&lt;&gt;"!!!"),"NEW","")))</f>
        <v> </v>
      </c>
      <c r="G698" s="24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5" t="str">
        <f>IF(J698&lt;&gt;1,"",IF(I698="SBJ","CB","?"))</f>
        <v> </v>
      </c>
      <c r="I698" s="26" t="str">
        <f>IF(OR(E698="",E698="!!!",F698="NEW"),"",INDEX(B697:B$2,-1+SUMPRODUCT(MAX(ROW(E697:E$2)*(E698=E697:E$2)))))</f>
        <v> </v>
      </c>
      <c r="J698" s="26" t="str">
        <f>IF(OR(E698="",E698="!!!",F698="NEW"),"",COUNTBLANK(OFFSET(A$1,,,SUMPRODUCT(MAX(ROW(E$2:E698)*(E698=E$2:E698)))))-COUNTBLANK(OFFSET(A$1,,,SUMPRODUCT(MAX(ROW(E$1:E697)*(E2=E$1:E697))))))</f>
        <v> </v>
      </c>
      <c r="K698" s="26" t="str">
        <f>IF(OR(E698="",E698="!!!",F698="NEW"),"",INDEX(J$1:J697,SUMPRODUCT(MAX(ROW(E$1:E697)*(E698=E$1:E697)))))</f>
        <v> </v>
      </c>
      <c r="L698" s="27"/>
    </row>
    <row r="699" spans="1:12">
      <c r="A699" s="20" t="s">
        <v>163</v>
      </c>
      <c r="E699" s="22">
        <f>IF(D699="?OLD","!!!","")</f>
        <v/>
      </c>
      <c r="F699" s="23" t="str">
        <f>IF(OR(E699="",E699="!!!"),"",IF(NOT(ISNA(VLOOKUP(E699,E$1:E698,1,FALSE()))),"OLD",IF(AND(E699&lt;&gt;"",E699&lt;&gt;"!!!"),"NEW","")))</f>
        <v> </v>
      </c>
      <c r="G699" s="24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5" t="str">
        <f>IF(J699&lt;&gt;1,"",IF(I699="SBJ","CB","?"))</f>
        <v> </v>
      </c>
      <c r="I699" s="26" t="str">
        <f>IF(OR(E699="",E699="!!!",F699="NEW"),"",INDEX(B698:B$2,-1+SUMPRODUCT(MAX(ROW(E698:E$2)*(E699=E698:E$2)))))</f>
        <v> </v>
      </c>
      <c r="J699" s="26" t="str">
        <f>IF(OR(E699="",E699="!!!",F699="NEW"),"",COUNTBLANK(OFFSET(A$1,,,SUMPRODUCT(MAX(ROW(E$2:E699)*(E699=E$2:E699)))))-COUNTBLANK(OFFSET(A$1,,,SUMPRODUCT(MAX(ROW(E$1:E698)*(E2=E$1:E698))))))</f>
        <v> </v>
      </c>
      <c r="K699" s="26" t="str">
        <f>IF(OR(E699="",E699="!!!",F699="NEW"),"",INDEX(J$1:J698,SUMPRODUCT(MAX(ROW(E$1:E698)*(E699=E$1:E698)))))</f>
        <v> </v>
      </c>
      <c r="L699" s="27"/>
    </row>
    <row r="700" spans="1:12">
      <c r="A700" s="20"/>
    </row>
    <row r="701" spans="1:12">
      <c r="A701" s="20" t="s">
        <v>280</v>
      </c>
      <c r="E701" s="22">
        <f>IF(D701="?OLD","!!!","")</f>
        <v/>
      </c>
      <c r="F701" s="23" t="str">
        <f>IF(OR(E701="",E701="!!!"),"",IF(NOT(ISNA(VLOOKUP(E701,E$1:E700,1,FALSE()))),"OLD",IF(AND(E701&lt;&gt;"",E701&lt;&gt;"!!!"),"NEW","")))</f>
        <v> </v>
      </c>
      <c r="G701" s="24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5" t="str">
        <f>IF(J701&lt;&gt;1,"",IF(I701="SBJ","CB","?"))</f>
        <v> </v>
      </c>
      <c r="I701" s="26" t="str">
        <f>IF(OR(E701="",E701="!!!",F701="NEW"),"",INDEX(B700:B$2,-1+SUMPRODUCT(MAX(ROW(E700:E$2)*(E701=E700:E$2)))))</f>
        <v> </v>
      </c>
      <c r="J701" s="26" t="str">
        <f>IF(OR(E701="",E701="!!!",F701="NEW"),"",COUNTBLANK(OFFSET(A$1,,,SUMPRODUCT(MAX(ROW(E$2:E701)*(E701=E$2:E701)))))-COUNTBLANK(OFFSET(A$1,,,SUMPRODUCT(MAX(ROW(E$1:E700)*(E2=E$1:E700))))))</f>
        <v> </v>
      </c>
      <c r="K701" s="26" t="str">
        <f>IF(OR(E701="",E701="!!!",F701="NEW"),"",INDEX(J$1:J700,SUMPRODUCT(MAX(ROW(E$1:E700)*(E701=E$1:E700)))))</f>
        <v> </v>
      </c>
      <c r="L701" s="27"/>
    </row>
    <row r="702" spans="1:12">
      <c r="A702" s="20" t="s">
        <v>418</v>
      </c>
    </row>
    <row r="703" spans="1:12">
      <c r="A703" s="20" t="s">
        <v>43</v>
      </c>
      <c r="E703" s="22">
        <f>IF(D703="?OLD","!!!","")</f>
        <v/>
      </c>
      <c r="F703" s="23" t="str">
        <f>IF(OR(E703="",E703="!!!"),"",IF(NOT(ISNA(VLOOKUP(E703,E$1:E702,1,FALSE()))),"OLD",IF(AND(E703&lt;&gt;"",E703&lt;&gt;"!!!"),"NEW","")))</f>
        <v> </v>
      </c>
      <c r="G703" s="24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5" t="str">
        <f>IF(J703&lt;&gt;1,"",IF(I703="SBJ","CB","?"))</f>
        <v> </v>
      </c>
      <c r="I703" s="26" t="str">
        <f>IF(OR(E703="",E703="!!!",F703="NEW"),"",INDEX(B702:B$2,-1+SUMPRODUCT(MAX(ROW(E702:E$2)*(E703=E702:E$2)))))</f>
        <v> </v>
      </c>
      <c r="J703" s="26" t="str">
        <f>IF(OR(E703="",E703="!!!",F703="NEW"),"",COUNTBLANK(OFFSET(A$1,,,SUMPRODUCT(MAX(ROW(E$2:E703)*(E703=E$2:E703)))))-COUNTBLANK(OFFSET(A$1,,,SUMPRODUCT(MAX(ROW(E$1:E702)*(E2=E$1:E702))))))</f>
        <v> </v>
      </c>
      <c r="K703" s="26" t="str">
        <f>IF(OR(E703="",E703="!!!",F703="NEW"),"",INDEX(J$1:J702,SUMPRODUCT(MAX(ROW(E$1:E702)*(E703=E$1:E702)))))</f>
        <v> </v>
      </c>
      <c r="L703" s="27"/>
    </row>
    <row r="704" spans="1:12">
      <c r="A704" s="20" t="s">
        <v>43</v>
      </c>
      <c r="E704" s="22">
        <f>IF(D704="?OLD","!!!","")</f>
        <v/>
      </c>
      <c r="F704" s="23" t="str">
        <f>IF(OR(E704="",E704="!!!"),"",IF(NOT(ISNA(VLOOKUP(E704,E$1:E703,1,FALSE()))),"OLD",IF(AND(E704&lt;&gt;"",E704&lt;&gt;"!!!"),"NEW","")))</f>
        <v> </v>
      </c>
      <c r="G704" s="24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5" t="str">
        <f>IF(J704&lt;&gt;1,"",IF(I704="SBJ","CB","?"))</f>
        <v> </v>
      </c>
      <c r="I704" s="26" t="str">
        <f>IF(OR(E704="",E704="!!!",F704="NEW"),"",INDEX(B703:B$2,-1+SUMPRODUCT(MAX(ROW(E703:E$2)*(E704=E703:E$2)))))</f>
        <v> </v>
      </c>
      <c r="J704" s="26" t="str">
        <f>IF(OR(E704="",E704="!!!",F704="NEW"),"",COUNTBLANK(OFFSET(A$1,,,SUMPRODUCT(MAX(ROW(E$2:E704)*(E704=E$2:E704)))))-COUNTBLANK(OFFSET(A$1,,,SUMPRODUCT(MAX(ROW(E$1:E703)*(E2=E$1:E703))))))</f>
        <v> </v>
      </c>
      <c r="K704" s="26" t="str">
        <f>IF(OR(E704="",E704="!!!",F704="NEW"),"",INDEX(J$1:J703,SUMPRODUCT(MAX(ROW(E$1:E703)*(E704=E$1:E703)))))</f>
        <v> </v>
      </c>
      <c r="L704" s="27"/>
    </row>
    <row r="705" spans="1:12">
      <c r="A705" s="20"/>
    </row>
    <row r="706" spans="1:12">
      <c r="A706" s="20" t="s">
        <v>437</v>
      </c>
    </row>
    <row r="707" spans="1:12">
      <c r="A707" s="20" t="s">
        <v>182</v>
      </c>
      <c r="B707" s="21" t="s">
        <v>117</v>
      </c>
      <c r="C707" s="21" t="s">
        <v>218</v>
      </c>
      <c r="D707" s="21" t="s">
        <v>119</v>
      </c>
      <c r="E707" s="22">
        <f>IF(D707="?OLD","!!!","")</f>
        <v/>
      </c>
      <c r="F707" s="23" t="str">
        <f>IF(OR(E707="",E707="!!!"),"",IF(NOT(ISNA(VLOOKUP(E707,E$1:E706,1,FALSE()))),"OLD",IF(AND(E707&lt;&gt;"",E707&lt;&gt;"!!!"),"NEW","")))</f>
        <v> </v>
      </c>
      <c r="G707" s="24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5" t="str">
        <f>IF(J707&lt;&gt;1,"",IF(I707="SBJ","CB","?"))</f>
        <v> </v>
      </c>
      <c r="I707" s="26" t="str">
        <f>IF(OR(E707="",E707="!!!",F707="NEW"),"",INDEX(B706:B$2,-1+SUMPRODUCT(MAX(ROW(E706:E$2)*(E707=E706:E$2)))))</f>
        <v> </v>
      </c>
      <c r="J707" s="26" t="str">
        <f>IF(OR(E707="",E707="!!!",F707="NEW"),"",COUNTBLANK(OFFSET(A$1,,,SUMPRODUCT(MAX(ROW(E$2:E707)*(E707=E$2:E707)))))-COUNTBLANK(OFFSET(A$1,,,SUMPRODUCT(MAX(ROW(E$1:E706)*(E2=E$1:E706))))))</f>
        <v> </v>
      </c>
      <c r="K707" s="26" t="str">
        <f>IF(OR(E707="",E707="!!!",F707="NEW"),"",INDEX(J$1:J706,SUMPRODUCT(MAX(ROW(E$1:E706)*(E707=E$1:E706)))))</f>
        <v> </v>
      </c>
      <c r="L707" s="27"/>
    </row>
    <row r="708" spans="1:12">
      <c r="A708" s="20" t="s">
        <v>381</v>
      </c>
      <c r="E708" s="22">
        <f>IF(D708="?OLD","!!!","")</f>
        <v/>
      </c>
      <c r="F708" s="23" t="str">
        <f>IF(OR(E708="",E708="!!!"),"",IF(NOT(ISNA(VLOOKUP(E708,E$1:E707,1,FALSE()))),"OLD",IF(AND(E708&lt;&gt;"",E708&lt;&gt;"!!!"),"NEW","")))</f>
        <v> </v>
      </c>
      <c r="G708" s="24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5" t="str">
        <f>IF(J708&lt;&gt;1,"",IF(I708="SBJ","CB","?"))</f>
        <v> </v>
      </c>
      <c r="I708" s="26" t="str">
        <f>IF(OR(E708="",E708="!!!",F708="NEW"),"",INDEX(B707:B$2,-1+SUMPRODUCT(MAX(ROW(E707:E$2)*(E708=E707:E$2)))))</f>
        <v> </v>
      </c>
      <c r="J708" s="26" t="str">
        <f>IF(OR(E708="",E708="!!!",F708="NEW"),"",COUNTBLANK(OFFSET(A$1,,,SUMPRODUCT(MAX(ROW(E$2:E708)*(E708=E$2:E708)))))-COUNTBLANK(OFFSET(A$1,,,SUMPRODUCT(MAX(ROW(E$1:E707)*(E2=E$1:E707))))))</f>
        <v> </v>
      </c>
      <c r="K708" s="26" t="str">
        <f>IF(OR(E708="",E708="!!!",F708="NEW"),"",INDEX(J$1:J707,SUMPRODUCT(MAX(ROW(E$1:E707)*(E708=E$1:E707)))))</f>
        <v> </v>
      </c>
      <c r="L708" s="27"/>
    </row>
    <row r="709" spans="1:12">
      <c r="A709" s="20" t="s">
        <v>339</v>
      </c>
      <c r="B709" s="21" t="s">
        <v>172</v>
      </c>
      <c r="E709" s="22">
        <f>IF(D709="?OLD","!!!","")</f>
        <v/>
      </c>
      <c r="F709" s="23" t="str">
        <f>IF(OR(E709="",E709="!!!"),"",IF(NOT(ISNA(VLOOKUP(E709,E$1:E708,1,FALSE()))),"OLD",IF(AND(E709&lt;&gt;"",E709&lt;&gt;"!!!"),"NEW","")))</f>
        <v> </v>
      </c>
      <c r="G709" s="24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5" t="str">
        <f>IF(J709&lt;&gt;1,"",IF(I709="SBJ","CB","?"))</f>
        <v> </v>
      </c>
      <c r="I709" s="26" t="str">
        <f>IF(OR(E709="",E709="!!!",F709="NEW"),"",INDEX(B708:B$2,-1+SUMPRODUCT(MAX(ROW(E708:E$2)*(E709=E708:E$2)))))</f>
        <v> </v>
      </c>
      <c r="J709" s="26" t="str">
        <f>IF(OR(E709="",E709="!!!",F709="NEW"),"",COUNTBLANK(OFFSET(A$1,,,SUMPRODUCT(MAX(ROW(E$2:E709)*(E709=E$2:E709)))))-COUNTBLANK(OFFSET(A$1,,,SUMPRODUCT(MAX(ROW(E$1:E708)*(E2=E$1:E708))))))</f>
        <v> </v>
      </c>
      <c r="K709" s="26" t="str">
        <f>IF(OR(E709="",E709="!!!",F709="NEW"),"",INDEX(J$1:J708,SUMPRODUCT(MAX(ROW(E$1:E708)*(E709=E$1:E708)))))</f>
        <v> </v>
      </c>
      <c r="L709" s="27"/>
    </row>
    <row r="710" spans="1:12">
      <c r="A710" s="20" t="s">
        <v>326</v>
      </c>
      <c r="E710" s="22">
        <f>IF(D710="?OLD","!!!","")</f>
        <v/>
      </c>
      <c r="F710" s="23" t="str">
        <f>IF(OR(E710="",E710="!!!"),"",IF(NOT(ISNA(VLOOKUP(E710,E$1:E709,1,FALSE()))),"OLD",IF(AND(E710&lt;&gt;"",E710&lt;&gt;"!!!"),"NEW","")))</f>
        <v> </v>
      </c>
      <c r="G710" s="24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5" t="str">
        <f>IF(J710&lt;&gt;1,"",IF(I710="SBJ","CB","?"))</f>
        <v> </v>
      </c>
      <c r="I710" s="26" t="str">
        <f>IF(OR(E710="",E710="!!!",F710="NEW"),"",INDEX(B709:B$2,-1+SUMPRODUCT(MAX(ROW(E709:E$2)*(E710=E709:E$2)))))</f>
        <v> </v>
      </c>
      <c r="J710" s="26" t="str">
        <f>IF(OR(E710="",E710="!!!",F710="NEW"),"",COUNTBLANK(OFFSET(A$1,,,SUMPRODUCT(MAX(ROW(E$2:E710)*(E710=E$2:E710)))))-COUNTBLANK(OFFSET(A$1,,,SUMPRODUCT(MAX(ROW(E$1:E709)*(E2=E$1:E709))))))</f>
        <v> </v>
      </c>
      <c r="K710" s="26" t="str">
        <f>IF(OR(E710="",E710="!!!",F710="NEW"),"",INDEX(J$1:J709,SUMPRODUCT(MAX(ROW(E$1:E709)*(E710=E$1:E709)))))</f>
        <v> </v>
      </c>
      <c r="L710" s="27"/>
    </row>
    <row r="711" spans="1:12">
      <c r="A711" s="20" t="s">
        <v>153</v>
      </c>
      <c r="E711" s="22">
        <f>IF(D711="?OLD","!!!","")</f>
        <v/>
      </c>
      <c r="F711" s="23" t="str">
        <f>IF(OR(E711="",E711="!!!"),"",IF(NOT(ISNA(VLOOKUP(E711,E$1:E710,1,FALSE()))),"OLD",IF(AND(E711&lt;&gt;"",E711&lt;&gt;"!!!"),"NEW","")))</f>
        <v> </v>
      </c>
      <c r="G711" s="24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5" t="str">
        <f>IF(J711&lt;&gt;1,"",IF(I711="SBJ","CB","?"))</f>
        <v> </v>
      </c>
      <c r="I711" s="26" t="str">
        <f>IF(OR(E711="",E711="!!!",F711="NEW"),"",INDEX(B710:B$2,-1+SUMPRODUCT(MAX(ROW(E710:E$2)*(E711=E710:E$2)))))</f>
        <v> </v>
      </c>
      <c r="J711" s="26" t="str">
        <f>IF(OR(E711="",E711="!!!",F711="NEW"),"",COUNTBLANK(OFFSET(A$1,,,SUMPRODUCT(MAX(ROW(E$2:E711)*(E711=E$2:E711)))))-COUNTBLANK(OFFSET(A$1,,,SUMPRODUCT(MAX(ROW(E$1:E710)*(E2=E$1:E710))))))</f>
        <v> </v>
      </c>
      <c r="K711" s="26" t="str">
        <f>IF(OR(E711="",E711="!!!",F711="NEW"),"",INDEX(J$1:J710,SUMPRODUCT(MAX(ROW(E$1:E710)*(E711=E$1:E710)))))</f>
        <v> </v>
      </c>
      <c r="L711" s="27"/>
    </row>
    <row r="712" spans="1:12">
      <c r="A712" s="20" t="s">
        <v>395</v>
      </c>
      <c r="E712" s="22">
        <f>IF(D712="?OLD","!!!","")</f>
        <v/>
      </c>
      <c r="F712" s="23" t="str">
        <f>IF(OR(E712="",E712="!!!"),"",IF(NOT(ISNA(VLOOKUP(E712,E$1:E711,1,FALSE()))),"OLD",IF(AND(E712&lt;&gt;"",E712&lt;&gt;"!!!"),"NEW","")))</f>
        <v> </v>
      </c>
      <c r="G712" s="24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5" t="str">
        <f>IF(J712&lt;&gt;1,"",IF(I712="SBJ","CB","?"))</f>
        <v> </v>
      </c>
      <c r="I712" s="26" t="str">
        <f>IF(OR(E712="",E712="!!!",F712="NEW"),"",INDEX(B711:B$2,-1+SUMPRODUCT(MAX(ROW(E711:E$2)*(E712=E711:E$2)))))</f>
        <v> </v>
      </c>
      <c r="J712" s="26" t="str">
        <f>IF(OR(E712="",E712="!!!",F712="NEW"),"",COUNTBLANK(OFFSET(A$1,,,SUMPRODUCT(MAX(ROW(E$2:E712)*(E712=E$2:E712)))))-COUNTBLANK(OFFSET(A$1,,,SUMPRODUCT(MAX(ROW(E$1:E711)*(E2=E$1:E711))))))</f>
        <v> </v>
      </c>
      <c r="K712" s="26" t="str">
        <f>IF(OR(E712="",E712="!!!",F712="NEW"),"",INDEX(J$1:J711,SUMPRODUCT(MAX(ROW(E$1:E711)*(E712=E$1:E711)))))</f>
        <v> </v>
      </c>
      <c r="L712" s="27"/>
    </row>
    <row r="713" spans="1:12">
      <c r="A713" s="20" t="s">
        <v>339</v>
      </c>
      <c r="B713" s="21" t="s">
        <v>175</v>
      </c>
      <c r="E713" s="22">
        <f>IF(D713="?OLD","!!!","")</f>
        <v/>
      </c>
      <c r="F713" s="23" t="str">
        <f>IF(OR(E713="",E713="!!!"),"",IF(NOT(ISNA(VLOOKUP(E713,E$1:E712,1,FALSE()))),"OLD",IF(AND(E713&lt;&gt;"",E713&lt;&gt;"!!!"),"NEW","")))</f>
        <v> </v>
      </c>
      <c r="G713" s="24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5" t="str">
        <f>IF(J713&lt;&gt;1,"",IF(I713="SBJ","CB","?"))</f>
        <v> </v>
      </c>
      <c r="I713" s="26" t="str">
        <f>IF(OR(E713="",E713="!!!",F713="NEW"),"",INDEX(B712:B$2,-1+SUMPRODUCT(MAX(ROW(E712:E$2)*(E713=E712:E$2)))))</f>
        <v> </v>
      </c>
      <c r="J713" s="26" t="str">
        <f>IF(OR(E713="",E713="!!!",F713="NEW"),"",COUNTBLANK(OFFSET(A$1,,,SUMPRODUCT(MAX(ROW(E$2:E713)*(E713=E$2:E713)))))-COUNTBLANK(OFFSET(A$1,,,SUMPRODUCT(MAX(ROW(E$1:E712)*(E2=E$1:E712))))))</f>
        <v> </v>
      </c>
      <c r="K713" s="26" t="str">
        <f>IF(OR(E713="",E713="!!!",F713="NEW"),"",INDEX(J$1:J712,SUMPRODUCT(MAX(ROW(E$1:E712)*(E713=E$1:E712)))))</f>
        <v> </v>
      </c>
      <c r="L713" s="27"/>
    </row>
    <row r="714" spans="1:12">
      <c r="A714" s="20" t="s">
        <v>436</v>
      </c>
      <c r="B714" s="21" t="s">
        <v>134</v>
      </c>
      <c r="E714" s="22">
        <f>IF(D714="?OLD","!!!","")</f>
        <v/>
      </c>
      <c r="F714" s="23" t="str">
        <f>IF(OR(E714="",E714="!!!"),"",IF(NOT(ISNA(VLOOKUP(E714,E$1:E713,1,FALSE()))),"OLD",IF(AND(E714&lt;&gt;"",E714&lt;&gt;"!!!"),"NEW","")))</f>
        <v> </v>
      </c>
      <c r="G714" s="24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5" t="str">
        <f>IF(J714&lt;&gt;1,"",IF(I714="SBJ","CB","?"))</f>
        <v> </v>
      </c>
      <c r="I714" s="26" t="str">
        <f>IF(OR(E714="",E714="!!!",F714="NEW"),"",INDEX(B713:B$2,-1+SUMPRODUCT(MAX(ROW(E713:E$2)*(E714=E713:E$2)))))</f>
        <v> </v>
      </c>
      <c r="J714" s="26" t="str">
        <f>IF(OR(E714="",E714="!!!",F714="NEW"),"",COUNTBLANK(OFFSET(A$1,,,SUMPRODUCT(MAX(ROW(E$2:E714)*(E714=E$2:E714)))))-COUNTBLANK(OFFSET(A$1,,,SUMPRODUCT(MAX(ROW(E$1:E713)*(E2=E$1:E713))))))</f>
        <v> </v>
      </c>
      <c r="K714" s="26" t="str">
        <f>IF(OR(E714="",E714="!!!",F714="NEW"),"",INDEX(J$1:J713,SUMPRODUCT(MAX(ROW(E$1:E713)*(E714=E$1:E713)))))</f>
        <v> </v>
      </c>
      <c r="L714" s="27"/>
    </row>
    <row r="715" spans="1:12">
      <c r="A715" s="20" t="s">
        <v>396</v>
      </c>
      <c r="B715" s="21" t="s">
        <v>151</v>
      </c>
      <c r="C715" s="21" t="s">
        <v>145</v>
      </c>
      <c r="E715" s="22">
        <f>IF(D715="?OLD","!!!","")</f>
        <v/>
      </c>
      <c r="F715" s="23" t="str">
        <f>IF(OR(E715="",E715="!!!"),"",IF(NOT(ISNA(VLOOKUP(E715,E$1:E714,1,FALSE()))),"OLD",IF(AND(E715&lt;&gt;"",E715&lt;&gt;"!!!"),"NEW","")))</f>
        <v> </v>
      </c>
      <c r="G715" s="24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5" t="str">
        <f>IF(J715&lt;&gt;1,"",IF(I715="SBJ","CB","?"))</f>
        <v> </v>
      </c>
      <c r="I715" s="26" t="str">
        <f>IF(OR(E715="",E715="!!!",F715="NEW"),"",INDEX(B714:B$2,-1+SUMPRODUCT(MAX(ROW(E714:E$2)*(E715=E714:E$2)))))</f>
        <v> </v>
      </c>
      <c r="J715" s="26" t="str">
        <f>IF(OR(E715="",E715="!!!",F715="NEW"),"",COUNTBLANK(OFFSET(A$1,,,SUMPRODUCT(MAX(ROW(E$2:E715)*(E715=E$2:E715)))))-COUNTBLANK(OFFSET(A$1,,,SUMPRODUCT(MAX(ROW(E$1:E714)*(E2=E$1:E714))))))</f>
        <v> </v>
      </c>
      <c r="K715" s="26" t="str">
        <f>IF(OR(E715="",E715="!!!",F715="NEW"),"",INDEX(J$1:J714,SUMPRODUCT(MAX(ROW(E$1:E714)*(E715=E$1:E714)))))</f>
        <v> </v>
      </c>
      <c r="L715" s="27"/>
    </row>
    <row r="716" spans="1:12">
      <c r="A716" s="20" t="s">
        <v>127</v>
      </c>
      <c r="E716" s="22">
        <f>IF(D716="?OLD","!!!","")</f>
        <v/>
      </c>
      <c r="F716" s="23" t="str">
        <f>IF(OR(E716="",E716="!!!"),"",IF(NOT(ISNA(VLOOKUP(E716,E$1:E715,1,FALSE()))),"OLD",IF(AND(E716&lt;&gt;"",E716&lt;&gt;"!!!"),"NEW","")))</f>
        <v> </v>
      </c>
      <c r="G716" s="24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5" t="str">
        <f>IF(J716&lt;&gt;1,"",IF(I716="SBJ","CB","?"))</f>
        <v> </v>
      </c>
      <c r="I716" s="26" t="str">
        <f>IF(OR(E716="",E716="!!!",F716="NEW"),"",INDEX(B715:B$2,-1+SUMPRODUCT(MAX(ROW(E715:E$2)*(E716=E715:E$2)))))</f>
        <v> </v>
      </c>
      <c r="J716" s="26" t="str">
        <f>IF(OR(E716="",E716="!!!",F716="NEW"),"",COUNTBLANK(OFFSET(A$1,,,SUMPRODUCT(MAX(ROW(E$2:E716)*(E716=E$2:E716)))))-COUNTBLANK(OFFSET(A$1,,,SUMPRODUCT(MAX(ROW(E$1:E715)*(E2=E$1:E715))))))</f>
        <v> </v>
      </c>
      <c r="K716" s="26" t="str">
        <f>IF(OR(E716="",E716="!!!",F716="NEW"),"",INDEX(J$1:J715,SUMPRODUCT(MAX(ROW(E$1:E715)*(E716=E$1:E715)))))</f>
        <v> </v>
      </c>
      <c r="L716" s="27"/>
    </row>
    <row r="717" spans="1:12">
      <c r="A717" s="20" t="s">
        <v>438</v>
      </c>
      <c r="E717" s="22">
        <f>IF(D717="?OLD","!!!","")</f>
        <v/>
      </c>
      <c r="F717" s="23" t="str">
        <f>IF(OR(E717="",E717="!!!"),"",IF(NOT(ISNA(VLOOKUP(E717,E$1:E716,1,FALSE()))),"OLD",IF(AND(E717&lt;&gt;"",E717&lt;&gt;"!!!"),"NEW","")))</f>
        <v> </v>
      </c>
      <c r="G717" s="24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5" t="str">
        <f>IF(J717&lt;&gt;1,"",IF(I717="SBJ","CB","?"))</f>
        <v> </v>
      </c>
      <c r="I717" s="26" t="str">
        <f>IF(OR(E717="",E717="!!!",F717="NEW"),"",INDEX(B716:B$2,-1+SUMPRODUCT(MAX(ROW(E716:E$2)*(E717=E716:E$2)))))</f>
        <v> </v>
      </c>
      <c r="J717" s="26" t="str">
        <f>IF(OR(E717="",E717="!!!",F717="NEW"),"",COUNTBLANK(OFFSET(A$1,,,SUMPRODUCT(MAX(ROW(E$2:E717)*(E717=E$2:E717)))))-COUNTBLANK(OFFSET(A$1,,,SUMPRODUCT(MAX(ROW(E$1:E716)*(E2=E$1:E716))))))</f>
        <v> </v>
      </c>
      <c r="K717" s="26" t="str">
        <f>IF(OR(E717="",E717="!!!",F717="NEW"),"",INDEX(J$1:J716,SUMPRODUCT(MAX(ROW(E$1:E716)*(E717=E$1:E716)))))</f>
        <v> </v>
      </c>
      <c r="L717" s="27"/>
    </row>
    <row r="718" spans="1:12">
      <c r="A718" s="20" t="s">
        <v>157</v>
      </c>
      <c r="B718" s="21" t="s">
        <v>155</v>
      </c>
      <c r="C718" s="21" t="s">
        <v>118</v>
      </c>
      <c r="D718" s="21" t="s">
        <v>119</v>
      </c>
      <c r="E718" s="22">
        <f>IF(D718="?OLD","!!!","")</f>
        <v/>
      </c>
      <c r="F718" s="23" t="str">
        <f>IF(OR(E718="",E718="!!!"),"",IF(NOT(ISNA(VLOOKUP(E718,E$1:E717,1,FALSE()))),"OLD",IF(AND(E718&lt;&gt;"",E718&lt;&gt;"!!!"),"NEW","")))</f>
        <v> </v>
      </c>
      <c r="G718" s="24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5" t="str">
        <f>IF(J718&lt;&gt;1,"",IF(I718="SBJ","CB","?"))</f>
        <v> </v>
      </c>
      <c r="I718" s="26" t="str">
        <f>IF(OR(E718="",E718="!!!",F718="NEW"),"",INDEX(B717:B$2,-1+SUMPRODUCT(MAX(ROW(E717:E$2)*(E718=E717:E$2)))))</f>
        <v> </v>
      </c>
      <c r="J718" s="26" t="str">
        <f>IF(OR(E718="",E718="!!!",F718="NEW"),"",COUNTBLANK(OFFSET(A$1,,,SUMPRODUCT(MAX(ROW(E$2:E718)*(E718=E$2:E718)))))-COUNTBLANK(OFFSET(A$1,,,SUMPRODUCT(MAX(ROW(E$1:E717)*(E2=E$1:E717))))))</f>
        <v> </v>
      </c>
      <c r="K718" s="26" t="str">
        <f>IF(OR(E718="",E718="!!!",F718="NEW"),"",INDEX(J$1:J717,SUMPRODUCT(MAX(ROW(E$1:E717)*(E718=E$1:E717)))))</f>
        <v> </v>
      </c>
      <c r="L718" s="27"/>
    </row>
    <row r="719" spans="1:12">
      <c r="A719" s="20" t="s">
        <v>284</v>
      </c>
      <c r="E719" s="22">
        <f>IF(D719="?OLD","!!!","")</f>
        <v/>
      </c>
      <c r="F719" s="23" t="str">
        <f>IF(OR(E719="",E719="!!!"),"",IF(NOT(ISNA(VLOOKUP(E719,E$1:E718,1,FALSE()))),"OLD",IF(AND(E719&lt;&gt;"",E719&lt;&gt;"!!!"),"NEW","")))</f>
        <v> </v>
      </c>
      <c r="G719" s="24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5" t="str">
        <f>IF(J719&lt;&gt;1,"",IF(I719="SBJ","CB","?"))</f>
        <v> </v>
      </c>
      <c r="I719" s="26" t="str">
        <f>IF(OR(E719="",E719="!!!",F719="NEW"),"",INDEX(B718:B$2,-1+SUMPRODUCT(MAX(ROW(E718:E$2)*(E719=E718:E$2)))))</f>
        <v> </v>
      </c>
      <c r="J719" s="26" t="str">
        <f>IF(OR(E719="",E719="!!!",F719="NEW"),"",COUNTBLANK(OFFSET(A$1,,,SUMPRODUCT(MAX(ROW(E$2:E719)*(E719=E$2:E719)))))-COUNTBLANK(OFFSET(A$1,,,SUMPRODUCT(MAX(ROW(E$1:E718)*(E2=E$1:E718))))))</f>
        <v> </v>
      </c>
      <c r="K719" s="26" t="str">
        <f>IF(OR(E719="",E719="!!!",F719="NEW"),"",INDEX(J$1:J718,SUMPRODUCT(MAX(ROW(E$1:E718)*(E719=E$1:E718)))))</f>
        <v> </v>
      </c>
      <c r="L719" s="27"/>
    </row>
    <row r="720" spans="1:12">
      <c r="A720" s="20" t="s">
        <v>439</v>
      </c>
      <c r="E720" s="22">
        <f>IF(D720="?OLD","!!!","")</f>
        <v/>
      </c>
      <c r="F720" s="23" t="str">
        <f>IF(OR(E720="",E720="!!!"),"",IF(NOT(ISNA(VLOOKUP(E720,E$1:E719,1,FALSE()))),"OLD",IF(AND(E720&lt;&gt;"",E720&lt;&gt;"!!!"),"NEW","")))</f>
        <v> </v>
      </c>
      <c r="G720" s="24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5" t="str">
        <f>IF(J720&lt;&gt;1,"",IF(I720="SBJ","CB","?"))</f>
        <v> </v>
      </c>
      <c r="I720" s="26" t="str">
        <f>IF(OR(E720="",E720="!!!",F720="NEW"),"",INDEX(B719:B$2,-1+SUMPRODUCT(MAX(ROW(E719:E$2)*(E720=E719:E$2)))))</f>
        <v> </v>
      </c>
      <c r="J720" s="26" t="str">
        <f>IF(OR(E720="",E720="!!!",F720="NEW"),"",COUNTBLANK(OFFSET(A$1,,,SUMPRODUCT(MAX(ROW(E$2:E720)*(E720=E$2:E720)))))-COUNTBLANK(OFFSET(A$1,,,SUMPRODUCT(MAX(ROW(E$1:E719)*(E2=E$1:E719))))))</f>
        <v> </v>
      </c>
      <c r="K720" s="26" t="str">
        <f>IF(OR(E720="",E720="!!!",F720="NEW"),"",INDEX(J$1:J719,SUMPRODUCT(MAX(ROW(E$1:E719)*(E720=E$1:E719)))))</f>
        <v> </v>
      </c>
      <c r="L720" s="27"/>
    </row>
    <row r="721" spans="1:12">
      <c r="A721" s="20" t="s">
        <v>440</v>
      </c>
      <c r="E721" s="22">
        <f>IF(D721="?OLD","!!!","")</f>
        <v/>
      </c>
      <c r="F721" s="23" t="str">
        <f>IF(OR(E721="",E721="!!!"),"",IF(NOT(ISNA(VLOOKUP(E721,E$1:E720,1,FALSE()))),"OLD",IF(AND(E721&lt;&gt;"",E721&lt;&gt;"!!!"),"NEW","")))</f>
        <v> </v>
      </c>
      <c r="G721" s="24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5" t="str">
        <f>IF(J721&lt;&gt;1,"",IF(I721="SBJ","CB","?"))</f>
        <v> </v>
      </c>
      <c r="I721" s="26" t="str">
        <f>IF(OR(E721="",E721="!!!",F721="NEW"),"",INDEX(B720:B$2,-1+SUMPRODUCT(MAX(ROW(E720:E$2)*(E721=E720:E$2)))))</f>
        <v> </v>
      </c>
      <c r="J721" s="26" t="str">
        <f>IF(OR(E721="",E721="!!!",F721="NEW"),"",COUNTBLANK(OFFSET(A$1,,,SUMPRODUCT(MAX(ROW(E$2:E721)*(E721=E$2:E721)))))-COUNTBLANK(OFFSET(A$1,,,SUMPRODUCT(MAX(ROW(E$1:E720)*(E2=E$1:E720))))))</f>
        <v> </v>
      </c>
      <c r="K721" s="26" t="str">
        <f>IF(OR(E721="",E721="!!!",F721="NEW"),"",INDEX(J$1:J720,SUMPRODUCT(MAX(ROW(E$1:E720)*(E721=E$1:E720)))))</f>
        <v> </v>
      </c>
      <c r="L721" s="27"/>
    </row>
    <row r="722" spans="1:12">
      <c r="A722" s="20" t="s">
        <v>128</v>
      </c>
      <c r="E722" s="22">
        <f>IF(D722="?OLD","!!!","")</f>
        <v/>
      </c>
      <c r="F722" s="23" t="str">
        <f>IF(OR(E722="",E722="!!!"),"",IF(NOT(ISNA(VLOOKUP(E722,E$1:E721,1,FALSE()))),"OLD",IF(AND(E722&lt;&gt;"",E722&lt;&gt;"!!!"),"NEW","")))</f>
        <v> </v>
      </c>
      <c r="G722" s="24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5" t="str">
        <f>IF(J722&lt;&gt;1,"",IF(I722="SBJ","CB","?"))</f>
        <v> </v>
      </c>
      <c r="I722" s="26" t="str">
        <f>IF(OR(E722="",E722="!!!",F722="NEW"),"",INDEX(B721:B$2,-1+SUMPRODUCT(MAX(ROW(E721:E$2)*(E722=E721:E$2)))))</f>
        <v> </v>
      </c>
      <c r="J722" s="26" t="str">
        <f>IF(OR(E722="",E722="!!!",F722="NEW"),"",COUNTBLANK(OFFSET(A$1,,,SUMPRODUCT(MAX(ROW(E$2:E722)*(E722=E$2:E722)))))-COUNTBLANK(OFFSET(A$1,,,SUMPRODUCT(MAX(ROW(E$1:E721)*(E2=E$1:E721))))))</f>
        <v> </v>
      </c>
      <c r="K722" s="26" t="str">
        <f>IF(OR(E722="",E722="!!!",F722="NEW"),"",INDEX(J$1:J721,SUMPRODUCT(MAX(ROW(E$1:E721)*(E722=E$1:E721)))))</f>
        <v> </v>
      </c>
      <c r="L722" s="27"/>
    </row>
    <row r="723" spans="1:12">
      <c r="A723" s="20" t="s">
        <v>441</v>
      </c>
      <c r="B723" s="21" t="s">
        <v>195</v>
      </c>
      <c r="C723" s="21" t="s">
        <v>152</v>
      </c>
      <c r="D723" s="21" t="s">
        <v>119</v>
      </c>
      <c r="E723" s="22">
        <f>IF(D723="?OLD","!!!","")</f>
        <v/>
      </c>
      <c r="F723" s="23" t="str">
        <f>IF(OR(E723="",E723="!!!"),"",IF(NOT(ISNA(VLOOKUP(E723,E$1:E722,1,FALSE()))),"OLD",IF(AND(E723&lt;&gt;"",E723&lt;&gt;"!!!"),"NEW","")))</f>
        <v> </v>
      </c>
      <c r="G723" s="24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5" t="str">
        <f>IF(J723&lt;&gt;1,"",IF(I723="SBJ","CB","?"))</f>
        <v> </v>
      </c>
      <c r="I723" s="26" t="str">
        <f>IF(OR(E723="",E723="!!!",F723="NEW"),"",INDEX(B722:B$2,-1+SUMPRODUCT(MAX(ROW(E722:E$2)*(E723=E722:E$2)))))</f>
        <v> </v>
      </c>
      <c r="J723" s="26" t="str">
        <f>IF(OR(E723="",E723="!!!",F723="NEW"),"",COUNTBLANK(OFFSET(A$1,,,SUMPRODUCT(MAX(ROW(E$2:E723)*(E723=E$2:E723)))))-COUNTBLANK(OFFSET(A$1,,,SUMPRODUCT(MAX(ROW(E$1:E722)*(E2=E$1:E722))))))</f>
        <v> </v>
      </c>
      <c r="K723" s="26" t="str">
        <f>IF(OR(E723="",E723="!!!",F723="NEW"),"",INDEX(J$1:J722,SUMPRODUCT(MAX(ROW(E$1:E722)*(E723=E$1:E722)))))</f>
        <v> </v>
      </c>
      <c r="L723" s="27"/>
    </row>
    <row r="724" spans="1:12">
      <c r="A724" s="20" t="s">
        <v>442</v>
      </c>
      <c r="E724" s="22">
        <f>IF(D724="?OLD","!!!","")</f>
        <v/>
      </c>
      <c r="F724" s="23" t="str">
        <f>IF(OR(E724="",E724="!!!"),"",IF(NOT(ISNA(VLOOKUP(E724,E$1:E723,1,FALSE()))),"OLD",IF(AND(E724&lt;&gt;"",E724&lt;&gt;"!!!"),"NEW","")))</f>
        <v> </v>
      </c>
      <c r="G724" s="24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5" t="str">
        <f>IF(J724&lt;&gt;1,"",IF(I724="SBJ","CB","?"))</f>
        <v> </v>
      </c>
      <c r="I724" s="26" t="str">
        <f>IF(OR(E724="",E724="!!!",F724="NEW"),"",INDEX(B723:B$2,-1+SUMPRODUCT(MAX(ROW(E723:E$2)*(E724=E723:E$2)))))</f>
        <v> </v>
      </c>
      <c r="J724" s="26" t="str">
        <f>IF(OR(E724="",E724="!!!",F724="NEW"),"",COUNTBLANK(OFFSET(A$1,,,SUMPRODUCT(MAX(ROW(E$2:E724)*(E724=E$2:E724)))))-COUNTBLANK(OFFSET(A$1,,,SUMPRODUCT(MAX(ROW(E$1:E723)*(E2=E$1:E723))))))</f>
        <v> </v>
      </c>
      <c r="K724" s="26" t="str">
        <f>IF(OR(E724="",E724="!!!",F724="NEW"),"",INDEX(J$1:J723,SUMPRODUCT(MAX(ROW(E$1:E723)*(E724=E$1:E723)))))</f>
        <v> </v>
      </c>
      <c r="L724" s="27"/>
    </row>
    <row r="725" spans="1:12">
      <c r="A725" s="20" t="s">
        <v>90</v>
      </c>
      <c r="B725" s="21" t="s">
        <v>215</v>
      </c>
      <c r="C725" s="21" t="s">
        <v>156</v>
      </c>
      <c r="E725" s="22">
        <f>IF(D725="?OLD","!!!","")</f>
        <v/>
      </c>
      <c r="F725" s="23" t="str">
        <f>IF(OR(E725="",E725="!!!"),"",IF(NOT(ISNA(VLOOKUP(E725,E$1:E724,1,FALSE()))),"OLD",IF(AND(E725&lt;&gt;"",E725&lt;&gt;"!!!"),"NEW","")))</f>
        <v> </v>
      </c>
      <c r="G725" s="24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5" t="str">
        <f>IF(J725&lt;&gt;1,"",IF(I725="SBJ","CB","?"))</f>
        <v> </v>
      </c>
      <c r="I725" s="26" t="str">
        <f>IF(OR(E725="",E725="!!!",F725="NEW"),"",INDEX(B724:B$2,-1+SUMPRODUCT(MAX(ROW(E724:E$2)*(E725=E724:E$2)))))</f>
        <v> </v>
      </c>
      <c r="J725" s="26" t="str">
        <f>IF(OR(E725="",E725="!!!",F725="NEW"),"",COUNTBLANK(OFFSET(A$1,,,SUMPRODUCT(MAX(ROW(E$2:E725)*(E725=E$2:E725)))))-COUNTBLANK(OFFSET(A$1,,,SUMPRODUCT(MAX(ROW(E$1:E724)*(E2=E$1:E724))))))</f>
        <v> </v>
      </c>
      <c r="K725" s="26" t="str">
        <f>IF(OR(E725="",E725="!!!",F725="NEW"),"",INDEX(J$1:J724,SUMPRODUCT(MAX(ROW(E$1:E724)*(E725=E$1:E724)))))</f>
        <v> </v>
      </c>
      <c r="L725" s="27"/>
    </row>
    <row r="726" spans="1:12">
      <c r="A726" s="20" t="s">
        <v>120</v>
      </c>
      <c r="E726" s="22">
        <f>IF(D726="?OLD","!!!","")</f>
        <v/>
      </c>
      <c r="F726" s="23" t="str">
        <f>IF(OR(E726="",E726="!!!"),"",IF(NOT(ISNA(VLOOKUP(E726,E$1:E725,1,FALSE()))),"OLD",IF(AND(E726&lt;&gt;"",E726&lt;&gt;"!!!"),"NEW","")))</f>
        <v> </v>
      </c>
      <c r="G726" s="24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5" t="str">
        <f>IF(J726&lt;&gt;1,"",IF(I726="SBJ","CB","?"))</f>
        <v> </v>
      </c>
      <c r="I726" s="26" t="str">
        <f>IF(OR(E726="",E726="!!!",F726="NEW"),"",INDEX(B725:B$2,-1+SUMPRODUCT(MAX(ROW(E725:E$2)*(E726=E725:E$2)))))</f>
        <v> </v>
      </c>
      <c r="J726" s="26" t="str">
        <f>IF(OR(E726="",E726="!!!",F726="NEW"),"",COUNTBLANK(OFFSET(A$1,,,SUMPRODUCT(MAX(ROW(E$2:E726)*(E726=E$2:E726)))))-COUNTBLANK(OFFSET(A$1,,,SUMPRODUCT(MAX(ROW(E$1:E725)*(E2=E$1:E725))))))</f>
        <v> </v>
      </c>
      <c r="K726" s="26" t="str">
        <f>IF(OR(E726="",E726="!!!",F726="NEW"),"",INDEX(J$1:J725,SUMPRODUCT(MAX(ROW(E$1:E725)*(E726=E$1:E725)))))</f>
        <v> </v>
      </c>
      <c r="L726" s="27"/>
    </row>
    <row r="727" spans="1:12">
      <c r="A727" s="20" t="s">
        <v>127</v>
      </c>
      <c r="E727" s="22">
        <f>IF(D727="?OLD","!!!","")</f>
        <v/>
      </c>
      <c r="F727" s="23" t="str">
        <f>IF(OR(E727="",E727="!!!"),"",IF(NOT(ISNA(VLOOKUP(E727,E$1:E726,1,FALSE()))),"OLD",IF(AND(E727&lt;&gt;"",E727&lt;&gt;"!!!"),"NEW","")))</f>
        <v> </v>
      </c>
      <c r="G727" s="24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5" t="str">
        <f>IF(J727&lt;&gt;1,"",IF(I727="SBJ","CB","?"))</f>
        <v> </v>
      </c>
      <c r="I727" s="26" t="str">
        <f>IF(OR(E727="",E727="!!!",F727="NEW"),"",INDEX(B726:B$2,-1+SUMPRODUCT(MAX(ROW(E726:E$2)*(E727=E726:E$2)))))</f>
        <v> </v>
      </c>
      <c r="J727" s="26" t="str">
        <f>IF(OR(E727="",E727="!!!",F727="NEW"),"",COUNTBLANK(OFFSET(A$1,,,SUMPRODUCT(MAX(ROW(E$2:E727)*(E727=E$2:E727)))))-COUNTBLANK(OFFSET(A$1,,,SUMPRODUCT(MAX(ROW(E$1:E726)*(E2=E$1:E726))))))</f>
        <v> </v>
      </c>
      <c r="K727" s="26" t="str">
        <f>IF(OR(E727="",E727="!!!",F727="NEW"),"",INDEX(J$1:J726,SUMPRODUCT(MAX(ROW(E$1:E726)*(E727=E$1:E726)))))</f>
        <v> </v>
      </c>
      <c r="L727" s="27"/>
    </row>
    <row r="728" spans="1:12">
      <c r="A728" s="20" t="s">
        <v>132</v>
      </c>
      <c r="E728" s="22">
        <f>IF(D728="?OLD","!!!","")</f>
        <v/>
      </c>
      <c r="F728" s="23" t="str">
        <f>IF(OR(E728="",E728="!!!"),"",IF(NOT(ISNA(VLOOKUP(E728,E$1:E727,1,FALSE()))),"OLD",IF(AND(E728&lt;&gt;"",E728&lt;&gt;"!!!"),"NEW","")))</f>
        <v> </v>
      </c>
      <c r="G728" s="24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5" t="str">
        <f>IF(J728&lt;&gt;1,"",IF(I728="SBJ","CB","?"))</f>
        <v> </v>
      </c>
      <c r="I728" s="26" t="str">
        <f>IF(OR(E728="",E728="!!!",F728="NEW"),"",INDEX(B727:B$2,-1+SUMPRODUCT(MAX(ROW(E727:E$2)*(E728=E727:E$2)))))</f>
        <v> </v>
      </c>
      <c r="J728" s="26" t="str">
        <f>IF(OR(E728="",E728="!!!",F728="NEW"),"",COUNTBLANK(OFFSET(A$1,,,SUMPRODUCT(MAX(ROW(E$2:E728)*(E728=E$2:E728)))))-COUNTBLANK(OFFSET(A$1,,,SUMPRODUCT(MAX(ROW(E$1:E727)*(E2=E$1:E727))))))</f>
        <v> </v>
      </c>
      <c r="K728" s="26" t="str">
        <f>IF(OR(E728="",E728="!!!",F728="NEW"),"",INDEX(J$1:J727,SUMPRODUCT(MAX(ROW(E$1:E727)*(E728=E$1:E727)))))</f>
        <v> </v>
      </c>
      <c r="L728" s="27"/>
    </row>
    <row r="729" spans="1:12">
      <c r="A729" s="20" t="s">
        <v>157</v>
      </c>
      <c r="B729" s="21" t="s">
        <v>158</v>
      </c>
      <c r="C729" s="21" t="s">
        <v>118</v>
      </c>
      <c r="D729" s="21" t="s">
        <v>119</v>
      </c>
      <c r="E729" s="22">
        <f>IF(D729="?OLD","!!!","")</f>
        <v/>
      </c>
      <c r="F729" s="23" t="str">
        <f>IF(OR(E729="",E729="!!!"),"",IF(NOT(ISNA(VLOOKUP(E729,E$1:E728,1,FALSE()))),"OLD",IF(AND(E729&lt;&gt;"",E729&lt;&gt;"!!!"),"NEW","")))</f>
        <v> </v>
      </c>
      <c r="G729" s="24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5" t="str">
        <f>IF(J729&lt;&gt;1,"",IF(I729="SBJ","CB","?"))</f>
        <v> </v>
      </c>
      <c r="I729" s="26" t="str">
        <f>IF(OR(E729="",E729="!!!",F729="NEW"),"",INDEX(B728:B$2,-1+SUMPRODUCT(MAX(ROW(E728:E$2)*(E729=E728:E$2)))))</f>
        <v> </v>
      </c>
      <c r="J729" s="26" t="str">
        <f>IF(OR(E729="",E729="!!!",F729="NEW"),"",COUNTBLANK(OFFSET(A$1,,,SUMPRODUCT(MAX(ROW(E$2:E729)*(E729=E$2:E729)))))-COUNTBLANK(OFFSET(A$1,,,SUMPRODUCT(MAX(ROW(E$1:E728)*(E2=E$1:E728))))))</f>
        <v> </v>
      </c>
      <c r="K729" s="26" t="str">
        <f>IF(OR(E729="",E729="!!!",F729="NEW"),"",INDEX(J$1:J728,SUMPRODUCT(MAX(ROW(E$1:E728)*(E729=E$1:E728)))))</f>
        <v> </v>
      </c>
      <c r="L729" s="27"/>
    </row>
    <row r="730" spans="1:12">
      <c r="A730" s="20" t="s">
        <v>165</v>
      </c>
      <c r="B730" s="21" t="s">
        <v>158</v>
      </c>
      <c r="C730" s="21" t="s">
        <v>166</v>
      </c>
      <c r="D730" s="21" t="s">
        <v>119</v>
      </c>
      <c r="E730" s="22">
        <f>IF(D730="?OLD","!!!","")</f>
        <v/>
      </c>
      <c r="F730" s="23" t="str">
        <f>IF(OR(E730="",E730="!!!"),"",IF(NOT(ISNA(VLOOKUP(E730,E$1:E729,1,FALSE()))),"OLD",IF(AND(E730&lt;&gt;"",E730&lt;&gt;"!!!"),"NEW","")))</f>
        <v> </v>
      </c>
      <c r="G730" s="24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5" t="str">
        <f>IF(J730&lt;&gt;1,"",IF(I730="SBJ","CB","?"))</f>
        <v> </v>
      </c>
      <c r="I730" s="26" t="str">
        <f>IF(OR(E730="",E730="!!!",F730="NEW"),"",INDEX(B729:B$2,-1+SUMPRODUCT(MAX(ROW(E729:E$2)*(E730=E729:E$2)))))</f>
        <v> </v>
      </c>
      <c r="J730" s="26" t="str">
        <f>IF(OR(E730="",E730="!!!",F730="NEW"),"",COUNTBLANK(OFFSET(A$1,,,SUMPRODUCT(MAX(ROW(E$2:E730)*(E730=E$2:E730)))))-COUNTBLANK(OFFSET(A$1,,,SUMPRODUCT(MAX(ROW(E$1:E729)*(E2=E$1:E729))))))</f>
        <v> </v>
      </c>
      <c r="K730" s="26" t="str">
        <f>IF(OR(E730="",E730="!!!",F730="NEW"),"",INDEX(J$1:J729,SUMPRODUCT(MAX(ROW(E$1:E729)*(E730=E$1:E729)))))</f>
        <v> </v>
      </c>
      <c r="L730" s="27"/>
    </row>
    <row r="731" spans="1:12">
      <c r="A731" s="20" t="s">
        <v>443</v>
      </c>
      <c r="E731" s="22">
        <f>IF(D731="?OLD","!!!","")</f>
        <v/>
      </c>
      <c r="F731" s="23" t="str">
        <f>IF(OR(E731="",E731="!!!"),"",IF(NOT(ISNA(VLOOKUP(E731,E$1:E730,1,FALSE()))),"OLD",IF(AND(E731&lt;&gt;"",E731&lt;&gt;"!!!"),"NEW","")))</f>
        <v> </v>
      </c>
      <c r="G731" s="24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5" t="str">
        <f>IF(J731&lt;&gt;1,"",IF(I731="SBJ","CB","?"))</f>
        <v> </v>
      </c>
      <c r="I731" s="26" t="str">
        <f>IF(OR(E731="",E731="!!!",F731="NEW"),"",INDEX(B730:B$2,-1+SUMPRODUCT(MAX(ROW(E730:E$2)*(E731=E730:E$2)))))</f>
        <v> </v>
      </c>
      <c r="J731" s="26" t="str">
        <f>IF(OR(E731="",E731="!!!",F731="NEW"),"",COUNTBLANK(OFFSET(A$1,,,SUMPRODUCT(MAX(ROW(E$2:E731)*(E731=E$2:E731)))))-COUNTBLANK(OFFSET(A$1,,,SUMPRODUCT(MAX(ROW(E$1:E730)*(E2=E$1:E730))))))</f>
        <v> </v>
      </c>
      <c r="K731" s="26" t="str">
        <f>IF(OR(E731="",E731="!!!",F731="NEW"),"",INDEX(J$1:J730,SUMPRODUCT(MAX(ROW(E$1:E730)*(E731=E$1:E730)))))</f>
        <v> </v>
      </c>
      <c r="L731" s="27"/>
    </row>
    <row r="732" spans="1:12">
      <c r="A732" s="20" t="s">
        <v>426</v>
      </c>
      <c r="E732" s="22">
        <f>IF(D732="?OLD","!!!","")</f>
        <v/>
      </c>
      <c r="F732" s="23" t="str">
        <f>IF(OR(E732="",E732="!!!"),"",IF(NOT(ISNA(VLOOKUP(E732,E$1:E731,1,FALSE()))),"OLD",IF(AND(E732&lt;&gt;"",E732&lt;&gt;"!!!"),"NEW","")))</f>
        <v> </v>
      </c>
      <c r="G732" s="24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5" t="str">
        <f>IF(J732&lt;&gt;1,"",IF(I732="SBJ","CB","?"))</f>
        <v> </v>
      </c>
      <c r="I732" s="26" t="str">
        <f>IF(OR(E732="",E732="!!!",F732="NEW"),"",INDEX(B731:B$2,-1+SUMPRODUCT(MAX(ROW(E731:E$2)*(E732=E731:E$2)))))</f>
        <v> </v>
      </c>
      <c r="J732" s="26" t="str">
        <f>IF(OR(E732="",E732="!!!",F732="NEW"),"",COUNTBLANK(OFFSET(A$1,,,SUMPRODUCT(MAX(ROW(E$2:E732)*(E732=E$2:E732)))))-COUNTBLANK(OFFSET(A$1,,,SUMPRODUCT(MAX(ROW(E$1:E731)*(E2=E$1:E731))))))</f>
        <v> </v>
      </c>
      <c r="K732" s="26" t="str">
        <f>IF(OR(E732="",E732="!!!",F732="NEW"),"",INDEX(J$1:J731,SUMPRODUCT(MAX(ROW(E$1:E731)*(E732=E$1:E731)))))</f>
        <v> </v>
      </c>
      <c r="L732" s="27"/>
    </row>
    <row r="733" spans="1:12">
      <c r="A733" s="20" t="s">
        <v>163</v>
      </c>
      <c r="E733" s="22">
        <f>IF(D733="?OLD","!!!","")</f>
        <v/>
      </c>
      <c r="F733" s="23" t="str">
        <f>IF(OR(E733="",E733="!!!"),"",IF(NOT(ISNA(VLOOKUP(E733,E$1:E732,1,FALSE()))),"OLD",IF(AND(E733&lt;&gt;"",E733&lt;&gt;"!!!"),"NEW","")))</f>
        <v> </v>
      </c>
      <c r="G733" s="24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5" t="str">
        <f>IF(J733&lt;&gt;1,"",IF(I733="SBJ","CB","?"))</f>
        <v> </v>
      </c>
      <c r="I733" s="26" t="str">
        <f>IF(OR(E733="",E733="!!!",F733="NEW"),"",INDEX(B732:B$2,-1+SUMPRODUCT(MAX(ROW(E732:E$2)*(E733=E732:E$2)))))</f>
        <v> </v>
      </c>
      <c r="J733" s="26" t="str">
        <f>IF(OR(E733="",E733="!!!",F733="NEW"),"",COUNTBLANK(OFFSET(A$1,,,SUMPRODUCT(MAX(ROW(E$2:E733)*(E733=E$2:E733)))))-COUNTBLANK(OFFSET(A$1,,,SUMPRODUCT(MAX(ROW(E$1:E732)*(E2=E$1:E732))))))</f>
        <v> </v>
      </c>
      <c r="K733" s="26" t="str">
        <f>IF(OR(E733="",E733="!!!",F733="NEW"),"",INDEX(J$1:J732,SUMPRODUCT(MAX(ROW(E$1:E732)*(E733=E$1:E732)))))</f>
        <v> </v>
      </c>
      <c r="L733" s="27"/>
    </row>
    <row r="734" spans="1:12">
      <c r="A734" s="20"/>
    </row>
    <row r="735" spans="1:12">
      <c r="A735" s="20" t="s">
        <v>280</v>
      </c>
      <c r="E735" s="22">
        <f>IF(D735="?OLD","!!!","")</f>
        <v/>
      </c>
      <c r="F735" s="23" t="str">
        <f>IF(OR(E735="",E735="!!!"),"",IF(NOT(ISNA(VLOOKUP(E735,E$1:E734,1,FALSE()))),"OLD",IF(AND(E735&lt;&gt;"",E735&lt;&gt;"!!!"),"NEW","")))</f>
        <v> </v>
      </c>
      <c r="G735" s="24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5" t="str">
        <f>IF(J735&lt;&gt;1,"",IF(I735="SBJ","CB","?"))</f>
        <v> </v>
      </c>
      <c r="I735" s="26" t="str">
        <f>IF(OR(E735="",E735="!!!",F735="NEW"),"",INDEX(B734:B$2,-1+SUMPRODUCT(MAX(ROW(E734:E$2)*(E735=E734:E$2)))))</f>
        <v> </v>
      </c>
      <c r="J735" s="26" t="str">
        <f>IF(OR(E735="",E735="!!!",F735="NEW"),"",COUNTBLANK(OFFSET(A$1,,,SUMPRODUCT(MAX(ROW(E$2:E735)*(E735=E$2:E735)))))-COUNTBLANK(OFFSET(A$1,,,SUMPRODUCT(MAX(ROW(E$1:E734)*(E2=E$1:E734))))))</f>
        <v> </v>
      </c>
      <c r="K735" s="26" t="str">
        <f>IF(OR(E735="",E735="!!!",F735="NEW"),"",INDEX(J$1:J734,SUMPRODUCT(MAX(ROW(E$1:E734)*(E735=E$1:E734)))))</f>
        <v> </v>
      </c>
      <c r="L735" s="27"/>
    </row>
    <row r="736" spans="1:12">
      <c r="A736" s="20" t="s">
        <v>444</v>
      </c>
    </row>
    <row r="737" spans="1:12">
      <c r="A737" s="20" t="s">
        <v>116</v>
      </c>
      <c r="B737" s="21" t="s">
        <v>117</v>
      </c>
      <c r="C737" s="21" t="s">
        <v>118</v>
      </c>
      <c r="D737" s="21" t="s">
        <v>119</v>
      </c>
      <c r="E737" s="22">
        <f>IF(D737="?OLD","!!!","")</f>
        <v/>
      </c>
      <c r="F737" s="23" t="str">
        <f>IF(OR(E737="",E737="!!!"),"",IF(NOT(ISNA(VLOOKUP(E737,E$1:E736,1,FALSE()))),"OLD",IF(AND(E737&lt;&gt;"",E737&lt;&gt;"!!!"),"NEW","")))</f>
        <v> </v>
      </c>
      <c r="G737" s="24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5" t="str">
        <f>IF(J737&lt;&gt;1,"",IF(I737="SBJ","CB","?"))</f>
        <v> </v>
      </c>
      <c r="I737" s="26" t="str">
        <f>IF(OR(E737="",E737="!!!",F737="NEW"),"",INDEX(B736:B$2,-1+SUMPRODUCT(MAX(ROW(E736:E$2)*(E737=E736:E$2)))))</f>
        <v> </v>
      </c>
      <c r="J737" s="26" t="str">
        <f>IF(OR(E737="",E737="!!!",F737="NEW"),"",COUNTBLANK(OFFSET(A$1,,,SUMPRODUCT(MAX(ROW(E$2:E737)*(E737=E$2:E737)))))-COUNTBLANK(OFFSET(A$1,,,SUMPRODUCT(MAX(ROW(E$1:E736)*(E2=E$1:E736))))))</f>
        <v> </v>
      </c>
      <c r="K737" s="26" t="str">
        <f>IF(OR(E737="",E737="!!!",F737="NEW"),"",INDEX(J$1:J736,SUMPRODUCT(MAX(ROW(E$1:E736)*(E737=E$1:E736)))))</f>
        <v> </v>
      </c>
      <c r="L737" s="27"/>
    </row>
    <row r="738" spans="1:12">
      <c r="A738" s="20" t="s">
        <v>190</v>
      </c>
      <c r="E738" s="22">
        <f>IF(D738="?OLD","!!!","")</f>
        <v/>
      </c>
      <c r="F738" s="23" t="str">
        <f>IF(OR(E738="",E738="!!!"),"",IF(NOT(ISNA(VLOOKUP(E738,E$1:E737,1,FALSE()))),"OLD",IF(AND(E738&lt;&gt;"",E738&lt;&gt;"!!!"),"NEW","")))</f>
        <v> </v>
      </c>
      <c r="G738" s="24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5" t="str">
        <f>IF(J738&lt;&gt;1,"",IF(I738="SBJ","CB","?"))</f>
        <v> </v>
      </c>
      <c r="I738" s="26" t="str">
        <f>IF(OR(E738="",E738="!!!",F738="NEW"),"",INDEX(B737:B$2,-1+SUMPRODUCT(MAX(ROW(E737:E$2)*(E738=E737:E$2)))))</f>
        <v> </v>
      </c>
      <c r="J738" s="26" t="str">
        <f>IF(OR(E738="",E738="!!!",F738="NEW"),"",COUNTBLANK(OFFSET(A$1,,,SUMPRODUCT(MAX(ROW(E$2:E738)*(E738=E$2:E738)))))-COUNTBLANK(OFFSET(A$1,,,SUMPRODUCT(MAX(ROW(E$1:E737)*(E2=E$1:E737))))))</f>
        <v> </v>
      </c>
      <c r="K738" s="26" t="str">
        <f>IF(OR(E738="",E738="!!!",F738="NEW"),"",INDEX(J$1:J737,SUMPRODUCT(MAX(ROW(E$1:E737)*(E738=E$1:E737)))))</f>
        <v> </v>
      </c>
      <c r="L738" s="27"/>
    </row>
    <row r="739" spans="1:12">
      <c r="A739" s="20" t="s">
        <v>191</v>
      </c>
      <c r="B739" s="21" t="s">
        <v>151</v>
      </c>
      <c r="C739" s="21" t="s">
        <v>135</v>
      </c>
      <c r="E739" s="22">
        <f>IF(D739="?OLD","!!!","")</f>
        <v/>
      </c>
      <c r="F739" s="23" t="str">
        <f>IF(OR(E739="",E739="!!!"),"",IF(NOT(ISNA(VLOOKUP(E739,E$1:E738,1,FALSE()))),"OLD",IF(AND(E739&lt;&gt;"",E739&lt;&gt;"!!!"),"NEW","")))</f>
        <v> </v>
      </c>
      <c r="G739" s="24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5" t="str">
        <f>IF(J739&lt;&gt;1,"",IF(I739="SBJ","CB","?"))</f>
        <v> </v>
      </c>
      <c r="I739" s="26" t="str">
        <f>IF(OR(E739="",E739="!!!",F739="NEW"),"",INDEX(B738:B$2,-1+SUMPRODUCT(MAX(ROW(E738:E$2)*(E739=E738:E$2)))))</f>
        <v> </v>
      </c>
      <c r="J739" s="26" t="str">
        <f>IF(OR(E739="",E739="!!!",F739="NEW"),"",COUNTBLANK(OFFSET(A$1,,,SUMPRODUCT(MAX(ROW(E$2:E739)*(E739=E$2:E739)))))-COUNTBLANK(OFFSET(A$1,,,SUMPRODUCT(MAX(ROW(E$1:E738)*(E2=E$1:E738))))))</f>
        <v> </v>
      </c>
      <c r="K739" s="26" t="str">
        <f>IF(OR(E739="",E739="!!!",F739="NEW"),"",INDEX(J$1:J738,SUMPRODUCT(MAX(ROW(E$1:E738)*(E739=E$1:E738)))))</f>
        <v> </v>
      </c>
      <c r="L739" s="27"/>
    </row>
    <row r="740" spans="1:12">
      <c r="A740" s="20" t="s">
        <v>210</v>
      </c>
      <c r="B740" s="21" t="s">
        <v>125</v>
      </c>
      <c r="C740" s="21" t="s">
        <v>118</v>
      </c>
      <c r="D740" s="21" t="s">
        <v>119</v>
      </c>
      <c r="E740" s="22">
        <f>IF(D740="?OLD","!!!","")</f>
        <v/>
      </c>
      <c r="F740" s="23" t="str">
        <f>IF(OR(E740="",E740="!!!"),"",IF(NOT(ISNA(VLOOKUP(E740,E$1:E739,1,FALSE()))),"OLD",IF(AND(E740&lt;&gt;"",E740&lt;&gt;"!!!"),"NEW","")))</f>
        <v> </v>
      </c>
      <c r="G740" s="24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5" t="str">
        <f>IF(J740&lt;&gt;1,"",IF(I740="SBJ","CB","?"))</f>
        <v> </v>
      </c>
      <c r="I740" s="26" t="str">
        <f>IF(OR(E740="",E740="!!!",F740="NEW"),"",INDEX(B739:B$2,-1+SUMPRODUCT(MAX(ROW(E739:E$2)*(E740=E739:E$2)))))</f>
        <v> </v>
      </c>
      <c r="J740" s="26" t="str">
        <f>IF(OR(E740="",E740="!!!",F740="NEW"),"",COUNTBLANK(OFFSET(A$1,,,SUMPRODUCT(MAX(ROW(E$2:E740)*(E740=E$2:E740)))))-COUNTBLANK(OFFSET(A$1,,,SUMPRODUCT(MAX(ROW(E$1:E739)*(E2=E$1:E739))))))</f>
        <v> </v>
      </c>
      <c r="K740" s="26" t="str">
        <f>IF(OR(E740="",E740="!!!",F740="NEW"),"",INDEX(J$1:J739,SUMPRODUCT(MAX(ROW(E$1:E739)*(E740=E$1:E739)))))</f>
        <v> </v>
      </c>
      <c r="L740" s="27"/>
    </row>
    <row r="741" spans="1:12">
      <c r="A741" s="20" t="s">
        <v>192</v>
      </c>
      <c r="E741" s="22">
        <f>IF(D741="?OLD","!!!","")</f>
        <v/>
      </c>
      <c r="F741" s="23" t="str">
        <f>IF(OR(E741="",E741="!!!"),"",IF(NOT(ISNA(VLOOKUP(E741,E$1:E740,1,FALSE()))),"OLD",IF(AND(E741&lt;&gt;"",E741&lt;&gt;"!!!"),"NEW","")))</f>
        <v> </v>
      </c>
      <c r="G741" s="24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5" t="str">
        <f>IF(J741&lt;&gt;1,"",IF(I741="SBJ","CB","?"))</f>
        <v> </v>
      </c>
      <c r="I741" s="26" t="str">
        <f>IF(OR(E741="",E741="!!!",F741="NEW"),"",INDEX(B740:B$2,-1+SUMPRODUCT(MAX(ROW(E740:E$2)*(E741=E740:E$2)))))</f>
        <v> </v>
      </c>
      <c r="J741" s="26" t="str">
        <f>IF(OR(E741="",E741="!!!",F741="NEW"),"",COUNTBLANK(OFFSET(A$1,,,SUMPRODUCT(MAX(ROW(E$2:E741)*(E741=E$2:E741)))))-COUNTBLANK(OFFSET(A$1,,,SUMPRODUCT(MAX(ROW(E$1:E740)*(E2=E$1:E740))))))</f>
        <v> </v>
      </c>
      <c r="K741" s="26" t="str">
        <f>IF(OR(E741="",E741="!!!",F741="NEW"),"",INDEX(J$1:J740,SUMPRODUCT(MAX(ROW(E$1:E740)*(E741=E$1:E740)))))</f>
        <v> </v>
      </c>
      <c r="L741" s="27"/>
    </row>
    <row r="742" spans="1:12">
      <c r="A742" s="20" t="s">
        <v>268</v>
      </c>
      <c r="E742" s="22">
        <f>IF(D742="?OLD","!!!","")</f>
        <v/>
      </c>
      <c r="F742" s="23" t="str">
        <f>IF(OR(E742="",E742="!!!"),"",IF(NOT(ISNA(VLOOKUP(E742,E$1:E741,1,FALSE()))),"OLD",IF(AND(E742&lt;&gt;"",E742&lt;&gt;"!!!"),"NEW","")))</f>
        <v> </v>
      </c>
      <c r="G742" s="24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5" t="str">
        <f>IF(J742&lt;&gt;1,"",IF(I742="SBJ","CB","?"))</f>
        <v> </v>
      </c>
      <c r="I742" s="26" t="str">
        <f>IF(OR(E742="",E742="!!!",F742="NEW"),"",INDEX(B741:B$2,-1+SUMPRODUCT(MAX(ROW(E741:E$2)*(E742=E741:E$2)))))</f>
        <v> </v>
      </c>
      <c r="J742" s="26" t="str">
        <f>IF(OR(E742="",E742="!!!",F742="NEW"),"",COUNTBLANK(OFFSET(A$1,,,SUMPRODUCT(MAX(ROW(E$2:E742)*(E742=E$2:E742)))))-COUNTBLANK(OFFSET(A$1,,,SUMPRODUCT(MAX(ROW(E$1:E741)*(E2=E$1:E741))))))</f>
        <v> </v>
      </c>
      <c r="K742" s="26" t="str">
        <f>IF(OR(E742="",E742="!!!",F742="NEW"),"",INDEX(J$1:J741,SUMPRODUCT(MAX(ROW(E$1:E741)*(E742=E$1:E741)))))</f>
        <v> </v>
      </c>
      <c r="L742" s="27"/>
    </row>
    <row r="743" spans="1:12">
      <c r="A743" s="20" t="s">
        <v>445</v>
      </c>
      <c r="B743" s="21" t="s">
        <v>129</v>
      </c>
      <c r="C743" s="21" t="s">
        <v>218</v>
      </c>
      <c r="D743" s="21" t="s">
        <v>119</v>
      </c>
      <c r="E743" s="22">
        <f>IF(D743="?OLD","!!!","")</f>
        <v/>
      </c>
      <c r="F743" s="23" t="str">
        <f>IF(OR(E743="",E743="!!!"),"",IF(NOT(ISNA(VLOOKUP(E743,E$1:E742,1,FALSE()))),"OLD",IF(AND(E743&lt;&gt;"",E743&lt;&gt;"!!!"),"NEW","")))</f>
        <v> </v>
      </c>
      <c r="G743" s="24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5" t="str">
        <f>IF(J743&lt;&gt;1,"",IF(I743="SBJ","CB","?"))</f>
        <v> </v>
      </c>
      <c r="I743" s="26" t="str">
        <f>IF(OR(E743="",E743="!!!",F743="NEW"),"",INDEX(B742:B$2,-1+SUMPRODUCT(MAX(ROW(E742:E$2)*(E743=E742:E$2)))))</f>
        <v> </v>
      </c>
      <c r="J743" s="26" t="str">
        <f>IF(OR(E743="",E743="!!!",F743="NEW"),"",COUNTBLANK(OFFSET(A$1,,,SUMPRODUCT(MAX(ROW(E$2:E743)*(E743=E$2:E743)))))-COUNTBLANK(OFFSET(A$1,,,SUMPRODUCT(MAX(ROW(E$1:E742)*(E2=E$1:E742))))))</f>
        <v> </v>
      </c>
      <c r="K743" s="26" t="str">
        <f>IF(OR(E743="",E743="!!!",F743="NEW"),"",INDEX(J$1:J742,SUMPRODUCT(MAX(ROW(E$1:E742)*(E743=E$1:E742)))))</f>
        <v> </v>
      </c>
      <c r="L743" s="27"/>
    </row>
    <row r="744" spans="1:12">
      <c r="A744" s="20" t="s">
        <v>90</v>
      </c>
      <c r="E744" s="22">
        <f>IF(D744="?OLD","!!!","")</f>
        <v/>
      </c>
      <c r="F744" s="23" t="str">
        <f>IF(OR(E744="",E744="!!!"),"",IF(NOT(ISNA(VLOOKUP(E744,E$1:E743,1,FALSE()))),"OLD",IF(AND(E744&lt;&gt;"",E744&lt;&gt;"!!!"),"NEW","")))</f>
        <v> </v>
      </c>
      <c r="G744" s="24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5" t="str">
        <f>IF(J744&lt;&gt;1,"",IF(I744="SBJ","CB","?"))</f>
        <v> </v>
      </c>
      <c r="I744" s="26" t="str">
        <f>IF(OR(E744="",E744="!!!",F744="NEW"),"",INDEX(B743:B$2,-1+SUMPRODUCT(MAX(ROW(E743:E$2)*(E744=E743:E$2)))))</f>
        <v> </v>
      </c>
      <c r="J744" s="26" t="str">
        <f>IF(OR(E744="",E744="!!!",F744="NEW"),"",COUNTBLANK(OFFSET(A$1,,,SUMPRODUCT(MAX(ROW(E$2:E744)*(E744=E$2:E744)))))-COUNTBLANK(OFFSET(A$1,,,SUMPRODUCT(MAX(ROW(E$1:E743)*(E2=E$1:E743))))))</f>
        <v> </v>
      </c>
      <c r="K744" s="26" t="str">
        <f>IF(OR(E744="",E744="!!!",F744="NEW"),"",INDEX(J$1:J743,SUMPRODUCT(MAX(ROW(E$1:E743)*(E744=E$1:E743)))))</f>
        <v> </v>
      </c>
      <c r="L744" s="27"/>
    </row>
    <row r="745" spans="1:12">
      <c r="A745" s="20" t="s">
        <v>127</v>
      </c>
      <c r="E745" s="22">
        <f>IF(D745="?OLD","!!!","")</f>
        <v/>
      </c>
      <c r="F745" s="23" t="str">
        <f>IF(OR(E745="",E745="!!!"),"",IF(NOT(ISNA(VLOOKUP(E745,E$1:E744,1,FALSE()))),"OLD",IF(AND(E745&lt;&gt;"",E745&lt;&gt;"!!!"),"NEW","")))</f>
        <v> </v>
      </c>
      <c r="G745" s="24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5" t="str">
        <f>IF(J745&lt;&gt;1,"",IF(I745="SBJ","CB","?"))</f>
        <v> </v>
      </c>
      <c r="I745" s="26" t="str">
        <f>IF(OR(E745="",E745="!!!",F745="NEW"),"",INDEX(B744:B$2,-1+SUMPRODUCT(MAX(ROW(E744:E$2)*(E745=E744:E$2)))))</f>
        <v> </v>
      </c>
      <c r="J745" s="26" t="str">
        <f>IF(OR(E745="",E745="!!!",F745="NEW"),"",COUNTBLANK(OFFSET(A$1,,,SUMPRODUCT(MAX(ROW(E$2:E745)*(E745=E$2:E745)))))-COUNTBLANK(OFFSET(A$1,,,SUMPRODUCT(MAX(ROW(E$1:E744)*(E2=E$1:E744))))))</f>
        <v> </v>
      </c>
      <c r="K745" s="26" t="str">
        <f>IF(OR(E745="",E745="!!!",F745="NEW"),"",INDEX(J$1:J744,SUMPRODUCT(MAX(ROW(E$1:E744)*(E745=E$1:E744)))))</f>
        <v> </v>
      </c>
      <c r="L745" s="27"/>
    </row>
    <row r="746" spans="1:12">
      <c r="A746" s="20" t="s">
        <v>446</v>
      </c>
      <c r="B746" s="21" t="s">
        <v>155</v>
      </c>
      <c r="C746" s="21" t="s">
        <v>185</v>
      </c>
      <c r="D746" s="21" t="s">
        <v>119</v>
      </c>
      <c r="E746" s="22">
        <f>IF(D746="?OLD","!!!","")</f>
        <v/>
      </c>
      <c r="F746" s="23" t="str">
        <f>IF(OR(E746="",E746="!!!"),"",IF(NOT(ISNA(VLOOKUP(E746,E$1:E745,1,FALSE()))),"OLD",IF(AND(E746&lt;&gt;"",E746&lt;&gt;"!!!"),"NEW","")))</f>
        <v> </v>
      </c>
      <c r="G746" s="24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5" t="str">
        <f>IF(J746&lt;&gt;1,"",IF(I746="SBJ","CB","?"))</f>
        <v> </v>
      </c>
      <c r="I746" s="26" t="str">
        <f>IF(OR(E746="",E746="!!!",F746="NEW"),"",INDEX(B745:B$2,-1+SUMPRODUCT(MAX(ROW(E745:E$2)*(E746=E745:E$2)))))</f>
        <v> </v>
      </c>
      <c r="J746" s="26" t="str">
        <f>IF(OR(E746="",E746="!!!",F746="NEW"),"",COUNTBLANK(OFFSET(A$1,,,SUMPRODUCT(MAX(ROW(E$2:E746)*(E746=E$2:E746)))))-COUNTBLANK(OFFSET(A$1,,,SUMPRODUCT(MAX(ROW(E$1:E745)*(E2=E$1:E745))))))</f>
        <v> </v>
      </c>
      <c r="K746" s="26" t="str">
        <f>IF(OR(E746="",E746="!!!",F746="NEW"),"",INDEX(J$1:J745,SUMPRODUCT(MAX(ROW(E$1:E745)*(E746=E$1:E745)))))</f>
        <v> </v>
      </c>
      <c r="L746" s="27"/>
    </row>
    <row r="747" spans="1:12">
      <c r="A747" s="20" t="s">
        <v>447</v>
      </c>
      <c r="E747" s="22">
        <f>IF(D747="?OLD","!!!","")</f>
        <v/>
      </c>
      <c r="F747" s="23" t="str">
        <f>IF(OR(E747="",E747="!!!"),"",IF(NOT(ISNA(VLOOKUP(E747,E$1:E746,1,FALSE()))),"OLD",IF(AND(E747&lt;&gt;"",E747&lt;&gt;"!!!"),"NEW","")))</f>
        <v> </v>
      </c>
      <c r="G747" s="24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5" t="str">
        <f>IF(J747&lt;&gt;1,"",IF(I747="SBJ","CB","?"))</f>
        <v> </v>
      </c>
      <c r="I747" s="26" t="str">
        <f>IF(OR(E747="",E747="!!!",F747="NEW"),"",INDEX(B746:B$2,-1+SUMPRODUCT(MAX(ROW(E746:E$2)*(E747=E746:E$2)))))</f>
        <v> </v>
      </c>
      <c r="J747" s="26" t="str">
        <f>IF(OR(E747="",E747="!!!",F747="NEW"),"",COUNTBLANK(OFFSET(A$1,,,SUMPRODUCT(MAX(ROW(E$2:E747)*(E747=E$2:E747)))))-COUNTBLANK(OFFSET(A$1,,,SUMPRODUCT(MAX(ROW(E$1:E746)*(E2=E$1:E746))))))</f>
        <v> </v>
      </c>
      <c r="K747" s="26" t="str">
        <f>IF(OR(E747="",E747="!!!",F747="NEW"),"",INDEX(J$1:J746,SUMPRODUCT(MAX(ROW(E$1:E746)*(E747=E$1:E746)))))</f>
        <v> </v>
      </c>
      <c r="L747" s="27"/>
    </row>
    <row r="748" spans="1:12">
      <c r="A748" s="20" t="s">
        <v>448</v>
      </c>
      <c r="B748" s="21" t="s">
        <v>158</v>
      </c>
      <c r="C748" s="21" t="s">
        <v>118</v>
      </c>
      <c r="D748" s="21" t="s">
        <v>119</v>
      </c>
      <c r="E748" s="22">
        <f>IF(D748="?OLD","!!!","")</f>
        <v/>
      </c>
      <c r="F748" s="23" t="str">
        <f>IF(OR(E748="",E748="!!!"),"",IF(NOT(ISNA(VLOOKUP(E748,E$1:E747,1,FALSE()))),"OLD",IF(AND(E748&lt;&gt;"",E748&lt;&gt;"!!!"),"NEW","")))</f>
        <v> </v>
      </c>
      <c r="G748" s="24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5" t="str">
        <f>IF(J748&lt;&gt;1,"",IF(I748="SBJ","CB","?"))</f>
        <v> </v>
      </c>
      <c r="I748" s="26" t="str">
        <f>IF(OR(E748="",E748="!!!",F748="NEW"),"",INDEX(B747:B$2,-1+SUMPRODUCT(MAX(ROW(E747:E$2)*(E748=E747:E$2)))))</f>
        <v> </v>
      </c>
      <c r="J748" s="26" t="str">
        <f>IF(OR(E748="",E748="!!!",F748="NEW"),"",COUNTBLANK(OFFSET(A$1,,,SUMPRODUCT(MAX(ROW(E$2:E748)*(E748=E$2:E748)))))-COUNTBLANK(OFFSET(A$1,,,SUMPRODUCT(MAX(ROW(E$1:E747)*(E2=E$1:E747))))))</f>
        <v> </v>
      </c>
      <c r="K748" s="26" t="str">
        <f>IF(OR(E748="",E748="!!!",F748="NEW"),"",INDEX(J$1:J747,SUMPRODUCT(MAX(ROW(E$1:E747)*(E748=E$1:E747)))))</f>
        <v> </v>
      </c>
      <c r="L748" s="27"/>
    </row>
    <row r="749" spans="1:12">
      <c r="A749" s="20" t="s">
        <v>449</v>
      </c>
      <c r="E749" s="22">
        <f>IF(D749="?OLD","!!!","")</f>
        <v/>
      </c>
      <c r="F749" s="23" t="str">
        <f>IF(OR(E749="",E749="!!!"),"",IF(NOT(ISNA(VLOOKUP(E749,E$1:E748,1,FALSE()))),"OLD",IF(AND(E749&lt;&gt;"",E749&lt;&gt;"!!!"),"NEW","")))</f>
        <v> </v>
      </c>
      <c r="G749" s="24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5" t="str">
        <f>IF(J749&lt;&gt;1,"",IF(I749="SBJ","CB","?"))</f>
        <v> </v>
      </c>
      <c r="I749" s="26" t="str">
        <f>IF(OR(E749="",E749="!!!",F749="NEW"),"",INDEX(B748:B$2,-1+SUMPRODUCT(MAX(ROW(E748:E$2)*(E749=E748:E$2)))))</f>
        <v> </v>
      </c>
      <c r="J749" s="26" t="str">
        <f>IF(OR(E749="",E749="!!!",F749="NEW"),"",COUNTBLANK(OFFSET(A$1,,,SUMPRODUCT(MAX(ROW(E$2:E749)*(E749=E$2:E749)))))-COUNTBLANK(OFFSET(A$1,,,SUMPRODUCT(MAX(ROW(E$1:E748)*(E2=E$1:E748))))))</f>
        <v> </v>
      </c>
      <c r="K749" s="26" t="str">
        <f>IF(OR(E749="",E749="!!!",F749="NEW"),"",INDEX(J$1:J748,SUMPRODUCT(MAX(ROW(E$1:E748)*(E749=E$1:E748)))))</f>
        <v> </v>
      </c>
      <c r="L749" s="27"/>
    </row>
    <row r="750" spans="1:12">
      <c r="A750" s="20" t="s">
        <v>450</v>
      </c>
      <c r="E750" s="22">
        <f>IF(D750="?OLD","!!!","")</f>
        <v/>
      </c>
      <c r="F750" s="23" t="str">
        <f>IF(OR(E750="",E750="!!!"),"",IF(NOT(ISNA(VLOOKUP(E750,E$1:E749,1,FALSE()))),"OLD",IF(AND(E750&lt;&gt;"",E750&lt;&gt;"!!!"),"NEW","")))</f>
        <v> </v>
      </c>
      <c r="G750" s="24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5" t="str">
        <f>IF(J750&lt;&gt;1,"",IF(I750="SBJ","CB","?"))</f>
        <v> </v>
      </c>
      <c r="I750" s="26" t="str">
        <f>IF(OR(E750="",E750="!!!",F750="NEW"),"",INDEX(B749:B$2,-1+SUMPRODUCT(MAX(ROW(E749:E$2)*(E750=E749:E$2)))))</f>
        <v> </v>
      </c>
      <c r="J750" s="26" t="str">
        <f>IF(OR(E750="",E750="!!!",F750="NEW"),"",COUNTBLANK(OFFSET(A$1,,,SUMPRODUCT(MAX(ROW(E$2:E750)*(E750=E$2:E750)))))-COUNTBLANK(OFFSET(A$1,,,SUMPRODUCT(MAX(ROW(E$1:E749)*(E2=E$1:E749))))))</f>
        <v> </v>
      </c>
      <c r="K750" s="26" t="str">
        <f>IF(OR(E750="",E750="!!!",F750="NEW"),"",INDEX(J$1:J749,SUMPRODUCT(MAX(ROW(E$1:E749)*(E750=E$1:E749)))))</f>
        <v> </v>
      </c>
      <c r="L750" s="27"/>
    </row>
    <row r="751" spans="1:12">
      <c r="A751" s="20" t="s">
        <v>451</v>
      </c>
      <c r="B751" s="21" t="s">
        <v>195</v>
      </c>
      <c r="C751" s="21" t="s">
        <v>145</v>
      </c>
      <c r="E751" s="22">
        <f>IF(D751="?OLD","!!!","")</f>
        <v/>
      </c>
      <c r="F751" s="23" t="str">
        <f>IF(OR(E751="",E751="!!!"),"",IF(NOT(ISNA(VLOOKUP(E751,E$1:E750,1,FALSE()))),"OLD",IF(AND(E751&lt;&gt;"",E751&lt;&gt;"!!!"),"NEW","")))</f>
        <v> </v>
      </c>
      <c r="G751" s="24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5" t="str">
        <f>IF(J751&lt;&gt;1,"",IF(I751="SBJ","CB","?"))</f>
        <v> </v>
      </c>
      <c r="I751" s="26" t="str">
        <f>IF(OR(E751="",E751="!!!",F751="NEW"),"",INDEX(B750:B$2,-1+SUMPRODUCT(MAX(ROW(E750:E$2)*(E751=E750:E$2)))))</f>
        <v> </v>
      </c>
      <c r="J751" s="26" t="str">
        <f>IF(OR(E751="",E751="!!!",F751="NEW"),"",COUNTBLANK(OFFSET(A$1,,,SUMPRODUCT(MAX(ROW(E$2:E751)*(E751=E$2:E751)))))-COUNTBLANK(OFFSET(A$1,,,SUMPRODUCT(MAX(ROW(E$1:E750)*(E2=E$1:E750))))))</f>
        <v> </v>
      </c>
      <c r="K751" s="26" t="str">
        <f>IF(OR(E751="",E751="!!!",F751="NEW"),"",INDEX(J$1:J750,SUMPRODUCT(MAX(ROW(E$1:E750)*(E751=E$1:E750)))))</f>
        <v> </v>
      </c>
      <c r="L751" s="27"/>
    </row>
    <row r="752" spans="1:12">
      <c r="A752" s="20" t="s">
        <v>288</v>
      </c>
      <c r="E752" s="22">
        <f>IF(D752="?OLD","!!!","")</f>
        <v/>
      </c>
      <c r="F752" s="23" t="str">
        <f>IF(OR(E752="",E752="!!!"),"",IF(NOT(ISNA(VLOOKUP(E752,E$1:E751,1,FALSE()))),"OLD",IF(AND(E752&lt;&gt;"",E752&lt;&gt;"!!!"),"NEW","")))</f>
        <v> </v>
      </c>
      <c r="G752" s="24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5" t="str">
        <f>IF(J752&lt;&gt;1,"",IF(I752="SBJ","CB","?"))</f>
        <v> </v>
      </c>
      <c r="I752" s="26" t="str">
        <f>IF(OR(E752="",E752="!!!",F752="NEW"),"",INDEX(B751:B$2,-1+SUMPRODUCT(MAX(ROW(E751:E$2)*(E752=E751:E$2)))))</f>
        <v> </v>
      </c>
      <c r="J752" s="26" t="str">
        <f>IF(OR(E752="",E752="!!!",F752="NEW"),"",COUNTBLANK(OFFSET(A$1,,,SUMPRODUCT(MAX(ROW(E$2:E752)*(E752=E$2:E752)))))-COUNTBLANK(OFFSET(A$1,,,SUMPRODUCT(MAX(ROW(E$1:E751)*(E2=E$1:E751))))))</f>
        <v> </v>
      </c>
      <c r="K752" s="26" t="str">
        <f>IF(OR(E752="",E752="!!!",F752="NEW"),"",INDEX(J$1:J751,SUMPRODUCT(MAX(ROW(E$1:E751)*(E752=E$1:E751)))))</f>
        <v> </v>
      </c>
      <c r="L752" s="27"/>
    </row>
    <row r="753" spans="1:12">
      <c r="A753" s="20" t="s">
        <v>43</v>
      </c>
      <c r="E753" s="22">
        <f>IF(D753="?OLD","!!!","")</f>
        <v/>
      </c>
      <c r="F753" s="23" t="str">
        <f>IF(OR(E753="",E753="!!!"),"",IF(NOT(ISNA(VLOOKUP(E753,E$1:E752,1,FALSE()))),"OLD",IF(AND(E753&lt;&gt;"",E753&lt;&gt;"!!!"),"NEW","")))</f>
        <v> </v>
      </c>
      <c r="G753" s="24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5" t="str">
        <f>IF(J753&lt;&gt;1,"",IF(I753="SBJ","CB","?"))</f>
        <v> </v>
      </c>
      <c r="I753" s="26" t="str">
        <f>IF(OR(E753="",E753="!!!",F753="NEW"),"",INDEX(B752:B$2,-1+SUMPRODUCT(MAX(ROW(E752:E$2)*(E753=E752:E$2)))))</f>
        <v> </v>
      </c>
      <c r="J753" s="26" t="str">
        <f>IF(OR(E753="",E753="!!!",F753="NEW"),"",COUNTBLANK(OFFSET(A$1,,,SUMPRODUCT(MAX(ROW(E$2:E753)*(E753=E$2:E753)))))-COUNTBLANK(OFFSET(A$1,,,SUMPRODUCT(MAX(ROW(E$1:E752)*(E2=E$1:E752))))))</f>
        <v> </v>
      </c>
      <c r="K753" s="26" t="str">
        <f>IF(OR(E753="",E753="!!!",F753="NEW"),"",INDEX(J$1:J752,SUMPRODUCT(MAX(ROW(E$1:E752)*(E753=E$1:E752)))))</f>
        <v> </v>
      </c>
      <c r="L753" s="27"/>
    </row>
    <row r="754" spans="1:12">
      <c r="A754" s="20" t="s">
        <v>43</v>
      </c>
      <c r="E754" s="22">
        <f>IF(D754="?OLD","!!!","")</f>
        <v/>
      </c>
      <c r="F754" s="23" t="str">
        <f>IF(OR(E754="",E754="!!!"),"",IF(NOT(ISNA(VLOOKUP(E754,E$1:E753,1,FALSE()))),"OLD",IF(AND(E754&lt;&gt;"",E754&lt;&gt;"!!!"),"NEW","")))</f>
        <v> </v>
      </c>
      <c r="G754" s="24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5" t="str">
        <f>IF(J754&lt;&gt;1,"",IF(I754="SBJ","CB","?"))</f>
        <v> </v>
      </c>
      <c r="I754" s="26" t="str">
        <f>IF(OR(E754="",E754="!!!",F754="NEW"),"",INDEX(B753:B$2,-1+SUMPRODUCT(MAX(ROW(E753:E$2)*(E754=E753:E$2)))))</f>
        <v> </v>
      </c>
      <c r="J754" s="26" t="str">
        <f>IF(OR(E754="",E754="!!!",F754="NEW"),"",COUNTBLANK(OFFSET(A$1,,,SUMPRODUCT(MAX(ROW(E$2:E754)*(E754=E$2:E754)))))-COUNTBLANK(OFFSET(A$1,,,SUMPRODUCT(MAX(ROW(E$1:E753)*(E2=E$1:E753))))))</f>
        <v> </v>
      </c>
      <c r="K754" s="26" t="str">
        <f>IF(OR(E754="",E754="!!!",F754="NEW"),"",INDEX(J$1:J753,SUMPRODUCT(MAX(ROW(E$1:E753)*(E754=E$1:E753)))))</f>
        <v> </v>
      </c>
      <c r="L754" s="27"/>
    </row>
    <row r="755" spans="1:12">
      <c r="A755" s="20" t="s">
        <v>452</v>
      </c>
      <c r="E755" s="22">
        <f>IF(D755="?OLD","!!!","")</f>
        <v/>
      </c>
      <c r="F755" s="23" t="str">
        <f>IF(OR(E755="",E755="!!!"),"",IF(NOT(ISNA(VLOOKUP(E755,E$1:E754,1,FALSE()))),"OLD",IF(AND(E755&lt;&gt;"",E755&lt;&gt;"!!!"),"NEW","")))</f>
        <v> </v>
      </c>
      <c r="G755" s="24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5" t="str">
        <f>IF(J755&lt;&gt;1,"",IF(I755="SBJ","CB","?"))</f>
        <v> </v>
      </c>
      <c r="I755" s="26" t="str">
        <f>IF(OR(E755="",E755="!!!",F755="NEW"),"",INDEX(B754:B$2,-1+SUMPRODUCT(MAX(ROW(E754:E$2)*(E755=E754:E$2)))))</f>
        <v> </v>
      </c>
      <c r="J755" s="26" t="str">
        <f>IF(OR(E755="",E755="!!!",F755="NEW"),"",COUNTBLANK(OFFSET(A$1,,,SUMPRODUCT(MAX(ROW(E$2:E755)*(E755=E$2:E755)))))-COUNTBLANK(OFFSET(A$1,,,SUMPRODUCT(MAX(ROW(E$1:E754)*(E2=E$1:E754))))))</f>
        <v> </v>
      </c>
      <c r="K755" s="26" t="str">
        <f>IF(OR(E755="",E755="!!!",F755="NEW"),"",INDEX(J$1:J754,SUMPRODUCT(MAX(ROW(E$1:E754)*(E755=E$1:E754)))))</f>
        <v> </v>
      </c>
      <c r="L755" s="27"/>
    </row>
    <row r="756" spans="1:12">
      <c r="A756" s="20" t="s">
        <v>203</v>
      </c>
      <c r="B756" s="21" t="s">
        <v>129</v>
      </c>
      <c r="C756" s="21" t="s">
        <v>118</v>
      </c>
      <c r="D756" s="21" t="s">
        <v>119</v>
      </c>
      <c r="E756" s="22">
        <f>IF(D756="?OLD","!!!","")</f>
        <v/>
      </c>
      <c r="F756" s="23" t="str">
        <f>IF(OR(E756="",E756="!!!"),"",IF(NOT(ISNA(VLOOKUP(E756,E$1:E755,1,FALSE()))),"OLD",IF(AND(E756&lt;&gt;"",E756&lt;&gt;"!!!"),"NEW","")))</f>
        <v> </v>
      </c>
      <c r="G756" s="24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5" t="str">
        <f>IF(J756&lt;&gt;1,"",IF(I756="SBJ","CB","?"))</f>
        <v> </v>
      </c>
      <c r="I756" s="26" t="str">
        <f>IF(OR(E756="",E756="!!!",F756="NEW"),"",INDEX(B755:B$2,-1+SUMPRODUCT(MAX(ROW(E755:E$2)*(E756=E755:E$2)))))</f>
        <v> </v>
      </c>
      <c r="J756" s="26" t="str">
        <f>IF(OR(E756="",E756="!!!",F756="NEW"),"",COUNTBLANK(OFFSET(A$1,,,SUMPRODUCT(MAX(ROW(E$2:E756)*(E756=E$2:E756)))))-COUNTBLANK(OFFSET(A$1,,,SUMPRODUCT(MAX(ROW(E$1:E755)*(E2=E$1:E755))))))</f>
        <v> </v>
      </c>
      <c r="K756" s="26" t="str">
        <f>IF(OR(E756="",E756="!!!",F756="NEW"),"",INDEX(J$1:J755,SUMPRODUCT(MAX(ROW(E$1:E755)*(E756=E$1:E755)))))</f>
        <v> </v>
      </c>
      <c r="L756" s="27"/>
    </row>
    <row r="757" spans="1:12">
      <c r="A757" s="20" t="s">
        <v>453</v>
      </c>
      <c r="B757" s="21" t="s">
        <v>175</v>
      </c>
      <c r="E757" s="22">
        <f>IF(D757="?OLD","!!!","")</f>
        <v/>
      </c>
      <c r="F757" s="23" t="str">
        <f>IF(OR(E757="",E757="!!!"),"",IF(NOT(ISNA(VLOOKUP(E757,E$1:E756,1,FALSE()))),"OLD",IF(AND(E757&lt;&gt;"",E757&lt;&gt;"!!!"),"NEW","")))</f>
        <v> </v>
      </c>
      <c r="G757" s="24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5" t="str">
        <f>IF(J757&lt;&gt;1,"",IF(I757="SBJ","CB","?"))</f>
        <v> </v>
      </c>
      <c r="I757" s="26" t="str">
        <f>IF(OR(E757="",E757="!!!",F757="NEW"),"",INDEX(B756:B$2,-1+SUMPRODUCT(MAX(ROW(E756:E$2)*(E757=E756:E$2)))))</f>
        <v> </v>
      </c>
      <c r="J757" s="26" t="str">
        <f>IF(OR(E757="",E757="!!!",F757="NEW"),"",COUNTBLANK(OFFSET(A$1,,,SUMPRODUCT(MAX(ROW(E$2:E757)*(E757=E$2:E757)))))-COUNTBLANK(OFFSET(A$1,,,SUMPRODUCT(MAX(ROW(E$1:E756)*(E2=E$1:E756))))))</f>
        <v> </v>
      </c>
      <c r="K757" s="26" t="str">
        <f>IF(OR(E757="",E757="!!!",F757="NEW"),"",INDEX(J$1:J756,SUMPRODUCT(MAX(ROW(E$1:E756)*(E757=E$1:E756)))))</f>
        <v> </v>
      </c>
      <c r="L757" s="27"/>
    </row>
    <row r="758" spans="1:12">
      <c r="A758" s="20" t="s">
        <v>454</v>
      </c>
      <c r="B758" s="21" t="s">
        <v>129</v>
      </c>
      <c r="E758" s="22">
        <f>IF(D758="?OLD","!!!","")</f>
        <v/>
      </c>
      <c r="F758" s="23" t="str">
        <f>IF(OR(E758="",E758="!!!"),"",IF(NOT(ISNA(VLOOKUP(E758,E$1:E757,1,FALSE()))),"OLD",IF(AND(E758&lt;&gt;"",E758&lt;&gt;"!!!"),"NEW","")))</f>
        <v> </v>
      </c>
      <c r="G758" s="24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5" t="str">
        <f>IF(J758&lt;&gt;1,"",IF(I758="SBJ","CB","?"))</f>
        <v> </v>
      </c>
      <c r="I758" s="26" t="str">
        <f>IF(OR(E758="",E758="!!!",F758="NEW"),"",INDEX(B757:B$2,-1+SUMPRODUCT(MAX(ROW(E757:E$2)*(E758=E757:E$2)))))</f>
        <v> </v>
      </c>
      <c r="J758" s="26" t="str">
        <f>IF(OR(E758="",E758="!!!",F758="NEW"),"",COUNTBLANK(OFFSET(A$1,,,SUMPRODUCT(MAX(ROW(E$2:E758)*(E758=E$2:E758)))))-COUNTBLANK(OFFSET(A$1,,,SUMPRODUCT(MAX(ROW(E$1:E757)*(E2=E$1:E757))))))</f>
        <v> </v>
      </c>
      <c r="K758" s="26" t="str">
        <f>IF(OR(E758="",E758="!!!",F758="NEW"),"",INDEX(J$1:J757,SUMPRODUCT(MAX(ROW(E$1:E757)*(E758=E$1:E757)))))</f>
        <v> </v>
      </c>
      <c r="L758" s="27"/>
    </row>
    <row r="759" spans="1:12">
      <c r="A759" s="20" t="s">
        <v>341</v>
      </c>
      <c r="E759" s="22">
        <f>IF(D759="?OLD","!!!","")</f>
        <v/>
      </c>
      <c r="F759" s="23" t="str">
        <f>IF(OR(E759="",E759="!!!"),"",IF(NOT(ISNA(VLOOKUP(E759,E$1:E758,1,FALSE()))),"OLD",IF(AND(E759&lt;&gt;"",E759&lt;&gt;"!!!"),"NEW","")))</f>
        <v> </v>
      </c>
      <c r="G759" s="24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5" t="str">
        <f>IF(J759&lt;&gt;1,"",IF(I759="SBJ","CB","?"))</f>
        <v> </v>
      </c>
      <c r="I759" s="26" t="str">
        <f>IF(OR(E759="",E759="!!!",F759="NEW"),"",INDEX(B758:B$2,-1+SUMPRODUCT(MAX(ROW(E758:E$2)*(E759=E758:E$2)))))</f>
        <v> </v>
      </c>
      <c r="J759" s="26" t="str">
        <f>IF(OR(E759="",E759="!!!",F759="NEW"),"",COUNTBLANK(OFFSET(A$1,,,SUMPRODUCT(MAX(ROW(E$2:E759)*(E759=E$2:E759)))))-COUNTBLANK(OFFSET(A$1,,,SUMPRODUCT(MAX(ROW(E$1:E758)*(E2=E$1:E758))))))</f>
        <v> </v>
      </c>
      <c r="K759" s="26" t="str">
        <f>IF(OR(E759="",E759="!!!",F759="NEW"),"",INDEX(J$1:J758,SUMPRODUCT(MAX(ROW(E$1:E758)*(E759=E$1:E758)))))</f>
        <v> </v>
      </c>
      <c r="L759" s="27"/>
    </row>
    <row r="760" spans="1:12">
      <c r="A760" s="20" t="s">
        <v>455</v>
      </c>
      <c r="E760" s="22">
        <f>IF(D760="?OLD","!!!","")</f>
        <v/>
      </c>
      <c r="F760" s="23" t="str">
        <f>IF(OR(E760="",E760="!!!"),"",IF(NOT(ISNA(VLOOKUP(E760,E$1:E759,1,FALSE()))),"OLD",IF(AND(E760&lt;&gt;"",E760&lt;&gt;"!!!"),"NEW","")))</f>
        <v> </v>
      </c>
      <c r="G760" s="24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5" t="str">
        <f>IF(J760&lt;&gt;1,"",IF(I760="SBJ","CB","?"))</f>
        <v> </v>
      </c>
      <c r="I760" s="26" t="str">
        <f>IF(OR(E760="",E760="!!!",F760="NEW"),"",INDEX(B759:B$2,-1+SUMPRODUCT(MAX(ROW(E759:E$2)*(E760=E759:E$2)))))</f>
        <v> </v>
      </c>
      <c r="J760" s="26" t="str">
        <f>IF(OR(E760="",E760="!!!",F760="NEW"),"",COUNTBLANK(OFFSET(A$1,,,SUMPRODUCT(MAX(ROW(E$2:E760)*(E760=E$2:E760)))))-COUNTBLANK(OFFSET(A$1,,,SUMPRODUCT(MAX(ROW(E$1:E759)*(E2=E$1:E759))))))</f>
        <v> </v>
      </c>
      <c r="K760" s="26" t="str">
        <f>IF(OR(E760="",E760="!!!",F760="NEW"),"",INDEX(J$1:J759,SUMPRODUCT(MAX(ROW(E$1:E759)*(E760=E$1:E759)))))</f>
        <v> </v>
      </c>
      <c r="L760" s="27"/>
    </row>
    <row r="761" spans="1:12">
      <c r="A761" s="20" t="s">
        <v>456</v>
      </c>
      <c r="E761" s="22">
        <f>IF(D761="?OLD","!!!","")</f>
        <v/>
      </c>
      <c r="F761" s="23" t="str">
        <f>IF(OR(E761="",E761="!!!"),"",IF(NOT(ISNA(VLOOKUP(E761,E$1:E760,1,FALSE()))),"OLD",IF(AND(E761&lt;&gt;"",E761&lt;&gt;"!!!"),"NEW","")))</f>
        <v> </v>
      </c>
      <c r="G761" s="24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5" t="str">
        <f>IF(J761&lt;&gt;1,"",IF(I761="SBJ","CB","?"))</f>
        <v> </v>
      </c>
      <c r="I761" s="26" t="str">
        <f>IF(OR(E761="",E761="!!!",F761="NEW"),"",INDEX(B760:B$2,-1+SUMPRODUCT(MAX(ROW(E760:E$2)*(E761=E760:E$2)))))</f>
        <v> </v>
      </c>
      <c r="J761" s="26" t="str">
        <f>IF(OR(E761="",E761="!!!",F761="NEW"),"",COUNTBLANK(OFFSET(A$1,,,SUMPRODUCT(MAX(ROW(E$2:E761)*(E761=E$2:E761)))))-COUNTBLANK(OFFSET(A$1,,,SUMPRODUCT(MAX(ROW(E$1:E760)*(E2=E$1:E760))))))</f>
        <v> </v>
      </c>
      <c r="K761" s="26" t="str">
        <f>IF(OR(E761="",E761="!!!",F761="NEW"),"",INDEX(J$1:J760,SUMPRODUCT(MAX(ROW(E$1:E760)*(E761=E$1:E760)))))</f>
        <v> </v>
      </c>
      <c r="L761" s="27"/>
    </row>
    <row r="762" spans="1:12">
      <c r="A762" s="20" t="s">
        <v>127</v>
      </c>
      <c r="E762" s="22">
        <f>IF(D762="?OLD","!!!","")</f>
        <v/>
      </c>
      <c r="F762" s="23" t="str">
        <f>IF(OR(E762="",E762="!!!"),"",IF(NOT(ISNA(VLOOKUP(E762,E$1:E761,1,FALSE()))),"OLD",IF(AND(E762&lt;&gt;"",E762&lt;&gt;"!!!"),"NEW","")))</f>
        <v> </v>
      </c>
      <c r="G762" s="24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5" t="str">
        <f>IF(J762&lt;&gt;1,"",IF(I762="SBJ","CB","?"))</f>
        <v> </v>
      </c>
      <c r="I762" s="26" t="str">
        <f>IF(OR(E762="",E762="!!!",F762="NEW"),"",INDEX(B761:B$2,-1+SUMPRODUCT(MAX(ROW(E761:E$2)*(E762=E761:E$2)))))</f>
        <v> </v>
      </c>
      <c r="J762" s="26" t="str">
        <f>IF(OR(E762="",E762="!!!",F762="NEW"),"",COUNTBLANK(OFFSET(A$1,,,SUMPRODUCT(MAX(ROW(E$2:E762)*(E762=E$2:E762)))))-COUNTBLANK(OFFSET(A$1,,,SUMPRODUCT(MAX(ROW(E$1:E761)*(E2=E$1:E761))))))</f>
        <v> </v>
      </c>
      <c r="K762" s="26" t="str">
        <f>IF(OR(E762="",E762="!!!",F762="NEW"),"",INDEX(J$1:J761,SUMPRODUCT(MAX(ROW(E$1:E761)*(E762=E$1:E761)))))</f>
        <v> </v>
      </c>
      <c r="L762" s="27"/>
    </row>
    <row r="763" spans="1:12">
      <c r="A763" s="20" t="s">
        <v>278</v>
      </c>
      <c r="E763" s="22">
        <f>IF(D763="?OLD","!!!","")</f>
        <v/>
      </c>
      <c r="F763" s="23" t="str">
        <f>IF(OR(E763="",E763="!!!"),"",IF(NOT(ISNA(VLOOKUP(E763,E$1:E762,1,FALSE()))),"OLD",IF(AND(E763&lt;&gt;"",E763&lt;&gt;"!!!"),"NEW","")))</f>
        <v> </v>
      </c>
      <c r="G763" s="24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5" t="str">
        <f>IF(J763&lt;&gt;1,"",IF(I763="SBJ","CB","?"))</f>
        <v> </v>
      </c>
      <c r="I763" s="26" t="str">
        <f>IF(OR(E763="",E763="!!!",F763="NEW"),"",INDEX(B762:B$2,-1+SUMPRODUCT(MAX(ROW(E762:E$2)*(E763=E762:E$2)))))</f>
        <v> </v>
      </c>
      <c r="J763" s="26" t="str">
        <f>IF(OR(E763="",E763="!!!",F763="NEW"),"",COUNTBLANK(OFFSET(A$1,,,SUMPRODUCT(MAX(ROW(E$2:E763)*(E763=E$2:E763)))))-COUNTBLANK(OFFSET(A$1,,,SUMPRODUCT(MAX(ROW(E$1:E762)*(E2=E$1:E762))))))</f>
        <v> </v>
      </c>
      <c r="K763" s="26" t="str">
        <f>IF(OR(E763="",E763="!!!",F763="NEW"),"",INDEX(J$1:J762,SUMPRODUCT(MAX(ROW(E$1:E762)*(E763=E$1:E762)))))</f>
        <v> </v>
      </c>
      <c r="L763" s="27"/>
    </row>
    <row r="764" spans="1:12">
      <c r="A764" s="20" t="s">
        <v>362</v>
      </c>
      <c r="B764" s="21" t="s">
        <v>151</v>
      </c>
      <c r="C764" s="21" t="s">
        <v>156</v>
      </c>
      <c r="E764" s="22">
        <f>IF(D764="?OLD","!!!","")</f>
        <v/>
      </c>
      <c r="F764" s="23" t="str">
        <f>IF(OR(E764="",E764="!!!"),"",IF(NOT(ISNA(VLOOKUP(E764,E$1:E763,1,FALSE()))),"OLD",IF(AND(E764&lt;&gt;"",E764&lt;&gt;"!!!"),"NEW","")))</f>
        <v> </v>
      </c>
      <c r="G764" s="24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5" t="str">
        <f>IF(J764&lt;&gt;1,"",IF(I764="SBJ","CB","?"))</f>
        <v> </v>
      </c>
      <c r="I764" s="26" t="str">
        <f>IF(OR(E764="",E764="!!!",F764="NEW"),"",INDEX(B763:B$2,-1+SUMPRODUCT(MAX(ROW(E763:E$2)*(E764=E763:E$2)))))</f>
        <v> </v>
      </c>
      <c r="J764" s="26" t="str">
        <f>IF(OR(E764="",E764="!!!",F764="NEW"),"",COUNTBLANK(OFFSET(A$1,,,SUMPRODUCT(MAX(ROW(E$2:E764)*(E764=E$2:E764)))))-COUNTBLANK(OFFSET(A$1,,,SUMPRODUCT(MAX(ROW(E$1:E763)*(E2=E$1:E763))))))</f>
        <v> </v>
      </c>
      <c r="K764" s="26" t="str">
        <f>IF(OR(E764="",E764="!!!",F764="NEW"),"",INDEX(J$1:J763,SUMPRODUCT(MAX(ROW(E$1:E763)*(E764=E$1:E763)))))</f>
        <v> </v>
      </c>
      <c r="L764" s="27"/>
    </row>
    <row r="765" spans="1:12">
      <c r="A765" s="20" t="s">
        <v>163</v>
      </c>
      <c r="E765" s="22">
        <f>IF(D765="?OLD","!!!","")</f>
        <v/>
      </c>
      <c r="F765" s="23" t="str">
        <f>IF(OR(E765="",E765="!!!"),"",IF(NOT(ISNA(VLOOKUP(E765,E$1:E764,1,FALSE()))),"OLD",IF(AND(E765&lt;&gt;"",E765&lt;&gt;"!!!"),"NEW","")))</f>
        <v> </v>
      </c>
      <c r="G765" s="24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5" t="str">
        <f>IF(J765&lt;&gt;1,"",IF(I765="SBJ","CB","?"))</f>
        <v> </v>
      </c>
      <c r="I765" s="26" t="str">
        <f>IF(OR(E765="",E765="!!!",F765="NEW"),"",INDEX(B764:B$2,-1+SUMPRODUCT(MAX(ROW(E764:E$2)*(E765=E764:E$2)))))</f>
        <v> </v>
      </c>
      <c r="J765" s="26" t="str">
        <f>IF(OR(E765="",E765="!!!",F765="NEW"),"",COUNTBLANK(OFFSET(A$1,,,SUMPRODUCT(MAX(ROW(E$2:E765)*(E765=E$2:E765)))))-COUNTBLANK(OFFSET(A$1,,,SUMPRODUCT(MAX(ROW(E$1:E764)*(E2=E$1:E764))))))</f>
        <v> </v>
      </c>
      <c r="K765" s="26" t="str">
        <f>IF(OR(E765="",E765="!!!",F765="NEW"),"",INDEX(J$1:J764,SUMPRODUCT(MAX(ROW(E$1:E764)*(E765=E$1:E764)))))</f>
        <v> </v>
      </c>
      <c r="L765" s="27"/>
    </row>
    <row r="766" spans="1:12">
      <c r="A766" s="20"/>
    </row>
    <row r="767" spans="1:12">
      <c r="A767" s="20" t="s">
        <v>280</v>
      </c>
      <c r="E767" s="22">
        <f>IF(D767="?OLD","!!!","")</f>
        <v/>
      </c>
      <c r="F767" s="23" t="str">
        <f>IF(OR(E767="",E767="!!!"),"",IF(NOT(ISNA(VLOOKUP(E767,E$1:E766,1,FALSE()))),"OLD",IF(AND(E767&lt;&gt;"",E767&lt;&gt;"!!!"),"NEW","")))</f>
        <v> </v>
      </c>
      <c r="G767" s="24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5" t="str">
        <f>IF(J767&lt;&gt;1,"",IF(I767="SBJ","CB","?"))</f>
        <v> </v>
      </c>
      <c r="I767" s="26" t="str">
        <f>IF(OR(E767="",E767="!!!",F767="NEW"),"",INDEX(B766:B$2,-1+SUMPRODUCT(MAX(ROW(E766:E$2)*(E767=E766:E$2)))))</f>
        <v> </v>
      </c>
      <c r="J767" s="26" t="str">
        <f>IF(OR(E767="",E767="!!!",F767="NEW"),"",COUNTBLANK(OFFSET(A$1,,,SUMPRODUCT(MAX(ROW(E$2:E767)*(E767=E$2:E767)))))-COUNTBLANK(OFFSET(A$1,,,SUMPRODUCT(MAX(ROW(E$1:E766)*(E2=E$1:E766))))))</f>
        <v> </v>
      </c>
      <c r="K767" s="26" t="str">
        <f>IF(OR(E767="",E767="!!!",F767="NEW"),"",INDEX(J$1:J766,SUMPRODUCT(MAX(ROW(E$1:E766)*(E767=E$1:E766)))))</f>
        <v> </v>
      </c>
      <c r="L767" s="27"/>
    </row>
    <row r="768" spans="1:12">
      <c r="A768" s="20" t="s">
        <v>457</v>
      </c>
    </row>
    <row r="769" spans="1:12">
      <c r="A769" s="20" t="s">
        <v>43</v>
      </c>
      <c r="E769" s="22">
        <f>IF(D769="?OLD","!!!","")</f>
        <v/>
      </c>
      <c r="F769" s="23" t="str">
        <f>IF(OR(E769="",E769="!!!"),"",IF(NOT(ISNA(VLOOKUP(E769,E$1:E768,1,FALSE()))),"OLD",IF(AND(E769&lt;&gt;"",E769&lt;&gt;"!!!"),"NEW","")))</f>
        <v> </v>
      </c>
      <c r="G769" s="24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5" t="str">
        <f>IF(J769&lt;&gt;1,"",IF(I769="SBJ","CB","?"))</f>
        <v> </v>
      </c>
      <c r="I769" s="26" t="str">
        <f>IF(OR(E769="",E769="!!!",F769="NEW"),"",INDEX(B768:B$2,-1+SUMPRODUCT(MAX(ROW(E768:E$2)*(E769=E768:E$2)))))</f>
        <v> </v>
      </c>
      <c r="J769" s="26" t="str">
        <f>IF(OR(E769="",E769="!!!",F769="NEW"),"",COUNTBLANK(OFFSET(A$1,,,SUMPRODUCT(MAX(ROW(E$2:E769)*(E769=E$2:E769)))))-COUNTBLANK(OFFSET(A$1,,,SUMPRODUCT(MAX(ROW(E$1:E768)*(E2=E$1:E768))))))</f>
        <v> </v>
      </c>
      <c r="K769" s="26" t="str">
        <f>IF(OR(E769="",E769="!!!",F769="NEW"),"",INDEX(J$1:J768,SUMPRODUCT(MAX(ROW(E$1:E768)*(E769=E$1:E768)))))</f>
        <v> </v>
      </c>
      <c r="L769" s="27"/>
    </row>
    <row r="770" spans="1:12">
      <c r="A770" s="20" t="s">
        <v>90</v>
      </c>
      <c r="B770" s="21" t="s">
        <v>125</v>
      </c>
      <c r="C770" s="21" t="s">
        <v>145</v>
      </c>
      <c r="E770" s="22">
        <f>IF(D770="?OLD","!!!","")</f>
        <v/>
      </c>
      <c r="F770" s="23" t="str">
        <f>IF(OR(E770="",E770="!!!"),"",IF(NOT(ISNA(VLOOKUP(E770,E$1:E769,1,FALSE()))),"OLD",IF(AND(E770&lt;&gt;"",E770&lt;&gt;"!!!"),"NEW","")))</f>
        <v> </v>
      </c>
      <c r="G770" s="24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5" t="str">
        <f>IF(J770&lt;&gt;1,"",IF(I770="SBJ","CB","?"))</f>
        <v> </v>
      </c>
      <c r="I770" s="26" t="str">
        <f>IF(OR(E770="",E770="!!!",F770="NEW"),"",INDEX(B769:B$2,-1+SUMPRODUCT(MAX(ROW(E769:E$2)*(E770=E769:E$2)))))</f>
        <v> </v>
      </c>
      <c r="J770" s="26" t="str">
        <f>IF(OR(E770="",E770="!!!",F770="NEW"),"",COUNTBLANK(OFFSET(A$1,,,SUMPRODUCT(MAX(ROW(E$2:E770)*(E770=E$2:E770)))))-COUNTBLANK(OFFSET(A$1,,,SUMPRODUCT(MAX(ROW(E$1:E769)*(E2=E$1:E769))))))</f>
        <v> </v>
      </c>
      <c r="K770" s="26" t="str">
        <f>IF(OR(E770="",E770="!!!",F770="NEW"),"",INDEX(J$1:J769,SUMPRODUCT(MAX(ROW(E$1:E769)*(E770=E$1:E769)))))</f>
        <v> </v>
      </c>
      <c r="L770" s="27"/>
    </row>
    <row r="771" spans="1:12">
      <c r="A771" s="20" t="s">
        <v>127</v>
      </c>
      <c r="E771" s="22">
        <f>IF(D771="?OLD","!!!","")</f>
        <v/>
      </c>
      <c r="F771" s="23" t="str">
        <f>IF(OR(E771="",E771="!!!"),"",IF(NOT(ISNA(VLOOKUP(E771,E$1:E770,1,FALSE()))),"OLD",IF(AND(E771&lt;&gt;"",E771&lt;&gt;"!!!"),"NEW","")))</f>
        <v> </v>
      </c>
      <c r="G771" s="24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5" t="str">
        <f>IF(J771&lt;&gt;1,"",IF(I771="SBJ","CB","?"))</f>
        <v> </v>
      </c>
      <c r="I771" s="26" t="str">
        <f>IF(OR(E771="",E771="!!!",F771="NEW"),"",INDEX(B770:B$2,-1+SUMPRODUCT(MAX(ROW(E770:E$2)*(E771=E770:E$2)))))</f>
        <v> </v>
      </c>
      <c r="J771" s="26" t="str">
        <f>IF(OR(E771="",E771="!!!",F771="NEW"),"",COUNTBLANK(OFFSET(A$1,,,SUMPRODUCT(MAX(ROW(E$2:E771)*(E771=E$2:E771)))))-COUNTBLANK(OFFSET(A$1,,,SUMPRODUCT(MAX(ROW(E$1:E770)*(E2=E$1:E770))))))</f>
        <v> </v>
      </c>
      <c r="K771" s="26" t="str">
        <f>IF(OR(E771="",E771="!!!",F771="NEW"),"",INDEX(J$1:J770,SUMPRODUCT(MAX(ROW(E$1:E770)*(E771=E$1:E770)))))</f>
        <v> </v>
      </c>
      <c r="L771" s="27"/>
    </row>
    <row r="772" spans="1:12">
      <c r="A772" s="20" t="s">
        <v>446</v>
      </c>
      <c r="B772" s="21" t="s">
        <v>134</v>
      </c>
      <c r="C772" s="21" t="s">
        <v>185</v>
      </c>
      <c r="D772" s="21" t="s">
        <v>119</v>
      </c>
      <c r="E772" s="22">
        <f>IF(D772="?OLD","!!!","")</f>
        <v/>
      </c>
      <c r="F772" s="23" t="str">
        <f>IF(OR(E772="",E772="!!!"),"",IF(NOT(ISNA(VLOOKUP(E772,E$1:E771,1,FALSE()))),"OLD",IF(AND(E772&lt;&gt;"",E772&lt;&gt;"!!!"),"NEW","")))</f>
        <v> </v>
      </c>
      <c r="G772" s="24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5" t="str">
        <f>IF(J772&lt;&gt;1,"",IF(I772="SBJ","CB","?"))</f>
        <v> </v>
      </c>
      <c r="I772" s="26" t="str">
        <f>IF(OR(E772="",E772="!!!",F772="NEW"),"",INDEX(B771:B$2,-1+SUMPRODUCT(MAX(ROW(E771:E$2)*(E772=E771:E$2)))))</f>
        <v> </v>
      </c>
      <c r="J772" s="26" t="str">
        <f>IF(OR(E772="",E772="!!!",F772="NEW"),"",COUNTBLANK(OFFSET(A$1,,,SUMPRODUCT(MAX(ROW(E$2:E772)*(E772=E$2:E772)))))-COUNTBLANK(OFFSET(A$1,,,SUMPRODUCT(MAX(ROW(E$1:E771)*(E2=E$1:E771))))))</f>
        <v> </v>
      </c>
      <c r="K772" s="26" t="str">
        <f>IF(OR(E772="",E772="!!!",F772="NEW"),"",INDEX(J$1:J771,SUMPRODUCT(MAX(ROW(E$1:E771)*(E772=E$1:E771)))))</f>
        <v> </v>
      </c>
      <c r="L772" s="27"/>
    </row>
    <row r="773" spans="1:12">
      <c r="A773" s="20" t="s">
        <v>447</v>
      </c>
      <c r="E773" s="22">
        <f>IF(D773="?OLD","!!!","")</f>
        <v/>
      </c>
      <c r="F773" s="23" t="str">
        <f>IF(OR(E773="",E773="!!!"),"",IF(NOT(ISNA(VLOOKUP(E773,E$1:E772,1,FALSE()))),"OLD",IF(AND(E773&lt;&gt;"",E773&lt;&gt;"!!!"),"NEW","")))</f>
        <v> </v>
      </c>
      <c r="G773" s="24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5" t="str">
        <f>IF(J773&lt;&gt;1,"",IF(I773="SBJ","CB","?"))</f>
        <v> </v>
      </c>
      <c r="I773" s="26" t="str">
        <f>IF(OR(E773="",E773="!!!",F773="NEW"),"",INDEX(B772:B$2,-1+SUMPRODUCT(MAX(ROW(E772:E$2)*(E773=E772:E$2)))))</f>
        <v> </v>
      </c>
      <c r="J773" s="26" t="str">
        <f>IF(OR(E773="",E773="!!!",F773="NEW"),"",COUNTBLANK(OFFSET(A$1,,,SUMPRODUCT(MAX(ROW(E$2:E773)*(E773=E$2:E773)))))-COUNTBLANK(OFFSET(A$1,,,SUMPRODUCT(MAX(ROW(E$1:E772)*(E2=E$1:E772))))))</f>
        <v> </v>
      </c>
      <c r="K773" s="26" t="str">
        <f>IF(OR(E773="",E773="!!!",F773="NEW"),"",INDEX(J$1:J772,SUMPRODUCT(MAX(ROW(E$1:E772)*(E773=E$1:E772)))))</f>
        <v> </v>
      </c>
      <c r="L773" s="27"/>
    </row>
    <row r="774" spans="1:12">
      <c r="A774" s="20" t="s">
        <v>448</v>
      </c>
      <c r="B774" s="21" t="s">
        <v>134</v>
      </c>
      <c r="C774" s="21" t="s">
        <v>118</v>
      </c>
      <c r="D774" s="21" t="s">
        <v>119</v>
      </c>
      <c r="E774" s="22">
        <f>IF(D774="?OLD","!!!","")</f>
        <v/>
      </c>
      <c r="F774" s="23" t="str">
        <f>IF(OR(E774="",E774="!!!"),"",IF(NOT(ISNA(VLOOKUP(E774,E$1:E773,1,FALSE()))),"OLD",IF(AND(E774&lt;&gt;"",E774&lt;&gt;"!!!"),"NEW","")))</f>
        <v> </v>
      </c>
      <c r="G774" s="24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5" t="str">
        <f>IF(J774&lt;&gt;1,"",IF(I774="SBJ","CB","?"))</f>
        <v> </v>
      </c>
      <c r="I774" s="26" t="str">
        <f>IF(OR(E774="",E774="!!!",F774="NEW"),"",INDEX(B773:B$2,-1+SUMPRODUCT(MAX(ROW(E773:E$2)*(E774=E773:E$2)))))</f>
        <v> </v>
      </c>
      <c r="J774" s="26" t="str">
        <f>IF(OR(E774="",E774="!!!",F774="NEW"),"",COUNTBLANK(OFFSET(A$1,,,SUMPRODUCT(MAX(ROW(E$2:E774)*(E774=E$2:E774)))))-COUNTBLANK(OFFSET(A$1,,,SUMPRODUCT(MAX(ROW(E$1:E773)*(E2=E$1:E773))))))</f>
        <v> </v>
      </c>
      <c r="K774" s="26" t="str">
        <f>IF(OR(E774="",E774="!!!",F774="NEW"),"",INDEX(J$1:J773,SUMPRODUCT(MAX(ROW(E$1:E773)*(E774=E$1:E773)))))</f>
        <v> </v>
      </c>
      <c r="L774" s="27"/>
    </row>
    <row r="775" spans="1:12">
      <c r="A775" s="20" t="s">
        <v>449</v>
      </c>
      <c r="E775" s="22">
        <f>IF(D775="?OLD","!!!","")</f>
        <v/>
      </c>
      <c r="F775" s="23" t="str">
        <f>IF(OR(E775="",E775="!!!"),"",IF(NOT(ISNA(VLOOKUP(E775,E$1:E774,1,FALSE()))),"OLD",IF(AND(E775&lt;&gt;"",E775&lt;&gt;"!!!"),"NEW","")))</f>
        <v> </v>
      </c>
      <c r="G775" s="24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5" t="str">
        <f>IF(J775&lt;&gt;1,"",IF(I775="SBJ","CB","?"))</f>
        <v> </v>
      </c>
      <c r="I775" s="26" t="str">
        <f>IF(OR(E775="",E775="!!!",F775="NEW"),"",INDEX(B774:B$2,-1+SUMPRODUCT(MAX(ROW(E774:E$2)*(E775=E774:E$2)))))</f>
        <v> </v>
      </c>
      <c r="J775" s="26" t="str">
        <f>IF(OR(E775="",E775="!!!",F775="NEW"),"",COUNTBLANK(OFFSET(A$1,,,SUMPRODUCT(MAX(ROW(E$2:E775)*(E775=E$2:E775)))))-COUNTBLANK(OFFSET(A$1,,,SUMPRODUCT(MAX(ROW(E$1:E774)*(E2=E$1:E774))))))</f>
        <v> </v>
      </c>
      <c r="K775" s="26" t="str">
        <f>IF(OR(E775="",E775="!!!",F775="NEW"),"",INDEX(J$1:J774,SUMPRODUCT(MAX(ROW(E$1:E774)*(E775=E$1:E774)))))</f>
        <v> </v>
      </c>
      <c r="L775" s="27"/>
    </row>
    <row r="776" spans="1:12">
      <c r="A776" s="20" t="s">
        <v>239</v>
      </c>
      <c r="E776" s="22">
        <f>IF(D776="?OLD","!!!","")</f>
        <v/>
      </c>
      <c r="F776" s="23" t="str">
        <f>IF(OR(E776="",E776="!!!"),"",IF(NOT(ISNA(VLOOKUP(E776,E$1:E775,1,FALSE()))),"OLD",IF(AND(E776&lt;&gt;"",E776&lt;&gt;"!!!"),"NEW","")))</f>
        <v> </v>
      </c>
      <c r="G776" s="24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5" t="str">
        <f>IF(J776&lt;&gt;1,"",IF(I776="SBJ","CB","?"))</f>
        <v> </v>
      </c>
      <c r="I776" s="26" t="str">
        <f>IF(OR(E776="",E776="!!!",F776="NEW"),"",INDEX(B775:B$2,-1+SUMPRODUCT(MAX(ROW(E775:E$2)*(E776=E775:E$2)))))</f>
        <v> </v>
      </c>
      <c r="J776" s="26" t="str">
        <f>IF(OR(E776="",E776="!!!",F776="NEW"),"",COUNTBLANK(OFFSET(A$1,,,SUMPRODUCT(MAX(ROW(E$2:E776)*(E776=E$2:E776)))))-COUNTBLANK(OFFSET(A$1,,,SUMPRODUCT(MAX(ROW(E$1:E775)*(E2=E$1:E775))))))</f>
        <v> </v>
      </c>
      <c r="K776" s="26" t="str">
        <f>IF(OR(E776="",E776="!!!",F776="NEW"),"",INDEX(J$1:J775,SUMPRODUCT(MAX(ROW(E$1:E775)*(E776=E$1:E775)))))</f>
        <v> </v>
      </c>
      <c r="L776" s="27"/>
    </row>
    <row r="777" spans="1:12">
      <c r="A777" s="20" t="s">
        <v>458</v>
      </c>
      <c r="B777" s="21" t="s">
        <v>162</v>
      </c>
      <c r="C777" s="21" t="s">
        <v>145</v>
      </c>
      <c r="E777" s="22">
        <f>IF(D777="?OLD","!!!","")</f>
        <v/>
      </c>
      <c r="F777" s="23" t="str">
        <f>IF(OR(E777="",E777="!!!"),"",IF(NOT(ISNA(VLOOKUP(E777,E$1:E776,1,FALSE()))),"OLD",IF(AND(E777&lt;&gt;"",E777&lt;&gt;"!!!"),"NEW","")))</f>
        <v> </v>
      </c>
      <c r="G777" s="24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5" t="str">
        <f>IF(J777&lt;&gt;1,"",IF(I777="SBJ","CB","?"))</f>
        <v> </v>
      </c>
      <c r="I777" s="26" t="str">
        <f>IF(OR(E777="",E777="!!!",F777="NEW"),"",INDEX(B776:B$2,-1+SUMPRODUCT(MAX(ROW(E776:E$2)*(E777=E776:E$2)))))</f>
        <v> </v>
      </c>
      <c r="J777" s="26" t="str">
        <f>IF(OR(E777="",E777="!!!",F777="NEW"),"",COUNTBLANK(OFFSET(A$1,,,SUMPRODUCT(MAX(ROW(E$2:E777)*(E777=E$2:E777)))))-COUNTBLANK(OFFSET(A$1,,,SUMPRODUCT(MAX(ROW(E$1:E776)*(E2=E$1:E776))))))</f>
        <v> </v>
      </c>
      <c r="K777" s="26" t="str">
        <f>IF(OR(E777="",E777="!!!",F777="NEW"),"",INDEX(J$1:J776,SUMPRODUCT(MAX(ROW(E$1:E776)*(E777=E$1:E776)))))</f>
        <v> </v>
      </c>
      <c r="L777" s="27"/>
    </row>
    <row r="778" spans="1:12">
      <c r="A778" s="20" t="s">
        <v>288</v>
      </c>
      <c r="E778" s="22">
        <f>IF(D778="?OLD","!!!","")</f>
        <v/>
      </c>
      <c r="F778" s="23" t="str">
        <f>IF(OR(E778="",E778="!!!"),"",IF(NOT(ISNA(VLOOKUP(E778,E$1:E777,1,FALSE()))),"OLD",IF(AND(E778&lt;&gt;"",E778&lt;&gt;"!!!"),"NEW","")))</f>
        <v> </v>
      </c>
      <c r="G778" s="24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5" t="str">
        <f>IF(J778&lt;&gt;1,"",IF(I778="SBJ","CB","?"))</f>
        <v> </v>
      </c>
      <c r="I778" s="26" t="str">
        <f>IF(OR(E778="",E778="!!!",F778="NEW"),"",INDEX(B777:B$2,-1+SUMPRODUCT(MAX(ROW(E777:E$2)*(E778=E777:E$2)))))</f>
        <v> </v>
      </c>
      <c r="J778" s="26" t="str">
        <f>IF(OR(E778="",E778="!!!",F778="NEW"),"",COUNTBLANK(OFFSET(A$1,,,SUMPRODUCT(MAX(ROW(E$2:E778)*(E778=E$2:E778)))))-COUNTBLANK(OFFSET(A$1,,,SUMPRODUCT(MAX(ROW(E$1:E777)*(E2=E$1:E777))))))</f>
        <v> </v>
      </c>
      <c r="K778" s="26" t="str">
        <f>IF(OR(E778="",E778="!!!",F778="NEW"),"",INDEX(J$1:J777,SUMPRODUCT(MAX(ROW(E$1:E777)*(E778=E$1:E777)))))</f>
        <v> </v>
      </c>
      <c r="L778" s="27"/>
    </row>
    <row r="779" spans="1:12">
      <c r="A779" s="20" t="s">
        <v>43</v>
      </c>
      <c r="E779" s="22">
        <f>IF(D779="?OLD","!!!","")</f>
        <v/>
      </c>
      <c r="F779" s="23" t="str">
        <f>IF(OR(E779="",E779="!!!"),"",IF(NOT(ISNA(VLOOKUP(E779,E$1:E778,1,FALSE()))),"OLD",IF(AND(E779&lt;&gt;"",E779&lt;&gt;"!!!"),"NEW","")))</f>
        <v> </v>
      </c>
      <c r="G779" s="24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5" t="str">
        <f>IF(J779&lt;&gt;1,"",IF(I779="SBJ","CB","?"))</f>
        <v> </v>
      </c>
      <c r="I779" s="26" t="str">
        <f>IF(OR(E779="",E779="!!!",F779="NEW"),"",INDEX(B778:B$2,-1+SUMPRODUCT(MAX(ROW(E778:E$2)*(E779=E778:E$2)))))</f>
        <v> </v>
      </c>
      <c r="J779" s="26" t="str">
        <f>IF(OR(E779="",E779="!!!",F779="NEW"),"",COUNTBLANK(OFFSET(A$1,,,SUMPRODUCT(MAX(ROW(E$2:E779)*(E779=E$2:E779)))))-COUNTBLANK(OFFSET(A$1,,,SUMPRODUCT(MAX(ROW(E$1:E778)*(E2=E$1:E778))))))</f>
        <v> </v>
      </c>
      <c r="K779" s="26" t="str">
        <f>IF(OR(E779="",E779="!!!",F779="NEW"),"",INDEX(J$1:J778,SUMPRODUCT(MAX(ROW(E$1:E778)*(E779=E$1:E778)))))</f>
        <v> </v>
      </c>
      <c r="L779" s="27"/>
    </row>
    <row r="780" spans="1:12">
      <c r="A780" s="20" t="s">
        <v>268</v>
      </c>
      <c r="E780" s="22">
        <f>IF(D780="?OLD","!!!","")</f>
        <v/>
      </c>
      <c r="F780" s="23" t="str">
        <f>IF(OR(E780="",E780="!!!"),"",IF(NOT(ISNA(VLOOKUP(E780,E$1:E779,1,FALSE()))),"OLD",IF(AND(E780&lt;&gt;"",E780&lt;&gt;"!!!"),"NEW","")))</f>
        <v> </v>
      </c>
      <c r="G780" s="24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5" t="str">
        <f>IF(J780&lt;&gt;1,"",IF(I780="SBJ","CB","?"))</f>
        <v> </v>
      </c>
      <c r="I780" s="26" t="str">
        <f>IF(OR(E780="",E780="!!!",F780="NEW"),"",INDEX(B779:B$2,-1+SUMPRODUCT(MAX(ROW(E779:E$2)*(E780=E779:E$2)))))</f>
        <v> </v>
      </c>
      <c r="J780" s="26" t="str">
        <f>IF(OR(E780="",E780="!!!",F780="NEW"),"",COUNTBLANK(OFFSET(A$1,,,SUMPRODUCT(MAX(ROW(E$2:E780)*(E780=E$2:E780)))))-COUNTBLANK(OFFSET(A$1,,,SUMPRODUCT(MAX(ROW(E$1:E779)*(E2=E$1:E779))))))</f>
        <v> </v>
      </c>
      <c r="K780" s="26" t="str">
        <f>IF(OR(E780="",E780="!!!",F780="NEW"),"",INDEX(J$1:J779,SUMPRODUCT(MAX(ROW(E$1:E779)*(E780=E$1:E779)))))</f>
        <v> </v>
      </c>
      <c r="L780" s="27"/>
    </row>
    <row r="781" spans="1:12">
      <c r="A781" s="20" t="s">
        <v>452</v>
      </c>
      <c r="E781" s="22">
        <f>IF(D781="?OLD","!!!","")</f>
        <v/>
      </c>
      <c r="F781" s="23" t="str">
        <f>IF(OR(E781="",E781="!!!"),"",IF(NOT(ISNA(VLOOKUP(E781,E$1:E780,1,FALSE()))),"OLD",IF(AND(E781&lt;&gt;"",E781&lt;&gt;"!!!"),"NEW","")))</f>
        <v> </v>
      </c>
      <c r="G781" s="24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5" t="str">
        <f>IF(J781&lt;&gt;1,"",IF(I781="SBJ","CB","?"))</f>
        <v> </v>
      </c>
      <c r="I781" s="26" t="str">
        <f>IF(OR(E781="",E781="!!!",F781="NEW"),"",INDEX(B780:B$2,-1+SUMPRODUCT(MAX(ROW(E780:E$2)*(E781=E780:E$2)))))</f>
        <v> </v>
      </c>
      <c r="J781" s="26" t="str">
        <f>IF(OR(E781="",E781="!!!",F781="NEW"),"",COUNTBLANK(OFFSET(A$1,,,SUMPRODUCT(MAX(ROW(E$2:E781)*(E781=E$2:E781)))))-COUNTBLANK(OFFSET(A$1,,,SUMPRODUCT(MAX(ROW(E$1:E780)*(E2=E$1:E780))))))</f>
        <v> </v>
      </c>
      <c r="K781" s="26" t="str">
        <f>IF(OR(E781="",E781="!!!",F781="NEW"),"",INDEX(J$1:J780,SUMPRODUCT(MAX(ROW(E$1:E780)*(E781=E$1:E780)))))</f>
        <v> </v>
      </c>
      <c r="L781" s="27"/>
    </row>
    <row r="782" spans="1:12">
      <c r="A782" s="20" t="s">
        <v>203</v>
      </c>
      <c r="B782" s="21" t="s">
        <v>134</v>
      </c>
      <c r="C782" s="21" t="s">
        <v>118</v>
      </c>
      <c r="D782" s="21" t="s">
        <v>119</v>
      </c>
      <c r="E782" s="22">
        <f>IF(D782="?OLD","!!!","")</f>
        <v/>
      </c>
      <c r="F782" s="23" t="str">
        <f>IF(OR(E782="",E782="!!!"),"",IF(NOT(ISNA(VLOOKUP(E782,E$1:E781,1,FALSE()))),"OLD",IF(AND(E782&lt;&gt;"",E782&lt;&gt;"!!!"),"NEW","")))</f>
        <v> </v>
      </c>
      <c r="G782" s="24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5" t="str">
        <f>IF(J782&lt;&gt;1,"",IF(I782="SBJ","CB","?"))</f>
        <v> </v>
      </c>
      <c r="I782" s="26" t="str">
        <f>IF(OR(E782="",E782="!!!",F782="NEW"),"",INDEX(B781:B$2,-1+SUMPRODUCT(MAX(ROW(E781:E$2)*(E782=E781:E$2)))))</f>
        <v> </v>
      </c>
      <c r="J782" s="26" t="str">
        <f>IF(OR(E782="",E782="!!!",F782="NEW"),"",COUNTBLANK(OFFSET(A$1,,,SUMPRODUCT(MAX(ROW(E$2:E782)*(E782=E$2:E782)))))-COUNTBLANK(OFFSET(A$1,,,SUMPRODUCT(MAX(ROW(E$1:E781)*(E2=E$1:E781))))))</f>
        <v> </v>
      </c>
      <c r="K782" s="26" t="str">
        <f>IF(OR(E782="",E782="!!!",F782="NEW"),"",INDEX(J$1:J781,SUMPRODUCT(MAX(ROW(E$1:E781)*(E782=E$1:E781)))))</f>
        <v> </v>
      </c>
      <c r="L782" s="27"/>
    </row>
    <row r="783" spans="1:12">
      <c r="A783" s="20" t="s">
        <v>459</v>
      </c>
      <c r="E783" s="22">
        <f>IF(D783="?OLD","!!!","")</f>
        <v/>
      </c>
      <c r="F783" s="23" t="str">
        <f>IF(OR(E783="",E783="!!!"),"",IF(NOT(ISNA(VLOOKUP(E783,E$1:E782,1,FALSE()))),"OLD",IF(AND(E783&lt;&gt;"",E783&lt;&gt;"!!!"),"NEW","")))</f>
        <v> </v>
      </c>
      <c r="G783" s="24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5" t="str">
        <f>IF(J783&lt;&gt;1,"",IF(I783="SBJ","CB","?"))</f>
        <v> </v>
      </c>
      <c r="I783" s="26" t="str">
        <f>IF(OR(E783="",E783="!!!",F783="NEW"),"",INDEX(B782:B$2,-1+SUMPRODUCT(MAX(ROW(E782:E$2)*(E783=E782:E$2)))))</f>
        <v> </v>
      </c>
      <c r="J783" s="26" t="str">
        <f>IF(OR(E783="",E783="!!!",F783="NEW"),"",COUNTBLANK(OFFSET(A$1,,,SUMPRODUCT(MAX(ROW(E$2:E783)*(E783=E$2:E783)))))-COUNTBLANK(OFFSET(A$1,,,SUMPRODUCT(MAX(ROW(E$1:E782)*(E2=E$1:E782))))))</f>
        <v> </v>
      </c>
      <c r="K783" s="26" t="str">
        <f>IF(OR(E783="",E783="!!!",F783="NEW"),"",INDEX(J$1:J782,SUMPRODUCT(MAX(ROW(E$1:E782)*(E783=E$1:E782)))))</f>
        <v> </v>
      </c>
      <c r="L783" s="27"/>
    </row>
    <row r="784" spans="1:12">
      <c r="A784" s="20" t="s">
        <v>341</v>
      </c>
      <c r="E784" s="22">
        <f>IF(D784="?OLD","!!!","")</f>
        <v/>
      </c>
      <c r="F784" s="23" t="str">
        <f>IF(OR(E784="",E784="!!!"),"",IF(NOT(ISNA(VLOOKUP(E784,E$1:E783,1,FALSE()))),"OLD",IF(AND(E784&lt;&gt;"",E784&lt;&gt;"!!!"),"NEW","")))</f>
        <v> </v>
      </c>
      <c r="G784" s="24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5" t="str">
        <f>IF(J784&lt;&gt;1,"",IF(I784="SBJ","CB","?"))</f>
        <v> </v>
      </c>
      <c r="I784" s="26" t="str">
        <f>IF(OR(E784="",E784="!!!",F784="NEW"),"",INDEX(B783:B$2,-1+SUMPRODUCT(MAX(ROW(E783:E$2)*(E784=E783:E$2)))))</f>
        <v> </v>
      </c>
      <c r="J784" s="26" t="str">
        <f>IF(OR(E784="",E784="!!!",F784="NEW"),"",COUNTBLANK(OFFSET(A$1,,,SUMPRODUCT(MAX(ROW(E$2:E784)*(E784=E$2:E784)))))-COUNTBLANK(OFFSET(A$1,,,SUMPRODUCT(MAX(ROW(E$1:E783)*(E2=E$1:E783))))))</f>
        <v> </v>
      </c>
      <c r="K784" s="26" t="str">
        <f>IF(OR(E784="",E784="!!!",F784="NEW"),"",INDEX(J$1:J783,SUMPRODUCT(MAX(ROW(E$1:E783)*(E784=E$1:E783)))))</f>
        <v> </v>
      </c>
      <c r="L784" s="27"/>
    </row>
    <row r="785" spans="1:12">
      <c r="A785" s="20" t="s">
        <v>333</v>
      </c>
      <c r="E785" s="22">
        <f>IF(D785="?OLD","!!!","")</f>
        <v/>
      </c>
      <c r="F785" s="23" t="str">
        <f>IF(OR(E785="",E785="!!!"),"",IF(NOT(ISNA(VLOOKUP(E785,E$1:E784,1,FALSE()))),"OLD",IF(AND(E785&lt;&gt;"",E785&lt;&gt;"!!!"),"NEW","")))</f>
        <v> </v>
      </c>
      <c r="G785" s="24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5" t="str">
        <f>IF(J785&lt;&gt;1,"",IF(I785="SBJ","CB","?"))</f>
        <v> </v>
      </c>
      <c r="I785" s="26" t="str">
        <f>IF(OR(E785="",E785="!!!",F785="NEW"),"",INDEX(B784:B$2,-1+SUMPRODUCT(MAX(ROW(E784:E$2)*(E785=E784:E$2)))))</f>
        <v> </v>
      </c>
      <c r="J785" s="26" t="str">
        <f>IF(OR(E785="",E785="!!!",F785="NEW"),"",COUNTBLANK(OFFSET(A$1,,,SUMPRODUCT(MAX(ROW(E$2:E785)*(E785=E$2:E785)))))-COUNTBLANK(OFFSET(A$1,,,SUMPRODUCT(MAX(ROW(E$1:E784)*(E2=E$1:E784))))))</f>
        <v> </v>
      </c>
      <c r="K785" s="26" t="str">
        <f>IF(OR(E785="",E785="!!!",F785="NEW"),"",INDEX(J$1:J784,SUMPRODUCT(MAX(ROW(E$1:E784)*(E785=E$1:E784)))))</f>
        <v> </v>
      </c>
      <c r="L785" s="27"/>
    </row>
    <row r="786" spans="1:12">
      <c r="A786" s="20" t="s">
        <v>456</v>
      </c>
      <c r="E786" s="22">
        <f>IF(D786="?OLD","!!!","")</f>
        <v/>
      </c>
      <c r="F786" s="23" t="str">
        <f>IF(OR(E786="",E786="!!!"),"",IF(NOT(ISNA(VLOOKUP(E786,E$1:E785,1,FALSE()))),"OLD",IF(AND(E786&lt;&gt;"",E786&lt;&gt;"!!!"),"NEW","")))</f>
        <v> </v>
      </c>
      <c r="G786" s="24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5" t="str">
        <f>IF(J786&lt;&gt;1,"",IF(I786="SBJ","CB","?"))</f>
        <v> </v>
      </c>
      <c r="I786" s="26" t="str">
        <f>IF(OR(E786="",E786="!!!",F786="NEW"),"",INDEX(B785:B$2,-1+SUMPRODUCT(MAX(ROW(E785:E$2)*(E786=E785:E$2)))))</f>
        <v> </v>
      </c>
      <c r="J786" s="26" t="str">
        <f>IF(OR(E786="",E786="!!!",F786="NEW"),"",COUNTBLANK(OFFSET(A$1,,,SUMPRODUCT(MAX(ROW(E$2:E786)*(E786=E$2:E786)))))-COUNTBLANK(OFFSET(A$1,,,SUMPRODUCT(MAX(ROW(E$1:E785)*(E2=E$1:E785))))))</f>
        <v> </v>
      </c>
      <c r="K786" s="26" t="str">
        <f>IF(OR(E786="",E786="!!!",F786="NEW"),"",INDEX(J$1:J785,SUMPRODUCT(MAX(ROW(E$1:E785)*(E786=E$1:E785)))))</f>
        <v> </v>
      </c>
      <c r="L786" s="27"/>
    </row>
    <row r="787" spans="1:12">
      <c r="A787" s="20" t="s">
        <v>127</v>
      </c>
      <c r="E787" s="22">
        <f>IF(D787="?OLD","!!!","")</f>
        <v/>
      </c>
      <c r="F787" s="23" t="str">
        <f>IF(OR(E787="",E787="!!!"),"",IF(NOT(ISNA(VLOOKUP(E787,E$1:E786,1,FALSE()))),"OLD",IF(AND(E787&lt;&gt;"",E787&lt;&gt;"!!!"),"NEW","")))</f>
        <v> </v>
      </c>
      <c r="G787" s="24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5" t="str">
        <f>IF(J787&lt;&gt;1,"",IF(I787="SBJ","CB","?"))</f>
        <v> </v>
      </c>
      <c r="I787" s="26" t="str">
        <f>IF(OR(E787="",E787="!!!",F787="NEW"),"",INDEX(B786:B$2,-1+SUMPRODUCT(MAX(ROW(E786:E$2)*(E787=E786:E$2)))))</f>
        <v> </v>
      </c>
      <c r="J787" s="26" t="str">
        <f>IF(OR(E787="",E787="!!!",F787="NEW"),"",COUNTBLANK(OFFSET(A$1,,,SUMPRODUCT(MAX(ROW(E$2:E787)*(E787=E$2:E787)))))-COUNTBLANK(OFFSET(A$1,,,SUMPRODUCT(MAX(ROW(E$1:E786)*(E2=E$1:E786))))))</f>
        <v> </v>
      </c>
      <c r="K787" s="26" t="str">
        <f>IF(OR(E787="",E787="!!!",F787="NEW"),"",INDEX(J$1:J786,SUMPRODUCT(MAX(ROW(E$1:E786)*(E787=E$1:E786)))))</f>
        <v> </v>
      </c>
      <c r="L787" s="27"/>
    </row>
    <row r="788" spans="1:12">
      <c r="A788" s="20" t="s">
        <v>460</v>
      </c>
      <c r="B788" s="21" t="s">
        <v>162</v>
      </c>
      <c r="C788" s="21" t="s">
        <v>272</v>
      </c>
      <c r="D788" s="21" t="s">
        <v>119</v>
      </c>
      <c r="E788" s="22">
        <f>IF(D788="?OLD","!!!","")</f>
        <v/>
      </c>
      <c r="F788" s="23" t="str">
        <f>IF(OR(E788="",E788="!!!"),"",IF(NOT(ISNA(VLOOKUP(E788,E$1:E787,1,FALSE()))),"OLD",IF(AND(E788&lt;&gt;"",E788&lt;&gt;"!!!"),"NEW","")))</f>
        <v> </v>
      </c>
      <c r="G788" s="24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5" t="str">
        <f>IF(J788&lt;&gt;1,"",IF(I788="SBJ","CB","?"))</f>
        <v> </v>
      </c>
      <c r="I788" s="26" t="str">
        <f>IF(OR(E788="",E788="!!!",F788="NEW"),"",INDEX(B787:B$2,-1+SUMPRODUCT(MAX(ROW(E787:E$2)*(E788=E787:E$2)))))</f>
        <v> </v>
      </c>
      <c r="J788" s="26" t="str">
        <f>IF(OR(E788="",E788="!!!",F788="NEW"),"",COUNTBLANK(OFFSET(A$1,,,SUMPRODUCT(MAX(ROW(E$2:E788)*(E788=E$2:E788)))))-COUNTBLANK(OFFSET(A$1,,,SUMPRODUCT(MAX(ROW(E$1:E787)*(E2=E$1:E787))))))</f>
        <v> </v>
      </c>
      <c r="K788" s="26" t="str">
        <f>IF(OR(E788="",E788="!!!",F788="NEW"),"",INDEX(J$1:J787,SUMPRODUCT(MAX(ROW(E$1:E787)*(E788=E$1:E787)))))</f>
        <v> </v>
      </c>
      <c r="L788" s="27"/>
    </row>
    <row r="789" spans="1:12">
      <c r="A789" s="20" t="s">
        <v>260</v>
      </c>
      <c r="B789" s="21" t="s">
        <v>151</v>
      </c>
      <c r="C789" s="21" t="s">
        <v>145</v>
      </c>
      <c r="E789" s="22">
        <f>IF(D789="?OLD","!!!","")</f>
        <v/>
      </c>
      <c r="F789" s="23" t="str">
        <f>IF(OR(E789="",E789="!!!"),"",IF(NOT(ISNA(VLOOKUP(E789,E$1:E788,1,FALSE()))),"OLD",IF(AND(E789&lt;&gt;"",E789&lt;&gt;"!!!"),"NEW","")))</f>
        <v> </v>
      </c>
      <c r="G789" s="24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5" t="str">
        <f>IF(J789&lt;&gt;1,"",IF(I789="SBJ","CB","?"))</f>
        <v> </v>
      </c>
      <c r="I789" s="26" t="str">
        <f>IF(OR(E789="",E789="!!!",F789="NEW"),"",INDEX(B788:B$2,-1+SUMPRODUCT(MAX(ROW(E788:E$2)*(E789=E788:E$2)))))</f>
        <v> </v>
      </c>
      <c r="J789" s="26" t="str">
        <f>IF(OR(E789="",E789="!!!",F789="NEW"),"",COUNTBLANK(OFFSET(A$1,,,SUMPRODUCT(MAX(ROW(E$2:E789)*(E789=E$2:E789)))))-COUNTBLANK(OFFSET(A$1,,,SUMPRODUCT(MAX(ROW(E$1:E788)*(E2=E$1:E788))))))</f>
        <v> </v>
      </c>
      <c r="K789" s="26" t="str">
        <f>IF(OR(E789="",E789="!!!",F789="NEW"),"",INDEX(J$1:J788,SUMPRODUCT(MAX(ROW(E$1:E788)*(E789=E$1:E788)))))</f>
        <v> </v>
      </c>
      <c r="L789" s="27"/>
    </row>
    <row r="790" spans="1:12">
      <c r="A790" s="20" t="s">
        <v>163</v>
      </c>
      <c r="E790" s="22">
        <f>IF(D790="?OLD","!!!","")</f>
        <v/>
      </c>
      <c r="F790" s="23" t="str">
        <f>IF(OR(E790="",E790="!!!"),"",IF(NOT(ISNA(VLOOKUP(E790,E$1:E789,1,FALSE()))),"OLD",IF(AND(E790&lt;&gt;"",E790&lt;&gt;"!!!"),"NEW","")))</f>
        <v> </v>
      </c>
      <c r="G790" s="24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5" t="str">
        <f>IF(J790&lt;&gt;1,"",IF(I790="SBJ","CB","?"))</f>
        <v> </v>
      </c>
      <c r="I790" s="26" t="str">
        <f>IF(OR(E790="",E790="!!!",F790="NEW"),"",INDEX(B789:B$2,-1+SUMPRODUCT(MAX(ROW(E789:E$2)*(E790=E789:E$2)))))</f>
        <v> </v>
      </c>
      <c r="J790" s="26" t="str">
        <f>IF(OR(E790="",E790="!!!",F790="NEW"),"",COUNTBLANK(OFFSET(A$1,,,SUMPRODUCT(MAX(ROW(E$2:E790)*(E790=E$2:E790)))))-COUNTBLANK(OFFSET(A$1,,,SUMPRODUCT(MAX(ROW(E$1:E789)*(E2=E$1:E789))))))</f>
        <v> </v>
      </c>
      <c r="K790" s="26" t="str">
        <f>IF(OR(E790="",E790="!!!",F790="NEW"),"",INDEX(J$1:J789,SUMPRODUCT(MAX(ROW(E$1:E789)*(E790=E$1:E789)))))</f>
        <v> </v>
      </c>
      <c r="L790" s="27"/>
    </row>
    <row r="791" spans="1:12">
      <c r="A791" s="20" t="s">
        <v>43</v>
      </c>
      <c r="E791" s="22">
        <f>IF(D791="?OLD","!!!","")</f>
        <v/>
      </c>
      <c r="F791" s="23" t="str">
        <f>IF(OR(E791="",E791="!!!"),"",IF(NOT(ISNA(VLOOKUP(E791,E$1:E790,1,FALSE()))),"OLD",IF(AND(E791&lt;&gt;"",E791&lt;&gt;"!!!"),"NEW","")))</f>
        <v> </v>
      </c>
      <c r="G791" s="24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5" t="str">
        <f>IF(J791&lt;&gt;1,"",IF(I791="SBJ","CB","?"))</f>
        <v> </v>
      </c>
      <c r="I791" s="26" t="str">
        <f>IF(OR(E791="",E791="!!!",F791="NEW"),"",INDEX(B790:B$2,-1+SUMPRODUCT(MAX(ROW(E790:E$2)*(E791=E790:E$2)))))</f>
        <v> </v>
      </c>
      <c r="J791" s="26" t="str">
        <f>IF(OR(E791="",E791="!!!",F791="NEW"),"",COUNTBLANK(OFFSET(A$1,,,SUMPRODUCT(MAX(ROW(E$2:E791)*(E791=E$2:E791)))))-COUNTBLANK(OFFSET(A$1,,,SUMPRODUCT(MAX(ROW(E$1:E790)*(E2=E$1:E790))))))</f>
        <v> </v>
      </c>
      <c r="K791" s="26" t="str">
        <f>IF(OR(E791="",E791="!!!",F791="NEW"),"",INDEX(J$1:J790,SUMPRODUCT(MAX(ROW(E$1:E790)*(E791=E$1:E790)))))</f>
        <v> </v>
      </c>
      <c r="L791" s="27"/>
    </row>
    <row r="792" spans="1:12">
      <c r="A792" s="20" t="s">
        <v>90</v>
      </c>
      <c r="B792" s="21" t="s">
        <v>151</v>
      </c>
      <c r="C792" s="21" t="s">
        <v>145</v>
      </c>
      <c r="E792" s="22">
        <f>IF(D792="?OLD","!!!","")</f>
        <v/>
      </c>
      <c r="F792" s="23" t="str">
        <f>IF(OR(E792="",E792="!!!"),"",IF(NOT(ISNA(VLOOKUP(E792,E$1:E791,1,FALSE()))),"OLD",IF(AND(E792&lt;&gt;"",E792&lt;&gt;"!!!"),"NEW","")))</f>
        <v> </v>
      </c>
      <c r="G792" s="24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5" t="str">
        <f>IF(J792&lt;&gt;1,"",IF(I792="SBJ","CB","?"))</f>
        <v> </v>
      </c>
      <c r="I792" s="26" t="str">
        <f>IF(OR(E792="",E792="!!!",F792="NEW"),"",INDEX(B791:B$2,-1+SUMPRODUCT(MAX(ROW(E791:E$2)*(E792=E791:E$2)))))</f>
        <v> </v>
      </c>
      <c r="J792" s="26" t="str">
        <f>IF(OR(E792="",E792="!!!",F792="NEW"),"",COUNTBLANK(OFFSET(A$1,,,SUMPRODUCT(MAX(ROW(E$2:E792)*(E792=E$2:E792)))))-COUNTBLANK(OFFSET(A$1,,,SUMPRODUCT(MAX(ROW(E$1:E791)*(E2=E$1:E791))))))</f>
        <v> </v>
      </c>
      <c r="K792" s="26" t="str">
        <f>IF(OR(E792="",E792="!!!",F792="NEW"),"",INDEX(J$1:J791,SUMPRODUCT(MAX(ROW(E$1:E791)*(E792=E$1:E791)))))</f>
        <v> </v>
      </c>
      <c r="L792" s="27"/>
    </row>
    <row r="793" spans="1:12">
      <c r="A793" s="20" t="s">
        <v>127</v>
      </c>
      <c r="E793" s="22">
        <f>IF(D793="?OLD","!!!","")</f>
        <v/>
      </c>
      <c r="F793" s="23" t="str">
        <f>IF(OR(E793="",E793="!!!"),"",IF(NOT(ISNA(VLOOKUP(E793,E$1:E792,1,FALSE()))),"OLD",IF(AND(E793&lt;&gt;"",E793&lt;&gt;"!!!"),"NEW","")))</f>
        <v> </v>
      </c>
      <c r="G793" s="24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5" t="str">
        <f>IF(J793&lt;&gt;1,"",IF(I793="SBJ","CB","?"))</f>
        <v> </v>
      </c>
      <c r="I793" s="26" t="str">
        <f>IF(OR(E793="",E793="!!!",F793="NEW"),"",INDEX(B792:B$2,-1+SUMPRODUCT(MAX(ROW(E792:E$2)*(E793=E792:E$2)))))</f>
        <v> </v>
      </c>
      <c r="J793" s="26" t="str">
        <f>IF(OR(E793="",E793="!!!",F793="NEW"),"",COUNTBLANK(OFFSET(A$1,,,SUMPRODUCT(MAX(ROW(E$2:E793)*(E793=E$2:E793)))))-COUNTBLANK(OFFSET(A$1,,,SUMPRODUCT(MAX(ROW(E$1:E792)*(E2=E$1:E792))))))</f>
        <v> </v>
      </c>
      <c r="K793" s="26" t="str">
        <f>IF(OR(E793="",E793="!!!",F793="NEW"),"",INDEX(J$1:J792,SUMPRODUCT(MAX(ROW(E$1:E792)*(E793=E$1:E792)))))</f>
        <v> </v>
      </c>
      <c r="L793" s="27"/>
    </row>
    <row r="794" spans="1:12">
      <c r="A794" s="20" t="s">
        <v>446</v>
      </c>
      <c r="B794" s="21" t="s">
        <v>139</v>
      </c>
      <c r="C794" s="21" t="s">
        <v>185</v>
      </c>
      <c r="D794" s="21" t="s">
        <v>119</v>
      </c>
      <c r="E794" s="22">
        <f>IF(D794="?OLD","!!!","")</f>
        <v/>
      </c>
      <c r="F794" s="23" t="str">
        <f>IF(OR(E794="",E794="!!!"),"",IF(NOT(ISNA(VLOOKUP(E794,E$1:E793,1,FALSE()))),"OLD",IF(AND(E794&lt;&gt;"",E794&lt;&gt;"!!!"),"NEW","")))</f>
        <v> </v>
      </c>
      <c r="G794" s="24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5" t="str">
        <f>IF(J794&lt;&gt;1,"",IF(I794="SBJ","CB","?"))</f>
        <v> </v>
      </c>
      <c r="I794" s="26" t="str">
        <f>IF(OR(E794="",E794="!!!",F794="NEW"),"",INDEX(B793:B$2,-1+SUMPRODUCT(MAX(ROW(E793:E$2)*(E794=E793:E$2)))))</f>
        <v> </v>
      </c>
      <c r="J794" s="26" t="str">
        <f>IF(OR(E794="",E794="!!!",F794="NEW"),"",COUNTBLANK(OFFSET(A$1,,,SUMPRODUCT(MAX(ROW(E$2:E794)*(E794=E$2:E794)))))-COUNTBLANK(OFFSET(A$1,,,SUMPRODUCT(MAX(ROW(E$1:E793)*(E2=E$1:E793))))))</f>
        <v> </v>
      </c>
      <c r="K794" s="26" t="str">
        <f>IF(OR(E794="",E794="!!!",F794="NEW"),"",INDEX(J$1:J793,SUMPRODUCT(MAX(ROW(E$1:E793)*(E794=E$1:E793)))))</f>
        <v> </v>
      </c>
      <c r="L794" s="27"/>
    </row>
    <row r="795" spans="1:12">
      <c r="A795" s="20" t="s">
        <v>447</v>
      </c>
      <c r="E795" s="22">
        <f>IF(D795="?OLD","!!!","")</f>
        <v/>
      </c>
      <c r="F795" s="23" t="str">
        <f>IF(OR(E795="",E795="!!!"),"",IF(NOT(ISNA(VLOOKUP(E795,E$1:E794,1,FALSE()))),"OLD",IF(AND(E795&lt;&gt;"",E795&lt;&gt;"!!!"),"NEW","")))</f>
        <v> </v>
      </c>
      <c r="G795" s="24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5" t="str">
        <f>IF(J795&lt;&gt;1,"",IF(I795="SBJ","CB","?"))</f>
        <v> </v>
      </c>
      <c r="I795" s="26" t="str">
        <f>IF(OR(E795="",E795="!!!",F795="NEW"),"",INDEX(B794:B$2,-1+SUMPRODUCT(MAX(ROW(E794:E$2)*(E795=E794:E$2)))))</f>
        <v> </v>
      </c>
      <c r="J795" s="26" t="str">
        <f>IF(OR(E795="",E795="!!!",F795="NEW"),"",COUNTBLANK(OFFSET(A$1,,,SUMPRODUCT(MAX(ROW(E$2:E795)*(E795=E$2:E795)))))-COUNTBLANK(OFFSET(A$1,,,SUMPRODUCT(MAX(ROW(E$1:E794)*(E2=E$1:E794))))))</f>
        <v> </v>
      </c>
      <c r="K795" s="26" t="str">
        <f>IF(OR(E795="",E795="!!!",F795="NEW"),"",INDEX(J$1:J794,SUMPRODUCT(MAX(ROW(E$1:E794)*(E795=E$1:E794)))))</f>
        <v> </v>
      </c>
      <c r="L795" s="27"/>
    </row>
    <row r="796" spans="1:12">
      <c r="A796" s="20" t="s">
        <v>448</v>
      </c>
      <c r="B796" s="21" t="s">
        <v>155</v>
      </c>
      <c r="C796" s="21" t="s">
        <v>118</v>
      </c>
      <c r="D796" s="21" t="s">
        <v>119</v>
      </c>
      <c r="E796" s="22">
        <f>IF(D796="?OLD","!!!","")</f>
        <v/>
      </c>
      <c r="F796" s="23" t="str">
        <f>IF(OR(E796="",E796="!!!"),"",IF(NOT(ISNA(VLOOKUP(E796,E$1:E795,1,FALSE()))),"OLD",IF(AND(E796&lt;&gt;"",E796&lt;&gt;"!!!"),"NEW","")))</f>
        <v> </v>
      </c>
      <c r="G796" s="24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5" t="str">
        <f>IF(J796&lt;&gt;1,"",IF(I796="SBJ","CB","?"))</f>
        <v> </v>
      </c>
      <c r="I796" s="26" t="str">
        <f>IF(OR(E796="",E796="!!!",F796="NEW"),"",INDEX(B795:B$2,-1+SUMPRODUCT(MAX(ROW(E795:E$2)*(E796=E795:E$2)))))</f>
        <v> </v>
      </c>
      <c r="J796" s="26" t="str">
        <f>IF(OR(E796="",E796="!!!",F796="NEW"),"",COUNTBLANK(OFFSET(A$1,,,SUMPRODUCT(MAX(ROW(E$2:E796)*(E796=E$2:E796)))))-COUNTBLANK(OFFSET(A$1,,,SUMPRODUCT(MAX(ROW(E$1:E795)*(E2=E$1:E795))))))</f>
        <v> </v>
      </c>
      <c r="K796" s="26" t="str">
        <f>IF(OR(E796="",E796="!!!",F796="NEW"),"",INDEX(J$1:J795,SUMPRODUCT(MAX(ROW(E$1:E795)*(E796=E$1:E795)))))</f>
        <v> </v>
      </c>
      <c r="L796" s="27"/>
    </row>
    <row r="797" spans="1:12">
      <c r="A797" s="20" t="s">
        <v>449</v>
      </c>
      <c r="E797" s="22">
        <f>IF(D797="?OLD","!!!","")</f>
        <v/>
      </c>
      <c r="F797" s="23" t="str">
        <f>IF(OR(E797="",E797="!!!"),"",IF(NOT(ISNA(VLOOKUP(E797,E$1:E796,1,FALSE()))),"OLD",IF(AND(E797&lt;&gt;"",E797&lt;&gt;"!!!"),"NEW","")))</f>
        <v> </v>
      </c>
      <c r="G797" s="24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5" t="str">
        <f>IF(J797&lt;&gt;1,"",IF(I797="SBJ","CB","?"))</f>
        <v> </v>
      </c>
      <c r="I797" s="26" t="str">
        <f>IF(OR(E797="",E797="!!!",F797="NEW"),"",INDEX(B796:B$2,-1+SUMPRODUCT(MAX(ROW(E796:E$2)*(E797=E796:E$2)))))</f>
        <v> </v>
      </c>
      <c r="J797" s="26" t="str">
        <f>IF(OR(E797="",E797="!!!",F797="NEW"),"",COUNTBLANK(OFFSET(A$1,,,SUMPRODUCT(MAX(ROW(E$2:E797)*(E797=E$2:E797)))))-COUNTBLANK(OFFSET(A$1,,,SUMPRODUCT(MAX(ROW(E$1:E796)*(E2=E$1:E796))))))</f>
        <v> </v>
      </c>
      <c r="K797" s="26" t="str">
        <f>IF(OR(E797="",E797="!!!",F797="NEW"),"",INDEX(J$1:J796,SUMPRODUCT(MAX(ROW(E$1:E796)*(E797=E$1:E796)))))</f>
        <v> </v>
      </c>
      <c r="L797" s="27"/>
    </row>
    <row r="798" spans="1:12">
      <c r="A798" s="20" t="s">
        <v>239</v>
      </c>
      <c r="E798" s="22">
        <f>IF(D798="?OLD","!!!","")</f>
        <v/>
      </c>
      <c r="F798" s="23" t="str">
        <f>IF(OR(E798="",E798="!!!"),"",IF(NOT(ISNA(VLOOKUP(E798,E$1:E797,1,FALSE()))),"OLD",IF(AND(E798&lt;&gt;"",E798&lt;&gt;"!!!"),"NEW","")))</f>
        <v> </v>
      </c>
      <c r="G798" s="24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5" t="str">
        <f>IF(J798&lt;&gt;1,"",IF(I798="SBJ","CB","?"))</f>
        <v> </v>
      </c>
      <c r="I798" s="26" t="str">
        <f>IF(OR(E798="",E798="!!!",F798="NEW"),"",INDEX(B797:B$2,-1+SUMPRODUCT(MAX(ROW(E797:E$2)*(E798=E797:E$2)))))</f>
        <v> </v>
      </c>
      <c r="J798" s="26" t="str">
        <f>IF(OR(E798="",E798="!!!",F798="NEW"),"",COUNTBLANK(OFFSET(A$1,,,SUMPRODUCT(MAX(ROW(E$2:E798)*(E798=E$2:E798)))))-COUNTBLANK(OFFSET(A$1,,,SUMPRODUCT(MAX(ROW(E$1:E797)*(E2=E$1:E797))))))</f>
        <v> </v>
      </c>
      <c r="K798" s="26" t="str">
        <f>IF(OR(E798="",E798="!!!",F798="NEW"),"",INDEX(J$1:J797,SUMPRODUCT(MAX(ROW(E$1:E797)*(E798=E$1:E797)))))</f>
        <v> </v>
      </c>
      <c r="L798" s="27"/>
    </row>
    <row r="799" spans="1:12">
      <c r="A799" s="20" t="s">
        <v>461</v>
      </c>
      <c r="B799" s="21" t="s">
        <v>162</v>
      </c>
      <c r="C799" s="21" t="s">
        <v>145</v>
      </c>
      <c r="E799" s="22">
        <f>IF(D799="?OLD","!!!","")</f>
        <v/>
      </c>
      <c r="F799" s="23" t="str">
        <f>IF(OR(E799="",E799="!!!"),"",IF(NOT(ISNA(VLOOKUP(E799,E$1:E798,1,FALSE()))),"OLD",IF(AND(E799&lt;&gt;"",E799&lt;&gt;"!!!"),"NEW","")))</f>
        <v> </v>
      </c>
      <c r="G799" s="24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5" t="str">
        <f>IF(J799&lt;&gt;1,"",IF(I799="SBJ","CB","?"))</f>
        <v> </v>
      </c>
      <c r="I799" s="26" t="str">
        <f>IF(OR(E799="",E799="!!!",F799="NEW"),"",INDEX(B798:B$2,-1+SUMPRODUCT(MAX(ROW(E798:E$2)*(E799=E798:E$2)))))</f>
        <v> </v>
      </c>
      <c r="J799" s="26" t="str">
        <f>IF(OR(E799="",E799="!!!",F799="NEW"),"",COUNTBLANK(OFFSET(A$1,,,SUMPRODUCT(MAX(ROW(E$2:E799)*(E799=E$2:E799)))))-COUNTBLANK(OFFSET(A$1,,,SUMPRODUCT(MAX(ROW(E$1:E798)*(E2=E$1:E798))))))</f>
        <v> </v>
      </c>
      <c r="K799" s="26" t="str">
        <f>IF(OR(E799="",E799="!!!",F799="NEW"),"",INDEX(J$1:J798,SUMPRODUCT(MAX(ROW(E$1:E798)*(E799=E$1:E798)))))</f>
        <v> </v>
      </c>
      <c r="L799" s="27"/>
    </row>
    <row r="800" spans="1:12">
      <c r="A800" s="20" t="s">
        <v>288</v>
      </c>
      <c r="E800" s="22">
        <f>IF(D800="?OLD","!!!","")</f>
        <v/>
      </c>
      <c r="F800" s="23" t="str">
        <f>IF(OR(E800="",E800="!!!"),"",IF(NOT(ISNA(VLOOKUP(E800,E$1:E799,1,FALSE()))),"OLD",IF(AND(E800&lt;&gt;"",E800&lt;&gt;"!!!"),"NEW","")))</f>
        <v> </v>
      </c>
      <c r="G800" s="24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5" t="str">
        <f>IF(J800&lt;&gt;1,"",IF(I800="SBJ","CB","?"))</f>
        <v> </v>
      </c>
      <c r="I800" s="26" t="str">
        <f>IF(OR(E800="",E800="!!!",F800="NEW"),"",INDEX(B799:B$2,-1+SUMPRODUCT(MAX(ROW(E799:E$2)*(E800=E799:E$2)))))</f>
        <v> </v>
      </c>
      <c r="J800" s="26" t="str">
        <f>IF(OR(E800="",E800="!!!",F800="NEW"),"",COUNTBLANK(OFFSET(A$1,,,SUMPRODUCT(MAX(ROW(E$2:E800)*(E800=E$2:E800)))))-COUNTBLANK(OFFSET(A$1,,,SUMPRODUCT(MAX(ROW(E$1:E799)*(E2=E$1:E799))))))</f>
        <v> </v>
      </c>
      <c r="K800" s="26" t="str">
        <f>IF(OR(E800="",E800="!!!",F800="NEW"),"",INDEX(J$1:J799,SUMPRODUCT(MAX(ROW(E$1:E799)*(E800=E$1:E799)))))</f>
        <v> </v>
      </c>
      <c r="L800" s="27"/>
    </row>
    <row r="801" spans="1:12">
      <c r="A801" s="20" t="s">
        <v>43</v>
      </c>
      <c r="E801" s="22">
        <f>IF(D801="?OLD","!!!","")</f>
        <v/>
      </c>
      <c r="F801" s="23" t="str">
        <f>IF(OR(E801="",E801="!!!"),"",IF(NOT(ISNA(VLOOKUP(E801,E$1:E800,1,FALSE()))),"OLD",IF(AND(E801&lt;&gt;"",E801&lt;&gt;"!!!"),"NEW","")))</f>
        <v> </v>
      </c>
      <c r="G801" s="24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5" t="str">
        <f>IF(J801&lt;&gt;1,"",IF(I801="SBJ","CB","?"))</f>
        <v> </v>
      </c>
      <c r="I801" s="26" t="str">
        <f>IF(OR(E801="",E801="!!!",F801="NEW"),"",INDEX(B800:B$2,-1+SUMPRODUCT(MAX(ROW(E800:E$2)*(E801=E800:E$2)))))</f>
        <v> </v>
      </c>
      <c r="J801" s="26" t="str">
        <f>IF(OR(E801="",E801="!!!",F801="NEW"),"",COUNTBLANK(OFFSET(A$1,,,SUMPRODUCT(MAX(ROW(E$2:E801)*(E801=E$2:E801)))))-COUNTBLANK(OFFSET(A$1,,,SUMPRODUCT(MAX(ROW(E$1:E800)*(E2=E$1:E800))))))</f>
        <v> </v>
      </c>
      <c r="K801" s="26" t="str">
        <f>IF(OR(E801="",E801="!!!",F801="NEW"),"",INDEX(J$1:J800,SUMPRODUCT(MAX(ROW(E$1:E800)*(E801=E$1:E800)))))</f>
        <v> </v>
      </c>
      <c r="L801" s="27"/>
    </row>
    <row r="802" spans="1:12">
      <c r="A802" s="20" t="s">
        <v>452</v>
      </c>
      <c r="E802" s="22">
        <f>IF(D802="?OLD","!!!","")</f>
        <v/>
      </c>
      <c r="F802" s="23" t="str">
        <f>IF(OR(E802="",E802="!!!"),"",IF(NOT(ISNA(VLOOKUP(E802,E$1:E801,1,FALSE()))),"OLD",IF(AND(E802&lt;&gt;"",E802&lt;&gt;"!!!"),"NEW","")))</f>
        <v> </v>
      </c>
      <c r="G802" s="24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5" t="str">
        <f>IF(J802&lt;&gt;1,"",IF(I802="SBJ","CB","?"))</f>
        <v> </v>
      </c>
      <c r="I802" s="26" t="str">
        <f>IF(OR(E802="",E802="!!!",F802="NEW"),"",INDEX(B801:B$2,-1+SUMPRODUCT(MAX(ROW(E801:E$2)*(E802=E801:E$2)))))</f>
        <v> </v>
      </c>
      <c r="J802" s="26" t="str">
        <f>IF(OR(E802="",E802="!!!",F802="NEW"),"",COUNTBLANK(OFFSET(A$1,,,SUMPRODUCT(MAX(ROW(E$2:E802)*(E802=E$2:E802)))))-COUNTBLANK(OFFSET(A$1,,,SUMPRODUCT(MAX(ROW(E$1:E801)*(E2=E$1:E801))))))</f>
        <v> </v>
      </c>
      <c r="K802" s="26" t="str">
        <f>IF(OR(E802="",E802="!!!",F802="NEW"),"",INDEX(J$1:J801,SUMPRODUCT(MAX(ROW(E$1:E801)*(E802=E$1:E801)))))</f>
        <v> </v>
      </c>
      <c r="L802" s="27"/>
    </row>
    <row r="803" spans="1:12">
      <c r="A803" s="20" t="s">
        <v>203</v>
      </c>
      <c r="B803" s="21" t="s">
        <v>134</v>
      </c>
      <c r="C803" s="21" t="s">
        <v>118</v>
      </c>
      <c r="D803" s="21" t="s">
        <v>119</v>
      </c>
      <c r="E803" s="22">
        <f>IF(D803="?OLD","!!!","")</f>
        <v/>
      </c>
      <c r="F803" s="23" t="str">
        <f>IF(OR(E803="",E803="!!!"),"",IF(NOT(ISNA(VLOOKUP(E803,E$1:E802,1,FALSE()))),"OLD",IF(AND(E803&lt;&gt;"",E803&lt;&gt;"!!!"),"NEW","")))</f>
        <v> </v>
      </c>
      <c r="G803" s="24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5" t="str">
        <f>IF(J803&lt;&gt;1,"",IF(I803="SBJ","CB","?"))</f>
        <v> </v>
      </c>
      <c r="I803" s="26" t="str">
        <f>IF(OR(E803="",E803="!!!",F803="NEW"),"",INDEX(B802:B$2,-1+SUMPRODUCT(MAX(ROW(E802:E$2)*(E803=E802:E$2)))))</f>
        <v> </v>
      </c>
      <c r="J803" s="26" t="str">
        <f>IF(OR(E803="",E803="!!!",F803="NEW"),"",COUNTBLANK(OFFSET(A$1,,,SUMPRODUCT(MAX(ROW(E$2:E803)*(E803=E$2:E803)))))-COUNTBLANK(OFFSET(A$1,,,SUMPRODUCT(MAX(ROW(E$1:E802)*(E2=E$1:E802))))))</f>
        <v> </v>
      </c>
      <c r="K803" s="26" t="str">
        <f>IF(OR(E803="",E803="!!!",F803="NEW"),"",INDEX(J$1:J802,SUMPRODUCT(MAX(ROW(E$1:E802)*(E803=E$1:E802)))))</f>
        <v> </v>
      </c>
      <c r="L803" s="27"/>
    </row>
    <row r="804" spans="1:12">
      <c r="A804" s="20" t="s">
        <v>459</v>
      </c>
      <c r="E804" s="22">
        <f>IF(D804="?OLD","!!!","")</f>
        <v/>
      </c>
      <c r="F804" s="23" t="str">
        <f>IF(OR(E804="",E804="!!!"),"",IF(NOT(ISNA(VLOOKUP(E804,E$1:E803,1,FALSE()))),"OLD",IF(AND(E804&lt;&gt;"",E804&lt;&gt;"!!!"),"NEW","")))</f>
        <v> </v>
      </c>
      <c r="G804" s="24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5" t="str">
        <f>IF(J804&lt;&gt;1,"",IF(I804="SBJ","CB","?"))</f>
        <v> </v>
      </c>
      <c r="I804" s="26" t="str">
        <f>IF(OR(E804="",E804="!!!",F804="NEW"),"",INDEX(B803:B$2,-1+SUMPRODUCT(MAX(ROW(E803:E$2)*(E804=E803:E$2)))))</f>
        <v> </v>
      </c>
      <c r="J804" s="26" t="str">
        <f>IF(OR(E804="",E804="!!!",F804="NEW"),"",COUNTBLANK(OFFSET(A$1,,,SUMPRODUCT(MAX(ROW(E$2:E804)*(E804=E$2:E804)))))-COUNTBLANK(OFFSET(A$1,,,SUMPRODUCT(MAX(ROW(E$1:E803)*(E2=E$1:E803))))))</f>
        <v> </v>
      </c>
      <c r="K804" s="26" t="str">
        <f>IF(OR(E804="",E804="!!!",F804="NEW"),"",INDEX(J$1:J803,SUMPRODUCT(MAX(ROW(E$1:E803)*(E804=E$1:E803)))))</f>
        <v> </v>
      </c>
      <c r="L804" s="27"/>
    </row>
    <row r="805" spans="1:12">
      <c r="A805" s="20" t="s">
        <v>341</v>
      </c>
      <c r="E805" s="22">
        <f>IF(D805="?OLD","!!!","")</f>
        <v/>
      </c>
      <c r="F805" s="23" t="str">
        <f>IF(OR(E805="",E805="!!!"),"",IF(NOT(ISNA(VLOOKUP(E805,E$1:E804,1,FALSE()))),"OLD",IF(AND(E805&lt;&gt;"",E805&lt;&gt;"!!!"),"NEW","")))</f>
        <v> </v>
      </c>
      <c r="G805" s="24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5" t="str">
        <f>IF(J805&lt;&gt;1,"",IF(I805="SBJ","CB","?"))</f>
        <v> </v>
      </c>
      <c r="I805" s="26" t="str">
        <f>IF(OR(E805="",E805="!!!",F805="NEW"),"",INDEX(B804:B$2,-1+SUMPRODUCT(MAX(ROW(E804:E$2)*(E805=E804:E$2)))))</f>
        <v> </v>
      </c>
      <c r="J805" s="26" t="str">
        <f>IF(OR(E805="",E805="!!!",F805="NEW"),"",COUNTBLANK(OFFSET(A$1,,,SUMPRODUCT(MAX(ROW(E$2:E805)*(E805=E$2:E805)))))-COUNTBLANK(OFFSET(A$1,,,SUMPRODUCT(MAX(ROW(E$1:E804)*(E2=E$1:E804))))))</f>
        <v> </v>
      </c>
      <c r="K805" s="26" t="str">
        <f>IF(OR(E805="",E805="!!!",F805="NEW"),"",INDEX(J$1:J804,SUMPRODUCT(MAX(ROW(E$1:E804)*(E805=E$1:E804)))))</f>
        <v> </v>
      </c>
      <c r="L805" s="27"/>
    </row>
    <row r="806" spans="1:12">
      <c r="A806" s="20" t="s">
        <v>462</v>
      </c>
      <c r="E806" s="22">
        <f>IF(D806="?OLD","!!!","")</f>
        <v/>
      </c>
      <c r="F806" s="23" t="str">
        <f>IF(OR(E806="",E806="!!!"),"",IF(NOT(ISNA(VLOOKUP(E806,E$1:E805,1,FALSE()))),"OLD",IF(AND(E806&lt;&gt;"",E806&lt;&gt;"!!!"),"NEW","")))</f>
        <v> </v>
      </c>
      <c r="G806" s="24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5" t="str">
        <f>IF(J806&lt;&gt;1,"",IF(I806="SBJ","CB","?"))</f>
        <v> </v>
      </c>
      <c r="I806" s="26" t="str">
        <f>IF(OR(E806="",E806="!!!",F806="NEW"),"",INDEX(B805:B$2,-1+SUMPRODUCT(MAX(ROW(E805:E$2)*(E806=E805:E$2)))))</f>
        <v> </v>
      </c>
      <c r="J806" s="26" t="str">
        <f>IF(OR(E806="",E806="!!!",F806="NEW"),"",COUNTBLANK(OFFSET(A$1,,,SUMPRODUCT(MAX(ROW(E$2:E806)*(E806=E$2:E806)))))-COUNTBLANK(OFFSET(A$1,,,SUMPRODUCT(MAX(ROW(E$1:E805)*(E2=E$1:E805))))))</f>
        <v> </v>
      </c>
      <c r="K806" s="26" t="str">
        <f>IF(OR(E806="",E806="!!!",F806="NEW"),"",INDEX(J$1:J805,SUMPRODUCT(MAX(ROW(E$1:E805)*(E806=E$1:E805)))))</f>
        <v> </v>
      </c>
      <c r="L806" s="27"/>
    </row>
    <row r="807" spans="1:12">
      <c r="A807" s="20" t="s">
        <v>456</v>
      </c>
      <c r="E807" s="22">
        <f>IF(D807="?OLD","!!!","")</f>
        <v/>
      </c>
      <c r="F807" s="23" t="str">
        <f>IF(OR(E807="",E807="!!!"),"",IF(NOT(ISNA(VLOOKUP(E807,E$1:E806,1,FALSE()))),"OLD",IF(AND(E807&lt;&gt;"",E807&lt;&gt;"!!!"),"NEW","")))</f>
        <v> </v>
      </c>
      <c r="G807" s="24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5" t="str">
        <f>IF(J807&lt;&gt;1,"",IF(I807="SBJ","CB","?"))</f>
        <v> </v>
      </c>
      <c r="I807" s="26" t="str">
        <f>IF(OR(E807="",E807="!!!",F807="NEW"),"",INDEX(B806:B$2,-1+SUMPRODUCT(MAX(ROW(E806:E$2)*(E807=E806:E$2)))))</f>
        <v> </v>
      </c>
      <c r="J807" s="26" t="str">
        <f>IF(OR(E807="",E807="!!!",F807="NEW"),"",COUNTBLANK(OFFSET(A$1,,,SUMPRODUCT(MAX(ROW(E$2:E807)*(E807=E$2:E807)))))-COUNTBLANK(OFFSET(A$1,,,SUMPRODUCT(MAX(ROW(E$1:E806)*(E2=E$1:E806))))))</f>
        <v> </v>
      </c>
      <c r="K807" s="26" t="str">
        <f>IF(OR(E807="",E807="!!!",F807="NEW"),"",INDEX(J$1:J806,SUMPRODUCT(MAX(ROW(E$1:E806)*(E807=E$1:E806)))))</f>
        <v> </v>
      </c>
      <c r="L807" s="27"/>
    </row>
    <row r="808" spans="1:12">
      <c r="A808" s="20" t="s">
        <v>127</v>
      </c>
      <c r="E808" s="22">
        <f>IF(D808="?OLD","!!!","")</f>
        <v/>
      </c>
      <c r="F808" s="23" t="str">
        <f>IF(OR(E808="",E808="!!!"),"",IF(NOT(ISNA(VLOOKUP(E808,E$1:E807,1,FALSE()))),"OLD",IF(AND(E808&lt;&gt;"",E808&lt;&gt;"!!!"),"NEW","")))</f>
        <v> </v>
      </c>
      <c r="G808" s="24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5" t="str">
        <f>IF(J808&lt;&gt;1,"",IF(I808="SBJ","CB","?"))</f>
        <v> </v>
      </c>
      <c r="I808" s="26" t="str">
        <f>IF(OR(E808="",E808="!!!",F808="NEW"),"",INDEX(B807:B$2,-1+SUMPRODUCT(MAX(ROW(E807:E$2)*(E808=E807:E$2)))))</f>
        <v> </v>
      </c>
      <c r="J808" s="26" t="str">
        <f>IF(OR(E808="",E808="!!!",F808="NEW"),"",COUNTBLANK(OFFSET(A$1,,,SUMPRODUCT(MAX(ROW(E$2:E808)*(E808=E$2:E808)))))-COUNTBLANK(OFFSET(A$1,,,SUMPRODUCT(MAX(ROW(E$1:E807)*(E2=E$1:E807))))))</f>
        <v> </v>
      </c>
      <c r="K808" s="26" t="str">
        <f>IF(OR(E808="",E808="!!!",F808="NEW"),"",INDEX(J$1:J807,SUMPRODUCT(MAX(ROW(E$1:E807)*(E808=E$1:E807)))))</f>
        <v> </v>
      </c>
      <c r="L808" s="27"/>
    </row>
    <row r="809" spans="1:12">
      <c r="A809" s="20" t="s">
        <v>460</v>
      </c>
      <c r="B809" s="21" t="s">
        <v>162</v>
      </c>
      <c r="C809" s="21" t="s">
        <v>272</v>
      </c>
      <c r="D809" s="21" t="s">
        <v>119</v>
      </c>
      <c r="E809" s="22">
        <f>IF(D809="?OLD","!!!","")</f>
        <v/>
      </c>
      <c r="F809" s="23" t="str">
        <f>IF(OR(E809="",E809="!!!"),"",IF(NOT(ISNA(VLOOKUP(E809,E$1:E808,1,FALSE()))),"OLD",IF(AND(E809&lt;&gt;"",E809&lt;&gt;"!!!"),"NEW","")))</f>
        <v> </v>
      </c>
      <c r="G809" s="24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5" t="str">
        <f>IF(J809&lt;&gt;1,"",IF(I809="SBJ","CB","?"))</f>
        <v> </v>
      </c>
      <c r="I809" s="26" t="str">
        <f>IF(OR(E809="",E809="!!!",F809="NEW"),"",INDEX(B808:B$2,-1+SUMPRODUCT(MAX(ROW(E808:E$2)*(E809=E808:E$2)))))</f>
        <v> </v>
      </c>
      <c r="J809" s="26" t="str">
        <f>IF(OR(E809="",E809="!!!",F809="NEW"),"",COUNTBLANK(OFFSET(A$1,,,SUMPRODUCT(MAX(ROW(E$2:E809)*(E809=E$2:E809)))))-COUNTBLANK(OFFSET(A$1,,,SUMPRODUCT(MAX(ROW(E$1:E808)*(E2=E$1:E808))))))</f>
        <v> </v>
      </c>
      <c r="K809" s="26" t="str">
        <f>IF(OR(E809="",E809="!!!",F809="NEW"),"",INDEX(J$1:J808,SUMPRODUCT(MAX(ROW(E$1:E808)*(E809=E$1:E808)))))</f>
        <v> </v>
      </c>
      <c r="L809" s="27"/>
    </row>
    <row r="810" spans="1:12">
      <c r="A810" s="20" t="s">
        <v>260</v>
      </c>
      <c r="B810" s="21" t="s">
        <v>151</v>
      </c>
      <c r="C810" s="21" t="s">
        <v>145</v>
      </c>
      <c r="E810" s="22">
        <f>IF(D810="?OLD","!!!","")</f>
        <v/>
      </c>
      <c r="F810" s="23" t="str">
        <f>IF(OR(E810="",E810="!!!"),"",IF(NOT(ISNA(VLOOKUP(E810,E$1:E809,1,FALSE()))),"OLD",IF(AND(E810&lt;&gt;"",E810&lt;&gt;"!!!"),"NEW","")))</f>
        <v> </v>
      </c>
      <c r="G810" s="24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5" t="str">
        <f>IF(J810&lt;&gt;1,"",IF(I810="SBJ","CB","?"))</f>
        <v> </v>
      </c>
      <c r="I810" s="26" t="str">
        <f>IF(OR(E810="",E810="!!!",F810="NEW"),"",INDEX(B809:B$2,-1+SUMPRODUCT(MAX(ROW(E809:E$2)*(E810=E809:E$2)))))</f>
        <v> </v>
      </c>
      <c r="J810" s="26" t="str">
        <f>IF(OR(E810="",E810="!!!",F810="NEW"),"",COUNTBLANK(OFFSET(A$1,,,SUMPRODUCT(MAX(ROW(E$2:E810)*(E810=E$2:E810)))))-COUNTBLANK(OFFSET(A$1,,,SUMPRODUCT(MAX(ROW(E$1:E809)*(E2=E$1:E809))))))</f>
        <v> </v>
      </c>
      <c r="K810" s="26" t="str">
        <f>IF(OR(E810="",E810="!!!",F810="NEW"),"",INDEX(J$1:J809,SUMPRODUCT(MAX(ROW(E$1:E809)*(E810=E$1:E809)))))</f>
        <v> </v>
      </c>
      <c r="L810" s="27"/>
    </row>
    <row r="811" spans="1:12">
      <c r="A811" s="20" t="s">
        <v>163</v>
      </c>
      <c r="E811" s="22">
        <f>IF(D811="?OLD","!!!","")</f>
        <v/>
      </c>
      <c r="F811" s="23" t="str">
        <f>IF(OR(E811="",E811="!!!"),"",IF(NOT(ISNA(VLOOKUP(E811,E$1:E810,1,FALSE()))),"OLD",IF(AND(E811&lt;&gt;"",E811&lt;&gt;"!!!"),"NEW","")))</f>
        <v> </v>
      </c>
      <c r="G811" s="24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5" t="str">
        <f>IF(J811&lt;&gt;1,"",IF(I811="SBJ","CB","?"))</f>
        <v> </v>
      </c>
      <c r="I811" s="26" t="str">
        <f>IF(OR(E811="",E811="!!!",F811="NEW"),"",INDEX(B810:B$2,-1+SUMPRODUCT(MAX(ROW(E810:E$2)*(E811=E810:E$2)))))</f>
        <v> </v>
      </c>
      <c r="J811" s="26" t="str">
        <f>IF(OR(E811="",E811="!!!",F811="NEW"),"",COUNTBLANK(OFFSET(A$1,,,SUMPRODUCT(MAX(ROW(E$2:E811)*(E811=E$2:E811)))))-COUNTBLANK(OFFSET(A$1,,,SUMPRODUCT(MAX(ROW(E$1:E810)*(E2=E$1:E810))))))</f>
        <v> </v>
      </c>
      <c r="K811" s="26" t="str">
        <f>IF(OR(E811="",E811="!!!",F811="NEW"),"",INDEX(J$1:J810,SUMPRODUCT(MAX(ROW(E$1:E810)*(E811=E$1:E810)))))</f>
        <v> </v>
      </c>
      <c r="L811" s="27"/>
    </row>
    <row r="812" spans="1:12">
      <c r="A812" s="20" t="s">
        <v>43</v>
      </c>
      <c r="E812" s="22">
        <f>IF(D812="?OLD","!!!","")</f>
        <v/>
      </c>
      <c r="F812" s="23" t="str">
        <f>IF(OR(E812="",E812="!!!"),"",IF(NOT(ISNA(VLOOKUP(E812,E$1:E811,1,FALSE()))),"OLD",IF(AND(E812&lt;&gt;"",E812&lt;&gt;"!!!"),"NEW","")))</f>
        <v> </v>
      </c>
      <c r="G812" s="24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5" t="str">
        <f>IF(J812&lt;&gt;1,"",IF(I812="SBJ","CB","?"))</f>
        <v> </v>
      </c>
      <c r="I812" s="26" t="str">
        <f>IF(OR(E812="",E812="!!!",F812="NEW"),"",INDEX(B811:B$2,-1+SUMPRODUCT(MAX(ROW(E811:E$2)*(E812=E811:E$2)))))</f>
        <v> </v>
      </c>
      <c r="J812" s="26" t="str">
        <f>IF(OR(E812="",E812="!!!",F812="NEW"),"",COUNTBLANK(OFFSET(A$1,,,SUMPRODUCT(MAX(ROW(E$2:E812)*(E812=E$2:E812)))))-COUNTBLANK(OFFSET(A$1,,,SUMPRODUCT(MAX(ROW(E$1:E811)*(E2=E$1:E811))))))</f>
        <v> </v>
      </c>
      <c r="K812" s="26" t="str">
        <f>IF(OR(E812="",E812="!!!",F812="NEW"),"",INDEX(J$1:J811,SUMPRODUCT(MAX(ROW(E$1:E811)*(E812=E$1:E811)))))</f>
        <v> </v>
      </c>
      <c r="L812" s="27"/>
    </row>
    <row r="813" spans="1:12">
      <c r="A813" s="20" t="s">
        <v>90</v>
      </c>
      <c r="B813" s="21" t="s">
        <v>125</v>
      </c>
      <c r="C813" s="21" t="s">
        <v>145</v>
      </c>
      <c r="E813" s="22">
        <f>IF(D813="?OLD","!!!","")</f>
        <v/>
      </c>
      <c r="F813" s="23" t="str">
        <f>IF(OR(E813="",E813="!!!"),"",IF(NOT(ISNA(VLOOKUP(E813,E$1:E812,1,FALSE()))),"OLD",IF(AND(E813&lt;&gt;"",E813&lt;&gt;"!!!"),"NEW","")))</f>
        <v> </v>
      </c>
      <c r="G813" s="24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5" t="str">
        <f>IF(J813&lt;&gt;1,"",IF(I813="SBJ","CB","?"))</f>
        <v> </v>
      </c>
      <c r="I813" s="26" t="str">
        <f>IF(OR(E813="",E813="!!!",F813="NEW"),"",INDEX(B812:B$2,-1+SUMPRODUCT(MAX(ROW(E812:E$2)*(E813=E812:E$2)))))</f>
        <v> </v>
      </c>
      <c r="J813" s="26" t="str">
        <f>IF(OR(E813="",E813="!!!",F813="NEW"),"",COUNTBLANK(OFFSET(A$1,,,SUMPRODUCT(MAX(ROW(E$2:E813)*(E813=E$2:E813)))))-COUNTBLANK(OFFSET(A$1,,,SUMPRODUCT(MAX(ROW(E$1:E812)*(E2=E$1:E812))))))</f>
        <v> </v>
      </c>
      <c r="K813" s="26" t="str">
        <f>IF(OR(E813="",E813="!!!",F813="NEW"),"",INDEX(J$1:J812,SUMPRODUCT(MAX(ROW(E$1:E812)*(E813=E$1:E812)))))</f>
        <v> </v>
      </c>
      <c r="L813" s="27"/>
    </row>
    <row r="814" spans="1:12">
      <c r="A814" s="20" t="s">
        <v>127</v>
      </c>
      <c r="E814" s="22">
        <f>IF(D814="?OLD","!!!","")</f>
        <v/>
      </c>
      <c r="F814" s="23" t="str">
        <f>IF(OR(E814="",E814="!!!"),"",IF(NOT(ISNA(VLOOKUP(E814,E$1:E813,1,FALSE()))),"OLD",IF(AND(E814&lt;&gt;"",E814&lt;&gt;"!!!"),"NEW","")))</f>
        <v> </v>
      </c>
      <c r="G814" s="24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5" t="str">
        <f>IF(J814&lt;&gt;1,"",IF(I814="SBJ","CB","?"))</f>
        <v> </v>
      </c>
      <c r="I814" s="26" t="str">
        <f>IF(OR(E814="",E814="!!!",F814="NEW"),"",INDEX(B813:B$2,-1+SUMPRODUCT(MAX(ROW(E813:E$2)*(E814=E813:E$2)))))</f>
        <v> </v>
      </c>
      <c r="J814" s="26" t="str">
        <f>IF(OR(E814="",E814="!!!",F814="NEW"),"",COUNTBLANK(OFFSET(A$1,,,SUMPRODUCT(MAX(ROW(E$2:E814)*(E814=E$2:E814)))))-COUNTBLANK(OFFSET(A$1,,,SUMPRODUCT(MAX(ROW(E$1:E813)*(E2=E$1:E813))))))</f>
        <v> </v>
      </c>
      <c r="K814" s="26" t="str">
        <f>IF(OR(E814="",E814="!!!",F814="NEW"),"",INDEX(J$1:J813,SUMPRODUCT(MAX(ROW(E$1:E813)*(E814=E$1:E813)))))</f>
        <v> </v>
      </c>
      <c r="L814" s="27"/>
    </row>
    <row r="815" spans="1:12">
      <c r="A815" s="20" t="s">
        <v>446</v>
      </c>
      <c r="B815" s="21" t="s">
        <v>129</v>
      </c>
      <c r="C815" s="21" t="s">
        <v>185</v>
      </c>
      <c r="D815" s="21" t="s">
        <v>119</v>
      </c>
      <c r="E815" s="22">
        <f>IF(D815="?OLD","!!!","")</f>
        <v/>
      </c>
      <c r="F815" s="23" t="str">
        <f>IF(OR(E815="",E815="!!!"),"",IF(NOT(ISNA(VLOOKUP(E815,E$1:E814,1,FALSE()))),"OLD",IF(AND(E815&lt;&gt;"",E815&lt;&gt;"!!!"),"NEW","")))</f>
        <v> </v>
      </c>
      <c r="G815" s="24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5" t="str">
        <f>IF(J815&lt;&gt;1,"",IF(I815="SBJ","CB","?"))</f>
        <v> </v>
      </c>
      <c r="I815" s="26" t="str">
        <f>IF(OR(E815="",E815="!!!",F815="NEW"),"",INDEX(B814:B$2,-1+SUMPRODUCT(MAX(ROW(E814:E$2)*(E815=E814:E$2)))))</f>
        <v> </v>
      </c>
      <c r="J815" s="26" t="str">
        <f>IF(OR(E815="",E815="!!!",F815="NEW"),"",COUNTBLANK(OFFSET(A$1,,,SUMPRODUCT(MAX(ROW(E$2:E815)*(E815=E$2:E815)))))-COUNTBLANK(OFFSET(A$1,,,SUMPRODUCT(MAX(ROW(E$1:E814)*(E2=E$1:E814))))))</f>
        <v> </v>
      </c>
      <c r="K815" s="26" t="str">
        <f>IF(OR(E815="",E815="!!!",F815="NEW"),"",INDEX(J$1:J814,SUMPRODUCT(MAX(ROW(E$1:E814)*(E815=E$1:E814)))))</f>
        <v> </v>
      </c>
      <c r="L815" s="27"/>
    </row>
    <row r="816" spans="1:12">
      <c r="A816" s="20" t="s">
        <v>447</v>
      </c>
      <c r="E816" s="22">
        <f>IF(D816="?OLD","!!!","")</f>
        <v/>
      </c>
      <c r="F816" s="23" t="str">
        <f>IF(OR(E816="",E816="!!!"),"",IF(NOT(ISNA(VLOOKUP(E816,E$1:E815,1,FALSE()))),"OLD",IF(AND(E816&lt;&gt;"",E816&lt;&gt;"!!!"),"NEW","")))</f>
        <v> </v>
      </c>
      <c r="G816" s="24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5" t="str">
        <f>IF(J816&lt;&gt;1,"",IF(I816="SBJ","CB","?"))</f>
        <v> </v>
      </c>
      <c r="I816" s="26" t="str">
        <f>IF(OR(E816="",E816="!!!",F816="NEW"),"",INDEX(B815:B$2,-1+SUMPRODUCT(MAX(ROW(E815:E$2)*(E816=E815:E$2)))))</f>
        <v> </v>
      </c>
      <c r="J816" s="26" t="str">
        <f>IF(OR(E816="",E816="!!!",F816="NEW"),"",COUNTBLANK(OFFSET(A$1,,,SUMPRODUCT(MAX(ROW(E$2:E816)*(E816=E$2:E816)))))-COUNTBLANK(OFFSET(A$1,,,SUMPRODUCT(MAX(ROW(E$1:E815)*(E2=E$1:E815))))))</f>
        <v> </v>
      </c>
      <c r="K816" s="26" t="str">
        <f>IF(OR(E816="",E816="!!!",F816="NEW"),"",INDEX(J$1:J815,SUMPRODUCT(MAX(ROW(E$1:E815)*(E816=E$1:E815)))))</f>
        <v> </v>
      </c>
      <c r="L816" s="27"/>
    </row>
    <row r="817" spans="1:12">
      <c r="A817" s="20" t="s">
        <v>448</v>
      </c>
      <c r="B817" s="21" t="s">
        <v>134</v>
      </c>
      <c r="C817" s="21" t="s">
        <v>118</v>
      </c>
      <c r="D817" s="21" t="s">
        <v>119</v>
      </c>
      <c r="E817" s="22">
        <f>IF(D817="?OLD","!!!","")</f>
        <v/>
      </c>
      <c r="F817" s="23" t="str">
        <f>IF(OR(E817="",E817="!!!"),"",IF(NOT(ISNA(VLOOKUP(E817,E$1:E816,1,FALSE()))),"OLD",IF(AND(E817&lt;&gt;"",E817&lt;&gt;"!!!"),"NEW","")))</f>
        <v> </v>
      </c>
      <c r="G817" s="24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5" t="str">
        <f>IF(J817&lt;&gt;1,"",IF(I817="SBJ","CB","?"))</f>
        <v> </v>
      </c>
      <c r="I817" s="26" t="str">
        <f>IF(OR(E817="",E817="!!!",F817="NEW"),"",INDEX(B816:B$2,-1+SUMPRODUCT(MAX(ROW(E816:E$2)*(E817=E816:E$2)))))</f>
        <v> </v>
      </c>
      <c r="J817" s="26" t="str">
        <f>IF(OR(E817="",E817="!!!",F817="NEW"),"",COUNTBLANK(OFFSET(A$1,,,SUMPRODUCT(MAX(ROW(E$2:E817)*(E817=E$2:E817)))))-COUNTBLANK(OFFSET(A$1,,,SUMPRODUCT(MAX(ROW(E$1:E816)*(E2=E$1:E816))))))</f>
        <v> </v>
      </c>
      <c r="K817" s="26" t="str">
        <f>IF(OR(E817="",E817="!!!",F817="NEW"),"",INDEX(J$1:J816,SUMPRODUCT(MAX(ROW(E$1:E816)*(E817=E$1:E816)))))</f>
        <v> </v>
      </c>
      <c r="L817" s="27"/>
    </row>
    <row r="818" spans="1:12">
      <c r="A818" s="20" t="s">
        <v>449</v>
      </c>
      <c r="E818" s="22">
        <f>IF(D818="?OLD","!!!","")</f>
        <v/>
      </c>
      <c r="F818" s="23" t="str">
        <f>IF(OR(E818="",E818="!!!"),"",IF(NOT(ISNA(VLOOKUP(E818,E$1:E817,1,FALSE()))),"OLD",IF(AND(E818&lt;&gt;"",E818&lt;&gt;"!!!"),"NEW","")))</f>
        <v> </v>
      </c>
      <c r="G818" s="24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5" t="str">
        <f>IF(J818&lt;&gt;1,"",IF(I818="SBJ","CB","?"))</f>
        <v> </v>
      </c>
      <c r="I818" s="26" t="str">
        <f>IF(OR(E818="",E818="!!!",F818="NEW"),"",INDEX(B817:B$2,-1+SUMPRODUCT(MAX(ROW(E817:E$2)*(E818=E817:E$2)))))</f>
        <v> </v>
      </c>
      <c r="J818" s="26" t="str">
        <f>IF(OR(E818="",E818="!!!",F818="NEW"),"",COUNTBLANK(OFFSET(A$1,,,SUMPRODUCT(MAX(ROW(E$2:E818)*(E818=E$2:E818)))))-COUNTBLANK(OFFSET(A$1,,,SUMPRODUCT(MAX(ROW(E$1:E817)*(E2=E$1:E817))))))</f>
        <v> </v>
      </c>
      <c r="K818" s="26" t="str">
        <f>IF(OR(E818="",E818="!!!",F818="NEW"),"",INDEX(J$1:J817,SUMPRODUCT(MAX(ROW(E$1:E817)*(E818=E$1:E817)))))</f>
        <v> </v>
      </c>
      <c r="L818" s="27"/>
    </row>
    <row r="819" spans="1:12">
      <c r="A819" s="20" t="s">
        <v>239</v>
      </c>
      <c r="E819" s="22">
        <f>IF(D819="?OLD","!!!","")</f>
        <v/>
      </c>
      <c r="F819" s="23" t="str">
        <f>IF(OR(E819="",E819="!!!"),"",IF(NOT(ISNA(VLOOKUP(E819,E$1:E818,1,FALSE()))),"OLD",IF(AND(E819&lt;&gt;"",E819&lt;&gt;"!!!"),"NEW","")))</f>
        <v> </v>
      </c>
      <c r="G819" s="24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5" t="str">
        <f>IF(J819&lt;&gt;1,"",IF(I819="SBJ","CB","?"))</f>
        <v> </v>
      </c>
      <c r="I819" s="26" t="str">
        <f>IF(OR(E819="",E819="!!!",F819="NEW"),"",INDEX(B818:B$2,-1+SUMPRODUCT(MAX(ROW(E818:E$2)*(E819=E818:E$2)))))</f>
        <v> </v>
      </c>
      <c r="J819" s="26" t="str">
        <f>IF(OR(E819="",E819="!!!",F819="NEW"),"",COUNTBLANK(OFFSET(A$1,,,SUMPRODUCT(MAX(ROW(E$2:E819)*(E819=E$2:E819)))))-COUNTBLANK(OFFSET(A$1,,,SUMPRODUCT(MAX(ROW(E$1:E818)*(E2=E$1:E818))))))</f>
        <v> </v>
      </c>
      <c r="K819" s="26" t="str">
        <f>IF(OR(E819="",E819="!!!",F819="NEW"),"",INDEX(J$1:J818,SUMPRODUCT(MAX(ROW(E$1:E818)*(E819=E$1:E818)))))</f>
        <v> </v>
      </c>
      <c r="L819" s="27"/>
    </row>
    <row r="820" spans="1:12">
      <c r="A820" s="20" t="s">
        <v>463</v>
      </c>
      <c r="B820" s="21" t="s">
        <v>162</v>
      </c>
      <c r="C820" s="21" t="s">
        <v>145</v>
      </c>
      <c r="E820" s="22">
        <f>IF(D820="?OLD","!!!","")</f>
        <v/>
      </c>
      <c r="F820" s="23" t="str">
        <f>IF(OR(E820="",E820="!!!"),"",IF(NOT(ISNA(VLOOKUP(E820,E$1:E819,1,FALSE()))),"OLD",IF(AND(E820&lt;&gt;"",E820&lt;&gt;"!!!"),"NEW","")))</f>
        <v> </v>
      </c>
      <c r="G820" s="24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5" t="str">
        <f>IF(J820&lt;&gt;1,"",IF(I820="SBJ","CB","?"))</f>
        <v> </v>
      </c>
      <c r="I820" s="26" t="str">
        <f>IF(OR(E820="",E820="!!!",F820="NEW"),"",INDEX(B819:B$2,-1+SUMPRODUCT(MAX(ROW(E819:E$2)*(E820=E819:E$2)))))</f>
        <v> </v>
      </c>
      <c r="J820" s="26" t="str">
        <f>IF(OR(E820="",E820="!!!",F820="NEW"),"",COUNTBLANK(OFFSET(A$1,,,SUMPRODUCT(MAX(ROW(E$2:E820)*(E820=E$2:E820)))))-COUNTBLANK(OFFSET(A$1,,,SUMPRODUCT(MAX(ROW(E$1:E819)*(E2=E$1:E819))))))</f>
        <v> </v>
      </c>
      <c r="K820" s="26" t="str">
        <f>IF(OR(E820="",E820="!!!",F820="NEW"),"",INDEX(J$1:J819,SUMPRODUCT(MAX(ROW(E$1:E819)*(E820=E$1:E819)))))</f>
        <v> </v>
      </c>
      <c r="L820" s="27"/>
    </row>
    <row r="821" spans="1:12">
      <c r="A821" s="20" t="s">
        <v>288</v>
      </c>
      <c r="E821" s="22">
        <f>IF(D821="?OLD","!!!","")</f>
        <v/>
      </c>
      <c r="F821" s="23" t="str">
        <f>IF(OR(E821="",E821="!!!"),"",IF(NOT(ISNA(VLOOKUP(E821,E$1:E820,1,FALSE()))),"OLD",IF(AND(E821&lt;&gt;"",E821&lt;&gt;"!!!"),"NEW","")))</f>
        <v> </v>
      </c>
      <c r="G821" s="24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5" t="str">
        <f>IF(J821&lt;&gt;1,"",IF(I821="SBJ","CB","?"))</f>
        <v> </v>
      </c>
      <c r="I821" s="26" t="str">
        <f>IF(OR(E821="",E821="!!!",F821="NEW"),"",INDEX(B820:B$2,-1+SUMPRODUCT(MAX(ROW(E820:E$2)*(E821=E820:E$2)))))</f>
        <v> </v>
      </c>
      <c r="J821" s="26" t="str">
        <f>IF(OR(E821="",E821="!!!",F821="NEW"),"",COUNTBLANK(OFFSET(A$1,,,SUMPRODUCT(MAX(ROW(E$2:E821)*(E821=E$2:E821)))))-COUNTBLANK(OFFSET(A$1,,,SUMPRODUCT(MAX(ROW(E$1:E820)*(E2=E$1:E820))))))</f>
        <v> </v>
      </c>
      <c r="K821" s="26" t="str">
        <f>IF(OR(E821="",E821="!!!",F821="NEW"),"",INDEX(J$1:J820,SUMPRODUCT(MAX(ROW(E$1:E820)*(E821=E$1:E820)))))</f>
        <v> </v>
      </c>
      <c r="L821" s="27"/>
    </row>
    <row r="822" spans="1:12">
      <c r="A822" s="20" t="s">
        <v>43</v>
      </c>
      <c r="E822" s="22">
        <f>IF(D822="?OLD","!!!","")</f>
        <v/>
      </c>
      <c r="F822" s="23" t="str">
        <f>IF(OR(E822="",E822="!!!"),"",IF(NOT(ISNA(VLOOKUP(E822,E$1:E821,1,FALSE()))),"OLD",IF(AND(E822&lt;&gt;"",E822&lt;&gt;"!!!"),"NEW","")))</f>
        <v> </v>
      </c>
      <c r="G822" s="24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5" t="str">
        <f>IF(J822&lt;&gt;1,"",IF(I822="SBJ","CB","?"))</f>
        <v> </v>
      </c>
      <c r="I822" s="26" t="str">
        <f>IF(OR(E822="",E822="!!!",F822="NEW"),"",INDEX(B821:B$2,-1+SUMPRODUCT(MAX(ROW(E821:E$2)*(E822=E821:E$2)))))</f>
        <v> </v>
      </c>
      <c r="J822" s="26" t="str">
        <f>IF(OR(E822="",E822="!!!",F822="NEW"),"",COUNTBLANK(OFFSET(A$1,,,SUMPRODUCT(MAX(ROW(E$2:E822)*(E822=E$2:E822)))))-COUNTBLANK(OFFSET(A$1,,,SUMPRODUCT(MAX(ROW(E$1:E821)*(E2=E$1:E821))))))</f>
        <v> </v>
      </c>
      <c r="K822" s="26" t="str">
        <f>IF(OR(E822="",E822="!!!",F822="NEW"),"",INDEX(J$1:J821,SUMPRODUCT(MAX(ROW(E$1:E821)*(E822=E$1:E821)))))</f>
        <v> </v>
      </c>
      <c r="L822" s="27"/>
    </row>
    <row r="823" spans="1:12">
      <c r="A823" s="20" t="s">
        <v>452</v>
      </c>
      <c r="E823" s="22">
        <f>IF(D823="?OLD","!!!","")</f>
        <v/>
      </c>
      <c r="F823" s="23" t="str">
        <f>IF(OR(E823="",E823="!!!"),"",IF(NOT(ISNA(VLOOKUP(E823,E$1:E822,1,FALSE()))),"OLD",IF(AND(E823&lt;&gt;"",E823&lt;&gt;"!!!"),"NEW","")))</f>
        <v> </v>
      </c>
      <c r="G823" s="24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5" t="str">
        <f>IF(J823&lt;&gt;1,"",IF(I823="SBJ","CB","?"))</f>
        <v> </v>
      </c>
      <c r="I823" s="26" t="str">
        <f>IF(OR(E823="",E823="!!!",F823="NEW"),"",INDEX(B822:B$2,-1+SUMPRODUCT(MAX(ROW(E822:E$2)*(E823=E822:E$2)))))</f>
        <v> </v>
      </c>
      <c r="J823" s="26" t="str">
        <f>IF(OR(E823="",E823="!!!",F823="NEW"),"",COUNTBLANK(OFFSET(A$1,,,SUMPRODUCT(MAX(ROW(E$2:E823)*(E823=E$2:E823)))))-COUNTBLANK(OFFSET(A$1,,,SUMPRODUCT(MAX(ROW(E$1:E822)*(E2=E$1:E822))))))</f>
        <v> </v>
      </c>
      <c r="K823" s="26" t="str">
        <f>IF(OR(E823="",E823="!!!",F823="NEW"),"",INDEX(J$1:J822,SUMPRODUCT(MAX(ROW(E$1:E822)*(E823=E$1:E822)))))</f>
        <v> </v>
      </c>
      <c r="L823" s="27"/>
    </row>
    <row r="824" spans="1:12">
      <c r="A824" s="20" t="s">
        <v>203</v>
      </c>
      <c r="B824" s="21" t="s">
        <v>129</v>
      </c>
      <c r="C824" s="21" t="s">
        <v>118</v>
      </c>
      <c r="D824" s="21" t="s">
        <v>119</v>
      </c>
      <c r="E824" s="22">
        <f>IF(D824="?OLD","!!!","")</f>
        <v/>
      </c>
      <c r="F824" s="23" t="str">
        <f>IF(OR(E824="",E824="!!!"),"",IF(NOT(ISNA(VLOOKUP(E824,E$1:E823,1,FALSE()))),"OLD",IF(AND(E824&lt;&gt;"",E824&lt;&gt;"!!!"),"NEW","")))</f>
        <v> </v>
      </c>
      <c r="G824" s="24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5" t="str">
        <f>IF(J824&lt;&gt;1,"",IF(I824="SBJ","CB","?"))</f>
        <v> </v>
      </c>
      <c r="I824" s="26" t="str">
        <f>IF(OR(E824="",E824="!!!",F824="NEW"),"",INDEX(B823:B$2,-1+SUMPRODUCT(MAX(ROW(E823:E$2)*(E824=E823:E$2)))))</f>
        <v> </v>
      </c>
      <c r="J824" s="26" t="str">
        <f>IF(OR(E824="",E824="!!!",F824="NEW"),"",COUNTBLANK(OFFSET(A$1,,,SUMPRODUCT(MAX(ROW(E$2:E824)*(E824=E$2:E824)))))-COUNTBLANK(OFFSET(A$1,,,SUMPRODUCT(MAX(ROW(E$1:E823)*(E2=E$1:E823))))))</f>
        <v> </v>
      </c>
      <c r="K824" s="26" t="str">
        <f>IF(OR(E824="",E824="!!!",F824="NEW"),"",INDEX(J$1:J823,SUMPRODUCT(MAX(ROW(E$1:E823)*(E824=E$1:E823)))))</f>
        <v> </v>
      </c>
      <c r="L824" s="27"/>
    </row>
    <row r="825" spans="1:12">
      <c r="A825" s="20" t="s">
        <v>459</v>
      </c>
      <c r="E825" s="22">
        <f>IF(D825="?OLD","!!!","")</f>
        <v/>
      </c>
      <c r="F825" s="23" t="str">
        <f>IF(OR(E825="",E825="!!!"),"",IF(NOT(ISNA(VLOOKUP(E825,E$1:E824,1,FALSE()))),"OLD",IF(AND(E825&lt;&gt;"",E825&lt;&gt;"!!!"),"NEW","")))</f>
        <v> </v>
      </c>
      <c r="G825" s="24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5" t="str">
        <f>IF(J825&lt;&gt;1,"",IF(I825="SBJ","CB","?"))</f>
        <v> </v>
      </c>
      <c r="I825" s="26" t="str">
        <f>IF(OR(E825="",E825="!!!",F825="NEW"),"",INDEX(B824:B$2,-1+SUMPRODUCT(MAX(ROW(E824:E$2)*(E825=E824:E$2)))))</f>
        <v> </v>
      </c>
      <c r="J825" s="26" t="str">
        <f>IF(OR(E825="",E825="!!!",F825="NEW"),"",COUNTBLANK(OFFSET(A$1,,,SUMPRODUCT(MAX(ROW(E$2:E825)*(E825=E$2:E825)))))-COUNTBLANK(OFFSET(A$1,,,SUMPRODUCT(MAX(ROW(E$1:E824)*(E2=E$1:E824))))))</f>
        <v> </v>
      </c>
      <c r="K825" s="26" t="str">
        <f>IF(OR(E825="",E825="!!!",F825="NEW"),"",INDEX(J$1:J824,SUMPRODUCT(MAX(ROW(E$1:E824)*(E825=E$1:E824)))))</f>
        <v> </v>
      </c>
      <c r="L825" s="27"/>
    </row>
    <row r="826" spans="1:12">
      <c r="A826" s="20" t="s">
        <v>341</v>
      </c>
      <c r="E826" s="22">
        <f>IF(D826="?OLD","!!!","")</f>
        <v/>
      </c>
      <c r="F826" s="23" t="str">
        <f>IF(OR(E826="",E826="!!!"),"",IF(NOT(ISNA(VLOOKUP(E826,E$1:E825,1,FALSE()))),"OLD",IF(AND(E826&lt;&gt;"",E826&lt;&gt;"!!!"),"NEW","")))</f>
        <v> </v>
      </c>
      <c r="G826" s="24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5" t="str">
        <f>IF(J826&lt;&gt;1,"",IF(I826="SBJ","CB","?"))</f>
        <v> </v>
      </c>
      <c r="I826" s="26" t="str">
        <f>IF(OR(E826="",E826="!!!",F826="NEW"),"",INDEX(B825:B$2,-1+SUMPRODUCT(MAX(ROW(E825:E$2)*(E826=E825:E$2)))))</f>
        <v> </v>
      </c>
      <c r="J826" s="26" t="str">
        <f>IF(OR(E826="",E826="!!!",F826="NEW"),"",COUNTBLANK(OFFSET(A$1,,,SUMPRODUCT(MAX(ROW(E$2:E826)*(E826=E$2:E826)))))-COUNTBLANK(OFFSET(A$1,,,SUMPRODUCT(MAX(ROW(E$1:E825)*(E2=E$1:E825))))))</f>
        <v> </v>
      </c>
      <c r="K826" s="26" t="str">
        <f>IF(OR(E826="",E826="!!!",F826="NEW"),"",INDEX(J$1:J825,SUMPRODUCT(MAX(ROW(E$1:E825)*(E826=E$1:E825)))))</f>
        <v> </v>
      </c>
      <c r="L826" s="27"/>
    </row>
    <row r="827" spans="1:12">
      <c r="A827" s="20" t="s">
        <v>140</v>
      </c>
      <c r="E827" s="22">
        <f>IF(D827="?OLD","!!!","")</f>
        <v/>
      </c>
      <c r="F827" s="23" t="str">
        <f>IF(OR(E827="",E827="!!!"),"",IF(NOT(ISNA(VLOOKUP(E827,E$1:E826,1,FALSE()))),"OLD",IF(AND(E827&lt;&gt;"",E827&lt;&gt;"!!!"),"NEW","")))</f>
        <v> </v>
      </c>
      <c r="G827" s="24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5" t="str">
        <f>IF(J827&lt;&gt;1,"",IF(I827="SBJ","CB","?"))</f>
        <v> </v>
      </c>
      <c r="I827" s="26" t="str">
        <f>IF(OR(E827="",E827="!!!",F827="NEW"),"",INDEX(B826:B$2,-1+SUMPRODUCT(MAX(ROW(E826:E$2)*(E827=E826:E$2)))))</f>
        <v> </v>
      </c>
      <c r="J827" s="26" t="str">
        <f>IF(OR(E827="",E827="!!!",F827="NEW"),"",COUNTBLANK(OFFSET(A$1,,,SUMPRODUCT(MAX(ROW(E$2:E827)*(E827=E$2:E827)))))-COUNTBLANK(OFFSET(A$1,,,SUMPRODUCT(MAX(ROW(E$1:E826)*(E2=E$1:E826))))))</f>
        <v> </v>
      </c>
      <c r="K827" s="26" t="str">
        <f>IF(OR(E827="",E827="!!!",F827="NEW"),"",INDEX(J$1:J826,SUMPRODUCT(MAX(ROW(E$1:E826)*(E827=E$1:E826)))))</f>
        <v> </v>
      </c>
      <c r="L827" s="27"/>
    </row>
    <row r="828" spans="1:12">
      <c r="A828" s="20" t="s">
        <v>456</v>
      </c>
      <c r="E828" s="22">
        <f>IF(D828="?OLD","!!!","")</f>
        <v/>
      </c>
      <c r="F828" s="23" t="str">
        <f>IF(OR(E828="",E828="!!!"),"",IF(NOT(ISNA(VLOOKUP(E828,E$1:E827,1,FALSE()))),"OLD",IF(AND(E828&lt;&gt;"",E828&lt;&gt;"!!!"),"NEW","")))</f>
        <v> </v>
      </c>
      <c r="G828" s="24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5" t="str">
        <f>IF(J828&lt;&gt;1,"",IF(I828="SBJ","CB","?"))</f>
        <v> </v>
      </c>
      <c r="I828" s="26" t="str">
        <f>IF(OR(E828="",E828="!!!",F828="NEW"),"",INDEX(B827:B$2,-1+SUMPRODUCT(MAX(ROW(E827:E$2)*(E828=E827:E$2)))))</f>
        <v> </v>
      </c>
      <c r="J828" s="26" t="str">
        <f>IF(OR(E828="",E828="!!!",F828="NEW"),"",COUNTBLANK(OFFSET(A$1,,,SUMPRODUCT(MAX(ROW(E$2:E828)*(E828=E$2:E828)))))-COUNTBLANK(OFFSET(A$1,,,SUMPRODUCT(MAX(ROW(E$1:E827)*(E2=E$1:E827))))))</f>
        <v> </v>
      </c>
      <c r="K828" s="26" t="str">
        <f>IF(OR(E828="",E828="!!!",F828="NEW"),"",INDEX(J$1:J827,SUMPRODUCT(MAX(ROW(E$1:E827)*(E828=E$1:E827)))))</f>
        <v> </v>
      </c>
      <c r="L828" s="27"/>
    </row>
    <row r="829" spans="1:12">
      <c r="A829" s="20" t="s">
        <v>127</v>
      </c>
      <c r="E829" s="22">
        <f>IF(D829="?OLD","!!!","")</f>
        <v/>
      </c>
      <c r="F829" s="23" t="str">
        <f>IF(OR(E829="",E829="!!!"),"",IF(NOT(ISNA(VLOOKUP(E829,E$1:E828,1,FALSE()))),"OLD",IF(AND(E829&lt;&gt;"",E829&lt;&gt;"!!!"),"NEW","")))</f>
        <v> </v>
      </c>
      <c r="G829" s="24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5" t="str">
        <f>IF(J829&lt;&gt;1,"",IF(I829="SBJ","CB","?"))</f>
        <v> </v>
      </c>
      <c r="I829" s="26" t="str">
        <f>IF(OR(E829="",E829="!!!",F829="NEW"),"",INDEX(B828:B$2,-1+SUMPRODUCT(MAX(ROW(E828:E$2)*(E829=E828:E$2)))))</f>
        <v> </v>
      </c>
      <c r="J829" s="26" t="str">
        <f>IF(OR(E829="",E829="!!!",F829="NEW"),"",COUNTBLANK(OFFSET(A$1,,,SUMPRODUCT(MAX(ROW(E$2:E829)*(E829=E$2:E829)))))-COUNTBLANK(OFFSET(A$1,,,SUMPRODUCT(MAX(ROW(E$1:E828)*(E2=E$1:E828))))))</f>
        <v> </v>
      </c>
      <c r="K829" s="26" t="str">
        <f>IF(OR(E829="",E829="!!!",F829="NEW"),"",INDEX(J$1:J828,SUMPRODUCT(MAX(ROW(E$1:E828)*(E829=E$1:E828)))))</f>
        <v> </v>
      </c>
      <c r="L829" s="27"/>
    </row>
    <row r="830" spans="1:12">
      <c r="A830" s="20" t="s">
        <v>460</v>
      </c>
      <c r="B830" s="21" t="s">
        <v>162</v>
      </c>
      <c r="C830" s="21" t="s">
        <v>272</v>
      </c>
      <c r="D830" s="21" t="s">
        <v>119</v>
      </c>
      <c r="E830" s="22">
        <f>IF(D830="?OLD","!!!","")</f>
        <v/>
      </c>
      <c r="F830" s="23" t="str">
        <f>IF(OR(E830="",E830="!!!"),"",IF(NOT(ISNA(VLOOKUP(E830,E$1:E829,1,FALSE()))),"OLD",IF(AND(E830&lt;&gt;"",E830&lt;&gt;"!!!"),"NEW","")))</f>
        <v> </v>
      </c>
      <c r="G830" s="24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5" t="str">
        <f>IF(J830&lt;&gt;1,"",IF(I830="SBJ","CB","?"))</f>
        <v> </v>
      </c>
      <c r="I830" s="26" t="str">
        <f>IF(OR(E830="",E830="!!!",F830="NEW"),"",INDEX(B829:B$2,-1+SUMPRODUCT(MAX(ROW(E829:E$2)*(E830=E829:E$2)))))</f>
        <v> </v>
      </c>
      <c r="J830" s="26" t="str">
        <f>IF(OR(E830="",E830="!!!",F830="NEW"),"",COUNTBLANK(OFFSET(A$1,,,SUMPRODUCT(MAX(ROW(E$2:E830)*(E830=E$2:E830)))))-COUNTBLANK(OFFSET(A$1,,,SUMPRODUCT(MAX(ROW(E$1:E829)*(E2=E$1:E829))))))</f>
        <v> </v>
      </c>
      <c r="K830" s="26" t="str">
        <f>IF(OR(E830="",E830="!!!",F830="NEW"),"",INDEX(J$1:J829,SUMPRODUCT(MAX(ROW(E$1:E829)*(E830=E$1:E829)))))</f>
        <v> </v>
      </c>
      <c r="L830" s="27"/>
    </row>
    <row r="831" spans="1:12">
      <c r="A831" s="20" t="s">
        <v>260</v>
      </c>
      <c r="B831" s="21" t="s">
        <v>129</v>
      </c>
      <c r="C831" s="21" t="s">
        <v>145</v>
      </c>
      <c r="E831" s="22">
        <f>IF(D831="?OLD","!!!","")</f>
        <v/>
      </c>
      <c r="F831" s="23" t="str">
        <f>IF(OR(E831="",E831="!!!"),"",IF(NOT(ISNA(VLOOKUP(E831,E$1:E830,1,FALSE()))),"OLD",IF(AND(E831&lt;&gt;"",E831&lt;&gt;"!!!"),"NEW","")))</f>
        <v> </v>
      </c>
      <c r="G831" s="24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5" t="str">
        <f>IF(J831&lt;&gt;1,"",IF(I831="SBJ","CB","?"))</f>
        <v> </v>
      </c>
      <c r="I831" s="26" t="str">
        <f>IF(OR(E831="",E831="!!!",F831="NEW"),"",INDEX(B830:B$2,-1+SUMPRODUCT(MAX(ROW(E830:E$2)*(E831=E830:E$2)))))</f>
        <v> </v>
      </c>
      <c r="J831" s="26" t="str">
        <f>IF(OR(E831="",E831="!!!",F831="NEW"),"",COUNTBLANK(OFFSET(A$1,,,SUMPRODUCT(MAX(ROW(E$2:E831)*(E831=E$2:E831)))))-COUNTBLANK(OFFSET(A$1,,,SUMPRODUCT(MAX(ROW(E$1:E830)*(E2=E$1:E830))))))</f>
        <v> </v>
      </c>
      <c r="K831" s="26" t="str">
        <f>IF(OR(E831="",E831="!!!",F831="NEW"),"",INDEX(J$1:J830,SUMPRODUCT(MAX(ROW(E$1:E830)*(E831=E$1:E830)))))</f>
        <v> </v>
      </c>
      <c r="L831" s="27"/>
    </row>
    <row r="832" spans="1:12">
      <c r="A832" s="20" t="s">
        <v>163</v>
      </c>
      <c r="E832" s="22">
        <f>IF(D832="?OLD","!!!","")</f>
        <v/>
      </c>
      <c r="F832" s="23" t="str">
        <f>IF(OR(E832="",E832="!!!"),"",IF(NOT(ISNA(VLOOKUP(E832,E$1:E831,1,FALSE()))),"OLD",IF(AND(E832&lt;&gt;"",E832&lt;&gt;"!!!"),"NEW","")))</f>
        <v> </v>
      </c>
      <c r="G832" s="24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5" t="str">
        <f>IF(J832&lt;&gt;1,"",IF(I832="SBJ","CB","?"))</f>
        <v> </v>
      </c>
      <c r="I832" s="26" t="str">
        <f>IF(OR(E832="",E832="!!!",F832="NEW"),"",INDEX(B831:B$2,-1+SUMPRODUCT(MAX(ROW(E831:E$2)*(E832=E831:E$2)))))</f>
        <v> </v>
      </c>
      <c r="J832" s="26" t="str">
        <f>IF(OR(E832="",E832="!!!",F832="NEW"),"",COUNTBLANK(OFFSET(A$1,,,SUMPRODUCT(MAX(ROW(E$2:E832)*(E832=E$2:E832)))))-COUNTBLANK(OFFSET(A$1,,,SUMPRODUCT(MAX(ROW(E$1:E831)*(E2=E$1:E831))))))</f>
        <v> </v>
      </c>
      <c r="K832" s="26" t="str">
        <f>IF(OR(E832="",E832="!!!",F832="NEW"),"",INDEX(J$1:J831,SUMPRODUCT(MAX(ROW(E$1:E831)*(E832=E$1:E831)))))</f>
        <v> </v>
      </c>
      <c r="L832" s="27"/>
    </row>
    <row r="833" spans="1:12">
      <c r="A833" s="20" t="s">
        <v>43</v>
      </c>
      <c r="E833" s="22">
        <f>IF(D833="?OLD","!!!","")</f>
        <v/>
      </c>
      <c r="F833" s="23" t="str">
        <f>IF(OR(E833="",E833="!!!"),"",IF(NOT(ISNA(VLOOKUP(E833,E$1:E832,1,FALSE()))),"OLD",IF(AND(E833&lt;&gt;"",E833&lt;&gt;"!!!"),"NEW","")))</f>
        <v> </v>
      </c>
      <c r="G833" s="24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5" t="str">
        <f>IF(J833&lt;&gt;1,"",IF(I833="SBJ","CB","?"))</f>
        <v> </v>
      </c>
      <c r="I833" s="26" t="str">
        <f>IF(OR(E833="",E833="!!!",F833="NEW"),"",INDEX(B832:B$2,-1+SUMPRODUCT(MAX(ROW(E832:E$2)*(E833=E832:E$2)))))</f>
        <v> </v>
      </c>
      <c r="J833" s="26" t="str">
        <f>IF(OR(E833="",E833="!!!",F833="NEW"),"",COUNTBLANK(OFFSET(A$1,,,SUMPRODUCT(MAX(ROW(E$2:E833)*(E833=E$2:E833)))))-COUNTBLANK(OFFSET(A$1,,,SUMPRODUCT(MAX(ROW(E$1:E832)*(E2=E$1:E832))))))</f>
        <v> </v>
      </c>
      <c r="K833" s="26" t="str">
        <f>IF(OR(E833="",E833="!!!",F833="NEW"),"",INDEX(J$1:J832,SUMPRODUCT(MAX(ROW(E$1:E832)*(E833=E$1:E832)))))</f>
        <v> </v>
      </c>
      <c r="L833" s="27"/>
    </row>
    <row r="834" spans="1:12">
      <c r="A834" s="20" t="s">
        <v>90</v>
      </c>
      <c r="B834" s="21" t="s">
        <v>129</v>
      </c>
      <c r="C834" s="21" t="s">
        <v>145</v>
      </c>
      <c r="E834" s="22">
        <f>IF(D834="?OLD","!!!","")</f>
        <v/>
      </c>
      <c r="F834" s="23" t="str">
        <f>IF(OR(E834="",E834="!!!"),"",IF(NOT(ISNA(VLOOKUP(E834,E$1:E833,1,FALSE()))),"OLD",IF(AND(E834&lt;&gt;"",E834&lt;&gt;"!!!"),"NEW","")))</f>
        <v> </v>
      </c>
      <c r="G834" s="24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5" t="str">
        <f>IF(J834&lt;&gt;1,"",IF(I834="SBJ","CB","?"))</f>
        <v> </v>
      </c>
      <c r="I834" s="26" t="str">
        <f>IF(OR(E834="",E834="!!!",F834="NEW"),"",INDEX(B833:B$2,-1+SUMPRODUCT(MAX(ROW(E833:E$2)*(E834=E833:E$2)))))</f>
        <v> </v>
      </c>
      <c r="J834" s="26" t="str">
        <f>IF(OR(E834="",E834="!!!",F834="NEW"),"",COUNTBLANK(OFFSET(A$1,,,SUMPRODUCT(MAX(ROW(E$2:E834)*(E834=E$2:E834)))))-COUNTBLANK(OFFSET(A$1,,,SUMPRODUCT(MAX(ROW(E$1:E833)*(E2=E$1:E833))))))</f>
        <v> </v>
      </c>
      <c r="K834" s="26" t="str">
        <f>IF(OR(E834="",E834="!!!",F834="NEW"),"",INDEX(J$1:J833,SUMPRODUCT(MAX(ROW(E$1:E833)*(E834=E$1:E833)))))</f>
        <v> </v>
      </c>
      <c r="L834" s="27"/>
    </row>
    <row r="835" spans="1:12">
      <c r="A835" s="20" t="s">
        <v>127</v>
      </c>
      <c r="E835" s="22">
        <f>IF(D835="?OLD","!!!","")</f>
        <v/>
      </c>
      <c r="F835" s="23" t="str">
        <f>IF(OR(E835="",E835="!!!"),"",IF(NOT(ISNA(VLOOKUP(E835,E$1:E834,1,FALSE()))),"OLD",IF(AND(E835&lt;&gt;"",E835&lt;&gt;"!!!"),"NEW","")))</f>
        <v> </v>
      </c>
      <c r="G835" s="24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5" t="str">
        <f>IF(J835&lt;&gt;1,"",IF(I835="SBJ","CB","?"))</f>
        <v> </v>
      </c>
      <c r="I835" s="26" t="str">
        <f>IF(OR(E835="",E835="!!!",F835="NEW"),"",INDEX(B834:B$2,-1+SUMPRODUCT(MAX(ROW(E834:E$2)*(E835=E834:E$2)))))</f>
        <v> </v>
      </c>
      <c r="J835" s="26" t="str">
        <f>IF(OR(E835="",E835="!!!",F835="NEW"),"",COUNTBLANK(OFFSET(A$1,,,SUMPRODUCT(MAX(ROW(E$2:E835)*(E835=E$2:E835)))))-COUNTBLANK(OFFSET(A$1,,,SUMPRODUCT(MAX(ROW(E$1:E834)*(E2=E$1:E834))))))</f>
        <v> </v>
      </c>
      <c r="K835" s="26" t="str">
        <f>IF(OR(E835="",E835="!!!",F835="NEW"),"",INDEX(J$1:J834,SUMPRODUCT(MAX(ROW(E$1:E834)*(E835=E$1:E834)))))</f>
        <v> </v>
      </c>
      <c r="L835" s="27"/>
    </row>
    <row r="836" spans="1:12">
      <c r="A836" s="20" t="s">
        <v>446</v>
      </c>
      <c r="B836" s="21" t="s">
        <v>134</v>
      </c>
      <c r="C836" s="21" t="s">
        <v>185</v>
      </c>
      <c r="D836" s="21" t="s">
        <v>119</v>
      </c>
      <c r="E836" s="22">
        <f>IF(D836="?OLD","!!!","")</f>
        <v/>
      </c>
      <c r="F836" s="23" t="str">
        <f>IF(OR(E836="",E836="!!!"),"",IF(NOT(ISNA(VLOOKUP(E836,E$1:E835,1,FALSE()))),"OLD",IF(AND(E836&lt;&gt;"",E836&lt;&gt;"!!!"),"NEW","")))</f>
        <v> </v>
      </c>
      <c r="G836" s="24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5" t="str">
        <f>IF(J836&lt;&gt;1,"",IF(I836="SBJ","CB","?"))</f>
        <v> </v>
      </c>
      <c r="I836" s="26" t="str">
        <f>IF(OR(E836="",E836="!!!",F836="NEW"),"",INDEX(B835:B$2,-1+SUMPRODUCT(MAX(ROW(E835:E$2)*(E836=E835:E$2)))))</f>
        <v> </v>
      </c>
      <c r="J836" s="26" t="str">
        <f>IF(OR(E836="",E836="!!!",F836="NEW"),"",COUNTBLANK(OFFSET(A$1,,,SUMPRODUCT(MAX(ROW(E$2:E836)*(E836=E$2:E836)))))-COUNTBLANK(OFFSET(A$1,,,SUMPRODUCT(MAX(ROW(E$1:E835)*(E2=E$1:E835))))))</f>
        <v> </v>
      </c>
      <c r="K836" s="26" t="str">
        <f>IF(OR(E836="",E836="!!!",F836="NEW"),"",INDEX(J$1:J835,SUMPRODUCT(MAX(ROW(E$1:E835)*(E836=E$1:E835)))))</f>
        <v> </v>
      </c>
      <c r="L836" s="27"/>
    </row>
    <row r="837" spans="1:12">
      <c r="A837" s="20" t="s">
        <v>447</v>
      </c>
      <c r="E837" s="22">
        <f>IF(D837="?OLD","!!!","")</f>
        <v/>
      </c>
      <c r="F837" s="23" t="str">
        <f>IF(OR(E837="",E837="!!!"),"",IF(NOT(ISNA(VLOOKUP(E837,E$1:E836,1,FALSE()))),"OLD",IF(AND(E837&lt;&gt;"",E837&lt;&gt;"!!!"),"NEW","")))</f>
        <v> </v>
      </c>
      <c r="G837" s="24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5" t="str">
        <f>IF(J837&lt;&gt;1,"",IF(I837="SBJ","CB","?"))</f>
        <v> </v>
      </c>
      <c r="I837" s="26" t="str">
        <f>IF(OR(E837="",E837="!!!",F837="NEW"),"",INDEX(B836:B$2,-1+SUMPRODUCT(MAX(ROW(E836:E$2)*(E837=E836:E$2)))))</f>
        <v> </v>
      </c>
      <c r="J837" s="26" t="str">
        <f>IF(OR(E837="",E837="!!!",F837="NEW"),"",COUNTBLANK(OFFSET(A$1,,,SUMPRODUCT(MAX(ROW(E$2:E837)*(E837=E$2:E837)))))-COUNTBLANK(OFFSET(A$1,,,SUMPRODUCT(MAX(ROW(E$1:E836)*(E2=E$1:E836))))))</f>
        <v> </v>
      </c>
      <c r="K837" s="26" t="str">
        <f>IF(OR(E837="",E837="!!!",F837="NEW"),"",INDEX(J$1:J836,SUMPRODUCT(MAX(ROW(E$1:E836)*(E837=E$1:E836)))))</f>
        <v> </v>
      </c>
      <c r="L837" s="27"/>
    </row>
    <row r="838" spans="1:12">
      <c r="A838" s="20" t="s">
        <v>448</v>
      </c>
      <c r="B838" s="21" t="s">
        <v>155</v>
      </c>
      <c r="C838" s="21" t="s">
        <v>118</v>
      </c>
      <c r="D838" s="21" t="s">
        <v>119</v>
      </c>
      <c r="E838" s="22">
        <f>IF(D838="?OLD","!!!","")</f>
        <v/>
      </c>
      <c r="F838" s="23" t="str">
        <f>IF(OR(E838="",E838="!!!"),"",IF(NOT(ISNA(VLOOKUP(E838,E$1:E837,1,FALSE()))),"OLD",IF(AND(E838&lt;&gt;"",E838&lt;&gt;"!!!"),"NEW","")))</f>
        <v> </v>
      </c>
      <c r="G838" s="24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5" t="str">
        <f>IF(J838&lt;&gt;1,"",IF(I838="SBJ","CB","?"))</f>
        <v> </v>
      </c>
      <c r="I838" s="26" t="str">
        <f>IF(OR(E838="",E838="!!!",F838="NEW"),"",INDEX(B837:B$2,-1+SUMPRODUCT(MAX(ROW(E837:E$2)*(E838=E837:E$2)))))</f>
        <v> </v>
      </c>
      <c r="J838" s="26" t="str">
        <f>IF(OR(E838="",E838="!!!",F838="NEW"),"",COUNTBLANK(OFFSET(A$1,,,SUMPRODUCT(MAX(ROW(E$2:E838)*(E838=E$2:E838)))))-COUNTBLANK(OFFSET(A$1,,,SUMPRODUCT(MAX(ROW(E$1:E837)*(E2=E$1:E837))))))</f>
        <v> </v>
      </c>
      <c r="K838" s="26" t="str">
        <f>IF(OR(E838="",E838="!!!",F838="NEW"),"",INDEX(J$1:J837,SUMPRODUCT(MAX(ROW(E$1:E837)*(E838=E$1:E837)))))</f>
        <v> </v>
      </c>
      <c r="L838" s="27"/>
    </row>
    <row r="839" spans="1:12">
      <c r="A839" s="20" t="s">
        <v>449</v>
      </c>
      <c r="E839" s="22">
        <f>IF(D839="?OLD","!!!","")</f>
        <v/>
      </c>
      <c r="F839" s="23" t="str">
        <f>IF(OR(E839="",E839="!!!"),"",IF(NOT(ISNA(VLOOKUP(E839,E$1:E838,1,FALSE()))),"OLD",IF(AND(E839&lt;&gt;"",E839&lt;&gt;"!!!"),"NEW","")))</f>
        <v> </v>
      </c>
      <c r="G839" s="24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5" t="str">
        <f>IF(J839&lt;&gt;1,"",IF(I839="SBJ","CB","?"))</f>
        <v> </v>
      </c>
      <c r="I839" s="26" t="str">
        <f>IF(OR(E839="",E839="!!!",F839="NEW"),"",INDEX(B838:B$2,-1+SUMPRODUCT(MAX(ROW(E838:E$2)*(E839=E838:E$2)))))</f>
        <v> </v>
      </c>
      <c r="J839" s="26" t="str">
        <f>IF(OR(E839="",E839="!!!",F839="NEW"),"",COUNTBLANK(OFFSET(A$1,,,SUMPRODUCT(MAX(ROW(E$2:E839)*(E839=E$2:E839)))))-COUNTBLANK(OFFSET(A$1,,,SUMPRODUCT(MAX(ROW(E$1:E838)*(E2=E$1:E838))))))</f>
        <v> </v>
      </c>
      <c r="K839" s="26" t="str">
        <f>IF(OR(E839="",E839="!!!",F839="NEW"),"",INDEX(J$1:J838,SUMPRODUCT(MAX(ROW(E$1:E838)*(E839=E$1:E838)))))</f>
        <v> </v>
      </c>
      <c r="L839" s="27"/>
    </row>
    <row r="840" spans="1:12">
      <c r="A840" s="20" t="s">
        <v>239</v>
      </c>
      <c r="E840" s="22">
        <f>IF(D840="?OLD","!!!","")</f>
        <v/>
      </c>
      <c r="F840" s="23" t="str">
        <f>IF(OR(E840="",E840="!!!"),"",IF(NOT(ISNA(VLOOKUP(E840,E$1:E839,1,FALSE()))),"OLD",IF(AND(E840&lt;&gt;"",E840&lt;&gt;"!!!"),"NEW","")))</f>
        <v> </v>
      </c>
      <c r="G840" s="24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5" t="str">
        <f>IF(J840&lt;&gt;1,"",IF(I840="SBJ","CB","?"))</f>
        <v> </v>
      </c>
      <c r="I840" s="26" t="str">
        <f>IF(OR(E840="",E840="!!!",F840="NEW"),"",INDEX(B839:B$2,-1+SUMPRODUCT(MAX(ROW(E839:E$2)*(E840=E839:E$2)))))</f>
        <v> </v>
      </c>
      <c r="J840" s="26" t="str">
        <f>IF(OR(E840="",E840="!!!",F840="NEW"),"",COUNTBLANK(OFFSET(A$1,,,SUMPRODUCT(MAX(ROW(E$2:E840)*(E840=E$2:E840)))))-COUNTBLANK(OFFSET(A$1,,,SUMPRODUCT(MAX(ROW(E$1:E839)*(E2=E$1:E839))))))</f>
        <v> </v>
      </c>
      <c r="K840" s="26" t="str">
        <f>IF(OR(E840="",E840="!!!",F840="NEW"),"",INDEX(J$1:J839,SUMPRODUCT(MAX(ROW(E$1:E839)*(E840=E$1:E839)))))</f>
        <v> </v>
      </c>
      <c r="L840" s="27"/>
    </row>
    <row r="841" spans="1:12">
      <c r="A841" s="20" t="s">
        <v>464</v>
      </c>
      <c r="B841" s="21" t="s">
        <v>162</v>
      </c>
      <c r="C841" s="21" t="s">
        <v>145</v>
      </c>
      <c r="E841" s="22">
        <f>IF(D841="?OLD","!!!","")</f>
        <v/>
      </c>
      <c r="F841" s="23" t="str">
        <f>IF(OR(E841="",E841="!!!"),"",IF(NOT(ISNA(VLOOKUP(E841,E$1:E840,1,FALSE()))),"OLD",IF(AND(E841&lt;&gt;"",E841&lt;&gt;"!!!"),"NEW","")))</f>
        <v> </v>
      </c>
      <c r="G841" s="24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5" t="str">
        <f>IF(J841&lt;&gt;1,"",IF(I841="SBJ","CB","?"))</f>
        <v> </v>
      </c>
      <c r="I841" s="26" t="str">
        <f>IF(OR(E841="",E841="!!!",F841="NEW"),"",INDEX(B840:B$2,-1+SUMPRODUCT(MAX(ROW(E840:E$2)*(E841=E840:E$2)))))</f>
        <v> </v>
      </c>
      <c r="J841" s="26" t="str">
        <f>IF(OR(E841="",E841="!!!",F841="NEW"),"",COUNTBLANK(OFFSET(A$1,,,SUMPRODUCT(MAX(ROW(E$2:E841)*(E841=E$2:E841)))))-COUNTBLANK(OFFSET(A$1,,,SUMPRODUCT(MAX(ROW(E$1:E840)*(E2=E$1:E840))))))</f>
        <v> </v>
      </c>
      <c r="K841" s="26" t="str">
        <f>IF(OR(E841="",E841="!!!",F841="NEW"),"",INDEX(J$1:J840,SUMPRODUCT(MAX(ROW(E$1:E840)*(E841=E$1:E840)))))</f>
        <v> </v>
      </c>
      <c r="L841" s="27"/>
    </row>
    <row r="842" spans="1:12">
      <c r="A842" s="20" t="s">
        <v>288</v>
      </c>
      <c r="E842" s="22">
        <f>IF(D842="?OLD","!!!","")</f>
        <v/>
      </c>
      <c r="F842" s="23" t="str">
        <f>IF(OR(E842="",E842="!!!"),"",IF(NOT(ISNA(VLOOKUP(E842,E$1:E841,1,FALSE()))),"OLD",IF(AND(E842&lt;&gt;"",E842&lt;&gt;"!!!"),"NEW","")))</f>
        <v> </v>
      </c>
      <c r="G842" s="24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5" t="str">
        <f>IF(J842&lt;&gt;1,"",IF(I842="SBJ","CB","?"))</f>
        <v> </v>
      </c>
      <c r="I842" s="26" t="str">
        <f>IF(OR(E842="",E842="!!!",F842="NEW"),"",INDEX(B841:B$2,-1+SUMPRODUCT(MAX(ROW(E841:E$2)*(E842=E841:E$2)))))</f>
        <v> </v>
      </c>
      <c r="J842" s="26" t="str">
        <f>IF(OR(E842="",E842="!!!",F842="NEW"),"",COUNTBLANK(OFFSET(A$1,,,SUMPRODUCT(MAX(ROW(E$2:E842)*(E842=E$2:E842)))))-COUNTBLANK(OFFSET(A$1,,,SUMPRODUCT(MAX(ROW(E$1:E841)*(E2=E$1:E841))))))</f>
        <v> </v>
      </c>
      <c r="K842" s="26" t="str">
        <f>IF(OR(E842="",E842="!!!",F842="NEW"),"",INDEX(J$1:J841,SUMPRODUCT(MAX(ROW(E$1:E841)*(E842=E$1:E841)))))</f>
        <v> </v>
      </c>
      <c r="L842" s="27"/>
    </row>
    <row r="843" spans="1:12">
      <c r="A843" s="20" t="s">
        <v>43</v>
      </c>
      <c r="E843" s="22">
        <f>IF(D843="?OLD","!!!","")</f>
        <v/>
      </c>
      <c r="F843" s="23" t="str">
        <f>IF(OR(E843="",E843="!!!"),"",IF(NOT(ISNA(VLOOKUP(E843,E$1:E842,1,FALSE()))),"OLD",IF(AND(E843&lt;&gt;"",E843&lt;&gt;"!!!"),"NEW","")))</f>
        <v> </v>
      </c>
      <c r="G843" s="24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5" t="str">
        <f>IF(J843&lt;&gt;1,"",IF(I843="SBJ","CB","?"))</f>
        <v> </v>
      </c>
      <c r="I843" s="26" t="str">
        <f>IF(OR(E843="",E843="!!!",F843="NEW"),"",INDEX(B842:B$2,-1+SUMPRODUCT(MAX(ROW(E842:E$2)*(E843=E842:E$2)))))</f>
        <v> </v>
      </c>
      <c r="J843" s="26" t="str">
        <f>IF(OR(E843="",E843="!!!",F843="NEW"),"",COUNTBLANK(OFFSET(A$1,,,SUMPRODUCT(MAX(ROW(E$2:E843)*(E843=E$2:E843)))))-COUNTBLANK(OFFSET(A$1,,,SUMPRODUCT(MAX(ROW(E$1:E842)*(E2=E$1:E842))))))</f>
        <v> </v>
      </c>
      <c r="K843" s="26" t="str">
        <f>IF(OR(E843="",E843="!!!",F843="NEW"),"",INDEX(J$1:J842,SUMPRODUCT(MAX(ROW(E$1:E842)*(E843=E$1:E842)))))</f>
        <v> </v>
      </c>
      <c r="L843" s="27"/>
    </row>
    <row r="844" spans="1:12">
      <c r="A844" s="20" t="s">
        <v>465</v>
      </c>
      <c r="E844" s="22">
        <f>IF(D844="?OLD","!!!","")</f>
        <v/>
      </c>
      <c r="F844" s="23" t="str">
        <f>IF(OR(E844="",E844="!!!"),"",IF(NOT(ISNA(VLOOKUP(E844,E$1:E843,1,FALSE()))),"OLD",IF(AND(E844&lt;&gt;"",E844&lt;&gt;"!!!"),"NEW","")))</f>
        <v> </v>
      </c>
      <c r="G844" s="24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5" t="str">
        <f>IF(J844&lt;&gt;1,"",IF(I844="SBJ","CB","?"))</f>
        <v> </v>
      </c>
      <c r="I844" s="26" t="str">
        <f>IF(OR(E844="",E844="!!!",F844="NEW"),"",INDEX(B843:B$2,-1+SUMPRODUCT(MAX(ROW(E843:E$2)*(E844=E843:E$2)))))</f>
        <v> </v>
      </c>
      <c r="J844" s="26" t="str">
        <f>IF(OR(E844="",E844="!!!",F844="NEW"),"",COUNTBLANK(OFFSET(A$1,,,SUMPRODUCT(MAX(ROW(E$2:E844)*(E844=E$2:E844)))))-COUNTBLANK(OFFSET(A$1,,,SUMPRODUCT(MAX(ROW(E$1:E843)*(E2=E$1:E843))))))</f>
        <v> </v>
      </c>
      <c r="K844" s="26" t="str">
        <f>IF(OR(E844="",E844="!!!",F844="NEW"),"",INDEX(J$1:J843,SUMPRODUCT(MAX(ROW(E$1:E843)*(E844=E$1:E843)))))</f>
        <v> </v>
      </c>
      <c r="L844" s="27"/>
    </row>
    <row r="845" spans="1:12">
      <c r="A845" s="20" t="s">
        <v>453</v>
      </c>
      <c r="B845" s="21" t="s">
        <v>139</v>
      </c>
      <c r="E845" s="22">
        <f>IF(D845="?OLD","!!!","")</f>
        <v/>
      </c>
      <c r="F845" s="23" t="str">
        <f>IF(OR(E845="",E845="!!!"),"",IF(NOT(ISNA(VLOOKUP(E845,E$1:E844,1,FALSE()))),"OLD",IF(AND(E845&lt;&gt;"",E845&lt;&gt;"!!!"),"NEW","")))</f>
        <v> </v>
      </c>
      <c r="G845" s="24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5" t="str">
        <f>IF(J845&lt;&gt;1,"",IF(I845="SBJ","CB","?"))</f>
        <v> </v>
      </c>
      <c r="I845" s="26" t="str">
        <f>IF(OR(E845="",E845="!!!",F845="NEW"),"",INDEX(B844:B$2,-1+SUMPRODUCT(MAX(ROW(E844:E$2)*(E845=E844:E$2)))))</f>
        <v> </v>
      </c>
      <c r="J845" s="26" t="str">
        <f>IF(OR(E845="",E845="!!!",F845="NEW"),"",COUNTBLANK(OFFSET(A$1,,,SUMPRODUCT(MAX(ROW(E$2:E845)*(E845=E$2:E845)))))-COUNTBLANK(OFFSET(A$1,,,SUMPRODUCT(MAX(ROW(E$1:E844)*(E2=E$1:E844))))))</f>
        <v> </v>
      </c>
      <c r="K845" s="26" t="str">
        <f>IF(OR(E845="",E845="!!!",F845="NEW"),"",INDEX(J$1:J844,SUMPRODUCT(MAX(ROW(E$1:E844)*(E845=E$1:E844)))))</f>
        <v> </v>
      </c>
      <c r="L845" s="27"/>
    </row>
    <row r="846" spans="1:12">
      <c r="A846" s="20" t="s">
        <v>341</v>
      </c>
      <c r="E846" s="22">
        <f>IF(D846="?OLD","!!!","")</f>
        <v/>
      </c>
      <c r="F846" s="23" t="str">
        <f>IF(OR(E846="",E846="!!!"),"",IF(NOT(ISNA(VLOOKUP(E846,E$1:E845,1,FALSE()))),"OLD",IF(AND(E846&lt;&gt;"",E846&lt;&gt;"!!!"),"NEW","")))</f>
        <v> </v>
      </c>
      <c r="G846" s="24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5" t="str">
        <f>IF(J846&lt;&gt;1,"",IF(I846="SBJ","CB","?"))</f>
        <v> </v>
      </c>
      <c r="I846" s="26" t="str">
        <f>IF(OR(E846="",E846="!!!",F846="NEW"),"",INDEX(B845:B$2,-1+SUMPRODUCT(MAX(ROW(E845:E$2)*(E846=E845:E$2)))))</f>
        <v> </v>
      </c>
      <c r="J846" s="26" t="str">
        <f>IF(OR(E846="",E846="!!!",F846="NEW"),"",COUNTBLANK(OFFSET(A$1,,,SUMPRODUCT(MAX(ROW(E$2:E846)*(E846=E$2:E846)))))-COUNTBLANK(OFFSET(A$1,,,SUMPRODUCT(MAX(ROW(E$1:E845)*(E2=E$1:E845))))))</f>
        <v> </v>
      </c>
      <c r="K846" s="26" t="str">
        <f>IF(OR(E846="",E846="!!!",F846="NEW"),"",INDEX(J$1:J845,SUMPRODUCT(MAX(ROW(E$1:E845)*(E846=E$1:E845)))))</f>
        <v> </v>
      </c>
      <c r="L846" s="27"/>
    </row>
    <row r="847" spans="1:12">
      <c r="A847" s="20" t="s">
        <v>191</v>
      </c>
      <c r="E847" s="22">
        <f>IF(D847="?OLD","!!!","")</f>
        <v/>
      </c>
      <c r="F847" s="23" t="str">
        <f>IF(OR(E847="",E847="!!!"),"",IF(NOT(ISNA(VLOOKUP(E847,E$1:E846,1,FALSE()))),"OLD",IF(AND(E847&lt;&gt;"",E847&lt;&gt;"!!!"),"NEW","")))</f>
        <v> </v>
      </c>
      <c r="G847" s="24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5" t="str">
        <f>IF(J847&lt;&gt;1,"",IF(I847="SBJ","CB","?"))</f>
        <v> </v>
      </c>
      <c r="I847" s="26" t="str">
        <f>IF(OR(E847="",E847="!!!",F847="NEW"),"",INDEX(B846:B$2,-1+SUMPRODUCT(MAX(ROW(E846:E$2)*(E847=E846:E$2)))))</f>
        <v> </v>
      </c>
      <c r="J847" s="26" t="str">
        <f>IF(OR(E847="",E847="!!!",F847="NEW"),"",COUNTBLANK(OFFSET(A$1,,,SUMPRODUCT(MAX(ROW(E$2:E847)*(E847=E$2:E847)))))-COUNTBLANK(OFFSET(A$1,,,SUMPRODUCT(MAX(ROW(E$1:E846)*(E2=E$1:E846))))))</f>
        <v> </v>
      </c>
      <c r="K847" s="26" t="str">
        <f>IF(OR(E847="",E847="!!!",F847="NEW"),"",INDEX(J$1:J846,SUMPRODUCT(MAX(ROW(E$1:E846)*(E847=E$1:E846)))))</f>
        <v> </v>
      </c>
      <c r="L847" s="27"/>
    </row>
    <row r="848" spans="1:12">
      <c r="A848" s="20" t="s">
        <v>466</v>
      </c>
      <c r="E848" s="22">
        <f>IF(D848="?OLD","!!!","")</f>
        <v/>
      </c>
      <c r="F848" s="23" t="str">
        <f>IF(OR(E848="",E848="!!!"),"",IF(NOT(ISNA(VLOOKUP(E848,E$1:E847,1,FALSE()))),"OLD",IF(AND(E848&lt;&gt;"",E848&lt;&gt;"!!!"),"NEW","")))</f>
        <v> </v>
      </c>
      <c r="G848" s="24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5" t="str">
        <f>IF(J848&lt;&gt;1,"",IF(I848="SBJ","CB","?"))</f>
        <v> </v>
      </c>
      <c r="I848" s="26" t="str">
        <f>IF(OR(E848="",E848="!!!",F848="NEW"),"",INDEX(B847:B$2,-1+SUMPRODUCT(MAX(ROW(E847:E$2)*(E848=E847:E$2)))))</f>
        <v> </v>
      </c>
      <c r="J848" s="26" t="str">
        <f>IF(OR(E848="",E848="!!!",F848="NEW"),"",COUNTBLANK(OFFSET(A$1,,,SUMPRODUCT(MAX(ROW(E$2:E848)*(E848=E$2:E848)))))-COUNTBLANK(OFFSET(A$1,,,SUMPRODUCT(MAX(ROW(E$1:E847)*(E2=E$1:E847))))))</f>
        <v> </v>
      </c>
      <c r="K848" s="26" t="str">
        <f>IF(OR(E848="",E848="!!!",F848="NEW"),"",INDEX(J$1:J847,SUMPRODUCT(MAX(ROW(E$1:E847)*(E848=E$1:E847)))))</f>
        <v> </v>
      </c>
      <c r="L848" s="27"/>
    </row>
    <row r="849" spans="1:12">
      <c r="A849" s="20" t="s">
        <v>163</v>
      </c>
      <c r="E849" s="22">
        <f>IF(D849="?OLD","!!!","")</f>
        <v/>
      </c>
      <c r="F849" s="23" t="str">
        <f>IF(OR(E849="",E849="!!!"),"",IF(NOT(ISNA(VLOOKUP(E849,E$1:E848,1,FALSE()))),"OLD",IF(AND(E849&lt;&gt;"",E849&lt;&gt;"!!!"),"NEW","")))</f>
        <v> </v>
      </c>
      <c r="G849" s="24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5" t="str">
        <f>IF(J849&lt;&gt;1,"",IF(I849="SBJ","CB","?"))</f>
        <v> </v>
      </c>
      <c r="I849" s="26" t="str">
        <f>IF(OR(E849="",E849="!!!",F849="NEW"),"",INDEX(B848:B$2,-1+SUMPRODUCT(MAX(ROW(E848:E$2)*(E849=E848:E$2)))))</f>
        <v> </v>
      </c>
      <c r="J849" s="26" t="str">
        <f>IF(OR(E849="",E849="!!!",F849="NEW"),"",COUNTBLANK(OFFSET(A$1,,,SUMPRODUCT(MAX(ROW(E$2:E849)*(E849=E$2:E849)))))-COUNTBLANK(OFFSET(A$1,,,SUMPRODUCT(MAX(ROW(E$1:E848)*(E2=E$1:E848))))))</f>
        <v> </v>
      </c>
      <c r="K849" s="26" t="str">
        <f>IF(OR(E849="",E849="!!!",F849="NEW"),"",INDEX(J$1:J848,SUMPRODUCT(MAX(ROW(E$1:E848)*(E849=E$1:E848)))))</f>
        <v> </v>
      </c>
      <c r="L849" s="27"/>
    </row>
    <row r="850" spans="1:12">
      <c r="A850" s="20"/>
    </row>
    <row r="851" spans="1:12">
      <c r="A851" s="20" t="s">
        <v>280</v>
      </c>
      <c r="E851" s="22">
        <f>IF(D851="?OLD","!!!","")</f>
        <v/>
      </c>
      <c r="F851" s="23" t="str">
        <f>IF(OR(E851="",E851="!!!"),"",IF(NOT(ISNA(VLOOKUP(E851,E$1:E850,1,FALSE()))),"OLD",IF(AND(E851&lt;&gt;"",E851&lt;&gt;"!!!"),"NEW","")))</f>
        <v> </v>
      </c>
      <c r="G851" s="24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5" t="str">
        <f>IF(J851&lt;&gt;1,"",IF(I851="SBJ","CB","?"))</f>
        <v> </v>
      </c>
      <c r="I851" s="26" t="str">
        <f>IF(OR(E851="",E851="!!!",F851="NEW"),"",INDEX(B850:B$2,-1+SUMPRODUCT(MAX(ROW(E850:E$2)*(E851=E850:E$2)))))</f>
        <v> </v>
      </c>
      <c r="J851" s="26" t="str">
        <f>IF(OR(E851="",E851="!!!",F851="NEW"),"",COUNTBLANK(OFFSET(A$1,,,SUMPRODUCT(MAX(ROW(E$2:E851)*(E851=E$2:E851)))))-COUNTBLANK(OFFSET(A$1,,,SUMPRODUCT(MAX(ROW(E$1:E850)*(E2=E$1:E850))))))</f>
        <v> </v>
      </c>
      <c r="K851" s="26" t="str">
        <f>IF(OR(E851="",E851="!!!",F851="NEW"),"",INDEX(J$1:J850,SUMPRODUCT(MAX(ROW(E$1:E850)*(E851=E$1:E850)))))</f>
        <v> </v>
      </c>
      <c r="L851" s="27"/>
    </row>
    <row r="852" spans="1:12">
      <c r="A852" s="20" t="s">
        <v>467</v>
      </c>
    </row>
    <row r="853" spans="1:12">
      <c r="A853" s="20" t="s">
        <v>43</v>
      </c>
      <c r="E853" s="22">
        <f>IF(D853="?OLD","!!!","")</f>
        <v/>
      </c>
      <c r="F853" s="23" t="str">
        <f>IF(OR(E853="",E853="!!!"),"",IF(NOT(ISNA(VLOOKUP(E853,E$1:E852,1,FALSE()))),"OLD",IF(AND(E853&lt;&gt;"",E853&lt;&gt;"!!!"),"NEW","")))</f>
        <v> </v>
      </c>
      <c r="G853" s="24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5" t="str">
        <f>IF(J853&lt;&gt;1,"",IF(I853="SBJ","CB","?"))</f>
        <v> </v>
      </c>
      <c r="I853" s="26" t="str">
        <f>IF(OR(E853="",E853="!!!",F853="NEW"),"",INDEX(B852:B$2,-1+SUMPRODUCT(MAX(ROW(E852:E$2)*(E853=E852:E$2)))))</f>
        <v> </v>
      </c>
      <c r="J853" s="26" t="str">
        <f>IF(OR(E853="",E853="!!!",F853="NEW"),"",COUNTBLANK(OFFSET(A$1,,,SUMPRODUCT(MAX(ROW(E$2:E853)*(E853=E$2:E853)))))-COUNTBLANK(OFFSET(A$1,,,SUMPRODUCT(MAX(ROW(E$1:E852)*(E2=E$1:E852))))))</f>
        <v> </v>
      </c>
      <c r="K853" s="26" t="str">
        <f>IF(OR(E853="",E853="!!!",F853="NEW"),"",INDEX(J$1:J852,SUMPRODUCT(MAX(ROW(E$1:E852)*(E853=E$1:E852)))))</f>
        <v> </v>
      </c>
      <c r="L853" s="27"/>
    </row>
    <row r="854" spans="1:12">
      <c r="A854" s="20" t="s">
        <v>468</v>
      </c>
      <c r="E854" s="22">
        <f>IF(D854="?OLD","!!!","")</f>
        <v/>
      </c>
      <c r="F854" s="23" t="str">
        <f>IF(OR(E854="",E854="!!!"),"",IF(NOT(ISNA(VLOOKUP(E854,E$1:E853,1,FALSE()))),"OLD",IF(AND(E854&lt;&gt;"",E854&lt;&gt;"!!!"),"NEW","")))</f>
        <v> </v>
      </c>
      <c r="G854" s="24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5" t="str">
        <f>IF(J854&lt;&gt;1,"",IF(I854="SBJ","CB","?"))</f>
        <v> </v>
      </c>
      <c r="I854" s="26" t="str">
        <f>IF(OR(E854="",E854="!!!",F854="NEW"),"",INDEX(B853:B$2,-1+SUMPRODUCT(MAX(ROW(E853:E$2)*(E854=E853:E$2)))))</f>
        <v> </v>
      </c>
      <c r="J854" s="26" t="str">
        <f>IF(OR(E854="",E854="!!!",F854="NEW"),"",COUNTBLANK(OFFSET(A$1,,,SUMPRODUCT(MAX(ROW(E$2:E854)*(E854=E$2:E854)))))-COUNTBLANK(OFFSET(A$1,,,SUMPRODUCT(MAX(ROW(E$1:E853)*(E2=E$1:E853))))))</f>
        <v> </v>
      </c>
      <c r="K854" s="26" t="str">
        <f>IF(OR(E854="",E854="!!!",F854="NEW"),"",INDEX(J$1:J853,SUMPRODUCT(MAX(ROW(E$1:E853)*(E854=E$1:E853)))))</f>
        <v> </v>
      </c>
      <c r="L854" s="27"/>
    </row>
    <row r="855" spans="1:12">
      <c r="A855" s="20" t="s">
        <v>420</v>
      </c>
      <c r="E855" s="22">
        <f>IF(D855="?OLD","!!!","")</f>
        <v/>
      </c>
      <c r="F855" s="23" t="str">
        <f>IF(OR(E855="",E855="!!!"),"",IF(NOT(ISNA(VLOOKUP(E855,E$1:E854,1,FALSE()))),"OLD",IF(AND(E855&lt;&gt;"",E855&lt;&gt;"!!!"),"NEW","")))</f>
        <v> </v>
      </c>
      <c r="G855" s="24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5" t="str">
        <f>IF(J855&lt;&gt;1,"",IF(I855="SBJ","CB","?"))</f>
        <v> </v>
      </c>
      <c r="I855" s="26" t="str">
        <f>IF(OR(E855="",E855="!!!",F855="NEW"),"",INDEX(B854:B$2,-1+SUMPRODUCT(MAX(ROW(E854:E$2)*(E855=E854:E$2)))))</f>
        <v> </v>
      </c>
      <c r="J855" s="26" t="str">
        <f>IF(OR(E855="",E855="!!!",F855="NEW"),"",COUNTBLANK(OFFSET(A$1,,,SUMPRODUCT(MAX(ROW(E$2:E855)*(E855=E$2:E855)))))-COUNTBLANK(OFFSET(A$1,,,SUMPRODUCT(MAX(ROW(E$1:E854)*(E2=E$1:E854))))))</f>
        <v> </v>
      </c>
      <c r="K855" s="26" t="str">
        <f>IF(OR(E855="",E855="!!!",F855="NEW"),"",INDEX(J$1:J854,SUMPRODUCT(MAX(ROW(E$1:E854)*(E855=E$1:E854)))))</f>
        <v> </v>
      </c>
      <c r="L855" s="27"/>
    </row>
    <row r="856" spans="1:12">
      <c r="A856" s="20" t="s">
        <v>244</v>
      </c>
      <c r="B856" s="21" t="s">
        <v>117</v>
      </c>
      <c r="C856" s="21" t="s">
        <v>118</v>
      </c>
      <c r="D856" s="21" t="s">
        <v>119</v>
      </c>
      <c r="E856" s="22">
        <f>IF(D856="?OLD","!!!","")</f>
        <v/>
      </c>
      <c r="F856" s="23" t="str">
        <f>IF(OR(E856="",E856="!!!"),"",IF(NOT(ISNA(VLOOKUP(E856,E$1:E855,1,FALSE()))),"OLD",IF(AND(E856&lt;&gt;"",E856&lt;&gt;"!!!"),"NEW","")))</f>
        <v> </v>
      </c>
      <c r="G856" s="24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5" t="str">
        <f>IF(J856&lt;&gt;1,"",IF(I856="SBJ","CB","?"))</f>
        <v> </v>
      </c>
      <c r="I856" s="26" t="str">
        <f>IF(OR(E856="",E856="!!!",F856="NEW"),"",INDEX(B855:B$2,-1+SUMPRODUCT(MAX(ROW(E855:E$2)*(E856=E855:E$2)))))</f>
        <v> </v>
      </c>
      <c r="J856" s="26" t="str">
        <f>IF(OR(E856="",E856="!!!",F856="NEW"),"",COUNTBLANK(OFFSET(A$1,,,SUMPRODUCT(MAX(ROW(E$2:E856)*(E856=E$2:E856)))))-COUNTBLANK(OFFSET(A$1,,,SUMPRODUCT(MAX(ROW(E$1:E855)*(E2=E$1:E855))))))</f>
        <v> </v>
      </c>
      <c r="K856" s="26" t="str">
        <f>IF(OR(E856="",E856="!!!",F856="NEW"),"",INDEX(J$1:J855,SUMPRODUCT(MAX(ROW(E$1:E855)*(E856=E$1:E855)))))</f>
        <v> </v>
      </c>
      <c r="L856" s="27"/>
    </row>
    <row r="857" spans="1:12">
      <c r="A857" s="20" t="s">
        <v>469</v>
      </c>
      <c r="B857" s="21" t="s">
        <v>151</v>
      </c>
      <c r="C857" s="21" t="s">
        <v>166</v>
      </c>
      <c r="D857" s="21" t="s">
        <v>119</v>
      </c>
      <c r="E857" s="22">
        <f>IF(D857="?OLD","!!!","")</f>
        <v/>
      </c>
      <c r="F857" s="23" t="str">
        <f>IF(OR(E857="",E857="!!!"),"",IF(NOT(ISNA(VLOOKUP(E857,E$1:E856,1,FALSE()))),"OLD",IF(AND(E857&lt;&gt;"",E857&lt;&gt;"!!!"),"NEW","")))</f>
        <v> </v>
      </c>
      <c r="G857" s="24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5" t="str">
        <f>IF(J857&lt;&gt;1,"",IF(I857="SBJ","CB","?"))</f>
        <v> </v>
      </c>
      <c r="I857" s="26" t="str">
        <f>IF(OR(E857="",E857="!!!",F857="NEW"),"",INDEX(B856:B$2,-1+SUMPRODUCT(MAX(ROW(E856:E$2)*(E857=E856:E$2)))))</f>
        <v> </v>
      </c>
      <c r="J857" s="26" t="str">
        <f>IF(OR(E857="",E857="!!!",F857="NEW"),"",COUNTBLANK(OFFSET(A$1,,,SUMPRODUCT(MAX(ROW(E$2:E857)*(E857=E$2:E857)))))-COUNTBLANK(OFFSET(A$1,,,SUMPRODUCT(MAX(ROW(E$1:E856)*(E2=E$1:E856))))))</f>
        <v> </v>
      </c>
      <c r="K857" s="26" t="str">
        <f>IF(OR(E857="",E857="!!!",F857="NEW"),"",INDEX(J$1:J856,SUMPRODUCT(MAX(ROW(E$1:E856)*(E857=E$1:E856)))))</f>
        <v> </v>
      </c>
      <c r="L857" s="27"/>
    </row>
    <row r="858" spans="1:12">
      <c r="A858" s="20" t="s">
        <v>470</v>
      </c>
      <c r="B858" s="21" t="s">
        <v>172</v>
      </c>
      <c r="C858" s="21" t="s">
        <v>169</v>
      </c>
      <c r="D858" s="21" t="s">
        <v>119</v>
      </c>
      <c r="E858" s="22">
        <f>IF(D858="?OLD","!!!","")</f>
        <v/>
      </c>
      <c r="F858" s="23" t="str">
        <f>IF(OR(E858="",E858="!!!"),"",IF(NOT(ISNA(VLOOKUP(E858,E$1:E857,1,FALSE()))),"OLD",IF(AND(E858&lt;&gt;"",E858&lt;&gt;"!!!"),"NEW","")))</f>
        <v> </v>
      </c>
      <c r="G858" s="24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5" t="str">
        <f>IF(J858&lt;&gt;1,"",IF(I858="SBJ","CB","?"))</f>
        <v> </v>
      </c>
      <c r="I858" s="26" t="str">
        <f>IF(OR(E858="",E858="!!!",F858="NEW"),"",INDEX(B857:B$2,-1+SUMPRODUCT(MAX(ROW(E857:E$2)*(E858=E857:E$2)))))</f>
        <v> </v>
      </c>
      <c r="J858" s="26" t="str">
        <f>IF(OR(E858="",E858="!!!",F858="NEW"),"",COUNTBLANK(OFFSET(A$1,,,SUMPRODUCT(MAX(ROW(E$2:E858)*(E858=E$2:E858)))))-COUNTBLANK(OFFSET(A$1,,,SUMPRODUCT(MAX(ROW(E$1:E857)*(E2=E$1:E857))))))</f>
        <v> </v>
      </c>
      <c r="K858" s="26" t="str">
        <f>IF(OR(E858="",E858="!!!",F858="NEW"),"",INDEX(J$1:J857,SUMPRODUCT(MAX(ROW(E$1:E857)*(E858=E$1:E857)))))</f>
        <v> </v>
      </c>
      <c r="L858" s="27"/>
    </row>
    <row r="859" spans="1:12">
      <c r="A859" s="20" t="s">
        <v>190</v>
      </c>
      <c r="E859" s="22">
        <f>IF(D859="?OLD","!!!","")</f>
        <v/>
      </c>
      <c r="F859" s="23" t="str">
        <f>IF(OR(E859="",E859="!!!"),"",IF(NOT(ISNA(VLOOKUP(E859,E$1:E858,1,FALSE()))),"OLD",IF(AND(E859&lt;&gt;"",E859&lt;&gt;"!!!"),"NEW","")))</f>
        <v> </v>
      </c>
      <c r="G859" s="24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5" t="str">
        <f>IF(J859&lt;&gt;1,"",IF(I859="SBJ","CB","?"))</f>
        <v> </v>
      </c>
      <c r="I859" s="26" t="str">
        <f>IF(OR(E859="",E859="!!!",F859="NEW"),"",INDEX(B858:B$2,-1+SUMPRODUCT(MAX(ROW(E858:E$2)*(E859=E858:E$2)))))</f>
        <v> </v>
      </c>
      <c r="J859" s="26" t="str">
        <f>IF(OR(E859="",E859="!!!",F859="NEW"),"",COUNTBLANK(OFFSET(A$1,,,SUMPRODUCT(MAX(ROW(E$2:E859)*(E859=E$2:E859)))))-COUNTBLANK(OFFSET(A$1,,,SUMPRODUCT(MAX(ROW(E$1:E858)*(E2=E$1:E858))))))</f>
        <v> </v>
      </c>
      <c r="K859" s="26" t="str">
        <f>IF(OR(E859="",E859="!!!",F859="NEW"),"",INDEX(J$1:J858,SUMPRODUCT(MAX(ROW(E$1:E858)*(E859=E$1:E858)))))</f>
        <v> </v>
      </c>
      <c r="L859" s="27"/>
    </row>
    <row r="860" spans="1:12">
      <c r="A860" s="20" t="s">
        <v>127</v>
      </c>
      <c r="E860" s="22">
        <f>IF(D860="?OLD","!!!","")</f>
        <v/>
      </c>
      <c r="F860" s="23" t="str">
        <f>IF(OR(E860="",E860="!!!"),"",IF(NOT(ISNA(VLOOKUP(E860,E$1:E859,1,FALSE()))),"OLD",IF(AND(E860&lt;&gt;"",E860&lt;&gt;"!!!"),"NEW","")))</f>
        <v> </v>
      </c>
      <c r="G860" s="24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5" t="str">
        <f>IF(J860&lt;&gt;1,"",IF(I860="SBJ","CB","?"))</f>
        <v> </v>
      </c>
      <c r="I860" s="26" t="str">
        <f>IF(OR(E860="",E860="!!!",F860="NEW"),"",INDEX(B859:B$2,-1+SUMPRODUCT(MAX(ROW(E859:E$2)*(E860=E859:E$2)))))</f>
        <v> </v>
      </c>
      <c r="J860" s="26" t="str">
        <f>IF(OR(E860="",E860="!!!",F860="NEW"),"",COUNTBLANK(OFFSET(A$1,,,SUMPRODUCT(MAX(ROW(E$2:E860)*(E860=E$2:E860)))))-COUNTBLANK(OFFSET(A$1,,,SUMPRODUCT(MAX(ROW(E$1:E859)*(E2=E$1:E859))))))</f>
        <v> </v>
      </c>
      <c r="K860" s="26" t="str">
        <f>IF(OR(E860="",E860="!!!",F860="NEW"),"",INDEX(J$1:J859,SUMPRODUCT(MAX(ROW(E$1:E859)*(E860=E$1:E859)))))</f>
        <v> </v>
      </c>
      <c r="L860" s="27"/>
    </row>
    <row r="861" spans="1:12">
      <c r="A861" s="20" t="s">
        <v>385</v>
      </c>
      <c r="E861" s="22">
        <f>IF(D861="?OLD","!!!","")</f>
        <v/>
      </c>
      <c r="F861" s="23" t="str">
        <f>IF(OR(E861="",E861="!!!"),"",IF(NOT(ISNA(VLOOKUP(E861,E$1:E860,1,FALSE()))),"OLD",IF(AND(E861&lt;&gt;"",E861&lt;&gt;"!!!"),"NEW","")))</f>
        <v> </v>
      </c>
      <c r="G861" s="24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5" t="str">
        <f>IF(J861&lt;&gt;1,"",IF(I861="SBJ","CB","?"))</f>
        <v> </v>
      </c>
      <c r="I861" s="26" t="str">
        <f>IF(OR(E861="",E861="!!!",F861="NEW"),"",INDEX(B860:B$2,-1+SUMPRODUCT(MAX(ROW(E860:E$2)*(E861=E860:E$2)))))</f>
        <v> </v>
      </c>
      <c r="J861" s="26" t="str">
        <f>IF(OR(E861="",E861="!!!",F861="NEW"),"",COUNTBLANK(OFFSET(A$1,,,SUMPRODUCT(MAX(ROW(E$2:E861)*(E861=E$2:E861)))))-COUNTBLANK(OFFSET(A$1,,,SUMPRODUCT(MAX(ROW(E$1:E860)*(E2=E$1:E860))))))</f>
        <v> </v>
      </c>
      <c r="K861" s="26" t="str">
        <f>IF(OR(E861="",E861="!!!",F861="NEW"),"",INDEX(J$1:J860,SUMPRODUCT(MAX(ROW(E$1:E860)*(E861=E$1:E860)))))</f>
        <v> </v>
      </c>
      <c r="L861" s="27"/>
    </row>
    <row r="862" spans="1:12">
      <c r="A862" s="20" t="s">
        <v>339</v>
      </c>
      <c r="B862" s="21" t="s">
        <v>175</v>
      </c>
      <c r="E862" s="22">
        <f>IF(D862="?OLD","!!!","")</f>
        <v/>
      </c>
      <c r="F862" s="23" t="str">
        <f>IF(OR(E862="",E862="!!!"),"",IF(NOT(ISNA(VLOOKUP(E862,E$1:E861,1,FALSE()))),"OLD",IF(AND(E862&lt;&gt;"",E862&lt;&gt;"!!!"),"NEW","")))</f>
        <v> </v>
      </c>
      <c r="G862" s="24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5" t="str">
        <f>IF(J862&lt;&gt;1,"",IF(I862="SBJ","CB","?"))</f>
        <v> </v>
      </c>
      <c r="I862" s="26" t="str">
        <f>IF(OR(E862="",E862="!!!",F862="NEW"),"",INDEX(B861:B$2,-1+SUMPRODUCT(MAX(ROW(E861:E$2)*(E862=E861:E$2)))))</f>
        <v> </v>
      </c>
      <c r="J862" s="26" t="str">
        <f>IF(OR(E862="",E862="!!!",F862="NEW"),"",COUNTBLANK(OFFSET(A$1,,,SUMPRODUCT(MAX(ROW(E$2:E862)*(E862=E$2:E862)))))-COUNTBLANK(OFFSET(A$1,,,SUMPRODUCT(MAX(ROW(E$1:E861)*(E2=E$1:E861))))))</f>
        <v> </v>
      </c>
      <c r="K862" s="26" t="str">
        <f>IF(OR(E862="",E862="!!!",F862="NEW"),"",INDEX(J$1:J861,SUMPRODUCT(MAX(ROW(E$1:E861)*(E862=E$1:E861)))))</f>
        <v> </v>
      </c>
      <c r="L862" s="27"/>
    </row>
    <row r="863" spans="1:12">
      <c r="A863" s="20" t="s">
        <v>235</v>
      </c>
      <c r="E863" s="22">
        <f>IF(D863="?OLD","!!!","")</f>
        <v/>
      </c>
      <c r="F863" s="23" t="str">
        <f>IF(OR(E863="",E863="!!!"),"",IF(NOT(ISNA(VLOOKUP(E863,E$1:E862,1,FALSE()))),"OLD",IF(AND(E863&lt;&gt;"",E863&lt;&gt;"!!!"),"NEW","")))</f>
        <v> </v>
      </c>
      <c r="G863" s="24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5" t="str">
        <f>IF(J863&lt;&gt;1,"",IF(I863="SBJ","CB","?"))</f>
        <v> </v>
      </c>
      <c r="I863" s="26" t="str">
        <f>IF(OR(E863="",E863="!!!",F863="NEW"),"",INDEX(B862:B$2,-1+SUMPRODUCT(MAX(ROW(E862:E$2)*(E863=E862:E$2)))))</f>
        <v> </v>
      </c>
      <c r="J863" s="26" t="str">
        <f>IF(OR(E863="",E863="!!!",F863="NEW"),"",COUNTBLANK(OFFSET(A$1,,,SUMPRODUCT(MAX(ROW(E$2:E863)*(E863=E$2:E863)))))-COUNTBLANK(OFFSET(A$1,,,SUMPRODUCT(MAX(ROW(E$1:E862)*(E2=E$1:E862))))))</f>
        <v> </v>
      </c>
      <c r="K863" s="26" t="str">
        <f>IF(OR(E863="",E863="!!!",F863="NEW"),"",INDEX(J$1:J862,SUMPRODUCT(MAX(ROW(E$1:E862)*(E863=E$1:E862)))))</f>
        <v> </v>
      </c>
      <c r="L863" s="27"/>
    </row>
    <row r="864" spans="1:12">
      <c r="A864" s="20" t="s">
        <v>471</v>
      </c>
      <c r="E864" s="22">
        <f>IF(D864="?OLD","!!!","")</f>
        <v/>
      </c>
      <c r="F864" s="23" t="str">
        <f>IF(OR(E864="",E864="!!!"),"",IF(NOT(ISNA(VLOOKUP(E864,E$1:E863,1,FALSE()))),"OLD",IF(AND(E864&lt;&gt;"",E864&lt;&gt;"!!!"),"NEW","")))</f>
        <v> </v>
      </c>
      <c r="G864" s="24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5" t="str">
        <f>IF(J864&lt;&gt;1,"",IF(I864="SBJ","CB","?"))</f>
        <v> </v>
      </c>
      <c r="I864" s="26" t="str">
        <f>IF(OR(E864="",E864="!!!",F864="NEW"),"",INDEX(B863:B$2,-1+SUMPRODUCT(MAX(ROW(E863:E$2)*(E864=E863:E$2)))))</f>
        <v> </v>
      </c>
      <c r="J864" s="26" t="str">
        <f>IF(OR(E864="",E864="!!!",F864="NEW"),"",COUNTBLANK(OFFSET(A$1,,,SUMPRODUCT(MAX(ROW(E$2:E864)*(E864=E$2:E864)))))-COUNTBLANK(OFFSET(A$1,,,SUMPRODUCT(MAX(ROW(E$1:E863)*(E2=E$1:E863))))))</f>
        <v> </v>
      </c>
      <c r="K864" s="26" t="str">
        <f>IF(OR(E864="",E864="!!!",F864="NEW"),"",INDEX(J$1:J863,SUMPRODUCT(MAX(ROW(E$1:E863)*(E864=E$1:E863)))))</f>
        <v> </v>
      </c>
      <c r="L864" s="27"/>
    </row>
    <row r="865" spans="1:12">
      <c r="A865" s="20" t="s">
        <v>237</v>
      </c>
      <c r="B865" s="21" t="s">
        <v>129</v>
      </c>
      <c r="C865" s="21" t="s">
        <v>152</v>
      </c>
      <c r="D865" s="21" t="s">
        <v>119</v>
      </c>
      <c r="E865" s="22">
        <f>IF(D865="?OLD","!!!","")</f>
        <v/>
      </c>
      <c r="F865" s="23" t="str">
        <f>IF(OR(E865="",E865="!!!"),"",IF(NOT(ISNA(VLOOKUP(E865,E$1:E864,1,FALSE()))),"OLD",IF(AND(E865&lt;&gt;"",E865&lt;&gt;"!!!"),"NEW","")))</f>
        <v> </v>
      </c>
      <c r="G865" s="24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5" t="str">
        <f>IF(J865&lt;&gt;1,"",IF(I865="SBJ","CB","?"))</f>
        <v> </v>
      </c>
      <c r="I865" s="26" t="str">
        <f>IF(OR(E865="",E865="!!!",F865="NEW"),"",INDEX(B864:B$2,-1+SUMPRODUCT(MAX(ROW(E864:E$2)*(E865=E864:E$2)))))</f>
        <v> </v>
      </c>
      <c r="J865" s="26" t="str">
        <f>IF(OR(E865="",E865="!!!",F865="NEW"),"",COUNTBLANK(OFFSET(A$1,,,SUMPRODUCT(MAX(ROW(E$2:E865)*(E865=E$2:E865)))))-COUNTBLANK(OFFSET(A$1,,,SUMPRODUCT(MAX(ROW(E$1:E864)*(E2=E$1:E864))))))</f>
        <v> </v>
      </c>
      <c r="K865" s="26" t="str">
        <f>IF(OR(E865="",E865="!!!",F865="NEW"),"",INDEX(J$1:J864,SUMPRODUCT(MAX(ROW(E$1:E864)*(E865=E$1:E864)))))</f>
        <v> </v>
      </c>
      <c r="L865" s="27"/>
    </row>
    <row r="866" spans="1:12">
      <c r="A866" s="20" t="s">
        <v>331</v>
      </c>
      <c r="E866" s="22">
        <f>IF(D866="?OLD","!!!","")</f>
        <v/>
      </c>
      <c r="F866" s="23" t="str">
        <f>IF(OR(E866="",E866="!!!"),"",IF(NOT(ISNA(VLOOKUP(E866,E$1:E865,1,FALSE()))),"OLD",IF(AND(E866&lt;&gt;"",E866&lt;&gt;"!!!"),"NEW","")))</f>
        <v> </v>
      </c>
      <c r="G866" s="24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5" t="str">
        <f>IF(J866&lt;&gt;1,"",IF(I866="SBJ","CB","?"))</f>
        <v> </v>
      </c>
      <c r="I866" s="26" t="str">
        <f>IF(OR(E866="",E866="!!!",F866="NEW"),"",INDEX(B865:B$2,-1+SUMPRODUCT(MAX(ROW(E865:E$2)*(E866=E865:E$2)))))</f>
        <v> </v>
      </c>
      <c r="J866" s="26" t="str">
        <f>IF(OR(E866="",E866="!!!",F866="NEW"),"",COUNTBLANK(OFFSET(A$1,,,SUMPRODUCT(MAX(ROW(E$2:E866)*(E866=E$2:E866)))))-COUNTBLANK(OFFSET(A$1,,,SUMPRODUCT(MAX(ROW(E$1:E865)*(E2=E$1:E865))))))</f>
        <v> </v>
      </c>
      <c r="K866" s="26" t="str">
        <f>IF(OR(E866="",E866="!!!",F866="NEW"),"",INDEX(J$1:J865,SUMPRODUCT(MAX(ROW(E$1:E865)*(E866=E$1:E865)))))</f>
        <v> </v>
      </c>
      <c r="L866" s="27"/>
    </row>
    <row r="867" spans="1:12">
      <c r="A867" s="20" t="s">
        <v>182</v>
      </c>
      <c r="B867" s="21" t="s">
        <v>151</v>
      </c>
      <c r="C867" s="21" t="s">
        <v>145</v>
      </c>
      <c r="E867" s="22">
        <f>IF(D867="?OLD","!!!","")</f>
        <v/>
      </c>
      <c r="F867" s="23" t="str">
        <f>IF(OR(E867="",E867="!!!"),"",IF(NOT(ISNA(VLOOKUP(E867,E$1:E866,1,FALSE()))),"OLD",IF(AND(E867&lt;&gt;"",E867&lt;&gt;"!!!"),"NEW","")))</f>
        <v> </v>
      </c>
      <c r="G867" s="24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5" t="str">
        <f>IF(J867&lt;&gt;1,"",IF(I867="SBJ","CB","?"))</f>
        <v> </v>
      </c>
      <c r="I867" s="26" t="str">
        <f>IF(OR(E867="",E867="!!!",F867="NEW"),"",INDEX(B866:B$2,-1+SUMPRODUCT(MAX(ROW(E866:E$2)*(E867=E866:E$2)))))</f>
        <v> </v>
      </c>
      <c r="J867" s="26" t="str">
        <f>IF(OR(E867="",E867="!!!",F867="NEW"),"",COUNTBLANK(OFFSET(A$1,,,SUMPRODUCT(MAX(ROW(E$2:E867)*(E867=E$2:E867)))))-COUNTBLANK(OFFSET(A$1,,,SUMPRODUCT(MAX(ROW(E$1:E866)*(E2=E$1:E866))))))</f>
        <v> </v>
      </c>
      <c r="K867" s="26" t="str">
        <f>IF(OR(E867="",E867="!!!",F867="NEW"),"",INDEX(J$1:J866,SUMPRODUCT(MAX(ROW(E$1:E866)*(E867=E$1:E866)))))</f>
        <v> </v>
      </c>
      <c r="L867" s="27"/>
    </row>
    <row r="868" spans="1:12">
      <c r="A868" s="20" t="s">
        <v>153</v>
      </c>
      <c r="E868" s="22">
        <f>IF(D868="?OLD","!!!","")</f>
        <v/>
      </c>
      <c r="F868" s="23" t="str">
        <f>IF(OR(E868="",E868="!!!"),"",IF(NOT(ISNA(VLOOKUP(E868,E$1:E867,1,FALSE()))),"OLD",IF(AND(E868&lt;&gt;"",E868&lt;&gt;"!!!"),"NEW","")))</f>
        <v> </v>
      </c>
      <c r="G868" s="24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5" t="str">
        <f>IF(J868&lt;&gt;1,"",IF(I868="SBJ","CB","?"))</f>
        <v> </v>
      </c>
      <c r="I868" s="26" t="str">
        <f>IF(OR(E868="",E868="!!!",F868="NEW"),"",INDEX(B867:B$2,-1+SUMPRODUCT(MAX(ROW(E867:E$2)*(E868=E867:E$2)))))</f>
        <v> </v>
      </c>
      <c r="J868" s="26" t="str">
        <f>IF(OR(E868="",E868="!!!",F868="NEW"),"",COUNTBLANK(OFFSET(A$1,,,SUMPRODUCT(MAX(ROW(E$2:E868)*(E868=E$2:E868)))))-COUNTBLANK(OFFSET(A$1,,,SUMPRODUCT(MAX(ROW(E$1:E867)*(E2=E$1:E867))))))</f>
        <v> </v>
      </c>
      <c r="K868" s="26" t="str">
        <f>IF(OR(E868="",E868="!!!",F868="NEW"),"",INDEX(J$1:J867,SUMPRODUCT(MAX(ROW(E$1:E867)*(E868=E$1:E867)))))</f>
        <v> </v>
      </c>
      <c r="L868" s="27"/>
    </row>
    <row r="869" spans="1:12">
      <c r="A869" s="20" t="s">
        <v>472</v>
      </c>
      <c r="E869" s="22">
        <f>IF(D869="?OLD","!!!","")</f>
        <v/>
      </c>
      <c r="F869" s="23" t="str">
        <f>IF(OR(E869="",E869="!!!"),"",IF(NOT(ISNA(VLOOKUP(E869,E$1:E868,1,FALSE()))),"OLD",IF(AND(E869&lt;&gt;"",E869&lt;&gt;"!!!"),"NEW","")))</f>
        <v> </v>
      </c>
      <c r="G869" s="24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5" t="str">
        <f>IF(J869&lt;&gt;1,"",IF(I869="SBJ","CB","?"))</f>
        <v> </v>
      </c>
      <c r="I869" s="26" t="str">
        <f>IF(OR(E869="",E869="!!!",F869="NEW"),"",INDEX(B868:B$2,-1+SUMPRODUCT(MAX(ROW(E868:E$2)*(E869=E868:E$2)))))</f>
        <v> </v>
      </c>
      <c r="J869" s="26" t="str">
        <f>IF(OR(E869="",E869="!!!",F869="NEW"),"",COUNTBLANK(OFFSET(A$1,,,SUMPRODUCT(MAX(ROW(E$2:E869)*(E869=E$2:E869)))))-COUNTBLANK(OFFSET(A$1,,,SUMPRODUCT(MAX(ROW(E$1:E868)*(E2=E$1:E868))))))</f>
        <v> </v>
      </c>
      <c r="K869" s="26" t="str">
        <f>IF(OR(E869="",E869="!!!",F869="NEW"),"",INDEX(J$1:J868,SUMPRODUCT(MAX(ROW(E$1:E868)*(E869=E$1:E868)))))</f>
        <v> </v>
      </c>
      <c r="L869" s="27"/>
    </row>
    <row r="870" spans="1:12">
      <c r="A870" s="20" t="s">
        <v>157</v>
      </c>
      <c r="B870" s="21" t="s">
        <v>175</v>
      </c>
      <c r="C870" s="21" t="s">
        <v>118</v>
      </c>
      <c r="D870" s="21" t="s">
        <v>119</v>
      </c>
      <c r="E870" s="22">
        <f>IF(D870="?OLD","!!!","")</f>
        <v/>
      </c>
      <c r="F870" s="23" t="str">
        <f>IF(OR(E870="",E870="!!!"),"",IF(NOT(ISNA(VLOOKUP(E870,E$1:E869,1,FALSE()))),"OLD",IF(AND(E870&lt;&gt;"",E870&lt;&gt;"!!!"),"NEW","")))</f>
        <v> </v>
      </c>
      <c r="G870" s="24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5" t="str">
        <f>IF(J870&lt;&gt;1,"",IF(I870="SBJ","CB","?"))</f>
        <v> </v>
      </c>
      <c r="I870" s="26" t="str">
        <f>IF(OR(E870="",E870="!!!",F870="NEW"),"",INDEX(B869:B$2,-1+SUMPRODUCT(MAX(ROW(E869:E$2)*(E870=E869:E$2)))))</f>
        <v> </v>
      </c>
      <c r="J870" s="26" t="str">
        <f>IF(OR(E870="",E870="!!!",F870="NEW"),"",COUNTBLANK(OFFSET(A$1,,,SUMPRODUCT(MAX(ROW(E$2:E870)*(E870=E$2:E870)))))-COUNTBLANK(OFFSET(A$1,,,SUMPRODUCT(MAX(ROW(E$1:E869)*(E2=E$1:E869))))))</f>
        <v> </v>
      </c>
      <c r="K870" s="26" t="str">
        <f>IF(OR(E870="",E870="!!!",F870="NEW"),"",INDEX(J$1:J869,SUMPRODUCT(MAX(ROW(E$1:E869)*(E870=E$1:E869)))))</f>
        <v> </v>
      </c>
      <c r="L870" s="27"/>
    </row>
    <row r="871" spans="1:12">
      <c r="A871" s="20" t="s">
        <v>331</v>
      </c>
      <c r="E871" s="22">
        <f>IF(D871="?OLD","!!!","")</f>
        <v/>
      </c>
      <c r="F871" s="23" t="str">
        <f>IF(OR(E871="",E871="!!!"),"",IF(NOT(ISNA(VLOOKUP(E871,E$1:E870,1,FALSE()))),"OLD",IF(AND(E871&lt;&gt;"",E871&lt;&gt;"!!!"),"NEW","")))</f>
        <v> </v>
      </c>
      <c r="G871" s="24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5" t="str">
        <f>IF(J871&lt;&gt;1,"",IF(I871="SBJ","CB","?"))</f>
        <v> </v>
      </c>
      <c r="I871" s="26" t="str">
        <f>IF(OR(E871="",E871="!!!",F871="NEW"),"",INDEX(B870:B$2,-1+SUMPRODUCT(MAX(ROW(E870:E$2)*(E871=E870:E$2)))))</f>
        <v> </v>
      </c>
      <c r="J871" s="26" t="str">
        <f>IF(OR(E871="",E871="!!!",F871="NEW"),"",COUNTBLANK(OFFSET(A$1,,,SUMPRODUCT(MAX(ROW(E$2:E871)*(E871=E$2:E871)))))-COUNTBLANK(OFFSET(A$1,,,SUMPRODUCT(MAX(ROW(E$1:E870)*(E2=E$1:E870))))))</f>
        <v> </v>
      </c>
      <c r="K871" s="26" t="str">
        <f>IF(OR(E871="",E871="!!!",F871="NEW"),"",INDEX(J$1:J870,SUMPRODUCT(MAX(ROW(E$1:E870)*(E871=E$1:E870)))))</f>
        <v> </v>
      </c>
      <c r="L871" s="27"/>
    </row>
    <row r="872" spans="1:12">
      <c r="A872" s="20" t="s">
        <v>163</v>
      </c>
      <c r="E872" s="22">
        <f>IF(D872="?OLD","!!!","")</f>
        <v/>
      </c>
      <c r="F872" s="23" t="str">
        <f>IF(OR(E872="",E872="!!!"),"",IF(NOT(ISNA(VLOOKUP(E872,E$1:E871,1,FALSE()))),"OLD",IF(AND(E872&lt;&gt;"",E872&lt;&gt;"!!!"),"NEW","")))</f>
        <v> </v>
      </c>
      <c r="G872" s="24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5" t="str">
        <f>IF(J872&lt;&gt;1,"",IF(I872="SBJ","CB","?"))</f>
        <v> </v>
      </c>
      <c r="I872" s="26" t="str">
        <f>IF(OR(E872="",E872="!!!",F872="NEW"),"",INDEX(B871:B$2,-1+SUMPRODUCT(MAX(ROW(E871:E$2)*(E872=E871:E$2)))))</f>
        <v> </v>
      </c>
      <c r="J872" s="26" t="str">
        <f>IF(OR(E872="",E872="!!!",F872="NEW"),"",COUNTBLANK(OFFSET(A$1,,,SUMPRODUCT(MAX(ROW(E$2:E872)*(E872=E$2:E872)))))-COUNTBLANK(OFFSET(A$1,,,SUMPRODUCT(MAX(ROW(E$1:E871)*(E2=E$1:E871))))))</f>
        <v> </v>
      </c>
      <c r="K872" s="26" t="str">
        <f>IF(OR(E872="",E872="!!!",F872="NEW"),"",INDEX(J$1:J871,SUMPRODUCT(MAX(ROW(E$1:E871)*(E872=E$1:E871)))))</f>
        <v> </v>
      </c>
      <c r="L872" s="27"/>
    </row>
    <row r="873" spans="1:12">
      <c r="A873" s="20"/>
    </row>
    <row r="874" spans="1:12">
      <c r="A874" s="20" t="s">
        <v>473</v>
      </c>
    </row>
    <row r="875" spans="1:12">
      <c r="A875" s="20" t="s">
        <v>97</v>
      </c>
      <c r="B875" s="21" t="s">
        <v>125</v>
      </c>
      <c r="C875" s="21" t="s">
        <v>145</v>
      </c>
      <c r="E875" s="22">
        <f>IF(D875="?OLD","!!!","")</f>
        <v/>
      </c>
      <c r="F875" s="23" t="str">
        <f>IF(OR(E875="",E875="!!!"),"",IF(NOT(ISNA(VLOOKUP(E875,E$1:E874,1,FALSE()))),"OLD",IF(AND(E875&lt;&gt;"",E875&lt;&gt;"!!!"),"NEW","")))</f>
        <v> </v>
      </c>
      <c r="G875" s="24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5" t="str">
        <f>IF(J875&lt;&gt;1,"",IF(I875="SBJ","CB","?"))</f>
        <v> </v>
      </c>
      <c r="I875" s="26" t="str">
        <f>IF(OR(E875="",E875="!!!",F875="NEW"),"",INDEX(B874:B$2,-1+SUMPRODUCT(MAX(ROW(E874:E$2)*(E875=E874:E$2)))))</f>
        <v> </v>
      </c>
      <c r="J875" s="26" t="str">
        <f>IF(OR(E875="",E875="!!!",F875="NEW"),"",COUNTBLANK(OFFSET(A$1,,,SUMPRODUCT(MAX(ROW(E$2:E875)*(E875=E$2:E875)))))-COUNTBLANK(OFFSET(A$1,,,SUMPRODUCT(MAX(ROW(E$1:E874)*(E2=E$1:E874))))))</f>
        <v> </v>
      </c>
      <c r="K875" s="26" t="str">
        <f>IF(OR(E875="",E875="!!!",F875="NEW"),"",INDEX(J$1:J874,SUMPRODUCT(MAX(ROW(E$1:E874)*(E875=E$1:E874)))))</f>
        <v> </v>
      </c>
      <c r="L875" s="27"/>
    </row>
    <row r="876" spans="1:12">
      <c r="A876" s="20" t="s">
        <v>163</v>
      </c>
      <c r="E876" s="22">
        <f>IF(D876="?OLD","!!!","")</f>
        <v/>
      </c>
      <c r="F876" s="23" t="str">
        <f>IF(OR(E876="",E876="!!!"),"",IF(NOT(ISNA(VLOOKUP(E876,E$1:E875,1,FALSE()))),"OLD",IF(AND(E876&lt;&gt;"",E876&lt;&gt;"!!!"),"NEW","")))</f>
        <v> </v>
      </c>
      <c r="G876" s="24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5" t="str">
        <f>IF(J876&lt;&gt;1,"",IF(I876="SBJ","CB","?"))</f>
        <v> </v>
      </c>
      <c r="I876" s="26" t="str">
        <f>IF(OR(E876="",E876="!!!",F876="NEW"),"",INDEX(B875:B$2,-1+SUMPRODUCT(MAX(ROW(E875:E$2)*(E876=E875:E$2)))))</f>
        <v> </v>
      </c>
      <c r="J876" s="26" t="str">
        <f>IF(OR(E876="",E876="!!!",F876="NEW"),"",COUNTBLANK(OFFSET(A$1,,,SUMPRODUCT(MAX(ROW(E$2:E876)*(E876=E$2:E876)))))-COUNTBLANK(OFFSET(A$1,,,SUMPRODUCT(MAX(ROW(E$1:E875)*(E2=E$1:E875))))))</f>
        <v> </v>
      </c>
      <c r="K876" s="26" t="str">
        <f>IF(OR(E876="",E876="!!!",F876="NEW"),"",INDEX(J$1:J875,SUMPRODUCT(MAX(ROW(E$1:E875)*(E876=E$1:E875)))))</f>
        <v> </v>
      </c>
      <c r="L876" s="27"/>
    </row>
    <row r="877" spans="1:12">
      <c r="A877" s="20"/>
    </row>
    <row r="878" spans="1:12">
      <c r="A878" s="20" t="s">
        <v>474</v>
      </c>
    </row>
    <row r="879" spans="1:12">
      <c r="A879" s="20" t="s">
        <v>475</v>
      </c>
      <c r="B879" s="21" t="s">
        <v>117</v>
      </c>
      <c r="C879" s="21" t="s">
        <v>135</v>
      </c>
      <c r="E879" s="22">
        <f>IF(D879="?OLD","!!!","")</f>
        <v/>
      </c>
      <c r="F879" s="23" t="str">
        <f>IF(OR(E879="",E879="!!!"),"",IF(NOT(ISNA(VLOOKUP(E879,E$1:E878,1,FALSE()))),"OLD",IF(AND(E879&lt;&gt;"",E879&lt;&gt;"!!!"),"NEW","")))</f>
        <v> </v>
      </c>
      <c r="G879" s="24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5" t="str">
        <f>IF(J879&lt;&gt;1,"",IF(I879="SBJ","CB","?"))</f>
        <v> </v>
      </c>
      <c r="I879" s="26" t="str">
        <f>IF(OR(E879="",E879="!!!",F879="NEW"),"",INDEX(B878:B$2,-1+SUMPRODUCT(MAX(ROW(E878:E$2)*(E879=E878:E$2)))))</f>
        <v> </v>
      </c>
      <c r="J879" s="26" t="str">
        <f>IF(OR(E879="",E879="!!!",F879="NEW"),"",COUNTBLANK(OFFSET(A$1,,,SUMPRODUCT(MAX(ROW(E$2:E879)*(E879=E$2:E879)))))-COUNTBLANK(OFFSET(A$1,,,SUMPRODUCT(MAX(ROW(E$1:E878)*(E2=E$1:E878))))))</f>
        <v> </v>
      </c>
      <c r="K879" s="26" t="str">
        <f>IF(OR(E879="",E879="!!!",F879="NEW"),"",INDEX(J$1:J878,SUMPRODUCT(MAX(ROW(E$1:E878)*(E879=E$1:E878)))))</f>
        <v> </v>
      </c>
      <c r="L879" s="27"/>
    </row>
    <row r="880" spans="1:12">
      <c r="A880" s="20" t="s">
        <v>476</v>
      </c>
      <c r="E880" s="22">
        <f>IF(D880="?OLD","!!!","")</f>
        <v/>
      </c>
      <c r="F880" s="23" t="str">
        <f>IF(OR(E880="",E880="!!!"),"",IF(NOT(ISNA(VLOOKUP(E880,E$1:E879,1,FALSE()))),"OLD",IF(AND(E880&lt;&gt;"",E880&lt;&gt;"!!!"),"NEW","")))</f>
        <v> </v>
      </c>
      <c r="G880" s="24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5" t="str">
        <f>IF(J880&lt;&gt;1,"",IF(I880="SBJ","CB","?"))</f>
        <v> </v>
      </c>
      <c r="I880" s="26" t="str">
        <f>IF(OR(E880="",E880="!!!",F880="NEW"),"",INDEX(B879:B$2,-1+SUMPRODUCT(MAX(ROW(E879:E$2)*(E880=E879:E$2)))))</f>
        <v> </v>
      </c>
      <c r="J880" s="26" t="str">
        <f>IF(OR(E880="",E880="!!!",F880="NEW"),"",COUNTBLANK(OFFSET(A$1,,,SUMPRODUCT(MAX(ROW(E$2:E880)*(E880=E$2:E880)))))-COUNTBLANK(OFFSET(A$1,,,SUMPRODUCT(MAX(ROW(E$1:E879)*(E2=E$1:E879))))))</f>
        <v> </v>
      </c>
      <c r="K880" s="26" t="str">
        <f>IF(OR(E880="",E880="!!!",F880="NEW"),"",INDEX(J$1:J879,SUMPRODUCT(MAX(ROW(E$1:E879)*(E880=E$1:E879)))))</f>
        <v> </v>
      </c>
      <c r="L880" s="27"/>
    </row>
    <row r="881" spans="1:12">
      <c r="A881" s="20" t="s">
        <v>477</v>
      </c>
      <c r="E881" s="22">
        <f>IF(D881="?OLD","!!!","")</f>
        <v/>
      </c>
      <c r="F881" s="23" t="str">
        <f>IF(OR(E881="",E881="!!!"),"",IF(NOT(ISNA(VLOOKUP(E881,E$1:E880,1,FALSE()))),"OLD",IF(AND(E881&lt;&gt;"",E881&lt;&gt;"!!!"),"NEW","")))</f>
        <v> </v>
      </c>
      <c r="G881" s="24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5" t="str">
        <f>IF(J881&lt;&gt;1,"",IF(I881="SBJ","CB","?"))</f>
        <v> </v>
      </c>
      <c r="I881" s="26" t="str">
        <f>IF(OR(E881="",E881="!!!",F881="NEW"),"",INDEX(B880:B$2,-1+SUMPRODUCT(MAX(ROW(E880:E$2)*(E881=E880:E$2)))))</f>
        <v> </v>
      </c>
      <c r="J881" s="26" t="str">
        <f>IF(OR(E881="",E881="!!!",F881="NEW"),"",COUNTBLANK(OFFSET(A$1,,,SUMPRODUCT(MAX(ROW(E$2:E881)*(E881=E$2:E881)))))-COUNTBLANK(OFFSET(A$1,,,SUMPRODUCT(MAX(ROW(E$1:E880)*(E2=E$1:E880))))))</f>
        <v> </v>
      </c>
      <c r="K881" s="26" t="str">
        <f>IF(OR(E881="",E881="!!!",F881="NEW"),"",INDEX(J$1:J880,SUMPRODUCT(MAX(ROW(E$1:E880)*(E881=E$1:E880)))))</f>
        <v> </v>
      </c>
      <c r="L881" s="27"/>
    </row>
    <row r="882" spans="1:12">
      <c r="A882" s="20" t="s">
        <v>223</v>
      </c>
      <c r="E882" s="22">
        <f>IF(D882="?OLD","!!!","")</f>
        <v/>
      </c>
      <c r="F882" s="23" t="str">
        <f>IF(OR(E882="",E882="!!!"),"",IF(NOT(ISNA(VLOOKUP(E882,E$1:E881,1,FALSE()))),"OLD",IF(AND(E882&lt;&gt;"",E882&lt;&gt;"!!!"),"NEW","")))</f>
        <v> </v>
      </c>
      <c r="G882" s="24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5" t="str">
        <f>IF(J882&lt;&gt;1,"",IF(I882="SBJ","CB","?"))</f>
        <v> </v>
      </c>
      <c r="I882" s="26" t="str">
        <f>IF(OR(E882="",E882="!!!",F882="NEW"),"",INDEX(B881:B$2,-1+SUMPRODUCT(MAX(ROW(E881:E$2)*(E882=E881:E$2)))))</f>
        <v> </v>
      </c>
      <c r="J882" s="26" t="str">
        <f>IF(OR(E882="",E882="!!!",F882="NEW"),"",COUNTBLANK(OFFSET(A$1,,,SUMPRODUCT(MAX(ROW(E$2:E882)*(E882=E$2:E882)))))-COUNTBLANK(OFFSET(A$1,,,SUMPRODUCT(MAX(ROW(E$1:E881)*(E2=E$1:E881))))))</f>
        <v> </v>
      </c>
      <c r="K882" s="26" t="str">
        <f>IF(OR(E882="",E882="!!!",F882="NEW"),"",INDEX(J$1:J881,SUMPRODUCT(MAX(ROW(E$1:E881)*(E882=E$1:E881)))))</f>
        <v> </v>
      </c>
      <c r="L882" s="27"/>
    </row>
    <row r="883" spans="1:12">
      <c r="A883" s="20" t="s">
        <v>292</v>
      </c>
      <c r="E883" s="22">
        <f>IF(D883="?OLD","!!!","")</f>
        <v/>
      </c>
      <c r="F883" s="23" t="str">
        <f>IF(OR(E883="",E883="!!!"),"",IF(NOT(ISNA(VLOOKUP(E883,E$1:E882,1,FALSE()))),"OLD",IF(AND(E883&lt;&gt;"",E883&lt;&gt;"!!!"),"NEW","")))</f>
        <v> </v>
      </c>
      <c r="G883" s="24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5" t="str">
        <f>IF(J883&lt;&gt;1,"",IF(I883="SBJ","CB","?"))</f>
        <v> </v>
      </c>
      <c r="I883" s="26" t="str">
        <f>IF(OR(E883="",E883="!!!",F883="NEW"),"",INDEX(B882:B$2,-1+SUMPRODUCT(MAX(ROW(E882:E$2)*(E883=E882:E$2)))))</f>
        <v> </v>
      </c>
      <c r="J883" s="26" t="str">
        <f>IF(OR(E883="",E883="!!!",F883="NEW"),"",COUNTBLANK(OFFSET(A$1,,,SUMPRODUCT(MAX(ROW(E$2:E883)*(E883=E$2:E883)))))-COUNTBLANK(OFFSET(A$1,,,SUMPRODUCT(MAX(ROW(E$1:E882)*(E2=E$1:E882))))))</f>
        <v> </v>
      </c>
      <c r="K883" s="26" t="str">
        <f>IF(OR(E883="",E883="!!!",F883="NEW"),"",INDEX(J$1:J882,SUMPRODUCT(MAX(ROW(E$1:E882)*(E883=E$1:E882)))))</f>
        <v> </v>
      </c>
      <c r="L883" s="27"/>
    </row>
    <row r="884" spans="1:12">
      <c r="A884" s="20" t="s">
        <v>478</v>
      </c>
      <c r="B884" s="21" t="s">
        <v>172</v>
      </c>
      <c r="C884" s="21" t="s">
        <v>152</v>
      </c>
      <c r="D884" s="21" t="s">
        <v>119</v>
      </c>
      <c r="E884" s="22">
        <f>IF(D884="?OLD","!!!","")</f>
        <v/>
      </c>
      <c r="F884" s="23" t="str">
        <f>IF(OR(E884="",E884="!!!"),"",IF(NOT(ISNA(VLOOKUP(E884,E$1:E883,1,FALSE()))),"OLD",IF(AND(E884&lt;&gt;"",E884&lt;&gt;"!!!"),"NEW","")))</f>
        <v> </v>
      </c>
      <c r="G884" s="24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5" t="str">
        <f>IF(J884&lt;&gt;1,"",IF(I884="SBJ","CB","?"))</f>
        <v> </v>
      </c>
      <c r="I884" s="26" t="str">
        <f>IF(OR(E884="",E884="!!!",F884="NEW"),"",INDEX(B883:B$2,-1+SUMPRODUCT(MAX(ROW(E883:E$2)*(E884=E883:E$2)))))</f>
        <v> </v>
      </c>
      <c r="J884" s="26" t="str">
        <f>IF(OR(E884="",E884="!!!",F884="NEW"),"",COUNTBLANK(OFFSET(A$1,,,SUMPRODUCT(MAX(ROW(E$2:E884)*(E884=E$2:E884)))))-COUNTBLANK(OFFSET(A$1,,,SUMPRODUCT(MAX(ROW(E$1:E883)*(E2=E$1:E883))))))</f>
        <v> </v>
      </c>
      <c r="K884" s="26" t="str">
        <f>IF(OR(E884="",E884="!!!",F884="NEW"),"",INDEX(J$1:J883,SUMPRODUCT(MAX(ROW(E$1:E883)*(E884=E$1:E883)))))</f>
        <v> </v>
      </c>
      <c r="L884" s="27"/>
    </row>
    <row r="885" spans="1:12">
      <c r="A885" s="20" t="s">
        <v>127</v>
      </c>
      <c r="E885" s="22">
        <f>IF(D885="?OLD","!!!","")</f>
        <v/>
      </c>
      <c r="F885" s="23" t="str">
        <f>IF(OR(E885="",E885="!!!"),"",IF(NOT(ISNA(VLOOKUP(E885,E$1:E884,1,FALSE()))),"OLD",IF(AND(E885&lt;&gt;"",E885&lt;&gt;"!!!"),"NEW","")))</f>
        <v> </v>
      </c>
      <c r="G885" s="24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5" t="str">
        <f>IF(J885&lt;&gt;1,"",IF(I885="SBJ","CB","?"))</f>
        <v> </v>
      </c>
      <c r="I885" s="26" t="str">
        <f>IF(OR(E885="",E885="!!!",F885="NEW"),"",INDEX(B884:B$2,-1+SUMPRODUCT(MAX(ROW(E884:E$2)*(E885=E884:E$2)))))</f>
        <v> </v>
      </c>
      <c r="J885" s="26" t="str">
        <f>IF(OR(E885="",E885="!!!",F885="NEW"),"",COUNTBLANK(OFFSET(A$1,,,SUMPRODUCT(MAX(ROW(E$2:E885)*(E885=E$2:E885)))))-COUNTBLANK(OFFSET(A$1,,,SUMPRODUCT(MAX(ROW(E$1:E884)*(E2=E$1:E884))))))</f>
        <v> </v>
      </c>
      <c r="K885" s="26" t="str">
        <f>IF(OR(E885="",E885="!!!",F885="NEW"),"",INDEX(J$1:J884,SUMPRODUCT(MAX(ROW(E$1:E884)*(E885=E$1:E884)))))</f>
        <v> </v>
      </c>
      <c r="L885" s="27"/>
    </row>
    <row r="886" spans="1:12">
      <c r="A886" s="20" t="s">
        <v>479</v>
      </c>
      <c r="E886" s="22">
        <f>IF(D886="?OLD","!!!","")</f>
        <v/>
      </c>
      <c r="F886" s="23" t="str">
        <f>IF(OR(E886="",E886="!!!"),"",IF(NOT(ISNA(VLOOKUP(E886,E$1:E885,1,FALSE()))),"OLD",IF(AND(E886&lt;&gt;"",E886&lt;&gt;"!!!"),"NEW","")))</f>
        <v> </v>
      </c>
      <c r="G886" s="24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5" t="str">
        <f>IF(J886&lt;&gt;1,"",IF(I886="SBJ","CB","?"))</f>
        <v> </v>
      </c>
      <c r="I886" s="26" t="str">
        <f>IF(OR(E886="",E886="!!!",F886="NEW"),"",INDEX(B885:B$2,-1+SUMPRODUCT(MAX(ROW(E885:E$2)*(E886=E885:E$2)))))</f>
        <v> </v>
      </c>
      <c r="J886" s="26" t="str">
        <f>IF(OR(E886="",E886="!!!",F886="NEW"),"",COUNTBLANK(OFFSET(A$1,,,SUMPRODUCT(MAX(ROW(E$2:E886)*(E886=E$2:E886)))))-COUNTBLANK(OFFSET(A$1,,,SUMPRODUCT(MAX(ROW(E$1:E885)*(E2=E$1:E885))))))</f>
        <v> </v>
      </c>
      <c r="K886" s="26" t="str">
        <f>IF(OR(E886="",E886="!!!",F886="NEW"),"",INDEX(J$1:J885,SUMPRODUCT(MAX(ROW(E$1:E885)*(E886=E$1:E885)))))</f>
        <v> </v>
      </c>
      <c r="L886" s="27"/>
    </row>
    <row r="887" spans="1:12">
      <c r="A887" s="20" t="s">
        <v>468</v>
      </c>
      <c r="E887" s="22">
        <f>IF(D887="?OLD","!!!","")</f>
        <v/>
      </c>
      <c r="F887" s="23" t="str">
        <f>IF(OR(E887="",E887="!!!"),"",IF(NOT(ISNA(VLOOKUP(E887,E$1:E886,1,FALSE()))),"OLD",IF(AND(E887&lt;&gt;"",E887&lt;&gt;"!!!"),"NEW","")))</f>
        <v> </v>
      </c>
      <c r="G887" s="24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5" t="str">
        <f>IF(J887&lt;&gt;1,"",IF(I887="SBJ","CB","?"))</f>
        <v> </v>
      </c>
      <c r="I887" s="26" t="str">
        <f>IF(OR(E887="",E887="!!!",F887="NEW"),"",INDEX(B886:B$2,-1+SUMPRODUCT(MAX(ROW(E886:E$2)*(E887=E886:E$2)))))</f>
        <v> </v>
      </c>
      <c r="J887" s="26" t="str">
        <f>IF(OR(E887="",E887="!!!",F887="NEW"),"",COUNTBLANK(OFFSET(A$1,,,SUMPRODUCT(MAX(ROW(E$2:E887)*(E887=E$2:E887)))))-COUNTBLANK(OFFSET(A$1,,,SUMPRODUCT(MAX(ROW(E$1:E886)*(E2=E$1:E886))))))</f>
        <v> </v>
      </c>
      <c r="K887" s="26" t="str">
        <f>IF(OR(E887="",E887="!!!",F887="NEW"),"",INDEX(J$1:J886,SUMPRODUCT(MAX(ROW(E$1:E886)*(E887=E$1:E886)))))</f>
        <v> </v>
      </c>
      <c r="L887" s="27"/>
    </row>
    <row r="888" spans="1:12">
      <c r="A888" s="20" t="s">
        <v>480</v>
      </c>
      <c r="E888" s="22">
        <f>IF(D888="?OLD","!!!","")</f>
        <v/>
      </c>
      <c r="F888" s="23" t="str">
        <f>IF(OR(E888="",E888="!!!"),"",IF(NOT(ISNA(VLOOKUP(E888,E$1:E887,1,FALSE()))),"OLD",IF(AND(E888&lt;&gt;"",E888&lt;&gt;"!!!"),"NEW","")))</f>
        <v> </v>
      </c>
      <c r="G888" s="24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5" t="str">
        <f>IF(J888&lt;&gt;1,"",IF(I888="SBJ","CB","?"))</f>
        <v> </v>
      </c>
      <c r="I888" s="26" t="str">
        <f>IF(OR(E888="",E888="!!!",F888="NEW"),"",INDEX(B887:B$2,-1+SUMPRODUCT(MAX(ROW(E887:E$2)*(E888=E887:E$2)))))</f>
        <v> </v>
      </c>
      <c r="J888" s="26" t="str">
        <f>IF(OR(E888="",E888="!!!",F888="NEW"),"",COUNTBLANK(OFFSET(A$1,,,SUMPRODUCT(MAX(ROW(E$2:E888)*(E888=E$2:E888)))))-COUNTBLANK(OFFSET(A$1,,,SUMPRODUCT(MAX(ROW(E$1:E887)*(E2=E$1:E887))))))</f>
        <v> </v>
      </c>
      <c r="K888" s="26" t="str">
        <f>IF(OR(E888="",E888="!!!",F888="NEW"),"",INDEX(J$1:J887,SUMPRODUCT(MAX(ROW(E$1:E887)*(E888=E$1:E887)))))</f>
        <v> </v>
      </c>
      <c r="L888" s="27"/>
    </row>
    <row r="889" spans="1:12">
      <c r="A889" s="20" t="s">
        <v>336</v>
      </c>
      <c r="B889" s="21" t="s">
        <v>151</v>
      </c>
      <c r="C889" s="21" t="s">
        <v>145</v>
      </c>
      <c r="E889" s="22">
        <f>IF(D889="?OLD","!!!","")</f>
        <v/>
      </c>
      <c r="F889" s="23" t="str">
        <f>IF(OR(E889="",E889="!!!"),"",IF(NOT(ISNA(VLOOKUP(E889,E$1:E888,1,FALSE()))),"OLD",IF(AND(E889&lt;&gt;"",E889&lt;&gt;"!!!"),"NEW","")))</f>
        <v> </v>
      </c>
      <c r="G889" s="24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5" t="str">
        <f>IF(J889&lt;&gt;1,"",IF(I889="SBJ","CB","?"))</f>
        <v> </v>
      </c>
      <c r="I889" s="26" t="str">
        <f>IF(OR(E889="",E889="!!!",F889="NEW"),"",INDEX(B888:B$2,-1+SUMPRODUCT(MAX(ROW(E888:E$2)*(E889=E888:E$2)))))</f>
        <v> </v>
      </c>
      <c r="J889" s="26" t="str">
        <f>IF(OR(E889="",E889="!!!",F889="NEW"),"",COUNTBLANK(OFFSET(A$1,,,SUMPRODUCT(MAX(ROW(E$2:E889)*(E889=E$2:E889)))))-COUNTBLANK(OFFSET(A$1,,,SUMPRODUCT(MAX(ROW(E$1:E888)*(E2=E$1:E888))))))</f>
        <v> </v>
      </c>
      <c r="K889" s="26" t="str">
        <f>IF(OR(E889="",E889="!!!",F889="NEW"),"",INDEX(J$1:J888,SUMPRODUCT(MAX(ROW(E$1:E888)*(E889=E$1:E888)))))</f>
        <v> </v>
      </c>
      <c r="L889" s="27"/>
    </row>
    <row r="890" spans="1:12">
      <c r="A890" s="20" t="s">
        <v>308</v>
      </c>
      <c r="E890" s="22">
        <f>IF(D890="?OLD","!!!","")</f>
        <v/>
      </c>
      <c r="F890" s="23" t="str">
        <f>IF(OR(E890="",E890="!!!"),"",IF(NOT(ISNA(VLOOKUP(E890,E$1:E889,1,FALSE()))),"OLD",IF(AND(E890&lt;&gt;"",E890&lt;&gt;"!!!"),"NEW","")))</f>
        <v> </v>
      </c>
      <c r="G890" s="24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5" t="str">
        <f>IF(J890&lt;&gt;1,"",IF(I890="SBJ","CB","?"))</f>
        <v> </v>
      </c>
      <c r="I890" s="26" t="str">
        <f>IF(OR(E890="",E890="!!!",F890="NEW"),"",INDEX(B889:B$2,-1+SUMPRODUCT(MAX(ROW(E889:E$2)*(E890=E889:E$2)))))</f>
        <v> </v>
      </c>
      <c r="J890" s="26" t="str">
        <f>IF(OR(E890="",E890="!!!",F890="NEW"),"",COUNTBLANK(OFFSET(A$1,,,SUMPRODUCT(MAX(ROW(E$2:E890)*(E890=E$2:E890)))))-COUNTBLANK(OFFSET(A$1,,,SUMPRODUCT(MAX(ROW(E$1:E889)*(E2=E$1:E889))))))</f>
        <v> </v>
      </c>
      <c r="K890" s="26" t="str">
        <f>IF(OR(E890="",E890="!!!",F890="NEW"),"",INDEX(J$1:J889,SUMPRODUCT(MAX(ROW(E$1:E889)*(E890=E$1:E889)))))</f>
        <v> </v>
      </c>
      <c r="L890" s="27"/>
    </row>
    <row r="891" spans="1:12">
      <c r="A891" s="20" t="s">
        <v>246</v>
      </c>
      <c r="E891" s="22">
        <f>IF(D891="?OLD","!!!","")</f>
        <v/>
      </c>
      <c r="F891" s="23" t="str">
        <f>IF(OR(E891="",E891="!!!"),"",IF(NOT(ISNA(VLOOKUP(E891,E$1:E890,1,FALSE()))),"OLD",IF(AND(E891&lt;&gt;"",E891&lt;&gt;"!!!"),"NEW","")))</f>
        <v> </v>
      </c>
      <c r="G891" s="24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5" t="str">
        <f>IF(J891&lt;&gt;1,"",IF(I891="SBJ","CB","?"))</f>
        <v> </v>
      </c>
      <c r="I891" s="26" t="str">
        <f>IF(OR(E891="",E891="!!!",F891="NEW"),"",INDEX(B890:B$2,-1+SUMPRODUCT(MAX(ROW(E890:E$2)*(E891=E890:E$2)))))</f>
        <v> </v>
      </c>
      <c r="J891" s="26" t="str">
        <f>IF(OR(E891="",E891="!!!",F891="NEW"),"",COUNTBLANK(OFFSET(A$1,,,SUMPRODUCT(MAX(ROW(E$2:E891)*(E891=E$2:E891)))))-COUNTBLANK(OFFSET(A$1,,,SUMPRODUCT(MAX(ROW(E$1:E890)*(E2=E$1:E890))))))</f>
        <v> </v>
      </c>
      <c r="K891" s="26" t="str">
        <f>IF(OR(E891="",E891="!!!",F891="NEW"),"",INDEX(J$1:J890,SUMPRODUCT(MAX(ROW(E$1:E890)*(E891=E$1:E890)))))</f>
        <v> </v>
      </c>
      <c r="L891" s="27"/>
    </row>
    <row r="892" spans="1:12">
      <c r="A892" s="20" t="s">
        <v>481</v>
      </c>
      <c r="E892" s="22">
        <f>IF(D892="?OLD","!!!","")</f>
        <v/>
      </c>
      <c r="F892" s="23" t="str">
        <f>IF(OR(E892="",E892="!!!"),"",IF(NOT(ISNA(VLOOKUP(E892,E$1:E891,1,FALSE()))),"OLD",IF(AND(E892&lt;&gt;"",E892&lt;&gt;"!!!"),"NEW","")))</f>
        <v> </v>
      </c>
      <c r="G892" s="24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5" t="str">
        <f>IF(J892&lt;&gt;1,"",IF(I892="SBJ","CB","?"))</f>
        <v> </v>
      </c>
      <c r="I892" s="26" t="str">
        <f>IF(OR(E892="",E892="!!!",F892="NEW"),"",INDEX(B891:B$2,-1+SUMPRODUCT(MAX(ROW(E891:E$2)*(E892=E891:E$2)))))</f>
        <v> </v>
      </c>
      <c r="J892" s="26" t="str">
        <f>IF(OR(E892="",E892="!!!",F892="NEW"),"",COUNTBLANK(OFFSET(A$1,,,SUMPRODUCT(MAX(ROW(E$2:E892)*(E892=E$2:E892)))))-COUNTBLANK(OFFSET(A$1,,,SUMPRODUCT(MAX(ROW(E$1:E891)*(E2=E$1:E891))))))</f>
        <v> </v>
      </c>
      <c r="K892" s="26" t="str">
        <f>IF(OR(E892="",E892="!!!",F892="NEW"),"",INDEX(J$1:J891,SUMPRODUCT(MAX(ROW(E$1:E891)*(E892=E$1:E891)))))</f>
        <v> </v>
      </c>
      <c r="L892" s="27"/>
    </row>
    <row r="893" spans="1:12">
      <c r="A893" s="20" t="s">
        <v>127</v>
      </c>
      <c r="E893" s="22">
        <f>IF(D893="?OLD","!!!","")</f>
        <v/>
      </c>
      <c r="F893" s="23" t="str">
        <f>IF(OR(E893="",E893="!!!"),"",IF(NOT(ISNA(VLOOKUP(E893,E$1:E892,1,FALSE()))),"OLD",IF(AND(E893&lt;&gt;"",E893&lt;&gt;"!!!"),"NEW","")))</f>
        <v> </v>
      </c>
      <c r="G893" s="24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5" t="str">
        <f>IF(J893&lt;&gt;1,"",IF(I893="SBJ","CB","?"))</f>
        <v> </v>
      </c>
      <c r="I893" s="26" t="str">
        <f>IF(OR(E893="",E893="!!!",F893="NEW"),"",INDEX(B892:B$2,-1+SUMPRODUCT(MAX(ROW(E892:E$2)*(E893=E892:E$2)))))</f>
        <v> </v>
      </c>
      <c r="J893" s="26" t="str">
        <f>IF(OR(E893="",E893="!!!",F893="NEW"),"",COUNTBLANK(OFFSET(A$1,,,SUMPRODUCT(MAX(ROW(E$2:E893)*(E893=E$2:E893)))))-COUNTBLANK(OFFSET(A$1,,,SUMPRODUCT(MAX(ROW(E$1:E892)*(E2=E$1:E892))))))</f>
        <v> </v>
      </c>
      <c r="K893" s="26" t="str">
        <f>IF(OR(E893="",E893="!!!",F893="NEW"),"",INDEX(J$1:J892,SUMPRODUCT(MAX(ROW(E$1:E892)*(E893=E$1:E892)))))</f>
        <v> </v>
      </c>
      <c r="L893" s="27"/>
    </row>
    <row r="894" spans="1:12">
      <c r="A894" s="20" t="s">
        <v>479</v>
      </c>
      <c r="E894" s="22">
        <f>IF(D894="?OLD","!!!","")</f>
        <v/>
      </c>
      <c r="F894" s="23" t="str">
        <f>IF(OR(E894="",E894="!!!"),"",IF(NOT(ISNA(VLOOKUP(E894,E$1:E893,1,FALSE()))),"OLD",IF(AND(E894&lt;&gt;"",E894&lt;&gt;"!!!"),"NEW","")))</f>
        <v> </v>
      </c>
      <c r="G894" s="24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5" t="str">
        <f>IF(J894&lt;&gt;1,"",IF(I894="SBJ","CB","?"))</f>
        <v> </v>
      </c>
      <c r="I894" s="26" t="str">
        <f>IF(OR(E894="",E894="!!!",F894="NEW"),"",INDEX(B893:B$2,-1+SUMPRODUCT(MAX(ROW(E893:E$2)*(E894=E893:E$2)))))</f>
        <v> </v>
      </c>
      <c r="J894" s="26" t="str">
        <f>IF(OR(E894="",E894="!!!",F894="NEW"),"",COUNTBLANK(OFFSET(A$1,,,SUMPRODUCT(MAX(ROW(E$2:E894)*(E894=E$2:E894)))))-COUNTBLANK(OFFSET(A$1,,,SUMPRODUCT(MAX(ROW(E$1:E893)*(E2=E$1:E893))))))</f>
        <v> </v>
      </c>
      <c r="K894" s="26" t="str">
        <f>IF(OR(E894="",E894="!!!",F894="NEW"),"",INDEX(J$1:J893,SUMPRODUCT(MAX(ROW(E$1:E893)*(E894=E$1:E893)))))</f>
        <v> </v>
      </c>
      <c r="L894" s="27"/>
    </row>
    <row r="895" spans="1:12">
      <c r="A895" s="20" t="s">
        <v>482</v>
      </c>
      <c r="E895" s="22">
        <f>IF(D895="?OLD","!!!","")</f>
        <v/>
      </c>
      <c r="F895" s="23" t="str">
        <f>IF(OR(E895="",E895="!!!"),"",IF(NOT(ISNA(VLOOKUP(E895,E$1:E894,1,FALSE()))),"OLD",IF(AND(E895&lt;&gt;"",E895&lt;&gt;"!!!"),"NEW","")))</f>
        <v> </v>
      </c>
      <c r="G895" s="24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5" t="str">
        <f>IF(J895&lt;&gt;1,"",IF(I895="SBJ","CB","?"))</f>
        <v> </v>
      </c>
      <c r="I895" s="26" t="str">
        <f>IF(OR(E895="",E895="!!!",F895="NEW"),"",INDEX(B894:B$2,-1+SUMPRODUCT(MAX(ROW(E894:E$2)*(E895=E894:E$2)))))</f>
        <v> </v>
      </c>
      <c r="J895" s="26" t="str">
        <f>IF(OR(E895="",E895="!!!",F895="NEW"),"",COUNTBLANK(OFFSET(A$1,,,SUMPRODUCT(MAX(ROW(E$2:E895)*(E895=E$2:E895)))))-COUNTBLANK(OFFSET(A$1,,,SUMPRODUCT(MAX(ROW(E$1:E894)*(E2=E$1:E894))))))</f>
        <v> </v>
      </c>
      <c r="K895" s="26" t="str">
        <f>IF(OR(E895="",E895="!!!",F895="NEW"),"",INDEX(J$1:J894,SUMPRODUCT(MAX(ROW(E$1:E894)*(E895=E$1:E894)))))</f>
        <v> </v>
      </c>
      <c r="L895" s="27"/>
    </row>
    <row r="896" spans="1:12">
      <c r="A896" s="20" t="s">
        <v>206</v>
      </c>
      <c r="B896" s="21" t="s">
        <v>134</v>
      </c>
      <c r="C896" s="21" t="s">
        <v>185</v>
      </c>
      <c r="D896" s="21" t="s">
        <v>119</v>
      </c>
      <c r="E896" s="22">
        <f>IF(D896="?OLD","!!!","")</f>
        <v/>
      </c>
      <c r="F896" s="23" t="str">
        <f>IF(OR(E896="",E896="!!!"),"",IF(NOT(ISNA(VLOOKUP(E896,E$1:E895,1,FALSE()))),"OLD",IF(AND(E896&lt;&gt;"",E896&lt;&gt;"!!!"),"NEW","")))</f>
        <v> </v>
      </c>
      <c r="G896" s="24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5" t="str">
        <f>IF(J896&lt;&gt;1,"",IF(I896="SBJ","CB","?"))</f>
        <v> </v>
      </c>
      <c r="I896" s="26" t="str">
        <f>IF(OR(E896="",E896="!!!",F896="NEW"),"",INDEX(B895:B$2,-1+SUMPRODUCT(MAX(ROW(E895:E$2)*(E896=E895:E$2)))))</f>
        <v> </v>
      </c>
      <c r="J896" s="26" t="str">
        <f>IF(OR(E896="",E896="!!!",F896="NEW"),"",COUNTBLANK(OFFSET(A$1,,,SUMPRODUCT(MAX(ROW(E$2:E896)*(E896=E$2:E896)))))-COUNTBLANK(OFFSET(A$1,,,SUMPRODUCT(MAX(ROW(E$1:E895)*(E2=E$1:E895))))))</f>
        <v> </v>
      </c>
      <c r="K896" s="26" t="str">
        <f>IF(OR(E896="",E896="!!!",F896="NEW"),"",INDEX(J$1:J895,SUMPRODUCT(MAX(ROW(E$1:E895)*(E896=E$1:E895)))))</f>
        <v> </v>
      </c>
      <c r="L896" s="27"/>
    </row>
    <row r="897" spans="1:12">
      <c r="A897" s="20" t="s">
        <v>483</v>
      </c>
      <c r="E897" s="22">
        <f>IF(D897="?OLD","!!!","")</f>
        <v/>
      </c>
      <c r="F897" s="23" t="str">
        <f>IF(OR(E897="",E897="!!!"),"",IF(NOT(ISNA(VLOOKUP(E897,E$1:E896,1,FALSE()))),"OLD",IF(AND(E897&lt;&gt;"",E897&lt;&gt;"!!!"),"NEW","")))</f>
        <v> </v>
      </c>
      <c r="G897" s="24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5" t="str">
        <f>IF(J897&lt;&gt;1,"",IF(I897="SBJ","CB","?"))</f>
        <v> </v>
      </c>
      <c r="I897" s="26" t="str">
        <f>IF(OR(E897="",E897="!!!",F897="NEW"),"",INDEX(B896:B$2,-1+SUMPRODUCT(MAX(ROW(E896:E$2)*(E897=E896:E$2)))))</f>
        <v> </v>
      </c>
      <c r="J897" s="26" t="str">
        <f>IF(OR(E897="",E897="!!!",F897="NEW"),"",COUNTBLANK(OFFSET(A$1,,,SUMPRODUCT(MAX(ROW(E$2:E897)*(E897=E$2:E897)))))-COUNTBLANK(OFFSET(A$1,,,SUMPRODUCT(MAX(ROW(E$1:E896)*(E2=E$1:E896))))))</f>
        <v> </v>
      </c>
      <c r="K897" s="26" t="str">
        <f>IF(OR(E897="",E897="!!!",F897="NEW"),"",INDEX(J$1:J896,SUMPRODUCT(MAX(ROW(E$1:E896)*(E897=E$1:E896)))))</f>
        <v> </v>
      </c>
      <c r="L897" s="27"/>
    </row>
    <row r="898" spans="1:12">
      <c r="A898" s="20" t="s">
        <v>153</v>
      </c>
      <c r="E898" s="22">
        <f>IF(D898="?OLD","!!!","")</f>
        <v/>
      </c>
      <c r="F898" s="23" t="str">
        <f>IF(OR(E898="",E898="!!!"),"",IF(NOT(ISNA(VLOOKUP(E898,E$1:E897,1,FALSE()))),"OLD",IF(AND(E898&lt;&gt;"",E898&lt;&gt;"!!!"),"NEW","")))</f>
        <v> </v>
      </c>
      <c r="G898" s="24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5" t="str">
        <f>IF(J898&lt;&gt;1,"",IF(I898="SBJ","CB","?"))</f>
        <v> </v>
      </c>
      <c r="I898" s="26" t="str">
        <f>IF(OR(E898="",E898="!!!",F898="NEW"),"",INDEX(B897:B$2,-1+SUMPRODUCT(MAX(ROW(E897:E$2)*(E898=E897:E$2)))))</f>
        <v> </v>
      </c>
      <c r="J898" s="26" t="str">
        <f>IF(OR(E898="",E898="!!!",F898="NEW"),"",COUNTBLANK(OFFSET(A$1,,,SUMPRODUCT(MAX(ROW(E$2:E898)*(E898=E$2:E898)))))-COUNTBLANK(OFFSET(A$1,,,SUMPRODUCT(MAX(ROW(E$1:E897)*(E2=E$1:E897))))))</f>
        <v> </v>
      </c>
      <c r="K898" s="26" t="str">
        <f>IF(OR(E898="",E898="!!!",F898="NEW"),"",INDEX(J$1:J897,SUMPRODUCT(MAX(ROW(E$1:E897)*(E898=E$1:E897)))))</f>
        <v> </v>
      </c>
      <c r="L898" s="27"/>
    </row>
    <row r="899" spans="1:12">
      <c r="A899" s="20" t="s">
        <v>484</v>
      </c>
      <c r="E899" s="22">
        <f>IF(D899="?OLD","!!!","")</f>
        <v/>
      </c>
      <c r="F899" s="23" t="str">
        <f>IF(OR(E899="",E899="!!!"),"",IF(NOT(ISNA(VLOOKUP(E899,E$1:E898,1,FALSE()))),"OLD",IF(AND(E899&lt;&gt;"",E899&lt;&gt;"!!!"),"NEW","")))</f>
        <v> </v>
      </c>
      <c r="G899" s="24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5" t="str">
        <f>IF(J899&lt;&gt;1,"",IF(I899="SBJ","CB","?"))</f>
        <v> </v>
      </c>
      <c r="I899" s="26" t="str">
        <f>IF(OR(E899="",E899="!!!",F899="NEW"),"",INDEX(B898:B$2,-1+SUMPRODUCT(MAX(ROW(E898:E$2)*(E899=E898:E$2)))))</f>
        <v> </v>
      </c>
      <c r="J899" s="26" t="str">
        <f>IF(OR(E899="",E899="!!!",F899="NEW"),"",COUNTBLANK(OFFSET(A$1,,,SUMPRODUCT(MAX(ROW(E$2:E899)*(E899=E$2:E899)))))-COUNTBLANK(OFFSET(A$1,,,SUMPRODUCT(MAX(ROW(E$1:E898)*(E2=E$1:E898))))))</f>
        <v> </v>
      </c>
      <c r="K899" s="26" t="str">
        <f>IF(OR(E899="",E899="!!!",F899="NEW"),"",INDEX(J$1:J898,SUMPRODUCT(MAX(ROW(E$1:E898)*(E899=E$1:E898)))))</f>
        <v> </v>
      </c>
      <c r="L899" s="27"/>
    </row>
    <row r="900" spans="1:12">
      <c r="A900" s="20" t="s">
        <v>485</v>
      </c>
      <c r="E900" s="22">
        <f>IF(D900="?OLD","!!!","")</f>
        <v/>
      </c>
      <c r="F900" s="23" t="str">
        <f>IF(OR(E900="",E900="!!!"),"",IF(NOT(ISNA(VLOOKUP(E900,E$1:E899,1,FALSE()))),"OLD",IF(AND(E900&lt;&gt;"",E900&lt;&gt;"!!!"),"NEW","")))</f>
        <v> </v>
      </c>
      <c r="G900" s="24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5" t="str">
        <f>IF(J900&lt;&gt;1,"",IF(I900="SBJ","CB","?"))</f>
        <v> </v>
      </c>
      <c r="I900" s="26" t="str">
        <f>IF(OR(E900="",E900="!!!",F900="NEW"),"",INDEX(B899:B$2,-1+SUMPRODUCT(MAX(ROW(E899:E$2)*(E900=E899:E$2)))))</f>
        <v> </v>
      </c>
      <c r="J900" s="26" t="str">
        <f>IF(OR(E900="",E900="!!!",F900="NEW"),"",COUNTBLANK(OFFSET(A$1,,,SUMPRODUCT(MAX(ROW(E$2:E900)*(E900=E$2:E900)))))-COUNTBLANK(OFFSET(A$1,,,SUMPRODUCT(MAX(ROW(E$1:E899)*(E2=E$1:E899))))))</f>
        <v> </v>
      </c>
      <c r="K900" s="26" t="str">
        <f>IF(OR(E900="",E900="!!!",F900="NEW"),"",INDEX(J$1:J899,SUMPRODUCT(MAX(ROW(E$1:E899)*(E900=E$1:E899)))))</f>
        <v> </v>
      </c>
      <c r="L900" s="27"/>
    </row>
    <row r="901" spans="1:12">
      <c r="A901" s="20" t="s">
        <v>127</v>
      </c>
      <c r="E901" s="22">
        <f>IF(D901="?OLD","!!!","")</f>
        <v/>
      </c>
      <c r="F901" s="23" t="str">
        <f>IF(OR(E901="",E901="!!!"),"",IF(NOT(ISNA(VLOOKUP(E901,E$1:E900,1,FALSE()))),"OLD",IF(AND(E901&lt;&gt;"",E901&lt;&gt;"!!!"),"NEW","")))</f>
        <v> </v>
      </c>
      <c r="G901" s="24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5" t="str">
        <f>IF(J901&lt;&gt;1,"",IF(I901="SBJ","CB","?"))</f>
        <v> </v>
      </c>
      <c r="I901" s="26" t="str">
        <f>IF(OR(E901="",E901="!!!",F901="NEW"),"",INDEX(B900:B$2,-1+SUMPRODUCT(MAX(ROW(E900:E$2)*(E901=E900:E$2)))))</f>
        <v> </v>
      </c>
      <c r="J901" s="26" t="str">
        <f>IF(OR(E901="",E901="!!!",F901="NEW"),"",COUNTBLANK(OFFSET(A$1,,,SUMPRODUCT(MAX(ROW(E$2:E901)*(E901=E$2:E901)))))-COUNTBLANK(OFFSET(A$1,,,SUMPRODUCT(MAX(ROW(E$1:E900)*(E2=E$1:E900))))))</f>
        <v> </v>
      </c>
      <c r="K901" s="26" t="str">
        <f>IF(OR(E901="",E901="!!!",F901="NEW"),"",INDEX(J$1:J900,SUMPRODUCT(MAX(ROW(E$1:E900)*(E901=E$1:E900)))))</f>
        <v> </v>
      </c>
      <c r="L901" s="27"/>
    </row>
    <row r="902" spans="1:12">
      <c r="A902" s="20" t="s">
        <v>479</v>
      </c>
      <c r="E902" s="22">
        <f>IF(D902="?OLD","!!!","")</f>
        <v/>
      </c>
      <c r="F902" s="23" t="str">
        <f>IF(OR(E902="",E902="!!!"),"",IF(NOT(ISNA(VLOOKUP(E902,E$1:E901,1,FALSE()))),"OLD",IF(AND(E902&lt;&gt;"",E902&lt;&gt;"!!!"),"NEW","")))</f>
        <v> </v>
      </c>
      <c r="G902" s="24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5" t="str">
        <f>IF(J902&lt;&gt;1,"",IF(I902="SBJ","CB","?"))</f>
        <v> </v>
      </c>
      <c r="I902" s="26" t="str">
        <f>IF(OR(E902="",E902="!!!",F902="NEW"),"",INDEX(B901:B$2,-1+SUMPRODUCT(MAX(ROW(E901:E$2)*(E902=E901:E$2)))))</f>
        <v> </v>
      </c>
      <c r="J902" s="26" t="str">
        <f>IF(OR(E902="",E902="!!!",F902="NEW"),"",COUNTBLANK(OFFSET(A$1,,,SUMPRODUCT(MAX(ROW(E$2:E902)*(E902=E$2:E902)))))-COUNTBLANK(OFFSET(A$1,,,SUMPRODUCT(MAX(ROW(E$1:E901)*(E2=E$1:E901))))))</f>
        <v> </v>
      </c>
      <c r="K902" s="26" t="str">
        <f>IF(OR(E902="",E902="!!!",F902="NEW"),"",INDEX(J$1:J901,SUMPRODUCT(MAX(ROW(E$1:E901)*(E902=E$1:E901)))))</f>
        <v> </v>
      </c>
      <c r="L902" s="27"/>
    </row>
    <row r="903" spans="1:12">
      <c r="A903" s="20" t="s">
        <v>486</v>
      </c>
      <c r="E903" s="22">
        <f>IF(D903="?OLD","!!!","")</f>
        <v/>
      </c>
      <c r="F903" s="23" t="str">
        <f>IF(OR(E903="",E903="!!!"),"",IF(NOT(ISNA(VLOOKUP(E903,E$1:E902,1,FALSE()))),"OLD",IF(AND(E903&lt;&gt;"",E903&lt;&gt;"!!!"),"NEW","")))</f>
        <v> </v>
      </c>
      <c r="G903" s="24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5" t="str">
        <f>IF(J903&lt;&gt;1,"",IF(I903="SBJ","CB","?"))</f>
        <v> </v>
      </c>
      <c r="I903" s="26" t="str">
        <f>IF(OR(E903="",E903="!!!",F903="NEW"),"",INDEX(B902:B$2,-1+SUMPRODUCT(MAX(ROW(E902:E$2)*(E903=E902:E$2)))))</f>
        <v> </v>
      </c>
      <c r="J903" s="26" t="str">
        <f>IF(OR(E903="",E903="!!!",F903="NEW"),"",COUNTBLANK(OFFSET(A$1,,,SUMPRODUCT(MAX(ROW(E$2:E903)*(E903=E$2:E903)))))-COUNTBLANK(OFFSET(A$1,,,SUMPRODUCT(MAX(ROW(E$1:E902)*(E2=E$1:E902))))))</f>
        <v> </v>
      </c>
      <c r="K903" s="26" t="str">
        <f>IF(OR(E903="",E903="!!!",F903="NEW"),"",INDEX(J$1:J902,SUMPRODUCT(MAX(ROW(E$1:E902)*(E903=E$1:E902)))))</f>
        <v> </v>
      </c>
      <c r="L903" s="27"/>
    </row>
    <row r="904" spans="1:12">
      <c r="A904" s="20" t="s">
        <v>191</v>
      </c>
      <c r="E904" s="22">
        <f>IF(D904="?OLD","!!!","")</f>
        <v/>
      </c>
      <c r="F904" s="23" t="str">
        <f>IF(OR(E904="",E904="!!!"),"",IF(NOT(ISNA(VLOOKUP(E904,E$1:E903,1,FALSE()))),"OLD",IF(AND(E904&lt;&gt;"",E904&lt;&gt;"!!!"),"NEW","")))</f>
        <v> </v>
      </c>
      <c r="G904" s="24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5" t="str">
        <f>IF(J904&lt;&gt;1,"",IF(I904="SBJ","CB","?"))</f>
        <v> </v>
      </c>
      <c r="I904" s="26" t="str">
        <f>IF(OR(E904="",E904="!!!",F904="NEW"),"",INDEX(B903:B$2,-1+SUMPRODUCT(MAX(ROW(E903:E$2)*(E904=E903:E$2)))))</f>
        <v> </v>
      </c>
      <c r="J904" s="26" t="str">
        <f>IF(OR(E904="",E904="!!!",F904="NEW"),"",COUNTBLANK(OFFSET(A$1,,,SUMPRODUCT(MAX(ROW(E$2:E904)*(E904=E$2:E904)))))-COUNTBLANK(OFFSET(A$1,,,SUMPRODUCT(MAX(ROW(E$1:E903)*(E2=E$1:E903))))))</f>
        <v> </v>
      </c>
      <c r="K904" s="26" t="str">
        <f>IF(OR(E904="",E904="!!!",F904="NEW"),"",INDEX(J$1:J903,SUMPRODUCT(MAX(ROW(E$1:E903)*(E904=E$1:E903)))))</f>
        <v> </v>
      </c>
      <c r="L904" s="27"/>
    </row>
    <row r="905" spans="1:12">
      <c r="A905" s="20" t="s">
        <v>487</v>
      </c>
      <c r="E905" s="22">
        <f>IF(D905="?OLD","!!!","")</f>
        <v/>
      </c>
      <c r="F905" s="23" t="str">
        <f>IF(OR(E905="",E905="!!!"),"",IF(NOT(ISNA(VLOOKUP(E905,E$1:E904,1,FALSE()))),"OLD",IF(AND(E905&lt;&gt;"",E905&lt;&gt;"!!!"),"NEW","")))</f>
        <v> </v>
      </c>
      <c r="G905" s="24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5" t="str">
        <f>IF(J905&lt;&gt;1,"",IF(I905="SBJ","CB","?"))</f>
        <v> </v>
      </c>
      <c r="I905" s="26" t="str">
        <f>IF(OR(E905="",E905="!!!",F905="NEW"),"",INDEX(B904:B$2,-1+SUMPRODUCT(MAX(ROW(E904:E$2)*(E905=E904:E$2)))))</f>
        <v> </v>
      </c>
      <c r="J905" s="26" t="str">
        <f>IF(OR(E905="",E905="!!!",F905="NEW"),"",COUNTBLANK(OFFSET(A$1,,,SUMPRODUCT(MAX(ROW(E$2:E905)*(E905=E$2:E905)))))-COUNTBLANK(OFFSET(A$1,,,SUMPRODUCT(MAX(ROW(E$1:E904)*(E2=E$1:E904))))))</f>
        <v> </v>
      </c>
      <c r="K905" s="26" t="str">
        <f>IF(OR(E905="",E905="!!!",F905="NEW"),"",INDEX(J$1:J904,SUMPRODUCT(MAX(ROW(E$1:E904)*(E905=E$1:E904)))))</f>
        <v> </v>
      </c>
      <c r="L905" s="27"/>
    </row>
    <row r="906" spans="1:12">
      <c r="A906" s="20" t="s">
        <v>130</v>
      </c>
      <c r="E906" s="22">
        <f>IF(D906="?OLD","!!!","")</f>
        <v/>
      </c>
      <c r="F906" s="23" t="str">
        <f>IF(OR(E906="",E906="!!!"),"",IF(NOT(ISNA(VLOOKUP(E906,E$1:E905,1,FALSE()))),"OLD",IF(AND(E906&lt;&gt;"",E906&lt;&gt;"!!!"),"NEW","")))</f>
        <v> </v>
      </c>
      <c r="G906" s="24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5" t="str">
        <f>IF(J906&lt;&gt;1,"",IF(I906="SBJ","CB","?"))</f>
        <v> </v>
      </c>
      <c r="I906" s="26" t="str">
        <f>IF(OR(E906="",E906="!!!",F906="NEW"),"",INDEX(B905:B$2,-1+SUMPRODUCT(MAX(ROW(E905:E$2)*(E906=E905:E$2)))))</f>
        <v> </v>
      </c>
      <c r="J906" s="26" t="str">
        <f>IF(OR(E906="",E906="!!!",F906="NEW"),"",COUNTBLANK(OFFSET(A$1,,,SUMPRODUCT(MAX(ROW(E$2:E906)*(E906=E$2:E906)))))-COUNTBLANK(OFFSET(A$1,,,SUMPRODUCT(MAX(ROW(E$1:E905)*(E2=E$1:E905))))))</f>
        <v> </v>
      </c>
      <c r="K906" s="26" t="str">
        <f>IF(OR(E906="",E906="!!!",F906="NEW"),"",INDEX(J$1:J905,SUMPRODUCT(MAX(ROW(E$1:E905)*(E906=E$1:E905)))))</f>
        <v> </v>
      </c>
      <c r="L906" s="27"/>
    </row>
    <row r="907" spans="1:12">
      <c r="A907" s="20" t="s">
        <v>488</v>
      </c>
      <c r="E907" s="22">
        <f>IF(D907="?OLD","!!!","")</f>
        <v/>
      </c>
      <c r="F907" s="23" t="str">
        <f>IF(OR(E907="",E907="!!!"),"",IF(NOT(ISNA(VLOOKUP(E907,E$1:E906,1,FALSE()))),"OLD",IF(AND(E907&lt;&gt;"",E907&lt;&gt;"!!!"),"NEW","")))</f>
        <v> </v>
      </c>
      <c r="G907" s="24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5" t="str">
        <f>IF(J907&lt;&gt;1,"",IF(I907="SBJ","CB","?"))</f>
        <v> </v>
      </c>
      <c r="I907" s="26" t="str">
        <f>IF(OR(E907="",E907="!!!",F907="NEW"),"",INDEX(B906:B$2,-1+SUMPRODUCT(MAX(ROW(E906:E$2)*(E907=E906:E$2)))))</f>
        <v> </v>
      </c>
      <c r="J907" s="26" t="str">
        <f>IF(OR(E907="",E907="!!!",F907="NEW"),"",COUNTBLANK(OFFSET(A$1,,,SUMPRODUCT(MAX(ROW(E$2:E907)*(E907=E$2:E907)))))-COUNTBLANK(OFFSET(A$1,,,SUMPRODUCT(MAX(ROW(E$1:E906)*(E2=E$1:E906))))))</f>
        <v> </v>
      </c>
      <c r="K907" s="26" t="str">
        <f>IF(OR(E907="",E907="!!!",F907="NEW"),"",INDEX(J$1:J906,SUMPRODUCT(MAX(ROW(E$1:E906)*(E907=E$1:E906)))))</f>
        <v> </v>
      </c>
      <c r="L907" s="27"/>
    </row>
    <row r="908" spans="1:12">
      <c r="A908" s="20" t="s">
        <v>127</v>
      </c>
      <c r="E908" s="22">
        <f>IF(D908="?OLD","!!!","")</f>
        <v/>
      </c>
      <c r="F908" s="23" t="str">
        <f>IF(OR(E908="",E908="!!!"),"",IF(NOT(ISNA(VLOOKUP(E908,E$1:E907,1,FALSE()))),"OLD",IF(AND(E908&lt;&gt;"",E908&lt;&gt;"!!!"),"NEW","")))</f>
        <v> </v>
      </c>
      <c r="G908" s="24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5" t="str">
        <f>IF(J908&lt;&gt;1,"",IF(I908="SBJ","CB","?"))</f>
        <v> </v>
      </c>
      <c r="I908" s="26" t="str">
        <f>IF(OR(E908="",E908="!!!",F908="NEW"),"",INDEX(B907:B$2,-1+SUMPRODUCT(MAX(ROW(E907:E$2)*(E908=E907:E$2)))))</f>
        <v> </v>
      </c>
      <c r="J908" s="26" t="str">
        <f>IF(OR(E908="",E908="!!!",F908="NEW"),"",COUNTBLANK(OFFSET(A$1,,,SUMPRODUCT(MAX(ROW(E$2:E908)*(E908=E$2:E908)))))-COUNTBLANK(OFFSET(A$1,,,SUMPRODUCT(MAX(ROW(E$1:E907)*(E2=E$1:E907))))))</f>
        <v> </v>
      </c>
      <c r="K908" s="26" t="str">
        <f>IF(OR(E908="",E908="!!!",F908="NEW"),"",INDEX(J$1:J907,SUMPRODUCT(MAX(ROW(E$1:E907)*(E908=E$1:E907)))))</f>
        <v> </v>
      </c>
      <c r="L908" s="27"/>
    </row>
    <row r="909" spans="1:12">
      <c r="A909" s="20" t="s">
        <v>489</v>
      </c>
      <c r="B909" s="21" t="s">
        <v>134</v>
      </c>
      <c r="C909" s="21" t="s">
        <v>185</v>
      </c>
      <c r="D909" s="21" t="s">
        <v>119</v>
      </c>
      <c r="E909" s="22">
        <f>IF(D909="?OLD","!!!","")</f>
        <v/>
      </c>
      <c r="F909" s="23" t="str">
        <f>IF(OR(E909="",E909="!!!"),"",IF(NOT(ISNA(VLOOKUP(E909,E$1:E908,1,FALSE()))),"OLD",IF(AND(E909&lt;&gt;"",E909&lt;&gt;"!!!"),"NEW","")))</f>
        <v> </v>
      </c>
      <c r="G909" s="24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5" t="str">
        <f>IF(J909&lt;&gt;1,"",IF(I909="SBJ","CB","?"))</f>
        <v> </v>
      </c>
      <c r="I909" s="26" t="str">
        <f>IF(OR(E909="",E909="!!!",F909="NEW"),"",INDEX(B908:B$2,-1+SUMPRODUCT(MAX(ROW(E908:E$2)*(E909=E908:E$2)))))</f>
        <v> </v>
      </c>
      <c r="J909" s="26" t="str">
        <f>IF(OR(E909="",E909="!!!",F909="NEW"),"",COUNTBLANK(OFFSET(A$1,,,SUMPRODUCT(MAX(ROW(E$2:E909)*(E909=E$2:E909)))))-COUNTBLANK(OFFSET(A$1,,,SUMPRODUCT(MAX(ROW(E$1:E908)*(E2=E$1:E908))))))</f>
        <v> </v>
      </c>
      <c r="K909" s="26" t="str">
        <f>IF(OR(E909="",E909="!!!",F909="NEW"),"",INDEX(J$1:J908,SUMPRODUCT(MAX(ROW(E$1:E908)*(E909=E$1:E908)))))</f>
        <v> </v>
      </c>
      <c r="L909" s="27"/>
    </row>
    <row r="910" spans="1:12">
      <c r="A910" s="20" t="s">
        <v>130</v>
      </c>
      <c r="E910" s="22">
        <f>IF(D910="?OLD","!!!","")</f>
        <v/>
      </c>
      <c r="F910" s="23" t="str">
        <f>IF(OR(E910="",E910="!!!"),"",IF(NOT(ISNA(VLOOKUP(E910,E$1:E909,1,FALSE()))),"OLD",IF(AND(E910&lt;&gt;"",E910&lt;&gt;"!!!"),"NEW","")))</f>
        <v> </v>
      </c>
      <c r="G910" s="24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5" t="str">
        <f>IF(J910&lt;&gt;1,"",IF(I910="SBJ","CB","?"))</f>
        <v> </v>
      </c>
      <c r="I910" s="26" t="str">
        <f>IF(OR(E910="",E910="!!!",F910="NEW"),"",INDEX(B909:B$2,-1+SUMPRODUCT(MAX(ROW(E909:E$2)*(E910=E909:E$2)))))</f>
        <v> </v>
      </c>
      <c r="J910" s="26" t="str">
        <f>IF(OR(E910="",E910="!!!",F910="NEW"),"",COUNTBLANK(OFFSET(A$1,,,SUMPRODUCT(MAX(ROW(E$2:E910)*(E910=E$2:E910)))))-COUNTBLANK(OFFSET(A$1,,,SUMPRODUCT(MAX(ROW(E$1:E909)*(E2=E$1:E909))))))</f>
        <v> </v>
      </c>
      <c r="K910" s="26" t="str">
        <f>IF(OR(E910="",E910="!!!",F910="NEW"),"",INDEX(J$1:J909,SUMPRODUCT(MAX(ROW(E$1:E909)*(E910=E$1:E909)))))</f>
        <v> </v>
      </c>
      <c r="L910" s="27"/>
    </row>
    <row r="911" spans="1:12">
      <c r="A911" s="20" t="s">
        <v>122</v>
      </c>
      <c r="E911" s="22">
        <f>IF(D911="?OLD","!!!","")</f>
        <v/>
      </c>
      <c r="F911" s="23" t="str">
        <f>IF(OR(E911="",E911="!!!"),"",IF(NOT(ISNA(VLOOKUP(E911,E$1:E910,1,FALSE()))),"OLD",IF(AND(E911&lt;&gt;"",E911&lt;&gt;"!!!"),"NEW","")))</f>
        <v> </v>
      </c>
      <c r="G911" s="24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5" t="str">
        <f>IF(J911&lt;&gt;1,"",IF(I911="SBJ","CB","?"))</f>
        <v> </v>
      </c>
      <c r="I911" s="26" t="str">
        <f>IF(OR(E911="",E911="!!!",F911="NEW"),"",INDEX(B910:B$2,-1+SUMPRODUCT(MAX(ROW(E910:E$2)*(E911=E910:E$2)))))</f>
        <v> </v>
      </c>
      <c r="J911" s="26" t="str">
        <f>IF(OR(E911="",E911="!!!",F911="NEW"),"",COUNTBLANK(OFFSET(A$1,,,SUMPRODUCT(MAX(ROW(E$2:E911)*(E911=E$2:E911)))))-COUNTBLANK(OFFSET(A$1,,,SUMPRODUCT(MAX(ROW(E$1:E910)*(E2=E$1:E910))))))</f>
        <v> </v>
      </c>
      <c r="K911" s="26" t="str">
        <f>IF(OR(E911="",E911="!!!",F911="NEW"),"",INDEX(J$1:J910,SUMPRODUCT(MAX(ROW(E$1:E910)*(E911=E$1:E910)))))</f>
        <v> </v>
      </c>
      <c r="L911" s="27"/>
    </row>
    <row r="912" spans="1:12">
      <c r="A912" s="20" t="s">
        <v>237</v>
      </c>
      <c r="B912" s="21" t="s">
        <v>139</v>
      </c>
      <c r="C912" s="21" t="s">
        <v>126</v>
      </c>
      <c r="E912" s="22">
        <f>IF(D912="?OLD","!!!","")</f>
        <v/>
      </c>
      <c r="F912" s="23" t="str">
        <f>IF(OR(E912="",E912="!!!"),"",IF(NOT(ISNA(VLOOKUP(E912,E$1:E911,1,FALSE()))),"OLD",IF(AND(E912&lt;&gt;"",E912&lt;&gt;"!!!"),"NEW","")))</f>
        <v> </v>
      </c>
      <c r="G912" s="24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5" t="str">
        <f>IF(J912&lt;&gt;1,"",IF(I912="SBJ","CB","?"))</f>
        <v> </v>
      </c>
      <c r="I912" s="26" t="str">
        <f>IF(OR(E912="",E912="!!!",F912="NEW"),"",INDEX(B911:B$2,-1+SUMPRODUCT(MAX(ROW(E911:E$2)*(E912=E911:E$2)))))</f>
        <v> </v>
      </c>
      <c r="J912" s="26" t="str">
        <f>IF(OR(E912="",E912="!!!",F912="NEW"),"",COUNTBLANK(OFFSET(A$1,,,SUMPRODUCT(MAX(ROW(E$2:E912)*(E912=E$2:E912)))))-COUNTBLANK(OFFSET(A$1,,,SUMPRODUCT(MAX(ROW(E$1:E911)*(E2=E$1:E911))))))</f>
        <v> </v>
      </c>
      <c r="K912" s="26" t="str">
        <f>IF(OR(E912="",E912="!!!",F912="NEW"),"",INDEX(J$1:J911,SUMPRODUCT(MAX(ROW(E$1:E911)*(E912=E$1:E911)))))</f>
        <v> </v>
      </c>
      <c r="L912" s="27"/>
    </row>
    <row r="913" spans="1:12">
      <c r="A913" s="20" t="s">
        <v>148</v>
      </c>
      <c r="E913" s="22">
        <f>IF(D913="?OLD","!!!","")</f>
        <v/>
      </c>
      <c r="F913" s="23" t="str">
        <f>IF(OR(E913="",E913="!!!"),"",IF(NOT(ISNA(VLOOKUP(E913,E$1:E912,1,FALSE()))),"OLD",IF(AND(E913&lt;&gt;"",E913&lt;&gt;"!!!"),"NEW","")))</f>
        <v> </v>
      </c>
      <c r="G913" s="24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5" t="str">
        <f>IF(J913&lt;&gt;1,"",IF(I913="SBJ","CB","?"))</f>
        <v> </v>
      </c>
      <c r="I913" s="26" t="str">
        <f>IF(OR(E913="",E913="!!!",F913="NEW"),"",INDEX(B912:B$2,-1+SUMPRODUCT(MAX(ROW(E912:E$2)*(E913=E912:E$2)))))</f>
        <v> </v>
      </c>
      <c r="J913" s="26" t="str">
        <f>IF(OR(E913="",E913="!!!",F913="NEW"),"",COUNTBLANK(OFFSET(A$1,,,SUMPRODUCT(MAX(ROW(E$2:E913)*(E913=E$2:E913)))))-COUNTBLANK(OFFSET(A$1,,,SUMPRODUCT(MAX(ROW(E$1:E912)*(E2=E$1:E912))))))</f>
        <v> </v>
      </c>
      <c r="K913" s="26" t="str">
        <f>IF(OR(E913="",E913="!!!",F913="NEW"),"",INDEX(J$1:J912,SUMPRODUCT(MAX(ROW(E$1:E912)*(E913=E$1:E912)))))</f>
        <v> </v>
      </c>
      <c r="L913" s="27"/>
    </row>
    <row r="914" spans="1:12">
      <c r="A914" s="20" t="s">
        <v>490</v>
      </c>
      <c r="E914" s="22">
        <f>IF(D914="?OLD","!!!","")</f>
        <v/>
      </c>
      <c r="F914" s="23" t="str">
        <f>IF(OR(E914="",E914="!!!"),"",IF(NOT(ISNA(VLOOKUP(E914,E$1:E913,1,FALSE()))),"OLD",IF(AND(E914&lt;&gt;"",E914&lt;&gt;"!!!"),"NEW","")))</f>
        <v> </v>
      </c>
      <c r="G914" s="24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5" t="str">
        <f>IF(J914&lt;&gt;1,"",IF(I914="SBJ","CB","?"))</f>
        <v> </v>
      </c>
      <c r="I914" s="26" t="str">
        <f>IF(OR(E914="",E914="!!!",F914="NEW"),"",INDEX(B913:B$2,-1+SUMPRODUCT(MAX(ROW(E913:E$2)*(E914=E913:E$2)))))</f>
        <v> </v>
      </c>
      <c r="J914" s="26" t="str">
        <f>IF(OR(E914="",E914="!!!",F914="NEW"),"",COUNTBLANK(OFFSET(A$1,,,SUMPRODUCT(MAX(ROW(E$2:E914)*(E914=E$2:E914)))))-COUNTBLANK(OFFSET(A$1,,,SUMPRODUCT(MAX(ROW(E$1:E913)*(E2=E$1:E913))))))</f>
        <v> </v>
      </c>
      <c r="K914" s="26" t="str">
        <f>IF(OR(E914="",E914="!!!",F914="NEW"),"",INDEX(J$1:J913,SUMPRODUCT(MAX(ROW(E$1:E913)*(E914=E$1:E913)))))</f>
        <v> </v>
      </c>
      <c r="L914" s="27"/>
    </row>
    <row r="915" spans="1:12">
      <c r="A915" s="20" t="s">
        <v>491</v>
      </c>
      <c r="B915" s="21" t="s">
        <v>195</v>
      </c>
      <c r="C915" s="21" t="s">
        <v>145</v>
      </c>
      <c r="E915" s="22">
        <f>IF(D915="?OLD","!!!","")</f>
        <v/>
      </c>
      <c r="F915" s="23" t="str">
        <f>IF(OR(E915="",E915="!!!"),"",IF(NOT(ISNA(VLOOKUP(E915,E$1:E914,1,FALSE()))),"OLD",IF(AND(E915&lt;&gt;"",E915&lt;&gt;"!!!"),"NEW","")))</f>
        <v> </v>
      </c>
      <c r="G915" s="24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5" t="str">
        <f>IF(J915&lt;&gt;1,"",IF(I915="SBJ","CB","?"))</f>
        <v> </v>
      </c>
      <c r="I915" s="26" t="str">
        <f>IF(OR(E915="",E915="!!!",F915="NEW"),"",INDEX(B914:B$2,-1+SUMPRODUCT(MAX(ROW(E914:E$2)*(E915=E914:E$2)))))</f>
        <v> </v>
      </c>
      <c r="J915" s="26" t="str">
        <f>IF(OR(E915="",E915="!!!",F915="NEW"),"",COUNTBLANK(OFFSET(A$1,,,SUMPRODUCT(MAX(ROW(E$2:E915)*(E915=E$2:E915)))))-COUNTBLANK(OFFSET(A$1,,,SUMPRODUCT(MAX(ROW(E$1:E914)*(E2=E$1:E914))))))</f>
        <v> </v>
      </c>
      <c r="K915" s="26" t="str">
        <f>IF(OR(E915="",E915="!!!",F915="NEW"),"",INDEX(J$1:J914,SUMPRODUCT(MAX(ROW(E$1:E914)*(E915=E$1:E914)))))</f>
        <v> </v>
      </c>
      <c r="L915" s="27"/>
    </row>
    <row r="916" spans="1:12">
      <c r="A916" s="20" t="s">
        <v>479</v>
      </c>
      <c r="E916" s="22">
        <f>IF(D916="?OLD","!!!","")</f>
        <v/>
      </c>
      <c r="F916" s="23" t="str">
        <f>IF(OR(E916="",E916="!!!"),"",IF(NOT(ISNA(VLOOKUP(E916,E$1:E915,1,FALSE()))),"OLD",IF(AND(E916&lt;&gt;"",E916&lt;&gt;"!!!"),"NEW","")))</f>
        <v> </v>
      </c>
      <c r="G916" s="24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5" t="str">
        <f>IF(J916&lt;&gt;1,"",IF(I916="SBJ","CB","?"))</f>
        <v> </v>
      </c>
      <c r="I916" s="26" t="str">
        <f>IF(OR(E916="",E916="!!!",F916="NEW"),"",INDEX(B915:B$2,-1+SUMPRODUCT(MAX(ROW(E915:E$2)*(E916=E915:E$2)))))</f>
        <v> </v>
      </c>
      <c r="J916" s="26" t="str">
        <f>IF(OR(E916="",E916="!!!",F916="NEW"),"",COUNTBLANK(OFFSET(A$1,,,SUMPRODUCT(MAX(ROW(E$2:E916)*(E916=E$2:E916)))))-COUNTBLANK(OFFSET(A$1,,,SUMPRODUCT(MAX(ROW(E$1:E915)*(E2=E$1:E915))))))</f>
        <v> </v>
      </c>
      <c r="K916" s="26" t="str">
        <f>IF(OR(E916="",E916="!!!",F916="NEW"),"",INDEX(J$1:J915,SUMPRODUCT(MAX(ROW(E$1:E915)*(E916=E$1:E915)))))</f>
        <v> </v>
      </c>
      <c r="L916" s="27"/>
    </row>
    <row r="917" spans="1:12">
      <c r="A917" s="20" t="s">
        <v>492</v>
      </c>
      <c r="B917" s="21" t="s">
        <v>215</v>
      </c>
      <c r="C917" s="21" t="s">
        <v>118</v>
      </c>
      <c r="D917" s="21" t="s">
        <v>119</v>
      </c>
      <c r="E917" s="22">
        <f>IF(D917="?OLD","!!!","")</f>
        <v/>
      </c>
      <c r="F917" s="23" t="str">
        <f>IF(OR(E917="",E917="!!!"),"",IF(NOT(ISNA(VLOOKUP(E917,E$1:E916,1,FALSE()))),"OLD",IF(AND(E917&lt;&gt;"",E917&lt;&gt;"!!!"),"NEW","")))</f>
        <v> </v>
      </c>
      <c r="G917" s="24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5" t="str">
        <f>IF(J917&lt;&gt;1,"",IF(I917="SBJ","CB","?"))</f>
        <v> </v>
      </c>
      <c r="I917" s="26" t="str">
        <f>IF(OR(E917="",E917="!!!",F917="NEW"),"",INDEX(B916:B$2,-1+SUMPRODUCT(MAX(ROW(E916:E$2)*(E917=E916:E$2)))))</f>
        <v> </v>
      </c>
      <c r="J917" s="26" t="str">
        <f>IF(OR(E917="",E917="!!!",F917="NEW"),"",COUNTBLANK(OFFSET(A$1,,,SUMPRODUCT(MAX(ROW(E$2:E917)*(E917=E$2:E917)))))-COUNTBLANK(OFFSET(A$1,,,SUMPRODUCT(MAX(ROW(E$1:E916)*(E2=E$1:E916))))))</f>
        <v> </v>
      </c>
      <c r="K917" s="26" t="str">
        <f>IF(OR(E917="",E917="!!!",F917="NEW"),"",INDEX(J$1:J916,SUMPRODUCT(MAX(ROW(E$1:E916)*(E917=E$1:E916)))))</f>
        <v> </v>
      </c>
      <c r="L917" s="27"/>
    </row>
    <row r="918" spans="1:12">
      <c r="A918" s="20" t="s">
        <v>493</v>
      </c>
      <c r="E918" s="22">
        <f>IF(D918="?OLD","!!!","")</f>
        <v/>
      </c>
      <c r="F918" s="23" t="str">
        <f>IF(OR(E918="",E918="!!!"),"",IF(NOT(ISNA(VLOOKUP(E918,E$1:E917,1,FALSE()))),"OLD",IF(AND(E918&lt;&gt;"",E918&lt;&gt;"!!!"),"NEW","")))</f>
        <v> </v>
      </c>
      <c r="G918" s="24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5" t="str">
        <f>IF(J918&lt;&gt;1,"",IF(I918="SBJ","CB","?"))</f>
        <v> </v>
      </c>
      <c r="I918" s="26" t="str">
        <f>IF(OR(E918="",E918="!!!",F918="NEW"),"",INDEX(B917:B$2,-1+SUMPRODUCT(MAX(ROW(E917:E$2)*(E918=E917:E$2)))))</f>
        <v> </v>
      </c>
      <c r="J918" s="26" t="str">
        <f>IF(OR(E918="",E918="!!!",F918="NEW"),"",COUNTBLANK(OFFSET(A$1,,,SUMPRODUCT(MAX(ROW(E$2:E918)*(E918=E$2:E918)))))-COUNTBLANK(OFFSET(A$1,,,SUMPRODUCT(MAX(ROW(E$1:E917)*(E2=E$1:E917))))))</f>
        <v> </v>
      </c>
      <c r="K918" s="26" t="str">
        <f>IF(OR(E918="",E918="!!!",F918="NEW"),"",INDEX(J$1:J917,SUMPRODUCT(MAX(ROW(E$1:E917)*(E918=E$1:E917)))))</f>
        <v> </v>
      </c>
      <c r="L918" s="27"/>
    </row>
    <row r="919" spans="1:12">
      <c r="A919" s="20" t="s">
        <v>494</v>
      </c>
      <c r="E919" s="22">
        <f>IF(D919="?OLD","!!!","")</f>
        <v/>
      </c>
      <c r="F919" s="23" t="str">
        <f>IF(OR(E919="",E919="!!!"),"",IF(NOT(ISNA(VLOOKUP(E919,E$1:E918,1,FALSE()))),"OLD",IF(AND(E919&lt;&gt;"",E919&lt;&gt;"!!!"),"NEW","")))</f>
        <v> </v>
      </c>
      <c r="G919" s="24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5" t="str">
        <f>IF(J919&lt;&gt;1,"",IF(I919="SBJ","CB","?"))</f>
        <v> </v>
      </c>
      <c r="I919" s="26" t="str">
        <f>IF(OR(E919="",E919="!!!",F919="NEW"),"",INDEX(B918:B$2,-1+SUMPRODUCT(MAX(ROW(E918:E$2)*(E919=E918:E$2)))))</f>
        <v> </v>
      </c>
      <c r="J919" s="26" t="str">
        <f>IF(OR(E919="",E919="!!!",F919="NEW"),"",COUNTBLANK(OFFSET(A$1,,,SUMPRODUCT(MAX(ROW(E$2:E919)*(E919=E$2:E919)))))-COUNTBLANK(OFFSET(A$1,,,SUMPRODUCT(MAX(ROW(E$1:E918)*(E2=E$1:E918))))))</f>
        <v> </v>
      </c>
      <c r="K919" s="26" t="str">
        <f>IF(OR(E919="",E919="!!!",F919="NEW"),"",INDEX(J$1:J918,SUMPRODUCT(MAX(ROW(E$1:E918)*(E919=E$1:E918)))))</f>
        <v> </v>
      </c>
      <c r="L919" s="27"/>
    </row>
    <row r="920" spans="1:12">
      <c r="A920" s="20" t="s">
        <v>153</v>
      </c>
      <c r="E920" s="22">
        <f>IF(D920="?OLD","!!!","")</f>
        <v/>
      </c>
      <c r="F920" s="23" t="str">
        <f>IF(OR(E920="",E920="!!!"),"",IF(NOT(ISNA(VLOOKUP(E920,E$1:E919,1,FALSE()))),"OLD",IF(AND(E920&lt;&gt;"",E920&lt;&gt;"!!!"),"NEW","")))</f>
        <v> </v>
      </c>
      <c r="G920" s="24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5" t="str">
        <f>IF(J920&lt;&gt;1,"",IF(I920="SBJ","CB","?"))</f>
        <v> </v>
      </c>
      <c r="I920" s="26" t="str">
        <f>IF(OR(E920="",E920="!!!",F920="NEW"),"",INDEX(B919:B$2,-1+SUMPRODUCT(MAX(ROW(E919:E$2)*(E920=E919:E$2)))))</f>
        <v> </v>
      </c>
      <c r="J920" s="26" t="str">
        <f>IF(OR(E920="",E920="!!!",F920="NEW"),"",COUNTBLANK(OFFSET(A$1,,,SUMPRODUCT(MAX(ROW(E$2:E920)*(E920=E$2:E920)))))-COUNTBLANK(OFFSET(A$1,,,SUMPRODUCT(MAX(ROW(E$1:E919)*(E2=E$1:E919))))))</f>
        <v> </v>
      </c>
      <c r="K920" s="26" t="str">
        <f>IF(OR(E920="",E920="!!!",F920="NEW"),"",INDEX(J$1:J919,SUMPRODUCT(MAX(ROW(E$1:E919)*(E920=E$1:E919)))))</f>
        <v> </v>
      </c>
      <c r="L920" s="27"/>
    </row>
    <row r="921" spans="1:12">
      <c r="A921" s="20" t="s">
        <v>495</v>
      </c>
      <c r="E921" s="22">
        <f>IF(D921="?OLD","!!!","")</f>
        <v/>
      </c>
      <c r="F921" s="23" t="str">
        <f>IF(OR(E921="",E921="!!!"),"",IF(NOT(ISNA(VLOOKUP(E921,E$1:E920,1,FALSE()))),"OLD",IF(AND(E921&lt;&gt;"",E921&lt;&gt;"!!!"),"NEW","")))</f>
        <v> </v>
      </c>
      <c r="G921" s="24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5" t="str">
        <f>IF(J921&lt;&gt;1,"",IF(I921="SBJ","CB","?"))</f>
        <v> </v>
      </c>
      <c r="I921" s="26" t="str">
        <f>IF(OR(E921="",E921="!!!",F921="NEW"),"",INDEX(B920:B$2,-1+SUMPRODUCT(MAX(ROW(E920:E$2)*(E921=E920:E$2)))))</f>
        <v> </v>
      </c>
      <c r="J921" s="26" t="str">
        <f>IF(OR(E921="",E921="!!!",F921="NEW"),"",COUNTBLANK(OFFSET(A$1,,,SUMPRODUCT(MAX(ROW(E$2:E921)*(E921=E$2:E921)))))-COUNTBLANK(OFFSET(A$1,,,SUMPRODUCT(MAX(ROW(E$1:E920)*(E2=E$1:E920))))))</f>
        <v> </v>
      </c>
      <c r="K921" s="26" t="str">
        <f>IF(OR(E921="",E921="!!!",F921="NEW"),"",INDEX(J$1:J920,SUMPRODUCT(MAX(ROW(E$1:E920)*(E921=E$1:E920)))))</f>
        <v> </v>
      </c>
      <c r="L921" s="27"/>
    </row>
    <row r="922" spans="1:12">
      <c r="A922" s="20" t="s">
        <v>142</v>
      </c>
      <c r="E922" s="22">
        <f>IF(D922="?OLD","!!!","")</f>
        <v/>
      </c>
      <c r="F922" s="23" t="str">
        <f>IF(OR(E922="",E922="!!!"),"",IF(NOT(ISNA(VLOOKUP(E922,E$1:E921,1,FALSE()))),"OLD",IF(AND(E922&lt;&gt;"",E922&lt;&gt;"!!!"),"NEW","")))</f>
        <v> </v>
      </c>
      <c r="G922" s="24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5" t="str">
        <f>IF(J922&lt;&gt;1,"",IF(I922="SBJ","CB","?"))</f>
        <v> </v>
      </c>
      <c r="I922" s="26" t="str">
        <f>IF(OR(E922="",E922="!!!",F922="NEW"),"",INDEX(B921:B$2,-1+SUMPRODUCT(MAX(ROW(E921:E$2)*(E922=E921:E$2)))))</f>
        <v> </v>
      </c>
      <c r="J922" s="26" t="str">
        <f>IF(OR(E922="",E922="!!!",F922="NEW"),"",COUNTBLANK(OFFSET(A$1,,,SUMPRODUCT(MAX(ROW(E$2:E922)*(E922=E$2:E922)))))-COUNTBLANK(OFFSET(A$1,,,SUMPRODUCT(MAX(ROW(E$1:E921)*(E2=E$1:E921))))))</f>
        <v> </v>
      </c>
      <c r="K922" s="26" t="str">
        <f>IF(OR(E922="",E922="!!!",F922="NEW"),"",INDEX(J$1:J921,SUMPRODUCT(MAX(ROW(E$1:E921)*(E922=E$1:E921)))))</f>
        <v> </v>
      </c>
      <c r="L922" s="27"/>
    </row>
    <row r="923" spans="1:12">
      <c r="A923" s="20" t="s">
        <v>479</v>
      </c>
      <c r="E923" s="22">
        <f>IF(D923="?OLD","!!!","")</f>
        <v/>
      </c>
      <c r="F923" s="23" t="str">
        <f>IF(OR(E923="",E923="!!!"),"",IF(NOT(ISNA(VLOOKUP(E923,E$1:E922,1,FALSE()))),"OLD",IF(AND(E923&lt;&gt;"",E923&lt;&gt;"!!!"),"NEW","")))</f>
        <v> </v>
      </c>
      <c r="G923" s="24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5" t="str">
        <f>IF(J923&lt;&gt;1,"",IF(I923="SBJ","CB","?"))</f>
        <v> </v>
      </c>
      <c r="I923" s="26" t="str">
        <f>IF(OR(E923="",E923="!!!",F923="NEW"),"",INDEX(B922:B$2,-1+SUMPRODUCT(MAX(ROW(E922:E$2)*(E923=E922:E$2)))))</f>
        <v> </v>
      </c>
      <c r="J923" s="26" t="str">
        <f>IF(OR(E923="",E923="!!!",F923="NEW"),"",COUNTBLANK(OFFSET(A$1,,,SUMPRODUCT(MAX(ROW(E$2:E923)*(E923=E$2:E923)))))-COUNTBLANK(OFFSET(A$1,,,SUMPRODUCT(MAX(ROW(E$1:E922)*(E2=E$1:E922))))))</f>
        <v> </v>
      </c>
      <c r="K923" s="26" t="str">
        <f>IF(OR(E923="",E923="!!!",F923="NEW"),"",INDEX(J$1:J922,SUMPRODUCT(MAX(ROW(E$1:E922)*(E923=E$1:E922)))))</f>
        <v> </v>
      </c>
      <c r="L923" s="27"/>
    </row>
    <row r="924" spans="1:12">
      <c r="A924" s="20" t="s">
        <v>496</v>
      </c>
      <c r="E924" s="22">
        <f>IF(D924="?OLD","!!!","")</f>
        <v/>
      </c>
      <c r="F924" s="23" t="str">
        <f>IF(OR(E924="",E924="!!!"),"",IF(NOT(ISNA(VLOOKUP(E924,E$1:E923,1,FALSE()))),"OLD",IF(AND(E924&lt;&gt;"",E924&lt;&gt;"!!!"),"NEW","")))</f>
        <v> </v>
      </c>
      <c r="G924" s="24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5" t="str">
        <f>IF(J924&lt;&gt;1,"",IF(I924="SBJ","CB","?"))</f>
        <v> </v>
      </c>
      <c r="I924" s="26" t="str">
        <f>IF(OR(E924="",E924="!!!",F924="NEW"),"",INDEX(B923:B$2,-1+SUMPRODUCT(MAX(ROW(E923:E$2)*(E924=E923:E$2)))))</f>
        <v> </v>
      </c>
      <c r="J924" s="26" t="str">
        <f>IF(OR(E924="",E924="!!!",F924="NEW"),"",COUNTBLANK(OFFSET(A$1,,,SUMPRODUCT(MAX(ROW(E$2:E924)*(E924=E$2:E924)))))-COUNTBLANK(OFFSET(A$1,,,SUMPRODUCT(MAX(ROW(E$1:E923)*(E2=E$1:E923))))))</f>
        <v> </v>
      </c>
      <c r="K924" s="26" t="str">
        <f>IF(OR(E924="",E924="!!!",F924="NEW"),"",INDEX(J$1:J923,SUMPRODUCT(MAX(ROW(E$1:E923)*(E924=E$1:E923)))))</f>
        <v> </v>
      </c>
      <c r="L924" s="27"/>
    </row>
    <row r="925" spans="1:12">
      <c r="A925" s="20" t="s">
        <v>157</v>
      </c>
      <c r="E925" s="22">
        <f>IF(D925="?OLD","!!!","")</f>
        <v/>
      </c>
      <c r="F925" s="23" t="str">
        <f>IF(OR(E925="",E925="!!!"),"",IF(NOT(ISNA(VLOOKUP(E925,E$1:E924,1,FALSE()))),"OLD",IF(AND(E925&lt;&gt;"",E925&lt;&gt;"!!!"),"NEW","")))</f>
        <v> </v>
      </c>
      <c r="G925" s="24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5" t="str">
        <f>IF(J925&lt;&gt;1,"",IF(I925="SBJ","CB","?"))</f>
        <v> </v>
      </c>
      <c r="I925" s="26" t="str">
        <f>IF(OR(E925="",E925="!!!",F925="NEW"),"",INDEX(B924:B$2,-1+SUMPRODUCT(MAX(ROW(E924:E$2)*(E925=E924:E$2)))))</f>
        <v> </v>
      </c>
      <c r="J925" s="26" t="str">
        <f>IF(OR(E925="",E925="!!!",F925="NEW"),"",COUNTBLANK(OFFSET(A$1,,,SUMPRODUCT(MAX(ROW(E$2:E925)*(E925=E$2:E925)))))-COUNTBLANK(OFFSET(A$1,,,SUMPRODUCT(MAX(ROW(E$1:E924)*(E2=E$1:E924))))))</f>
        <v> </v>
      </c>
      <c r="K925" s="26" t="str">
        <f>IF(OR(E925="",E925="!!!",F925="NEW"),"",INDEX(J$1:J924,SUMPRODUCT(MAX(ROW(E$1:E924)*(E925=E$1:E924)))))</f>
        <v> </v>
      </c>
      <c r="L925" s="27"/>
    </row>
    <row r="926" spans="1:12">
      <c r="A926" s="20" t="s">
        <v>497</v>
      </c>
      <c r="E926" s="22">
        <f>IF(D926="?OLD","!!!","")</f>
        <v/>
      </c>
      <c r="F926" s="23" t="str">
        <f>IF(OR(E926="",E926="!!!"),"",IF(NOT(ISNA(VLOOKUP(E926,E$1:E925,1,FALSE()))),"OLD",IF(AND(E926&lt;&gt;"",E926&lt;&gt;"!!!"),"NEW","")))</f>
        <v> </v>
      </c>
      <c r="G926" s="24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5" t="str">
        <f>IF(J926&lt;&gt;1,"",IF(I926="SBJ","CB","?"))</f>
        <v> </v>
      </c>
      <c r="I926" s="26" t="str">
        <f>IF(OR(E926="",E926="!!!",F926="NEW"),"",INDEX(B925:B$2,-1+SUMPRODUCT(MAX(ROW(E925:E$2)*(E926=E925:E$2)))))</f>
        <v> </v>
      </c>
      <c r="J926" s="26" t="str">
        <f>IF(OR(E926="",E926="!!!",F926="NEW"),"",COUNTBLANK(OFFSET(A$1,,,SUMPRODUCT(MAX(ROW(E$2:E926)*(E926=E$2:E926)))))-COUNTBLANK(OFFSET(A$1,,,SUMPRODUCT(MAX(ROW(E$1:E925)*(E2=E$1:E925))))))</f>
        <v> </v>
      </c>
      <c r="K926" s="26" t="str">
        <f>IF(OR(E926="",E926="!!!",F926="NEW"),"",INDEX(J$1:J925,SUMPRODUCT(MAX(ROW(E$1:E925)*(E926=E$1:E925)))))</f>
        <v> </v>
      </c>
      <c r="L926" s="27"/>
    </row>
    <row r="927" spans="1:12">
      <c r="A927" s="20" t="s">
        <v>235</v>
      </c>
      <c r="E927" s="22">
        <f>IF(D927="?OLD","!!!","")</f>
        <v/>
      </c>
      <c r="F927" s="23" t="str">
        <f>IF(OR(E927="",E927="!!!"),"",IF(NOT(ISNA(VLOOKUP(E927,E$1:E926,1,FALSE()))),"OLD",IF(AND(E927&lt;&gt;"",E927&lt;&gt;"!!!"),"NEW","")))</f>
        <v> </v>
      </c>
      <c r="G927" s="24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5" t="str">
        <f>IF(J927&lt;&gt;1,"",IF(I927="SBJ","CB","?"))</f>
        <v> </v>
      </c>
      <c r="I927" s="26" t="str">
        <f>IF(OR(E927="",E927="!!!",F927="NEW"),"",INDEX(B926:B$2,-1+SUMPRODUCT(MAX(ROW(E926:E$2)*(E927=E926:E$2)))))</f>
        <v> </v>
      </c>
      <c r="J927" s="26" t="str">
        <f>IF(OR(E927="",E927="!!!",F927="NEW"),"",COUNTBLANK(OFFSET(A$1,,,SUMPRODUCT(MAX(ROW(E$2:E927)*(E927=E$2:E927)))))-COUNTBLANK(OFFSET(A$1,,,SUMPRODUCT(MAX(ROW(E$1:E926)*(E2=E$1:E926))))))</f>
        <v> </v>
      </c>
      <c r="K927" s="26" t="str">
        <f>IF(OR(E927="",E927="!!!",F927="NEW"),"",INDEX(J$1:J926,SUMPRODUCT(MAX(ROW(E$1:E926)*(E927=E$1:E926)))))</f>
        <v> </v>
      </c>
      <c r="L927" s="27"/>
    </row>
    <row r="928" spans="1:12">
      <c r="A928" s="20" t="s">
        <v>498</v>
      </c>
      <c r="B928" s="21" t="s">
        <v>134</v>
      </c>
      <c r="C928" s="21" t="s">
        <v>152</v>
      </c>
      <c r="D928" s="21" t="s">
        <v>119</v>
      </c>
      <c r="E928" s="22">
        <f>IF(D928="?OLD","!!!","")</f>
        <v/>
      </c>
      <c r="F928" s="23" t="str">
        <f>IF(OR(E928="",E928="!!!"),"",IF(NOT(ISNA(VLOOKUP(E928,E$1:E927,1,FALSE()))),"OLD",IF(AND(E928&lt;&gt;"",E928&lt;&gt;"!!!"),"NEW","")))</f>
        <v> </v>
      </c>
      <c r="G928" s="24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5" t="str">
        <f>IF(J928&lt;&gt;1,"",IF(I928="SBJ","CB","?"))</f>
        <v> </v>
      </c>
      <c r="I928" s="26" t="str">
        <f>IF(OR(E928="",E928="!!!",F928="NEW"),"",INDEX(B927:B$2,-1+SUMPRODUCT(MAX(ROW(E927:E$2)*(E928=E927:E$2)))))</f>
        <v> </v>
      </c>
      <c r="J928" s="26" t="str">
        <f>IF(OR(E928="",E928="!!!",F928="NEW"),"",COUNTBLANK(OFFSET(A$1,,,SUMPRODUCT(MAX(ROW(E$2:E928)*(E928=E$2:E928)))))-COUNTBLANK(OFFSET(A$1,,,SUMPRODUCT(MAX(ROW(E$1:E927)*(E2=E$1:E927))))))</f>
        <v> </v>
      </c>
      <c r="K928" s="26" t="str">
        <f>IF(OR(E928="",E928="!!!",F928="NEW"),"",INDEX(J$1:J927,SUMPRODUCT(MAX(ROW(E$1:E927)*(E928=E$1:E927)))))</f>
        <v> </v>
      </c>
      <c r="L928" s="27"/>
    </row>
    <row r="929" spans="1:12">
      <c r="A929" s="20" t="s">
        <v>160</v>
      </c>
      <c r="E929" s="22">
        <f>IF(D929="?OLD","!!!","")</f>
        <v/>
      </c>
      <c r="F929" s="23" t="str">
        <f>IF(OR(E929="",E929="!!!"),"",IF(NOT(ISNA(VLOOKUP(E929,E$1:E928,1,FALSE()))),"OLD",IF(AND(E929&lt;&gt;"",E929&lt;&gt;"!!!"),"NEW","")))</f>
        <v> </v>
      </c>
      <c r="G929" s="24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5" t="str">
        <f>IF(J929&lt;&gt;1,"",IF(I929="SBJ","CB","?"))</f>
        <v> </v>
      </c>
      <c r="I929" s="26" t="str">
        <f>IF(OR(E929="",E929="!!!",F929="NEW"),"",INDEX(B928:B$2,-1+SUMPRODUCT(MAX(ROW(E928:E$2)*(E929=E928:E$2)))))</f>
        <v> </v>
      </c>
      <c r="J929" s="26" t="str">
        <f>IF(OR(E929="",E929="!!!",F929="NEW"),"",COUNTBLANK(OFFSET(A$1,,,SUMPRODUCT(MAX(ROW(E$2:E929)*(E929=E$2:E929)))))-COUNTBLANK(OFFSET(A$1,,,SUMPRODUCT(MAX(ROW(E$1:E928)*(E2=E$1:E928))))))</f>
        <v> </v>
      </c>
      <c r="K929" s="26" t="str">
        <f>IF(OR(E929="",E929="!!!",F929="NEW"),"",INDEX(J$1:J928,SUMPRODUCT(MAX(ROW(E$1:E928)*(E929=E$1:E928)))))</f>
        <v> </v>
      </c>
      <c r="L929" s="27"/>
    </row>
    <row r="930" spans="1:12">
      <c r="A930" s="20" t="s">
        <v>127</v>
      </c>
      <c r="E930" s="22">
        <f>IF(D930="?OLD","!!!","")</f>
        <v/>
      </c>
      <c r="F930" s="23" t="str">
        <f>IF(OR(E930="",E930="!!!"),"",IF(NOT(ISNA(VLOOKUP(E930,E$1:E929,1,FALSE()))),"OLD",IF(AND(E930&lt;&gt;"",E930&lt;&gt;"!!!"),"NEW","")))</f>
        <v> </v>
      </c>
      <c r="G930" s="24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5" t="str">
        <f>IF(J930&lt;&gt;1,"",IF(I930="SBJ","CB","?"))</f>
        <v> </v>
      </c>
      <c r="I930" s="26" t="str">
        <f>IF(OR(E930="",E930="!!!",F930="NEW"),"",INDEX(B929:B$2,-1+SUMPRODUCT(MAX(ROW(E929:E$2)*(E930=E929:E$2)))))</f>
        <v> </v>
      </c>
      <c r="J930" s="26" t="str">
        <f>IF(OR(E930="",E930="!!!",F930="NEW"),"",COUNTBLANK(OFFSET(A$1,,,SUMPRODUCT(MAX(ROW(E$2:E930)*(E930=E$2:E930)))))-COUNTBLANK(OFFSET(A$1,,,SUMPRODUCT(MAX(ROW(E$1:E929)*(E2=E$1:E929))))))</f>
        <v> </v>
      </c>
      <c r="K930" s="26" t="str">
        <f>IF(OR(E930="",E930="!!!",F930="NEW"),"",INDEX(J$1:J929,SUMPRODUCT(MAX(ROW(E$1:E929)*(E930=E$1:E929)))))</f>
        <v> </v>
      </c>
      <c r="L930" s="27"/>
    </row>
    <row r="931" spans="1:12">
      <c r="A931" s="20" t="s">
        <v>370</v>
      </c>
      <c r="B931" s="21" t="s">
        <v>155</v>
      </c>
      <c r="C931" s="21" t="s">
        <v>185</v>
      </c>
      <c r="D931" s="21" t="s">
        <v>119</v>
      </c>
      <c r="E931" s="22">
        <f>IF(D931="?OLD","!!!","")</f>
        <v/>
      </c>
      <c r="F931" s="23" t="str">
        <f>IF(OR(E931="",E931="!!!"),"",IF(NOT(ISNA(VLOOKUP(E931,E$1:E930,1,FALSE()))),"OLD",IF(AND(E931&lt;&gt;"",E931&lt;&gt;"!!!"),"NEW","")))</f>
        <v> </v>
      </c>
      <c r="G931" s="24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5" t="str">
        <f>IF(J931&lt;&gt;1,"",IF(I931="SBJ","CB","?"))</f>
        <v> </v>
      </c>
      <c r="I931" s="26" t="str">
        <f>IF(OR(E931="",E931="!!!",F931="NEW"),"",INDEX(B930:B$2,-1+SUMPRODUCT(MAX(ROW(E930:E$2)*(E931=E930:E$2)))))</f>
        <v> </v>
      </c>
      <c r="J931" s="26" t="str">
        <f>IF(OR(E931="",E931="!!!",F931="NEW"),"",COUNTBLANK(OFFSET(A$1,,,SUMPRODUCT(MAX(ROW(E$2:E931)*(E931=E$2:E931)))))-COUNTBLANK(OFFSET(A$1,,,SUMPRODUCT(MAX(ROW(E$1:E930)*(E2=E$1:E930))))))</f>
        <v> </v>
      </c>
      <c r="K931" s="26" t="str">
        <f>IF(OR(E931="",E931="!!!",F931="NEW"),"",INDEX(J$1:J930,SUMPRODUCT(MAX(ROW(E$1:E930)*(E931=E$1:E930)))))</f>
        <v> </v>
      </c>
      <c r="L931" s="27"/>
    </row>
    <row r="932" spans="1:12">
      <c r="A932" s="20" t="s">
        <v>136</v>
      </c>
      <c r="E932" s="22">
        <f>IF(D932="?OLD","!!!","")</f>
        <v/>
      </c>
      <c r="F932" s="23" t="str">
        <f>IF(OR(E932="",E932="!!!"),"",IF(NOT(ISNA(VLOOKUP(E932,E$1:E931,1,FALSE()))),"OLD",IF(AND(E932&lt;&gt;"",E932&lt;&gt;"!!!"),"NEW","")))</f>
        <v> </v>
      </c>
      <c r="G932" s="24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5" t="str">
        <f>IF(J932&lt;&gt;1,"",IF(I932="SBJ","CB","?"))</f>
        <v> </v>
      </c>
      <c r="I932" s="26" t="str">
        <f>IF(OR(E932="",E932="!!!",F932="NEW"),"",INDEX(B931:B$2,-1+SUMPRODUCT(MAX(ROW(E931:E$2)*(E932=E931:E$2)))))</f>
        <v> </v>
      </c>
      <c r="J932" s="26" t="str">
        <f>IF(OR(E932="",E932="!!!",F932="NEW"),"",COUNTBLANK(OFFSET(A$1,,,SUMPRODUCT(MAX(ROW(E$2:E932)*(E932=E$2:E932)))))-COUNTBLANK(OFFSET(A$1,,,SUMPRODUCT(MAX(ROW(E$1:E931)*(E2=E$1:E931))))))</f>
        <v> </v>
      </c>
      <c r="K932" s="26" t="str">
        <f>IF(OR(E932="",E932="!!!",F932="NEW"),"",INDEX(J$1:J931,SUMPRODUCT(MAX(ROW(E$1:E931)*(E932=E$1:E931)))))</f>
        <v> </v>
      </c>
      <c r="L932" s="27"/>
    </row>
    <row r="933" spans="1:12">
      <c r="A933" s="20" t="s">
        <v>499</v>
      </c>
      <c r="E933" s="22">
        <f>IF(D933="?OLD","!!!","")</f>
        <v/>
      </c>
      <c r="F933" s="23" t="str">
        <f>IF(OR(E933="",E933="!!!"),"",IF(NOT(ISNA(VLOOKUP(E933,E$1:E932,1,FALSE()))),"OLD",IF(AND(E933&lt;&gt;"",E933&lt;&gt;"!!!"),"NEW","")))</f>
        <v> </v>
      </c>
      <c r="G933" s="24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5" t="str">
        <f>IF(J933&lt;&gt;1,"",IF(I933="SBJ","CB","?"))</f>
        <v> </v>
      </c>
      <c r="I933" s="26" t="str">
        <f>IF(OR(E933="",E933="!!!",F933="NEW"),"",INDEX(B932:B$2,-1+SUMPRODUCT(MAX(ROW(E932:E$2)*(E933=E932:E$2)))))</f>
        <v> </v>
      </c>
      <c r="J933" s="26" t="str">
        <f>IF(OR(E933="",E933="!!!",F933="NEW"),"",COUNTBLANK(OFFSET(A$1,,,SUMPRODUCT(MAX(ROW(E$2:E933)*(E933=E$2:E933)))))-COUNTBLANK(OFFSET(A$1,,,SUMPRODUCT(MAX(ROW(E$1:E932)*(E2=E$1:E932))))))</f>
        <v> </v>
      </c>
      <c r="K933" s="26" t="str">
        <f>IF(OR(E933="",E933="!!!",F933="NEW"),"",INDEX(J$1:J932,SUMPRODUCT(MAX(ROW(E$1:E932)*(E933=E$1:E932)))))</f>
        <v> </v>
      </c>
      <c r="L933" s="27"/>
    </row>
    <row r="934" spans="1:12">
      <c r="A934" s="20" t="s">
        <v>500</v>
      </c>
      <c r="E934" s="22">
        <f>IF(D934="?OLD","!!!","")</f>
        <v/>
      </c>
      <c r="F934" s="23" t="str">
        <f>IF(OR(E934="",E934="!!!"),"",IF(NOT(ISNA(VLOOKUP(E934,E$1:E933,1,FALSE()))),"OLD",IF(AND(E934&lt;&gt;"",E934&lt;&gt;"!!!"),"NEW","")))</f>
        <v> </v>
      </c>
      <c r="G934" s="24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5" t="str">
        <f>IF(J934&lt;&gt;1,"",IF(I934="SBJ","CB","?"))</f>
        <v> </v>
      </c>
      <c r="I934" s="26" t="str">
        <f>IF(OR(E934="",E934="!!!",F934="NEW"),"",INDEX(B933:B$2,-1+SUMPRODUCT(MAX(ROW(E933:E$2)*(E934=E933:E$2)))))</f>
        <v> </v>
      </c>
      <c r="J934" s="26" t="str">
        <f>IF(OR(E934="",E934="!!!",F934="NEW"),"",COUNTBLANK(OFFSET(A$1,,,SUMPRODUCT(MAX(ROW(E$2:E934)*(E934=E$2:E934)))))-COUNTBLANK(OFFSET(A$1,,,SUMPRODUCT(MAX(ROW(E$1:E933)*(E2=E$1:E933))))))</f>
        <v> </v>
      </c>
      <c r="K934" s="26" t="str">
        <f>IF(OR(E934="",E934="!!!",F934="NEW"),"",INDEX(J$1:J933,SUMPRODUCT(MAX(ROW(E$1:E933)*(E934=E$1:E933)))))</f>
        <v> </v>
      </c>
      <c r="L934" s="27"/>
    </row>
    <row r="935" spans="1:12">
      <c r="A935" s="20" t="s">
        <v>501</v>
      </c>
      <c r="B935" s="21" t="s">
        <v>266</v>
      </c>
      <c r="C935" s="21" t="s">
        <v>145</v>
      </c>
      <c r="E935" s="22">
        <f>IF(D935="?OLD","!!!","")</f>
        <v/>
      </c>
      <c r="F935" s="23" t="str">
        <f>IF(OR(E935="",E935="!!!"),"",IF(NOT(ISNA(VLOOKUP(E935,E$1:E934,1,FALSE()))),"OLD",IF(AND(E935&lt;&gt;"",E935&lt;&gt;"!!!"),"NEW","")))</f>
        <v> </v>
      </c>
      <c r="G935" s="24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5" t="str">
        <f>IF(J935&lt;&gt;1,"",IF(I935="SBJ","CB","?"))</f>
        <v> </v>
      </c>
      <c r="I935" s="26" t="str">
        <f>IF(OR(E935="",E935="!!!",F935="NEW"),"",INDEX(B934:B$2,-1+SUMPRODUCT(MAX(ROW(E934:E$2)*(E935=E934:E$2)))))</f>
        <v> </v>
      </c>
      <c r="J935" s="26" t="str">
        <f>IF(OR(E935="",E935="!!!",F935="NEW"),"",COUNTBLANK(OFFSET(A$1,,,SUMPRODUCT(MAX(ROW(E$2:E935)*(E935=E$2:E935)))))-COUNTBLANK(OFFSET(A$1,,,SUMPRODUCT(MAX(ROW(E$1:E934)*(E2=E$1:E934))))))</f>
        <v> </v>
      </c>
      <c r="K935" s="26" t="str">
        <f>IF(OR(E935="",E935="!!!",F935="NEW"),"",INDEX(J$1:J934,SUMPRODUCT(MAX(ROW(E$1:E934)*(E935=E$1:E934)))))</f>
        <v> </v>
      </c>
      <c r="L935" s="27"/>
    </row>
    <row r="936" spans="1:12">
      <c r="A936" s="20" t="s">
        <v>479</v>
      </c>
      <c r="E936" s="22">
        <f>IF(D936="?OLD","!!!","")</f>
        <v/>
      </c>
      <c r="F936" s="23" t="str">
        <f>IF(OR(E936="",E936="!!!"),"",IF(NOT(ISNA(VLOOKUP(E936,E$1:E935,1,FALSE()))),"OLD",IF(AND(E936&lt;&gt;"",E936&lt;&gt;"!!!"),"NEW","")))</f>
        <v> </v>
      </c>
      <c r="G936" s="24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5" t="str">
        <f>IF(J936&lt;&gt;1,"",IF(I936="SBJ","CB","?"))</f>
        <v> </v>
      </c>
      <c r="I936" s="26" t="str">
        <f>IF(OR(E936="",E936="!!!",F936="NEW"),"",INDEX(B935:B$2,-1+SUMPRODUCT(MAX(ROW(E935:E$2)*(E936=E935:E$2)))))</f>
        <v> </v>
      </c>
      <c r="J936" s="26" t="str">
        <f>IF(OR(E936="",E936="!!!",F936="NEW"),"",COUNTBLANK(OFFSET(A$1,,,SUMPRODUCT(MAX(ROW(E$2:E936)*(E936=E$2:E936)))))-COUNTBLANK(OFFSET(A$1,,,SUMPRODUCT(MAX(ROW(E$1:E935)*(E2=E$1:E935))))))</f>
        <v> </v>
      </c>
      <c r="K936" s="26" t="str">
        <f>IF(OR(E936="",E936="!!!",F936="NEW"),"",INDEX(J$1:J935,SUMPRODUCT(MAX(ROW(E$1:E935)*(E936=E$1:E935)))))</f>
        <v> </v>
      </c>
      <c r="L936" s="27"/>
    </row>
    <row r="937" spans="1:12">
      <c r="A937" s="20" t="s">
        <v>468</v>
      </c>
      <c r="E937" s="22">
        <f>IF(D937="?OLD","!!!","")</f>
        <v/>
      </c>
      <c r="F937" s="23" t="str">
        <f>IF(OR(E937="",E937="!!!"),"",IF(NOT(ISNA(VLOOKUP(E937,E$1:E936,1,FALSE()))),"OLD",IF(AND(E937&lt;&gt;"",E937&lt;&gt;"!!!"),"NEW","")))</f>
        <v> </v>
      </c>
      <c r="G937" s="24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5" t="str">
        <f>IF(J937&lt;&gt;1,"",IF(I937="SBJ","CB","?"))</f>
        <v> </v>
      </c>
      <c r="I937" s="26" t="str">
        <f>IF(OR(E937="",E937="!!!",F937="NEW"),"",INDEX(B936:B$2,-1+SUMPRODUCT(MAX(ROW(E936:E$2)*(E937=E936:E$2)))))</f>
        <v> </v>
      </c>
      <c r="J937" s="26" t="str">
        <f>IF(OR(E937="",E937="!!!",F937="NEW"),"",COUNTBLANK(OFFSET(A$1,,,SUMPRODUCT(MAX(ROW(E$2:E937)*(E937=E$2:E937)))))-COUNTBLANK(OFFSET(A$1,,,SUMPRODUCT(MAX(ROW(E$1:E936)*(E2=E$1:E936))))))</f>
        <v> </v>
      </c>
      <c r="K937" s="26" t="str">
        <f>IF(OR(E937="",E937="!!!",F937="NEW"),"",INDEX(J$1:J936,SUMPRODUCT(MAX(ROW(E$1:E936)*(E937=E$1:E936)))))</f>
        <v> </v>
      </c>
      <c r="L937" s="27"/>
    </row>
    <row r="938" spans="1:12">
      <c r="A938" s="20" t="s">
        <v>223</v>
      </c>
      <c r="E938" s="22">
        <f>IF(D938="?OLD","!!!","")</f>
        <v/>
      </c>
      <c r="F938" s="23" t="str">
        <f>IF(OR(E938="",E938="!!!"),"",IF(NOT(ISNA(VLOOKUP(E938,E$1:E937,1,FALSE()))),"OLD",IF(AND(E938&lt;&gt;"",E938&lt;&gt;"!!!"),"NEW","")))</f>
        <v> </v>
      </c>
      <c r="G938" s="24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5" t="str">
        <f>IF(J938&lt;&gt;1,"",IF(I938="SBJ","CB","?"))</f>
        <v> </v>
      </c>
      <c r="I938" s="26" t="str">
        <f>IF(OR(E938="",E938="!!!",F938="NEW"),"",INDEX(B937:B$2,-1+SUMPRODUCT(MAX(ROW(E937:E$2)*(E938=E937:E$2)))))</f>
        <v> </v>
      </c>
      <c r="J938" s="26" t="str">
        <f>IF(OR(E938="",E938="!!!",F938="NEW"),"",COUNTBLANK(OFFSET(A$1,,,SUMPRODUCT(MAX(ROW(E$2:E938)*(E938=E$2:E938)))))-COUNTBLANK(OFFSET(A$1,,,SUMPRODUCT(MAX(ROW(E$1:E937)*(E2=E$1:E937))))))</f>
        <v> </v>
      </c>
      <c r="K938" s="26" t="str">
        <f>IF(OR(E938="",E938="!!!",F938="NEW"),"",INDEX(J$1:J937,SUMPRODUCT(MAX(ROW(E$1:E937)*(E938=E$1:E937)))))</f>
        <v> </v>
      </c>
      <c r="L938" s="27"/>
    </row>
    <row r="939" spans="1:12">
      <c r="A939" s="20" t="s">
        <v>478</v>
      </c>
      <c r="B939" s="21" t="s">
        <v>155</v>
      </c>
      <c r="C939" s="21" t="s">
        <v>152</v>
      </c>
      <c r="D939" s="21" t="s">
        <v>119</v>
      </c>
      <c r="E939" s="22">
        <f>IF(D939="?OLD","!!!","")</f>
        <v/>
      </c>
      <c r="F939" s="23" t="str">
        <f>IF(OR(E939="",E939="!!!"),"",IF(NOT(ISNA(VLOOKUP(E939,E$1:E938,1,FALSE()))),"OLD",IF(AND(E939&lt;&gt;"",E939&lt;&gt;"!!!"),"NEW","")))</f>
        <v> </v>
      </c>
      <c r="G939" s="24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5" t="str">
        <f>IF(J939&lt;&gt;1,"",IF(I939="SBJ","CB","?"))</f>
        <v> </v>
      </c>
      <c r="I939" s="26" t="str">
        <f>IF(OR(E939="",E939="!!!",F939="NEW"),"",INDEX(B938:B$2,-1+SUMPRODUCT(MAX(ROW(E938:E$2)*(E939=E938:E$2)))))</f>
        <v> </v>
      </c>
      <c r="J939" s="26" t="str">
        <f>IF(OR(E939="",E939="!!!",F939="NEW"),"",COUNTBLANK(OFFSET(A$1,,,SUMPRODUCT(MAX(ROW(E$2:E939)*(E939=E$2:E939)))))-COUNTBLANK(OFFSET(A$1,,,SUMPRODUCT(MAX(ROW(E$1:E938)*(E2=E$1:E938))))))</f>
        <v> </v>
      </c>
      <c r="K939" s="26" t="str">
        <f>IF(OR(E939="",E939="!!!",F939="NEW"),"",INDEX(J$1:J938,SUMPRODUCT(MAX(ROW(E$1:E938)*(E939=E$1:E938)))))</f>
        <v> </v>
      </c>
      <c r="L939" s="27"/>
    </row>
    <row r="940" spans="1:12">
      <c r="A940" s="20" t="s">
        <v>502</v>
      </c>
      <c r="E940" s="22">
        <f>IF(D940="?OLD","!!!","")</f>
        <v/>
      </c>
      <c r="F940" s="23" t="str">
        <f>IF(OR(E940="",E940="!!!"),"",IF(NOT(ISNA(VLOOKUP(E940,E$1:E939,1,FALSE()))),"OLD",IF(AND(E940&lt;&gt;"",E940&lt;&gt;"!!!"),"NEW","")))</f>
        <v> </v>
      </c>
      <c r="G940" s="24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5" t="str">
        <f>IF(J940&lt;&gt;1,"",IF(I940="SBJ","CB","?"))</f>
        <v> </v>
      </c>
      <c r="I940" s="26" t="str">
        <f>IF(OR(E940="",E940="!!!",F940="NEW"),"",INDEX(B939:B$2,-1+SUMPRODUCT(MAX(ROW(E939:E$2)*(E940=E939:E$2)))))</f>
        <v> </v>
      </c>
      <c r="J940" s="26" t="str">
        <f>IF(OR(E940="",E940="!!!",F940="NEW"),"",COUNTBLANK(OFFSET(A$1,,,SUMPRODUCT(MAX(ROW(E$2:E940)*(E940=E$2:E940)))))-COUNTBLANK(OFFSET(A$1,,,SUMPRODUCT(MAX(ROW(E$1:E939)*(E2=E$1:E939))))))</f>
        <v> </v>
      </c>
      <c r="K940" s="26" t="str">
        <f>IF(OR(E940="",E940="!!!",F940="NEW"),"",INDEX(J$1:J939,SUMPRODUCT(MAX(ROW(E$1:E939)*(E940=E$1:E939)))))</f>
        <v> </v>
      </c>
      <c r="L940" s="27"/>
    </row>
    <row r="941" spans="1:12">
      <c r="A941" s="20" t="s">
        <v>503</v>
      </c>
      <c r="E941" s="22">
        <f>IF(D941="?OLD","!!!","")</f>
        <v/>
      </c>
      <c r="F941" s="23" t="str">
        <f>IF(OR(E941="",E941="!!!"),"",IF(NOT(ISNA(VLOOKUP(E941,E$1:E940,1,FALSE()))),"OLD",IF(AND(E941&lt;&gt;"",E941&lt;&gt;"!!!"),"NEW","")))</f>
        <v> </v>
      </c>
      <c r="G941" s="24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5" t="str">
        <f>IF(J941&lt;&gt;1,"",IF(I941="SBJ","CB","?"))</f>
        <v> </v>
      </c>
      <c r="I941" s="26" t="str">
        <f>IF(OR(E941="",E941="!!!",F941="NEW"),"",INDEX(B940:B$2,-1+SUMPRODUCT(MAX(ROW(E940:E$2)*(E941=E940:E$2)))))</f>
        <v> </v>
      </c>
      <c r="J941" s="26" t="str">
        <f>IF(OR(E941="",E941="!!!",F941="NEW"),"",COUNTBLANK(OFFSET(A$1,,,SUMPRODUCT(MAX(ROW(E$2:E941)*(E941=E$2:E941)))))-COUNTBLANK(OFFSET(A$1,,,SUMPRODUCT(MAX(ROW(E$1:E940)*(E2=E$1:E940))))))</f>
        <v> </v>
      </c>
      <c r="K941" s="26" t="str">
        <f>IF(OR(E941="",E941="!!!",F941="NEW"),"",INDEX(J$1:J940,SUMPRODUCT(MAX(ROW(E$1:E940)*(E941=E$1:E940)))))</f>
        <v> </v>
      </c>
      <c r="L941" s="27"/>
    </row>
    <row r="942" spans="1:12">
      <c r="A942" s="20" t="s">
        <v>127</v>
      </c>
      <c r="E942" s="22">
        <f>IF(D942="?OLD","!!!","")</f>
        <v/>
      </c>
      <c r="F942" s="23" t="str">
        <f>IF(OR(E942="",E942="!!!"),"",IF(NOT(ISNA(VLOOKUP(E942,E$1:E941,1,FALSE()))),"OLD",IF(AND(E942&lt;&gt;"",E942&lt;&gt;"!!!"),"NEW","")))</f>
        <v> </v>
      </c>
      <c r="G942" s="24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5" t="str">
        <f>IF(J942&lt;&gt;1,"",IF(I942="SBJ","CB","?"))</f>
        <v> </v>
      </c>
      <c r="I942" s="26" t="str">
        <f>IF(OR(E942="",E942="!!!",F942="NEW"),"",INDEX(B941:B$2,-1+SUMPRODUCT(MAX(ROW(E941:E$2)*(E942=E941:E$2)))))</f>
        <v> </v>
      </c>
      <c r="J942" s="26" t="str">
        <f>IF(OR(E942="",E942="!!!",F942="NEW"),"",COUNTBLANK(OFFSET(A$1,,,SUMPRODUCT(MAX(ROW(E$2:E942)*(E942=E$2:E942)))))-COUNTBLANK(OFFSET(A$1,,,SUMPRODUCT(MAX(ROW(E$1:E941)*(E2=E$1:E941))))))</f>
        <v> </v>
      </c>
      <c r="K942" s="26" t="str">
        <f>IF(OR(E942="",E942="!!!",F942="NEW"),"",INDEX(J$1:J941,SUMPRODUCT(MAX(ROW(E$1:E941)*(E942=E$1:E941)))))</f>
        <v> </v>
      </c>
      <c r="L942" s="27"/>
    </row>
    <row r="943" spans="1:12">
      <c r="A943" s="20" t="s">
        <v>479</v>
      </c>
      <c r="E943" s="22">
        <f>IF(D943="?OLD","!!!","")</f>
        <v/>
      </c>
      <c r="F943" s="23" t="str">
        <f>IF(OR(E943="",E943="!!!"),"",IF(NOT(ISNA(VLOOKUP(E943,E$1:E942,1,FALSE()))),"OLD",IF(AND(E943&lt;&gt;"",E943&lt;&gt;"!!!"),"NEW","")))</f>
        <v> </v>
      </c>
      <c r="G943" s="24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5" t="str">
        <f>IF(J943&lt;&gt;1,"",IF(I943="SBJ","CB","?"))</f>
        <v> </v>
      </c>
      <c r="I943" s="26" t="str">
        <f>IF(OR(E943="",E943="!!!",F943="NEW"),"",INDEX(B942:B$2,-1+SUMPRODUCT(MAX(ROW(E942:E$2)*(E943=E942:E$2)))))</f>
        <v> </v>
      </c>
      <c r="J943" s="26" t="str">
        <f>IF(OR(E943="",E943="!!!",F943="NEW"),"",COUNTBLANK(OFFSET(A$1,,,SUMPRODUCT(MAX(ROW(E$2:E943)*(E943=E$2:E943)))))-COUNTBLANK(OFFSET(A$1,,,SUMPRODUCT(MAX(ROW(E$1:E942)*(E2=E$1:E942))))))</f>
        <v> </v>
      </c>
      <c r="K943" s="26" t="str">
        <f>IF(OR(E943="",E943="!!!",F943="NEW"),"",INDEX(J$1:J942,SUMPRODUCT(MAX(ROW(E$1:E942)*(E943=E$1:E942)))))</f>
        <v> </v>
      </c>
      <c r="L943" s="27"/>
    </row>
    <row r="944" spans="1:12">
      <c r="A944" s="20" t="s">
        <v>370</v>
      </c>
      <c r="B944" s="21" t="s">
        <v>334</v>
      </c>
      <c r="C944" s="21" t="s">
        <v>185</v>
      </c>
      <c r="D944" s="21" t="s">
        <v>119</v>
      </c>
      <c r="E944" s="22">
        <f>IF(D944="?OLD","!!!","")</f>
        <v/>
      </c>
      <c r="F944" s="23" t="str">
        <f>IF(OR(E944="",E944="!!!"),"",IF(NOT(ISNA(VLOOKUP(E944,E$1:E943,1,FALSE()))),"OLD",IF(AND(E944&lt;&gt;"",E944&lt;&gt;"!!!"),"NEW","")))</f>
        <v> </v>
      </c>
      <c r="G944" s="24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5" t="str">
        <f>IF(J944&lt;&gt;1,"",IF(I944="SBJ","CB","?"))</f>
        <v> </v>
      </c>
      <c r="I944" s="26" t="str">
        <f>IF(OR(E944="",E944="!!!",F944="NEW"),"",INDEX(B943:B$2,-1+SUMPRODUCT(MAX(ROW(E943:E$2)*(E944=E943:E$2)))))</f>
        <v> </v>
      </c>
      <c r="J944" s="26" t="str">
        <f>IF(OR(E944="",E944="!!!",F944="NEW"),"",COUNTBLANK(OFFSET(A$1,,,SUMPRODUCT(MAX(ROW(E$2:E944)*(E944=E$2:E944)))))-COUNTBLANK(OFFSET(A$1,,,SUMPRODUCT(MAX(ROW(E$1:E943)*(E2=E$1:E943))))))</f>
        <v> </v>
      </c>
      <c r="K944" s="26" t="str">
        <f>IF(OR(E944="",E944="!!!",F944="NEW"),"",INDEX(J$1:J943,SUMPRODUCT(MAX(ROW(E$1:E943)*(E944=E$1:E943)))))</f>
        <v> </v>
      </c>
      <c r="L944" s="27"/>
    </row>
    <row r="945" spans="1:12">
      <c r="A945" s="20" t="s">
        <v>504</v>
      </c>
      <c r="E945" s="22">
        <f>IF(D945="?OLD","!!!","")</f>
        <v/>
      </c>
      <c r="F945" s="23" t="str">
        <f>IF(OR(E945="",E945="!!!"),"",IF(NOT(ISNA(VLOOKUP(E945,E$1:E944,1,FALSE()))),"OLD",IF(AND(E945&lt;&gt;"",E945&lt;&gt;"!!!"),"NEW","")))</f>
        <v> </v>
      </c>
      <c r="G945" s="24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5" t="str">
        <f>IF(J945&lt;&gt;1,"",IF(I945="SBJ","CB","?"))</f>
        <v> </v>
      </c>
      <c r="I945" s="26" t="str">
        <f>IF(OR(E945="",E945="!!!",F945="NEW"),"",INDEX(B944:B$2,-1+SUMPRODUCT(MAX(ROW(E944:E$2)*(E945=E944:E$2)))))</f>
        <v> </v>
      </c>
      <c r="J945" s="26" t="str">
        <f>IF(OR(E945="",E945="!!!",F945="NEW"),"",COUNTBLANK(OFFSET(A$1,,,SUMPRODUCT(MAX(ROW(E$2:E945)*(E945=E$2:E945)))))-COUNTBLANK(OFFSET(A$1,,,SUMPRODUCT(MAX(ROW(E$1:E944)*(E2=E$1:E944))))))</f>
        <v> </v>
      </c>
      <c r="K945" s="26" t="str">
        <f>IF(OR(E945="",E945="!!!",F945="NEW"),"",INDEX(J$1:J944,SUMPRODUCT(MAX(ROW(E$1:E944)*(E945=E$1:E944)))))</f>
        <v> </v>
      </c>
      <c r="L945" s="27"/>
    </row>
    <row r="946" spans="1:12">
      <c r="A946" s="20" t="s">
        <v>505</v>
      </c>
      <c r="E946" s="22">
        <f>IF(D946="?OLD","!!!","")</f>
        <v/>
      </c>
      <c r="F946" s="23" t="str">
        <f>IF(OR(E946="",E946="!!!"),"",IF(NOT(ISNA(VLOOKUP(E946,E$1:E945,1,FALSE()))),"OLD",IF(AND(E946&lt;&gt;"",E946&lt;&gt;"!!!"),"NEW","")))</f>
        <v> </v>
      </c>
      <c r="G946" s="24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5" t="str">
        <f>IF(J946&lt;&gt;1,"",IF(I946="SBJ","CB","?"))</f>
        <v> </v>
      </c>
      <c r="I946" s="26" t="str">
        <f>IF(OR(E946="",E946="!!!",F946="NEW"),"",INDEX(B945:B$2,-1+SUMPRODUCT(MAX(ROW(E945:E$2)*(E946=E945:E$2)))))</f>
        <v> </v>
      </c>
      <c r="J946" s="26" t="str">
        <f>IF(OR(E946="",E946="!!!",F946="NEW"),"",COUNTBLANK(OFFSET(A$1,,,SUMPRODUCT(MAX(ROW(E$2:E946)*(E946=E$2:E946)))))-COUNTBLANK(OFFSET(A$1,,,SUMPRODUCT(MAX(ROW(E$1:E945)*(E2=E$1:E945))))))</f>
        <v> </v>
      </c>
      <c r="K946" s="26" t="str">
        <f>IF(OR(E946="",E946="!!!",F946="NEW"),"",INDEX(J$1:J945,SUMPRODUCT(MAX(ROW(E$1:E945)*(E946=E$1:E945)))))</f>
        <v> </v>
      </c>
      <c r="L946" s="27"/>
    </row>
    <row r="947" spans="1:12">
      <c r="A947" s="20" t="s">
        <v>506</v>
      </c>
      <c r="B947" s="21" t="s">
        <v>213</v>
      </c>
      <c r="C947" s="21" t="s">
        <v>145</v>
      </c>
      <c r="E947" s="22">
        <f>IF(D947="?OLD","!!!","")</f>
        <v/>
      </c>
      <c r="F947" s="23" t="str">
        <f>IF(OR(E947="",E947="!!!"),"",IF(NOT(ISNA(VLOOKUP(E947,E$1:E946,1,FALSE()))),"OLD",IF(AND(E947&lt;&gt;"",E947&lt;&gt;"!!!"),"NEW","")))</f>
        <v> </v>
      </c>
      <c r="G947" s="24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5" t="str">
        <f>IF(J947&lt;&gt;1,"",IF(I947="SBJ","CB","?"))</f>
        <v> </v>
      </c>
      <c r="I947" s="26" t="str">
        <f>IF(OR(E947="",E947="!!!",F947="NEW"),"",INDEX(B946:B$2,-1+SUMPRODUCT(MAX(ROW(E946:E$2)*(E947=E946:E$2)))))</f>
        <v> </v>
      </c>
      <c r="J947" s="26" t="str">
        <f>IF(OR(E947="",E947="!!!",F947="NEW"),"",COUNTBLANK(OFFSET(A$1,,,SUMPRODUCT(MAX(ROW(E$2:E947)*(E947=E$2:E947)))))-COUNTBLANK(OFFSET(A$1,,,SUMPRODUCT(MAX(ROW(E$1:E946)*(E2=E$1:E946))))))</f>
        <v> </v>
      </c>
      <c r="K947" s="26" t="str">
        <f>IF(OR(E947="",E947="!!!",F947="NEW"),"",INDEX(J$1:J946,SUMPRODUCT(MAX(ROW(E$1:E946)*(E947=E$1:E946)))))</f>
        <v> </v>
      </c>
      <c r="L947" s="27"/>
    </row>
    <row r="948" spans="1:12">
      <c r="A948" s="20" t="s">
        <v>507</v>
      </c>
      <c r="E948" s="22">
        <f>IF(D948="?OLD","!!!","")</f>
        <v/>
      </c>
      <c r="F948" s="23" t="str">
        <f>IF(OR(E948="",E948="!!!"),"",IF(NOT(ISNA(VLOOKUP(E948,E$1:E947,1,FALSE()))),"OLD",IF(AND(E948&lt;&gt;"",E948&lt;&gt;"!!!"),"NEW","")))</f>
        <v> </v>
      </c>
      <c r="G948" s="24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5" t="str">
        <f>IF(J948&lt;&gt;1,"",IF(I948="SBJ","CB","?"))</f>
        <v> </v>
      </c>
      <c r="I948" s="26" t="str">
        <f>IF(OR(E948="",E948="!!!",F948="NEW"),"",INDEX(B947:B$2,-1+SUMPRODUCT(MAX(ROW(E947:E$2)*(E948=E947:E$2)))))</f>
        <v> </v>
      </c>
      <c r="J948" s="26" t="str">
        <f>IF(OR(E948="",E948="!!!",F948="NEW"),"",COUNTBLANK(OFFSET(A$1,,,SUMPRODUCT(MAX(ROW(E$2:E948)*(E948=E$2:E948)))))-COUNTBLANK(OFFSET(A$1,,,SUMPRODUCT(MAX(ROW(E$1:E947)*(E2=E$1:E947))))))</f>
        <v> </v>
      </c>
      <c r="K948" s="26" t="str">
        <f>IF(OR(E948="",E948="!!!",F948="NEW"),"",INDEX(J$1:J947,SUMPRODUCT(MAX(ROW(E$1:E947)*(E948=E$1:E947)))))</f>
        <v> </v>
      </c>
      <c r="L948" s="27"/>
    </row>
    <row r="949" spans="1:12">
      <c r="A949" s="20" t="s">
        <v>163</v>
      </c>
      <c r="E949" s="22">
        <f>IF(D949="?OLD","!!!","")</f>
        <v/>
      </c>
      <c r="F949" s="23" t="str">
        <f>IF(OR(E949="",E949="!!!"),"",IF(NOT(ISNA(VLOOKUP(E949,E$1:E948,1,FALSE()))),"OLD",IF(AND(E949&lt;&gt;"",E949&lt;&gt;"!!!"),"NEW","")))</f>
        <v> </v>
      </c>
      <c r="G949" s="24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5" t="str">
        <f>IF(J949&lt;&gt;1,"",IF(I949="SBJ","CB","?"))</f>
        <v> </v>
      </c>
      <c r="I949" s="26" t="str">
        <f>IF(OR(E949="",E949="!!!",F949="NEW"),"",INDEX(B948:B$2,-1+SUMPRODUCT(MAX(ROW(E948:E$2)*(E949=E948:E$2)))))</f>
        <v> </v>
      </c>
      <c r="J949" s="26" t="str">
        <f>IF(OR(E949="",E949="!!!",F949="NEW"),"",COUNTBLANK(OFFSET(A$1,,,SUMPRODUCT(MAX(ROW(E$2:E949)*(E949=E$2:E949)))))-COUNTBLANK(OFFSET(A$1,,,SUMPRODUCT(MAX(ROW(E$1:E948)*(E2=E$1:E948))))))</f>
        <v> </v>
      </c>
      <c r="K949" s="26" t="str">
        <f>IF(OR(E949="",E949="!!!",F949="NEW"),"",INDEX(J$1:J948,SUMPRODUCT(MAX(ROW(E$1:E948)*(E949=E$1:E948)))))</f>
        <v> </v>
      </c>
      <c r="L949" s="27"/>
    </row>
    <row r="950" spans="1:12">
      <c r="A950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2024-07-11T06:51:27Z</dcterms:created>
  <dcterms:modified xsi:type="dcterms:W3CDTF">2024-07-11T06:51:27Z</dcterms:modified>
</cp:coreProperties>
</file>